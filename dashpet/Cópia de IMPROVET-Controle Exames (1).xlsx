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Exames" sheetId="2" r:id="rId5"/>
    <sheet state="visible" name="Gastos" sheetId="3" r:id="rId6"/>
    <sheet state="visible" name="Parâmetros" sheetId="4" r:id="rId7"/>
    <sheet state="hidden" name="Parâmetros-Filtros" sheetId="5" r:id="rId8"/>
    <sheet state="hidden" name="Dashboard-Dados" sheetId="6" r:id="rId9"/>
  </sheets>
  <definedNames>
    <definedName name="Identificacao">Dashboard!$A$3:$X$3</definedName>
    <definedName localSheetId="2" name="Exames">Gastos!$B$3:$H$2999</definedName>
    <definedName name="Exames">Exames!$B$3:$I$2999</definedName>
    <definedName name="FormasPagamentos">'Parâmetros'!$L$4:$L$995</definedName>
    <definedName name="TiposExames">'Parâmetros'!$B$3:$D$995</definedName>
    <definedName hidden="1" localSheetId="0" name="Z_1134576E_3995_47B8_B889_9FB980475BDE_.wvu.FilterData">Dashboard!$AB$48:$AH$1298</definedName>
    <definedName hidden="1" localSheetId="1" name="Z_1134576E_3995_47B8_B889_9FB980475BDE_.wvu.FilterData">Exames!$B$3:$O$2999</definedName>
    <definedName hidden="1" localSheetId="2" name="Z_1134576E_3995_47B8_B889_9FB980475BDE_.wvu.FilterData">Gastos!$B$3:$N$2999</definedName>
    <definedName hidden="1" localSheetId="1" name="Z_FBD20B96_901D_45DA_9700_E9D11D407245_.wvu.FilterData">Exames!$B$3:$I$2999</definedName>
    <definedName hidden="1" localSheetId="2" name="Z_FBD20B96_901D_45DA_9700_E9D11D407245_.wvu.FilterData">Gastos!$B$3:$H$2999</definedName>
    <definedName hidden="1" localSheetId="3" name="Z_FBD20B96_901D_45DA_9700_E9D11D407245_.wvu.FilterData">'Parâmetros'!$B$3:$L$995</definedName>
    <definedName name="SlicerCache_Table_1_Col_1">#N/A</definedName>
    <definedName name="SlicerCache_Table_1_Col_3">#N/A</definedName>
    <definedName name="SlicerCache_Table_2_Col_13">#N/A</definedName>
    <definedName name="SlicerCache_Table_2_Col_14">#N/A</definedName>
  </definedNames>
  <calcPr/>
  <customWorkbookViews>
    <customWorkbookView activeSheetId="0" maximized="1" windowHeight="0" windowWidth="0" guid="{FBD20B96-901D-45DA-9700-E9D11D407245}" name="Todos os Filtros"/>
    <customWorkbookView activeSheetId="0" maximized="1" windowHeight="0" windowWidth="0" guid="{1134576E-3995-47B8-B889-9FB980475BDE}" name="Filtro 2"/>
  </customWorkbookViews>
  <pivotCaches>
    <pivotCache cacheId="0" r:id="rId10"/>
  </pivotCaches>
  <extLst>
    <ext uri="{46BE6895-7355-4a93-B00E-2C351335B9C9}">
      <x15:slicerCaches>
        <x14:slicerCache r:id="rId11"/>
        <x14:slicerCache r:id="rId12"/>
        <x14:slicerCache r:id="rId13"/>
        <x14:slicerCache r:id="rId14"/>
      </x15:slicerCaches>
    </ext>
  </extLst>
</workbook>
</file>

<file path=xl/sharedStrings.xml><?xml version="1.0" encoding="utf-8"?>
<sst xmlns="http://schemas.openxmlformats.org/spreadsheetml/2006/main" count="171" uniqueCount="129">
  <si>
    <t>CONTROLE DE EXAMES DE IMAGENS VETERINÁRIOS</t>
  </si>
  <si>
    <t xml:space="preserve">  Nome:</t>
  </si>
  <si>
    <t>Inserir Nome</t>
  </si>
  <si>
    <t>Faixa:</t>
  </si>
  <si>
    <t>Receita</t>
  </si>
  <si>
    <t>Despesa</t>
  </si>
  <si>
    <t>Lucro</t>
  </si>
  <si>
    <t>Exames Totais</t>
  </si>
  <si>
    <t>Máx. Exames x Mês</t>
  </si>
  <si>
    <t>FORMATAÇÃO</t>
  </si>
  <si>
    <t>Receita Total x Despesa Total</t>
  </si>
  <si>
    <t>Colunas</t>
  </si>
  <si>
    <t xml:space="preserve">SUM de </t>
  </si>
  <si>
    <t xml:space="preserve">MAX de </t>
  </si>
  <si>
    <t>Linhas</t>
  </si>
  <si>
    <t>Valores</t>
  </si>
  <si>
    <t xml:space="preserve"> </t>
  </si>
  <si>
    <t>Data Exame</t>
  </si>
  <si>
    <t>Vet Solicitante</t>
  </si>
  <si>
    <t>Clínica</t>
  </si>
  <si>
    <t>Animal</t>
  </si>
  <si>
    <t>Tipo de Exame</t>
  </si>
  <si>
    <t>Exame Específico</t>
  </si>
  <si>
    <t>Valor Exame</t>
  </si>
  <si>
    <t>Forma Pagamento</t>
  </si>
  <si>
    <t>Exame</t>
  </si>
  <si>
    <t>Valor Recebido</t>
  </si>
  <si>
    <t>Mês-N</t>
  </si>
  <si>
    <t>Mês</t>
  </si>
  <si>
    <t>Ano</t>
  </si>
  <si>
    <t>Ultrassonografia</t>
  </si>
  <si>
    <t>Boleto</t>
  </si>
  <si>
    <t>CONTROLE DE GASTOS DE IMAGENS VETERINÁRIOS</t>
  </si>
  <si>
    <t>Data Pagamento</t>
  </si>
  <si>
    <t>Despesa ou Investimento</t>
  </si>
  <si>
    <t>Descrição</t>
  </si>
  <si>
    <t>Valor Pagamento</t>
  </si>
  <si>
    <t>Gasto</t>
  </si>
  <si>
    <t>Valor Despesa</t>
  </si>
  <si>
    <t>gel</t>
  </si>
  <si>
    <t>xxxx</t>
  </si>
  <si>
    <t>Investimento</t>
  </si>
  <si>
    <t>PARAMETROS PERSONALIZÁVEIS</t>
  </si>
  <si>
    <t>Cardiologia</t>
  </si>
  <si>
    <t>RaioX</t>
  </si>
  <si>
    <t>Tomografia</t>
  </si>
  <si>
    <t>Outros</t>
  </si>
  <si>
    <t>Formas de Pagamento</t>
  </si>
  <si>
    <t>US Abdominal</t>
  </si>
  <si>
    <t>Ecocardiograma</t>
  </si>
  <si>
    <t>1 Projeção</t>
  </si>
  <si>
    <t>Dinheiro</t>
  </si>
  <si>
    <t>US Ocular</t>
  </si>
  <si>
    <t>Eletrocardiograma</t>
  </si>
  <si>
    <t>2 Projeções</t>
  </si>
  <si>
    <t>Cartão de Crédito</t>
  </si>
  <si>
    <t>US Cervical</t>
  </si>
  <si>
    <t>Avaliação de pressão</t>
  </si>
  <si>
    <t>3 Projeções</t>
  </si>
  <si>
    <t>Cartão de Débito</t>
  </si>
  <si>
    <t>Cistocentese</t>
  </si>
  <si>
    <t>4 Projeções</t>
  </si>
  <si>
    <t>Transferencia Bancária</t>
  </si>
  <si>
    <t>Abdominocentese</t>
  </si>
  <si>
    <t>5 Projeções</t>
  </si>
  <si>
    <t>Pix</t>
  </si>
  <si>
    <t>Toracocentese</t>
  </si>
  <si>
    <t>6 Projeções</t>
  </si>
  <si>
    <t>PicPay</t>
  </si>
  <si>
    <t>A-FAST</t>
  </si>
  <si>
    <t>Projeção Adicional</t>
  </si>
  <si>
    <t>Cheque</t>
  </si>
  <si>
    <t>T-FAST</t>
  </si>
  <si>
    <t>Bula Timpânica</t>
  </si>
  <si>
    <t>Citologia Aspirativa</t>
  </si>
  <si>
    <t>Seios da Face</t>
  </si>
  <si>
    <t>Em Aberto</t>
  </si>
  <si>
    <t>US Crânio</t>
  </si>
  <si>
    <t>Maxila/Mandibula</t>
  </si>
  <si>
    <t>US Articular</t>
  </si>
  <si>
    <t>Coluna</t>
  </si>
  <si>
    <t>Drenagem Ecoguiada</t>
  </si>
  <si>
    <t>Pesqquisa de Metástase</t>
  </si>
  <si>
    <t>Colapso de Traquéia</t>
  </si>
  <si>
    <t>Abdominal</t>
  </si>
  <si>
    <t>Displasia do Cotovelo</t>
  </si>
  <si>
    <t>Displasia Coxofemoral</t>
  </si>
  <si>
    <t>Esofagograma</t>
  </si>
  <si>
    <t>Gastrograma</t>
  </si>
  <si>
    <t>Urografia Excretora</t>
  </si>
  <si>
    <t>Cistografia</t>
  </si>
  <si>
    <t>Uretrocistografia</t>
  </si>
  <si>
    <t>Enema Baritado</t>
  </si>
  <si>
    <t>Mielografia</t>
  </si>
  <si>
    <t>Qtd Exames</t>
  </si>
  <si>
    <t>Linha</t>
  </si>
  <si>
    <t>Lista Anos</t>
  </si>
  <si>
    <t>Abrev.</t>
  </si>
  <si>
    <t>Exames</t>
  </si>
  <si>
    <t>Diferença</t>
  </si>
  <si>
    <t>Receitas</t>
  </si>
  <si>
    <t>Despesas</t>
  </si>
  <si>
    <t>Total</t>
  </si>
  <si>
    <t>Max</t>
  </si>
  <si>
    <t>Faixas</t>
  </si>
  <si>
    <t>Cor</t>
  </si>
  <si>
    <t>Intervalo</t>
  </si>
  <si>
    <t>HEX Cor</t>
  </si>
  <si>
    <t>Alvo</t>
  </si>
  <si>
    <t>Branca</t>
  </si>
  <si>
    <t>#ffffff</t>
  </si>
  <si>
    <t>Amarela</t>
  </si>
  <si>
    <t>#ffff00</t>
  </si>
  <si>
    <t>Roxa</t>
  </si>
  <si>
    <t>#674ea7</t>
  </si>
  <si>
    <t>Marrom</t>
  </si>
  <si>
    <t>#783f04</t>
  </si>
  <si>
    <t>Índice Linha</t>
  </si>
  <si>
    <t>Indice Qtd. Exames</t>
  </si>
  <si>
    <t>Preta</t>
  </si>
  <si>
    <t>#000000</t>
  </si>
  <si>
    <t>Parâmetros</t>
  </si>
  <si>
    <t>Linha Alvo</t>
  </si>
  <si>
    <t>Faixa Alvo</t>
  </si>
  <si>
    <t>Qtd. Próx. Faixa</t>
  </si>
  <si>
    <t>Máx. Exames</t>
  </si>
  <si>
    <t>Diff Próx. Faixa</t>
  </si>
  <si>
    <t>Atual</t>
  </si>
  <si>
    <t>Próxima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</si>
</sst>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 -416]#,##0.00"/>
    <numFmt numFmtId="165" formatCode="_-[$R$-416]\ * #,##0.00_-;\-[$R$-416]\ * #,##0.00_-;_-[$R$-416]\ * &quot;-&quot;??_-;_-@"/>
    <numFmt numFmtId="166" formatCode="dd&quot;/&quot;mm&quot;/&quot;yyyy"/>
    <numFmt numFmtId="167" formatCode="dd/mm/yyyy"/>
    <numFmt numFmtId="168" formatCode="dd/MM/yyyy"/>
  </numFmts>
  <fonts count="18">
    <font>
      <sz val="10.0"/>
      <color rgb="FF000000"/>
      <name val="Arial"/>
      <scheme val="minor"/>
    </font>
    <font>
      <sz val="16.0"/>
      <color rgb="FF1F4E79"/>
      <name val="&quot;Arial Black&quot;"/>
    </font>
    <font>
      <color theme="1"/>
      <name val="Arial"/>
      <scheme val="minor"/>
    </font>
    <font>
      <sz val="20.0"/>
      <color theme="1"/>
      <name val="Oswald"/>
    </font>
    <font>
      <b/>
      <color theme="1"/>
      <name val="Arial"/>
      <scheme val="minor"/>
    </font>
    <font/>
    <font>
      <b/>
      <color theme="1"/>
      <name val="Lato"/>
    </font>
    <font>
      <color rgb="FFFFFFFF"/>
      <name val="Arial"/>
      <scheme val="minor"/>
    </font>
    <font>
      <color theme="1"/>
      <name val="Arial"/>
    </font>
    <font>
      <b/>
      <color rgb="FFFFFFFF"/>
      <name val="Arial"/>
      <scheme val="minor"/>
    </font>
    <font>
      <b/>
      <sz val="11.0"/>
      <color rgb="FF000000"/>
      <name val="Calibri"/>
    </font>
    <font>
      <sz val="11.0"/>
      <color rgb="FF000000"/>
      <name val="Calibri"/>
    </font>
    <font>
      <sz val="9.0"/>
      <color rgb="FF000000"/>
      <name val="Arial"/>
      <scheme val="minor"/>
    </font>
    <font>
      <b/>
      <sz val="11.0"/>
      <color theme="1"/>
      <name val="Calibri"/>
    </font>
    <font>
      <sz val="11.0"/>
      <color rgb="FFFFFFFF"/>
      <name val="Calibri"/>
    </font>
    <font>
      <sz val="11.0"/>
      <color theme="1"/>
      <name val="Calibri"/>
    </font>
    <font>
      <sz val="9.0"/>
      <color rgb="FF000000"/>
      <name val="&quot;Google Sans Mono&quot;"/>
    </font>
    <font>
      <sz val="9.0"/>
      <color theme="1"/>
      <name val="&quot;Google Sans Mono&quot;"/>
    </font>
  </fonts>
  <fills count="14">
    <fill>
      <patternFill patternType="none"/>
    </fill>
    <fill>
      <patternFill patternType="lightGray"/>
    </fill>
    <fill>
      <patternFill patternType="solid">
        <fgColor rgb="FFEFEFEF"/>
        <bgColor rgb="FFEFEFEF"/>
      </patternFill>
    </fill>
    <fill>
      <patternFill patternType="solid">
        <fgColor rgb="FF96C580"/>
        <bgColor rgb="FF96C580"/>
      </patternFill>
    </fill>
    <fill>
      <patternFill patternType="solid">
        <fgColor rgb="FFE2402F"/>
        <bgColor rgb="FFE2402F"/>
      </patternFill>
    </fill>
    <fill>
      <patternFill patternType="solid">
        <fgColor rgb="FFD9D9D9"/>
        <bgColor rgb="FFD9D9D9"/>
      </patternFill>
    </fill>
    <fill>
      <patternFill patternType="solid">
        <fgColor rgb="FFC9DAF8"/>
        <bgColor rgb="FFC9DAF8"/>
      </patternFill>
    </fill>
    <fill>
      <patternFill patternType="solid">
        <fgColor rgb="FF1F4E79"/>
        <bgColor rgb="FF1F4E79"/>
      </patternFill>
    </fill>
    <fill>
      <patternFill patternType="solid">
        <fgColor rgb="FFFFFFFF"/>
        <bgColor rgb="FFFFFFFF"/>
      </patternFill>
    </fill>
    <fill>
      <patternFill patternType="solid">
        <fgColor rgb="FFCBDAF8"/>
        <bgColor rgb="FFCBDAF8"/>
      </patternFill>
    </fill>
    <fill>
      <patternFill patternType="solid">
        <fgColor rgb="FFFFFF00"/>
        <bgColor rgb="FFFFFF00"/>
      </patternFill>
    </fill>
    <fill>
      <patternFill patternType="solid">
        <fgColor rgb="FF674EA7"/>
        <bgColor rgb="FF674EA7"/>
      </patternFill>
    </fill>
    <fill>
      <patternFill patternType="solid">
        <fgColor rgb="FF783F04"/>
        <bgColor rgb="FF783F04"/>
      </patternFill>
    </fill>
    <fill>
      <patternFill patternType="solid">
        <fgColor rgb="FF000000"/>
        <bgColor rgb="FF000000"/>
      </patternFill>
    </fill>
  </fills>
  <borders count="13">
    <border/>
    <border>
      <left style="thin">
        <color rgb="FF4A86E8"/>
      </left>
      <top style="thin">
        <color rgb="FF4A86E8"/>
      </top>
      <bottom style="hair">
        <color rgb="FF000000"/>
      </bottom>
    </border>
    <border>
      <right style="thin">
        <color rgb="FF4A86E8"/>
      </right>
      <top style="thin">
        <color rgb="FF4A86E8"/>
      </top>
      <bottom style="hair">
        <color rgb="FF000000"/>
      </bottom>
    </border>
    <border>
      <left style="thin">
        <color rgb="FF4A86E8"/>
      </left>
      <bottom style="thin">
        <color rgb="FF4A86E8"/>
      </bottom>
    </border>
    <border>
      <right style="thin">
        <color rgb="FF4A86E8"/>
      </right>
      <bottom style="thin">
        <color rgb="FF4A86E8"/>
      </bottom>
    </border>
    <border>
      <left style="thin">
        <color rgb="FF5685E7"/>
      </left>
      <top style="thin">
        <color rgb="FF5685E7"/>
      </top>
    </border>
    <border>
      <top style="thin">
        <color rgb="FF5685E7"/>
      </top>
    </border>
    <border>
      <right style="thin">
        <color rgb="FF5685E7"/>
      </right>
      <top style="thin">
        <color rgb="FF5685E7"/>
      </top>
    </border>
    <border>
      <left style="thin">
        <color rgb="FF5685E7"/>
      </left>
    </border>
    <border>
      <right style="thin">
        <color rgb="FF5685E7"/>
      </right>
    </border>
    <border>
      <left style="thin">
        <color rgb="FF5685E7"/>
      </left>
      <bottom style="thin">
        <color rgb="FF5685E7"/>
      </bottom>
    </border>
    <border>
      <bottom style="thin">
        <color rgb="FF5685E7"/>
      </bottom>
    </border>
    <border>
      <right style="thin">
        <color rgb="FF5685E7"/>
      </right>
      <bottom style="thin">
        <color rgb="FF5685E7"/>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Font="1"/>
    <xf borderId="0" fillId="2" fontId="3" numFmtId="0" xfId="0" applyAlignment="1" applyFont="1">
      <alignment vertical="bottom"/>
    </xf>
    <xf borderId="0" fillId="2" fontId="3" numFmtId="0" xfId="0" applyAlignment="1" applyFont="1">
      <alignment horizontal="right" vertical="bottom"/>
    </xf>
    <xf borderId="0" fillId="2" fontId="3" numFmtId="0" xfId="0" applyAlignment="1" applyFont="1">
      <alignment readingOrder="0" vertical="bottom"/>
    </xf>
    <xf borderId="0" fillId="2" fontId="3" numFmtId="0" xfId="0" applyAlignment="1" applyFont="1">
      <alignment horizontal="right" readingOrder="0" vertical="bottom"/>
    </xf>
    <xf borderId="0" fillId="3" fontId="4" numFmtId="0" xfId="0" applyAlignment="1" applyFill="1" applyFont="1">
      <alignment horizontal="center" readingOrder="0"/>
    </xf>
    <xf borderId="1" fillId="0" fontId="4" numFmtId="0" xfId="0" applyAlignment="1" applyBorder="1" applyFont="1">
      <alignment horizontal="center" readingOrder="0" vertical="center"/>
    </xf>
    <xf borderId="2" fillId="0" fontId="5" numFmtId="0" xfId="0" applyBorder="1" applyFont="1"/>
    <xf borderId="0" fillId="4" fontId="4" numFmtId="0" xfId="0" applyAlignment="1" applyFill="1" applyFont="1">
      <alignment horizontal="center" readingOrder="0"/>
    </xf>
    <xf borderId="0" fillId="0" fontId="4" numFmtId="0" xfId="0" applyAlignment="1" applyFont="1">
      <alignment horizontal="center"/>
    </xf>
    <xf borderId="0" fillId="2" fontId="4" numFmtId="0" xfId="0" applyAlignment="1" applyFont="1">
      <alignment horizontal="center" readingOrder="0"/>
    </xf>
    <xf borderId="0" fillId="0" fontId="4" numFmtId="0" xfId="0" applyAlignment="1" applyFont="1">
      <alignment horizontal="center" readingOrder="0" vertical="center"/>
    </xf>
    <xf borderId="0" fillId="0" fontId="2" numFmtId="0" xfId="0" applyFont="1"/>
    <xf borderId="0" fillId="0" fontId="4" numFmtId="0" xfId="0" applyAlignment="1" applyFont="1">
      <alignment horizontal="center" readingOrder="0"/>
    </xf>
    <xf borderId="0" fillId="0" fontId="2" numFmtId="0" xfId="0" applyAlignment="1" applyFont="1">
      <alignment readingOrder="0"/>
    </xf>
    <xf borderId="3" fillId="0" fontId="2" numFmtId="164" xfId="0" applyAlignment="1" applyBorder="1" applyFont="1" applyNumberFormat="1">
      <alignment horizontal="center" vertical="center"/>
    </xf>
    <xf borderId="4" fillId="0" fontId="5" numFmtId="0" xfId="0" applyBorder="1" applyFont="1"/>
    <xf borderId="3" fillId="0" fontId="2" numFmtId="3" xfId="0" applyAlignment="1" applyBorder="1" applyFont="1" applyNumberFormat="1">
      <alignment horizontal="center" vertical="center"/>
    </xf>
    <xf borderId="0" fillId="0" fontId="2" numFmtId="3" xfId="0" applyAlignment="1" applyFont="1" applyNumberFormat="1">
      <alignment horizontal="center" vertical="center"/>
    </xf>
    <xf borderId="0" fillId="5" fontId="4" numFmtId="0" xfId="0" applyAlignment="1" applyFill="1" applyFont="1">
      <alignment readingOrder="0"/>
    </xf>
    <xf borderId="5" fillId="0" fontId="4" numFmtId="0" xfId="0" applyAlignment="1" applyBorder="1" applyFont="1">
      <alignment horizontal="center" readingOrder="0"/>
    </xf>
    <xf borderId="6" fillId="0" fontId="5" numFmtId="0" xfId="0" applyBorder="1" applyFont="1"/>
    <xf borderId="7" fillId="0" fontId="5" numFmtId="0" xfId="0" applyBorder="1" applyFont="1"/>
    <xf borderId="0" fillId="0" fontId="4" numFmtId="0" xfId="0" applyFont="1"/>
    <xf borderId="8" fillId="0" fontId="2" numFmtId="164" xfId="0" applyAlignment="1" applyBorder="1" applyFont="1" applyNumberFormat="1">
      <alignment horizontal="center"/>
    </xf>
    <xf borderId="0" fillId="0" fontId="2" numFmtId="164" xfId="0" applyAlignment="1" applyFont="1" applyNumberFormat="1">
      <alignment horizontal="center"/>
    </xf>
    <xf borderId="9" fillId="0" fontId="2" numFmtId="0" xfId="0" applyBorder="1" applyFont="1"/>
    <xf borderId="0" fillId="0" fontId="2" numFmtId="0" xfId="0" applyFont="1"/>
    <xf borderId="8" fillId="0" fontId="4" numFmtId="0" xfId="0" applyAlignment="1" applyBorder="1" applyFont="1">
      <alignment horizontal="center" readingOrder="0"/>
    </xf>
    <xf borderId="8" fillId="0" fontId="2" numFmtId="0" xfId="0" applyBorder="1" applyFont="1"/>
    <xf borderId="0" fillId="0" fontId="6" numFmtId="164" xfId="0" applyAlignment="1" applyFont="1" applyNumberFormat="1">
      <alignment horizontal="center" readingOrder="0"/>
    </xf>
    <xf borderId="10" fillId="0" fontId="2" numFmtId="0" xfId="0" applyBorder="1" applyFont="1"/>
    <xf borderId="11" fillId="0" fontId="2" numFmtId="164" xfId="0" applyAlignment="1" applyBorder="1" applyFont="1" applyNumberFormat="1">
      <alignment horizontal="center" readingOrder="0"/>
    </xf>
    <xf borderId="11" fillId="0" fontId="5" numFmtId="0" xfId="0" applyBorder="1" applyFont="1"/>
    <xf borderId="11" fillId="0" fontId="2" numFmtId="164" xfId="0" applyAlignment="1" applyBorder="1" applyFont="1" applyNumberFormat="1">
      <alignment horizontal="center"/>
    </xf>
    <xf borderId="12" fillId="0" fontId="2" numFmtId="0" xfId="0" applyBorder="1" applyFont="1"/>
    <xf borderId="0" fillId="0" fontId="1" numFmtId="0" xfId="0" applyAlignment="1" applyFont="1">
      <alignment horizontal="center" readingOrder="0" vertical="center"/>
    </xf>
    <xf borderId="0" fillId="0" fontId="2" numFmtId="0" xfId="0" applyAlignment="1" applyFont="1">
      <alignment horizontal="center"/>
    </xf>
    <xf borderId="0" fillId="0" fontId="2" numFmtId="4" xfId="0" applyFont="1" applyNumberFormat="1"/>
    <xf borderId="0" fillId="0" fontId="2" numFmtId="166" xfId="0" applyFont="1" applyNumberFormat="1"/>
    <xf borderId="0" fillId="0" fontId="2" numFmtId="164" xfId="0" applyFont="1" applyNumberFormat="1"/>
    <xf borderId="0" fillId="0" fontId="7" numFmtId="0" xfId="0" applyAlignment="1" applyFont="1">
      <alignment horizontal="center" readingOrder="0"/>
    </xf>
    <xf borderId="0" fillId="0" fontId="7" numFmtId="0" xfId="0" applyAlignment="1" applyFont="1">
      <alignment horizontal="left" readingOrder="0"/>
    </xf>
    <xf borderId="0" fillId="0" fontId="7" numFmtId="164" xfId="0" applyAlignment="1" applyFont="1" applyNumberFormat="1">
      <alignment horizontal="right" readingOrder="0"/>
    </xf>
    <xf borderId="0" fillId="0" fontId="4" numFmtId="4" xfId="0" applyAlignment="1" applyFont="1" applyNumberFormat="1">
      <alignment readingOrder="0"/>
    </xf>
    <xf borderId="0" fillId="0" fontId="4"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0" fillId="0" fontId="2" numFmtId="0" xfId="0" applyAlignment="1" applyFont="1">
      <alignment horizontal="left" readingOrder="0"/>
    </xf>
    <xf borderId="0" fillId="0" fontId="2" numFmtId="4" xfId="0" applyAlignment="1" applyFont="1" applyNumberFormat="1">
      <alignment readingOrder="0"/>
    </xf>
    <xf borderId="0" fillId="0" fontId="2" numFmtId="0" xfId="0" applyAlignment="1" applyFont="1">
      <alignment horizontal="center" readingOrder="0"/>
    </xf>
    <xf borderId="0" fillId="0" fontId="2" numFmtId="167" xfId="0" applyAlignment="1" applyFont="1" applyNumberFormat="1">
      <alignment horizontal="center" readingOrder="0"/>
    </xf>
    <xf borderId="0" fillId="0" fontId="2" numFmtId="166" xfId="0" applyAlignment="1" applyFont="1" applyNumberFormat="1">
      <alignment horizontal="center" readingOrder="0"/>
    </xf>
    <xf borderId="0" fillId="0" fontId="2" numFmtId="0" xfId="0" applyFont="1"/>
    <xf borderId="0" fillId="6" fontId="8" numFmtId="166" xfId="0" applyAlignment="1" applyFill="1" applyFont="1" applyNumberFormat="1">
      <alignment horizontal="center" readingOrder="0" vertical="bottom"/>
    </xf>
    <xf borderId="0" fillId="6" fontId="8" numFmtId="0" xfId="0" applyAlignment="1" applyFont="1">
      <alignment vertical="bottom"/>
    </xf>
    <xf borderId="0" fillId="6" fontId="8" numFmtId="0" xfId="0" applyAlignment="1" applyFont="1">
      <alignment readingOrder="0" vertical="bottom"/>
    </xf>
    <xf borderId="0" fillId="6" fontId="8" numFmtId="0" xfId="0" applyAlignment="1" applyFont="1">
      <alignment horizontal="left" readingOrder="0" vertical="bottom"/>
    </xf>
    <xf borderId="0" fillId="6" fontId="8" numFmtId="4" xfId="0" applyAlignment="1" applyFont="1" applyNumberFormat="1">
      <alignment horizontal="right" readingOrder="0" vertical="bottom"/>
    </xf>
    <xf borderId="0" fillId="0" fontId="2" numFmtId="166" xfId="0" applyAlignment="1" applyFont="1" applyNumberFormat="1">
      <alignment horizontal="center"/>
    </xf>
    <xf borderId="0" fillId="0" fontId="2" numFmtId="0" xfId="0" applyAlignment="1" applyFont="1">
      <alignment horizontal="left"/>
    </xf>
    <xf borderId="0" fillId="0" fontId="2" numFmtId="0" xfId="0" applyAlignment="1" applyFont="1">
      <alignment horizontal="left"/>
    </xf>
    <xf borderId="0" fillId="0" fontId="2" numFmtId="4" xfId="0" applyFont="1" applyNumberFormat="1"/>
    <xf borderId="0" fillId="7" fontId="7" numFmtId="0" xfId="0" applyAlignment="1" applyFill="1" applyFont="1">
      <alignment horizontal="center" readingOrder="0"/>
    </xf>
    <xf borderId="0" fillId="7" fontId="7" numFmtId="0" xfId="0" applyAlignment="1" applyFont="1">
      <alignment horizontal="left" readingOrder="0"/>
    </xf>
    <xf borderId="0" fillId="7" fontId="7" numFmtId="164" xfId="0" applyAlignment="1" applyFont="1" applyNumberFormat="1">
      <alignment horizontal="right" readingOrder="0"/>
    </xf>
    <xf borderId="0" fillId="8" fontId="8" numFmtId="166" xfId="0" applyAlignment="1" applyFill="1" applyFont="1" applyNumberFormat="1">
      <alignment horizontal="center" readingOrder="0" vertical="bottom"/>
    </xf>
    <xf borderId="0" fillId="8" fontId="8" numFmtId="0" xfId="0" applyAlignment="1" applyFont="1">
      <alignment horizontal="left" readingOrder="0" vertical="bottom"/>
    </xf>
    <xf borderId="0" fillId="8" fontId="8" numFmtId="0" xfId="0" applyAlignment="1" applyFont="1">
      <alignment readingOrder="0" vertical="bottom"/>
    </xf>
    <xf borderId="0" fillId="8" fontId="8" numFmtId="4" xfId="0" applyAlignment="1" applyFont="1" applyNumberFormat="1">
      <alignment horizontal="right" readingOrder="0" vertical="bottom"/>
    </xf>
    <xf borderId="0" fillId="0" fontId="2" numFmtId="4" xfId="0" applyAlignment="1" applyFont="1" applyNumberFormat="1">
      <alignment readingOrder="0"/>
    </xf>
    <xf borderId="0" fillId="6" fontId="8" numFmtId="166" xfId="0" applyAlignment="1" applyFont="1" applyNumberFormat="1">
      <alignment horizontal="center" readingOrder="0" vertical="bottom"/>
    </xf>
    <xf borderId="0" fillId="6" fontId="8" numFmtId="0" xfId="0" applyAlignment="1" applyFont="1">
      <alignment horizontal="left" readingOrder="0" vertical="bottom"/>
    </xf>
    <xf borderId="0" fillId="6" fontId="8" numFmtId="0" xfId="0" applyAlignment="1" applyFont="1">
      <alignment readingOrder="0" vertical="bottom"/>
    </xf>
    <xf borderId="0" fillId="6" fontId="8" numFmtId="4" xfId="0" applyAlignment="1" applyFont="1" applyNumberFormat="1">
      <alignment horizontal="right" readingOrder="0" vertical="bottom"/>
    </xf>
    <xf borderId="0" fillId="8" fontId="2" numFmtId="0" xfId="0" applyAlignment="1" applyFont="1">
      <alignment horizontal="left" readingOrder="0"/>
    </xf>
    <xf borderId="0" fillId="8" fontId="2" numFmtId="4" xfId="0" applyAlignment="1" applyFont="1" applyNumberFormat="1">
      <alignment readingOrder="0"/>
    </xf>
    <xf borderId="0" fillId="6" fontId="2" numFmtId="0" xfId="0" applyAlignment="1" applyFont="1">
      <alignment horizontal="center" readingOrder="0"/>
    </xf>
    <xf borderId="0" fillId="6" fontId="2" numFmtId="0" xfId="0" applyAlignment="1" applyFont="1">
      <alignment horizontal="left" readingOrder="0"/>
    </xf>
    <xf borderId="0" fillId="6" fontId="2" numFmtId="4" xfId="0" applyAlignment="1" applyFont="1" applyNumberFormat="1">
      <alignment readingOrder="0"/>
    </xf>
    <xf borderId="0" fillId="8" fontId="2" numFmtId="166" xfId="0" applyAlignment="1" applyFont="1" applyNumberFormat="1">
      <alignment horizontal="center" readingOrder="0"/>
    </xf>
    <xf borderId="0" fillId="6" fontId="2" numFmtId="166" xfId="0" applyAlignment="1" applyFont="1" applyNumberFormat="1">
      <alignment horizontal="center" readingOrder="0"/>
    </xf>
    <xf borderId="0" fillId="6" fontId="2" numFmtId="0" xfId="0" applyAlignment="1" applyFont="1">
      <alignment horizontal="left"/>
    </xf>
    <xf borderId="0" fillId="8" fontId="2" numFmtId="0" xfId="0" applyAlignment="1" applyFont="1">
      <alignment horizontal="left"/>
    </xf>
    <xf borderId="0" fillId="6" fontId="2" numFmtId="166" xfId="0" applyAlignment="1" applyFont="1" applyNumberFormat="1">
      <alignment horizontal="center"/>
    </xf>
    <xf borderId="0" fillId="6" fontId="2" numFmtId="4" xfId="0" applyFont="1" applyNumberFormat="1"/>
    <xf borderId="0" fillId="8" fontId="2" numFmtId="166" xfId="0" applyAlignment="1" applyFont="1" applyNumberFormat="1">
      <alignment horizontal="center"/>
    </xf>
    <xf borderId="0" fillId="8" fontId="2" numFmtId="4" xfId="0" applyFont="1" applyNumberFormat="1"/>
    <xf borderId="0" fillId="0" fontId="2" numFmtId="168" xfId="0" applyFont="1" applyNumberFormat="1"/>
    <xf borderId="0" fillId="0" fontId="7" numFmtId="0" xfId="0" applyAlignment="1" applyFont="1">
      <alignment horizontal="left" readingOrder="0"/>
    </xf>
    <xf borderId="0" fillId="0" fontId="9" numFmtId="0" xfId="0" applyFont="1"/>
    <xf borderId="0" fillId="0" fontId="9" numFmtId="0" xfId="0" applyAlignment="1" applyFont="1">
      <alignment horizontal="center" readingOrder="0"/>
    </xf>
    <xf borderId="0" fillId="0" fontId="9" numFmtId="0" xfId="0" applyAlignment="1" applyFont="1">
      <alignment horizontal="center" readingOrder="0"/>
    </xf>
    <xf borderId="0" fillId="0" fontId="2" numFmtId="0" xfId="0" applyFont="1"/>
    <xf borderId="0" fillId="8" fontId="8" numFmtId="0" xfId="0" applyAlignment="1" applyFont="1">
      <alignment vertical="bottom"/>
    </xf>
    <xf borderId="0" fillId="8" fontId="8" numFmtId="0" xfId="0" applyAlignment="1" applyFont="1">
      <alignment vertical="bottom"/>
    </xf>
    <xf borderId="0" fillId="9" fontId="8" numFmtId="0" xfId="0" applyAlignment="1" applyFill="1" applyFont="1">
      <alignment vertical="bottom"/>
    </xf>
    <xf borderId="0" fillId="9" fontId="8" numFmtId="0" xfId="0" applyAlignment="1" applyFont="1">
      <alignment vertical="bottom"/>
    </xf>
    <xf borderId="0" fillId="0" fontId="2" numFmtId="168" xfId="0" applyFont="1" applyNumberFormat="1"/>
    <xf borderId="0" fillId="0" fontId="7" numFmtId="0" xfId="0" applyAlignment="1" applyFont="1">
      <alignment horizontal="center" readingOrder="0"/>
    </xf>
    <xf borderId="0" fillId="0" fontId="9" numFmtId="165" xfId="0" applyAlignment="1" applyFont="1" applyNumberFormat="1">
      <alignment horizontal="center" readingOrder="0"/>
    </xf>
    <xf borderId="0" fillId="0" fontId="7" numFmtId="3" xfId="0" applyAlignment="1" applyFont="1" applyNumberFormat="1">
      <alignment horizontal="center" readingOrder="0"/>
    </xf>
    <xf borderId="0" fillId="0" fontId="10" numFmtId="0" xfId="0" applyAlignment="1" applyFont="1">
      <alignment readingOrder="0" shrinkToFit="0" vertical="bottom" wrapText="0"/>
    </xf>
    <xf borderId="0" fillId="0" fontId="11" numFmtId="164" xfId="0" applyAlignment="1" applyFont="1" applyNumberFormat="1">
      <alignment readingOrder="0" shrinkToFit="0" vertical="bottom" wrapText="0"/>
    </xf>
    <xf borderId="0" fillId="0" fontId="11" numFmtId="0" xfId="0" applyAlignment="1" applyFont="1">
      <alignment horizontal="right" readingOrder="0" shrinkToFit="0" vertical="bottom" wrapText="0"/>
    </xf>
    <xf borderId="0" fillId="8" fontId="12" numFmtId="0" xfId="0" applyFont="1"/>
    <xf borderId="0" fillId="8" fontId="12" numFmtId="165" xfId="0" applyFont="1" applyNumberFormat="1"/>
    <xf borderId="0" fillId="0" fontId="2" numFmtId="165" xfId="0" applyFont="1" applyNumberFormat="1"/>
    <xf borderId="0" fillId="0" fontId="2" numFmtId="3" xfId="0" applyAlignment="1" applyFont="1" applyNumberFormat="1">
      <alignment readingOrder="0"/>
    </xf>
    <xf borderId="0" fillId="0" fontId="11" numFmtId="0" xfId="0" applyAlignment="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center" readingOrder="0" shrinkToFit="0" vertical="bottom" wrapText="0"/>
    </xf>
    <xf borderId="0" fillId="0" fontId="13" numFmtId="0" xfId="0" applyAlignment="1" applyFont="1">
      <alignment horizontal="center" readingOrder="0" shrinkToFit="0" vertical="bottom" wrapText="0"/>
    </xf>
    <xf borderId="0" fillId="0" fontId="14" numFmtId="0" xfId="0" applyAlignment="1" applyFont="1">
      <alignment shrinkToFit="0" vertical="bottom" wrapText="0"/>
    </xf>
    <xf borderId="0" fillId="0" fontId="11" numFmtId="0" xfId="0" applyAlignment="1" applyFont="1">
      <alignment horizontal="center" readingOrder="0" shrinkToFit="0" vertical="bottom" wrapText="0"/>
    </xf>
    <xf borderId="0" fillId="8" fontId="4" numFmtId="0" xfId="0" applyAlignment="1" applyFont="1">
      <alignment horizontal="center" readingOrder="0"/>
    </xf>
    <xf borderId="0" fillId="9" fontId="8" numFmtId="0" xfId="0" applyAlignment="1" applyFont="1">
      <alignment horizontal="center" vertical="bottom"/>
    </xf>
    <xf borderId="0" fillId="8" fontId="13" numFmtId="0" xfId="0" applyAlignment="1" applyFont="1">
      <alignment vertical="bottom"/>
    </xf>
    <xf borderId="0" fillId="8" fontId="15" numFmtId="1" xfId="0" applyAlignment="1" applyFont="1" applyNumberFormat="1">
      <alignment horizontal="center" vertical="bottom"/>
    </xf>
    <xf borderId="0" fillId="8" fontId="15" numFmtId="0" xfId="0" applyAlignment="1" applyFont="1">
      <alignment horizontal="right" readingOrder="0" vertical="bottom"/>
    </xf>
    <xf borderId="0" fillId="9" fontId="13" numFmtId="0" xfId="0" applyAlignment="1" applyFont="1">
      <alignment vertical="bottom"/>
    </xf>
    <xf borderId="0" fillId="9" fontId="15" numFmtId="1" xfId="0" applyAlignment="1" applyFont="1" applyNumberFormat="1">
      <alignment horizontal="center" vertical="bottom"/>
    </xf>
    <xf borderId="0" fillId="10" fontId="15" numFmtId="0" xfId="0" applyAlignment="1" applyFill="1" applyFont="1">
      <alignment horizontal="right" readingOrder="0" vertical="bottom"/>
    </xf>
    <xf borderId="0" fillId="9" fontId="15" numFmtId="0" xfId="0" applyAlignment="1" applyFont="1">
      <alignment horizontal="right" readingOrder="0" vertical="bottom"/>
    </xf>
    <xf borderId="0" fillId="8" fontId="13" numFmtId="0" xfId="0" applyAlignment="1" applyFont="1">
      <alignment readingOrder="0" vertical="bottom"/>
    </xf>
    <xf borderId="0" fillId="8" fontId="15" numFmtId="1" xfId="0" applyAlignment="1" applyFont="1" applyNumberFormat="1">
      <alignment horizontal="center" readingOrder="0" vertical="bottom"/>
    </xf>
    <xf borderId="0" fillId="11" fontId="14" numFmtId="0" xfId="0" applyAlignment="1" applyFill="1" applyFont="1">
      <alignment horizontal="right" readingOrder="0" vertical="bottom"/>
    </xf>
    <xf borderId="0" fillId="8" fontId="16" numFmtId="0" xfId="0" applyAlignment="1" applyFont="1">
      <alignment readingOrder="0"/>
    </xf>
    <xf borderId="0" fillId="8" fontId="16" numFmtId="0" xfId="0" applyAlignment="1" applyFont="1">
      <alignment readingOrder="0"/>
    </xf>
    <xf borderId="0" fillId="9" fontId="15" numFmtId="1" xfId="0" applyAlignment="1" applyFont="1" applyNumberFormat="1">
      <alignment horizontal="center" readingOrder="0" vertical="bottom"/>
    </xf>
    <xf borderId="0" fillId="12" fontId="14" numFmtId="0" xfId="0" applyAlignment="1" applyFill="1" applyFont="1">
      <alignment horizontal="right" readingOrder="0" vertical="bottom"/>
    </xf>
    <xf borderId="0" fillId="8" fontId="16" numFmtId="0" xfId="0" applyFont="1"/>
    <xf borderId="0" fillId="0" fontId="2" numFmtId="0" xfId="0" applyAlignment="1" applyFont="1">
      <alignment readingOrder="0"/>
    </xf>
    <xf borderId="0" fillId="13" fontId="14" numFmtId="0" xfId="0" applyAlignment="1" applyFill="1" applyFont="1">
      <alignment horizontal="right" readingOrder="0" vertical="bottom"/>
    </xf>
    <xf borderId="0" fillId="0" fontId="4" numFmtId="3" xfId="0" applyAlignment="1" applyFont="1" applyNumberFormat="1">
      <alignment readingOrder="0"/>
    </xf>
    <xf borderId="0" fillId="0" fontId="2" numFmtId="3" xfId="0" applyFont="1" applyNumberFormat="1"/>
    <xf borderId="0" fillId="0" fontId="8" numFmtId="0" xfId="0" applyAlignment="1" applyFont="1">
      <alignment vertical="bottom"/>
    </xf>
    <xf borderId="0" fillId="8" fontId="17" numFmtId="0" xfId="0" applyAlignment="1" applyFont="1">
      <alignment horizontal="center" vertical="bottom"/>
    </xf>
    <xf borderId="0" fillId="0" fontId="2" numFmtId="1" xfId="0" applyAlignment="1" applyFont="1" applyNumberFormat="1">
      <alignment horizontal="center"/>
    </xf>
    <xf borderId="0" fillId="0" fontId="4" numFmtId="0" xfId="0" applyFont="1"/>
    <xf borderId="0" fillId="0" fontId="4" numFmtId="9" xfId="0" applyAlignment="1" applyFont="1" applyNumberFormat="1">
      <alignment horizontal="center"/>
    </xf>
    <xf borderId="0" fillId="0" fontId="2" numFmtId="165" xfId="0" applyFont="1" applyNumberFormat="1"/>
  </cellXfs>
  <cellStyles count="1">
    <cellStyle xfId="0" name="Normal" builtinId="0"/>
  </cellStyles>
  <dxfs count="11">
    <dxf>
      <font/>
      <fill>
        <patternFill patternType="none"/>
      </fill>
      <border/>
    </dxf>
    <dxf>
      <font>
        <color rgb="FFFFFFFF"/>
      </font>
      <fill>
        <patternFill patternType="solid">
          <fgColor rgb="FF000000"/>
          <bgColor rgb="FF000000"/>
        </patternFill>
      </fill>
      <border/>
    </dxf>
    <dxf>
      <font>
        <color rgb="FFFFFFFF"/>
      </font>
      <fill>
        <patternFill patternType="solid">
          <fgColor rgb="FF743F02"/>
          <bgColor rgb="FF743F02"/>
        </patternFill>
      </fill>
      <border/>
    </dxf>
    <dxf>
      <font>
        <color rgb="FFFFFFFF"/>
      </font>
      <fill>
        <patternFill patternType="solid">
          <fgColor rgb="FF674CA6"/>
          <bgColor rgb="FF674CA6"/>
        </patternFill>
      </fill>
      <border/>
    </dxf>
    <dxf>
      <font/>
      <fill>
        <patternFill patternType="solid">
          <fgColor rgb="FFFDFF27"/>
          <bgColor rgb="FFFDFF27"/>
        </patternFill>
      </fill>
      <border/>
    </dxf>
    <dxf>
      <font>
        <color rgb="FF000000"/>
      </font>
      <fill>
        <patternFill patternType="solid">
          <fgColor rgb="FFFFFFFF"/>
          <bgColor rgb="FFFFFFFF"/>
        </patternFill>
      </fill>
      <border/>
    </dxf>
    <dxf>
      <font/>
      <fill>
        <patternFill patternType="solid">
          <fgColor rgb="FFB7E1CD"/>
          <bgColor rgb="FFB7E1CD"/>
        </patternFill>
      </fill>
      <border/>
    </dxf>
    <dxf>
      <font/>
      <fill>
        <patternFill patternType="solid">
          <fgColor rgb="FF1F4E79"/>
          <bgColor rgb="FF1F4E79"/>
        </patternFill>
      </fill>
      <border/>
    </dxf>
    <dxf>
      <font/>
      <fill>
        <patternFill patternType="solid">
          <fgColor rgb="FFFFFFFF"/>
          <bgColor rgb="FFFFFFFF"/>
        </patternFill>
      </fill>
      <border/>
    </dxf>
    <dxf>
      <font/>
      <fill>
        <patternFill patternType="solid">
          <fgColor rgb="FFCBDAF8"/>
          <bgColor rgb="FFCBDAF8"/>
        </patternFill>
      </fill>
      <border/>
    </dxf>
    <dxf>
      <font/>
      <fill>
        <patternFill patternType="solid">
          <fgColor rgb="FFC9DAF8"/>
          <bgColor rgb="FFC9DAF8"/>
        </patternFill>
      </fill>
      <border/>
    </dxf>
  </dxfs>
  <tableStyles count="9">
    <tableStyle count="3" pivot="0" name="Parâmetros-style">
      <tableStyleElement dxfId="7" type="headerRow"/>
      <tableStyleElement dxfId="8" type="firstRowStripe"/>
      <tableStyleElement dxfId="9" type="secondRowStripe"/>
    </tableStyle>
    <tableStyle count="3" pivot="0" name="Parâmetros-style 2">
      <tableStyleElement dxfId="7" type="headerRow"/>
      <tableStyleElement dxfId="8" type="firstRowStripe"/>
      <tableStyleElement dxfId="9" type="secondRowStripe"/>
    </tableStyle>
    <tableStyle count="3" pivot="0" name="Parâmetros-style 3">
      <tableStyleElement dxfId="7" type="headerRow"/>
      <tableStyleElement dxfId="8" type="firstRowStripe"/>
      <tableStyleElement dxfId="9" type="secondRowStripe"/>
    </tableStyle>
    <tableStyle count="3" pivot="0" name="Parâmetros-style 4">
      <tableStyleElement dxfId="7" type="headerRow"/>
      <tableStyleElement dxfId="8" type="firstRowStripe"/>
      <tableStyleElement dxfId="9" type="secondRowStripe"/>
    </tableStyle>
    <tableStyle count="3" pivot="0" name="Parâmetros-style 5">
      <tableStyleElement dxfId="7" type="headerRow"/>
      <tableStyleElement dxfId="8" type="firstRowStripe"/>
      <tableStyleElement dxfId="9" type="secondRowStripe"/>
    </tableStyle>
    <tableStyle count="3" pivot="0" name="Parâmetros-style 6">
      <tableStyleElement dxfId="7" type="headerRow"/>
      <tableStyleElement dxfId="8" type="firstRowStripe"/>
      <tableStyleElement dxfId="10" type="secondRowStripe"/>
    </tableStyle>
    <tableStyle count="3" pivot="0" name="Dashboard-Dados-style">
      <tableStyleElement dxfId="7" type="headerRow"/>
      <tableStyleElement dxfId="8" type="firstRowStripe"/>
      <tableStyleElement dxfId="10" type="secondRowStripe"/>
    </tableStyle>
    <tableStyle count="3" pivot="0" name="Dashboard-Dados-style 2">
      <tableStyleElement dxfId="7" type="headerRow"/>
      <tableStyleElement dxfId="8" type="firstRowStripe"/>
      <tableStyleElement dxfId="10" type="secondRowStripe"/>
    </tableStyle>
    <tableStyle count="3" pivot="0" name="Dashboard-Dados-style 3">
      <tableStyleElement dxfId="7" type="headerRow"/>
      <tableStyleElement dxfId="8" type="firstRowStripe"/>
      <tableStyleElement dxfId="10" type="secondRowStripe"/>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microsoft.com/office/2007/relationships/slicerCache" Target="slicerCaches/slicerCache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mn-lt"/>
              </a:defRPr>
            </a:pPr>
            <a:r>
              <a:rPr b="1" sz="1200">
                <a:solidFill>
                  <a:srgbClr val="757575"/>
                </a:solidFill>
                <a:latin typeface="+mn-lt"/>
              </a:rPr>
              <a:t>Número de Exames x Mês</a:t>
            </a:r>
          </a:p>
        </c:rich>
      </c:tx>
      <c:overlay val="0"/>
    </c:title>
    <c:plotArea>
      <c:layout/>
      <c:barChart>
        <c:barDir val="col"/>
        <c:ser>
          <c:idx val="0"/>
          <c:order val="0"/>
          <c:tx>
            <c:strRef>
              <c:f>'Dashboard-Dados'!$AB$1</c:f>
            </c:strRef>
          </c:tx>
          <c:spPr>
            <a:solidFill>
              <a:srgbClr val="6FA8DC"/>
            </a:solidFill>
            <a:ln cmpd="sng">
              <a:solidFill>
                <a:srgbClr val="000000"/>
              </a:solidFill>
            </a:ln>
          </c:spPr>
          <c:cat>
            <c:strRef>
              <c:f>'Dashboard-Dados'!$Z$2:$Z$14</c:f>
            </c:strRef>
          </c:cat>
          <c:val>
            <c:numRef>
              <c:f>'Dashboard-Dados'!$AB$2:$AB$14</c:f>
              <c:numCache/>
            </c:numRef>
          </c:val>
        </c:ser>
        <c:axId val="1023606164"/>
        <c:axId val="1590259712"/>
      </c:barChart>
      <c:lineChart>
        <c:varyColors val="0"/>
        <c:ser>
          <c:idx val="1"/>
          <c:order val="1"/>
          <c:tx>
            <c:strRef>
              <c:f>'Dashboard-Dados'!$AC$1</c:f>
            </c:strRef>
          </c:tx>
          <c:spPr>
            <a:ln cmpd="sng" w="19050">
              <a:solidFill>
                <a:srgbClr val="1155CC">
                  <a:alpha val="100000"/>
                </a:srgbClr>
              </a:solidFill>
              <a:prstDash val="solid"/>
            </a:ln>
          </c:spPr>
          <c:marker>
            <c:symbol val="circle"/>
            <c:size val="7"/>
            <c:spPr>
              <a:solidFill>
                <a:srgbClr val="1155CC">
                  <a:alpha val="100000"/>
                </a:srgbClr>
              </a:solidFill>
              <a:ln cmpd="sng">
                <a:solidFill>
                  <a:srgbClr val="1155CC">
                    <a:alpha val="100000"/>
                  </a:srgbClr>
                </a:solidFill>
              </a:ln>
            </c:spPr>
          </c:marker>
          <c:cat>
            <c:strRef>
              <c:f>'Dashboard-Dados'!$Z$2:$Z$14</c:f>
            </c:strRef>
          </c:cat>
          <c:val>
            <c:numRef>
              <c:f>'Dashboard-Dados'!$AC$2:$AC$14</c:f>
              <c:numCache/>
            </c:numRef>
          </c:val>
          <c:smooth val="0"/>
        </c:ser>
        <c:axId val="1023606164"/>
        <c:axId val="1590259712"/>
      </c:lineChart>
      <c:catAx>
        <c:axId val="10236061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0259712"/>
      </c:catAx>
      <c:valAx>
        <c:axId val="15902597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3606164"/>
      </c:valAx>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28575</xdr:colOff>
      <xdr:row>7</xdr:row>
      <xdr:rowOff>9525</xdr:rowOff>
    </xdr:from>
    <xdr:ext cx="4200525" cy="19907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38100</xdr:colOff>
      <xdr:row>3</xdr:row>
      <xdr:rowOff>161925</xdr:rowOff>
    </xdr:from>
    <xdr:ext cx="2695575"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21</xdr:col>
      <xdr:colOff>38100</xdr:colOff>
      <xdr:row>5</xdr:row>
      <xdr:rowOff>47625</xdr:rowOff>
    </xdr:from>
    <xdr:ext cx="2695575" cy="2857500"/>
    <mc:AlternateContent>
      <mc:Choice Requires="sle15">
        <xdr:graphicFrame>
          <xdr:nvGraphicFramePr>
            <xdr:cNvPr id="2" name="Column3_2"/>
            <xdr:cNvGraphicFramePr/>
          </xdr:nvGraphicFramePr>
          <xdr:xfrm>
            <a:off x="0" y="0"/>
            <a:ext cx="0" cy="0"/>
          </xdr:xfrm>
          <a:graphic>
            <a:graphicData uri="http://schemas.microsoft.com/office/drawing/2010/slicer">
              <x3Unk:slicer name="Column3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21</xdr:col>
      <xdr:colOff>885825</xdr:colOff>
      <xdr:row>0</xdr:row>
      <xdr:rowOff>0</xdr:rowOff>
    </xdr:from>
    <xdr:ext cx="1790700" cy="685800"/>
    <xdr:pic>
      <xdr:nvPicPr>
        <xdr:cNvPr id="0" name="image1.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19050</xdr:colOff>
      <xdr:row>0</xdr:row>
      <xdr:rowOff>85725</xdr:rowOff>
    </xdr:from>
    <xdr:ext cx="2781300" cy="2857500"/>
    <mc:AlternateContent>
      <mc:Choice Requires="sle15">
        <xdr:graphicFrame>
          <xdr:nvGraphicFramePr>
            <xdr:cNvPr id="3" name="Column14_3"/>
            <xdr:cNvGraphicFramePr/>
          </xdr:nvGraphicFramePr>
          <xdr:xfrm>
            <a:off x="0" y="0"/>
            <a:ext cx="0" cy="0"/>
          </xdr:xfrm>
          <a:graphic>
            <a:graphicData uri="http://schemas.microsoft.com/office/drawing/2010/slicer">
              <x3Unk:slicer name="Column14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19050</xdr:colOff>
      <xdr:row>0</xdr:row>
      <xdr:rowOff>466725</xdr:rowOff>
    </xdr:from>
    <xdr:ext cx="2781300" cy="2857500"/>
    <mc:AlternateContent>
      <mc:Choice Requires="sle15">
        <xdr:graphicFrame>
          <xdr:nvGraphicFramePr>
            <xdr:cNvPr id="4" name="Column13_4"/>
            <xdr:cNvGraphicFramePr/>
          </xdr:nvGraphicFramePr>
          <xdr:xfrm>
            <a:off x="0" y="0"/>
            <a:ext cx="0" cy="0"/>
          </xdr:xfrm>
          <a:graphic>
            <a:graphicData uri="http://schemas.microsoft.com/office/drawing/2010/slicer">
              <x3Unk:slicer name="Column13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476250</xdr:colOff>
      <xdr:row>0</xdr:row>
      <xdr:rowOff>0</xdr:rowOff>
    </xdr:from>
    <xdr:ext cx="1790700" cy="6858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790575</xdr:colOff>
      <xdr:row>0</xdr:row>
      <xdr:rowOff>0</xdr:rowOff>
    </xdr:from>
    <xdr:ext cx="1790700" cy="6858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1190625</xdr:colOff>
      <xdr:row>0</xdr:row>
      <xdr:rowOff>0</xdr:rowOff>
    </xdr:from>
    <xdr:ext cx="1790700" cy="6858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201" sheet="Dashboard-Dados"/>
  </cacheSource>
  <cacheFields>
    <cacheField name="Ano" numFmtId="0">
      <sharedItems containsBlank="1">
        <e v="#N/A"/>
        <m/>
      </sharedItems>
    </cacheField>
    <cacheField name="Mês-N" numFmtId="0">
      <sharedItems containsString="0" containsBlank="1">
        <m/>
      </sharedItems>
    </cacheField>
    <cacheField name="Mês" numFmtId="0">
      <sharedItems>
        <s v=""/>
      </sharedItems>
    </cacheField>
    <cacheField name=" Receita" numFmtId="165">
      <sharedItems containsSemiMixedTypes="0" containsString="0" containsNumber="1" containsInteger="1">
        <n v="0.0"/>
      </sharedItems>
    </cacheField>
    <cacheField name=" Despesa" numFmtId="165">
      <sharedItems containsSemiMixedTypes="0" containsString="0" containsNumber="1" containsInteger="1">
        <n v="0.0"/>
      </sharedItems>
    </cacheField>
    <cacheField name="Lucro" numFmtId="165">
      <sharedItems containsSemiMixedTypes="0" containsString="0" containsNumber="1" containsInteger="1">
        <n v="0.0"/>
      </sharedItems>
    </cacheField>
    <cacheField name="Qtd Exames" numFmtId="0">
      <sharedItems containsSemiMixedTypes="0" containsString="0" containsNumber="1" containsInteger="1">
        <n v="0.0"/>
      </sharedItems>
    </cacheField>
    <cacheField name="Linha" numFmtId="0">
      <sharedItems containsSemiMixedTypes="0" containsString="0" containsNumber="1" containsInteger="1">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rowGrandTotals="0" compact="0" compactData="0">
  <location ref="AB48:AF57" firstHeaderRow="0" firstDataRow="4" firstDataCol="0"/>
  <pivotFields>
    <pivotField name="Ano" axis="axisRow" compact="0" outline="0" multipleItemSelectionAllowed="1" showAll="0" sortType="ascending" defaultSubtotal="0">
      <items>
        <item x="1"/>
        <item x="0"/>
      </items>
    </pivotField>
    <pivotField name="Mês-N" axis="axisRow" compact="0" outline="0" multipleItemSelectionAllowed="1" showAll="0" sortType="ascending" defaultSubtotal="0">
      <items>
        <item x="0"/>
      </items>
    </pivotField>
    <pivotField name="Mês" axis="axisRow" compact="0" outline="0" multipleItemSelectionAllowed="1" showAll="0" sortType="ascending">
      <items>
        <item x="0"/>
        <item t="default"/>
      </items>
    </pivotField>
    <pivotField name=" Receita" dataField="1" compact="0" numFmtId="165" outline="0" multipleItemSelectionAllowed="1" showAll="0">
      <items>
        <item x="0"/>
        <item t="default"/>
      </items>
    </pivotField>
    <pivotField name=" Despesa" dataField="1" compact="0" numFmtId="165" outline="0" multipleItemSelectionAllowed="1" showAll="0">
      <items>
        <item x="0"/>
        <item t="default"/>
      </items>
    </pivotField>
    <pivotField name="Lucro" dataField="1" compact="0" numFmtId="165" outline="0" multipleItemSelectionAllowed="1" showAll="0">
      <items>
        <item x="0"/>
        <item t="default"/>
      </items>
    </pivotField>
    <pivotField name="Qtd Exames" dataField="1" compact="0" outline="0" multipleItemSelectionAllowed="1" showAll="0">
      <items>
        <item x="0"/>
        <item t="default"/>
      </items>
    </pivotField>
    <pivotField name="Lin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s>
  <rowFields>
    <field x="0"/>
    <field x="1"/>
    <field x="2"/>
  </rowFields>
  <colFields>
    <field x="-2"/>
  </colFields>
  <dataFields>
    <dataField name="SUM of  Receita" fld="3" baseField="0"/>
    <dataField name="SUM of  Despesa" fld="4" baseField="0"/>
    <dataField name="SUM of Lucro" fld="5" baseField="0"/>
    <dataField name="SUM of Qtd Exames" fld="6" baseField="0"/>
    <dataField name="MAX of Qtd Exames" fld="6" subtotal="max"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olumn3">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3" sourceName="Column13">
  <x14:extLst>
    <ext uri="{2F2917AC-EB37-4324-AD4E-5DD8C200BD13}">
      <x15:tableSlicerCache tableId="2" column="1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4" sourceName="Column14">
  <x14:extLst>
    <ext uri="{2F2917AC-EB37-4324-AD4E-5DD8C200BD13}">
      <x15:tableSlicerCache tableId="2" column="1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 name="Column3_2" cache="SlicerCache_Table_1_Col_3" caption="Column3"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4_3" cache="SlicerCache_Table_2_Col_14" caption="Column14" rowHeight="247650"/>
  <x14:slicer name="Column13_4" cache="SlicerCache_Table_2_Col_13" caption="Column13" rowHeight="247650"/>
</x14:slicers>
</file>

<file path=xl/tables/table1.xml><?xml version="1.0" encoding="utf-8"?>
<table xmlns="http://schemas.openxmlformats.org/spreadsheetml/2006/main" headerRowCount="0" ref="AB48:AH1298" displayName="Table_1" name="Table_1" id="1">
  <autoFilter ref="$AB$48:$AH$1298"/>
  <tableColumns count="7">
    <tableColumn name="Column1" id="1"/>
    <tableColumn name="Column2" id="2"/>
    <tableColumn name="Column3" id="3"/>
    <tableColumn name="Column4" id="4"/>
    <tableColumn name="Column5" id="5"/>
    <tableColumn name="Column6" id="6"/>
    <tableColumn name="Column7" id="7"/>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headerRowCount="0" ref="B3:O2999" displayName="Table_2" name="Table_2" id="2">
  <autoFilter ref="$B$3:$O$299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showColumnStripes="0" showFirstColumn="0" showLastColumn="0" showRowStripes="0"/>
  <extLst>
    <ext uri="GoogleSheetsCustomDataVersion1">
      <go:sheetsCustomData xmlns:go="http://customooxmlschemas.google.com/" headerRowCount="1"/>
    </ext>
  </extLst>
</table>
</file>

<file path=xl/tables/table3.xml><?xml version="1.0" encoding="utf-8"?>
<table xmlns="http://schemas.openxmlformats.org/spreadsheetml/2006/main" ref="B3:B995" displayName="Table_3" name="Table_3" id="3">
  <tableColumns count="1">
    <tableColumn name="Ultrassonografia" id="1"/>
  </tableColumns>
  <tableStyleInfo name="Parâmetros-style" showColumnStripes="0" showFirstColumn="1" showLastColumn="1" showRowStripes="1"/>
</table>
</file>

<file path=xl/tables/table4.xml><?xml version="1.0" encoding="utf-8"?>
<table xmlns="http://schemas.openxmlformats.org/spreadsheetml/2006/main" ref="D3:D995" displayName="Table_4" name="Table_4" id="4">
  <tableColumns count="1">
    <tableColumn name="Cardiologia" id="1"/>
  </tableColumns>
  <tableStyleInfo name="Parâmetros-style 2" showColumnStripes="0" showFirstColumn="1" showLastColumn="1" showRowStripes="1"/>
</table>
</file>

<file path=xl/tables/table5.xml><?xml version="1.0" encoding="utf-8"?>
<table xmlns="http://schemas.openxmlformats.org/spreadsheetml/2006/main" ref="F3:F995" displayName="Table_5" name="Table_5" id="5">
  <tableColumns count="1">
    <tableColumn name="RaioX" id="1"/>
  </tableColumns>
  <tableStyleInfo name="Parâmetros-style 3" showColumnStripes="0" showFirstColumn="1" showLastColumn="1" showRowStripes="1"/>
</table>
</file>

<file path=xl/tables/table6.xml><?xml version="1.0" encoding="utf-8"?>
<table xmlns="http://schemas.openxmlformats.org/spreadsheetml/2006/main" ref="H3:H995" displayName="Table_6" name="Table_6" id="6">
  <tableColumns count="1">
    <tableColumn name="Tomografia" id="1"/>
  </tableColumns>
  <tableStyleInfo name="Parâmetros-style 4" showColumnStripes="0" showFirstColumn="1" showLastColumn="1" showRowStripes="1"/>
</table>
</file>

<file path=xl/tables/table7.xml><?xml version="1.0" encoding="utf-8"?>
<table xmlns="http://schemas.openxmlformats.org/spreadsheetml/2006/main" ref="J3:J995" displayName="Table_7" name="Table_7" id="7">
  <tableColumns count="1">
    <tableColumn name="Outros" id="1"/>
  </tableColumns>
  <tableStyleInfo name="Parâmetros-style 5" showColumnStripes="0" showFirstColumn="1" showLastColumn="1" showRowStripes="1"/>
</table>
</file>

<file path=xl/tables/table8.xml><?xml version="1.0" encoding="utf-8"?>
<table xmlns="http://schemas.openxmlformats.org/spreadsheetml/2006/main" ref="L3:L995" displayName="Table_8" name="Table_8" id="8">
  <tableColumns count="1">
    <tableColumn name="Formas de Pagamento" id="1"/>
  </tableColumns>
  <tableStyleInfo name="Parâmetros-style 6" showColumnStripes="0" showFirstColumn="1" showLastColumn="1" showRowStripes="1"/>
</table>
</file>

<file path=xl/tables/table9.xml><?xml version="1.0" encoding="utf-8"?>
<table xmlns="http://schemas.openxmlformats.org/spreadsheetml/2006/main" ref="A1:H1201" displayName="Table_9" name="Table_9" id="9">
  <tableColumns count="8">
    <tableColumn name="Ano" id="1"/>
    <tableColumn name="Mês-N" id="2"/>
    <tableColumn name="Mês" id="3"/>
    <tableColumn name="Receita" id="4"/>
    <tableColumn name="Despesa" id="5"/>
    <tableColumn name="Lucro" id="6"/>
    <tableColumn name="Qtd Exames" id="7"/>
    <tableColumn name="Linha" id="8"/>
  </tableColumns>
  <tableStyleInfo name="Dashboard-Dados-style" showColumnStripes="0" showFirstColumn="1" showLastColumn="1" showRowStripes="1"/>
</table>
</file>

<file path=xl/tables/table10.xml><?xml version="1.0" encoding="utf-8"?>
<table xmlns="http://schemas.openxmlformats.org/spreadsheetml/2006/main" ref="U1:W1201" displayName="Table_10" name="Table_10" id="10">
  <tableColumns count="3">
    <tableColumn name="Ano Receitas" id="1"/>
    <tableColumn name="Ano Despesas" id="2"/>
    <tableColumn name="Lista Anos" id="3"/>
  </tableColumns>
  <tableStyleInfo name="Dashboard-Dados-style 2" showColumnStripes="0" showFirstColumn="1" showLastColumn="1" showRowStripes="1"/>
</table>
</file>

<file path=xl/tables/table11.xml><?xml version="1.0" encoding="utf-8"?>
<table xmlns="http://schemas.openxmlformats.org/spreadsheetml/2006/main" ref="Y1:AC14" displayName="Table_11" name="Table_11" id="11">
  <tableColumns count="5">
    <tableColumn name="Mês" id="1"/>
    <tableColumn name="Abrev." id="2"/>
    <tableColumn name="Descrição" id="3"/>
    <tableColumn name="Exames" id="4"/>
    <tableColumn name="Diferença" id="5"/>
  </tableColumns>
  <tableStyleInfo name="Dashboard-Dado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 Id="rId4" Type="http://schemas.openxmlformats.org/officeDocument/2006/relationships/table" Target="../tables/table1.xml"/><Relationship Id="rId5"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6.xml"/><Relationship Id="rId10" Type="http://schemas.openxmlformats.org/officeDocument/2006/relationships/table" Target="../tables/table5.xml"/><Relationship Id="rId13" Type="http://schemas.openxmlformats.org/officeDocument/2006/relationships/table" Target="../tables/table8.xml"/><Relationship Id="rId12" Type="http://schemas.openxmlformats.org/officeDocument/2006/relationships/table" Target="../tables/table7.xml"/><Relationship Id="rId9" Type="http://schemas.openxmlformats.org/officeDocument/2006/relationships/table" Target="../tables/table4.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0.38"/>
    <col customWidth="1" min="3" max="3" width="2.63"/>
    <col customWidth="1" min="4" max="4" width="10.13"/>
    <col customWidth="1" min="5" max="5" width="2.63"/>
    <col customWidth="1" min="6" max="6" width="0.38"/>
    <col customWidth="1" min="7" max="7" width="2.63"/>
    <col customWidth="1" min="8" max="8" width="10.13"/>
    <col customWidth="1" min="9" max="9" width="2.63"/>
    <col customWidth="1" min="10" max="10" width="0.38"/>
    <col customWidth="1" min="11" max="11" width="2.63"/>
    <col customWidth="1" min="12" max="12" width="10.13"/>
    <col customWidth="1" min="13" max="13" width="2.63"/>
    <col customWidth="1" min="14" max="14" width="0.63"/>
    <col customWidth="1" min="16" max="17" width="2.63"/>
    <col customWidth="1" min="18" max="18" width="0.63"/>
    <col customWidth="1" min="19" max="19" width="2.63"/>
    <col customWidth="1" min="20" max="20" width="13.88"/>
    <col customWidth="1" min="21" max="21" width="2.63"/>
    <col customWidth="1" min="22" max="22" width="16.5"/>
    <col customWidth="1" min="23" max="23" width="10.13"/>
    <col customWidth="1" min="24" max="24" width="9.5"/>
    <col customWidth="1" min="25" max="25" width="2.63"/>
    <col customWidth="1" hidden="1" min="26" max="52" width="2.63"/>
  </cols>
  <sheetData>
    <row r="1" ht="60.0" customHeight="1">
      <c r="A1" s="1"/>
      <c r="B1" s="1"/>
      <c r="C1" s="1" t="s">
        <v>0</v>
      </c>
      <c r="X1" s="2"/>
    </row>
    <row r="3">
      <c r="A3" s="2"/>
      <c r="B3" s="3"/>
      <c r="C3" s="3"/>
      <c r="D3" s="4" t="s">
        <v>1</v>
      </c>
      <c r="E3" s="5" t="s">
        <v>2</v>
      </c>
      <c r="T3" s="6" t="s">
        <v>3</v>
      </c>
      <c r="U3" s="5" t="str">
        <f>'Dashboard-Dados'!$AF$17</f>
        <v>Branca</v>
      </c>
    </row>
    <row r="5" ht="22.5" customHeight="1">
      <c r="B5" s="7"/>
      <c r="C5" s="8" t="s">
        <v>4</v>
      </c>
      <c r="D5" s="9"/>
      <c r="F5" s="10"/>
      <c r="G5" s="8" t="s">
        <v>5</v>
      </c>
      <c r="H5" s="9"/>
      <c r="I5" s="11"/>
      <c r="J5" s="12"/>
      <c r="K5" s="8" t="s">
        <v>6</v>
      </c>
      <c r="L5" s="9"/>
      <c r="M5" s="11"/>
      <c r="N5" s="12"/>
      <c r="O5" s="8" t="s">
        <v>7</v>
      </c>
      <c r="P5" s="9"/>
      <c r="Q5" s="13"/>
      <c r="R5" s="12"/>
      <c r="S5" s="8" t="s">
        <v>8</v>
      </c>
      <c r="T5" s="9"/>
      <c r="V5" s="14"/>
      <c r="W5" s="15"/>
      <c r="X5" s="15"/>
      <c r="Y5" s="15"/>
      <c r="Z5" s="16"/>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ht="41.25" customHeight="1">
      <c r="C6" s="17">
        <f>'Dashboard-Dados'!AF1</f>
        <v>0</v>
      </c>
      <c r="D6" s="18"/>
      <c r="G6" s="17">
        <f>'Dashboard-Dados'!AF2</f>
        <v>0</v>
      </c>
      <c r="H6" s="18"/>
      <c r="K6" s="17">
        <f>'Dashboard-Dados'!AF3</f>
        <v>0</v>
      </c>
      <c r="L6" s="18"/>
      <c r="O6" s="19">
        <f>'Dashboard-Dados'!AF5</f>
        <v>0</v>
      </c>
      <c r="P6" s="18"/>
      <c r="Q6" s="20"/>
      <c r="S6" s="19">
        <f>'Dashboard-Dados'!AG5</f>
        <v>0</v>
      </c>
      <c r="T6" s="18"/>
    </row>
    <row r="7">
      <c r="X7" s="21"/>
      <c r="Z7" s="15" t="s">
        <v>9</v>
      </c>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ht="15.75" customHeight="1">
      <c r="B8" s="22" t="s">
        <v>10</v>
      </c>
      <c r="C8" s="23"/>
      <c r="D8" s="23"/>
      <c r="E8" s="23"/>
      <c r="F8" s="23"/>
      <c r="G8" s="23"/>
      <c r="H8" s="23"/>
      <c r="I8" s="23"/>
      <c r="J8" s="24"/>
      <c r="Z8" s="11" t="str">
        <f>IFERROR(__xludf.DUMMYFUNCTION("QUERY({'Dashboard-Dados'!AE7:AI14},""Select Col1, Col5"")"),"Faixas Cor")</f>
        <v>Faixas Cor</v>
      </c>
      <c r="AA8" s="25" t="str">
        <f>IFERROR(__xludf.DUMMYFUNCTION("""COMPUTED_VALUE""")," Alvo")</f>
        <v> Alvo</v>
      </c>
      <c r="AB8" s="25"/>
      <c r="AC8" s="25"/>
      <c r="AD8" s="25"/>
      <c r="AE8" s="25"/>
      <c r="AF8" s="25"/>
      <c r="AG8" s="25"/>
      <c r="AH8" s="25"/>
      <c r="AI8" s="25"/>
      <c r="AJ8" s="25"/>
      <c r="AK8" s="25"/>
      <c r="AL8" s="25"/>
      <c r="AM8" s="25"/>
      <c r="AN8" s="25"/>
      <c r="AO8" s="25"/>
      <c r="AP8" s="25"/>
      <c r="AQ8" s="25"/>
      <c r="AR8" s="25"/>
      <c r="AS8" s="25"/>
      <c r="AT8" s="25"/>
      <c r="AU8" s="25"/>
      <c r="AV8" s="25"/>
      <c r="AW8" s="25"/>
      <c r="AX8" s="25"/>
      <c r="AY8" s="25"/>
      <c r="AZ8" s="25"/>
    </row>
    <row r="9">
      <c r="B9" s="26"/>
      <c r="C9" s="27"/>
      <c r="D9" s="15" t="str">
        <f>IFERROR(__xludf.DUMMYFUNCTION("SPARKLINE(C17,{""charttype"",""column"";""ymin"", 0; ""ymax"",MAX(C17:G17);""firstcolor"",""#93c47d""})"),"")</f>
        <v/>
      </c>
      <c r="E9" s="27"/>
      <c r="F9" s="27"/>
      <c r="G9" s="27"/>
      <c r="H9" s="15" t="str">
        <f>IFERROR(__xludf.DUMMYFUNCTION("SPARKLINE(G17,{""charttype"",""column"";""ymin"", 0; ""ymax"",MAX(C17:G17);""firstcolor"",""#ea4335""})"),"")</f>
        <v/>
      </c>
      <c r="I9" s="27"/>
      <c r="J9" s="28"/>
      <c r="Z9" s="29" t="str">
        <f>IFERROR(__xludf.DUMMYFUNCTION("""COMPUTED_VALUE"""),"31")</f>
        <v>31</v>
      </c>
      <c r="AA9" s="29"/>
    </row>
    <row r="10">
      <c r="B10" s="30"/>
      <c r="C10" s="15"/>
      <c r="E10" s="27"/>
      <c r="F10" s="27"/>
      <c r="G10" s="27"/>
      <c r="I10" s="15"/>
      <c r="J10" s="28"/>
      <c r="Z10" s="29" t="str">
        <f>IFERROR(__xludf.DUMMYFUNCTION("""COMPUTED_VALUE"""),"Branca")</f>
        <v>Branca</v>
      </c>
      <c r="AA10" s="29" t="b">
        <f>IFERROR(__xludf.DUMMYFUNCTION("""COMPUTED_VALUE"""),TRUE)</f>
        <v>1</v>
      </c>
    </row>
    <row r="11">
      <c r="B11" s="26"/>
      <c r="C11" s="27"/>
      <c r="E11" s="27"/>
      <c r="F11" s="27"/>
      <c r="G11" s="27"/>
      <c r="I11" s="27"/>
      <c r="J11" s="28"/>
      <c r="Z11" s="29" t="str">
        <f>IFERROR(__xludf.DUMMYFUNCTION("""COMPUTED_VALUE"""),"Amarela")</f>
        <v>Amarela</v>
      </c>
      <c r="AA11" s="29" t="b">
        <f>IFERROR(__xludf.DUMMYFUNCTION("""COMPUTED_VALUE"""),FALSE)</f>
        <v>0</v>
      </c>
    </row>
    <row r="12">
      <c r="B12" s="30"/>
      <c r="C12" s="15"/>
      <c r="E12" s="27"/>
      <c r="F12" s="27"/>
      <c r="G12" s="27"/>
      <c r="I12" s="15"/>
      <c r="J12" s="28"/>
      <c r="Z12" s="29" t="str">
        <f>IFERROR(__xludf.DUMMYFUNCTION("""COMPUTED_VALUE"""),"Roxa")</f>
        <v>Roxa</v>
      </c>
      <c r="AA12" s="29" t="b">
        <f>IFERROR(__xludf.DUMMYFUNCTION("""COMPUTED_VALUE"""),FALSE)</f>
        <v>0</v>
      </c>
    </row>
    <row r="13">
      <c r="B13" s="26"/>
      <c r="C13" s="27"/>
      <c r="E13" s="27"/>
      <c r="F13" s="27"/>
      <c r="G13" s="27"/>
      <c r="I13" s="27"/>
      <c r="J13" s="28"/>
      <c r="Z13" s="29" t="str">
        <f>IFERROR(__xludf.DUMMYFUNCTION("""COMPUTED_VALUE"""),"Marrom")</f>
        <v>Marrom</v>
      </c>
      <c r="AA13" s="29" t="b">
        <f>IFERROR(__xludf.DUMMYFUNCTION("""COMPUTED_VALUE"""),FALSE)</f>
        <v>0</v>
      </c>
    </row>
    <row r="14">
      <c r="B14" s="30"/>
      <c r="C14" s="15"/>
      <c r="E14" s="27"/>
      <c r="F14" s="27"/>
      <c r="G14" s="27"/>
      <c r="I14" s="15"/>
      <c r="J14" s="28"/>
      <c r="Z14" s="29" t="str">
        <f>IFERROR(__xludf.DUMMYFUNCTION("""COMPUTED_VALUE"""),"Preta")</f>
        <v>Preta</v>
      </c>
      <c r="AA14" s="29" t="b">
        <f>IFERROR(__xludf.DUMMYFUNCTION("""COMPUTED_VALUE"""),FALSE)</f>
        <v>0</v>
      </c>
    </row>
    <row r="15">
      <c r="B15" s="31"/>
      <c r="J15" s="28"/>
    </row>
    <row r="16">
      <c r="B16" s="26"/>
      <c r="C16" s="27"/>
      <c r="D16" s="32" t="s">
        <v>4</v>
      </c>
      <c r="E16" s="27"/>
      <c r="F16" s="27"/>
      <c r="G16" s="27"/>
      <c r="H16" s="32" t="s">
        <v>5</v>
      </c>
      <c r="I16" s="27"/>
      <c r="J16" s="28"/>
    </row>
    <row r="17">
      <c r="B17" s="33"/>
      <c r="C17" s="34">
        <f>IF(ISBLANK('Dashboard-Dados'!AF1),0,'Dashboard-Dados'!AF1)</f>
        <v>0</v>
      </c>
      <c r="D17" s="35"/>
      <c r="E17" s="35"/>
      <c r="F17" s="36"/>
      <c r="G17" s="34">
        <f>IF(ISBLANK('Dashboard-Dados'!AF2),0,'Dashboard-Dados'!AF2)</f>
        <v>0</v>
      </c>
      <c r="H17" s="35"/>
      <c r="I17" s="35"/>
      <c r="J17" s="37"/>
    </row>
    <row r="39" hidden="1"/>
    <row r="40" hidden="1"/>
    <row r="41" hidden="1"/>
    <row r="42" hidden="1"/>
    <row r="43" hidden="1"/>
    <row r="44" hidden="1"/>
    <row r="45" hidden="1"/>
    <row r="46" hidden="1"/>
    <row r="47" hidden="1"/>
    <row r="48" hidden="1">
      <c r="AK48" s="29" t="s">
        <v>12</v>
      </c>
      <c r="AL48" s="29" t="s">
        <v>12</v>
      </c>
      <c r="AM48" s="29" t="s">
        <v>12</v>
      </c>
      <c r="AN48" s="29" t="s">
        <v>12</v>
      </c>
      <c r="AO48" s="29" t="s">
        <v>13</v>
      </c>
    </row>
    <row r="49" hidden="1">
      <c r="AK49" s="29">
        <v>0.0</v>
      </c>
      <c r="AL49" s="29">
        <v>0.0</v>
      </c>
      <c r="AM49" s="29">
        <v>0.0</v>
      </c>
      <c r="AN49" s="29">
        <v>0.0</v>
      </c>
      <c r="AO49" s="29">
        <v>0.0</v>
      </c>
    </row>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sheetData>
  <customSheetViews>
    <customSheetView guid="{1134576E-3995-47B8-B889-9FB980475BDE}" filter="1" showAutoFilter="1">
      <autoFilter ref="$AB$48:$AH$1298"/>
    </customSheetView>
  </customSheetViews>
  <mergeCells count="24">
    <mergeCell ref="J5:J6"/>
    <mergeCell ref="K5:L5"/>
    <mergeCell ref="K6:L6"/>
    <mergeCell ref="N5:N6"/>
    <mergeCell ref="O5:P5"/>
    <mergeCell ref="O6:P6"/>
    <mergeCell ref="R5:R6"/>
    <mergeCell ref="S5:T5"/>
    <mergeCell ref="S6:T6"/>
    <mergeCell ref="Z7:AA7"/>
    <mergeCell ref="G5:H5"/>
    <mergeCell ref="G6:H6"/>
    <mergeCell ref="B8:J8"/>
    <mergeCell ref="D9:D15"/>
    <mergeCell ref="H9:H15"/>
    <mergeCell ref="C17:E17"/>
    <mergeCell ref="G17:I17"/>
    <mergeCell ref="C1:W1"/>
    <mergeCell ref="E3:S3"/>
    <mergeCell ref="U3:X3"/>
    <mergeCell ref="B5:B6"/>
    <mergeCell ref="C5:D5"/>
    <mergeCell ref="F5:F6"/>
    <mergeCell ref="C6:D6"/>
  </mergeCells>
  <conditionalFormatting sqref="A3:X3 N5:N6 R5:R6">
    <cfRule type="expression" dxfId="1" priority="1">
      <formula>$AA$13=TRUE</formula>
    </cfRule>
  </conditionalFormatting>
  <conditionalFormatting sqref="A3:X3 N5:N6 R5:R6">
    <cfRule type="expression" dxfId="2" priority="2">
      <formula>$AA$12=TRUE</formula>
    </cfRule>
  </conditionalFormatting>
  <conditionalFormatting sqref="A3:X3 N5:N6 R5:R6">
    <cfRule type="expression" dxfId="3" priority="3">
      <formula>$AA$11=TRUE</formula>
    </cfRule>
  </conditionalFormatting>
  <conditionalFormatting sqref="A3:X3 N5:N6 R5:R6">
    <cfRule type="expression" dxfId="4" priority="4">
      <formula>$AA$10=TRUE</formula>
    </cfRule>
  </conditionalFormatting>
  <conditionalFormatting sqref="A3:X3 N5:N6 R5:R6">
    <cfRule type="expression" dxfId="5" priority="5">
      <formula>$AA$9=TRUE</formula>
    </cfRule>
  </conditionalFormatting>
  <conditionalFormatting sqref="Z1:AZ7">
    <cfRule type="notContainsBlanks" dxfId="6" priority="6">
      <formula>LEN(TRIM(Z1))&gt;0</formula>
    </cfRule>
  </conditionalFormatting>
  <conditionalFormatting sqref="X7">
    <cfRule type="notContainsBlanks" dxfId="6" priority="7">
      <formula>LEN(TRIM(X7))&gt;0</formula>
    </cfRule>
  </conditionalFormatting>
  <dataValidations>
    <dataValidation type="list" allowBlank="1" showErrorMessage="1" sqref="X7">
      <formula1>'Dashboard-Dados'!$W$2:$W1298</formula1>
    </dataValidation>
  </dataValidations>
  <drawing r:id="rId2"/>
  <tableParts count="1">
    <tablePart r:id="rId4"/>
  </tableParts>
  <extLst>
    <ext uri="{3A4CF648-6AED-40f4-86FF-DC5316D8AED3}">
      <x14:slicerList>
        <x14:slicer r:id="rId5"/>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3" max="3" width="18.88"/>
    <col customWidth="1" min="6" max="6" width="15.13"/>
    <col customWidth="1" min="7" max="7" width="18.88"/>
    <col customWidth="1" min="8" max="8" width="12.75"/>
    <col customWidth="1" min="9" max="9" width="17.75"/>
    <col customWidth="1" min="10" max="10" width="2.63"/>
    <col hidden="1" min="11" max="12" width="12.63"/>
    <col customWidth="1" hidden="1" min="13" max="13" width="4.25"/>
    <col customWidth="1" hidden="1" min="14" max="15" width="4.75"/>
  </cols>
  <sheetData>
    <row r="1" ht="60.0" customHeight="1">
      <c r="A1" s="1"/>
      <c r="B1" s="1" t="s">
        <v>0</v>
      </c>
      <c r="I1" s="1"/>
      <c r="J1" s="38"/>
      <c r="K1" s="39"/>
      <c r="L1" s="40"/>
    </row>
    <row r="2">
      <c r="B2" s="41"/>
      <c r="H2" s="42"/>
      <c r="K2" s="39"/>
      <c r="L2" s="40"/>
    </row>
    <row r="3">
      <c r="A3" s="16" t="s">
        <v>16</v>
      </c>
      <c r="B3" s="43" t="s">
        <v>17</v>
      </c>
      <c r="C3" s="44" t="s">
        <v>18</v>
      </c>
      <c r="D3" s="44" t="s">
        <v>19</v>
      </c>
      <c r="E3" s="44" t="s">
        <v>20</v>
      </c>
      <c r="F3" s="44" t="s">
        <v>21</v>
      </c>
      <c r="G3" s="44" t="s">
        <v>22</v>
      </c>
      <c r="H3" s="45" t="s">
        <v>23</v>
      </c>
      <c r="I3" s="44" t="s">
        <v>24</v>
      </c>
      <c r="K3" s="15" t="s">
        <v>25</v>
      </c>
      <c r="L3" s="46" t="s">
        <v>26</v>
      </c>
      <c r="M3" s="47" t="s">
        <v>27</v>
      </c>
      <c r="N3" s="47" t="s">
        <v>28</v>
      </c>
      <c r="O3" s="47" t="s">
        <v>29</v>
      </c>
      <c r="P3" s="16"/>
      <c r="Q3" s="47"/>
      <c r="R3" s="47"/>
    </row>
    <row r="4">
      <c r="B4" s="48"/>
      <c r="C4" s="49"/>
      <c r="D4" s="49"/>
      <c r="E4" s="49"/>
      <c r="F4" s="50" t="s">
        <v>30</v>
      </c>
      <c r="G4" s="51"/>
      <c r="H4" s="52">
        <v>120.0</v>
      </c>
      <c r="I4" s="50" t="s">
        <v>31</v>
      </c>
      <c r="K4" s="53" t="str">
        <f>IFERROR(__xludf.DUMMYFUNCTION("IF(ISBLANK(B4),"""",IF(ISDATE(B4),""X"",""""))"),"")</f>
        <v/>
      </c>
      <c r="L4" s="40" t="str">
        <f>IFERROR(__xludf.DUMMYFUNCTION("IF(ISBLANK(B4),"""",IF(Or(I4=""Em Aberto"",ISBLANK(I4),NOT(ISDATE(B4))),"""",H4))"),"")</f>
        <v/>
      </c>
      <c r="M4" s="29" t="str">
        <f>IFERROR(__xludf.DUMMYFUNCTION("IF(ISBLANK(B4),"""",IF(ISDATE(B4),TEXT(B4,""m""),""""))"),"")</f>
        <v/>
      </c>
      <c r="N4" s="29" t="str">
        <f>IFERROR(__xludf.DUMMYFUNCTION("IF(M4="""","""",QUERY({'Dashboard-Dados'!$Y$2:$AA$13},""Select Col2 Where Col1=""&amp;M4))"),"")</f>
        <v/>
      </c>
      <c r="O4" s="29" t="str">
        <f>IFERROR(__xludf.DUMMYFUNCTION("IF(ISBLANK(B4),"""",IF(ISDATE(B4),TEXT(B4,""yyyy""),""""))"),"")</f>
        <v/>
      </c>
    </row>
    <row r="5">
      <c r="B5" s="54"/>
      <c r="C5" s="49"/>
      <c r="D5" s="49"/>
      <c r="E5" s="49"/>
      <c r="F5" s="50"/>
      <c r="G5" s="51"/>
      <c r="H5" s="52"/>
      <c r="I5" s="50"/>
      <c r="K5" s="53" t="str">
        <f>IFERROR(__xludf.DUMMYFUNCTION("IF(ISBLANK(B5),"""",IF(ISDATE(B5),""X"",""""))"),"")</f>
        <v/>
      </c>
      <c r="L5" s="40" t="str">
        <f>IFERROR(__xludf.DUMMYFUNCTION("IF(ISBLANK(B5),"""",IF(Or(I5=""Em Aberto"",ISBLANK(I5),NOT(ISDATE(B5))),"""",H5))"),"")</f>
        <v/>
      </c>
      <c r="M5" s="29" t="str">
        <f>IFERROR(__xludf.DUMMYFUNCTION("IF(ISBLANK(B5),"""",IF(ISDATE(B5),TEXT(B5,""m""),""""))"),"")</f>
        <v/>
      </c>
      <c r="N5" s="29" t="str">
        <f>IFERROR(__xludf.DUMMYFUNCTION("IF(M5="""","""",QUERY({'Dashboard-Dados'!$Y$2:$AA$13},""Select Col2 Where Col1=""&amp;M5))"),"")</f>
        <v/>
      </c>
      <c r="O5" s="29" t="str">
        <f>IFERROR(__xludf.DUMMYFUNCTION("IF(ISBLANK(B5),"""",IF(ISDATE(B5),TEXT(B5,""yyyy""),""""))"),"")</f>
        <v/>
      </c>
    </row>
    <row r="6">
      <c r="B6" s="54"/>
      <c r="C6" s="49"/>
      <c r="D6" s="49"/>
      <c r="E6" s="49"/>
      <c r="F6" s="50"/>
      <c r="G6" s="51"/>
      <c r="H6" s="52"/>
      <c r="I6" s="50"/>
      <c r="K6" s="53" t="str">
        <f>IFERROR(__xludf.DUMMYFUNCTION("IF(ISBLANK(B6),"""",IF(ISDATE(B6),""X"",""""))"),"")</f>
        <v/>
      </c>
      <c r="L6" s="40" t="str">
        <f>IFERROR(__xludf.DUMMYFUNCTION("IF(ISBLANK(B6),"""",IF(Or(I6=""Em Aberto"",ISBLANK(I6),NOT(ISDATE(B6))),"""",H6))"),"")</f>
        <v/>
      </c>
      <c r="M6" s="29" t="str">
        <f>IFERROR(__xludf.DUMMYFUNCTION("IF(ISBLANK(B6),"""",IF(ISDATE(B6),TEXT(B6,""m""),""""))"),"")</f>
        <v/>
      </c>
      <c r="N6" s="29" t="str">
        <f>IFERROR(__xludf.DUMMYFUNCTION("IF(M6="""","""",QUERY({'Dashboard-Dados'!$Y$2:$AA$13},""Select Col2 Where Col1=""&amp;M6))"),"")</f>
        <v/>
      </c>
      <c r="O6" s="29" t="str">
        <f>IFERROR(__xludf.DUMMYFUNCTION("IF(ISBLANK(B6),"""",IF(ISDATE(B6),TEXT(B6,""yyyy""),""""))"),"")</f>
        <v/>
      </c>
    </row>
    <row r="7">
      <c r="B7" s="54"/>
      <c r="C7" s="49"/>
      <c r="D7" s="49"/>
      <c r="E7" s="49"/>
      <c r="F7" s="50"/>
      <c r="G7" s="51"/>
      <c r="H7" s="52"/>
      <c r="I7" s="50"/>
      <c r="K7" s="53" t="str">
        <f>IFERROR(__xludf.DUMMYFUNCTION("IF(ISBLANK(B7),"""",IF(ISDATE(B7),""X"",""""))"),"")</f>
        <v/>
      </c>
      <c r="L7" s="40" t="str">
        <f>IFERROR(__xludf.DUMMYFUNCTION("IF(ISBLANK(B7),"""",IF(Or(I7=""Em Aberto"",ISBLANK(I7),NOT(ISDATE(B7))),"""",H7))"),"")</f>
        <v/>
      </c>
      <c r="M7" s="29" t="str">
        <f>IFERROR(__xludf.DUMMYFUNCTION("IF(ISBLANK(B7),"""",IF(ISDATE(B7),TEXT(B7,""m""),""""))"),"")</f>
        <v/>
      </c>
      <c r="N7" s="29" t="str">
        <f>IFERROR(__xludf.DUMMYFUNCTION("IF(M7="""","""",QUERY({'Dashboard-Dados'!$Y$2:$AA$13},""Select Col2 Where Col1=""&amp;M7))"),"")</f>
        <v/>
      </c>
      <c r="O7" s="29" t="str">
        <f>IFERROR(__xludf.DUMMYFUNCTION("IF(ISBLANK(B7),"""",IF(ISDATE(B7),TEXT(B7,""yyyy""),""""))"),"")</f>
        <v/>
      </c>
    </row>
    <row r="8">
      <c r="B8" s="54"/>
      <c r="C8" s="49"/>
      <c r="D8" s="49"/>
      <c r="E8" s="49"/>
      <c r="F8" s="50"/>
      <c r="G8" s="51"/>
      <c r="H8" s="52"/>
      <c r="I8" s="50"/>
      <c r="K8" s="53" t="str">
        <f>IFERROR(__xludf.DUMMYFUNCTION("IF(ISBLANK(B8),"""",IF(ISDATE(B8),""X"",""""))"),"")</f>
        <v/>
      </c>
      <c r="L8" s="40" t="str">
        <f>IFERROR(__xludf.DUMMYFUNCTION("IF(ISBLANK(B8),"""",IF(Or(I8=""Em Aberto"",ISBLANK(I8),NOT(ISDATE(B8))),"""",H8))"),"")</f>
        <v/>
      </c>
      <c r="M8" s="29" t="str">
        <f>IFERROR(__xludf.DUMMYFUNCTION("IF(ISBLANK(B8),"""",IF(ISDATE(B8),TEXT(B8,""m""),""""))"),"")</f>
        <v/>
      </c>
      <c r="N8" s="29" t="str">
        <f>IFERROR(__xludf.DUMMYFUNCTION("IF(M8="""","""",QUERY({'Dashboard-Dados'!$Y$2:$AA$13},""Select Col2 Where Col1=""&amp;M8))"),"")</f>
        <v/>
      </c>
      <c r="O8" s="29" t="str">
        <f>IFERROR(__xludf.DUMMYFUNCTION("IF(ISBLANK(B8),"""",IF(ISDATE(B8),TEXT(B8,""yyyy""),""""))"),"")</f>
        <v/>
      </c>
    </row>
    <row r="9">
      <c r="B9" s="54"/>
      <c r="C9" s="49"/>
      <c r="D9" s="49"/>
      <c r="E9" s="49"/>
      <c r="F9" s="50"/>
      <c r="G9" s="51"/>
      <c r="H9" s="52"/>
      <c r="I9" s="50"/>
      <c r="K9" s="53" t="str">
        <f>IFERROR(__xludf.DUMMYFUNCTION("IF(ISBLANK(B9),"""",IF(ISDATE(B9),""X"",""""))"),"")</f>
        <v/>
      </c>
      <c r="L9" s="40" t="str">
        <f>IFERROR(__xludf.DUMMYFUNCTION("IF(ISBLANK(B9),"""",IF(Or(I9=""Em Aberto"",ISBLANK(I9),NOT(ISDATE(B9))),"""",H9))"),"")</f>
        <v/>
      </c>
      <c r="M9" s="29" t="str">
        <f>IFERROR(__xludf.DUMMYFUNCTION("IF(ISBLANK(B9),"""",IF(ISDATE(B9),TEXT(B9,""m""),""""))"),"")</f>
        <v/>
      </c>
      <c r="N9" s="29" t="str">
        <f>IFERROR(__xludf.DUMMYFUNCTION("IF(M9="""","""",QUERY({'Dashboard-Dados'!$Y$2:$AA$13},""Select Col2 Where Col1=""&amp;M9))"),"")</f>
        <v/>
      </c>
      <c r="O9" s="29" t="str">
        <f>IFERROR(__xludf.DUMMYFUNCTION("IF(ISBLANK(B9),"""",IF(ISDATE(B9),TEXT(B9,""yyyy""),""""))"),"")</f>
        <v/>
      </c>
    </row>
    <row r="10">
      <c r="B10" s="54"/>
      <c r="C10" s="49"/>
      <c r="D10" s="49"/>
      <c r="E10" s="49"/>
      <c r="F10" s="50"/>
      <c r="G10" s="51"/>
      <c r="H10" s="52"/>
      <c r="I10" s="50"/>
      <c r="K10" s="53" t="str">
        <f>IFERROR(__xludf.DUMMYFUNCTION("IF(ISBLANK(B10),"""",IF(ISDATE(B10),""X"",""""))"),"")</f>
        <v/>
      </c>
      <c r="L10" s="40" t="str">
        <f>IFERROR(__xludf.DUMMYFUNCTION("IF(ISBLANK(B10),"""",IF(Or(I10=""Em Aberto"",ISBLANK(I10),NOT(ISDATE(B10))),"""",H10))"),"")</f>
        <v/>
      </c>
      <c r="M10" s="29" t="str">
        <f>IFERROR(__xludf.DUMMYFUNCTION("IF(ISBLANK(B10),"""",IF(ISDATE(B10),TEXT(B10,""m""),""""))"),"")</f>
        <v/>
      </c>
      <c r="N10" s="29" t="str">
        <f>IFERROR(__xludf.DUMMYFUNCTION("IF(M10="""","""",QUERY({'Dashboard-Dados'!$Y$2:$AA$13},""Select Col2 Where Col1=""&amp;M10))"),"")</f>
        <v/>
      </c>
      <c r="O10" s="29" t="str">
        <f>IFERROR(__xludf.DUMMYFUNCTION("IF(ISBLANK(B10),"""",IF(ISDATE(B10),TEXT(B10,""yyyy""),""""))"),"")</f>
        <v/>
      </c>
    </row>
    <row r="11">
      <c r="B11" s="54"/>
      <c r="C11" s="49"/>
      <c r="D11" s="49"/>
      <c r="E11" s="49"/>
      <c r="F11" s="50"/>
      <c r="G11" s="51"/>
      <c r="H11" s="52"/>
      <c r="I11" s="50"/>
      <c r="K11" s="53" t="str">
        <f>IFERROR(__xludf.DUMMYFUNCTION("IF(ISBLANK(B11),"""",IF(ISDATE(B11),""X"",""""))"),"")</f>
        <v/>
      </c>
      <c r="L11" s="40" t="str">
        <f>IFERROR(__xludf.DUMMYFUNCTION("IF(ISBLANK(B11),"""",IF(Or(I11=""Em Aberto"",ISBLANK(I11),NOT(ISDATE(B11))),"""",H11))"),"")</f>
        <v/>
      </c>
      <c r="M11" s="29" t="str">
        <f>IFERROR(__xludf.DUMMYFUNCTION("IF(ISBLANK(B11),"""",IF(ISDATE(B11),TEXT(B11,""m""),""""))"),"")</f>
        <v/>
      </c>
      <c r="N11" s="29" t="str">
        <f>IFERROR(__xludf.DUMMYFUNCTION("IF(M11="""","""",QUERY({'Dashboard-Dados'!$Y$2:$AA$13},""Select Col2 Where Col1=""&amp;M11))"),"")</f>
        <v/>
      </c>
      <c r="O11" s="29" t="str">
        <f>IFERROR(__xludf.DUMMYFUNCTION("IF(ISBLANK(B11),"""",IF(ISDATE(B11),TEXT(B11,""yyyy""),""""))"),"")</f>
        <v/>
      </c>
    </row>
    <row r="12">
      <c r="B12" s="54"/>
      <c r="C12" s="49"/>
      <c r="D12" s="49"/>
      <c r="E12" s="49"/>
      <c r="F12" s="50"/>
      <c r="G12" s="51"/>
      <c r="H12" s="52"/>
      <c r="I12" s="50"/>
      <c r="K12" s="53" t="str">
        <f>IFERROR(__xludf.DUMMYFUNCTION("IF(ISBLANK(B12),"""",IF(ISDATE(B12),""X"",""""))"),"")</f>
        <v/>
      </c>
      <c r="L12" s="40" t="str">
        <f>IFERROR(__xludf.DUMMYFUNCTION("IF(ISBLANK(B12),"""",IF(Or(I12=""Em Aberto"",ISBLANK(I12),NOT(ISDATE(B12))),"""",H12))"),"")</f>
        <v/>
      </c>
      <c r="M12" s="29" t="str">
        <f>IFERROR(__xludf.DUMMYFUNCTION("IF(ISBLANK(B12),"""",IF(ISDATE(B12),TEXT(B12,""m""),""""))"),"")</f>
        <v/>
      </c>
      <c r="N12" s="29" t="str">
        <f>IFERROR(__xludf.DUMMYFUNCTION("IF(M12="""","""",QUERY({'Dashboard-Dados'!$Y$2:$AA$13},""Select Col2 Where Col1=""&amp;M12))"),"")</f>
        <v/>
      </c>
      <c r="O12" s="29" t="str">
        <f>IFERROR(__xludf.DUMMYFUNCTION("IF(ISBLANK(B12),"""",IF(ISDATE(B12),TEXT(B12,""yyyy""),""""))"),"")</f>
        <v/>
      </c>
    </row>
    <row r="13">
      <c r="B13" s="54"/>
      <c r="C13" s="49"/>
      <c r="D13" s="49"/>
      <c r="E13" s="49"/>
      <c r="F13" s="50"/>
      <c r="G13" s="51"/>
      <c r="H13" s="52"/>
      <c r="I13" s="50"/>
      <c r="K13" s="53" t="str">
        <f>IFERROR(__xludf.DUMMYFUNCTION("IF(ISBLANK(B13),"""",IF(ISDATE(B13),""X"",""""))"),"")</f>
        <v/>
      </c>
      <c r="L13" s="40" t="str">
        <f>IFERROR(__xludf.DUMMYFUNCTION("IF(ISBLANK(B13),"""",IF(Or(I13=""Em Aberto"",ISBLANK(I13),NOT(ISDATE(B13))),"""",H13))"),"")</f>
        <v/>
      </c>
      <c r="M13" s="29" t="str">
        <f>IFERROR(__xludf.DUMMYFUNCTION("IF(ISBLANK(B13),"""",IF(ISDATE(B13),TEXT(B13,""m""),""""))"),"")</f>
        <v/>
      </c>
      <c r="N13" s="29" t="str">
        <f>IFERROR(__xludf.DUMMYFUNCTION("IF(M13="""","""",QUERY({'Dashboard-Dados'!$Y$2:$AA$13},""Select Col2 Where Col1=""&amp;M13))"),"")</f>
        <v/>
      </c>
      <c r="O13" s="29" t="str">
        <f>IFERROR(__xludf.DUMMYFUNCTION("IF(ISBLANK(B13),"""",IF(ISDATE(B13),TEXT(B13,""yyyy""),""""))"),"")</f>
        <v/>
      </c>
    </row>
    <row r="14">
      <c r="B14" s="54"/>
      <c r="C14" s="49"/>
      <c r="D14" s="49"/>
      <c r="E14" s="49"/>
      <c r="F14" s="50"/>
      <c r="G14" s="51"/>
      <c r="H14" s="52"/>
      <c r="I14" s="50"/>
      <c r="K14" s="53" t="str">
        <f>IFERROR(__xludf.DUMMYFUNCTION("IF(ISBLANK(B14),"""",IF(ISDATE(B14),""X"",""""))"),"")</f>
        <v/>
      </c>
      <c r="L14" s="40" t="str">
        <f>IFERROR(__xludf.DUMMYFUNCTION("IF(ISBLANK(B14),"""",IF(Or(I14=""Em Aberto"",ISBLANK(I14),NOT(ISDATE(B14))),"""",H14))"),"")</f>
        <v/>
      </c>
      <c r="M14" s="29" t="str">
        <f>IFERROR(__xludf.DUMMYFUNCTION("IF(ISBLANK(B14),"""",IF(ISDATE(B14),TEXT(B14,""m""),""""))"),"")</f>
        <v/>
      </c>
      <c r="N14" s="29" t="str">
        <f>IFERROR(__xludf.DUMMYFUNCTION("IF(M14="""","""",QUERY({'Dashboard-Dados'!$Y$2:$AA$13},""Select Col2 Where Col1=""&amp;M14))"),"")</f>
        <v/>
      </c>
      <c r="O14" s="29" t="str">
        <f>IFERROR(__xludf.DUMMYFUNCTION("IF(ISBLANK(B14),"""",IF(ISDATE(B14),TEXT(B14,""yyyy""),""""))"),"")</f>
        <v/>
      </c>
    </row>
    <row r="15">
      <c r="B15" s="54"/>
      <c r="C15" s="49"/>
      <c r="D15" s="49"/>
      <c r="E15" s="49"/>
      <c r="F15" s="50"/>
      <c r="G15" s="51"/>
      <c r="H15" s="52"/>
      <c r="I15" s="50"/>
      <c r="K15" s="53" t="str">
        <f>IFERROR(__xludf.DUMMYFUNCTION("IF(ISBLANK(B15),"""",IF(ISDATE(B15),""X"",""""))"),"")</f>
        <v/>
      </c>
      <c r="L15" s="40" t="str">
        <f>IFERROR(__xludf.DUMMYFUNCTION("IF(ISBLANK(B15),"""",IF(Or(I15=""Em Aberto"",ISBLANK(I15),NOT(ISDATE(B15))),"""",H15))"),"")</f>
        <v/>
      </c>
      <c r="M15" s="29" t="str">
        <f>IFERROR(__xludf.DUMMYFUNCTION("IF(ISBLANK(B15),"""",IF(ISDATE(B15),TEXT(B15,""m""),""""))"),"")</f>
        <v/>
      </c>
      <c r="N15" s="29" t="str">
        <f>IFERROR(__xludf.DUMMYFUNCTION("IF(M15="""","""",QUERY({'Dashboard-Dados'!$Y$2:$AA$13},""Select Col2 Where Col1=""&amp;M15))"),"")</f>
        <v/>
      </c>
      <c r="O15" s="29" t="str">
        <f>IFERROR(__xludf.DUMMYFUNCTION("IF(ISBLANK(B15),"""",IF(ISDATE(B15),TEXT(B15,""yyyy""),""""))"),"")</f>
        <v/>
      </c>
    </row>
    <row r="16">
      <c r="B16" s="54"/>
      <c r="C16" s="49"/>
      <c r="D16" s="49"/>
      <c r="E16" s="49"/>
      <c r="F16" s="50"/>
      <c r="G16" s="51"/>
      <c r="H16" s="52"/>
      <c r="I16" s="50"/>
      <c r="K16" s="53" t="str">
        <f>IFERROR(__xludf.DUMMYFUNCTION("IF(ISBLANK(B16),"""",IF(ISDATE(B16),""X"",""""))"),"")</f>
        <v/>
      </c>
      <c r="L16" s="40" t="str">
        <f>IFERROR(__xludf.DUMMYFUNCTION("IF(ISBLANK(B16),"""",IF(Or(I16=""Em Aberto"",ISBLANK(I16),NOT(ISDATE(B16))),"""",H16))"),"")</f>
        <v/>
      </c>
      <c r="M16" s="29" t="str">
        <f>IFERROR(__xludf.DUMMYFUNCTION("IF(ISBLANK(B16),"""",IF(ISDATE(B16),TEXT(B16,""m""),""""))"),"")</f>
        <v/>
      </c>
      <c r="N16" s="29" t="str">
        <f>IFERROR(__xludf.DUMMYFUNCTION("IF(M16="""","""",QUERY({'Dashboard-Dados'!$Y$2:$AA$13},""Select Col2 Where Col1=""&amp;M16))"),"")</f>
        <v/>
      </c>
      <c r="O16" s="29" t="str">
        <f>IFERROR(__xludf.DUMMYFUNCTION("IF(ISBLANK(B16),"""",IF(ISDATE(B16),TEXT(B16,""yyyy""),""""))"),"")</f>
        <v/>
      </c>
    </row>
    <row r="17">
      <c r="B17" s="54"/>
      <c r="C17" s="49"/>
      <c r="D17" s="49"/>
      <c r="E17" s="49"/>
      <c r="F17" s="50"/>
      <c r="G17" s="51"/>
      <c r="H17" s="52"/>
      <c r="I17" s="50"/>
      <c r="K17" s="53" t="str">
        <f>IFERROR(__xludf.DUMMYFUNCTION("IF(ISBLANK(B17),"""",IF(ISDATE(B17),""X"",""""))"),"")</f>
        <v/>
      </c>
      <c r="L17" s="40" t="str">
        <f>IFERROR(__xludf.DUMMYFUNCTION("IF(ISBLANK(B17),"""",IF(Or(I17=""Em Aberto"",ISBLANK(I17),NOT(ISDATE(B17))),"""",H17))"),"")</f>
        <v/>
      </c>
      <c r="M17" s="29" t="str">
        <f>IFERROR(__xludf.DUMMYFUNCTION("IF(ISBLANK(B17),"""",IF(ISDATE(B17),TEXT(B17,""m""),""""))"),"")</f>
        <v/>
      </c>
      <c r="N17" s="29" t="str">
        <f>IFERROR(__xludf.DUMMYFUNCTION("IF(M17="""","""",QUERY({'Dashboard-Dados'!$Y$2:$AA$13},""Select Col2 Where Col1=""&amp;M17))"),"")</f>
        <v/>
      </c>
      <c r="O17" s="29" t="str">
        <f>IFERROR(__xludf.DUMMYFUNCTION("IF(ISBLANK(B17),"""",IF(ISDATE(B17),TEXT(B17,""yyyy""),""""))"),"")</f>
        <v/>
      </c>
    </row>
    <row r="18">
      <c r="B18" s="54"/>
      <c r="C18" s="49"/>
      <c r="D18" s="49"/>
      <c r="E18" s="49"/>
      <c r="F18" s="50"/>
      <c r="G18" s="51"/>
      <c r="H18" s="52"/>
      <c r="I18" s="50"/>
      <c r="K18" s="53" t="str">
        <f>IFERROR(__xludf.DUMMYFUNCTION("IF(ISBLANK(B18),"""",IF(ISDATE(B18),""X"",""""))"),"")</f>
        <v/>
      </c>
      <c r="L18" s="40" t="str">
        <f>IFERROR(__xludf.DUMMYFUNCTION("IF(ISBLANK(B18),"""",IF(Or(I18=""Em Aberto"",ISBLANK(I18),NOT(ISDATE(B18))),"""",H18))"),"")</f>
        <v/>
      </c>
      <c r="M18" s="29" t="str">
        <f>IFERROR(__xludf.DUMMYFUNCTION("IF(ISBLANK(B18),"""",IF(ISDATE(B18),TEXT(B18,""m""),""""))"),"")</f>
        <v/>
      </c>
      <c r="N18" s="29" t="str">
        <f>IFERROR(__xludf.DUMMYFUNCTION("IF(M18="""","""",QUERY({'Dashboard-Dados'!$Y$2:$AA$13},""Select Col2 Where Col1=""&amp;M18))"),"")</f>
        <v/>
      </c>
      <c r="O18" s="29" t="str">
        <f>IFERROR(__xludf.DUMMYFUNCTION("IF(ISBLANK(B18),"""",IF(ISDATE(B18),TEXT(B18,""yyyy""),""""))"),"")</f>
        <v/>
      </c>
    </row>
    <row r="19">
      <c r="B19" s="54"/>
      <c r="C19" s="49"/>
      <c r="D19" s="49"/>
      <c r="E19" s="49"/>
      <c r="F19" s="50"/>
      <c r="G19" s="51"/>
      <c r="H19" s="52"/>
      <c r="I19" s="50"/>
      <c r="K19" s="53" t="str">
        <f>IFERROR(__xludf.DUMMYFUNCTION("IF(ISBLANK(B19),"""",IF(ISDATE(B19),""X"",""""))"),"")</f>
        <v/>
      </c>
      <c r="L19" s="40" t="str">
        <f>IFERROR(__xludf.DUMMYFUNCTION("IF(ISBLANK(B19),"""",IF(Or(I19=""Em Aberto"",ISBLANK(I19),NOT(ISDATE(B19))),"""",H19))"),"")</f>
        <v/>
      </c>
      <c r="M19" s="29" t="str">
        <f>IFERROR(__xludf.DUMMYFUNCTION("IF(ISBLANK(B19),"""",IF(ISDATE(B19),TEXT(B19,""m""),""""))"),"")</f>
        <v/>
      </c>
      <c r="N19" s="29" t="str">
        <f>IFERROR(__xludf.DUMMYFUNCTION("IF(M19="""","""",QUERY({'Dashboard-Dados'!$Y$2:$AA$13},""Select Col2 Where Col1=""&amp;M19))"),"")</f>
        <v/>
      </c>
      <c r="O19" s="29" t="str">
        <f>IFERROR(__xludf.DUMMYFUNCTION("IF(ISBLANK(B19),"""",IF(ISDATE(B19),TEXT(B19,""yyyy""),""""))"),"")</f>
        <v/>
      </c>
    </row>
    <row r="20">
      <c r="B20" s="54"/>
      <c r="C20" s="49"/>
      <c r="D20" s="49"/>
      <c r="E20" s="49"/>
      <c r="F20" s="50"/>
      <c r="G20" s="51"/>
      <c r="H20" s="52"/>
      <c r="I20" s="50"/>
      <c r="K20" s="53" t="str">
        <f>IFERROR(__xludf.DUMMYFUNCTION("IF(ISBLANK(B20),"""",IF(ISDATE(B20),""X"",""""))"),"")</f>
        <v/>
      </c>
      <c r="L20" s="40" t="str">
        <f>IFERROR(__xludf.DUMMYFUNCTION("IF(ISBLANK(B20),"""",IF(Or(I20=""Em Aberto"",ISBLANK(I20),NOT(ISDATE(B20))),"""",H20))"),"")</f>
        <v/>
      </c>
      <c r="M20" s="29" t="str">
        <f>IFERROR(__xludf.DUMMYFUNCTION("IF(ISBLANK(B20),"""",IF(ISDATE(B20),TEXT(B20,""m""),""""))"),"")</f>
        <v/>
      </c>
      <c r="N20" s="29" t="str">
        <f>IFERROR(__xludf.DUMMYFUNCTION("IF(M20="""","""",QUERY({'Dashboard-Dados'!$Y$2:$AA$13},""Select Col2 Where Col1=""&amp;M20))"),"")</f>
        <v/>
      </c>
      <c r="O20" s="29" t="str">
        <f>IFERROR(__xludf.DUMMYFUNCTION("IF(ISBLANK(B20),"""",IF(ISDATE(B20),TEXT(B20,""yyyy""),""""))"),"")</f>
        <v/>
      </c>
    </row>
    <row r="21">
      <c r="B21" s="55"/>
      <c r="C21" s="56"/>
      <c r="D21" s="49"/>
      <c r="E21" s="49"/>
      <c r="F21" s="50"/>
      <c r="G21" s="51"/>
      <c r="H21" s="52"/>
      <c r="I21" s="50"/>
      <c r="K21" s="53" t="str">
        <f>IFERROR(__xludf.DUMMYFUNCTION("IF(ISBLANK(B21),"""",IF(ISDATE(B21),""X"",""""))"),"")</f>
        <v/>
      </c>
      <c r="L21" s="40" t="str">
        <f>IFERROR(__xludf.DUMMYFUNCTION("IF(ISBLANK(B21),"""",IF(Or(I21=""Em Aberto"",ISBLANK(I21),NOT(ISDATE(B21))),"""",H21))"),"")</f>
        <v/>
      </c>
      <c r="M21" s="29" t="str">
        <f>IFERROR(__xludf.DUMMYFUNCTION("IF(ISBLANK(B21),"""",IF(ISDATE(B21),TEXT(B21,""m""),""""))"),"")</f>
        <v/>
      </c>
      <c r="N21" s="29" t="str">
        <f>IFERROR(__xludf.DUMMYFUNCTION("IF(M21="""","""",QUERY({'Dashboard-Dados'!$Y$2:$AA$13},""Select Col2 Where Col1=""&amp;M21))"),"")</f>
        <v/>
      </c>
      <c r="O21" s="29" t="str">
        <f>IFERROR(__xludf.DUMMYFUNCTION("IF(ISBLANK(B21),"""",IF(ISDATE(B21),TEXT(B21,""yyyy""),""""))"),"")</f>
        <v/>
      </c>
    </row>
    <row r="22">
      <c r="B22" s="55"/>
      <c r="C22" s="56"/>
      <c r="D22" s="49"/>
      <c r="E22" s="49"/>
      <c r="F22" s="50"/>
      <c r="G22" s="51"/>
      <c r="H22" s="52"/>
      <c r="I22" s="50"/>
      <c r="K22" s="53" t="str">
        <f>IFERROR(__xludf.DUMMYFUNCTION("IF(ISBLANK(B22),"""",IF(ISDATE(B22),""X"",""""))"),"")</f>
        <v/>
      </c>
      <c r="L22" s="40" t="str">
        <f>IFERROR(__xludf.DUMMYFUNCTION("IF(ISBLANK(B22),"""",IF(Or(I22=""Em Aberto"",ISBLANK(I22),NOT(ISDATE(B22))),"""",H22))"),"")</f>
        <v/>
      </c>
      <c r="M22" s="29" t="str">
        <f>IFERROR(__xludf.DUMMYFUNCTION("IF(ISBLANK(B22),"""",IF(ISDATE(B22),TEXT(B22,""m""),""""))"),"")</f>
        <v/>
      </c>
      <c r="N22" s="29" t="str">
        <f>IFERROR(__xludf.DUMMYFUNCTION("IF(M22="""","""",QUERY({'Dashboard-Dados'!$Y$2:$AA$13},""Select Col2 Where Col1=""&amp;M22))"),"")</f>
        <v/>
      </c>
      <c r="O22" s="29" t="str">
        <f>IFERROR(__xludf.DUMMYFUNCTION("IF(ISBLANK(B22),"""",IF(ISDATE(B22),TEXT(B22,""yyyy""),""""))"),"")</f>
        <v/>
      </c>
    </row>
    <row r="23">
      <c r="B23" s="55"/>
      <c r="C23" s="56"/>
      <c r="D23" s="49"/>
      <c r="E23" s="49"/>
      <c r="F23" s="50"/>
      <c r="G23" s="51"/>
      <c r="H23" s="52"/>
      <c r="I23" s="50"/>
      <c r="K23" s="53" t="str">
        <f>IFERROR(__xludf.DUMMYFUNCTION("IF(ISBLANK(B23),"""",IF(ISDATE(B23),""X"",""""))"),"")</f>
        <v/>
      </c>
      <c r="L23" s="40" t="str">
        <f>IFERROR(__xludf.DUMMYFUNCTION("IF(ISBLANK(B23),"""",IF(Or(I23=""Em Aberto"",ISBLANK(I23),NOT(ISDATE(B23))),"""",H23))"),"")</f>
        <v/>
      </c>
      <c r="M23" s="29" t="str">
        <f>IFERROR(__xludf.DUMMYFUNCTION("IF(ISBLANK(B23),"""",IF(ISDATE(B23),TEXT(B23,""m""),""""))"),"")</f>
        <v/>
      </c>
      <c r="N23" s="29" t="str">
        <f>IFERROR(__xludf.DUMMYFUNCTION("IF(M23="""","""",QUERY({'Dashboard-Dados'!$Y$2:$AA$13},""Select Col2 Where Col1=""&amp;M23))"),"")</f>
        <v/>
      </c>
      <c r="O23" s="29" t="str">
        <f>IFERROR(__xludf.DUMMYFUNCTION("IF(ISBLANK(B23),"""",IF(ISDATE(B23),TEXT(B23,""yyyy""),""""))"),"")</f>
        <v/>
      </c>
    </row>
    <row r="24">
      <c r="B24" s="55"/>
      <c r="C24" s="56"/>
      <c r="D24" s="49"/>
      <c r="E24" s="49"/>
      <c r="F24" s="50"/>
      <c r="G24" s="51"/>
      <c r="H24" s="52"/>
      <c r="I24" s="50"/>
      <c r="K24" s="53" t="str">
        <f>IFERROR(__xludf.DUMMYFUNCTION("IF(ISBLANK(B24),"""",IF(ISDATE(B24),""X"",""""))"),"")</f>
        <v/>
      </c>
      <c r="L24" s="40" t="str">
        <f>IFERROR(__xludf.DUMMYFUNCTION("IF(ISBLANK(B24),"""",IF(Or(I24=""Em Aberto"",ISBLANK(I24),NOT(ISDATE(B24))),"""",H24))"),"")</f>
        <v/>
      </c>
      <c r="M24" s="29" t="str">
        <f>IFERROR(__xludf.DUMMYFUNCTION("IF(ISBLANK(B24),"""",IF(ISDATE(B24),TEXT(B24,""m""),""""))"),"")</f>
        <v/>
      </c>
      <c r="N24" s="29" t="str">
        <f>IFERROR(__xludf.DUMMYFUNCTION("IF(M24="""","""",QUERY({'Dashboard-Dados'!$Y$2:$AA$13},""Select Col2 Where Col1=""&amp;M24))"),"")</f>
        <v/>
      </c>
      <c r="O24" s="29" t="str">
        <f>IFERROR(__xludf.DUMMYFUNCTION("IF(ISBLANK(B24),"""",IF(ISDATE(B24),TEXT(B24,""yyyy""),""""))"),"")</f>
        <v/>
      </c>
    </row>
    <row r="25">
      <c r="B25" s="55"/>
      <c r="C25" s="56"/>
      <c r="D25" s="49"/>
      <c r="E25" s="49"/>
      <c r="F25" s="50"/>
      <c r="G25" s="51"/>
      <c r="H25" s="52"/>
      <c r="I25" s="50"/>
      <c r="K25" s="53" t="str">
        <f>IFERROR(__xludf.DUMMYFUNCTION("IF(ISBLANK(B25),"""",IF(ISDATE(B25),""X"",""""))"),"")</f>
        <v/>
      </c>
      <c r="L25" s="40" t="str">
        <f>IFERROR(__xludf.DUMMYFUNCTION("IF(ISBLANK(B25),"""",IF(Or(I25=""Em Aberto"",ISBLANK(I25),NOT(ISDATE(B25))),"""",H25))"),"")</f>
        <v/>
      </c>
      <c r="M25" s="29" t="str">
        <f>IFERROR(__xludf.DUMMYFUNCTION("IF(ISBLANK(B25),"""",IF(ISDATE(B25),TEXT(B25,""m""),""""))"),"")</f>
        <v/>
      </c>
      <c r="N25" s="29" t="str">
        <f>IFERROR(__xludf.DUMMYFUNCTION("IF(M25="""","""",QUERY({'Dashboard-Dados'!$Y$2:$AA$13},""Select Col2 Where Col1=""&amp;M25))"),"")</f>
        <v/>
      </c>
      <c r="O25" s="29" t="str">
        <f>IFERROR(__xludf.DUMMYFUNCTION("IF(ISBLANK(B25),"""",IF(ISDATE(B25),TEXT(B25,""yyyy""),""""))"),"")</f>
        <v/>
      </c>
    </row>
    <row r="26">
      <c r="B26" s="55"/>
      <c r="C26" s="56"/>
      <c r="D26" s="49"/>
      <c r="E26" s="49"/>
      <c r="F26" s="50"/>
      <c r="G26" s="51"/>
      <c r="H26" s="52"/>
      <c r="I26" s="50"/>
      <c r="K26" s="53" t="str">
        <f>IFERROR(__xludf.DUMMYFUNCTION("IF(ISBLANK(B26),"""",IF(ISDATE(B26),""X"",""""))"),"")</f>
        <v/>
      </c>
      <c r="L26" s="40" t="str">
        <f>IFERROR(__xludf.DUMMYFUNCTION("IF(ISBLANK(B26),"""",IF(Or(I26=""Em Aberto"",ISBLANK(I26),NOT(ISDATE(B26))),"""",H26))"),"")</f>
        <v/>
      </c>
      <c r="M26" s="29" t="str">
        <f>IFERROR(__xludf.DUMMYFUNCTION("IF(ISBLANK(B26),"""",IF(ISDATE(B26),TEXT(B26,""m""),""""))"),"")</f>
        <v/>
      </c>
      <c r="N26" s="29" t="str">
        <f>IFERROR(__xludf.DUMMYFUNCTION("IF(M26="""","""",QUERY({'Dashboard-Dados'!$Y$2:$AA$13},""Select Col2 Where Col1=""&amp;M26))"),"")</f>
        <v/>
      </c>
      <c r="O26" s="29" t="str">
        <f>IFERROR(__xludf.DUMMYFUNCTION("IF(ISBLANK(B26),"""",IF(ISDATE(B26),TEXT(B26,""yyyy""),""""))"),"")</f>
        <v/>
      </c>
    </row>
    <row r="27">
      <c r="B27" s="55"/>
      <c r="C27" s="56"/>
      <c r="D27" s="49"/>
      <c r="E27" s="49"/>
      <c r="F27" s="50"/>
      <c r="G27" s="51"/>
      <c r="H27" s="52"/>
      <c r="I27" s="50"/>
      <c r="K27" s="53" t="str">
        <f>IFERROR(__xludf.DUMMYFUNCTION("IF(ISBLANK(B27),"""",IF(ISDATE(B27),""X"",""""))"),"")</f>
        <v/>
      </c>
      <c r="L27" s="40" t="str">
        <f>IFERROR(__xludf.DUMMYFUNCTION("IF(ISBLANK(B27),"""",IF(Or(I27=""Em Aberto"",ISBLANK(I27),NOT(ISDATE(B27))),"""",H27))"),"")</f>
        <v/>
      </c>
      <c r="M27" s="29" t="str">
        <f>IFERROR(__xludf.DUMMYFUNCTION("IF(ISBLANK(B27),"""",IF(ISDATE(B27),TEXT(B27,""m""),""""))"),"")</f>
        <v/>
      </c>
      <c r="N27" s="29" t="str">
        <f>IFERROR(__xludf.DUMMYFUNCTION("IF(M27="""","""",QUERY({'Dashboard-Dados'!$Y$2:$AA$13},""Select Col2 Where Col1=""&amp;M27))"),"")</f>
        <v/>
      </c>
      <c r="O27" s="29" t="str">
        <f>IFERROR(__xludf.DUMMYFUNCTION("IF(ISBLANK(B27),"""",IF(ISDATE(B27),TEXT(B27,""yyyy""),""""))"),"")</f>
        <v/>
      </c>
    </row>
    <row r="28">
      <c r="B28" s="55"/>
      <c r="C28" s="56"/>
      <c r="D28" s="49"/>
      <c r="E28" s="49"/>
      <c r="F28" s="50"/>
      <c r="G28" s="51"/>
      <c r="H28" s="52"/>
      <c r="I28" s="50"/>
      <c r="K28" s="53" t="str">
        <f>IFERROR(__xludf.DUMMYFUNCTION("IF(ISBLANK(B28),"""",IF(ISDATE(B28),""X"",""""))"),"")</f>
        <v/>
      </c>
      <c r="L28" s="40" t="str">
        <f>IFERROR(__xludf.DUMMYFUNCTION("IF(ISBLANK(B28),"""",IF(Or(I28=""Em Aberto"",ISBLANK(I28),NOT(ISDATE(B28))),"""",H28))"),"")</f>
        <v/>
      </c>
      <c r="M28" s="29" t="str">
        <f>IFERROR(__xludf.DUMMYFUNCTION("IF(ISBLANK(B28),"""",IF(ISDATE(B28),TEXT(B28,""m""),""""))"),"")</f>
        <v/>
      </c>
      <c r="N28" s="29" t="str">
        <f>IFERROR(__xludf.DUMMYFUNCTION("IF(M28="""","""",QUERY({'Dashboard-Dados'!$Y$2:$AA$13},""Select Col2 Where Col1=""&amp;M28))"),"")</f>
        <v/>
      </c>
      <c r="O28" s="29" t="str">
        <f>IFERROR(__xludf.DUMMYFUNCTION("IF(ISBLANK(B28),"""",IF(ISDATE(B28),TEXT(B28,""yyyy""),""""))"),"")</f>
        <v/>
      </c>
    </row>
    <row r="29">
      <c r="B29" s="55"/>
      <c r="C29" s="56"/>
      <c r="D29" s="49"/>
      <c r="E29" s="49"/>
      <c r="F29" s="50"/>
      <c r="G29" s="51"/>
      <c r="H29" s="52"/>
      <c r="I29" s="50"/>
      <c r="K29" s="53" t="str">
        <f>IFERROR(__xludf.DUMMYFUNCTION("IF(ISBLANK(B29),"""",IF(ISDATE(B29),""X"",""""))"),"")</f>
        <v/>
      </c>
      <c r="L29" s="40" t="str">
        <f>IFERROR(__xludf.DUMMYFUNCTION("IF(ISBLANK(B29),"""",IF(Or(I29=""Em Aberto"",ISBLANK(I29),NOT(ISDATE(B29))),"""",H29))"),"")</f>
        <v/>
      </c>
      <c r="M29" s="29" t="str">
        <f>IFERROR(__xludf.DUMMYFUNCTION("IF(ISBLANK(B29),"""",IF(ISDATE(B29),TEXT(B29,""m""),""""))"),"")</f>
        <v/>
      </c>
      <c r="N29" s="29" t="str">
        <f>IFERROR(__xludf.DUMMYFUNCTION("IF(M29="""","""",QUERY({'Dashboard-Dados'!$Y$2:$AA$13},""Select Col2 Where Col1=""&amp;M29))"),"")</f>
        <v/>
      </c>
      <c r="O29" s="29" t="str">
        <f>IFERROR(__xludf.DUMMYFUNCTION("IF(ISBLANK(B29),"""",IF(ISDATE(B29),TEXT(B29,""yyyy""),""""))"),"")</f>
        <v/>
      </c>
    </row>
    <row r="30">
      <c r="B30" s="55"/>
      <c r="C30" s="56"/>
      <c r="D30" s="49"/>
      <c r="E30" s="49"/>
      <c r="F30" s="50"/>
      <c r="G30" s="51"/>
      <c r="H30" s="52"/>
      <c r="I30" s="50"/>
      <c r="K30" s="53" t="str">
        <f>IFERROR(__xludf.DUMMYFUNCTION("IF(ISBLANK(B30),"""",IF(ISDATE(B30),""X"",""""))"),"")</f>
        <v/>
      </c>
      <c r="L30" s="40" t="str">
        <f>IFERROR(__xludf.DUMMYFUNCTION("IF(ISBLANK(B30),"""",IF(Or(I30=""Em Aberto"",ISBLANK(I30),NOT(ISDATE(B30))),"""",H30))"),"")</f>
        <v/>
      </c>
      <c r="M30" s="29" t="str">
        <f>IFERROR(__xludf.DUMMYFUNCTION("IF(ISBLANK(B30),"""",IF(ISDATE(B30),TEXT(B30,""m""),""""))"),"")</f>
        <v/>
      </c>
      <c r="N30" s="29" t="str">
        <f>IFERROR(__xludf.DUMMYFUNCTION("IF(M30="""","""",QUERY({'Dashboard-Dados'!$Y$2:$AA$13},""Select Col2 Where Col1=""&amp;M30))"),"")</f>
        <v/>
      </c>
      <c r="O30" s="29" t="str">
        <f>IFERROR(__xludf.DUMMYFUNCTION("IF(ISBLANK(B30),"""",IF(ISDATE(B30),TEXT(B30,""yyyy""),""""))"),"")</f>
        <v/>
      </c>
    </row>
    <row r="31">
      <c r="B31" s="55"/>
      <c r="C31" s="56"/>
      <c r="D31" s="49"/>
      <c r="E31" s="49"/>
      <c r="F31" s="50"/>
      <c r="G31" s="51"/>
      <c r="H31" s="52"/>
      <c r="I31" s="50"/>
      <c r="K31" s="53" t="str">
        <f>IFERROR(__xludf.DUMMYFUNCTION("IF(ISBLANK(B31),"""",IF(ISDATE(B31),""X"",""""))"),"")</f>
        <v/>
      </c>
      <c r="L31" s="40" t="str">
        <f>IFERROR(__xludf.DUMMYFUNCTION("IF(ISBLANK(B31),"""",IF(Or(I31=""Em Aberto"",ISBLANK(I31),NOT(ISDATE(B31))),"""",H31))"),"")</f>
        <v/>
      </c>
      <c r="M31" s="29" t="str">
        <f>IFERROR(__xludf.DUMMYFUNCTION("IF(ISBLANK(B31),"""",IF(ISDATE(B31),TEXT(B31,""m""),""""))"),"")</f>
        <v/>
      </c>
      <c r="N31" s="29" t="str">
        <f>IFERROR(__xludf.DUMMYFUNCTION("IF(M31="""","""",QUERY({'Dashboard-Dados'!$Y$2:$AA$13},""Select Col2 Where Col1=""&amp;M31))"),"")</f>
        <v/>
      </c>
      <c r="O31" s="29" t="str">
        <f>IFERROR(__xludf.DUMMYFUNCTION("IF(ISBLANK(B31),"""",IF(ISDATE(B31),TEXT(B31,""yyyy""),""""))"),"")</f>
        <v/>
      </c>
    </row>
    <row r="32">
      <c r="B32" s="55"/>
      <c r="C32" s="56"/>
      <c r="D32" s="49"/>
      <c r="E32" s="49"/>
      <c r="F32" s="50"/>
      <c r="G32" s="51"/>
      <c r="H32" s="52"/>
      <c r="I32" s="50"/>
      <c r="K32" s="53" t="str">
        <f>IFERROR(__xludf.DUMMYFUNCTION("IF(ISBLANK(B32),"""",IF(ISDATE(B32),""X"",""""))"),"")</f>
        <v/>
      </c>
      <c r="L32" s="40" t="str">
        <f>IFERROR(__xludf.DUMMYFUNCTION("IF(ISBLANK(B32),"""",IF(Or(I32=""Em Aberto"",ISBLANK(I32),NOT(ISDATE(B32))),"""",H32))"),"")</f>
        <v/>
      </c>
      <c r="M32" s="29" t="str">
        <f>IFERROR(__xludf.DUMMYFUNCTION("IF(ISBLANK(B32),"""",IF(ISDATE(B32),TEXT(B32,""m""),""""))"),"")</f>
        <v/>
      </c>
      <c r="N32" s="29" t="str">
        <f>IFERROR(__xludf.DUMMYFUNCTION("IF(M32="""","""",QUERY({'Dashboard-Dados'!$Y$2:$AA$13},""Select Col2 Where Col1=""&amp;M32))"),"")</f>
        <v/>
      </c>
      <c r="O32" s="29" t="str">
        <f>IFERROR(__xludf.DUMMYFUNCTION("IF(ISBLANK(B32),"""",IF(ISDATE(B32),TEXT(B32,""yyyy""),""""))"),"")</f>
        <v/>
      </c>
    </row>
    <row r="33">
      <c r="B33" s="55"/>
      <c r="C33" s="56"/>
      <c r="D33" s="49"/>
      <c r="E33" s="49"/>
      <c r="F33" s="50"/>
      <c r="G33" s="51"/>
      <c r="H33" s="52"/>
      <c r="I33" s="50"/>
      <c r="K33" s="53" t="str">
        <f>IFERROR(__xludf.DUMMYFUNCTION("IF(ISBLANK(B33),"""",IF(ISDATE(B33),""X"",""""))"),"")</f>
        <v/>
      </c>
      <c r="L33" s="40" t="str">
        <f>IFERROR(__xludf.DUMMYFUNCTION("IF(ISBLANK(B33),"""",IF(Or(I33=""Em Aberto"",ISBLANK(I33),NOT(ISDATE(B33))),"""",H33))"),"")</f>
        <v/>
      </c>
      <c r="M33" s="29" t="str">
        <f>IFERROR(__xludf.DUMMYFUNCTION("IF(ISBLANK(B33),"""",IF(ISDATE(B33),TEXT(B33,""m""),""""))"),"")</f>
        <v/>
      </c>
      <c r="N33" s="29" t="str">
        <f>IFERROR(__xludf.DUMMYFUNCTION("IF(M33="""","""",QUERY({'Dashboard-Dados'!$Y$2:$AA$13},""Select Col2 Where Col1=""&amp;M33))"),"")</f>
        <v/>
      </c>
      <c r="O33" s="29" t="str">
        <f>IFERROR(__xludf.DUMMYFUNCTION("IF(ISBLANK(B33),"""",IF(ISDATE(B33),TEXT(B33,""yyyy""),""""))"),"")</f>
        <v/>
      </c>
    </row>
    <row r="34">
      <c r="B34" s="55"/>
      <c r="C34" s="56"/>
      <c r="D34" s="49"/>
      <c r="E34" s="49"/>
      <c r="F34" s="50"/>
      <c r="G34" s="51"/>
      <c r="H34" s="52"/>
      <c r="I34" s="50"/>
      <c r="K34" s="53" t="str">
        <f>IFERROR(__xludf.DUMMYFUNCTION("IF(ISBLANK(B34),"""",IF(ISDATE(B34),""X"",""""))"),"")</f>
        <v/>
      </c>
      <c r="L34" s="40" t="str">
        <f>IFERROR(__xludf.DUMMYFUNCTION("IF(ISBLANK(B34),"""",IF(Or(I34=""Em Aberto"",ISBLANK(I34),NOT(ISDATE(B34))),"""",H34))"),"")</f>
        <v/>
      </c>
      <c r="M34" s="29" t="str">
        <f>IFERROR(__xludf.DUMMYFUNCTION("IF(ISBLANK(B34),"""",IF(ISDATE(B34),TEXT(B34,""m""),""""))"),"")</f>
        <v/>
      </c>
      <c r="N34" s="29" t="str">
        <f>IFERROR(__xludf.DUMMYFUNCTION("IF(M34="""","""",QUERY({'Dashboard-Dados'!$Y$2:$AA$13},""Select Col2 Where Col1=""&amp;M34))"),"")</f>
        <v/>
      </c>
      <c r="O34" s="29" t="str">
        <f>IFERROR(__xludf.DUMMYFUNCTION("IF(ISBLANK(B34),"""",IF(ISDATE(B34),TEXT(B34,""yyyy""),""""))"),"")</f>
        <v/>
      </c>
    </row>
    <row r="35">
      <c r="B35" s="55"/>
      <c r="C35" s="56"/>
      <c r="D35" s="49"/>
      <c r="E35" s="49"/>
      <c r="F35" s="50"/>
      <c r="G35" s="51"/>
      <c r="H35" s="52"/>
      <c r="I35" s="50"/>
      <c r="K35" s="53" t="str">
        <f>IFERROR(__xludf.DUMMYFUNCTION("IF(ISBLANK(B35),"""",IF(ISDATE(B35),""X"",""""))"),"")</f>
        <v/>
      </c>
      <c r="L35" s="40" t="str">
        <f>IFERROR(__xludf.DUMMYFUNCTION("IF(ISBLANK(B35),"""",IF(Or(I35=""Em Aberto"",ISBLANK(I35),NOT(ISDATE(B35))),"""",H35))"),"")</f>
        <v/>
      </c>
      <c r="M35" s="29" t="str">
        <f>IFERROR(__xludf.DUMMYFUNCTION("IF(ISBLANK(B35),"""",IF(ISDATE(B35),TEXT(B35,""m""),""""))"),"")</f>
        <v/>
      </c>
      <c r="N35" s="29" t="str">
        <f>IFERROR(__xludf.DUMMYFUNCTION("IF(M35="""","""",QUERY({'Dashboard-Dados'!$Y$2:$AA$13},""Select Col2 Where Col1=""&amp;M35))"),"")</f>
        <v/>
      </c>
      <c r="O35" s="29" t="str">
        <f>IFERROR(__xludf.DUMMYFUNCTION("IF(ISBLANK(B35),"""",IF(ISDATE(B35),TEXT(B35,""yyyy""),""""))"),"")</f>
        <v/>
      </c>
    </row>
    <row r="36">
      <c r="B36" s="55"/>
      <c r="C36" s="56"/>
      <c r="D36" s="49"/>
      <c r="E36" s="49"/>
      <c r="F36" s="50"/>
      <c r="G36" s="51"/>
      <c r="H36" s="52"/>
      <c r="I36" s="50"/>
      <c r="K36" s="53" t="str">
        <f>IFERROR(__xludf.DUMMYFUNCTION("IF(ISBLANK(B36),"""",IF(ISDATE(B36),""X"",""""))"),"")</f>
        <v/>
      </c>
      <c r="L36" s="40" t="str">
        <f>IFERROR(__xludf.DUMMYFUNCTION("IF(ISBLANK(B36),"""",IF(Or(I36=""Em Aberto"",ISBLANK(I36),NOT(ISDATE(B36))),"""",H36))"),"")</f>
        <v/>
      </c>
      <c r="M36" s="29" t="str">
        <f>IFERROR(__xludf.DUMMYFUNCTION("IF(ISBLANK(B36),"""",IF(ISDATE(B36),TEXT(B36,""m""),""""))"),"")</f>
        <v/>
      </c>
      <c r="N36" s="29" t="str">
        <f>IFERROR(__xludf.DUMMYFUNCTION("IF(M36="""","""",QUERY({'Dashboard-Dados'!$Y$2:$AA$13},""Select Col2 Where Col1=""&amp;M36))"),"")</f>
        <v/>
      </c>
      <c r="O36" s="29" t="str">
        <f>IFERROR(__xludf.DUMMYFUNCTION("IF(ISBLANK(B36),"""",IF(ISDATE(B36),TEXT(B36,""yyyy""),""""))"),"")</f>
        <v/>
      </c>
    </row>
    <row r="37">
      <c r="B37" s="55"/>
      <c r="C37" s="56"/>
      <c r="D37" s="49"/>
      <c r="E37" s="49"/>
      <c r="F37" s="50"/>
      <c r="G37" s="51"/>
      <c r="H37" s="52"/>
      <c r="I37" s="50"/>
      <c r="K37" s="53" t="str">
        <f>IFERROR(__xludf.DUMMYFUNCTION("IF(ISBLANK(B37),"""",IF(ISDATE(B37),""X"",""""))"),"")</f>
        <v/>
      </c>
      <c r="L37" s="40" t="str">
        <f>IFERROR(__xludf.DUMMYFUNCTION("IF(ISBLANK(B37),"""",IF(Or(I37=""Em Aberto"",ISBLANK(I37),NOT(ISDATE(B37))),"""",H37))"),"")</f>
        <v/>
      </c>
      <c r="M37" s="29" t="str">
        <f>IFERROR(__xludf.DUMMYFUNCTION("IF(ISBLANK(B37),"""",IF(ISDATE(B37),TEXT(B37,""m""),""""))"),"")</f>
        <v/>
      </c>
      <c r="N37" s="29" t="str">
        <f>IFERROR(__xludf.DUMMYFUNCTION("IF(M37="""","""",QUERY({'Dashboard-Dados'!$Y$2:$AA$13},""Select Col2 Where Col1=""&amp;M37))"),"")</f>
        <v/>
      </c>
      <c r="O37" s="29" t="str">
        <f>IFERROR(__xludf.DUMMYFUNCTION("IF(ISBLANK(B37),"""",IF(ISDATE(B37),TEXT(B37,""yyyy""),""""))"),"")</f>
        <v/>
      </c>
    </row>
    <row r="38">
      <c r="B38" s="55"/>
      <c r="C38" s="56"/>
      <c r="D38" s="49"/>
      <c r="E38" s="49"/>
      <c r="F38" s="50"/>
      <c r="G38" s="51"/>
      <c r="H38" s="52"/>
      <c r="I38" s="50"/>
      <c r="K38" s="53" t="str">
        <f>IFERROR(__xludf.DUMMYFUNCTION("IF(ISBLANK(B38),"""",IF(ISDATE(B38),""X"",""""))"),"")</f>
        <v/>
      </c>
      <c r="L38" s="40" t="str">
        <f>IFERROR(__xludf.DUMMYFUNCTION("IF(ISBLANK(B38),"""",IF(Or(I38=""Em Aberto"",ISBLANK(I38),NOT(ISDATE(B38))),"""",H38))"),"")</f>
        <v/>
      </c>
      <c r="M38" s="29" t="str">
        <f>IFERROR(__xludf.DUMMYFUNCTION("IF(ISBLANK(B38),"""",IF(ISDATE(B38),TEXT(B38,""m""),""""))"),"")</f>
        <v/>
      </c>
      <c r="N38" s="29" t="str">
        <f>IFERROR(__xludf.DUMMYFUNCTION("IF(M38="""","""",QUERY({'Dashboard-Dados'!$Y$2:$AA$13},""Select Col2 Where Col1=""&amp;M38))"),"")</f>
        <v/>
      </c>
      <c r="O38" s="29" t="str">
        <f>IFERROR(__xludf.DUMMYFUNCTION("IF(ISBLANK(B38),"""",IF(ISDATE(B38),TEXT(B38,""yyyy""),""""))"),"")</f>
        <v/>
      </c>
    </row>
    <row r="39">
      <c r="B39" s="55"/>
      <c r="C39" s="56"/>
      <c r="D39" s="49"/>
      <c r="E39" s="49"/>
      <c r="F39" s="50"/>
      <c r="G39" s="51"/>
      <c r="H39" s="52"/>
      <c r="I39" s="50"/>
      <c r="K39" s="53" t="str">
        <f>IFERROR(__xludf.DUMMYFUNCTION("IF(ISBLANK(B39),"""",IF(ISDATE(B39),""X"",""""))"),"")</f>
        <v/>
      </c>
      <c r="L39" s="40" t="str">
        <f>IFERROR(__xludf.DUMMYFUNCTION("IF(ISBLANK(B39),"""",IF(Or(I39=""Em Aberto"",ISBLANK(I39),NOT(ISDATE(B39))),"""",H39))"),"")</f>
        <v/>
      </c>
      <c r="M39" s="29" t="str">
        <f>IFERROR(__xludf.DUMMYFUNCTION("IF(ISBLANK(B39),"""",IF(ISDATE(B39),TEXT(B39,""m""),""""))"),"")</f>
        <v/>
      </c>
      <c r="N39" s="29" t="str">
        <f>IFERROR(__xludf.DUMMYFUNCTION("IF(M39="""","""",QUERY({'Dashboard-Dados'!$Y$2:$AA$13},""Select Col2 Where Col1=""&amp;M39))"),"")</f>
        <v/>
      </c>
      <c r="O39" s="29" t="str">
        <f>IFERROR(__xludf.DUMMYFUNCTION("IF(ISBLANK(B39),"""",IF(ISDATE(B39),TEXT(B39,""yyyy""),""""))"),"")</f>
        <v/>
      </c>
    </row>
    <row r="40">
      <c r="B40" s="55"/>
      <c r="C40" s="56"/>
      <c r="D40" s="49"/>
      <c r="E40" s="49"/>
      <c r="F40" s="50"/>
      <c r="G40" s="51"/>
      <c r="H40" s="52"/>
      <c r="I40" s="50"/>
      <c r="K40" s="53" t="str">
        <f>IFERROR(__xludf.DUMMYFUNCTION("IF(ISBLANK(B40),"""",IF(ISDATE(B40),""X"",""""))"),"")</f>
        <v/>
      </c>
      <c r="L40" s="40" t="str">
        <f>IFERROR(__xludf.DUMMYFUNCTION("IF(ISBLANK(B40),"""",IF(Or(I40=""Em Aberto"",ISBLANK(I40),NOT(ISDATE(B40))),"""",H40))"),"")</f>
        <v/>
      </c>
      <c r="M40" s="29" t="str">
        <f>IFERROR(__xludf.DUMMYFUNCTION("IF(ISBLANK(B40),"""",IF(ISDATE(B40),TEXT(B40,""m""),""""))"),"")</f>
        <v/>
      </c>
      <c r="N40" s="29" t="str">
        <f>IFERROR(__xludf.DUMMYFUNCTION("IF(M40="""","""",QUERY({'Dashboard-Dados'!$Y$2:$AA$13},""Select Col2 Where Col1=""&amp;M40))"),"")</f>
        <v/>
      </c>
      <c r="O40" s="29" t="str">
        <f>IFERROR(__xludf.DUMMYFUNCTION("IF(ISBLANK(B40),"""",IF(ISDATE(B40),TEXT(B40,""yyyy""),""""))"),"")</f>
        <v/>
      </c>
    </row>
    <row r="41">
      <c r="B41" s="57"/>
      <c r="C41" s="58"/>
      <c r="D41" s="59"/>
      <c r="E41" s="59"/>
      <c r="F41" s="60"/>
      <c r="G41" s="60"/>
      <c r="H41" s="61"/>
      <c r="I41" s="60"/>
      <c r="K41" s="53" t="str">
        <f>IFERROR(__xludf.DUMMYFUNCTION("IF(ISBLANK(B41),"""",IF(ISDATE(B41),""X"",""""))"),"")</f>
        <v/>
      </c>
      <c r="L41" s="40" t="str">
        <f>IFERROR(__xludf.DUMMYFUNCTION("IF(ISBLANK(B41),"""",IF(Or(I41=""Em Aberto"",ISBLANK(I41),NOT(ISDATE(B41))),"""",H41))"),"")</f>
        <v/>
      </c>
      <c r="M41" s="29" t="str">
        <f>IFERROR(__xludf.DUMMYFUNCTION("IF(ISBLANK(B41),"""",IF(ISDATE(B41),TEXT(B41,""m""),""""))"),"")</f>
        <v/>
      </c>
      <c r="N41" s="29" t="str">
        <f>IFERROR(__xludf.DUMMYFUNCTION("IF(M41="""","""",QUERY({'Dashboard-Dados'!$Y$2:$AA$13},""Select Col2 Where Col1=""&amp;M41))"),"")</f>
        <v/>
      </c>
      <c r="O41" s="29" t="str">
        <f>IFERROR(__xludf.DUMMYFUNCTION("IF(ISBLANK(B41),"""",IF(ISDATE(B41),TEXT(B41,""yyyy""),""""))"),"")</f>
        <v/>
      </c>
    </row>
    <row r="42">
      <c r="B42" s="57"/>
      <c r="C42" s="58"/>
      <c r="D42" s="59"/>
      <c r="E42" s="59"/>
      <c r="F42" s="60"/>
      <c r="G42" s="60"/>
      <c r="H42" s="61"/>
      <c r="I42" s="60"/>
      <c r="K42" s="53" t="str">
        <f>IFERROR(__xludf.DUMMYFUNCTION("IF(ISBLANK(B42),"""",IF(ISDATE(B42),""X"",""""))"),"")</f>
        <v/>
      </c>
      <c r="L42" s="40" t="str">
        <f>IFERROR(__xludf.DUMMYFUNCTION("IF(ISBLANK(B42),"""",IF(Or(I42=""Em Aberto"",ISBLANK(I42),NOT(ISDATE(B42))),"""",H42))"),"")</f>
        <v/>
      </c>
      <c r="M42" s="29" t="str">
        <f>IFERROR(__xludf.DUMMYFUNCTION("IF(ISBLANK(B42),"""",IF(ISDATE(B42),TEXT(B42,""m""),""""))"),"")</f>
        <v/>
      </c>
      <c r="N42" s="29" t="str">
        <f>IFERROR(__xludf.DUMMYFUNCTION("IF(M42="""","""",QUERY({'Dashboard-Dados'!$Y$2:$AA$13},""Select Col2 Where Col1=""&amp;M42))"),"")</f>
        <v/>
      </c>
      <c r="O42" s="29" t="str">
        <f>IFERROR(__xludf.DUMMYFUNCTION("IF(ISBLANK(B42),"""",IF(ISDATE(B42),TEXT(B42,""yyyy""),""""))"),"")</f>
        <v/>
      </c>
    </row>
    <row r="43">
      <c r="B43" s="57"/>
      <c r="C43" s="58"/>
      <c r="D43" s="59"/>
      <c r="E43" s="59"/>
      <c r="F43" s="60"/>
      <c r="G43" s="60"/>
      <c r="H43" s="61"/>
      <c r="I43" s="60"/>
      <c r="K43" s="53" t="str">
        <f>IFERROR(__xludf.DUMMYFUNCTION("IF(ISBLANK(B43),"""",IF(ISDATE(B43),""X"",""""))"),"")</f>
        <v/>
      </c>
      <c r="L43" s="40" t="str">
        <f>IFERROR(__xludf.DUMMYFUNCTION("IF(ISBLANK(B43),"""",IF(Or(I43=""Em Aberto"",ISBLANK(I43),NOT(ISDATE(B43))),"""",H43))"),"")</f>
        <v/>
      </c>
      <c r="M43" s="29" t="str">
        <f>IFERROR(__xludf.DUMMYFUNCTION("IF(ISBLANK(B43),"""",IF(ISDATE(B43),TEXT(B43,""m""),""""))"),"")</f>
        <v/>
      </c>
      <c r="N43" s="29" t="str">
        <f>IFERROR(__xludf.DUMMYFUNCTION("IF(M43="""","""",QUERY({'Dashboard-Dados'!$Y$2:$AA$13},""Select Col2 Where Col1=""&amp;M43))"),"")</f>
        <v/>
      </c>
      <c r="O43" s="29" t="str">
        <f>IFERROR(__xludf.DUMMYFUNCTION("IF(ISBLANK(B43),"""",IF(ISDATE(B43),TEXT(B43,""yyyy""),""""))"),"")</f>
        <v/>
      </c>
    </row>
    <row r="44">
      <c r="B44" s="57"/>
      <c r="C44" s="58"/>
      <c r="D44" s="59"/>
      <c r="E44" s="59"/>
      <c r="F44" s="60"/>
      <c r="G44" s="60"/>
      <c r="H44" s="61"/>
      <c r="I44" s="60"/>
      <c r="K44" s="53" t="str">
        <f>IFERROR(__xludf.DUMMYFUNCTION("IF(ISBLANK(B44),"""",IF(ISDATE(B44),""X"",""""))"),"")</f>
        <v/>
      </c>
      <c r="L44" s="40" t="str">
        <f>IFERROR(__xludf.DUMMYFUNCTION("IF(ISBLANK(B44),"""",IF(Or(I44=""Em Aberto"",ISBLANK(I44),NOT(ISDATE(B44))),"""",H44))"),"")</f>
        <v/>
      </c>
      <c r="M44" s="29" t="str">
        <f>IFERROR(__xludf.DUMMYFUNCTION("IF(ISBLANK(B44),"""",IF(ISDATE(B44),TEXT(B44,""m""),""""))"),"")</f>
        <v/>
      </c>
      <c r="N44" s="29" t="str">
        <f>IFERROR(__xludf.DUMMYFUNCTION("IF(M44="""","""",QUERY({'Dashboard-Dados'!$Y$2:$AA$13},""Select Col2 Where Col1=""&amp;M44))"),"")</f>
        <v/>
      </c>
      <c r="O44" s="29" t="str">
        <f>IFERROR(__xludf.DUMMYFUNCTION("IF(ISBLANK(B44),"""",IF(ISDATE(B44),TEXT(B44,""yyyy""),""""))"),"")</f>
        <v/>
      </c>
    </row>
    <row r="45">
      <c r="B45" s="57"/>
      <c r="C45" s="58"/>
      <c r="D45" s="59"/>
      <c r="E45" s="59"/>
      <c r="F45" s="60"/>
      <c r="G45" s="60"/>
      <c r="H45" s="61"/>
      <c r="I45" s="60"/>
      <c r="K45" s="53" t="str">
        <f>IFERROR(__xludf.DUMMYFUNCTION("IF(ISBLANK(B45),"""",IF(ISDATE(B45),""X"",""""))"),"")</f>
        <v/>
      </c>
      <c r="L45" s="40" t="str">
        <f>IFERROR(__xludf.DUMMYFUNCTION("IF(ISBLANK(B45),"""",IF(Or(I45=""Em Aberto"",ISBLANK(I45),NOT(ISDATE(B45))),"""",H45))"),"")</f>
        <v/>
      </c>
      <c r="M45" s="29" t="str">
        <f>IFERROR(__xludf.DUMMYFUNCTION("IF(ISBLANK(B45),"""",IF(ISDATE(B45),TEXT(B45,""m""),""""))"),"")</f>
        <v/>
      </c>
      <c r="N45" s="29" t="str">
        <f>IFERROR(__xludf.DUMMYFUNCTION("IF(M45="""","""",QUERY({'Dashboard-Dados'!$Y$2:$AA$13},""Select Col2 Where Col1=""&amp;M45))"),"")</f>
        <v/>
      </c>
      <c r="O45" s="29" t="str">
        <f>IFERROR(__xludf.DUMMYFUNCTION("IF(ISBLANK(B45),"""",IF(ISDATE(B45),TEXT(B45,""yyyy""),""""))"),"")</f>
        <v/>
      </c>
    </row>
    <row r="46">
      <c r="B46" s="57"/>
      <c r="C46" s="58"/>
      <c r="D46" s="59"/>
      <c r="E46" s="59"/>
      <c r="F46" s="60"/>
      <c r="G46" s="60"/>
      <c r="H46" s="61"/>
      <c r="I46" s="60"/>
      <c r="K46" s="53" t="str">
        <f>IFERROR(__xludf.DUMMYFUNCTION("IF(ISBLANK(B46),"""",IF(ISDATE(B46),""X"",""""))"),"")</f>
        <v/>
      </c>
      <c r="L46" s="40" t="str">
        <f>IFERROR(__xludf.DUMMYFUNCTION("IF(ISBLANK(B46),"""",IF(Or(I46=""Em Aberto"",ISBLANK(I46),NOT(ISDATE(B46))),"""",H46))"),"")</f>
        <v/>
      </c>
      <c r="M46" s="29" t="str">
        <f>IFERROR(__xludf.DUMMYFUNCTION("IF(ISBLANK(B46),"""",IF(ISDATE(B46),TEXT(B46,""m""),""""))"),"")</f>
        <v/>
      </c>
      <c r="N46" s="29" t="str">
        <f>IFERROR(__xludf.DUMMYFUNCTION("IF(M46="""","""",QUERY({'Dashboard-Dados'!$Y$2:$AA$13},""Select Col2 Where Col1=""&amp;M46))"),"")</f>
        <v/>
      </c>
      <c r="O46" s="29" t="str">
        <f>IFERROR(__xludf.DUMMYFUNCTION("IF(ISBLANK(B46),"""",IF(ISDATE(B46),TEXT(B46,""yyyy""),""""))"),"")</f>
        <v/>
      </c>
    </row>
    <row r="47">
      <c r="B47" s="57"/>
      <c r="C47" s="58"/>
      <c r="D47" s="59"/>
      <c r="E47" s="59"/>
      <c r="F47" s="60"/>
      <c r="G47" s="60"/>
      <c r="H47" s="61"/>
      <c r="I47" s="60"/>
      <c r="K47" s="53" t="str">
        <f>IFERROR(__xludf.DUMMYFUNCTION("IF(ISBLANK(B47),"""",IF(ISDATE(B47),""X"",""""))"),"")</f>
        <v/>
      </c>
      <c r="L47" s="40" t="str">
        <f>IFERROR(__xludf.DUMMYFUNCTION("IF(ISBLANK(B47),"""",IF(Or(I47=""Em Aberto"",ISBLANK(I47),NOT(ISDATE(B47))),"""",H47))"),"")</f>
        <v/>
      </c>
      <c r="M47" s="29" t="str">
        <f>IFERROR(__xludf.DUMMYFUNCTION("IF(ISBLANK(B47),"""",IF(ISDATE(B47),TEXT(B47,""m""),""""))"),"")</f>
        <v/>
      </c>
      <c r="N47" s="29" t="str">
        <f>IFERROR(__xludf.DUMMYFUNCTION("IF(M47="""","""",QUERY({'Dashboard-Dados'!$Y$2:$AA$13},""Select Col2 Where Col1=""&amp;M47))"),"")</f>
        <v/>
      </c>
      <c r="O47" s="29" t="str">
        <f>IFERROR(__xludf.DUMMYFUNCTION("IF(ISBLANK(B47),"""",IF(ISDATE(B47),TEXT(B47,""yyyy""),""""))"),"")</f>
        <v/>
      </c>
    </row>
    <row r="48">
      <c r="B48" s="57"/>
      <c r="C48" s="58"/>
      <c r="D48" s="59"/>
      <c r="E48" s="59"/>
      <c r="F48" s="60"/>
      <c r="G48" s="60"/>
      <c r="H48" s="61"/>
      <c r="I48" s="60"/>
      <c r="K48" s="53" t="str">
        <f>IFERROR(__xludf.DUMMYFUNCTION("IF(ISBLANK(B48),"""",IF(ISDATE(B48),""X"",""""))"),"")</f>
        <v/>
      </c>
      <c r="L48" s="40" t="str">
        <f>IFERROR(__xludf.DUMMYFUNCTION("IF(ISBLANK(B48),"""",IF(Or(I48=""Em Aberto"",ISBLANK(I48),NOT(ISDATE(B48))),"""",H48))"),"")</f>
        <v/>
      </c>
      <c r="M48" s="29" t="str">
        <f>IFERROR(__xludf.DUMMYFUNCTION("IF(ISBLANK(B48),"""",IF(ISDATE(B48),TEXT(B48,""m""),""""))"),"")</f>
        <v/>
      </c>
      <c r="N48" s="29" t="str">
        <f>IFERROR(__xludf.DUMMYFUNCTION("IF(M48="""","""",QUERY({'Dashboard-Dados'!$Y$2:$AA$13},""Select Col2 Where Col1=""&amp;M48))"),"")</f>
        <v/>
      </c>
      <c r="O48" s="29" t="str">
        <f>IFERROR(__xludf.DUMMYFUNCTION("IF(ISBLANK(B48),"""",IF(ISDATE(B48),TEXT(B48,""yyyy""),""""))"),"")</f>
        <v/>
      </c>
    </row>
    <row r="49">
      <c r="B49" s="57"/>
      <c r="C49" s="58"/>
      <c r="D49" s="59"/>
      <c r="E49" s="59"/>
      <c r="F49" s="60"/>
      <c r="G49" s="60"/>
      <c r="H49" s="61"/>
      <c r="I49" s="60"/>
      <c r="K49" s="53" t="str">
        <f>IFERROR(__xludf.DUMMYFUNCTION("IF(ISBLANK(B49),"""",IF(ISDATE(B49),""X"",""""))"),"")</f>
        <v/>
      </c>
      <c r="L49" s="40" t="str">
        <f>IFERROR(__xludf.DUMMYFUNCTION("IF(ISBLANK(B49),"""",IF(Or(I49=""Em Aberto"",ISBLANK(I49),NOT(ISDATE(B49))),"""",H49))"),"")</f>
        <v/>
      </c>
      <c r="M49" s="29" t="str">
        <f>IFERROR(__xludf.DUMMYFUNCTION("IF(ISBLANK(B49),"""",IF(ISDATE(B49),TEXT(B49,""m""),""""))"),"")</f>
        <v/>
      </c>
      <c r="N49" s="29" t="str">
        <f>IFERROR(__xludf.DUMMYFUNCTION("IF(M49="""","""",QUERY({'Dashboard-Dados'!$Y$2:$AA$13},""Select Col2 Where Col1=""&amp;M49))"),"")</f>
        <v/>
      </c>
      <c r="O49" s="29" t="str">
        <f>IFERROR(__xludf.DUMMYFUNCTION("IF(ISBLANK(B49),"""",IF(ISDATE(B49),TEXT(B49,""yyyy""),""""))"),"")</f>
        <v/>
      </c>
    </row>
    <row r="50">
      <c r="B50" s="57"/>
      <c r="C50" s="58"/>
      <c r="D50" s="59"/>
      <c r="E50" s="59"/>
      <c r="F50" s="60"/>
      <c r="G50" s="60"/>
      <c r="H50" s="61"/>
      <c r="I50" s="60"/>
      <c r="K50" s="53" t="str">
        <f>IFERROR(__xludf.DUMMYFUNCTION("IF(ISBLANK(B50),"""",IF(ISDATE(B50),""X"",""""))"),"")</f>
        <v/>
      </c>
      <c r="L50" s="40" t="str">
        <f>IFERROR(__xludf.DUMMYFUNCTION("IF(ISBLANK(B50),"""",IF(Or(I50=""Em Aberto"",ISBLANK(I50),NOT(ISDATE(B50))),"""",H50))"),"")</f>
        <v/>
      </c>
      <c r="M50" s="29" t="str">
        <f>IFERROR(__xludf.DUMMYFUNCTION("IF(ISBLANK(B50),"""",IF(ISDATE(B50),TEXT(B50,""m""),""""))"),"")</f>
        <v/>
      </c>
      <c r="N50" s="29" t="str">
        <f>IFERROR(__xludf.DUMMYFUNCTION("IF(M50="""","""",QUERY({'Dashboard-Dados'!$Y$2:$AA$13},""Select Col2 Where Col1=""&amp;M50))"),"")</f>
        <v/>
      </c>
      <c r="O50" s="29" t="str">
        <f>IFERROR(__xludf.DUMMYFUNCTION("IF(ISBLANK(B50),"""",IF(ISDATE(B50),TEXT(B50,""yyyy""),""""))"),"")</f>
        <v/>
      </c>
    </row>
    <row r="51">
      <c r="B51" s="57"/>
      <c r="C51" s="58"/>
      <c r="D51" s="59"/>
      <c r="E51" s="59"/>
      <c r="F51" s="60"/>
      <c r="G51" s="60"/>
      <c r="H51" s="61"/>
      <c r="I51" s="60"/>
      <c r="K51" s="53" t="str">
        <f>IFERROR(__xludf.DUMMYFUNCTION("IF(ISBLANK(B51),"""",IF(ISDATE(B51),""X"",""""))"),"")</f>
        <v/>
      </c>
      <c r="L51" s="40" t="str">
        <f>IFERROR(__xludf.DUMMYFUNCTION("IF(ISBLANK(B51),"""",IF(Or(I51=""Em Aberto"",ISBLANK(I51),NOT(ISDATE(B51))),"""",H51))"),"")</f>
        <v/>
      </c>
      <c r="M51" s="29" t="str">
        <f>IFERROR(__xludf.DUMMYFUNCTION("IF(ISBLANK(B51),"""",IF(ISDATE(B51),TEXT(B51,""m""),""""))"),"")</f>
        <v/>
      </c>
      <c r="N51" s="29" t="str">
        <f>IFERROR(__xludf.DUMMYFUNCTION("IF(M51="""","""",QUERY({'Dashboard-Dados'!$Y$2:$AA$13},""Select Col2 Where Col1=""&amp;M51))"),"")</f>
        <v/>
      </c>
      <c r="O51" s="29" t="str">
        <f>IFERROR(__xludf.DUMMYFUNCTION("IF(ISBLANK(B51),"""",IF(ISDATE(B51),TEXT(B51,""yyyy""),""""))"),"")</f>
        <v/>
      </c>
    </row>
    <row r="52">
      <c r="B52" s="57"/>
      <c r="C52" s="58"/>
      <c r="D52" s="59"/>
      <c r="E52" s="59"/>
      <c r="F52" s="60"/>
      <c r="G52" s="60"/>
      <c r="H52" s="61"/>
      <c r="I52" s="60"/>
      <c r="K52" s="53" t="str">
        <f>IFERROR(__xludf.DUMMYFUNCTION("IF(ISBLANK(B52),"""",IF(ISDATE(B52),""X"",""""))"),"")</f>
        <v/>
      </c>
      <c r="L52" s="40" t="str">
        <f>IFERROR(__xludf.DUMMYFUNCTION("IF(ISBLANK(B52),"""",IF(Or(I52=""Em Aberto"",ISBLANK(I52),NOT(ISDATE(B52))),"""",H52))"),"")</f>
        <v/>
      </c>
      <c r="M52" s="29" t="str">
        <f>IFERROR(__xludf.DUMMYFUNCTION("IF(ISBLANK(B52),"""",IF(ISDATE(B52),TEXT(B52,""m""),""""))"),"")</f>
        <v/>
      </c>
      <c r="N52" s="29" t="str">
        <f>IFERROR(__xludf.DUMMYFUNCTION("IF(M52="""","""",QUERY({'Dashboard-Dados'!$Y$2:$AA$13},""Select Col2 Where Col1=""&amp;M52))"),"")</f>
        <v/>
      </c>
      <c r="O52" s="29" t="str">
        <f>IFERROR(__xludf.DUMMYFUNCTION("IF(ISBLANK(B52),"""",IF(ISDATE(B52),TEXT(B52,""yyyy""),""""))"),"")</f>
        <v/>
      </c>
    </row>
    <row r="53">
      <c r="B53" s="57"/>
      <c r="C53" s="58"/>
      <c r="D53" s="59"/>
      <c r="E53" s="59"/>
      <c r="F53" s="60"/>
      <c r="G53" s="60"/>
      <c r="H53" s="61"/>
      <c r="I53" s="60"/>
      <c r="K53" s="53" t="str">
        <f>IFERROR(__xludf.DUMMYFUNCTION("IF(ISBLANK(B53),"""",IF(ISDATE(B53),""X"",""""))"),"")</f>
        <v/>
      </c>
      <c r="L53" s="40" t="str">
        <f>IFERROR(__xludf.DUMMYFUNCTION("IF(ISBLANK(B53),"""",IF(Or(I53=""Em Aberto"",ISBLANK(I53),NOT(ISDATE(B53))),"""",H53))"),"")</f>
        <v/>
      </c>
      <c r="M53" s="29" t="str">
        <f>IFERROR(__xludf.DUMMYFUNCTION("IF(ISBLANK(B53),"""",IF(ISDATE(B53),TEXT(B53,""m""),""""))"),"")</f>
        <v/>
      </c>
      <c r="N53" s="29" t="str">
        <f>IFERROR(__xludf.DUMMYFUNCTION("IF(M53="""","""",QUERY({'Dashboard-Dados'!$Y$2:$AA$13},""Select Col2 Where Col1=""&amp;M53))"),"")</f>
        <v/>
      </c>
      <c r="O53" s="29" t="str">
        <f>IFERROR(__xludf.DUMMYFUNCTION("IF(ISBLANK(B53),"""",IF(ISDATE(B53),TEXT(B53,""yyyy""),""""))"),"")</f>
        <v/>
      </c>
    </row>
    <row r="54">
      <c r="B54" s="57"/>
      <c r="C54" s="58"/>
      <c r="D54" s="59"/>
      <c r="E54" s="59"/>
      <c r="F54" s="60"/>
      <c r="G54" s="60"/>
      <c r="H54" s="61"/>
      <c r="I54" s="60"/>
      <c r="K54" s="53" t="str">
        <f>IFERROR(__xludf.DUMMYFUNCTION("IF(ISBLANK(B54),"""",IF(ISDATE(B54),""X"",""""))"),"")</f>
        <v/>
      </c>
      <c r="L54" s="40" t="str">
        <f>IFERROR(__xludf.DUMMYFUNCTION("IF(ISBLANK(B54),"""",IF(Or(I54=""Em Aberto"",ISBLANK(I54),NOT(ISDATE(B54))),"""",H54))"),"")</f>
        <v/>
      </c>
      <c r="M54" s="29" t="str">
        <f>IFERROR(__xludf.DUMMYFUNCTION("IF(ISBLANK(B54),"""",IF(ISDATE(B54),TEXT(B54,""m""),""""))"),"")</f>
        <v/>
      </c>
      <c r="N54" s="29" t="str">
        <f>IFERROR(__xludf.DUMMYFUNCTION("IF(M54="""","""",QUERY({'Dashboard-Dados'!$Y$2:$AA$13},""Select Col2 Where Col1=""&amp;M54))"),"")</f>
        <v/>
      </c>
      <c r="O54" s="29" t="str">
        <f>IFERROR(__xludf.DUMMYFUNCTION("IF(ISBLANK(B54),"""",IF(ISDATE(B54),TEXT(B54,""yyyy""),""""))"),"")</f>
        <v/>
      </c>
    </row>
    <row r="55">
      <c r="B55" s="57"/>
      <c r="C55" s="58"/>
      <c r="D55" s="59"/>
      <c r="E55" s="59"/>
      <c r="F55" s="60"/>
      <c r="G55" s="60"/>
      <c r="H55" s="61"/>
      <c r="I55" s="60"/>
      <c r="K55" s="53" t="str">
        <f>IFERROR(__xludf.DUMMYFUNCTION("IF(ISBLANK(B55),"""",IF(ISDATE(B55),""X"",""""))"),"")</f>
        <v/>
      </c>
      <c r="L55" s="40" t="str">
        <f>IFERROR(__xludf.DUMMYFUNCTION("IF(ISBLANK(B55),"""",IF(Or(I55=""Em Aberto"",ISBLANK(I55),NOT(ISDATE(B55))),"""",H55))"),"")</f>
        <v/>
      </c>
      <c r="M55" s="29" t="str">
        <f>IFERROR(__xludf.DUMMYFUNCTION("IF(ISBLANK(B55),"""",IF(ISDATE(B55),TEXT(B55,""m""),""""))"),"")</f>
        <v/>
      </c>
      <c r="N55" s="29" t="str">
        <f>IFERROR(__xludf.DUMMYFUNCTION("IF(M55="""","""",QUERY({'Dashboard-Dados'!$Y$2:$AA$13},""Select Col2 Where Col1=""&amp;M55))"),"")</f>
        <v/>
      </c>
      <c r="O55" s="29" t="str">
        <f>IFERROR(__xludf.DUMMYFUNCTION("IF(ISBLANK(B55),"""",IF(ISDATE(B55),TEXT(B55,""yyyy""),""""))"),"")</f>
        <v/>
      </c>
    </row>
    <row r="56">
      <c r="B56" s="57"/>
      <c r="C56" s="58"/>
      <c r="D56" s="59"/>
      <c r="E56" s="59"/>
      <c r="F56" s="60"/>
      <c r="G56" s="60"/>
      <c r="H56" s="61"/>
      <c r="I56" s="60"/>
      <c r="K56" s="53" t="str">
        <f>IFERROR(__xludf.DUMMYFUNCTION("IF(ISBLANK(B56),"""",IF(ISDATE(B56),""X"",""""))"),"")</f>
        <v/>
      </c>
      <c r="L56" s="40" t="str">
        <f>IFERROR(__xludf.DUMMYFUNCTION("IF(ISBLANK(B56),"""",IF(Or(I56=""Em Aberto"",ISBLANK(I56),NOT(ISDATE(B56))),"""",H56))"),"")</f>
        <v/>
      </c>
      <c r="M56" s="29" t="str">
        <f>IFERROR(__xludf.DUMMYFUNCTION("IF(ISBLANK(B56),"""",IF(ISDATE(B56),TEXT(B56,""m""),""""))"),"")</f>
        <v/>
      </c>
      <c r="N56" s="29" t="str">
        <f>IFERROR(__xludf.DUMMYFUNCTION("IF(M56="""","""",QUERY({'Dashboard-Dados'!$Y$2:$AA$13},""Select Col2 Where Col1=""&amp;M56))"),"")</f>
        <v/>
      </c>
      <c r="O56" s="29" t="str">
        <f>IFERROR(__xludf.DUMMYFUNCTION("IF(ISBLANK(B56),"""",IF(ISDATE(B56),TEXT(B56,""yyyy""),""""))"),"")</f>
        <v/>
      </c>
    </row>
    <row r="57">
      <c r="B57" s="57"/>
      <c r="C57" s="58"/>
      <c r="D57" s="59"/>
      <c r="E57" s="59"/>
      <c r="F57" s="60"/>
      <c r="G57" s="60"/>
      <c r="H57" s="61"/>
      <c r="I57" s="60"/>
      <c r="K57" s="53" t="str">
        <f>IFERROR(__xludf.DUMMYFUNCTION("IF(ISBLANK(B57),"""",IF(ISDATE(B57),""X"",""""))"),"")</f>
        <v/>
      </c>
      <c r="L57" s="40" t="str">
        <f>IFERROR(__xludf.DUMMYFUNCTION("IF(ISBLANK(B57),"""",IF(Or(I57=""Em Aberto"",ISBLANK(I57),NOT(ISDATE(B57))),"""",H57))"),"")</f>
        <v/>
      </c>
      <c r="M57" s="29" t="str">
        <f>IFERROR(__xludf.DUMMYFUNCTION("IF(ISBLANK(B57),"""",IF(ISDATE(B57),TEXT(B57,""m""),""""))"),"")</f>
        <v/>
      </c>
      <c r="N57" s="29" t="str">
        <f>IFERROR(__xludf.DUMMYFUNCTION("IF(M57="""","""",QUERY({'Dashboard-Dados'!$Y$2:$AA$13},""Select Col2 Where Col1=""&amp;M57))"),"")</f>
        <v/>
      </c>
      <c r="O57" s="29" t="str">
        <f>IFERROR(__xludf.DUMMYFUNCTION("IF(ISBLANK(B57),"""",IF(ISDATE(B57),TEXT(B57,""yyyy""),""""))"),"")</f>
        <v/>
      </c>
    </row>
    <row r="58">
      <c r="B58" s="57"/>
      <c r="C58" s="58"/>
      <c r="D58" s="59"/>
      <c r="E58" s="59"/>
      <c r="F58" s="60"/>
      <c r="G58" s="60"/>
      <c r="H58" s="61"/>
      <c r="I58" s="60"/>
      <c r="K58" s="53" t="str">
        <f>IFERROR(__xludf.DUMMYFUNCTION("IF(ISBLANK(B58),"""",IF(ISDATE(B58),""X"",""""))"),"")</f>
        <v/>
      </c>
      <c r="L58" s="40" t="str">
        <f>IFERROR(__xludf.DUMMYFUNCTION("IF(ISBLANK(B58),"""",IF(Or(I58=""Em Aberto"",ISBLANK(I58),NOT(ISDATE(B58))),"""",H58))"),"")</f>
        <v/>
      </c>
      <c r="M58" s="29" t="str">
        <f>IFERROR(__xludf.DUMMYFUNCTION("IF(ISBLANK(B58),"""",IF(ISDATE(B58),TEXT(B58,""m""),""""))"),"")</f>
        <v/>
      </c>
      <c r="N58" s="29" t="str">
        <f>IFERROR(__xludf.DUMMYFUNCTION("IF(M58="""","""",QUERY({'Dashboard-Dados'!$Y$2:$AA$13},""Select Col2 Where Col1=""&amp;M58))"),"")</f>
        <v/>
      </c>
      <c r="O58" s="29" t="str">
        <f>IFERROR(__xludf.DUMMYFUNCTION("IF(ISBLANK(B58),"""",IF(ISDATE(B58),TEXT(B58,""yyyy""),""""))"),"")</f>
        <v/>
      </c>
    </row>
    <row r="59">
      <c r="B59" s="57"/>
      <c r="C59" s="58"/>
      <c r="D59" s="59"/>
      <c r="E59" s="59"/>
      <c r="F59" s="60"/>
      <c r="G59" s="60"/>
      <c r="H59" s="61"/>
      <c r="I59" s="60"/>
      <c r="K59" s="53" t="str">
        <f>IFERROR(__xludf.DUMMYFUNCTION("IF(ISBLANK(B59),"""",IF(ISDATE(B59),""X"",""""))"),"")</f>
        <v/>
      </c>
      <c r="L59" s="40" t="str">
        <f>IFERROR(__xludf.DUMMYFUNCTION("IF(ISBLANK(B59),"""",IF(Or(I59=""Em Aberto"",ISBLANK(I59),NOT(ISDATE(B59))),"""",H59))"),"")</f>
        <v/>
      </c>
      <c r="M59" s="29" t="str">
        <f>IFERROR(__xludf.DUMMYFUNCTION("IF(ISBLANK(B59),"""",IF(ISDATE(B59),TEXT(B59,""m""),""""))"),"")</f>
        <v/>
      </c>
      <c r="N59" s="29" t="str">
        <f>IFERROR(__xludf.DUMMYFUNCTION("IF(M59="""","""",QUERY({'Dashboard-Dados'!$Y$2:$AA$13},""Select Col2 Where Col1=""&amp;M59))"),"")</f>
        <v/>
      </c>
      <c r="O59" s="29" t="str">
        <f>IFERROR(__xludf.DUMMYFUNCTION("IF(ISBLANK(B59),"""",IF(ISDATE(B59),TEXT(B59,""yyyy""),""""))"),"")</f>
        <v/>
      </c>
    </row>
    <row r="60">
      <c r="B60" s="57"/>
      <c r="C60" s="58"/>
      <c r="D60" s="59"/>
      <c r="E60" s="59"/>
      <c r="F60" s="60"/>
      <c r="G60" s="60"/>
      <c r="H60" s="61"/>
      <c r="I60" s="60"/>
      <c r="K60" s="53" t="str">
        <f>IFERROR(__xludf.DUMMYFUNCTION("IF(ISBLANK(B60),"""",IF(ISDATE(B60),""X"",""""))"),"")</f>
        <v/>
      </c>
      <c r="L60" s="40" t="str">
        <f>IFERROR(__xludf.DUMMYFUNCTION("IF(ISBLANK(B60),"""",IF(Or(I60=""Em Aberto"",ISBLANK(I60),NOT(ISDATE(B60))),"""",H60))"),"")</f>
        <v/>
      </c>
      <c r="M60" s="29" t="str">
        <f>IFERROR(__xludf.DUMMYFUNCTION("IF(ISBLANK(B60),"""",IF(ISDATE(B60),TEXT(B60,""m""),""""))"),"")</f>
        <v/>
      </c>
      <c r="N60" s="29" t="str">
        <f>IFERROR(__xludf.DUMMYFUNCTION("IF(M60="""","""",QUERY({'Dashboard-Dados'!$Y$2:$AA$13},""Select Col2 Where Col1=""&amp;M60))"),"")</f>
        <v/>
      </c>
      <c r="O60" s="29" t="str">
        <f>IFERROR(__xludf.DUMMYFUNCTION("IF(ISBLANK(B60),"""",IF(ISDATE(B60),TEXT(B60,""yyyy""),""""))"),"")</f>
        <v/>
      </c>
    </row>
    <row r="61">
      <c r="B61" s="57"/>
      <c r="C61" s="58"/>
      <c r="D61" s="59"/>
      <c r="E61" s="59"/>
      <c r="F61" s="60"/>
      <c r="G61" s="60"/>
      <c r="H61" s="61"/>
      <c r="I61" s="60"/>
      <c r="K61" s="53" t="str">
        <f>IFERROR(__xludf.DUMMYFUNCTION("IF(ISBLANK(B61),"""",IF(ISDATE(B61),""X"",""""))"),"")</f>
        <v/>
      </c>
      <c r="L61" s="40" t="str">
        <f>IFERROR(__xludf.DUMMYFUNCTION("IF(ISBLANK(B61),"""",IF(Or(I61=""Em Aberto"",ISBLANK(I61),NOT(ISDATE(B61))),"""",H61))"),"")</f>
        <v/>
      </c>
      <c r="M61" s="29" t="str">
        <f>IFERROR(__xludf.DUMMYFUNCTION("IF(ISBLANK(B61),"""",IF(ISDATE(B61),TEXT(B61,""m""),""""))"),"")</f>
        <v/>
      </c>
      <c r="N61" s="29" t="str">
        <f>IFERROR(__xludf.DUMMYFUNCTION("IF(M61="""","""",QUERY({'Dashboard-Dados'!$Y$2:$AA$13},""Select Col2 Where Col1=""&amp;M61))"),"")</f>
        <v/>
      </c>
      <c r="O61" s="29" t="str">
        <f>IFERROR(__xludf.DUMMYFUNCTION("IF(ISBLANK(B61),"""",IF(ISDATE(B61),TEXT(B61,""yyyy""),""""))"),"")</f>
        <v/>
      </c>
    </row>
    <row r="62">
      <c r="B62" s="57"/>
      <c r="C62" s="58"/>
      <c r="D62" s="59"/>
      <c r="E62" s="59"/>
      <c r="F62" s="60"/>
      <c r="G62" s="60"/>
      <c r="H62" s="61"/>
      <c r="I62" s="60"/>
      <c r="K62" s="53" t="str">
        <f>IFERROR(__xludf.DUMMYFUNCTION("IF(ISBLANK(B62),"""",IF(ISDATE(B62),""X"",""""))"),"")</f>
        <v/>
      </c>
      <c r="L62" s="40" t="str">
        <f>IFERROR(__xludf.DUMMYFUNCTION("IF(ISBLANK(B62),"""",IF(Or(I62=""Em Aberto"",ISBLANK(I62),NOT(ISDATE(B62))),"""",H62))"),"")</f>
        <v/>
      </c>
      <c r="M62" s="29" t="str">
        <f>IFERROR(__xludf.DUMMYFUNCTION("IF(ISBLANK(B62),"""",IF(ISDATE(B62),TEXT(B62,""m""),""""))"),"")</f>
        <v/>
      </c>
      <c r="N62" s="29" t="str">
        <f>IFERROR(__xludf.DUMMYFUNCTION("IF(M62="""","""",QUERY({'Dashboard-Dados'!$Y$2:$AA$13},""Select Col2 Where Col1=""&amp;M62))"),"")</f>
        <v/>
      </c>
      <c r="O62" s="29" t="str">
        <f>IFERROR(__xludf.DUMMYFUNCTION("IF(ISBLANK(B62),"""",IF(ISDATE(B62),TEXT(B62,""yyyy""),""""))"),"")</f>
        <v/>
      </c>
    </row>
    <row r="63">
      <c r="B63" s="57"/>
      <c r="C63" s="58"/>
      <c r="D63" s="59"/>
      <c r="E63" s="59"/>
      <c r="F63" s="60"/>
      <c r="G63" s="60"/>
      <c r="H63" s="61"/>
      <c r="I63" s="60"/>
      <c r="K63" s="53" t="str">
        <f>IFERROR(__xludf.DUMMYFUNCTION("IF(ISBLANK(B63),"""",IF(ISDATE(B63),""X"",""""))"),"")</f>
        <v/>
      </c>
      <c r="L63" s="40" t="str">
        <f>IFERROR(__xludf.DUMMYFUNCTION("IF(ISBLANK(B63),"""",IF(Or(I63=""Em Aberto"",ISBLANK(I63),NOT(ISDATE(B63))),"""",H63))"),"")</f>
        <v/>
      </c>
      <c r="M63" s="29" t="str">
        <f>IFERROR(__xludf.DUMMYFUNCTION("IF(ISBLANK(B63),"""",IF(ISDATE(B63),TEXT(B63,""m""),""""))"),"")</f>
        <v/>
      </c>
      <c r="N63" s="29" t="str">
        <f>IFERROR(__xludf.DUMMYFUNCTION("IF(M63="""","""",QUERY({'Dashboard-Dados'!$Y$2:$AA$13},""Select Col2 Where Col1=""&amp;M63))"),"")</f>
        <v/>
      </c>
      <c r="O63" s="29" t="str">
        <f>IFERROR(__xludf.DUMMYFUNCTION("IF(ISBLANK(B63),"""",IF(ISDATE(B63),TEXT(B63,""yyyy""),""""))"),"")</f>
        <v/>
      </c>
    </row>
    <row r="64">
      <c r="B64" s="57"/>
      <c r="C64" s="58"/>
      <c r="D64" s="59"/>
      <c r="E64" s="59"/>
      <c r="F64" s="60"/>
      <c r="G64" s="60"/>
      <c r="H64" s="61"/>
      <c r="I64" s="60"/>
      <c r="K64" s="53" t="str">
        <f>IFERROR(__xludf.DUMMYFUNCTION("IF(ISBLANK(B64),"""",IF(ISDATE(B64),""X"",""""))"),"")</f>
        <v/>
      </c>
      <c r="L64" s="40" t="str">
        <f>IFERROR(__xludf.DUMMYFUNCTION("IF(ISBLANK(B64),"""",IF(Or(I64=""Em Aberto"",ISBLANK(I64),NOT(ISDATE(B64))),"""",H64))"),"")</f>
        <v/>
      </c>
      <c r="M64" s="29" t="str">
        <f>IFERROR(__xludf.DUMMYFUNCTION("IF(ISBLANK(B64),"""",IF(ISDATE(B64),TEXT(B64,""m""),""""))"),"")</f>
        <v/>
      </c>
      <c r="N64" s="29" t="str">
        <f>IFERROR(__xludf.DUMMYFUNCTION("IF(M64="""","""",QUERY({'Dashboard-Dados'!$Y$2:$AA$13},""Select Col2 Where Col1=""&amp;M64))"),"")</f>
        <v/>
      </c>
      <c r="O64" s="29" t="str">
        <f>IFERROR(__xludf.DUMMYFUNCTION("IF(ISBLANK(B64),"""",IF(ISDATE(B64),TEXT(B64,""yyyy""),""""))"),"")</f>
        <v/>
      </c>
    </row>
    <row r="65">
      <c r="B65" s="57"/>
      <c r="C65" s="58"/>
      <c r="D65" s="59"/>
      <c r="E65" s="59"/>
      <c r="F65" s="60"/>
      <c r="G65" s="60"/>
      <c r="H65" s="61"/>
      <c r="I65" s="60"/>
      <c r="K65" s="53" t="str">
        <f>IFERROR(__xludf.DUMMYFUNCTION("IF(ISBLANK(B65),"""",IF(ISDATE(B65),""X"",""""))"),"")</f>
        <v/>
      </c>
      <c r="L65" s="40" t="str">
        <f>IFERROR(__xludf.DUMMYFUNCTION("IF(ISBLANK(B65),"""",IF(Or(I65=""Em Aberto"",ISBLANK(I65),NOT(ISDATE(B65))),"""",H65))"),"")</f>
        <v/>
      </c>
      <c r="M65" s="29" t="str">
        <f>IFERROR(__xludf.DUMMYFUNCTION("IF(ISBLANK(B65),"""",IF(ISDATE(B65),TEXT(B65,""m""),""""))"),"")</f>
        <v/>
      </c>
      <c r="N65" s="29" t="str">
        <f>IFERROR(__xludf.DUMMYFUNCTION("IF(M65="""","""",QUERY({'Dashboard-Dados'!$Y$2:$AA$13},""Select Col2 Where Col1=""&amp;M65))"),"")</f>
        <v/>
      </c>
      <c r="O65" s="29" t="str">
        <f>IFERROR(__xludf.DUMMYFUNCTION("IF(ISBLANK(B65),"""",IF(ISDATE(B65),TEXT(B65,""yyyy""),""""))"),"")</f>
        <v/>
      </c>
    </row>
    <row r="66">
      <c r="B66" s="57"/>
      <c r="C66" s="58"/>
      <c r="D66" s="59"/>
      <c r="E66" s="59"/>
      <c r="F66" s="60"/>
      <c r="G66" s="60"/>
      <c r="H66" s="61"/>
      <c r="I66" s="60"/>
      <c r="K66" s="53" t="str">
        <f>IFERROR(__xludf.DUMMYFUNCTION("IF(ISBLANK(B66),"""",IF(ISDATE(B66),""X"",""""))"),"")</f>
        <v/>
      </c>
      <c r="L66" s="40" t="str">
        <f>IFERROR(__xludf.DUMMYFUNCTION("IF(ISBLANK(B66),"""",IF(Or(I66=""Em Aberto"",ISBLANK(I66),NOT(ISDATE(B66))),"""",H66))"),"")</f>
        <v/>
      </c>
      <c r="M66" s="29" t="str">
        <f>IFERROR(__xludf.DUMMYFUNCTION("IF(ISBLANK(B66),"""",IF(ISDATE(B66),TEXT(B66,""m""),""""))"),"")</f>
        <v/>
      </c>
      <c r="N66" s="29" t="str">
        <f>IFERROR(__xludf.DUMMYFUNCTION("IF(M66="""","""",QUERY({'Dashboard-Dados'!$Y$2:$AA$13},""Select Col2 Where Col1=""&amp;M66))"),"")</f>
        <v/>
      </c>
      <c r="O66" s="29" t="str">
        <f>IFERROR(__xludf.DUMMYFUNCTION("IF(ISBLANK(B66),"""",IF(ISDATE(B66),TEXT(B66,""yyyy""),""""))"),"")</f>
        <v/>
      </c>
    </row>
    <row r="67">
      <c r="B67" s="57"/>
      <c r="C67" s="58"/>
      <c r="D67" s="59"/>
      <c r="E67" s="59"/>
      <c r="F67" s="60"/>
      <c r="G67" s="60"/>
      <c r="H67" s="61"/>
      <c r="I67" s="60"/>
      <c r="K67" s="53" t="str">
        <f>IFERROR(__xludf.DUMMYFUNCTION("IF(ISBLANK(B67),"""",IF(ISDATE(B67),""X"",""""))"),"")</f>
        <v/>
      </c>
      <c r="L67" s="40" t="str">
        <f>IFERROR(__xludf.DUMMYFUNCTION("IF(ISBLANK(B67),"""",IF(Or(I67=""Em Aberto"",ISBLANK(I67),NOT(ISDATE(B67))),"""",H67))"),"")</f>
        <v/>
      </c>
      <c r="M67" s="29" t="str">
        <f>IFERROR(__xludf.DUMMYFUNCTION("IF(ISBLANK(B67),"""",IF(ISDATE(B67),TEXT(B67,""m""),""""))"),"")</f>
        <v/>
      </c>
      <c r="N67" s="29" t="str">
        <f>IFERROR(__xludf.DUMMYFUNCTION("IF(M67="""","""",QUERY({'Dashboard-Dados'!$Y$2:$AA$13},""Select Col2 Where Col1=""&amp;M67))"),"")</f>
        <v/>
      </c>
      <c r="O67" s="29" t="str">
        <f>IFERROR(__xludf.DUMMYFUNCTION("IF(ISBLANK(B67),"""",IF(ISDATE(B67),TEXT(B67,""yyyy""),""""))"),"")</f>
        <v/>
      </c>
    </row>
    <row r="68">
      <c r="B68" s="57"/>
      <c r="C68" s="58"/>
      <c r="D68" s="59"/>
      <c r="E68" s="59"/>
      <c r="F68" s="60"/>
      <c r="G68" s="60"/>
      <c r="H68" s="61"/>
      <c r="I68" s="60"/>
      <c r="K68" s="53" t="str">
        <f>IFERROR(__xludf.DUMMYFUNCTION("IF(ISBLANK(B68),"""",IF(ISDATE(B68),""X"",""""))"),"")</f>
        <v/>
      </c>
      <c r="L68" s="40" t="str">
        <f>IFERROR(__xludf.DUMMYFUNCTION("IF(ISBLANK(B68),"""",IF(Or(I68=""Em Aberto"",ISBLANK(I68),NOT(ISDATE(B68))),"""",H68))"),"")</f>
        <v/>
      </c>
      <c r="M68" s="29" t="str">
        <f>IFERROR(__xludf.DUMMYFUNCTION("IF(ISBLANK(B68),"""",IF(ISDATE(B68),TEXT(B68,""m""),""""))"),"")</f>
        <v/>
      </c>
      <c r="N68" s="29" t="str">
        <f>IFERROR(__xludf.DUMMYFUNCTION("IF(M68="""","""",QUERY({'Dashboard-Dados'!$Y$2:$AA$13},""Select Col2 Where Col1=""&amp;M68))"),"")</f>
        <v/>
      </c>
      <c r="O68" s="29" t="str">
        <f>IFERROR(__xludf.DUMMYFUNCTION("IF(ISBLANK(B68),"""",IF(ISDATE(B68),TEXT(B68,""yyyy""),""""))"),"")</f>
        <v/>
      </c>
    </row>
    <row r="69">
      <c r="B69" s="57"/>
      <c r="C69" s="58"/>
      <c r="D69" s="59"/>
      <c r="E69" s="59"/>
      <c r="F69" s="60"/>
      <c r="G69" s="60"/>
      <c r="H69" s="61"/>
      <c r="I69" s="60"/>
      <c r="K69" s="53" t="str">
        <f>IFERROR(__xludf.DUMMYFUNCTION("IF(ISBLANK(B69),"""",IF(ISDATE(B69),""X"",""""))"),"")</f>
        <v/>
      </c>
      <c r="L69" s="40" t="str">
        <f>IFERROR(__xludf.DUMMYFUNCTION("IF(ISBLANK(B69),"""",IF(Or(I69=""Em Aberto"",ISBLANK(I69),NOT(ISDATE(B69))),"""",H69))"),"")</f>
        <v/>
      </c>
      <c r="M69" s="29" t="str">
        <f>IFERROR(__xludf.DUMMYFUNCTION("IF(ISBLANK(B69),"""",IF(ISDATE(B69),TEXT(B69,""m""),""""))"),"")</f>
        <v/>
      </c>
      <c r="N69" s="29" t="str">
        <f>IFERROR(__xludf.DUMMYFUNCTION("IF(M69="""","""",QUERY({'Dashboard-Dados'!$Y$2:$AA$13},""Select Col2 Where Col1=""&amp;M69))"),"")</f>
        <v/>
      </c>
      <c r="O69" s="29" t="str">
        <f>IFERROR(__xludf.DUMMYFUNCTION("IF(ISBLANK(B69),"""",IF(ISDATE(B69),TEXT(B69,""yyyy""),""""))"),"")</f>
        <v/>
      </c>
    </row>
    <row r="70">
      <c r="B70" s="57"/>
      <c r="C70" s="58"/>
      <c r="D70" s="59"/>
      <c r="E70" s="59"/>
      <c r="F70" s="60"/>
      <c r="G70" s="60"/>
      <c r="H70" s="61"/>
      <c r="I70" s="60"/>
      <c r="K70" s="53" t="str">
        <f>IFERROR(__xludf.DUMMYFUNCTION("IF(ISBLANK(B70),"""",IF(ISDATE(B70),""X"",""""))"),"")</f>
        <v/>
      </c>
      <c r="L70" s="40" t="str">
        <f>IFERROR(__xludf.DUMMYFUNCTION("IF(ISBLANK(B70),"""",IF(Or(I70=""Em Aberto"",ISBLANK(I70),NOT(ISDATE(B70))),"""",H70))"),"")</f>
        <v/>
      </c>
      <c r="M70" s="29" t="str">
        <f>IFERROR(__xludf.DUMMYFUNCTION("IF(ISBLANK(B70),"""",IF(ISDATE(B70),TEXT(B70,""m""),""""))"),"")</f>
        <v/>
      </c>
      <c r="N70" s="29" t="str">
        <f>IFERROR(__xludf.DUMMYFUNCTION("IF(M70="""","""",QUERY({'Dashboard-Dados'!$Y$2:$AA$13},""Select Col2 Where Col1=""&amp;M70))"),"")</f>
        <v/>
      </c>
      <c r="O70" s="29" t="str">
        <f>IFERROR(__xludf.DUMMYFUNCTION("IF(ISBLANK(B70),"""",IF(ISDATE(B70),TEXT(B70,""yyyy""),""""))"),"")</f>
        <v/>
      </c>
    </row>
    <row r="71">
      <c r="B71" s="57"/>
      <c r="C71" s="58"/>
      <c r="D71" s="59"/>
      <c r="E71" s="59"/>
      <c r="F71" s="60"/>
      <c r="G71" s="60"/>
      <c r="H71" s="61"/>
      <c r="I71" s="60"/>
      <c r="K71" s="53" t="str">
        <f>IFERROR(__xludf.DUMMYFUNCTION("IF(ISBLANK(B71),"""",IF(ISDATE(B71),""X"",""""))"),"")</f>
        <v/>
      </c>
      <c r="L71" s="40" t="str">
        <f>IFERROR(__xludf.DUMMYFUNCTION("IF(ISBLANK(B71),"""",IF(Or(I71=""Em Aberto"",ISBLANK(I71),NOT(ISDATE(B71))),"""",H71))"),"")</f>
        <v/>
      </c>
      <c r="M71" s="29" t="str">
        <f>IFERROR(__xludf.DUMMYFUNCTION("IF(ISBLANK(B71),"""",IF(ISDATE(B71),TEXT(B71,""m""),""""))"),"")</f>
        <v/>
      </c>
      <c r="N71" s="29" t="str">
        <f>IFERROR(__xludf.DUMMYFUNCTION("IF(M71="""","""",QUERY({'Dashboard-Dados'!$Y$2:$AA$13},""Select Col2 Where Col1=""&amp;M71))"),"")</f>
        <v/>
      </c>
      <c r="O71" s="29" t="str">
        <f>IFERROR(__xludf.DUMMYFUNCTION("IF(ISBLANK(B71),"""",IF(ISDATE(B71),TEXT(B71,""yyyy""),""""))"),"")</f>
        <v/>
      </c>
    </row>
    <row r="72">
      <c r="B72" s="57"/>
      <c r="C72" s="58"/>
      <c r="D72" s="59"/>
      <c r="E72" s="59"/>
      <c r="F72" s="60"/>
      <c r="G72" s="60"/>
      <c r="H72" s="61"/>
      <c r="I72" s="60"/>
      <c r="K72" s="53" t="str">
        <f>IFERROR(__xludf.DUMMYFUNCTION("IF(ISBLANK(B72),"""",IF(ISDATE(B72),""X"",""""))"),"")</f>
        <v/>
      </c>
      <c r="L72" s="40" t="str">
        <f>IFERROR(__xludf.DUMMYFUNCTION("IF(ISBLANK(B72),"""",IF(Or(I72=""Em Aberto"",ISBLANK(I72),NOT(ISDATE(B72))),"""",H72))"),"")</f>
        <v/>
      </c>
      <c r="M72" s="29" t="str">
        <f>IFERROR(__xludf.DUMMYFUNCTION("IF(ISBLANK(B72),"""",IF(ISDATE(B72),TEXT(B72,""m""),""""))"),"")</f>
        <v/>
      </c>
      <c r="N72" s="29" t="str">
        <f>IFERROR(__xludf.DUMMYFUNCTION("IF(M72="""","""",QUERY({'Dashboard-Dados'!$Y$2:$AA$13},""Select Col2 Where Col1=""&amp;M72))"),"")</f>
        <v/>
      </c>
      <c r="O72" s="29" t="str">
        <f>IFERROR(__xludf.DUMMYFUNCTION("IF(ISBLANK(B72),"""",IF(ISDATE(B72),TEXT(B72,""yyyy""),""""))"),"")</f>
        <v/>
      </c>
    </row>
    <row r="73">
      <c r="B73" s="57"/>
      <c r="C73" s="58"/>
      <c r="D73" s="59"/>
      <c r="E73" s="59"/>
      <c r="F73" s="60"/>
      <c r="G73" s="60"/>
      <c r="H73" s="61"/>
      <c r="I73" s="60"/>
      <c r="K73" s="53" t="str">
        <f>IFERROR(__xludf.DUMMYFUNCTION("IF(ISBLANK(B73),"""",IF(ISDATE(B73),""X"",""""))"),"")</f>
        <v/>
      </c>
      <c r="L73" s="40" t="str">
        <f>IFERROR(__xludf.DUMMYFUNCTION("IF(ISBLANK(B73),"""",IF(Or(I73=""Em Aberto"",ISBLANK(I73),NOT(ISDATE(B73))),"""",H73))"),"")</f>
        <v/>
      </c>
      <c r="M73" s="29" t="str">
        <f>IFERROR(__xludf.DUMMYFUNCTION("IF(ISBLANK(B73),"""",IF(ISDATE(B73),TEXT(B73,""m""),""""))"),"")</f>
        <v/>
      </c>
      <c r="N73" s="29" t="str">
        <f>IFERROR(__xludf.DUMMYFUNCTION("IF(M73="""","""",QUERY({'Dashboard-Dados'!$Y$2:$AA$13},""Select Col2 Where Col1=""&amp;M73))"),"")</f>
        <v/>
      </c>
      <c r="O73" s="29" t="str">
        <f>IFERROR(__xludf.DUMMYFUNCTION("IF(ISBLANK(B73),"""",IF(ISDATE(B73),TEXT(B73,""yyyy""),""""))"),"")</f>
        <v/>
      </c>
    </row>
    <row r="74">
      <c r="B74" s="57"/>
      <c r="C74" s="58"/>
      <c r="D74" s="59"/>
      <c r="E74" s="59"/>
      <c r="F74" s="60"/>
      <c r="G74" s="60"/>
      <c r="H74" s="61"/>
      <c r="I74" s="60"/>
      <c r="K74" s="53" t="str">
        <f>IFERROR(__xludf.DUMMYFUNCTION("IF(ISBLANK(B74),"""",IF(ISDATE(B74),""X"",""""))"),"")</f>
        <v/>
      </c>
      <c r="L74" s="40" t="str">
        <f>IFERROR(__xludf.DUMMYFUNCTION("IF(ISBLANK(B74),"""",IF(Or(I74=""Em Aberto"",ISBLANK(I74),NOT(ISDATE(B74))),"""",H74))"),"")</f>
        <v/>
      </c>
      <c r="M74" s="29" t="str">
        <f>IFERROR(__xludf.DUMMYFUNCTION("IF(ISBLANK(B74),"""",IF(ISDATE(B74),TEXT(B74,""m""),""""))"),"")</f>
        <v/>
      </c>
      <c r="N74" s="29" t="str">
        <f>IFERROR(__xludf.DUMMYFUNCTION("IF(M74="""","""",QUERY({'Dashboard-Dados'!$Y$2:$AA$13},""Select Col2 Where Col1=""&amp;M74))"),"")</f>
        <v/>
      </c>
      <c r="O74" s="29" t="str">
        <f>IFERROR(__xludf.DUMMYFUNCTION("IF(ISBLANK(B74),"""",IF(ISDATE(B74),TEXT(B74,""yyyy""),""""))"),"")</f>
        <v/>
      </c>
    </row>
    <row r="75">
      <c r="B75" s="57"/>
      <c r="C75" s="58"/>
      <c r="D75" s="59"/>
      <c r="E75" s="59"/>
      <c r="F75" s="60"/>
      <c r="G75" s="60"/>
      <c r="H75" s="61"/>
      <c r="I75" s="60"/>
      <c r="K75" s="53" t="str">
        <f>IFERROR(__xludf.DUMMYFUNCTION("IF(ISBLANK(B75),"""",IF(ISDATE(B75),""X"",""""))"),"")</f>
        <v/>
      </c>
      <c r="L75" s="40" t="str">
        <f>IFERROR(__xludf.DUMMYFUNCTION("IF(ISBLANK(B75),"""",IF(Or(I75=""Em Aberto"",ISBLANK(I75),NOT(ISDATE(B75))),"""",H75))"),"")</f>
        <v/>
      </c>
      <c r="M75" s="29" t="str">
        <f>IFERROR(__xludf.DUMMYFUNCTION("IF(ISBLANK(B75),"""",IF(ISDATE(B75),TEXT(B75,""m""),""""))"),"")</f>
        <v/>
      </c>
      <c r="N75" s="29" t="str">
        <f>IFERROR(__xludf.DUMMYFUNCTION("IF(M75="""","""",QUERY({'Dashboard-Dados'!$Y$2:$AA$13},""Select Col2 Where Col1=""&amp;M75))"),"")</f>
        <v/>
      </c>
      <c r="O75" s="29" t="str">
        <f>IFERROR(__xludf.DUMMYFUNCTION("IF(ISBLANK(B75),"""",IF(ISDATE(B75),TEXT(B75,""yyyy""),""""))"),"")</f>
        <v/>
      </c>
    </row>
    <row r="76">
      <c r="B76" s="57"/>
      <c r="C76" s="58"/>
      <c r="D76" s="59"/>
      <c r="E76" s="59"/>
      <c r="F76" s="60"/>
      <c r="G76" s="60"/>
      <c r="H76" s="61"/>
      <c r="I76" s="60"/>
      <c r="K76" s="53" t="str">
        <f>IFERROR(__xludf.DUMMYFUNCTION("IF(ISBLANK(B76),"""",IF(ISDATE(B76),""X"",""""))"),"")</f>
        <v/>
      </c>
      <c r="L76" s="40" t="str">
        <f>IFERROR(__xludf.DUMMYFUNCTION("IF(ISBLANK(B76),"""",IF(Or(I76=""Em Aberto"",ISBLANK(I76),NOT(ISDATE(B76))),"""",H76))"),"")</f>
        <v/>
      </c>
      <c r="M76" s="29" t="str">
        <f>IFERROR(__xludf.DUMMYFUNCTION("IF(ISBLANK(B76),"""",IF(ISDATE(B76),TEXT(B76,""m""),""""))"),"")</f>
        <v/>
      </c>
      <c r="N76" s="29" t="str">
        <f>IFERROR(__xludf.DUMMYFUNCTION("IF(M76="""","""",QUERY({'Dashboard-Dados'!$Y$2:$AA$13},""Select Col2 Where Col1=""&amp;M76))"),"")</f>
        <v/>
      </c>
      <c r="O76" s="29" t="str">
        <f>IFERROR(__xludf.DUMMYFUNCTION("IF(ISBLANK(B76),"""",IF(ISDATE(B76),TEXT(B76,""yyyy""),""""))"),"")</f>
        <v/>
      </c>
    </row>
    <row r="77">
      <c r="B77" s="57"/>
      <c r="C77" s="58"/>
      <c r="D77" s="59"/>
      <c r="E77" s="59"/>
      <c r="F77" s="60"/>
      <c r="G77" s="60"/>
      <c r="H77" s="61"/>
      <c r="I77" s="60"/>
      <c r="K77" s="53" t="str">
        <f>IFERROR(__xludf.DUMMYFUNCTION("IF(ISBLANK(B77),"""",IF(ISDATE(B77),""X"",""""))"),"")</f>
        <v/>
      </c>
      <c r="L77" s="40" t="str">
        <f>IFERROR(__xludf.DUMMYFUNCTION("IF(ISBLANK(B77),"""",IF(Or(I77=""Em Aberto"",ISBLANK(I77),NOT(ISDATE(B77))),"""",H77))"),"")</f>
        <v/>
      </c>
      <c r="M77" s="29" t="str">
        <f>IFERROR(__xludf.DUMMYFUNCTION("IF(ISBLANK(B77),"""",IF(ISDATE(B77),TEXT(B77,""m""),""""))"),"")</f>
        <v/>
      </c>
      <c r="N77" s="29" t="str">
        <f>IFERROR(__xludf.DUMMYFUNCTION("IF(M77="""","""",QUERY({'Dashboard-Dados'!$Y$2:$AA$13},""Select Col2 Where Col1=""&amp;M77))"),"")</f>
        <v/>
      </c>
      <c r="O77" s="29" t="str">
        <f>IFERROR(__xludf.DUMMYFUNCTION("IF(ISBLANK(B77),"""",IF(ISDATE(B77),TEXT(B77,""yyyy""),""""))"),"")</f>
        <v/>
      </c>
    </row>
    <row r="78">
      <c r="B78" s="55"/>
      <c r="D78" s="49"/>
      <c r="E78" s="49"/>
      <c r="F78" s="50"/>
      <c r="G78" s="51"/>
      <c r="H78" s="52"/>
      <c r="I78" s="50"/>
      <c r="K78" s="53" t="str">
        <f>IFERROR(__xludf.DUMMYFUNCTION("IF(ISBLANK(B78),"""",IF(ISDATE(B78),""X"",""""))"),"")</f>
        <v/>
      </c>
      <c r="L78" s="40" t="str">
        <f>IFERROR(__xludf.DUMMYFUNCTION("IF(ISBLANK(B78),"""",IF(Or(I78=""Em Aberto"",ISBLANK(I78),NOT(ISDATE(B78))),"""",H78))"),"")</f>
        <v/>
      </c>
      <c r="M78" s="29" t="str">
        <f>IFERROR(__xludf.DUMMYFUNCTION("IF(ISBLANK(B78),"""",IF(ISDATE(B78),TEXT(B78,""m""),""""))"),"")</f>
        <v/>
      </c>
      <c r="N78" s="29" t="str">
        <f>IFERROR(__xludf.DUMMYFUNCTION("IF(M78="""","""",QUERY({'Dashboard-Dados'!$Y$2:$AA$13},""Select Col2 Where Col1=""&amp;M78))"),"")</f>
        <v/>
      </c>
      <c r="O78" s="29" t="str">
        <f>IFERROR(__xludf.DUMMYFUNCTION("IF(ISBLANK(B78),"""",IF(ISDATE(B78),TEXT(B78,""yyyy""),""""))"),"")</f>
        <v/>
      </c>
    </row>
    <row r="79">
      <c r="B79" s="55"/>
      <c r="C79" s="49"/>
      <c r="D79" s="49"/>
      <c r="E79" s="49"/>
      <c r="F79" s="50"/>
      <c r="G79" s="51"/>
      <c r="H79" s="52"/>
      <c r="I79" s="50"/>
      <c r="K79" s="53" t="str">
        <f>IFERROR(__xludf.DUMMYFUNCTION("IF(ISBLANK(B79),"""",IF(ISDATE(B79),""X"",""""))"),"")</f>
        <v/>
      </c>
      <c r="L79" s="40" t="str">
        <f>IFERROR(__xludf.DUMMYFUNCTION("IF(ISBLANK(B79),"""",IF(Or(I79=""Em Aberto"",ISBLANK(I79),NOT(ISDATE(B79))),"""",H79))"),"")</f>
        <v/>
      </c>
      <c r="M79" s="29" t="str">
        <f>IFERROR(__xludf.DUMMYFUNCTION("IF(ISBLANK(B79),"""",IF(ISDATE(B79),TEXT(B79,""m""),""""))"),"")</f>
        <v/>
      </c>
      <c r="N79" s="29" t="str">
        <f>IFERROR(__xludf.DUMMYFUNCTION("IF(M79="""","""",QUERY({'Dashboard-Dados'!$Y$2:$AA$13},""Select Col2 Where Col1=""&amp;M79))"),"")</f>
        <v/>
      </c>
      <c r="O79" s="29" t="str">
        <f>IFERROR(__xludf.DUMMYFUNCTION("IF(ISBLANK(B79),"""",IF(ISDATE(B79),TEXT(B79,""yyyy""),""""))"),"")</f>
        <v/>
      </c>
    </row>
    <row r="80">
      <c r="B80" s="55"/>
      <c r="C80" s="56"/>
      <c r="D80" s="49"/>
      <c r="E80" s="49"/>
      <c r="F80" s="50"/>
      <c r="G80" s="51"/>
      <c r="H80" s="52"/>
      <c r="I80" s="50"/>
      <c r="K80" s="53" t="str">
        <f>IFERROR(__xludf.DUMMYFUNCTION("IF(ISBLANK(B80),"""",IF(ISDATE(B80),""X"",""""))"),"")</f>
        <v/>
      </c>
      <c r="L80" s="40" t="str">
        <f>IFERROR(__xludf.DUMMYFUNCTION("IF(ISBLANK(B80),"""",IF(Or(I80=""Em Aberto"",ISBLANK(I80),NOT(ISDATE(B80))),"""",H80))"),"")</f>
        <v/>
      </c>
      <c r="M80" s="29" t="str">
        <f>IFERROR(__xludf.DUMMYFUNCTION("IF(ISBLANK(B80),"""",IF(ISDATE(B80),TEXT(B80,""m""),""""))"),"")</f>
        <v/>
      </c>
      <c r="N80" s="29" t="str">
        <f>IFERROR(__xludf.DUMMYFUNCTION("IF(M80="""","""",QUERY({'Dashboard-Dados'!$Y$2:$AA$13},""Select Col2 Where Col1=""&amp;M80))"),"")</f>
        <v/>
      </c>
      <c r="O80" s="29" t="str">
        <f>IFERROR(__xludf.DUMMYFUNCTION("IF(ISBLANK(B80),"""",IF(ISDATE(B80),TEXT(B80,""yyyy""),""""))"),"")</f>
        <v/>
      </c>
    </row>
    <row r="81">
      <c r="B81" s="55"/>
      <c r="C81" s="56"/>
      <c r="D81" s="49"/>
      <c r="E81" s="49"/>
      <c r="F81" s="50"/>
      <c r="G81" s="51"/>
      <c r="H81" s="52"/>
      <c r="I81" s="50"/>
      <c r="K81" s="53" t="str">
        <f>IFERROR(__xludf.DUMMYFUNCTION("IF(ISBLANK(B81),"""",IF(ISDATE(B81),""X"",""""))"),"")</f>
        <v/>
      </c>
      <c r="L81" s="40" t="str">
        <f>IFERROR(__xludf.DUMMYFUNCTION("IF(ISBLANK(B81),"""",IF(Or(I81=""Em Aberto"",ISBLANK(I81),NOT(ISDATE(B81))),"""",H81))"),"")</f>
        <v/>
      </c>
      <c r="M81" s="29" t="str">
        <f>IFERROR(__xludf.DUMMYFUNCTION("IF(ISBLANK(B81),"""",IF(ISDATE(B81),TEXT(B81,""m""),""""))"),"")</f>
        <v/>
      </c>
      <c r="N81" s="29" t="str">
        <f>IFERROR(__xludf.DUMMYFUNCTION("IF(M81="""","""",QUERY({'Dashboard-Dados'!$Y$2:$AA$13},""Select Col2 Where Col1=""&amp;M81))"),"")</f>
        <v/>
      </c>
      <c r="O81" s="29" t="str">
        <f>IFERROR(__xludf.DUMMYFUNCTION("IF(ISBLANK(B81),"""",IF(ISDATE(B81),TEXT(B81,""yyyy""),""""))"),"")</f>
        <v/>
      </c>
    </row>
    <row r="82">
      <c r="B82" s="55"/>
      <c r="C82" s="56"/>
      <c r="D82" s="49"/>
      <c r="E82" s="49"/>
      <c r="F82" s="50"/>
      <c r="G82" s="51"/>
      <c r="H82" s="52"/>
      <c r="I82" s="50"/>
      <c r="K82" s="53" t="str">
        <f>IFERROR(__xludf.DUMMYFUNCTION("IF(ISBLANK(B82),"""",IF(ISDATE(B82),""X"",""""))"),"")</f>
        <v/>
      </c>
      <c r="L82" s="40" t="str">
        <f>IFERROR(__xludf.DUMMYFUNCTION("IF(ISBLANK(B82),"""",IF(Or(I82=""Em Aberto"",ISBLANK(I82),NOT(ISDATE(B82))),"""",H82))"),"")</f>
        <v/>
      </c>
      <c r="M82" s="29" t="str">
        <f>IFERROR(__xludf.DUMMYFUNCTION("IF(ISBLANK(B82),"""",IF(ISDATE(B82),TEXT(B82,""m""),""""))"),"")</f>
        <v/>
      </c>
      <c r="N82" s="29" t="str">
        <f>IFERROR(__xludf.DUMMYFUNCTION("IF(M82="""","""",QUERY({'Dashboard-Dados'!$Y$2:$AA$13},""Select Col2 Where Col1=""&amp;M82))"),"")</f>
        <v/>
      </c>
      <c r="O82" s="29" t="str">
        <f>IFERROR(__xludf.DUMMYFUNCTION("IF(ISBLANK(B82),"""",IF(ISDATE(B82),TEXT(B82,""yyyy""),""""))"),"")</f>
        <v/>
      </c>
    </row>
    <row r="83">
      <c r="B83" s="55"/>
      <c r="C83" s="56"/>
      <c r="D83" s="49"/>
      <c r="E83" s="49"/>
      <c r="F83" s="50"/>
      <c r="G83" s="51"/>
      <c r="H83" s="52"/>
      <c r="I83" s="50"/>
      <c r="K83" s="53" t="str">
        <f>IFERROR(__xludf.DUMMYFUNCTION("IF(ISBLANK(B83),"""",IF(ISDATE(B83),""X"",""""))"),"")</f>
        <v/>
      </c>
      <c r="L83" s="40" t="str">
        <f>IFERROR(__xludf.DUMMYFUNCTION("IF(ISBLANK(B83),"""",IF(Or(I83=""Em Aberto"",ISBLANK(I83),NOT(ISDATE(B83))),"""",H83))"),"")</f>
        <v/>
      </c>
      <c r="M83" s="29" t="str">
        <f>IFERROR(__xludf.DUMMYFUNCTION("IF(ISBLANK(B83),"""",IF(ISDATE(B83),TEXT(B83,""m""),""""))"),"")</f>
        <v/>
      </c>
      <c r="N83" s="29" t="str">
        <f>IFERROR(__xludf.DUMMYFUNCTION("IF(M83="""","""",QUERY({'Dashboard-Dados'!$Y$2:$AA$13},""Select Col2 Where Col1=""&amp;M83))"),"")</f>
        <v/>
      </c>
      <c r="O83" s="29" t="str">
        <f>IFERROR(__xludf.DUMMYFUNCTION("IF(ISBLANK(B83),"""",IF(ISDATE(B83),TEXT(B83,""yyyy""),""""))"),"")</f>
        <v/>
      </c>
    </row>
    <row r="84">
      <c r="B84" s="55"/>
      <c r="C84" s="56"/>
      <c r="D84" s="49"/>
      <c r="E84" s="49"/>
      <c r="F84" s="50"/>
      <c r="G84" s="51"/>
      <c r="H84" s="52"/>
      <c r="I84" s="50"/>
      <c r="K84" s="53" t="str">
        <f>IFERROR(__xludf.DUMMYFUNCTION("IF(ISBLANK(B84),"""",IF(ISDATE(B84),""X"",""""))"),"")</f>
        <v/>
      </c>
      <c r="L84" s="40" t="str">
        <f>IFERROR(__xludf.DUMMYFUNCTION("IF(ISBLANK(B84),"""",IF(Or(I84=""Em Aberto"",ISBLANK(I84),NOT(ISDATE(B84))),"""",H84))"),"")</f>
        <v/>
      </c>
      <c r="M84" s="29" t="str">
        <f>IFERROR(__xludf.DUMMYFUNCTION("IF(ISBLANK(B84),"""",IF(ISDATE(B84),TEXT(B84,""m""),""""))"),"")</f>
        <v/>
      </c>
      <c r="N84" s="29" t="str">
        <f>IFERROR(__xludf.DUMMYFUNCTION("IF(M84="""","""",QUERY({'Dashboard-Dados'!$Y$2:$AA$13},""Select Col2 Where Col1=""&amp;M84))"),"")</f>
        <v/>
      </c>
      <c r="O84" s="29" t="str">
        <f>IFERROR(__xludf.DUMMYFUNCTION("IF(ISBLANK(B84),"""",IF(ISDATE(B84),TEXT(B84,""yyyy""),""""))"),"")</f>
        <v/>
      </c>
    </row>
    <row r="85">
      <c r="B85" s="55"/>
      <c r="C85" s="56"/>
      <c r="D85" s="49"/>
      <c r="E85" s="49"/>
      <c r="F85" s="50"/>
      <c r="G85" s="51"/>
      <c r="H85" s="52"/>
      <c r="I85" s="50"/>
      <c r="K85" s="53" t="str">
        <f>IFERROR(__xludf.DUMMYFUNCTION("IF(ISBLANK(B85),"""",IF(ISDATE(B85),""X"",""""))"),"")</f>
        <v/>
      </c>
      <c r="L85" s="40" t="str">
        <f>IFERROR(__xludf.DUMMYFUNCTION("IF(ISBLANK(B85),"""",IF(Or(I85=""Em Aberto"",ISBLANK(I85),NOT(ISDATE(B85))),"""",H85))"),"")</f>
        <v/>
      </c>
      <c r="M85" s="29" t="str">
        <f>IFERROR(__xludf.DUMMYFUNCTION("IF(ISBLANK(B85),"""",IF(ISDATE(B85),TEXT(B85,""m""),""""))"),"")</f>
        <v/>
      </c>
      <c r="N85" s="29" t="str">
        <f>IFERROR(__xludf.DUMMYFUNCTION("IF(M85="""","""",QUERY({'Dashboard-Dados'!$Y$2:$AA$13},""Select Col2 Where Col1=""&amp;M85))"),"")</f>
        <v/>
      </c>
      <c r="O85" s="29" t="str">
        <f>IFERROR(__xludf.DUMMYFUNCTION("IF(ISBLANK(B85),"""",IF(ISDATE(B85),TEXT(B85,""yyyy""),""""))"),"")</f>
        <v/>
      </c>
    </row>
    <row r="86">
      <c r="B86" s="55"/>
      <c r="C86" s="56"/>
      <c r="D86" s="49"/>
      <c r="E86" s="49"/>
      <c r="F86" s="50"/>
      <c r="G86" s="51"/>
      <c r="H86" s="52"/>
      <c r="I86" s="50"/>
      <c r="K86" s="53" t="str">
        <f>IFERROR(__xludf.DUMMYFUNCTION("IF(ISBLANK(B86),"""",IF(ISDATE(B86),""X"",""""))"),"")</f>
        <v/>
      </c>
      <c r="L86" s="40" t="str">
        <f>IFERROR(__xludf.DUMMYFUNCTION("IF(ISBLANK(B86),"""",IF(Or(I86=""Em Aberto"",ISBLANK(I86),NOT(ISDATE(B86))),"""",H86))"),"")</f>
        <v/>
      </c>
      <c r="M86" s="29" t="str">
        <f>IFERROR(__xludf.DUMMYFUNCTION("IF(ISBLANK(B86),"""",IF(ISDATE(B86),TEXT(B86,""m""),""""))"),"")</f>
        <v/>
      </c>
      <c r="N86" s="29" t="str">
        <f>IFERROR(__xludf.DUMMYFUNCTION("IF(M86="""","""",QUERY({'Dashboard-Dados'!$Y$2:$AA$13},""Select Col2 Where Col1=""&amp;M86))"),"")</f>
        <v/>
      </c>
      <c r="O86" s="29" t="str">
        <f>IFERROR(__xludf.DUMMYFUNCTION("IF(ISBLANK(B86),"""",IF(ISDATE(B86),TEXT(B86,""yyyy""),""""))"),"")</f>
        <v/>
      </c>
    </row>
    <row r="87">
      <c r="B87" s="55"/>
      <c r="C87" s="56"/>
      <c r="D87" s="49"/>
      <c r="E87" s="49"/>
      <c r="F87" s="50"/>
      <c r="G87" s="51"/>
      <c r="H87" s="52"/>
      <c r="I87" s="50"/>
      <c r="K87" s="53" t="str">
        <f>IFERROR(__xludf.DUMMYFUNCTION("IF(ISBLANK(B87),"""",IF(ISDATE(B87),""X"",""""))"),"")</f>
        <v/>
      </c>
      <c r="L87" s="40" t="str">
        <f>IFERROR(__xludf.DUMMYFUNCTION("IF(ISBLANK(B87),"""",IF(Or(I87=""Em Aberto"",ISBLANK(I87),NOT(ISDATE(B87))),"""",H87))"),"")</f>
        <v/>
      </c>
      <c r="M87" s="29" t="str">
        <f>IFERROR(__xludf.DUMMYFUNCTION("IF(ISBLANK(B87),"""",IF(ISDATE(B87),TEXT(B87,""m""),""""))"),"")</f>
        <v/>
      </c>
      <c r="N87" s="29" t="str">
        <f>IFERROR(__xludf.DUMMYFUNCTION("IF(M87="""","""",QUERY({'Dashboard-Dados'!$Y$2:$AA$13},""Select Col2 Where Col1=""&amp;M87))"),"")</f>
        <v/>
      </c>
      <c r="O87" s="29" t="str">
        <f>IFERROR(__xludf.DUMMYFUNCTION("IF(ISBLANK(B87),"""",IF(ISDATE(B87),TEXT(B87,""yyyy""),""""))"),"")</f>
        <v/>
      </c>
    </row>
    <row r="88">
      <c r="B88" s="55"/>
      <c r="C88" s="56"/>
      <c r="D88" s="49"/>
      <c r="E88" s="49"/>
      <c r="F88" s="50"/>
      <c r="G88" s="51"/>
      <c r="H88" s="52"/>
      <c r="I88" s="50"/>
      <c r="K88" s="53" t="str">
        <f>IFERROR(__xludf.DUMMYFUNCTION("IF(ISBLANK(B88),"""",IF(ISDATE(B88),""X"",""""))"),"")</f>
        <v/>
      </c>
      <c r="L88" s="40" t="str">
        <f>IFERROR(__xludf.DUMMYFUNCTION("IF(ISBLANK(B88),"""",IF(Or(I88=""Em Aberto"",ISBLANK(I88),NOT(ISDATE(B88))),"""",H88))"),"")</f>
        <v/>
      </c>
      <c r="M88" s="29" t="str">
        <f>IFERROR(__xludf.DUMMYFUNCTION("IF(ISBLANK(B88),"""",IF(ISDATE(B88),TEXT(B88,""m""),""""))"),"")</f>
        <v/>
      </c>
      <c r="N88" s="29" t="str">
        <f>IFERROR(__xludf.DUMMYFUNCTION("IF(M88="""","""",QUERY({'Dashboard-Dados'!$Y$2:$AA$13},""Select Col2 Where Col1=""&amp;M88))"),"")</f>
        <v/>
      </c>
      <c r="O88" s="29" t="str">
        <f>IFERROR(__xludf.DUMMYFUNCTION("IF(ISBLANK(B88),"""",IF(ISDATE(B88),TEXT(B88,""yyyy""),""""))"),"")</f>
        <v/>
      </c>
    </row>
    <row r="89">
      <c r="B89" s="55"/>
      <c r="C89" s="56"/>
      <c r="D89" s="49"/>
      <c r="E89" s="49"/>
      <c r="F89" s="50"/>
      <c r="G89" s="51"/>
      <c r="H89" s="52"/>
      <c r="I89" s="50"/>
      <c r="K89" s="53" t="str">
        <f>IFERROR(__xludf.DUMMYFUNCTION("IF(ISBLANK(B89),"""",IF(ISDATE(B89),""X"",""""))"),"")</f>
        <v/>
      </c>
      <c r="L89" s="40" t="str">
        <f>IFERROR(__xludf.DUMMYFUNCTION("IF(ISBLANK(B89),"""",IF(Or(I89=""Em Aberto"",ISBLANK(I89),NOT(ISDATE(B89))),"""",H89))"),"")</f>
        <v/>
      </c>
      <c r="M89" s="29" t="str">
        <f>IFERROR(__xludf.DUMMYFUNCTION("IF(ISBLANK(B89),"""",IF(ISDATE(B89),TEXT(B89,""m""),""""))"),"")</f>
        <v/>
      </c>
      <c r="N89" s="29" t="str">
        <f>IFERROR(__xludf.DUMMYFUNCTION("IF(M89="""","""",QUERY({'Dashboard-Dados'!$Y$2:$AA$13},""Select Col2 Where Col1=""&amp;M89))"),"")</f>
        <v/>
      </c>
      <c r="O89" s="29" t="str">
        <f>IFERROR(__xludf.DUMMYFUNCTION("IF(ISBLANK(B89),"""",IF(ISDATE(B89),TEXT(B89,""yyyy""),""""))"),"")</f>
        <v/>
      </c>
    </row>
    <row r="90">
      <c r="B90" s="55"/>
      <c r="C90" s="56"/>
      <c r="D90" s="49"/>
      <c r="E90" s="49"/>
      <c r="F90" s="50"/>
      <c r="G90" s="51"/>
      <c r="H90" s="52"/>
      <c r="I90" s="50"/>
      <c r="K90" s="53" t="str">
        <f>IFERROR(__xludf.DUMMYFUNCTION("IF(ISBLANK(B90),"""",IF(ISDATE(B90),""X"",""""))"),"")</f>
        <v/>
      </c>
      <c r="L90" s="40" t="str">
        <f>IFERROR(__xludf.DUMMYFUNCTION("IF(ISBLANK(B90),"""",IF(Or(I90=""Em Aberto"",ISBLANK(I90),NOT(ISDATE(B90))),"""",H90))"),"")</f>
        <v/>
      </c>
      <c r="M90" s="29" t="str">
        <f>IFERROR(__xludf.DUMMYFUNCTION("IF(ISBLANK(B90),"""",IF(ISDATE(B90),TEXT(B90,""m""),""""))"),"")</f>
        <v/>
      </c>
      <c r="N90" s="29" t="str">
        <f>IFERROR(__xludf.DUMMYFUNCTION("IF(M90="""","""",QUERY({'Dashboard-Dados'!$Y$2:$AA$13},""Select Col2 Where Col1=""&amp;M90))"),"")</f>
        <v/>
      </c>
      <c r="O90" s="29" t="str">
        <f>IFERROR(__xludf.DUMMYFUNCTION("IF(ISBLANK(B90),"""",IF(ISDATE(B90),TEXT(B90,""yyyy""),""""))"),"")</f>
        <v/>
      </c>
    </row>
    <row r="91">
      <c r="B91" s="55"/>
      <c r="C91" s="56"/>
      <c r="D91" s="49"/>
      <c r="E91" s="49"/>
      <c r="F91" s="50"/>
      <c r="G91" s="51"/>
      <c r="H91" s="52"/>
      <c r="I91" s="50"/>
      <c r="K91" s="53" t="str">
        <f>IFERROR(__xludf.DUMMYFUNCTION("IF(ISBLANK(B91),"""",IF(ISDATE(B91),""X"",""""))"),"")</f>
        <v/>
      </c>
      <c r="L91" s="40" t="str">
        <f>IFERROR(__xludf.DUMMYFUNCTION("IF(ISBLANK(B91),"""",IF(Or(I91=""Em Aberto"",ISBLANK(I91),NOT(ISDATE(B91))),"""",H91))"),"")</f>
        <v/>
      </c>
      <c r="M91" s="29" t="str">
        <f>IFERROR(__xludf.DUMMYFUNCTION("IF(ISBLANK(B91),"""",IF(ISDATE(B91),TEXT(B91,""m""),""""))"),"")</f>
        <v/>
      </c>
      <c r="N91" s="29" t="str">
        <f>IFERROR(__xludf.DUMMYFUNCTION("IF(M91="""","""",QUERY({'Dashboard-Dados'!$Y$2:$AA$13},""Select Col2 Where Col1=""&amp;M91))"),"")</f>
        <v/>
      </c>
      <c r="O91" s="29" t="str">
        <f>IFERROR(__xludf.DUMMYFUNCTION("IF(ISBLANK(B91),"""",IF(ISDATE(B91),TEXT(B91,""yyyy""),""""))"),"")</f>
        <v/>
      </c>
    </row>
    <row r="92">
      <c r="B92" s="55"/>
      <c r="C92" s="56"/>
      <c r="D92" s="49"/>
      <c r="E92" s="49"/>
      <c r="F92" s="50"/>
      <c r="G92" s="51"/>
      <c r="H92" s="52"/>
      <c r="I92" s="50"/>
      <c r="K92" s="53" t="str">
        <f>IFERROR(__xludf.DUMMYFUNCTION("IF(ISBLANK(B92),"""",IF(ISDATE(B92),""X"",""""))"),"")</f>
        <v/>
      </c>
      <c r="L92" s="40" t="str">
        <f>IFERROR(__xludf.DUMMYFUNCTION("IF(ISBLANK(B92),"""",IF(Or(I92=""Em Aberto"",ISBLANK(I92),NOT(ISDATE(B92))),"""",H92))"),"")</f>
        <v/>
      </c>
      <c r="M92" s="29" t="str">
        <f>IFERROR(__xludf.DUMMYFUNCTION("IF(ISBLANK(B92),"""",IF(ISDATE(B92),TEXT(B92,""m""),""""))"),"")</f>
        <v/>
      </c>
      <c r="N92" s="29" t="str">
        <f>IFERROR(__xludf.DUMMYFUNCTION("IF(M92="""","""",QUERY({'Dashboard-Dados'!$Y$2:$AA$13},""Select Col2 Where Col1=""&amp;M92))"),"")</f>
        <v/>
      </c>
      <c r="O92" s="29" t="str">
        <f>IFERROR(__xludf.DUMMYFUNCTION("IF(ISBLANK(B92),"""",IF(ISDATE(B92),TEXT(B92,""yyyy""),""""))"),"")</f>
        <v/>
      </c>
    </row>
    <row r="93">
      <c r="B93" s="55"/>
      <c r="C93" s="56"/>
      <c r="D93" s="49"/>
      <c r="E93" s="49"/>
      <c r="F93" s="50"/>
      <c r="G93" s="51"/>
      <c r="H93" s="52"/>
      <c r="I93" s="50"/>
      <c r="K93" s="53" t="str">
        <f>IFERROR(__xludf.DUMMYFUNCTION("IF(ISBLANK(B93),"""",IF(ISDATE(B93),""X"",""""))"),"")</f>
        <v/>
      </c>
      <c r="L93" s="40" t="str">
        <f>IFERROR(__xludf.DUMMYFUNCTION("IF(ISBLANK(B93),"""",IF(Or(I93=""Em Aberto"",ISBLANK(I93),NOT(ISDATE(B93))),"""",H93))"),"")</f>
        <v/>
      </c>
      <c r="M93" s="29" t="str">
        <f>IFERROR(__xludf.DUMMYFUNCTION("IF(ISBLANK(B93),"""",IF(ISDATE(B93),TEXT(B93,""m""),""""))"),"")</f>
        <v/>
      </c>
      <c r="N93" s="29" t="str">
        <f>IFERROR(__xludf.DUMMYFUNCTION("IF(M93="""","""",QUERY({'Dashboard-Dados'!$Y$2:$AA$13},""Select Col2 Where Col1=""&amp;M93))"),"")</f>
        <v/>
      </c>
      <c r="O93" s="29" t="str">
        <f>IFERROR(__xludf.DUMMYFUNCTION("IF(ISBLANK(B93),"""",IF(ISDATE(B93),TEXT(B93,""yyyy""),""""))"),"")</f>
        <v/>
      </c>
    </row>
    <row r="94">
      <c r="B94" s="55"/>
      <c r="C94" s="56"/>
      <c r="D94" s="49"/>
      <c r="E94" s="49"/>
      <c r="F94" s="50"/>
      <c r="G94" s="51"/>
      <c r="H94" s="52"/>
      <c r="I94" s="50"/>
      <c r="K94" s="53" t="str">
        <f>IFERROR(__xludf.DUMMYFUNCTION("IF(ISBLANK(B94),"""",IF(ISDATE(B94),""X"",""""))"),"")</f>
        <v/>
      </c>
      <c r="L94" s="40" t="str">
        <f>IFERROR(__xludf.DUMMYFUNCTION("IF(ISBLANK(B94),"""",IF(Or(I94=""Em Aberto"",ISBLANK(I94),NOT(ISDATE(B94))),"""",H94))"),"")</f>
        <v/>
      </c>
      <c r="M94" s="29" t="str">
        <f>IFERROR(__xludf.DUMMYFUNCTION("IF(ISBLANK(B94),"""",IF(ISDATE(B94),TEXT(B94,""m""),""""))"),"")</f>
        <v/>
      </c>
      <c r="N94" s="29" t="str">
        <f>IFERROR(__xludf.DUMMYFUNCTION("IF(M94="""","""",QUERY({'Dashboard-Dados'!$Y$2:$AA$13},""Select Col2 Where Col1=""&amp;M94))"),"")</f>
        <v/>
      </c>
      <c r="O94" s="29" t="str">
        <f>IFERROR(__xludf.DUMMYFUNCTION("IF(ISBLANK(B94),"""",IF(ISDATE(B94),TEXT(B94,""yyyy""),""""))"),"")</f>
        <v/>
      </c>
    </row>
    <row r="95">
      <c r="B95" s="55"/>
      <c r="C95" s="56"/>
      <c r="D95" s="49"/>
      <c r="E95" s="49"/>
      <c r="F95" s="50"/>
      <c r="G95" s="51"/>
      <c r="H95" s="52"/>
      <c r="I95" s="50"/>
      <c r="K95" s="53" t="str">
        <f>IFERROR(__xludf.DUMMYFUNCTION("IF(ISBLANK(B95),"""",IF(ISDATE(B95),""X"",""""))"),"")</f>
        <v/>
      </c>
      <c r="L95" s="40" t="str">
        <f>IFERROR(__xludf.DUMMYFUNCTION("IF(ISBLANK(B95),"""",IF(Or(I95=""Em Aberto"",ISBLANK(I95),NOT(ISDATE(B95))),"""",H95))"),"")</f>
        <v/>
      </c>
      <c r="M95" s="29" t="str">
        <f>IFERROR(__xludf.DUMMYFUNCTION("IF(ISBLANK(B95),"""",IF(ISDATE(B95),TEXT(B95,""m""),""""))"),"")</f>
        <v/>
      </c>
      <c r="N95" s="29" t="str">
        <f>IFERROR(__xludf.DUMMYFUNCTION("IF(M95="""","""",QUERY({'Dashboard-Dados'!$Y$2:$AA$13},""Select Col2 Where Col1=""&amp;M95))"),"")</f>
        <v/>
      </c>
      <c r="O95" s="29" t="str">
        <f>IFERROR(__xludf.DUMMYFUNCTION("IF(ISBLANK(B95),"""",IF(ISDATE(B95),TEXT(B95,""yyyy""),""""))"),"")</f>
        <v/>
      </c>
    </row>
    <row r="96">
      <c r="B96" s="55"/>
      <c r="C96" s="56"/>
      <c r="D96" s="49"/>
      <c r="E96" s="49"/>
      <c r="F96" s="50"/>
      <c r="G96" s="51"/>
      <c r="H96" s="52"/>
      <c r="I96" s="50"/>
      <c r="K96" s="53" t="str">
        <f>IFERROR(__xludf.DUMMYFUNCTION("IF(ISBLANK(B96),"""",IF(ISDATE(B96),""X"",""""))"),"")</f>
        <v/>
      </c>
      <c r="L96" s="40" t="str">
        <f>IFERROR(__xludf.DUMMYFUNCTION("IF(ISBLANK(B96),"""",IF(Or(I96=""Em Aberto"",ISBLANK(I96),NOT(ISDATE(B96))),"""",H96))"),"")</f>
        <v/>
      </c>
      <c r="M96" s="29" t="str">
        <f>IFERROR(__xludf.DUMMYFUNCTION("IF(ISBLANK(B96),"""",IF(ISDATE(B96),TEXT(B96,""m""),""""))"),"")</f>
        <v/>
      </c>
      <c r="N96" s="29" t="str">
        <f>IFERROR(__xludf.DUMMYFUNCTION("IF(M96="""","""",QUERY({'Dashboard-Dados'!$Y$2:$AA$13},""Select Col2 Where Col1=""&amp;M96))"),"")</f>
        <v/>
      </c>
      <c r="O96" s="29" t="str">
        <f>IFERROR(__xludf.DUMMYFUNCTION("IF(ISBLANK(B96),"""",IF(ISDATE(B96),TEXT(B96,""yyyy""),""""))"),"")</f>
        <v/>
      </c>
    </row>
    <row r="97">
      <c r="B97" s="55"/>
      <c r="C97" s="56"/>
      <c r="D97" s="49"/>
      <c r="E97" s="49"/>
      <c r="F97" s="50"/>
      <c r="G97" s="51"/>
      <c r="H97" s="52"/>
      <c r="I97" s="50"/>
      <c r="K97" s="53" t="str">
        <f>IFERROR(__xludf.DUMMYFUNCTION("IF(ISBLANK(B97),"""",IF(ISDATE(B97),""X"",""""))"),"")</f>
        <v/>
      </c>
      <c r="L97" s="40" t="str">
        <f>IFERROR(__xludf.DUMMYFUNCTION("IF(ISBLANK(B97),"""",IF(Or(I97=""Em Aberto"",ISBLANK(I97),NOT(ISDATE(B97))),"""",H97))"),"")</f>
        <v/>
      </c>
      <c r="M97" s="29" t="str">
        <f>IFERROR(__xludf.DUMMYFUNCTION("IF(ISBLANK(B97),"""",IF(ISDATE(B97),TEXT(B97,""m""),""""))"),"")</f>
        <v/>
      </c>
      <c r="N97" s="29" t="str">
        <f>IFERROR(__xludf.DUMMYFUNCTION("IF(M97="""","""",QUERY({'Dashboard-Dados'!$Y$2:$AA$13},""Select Col2 Where Col1=""&amp;M97))"),"")</f>
        <v/>
      </c>
      <c r="O97" s="29" t="str">
        <f>IFERROR(__xludf.DUMMYFUNCTION("IF(ISBLANK(B97),"""",IF(ISDATE(B97),TEXT(B97,""yyyy""),""""))"),"")</f>
        <v/>
      </c>
    </row>
    <row r="98">
      <c r="B98" s="55"/>
      <c r="C98" s="56"/>
      <c r="D98" s="49"/>
      <c r="E98" s="49"/>
      <c r="F98" s="50"/>
      <c r="G98" s="51"/>
      <c r="H98" s="52"/>
      <c r="I98" s="50"/>
      <c r="K98" s="53" t="str">
        <f>IFERROR(__xludf.DUMMYFUNCTION("IF(ISBLANK(B98),"""",IF(ISDATE(B98),""X"",""""))"),"")</f>
        <v/>
      </c>
      <c r="L98" s="40" t="str">
        <f>IFERROR(__xludf.DUMMYFUNCTION("IF(ISBLANK(B98),"""",IF(Or(I98=""Em Aberto"",ISBLANK(I98),NOT(ISDATE(B98))),"""",H98))"),"")</f>
        <v/>
      </c>
      <c r="M98" s="29" t="str">
        <f>IFERROR(__xludf.DUMMYFUNCTION("IF(ISBLANK(B98),"""",IF(ISDATE(B98),TEXT(B98,""m""),""""))"),"")</f>
        <v/>
      </c>
      <c r="N98" s="29" t="str">
        <f>IFERROR(__xludf.DUMMYFUNCTION("IF(M98="""","""",QUERY({'Dashboard-Dados'!$Y$2:$AA$13},""Select Col2 Where Col1=""&amp;M98))"),"")</f>
        <v/>
      </c>
      <c r="O98" s="29" t="str">
        <f>IFERROR(__xludf.DUMMYFUNCTION("IF(ISBLANK(B98),"""",IF(ISDATE(B98),TEXT(B98,""yyyy""),""""))"),"")</f>
        <v/>
      </c>
    </row>
    <row r="99">
      <c r="B99" s="55"/>
      <c r="C99" s="56"/>
      <c r="D99" s="49"/>
      <c r="E99" s="49"/>
      <c r="F99" s="50"/>
      <c r="G99" s="51"/>
      <c r="H99" s="52"/>
      <c r="I99" s="50"/>
      <c r="K99" s="53" t="str">
        <f>IFERROR(__xludf.DUMMYFUNCTION("IF(ISBLANK(B99),"""",IF(ISDATE(B99),""X"",""""))"),"")</f>
        <v/>
      </c>
      <c r="L99" s="40" t="str">
        <f>IFERROR(__xludf.DUMMYFUNCTION("IF(ISBLANK(B99),"""",IF(Or(I99=""Em Aberto"",ISBLANK(I99),NOT(ISDATE(B99))),"""",H99))"),"")</f>
        <v/>
      </c>
      <c r="M99" s="29" t="str">
        <f>IFERROR(__xludf.DUMMYFUNCTION("IF(ISBLANK(B99),"""",IF(ISDATE(B99),TEXT(B99,""m""),""""))"),"")</f>
        <v/>
      </c>
      <c r="N99" s="29" t="str">
        <f>IFERROR(__xludf.DUMMYFUNCTION("IF(M99="""","""",QUERY({'Dashboard-Dados'!$Y$2:$AA$13},""Select Col2 Where Col1=""&amp;M99))"),"")</f>
        <v/>
      </c>
      <c r="O99" s="29" t="str">
        <f>IFERROR(__xludf.DUMMYFUNCTION("IF(ISBLANK(B99),"""",IF(ISDATE(B99),TEXT(B99,""yyyy""),""""))"),"")</f>
        <v/>
      </c>
    </row>
    <row r="100">
      <c r="B100" s="55"/>
      <c r="C100" s="56"/>
      <c r="D100" s="49"/>
      <c r="E100" s="49"/>
      <c r="F100" s="50"/>
      <c r="G100" s="51"/>
      <c r="H100" s="52"/>
      <c r="I100" s="50"/>
      <c r="K100" s="53" t="str">
        <f>IFERROR(__xludf.DUMMYFUNCTION("IF(ISBLANK(B100),"""",IF(ISDATE(B100),""X"",""""))"),"")</f>
        <v/>
      </c>
      <c r="L100" s="40" t="str">
        <f>IFERROR(__xludf.DUMMYFUNCTION("IF(ISBLANK(B100),"""",IF(Or(I100=""Em Aberto"",ISBLANK(I100),NOT(ISDATE(B100))),"""",H100))"),"")</f>
        <v/>
      </c>
      <c r="M100" s="29" t="str">
        <f>IFERROR(__xludf.DUMMYFUNCTION("IF(ISBLANK(B100),"""",IF(ISDATE(B100),TEXT(B100,""m""),""""))"),"")</f>
        <v/>
      </c>
      <c r="N100" s="29" t="str">
        <f>IFERROR(__xludf.DUMMYFUNCTION("IF(M100="""","""",QUERY({'Dashboard-Dados'!$Y$2:$AA$13},""Select Col2 Where Col1=""&amp;M100))"),"")</f>
        <v/>
      </c>
      <c r="O100" s="29" t="str">
        <f>IFERROR(__xludf.DUMMYFUNCTION("IF(ISBLANK(B100),"""",IF(ISDATE(B100),TEXT(B100,""yyyy""),""""))"),"")</f>
        <v/>
      </c>
    </row>
    <row r="101">
      <c r="B101" s="55"/>
      <c r="C101" s="56"/>
      <c r="D101" s="49"/>
      <c r="E101" s="49"/>
      <c r="F101" s="50"/>
      <c r="G101" s="51"/>
      <c r="H101" s="52"/>
      <c r="I101" s="50"/>
      <c r="K101" s="53" t="str">
        <f>IFERROR(__xludf.DUMMYFUNCTION("IF(ISBLANK(B101),"""",IF(ISDATE(B101),""X"",""""))"),"")</f>
        <v/>
      </c>
      <c r="L101" s="40" t="str">
        <f>IFERROR(__xludf.DUMMYFUNCTION("IF(ISBLANK(B101),"""",IF(Or(I101=""Em Aberto"",ISBLANK(I101),NOT(ISDATE(B101))),"""",H101))"),"")</f>
        <v/>
      </c>
      <c r="M101" s="29" t="str">
        <f>IFERROR(__xludf.DUMMYFUNCTION("IF(ISBLANK(B101),"""",IF(ISDATE(B101),TEXT(B101,""m""),""""))"),"")</f>
        <v/>
      </c>
      <c r="N101" s="29" t="str">
        <f>IFERROR(__xludf.DUMMYFUNCTION("IF(M101="""","""",QUERY({'Dashboard-Dados'!$Y$2:$AA$13},""Select Col2 Where Col1=""&amp;M101))"),"")</f>
        <v/>
      </c>
      <c r="O101" s="29" t="str">
        <f>IFERROR(__xludf.DUMMYFUNCTION("IF(ISBLANK(B101),"""",IF(ISDATE(B101),TEXT(B101,""yyyy""),""""))"),"")</f>
        <v/>
      </c>
    </row>
    <row r="102">
      <c r="B102" s="55"/>
      <c r="C102" s="56"/>
      <c r="D102" s="49"/>
      <c r="E102" s="49"/>
      <c r="F102" s="50"/>
      <c r="G102" s="51"/>
      <c r="H102" s="52"/>
      <c r="I102" s="50"/>
      <c r="K102" s="53" t="str">
        <f>IFERROR(__xludf.DUMMYFUNCTION("IF(ISBLANK(B102),"""",IF(ISDATE(B102),""X"",""""))"),"")</f>
        <v/>
      </c>
      <c r="L102" s="40" t="str">
        <f>IFERROR(__xludf.DUMMYFUNCTION("IF(ISBLANK(B102),"""",IF(Or(I102=""Em Aberto"",ISBLANK(I102),NOT(ISDATE(B102))),"""",H102))"),"")</f>
        <v/>
      </c>
      <c r="M102" s="29" t="str">
        <f>IFERROR(__xludf.DUMMYFUNCTION("IF(ISBLANK(B102),"""",IF(ISDATE(B102),TEXT(B102,""m""),""""))"),"")</f>
        <v/>
      </c>
      <c r="N102" s="29" t="str">
        <f>IFERROR(__xludf.DUMMYFUNCTION("IF(M102="""","""",QUERY({'Dashboard-Dados'!$Y$2:$AA$13},""Select Col2 Where Col1=""&amp;M102))"),"")</f>
        <v/>
      </c>
      <c r="O102" s="29" t="str">
        <f>IFERROR(__xludf.DUMMYFUNCTION("IF(ISBLANK(B102),"""",IF(ISDATE(B102),TEXT(B102,""yyyy""),""""))"),"")</f>
        <v/>
      </c>
    </row>
    <row r="103">
      <c r="B103" s="55"/>
      <c r="C103" s="56"/>
      <c r="D103" s="49"/>
      <c r="E103" s="49"/>
      <c r="F103" s="50"/>
      <c r="G103" s="51"/>
      <c r="H103" s="52"/>
      <c r="I103" s="50"/>
      <c r="K103" s="53" t="str">
        <f>IFERROR(__xludf.DUMMYFUNCTION("IF(ISBLANK(B103),"""",IF(ISDATE(B103),""X"",""""))"),"")</f>
        <v/>
      </c>
      <c r="L103" s="40" t="str">
        <f>IFERROR(__xludf.DUMMYFUNCTION("IF(ISBLANK(B103),"""",IF(Or(I103=""Em Aberto"",ISBLANK(I103),NOT(ISDATE(B103))),"""",H103))"),"")</f>
        <v/>
      </c>
      <c r="M103" s="29" t="str">
        <f>IFERROR(__xludf.DUMMYFUNCTION("IF(ISBLANK(B103),"""",IF(ISDATE(B103),TEXT(B103,""m""),""""))"),"")</f>
        <v/>
      </c>
      <c r="N103" s="29" t="str">
        <f>IFERROR(__xludf.DUMMYFUNCTION("IF(M103="""","""",QUERY({'Dashboard-Dados'!$Y$2:$AA$13},""Select Col2 Where Col1=""&amp;M103))"),"")</f>
        <v/>
      </c>
      <c r="O103" s="29" t="str">
        <f>IFERROR(__xludf.DUMMYFUNCTION("IF(ISBLANK(B103),"""",IF(ISDATE(B103),TEXT(B103,""yyyy""),""""))"),"")</f>
        <v/>
      </c>
    </row>
    <row r="104">
      <c r="B104" s="55"/>
      <c r="C104" s="56"/>
      <c r="D104" s="49"/>
      <c r="E104" s="49"/>
      <c r="F104" s="50"/>
      <c r="G104" s="51"/>
      <c r="H104" s="52"/>
      <c r="I104" s="50"/>
      <c r="K104" s="53" t="str">
        <f>IFERROR(__xludf.DUMMYFUNCTION("IF(ISBLANK(B104),"""",IF(ISDATE(B104),""X"",""""))"),"")</f>
        <v/>
      </c>
      <c r="L104" s="40" t="str">
        <f>IFERROR(__xludf.DUMMYFUNCTION("IF(ISBLANK(B104),"""",IF(Or(I104=""Em Aberto"",ISBLANK(I104),NOT(ISDATE(B104))),"""",H104))"),"")</f>
        <v/>
      </c>
      <c r="M104" s="29" t="str">
        <f>IFERROR(__xludf.DUMMYFUNCTION("IF(ISBLANK(B104),"""",IF(ISDATE(B104),TEXT(B104,""m""),""""))"),"")</f>
        <v/>
      </c>
      <c r="N104" s="29" t="str">
        <f>IFERROR(__xludf.DUMMYFUNCTION("IF(M104="""","""",QUERY({'Dashboard-Dados'!$Y$2:$AA$13},""Select Col2 Where Col1=""&amp;M104))"),"")</f>
        <v/>
      </c>
      <c r="O104" s="29" t="str">
        <f>IFERROR(__xludf.DUMMYFUNCTION("IF(ISBLANK(B104),"""",IF(ISDATE(B104),TEXT(B104,""yyyy""),""""))"),"")</f>
        <v/>
      </c>
    </row>
    <row r="105">
      <c r="B105" s="55"/>
      <c r="C105" s="56"/>
      <c r="D105" s="49"/>
      <c r="E105" s="49"/>
      <c r="F105" s="50"/>
      <c r="G105" s="51"/>
      <c r="H105" s="52"/>
      <c r="I105" s="50"/>
      <c r="K105" s="53" t="str">
        <f>IFERROR(__xludf.DUMMYFUNCTION("IF(ISBLANK(B105),"""",IF(ISDATE(B105),""X"",""""))"),"")</f>
        <v/>
      </c>
      <c r="L105" s="40" t="str">
        <f>IFERROR(__xludf.DUMMYFUNCTION("IF(ISBLANK(B105),"""",IF(Or(I105=""Em Aberto"",ISBLANK(I105),NOT(ISDATE(B105))),"""",H105))"),"")</f>
        <v/>
      </c>
      <c r="M105" s="29" t="str">
        <f>IFERROR(__xludf.DUMMYFUNCTION("IF(ISBLANK(B105),"""",IF(ISDATE(B105),TEXT(B105,""m""),""""))"),"")</f>
        <v/>
      </c>
      <c r="N105" s="29" t="str">
        <f>IFERROR(__xludf.DUMMYFUNCTION("IF(M105="""","""",QUERY({'Dashboard-Dados'!$Y$2:$AA$13},""Select Col2 Where Col1=""&amp;M105))"),"")</f>
        <v/>
      </c>
      <c r="O105" s="29" t="str">
        <f>IFERROR(__xludf.DUMMYFUNCTION("IF(ISBLANK(B105),"""",IF(ISDATE(B105),TEXT(B105,""yyyy""),""""))"),"")</f>
        <v/>
      </c>
    </row>
    <row r="106">
      <c r="B106" s="55"/>
      <c r="C106" s="56"/>
      <c r="D106" s="49"/>
      <c r="E106" s="49"/>
      <c r="F106" s="50"/>
      <c r="G106" s="51"/>
      <c r="H106" s="52"/>
      <c r="I106" s="50"/>
      <c r="K106" s="53" t="str">
        <f>IFERROR(__xludf.DUMMYFUNCTION("IF(ISBLANK(B106),"""",IF(ISDATE(B106),""X"",""""))"),"")</f>
        <v/>
      </c>
      <c r="L106" s="40" t="str">
        <f>IFERROR(__xludf.DUMMYFUNCTION("IF(ISBLANK(B106),"""",IF(Or(I106=""Em Aberto"",ISBLANK(I106),NOT(ISDATE(B106))),"""",H106))"),"")</f>
        <v/>
      </c>
      <c r="M106" s="29" t="str">
        <f>IFERROR(__xludf.DUMMYFUNCTION("IF(ISBLANK(B106),"""",IF(ISDATE(B106),TEXT(B106,""m""),""""))"),"")</f>
        <v/>
      </c>
      <c r="N106" s="29" t="str">
        <f>IFERROR(__xludf.DUMMYFUNCTION("IF(M106="""","""",QUERY({'Dashboard-Dados'!$Y$2:$AA$13},""Select Col2 Where Col1=""&amp;M106))"),"")</f>
        <v/>
      </c>
      <c r="O106" s="29" t="str">
        <f>IFERROR(__xludf.DUMMYFUNCTION("IF(ISBLANK(B106),"""",IF(ISDATE(B106),TEXT(B106,""yyyy""),""""))"),"")</f>
        <v/>
      </c>
    </row>
    <row r="107">
      <c r="B107" s="55"/>
      <c r="C107" s="56"/>
      <c r="D107" s="49"/>
      <c r="E107" s="49"/>
      <c r="F107" s="50"/>
      <c r="G107" s="51"/>
      <c r="H107" s="52"/>
      <c r="I107" s="50"/>
      <c r="K107" s="53" t="str">
        <f>IFERROR(__xludf.DUMMYFUNCTION("IF(ISBLANK(B107),"""",IF(ISDATE(B107),""X"",""""))"),"")</f>
        <v/>
      </c>
      <c r="L107" s="40" t="str">
        <f>IFERROR(__xludf.DUMMYFUNCTION("IF(ISBLANK(B107),"""",IF(Or(I107=""Em Aberto"",ISBLANK(I107),NOT(ISDATE(B107))),"""",H107))"),"")</f>
        <v/>
      </c>
      <c r="M107" s="29" t="str">
        <f>IFERROR(__xludf.DUMMYFUNCTION("IF(ISBLANK(B107),"""",IF(ISDATE(B107),TEXT(B107,""m""),""""))"),"")</f>
        <v/>
      </c>
      <c r="N107" s="29" t="str">
        <f>IFERROR(__xludf.DUMMYFUNCTION("IF(M107="""","""",QUERY({'Dashboard-Dados'!$Y$2:$AA$13},""Select Col2 Where Col1=""&amp;M107))"),"")</f>
        <v/>
      </c>
      <c r="O107" s="29" t="str">
        <f>IFERROR(__xludf.DUMMYFUNCTION("IF(ISBLANK(B107),"""",IF(ISDATE(B107),TEXT(B107,""yyyy""),""""))"),"")</f>
        <v/>
      </c>
    </row>
    <row r="108">
      <c r="B108" s="55"/>
      <c r="C108" s="56"/>
      <c r="D108" s="49"/>
      <c r="E108" s="49"/>
      <c r="F108" s="50"/>
      <c r="G108" s="51"/>
      <c r="H108" s="52"/>
      <c r="I108" s="50"/>
      <c r="K108" s="53" t="str">
        <f>IFERROR(__xludf.DUMMYFUNCTION("IF(ISBLANK(B108),"""",IF(ISDATE(B108),""X"",""""))"),"")</f>
        <v/>
      </c>
      <c r="L108" s="40" t="str">
        <f>IFERROR(__xludf.DUMMYFUNCTION("IF(ISBLANK(B108),"""",IF(Or(I108=""Em Aberto"",ISBLANK(I108),NOT(ISDATE(B108))),"""",H108))"),"")</f>
        <v/>
      </c>
      <c r="M108" s="29" t="str">
        <f>IFERROR(__xludf.DUMMYFUNCTION("IF(ISBLANK(B108),"""",IF(ISDATE(B108),TEXT(B108,""m""),""""))"),"")</f>
        <v/>
      </c>
      <c r="N108" s="29" t="str">
        <f>IFERROR(__xludf.DUMMYFUNCTION("IF(M108="""","""",QUERY({'Dashboard-Dados'!$Y$2:$AA$13},""Select Col2 Where Col1=""&amp;M108))"),"")</f>
        <v/>
      </c>
      <c r="O108" s="29" t="str">
        <f>IFERROR(__xludf.DUMMYFUNCTION("IF(ISBLANK(B108),"""",IF(ISDATE(B108),TEXT(B108,""yyyy""),""""))"),"")</f>
        <v/>
      </c>
    </row>
    <row r="109">
      <c r="B109" s="55"/>
      <c r="C109" s="56"/>
      <c r="D109" s="49"/>
      <c r="E109" s="49"/>
      <c r="F109" s="50"/>
      <c r="G109" s="51"/>
      <c r="H109" s="52"/>
      <c r="I109" s="50"/>
      <c r="K109" s="53" t="str">
        <f>IFERROR(__xludf.DUMMYFUNCTION("IF(ISBLANK(B109),"""",IF(ISDATE(B109),""X"",""""))"),"")</f>
        <v/>
      </c>
      <c r="L109" s="40" t="str">
        <f>IFERROR(__xludf.DUMMYFUNCTION("IF(ISBLANK(B109),"""",IF(Or(I109=""Em Aberto"",ISBLANK(I109),NOT(ISDATE(B109))),"""",H109))"),"")</f>
        <v/>
      </c>
      <c r="M109" s="29" t="str">
        <f>IFERROR(__xludf.DUMMYFUNCTION("IF(ISBLANK(B109),"""",IF(ISDATE(B109),TEXT(B109,""m""),""""))"),"")</f>
        <v/>
      </c>
      <c r="N109" s="29" t="str">
        <f>IFERROR(__xludf.DUMMYFUNCTION("IF(M109="""","""",QUERY({'Dashboard-Dados'!$Y$2:$AA$13},""Select Col2 Where Col1=""&amp;M109))"),"")</f>
        <v/>
      </c>
      <c r="O109" s="29" t="str">
        <f>IFERROR(__xludf.DUMMYFUNCTION("IF(ISBLANK(B109),"""",IF(ISDATE(B109),TEXT(B109,""yyyy""),""""))"),"")</f>
        <v/>
      </c>
    </row>
    <row r="110">
      <c r="B110" s="55"/>
      <c r="C110" s="56"/>
      <c r="D110" s="49"/>
      <c r="E110" s="49"/>
      <c r="F110" s="50"/>
      <c r="G110" s="51"/>
      <c r="H110" s="52"/>
      <c r="I110" s="50"/>
      <c r="K110" s="53" t="str">
        <f>IFERROR(__xludf.DUMMYFUNCTION("IF(ISBLANK(B110),"""",IF(ISDATE(B110),""X"",""""))"),"")</f>
        <v/>
      </c>
      <c r="L110" s="40" t="str">
        <f>IFERROR(__xludf.DUMMYFUNCTION("IF(ISBLANK(B110),"""",IF(Or(I110=""Em Aberto"",ISBLANK(I110),NOT(ISDATE(B110))),"""",H110))"),"")</f>
        <v/>
      </c>
      <c r="M110" s="29" t="str">
        <f>IFERROR(__xludf.DUMMYFUNCTION("IF(ISBLANK(B110),"""",IF(ISDATE(B110),TEXT(B110,""m""),""""))"),"")</f>
        <v/>
      </c>
      <c r="N110" s="29" t="str">
        <f>IFERROR(__xludf.DUMMYFUNCTION("IF(M110="""","""",QUERY({'Dashboard-Dados'!$Y$2:$AA$13},""Select Col2 Where Col1=""&amp;M110))"),"")</f>
        <v/>
      </c>
      <c r="O110" s="29" t="str">
        <f>IFERROR(__xludf.DUMMYFUNCTION("IF(ISBLANK(B110),"""",IF(ISDATE(B110),TEXT(B110,""yyyy""),""""))"),"")</f>
        <v/>
      </c>
    </row>
    <row r="111">
      <c r="B111" s="55"/>
      <c r="C111" s="56"/>
      <c r="D111" s="49"/>
      <c r="E111" s="49"/>
      <c r="F111" s="50"/>
      <c r="G111" s="51"/>
      <c r="H111" s="52"/>
      <c r="I111" s="50"/>
      <c r="K111" s="53" t="str">
        <f>IFERROR(__xludf.DUMMYFUNCTION("IF(ISBLANK(B111),"""",IF(ISDATE(B111),""X"",""""))"),"")</f>
        <v/>
      </c>
      <c r="L111" s="40" t="str">
        <f>IFERROR(__xludf.DUMMYFUNCTION("IF(ISBLANK(B111),"""",IF(Or(I111=""Em Aberto"",ISBLANK(I111),NOT(ISDATE(B111))),"""",H111))"),"")</f>
        <v/>
      </c>
      <c r="M111" s="29" t="str">
        <f>IFERROR(__xludf.DUMMYFUNCTION("IF(ISBLANK(B111),"""",IF(ISDATE(B111),TEXT(B111,""m""),""""))"),"")</f>
        <v/>
      </c>
      <c r="N111" s="29" t="str">
        <f>IFERROR(__xludf.DUMMYFUNCTION("IF(M111="""","""",QUERY({'Dashboard-Dados'!$Y$2:$AA$13},""Select Col2 Where Col1=""&amp;M111))"),"")</f>
        <v/>
      </c>
      <c r="O111" s="29" t="str">
        <f>IFERROR(__xludf.DUMMYFUNCTION("IF(ISBLANK(B111),"""",IF(ISDATE(B111),TEXT(B111,""yyyy""),""""))"),"")</f>
        <v/>
      </c>
    </row>
    <row r="112">
      <c r="B112" s="55"/>
      <c r="C112" s="56"/>
      <c r="D112" s="49"/>
      <c r="E112" s="49"/>
      <c r="F112" s="50"/>
      <c r="G112" s="51"/>
      <c r="H112" s="52"/>
      <c r="I112" s="50"/>
      <c r="K112" s="53" t="str">
        <f>IFERROR(__xludf.DUMMYFUNCTION("IF(ISBLANK(B112),"""",IF(ISDATE(B112),""X"",""""))"),"")</f>
        <v/>
      </c>
      <c r="L112" s="40" t="str">
        <f>IFERROR(__xludf.DUMMYFUNCTION("IF(ISBLANK(B112),"""",IF(Or(I112=""Em Aberto"",ISBLANK(I112),NOT(ISDATE(B112))),"""",H112))"),"")</f>
        <v/>
      </c>
      <c r="M112" s="29" t="str">
        <f>IFERROR(__xludf.DUMMYFUNCTION("IF(ISBLANK(B112),"""",IF(ISDATE(B112),TEXT(B112,""m""),""""))"),"")</f>
        <v/>
      </c>
      <c r="N112" s="29" t="str">
        <f>IFERROR(__xludf.DUMMYFUNCTION("IF(M112="""","""",QUERY({'Dashboard-Dados'!$Y$2:$AA$13},""Select Col2 Where Col1=""&amp;M112))"),"")</f>
        <v/>
      </c>
      <c r="O112" s="29" t="str">
        <f>IFERROR(__xludf.DUMMYFUNCTION("IF(ISBLANK(B112),"""",IF(ISDATE(B112),TEXT(B112,""yyyy""),""""))"),"")</f>
        <v/>
      </c>
    </row>
    <row r="113">
      <c r="B113" s="55"/>
      <c r="C113" s="56"/>
      <c r="D113" s="49"/>
      <c r="E113" s="49"/>
      <c r="F113" s="50"/>
      <c r="G113" s="51"/>
      <c r="H113" s="52"/>
      <c r="I113" s="50"/>
      <c r="K113" s="53" t="str">
        <f>IFERROR(__xludf.DUMMYFUNCTION("IF(ISBLANK(B113),"""",IF(ISDATE(B113),""X"",""""))"),"")</f>
        <v/>
      </c>
      <c r="L113" s="40" t="str">
        <f>IFERROR(__xludf.DUMMYFUNCTION("IF(ISBLANK(B113),"""",IF(Or(I113=""Em Aberto"",ISBLANK(I113),NOT(ISDATE(B113))),"""",H113))"),"")</f>
        <v/>
      </c>
      <c r="M113" s="29" t="str">
        <f>IFERROR(__xludf.DUMMYFUNCTION("IF(ISBLANK(B113),"""",IF(ISDATE(B113),TEXT(B113,""m""),""""))"),"")</f>
        <v/>
      </c>
      <c r="N113" s="29" t="str">
        <f>IFERROR(__xludf.DUMMYFUNCTION("IF(M113="""","""",QUERY({'Dashboard-Dados'!$Y$2:$AA$13},""Select Col2 Where Col1=""&amp;M113))"),"")</f>
        <v/>
      </c>
      <c r="O113" s="29" t="str">
        <f>IFERROR(__xludf.DUMMYFUNCTION("IF(ISBLANK(B113),"""",IF(ISDATE(B113),TEXT(B113,""yyyy""),""""))"),"")</f>
        <v/>
      </c>
    </row>
    <row r="114">
      <c r="B114" s="55"/>
      <c r="C114" s="56"/>
      <c r="D114" s="49"/>
      <c r="E114" s="49"/>
      <c r="F114" s="50"/>
      <c r="G114" s="51"/>
      <c r="H114" s="52"/>
      <c r="I114" s="50"/>
      <c r="K114" s="53" t="str">
        <f>IFERROR(__xludf.DUMMYFUNCTION("IF(ISBLANK(B114),"""",IF(ISDATE(B114),""X"",""""))"),"")</f>
        <v/>
      </c>
      <c r="L114" s="40" t="str">
        <f>IFERROR(__xludf.DUMMYFUNCTION("IF(ISBLANK(B114),"""",IF(Or(I114=""Em Aberto"",ISBLANK(I114),NOT(ISDATE(B114))),"""",H114))"),"")</f>
        <v/>
      </c>
      <c r="M114" s="29" t="str">
        <f>IFERROR(__xludf.DUMMYFUNCTION("IF(ISBLANK(B114),"""",IF(ISDATE(B114),TEXT(B114,""m""),""""))"),"")</f>
        <v/>
      </c>
      <c r="N114" s="29" t="str">
        <f>IFERROR(__xludf.DUMMYFUNCTION("IF(M114="""","""",QUERY({'Dashboard-Dados'!$Y$2:$AA$13},""Select Col2 Where Col1=""&amp;M114))"),"")</f>
        <v/>
      </c>
      <c r="O114" s="29" t="str">
        <f>IFERROR(__xludf.DUMMYFUNCTION("IF(ISBLANK(B114),"""",IF(ISDATE(B114),TEXT(B114,""yyyy""),""""))"),"")</f>
        <v/>
      </c>
    </row>
    <row r="115">
      <c r="B115" s="55"/>
      <c r="C115" s="56"/>
      <c r="D115" s="49"/>
      <c r="E115" s="49"/>
      <c r="F115" s="50"/>
      <c r="G115" s="51"/>
      <c r="H115" s="52"/>
      <c r="I115" s="50"/>
      <c r="K115" s="53" t="str">
        <f>IFERROR(__xludf.DUMMYFUNCTION("IF(ISBLANK(B115),"""",IF(ISDATE(B115),""X"",""""))"),"")</f>
        <v/>
      </c>
      <c r="L115" s="40" t="str">
        <f>IFERROR(__xludf.DUMMYFUNCTION("IF(ISBLANK(B115),"""",IF(Or(I115=""Em Aberto"",ISBLANK(I115),NOT(ISDATE(B115))),"""",H115))"),"")</f>
        <v/>
      </c>
      <c r="M115" s="29" t="str">
        <f>IFERROR(__xludf.DUMMYFUNCTION("IF(ISBLANK(B115),"""",IF(ISDATE(B115),TEXT(B115,""m""),""""))"),"")</f>
        <v/>
      </c>
      <c r="N115" s="29" t="str">
        <f>IFERROR(__xludf.DUMMYFUNCTION("IF(M115="""","""",QUERY({'Dashboard-Dados'!$Y$2:$AA$13},""Select Col2 Where Col1=""&amp;M115))"),"")</f>
        <v/>
      </c>
      <c r="O115" s="29" t="str">
        <f>IFERROR(__xludf.DUMMYFUNCTION("IF(ISBLANK(B115),"""",IF(ISDATE(B115),TEXT(B115,""yyyy""),""""))"),"")</f>
        <v/>
      </c>
    </row>
    <row r="116">
      <c r="B116" s="55"/>
      <c r="C116" s="56"/>
      <c r="D116" s="49"/>
      <c r="E116" s="49"/>
      <c r="F116" s="50"/>
      <c r="G116" s="51"/>
      <c r="H116" s="52"/>
      <c r="I116" s="50"/>
      <c r="K116" s="53" t="str">
        <f>IFERROR(__xludf.DUMMYFUNCTION("IF(ISBLANK(B116),"""",IF(ISDATE(B116),""X"",""""))"),"")</f>
        <v/>
      </c>
      <c r="L116" s="40" t="str">
        <f>IFERROR(__xludf.DUMMYFUNCTION("IF(ISBLANK(B116),"""",IF(Or(I116=""Em Aberto"",ISBLANK(I116),NOT(ISDATE(B116))),"""",H116))"),"")</f>
        <v/>
      </c>
      <c r="M116" s="29" t="str">
        <f>IFERROR(__xludf.DUMMYFUNCTION("IF(ISBLANK(B116),"""",IF(ISDATE(B116),TEXT(B116,""m""),""""))"),"")</f>
        <v/>
      </c>
      <c r="N116" s="29" t="str">
        <f>IFERROR(__xludf.DUMMYFUNCTION("IF(M116="""","""",QUERY({'Dashboard-Dados'!$Y$2:$AA$13},""Select Col2 Where Col1=""&amp;M116))"),"")</f>
        <v/>
      </c>
      <c r="O116" s="29" t="str">
        <f>IFERROR(__xludf.DUMMYFUNCTION("IF(ISBLANK(B116),"""",IF(ISDATE(B116),TEXT(B116,""yyyy""),""""))"),"")</f>
        <v/>
      </c>
    </row>
    <row r="117">
      <c r="B117" s="55"/>
      <c r="C117" s="56"/>
      <c r="D117" s="49"/>
      <c r="E117" s="49"/>
      <c r="F117" s="50"/>
      <c r="G117" s="51"/>
      <c r="H117" s="52"/>
      <c r="I117" s="50"/>
      <c r="K117" s="53" t="str">
        <f>IFERROR(__xludf.DUMMYFUNCTION("IF(ISBLANK(B117),"""",IF(ISDATE(B117),""X"",""""))"),"")</f>
        <v/>
      </c>
      <c r="L117" s="40" t="str">
        <f>IFERROR(__xludf.DUMMYFUNCTION("IF(ISBLANK(B117),"""",IF(Or(I117=""Em Aberto"",ISBLANK(I117),NOT(ISDATE(B117))),"""",H117))"),"")</f>
        <v/>
      </c>
      <c r="M117" s="29" t="str">
        <f>IFERROR(__xludf.DUMMYFUNCTION("IF(ISBLANK(B117),"""",IF(ISDATE(B117),TEXT(B117,""m""),""""))"),"")</f>
        <v/>
      </c>
      <c r="N117" s="29" t="str">
        <f>IFERROR(__xludf.DUMMYFUNCTION("IF(M117="""","""",QUERY({'Dashboard-Dados'!$Y$2:$AA$13},""Select Col2 Where Col1=""&amp;M117))"),"")</f>
        <v/>
      </c>
      <c r="O117" s="29" t="str">
        <f>IFERROR(__xludf.DUMMYFUNCTION("IF(ISBLANK(B117),"""",IF(ISDATE(B117),TEXT(B117,""yyyy""),""""))"),"")</f>
        <v/>
      </c>
    </row>
    <row r="118">
      <c r="B118" s="55"/>
      <c r="C118" s="56"/>
      <c r="D118" s="49"/>
      <c r="E118" s="49"/>
      <c r="F118" s="50"/>
      <c r="G118" s="51"/>
      <c r="H118" s="52"/>
      <c r="I118" s="50"/>
      <c r="K118" s="53" t="str">
        <f>IFERROR(__xludf.DUMMYFUNCTION("IF(ISBLANK(B118),"""",IF(ISDATE(B118),""X"",""""))"),"")</f>
        <v/>
      </c>
      <c r="L118" s="40" t="str">
        <f>IFERROR(__xludf.DUMMYFUNCTION("IF(ISBLANK(B118),"""",IF(Or(I118=""Em Aberto"",ISBLANK(I118),NOT(ISDATE(B118))),"""",H118))"),"")</f>
        <v/>
      </c>
      <c r="M118" s="29" t="str">
        <f>IFERROR(__xludf.DUMMYFUNCTION("IF(ISBLANK(B118),"""",IF(ISDATE(B118),TEXT(B118,""m""),""""))"),"")</f>
        <v/>
      </c>
      <c r="N118" s="29" t="str">
        <f>IFERROR(__xludf.DUMMYFUNCTION("IF(M118="""","""",QUERY({'Dashboard-Dados'!$Y$2:$AA$13},""Select Col2 Where Col1=""&amp;M118))"),"")</f>
        <v/>
      </c>
      <c r="O118" s="29" t="str">
        <f>IFERROR(__xludf.DUMMYFUNCTION("IF(ISBLANK(B118),"""",IF(ISDATE(B118),TEXT(B118,""yyyy""),""""))"),"")</f>
        <v/>
      </c>
    </row>
    <row r="119">
      <c r="B119" s="55"/>
      <c r="C119" s="56"/>
      <c r="D119" s="49"/>
      <c r="E119" s="49"/>
      <c r="F119" s="50"/>
      <c r="G119" s="51"/>
      <c r="H119" s="52"/>
      <c r="I119" s="50"/>
      <c r="K119" s="53" t="str">
        <f>IFERROR(__xludf.DUMMYFUNCTION("IF(ISBLANK(B119),"""",IF(ISDATE(B119),""X"",""""))"),"")</f>
        <v/>
      </c>
      <c r="L119" s="40" t="str">
        <f>IFERROR(__xludf.DUMMYFUNCTION("IF(ISBLANK(B119),"""",IF(Or(I119=""Em Aberto"",ISBLANK(I119),NOT(ISDATE(B119))),"""",H119))"),"")</f>
        <v/>
      </c>
      <c r="M119" s="29" t="str">
        <f>IFERROR(__xludf.DUMMYFUNCTION("IF(ISBLANK(B119),"""",IF(ISDATE(B119),TEXT(B119,""m""),""""))"),"")</f>
        <v/>
      </c>
      <c r="N119" s="29" t="str">
        <f>IFERROR(__xludf.DUMMYFUNCTION("IF(M119="""","""",QUERY({'Dashboard-Dados'!$Y$2:$AA$13},""Select Col2 Where Col1=""&amp;M119))"),"")</f>
        <v/>
      </c>
      <c r="O119" s="29" t="str">
        <f>IFERROR(__xludf.DUMMYFUNCTION("IF(ISBLANK(B119),"""",IF(ISDATE(B119),TEXT(B119,""yyyy""),""""))"),"")</f>
        <v/>
      </c>
    </row>
    <row r="120">
      <c r="B120" s="55"/>
      <c r="C120" s="56"/>
      <c r="D120" s="49"/>
      <c r="E120" s="49"/>
      <c r="F120" s="50"/>
      <c r="G120" s="51"/>
      <c r="H120" s="52"/>
      <c r="I120" s="50"/>
      <c r="K120" s="53" t="str">
        <f>IFERROR(__xludf.DUMMYFUNCTION("IF(ISBLANK(B120),"""",IF(ISDATE(B120),""X"",""""))"),"")</f>
        <v/>
      </c>
      <c r="L120" s="40" t="str">
        <f>IFERROR(__xludf.DUMMYFUNCTION("IF(ISBLANK(B120),"""",IF(Or(I120=""Em Aberto"",ISBLANK(I120),NOT(ISDATE(B120))),"""",H120))"),"")</f>
        <v/>
      </c>
      <c r="M120" s="29" t="str">
        <f>IFERROR(__xludf.DUMMYFUNCTION("IF(ISBLANK(B120),"""",IF(ISDATE(B120),TEXT(B120,""m""),""""))"),"")</f>
        <v/>
      </c>
      <c r="N120" s="29" t="str">
        <f>IFERROR(__xludf.DUMMYFUNCTION("IF(M120="""","""",QUERY({'Dashboard-Dados'!$Y$2:$AA$13},""Select Col2 Where Col1=""&amp;M120))"),"")</f>
        <v/>
      </c>
      <c r="O120" s="29" t="str">
        <f>IFERROR(__xludf.DUMMYFUNCTION("IF(ISBLANK(B120),"""",IF(ISDATE(B120),TEXT(B120,""yyyy""),""""))"),"")</f>
        <v/>
      </c>
    </row>
    <row r="121">
      <c r="B121" s="55"/>
      <c r="C121" s="56"/>
      <c r="D121" s="49"/>
      <c r="E121" s="49"/>
      <c r="F121" s="50"/>
      <c r="G121" s="51"/>
      <c r="H121" s="52"/>
      <c r="I121" s="50"/>
      <c r="K121" s="53" t="str">
        <f>IFERROR(__xludf.DUMMYFUNCTION("IF(ISBLANK(B121),"""",IF(ISDATE(B121),""X"",""""))"),"")</f>
        <v/>
      </c>
      <c r="L121" s="40" t="str">
        <f>IFERROR(__xludf.DUMMYFUNCTION("IF(ISBLANK(B121),"""",IF(Or(I121=""Em Aberto"",ISBLANK(I121),NOT(ISDATE(B121))),"""",H121))"),"")</f>
        <v/>
      </c>
      <c r="M121" s="29" t="str">
        <f>IFERROR(__xludf.DUMMYFUNCTION("IF(ISBLANK(B121),"""",IF(ISDATE(B121),TEXT(B121,""m""),""""))"),"")</f>
        <v/>
      </c>
      <c r="N121" s="29" t="str">
        <f>IFERROR(__xludf.DUMMYFUNCTION("IF(M121="""","""",QUERY({'Dashboard-Dados'!$Y$2:$AA$13},""Select Col2 Where Col1=""&amp;M121))"),"")</f>
        <v/>
      </c>
      <c r="O121" s="29" t="str">
        <f>IFERROR(__xludf.DUMMYFUNCTION("IF(ISBLANK(B121),"""",IF(ISDATE(B121),TEXT(B121,""yyyy""),""""))"),"")</f>
        <v/>
      </c>
    </row>
    <row r="122">
      <c r="B122" s="55"/>
      <c r="C122" s="56"/>
      <c r="D122" s="49"/>
      <c r="E122" s="49"/>
      <c r="F122" s="50"/>
      <c r="G122" s="51"/>
      <c r="H122" s="52"/>
      <c r="I122" s="50"/>
      <c r="K122" s="53" t="str">
        <f>IFERROR(__xludf.DUMMYFUNCTION("IF(ISBLANK(B122),"""",IF(ISDATE(B122),""X"",""""))"),"")</f>
        <v/>
      </c>
      <c r="L122" s="40" t="str">
        <f>IFERROR(__xludf.DUMMYFUNCTION("IF(ISBLANK(B122),"""",IF(Or(I122=""Em Aberto"",ISBLANK(I122),NOT(ISDATE(B122))),"""",H122))"),"")</f>
        <v/>
      </c>
      <c r="M122" s="29" t="str">
        <f>IFERROR(__xludf.DUMMYFUNCTION("IF(ISBLANK(B122),"""",IF(ISDATE(B122),TEXT(B122,""m""),""""))"),"")</f>
        <v/>
      </c>
      <c r="N122" s="29" t="str">
        <f>IFERROR(__xludf.DUMMYFUNCTION("IF(M122="""","""",QUERY({'Dashboard-Dados'!$Y$2:$AA$13},""Select Col2 Where Col1=""&amp;M122))"),"")</f>
        <v/>
      </c>
      <c r="O122" s="29" t="str">
        <f>IFERROR(__xludf.DUMMYFUNCTION("IF(ISBLANK(B122),"""",IF(ISDATE(B122),TEXT(B122,""yyyy""),""""))"),"")</f>
        <v/>
      </c>
    </row>
    <row r="123">
      <c r="B123" s="55"/>
      <c r="C123" s="56"/>
      <c r="D123" s="49"/>
      <c r="E123" s="49"/>
      <c r="F123" s="50"/>
      <c r="G123" s="51"/>
      <c r="H123" s="52"/>
      <c r="I123" s="50"/>
      <c r="K123" s="53" t="str">
        <f>IFERROR(__xludf.DUMMYFUNCTION("IF(ISBLANK(B123),"""",IF(ISDATE(B123),""X"",""""))"),"")</f>
        <v/>
      </c>
      <c r="L123" s="40" t="str">
        <f>IFERROR(__xludf.DUMMYFUNCTION("IF(ISBLANK(B123),"""",IF(Or(I123=""Em Aberto"",ISBLANK(I123),NOT(ISDATE(B123))),"""",H123))"),"")</f>
        <v/>
      </c>
      <c r="M123" s="29" t="str">
        <f>IFERROR(__xludf.DUMMYFUNCTION("IF(ISBLANK(B123),"""",IF(ISDATE(B123),TEXT(B123,""m""),""""))"),"")</f>
        <v/>
      </c>
      <c r="N123" s="29" t="str">
        <f>IFERROR(__xludf.DUMMYFUNCTION("IF(M123="""","""",QUERY({'Dashboard-Dados'!$Y$2:$AA$13},""Select Col2 Where Col1=""&amp;M123))"),"")</f>
        <v/>
      </c>
      <c r="O123" s="29" t="str">
        <f>IFERROR(__xludf.DUMMYFUNCTION("IF(ISBLANK(B123),"""",IF(ISDATE(B123),TEXT(B123,""yyyy""),""""))"),"")</f>
        <v/>
      </c>
    </row>
    <row r="124">
      <c r="B124" s="55"/>
      <c r="C124" s="56"/>
      <c r="D124" s="49"/>
      <c r="E124" s="49"/>
      <c r="F124" s="50"/>
      <c r="G124" s="51"/>
      <c r="H124" s="52"/>
      <c r="I124" s="50"/>
      <c r="K124" s="53" t="str">
        <f>IFERROR(__xludf.DUMMYFUNCTION("IF(ISBLANK(B124),"""",IF(ISDATE(B124),""X"",""""))"),"")</f>
        <v/>
      </c>
      <c r="L124" s="40" t="str">
        <f>IFERROR(__xludf.DUMMYFUNCTION("IF(ISBLANK(B124),"""",IF(Or(I124=""Em Aberto"",ISBLANK(I124),NOT(ISDATE(B124))),"""",H124))"),"")</f>
        <v/>
      </c>
      <c r="M124" s="29" t="str">
        <f>IFERROR(__xludf.DUMMYFUNCTION("IF(ISBLANK(B124),"""",IF(ISDATE(B124),TEXT(B124,""m""),""""))"),"")</f>
        <v/>
      </c>
      <c r="N124" s="29" t="str">
        <f>IFERROR(__xludf.DUMMYFUNCTION("IF(M124="""","""",QUERY({'Dashboard-Dados'!$Y$2:$AA$13},""Select Col2 Where Col1=""&amp;M124))"),"")</f>
        <v/>
      </c>
      <c r="O124" s="29" t="str">
        <f>IFERROR(__xludf.DUMMYFUNCTION("IF(ISBLANK(B124),"""",IF(ISDATE(B124),TEXT(B124,""yyyy""),""""))"),"")</f>
        <v/>
      </c>
    </row>
    <row r="125">
      <c r="B125" s="55"/>
      <c r="C125" s="56"/>
      <c r="D125" s="49"/>
      <c r="E125" s="49"/>
      <c r="F125" s="50"/>
      <c r="G125" s="51"/>
      <c r="H125" s="52"/>
      <c r="I125" s="50"/>
      <c r="K125" s="53" t="str">
        <f>IFERROR(__xludf.DUMMYFUNCTION("IF(ISBLANK(B125),"""",IF(ISDATE(B125),""X"",""""))"),"")</f>
        <v/>
      </c>
      <c r="L125" s="40" t="str">
        <f>IFERROR(__xludf.DUMMYFUNCTION("IF(ISBLANK(B125),"""",IF(Or(I125=""Em Aberto"",ISBLANK(I125),NOT(ISDATE(B125))),"""",H125))"),"")</f>
        <v/>
      </c>
      <c r="M125" s="29" t="str">
        <f>IFERROR(__xludf.DUMMYFUNCTION("IF(ISBLANK(B125),"""",IF(ISDATE(B125),TEXT(B125,""m""),""""))"),"")</f>
        <v/>
      </c>
      <c r="N125" s="29" t="str">
        <f>IFERROR(__xludf.DUMMYFUNCTION("IF(M125="""","""",QUERY({'Dashboard-Dados'!$Y$2:$AA$13},""Select Col2 Where Col1=""&amp;M125))"),"")</f>
        <v/>
      </c>
      <c r="O125" s="29" t="str">
        <f>IFERROR(__xludf.DUMMYFUNCTION("IF(ISBLANK(B125),"""",IF(ISDATE(B125),TEXT(B125,""yyyy""),""""))"),"")</f>
        <v/>
      </c>
    </row>
    <row r="126">
      <c r="B126" s="55"/>
      <c r="C126" s="56"/>
      <c r="D126" s="49"/>
      <c r="E126" s="49"/>
      <c r="F126" s="50"/>
      <c r="G126" s="51"/>
      <c r="H126" s="52"/>
      <c r="I126" s="50"/>
      <c r="K126" s="53" t="str">
        <f>IFERROR(__xludf.DUMMYFUNCTION("IF(ISBLANK(B126),"""",IF(ISDATE(B126),""X"",""""))"),"")</f>
        <v/>
      </c>
      <c r="L126" s="40" t="str">
        <f>IFERROR(__xludf.DUMMYFUNCTION("IF(ISBLANK(B126),"""",IF(Or(I126=""Em Aberto"",ISBLANK(I126),NOT(ISDATE(B126))),"""",H126))"),"")</f>
        <v/>
      </c>
      <c r="M126" s="29" t="str">
        <f>IFERROR(__xludf.DUMMYFUNCTION("IF(ISBLANK(B126),"""",IF(ISDATE(B126),TEXT(B126,""m""),""""))"),"")</f>
        <v/>
      </c>
      <c r="N126" s="29" t="str">
        <f>IFERROR(__xludf.DUMMYFUNCTION("IF(M126="""","""",QUERY({'Dashboard-Dados'!$Y$2:$AA$13},""Select Col2 Where Col1=""&amp;M126))"),"")</f>
        <v/>
      </c>
      <c r="O126" s="29" t="str">
        <f>IFERROR(__xludf.DUMMYFUNCTION("IF(ISBLANK(B126),"""",IF(ISDATE(B126),TEXT(B126,""yyyy""),""""))"),"")</f>
        <v/>
      </c>
    </row>
    <row r="127">
      <c r="B127" s="55"/>
      <c r="C127" s="56"/>
      <c r="D127" s="49"/>
      <c r="E127" s="49"/>
      <c r="F127" s="50"/>
      <c r="G127" s="51"/>
      <c r="H127" s="52"/>
      <c r="I127" s="50"/>
      <c r="K127" s="53" t="str">
        <f>IFERROR(__xludf.DUMMYFUNCTION("IF(ISBLANK(B127),"""",IF(ISDATE(B127),""X"",""""))"),"")</f>
        <v/>
      </c>
      <c r="L127" s="40" t="str">
        <f>IFERROR(__xludf.DUMMYFUNCTION("IF(ISBLANK(B127),"""",IF(Or(I127=""Em Aberto"",ISBLANK(I127),NOT(ISDATE(B127))),"""",H127))"),"")</f>
        <v/>
      </c>
      <c r="M127" s="29" t="str">
        <f>IFERROR(__xludf.DUMMYFUNCTION("IF(ISBLANK(B127),"""",IF(ISDATE(B127),TEXT(B127,""m""),""""))"),"")</f>
        <v/>
      </c>
      <c r="N127" s="29" t="str">
        <f>IFERROR(__xludf.DUMMYFUNCTION("IF(M127="""","""",QUERY({'Dashboard-Dados'!$Y$2:$AA$13},""Select Col2 Where Col1=""&amp;M127))"),"")</f>
        <v/>
      </c>
      <c r="O127" s="29" t="str">
        <f>IFERROR(__xludf.DUMMYFUNCTION("IF(ISBLANK(B127),"""",IF(ISDATE(B127),TEXT(B127,""yyyy""),""""))"),"")</f>
        <v/>
      </c>
    </row>
    <row r="128">
      <c r="B128" s="55"/>
      <c r="C128" s="56"/>
      <c r="D128" s="49"/>
      <c r="E128" s="49"/>
      <c r="F128" s="50"/>
      <c r="G128" s="51"/>
      <c r="H128" s="52"/>
      <c r="I128" s="50"/>
      <c r="K128" s="53" t="str">
        <f>IFERROR(__xludf.DUMMYFUNCTION("IF(ISBLANK(B128),"""",IF(ISDATE(B128),""X"",""""))"),"")</f>
        <v/>
      </c>
      <c r="L128" s="40" t="str">
        <f>IFERROR(__xludf.DUMMYFUNCTION("IF(ISBLANK(B128),"""",IF(Or(I128=""Em Aberto"",ISBLANK(I128),NOT(ISDATE(B128))),"""",H128))"),"")</f>
        <v/>
      </c>
      <c r="M128" s="29" t="str">
        <f>IFERROR(__xludf.DUMMYFUNCTION("IF(ISBLANK(B128),"""",IF(ISDATE(B128),TEXT(B128,""m""),""""))"),"")</f>
        <v/>
      </c>
      <c r="N128" s="29" t="str">
        <f>IFERROR(__xludf.DUMMYFUNCTION("IF(M128="""","""",QUERY({'Dashboard-Dados'!$Y$2:$AA$13},""Select Col2 Where Col1=""&amp;M128))"),"")</f>
        <v/>
      </c>
      <c r="O128" s="29" t="str">
        <f>IFERROR(__xludf.DUMMYFUNCTION("IF(ISBLANK(B128),"""",IF(ISDATE(B128),TEXT(B128,""yyyy""),""""))"),"")</f>
        <v/>
      </c>
    </row>
    <row r="129">
      <c r="B129" s="55"/>
      <c r="C129" s="56"/>
      <c r="D129" s="49"/>
      <c r="E129" s="49"/>
      <c r="F129" s="50"/>
      <c r="G129" s="51"/>
      <c r="H129" s="52"/>
      <c r="I129" s="50"/>
      <c r="K129" s="53" t="str">
        <f>IFERROR(__xludf.DUMMYFUNCTION("IF(ISBLANK(B129),"""",IF(ISDATE(B129),""X"",""""))"),"")</f>
        <v/>
      </c>
      <c r="L129" s="40" t="str">
        <f>IFERROR(__xludf.DUMMYFUNCTION("IF(ISBLANK(B129),"""",IF(Or(I129=""Em Aberto"",ISBLANK(I129),NOT(ISDATE(B129))),"""",H129))"),"")</f>
        <v/>
      </c>
      <c r="M129" s="29" t="str">
        <f>IFERROR(__xludf.DUMMYFUNCTION("IF(ISBLANK(B129),"""",IF(ISDATE(B129),TEXT(B129,""m""),""""))"),"")</f>
        <v/>
      </c>
      <c r="N129" s="29" t="str">
        <f>IFERROR(__xludf.DUMMYFUNCTION("IF(M129="""","""",QUERY({'Dashboard-Dados'!$Y$2:$AA$13},""Select Col2 Where Col1=""&amp;M129))"),"")</f>
        <v/>
      </c>
      <c r="O129" s="29" t="str">
        <f>IFERROR(__xludf.DUMMYFUNCTION("IF(ISBLANK(B129),"""",IF(ISDATE(B129),TEXT(B129,""yyyy""),""""))"),"")</f>
        <v/>
      </c>
    </row>
    <row r="130">
      <c r="B130" s="55"/>
      <c r="C130" s="56"/>
      <c r="D130" s="49"/>
      <c r="E130" s="49"/>
      <c r="F130" s="50"/>
      <c r="G130" s="51"/>
      <c r="H130" s="52"/>
      <c r="I130" s="50"/>
      <c r="K130" s="53" t="str">
        <f>IFERROR(__xludf.DUMMYFUNCTION("IF(ISBLANK(B130),"""",IF(ISDATE(B130),""X"",""""))"),"")</f>
        <v/>
      </c>
      <c r="L130" s="40" t="str">
        <f>IFERROR(__xludf.DUMMYFUNCTION("IF(ISBLANK(B130),"""",IF(Or(I130=""Em Aberto"",ISBLANK(I130),NOT(ISDATE(B130))),"""",H130))"),"")</f>
        <v/>
      </c>
      <c r="M130" s="29" t="str">
        <f>IFERROR(__xludf.DUMMYFUNCTION("IF(ISBLANK(B130),"""",IF(ISDATE(B130),TEXT(B130,""m""),""""))"),"")</f>
        <v/>
      </c>
      <c r="N130" s="29" t="str">
        <f>IFERROR(__xludf.DUMMYFUNCTION("IF(M130="""","""",QUERY({'Dashboard-Dados'!$Y$2:$AA$13},""Select Col2 Where Col1=""&amp;M130))"),"")</f>
        <v/>
      </c>
      <c r="O130" s="29" t="str">
        <f>IFERROR(__xludf.DUMMYFUNCTION("IF(ISBLANK(B130),"""",IF(ISDATE(B130),TEXT(B130,""yyyy""),""""))"),"")</f>
        <v/>
      </c>
    </row>
    <row r="131">
      <c r="B131" s="55"/>
      <c r="C131" s="56"/>
      <c r="D131" s="49"/>
      <c r="E131" s="49"/>
      <c r="F131" s="50"/>
      <c r="G131" s="51"/>
      <c r="H131" s="52"/>
      <c r="I131" s="50"/>
      <c r="K131" s="53" t="str">
        <f>IFERROR(__xludf.DUMMYFUNCTION("IF(ISBLANK(B131),"""",IF(ISDATE(B131),""X"",""""))"),"")</f>
        <v/>
      </c>
      <c r="L131" s="40" t="str">
        <f>IFERROR(__xludf.DUMMYFUNCTION("IF(ISBLANK(B131),"""",IF(Or(I131=""Em Aberto"",ISBLANK(I131),NOT(ISDATE(B131))),"""",H131))"),"")</f>
        <v/>
      </c>
      <c r="M131" s="29" t="str">
        <f>IFERROR(__xludf.DUMMYFUNCTION("IF(ISBLANK(B131),"""",IF(ISDATE(B131),TEXT(B131,""m""),""""))"),"")</f>
        <v/>
      </c>
      <c r="N131" s="29" t="str">
        <f>IFERROR(__xludf.DUMMYFUNCTION("IF(M131="""","""",QUERY({'Dashboard-Dados'!$Y$2:$AA$13},""Select Col2 Where Col1=""&amp;M131))"),"")</f>
        <v/>
      </c>
      <c r="O131" s="29" t="str">
        <f>IFERROR(__xludf.DUMMYFUNCTION("IF(ISBLANK(B131),"""",IF(ISDATE(B131),TEXT(B131,""yyyy""),""""))"),"")</f>
        <v/>
      </c>
    </row>
    <row r="132">
      <c r="B132" s="55"/>
      <c r="C132" s="56"/>
      <c r="D132" s="49"/>
      <c r="E132" s="49"/>
      <c r="F132" s="50"/>
      <c r="G132" s="51"/>
      <c r="H132" s="52"/>
      <c r="I132" s="50"/>
      <c r="K132" s="53" t="str">
        <f>IFERROR(__xludf.DUMMYFUNCTION("IF(ISBLANK(B132),"""",IF(ISDATE(B132),""X"",""""))"),"")</f>
        <v/>
      </c>
      <c r="L132" s="40" t="str">
        <f>IFERROR(__xludf.DUMMYFUNCTION("IF(ISBLANK(B132),"""",IF(Or(I132=""Em Aberto"",ISBLANK(I132),NOT(ISDATE(B132))),"""",H132))"),"")</f>
        <v/>
      </c>
      <c r="M132" s="29" t="str">
        <f>IFERROR(__xludf.DUMMYFUNCTION("IF(ISBLANK(B132),"""",IF(ISDATE(B132),TEXT(B132,""m""),""""))"),"")</f>
        <v/>
      </c>
      <c r="N132" s="29" t="str">
        <f>IFERROR(__xludf.DUMMYFUNCTION("IF(M132="""","""",QUERY({'Dashboard-Dados'!$Y$2:$AA$13},""Select Col2 Where Col1=""&amp;M132))"),"")</f>
        <v/>
      </c>
      <c r="O132" s="29" t="str">
        <f>IFERROR(__xludf.DUMMYFUNCTION("IF(ISBLANK(B132),"""",IF(ISDATE(B132),TEXT(B132,""yyyy""),""""))"),"")</f>
        <v/>
      </c>
    </row>
    <row r="133">
      <c r="B133" s="55"/>
      <c r="C133" s="56"/>
      <c r="D133" s="49"/>
      <c r="E133" s="49"/>
      <c r="F133" s="50"/>
      <c r="G133" s="51"/>
      <c r="H133" s="52"/>
      <c r="I133" s="50"/>
      <c r="K133" s="53" t="str">
        <f>IFERROR(__xludf.DUMMYFUNCTION("IF(ISBLANK(B133),"""",IF(ISDATE(B133),""X"",""""))"),"")</f>
        <v/>
      </c>
      <c r="L133" s="40" t="str">
        <f>IFERROR(__xludf.DUMMYFUNCTION("IF(ISBLANK(B133),"""",IF(Or(I133=""Em Aberto"",ISBLANK(I133),NOT(ISDATE(B133))),"""",H133))"),"")</f>
        <v/>
      </c>
      <c r="M133" s="29" t="str">
        <f>IFERROR(__xludf.DUMMYFUNCTION("IF(ISBLANK(B133),"""",IF(ISDATE(B133),TEXT(B133,""m""),""""))"),"")</f>
        <v/>
      </c>
      <c r="N133" s="29" t="str">
        <f>IFERROR(__xludf.DUMMYFUNCTION("IF(M133="""","""",QUERY({'Dashboard-Dados'!$Y$2:$AA$13},""Select Col2 Where Col1=""&amp;M133))"),"")</f>
        <v/>
      </c>
      <c r="O133" s="29" t="str">
        <f>IFERROR(__xludf.DUMMYFUNCTION("IF(ISBLANK(B133),"""",IF(ISDATE(B133),TEXT(B133,""yyyy""),""""))"),"")</f>
        <v/>
      </c>
    </row>
    <row r="134">
      <c r="B134" s="55"/>
      <c r="C134" s="56"/>
      <c r="D134" s="49"/>
      <c r="E134" s="49"/>
      <c r="F134" s="50"/>
      <c r="G134" s="51"/>
      <c r="H134" s="52"/>
      <c r="I134" s="50"/>
      <c r="K134" s="53" t="str">
        <f>IFERROR(__xludf.DUMMYFUNCTION("IF(ISBLANK(B134),"""",IF(ISDATE(B134),""X"",""""))"),"")</f>
        <v/>
      </c>
      <c r="L134" s="40" t="str">
        <f>IFERROR(__xludf.DUMMYFUNCTION("IF(ISBLANK(B134),"""",IF(Or(I134=""Em Aberto"",ISBLANK(I134),NOT(ISDATE(B134))),"""",H134))"),"")</f>
        <v/>
      </c>
      <c r="M134" s="29" t="str">
        <f>IFERROR(__xludf.DUMMYFUNCTION("IF(ISBLANK(B134),"""",IF(ISDATE(B134),TEXT(B134,""m""),""""))"),"")</f>
        <v/>
      </c>
      <c r="N134" s="29" t="str">
        <f>IFERROR(__xludf.DUMMYFUNCTION("IF(M134="""","""",QUERY({'Dashboard-Dados'!$Y$2:$AA$13},""Select Col2 Where Col1=""&amp;M134))"),"")</f>
        <v/>
      </c>
      <c r="O134" s="29" t="str">
        <f>IFERROR(__xludf.DUMMYFUNCTION("IF(ISBLANK(B134),"""",IF(ISDATE(B134),TEXT(B134,""yyyy""),""""))"),"")</f>
        <v/>
      </c>
    </row>
    <row r="135">
      <c r="B135" s="55"/>
      <c r="C135" s="56"/>
      <c r="D135" s="49"/>
      <c r="E135" s="49"/>
      <c r="F135" s="50"/>
      <c r="G135" s="51"/>
      <c r="H135" s="52"/>
      <c r="I135" s="50"/>
      <c r="K135" s="53" t="str">
        <f>IFERROR(__xludf.DUMMYFUNCTION("IF(ISBLANK(B135),"""",IF(ISDATE(B135),""X"",""""))"),"")</f>
        <v/>
      </c>
      <c r="L135" s="40" t="str">
        <f>IFERROR(__xludf.DUMMYFUNCTION("IF(ISBLANK(B135),"""",IF(Or(I135=""Em Aberto"",ISBLANK(I135),NOT(ISDATE(B135))),"""",H135))"),"")</f>
        <v/>
      </c>
      <c r="M135" s="29" t="str">
        <f>IFERROR(__xludf.DUMMYFUNCTION("IF(ISBLANK(B135),"""",IF(ISDATE(B135),TEXT(B135,""m""),""""))"),"")</f>
        <v/>
      </c>
      <c r="N135" s="29" t="str">
        <f>IFERROR(__xludf.DUMMYFUNCTION("IF(M135="""","""",QUERY({'Dashboard-Dados'!$Y$2:$AA$13},""Select Col2 Where Col1=""&amp;M135))"),"")</f>
        <v/>
      </c>
      <c r="O135" s="29" t="str">
        <f>IFERROR(__xludf.DUMMYFUNCTION("IF(ISBLANK(B135),"""",IF(ISDATE(B135),TEXT(B135,""yyyy""),""""))"),"")</f>
        <v/>
      </c>
    </row>
    <row r="136">
      <c r="B136" s="55"/>
      <c r="C136" s="56"/>
      <c r="D136" s="49"/>
      <c r="E136" s="49"/>
      <c r="F136" s="50"/>
      <c r="G136" s="51"/>
      <c r="H136" s="52"/>
      <c r="I136" s="50"/>
      <c r="K136" s="53" t="str">
        <f>IFERROR(__xludf.DUMMYFUNCTION("IF(ISBLANK(B136),"""",IF(ISDATE(B136),""X"",""""))"),"")</f>
        <v/>
      </c>
      <c r="L136" s="40" t="str">
        <f>IFERROR(__xludf.DUMMYFUNCTION("IF(ISBLANK(B136),"""",IF(Or(I136=""Em Aberto"",ISBLANK(I136),NOT(ISDATE(B136))),"""",H136))"),"")</f>
        <v/>
      </c>
      <c r="M136" s="29" t="str">
        <f>IFERROR(__xludf.DUMMYFUNCTION("IF(ISBLANK(B136),"""",IF(ISDATE(B136),TEXT(B136,""m""),""""))"),"")</f>
        <v/>
      </c>
      <c r="N136" s="29" t="str">
        <f>IFERROR(__xludf.DUMMYFUNCTION("IF(M136="""","""",QUERY({'Dashboard-Dados'!$Y$2:$AA$13},""Select Col2 Where Col1=""&amp;M136))"),"")</f>
        <v/>
      </c>
      <c r="O136" s="29" t="str">
        <f>IFERROR(__xludf.DUMMYFUNCTION("IF(ISBLANK(B136),"""",IF(ISDATE(B136),TEXT(B136,""yyyy""),""""))"),"")</f>
        <v/>
      </c>
    </row>
    <row r="137">
      <c r="B137" s="55"/>
      <c r="C137" s="56"/>
      <c r="D137" s="49"/>
      <c r="E137" s="49"/>
      <c r="F137" s="50"/>
      <c r="G137" s="51"/>
      <c r="H137" s="52"/>
      <c r="I137" s="50"/>
      <c r="K137" s="53" t="str">
        <f>IFERROR(__xludf.DUMMYFUNCTION("IF(ISBLANK(B137),"""",IF(ISDATE(B137),""X"",""""))"),"")</f>
        <v/>
      </c>
      <c r="L137" s="40" t="str">
        <f>IFERROR(__xludf.DUMMYFUNCTION("IF(ISBLANK(B137),"""",IF(Or(I137=""Em Aberto"",ISBLANK(I137),NOT(ISDATE(B137))),"""",H137))"),"")</f>
        <v/>
      </c>
      <c r="M137" s="29" t="str">
        <f>IFERROR(__xludf.DUMMYFUNCTION("IF(ISBLANK(B137),"""",IF(ISDATE(B137),TEXT(B137,""m""),""""))"),"")</f>
        <v/>
      </c>
      <c r="N137" s="29" t="str">
        <f>IFERROR(__xludf.DUMMYFUNCTION("IF(M137="""","""",QUERY({'Dashboard-Dados'!$Y$2:$AA$13},""Select Col2 Where Col1=""&amp;M137))"),"")</f>
        <v/>
      </c>
      <c r="O137" s="29" t="str">
        <f>IFERROR(__xludf.DUMMYFUNCTION("IF(ISBLANK(B137),"""",IF(ISDATE(B137),TEXT(B137,""yyyy""),""""))"),"")</f>
        <v/>
      </c>
    </row>
    <row r="138">
      <c r="B138" s="55"/>
      <c r="C138" s="56"/>
      <c r="D138" s="49"/>
      <c r="E138" s="49"/>
      <c r="F138" s="50"/>
      <c r="G138" s="51"/>
      <c r="H138" s="52"/>
      <c r="I138" s="50"/>
      <c r="K138" s="53" t="str">
        <f>IFERROR(__xludf.DUMMYFUNCTION("IF(ISBLANK(B138),"""",IF(ISDATE(B138),""X"",""""))"),"")</f>
        <v/>
      </c>
      <c r="L138" s="40" t="str">
        <f>IFERROR(__xludf.DUMMYFUNCTION("IF(ISBLANK(B138),"""",IF(Or(I138=""Em Aberto"",ISBLANK(I138),NOT(ISDATE(B138))),"""",H138))"),"")</f>
        <v/>
      </c>
      <c r="M138" s="29" t="str">
        <f>IFERROR(__xludf.DUMMYFUNCTION("IF(ISBLANK(B138),"""",IF(ISDATE(B138),TEXT(B138,""m""),""""))"),"")</f>
        <v/>
      </c>
      <c r="N138" s="29" t="str">
        <f>IFERROR(__xludf.DUMMYFUNCTION("IF(M138="""","""",QUERY({'Dashboard-Dados'!$Y$2:$AA$13},""Select Col2 Where Col1=""&amp;M138))"),"")</f>
        <v/>
      </c>
      <c r="O138" s="29" t="str">
        <f>IFERROR(__xludf.DUMMYFUNCTION("IF(ISBLANK(B138),"""",IF(ISDATE(B138),TEXT(B138,""yyyy""),""""))"),"")</f>
        <v/>
      </c>
    </row>
    <row r="139">
      <c r="B139" s="55"/>
      <c r="C139" s="56"/>
      <c r="D139" s="49"/>
      <c r="E139" s="49"/>
      <c r="F139" s="50"/>
      <c r="G139" s="51"/>
      <c r="H139" s="52"/>
      <c r="I139" s="50"/>
      <c r="K139" s="53" t="str">
        <f>IFERROR(__xludf.DUMMYFUNCTION("IF(ISBLANK(B139),"""",IF(ISDATE(B139),""X"",""""))"),"")</f>
        <v/>
      </c>
      <c r="L139" s="40" t="str">
        <f>IFERROR(__xludf.DUMMYFUNCTION("IF(ISBLANK(B139),"""",IF(Or(I139=""Em Aberto"",ISBLANK(I139),NOT(ISDATE(B139))),"""",H139))"),"")</f>
        <v/>
      </c>
      <c r="M139" s="29" t="str">
        <f>IFERROR(__xludf.DUMMYFUNCTION("IF(ISBLANK(B139),"""",IF(ISDATE(B139),TEXT(B139,""m""),""""))"),"")</f>
        <v/>
      </c>
      <c r="N139" s="29" t="str">
        <f>IFERROR(__xludf.DUMMYFUNCTION("IF(M139="""","""",QUERY({'Dashboard-Dados'!$Y$2:$AA$13},""Select Col2 Where Col1=""&amp;M139))"),"")</f>
        <v/>
      </c>
      <c r="O139" s="29" t="str">
        <f>IFERROR(__xludf.DUMMYFUNCTION("IF(ISBLANK(B139),"""",IF(ISDATE(B139),TEXT(B139,""yyyy""),""""))"),"")</f>
        <v/>
      </c>
    </row>
    <row r="140">
      <c r="B140" s="55"/>
      <c r="C140" s="56"/>
      <c r="D140" s="49"/>
      <c r="E140" s="49"/>
      <c r="F140" s="50"/>
      <c r="G140" s="51"/>
      <c r="H140" s="52"/>
      <c r="I140" s="50"/>
      <c r="K140" s="53" t="str">
        <f>IFERROR(__xludf.DUMMYFUNCTION("IF(ISBLANK(B140),"""",IF(ISDATE(B140),""X"",""""))"),"")</f>
        <v/>
      </c>
      <c r="L140" s="40" t="str">
        <f>IFERROR(__xludf.DUMMYFUNCTION("IF(ISBLANK(B140),"""",IF(Or(I140=""Em Aberto"",ISBLANK(I140),NOT(ISDATE(B140))),"""",H140))"),"")</f>
        <v/>
      </c>
      <c r="M140" s="29" t="str">
        <f>IFERROR(__xludf.DUMMYFUNCTION("IF(ISBLANK(B140),"""",IF(ISDATE(B140),TEXT(B140,""m""),""""))"),"")</f>
        <v/>
      </c>
      <c r="N140" s="29" t="str">
        <f>IFERROR(__xludf.DUMMYFUNCTION("IF(M140="""","""",QUERY({'Dashboard-Dados'!$Y$2:$AA$13},""Select Col2 Where Col1=""&amp;M140))"),"")</f>
        <v/>
      </c>
      <c r="O140" s="29" t="str">
        <f>IFERROR(__xludf.DUMMYFUNCTION("IF(ISBLANK(B140),"""",IF(ISDATE(B140),TEXT(B140,""yyyy""),""""))"),"")</f>
        <v/>
      </c>
    </row>
    <row r="141">
      <c r="B141" s="55"/>
      <c r="C141" s="56"/>
      <c r="D141" s="49"/>
      <c r="E141" s="49"/>
      <c r="F141" s="50"/>
      <c r="G141" s="51"/>
      <c r="H141" s="52"/>
      <c r="I141" s="50"/>
      <c r="K141" s="53" t="str">
        <f>IFERROR(__xludf.DUMMYFUNCTION("IF(ISBLANK(B141),"""",IF(ISDATE(B141),""X"",""""))"),"")</f>
        <v/>
      </c>
      <c r="L141" s="40" t="str">
        <f>IFERROR(__xludf.DUMMYFUNCTION("IF(ISBLANK(B141),"""",IF(Or(I141=""Em Aberto"",ISBLANK(I141),NOT(ISDATE(B141))),"""",H141))"),"")</f>
        <v/>
      </c>
      <c r="M141" s="29" t="str">
        <f>IFERROR(__xludf.DUMMYFUNCTION("IF(ISBLANK(B141),"""",IF(ISDATE(B141),TEXT(B141,""m""),""""))"),"")</f>
        <v/>
      </c>
      <c r="N141" s="29" t="str">
        <f>IFERROR(__xludf.DUMMYFUNCTION("IF(M141="""","""",QUERY({'Dashboard-Dados'!$Y$2:$AA$13},""Select Col2 Where Col1=""&amp;M141))"),"")</f>
        <v/>
      </c>
      <c r="O141" s="29" t="str">
        <f>IFERROR(__xludf.DUMMYFUNCTION("IF(ISBLANK(B141),"""",IF(ISDATE(B141),TEXT(B141,""yyyy""),""""))"),"")</f>
        <v/>
      </c>
    </row>
    <row r="142">
      <c r="B142" s="55"/>
      <c r="C142" s="56"/>
      <c r="D142" s="49"/>
      <c r="E142" s="49"/>
      <c r="F142" s="50"/>
      <c r="G142" s="51"/>
      <c r="H142" s="52"/>
      <c r="I142" s="50"/>
      <c r="K142" s="53" t="str">
        <f>IFERROR(__xludf.DUMMYFUNCTION("IF(ISBLANK(B142),"""",IF(ISDATE(B142),""X"",""""))"),"")</f>
        <v/>
      </c>
      <c r="L142" s="40" t="str">
        <f>IFERROR(__xludf.DUMMYFUNCTION("IF(ISBLANK(B142),"""",IF(Or(I142=""Em Aberto"",ISBLANK(I142),NOT(ISDATE(B142))),"""",H142))"),"")</f>
        <v/>
      </c>
      <c r="M142" s="29" t="str">
        <f>IFERROR(__xludf.DUMMYFUNCTION("IF(ISBLANK(B142),"""",IF(ISDATE(B142),TEXT(B142,""m""),""""))"),"")</f>
        <v/>
      </c>
      <c r="N142" s="29" t="str">
        <f>IFERROR(__xludf.DUMMYFUNCTION("IF(M142="""","""",QUERY({'Dashboard-Dados'!$Y$2:$AA$13},""Select Col2 Where Col1=""&amp;M142))"),"")</f>
        <v/>
      </c>
      <c r="O142" s="29" t="str">
        <f>IFERROR(__xludf.DUMMYFUNCTION("IF(ISBLANK(B142),"""",IF(ISDATE(B142),TEXT(B142,""yyyy""),""""))"),"")</f>
        <v/>
      </c>
    </row>
    <row r="143">
      <c r="B143" s="55"/>
      <c r="C143" s="56"/>
      <c r="D143" s="49"/>
      <c r="E143" s="49"/>
      <c r="F143" s="50"/>
      <c r="G143" s="51"/>
      <c r="H143" s="52"/>
      <c r="I143" s="50"/>
      <c r="K143" s="53" t="str">
        <f>IFERROR(__xludf.DUMMYFUNCTION("IF(ISBLANK(B143),"""",IF(ISDATE(B143),""X"",""""))"),"")</f>
        <v/>
      </c>
      <c r="L143" s="40" t="str">
        <f>IFERROR(__xludf.DUMMYFUNCTION("IF(ISBLANK(B143),"""",IF(Or(I143=""Em Aberto"",ISBLANK(I143),NOT(ISDATE(B143))),"""",H143))"),"")</f>
        <v/>
      </c>
      <c r="M143" s="29" t="str">
        <f>IFERROR(__xludf.DUMMYFUNCTION("IF(ISBLANK(B143),"""",IF(ISDATE(B143),TEXT(B143,""m""),""""))"),"")</f>
        <v/>
      </c>
      <c r="N143" s="29" t="str">
        <f>IFERROR(__xludf.DUMMYFUNCTION("IF(M143="""","""",QUERY({'Dashboard-Dados'!$Y$2:$AA$13},""Select Col2 Where Col1=""&amp;M143))"),"")</f>
        <v/>
      </c>
      <c r="O143" s="29" t="str">
        <f>IFERROR(__xludf.DUMMYFUNCTION("IF(ISBLANK(B143),"""",IF(ISDATE(B143),TEXT(B143,""yyyy""),""""))"),"")</f>
        <v/>
      </c>
    </row>
    <row r="144">
      <c r="B144" s="55"/>
      <c r="C144" s="56"/>
      <c r="D144" s="49"/>
      <c r="E144" s="49"/>
      <c r="F144" s="50"/>
      <c r="G144" s="51"/>
      <c r="H144" s="52"/>
      <c r="I144" s="50"/>
      <c r="K144" s="53" t="str">
        <f>IFERROR(__xludf.DUMMYFUNCTION("IF(ISBLANK(B144),"""",IF(ISDATE(B144),""X"",""""))"),"")</f>
        <v/>
      </c>
      <c r="L144" s="40" t="str">
        <f>IFERROR(__xludf.DUMMYFUNCTION("IF(ISBLANK(B144),"""",IF(Or(I144=""Em Aberto"",ISBLANK(I144),NOT(ISDATE(B144))),"""",H144))"),"")</f>
        <v/>
      </c>
      <c r="M144" s="29" t="str">
        <f>IFERROR(__xludf.DUMMYFUNCTION("IF(ISBLANK(B144),"""",IF(ISDATE(B144),TEXT(B144,""m""),""""))"),"")</f>
        <v/>
      </c>
      <c r="N144" s="29" t="str">
        <f>IFERROR(__xludf.DUMMYFUNCTION("IF(M144="""","""",QUERY({'Dashboard-Dados'!$Y$2:$AA$13},""Select Col2 Where Col1=""&amp;M144))"),"")</f>
        <v/>
      </c>
      <c r="O144" s="29" t="str">
        <f>IFERROR(__xludf.DUMMYFUNCTION("IF(ISBLANK(B144),"""",IF(ISDATE(B144),TEXT(B144,""yyyy""),""""))"),"")</f>
        <v/>
      </c>
    </row>
    <row r="145">
      <c r="B145" s="55"/>
      <c r="C145" s="56"/>
      <c r="D145" s="49"/>
      <c r="E145" s="49"/>
      <c r="F145" s="50"/>
      <c r="G145" s="51"/>
      <c r="H145" s="52"/>
      <c r="I145" s="50"/>
      <c r="K145" s="53" t="str">
        <f>IFERROR(__xludf.DUMMYFUNCTION("IF(ISBLANK(B145),"""",IF(ISDATE(B145),""X"",""""))"),"")</f>
        <v/>
      </c>
      <c r="L145" s="40" t="str">
        <f>IFERROR(__xludf.DUMMYFUNCTION("IF(ISBLANK(B145),"""",IF(Or(I145=""Em Aberto"",ISBLANK(I145),NOT(ISDATE(B145))),"""",H145))"),"")</f>
        <v/>
      </c>
      <c r="M145" s="29" t="str">
        <f>IFERROR(__xludf.DUMMYFUNCTION("IF(ISBLANK(B145),"""",IF(ISDATE(B145),TEXT(B145,""m""),""""))"),"")</f>
        <v/>
      </c>
      <c r="N145" s="29" t="str">
        <f>IFERROR(__xludf.DUMMYFUNCTION("IF(M145="""","""",QUERY({'Dashboard-Dados'!$Y$2:$AA$13},""Select Col2 Where Col1=""&amp;M145))"),"")</f>
        <v/>
      </c>
      <c r="O145" s="29" t="str">
        <f>IFERROR(__xludf.DUMMYFUNCTION("IF(ISBLANK(B145),"""",IF(ISDATE(B145),TEXT(B145,""yyyy""),""""))"),"")</f>
        <v/>
      </c>
    </row>
    <row r="146">
      <c r="B146" s="55"/>
      <c r="C146" s="56"/>
      <c r="D146" s="49"/>
      <c r="E146" s="49"/>
      <c r="F146" s="50"/>
      <c r="G146" s="51"/>
      <c r="H146" s="52"/>
      <c r="I146" s="50"/>
      <c r="K146" s="53" t="str">
        <f>IFERROR(__xludf.DUMMYFUNCTION("IF(ISBLANK(B146),"""",IF(ISDATE(B146),""X"",""""))"),"")</f>
        <v/>
      </c>
      <c r="L146" s="40" t="str">
        <f>IFERROR(__xludf.DUMMYFUNCTION("IF(ISBLANK(B146),"""",IF(Or(I146=""Em Aberto"",ISBLANK(I146),NOT(ISDATE(B146))),"""",H146))"),"")</f>
        <v/>
      </c>
      <c r="M146" s="29" t="str">
        <f>IFERROR(__xludf.DUMMYFUNCTION("IF(ISBLANK(B146),"""",IF(ISDATE(B146),TEXT(B146,""m""),""""))"),"")</f>
        <v/>
      </c>
      <c r="N146" s="29" t="str">
        <f>IFERROR(__xludf.DUMMYFUNCTION("IF(M146="""","""",QUERY({'Dashboard-Dados'!$Y$2:$AA$13},""Select Col2 Where Col1=""&amp;M146))"),"")</f>
        <v/>
      </c>
      <c r="O146" s="29" t="str">
        <f>IFERROR(__xludf.DUMMYFUNCTION("IF(ISBLANK(B146),"""",IF(ISDATE(B146),TEXT(B146,""yyyy""),""""))"),"")</f>
        <v/>
      </c>
    </row>
    <row r="147">
      <c r="B147" s="55"/>
      <c r="C147" s="56"/>
      <c r="D147" s="49"/>
      <c r="E147" s="49"/>
      <c r="F147" s="50"/>
      <c r="G147" s="51"/>
      <c r="H147" s="52"/>
      <c r="I147" s="50"/>
      <c r="K147" s="53" t="str">
        <f>IFERROR(__xludf.DUMMYFUNCTION("IF(ISBLANK(B147),"""",IF(ISDATE(B147),""X"",""""))"),"")</f>
        <v/>
      </c>
      <c r="L147" s="40" t="str">
        <f>IFERROR(__xludf.DUMMYFUNCTION("IF(ISBLANK(B147),"""",IF(Or(I147=""Em Aberto"",ISBLANK(I147),NOT(ISDATE(B147))),"""",H147))"),"")</f>
        <v/>
      </c>
      <c r="M147" s="29" t="str">
        <f>IFERROR(__xludf.DUMMYFUNCTION("IF(ISBLANK(B147),"""",IF(ISDATE(B147),TEXT(B147,""m""),""""))"),"")</f>
        <v/>
      </c>
      <c r="N147" s="29" t="str">
        <f>IFERROR(__xludf.DUMMYFUNCTION("IF(M147="""","""",QUERY({'Dashboard-Dados'!$Y$2:$AA$13},""Select Col2 Where Col1=""&amp;M147))"),"")</f>
        <v/>
      </c>
      <c r="O147" s="29" t="str">
        <f>IFERROR(__xludf.DUMMYFUNCTION("IF(ISBLANK(B147),"""",IF(ISDATE(B147),TEXT(B147,""yyyy""),""""))"),"")</f>
        <v/>
      </c>
    </row>
    <row r="148">
      <c r="B148" s="55"/>
      <c r="C148" s="56"/>
      <c r="D148" s="49"/>
      <c r="E148" s="49"/>
      <c r="F148" s="50"/>
      <c r="G148" s="51"/>
      <c r="H148" s="52"/>
      <c r="I148" s="50"/>
      <c r="K148" s="53" t="str">
        <f>IFERROR(__xludf.DUMMYFUNCTION("IF(ISBLANK(B148),"""",IF(ISDATE(B148),""X"",""""))"),"")</f>
        <v/>
      </c>
      <c r="L148" s="40" t="str">
        <f>IFERROR(__xludf.DUMMYFUNCTION("IF(ISBLANK(B148),"""",IF(Or(I148=""Em Aberto"",ISBLANK(I148),NOT(ISDATE(B148))),"""",H148))"),"")</f>
        <v/>
      </c>
      <c r="M148" s="29" t="str">
        <f>IFERROR(__xludf.DUMMYFUNCTION("IF(ISBLANK(B148),"""",IF(ISDATE(B148),TEXT(B148,""m""),""""))"),"")</f>
        <v/>
      </c>
      <c r="N148" s="29" t="str">
        <f>IFERROR(__xludf.DUMMYFUNCTION("IF(M148="""","""",QUERY({'Dashboard-Dados'!$Y$2:$AA$13},""Select Col2 Where Col1=""&amp;M148))"),"")</f>
        <v/>
      </c>
      <c r="O148" s="29" t="str">
        <f>IFERROR(__xludf.DUMMYFUNCTION("IF(ISBLANK(B148),"""",IF(ISDATE(B148),TEXT(B148,""yyyy""),""""))"),"")</f>
        <v/>
      </c>
    </row>
    <row r="149">
      <c r="B149" s="55"/>
      <c r="C149" s="56"/>
      <c r="D149" s="49"/>
      <c r="E149" s="49"/>
      <c r="F149" s="50"/>
      <c r="G149" s="51"/>
      <c r="H149" s="52"/>
      <c r="I149" s="50"/>
      <c r="K149" s="53" t="str">
        <f>IFERROR(__xludf.DUMMYFUNCTION("IF(ISBLANK(B149),"""",IF(ISDATE(B149),""X"",""""))"),"")</f>
        <v/>
      </c>
      <c r="L149" s="40" t="str">
        <f>IFERROR(__xludf.DUMMYFUNCTION("IF(ISBLANK(B149),"""",IF(Or(I149=""Em Aberto"",ISBLANK(I149),NOT(ISDATE(B149))),"""",H149))"),"")</f>
        <v/>
      </c>
      <c r="M149" s="29" t="str">
        <f>IFERROR(__xludf.DUMMYFUNCTION("IF(ISBLANK(B149),"""",IF(ISDATE(B149),TEXT(B149,""m""),""""))"),"")</f>
        <v/>
      </c>
      <c r="N149" s="29" t="str">
        <f>IFERROR(__xludf.DUMMYFUNCTION("IF(M149="""","""",QUERY({'Dashboard-Dados'!$Y$2:$AA$13},""Select Col2 Where Col1=""&amp;M149))"),"")</f>
        <v/>
      </c>
      <c r="O149" s="29" t="str">
        <f>IFERROR(__xludf.DUMMYFUNCTION("IF(ISBLANK(B149),"""",IF(ISDATE(B149),TEXT(B149,""yyyy""),""""))"),"")</f>
        <v/>
      </c>
    </row>
    <row r="150">
      <c r="B150" s="55"/>
      <c r="C150" s="56"/>
      <c r="D150" s="49"/>
      <c r="E150" s="49"/>
      <c r="F150" s="50"/>
      <c r="G150" s="51"/>
      <c r="H150" s="52"/>
      <c r="I150" s="50"/>
      <c r="K150" s="53" t="str">
        <f>IFERROR(__xludf.DUMMYFUNCTION("IF(ISBLANK(B150),"""",IF(ISDATE(B150),""X"",""""))"),"")</f>
        <v/>
      </c>
      <c r="L150" s="40" t="str">
        <f>IFERROR(__xludf.DUMMYFUNCTION("IF(ISBLANK(B150),"""",IF(Or(I150=""Em Aberto"",ISBLANK(I150),NOT(ISDATE(B150))),"""",H150))"),"")</f>
        <v/>
      </c>
      <c r="M150" s="29" t="str">
        <f>IFERROR(__xludf.DUMMYFUNCTION("IF(ISBLANK(B150),"""",IF(ISDATE(B150),TEXT(B150,""m""),""""))"),"")</f>
        <v/>
      </c>
      <c r="N150" s="29" t="str">
        <f>IFERROR(__xludf.DUMMYFUNCTION("IF(M150="""","""",QUERY({'Dashboard-Dados'!$Y$2:$AA$13},""Select Col2 Where Col1=""&amp;M150))"),"")</f>
        <v/>
      </c>
      <c r="O150" s="29" t="str">
        <f>IFERROR(__xludf.DUMMYFUNCTION("IF(ISBLANK(B150),"""",IF(ISDATE(B150),TEXT(B150,""yyyy""),""""))"),"")</f>
        <v/>
      </c>
    </row>
    <row r="151">
      <c r="B151" s="55"/>
      <c r="C151" s="56"/>
      <c r="D151" s="49"/>
      <c r="E151" s="49"/>
      <c r="F151" s="50"/>
      <c r="G151" s="51"/>
      <c r="H151" s="52"/>
      <c r="I151" s="50"/>
      <c r="K151" s="53" t="str">
        <f>IFERROR(__xludf.DUMMYFUNCTION("IF(ISBLANK(B151),"""",IF(ISDATE(B151),""X"",""""))"),"")</f>
        <v/>
      </c>
      <c r="L151" s="40" t="str">
        <f>IFERROR(__xludf.DUMMYFUNCTION("IF(ISBLANK(B151),"""",IF(Or(I151=""Em Aberto"",ISBLANK(I151),NOT(ISDATE(B151))),"""",H151))"),"")</f>
        <v/>
      </c>
      <c r="M151" s="29" t="str">
        <f>IFERROR(__xludf.DUMMYFUNCTION("IF(ISBLANK(B151),"""",IF(ISDATE(B151),TEXT(B151,""m""),""""))"),"")</f>
        <v/>
      </c>
      <c r="N151" s="29" t="str">
        <f>IFERROR(__xludf.DUMMYFUNCTION("IF(M151="""","""",QUERY({'Dashboard-Dados'!$Y$2:$AA$13},""Select Col2 Where Col1=""&amp;M151))"),"")</f>
        <v/>
      </c>
      <c r="O151" s="29" t="str">
        <f>IFERROR(__xludf.DUMMYFUNCTION("IF(ISBLANK(B151),"""",IF(ISDATE(B151),TEXT(B151,""yyyy""),""""))"),"")</f>
        <v/>
      </c>
    </row>
    <row r="152">
      <c r="B152" s="55"/>
      <c r="C152" s="56"/>
      <c r="D152" s="49"/>
      <c r="E152" s="49"/>
      <c r="F152" s="50"/>
      <c r="G152" s="51"/>
      <c r="H152" s="52"/>
      <c r="I152" s="50"/>
      <c r="K152" s="53" t="str">
        <f>IFERROR(__xludf.DUMMYFUNCTION("IF(ISBLANK(B152),"""",IF(ISDATE(B152),""X"",""""))"),"")</f>
        <v/>
      </c>
      <c r="L152" s="40" t="str">
        <f>IFERROR(__xludf.DUMMYFUNCTION("IF(ISBLANK(B152),"""",IF(Or(I152=""Em Aberto"",ISBLANK(I152),NOT(ISDATE(B152))),"""",H152))"),"")</f>
        <v/>
      </c>
      <c r="M152" s="29" t="str">
        <f>IFERROR(__xludf.DUMMYFUNCTION("IF(ISBLANK(B152),"""",IF(ISDATE(B152),TEXT(B152,""m""),""""))"),"")</f>
        <v/>
      </c>
      <c r="N152" s="29" t="str">
        <f>IFERROR(__xludf.DUMMYFUNCTION("IF(M152="""","""",QUERY({'Dashboard-Dados'!$Y$2:$AA$13},""Select Col2 Where Col1=""&amp;M152))"),"")</f>
        <v/>
      </c>
      <c r="O152" s="29" t="str">
        <f>IFERROR(__xludf.DUMMYFUNCTION("IF(ISBLANK(B152),"""",IF(ISDATE(B152),TEXT(B152,""yyyy""),""""))"),"")</f>
        <v/>
      </c>
    </row>
    <row r="153">
      <c r="B153" s="55"/>
      <c r="C153" s="56"/>
      <c r="D153" s="49"/>
      <c r="E153" s="49"/>
      <c r="F153" s="50"/>
      <c r="G153" s="51"/>
      <c r="H153" s="52"/>
      <c r="I153" s="50"/>
      <c r="K153" s="53" t="str">
        <f>IFERROR(__xludf.DUMMYFUNCTION("IF(ISBLANK(B153),"""",IF(ISDATE(B153),""X"",""""))"),"")</f>
        <v/>
      </c>
      <c r="L153" s="40" t="str">
        <f>IFERROR(__xludf.DUMMYFUNCTION("IF(ISBLANK(B153),"""",IF(Or(I153=""Em Aberto"",ISBLANK(I153),NOT(ISDATE(B153))),"""",H153))"),"")</f>
        <v/>
      </c>
      <c r="M153" s="29" t="str">
        <f>IFERROR(__xludf.DUMMYFUNCTION("IF(ISBLANK(B153),"""",IF(ISDATE(B153),TEXT(B153,""m""),""""))"),"")</f>
        <v/>
      </c>
      <c r="N153" s="29" t="str">
        <f>IFERROR(__xludf.DUMMYFUNCTION("IF(M153="""","""",QUERY({'Dashboard-Dados'!$Y$2:$AA$13},""Select Col2 Where Col1=""&amp;M153))"),"")</f>
        <v/>
      </c>
      <c r="O153" s="29" t="str">
        <f>IFERROR(__xludf.DUMMYFUNCTION("IF(ISBLANK(B153),"""",IF(ISDATE(B153),TEXT(B153,""yyyy""),""""))"),"")</f>
        <v/>
      </c>
    </row>
    <row r="154">
      <c r="B154" s="55"/>
      <c r="C154" s="56"/>
      <c r="D154" s="49"/>
      <c r="E154" s="49"/>
      <c r="F154" s="50"/>
      <c r="G154" s="51"/>
      <c r="H154" s="52"/>
      <c r="I154" s="50"/>
      <c r="K154" s="53" t="str">
        <f>IFERROR(__xludf.DUMMYFUNCTION("IF(ISBLANK(B154),"""",IF(ISDATE(B154),""X"",""""))"),"")</f>
        <v/>
      </c>
      <c r="L154" s="40" t="str">
        <f>IFERROR(__xludf.DUMMYFUNCTION("IF(ISBLANK(B154),"""",IF(Or(I154=""Em Aberto"",ISBLANK(I154),NOT(ISDATE(B154))),"""",H154))"),"")</f>
        <v/>
      </c>
      <c r="M154" s="29" t="str">
        <f>IFERROR(__xludf.DUMMYFUNCTION("IF(ISBLANK(B154),"""",IF(ISDATE(B154),TEXT(B154,""m""),""""))"),"")</f>
        <v/>
      </c>
      <c r="N154" s="29" t="str">
        <f>IFERROR(__xludf.DUMMYFUNCTION("IF(M154="""","""",QUERY({'Dashboard-Dados'!$Y$2:$AA$13},""Select Col2 Where Col1=""&amp;M154))"),"")</f>
        <v/>
      </c>
      <c r="O154" s="29" t="str">
        <f>IFERROR(__xludf.DUMMYFUNCTION("IF(ISBLANK(B154),"""",IF(ISDATE(B154),TEXT(B154,""yyyy""),""""))"),"")</f>
        <v/>
      </c>
    </row>
    <row r="155">
      <c r="B155" s="55"/>
      <c r="C155" s="56"/>
      <c r="D155" s="49"/>
      <c r="E155" s="49"/>
      <c r="F155" s="50"/>
      <c r="G155" s="51"/>
      <c r="H155" s="52"/>
      <c r="I155" s="50"/>
      <c r="K155" s="53" t="str">
        <f>IFERROR(__xludf.DUMMYFUNCTION("IF(ISBLANK(B155),"""",IF(ISDATE(B155),""X"",""""))"),"")</f>
        <v/>
      </c>
      <c r="L155" s="40" t="str">
        <f>IFERROR(__xludf.DUMMYFUNCTION("IF(ISBLANK(B155),"""",IF(Or(I155=""Em Aberto"",ISBLANK(I155),NOT(ISDATE(B155))),"""",H155))"),"")</f>
        <v/>
      </c>
      <c r="M155" s="29" t="str">
        <f>IFERROR(__xludf.DUMMYFUNCTION("IF(ISBLANK(B155),"""",IF(ISDATE(B155),TEXT(B155,""m""),""""))"),"")</f>
        <v/>
      </c>
      <c r="N155" s="29" t="str">
        <f>IFERROR(__xludf.DUMMYFUNCTION("IF(M155="""","""",QUERY({'Dashboard-Dados'!$Y$2:$AA$13},""Select Col2 Where Col1=""&amp;M155))"),"")</f>
        <v/>
      </c>
      <c r="O155" s="29" t="str">
        <f>IFERROR(__xludf.DUMMYFUNCTION("IF(ISBLANK(B155),"""",IF(ISDATE(B155),TEXT(B155,""yyyy""),""""))"),"")</f>
        <v/>
      </c>
    </row>
    <row r="156">
      <c r="B156" s="55"/>
      <c r="C156" s="56"/>
      <c r="D156" s="49"/>
      <c r="E156" s="49"/>
      <c r="F156" s="50"/>
      <c r="G156" s="51"/>
      <c r="H156" s="52"/>
      <c r="I156" s="50"/>
      <c r="K156" s="53" t="str">
        <f>IFERROR(__xludf.DUMMYFUNCTION("IF(ISBLANK(B156),"""",IF(ISDATE(B156),""X"",""""))"),"")</f>
        <v/>
      </c>
      <c r="L156" s="40" t="str">
        <f>IFERROR(__xludf.DUMMYFUNCTION("IF(ISBLANK(B156),"""",IF(Or(I156=""Em Aberto"",ISBLANK(I156),NOT(ISDATE(B156))),"""",H156))"),"")</f>
        <v/>
      </c>
      <c r="M156" s="29" t="str">
        <f>IFERROR(__xludf.DUMMYFUNCTION("IF(ISBLANK(B156),"""",IF(ISDATE(B156),TEXT(B156,""m""),""""))"),"")</f>
        <v/>
      </c>
      <c r="N156" s="29" t="str">
        <f>IFERROR(__xludf.DUMMYFUNCTION("IF(M156="""","""",QUERY({'Dashboard-Dados'!$Y$2:$AA$13},""Select Col2 Where Col1=""&amp;M156))"),"")</f>
        <v/>
      </c>
      <c r="O156" s="29" t="str">
        <f>IFERROR(__xludf.DUMMYFUNCTION("IF(ISBLANK(B156),"""",IF(ISDATE(B156),TEXT(B156,""yyyy""),""""))"),"")</f>
        <v/>
      </c>
    </row>
    <row r="157">
      <c r="B157" s="55"/>
      <c r="C157" s="56"/>
      <c r="D157" s="49"/>
      <c r="E157" s="49"/>
      <c r="F157" s="50"/>
      <c r="G157" s="51"/>
      <c r="H157" s="52"/>
      <c r="I157" s="50"/>
      <c r="K157" s="53" t="str">
        <f>IFERROR(__xludf.DUMMYFUNCTION("IF(ISBLANK(B157),"""",IF(ISDATE(B157),""X"",""""))"),"")</f>
        <v/>
      </c>
      <c r="L157" s="40" t="str">
        <f>IFERROR(__xludf.DUMMYFUNCTION("IF(ISBLANK(B157),"""",IF(Or(I157=""Em Aberto"",ISBLANK(I157),NOT(ISDATE(B157))),"""",H157))"),"")</f>
        <v/>
      </c>
      <c r="M157" s="29" t="str">
        <f>IFERROR(__xludf.DUMMYFUNCTION("IF(ISBLANK(B157),"""",IF(ISDATE(B157),TEXT(B157,""m""),""""))"),"")</f>
        <v/>
      </c>
      <c r="N157" s="29" t="str">
        <f>IFERROR(__xludf.DUMMYFUNCTION("IF(M157="""","""",QUERY({'Dashboard-Dados'!$Y$2:$AA$13},""Select Col2 Where Col1=""&amp;M157))"),"")</f>
        <v/>
      </c>
      <c r="O157" s="29" t="str">
        <f>IFERROR(__xludf.DUMMYFUNCTION("IF(ISBLANK(B157),"""",IF(ISDATE(B157),TEXT(B157,""yyyy""),""""))"),"")</f>
        <v/>
      </c>
    </row>
    <row r="158">
      <c r="B158" s="55"/>
      <c r="C158" s="56"/>
      <c r="D158" s="49"/>
      <c r="E158" s="49"/>
      <c r="F158" s="50"/>
      <c r="G158" s="51"/>
      <c r="H158" s="52"/>
      <c r="I158" s="50"/>
      <c r="K158" s="53" t="str">
        <f>IFERROR(__xludf.DUMMYFUNCTION("IF(ISBLANK(B158),"""",IF(ISDATE(B158),""X"",""""))"),"")</f>
        <v/>
      </c>
      <c r="L158" s="40" t="str">
        <f>IFERROR(__xludf.DUMMYFUNCTION("IF(ISBLANK(B158),"""",IF(Or(I158=""Em Aberto"",ISBLANK(I158),NOT(ISDATE(B158))),"""",H158))"),"")</f>
        <v/>
      </c>
      <c r="M158" s="29" t="str">
        <f>IFERROR(__xludf.DUMMYFUNCTION("IF(ISBLANK(B158),"""",IF(ISDATE(B158),TEXT(B158,""m""),""""))"),"")</f>
        <v/>
      </c>
      <c r="N158" s="29" t="str">
        <f>IFERROR(__xludf.DUMMYFUNCTION("IF(M158="""","""",QUERY({'Dashboard-Dados'!$Y$2:$AA$13},""Select Col2 Where Col1=""&amp;M158))"),"")</f>
        <v/>
      </c>
      <c r="O158" s="29" t="str">
        <f>IFERROR(__xludf.DUMMYFUNCTION("IF(ISBLANK(B158),"""",IF(ISDATE(B158),TEXT(B158,""yyyy""),""""))"),"")</f>
        <v/>
      </c>
    </row>
    <row r="159">
      <c r="B159" s="55"/>
      <c r="C159" s="56"/>
      <c r="D159" s="49"/>
      <c r="E159" s="49"/>
      <c r="F159" s="50"/>
      <c r="G159" s="51"/>
      <c r="H159" s="52"/>
      <c r="I159" s="50"/>
      <c r="K159" s="53" t="str">
        <f>IFERROR(__xludf.DUMMYFUNCTION("IF(ISBLANK(B159),"""",IF(ISDATE(B159),""X"",""""))"),"")</f>
        <v/>
      </c>
      <c r="L159" s="40" t="str">
        <f>IFERROR(__xludf.DUMMYFUNCTION("IF(ISBLANK(B159),"""",IF(Or(I159=""Em Aberto"",ISBLANK(I159),NOT(ISDATE(B159))),"""",H159))"),"")</f>
        <v/>
      </c>
      <c r="M159" s="29" t="str">
        <f>IFERROR(__xludf.DUMMYFUNCTION("IF(ISBLANK(B159),"""",IF(ISDATE(B159),TEXT(B159,""m""),""""))"),"")</f>
        <v/>
      </c>
      <c r="N159" s="29" t="str">
        <f>IFERROR(__xludf.DUMMYFUNCTION("IF(M159="""","""",QUERY({'Dashboard-Dados'!$Y$2:$AA$13},""Select Col2 Where Col1=""&amp;M159))"),"")</f>
        <v/>
      </c>
      <c r="O159" s="29" t="str">
        <f>IFERROR(__xludf.DUMMYFUNCTION("IF(ISBLANK(B159),"""",IF(ISDATE(B159),TEXT(B159,""yyyy""),""""))"),"")</f>
        <v/>
      </c>
    </row>
    <row r="160">
      <c r="B160" s="55"/>
      <c r="C160" s="56"/>
      <c r="D160" s="49"/>
      <c r="E160" s="49"/>
      <c r="F160" s="50"/>
      <c r="G160" s="51"/>
      <c r="H160" s="52"/>
      <c r="I160" s="50"/>
      <c r="K160" s="53" t="str">
        <f>IFERROR(__xludf.DUMMYFUNCTION("IF(ISBLANK(B160),"""",IF(ISDATE(B160),""X"",""""))"),"")</f>
        <v/>
      </c>
      <c r="L160" s="40" t="str">
        <f>IFERROR(__xludf.DUMMYFUNCTION("IF(ISBLANK(B160),"""",IF(Or(I160=""Em Aberto"",ISBLANK(I160),NOT(ISDATE(B160))),"""",H160))"),"")</f>
        <v/>
      </c>
      <c r="M160" s="29" t="str">
        <f>IFERROR(__xludf.DUMMYFUNCTION("IF(ISBLANK(B160),"""",IF(ISDATE(B160),TEXT(B160,""m""),""""))"),"")</f>
        <v/>
      </c>
      <c r="N160" s="29" t="str">
        <f>IFERROR(__xludf.DUMMYFUNCTION("IF(M160="""","""",QUERY({'Dashboard-Dados'!$Y$2:$AA$13},""Select Col2 Where Col1=""&amp;M160))"),"")</f>
        <v/>
      </c>
      <c r="O160" s="29" t="str">
        <f>IFERROR(__xludf.DUMMYFUNCTION("IF(ISBLANK(B160),"""",IF(ISDATE(B160),TEXT(B160,""yyyy""),""""))"),"")</f>
        <v/>
      </c>
    </row>
    <row r="161">
      <c r="B161" s="55"/>
      <c r="C161" s="56"/>
      <c r="D161" s="49"/>
      <c r="E161" s="49"/>
      <c r="F161" s="50"/>
      <c r="G161" s="51"/>
      <c r="H161" s="52"/>
      <c r="I161" s="50"/>
      <c r="K161" s="53" t="str">
        <f>IFERROR(__xludf.DUMMYFUNCTION("IF(ISBLANK(B161),"""",IF(ISDATE(B161),""X"",""""))"),"")</f>
        <v/>
      </c>
      <c r="L161" s="40" t="str">
        <f>IFERROR(__xludf.DUMMYFUNCTION("IF(ISBLANK(B161),"""",IF(Or(I161=""Em Aberto"",ISBLANK(I161),NOT(ISDATE(B161))),"""",H161))"),"")</f>
        <v/>
      </c>
      <c r="M161" s="29" t="str">
        <f>IFERROR(__xludf.DUMMYFUNCTION("IF(ISBLANK(B161),"""",IF(ISDATE(B161),TEXT(B161,""m""),""""))"),"")</f>
        <v/>
      </c>
      <c r="N161" s="29" t="str">
        <f>IFERROR(__xludf.DUMMYFUNCTION("IF(M161="""","""",QUERY({'Dashboard-Dados'!$Y$2:$AA$13},""Select Col2 Where Col1=""&amp;M161))"),"")</f>
        <v/>
      </c>
      <c r="O161" s="29" t="str">
        <f>IFERROR(__xludf.DUMMYFUNCTION("IF(ISBLANK(B161),"""",IF(ISDATE(B161),TEXT(B161,""yyyy""),""""))"),"")</f>
        <v/>
      </c>
    </row>
    <row r="162">
      <c r="B162" s="55"/>
      <c r="C162" s="56"/>
      <c r="D162" s="49"/>
      <c r="E162" s="49"/>
      <c r="F162" s="50"/>
      <c r="G162" s="51"/>
      <c r="H162" s="52"/>
      <c r="I162" s="50"/>
      <c r="K162" s="53" t="str">
        <f>IFERROR(__xludf.DUMMYFUNCTION("IF(ISBLANK(B162),"""",IF(ISDATE(B162),""X"",""""))"),"")</f>
        <v/>
      </c>
      <c r="L162" s="40" t="str">
        <f>IFERROR(__xludf.DUMMYFUNCTION("IF(ISBLANK(B162),"""",IF(Or(I162=""Em Aberto"",ISBLANK(I162),NOT(ISDATE(B162))),"""",H162))"),"")</f>
        <v/>
      </c>
      <c r="M162" s="29" t="str">
        <f>IFERROR(__xludf.DUMMYFUNCTION("IF(ISBLANK(B162),"""",IF(ISDATE(B162),TEXT(B162,""m""),""""))"),"")</f>
        <v/>
      </c>
      <c r="N162" s="29" t="str">
        <f>IFERROR(__xludf.DUMMYFUNCTION("IF(M162="""","""",QUERY({'Dashboard-Dados'!$Y$2:$AA$13},""Select Col2 Where Col1=""&amp;M162))"),"")</f>
        <v/>
      </c>
      <c r="O162" s="29" t="str">
        <f>IFERROR(__xludf.DUMMYFUNCTION("IF(ISBLANK(B162),"""",IF(ISDATE(B162),TEXT(B162,""yyyy""),""""))"),"")</f>
        <v/>
      </c>
    </row>
    <row r="163">
      <c r="B163" s="55"/>
      <c r="C163" s="56"/>
      <c r="D163" s="49"/>
      <c r="E163" s="49"/>
      <c r="F163" s="50"/>
      <c r="G163" s="51"/>
      <c r="H163" s="52"/>
      <c r="I163" s="50"/>
      <c r="K163" s="53" t="str">
        <f>IFERROR(__xludf.DUMMYFUNCTION("IF(ISBLANK(B163),"""",IF(ISDATE(B163),""X"",""""))"),"")</f>
        <v/>
      </c>
      <c r="L163" s="40" t="str">
        <f>IFERROR(__xludf.DUMMYFUNCTION("IF(ISBLANK(B163),"""",IF(Or(I163=""Em Aberto"",ISBLANK(I163),NOT(ISDATE(B163))),"""",H163))"),"")</f>
        <v/>
      </c>
      <c r="M163" s="29" t="str">
        <f>IFERROR(__xludf.DUMMYFUNCTION("IF(ISBLANK(B163),"""",IF(ISDATE(B163),TEXT(B163,""m""),""""))"),"")</f>
        <v/>
      </c>
      <c r="N163" s="29" t="str">
        <f>IFERROR(__xludf.DUMMYFUNCTION("IF(M163="""","""",QUERY({'Dashboard-Dados'!$Y$2:$AA$13},""Select Col2 Where Col1=""&amp;M163))"),"")</f>
        <v/>
      </c>
      <c r="O163" s="29" t="str">
        <f>IFERROR(__xludf.DUMMYFUNCTION("IF(ISBLANK(B163),"""",IF(ISDATE(B163),TEXT(B163,""yyyy""),""""))"),"")</f>
        <v/>
      </c>
    </row>
    <row r="164">
      <c r="B164" s="55"/>
      <c r="C164" s="56"/>
      <c r="D164" s="49"/>
      <c r="E164" s="49"/>
      <c r="F164" s="50"/>
      <c r="G164" s="51"/>
      <c r="H164" s="52"/>
      <c r="I164" s="50"/>
      <c r="K164" s="53" t="str">
        <f>IFERROR(__xludf.DUMMYFUNCTION("IF(ISBLANK(B164),"""",IF(ISDATE(B164),""X"",""""))"),"")</f>
        <v/>
      </c>
      <c r="L164" s="40" t="str">
        <f>IFERROR(__xludf.DUMMYFUNCTION("IF(ISBLANK(B164),"""",IF(Or(I164=""Em Aberto"",ISBLANK(I164),NOT(ISDATE(B164))),"""",H164))"),"")</f>
        <v/>
      </c>
      <c r="M164" s="29" t="str">
        <f>IFERROR(__xludf.DUMMYFUNCTION("IF(ISBLANK(B164),"""",IF(ISDATE(B164),TEXT(B164,""m""),""""))"),"")</f>
        <v/>
      </c>
      <c r="N164" s="29" t="str">
        <f>IFERROR(__xludf.DUMMYFUNCTION("IF(M164="""","""",QUERY({'Dashboard-Dados'!$Y$2:$AA$13},""Select Col2 Where Col1=""&amp;M164))"),"")</f>
        <v/>
      </c>
      <c r="O164" s="29" t="str">
        <f>IFERROR(__xludf.DUMMYFUNCTION("IF(ISBLANK(B164),"""",IF(ISDATE(B164),TEXT(B164,""yyyy""),""""))"),"")</f>
        <v/>
      </c>
    </row>
    <row r="165">
      <c r="B165" s="55"/>
      <c r="C165" s="56"/>
      <c r="D165" s="49"/>
      <c r="E165" s="49"/>
      <c r="F165" s="50"/>
      <c r="G165" s="51"/>
      <c r="H165" s="52"/>
      <c r="I165" s="50"/>
      <c r="K165" s="53" t="str">
        <f>IFERROR(__xludf.DUMMYFUNCTION("IF(ISBLANK(B165),"""",IF(ISDATE(B165),""X"",""""))"),"")</f>
        <v/>
      </c>
      <c r="L165" s="40" t="str">
        <f>IFERROR(__xludf.DUMMYFUNCTION("IF(ISBLANK(B165),"""",IF(Or(I165=""Em Aberto"",ISBLANK(I165),NOT(ISDATE(B165))),"""",H165))"),"")</f>
        <v/>
      </c>
      <c r="M165" s="29" t="str">
        <f>IFERROR(__xludf.DUMMYFUNCTION("IF(ISBLANK(B165),"""",IF(ISDATE(B165),TEXT(B165,""m""),""""))"),"")</f>
        <v/>
      </c>
      <c r="N165" s="29" t="str">
        <f>IFERROR(__xludf.DUMMYFUNCTION("IF(M165="""","""",QUERY({'Dashboard-Dados'!$Y$2:$AA$13},""Select Col2 Where Col1=""&amp;M165))"),"")</f>
        <v/>
      </c>
      <c r="O165" s="29" t="str">
        <f>IFERROR(__xludf.DUMMYFUNCTION("IF(ISBLANK(B165),"""",IF(ISDATE(B165),TEXT(B165,""yyyy""),""""))"),"")</f>
        <v/>
      </c>
    </row>
    <row r="166">
      <c r="B166" s="55"/>
      <c r="C166" s="56"/>
      <c r="D166" s="49"/>
      <c r="E166" s="49"/>
      <c r="F166" s="50"/>
      <c r="G166" s="51"/>
      <c r="H166" s="52"/>
      <c r="I166" s="50"/>
      <c r="K166" s="53" t="str">
        <f>IFERROR(__xludf.DUMMYFUNCTION("IF(ISBLANK(B166),"""",IF(ISDATE(B166),""X"",""""))"),"")</f>
        <v/>
      </c>
      <c r="L166" s="40" t="str">
        <f>IFERROR(__xludf.DUMMYFUNCTION("IF(ISBLANK(B166),"""",IF(Or(I166=""Em Aberto"",ISBLANK(I166),NOT(ISDATE(B166))),"""",H166))"),"")</f>
        <v/>
      </c>
      <c r="M166" s="29" t="str">
        <f>IFERROR(__xludf.DUMMYFUNCTION("IF(ISBLANK(B166),"""",IF(ISDATE(B166),TEXT(B166,""m""),""""))"),"")</f>
        <v/>
      </c>
      <c r="N166" s="29" t="str">
        <f>IFERROR(__xludf.DUMMYFUNCTION("IF(M166="""","""",QUERY({'Dashboard-Dados'!$Y$2:$AA$13},""Select Col2 Where Col1=""&amp;M166))"),"")</f>
        <v/>
      </c>
      <c r="O166" s="29" t="str">
        <f>IFERROR(__xludf.DUMMYFUNCTION("IF(ISBLANK(B166),"""",IF(ISDATE(B166),TEXT(B166,""yyyy""),""""))"),"")</f>
        <v/>
      </c>
    </row>
    <row r="167">
      <c r="B167" s="55"/>
      <c r="C167" s="56"/>
      <c r="D167" s="49"/>
      <c r="E167" s="49"/>
      <c r="F167" s="50"/>
      <c r="G167" s="51"/>
      <c r="H167" s="52"/>
      <c r="I167" s="50"/>
      <c r="K167" s="53" t="str">
        <f>IFERROR(__xludf.DUMMYFUNCTION("IF(ISBLANK(B167),"""",IF(ISDATE(B167),""X"",""""))"),"")</f>
        <v/>
      </c>
      <c r="L167" s="40" t="str">
        <f>IFERROR(__xludf.DUMMYFUNCTION("IF(ISBLANK(B167),"""",IF(Or(I167=""Em Aberto"",ISBLANK(I167),NOT(ISDATE(B167))),"""",H167))"),"")</f>
        <v/>
      </c>
      <c r="M167" s="29" t="str">
        <f>IFERROR(__xludf.DUMMYFUNCTION("IF(ISBLANK(B167),"""",IF(ISDATE(B167),TEXT(B167,""m""),""""))"),"")</f>
        <v/>
      </c>
      <c r="N167" s="29" t="str">
        <f>IFERROR(__xludf.DUMMYFUNCTION("IF(M167="""","""",QUERY({'Dashboard-Dados'!$Y$2:$AA$13},""Select Col2 Where Col1=""&amp;M167))"),"")</f>
        <v/>
      </c>
      <c r="O167" s="29" t="str">
        <f>IFERROR(__xludf.DUMMYFUNCTION("IF(ISBLANK(B167),"""",IF(ISDATE(B167),TEXT(B167,""yyyy""),""""))"),"")</f>
        <v/>
      </c>
    </row>
    <row r="168">
      <c r="B168" s="55"/>
      <c r="C168" s="56"/>
      <c r="D168" s="49"/>
      <c r="E168" s="49"/>
      <c r="F168" s="50"/>
      <c r="G168" s="51"/>
      <c r="H168" s="52"/>
      <c r="I168" s="50"/>
      <c r="K168" s="53" t="str">
        <f>IFERROR(__xludf.DUMMYFUNCTION("IF(ISBLANK(B168),"""",IF(ISDATE(B168),""X"",""""))"),"")</f>
        <v/>
      </c>
      <c r="L168" s="40" t="str">
        <f>IFERROR(__xludf.DUMMYFUNCTION("IF(ISBLANK(B168),"""",IF(Or(I168=""Em Aberto"",ISBLANK(I168),NOT(ISDATE(B168))),"""",H168))"),"")</f>
        <v/>
      </c>
      <c r="M168" s="29" t="str">
        <f>IFERROR(__xludf.DUMMYFUNCTION("IF(ISBLANK(B168),"""",IF(ISDATE(B168),TEXT(B168,""m""),""""))"),"")</f>
        <v/>
      </c>
      <c r="N168" s="29" t="str">
        <f>IFERROR(__xludf.DUMMYFUNCTION("IF(M168="""","""",QUERY({'Dashboard-Dados'!$Y$2:$AA$13},""Select Col2 Where Col1=""&amp;M168))"),"")</f>
        <v/>
      </c>
      <c r="O168" s="29" t="str">
        <f>IFERROR(__xludf.DUMMYFUNCTION("IF(ISBLANK(B168),"""",IF(ISDATE(B168),TEXT(B168,""yyyy""),""""))"),"")</f>
        <v/>
      </c>
    </row>
    <row r="169">
      <c r="B169" s="55"/>
      <c r="C169" s="56"/>
      <c r="D169" s="49"/>
      <c r="E169" s="49"/>
      <c r="F169" s="50"/>
      <c r="G169" s="51"/>
      <c r="H169" s="52"/>
      <c r="I169" s="50"/>
      <c r="K169" s="53" t="str">
        <f>IFERROR(__xludf.DUMMYFUNCTION("IF(ISBLANK(B169),"""",IF(ISDATE(B169),""X"",""""))"),"")</f>
        <v/>
      </c>
      <c r="L169" s="40" t="str">
        <f>IFERROR(__xludf.DUMMYFUNCTION("IF(ISBLANK(B169),"""",IF(Or(I169=""Em Aberto"",ISBLANK(I169),NOT(ISDATE(B169))),"""",H169))"),"")</f>
        <v/>
      </c>
      <c r="M169" s="29" t="str">
        <f>IFERROR(__xludf.DUMMYFUNCTION("IF(ISBLANK(B169),"""",IF(ISDATE(B169),TEXT(B169,""m""),""""))"),"")</f>
        <v/>
      </c>
      <c r="N169" s="29" t="str">
        <f>IFERROR(__xludf.DUMMYFUNCTION("IF(M169="""","""",QUERY({'Dashboard-Dados'!$Y$2:$AA$13},""Select Col2 Where Col1=""&amp;M169))"),"")</f>
        <v/>
      </c>
      <c r="O169" s="29" t="str">
        <f>IFERROR(__xludf.DUMMYFUNCTION("IF(ISBLANK(B169),"""",IF(ISDATE(B169),TEXT(B169,""yyyy""),""""))"),"")</f>
        <v/>
      </c>
    </row>
    <row r="170">
      <c r="B170" s="55"/>
      <c r="C170" s="56"/>
      <c r="D170" s="49"/>
      <c r="E170" s="49"/>
      <c r="F170" s="50"/>
      <c r="G170" s="51"/>
      <c r="H170" s="52"/>
      <c r="I170" s="50"/>
      <c r="K170" s="53" t="str">
        <f>IFERROR(__xludf.DUMMYFUNCTION("IF(ISBLANK(B170),"""",IF(ISDATE(B170),""X"",""""))"),"")</f>
        <v/>
      </c>
      <c r="L170" s="40" t="str">
        <f>IFERROR(__xludf.DUMMYFUNCTION("IF(ISBLANK(B170),"""",IF(Or(I170=""Em Aberto"",ISBLANK(I170),NOT(ISDATE(B170))),"""",H170))"),"")</f>
        <v/>
      </c>
      <c r="M170" s="29" t="str">
        <f>IFERROR(__xludf.DUMMYFUNCTION("IF(ISBLANK(B170),"""",IF(ISDATE(B170),TEXT(B170,""m""),""""))"),"")</f>
        <v/>
      </c>
      <c r="N170" s="29" t="str">
        <f>IFERROR(__xludf.DUMMYFUNCTION("IF(M170="""","""",QUERY({'Dashboard-Dados'!$Y$2:$AA$13},""Select Col2 Where Col1=""&amp;M170))"),"")</f>
        <v/>
      </c>
      <c r="O170" s="29" t="str">
        <f>IFERROR(__xludf.DUMMYFUNCTION("IF(ISBLANK(B170),"""",IF(ISDATE(B170),TEXT(B170,""yyyy""),""""))"),"")</f>
        <v/>
      </c>
    </row>
    <row r="171">
      <c r="B171" s="55"/>
      <c r="C171" s="56"/>
      <c r="D171" s="49"/>
      <c r="E171" s="49"/>
      <c r="F171" s="50"/>
      <c r="G171" s="51"/>
      <c r="H171" s="52"/>
      <c r="I171" s="50"/>
      <c r="K171" s="53" t="str">
        <f>IFERROR(__xludf.DUMMYFUNCTION("IF(ISBLANK(B171),"""",IF(ISDATE(B171),""X"",""""))"),"")</f>
        <v/>
      </c>
      <c r="L171" s="40" t="str">
        <f>IFERROR(__xludf.DUMMYFUNCTION("IF(ISBLANK(B171),"""",IF(Or(I171=""Em Aberto"",ISBLANK(I171),NOT(ISDATE(B171))),"""",H171))"),"")</f>
        <v/>
      </c>
      <c r="M171" s="29" t="str">
        <f>IFERROR(__xludf.DUMMYFUNCTION("IF(ISBLANK(B171),"""",IF(ISDATE(B171),TEXT(B171,""m""),""""))"),"")</f>
        <v/>
      </c>
      <c r="N171" s="29" t="str">
        <f>IFERROR(__xludf.DUMMYFUNCTION("IF(M171="""","""",QUERY({'Dashboard-Dados'!$Y$2:$AA$13},""Select Col2 Where Col1=""&amp;M171))"),"")</f>
        <v/>
      </c>
      <c r="O171" s="29" t="str">
        <f>IFERROR(__xludf.DUMMYFUNCTION("IF(ISBLANK(B171),"""",IF(ISDATE(B171),TEXT(B171,""yyyy""),""""))"),"")</f>
        <v/>
      </c>
    </row>
    <row r="172">
      <c r="B172" s="55"/>
      <c r="C172" s="56"/>
      <c r="D172" s="49"/>
      <c r="E172" s="49"/>
      <c r="F172" s="50"/>
      <c r="G172" s="51"/>
      <c r="H172" s="52"/>
      <c r="I172" s="50"/>
      <c r="K172" s="53" t="str">
        <f>IFERROR(__xludf.DUMMYFUNCTION("IF(ISBLANK(B172),"""",IF(ISDATE(B172),""X"",""""))"),"")</f>
        <v/>
      </c>
      <c r="L172" s="40" t="str">
        <f>IFERROR(__xludf.DUMMYFUNCTION("IF(ISBLANK(B172),"""",IF(Or(I172=""Em Aberto"",ISBLANK(I172),NOT(ISDATE(B172))),"""",H172))"),"")</f>
        <v/>
      </c>
      <c r="M172" s="29" t="str">
        <f>IFERROR(__xludf.DUMMYFUNCTION("IF(ISBLANK(B172),"""",IF(ISDATE(B172),TEXT(B172,""m""),""""))"),"")</f>
        <v/>
      </c>
      <c r="N172" s="29" t="str">
        <f>IFERROR(__xludf.DUMMYFUNCTION("IF(M172="""","""",QUERY({'Dashboard-Dados'!$Y$2:$AA$13},""Select Col2 Where Col1=""&amp;M172))"),"")</f>
        <v/>
      </c>
      <c r="O172" s="29" t="str">
        <f>IFERROR(__xludf.DUMMYFUNCTION("IF(ISBLANK(B172),"""",IF(ISDATE(B172),TEXT(B172,""yyyy""),""""))"),"")</f>
        <v/>
      </c>
    </row>
    <row r="173">
      <c r="B173" s="55"/>
      <c r="C173" s="56"/>
      <c r="D173" s="49"/>
      <c r="E173" s="49"/>
      <c r="F173" s="50"/>
      <c r="G173" s="51"/>
      <c r="H173" s="52"/>
      <c r="I173" s="50"/>
      <c r="K173" s="53" t="str">
        <f>IFERROR(__xludf.DUMMYFUNCTION("IF(ISBLANK(B173),"""",IF(ISDATE(B173),""X"",""""))"),"")</f>
        <v/>
      </c>
      <c r="L173" s="40" t="str">
        <f>IFERROR(__xludf.DUMMYFUNCTION("IF(ISBLANK(B173),"""",IF(Or(I173=""Em Aberto"",ISBLANK(I173),NOT(ISDATE(B173))),"""",H173))"),"")</f>
        <v/>
      </c>
      <c r="M173" s="29" t="str">
        <f>IFERROR(__xludf.DUMMYFUNCTION("IF(ISBLANK(B173),"""",IF(ISDATE(B173),TEXT(B173,""m""),""""))"),"")</f>
        <v/>
      </c>
      <c r="N173" s="29" t="str">
        <f>IFERROR(__xludf.DUMMYFUNCTION("IF(M173="""","""",QUERY({'Dashboard-Dados'!$Y$2:$AA$13},""Select Col2 Where Col1=""&amp;M173))"),"")</f>
        <v/>
      </c>
      <c r="O173" s="29" t="str">
        <f>IFERROR(__xludf.DUMMYFUNCTION("IF(ISBLANK(B173),"""",IF(ISDATE(B173),TEXT(B173,""yyyy""),""""))"),"")</f>
        <v/>
      </c>
    </row>
    <row r="174">
      <c r="B174" s="55"/>
      <c r="C174" s="56"/>
      <c r="D174" s="49"/>
      <c r="E174" s="49"/>
      <c r="F174" s="50"/>
      <c r="G174" s="51"/>
      <c r="H174" s="52"/>
      <c r="I174" s="50"/>
      <c r="K174" s="53" t="str">
        <f>IFERROR(__xludf.DUMMYFUNCTION("IF(ISBLANK(B174),"""",IF(ISDATE(B174),""X"",""""))"),"")</f>
        <v/>
      </c>
      <c r="L174" s="40" t="str">
        <f>IFERROR(__xludf.DUMMYFUNCTION("IF(ISBLANK(B174),"""",IF(Or(I174=""Em Aberto"",ISBLANK(I174),NOT(ISDATE(B174))),"""",H174))"),"")</f>
        <v/>
      </c>
      <c r="M174" s="29" t="str">
        <f>IFERROR(__xludf.DUMMYFUNCTION("IF(ISBLANK(B174),"""",IF(ISDATE(B174),TEXT(B174,""m""),""""))"),"")</f>
        <v/>
      </c>
      <c r="N174" s="29" t="str">
        <f>IFERROR(__xludf.DUMMYFUNCTION("IF(M174="""","""",QUERY({'Dashboard-Dados'!$Y$2:$AA$13},""Select Col2 Where Col1=""&amp;M174))"),"")</f>
        <v/>
      </c>
      <c r="O174" s="29" t="str">
        <f>IFERROR(__xludf.DUMMYFUNCTION("IF(ISBLANK(B174),"""",IF(ISDATE(B174),TEXT(B174,""yyyy""),""""))"),"")</f>
        <v/>
      </c>
    </row>
    <row r="175">
      <c r="B175" s="55"/>
      <c r="C175" s="56"/>
      <c r="D175" s="49"/>
      <c r="E175" s="49"/>
      <c r="F175" s="50"/>
      <c r="G175" s="51"/>
      <c r="H175" s="52"/>
      <c r="I175" s="50"/>
      <c r="K175" s="53" t="str">
        <f>IFERROR(__xludf.DUMMYFUNCTION("IF(ISBLANK(B175),"""",IF(ISDATE(B175),""X"",""""))"),"")</f>
        <v/>
      </c>
      <c r="L175" s="40" t="str">
        <f>IFERROR(__xludf.DUMMYFUNCTION("IF(ISBLANK(B175),"""",IF(Or(I175=""Em Aberto"",ISBLANK(I175),NOT(ISDATE(B175))),"""",H175))"),"")</f>
        <v/>
      </c>
      <c r="M175" s="29" t="str">
        <f>IFERROR(__xludf.DUMMYFUNCTION("IF(ISBLANK(B175),"""",IF(ISDATE(B175),TEXT(B175,""m""),""""))"),"")</f>
        <v/>
      </c>
      <c r="N175" s="29" t="str">
        <f>IFERROR(__xludf.DUMMYFUNCTION("IF(M175="""","""",QUERY({'Dashboard-Dados'!$Y$2:$AA$13},""Select Col2 Where Col1=""&amp;M175))"),"")</f>
        <v/>
      </c>
      <c r="O175" s="29" t="str">
        <f>IFERROR(__xludf.DUMMYFUNCTION("IF(ISBLANK(B175),"""",IF(ISDATE(B175),TEXT(B175,""yyyy""),""""))"),"")</f>
        <v/>
      </c>
    </row>
    <row r="176">
      <c r="B176" s="55"/>
      <c r="C176" s="56"/>
      <c r="D176" s="49"/>
      <c r="E176" s="49"/>
      <c r="F176" s="50"/>
      <c r="G176" s="51"/>
      <c r="H176" s="52"/>
      <c r="I176" s="50"/>
      <c r="K176" s="53" t="str">
        <f>IFERROR(__xludf.DUMMYFUNCTION("IF(ISBLANK(B176),"""",IF(ISDATE(B176),""X"",""""))"),"")</f>
        <v/>
      </c>
      <c r="L176" s="40" t="str">
        <f>IFERROR(__xludf.DUMMYFUNCTION("IF(ISBLANK(B176),"""",IF(Or(I176=""Em Aberto"",ISBLANK(I176),NOT(ISDATE(B176))),"""",H176))"),"")</f>
        <v/>
      </c>
      <c r="M176" s="29" t="str">
        <f>IFERROR(__xludf.DUMMYFUNCTION("IF(ISBLANK(B176),"""",IF(ISDATE(B176),TEXT(B176,""m""),""""))"),"")</f>
        <v/>
      </c>
      <c r="N176" s="29" t="str">
        <f>IFERROR(__xludf.DUMMYFUNCTION("IF(M176="""","""",QUERY({'Dashboard-Dados'!$Y$2:$AA$13},""Select Col2 Where Col1=""&amp;M176))"),"")</f>
        <v/>
      </c>
      <c r="O176" s="29" t="str">
        <f>IFERROR(__xludf.DUMMYFUNCTION("IF(ISBLANK(B176),"""",IF(ISDATE(B176),TEXT(B176,""yyyy""),""""))"),"")</f>
        <v/>
      </c>
    </row>
    <row r="177">
      <c r="B177" s="55"/>
      <c r="C177" s="56"/>
      <c r="D177" s="49"/>
      <c r="E177" s="49"/>
      <c r="F177" s="50"/>
      <c r="G177" s="51"/>
      <c r="H177" s="52"/>
      <c r="I177" s="50"/>
      <c r="K177" s="53" t="str">
        <f>IFERROR(__xludf.DUMMYFUNCTION("IF(ISBLANK(B177),"""",IF(ISDATE(B177),""X"",""""))"),"")</f>
        <v/>
      </c>
      <c r="L177" s="40" t="str">
        <f>IFERROR(__xludf.DUMMYFUNCTION("IF(ISBLANK(B177),"""",IF(Or(I177=""Em Aberto"",ISBLANK(I177),NOT(ISDATE(B177))),"""",H177))"),"")</f>
        <v/>
      </c>
      <c r="M177" s="29" t="str">
        <f>IFERROR(__xludf.DUMMYFUNCTION("IF(ISBLANK(B177),"""",IF(ISDATE(B177),TEXT(B177,""m""),""""))"),"")</f>
        <v/>
      </c>
      <c r="N177" s="29" t="str">
        <f>IFERROR(__xludf.DUMMYFUNCTION("IF(M177="""","""",QUERY({'Dashboard-Dados'!$Y$2:$AA$13},""Select Col2 Where Col1=""&amp;M177))"),"")</f>
        <v/>
      </c>
      <c r="O177" s="29" t="str">
        <f>IFERROR(__xludf.DUMMYFUNCTION("IF(ISBLANK(B177),"""",IF(ISDATE(B177),TEXT(B177,""yyyy""),""""))"),"")</f>
        <v/>
      </c>
    </row>
    <row r="178">
      <c r="B178" s="55"/>
      <c r="C178" s="56"/>
      <c r="D178" s="49"/>
      <c r="E178" s="49"/>
      <c r="F178" s="50"/>
      <c r="G178" s="51"/>
      <c r="H178" s="52"/>
      <c r="I178" s="50"/>
      <c r="K178" s="53" t="str">
        <f>IFERROR(__xludf.DUMMYFUNCTION("IF(ISBLANK(B178),"""",IF(ISDATE(B178),""X"",""""))"),"")</f>
        <v/>
      </c>
      <c r="L178" s="40" t="str">
        <f>IFERROR(__xludf.DUMMYFUNCTION("IF(ISBLANK(B178),"""",IF(Or(I178=""Em Aberto"",ISBLANK(I178),NOT(ISDATE(B178))),"""",H178))"),"")</f>
        <v/>
      </c>
      <c r="M178" s="29" t="str">
        <f>IFERROR(__xludf.DUMMYFUNCTION("IF(ISBLANK(B178),"""",IF(ISDATE(B178),TEXT(B178,""m""),""""))"),"")</f>
        <v/>
      </c>
      <c r="N178" s="29" t="str">
        <f>IFERROR(__xludf.DUMMYFUNCTION("IF(M178="""","""",QUERY({'Dashboard-Dados'!$Y$2:$AA$13},""Select Col2 Where Col1=""&amp;M178))"),"")</f>
        <v/>
      </c>
      <c r="O178" s="29" t="str">
        <f>IFERROR(__xludf.DUMMYFUNCTION("IF(ISBLANK(B178),"""",IF(ISDATE(B178),TEXT(B178,""yyyy""),""""))"),"")</f>
        <v/>
      </c>
    </row>
    <row r="179">
      <c r="B179" s="55"/>
      <c r="C179" s="56"/>
      <c r="D179" s="49"/>
      <c r="E179" s="49"/>
      <c r="F179" s="50"/>
      <c r="G179" s="51"/>
      <c r="H179" s="52"/>
      <c r="I179" s="50"/>
      <c r="K179" s="53" t="str">
        <f>IFERROR(__xludf.DUMMYFUNCTION("IF(ISBLANK(B179),"""",IF(ISDATE(B179),""X"",""""))"),"")</f>
        <v/>
      </c>
      <c r="L179" s="40" t="str">
        <f>IFERROR(__xludf.DUMMYFUNCTION("IF(ISBLANK(B179),"""",IF(Or(I179=""Em Aberto"",ISBLANK(I179),NOT(ISDATE(B179))),"""",H179))"),"")</f>
        <v/>
      </c>
      <c r="M179" s="29" t="str">
        <f>IFERROR(__xludf.DUMMYFUNCTION("IF(ISBLANK(B179),"""",IF(ISDATE(B179),TEXT(B179,""m""),""""))"),"")</f>
        <v/>
      </c>
      <c r="N179" s="29" t="str">
        <f>IFERROR(__xludf.DUMMYFUNCTION("IF(M179="""","""",QUERY({'Dashboard-Dados'!$Y$2:$AA$13},""Select Col2 Where Col1=""&amp;M179))"),"")</f>
        <v/>
      </c>
      <c r="O179" s="29" t="str">
        <f>IFERROR(__xludf.DUMMYFUNCTION("IF(ISBLANK(B179),"""",IF(ISDATE(B179),TEXT(B179,""yyyy""),""""))"),"")</f>
        <v/>
      </c>
    </row>
    <row r="180">
      <c r="B180" s="55"/>
      <c r="C180" s="56"/>
      <c r="D180" s="49"/>
      <c r="E180" s="49"/>
      <c r="F180" s="50"/>
      <c r="G180" s="51"/>
      <c r="H180" s="52"/>
      <c r="I180" s="50"/>
      <c r="K180" s="53" t="str">
        <f>IFERROR(__xludf.DUMMYFUNCTION("IF(ISBLANK(B180),"""",IF(ISDATE(B180),""X"",""""))"),"")</f>
        <v/>
      </c>
      <c r="L180" s="40" t="str">
        <f>IFERROR(__xludf.DUMMYFUNCTION("IF(ISBLANK(B180),"""",IF(Or(I180=""Em Aberto"",ISBLANK(I180),NOT(ISDATE(B180))),"""",H180))"),"")</f>
        <v/>
      </c>
      <c r="M180" s="29" t="str">
        <f>IFERROR(__xludf.DUMMYFUNCTION("IF(ISBLANK(B180),"""",IF(ISDATE(B180),TEXT(B180,""m""),""""))"),"")</f>
        <v/>
      </c>
      <c r="N180" s="29" t="str">
        <f>IFERROR(__xludf.DUMMYFUNCTION("IF(M180="""","""",QUERY({'Dashboard-Dados'!$Y$2:$AA$13},""Select Col2 Where Col1=""&amp;M180))"),"")</f>
        <v/>
      </c>
      <c r="O180" s="29" t="str">
        <f>IFERROR(__xludf.DUMMYFUNCTION("IF(ISBLANK(B180),"""",IF(ISDATE(B180),TEXT(B180,""yyyy""),""""))"),"")</f>
        <v/>
      </c>
    </row>
    <row r="181">
      <c r="B181" s="55"/>
      <c r="C181" s="56"/>
      <c r="D181" s="49"/>
      <c r="E181" s="49"/>
      <c r="F181" s="50"/>
      <c r="G181" s="51"/>
      <c r="H181" s="52"/>
      <c r="I181" s="50"/>
      <c r="K181" s="53" t="str">
        <f>IFERROR(__xludf.DUMMYFUNCTION("IF(ISBLANK(B181),"""",IF(ISDATE(B181),""X"",""""))"),"")</f>
        <v/>
      </c>
      <c r="L181" s="40" t="str">
        <f>IFERROR(__xludf.DUMMYFUNCTION("IF(ISBLANK(B181),"""",IF(Or(I181=""Em Aberto"",ISBLANK(I181),NOT(ISDATE(B181))),"""",H181))"),"")</f>
        <v/>
      </c>
      <c r="M181" s="29" t="str">
        <f>IFERROR(__xludf.DUMMYFUNCTION("IF(ISBLANK(B181),"""",IF(ISDATE(B181),TEXT(B181,""m""),""""))"),"")</f>
        <v/>
      </c>
      <c r="N181" s="29" t="str">
        <f>IFERROR(__xludf.DUMMYFUNCTION("IF(M181="""","""",QUERY({'Dashboard-Dados'!$Y$2:$AA$13},""Select Col2 Where Col1=""&amp;M181))"),"")</f>
        <v/>
      </c>
      <c r="O181" s="29" t="str">
        <f>IFERROR(__xludf.DUMMYFUNCTION("IF(ISBLANK(B181),"""",IF(ISDATE(B181),TEXT(B181,""yyyy""),""""))"),"")</f>
        <v/>
      </c>
    </row>
    <row r="182">
      <c r="B182" s="55"/>
      <c r="C182" s="56"/>
      <c r="D182" s="49"/>
      <c r="E182" s="49"/>
      <c r="F182" s="50"/>
      <c r="G182" s="51"/>
      <c r="H182" s="52"/>
      <c r="I182" s="50"/>
      <c r="K182" s="53" t="str">
        <f>IFERROR(__xludf.DUMMYFUNCTION("IF(ISBLANK(B182),"""",IF(ISDATE(B182),""X"",""""))"),"")</f>
        <v/>
      </c>
      <c r="L182" s="40" t="str">
        <f>IFERROR(__xludf.DUMMYFUNCTION("IF(ISBLANK(B182),"""",IF(Or(I182=""Em Aberto"",ISBLANK(I182),NOT(ISDATE(B182))),"""",H182))"),"")</f>
        <v/>
      </c>
      <c r="M182" s="29" t="str">
        <f>IFERROR(__xludf.DUMMYFUNCTION("IF(ISBLANK(B182),"""",IF(ISDATE(B182),TEXT(B182,""m""),""""))"),"")</f>
        <v/>
      </c>
      <c r="N182" s="29" t="str">
        <f>IFERROR(__xludf.DUMMYFUNCTION("IF(M182="""","""",QUERY({'Dashboard-Dados'!$Y$2:$AA$13},""Select Col2 Where Col1=""&amp;M182))"),"")</f>
        <v/>
      </c>
      <c r="O182" s="29" t="str">
        <f>IFERROR(__xludf.DUMMYFUNCTION("IF(ISBLANK(B182),"""",IF(ISDATE(B182),TEXT(B182,""yyyy""),""""))"),"")</f>
        <v/>
      </c>
    </row>
    <row r="183">
      <c r="B183" s="55"/>
      <c r="C183" s="56"/>
      <c r="D183" s="49"/>
      <c r="E183" s="49"/>
      <c r="F183" s="50"/>
      <c r="G183" s="51"/>
      <c r="H183" s="52"/>
      <c r="I183" s="50"/>
      <c r="K183" s="53" t="str">
        <f>IFERROR(__xludf.DUMMYFUNCTION("IF(ISBLANK(B183),"""",IF(ISDATE(B183),""X"",""""))"),"")</f>
        <v/>
      </c>
      <c r="L183" s="40" t="str">
        <f>IFERROR(__xludf.DUMMYFUNCTION("IF(ISBLANK(B183),"""",IF(Or(I183=""Em Aberto"",ISBLANK(I183),NOT(ISDATE(B183))),"""",H183))"),"")</f>
        <v/>
      </c>
      <c r="M183" s="29" t="str">
        <f>IFERROR(__xludf.DUMMYFUNCTION("IF(ISBLANK(B183),"""",IF(ISDATE(B183),TEXT(B183,""m""),""""))"),"")</f>
        <v/>
      </c>
      <c r="N183" s="29" t="str">
        <f>IFERROR(__xludf.DUMMYFUNCTION("IF(M183="""","""",QUERY({'Dashboard-Dados'!$Y$2:$AA$13},""Select Col2 Where Col1=""&amp;M183))"),"")</f>
        <v/>
      </c>
      <c r="O183" s="29" t="str">
        <f>IFERROR(__xludf.DUMMYFUNCTION("IF(ISBLANK(B183),"""",IF(ISDATE(B183),TEXT(B183,""yyyy""),""""))"),"")</f>
        <v/>
      </c>
    </row>
    <row r="184">
      <c r="B184" s="55"/>
      <c r="C184" s="56"/>
      <c r="D184" s="49"/>
      <c r="E184" s="49"/>
      <c r="F184" s="50"/>
      <c r="G184" s="51"/>
      <c r="H184" s="52"/>
      <c r="I184" s="50"/>
      <c r="K184" s="53" t="str">
        <f>IFERROR(__xludf.DUMMYFUNCTION("IF(ISBLANK(B184),"""",IF(ISDATE(B184),""X"",""""))"),"")</f>
        <v/>
      </c>
      <c r="L184" s="40" t="str">
        <f>IFERROR(__xludf.DUMMYFUNCTION("IF(ISBLANK(B184),"""",IF(Or(I184=""Em Aberto"",ISBLANK(I184),NOT(ISDATE(B184))),"""",H184))"),"")</f>
        <v/>
      </c>
      <c r="M184" s="29" t="str">
        <f>IFERROR(__xludf.DUMMYFUNCTION("IF(ISBLANK(B184),"""",IF(ISDATE(B184),TEXT(B184,""m""),""""))"),"")</f>
        <v/>
      </c>
      <c r="N184" s="29" t="str">
        <f>IFERROR(__xludf.DUMMYFUNCTION("IF(M184="""","""",QUERY({'Dashboard-Dados'!$Y$2:$AA$13},""Select Col2 Where Col1=""&amp;M184))"),"")</f>
        <v/>
      </c>
      <c r="O184" s="29" t="str">
        <f>IFERROR(__xludf.DUMMYFUNCTION("IF(ISBLANK(B184),"""",IF(ISDATE(B184),TEXT(B184,""yyyy""),""""))"),"")</f>
        <v/>
      </c>
    </row>
    <row r="185">
      <c r="B185" s="55"/>
      <c r="C185" s="56"/>
      <c r="D185" s="49"/>
      <c r="E185" s="49"/>
      <c r="F185" s="50"/>
      <c r="G185" s="51"/>
      <c r="H185" s="52"/>
      <c r="I185" s="50"/>
      <c r="K185" s="53" t="str">
        <f>IFERROR(__xludf.DUMMYFUNCTION("IF(ISBLANK(B185),"""",IF(ISDATE(B185),""X"",""""))"),"")</f>
        <v/>
      </c>
      <c r="L185" s="40" t="str">
        <f>IFERROR(__xludf.DUMMYFUNCTION("IF(ISBLANK(B185),"""",IF(Or(I185=""Em Aberto"",ISBLANK(I185),NOT(ISDATE(B185))),"""",H185))"),"")</f>
        <v/>
      </c>
      <c r="M185" s="29" t="str">
        <f>IFERROR(__xludf.DUMMYFUNCTION("IF(ISBLANK(B185),"""",IF(ISDATE(B185),TEXT(B185,""m""),""""))"),"")</f>
        <v/>
      </c>
      <c r="N185" s="29" t="str">
        <f>IFERROR(__xludf.DUMMYFUNCTION("IF(M185="""","""",QUERY({'Dashboard-Dados'!$Y$2:$AA$13},""Select Col2 Where Col1=""&amp;M185))"),"")</f>
        <v/>
      </c>
      <c r="O185" s="29" t="str">
        <f>IFERROR(__xludf.DUMMYFUNCTION("IF(ISBLANK(B185),"""",IF(ISDATE(B185),TEXT(B185,""yyyy""),""""))"),"")</f>
        <v/>
      </c>
    </row>
    <row r="186">
      <c r="B186" s="55"/>
      <c r="C186" s="56"/>
      <c r="D186" s="49"/>
      <c r="E186" s="49"/>
      <c r="F186" s="50"/>
      <c r="G186" s="51"/>
      <c r="H186" s="52"/>
      <c r="I186" s="50"/>
      <c r="K186" s="53" t="str">
        <f>IFERROR(__xludf.DUMMYFUNCTION("IF(ISBLANK(B186),"""",IF(ISDATE(B186),""X"",""""))"),"")</f>
        <v/>
      </c>
      <c r="L186" s="40" t="str">
        <f>IFERROR(__xludf.DUMMYFUNCTION("IF(ISBLANK(B186),"""",IF(Or(I186=""Em Aberto"",ISBLANK(I186),NOT(ISDATE(B186))),"""",H186))"),"")</f>
        <v/>
      </c>
      <c r="M186" s="29" t="str">
        <f>IFERROR(__xludf.DUMMYFUNCTION("IF(ISBLANK(B186),"""",IF(ISDATE(B186),TEXT(B186,""m""),""""))"),"")</f>
        <v/>
      </c>
      <c r="N186" s="29" t="str">
        <f>IFERROR(__xludf.DUMMYFUNCTION("IF(M186="""","""",QUERY({'Dashboard-Dados'!$Y$2:$AA$13},""Select Col2 Where Col1=""&amp;M186))"),"")</f>
        <v/>
      </c>
      <c r="O186" s="29" t="str">
        <f>IFERROR(__xludf.DUMMYFUNCTION("IF(ISBLANK(B186),"""",IF(ISDATE(B186),TEXT(B186,""yyyy""),""""))"),"")</f>
        <v/>
      </c>
    </row>
    <row r="187">
      <c r="B187" s="55"/>
      <c r="C187" s="56"/>
      <c r="D187" s="49"/>
      <c r="E187" s="49"/>
      <c r="F187" s="50"/>
      <c r="G187" s="51"/>
      <c r="H187" s="52"/>
      <c r="I187" s="50"/>
      <c r="K187" s="53" t="str">
        <f>IFERROR(__xludf.DUMMYFUNCTION("IF(ISBLANK(B187),"""",IF(ISDATE(B187),""X"",""""))"),"")</f>
        <v/>
      </c>
      <c r="L187" s="40" t="str">
        <f>IFERROR(__xludf.DUMMYFUNCTION("IF(ISBLANK(B187),"""",IF(Or(I187=""Em Aberto"",ISBLANK(I187),NOT(ISDATE(B187))),"""",H187))"),"")</f>
        <v/>
      </c>
      <c r="M187" s="29" t="str">
        <f>IFERROR(__xludf.DUMMYFUNCTION("IF(ISBLANK(B187),"""",IF(ISDATE(B187),TEXT(B187,""m""),""""))"),"")</f>
        <v/>
      </c>
      <c r="N187" s="29" t="str">
        <f>IFERROR(__xludf.DUMMYFUNCTION("IF(M187="""","""",QUERY({'Dashboard-Dados'!$Y$2:$AA$13},""Select Col2 Where Col1=""&amp;M187))"),"")</f>
        <v/>
      </c>
      <c r="O187" s="29" t="str">
        <f>IFERROR(__xludf.DUMMYFUNCTION("IF(ISBLANK(B187),"""",IF(ISDATE(B187),TEXT(B187,""yyyy""),""""))"),"")</f>
        <v/>
      </c>
    </row>
    <row r="188">
      <c r="B188" s="55"/>
      <c r="C188" s="56"/>
      <c r="D188" s="49"/>
      <c r="E188" s="49"/>
      <c r="F188" s="50"/>
      <c r="G188" s="51"/>
      <c r="H188" s="52"/>
      <c r="I188" s="50"/>
      <c r="K188" s="53" t="str">
        <f>IFERROR(__xludf.DUMMYFUNCTION("IF(ISBLANK(B188),"""",IF(ISDATE(B188),""X"",""""))"),"")</f>
        <v/>
      </c>
      <c r="L188" s="40" t="str">
        <f>IFERROR(__xludf.DUMMYFUNCTION("IF(ISBLANK(B188),"""",IF(Or(I188=""Em Aberto"",ISBLANK(I188),NOT(ISDATE(B188))),"""",H188))"),"")</f>
        <v/>
      </c>
      <c r="M188" s="29" t="str">
        <f>IFERROR(__xludf.DUMMYFUNCTION("IF(ISBLANK(B188),"""",IF(ISDATE(B188),TEXT(B188,""m""),""""))"),"")</f>
        <v/>
      </c>
      <c r="N188" s="29" t="str">
        <f>IFERROR(__xludf.DUMMYFUNCTION("IF(M188="""","""",QUERY({'Dashboard-Dados'!$Y$2:$AA$13},""Select Col2 Where Col1=""&amp;M188))"),"")</f>
        <v/>
      </c>
      <c r="O188" s="29" t="str">
        <f>IFERROR(__xludf.DUMMYFUNCTION("IF(ISBLANK(B188),"""",IF(ISDATE(B188),TEXT(B188,""yyyy""),""""))"),"")</f>
        <v/>
      </c>
    </row>
    <row r="189">
      <c r="B189" s="55"/>
      <c r="C189" s="56"/>
      <c r="D189" s="49"/>
      <c r="E189" s="49"/>
      <c r="F189" s="50"/>
      <c r="G189" s="51"/>
      <c r="H189" s="52"/>
      <c r="I189" s="50"/>
      <c r="K189" s="53" t="str">
        <f>IFERROR(__xludf.DUMMYFUNCTION("IF(ISBLANK(B189),"""",IF(ISDATE(B189),""X"",""""))"),"")</f>
        <v/>
      </c>
      <c r="L189" s="40" t="str">
        <f>IFERROR(__xludf.DUMMYFUNCTION("IF(ISBLANK(B189),"""",IF(Or(I189=""Em Aberto"",ISBLANK(I189),NOT(ISDATE(B189))),"""",H189))"),"")</f>
        <v/>
      </c>
      <c r="M189" s="29" t="str">
        <f>IFERROR(__xludf.DUMMYFUNCTION("IF(ISBLANK(B189),"""",IF(ISDATE(B189),TEXT(B189,""m""),""""))"),"")</f>
        <v/>
      </c>
      <c r="N189" s="29" t="str">
        <f>IFERROR(__xludf.DUMMYFUNCTION("IF(M189="""","""",QUERY({'Dashboard-Dados'!$Y$2:$AA$13},""Select Col2 Where Col1=""&amp;M189))"),"")</f>
        <v/>
      </c>
      <c r="O189" s="29" t="str">
        <f>IFERROR(__xludf.DUMMYFUNCTION("IF(ISBLANK(B189),"""",IF(ISDATE(B189),TEXT(B189,""yyyy""),""""))"),"")</f>
        <v/>
      </c>
    </row>
    <row r="190">
      <c r="B190" s="55"/>
      <c r="C190" s="56"/>
      <c r="D190" s="49"/>
      <c r="E190" s="49"/>
      <c r="F190" s="50"/>
      <c r="G190" s="51"/>
      <c r="H190" s="52"/>
      <c r="I190" s="50"/>
      <c r="K190" s="53" t="str">
        <f>IFERROR(__xludf.DUMMYFUNCTION("IF(ISBLANK(B190),"""",IF(ISDATE(B190),""X"",""""))"),"")</f>
        <v/>
      </c>
      <c r="L190" s="40" t="str">
        <f>IFERROR(__xludf.DUMMYFUNCTION("IF(ISBLANK(B190),"""",IF(Or(I190=""Em Aberto"",ISBLANK(I190),NOT(ISDATE(B190))),"""",H190))"),"")</f>
        <v/>
      </c>
      <c r="M190" s="29" t="str">
        <f>IFERROR(__xludf.DUMMYFUNCTION("IF(ISBLANK(B190),"""",IF(ISDATE(B190),TEXT(B190,""m""),""""))"),"")</f>
        <v/>
      </c>
      <c r="N190" s="29" t="str">
        <f>IFERROR(__xludf.DUMMYFUNCTION("IF(M190="""","""",QUERY({'Dashboard-Dados'!$Y$2:$AA$13},""Select Col2 Where Col1=""&amp;M190))"),"")</f>
        <v/>
      </c>
      <c r="O190" s="29" t="str">
        <f>IFERROR(__xludf.DUMMYFUNCTION("IF(ISBLANK(B190),"""",IF(ISDATE(B190),TEXT(B190,""yyyy""),""""))"),"")</f>
        <v/>
      </c>
    </row>
    <row r="191">
      <c r="B191" s="55"/>
      <c r="C191" s="56"/>
      <c r="D191" s="49"/>
      <c r="E191" s="49"/>
      <c r="F191" s="50"/>
      <c r="G191" s="51"/>
      <c r="H191" s="52"/>
      <c r="I191" s="50"/>
      <c r="K191" s="53" t="str">
        <f>IFERROR(__xludf.DUMMYFUNCTION("IF(ISBLANK(B191),"""",IF(ISDATE(B191),""X"",""""))"),"")</f>
        <v/>
      </c>
      <c r="L191" s="40" t="str">
        <f>IFERROR(__xludf.DUMMYFUNCTION("IF(ISBLANK(B191),"""",IF(Or(I191=""Em Aberto"",ISBLANK(I191),NOT(ISDATE(B191))),"""",H191))"),"")</f>
        <v/>
      </c>
      <c r="M191" s="29" t="str">
        <f>IFERROR(__xludf.DUMMYFUNCTION("IF(ISBLANK(B191),"""",IF(ISDATE(B191),TEXT(B191,""m""),""""))"),"")</f>
        <v/>
      </c>
      <c r="N191" s="29" t="str">
        <f>IFERROR(__xludf.DUMMYFUNCTION("IF(M191="""","""",QUERY({'Dashboard-Dados'!$Y$2:$AA$13},""Select Col2 Where Col1=""&amp;M191))"),"")</f>
        <v/>
      </c>
      <c r="O191" s="29" t="str">
        <f>IFERROR(__xludf.DUMMYFUNCTION("IF(ISBLANK(B191),"""",IF(ISDATE(B191),TEXT(B191,""yyyy""),""""))"),"")</f>
        <v/>
      </c>
    </row>
    <row r="192">
      <c r="B192" s="62"/>
      <c r="C192" s="56"/>
      <c r="D192" s="56"/>
      <c r="E192" s="56"/>
      <c r="F192" s="63"/>
      <c r="G192" s="64"/>
      <c r="H192" s="65"/>
      <c r="I192" s="63"/>
      <c r="K192" s="53" t="str">
        <f>IFERROR(__xludf.DUMMYFUNCTION("IF(ISBLANK(B192),"""",IF(ISDATE(B192),""X"",""""))"),"")</f>
        <v/>
      </c>
      <c r="L192" s="40" t="str">
        <f>IFERROR(__xludf.DUMMYFUNCTION("IF(ISBLANK(B192),"""",IF(Or(I192=""Em Aberto"",ISBLANK(I192),NOT(ISDATE(B192))),"""",H192))"),"")</f>
        <v/>
      </c>
      <c r="M192" s="29" t="str">
        <f>IFERROR(__xludf.DUMMYFUNCTION("IF(ISBLANK(B192),"""",IF(ISDATE(B192),TEXT(B192,""m""),""""))"),"")</f>
        <v/>
      </c>
      <c r="N192" s="29" t="str">
        <f>IFERROR(__xludf.DUMMYFUNCTION("IF(M192="""","""",QUERY({'Dashboard-Dados'!$Y$2:$AA$13},""Select Col2 Where Col1=""&amp;M192))"),"")</f>
        <v/>
      </c>
      <c r="O192" s="29" t="str">
        <f>IFERROR(__xludf.DUMMYFUNCTION("IF(ISBLANK(B192),"""",IF(ISDATE(B192),TEXT(B192,""yyyy""),""""))"),"")</f>
        <v/>
      </c>
    </row>
    <row r="193">
      <c r="B193" s="62"/>
      <c r="C193" s="56"/>
      <c r="D193" s="56"/>
      <c r="E193" s="56"/>
      <c r="F193" s="63"/>
      <c r="G193" s="64"/>
      <c r="H193" s="65"/>
      <c r="I193" s="63"/>
      <c r="K193" s="53" t="str">
        <f>IFERROR(__xludf.DUMMYFUNCTION("IF(ISBLANK(B193),"""",IF(ISDATE(B193),""X"",""""))"),"")</f>
        <v/>
      </c>
      <c r="L193" s="40" t="str">
        <f>IFERROR(__xludf.DUMMYFUNCTION("IF(ISBLANK(B193),"""",IF(Or(I193=""Em Aberto"",ISBLANK(I193),NOT(ISDATE(B193))),"""",H193))"),"")</f>
        <v/>
      </c>
      <c r="M193" s="29" t="str">
        <f>IFERROR(__xludf.DUMMYFUNCTION("IF(ISBLANK(B193),"""",IF(ISDATE(B193),TEXT(B193,""m""),""""))"),"")</f>
        <v/>
      </c>
      <c r="N193" s="29" t="str">
        <f>IFERROR(__xludf.DUMMYFUNCTION("IF(M193="""","""",QUERY({'Dashboard-Dados'!$Y$2:$AA$13},""Select Col2 Where Col1=""&amp;M193))"),"")</f>
        <v/>
      </c>
      <c r="O193" s="29" t="str">
        <f>IFERROR(__xludf.DUMMYFUNCTION("IF(ISBLANK(B193),"""",IF(ISDATE(B193),TEXT(B193,""yyyy""),""""))"),"")</f>
        <v/>
      </c>
    </row>
    <row r="194">
      <c r="B194" s="62"/>
      <c r="C194" s="56"/>
      <c r="D194" s="56"/>
      <c r="E194" s="56"/>
      <c r="F194" s="63"/>
      <c r="G194" s="64"/>
      <c r="H194" s="65"/>
      <c r="I194" s="63"/>
      <c r="K194" s="53" t="str">
        <f>IFERROR(__xludf.DUMMYFUNCTION("IF(ISBLANK(B194),"""",IF(ISDATE(B194),""X"",""""))"),"")</f>
        <v/>
      </c>
      <c r="L194" s="40" t="str">
        <f>IFERROR(__xludf.DUMMYFUNCTION("IF(ISBLANK(B194),"""",IF(Or(I194=""Em Aberto"",ISBLANK(I194),NOT(ISDATE(B194))),"""",H194))"),"")</f>
        <v/>
      </c>
      <c r="M194" s="29" t="str">
        <f>IFERROR(__xludf.DUMMYFUNCTION("IF(ISBLANK(B194),"""",IF(ISDATE(B194),TEXT(B194,""m""),""""))"),"")</f>
        <v/>
      </c>
      <c r="N194" s="29" t="str">
        <f>IFERROR(__xludf.DUMMYFUNCTION("IF(M194="""","""",QUERY({'Dashboard-Dados'!$Y$2:$AA$13},""Select Col2 Where Col1=""&amp;M194))"),"")</f>
        <v/>
      </c>
      <c r="O194" s="29" t="str">
        <f>IFERROR(__xludf.DUMMYFUNCTION("IF(ISBLANK(B194),"""",IF(ISDATE(B194),TEXT(B194,""yyyy""),""""))"),"")</f>
        <v/>
      </c>
    </row>
    <row r="195">
      <c r="B195" s="62"/>
      <c r="C195" s="56"/>
      <c r="D195" s="56"/>
      <c r="E195" s="56"/>
      <c r="F195" s="63"/>
      <c r="G195" s="64"/>
      <c r="H195" s="65"/>
      <c r="I195" s="63"/>
      <c r="K195" s="53" t="str">
        <f>IFERROR(__xludf.DUMMYFUNCTION("IF(ISBLANK(B195),"""",IF(ISDATE(B195),""X"",""""))"),"")</f>
        <v/>
      </c>
      <c r="L195" s="40" t="str">
        <f>IFERROR(__xludf.DUMMYFUNCTION("IF(ISBLANK(B195),"""",IF(Or(I195=""Em Aberto"",ISBLANK(I195),NOT(ISDATE(B195))),"""",H195))"),"")</f>
        <v/>
      </c>
      <c r="M195" s="29" t="str">
        <f>IFERROR(__xludf.DUMMYFUNCTION("IF(ISBLANK(B195),"""",IF(ISDATE(B195),TEXT(B195,""m""),""""))"),"")</f>
        <v/>
      </c>
      <c r="N195" s="29" t="str">
        <f>IFERROR(__xludf.DUMMYFUNCTION("IF(M195="""","""",QUERY({'Dashboard-Dados'!$Y$2:$AA$13},""Select Col2 Where Col1=""&amp;M195))"),"")</f>
        <v/>
      </c>
      <c r="O195" s="29" t="str">
        <f>IFERROR(__xludf.DUMMYFUNCTION("IF(ISBLANK(B195),"""",IF(ISDATE(B195),TEXT(B195,""yyyy""),""""))"),"")</f>
        <v/>
      </c>
    </row>
    <row r="196">
      <c r="B196" s="62"/>
      <c r="C196" s="56"/>
      <c r="D196" s="56"/>
      <c r="E196" s="56"/>
      <c r="F196" s="63"/>
      <c r="G196" s="64"/>
      <c r="H196" s="65"/>
      <c r="I196" s="63"/>
      <c r="K196" s="53" t="str">
        <f>IFERROR(__xludf.DUMMYFUNCTION("IF(ISBLANK(B196),"""",IF(ISDATE(B196),""X"",""""))"),"")</f>
        <v/>
      </c>
      <c r="L196" s="40" t="str">
        <f>IFERROR(__xludf.DUMMYFUNCTION("IF(ISBLANK(B196),"""",IF(Or(I196=""Em Aberto"",ISBLANK(I196),NOT(ISDATE(B196))),"""",H196))"),"")</f>
        <v/>
      </c>
      <c r="M196" s="29" t="str">
        <f>IFERROR(__xludf.DUMMYFUNCTION("IF(ISBLANK(B196),"""",IF(ISDATE(B196),TEXT(B196,""m""),""""))"),"")</f>
        <v/>
      </c>
      <c r="N196" s="29" t="str">
        <f>IFERROR(__xludf.DUMMYFUNCTION("IF(M196="""","""",QUERY({'Dashboard-Dados'!$Y$2:$AA$13},""Select Col2 Where Col1=""&amp;M196))"),"")</f>
        <v/>
      </c>
      <c r="O196" s="29" t="str">
        <f>IFERROR(__xludf.DUMMYFUNCTION("IF(ISBLANK(B196),"""",IF(ISDATE(B196),TEXT(B196,""yyyy""),""""))"),"")</f>
        <v/>
      </c>
    </row>
    <row r="197">
      <c r="B197" s="62"/>
      <c r="C197" s="56"/>
      <c r="D197" s="56"/>
      <c r="E197" s="56"/>
      <c r="F197" s="63"/>
      <c r="G197" s="64"/>
      <c r="H197" s="65"/>
      <c r="I197" s="63"/>
      <c r="K197" s="53" t="str">
        <f>IFERROR(__xludf.DUMMYFUNCTION("IF(ISBLANK(B197),"""",IF(ISDATE(B197),""X"",""""))"),"")</f>
        <v/>
      </c>
      <c r="L197" s="40" t="str">
        <f>IFERROR(__xludf.DUMMYFUNCTION("IF(ISBLANK(B197),"""",IF(Or(I197=""Em Aberto"",ISBLANK(I197),NOT(ISDATE(B197))),"""",H197))"),"")</f>
        <v/>
      </c>
      <c r="M197" s="29" t="str">
        <f>IFERROR(__xludf.DUMMYFUNCTION("IF(ISBLANK(B197),"""",IF(ISDATE(B197),TEXT(B197,""m""),""""))"),"")</f>
        <v/>
      </c>
      <c r="N197" s="29" t="str">
        <f>IFERROR(__xludf.DUMMYFUNCTION("IF(M197="""","""",QUERY({'Dashboard-Dados'!$Y$2:$AA$13},""Select Col2 Where Col1=""&amp;M197))"),"")</f>
        <v/>
      </c>
      <c r="O197" s="29" t="str">
        <f>IFERROR(__xludf.DUMMYFUNCTION("IF(ISBLANK(B197),"""",IF(ISDATE(B197),TEXT(B197,""yyyy""),""""))"),"")</f>
        <v/>
      </c>
    </row>
    <row r="198">
      <c r="B198" s="62"/>
      <c r="C198" s="56"/>
      <c r="D198" s="56"/>
      <c r="E198" s="56"/>
      <c r="F198" s="63"/>
      <c r="G198" s="64"/>
      <c r="H198" s="65"/>
      <c r="I198" s="63"/>
      <c r="K198" s="53" t="str">
        <f>IFERROR(__xludf.DUMMYFUNCTION("IF(ISBLANK(B198),"""",IF(ISDATE(B198),""X"",""""))"),"")</f>
        <v/>
      </c>
      <c r="L198" s="40" t="str">
        <f>IFERROR(__xludf.DUMMYFUNCTION("IF(ISBLANK(B198),"""",IF(Or(I198=""Em Aberto"",ISBLANK(I198),NOT(ISDATE(B198))),"""",H198))"),"")</f>
        <v/>
      </c>
      <c r="M198" s="29" t="str">
        <f>IFERROR(__xludf.DUMMYFUNCTION("IF(ISBLANK(B198),"""",IF(ISDATE(B198),TEXT(B198,""m""),""""))"),"")</f>
        <v/>
      </c>
      <c r="N198" s="29" t="str">
        <f>IFERROR(__xludf.DUMMYFUNCTION("IF(M198="""","""",QUERY({'Dashboard-Dados'!$Y$2:$AA$13},""Select Col2 Where Col1=""&amp;M198))"),"")</f>
        <v/>
      </c>
      <c r="O198" s="29" t="str">
        <f>IFERROR(__xludf.DUMMYFUNCTION("IF(ISBLANK(B198),"""",IF(ISDATE(B198),TEXT(B198,""yyyy""),""""))"),"")</f>
        <v/>
      </c>
    </row>
    <row r="199">
      <c r="B199" s="62"/>
      <c r="C199" s="56"/>
      <c r="D199" s="56"/>
      <c r="E199" s="56"/>
      <c r="F199" s="63"/>
      <c r="G199" s="64"/>
      <c r="H199" s="65"/>
      <c r="I199" s="63"/>
      <c r="K199" s="53" t="str">
        <f>IFERROR(__xludf.DUMMYFUNCTION("IF(ISBLANK(B199),"""",IF(ISDATE(B199),""X"",""""))"),"")</f>
        <v/>
      </c>
      <c r="L199" s="40" t="str">
        <f>IFERROR(__xludf.DUMMYFUNCTION("IF(ISBLANK(B199),"""",IF(Or(I199=""Em Aberto"",ISBLANK(I199),NOT(ISDATE(B199))),"""",H199))"),"")</f>
        <v/>
      </c>
      <c r="M199" s="29" t="str">
        <f>IFERROR(__xludf.DUMMYFUNCTION("IF(ISBLANK(B199),"""",IF(ISDATE(B199),TEXT(B199,""m""),""""))"),"")</f>
        <v/>
      </c>
      <c r="N199" s="29" t="str">
        <f>IFERROR(__xludf.DUMMYFUNCTION("IF(M199="""","""",QUERY({'Dashboard-Dados'!$Y$2:$AA$13},""Select Col2 Where Col1=""&amp;M199))"),"")</f>
        <v/>
      </c>
      <c r="O199" s="29" t="str">
        <f>IFERROR(__xludf.DUMMYFUNCTION("IF(ISBLANK(B199),"""",IF(ISDATE(B199),TEXT(B199,""yyyy""),""""))"),"")</f>
        <v/>
      </c>
    </row>
    <row r="200">
      <c r="B200" s="62"/>
      <c r="C200" s="56"/>
      <c r="D200" s="56"/>
      <c r="E200" s="56"/>
      <c r="F200" s="63"/>
      <c r="G200" s="64"/>
      <c r="H200" s="65"/>
      <c r="I200" s="63"/>
      <c r="K200" s="53" t="str">
        <f>IFERROR(__xludf.DUMMYFUNCTION("IF(ISBLANK(B200),"""",IF(ISDATE(B200),""X"",""""))"),"")</f>
        <v/>
      </c>
      <c r="L200" s="40" t="str">
        <f>IFERROR(__xludf.DUMMYFUNCTION("IF(ISBLANK(B200),"""",IF(Or(I200=""Em Aberto"",ISBLANK(I200),NOT(ISDATE(B200))),"""",H200))"),"")</f>
        <v/>
      </c>
      <c r="M200" s="29" t="str">
        <f>IFERROR(__xludf.DUMMYFUNCTION("IF(ISBLANK(B200),"""",IF(ISDATE(B200),TEXT(B200,""m""),""""))"),"")</f>
        <v/>
      </c>
      <c r="N200" s="29" t="str">
        <f>IFERROR(__xludf.DUMMYFUNCTION("IF(M200="""","""",QUERY({'Dashboard-Dados'!$Y$2:$AA$13},""Select Col2 Where Col1=""&amp;M200))"),"")</f>
        <v/>
      </c>
      <c r="O200" s="29" t="str">
        <f>IFERROR(__xludf.DUMMYFUNCTION("IF(ISBLANK(B200),"""",IF(ISDATE(B200),TEXT(B200,""yyyy""),""""))"),"")</f>
        <v/>
      </c>
    </row>
    <row r="201">
      <c r="B201" s="62"/>
      <c r="C201" s="56"/>
      <c r="D201" s="56"/>
      <c r="E201" s="56"/>
      <c r="F201" s="63"/>
      <c r="G201" s="64"/>
      <c r="H201" s="65"/>
      <c r="I201" s="63"/>
      <c r="K201" s="53" t="str">
        <f>IFERROR(__xludf.DUMMYFUNCTION("IF(ISBLANK(B201),"""",IF(ISDATE(B201),""X"",""""))"),"")</f>
        <v/>
      </c>
      <c r="L201" s="40" t="str">
        <f>IFERROR(__xludf.DUMMYFUNCTION("IF(ISBLANK(B201),"""",IF(Or(I201=""Em Aberto"",ISBLANK(I201),NOT(ISDATE(B201))),"""",H201))"),"")</f>
        <v/>
      </c>
      <c r="M201" s="29" t="str">
        <f>IFERROR(__xludf.DUMMYFUNCTION("IF(ISBLANK(B201),"""",IF(ISDATE(B201),TEXT(B201,""m""),""""))"),"")</f>
        <v/>
      </c>
      <c r="N201" s="29" t="str">
        <f>IFERROR(__xludf.DUMMYFUNCTION("IF(M201="""","""",QUERY({'Dashboard-Dados'!$Y$2:$AA$13},""Select Col2 Where Col1=""&amp;M201))"),"")</f>
        <v/>
      </c>
      <c r="O201" s="29" t="str">
        <f>IFERROR(__xludf.DUMMYFUNCTION("IF(ISBLANK(B201),"""",IF(ISDATE(B201),TEXT(B201,""yyyy""),""""))"),"")</f>
        <v/>
      </c>
    </row>
    <row r="202">
      <c r="B202" s="62"/>
      <c r="C202" s="56"/>
      <c r="D202" s="56"/>
      <c r="E202" s="56"/>
      <c r="F202" s="63"/>
      <c r="G202" s="64"/>
      <c r="H202" s="65"/>
      <c r="I202" s="63"/>
      <c r="K202" s="53" t="str">
        <f>IFERROR(__xludf.DUMMYFUNCTION("IF(ISBLANK(B202),"""",IF(ISDATE(B202),""X"",""""))"),"")</f>
        <v/>
      </c>
      <c r="L202" s="40" t="str">
        <f>IFERROR(__xludf.DUMMYFUNCTION("IF(ISBLANK(B202),"""",IF(Or(I202=""Em Aberto"",ISBLANK(I202),NOT(ISDATE(B202))),"""",H202))"),"")</f>
        <v/>
      </c>
      <c r="M202" s="29" t="str">
        <f>IFERROR(__xludf.DUMMYFUNCTION("IF(ISBLANK(B202),"""",IF(ISDATE(B202),TEXT(B202,""m""),""""))"),"")</f>
        <v/>
      </c>
      <c r="N202" s="29" t="str">
        <f>IFERROR(__xludf.DUMMYFUNCTION("IF(M202="""","""",QUERY({'Dashboard-Dados'!$Y$2:$AA$13},""Select Col2 Where Col1=""&amp;M202))"),"")</f>
        <v/>
      </c>
      <c r="O202" s="29" t="str">
        <f>IFERROR(__xludf.DUMMYFUNCTION("IF(ISBLANK(B202),"""",IF(ISDATE(B202),TEXT(B202,""yyyy""),""""))"),"")</f>
        <v/>
      </c>
    </row>
    <row r="203">
      <c r="B203" s="62"/>
      <c r="C203" s="56"/>
      <c r="D203" s="56"/>
      <c r="E203" s="56"/>
      <c r="F203" s="63"/>
      <c r="G203" s="64"/>
      <c r="H203" s="65"/>
      <c r="I203" s="63"/>
      <c r="K203" s="53" t="str">
        <f>IFERROR(__xludf.DUMMYFUNCTION("IF(ISBLANK(B203),"""",IF(ISDATE(B203),""X"",""""))"),"")</f>
        <v/>
      </c>
      <c r="L203" s="40" t="str">
        <f>IFERROR(__xludf.DUMMYFUNCTION("IF(ISBLANK(B203),"""",IF(Or(I203=""Em Aberto"",ISBLANK(I203),NOT(ISDATE(B203))),"""",H203))"),"")</f>
        <v/>
      </c>
      <c r="M203" s="29" t="str">
        <f>IFERROR(__xludf.DUMMYFUNCTION("IF(ISBLANK(B203),"""",IF(ISDATE(B203),TEXT(B203,""m""),""""))"),"")</f>
        <v/>
      </c>
      <c r="N203" s="29" t="str">
        <f>IFERROR(__xludf.DUMMYFUNCTION("IF(M203="""","""",QUERY({'Dashboard-Dados'!$Y$2:$AA$13},""Select Col2 Where Col1=""&amp;M203))"),"")</f>
        <v/>
      </c>
      <c r="O203" s="29" t="str">
        <f>IFERROR(__xludf.DUMMYFUNCTION("IF(ISBLANK(B203),"""",IF(ISDATE(B203),TEXT(B203,""yyyy""),""""))"),"")</f>
        <v/>
      </c>
    </row>
    <row r="204">
      <c r="B204" s="62"/>
      <c r="C204" s="56"/>
      <c r="D204" s="56"/>
      <c r="E204" s="56"/>
      <c r="F204" s="63"/>
      <c r="G204" s="64"/>
      <c r="H204" s="65"/>
      <c r="I204" s="63"/>
      <c r="K204" s="53" t="str">
        <f>IFERROR(__xludf.DUMMYFUNCTION("IF(ISBLANK(B204),"""",IF(ISDATE(B204),""X"",""""))"),"")</f>
        <v/>
      </c>
      <c r="L204" s="40" t="str">
        <f>IFERROR(__xludf.DUMMYFUNCTION("IF(ISBLANK(B204),"""",IF(Or(I204=""Em Aberto"",ISBLANK(I204),NOT(ISDATE(B204))),"""",H204))"),"")</f>
        <v/>
      </c>
      <c r="M204" s="29" t="str">
        <f>IFERROR(__xludf.DUMMYFUNCTION("IF(ISBLANK(B204),"""",IF(ISDATE(B204),TEXT(B204,""m""),""""))"),"")</f>
        <v/>
      </c>
      <c r="N204" s="29" t="str">
        <f>IFERROR(__xludf.DUMMYFUNCTION("IF(M204="""","""",QUERY({'Dashboard-Dados'!$Y$2:$AA$13},""Select Col2 Where Col1=""&amp;M204))"),"")</f>
        <v/>
      </c>
      <c r="O204" s="29" t="str">
        <f>IFERROR(__xludf.DUMMYFUNCTION("IF(ISBLANK(B204),"""",IF(ISDATE(B204),TEXT(B204,""yyyy""),""""))"),"")</f>
        <v/>
      </c>
    </row>
    <row r="205">
      <c r="B205" s="62"/>
      <c r="C205" s="56"/>
      <c r="D205" s="56"/>
      <c r="E205" s="56"/>
      <c r="F205" s="63"/>
      <c r="G205" s="64"/>
      <c r="H205" s="65"/>
      <c r="I205" s="63"/>
      <c r="K205" s="53" t="str">
        <f>IFERROR(__xludf.DUMMYFUNCTION("IF(ISBLANK(B205),"""",IF(ISDATE(B205),""X"",""""))"),"")</f>
        <v/>
      </c>
      <c r="L205" s="40" t="str">
        <f>IFERROR(__xludf.DUMMYFUNCTION("IF(ISBLANK(B205),"""",IF(Or(I205=""Em Aberto"",ISBLANK(I205),NOT(ISDATE(B205))),"""",H205))"),"")</f>
        <v/>
      </c>
      <c r="M205" s="29" t="str">
        <f>IFERROR(__xludf.DUMMYFUNCTION("IF(ISBLANK(B205),"""",IF(ISDATE(B205),TEXT(B205,""m""),""""))"),"")</f>
        <v/>
      </c>
      <c r="N205" s="29" t="str">
        <f>IFERROR(__xludf.DUMMYFUNCTION("IF(M205="""","""",QUERY({'Dashboard-Dados'!$Y$2:$AA$13},""Select Col2 Where Col1=""&amp;M205))"),"")</f>
        <v/>
      </c>
      <c r="O205" s="29" t="str">
        <f>IFERROR(__xludf.DUMMYFUNCTION("IF(ISBLANK(B205),"""",IF(ISDATE(B205),TEXT(B205,""yyyy""),""""))"),"")</f>
        <v/>
      </c>
    </row>
    <row r="206">
      <c r="B206" s="62"/>
      <c r="C206" s="56"/>
      <c r="D206" s="56"/>
      <c r="E206" s="56"/>
      <c r="F206" s="63"/>
      <c r="G206" s="64"/>
      <c r="H206" s="65"/>
      <c r="I206" s="63"/>
      <c r="K206" s="53" t="str">
        <f>IFERROR(__xludf.DUMMYFUNCTION("IF(ISBLANK(B206),"""",IF(ISDATE(B206),""X"",""""))"),"")</f>
        <v/>
      </c>
      <c r="L206" s="40" t="str">
        <f>IFERROR(__xludf.DUMMYFUNCTION("IF(ISBLANK(B206),"""",IF(Or(I206=""Em Aberto"",ISBLANK(I206),NOT(ISDATE(B206))),"""",H206))"),"")</f>
        <v/>
      </c>
      <c r="M206" s="29" t="str">
        <f>IFERROR(__xludf.DUMMYFUNCTION("IF(ISBLANK(B206),"""",IF(ISDATE(B206),TEXT(B206,""m""),""""))"),"")</f>
        <v/>
      </c>
      <c r="N206" s="29" t="str">
        <f>IFERROR(__xludf.DUMMYFUNCTION("IF(M206="""","""",QUERY({'Dashboard-Dados'!$Y$2:$AA$13},""Select Col2 Where Col1=""&amp;M206))"),"")</f>
        <v/>
      </c>
      <c r="O206" s="29" t="str">
        <f>IFERROR(__xludf.DUMMYFUNCTION("IF(ISBLANK(B206),"""",IF(ISDATE(B206),TEXT(B206,""yyyy""),""""))"),"")</f>
        <v/>
      </c>
    </row>
    <row r="207">
      <c r="B207" s="62"/>
      <c r="C207" s="56"/>
      <c r="D207" s="56"/>
      <c r="E207" s="56"/>
      <c r="F207" s="63"/>
      <c r="G207" s="64"/>
      <c r="H207" s="65"/>
      <c r="I207" s="63"/>
      <c r="K207" s="53" t="str">
        <f>IFERROR(__xludf.DUMMYFUNCTION("IF(ISBLANK(B207),"""",IF(ISDATE(B207),""X"",""""))"),"")</f>
        <v/>
      </c>
      <c r="L207" s="40" t="str">
        <f>IFERROR(__xludf.DUMMYFUNCTION("IF(ISBLANK(B207),"""",IF(Or(I207=""Em Aberto"",ISBLANK(I207),NOT(ISDATE(B207))),"""",H207))"),"")</f>
        <v/>
      </c>
      <c r="M207" s="29" t="str">
        <f>IFERROR(__xludf.DUMMYFUNCTION("IF(ISBLANK(B207),"""",IF(ISDATE(B207),TEXT(B207,""m""),""""))"),"")</f>
        <v/>
      </c>
      <c r="N207" s="29" t="str">
        <f>IFERROR(__xludf.DUMMYFUNCTION("IF(M207="""","""",QUERY({'Dashboard-Dados'!$Y$2:$AA$13},""Select Col2 Where Col1=""&amp;M207))"),"")</f>
        <v/>
      </c>
      <c r="O207" s="29" t="str">
        <f>IFERROR(__xludf.DUMMYFUNCTION("IF(ISBLANK(B207),"""",IF(ISDATE(B207),TEXT(B207,""yyyy""),""""))"),"")</f>
        <v/>
      </c>
    </row>
    <row r="208">
      <c r="B208" s="62"/>
      <c r="C208" s="56"/>
      <c r="D208" s="56"/>
      <c r="E208" s="56"/>
      <c r="F208" s="63"/>
      <c r="G208" s="64"/>
      <c r="H208" s="65"/>
      <c r="I208" s="63"/>
      <c r="K208" s="53" t="str">
        <f>IFERROR(__xludf.DUMMYFUNCTION("IF(ISBLANK(B208),"""",IF(ISDATE(B208),""X"",""""))"),"")</f>
        <v/>
      </c>
      <c r="L208" s="40" t="str">
        <f>IFERROR(__xludf.DUMMYFUNCTION("IF(ISBLANK(B208),"""",IF(Or(I208=""Em Aberto"",ISBLANK(I208),NOT(ISDATE(B208))),"""",H208))"),"")</f>
        <v/>
      </c>
      <c r="M208" s="29" t="str">
        <f>IFERROR(__xludf.DUMMYFUNCTION("IF(ISBLANK(B208),"""",IF(ISDATE(B208),TEXT(B208,""m""),""""))"),"")</f>
        <v/>
      </c>
      <c r="N208" s="29" t="str">
        <f>IFERROR(__xludf.DUMMYFUNCTION("IF(M208="""","""",QUERY({'Dashboard-Dados'!$Y$2:$AA$13},""Select Col2 Where Col1=""&amp;M208))"),"")</f>
        <v/>
      </c>
      <c r="O208" s="29" t="str">
        <f>IFERROR(__xludf.DUMMYFUNCTION("IF(ISBLANK(B208),"""",IF(ISDATE(B208),TEXT(B208,""yyyy""),""""))"),"")</f>
        <v/>
      </c>
    </row>
    <row r="209">
      <c r="B209" s="62"/>
      <c r="C209" s="56"/>
      <c r="D209" s="56"/>
      <c r="E209" s="56"/>
      <c r="F209" s="63"/>
      <c r="G209" s="64"/>
      <c r="H209" s="65"/>
      <c r="I209" s="63"/>
      <c r="K209" s="53" t="str">
        <f>IFERROR(__xludf.DUMMYFUNCTION("IF(ISBLANK(B209),"""",IF(ISDATE(B209),""X"",""""))"),"")</f>
        <v/>
      </c>
      <c r="L209" s="40" t="str">
        <f>IFERROR(__xludf.DUMMYFUNCTION("IF(ISBLANK(B209),"""",IF(Or(I209=""Em Aberto"",ISBLANK(I209),NOT(ISDATE(B209))),"""",H209))"),"")</f>
        <v/>
      </c>
      <c r="M209" s="29" t="str">
        <f>IFERROR(__xludf.DUMMYFUNCTION("IF(ISBLANK(B209),"""",IF(ISDATE(B209),TEXT(B209,""m""),""""))"),"")</f>
        <v/>
      </c>
      <c r="N209" s="29" t="str">
        <f>IFERROR(__xludf.DUMMYFUNCTION("IF(M209="""","""",QUERY({'Dashboard-Dados'!$Y$2:$AA$13},""Select Col2 Where Col1=""&amp;M209))"),"")</f>
        <v/>
      </c>
      <c r="O209" s="29" t="str">
        <f>IFERROR(__xludf.DUMMYFUNCTION("IF(ISBLANK(B209),"""",IF(ISDATE(B209),TEXT(B209,""yyyy""),""""))"),"")</f>
        <v/>
      </c>
    </row>
    <row r="210">
      <c r="B210" s="62"/>
      <c r="C210" s="56"/>
      <c r="D210" s="56"/>
      <c r="E210" s="56"/>
      <c r="F210" s="63"/>
      <c r="G210" s="64"/>
      <c r="H210" s="65"/>
      <c r="I210" s="63"/>
      <c r="K210" s="53" t="str">
        <f>IFERROR(__xludf.DUMMYFUNCTION("IF(ISBLANK(B210),"""",IF(ISDATE(B210),""X"",""""))"),"")</f>
        <v/>
      </c>
      <c r="L210" s="40" t="str">
        <f>IFERROR(__xludf.DUMMYFUNCTION("IF(ISBLANK(B210),"""",IF(Or(I210=""Em Aberto"",ISBLANK(I210),NOT(ISDATE(B210))),"""",H210))"),"")</f>
        <v/>
      </c>
      <c r="M210" s="29" t="str">
        <f>IFERROR(__xludf.DUMMYFUNCTION("IF(ISBLANK(B210),"""",IF(ISDATE(B210),TEXT(B210,""m""),""""))"),"")</f>
        <v/>
      </c>
      <c r="N210" s="29" t="str">
        <f>IFERROR(__xludf.DUMMYFUNCTION("IF(M210="""","""",QUERY({'Dashboard-Dados'!$Y$2:$AA$13},""Select Col2 Where Col1=""&amp;M210))"),"")</f>
        <v/>
      </c>
      <c r="O210" s="29" t="str">
        <f>IFERROR(__xludf.DUMMYFUNCTION("IF(ISBLANK(B210),"""",IF(ISDATE(B210),TEXT(B210,""yyyy""),""""))"),"")</f>
        <v/>
      </c>
    </row>
    <row r="211">
      <c r="B211" s="62"/>
      <c r="C211" s="56"/>
      <c r="D211" s="56"/>
      <c r="E211" s="56"/>
      <c r="F211" s="63"/>
      <c r="G211" s="64"/>
      <c r="H211" s="65"/>
      <c r="I211" s="63"/>
      <c r="K211" s="53" t="str">
        <f>IFERROR(__xludf.DUMMYFUNCTION("IF(ISBLANK(B211),"""",IF(ISDATE(B211),""X"",""""))"),"")</f>
        <v/>
      </c>
      <c r="L211" s="40" t="str">
        <f>IFERROR(__xludf.DUMMYFUNCTION("IF(ISBLANK(B211),"""",IF(Or(I211=""Em Aberto"",ISBLANK(I211),NOT(ISDATE(B211))),"""",H211))"),"")</f>
        <v/>
      </c>
      <c r="M211" s="29" t="str">
        <f>IFERROR(__xludf.DUMMYFUNCTION("IF(ISBLANK(B211),"""",IF(ISDATE(B211),TEXT(B211,""m""),""""))"),"")</f>
        <v/>
      </c>
      <c r="N211" s="29" t="str">
        <f>IFERROR(__xludf.DUMMYFUNCTION("IF(M211="""","""",QUERY({'Dashboard-Dados'!$Y$2:$AA$13},""Select Col2 Where Col1=""&amp;M211))"),"")</f>
        <v/>
      </c>
      <c r="O211" s="29" t="str">
        <f>IFERROR(__xludf.DUMMYFUNCTION("IF(ISBLANK(B211),"""",IF(ISDATE(B211),TEXT(B211,""yyyy""),""""))"),"")</f>
        <v/>
      </c>
    </row>
    <row r="212">
      <c r="B212" s="62"/>
      <c r="C212" s="56"/>
      <c r="D212" s="56"/>
      <c r="E212" s="56"/>
      <c r="F212" s="63"/>
      <c r="G212" s="64"/>
      <c r="H212" s="65"/>
      <c r="I212" s="63"/>
      <c r="K212" s="53" t="str">
        <f>IFERROR(__xludf.DUMMYFUNCTION("IF(ISBLANK(B212),"""",IF(ISDATE(B212),""X"",""""))"),"")</f>
        <v/>
      </c>
      <c r="L212" s="40" t="str">
        <f>IFERROR(__xludf.DUMMYFUNCTION("IF(ISBLANK(B212),"""",IF(Or(I212=""Em Aberto"",ISBLANK(I212),NOT(ISDATE(B212))),"""",H212))"),"")</f>
        <v/>
      </c>
      <c r="M212" s="29" t="str">
        <f>IFERROR(__xludf.DUMMYFUNCTION("IF(ISBLANK(B212),"""",IF(ISDATE(B212),TEXT(B212,""m""),""""))"),"")</f>
        <v/>
      </c>
      <c r="N212" s="29" t="str">
        <f>IFERROR(__xludf.DUMMYFUNCTION("IF(M212="""","""",QUERY({'Dashboard-Dados'!$Y$2:$AA$13},""Select Col2 Where Col1=""&amp;M212))"),"")</f>
        <v/>
      </c>
      <c r="O212" s="29" t="str">
        <f>IFERROR(__xludf.DUMMYFUNCTION("IF(ISBLANK(B212),"""",IF(ISDATE(B212),TEXT(B212,""yyyy""),""""))"),"")</f>
        <v/>
      </c>
    </row>
    <row r="213">
      <c r="B213" s="62"/>
      <c r="C213" s="56"/>
      <c r="D213" s="56"/>
      <c r="E213" s="56"/>
      <c r="F213" s="63"/>
      <c r="G213" s="64"/>
      <c r="H213" s="65"/>
      <c r="I213" s="63"/>
      <c r="K213" s="53" t="str">
        <f>IFERROR(__xludf.DUMMYFUNCTION("IF(ISBLANK(B213),"""",IF(ISDATE(B213),""X"",""""))"),"")</f>
        <v/>
      </c>
      <c r="L213" s="40" t="str">
        <f>IFERROR(__xludf.DUMMYFUNCTION("IF(ISBLANK(B213),"""",IF(Or(I213=""Em Aberto"",ISBLANK(I213),NOT(ISDATE(B213))),"""",H213))"),"")</f>
        <v/>
      </c>
      <c r="M213" s="29" t="str">
        <f>IFERROR(__xludf.DUMMYFUNCTION("IF(ISBLANK(B213),"""",IF(ISDATE(B213),TEXT(B213,""m""),""""))"),"")</f>
        <v/>
      </c>
      <c r="N213" s="29" t="str">
        <f>IFERROR(__xludf.DUMMYFUNCTION("IF(M213="""","""",QUERY({'Dashboard-Dados'!$Y$2:$AA$13},""Select Col2 Where Col1=""&amp;M213))"),"")</f>
        <v/>
      </c>
      <c r="O213" s="29" t="str">
        <f>IFERROR(__xludf.DUMMYFUNCTION("IF(ISBLANK(B213),"""",IF(ISDATE(B213),TEXT(B213,""yyyy""),""""))"),"")</f>
        <v/>
      </c>
    </row>
    <row r="214">
      <c r="B214" s="62"/>
      <c r="C214" s="56"/>
      <c r="D214" s="56"/>
      <c r="E214" s="56"/>
      <c r="F214" s="63"/>
      <c r="G214" s="64"/>
      <c r="H214" s="65"/>
      <c r="I214" s="63"/>
      <c r="K214" s="53" t="str">
        <f>IFERROR(__xludf.DUMMYFUNCTION("IF(ISBLANK(B214),"""",IF(ISDATE(B214),""X"",""""))"),"")</f>
        <v/>
      </c>
      <c r="L214" s="40" t="str">
        <f>IFERROR(__xludf.DUMMYFUNCTION("IF(ISBLANK(B214),"""",IF(Or(I214=""Em Aberto"",ISBLANK(I214),NOT(ISDATE(B214))),"""",H214))"),"")</f>
        <v/>
      </c>
      <c r="M214" s="29" t="str">
        <f>IFERROR(__xludf.DUMMYFUNCTION("IF(ISBLANK(B214),"""",IF(ISDATE(B214),TEXT(B214,""m""),""""))"),"")</f>
        <v/>
      </c>
      <c r="N214" s="29" t="str">
        <f>IFERROR(__xludf.DUMMYFUNCTION("IF(M214="""","""",QUERY({'Dashboard-Dados'!$Y$2:$AA$13},""Select Col2 Where Col1=""&amp;M214))"),"")</f>
        <v/>
      </c>
      <c r="O214" s="29" t="str">
        <f>IFERROR(__xludf.DUMMYFUNCTION("IF(ISBLANK(B214),"""",IF(ISDATE(B214),TEXT(B214,""yyyy""),""""))"),"")</f>
        <v/>
      </c>
    </row>
    <row r="215">
      <c r="B215" s="62"/>
      <c r="C215" s="56"/>
      <c r="D215" s="56"/>
      <c r="E215" s="56"/>
      <c r="F215" s="63"/>
      <c r="G215" s="64"/>
      <c r="H215" s="65"/>
      <c r="I215" s="63"/>
      <c r="K215" s="53" t="str">
        <f>IFERROR(__xludf.DUMMYFUNCTION("IF(ISBLANK(B215),"""",IF(ISDATE(B215),""X"",""""))"),"")</f>
        <v/>
      </c>
      <c r="L215" s="40" t="str">
        <f>IFERROR(__xludf.DUMMYFUNCTION("IF(ISBLANK(B215),"""",IF(Or(I215=""Em Aberto"",ISBLANK(I215),NOT(ISDATE(B215))),"""",H215))"),"")</f>
        <v/>
      </c>
      <c r="M215" s="29" t="str">
        <f>IFERROR(__xludf.DUMMYFUNCTION("IF(ISBLANK(B215),"""",IF(ISDATE(B215),TEXT(B215,""m""),""""))"),"")</f>
        <v/>
      </c>
      <c r="N215" s="29" t="str">
        <f>IFERROR(__xludf.DUMMYFUNCTION("IF(M215="""","""",QUERY({'Dashboard-Dados'!$Y$2:$AA$13},""Select Col2 Where Col1=""&amp;M215))"),"")</f>
        <v/>
      </c>
      <c r="O215" s="29" t="str">
        <f>IFERROR(__xludf.DUMMYFUNCTION("IF(ISBLANK(B215),"""",IF(ISDATE(B215),TEXT(B215,""yyyy""),""""))"),"")</f>
        <v/>
      </c>
    </row>
    <row r="216">
      <c r="B216" s="62"/>
      <c r="C216" s="56"/>
      <c r="D216" s="56"/>
      <c r="E216" s="56"/>
      <c r="F216" s="63"/>
      <c r="G216" s="64"/>
      <c r="H216" s="65"/>
      <c r="I216" s="63"/>
      <c r="K216" s="53" t="str">
        <f>IFERROR(__xludf.DUMMYFUNCTION("IF(ISBLANK(B216),"""",IF(ISDATE(B216),""X"",""""))"),"")</f>
        <v/>
      </c>
      <c r="L216" s="40" t="str">
        <f>IFERROR(__xludf.DUMMYFUNCTION("IF(ISBLANK(B216),"""",IF(Or(I216=""Em Aberto"",ISBLANK(I216),NOT(ISDATE(B216))),"""",H216))"),"")</f>
        <v/>
      </c>
      <c r="M216" s="29" t="str">
        <f>IFERROR(__xludf.DUMMYFUNCTION("IF(ISBLANK(B216),"""",IF(ISDATE(B216),TEXT(B216,""m""),""""))"),"")</f>
        <v/>
      </c>
      <c r="N216" s="29" t="str">
        <f>IFERROR(__xludf.DUMMYFUNCTION("IF(M216="""","""",QUERY({'Dashboard-Dados'!$Y$2:$AA$13},""Select Col2 Where Col1=""&amp;M216))"),"")</f>
        <v/>
      </c>
      <c r="O216" s="29" t="str">
        <f>IFERROR(__xludf.DUMMYFUNCTION("IF(ISBLANK(B216),"""",IF(ISDATE(B216),TEXT(B216,""yyyy""),""""))"),"")</f>
        <v/>
      </c>
    </row>
    <row r="217">
      <c r="B217" s="62"/>
      <c r="C217" s="56"/>
      <c r="D217" s="56"/>
      <c r="E217" s="56"/>
      <c r="F217" s="63"/>
      <c r="G217" s="64"/>
      <c r="H217" s="65"/>
      <c r="I217" s="63"/>
      <c r="K217" s="53" t="str">
        <f>IFERROR(__xludf.DUMMYFUNCTION("IF(ISBLANK(B217),"""",IF(ISDATE(B217),""X"",""""))"),"")</f>
        <v/>
      </c>
      <c r="L217" s="40" t="str">
        <f>IFERROR(__xludf.DUMMYFUNCTION("IF(ISBLANK(B217),"""",IF(Or(I217=""Em Aberto"",ISBLANK(I217),NOT(ISDATE(B217))),"""",H217))"),"")</f>
        <v/>
      </c>
      <c r="M217" s="29" t="str">
        <f>IFERROR(__xludf.DUMMYFUNCTION("IF(ISBLANK(B217),"""",IF(ISDATE(B217),TEXT(B217,""m""),""""))"),"")</f>
        <v/>
      </c>
      <c r="N217" s="29" t="str">
        <f>IFERROR(__xludf.DUMMYFUNCTION("IF(M217="""","""",QUERY({'Dashboard-Dados'!$Y$2:$AA$13},""Select Col2 Where Col1=""&amp;M217))"),"")</f>
        <v/>
      </c>
      <c r="O217" s="29" t="str">
        <f>IFERROR(__xludf.DUMMYFUNCTION("IF(ISBLANK(B217),"""",IF(ISDATE(B217),TEXT(B217,""yyyy""),""""))"),"")</f>
        <v/>
      </c>
    </row>
    <row r="218">
      <c r="B218" s="62"/>
      <c r="C218" s="56"/>
      <c r="D218" s="56"/>
      <c r="E218" s="56"/>
      <c r="F218" s="63"/>
      <c r="G218" s="64"/>
      <c r="H218" s="65"/>
      <c r="I218" s="63"/>
      <c r="K218" s="53" t="str">
        <f>IFERROR(__xludf.DUMMYFUNCTION("IF(ISBLANK(B218),"""",IF(ISDATE(B218),""X"",""""))"),"")</f>
        <v/>
      </c>
      <c r="L218" s="40" t="str">
        <f>IFERROR(__xludf.DUMMYFUNCTION("IF(ISBLANK(B218),"""",IF(Or(I218=""Em Aberto"",ISBLANK(I218),NOT(ISDATE(B218))),"""",H218))"),"")</f>
        <v/>
      </c>
      <c r="M218" s="29" t="str">
        <f>IFERROR(__xludf.DUMMYFUNCTION("IF(ISBLANK(B218),"""",IF(ISDATE(B218),TEXT(B218,""m""),""""))"),"")</f>
        <v/>
      </c>
      <c r="N218" s="29" t="str">
        <f>IFERROR(__xludf.DUMMYFUNCTION("IF(M218="""","""",QUERY({'Dashboard-Dados'!$Y$2:$AA$13},""Select Col2 Where Col1=""&amp;M218))"),"")</f>
        <v/>
      </c>
      <c r="O218" s="29" t="str">
        <f>IFERROR(__xludf.DUMMYFUNCTION("IF(ISBLANK(B218),"""",IF(ISDATE(B218),TEXT(B218,""yyyy""),""""))"),"")</f>
        <v/>
      </c>
    </row>
    <row r="219">
      <c r="B219" s="62"/>
      <c r="C219" s="56"/>
      <c r="D219" s="56"/>
      <c r="E219" s="56"/>
      <c r="F219" s="63"/>
      <c r="G219" s="64"/>
      <c r="H219" s="65"/>
      <c r="I219" s="63"/>
      <c r="K219" s="53" t="str">
        <f>IFERROR(__xludf.DUMMYFUNCTION("IF(ISBLANK(B219),"""",IF(ISDATE(B219),""X"",""""))"),"")</f>
        <v/>
      </c>
      <c r="L219" s="40" t="str">
        <f>IFERROR(__xludf.DUMMYFUNCTION("IF(ISBLANK(B219),"""",IF(Or(I219=""Em Aberto"",ISBLANK(I219),NOT(ISDATE(B219))),"""",H219))"),"")</f>
        <v/>
      </c>
      <c r="M219" s="29" t="str">
        <f>IFERROR(__xludf.DUMMYFUNCTION("IF(ISBLANK(B219),"""",IF(ISDATE(B219),TEXT(B219,""m""),""""))"),"")</f>
        <v/>
      </c>
      <c r="N219" s="29" t="str">
        <f>IFERROR(__xludf.DUMMYFUNCTION("IF(M219="""","""",QUERY({'Dashboard-Dados'!$Y$2:$AA$13},""Select Col2 Where Col1=""&amp;M219))"),"")</f>
        <v/>
      </c>
      <c r="O219" s="29" t="str">
        <f>IFERROR(__xludf.DUMMYFUNCTION("IF(ISBLANK(B219),"""",IF(ISDATE(B219),TEXT(B219,""yyyy""),""""))"),"")</f>
        <v/>
      </c>
    </row>
    <row r="220">
      <c r="B220" s="62"/>
      <c r="C220" s="56"/>
      <c r="D220" s="56"/>
      <c r="E220" s="56"/>
      <c r="F220" s="63"/>
      <c r="G220" s="64"/>
      <c r="H220" s="65"/>
      <c r="I220" s="63"/>
      <c r="K220" s="53" t="str">
        <f>IFERROR(__xludf.DUMMYFUNCTION("IF(ISBLANK(B220),"""",IF(ISDATE(B220),""X"",""""))"),"")</f>
        <v/>
      </c>
      <c r="L220" s="40" t="str">
        <f>IFERROR(__xludf.DUMMYFUNCTION("IF(ISBLANK(B220),"""",IF(Or(I220=""Em Aberto"",ISBLANK(I220),NOT(ISDATE(B220))),"""",H220))"),"")</f>
        <v/>
      </c>
      <c r="M220" s="29" t="str">
        <f>IFERROR(__xludf.DUMMYFUNCTION("IF(ISBLANK(B220),"""",IF(ISDATE(B220),TEXT(B220,""m""),""""))"),"")</f>
        <v/>
      </c>
      <c r="N220" s="29" t="str">
        <f>IFERROR(__xludf.DUMMYFUNCTION("IF(M220="""","""",QUERY({'Dashboard-Dados'!$Y$2:$AA$13},""Select Col2 Where Col1=""&amp;M220))"),"")</f>
        <v/>
      </c>
      <c r="O220" s="29" t="str">
        <f>IFERROR(__xludf.DUMMYFUNCTION("IF(ISBLANK(B220),"""",IF(ISDATE(B220),TEXT(B220,""yyyy""),""""))"),"")</f>
        <v/>
      </c>
    </row>
    <row r="221">
      <c r="B221" s="62"/>
      <c r="C221" s="56"/>
      <c r="D221" s="56"/>
      <c r="E221" s="56"/>
      <c r="F221" s="63"/>
      <c r="G221" s="64"/>
      <c r="H221" s="65"/>
      <c r="I221" s="63"/>
      <c r="K221" s="53" t="str">
        <f>IFERROR(__xludf.DUMMYFUNCTION("IF(ISBLANK(B221),"""",IF(ISDATE(B221),""X"",""""))"),"")</f>
        <v/>
      </c>
      <c r="L221" s="40" t="str">
        <f>IFERROR(__xludf.DUMMYFUNCTION("IF(ISBLANK(B221),"""",IF(Or(I221=""Em Aberto"",ISBLANK(I221),NOT(ISDATE(B221))),"""",H221))"),"")</f>
        <v/>
      </c>
      <c r="M221" s="29" t="str">
        <f>IFERROR(__xludf.DUMMYFUNCTION("IF(ISBLANK(B221),"""",IF(ISDATE(B221),TEXT(B221,""m""),""""))"),"")</f>
        <v/>
      </c>
      <c r="N221" s="29" t="str">
        <f>IFERROR(__xludf.DUMMYFUNCTION("IF(M221="""","""",QUERY({'Dashboard-Dados'!$Y$2:$AA$13},""Select Col2 Where Col1=""&amp;M221))"),"")</f>
        <v/>
      </c>
      <c r="O221" s="29" t="str">
        <f>IFERROR(__xludf.DUMMYFUNCTION("IF(ISBLANK(B221),"""",IF(ISDATE(B221),TEXT(B221,""yyyy""),""""))"),"")</f>
        <v/>
      </c>
    </row>
    <row r="222">
      <c r="B222" s="62"/>
      <c r="C222" s="56"/>
      <c r="D222" s="56"/>
      <c r="E222" s="56"/>
      <c r="F222" s="63"/>
      <c r="G222" s="64"/>
      <c r="H222" s="65"/>
      <c r="I222" s="63"/>
      <c r="K222" s="53" t="str">
        <f>IFERROR(__xludf.DUMMYFUNCTION("IF(ISBLANK(B222),"""",IF(ISDATE(B222),""X"",""""))"),"")</f>
        <v/>
      </c>
      <c r="L222" s="40" t="str">
        <f>IFERROR(__xludf.DUMMYFUNCTION("IF(ISBLANK(B222),"""",IF(Or(I222=""Em Aberto"",ISBLANK(I222),NOT(ISDATE(B222))),"""",H222))"),"")</f>
        <v/>
      </c>
      <c r="M222" s="29" t="str">
        <f>IFERROR(__xludf.DUMMYFUNCTION("IF(ISBLANK(B222),"""",IF(ISDATE(B222),TEXT(B222,""m""),""""))"),"")</f>
        <v/>
      </c>
      <c r="N222" s="29" t="str">
        <f>IFERROR(__xludf.DUMMYFUNCTION("IF(M222="""","""",QUERY({'Dashboard-Dados'!$Y$2:$AA$13},""Select Col2 Where Col1=""&amp;M222))"),"")</f>
        <v/>
      </c>
      <c r="O222" s="29" t="str">
        <f>IFERROR(__xludf.DUMMYFUNCTION("IF(ISBLANK(B222),"""",IF(ISDATE(B222),TEXT(B222,""yyyy""),""""))"),"")</f>
        <v/>
      </c>
    </row>
    <row r="223">
      <c r="B223" s="62"/>
      <c r="C223" s="56"/>
      <c r="D223" s="56"/>
      <c r="E223" s="56"/>
      <c r="F223" s="63"/>
      <c r="G223" s="64"/>
      <c r="H223" s="65"/>
      <c r="I223" s="63"/>
      <c r="K223" s="53" t="str">
        <f>IFERROR(__xludf.DUMMYFUNCTION("IF(ISBLANK(B223),"""",IF(ISDATE(B223),""X"",""""))"),"")</f>
        <v/>
      </c>
      <c r="L223" s="40" t="str">
        <f>IFERROR(__xludf.DUMMYFUNCTION("IF(ISBLANK(B223),"""",IF(Or(I223=""Em Aberto"",ISBLANK(I223),NOT(ISDATE(B223))),"""",H223))"),"")</f>
        <v/>
      </c>
      <c r="M223" s="29" t="str">
        <f>IFERROR(__xludf.DUMMYFUNCTION("IF(ISBLANK(B223),"""",IF(ISDATE(B223),TEXT(B223,""m""),""""))"),"")</f>
        <v/>
      </c>
      <c r="N223" s="29" t="str">
        <f>IFERROR(__xludf.DUMMYFUNCTION("IF(M223="""","""",QUERY({'Dashboard-Dados'!$Y$2:$AA$13},""Select Col2 Where Col1=""&amp;M223))"),"")</f>
        <v/>
      </c>
      <c r="O223" s="29" t="str">
        <f>IFERROR(__xludf.DUMMYFUNCTION("IF(ISBLANK(B223),"""",IF(ISDATE(B223),TEXT(B223,""yyyy""),""""))"),"")</f>
        <v/>
      </c>
    </row>
    <row r="224">
      <c r="B224" s="62"/>
      <c r="C224" s="56"/>
      <c r="D224" s="56"/>
      <c r="E224" s="56"/>
      <c r="F224" s="63"/>
      <c r="G224" s="64"/>
      <c r="H224" s="65"/>
      <c r="I224" s="63"/>
      <c r="K224" s="53" t="str">
        <f>IFERROR(__xludf.DUMMYFUNCTION("IF(ISBLANK(B224),"""",IF(ISDATE(B224),""X"",""""))"),"")</f>
        <v/>
      </c>
      <c r="L224" s="40" t="str">
        <f>IFERROR(__xludf.DUMMYFUNCTION("IF(ISBLANK(B224),"""",IF(Or(I224=""Em Aberto"",ISBLANK(I224),NOT(ISDATE(B224))),"""",H224))"),"")</f>
        <v/>
      </c>
      <c r="M224" s="29" t="str">
        <f>IFERROR(__xludf.DUMMYFUNCTION("IF(ISBLANK(B224),"""",IF(ISDATE(B224),TEXT(B224,""m""),""""))"),"")</f>
        <v/>
      </c>
      <c r="N224" s="29" t="str">
        <f>IFERROR(__xludf.DUMMYFUNCTION("IF(M224="""","""",QUERY({'Dashboard-Dados'!$Y$2:$AA$13},""Select Col2 Where Col1=""&amp;M224))"),"")</f>
        <v/>
      </c>
      <c r="O224" s="29" t="str">
        <f>IFERROR(__xludf.DUMMYFUNCTION("IF(ISBLANK(B224),"""",IF(ISDATE(B224),TEXT(B224,""yyyy""),""""))"),"")</f>
        <v/>
      </c>
    </row>
    <row r="225">
      <c r="B225" s="62"/>
      <c r="C225" s="56"/>
      <c r="D225" s="56"/>
      <c r="E225" s="56"/>
      <c r="F225" s="63"/>
      <c r="G225" s="64"/>
      <c r="H225" s="65"/>
      <c r="I225" s="63"/>
      <c r="K225" s="53" t="str">
        <f>IFERROR(__xludf.DUMMYFUNCTION("IF(ISBLANK(B225),"""",IF(ISDATE(B225),""X"",""""))"),"")</f>
        <v/>
      </c>
      <c r="L225" s="40" t="str">
        <f>IFERROR(__xludf.DUMMYFUNCTION("IF(ISBLANK(B225),"""",IF(Or(I225=""Em Aberto"",ISBLANK(I225),NOT(ISDATE(B225))),"""",H225))"),"")</f>
        <v/>
      </c>
      <c r="M225" s="29" t="str">
        <f>IFERROR(__xludf.DUMMYFUNCTION("IF(ISBLANK(B225),"""",IF(ISDATE(B225),TEXT(B225,""m""),""""))"),"")</f>
        <v/>
      </c>
      <c r="N225" s="29" t="str">
        <f>IFERROR(__xludf.DUMMYFUNCTION("IF(M225="""","""",QUERY({'Dashboard-Dados'!$Y$2:$AA$13},""Select Col2 Where Col1=""&amp;M225))"),"")</f>
        <v/>
      </c>
      <c r="O225" s="29" t="str">
        <f>IFERROR(__xludf.DUMMYFUNCTION("IF(ISBLANK(B225),"""",IF(ISDATE(B225),TEXT(B225,""yyyy""),""""))"),"")</f>
        <v/>
      </c>
    </row>
    <row r="226">
      <c r="B226" s="62"/>
      <c r="C226" s="56"/>
      <c r="D226" s="56"/>
      <c r="E226" s="56"/>
      <c r="F226" s="63"/>
      <c r="G226" s="64"/>
      <c r="H226" s="65"/>
      <c r="I226" s="63"/>
      <c r="K226" s="53" t="str">
        <f>IFERROR(__xludf.DUMMYFUNCTION("IF(ISBLANK(B226),"""",IF(ISDATE(B226),""X"",""""))"),"")</f>
        <v/>
      </c>
      <c r="L226" s="40" t="str">
        <f>IFERROR(__xludf.DUMMYFUNCTION("IF(ISBLANK(B226),"""",IF(Or(I226=""Em Aberto"",ISBLANK(I226),NOT(ISDATE(B226))),"""",H226))"),"")</f>
        <v/>
      </c>
      <c r="M226" s="29" t="str">
        <f>IFERROR(__xludf.DUMMYFUNCTION("IF(ISBLANK(B226),"""",IF(ISDATE(B226),TEXT(B226,""m""),""""))"),"")</f>
        <v/>
      </c>
      <c r="N226" s="29" t="str">
        <f>IFERROR(__xludf.DUMMYFUNCTION("IF(M226="""","""",QUERY({'Dashboard-Dados'!$Y$2:$AA$13},""Select Col2 Where Col1=""&amp;M226))"),"")</f>
        <v/>
      </c>
      <c r="O226" s="29" t="str">
        <f>IFERROR(__xludf.DUMMYFUNCTION("IF(ISBLANK(B226),"""",IF(ISDATE(B226),TEXT(B226,""yyyy""),""""))"),"")</f>
        <v/>
      </c>
    </row>
    <row r="227">
      <c r="B227" s="62"/>
      <c r="C227" s="56"/>
      <c r="D227" s="56"/>
      <c r="E227" s="56"/>
      <c r="F227" s="63"/>
      <c r="G227" s="64"/>
      <c r="H227" s="65"/>
      <c r="I227" s="63"/>
      <c r="K227" s="53" t="str">
        <f>IFERROR(__xludf.DUMMYFUNCTION("IF(ISBLANK(B227),"""",IF(ISDATE(B227),""X"",""""))"),"")</f>
        <v/>
      </c>
      <c r="L227" s="40" t="str">
        <f>IFERROR(__xludf.DUMMYFUNCTION("IF(ISBLANK(B227),"""",IF(Or(I227=""Em Aberto"",ISBLANK(I227),NOT(ISDATE(B227))),"""",H227))"),"")</f>
        <v/>
      </c>
      <c r="M227" s="29" t="str">
        <f>IFERROR(__xludf.DUMMYFUNCTION("IF(ISBLANK(B227),"""",IF(ISDATE(B227),TEXT(B227,""m""),""""))"),"")</f>
        <v/>
      </c>
      <c r="N227" s="29" t="str">
        <f>IFERROR(__xludf.DUMMYFUNCTION("IF(M227="""","""",QUERY({'Dashboard-Dados'!$Y$2:$AA$13},""Select Col2 Where Col1=""&amp;M227))"),"")</f>
        <v/>
      </c>
      <c r="O227" s="29" t="str">
        <f>IFERROR(__xludf.DUMMYFUNCTION("IF(ISBLANK(B227),"""",IF(ISDATE(B227),TEXT(B227,""yyyy""),""""))"),"")</f>
        <v/>
      </c>
    </row>
    <row r="228">
      <c r="B228" s="62"/>
      <c r="C228" s="56"/>
      <c r="D228" s="56"/>
      <c r="E228" s="56"/>
      <c r="F228" s="63"/>
      <c r="G228" s="64"/>
      <c r="H228" s="65"/>
      <c r="I228" s="63"/>
      <c r="K228" s="53" t="str">
        <f>IFERROR(__xludf.DUMMYFUNCTION("IF(ISBLANK(B228),"""",IF(ISDATE(B228),""X"",""""))"),"")</f>
        <v/>
      </c>
      <c r="L228" s="40" t="str">
        <f>IFERROR(__xludf.DUMMYFUNCTION("IF(ISBLANK(B228),"""",IF(Or(I228=""Em Aberto"",ISBLANK(I228),NOT(ISDATE(B228))),"""",H228))"),"")</f>
        <v/>
      </c>
      <c r="M228" s="29" t="str">
        <f>IFERROR(__xludf.DUMMYFUNCTION("IF(ISBLANK(B228),"""",IF(ISDATE(B228),TEXT(B228,""m""),""""))"),"")</f>
        <v/>
      </c>
      <c r="N228" s="29" t="str">
        <f>IFERROR(__xludf.DUMMYFUNCTION("IF(M228="""","""",QUERY({'Dashboard-Dados'!$Y$2:$AA$13},""Select Col2 Where Col1=""&amp;M228))"),"")</f>
        <v/>
      </c>
      <c r="O228" s="29" t="str">
        <f>IFERROR(__xludf.DUMMYFUNCTION("IF(ISBLANK(B228),"""",IF(ISDATE(B228),TEXT(B228,""yyyy""),""""))"),"")</f>
        <v/>
      </c>
    </row>
    <row r="229">
      <c r="B229" s="62"/>
      <c r="C229" s="56"/>
      <c r="D229" s="56"/>
      <c r="E229" s="56"/>
      <c r="F229" s="63"/>
      <c r="G229" s="64"/>
      <c r="H229" s="65"/>
      <c r="I229" s="63"/>
      <c r="K229" s="53" t="str">
        <f>IFERROR(__xludf.DUMMYFUNCTION("IF(ISBLANK(B229),"""",IF(ISDATE(B229),""X"",""""))"),"")</f>
        <v/>
      </c>
      <c r="L229" s="40" t="str">
        <f>IFERROR(__xludf.DUMMYFUNCTION("IF(ISBLANK(B229),"""",IF(Or(I229=""Em Aberto"",ISBLANK(I229),NOT(ISDATE(B229))),"""",H229))"),"")</f>
        <v/>
      </c>
      <c r="M229" s="29" t="str">
        <f>IFERROR(__xludf.DUMMYFUNCTION("IF(ISBLANK(B229),"""",IF(ISDATE(B229),TEXT(B229,""m""),""""))"),"")</f>
        <v/>
      </c>
      <c r="N229" s="29" t="str">
        <f>IFERROR(__xludf.DUMMYFUNCTION("IF(M229="""","""",QUERY({'Dashboard-Dados'!$Y$2:$AA$13},""Select Col2 Where Col1=""&amp;M229))"),"")</f>
        <v/>
      </c>
      <c r="O229" s="29" t="str">
        <f>IFERROR(__xludf.DUMMYFUNCTION("IF(ISBLANK(B229),"""",IF(ISDATE(B229),TEXT(B229,""yyyy""),""""))"),"")</f>
        <v/>
      </c>
    </row>
    <row r="230">
      <c r="B230" s="62"/>
      <c r="C230" s="56"/>
      <c r="D230" s="56"/>
      <c r="E230" s="56"/>
      <c r="F230" s="63"/>
      <c r="G230" s="64"/>
      <c r="H230" s="65"/>
      <c r="I230" s="63"/>
      <c r="K230" s="53" t="str">
        <f>IFERROR(__xludf.DUMMYFUNCTION("IF(ISBLANK(B230),"""",IF(ISDATE(B230),""X"",""""))"),"")</f>
        <v/>
      </c>
      <c r="L230" s="40" t="str">
        <f>IFERROR(__xludf.DUMMYFUNCTION("IF(ISBLANK(B230),"""",IF(Or(I230=""Em Aberto"",ISBLANK(I230),NOT(ISDATE(B230))),"""",H230))"),"")</f>
        <v/>
      </c>
      <c r="M230" s="29" t="str">
        <f>IFERROR(__xludf.DUMMYFUNCTION("IF(ISBLANK(B230),"""",IF(ISDATE(B230),TEXT(B230,""m""),""""))"),"")</f>
        <v/>
      </c>
      <c r="N230" s="29" t="str">
        <f>IFERROR(__xludf.DUMMYFUNCTION("IF(M230="""","""",QUERY({'Dashboard-Dados'!$Y$2:$AA$13},""Select Col2 Where Col1=""&amp;M230))"),"")</f>
        <v/>
      </c>
      <c r="O230" s="29" t="str">
        <f>IFERROR(__xludf.DUMMYFUNCTION("IF(ISBLANK(B230),"""",IF(ISDATE(B230),TEXT(B230,""yyyy""),""""))"),"")</f>
        <v/>
      </c>
    </row>
    <row r="231">
      <c r="B231" s="62"/>
      <c r="C231" s="56"/>
      <c r="D231" s="56"/>
      <c r="E231" s="56"/>
      <c r="F231" s="63"/>
      <c r="G231" s="64"/>
      <c r="H231" s="65"/>
      <c r="I231" s="63"/>
      <c r="K231" s="53" t="str">
        <f>IFERROR(__xludf.DUMMYFUNCTION("IF(ISBLANK(B231),"""",IF(ISDATE(B231),""X"",""""))"),"")</f>
        <v/>
      </c>
      <c r="L231" s="40" t="str">
        <f>IFERROR(__xludf.DUMMYFUNCTION("IF(ISBLANK(B231),"""",IF(Or(I231=""Em Aberto"",ISBLANK(I231),NOT(ISDATE(B231))),"""",H231))"),"")</f>
        <v/>
      </c>
      <c r="M231" s="29" t="str">
        <f>IFERROR(__xludf.DUMMYFUNCTION("IF(ISBLANK(B231),"""",IF(ISDATE(B231),TEXT(B231,""m""),""""))"),"")</f>
        <v/>
      </c>
      <c r="N231" s="29" t="str">
        <f>IFERROR(__xludf.DUMMYFUNCTION("IF(M231="""","""",QUERY({'Dashboard-Dados'!$Y$2:$AA$13},""Select Col2 Where Col1=""&amp;M231))"),"")</f>
        <v/>
      </c>
      <c r="O231" s="29" t="str">
        <f>IFERROR(__xludf.DUMMYFUNCTION("IF(ISBLANK(B231),"""",IF(ISDATE(B231),TEXT(B231,""yyyy""),""""))"),"")</f>
        <v/>
      </c>
    </row>
    <row r="232">
      <c r="B232" s="62"/>
      <c r="C232" s="56"/>
      <c r="D232" s="56"/>
      <c r="E232" s="56"/>
      <c r="F232" s="63"/>
      <c r="G232" s="64"/>
      <c r="H232" s="65"/>
      <c r="I232" s="63"/>
      <c r="K232" s="53" t="str">
        <f>IFERROR(__xludf.DUMMYFUNCTION("IF(ISBLANK(B232),"""",IF(ISDATE(B232),""X"",""""))"),"")</f>
        <v/>
      </c>
      <c r="L232" s="40" t="str">
        <f>IFERROR(__xludf.DUMMYFUNCTION("IF(ISBLANK(B232),"""",IF(Or(I232=""Em Aberto"",ISBLANK(I232),NOT(ISDATE(B232))),"""",H232))"),"")</f>
        <v/>
      </c>
      <c r="M232" s="29" t="str">
        <f>IFERROR(__xludf.DUMMYFUNCTION("IF(ISBLANK(B232),"""",IF(ISDATE(B232),TEXT(B232,""m""),""""))"),"")</f>
        <v/>
      </c>
      <c r="N232" s="29" t="str">
        <f>IFERROR(__xludf.DUMMYFUNCTION("IF(M232="""","""",QUERY({'Dashboard-Dados'!$Y$2:$AA$13},""Select Col2 Where Col1=""&amp;M232))"),"")</f>
        <v/>
      </c>
      <c r="O232" s="29" t="str">
        <f>IFERROR(__xludf.DUMMYFUNCTION("IF(ISBLANK(B232),"""",IF(ISDATE(B232),TEXT(B232,""yyyy""),""""))"),"")</f>
        <v/>
      </c>
    </row>
    <row r="233">
      <c r="B233" s="62"/>
      <c r="C233" s="56"/>
      <c r="D233" s="56"/>
      <c r="E233" s="56"/>
      <c r="F233" s="63"/>
      <c r="G233" s="64"/>
      <c r="H233" s="65"/>
      <c r="I233" s="63"/>
      <c r="K233" s="53" t="str">
        <f>IFERROR(__xludf.DUMMYFUNCTION("IF(ISBLANK(B233),"""",IF(ISDATE(B233),""X"",""""))"),"")</f>
        <v/>
      </c>
      <c r="L233" s="40" t="str">
        <f>IFERROR(__xludf.DUMMYFUNCTION("IF(ISBLANK(B233),"""",IF(Or(I233=""Em Aberto"",ISBLANK(I233),NOT(ISDATE(B233))),"""",H233))"),"")</f>
        <v/>
      </c>
      <c r="M233" s="29" t="str">
        <f>IFERROR(__xludf.DUMMYFUNCTION("IF(ISBLANK(B233),"""",IF(ISDATE(B233),TEXT(B233,""m""),""""))"),"")</f>
        <v/>
      </c>
      <c r="N233" s="29" t="str">
        <f>IFERROR(__xludf.DUMMYFUNCTION("IF(M233="""","""",QUERY({'Dashboard-Dados'!$Y$2:$AA$13},""Select Col2 Where Col1=""&amp;M233))"),"")</f>
        <v/>
      </c>
      <c r="O233" s="29" t="str">
        <f>IFERROR(__xludf.DUMMYFUNCTION("IF(ISBLANK(B233),"""",IF(ISDATE(B233),TEXT(B233,""yyyy""),""""))"),"")</f>
        <v/>
      </c>
    </row>
    <row r="234">
      <c r="B234" s="62"/>
      <c r="C234" s="56"/>
      <c r="D234" s="56"/>
      <c r="E234" s="56"/>
      <c r="F234" s="63"/>
      <c r="G234" s="64"/>
      <c r="H234" s="65"/>
      <c r="I234" s="63"/>
      <c r="K234" s="53" t="str">
        <f>IFERROR(__xludf.DUMMYFUNCTION("IF(ISBLANK(B234),"""",IF(ISDATE(B234),""X"",""""))"),"")</f>
        <v/>
      </c>
      <c r="L234" s="40" t="str">
        <f>IFERROR(__xludf.DUMMYFUNCTION("IF(ISBLANK(B234),"""",IF(Or(I234=""Em Aberto"",ISBLANK(I234),NOT(ISDATE(B234))),"""",H234))"),"")</f>
        <v/>
      </c>
      <c r="M234" s="29" t="str">
        <f>IFERROR(__xludf.DUMMYFUNCTION("IF(ISBLANK(B234),"""",IF(ISDATE(B234),TEXT(B234,""m""),""""))"),"")</f>
        <v/>
      </c>
      <c r="N234" s="29" t="str">
        <f>IFERROR(__xludf.DUMMYFUNCTION("IF(M234="""","""",QUERY({'Dashboard-Dados'!$Y$2:$AA$13},""Select Col2 Where Col1=""&amp;M234))"),"")</f>
        <v/>
      </c>
      <c r="O234" s="29" t="str">
        <f>IFERROR(__xludf.DUMMYFUNCTION("IF(ISBLANK(B234),"""",IF(ISDATE(B234),TEXT(B234,""yyyy""),""""))"),"")</f>
        <v/>
      </c>
    </row>
    <row r="235">
      <c r="B235" s="62"/>
      <c r="C235" s="56"/>
      <c r="D235" s="56"/>
      <c r="E235" s="56"/>
      <c r="F235" s="63"/>
      <c r="G235" s="64"/>
      <c r="H235" s="65"/>
      <c r="I235" s="63"/>
      <c r="K235" s="53" t="str">
        <f>IFERROR(__xludf.DUMMYFUNCTION("IF(ISBLANK(B235),"""",IF(ISDATE(B235),""X"",""""))"),"")</f>
        <v/>
      </c>
      <c r="L235" s="40" t="str">
        <f>IFERROR(__xludf.DUMMYFUNCTION("IF(ISBLANK(B235),"""",IF(Or(I235=""Em Aberto"",ISBLANK(I235),NOT(ISDATE(B235))),"""",H235))"),"")</f>
        <v/>
      </c>
      <c r="M235" s="29" t="str">
        <f>IFERROR(__xludf.DUMMYFUNCTION("IF(ISBLANK(B235),"""",IF(ISDATE(B235),TEXT(B235,""m""),""""))"),"")</f>
        <v/>
      </c>
      <c r="N235" s="29" t="str">
        <f>IFERROR(__xludf.DUMMYFUNCTION("IF(M235="""","""",QUERY({'Dashboard-Dados'!$Y$2:$AA$13},""Select Col2 Where Col1=""&amp;M235))"),"")</f>
        <v/>
      </c>
      <c r="O235" s="29" t="str">
        <f>IFERROR(__xludf.DUMMYFUNCTION("IF(ISBLANK(B235),"""",IF(ISDATE(B235),TEXT(B235,""yyyy""),""""))"),"")</f>
        <v/>
      </c>
    </row>
    <row r="236">
      <c r="B236" s="62"/>
      <c r="C236" s="56"/>
      <c r="D236" s="56"/>
      <c r="E236" s="56"/>
      <c r="F236" s="63"/>
      <c r="G236" s="64"/>
      <c r="H236" s="65"/>
      <c r="I236" s="63"/>
      <c r="K236" s="53" t="str">
        <f>IFERROR(__xludf.DUMMYFUNCTION("IF(ISBLANK(B236),"""",IF(ISDATE(B236),""X"",""""))"),"")</f>
        <v/>
      </c>
      <c r="L236" s="40" t="str">
        <f>IFERROR(__xludf.DUMMYFUNCTION("IF(ISBLANK(B236),"""",IF(Or(I236=""Em Aberto"",ISBLANK(I236),NOT(ISDATE(B236))),"""",H236))"),"")</f>
        <v/>
      </c>
      <c r="M236" s="29" t="str">
        <f>IFERROR(__xludf.DUMMYFUNCTION("IF(ISBLANK(B236),"""",IF(ISDATE(B236),TEXT(B236,""m""),""""))"),"")</f>
        <v/>
      </c>
      <c r="N236" s="29" t="str">
        <f>IFERROR(__xludf.DUMMYFUNCTION("IF(M236="""","""",QUERY({'Dashboard-Dados'!$Y$2:$AA$13},""Select Col2 Where Col1=""&amp;M236))"),"")</f>
        <v/>
      </c>
      <c r="O236" s="29" t="str">
        <f>IFERROR(__xludf.DUMMYFUNCTION("IF(ISBLANK(B236),"""",IF(ISDATE(B236),TEXT(B236,""yyyy""),""""))"),"")</f>
        <v/>
      </c>
    </row>
    <row r="237">
      <c r="B237" s="62"/>
      <c r="C237" s="56"/>
      <c r="D237" s="56"/>
      <c r="E237" s="56"/>
      <c r="F237" s="63"/>
      <c r="G237" s="64"/>
      <c r="H237" s="65"/>
      <c r="I237" s="63"/>
      <c r="K237" s="53" t="str">
        <f>IFERROR(__xludf.DUMMYFUNCTION("IF(ISBLANK(B237),"""",IF(ISDATE(B237),""X"",""""))"),"")</f>
        <v/>
      </c>
      <c r="L237" s="40" t="str">
        <f>IFERROR(__xludf.DUMMYFUNCTION("IF(ISBLANK(B237),"""",IF(Or(I237=""Em Aberto"",ISBLANK(I237),NOT(ISDATE(B237))),"""",H237))"),"")</f>
        <v/>
      </c>
      <c r="M237" s="29" t="str">
        <f>IFERROR(__xludf.DUMMYFUNCTION("IF(ISBLANK(B237),"""",IF(ISDATE(B237),TEXT(B237,""m""),""""))"),"")</f>
        <v/>
      </c>
      <c r="N237" s="29" t="str">
        <f>IFERROR(__xludf.DUMMYFUNCTION("IF(M237="""","""",QUERY({'Dashboard-Dados'!$Y$2:$AA$13},""Select Col2 Where Col1=""&amp;M237))"),"")</f>
        <v/>
      </c>
      <c r="O237" s="29" t="str">
        <f>IFERROR(__xludf.DUMMYFUNCTION("IF(ISBLANK(B237),"""",IF(ISDATE(B237),TEXT(B237,""yyyy""),""""))"),"")</f>
        <v/>
      </c>
    </row>
    <row r="238">
      <c r="B238" s="62"/>
      <c r="C238" s="56"/>
      <c r="D238" s="56"/>
      <c r="E238" s="56"/>
      <c r="F238" s="63"/>
      <c r="G238" s="64"/>
      <c r="H238" s="65"/>
      <c r="I238" s="63"/>
      <c r="K238" s="53" t="str">
        <f>IFERROR(__xludf.DUMMYFUNCTION("IF(ISBLANK(B238),"""",IF(ISDATE(B238),""X"",""""))"),"")</f>
        <v/>
      </c>
      <c r="L238" s="40" t="str">
        <f>IFERROR(__xludf.DUMMYFUNCTION("IF(ISBLANK(B238),"""",IF(Or(I238=""Em Aberto"",ISBLANK(I238),NOT(ISDATE(B238))),"""",H238))"),"")</f>
        <v/>
      </c>
      <c r="M238" s="29" t="str">
        <f>IFERROR(__xludf.DUMMYFUNCTION("IF(ISBLANK(B238),"""",IF(ISDATE(B238),TEXT(B238,""m""),""""))"),"")</f>
        <v/>
      </c>
      <c r="N238" s="29" t="str">
        <f>IFERROR(__xludf.DUMMYFUNCTION("IF(M238="""","""",QUERY({'Dashboard-Dados'!$Y$2:$AA$13},""Select Col2 Where Col1=""&amp;M238))"),"")</f>
        <v/>
      </c>
      <c r="O238" s="29" t="str">
        <f>IFERROR(__xludf.DUMMYFUNCTION("IF(ISBLANK(B238),"""",IF(ISDATE(B238),TEXT(B238,""yyyy""),""""))"),"")</f>
        <v/>
      </c>
    </row>
    <row r="239">
      <c r="B239" s="62"/>
      <c r="C239" s="56"/>
      <c r="D239" s="56"/>
      <c r="E239" s="56"/>
      <c r="F239" s="63"/>
      <c r="G239" s="64"/>
      <c r="H239" s="65"/>
      <c r="I239" s="63"/>
      <c r="K239" s="53" t="str">
        <f>IFERROR(__xludf.DUMMYFUNCTION("IF(ISBLANK(B239),"""",IF(ISDATE(B239),""X"",""""))"),"")</f>
        <v/>
      </c>
      <c r="L239" s="40" t="str">
        <f>IFERROR(__xludf.DUMMYFUNCTION("IF(ISBLANK(B239),"""",IF(Or(I239=""Em Aberto"",ISBLANK(I239),NOT(ISDATE(B239))),"""",H239))"),"")</f>
        <v/>
      </c>
      <c r="M239" s="29" t="str">
        <f>IFERROR(__xludf.DUMMYFUNCTION("IF(ISBLANK(B239),"""",IF(ISDATE(B239),TEXT(B239,""m""),""""))"),"")</f>
        <v/>
      </c>
      <c r="N239" s="29" t="str">
        <f>IFERROR(__xludf.DUMMYFUNCTION("IF(M239="""","""",QUERY({'Dashboard-Dados'!$Y$2:$AA$13},""Select Col2 Where Col1=""&amp;M239))"),"")</f>
        <v/>
      </c>
      <c r="O239" s="29" t="str">
        <f>IFERROR(__xludf.DUMMYFUNCTION("IF(ISBLANK(B239),"""",IF(ISDATE(B239),TEXT(B239,""yyyy""),""""))"),"")</f>
        <v/>
      </c>
    </row>
    <row r="240">
      <c r="B240" s="62"/>
      <c r="C240" s="56"/>
      <c r="D240" s="56"/>
      <c r="E240" s="56"/>
      <c r="F240" s="63"/>
      <c r="G240" s="64"/>
      <c r="H240" s="65"/>
      <c r="I240" s="63"/>
      <c r="K240" s="53" t="str">
        <f>IFERROR(__xludf.DUMMYFUNCTION("IF(ISBLANK(B240),"""",IF(ISDATE(B240),""X"",""""))"),"")</f>
        <v/>
      </c>
      <c r="L240" s="40" t="str">
        <f>IFERROR(__xludf.DUMMYFUNCTION("IF(ISBLANK(B240),"""",IF(Or(I240=""Em Aberto"",ISBLANK(I240),NOT(ISDATE(B240))),"""",H240))"),"")</f>
        <v/>
      </c>
      <c r="M240" s="29" t="str">
        <f>IFERROR(__xludf.DUMMYFUNCTION("IF(ISBLANK(B240),"""",IF(ISDATE(B240),TEXT(B240,""m""),""""))"),"")</f>
        <v/>
      </c>
      <c r="N240" s="29" t="str">
        <f>IFERROR(__xludf.DUMMYFUNCTION("IF(M240="""","""",QUERY({'Dashboard-Dados'!$Y$2:$AA$13},""Select Col2 Where Col1=""&amp;M240))"),"")</f>
        <v/>
      </c>
      <c r="O240" s="29" t="str">
        <f>IFERROR(__xludf.DUMMYFUNCTION("IF(ISBLANK(B240),"""",IF(ISDATE(B240),TEXT(B240,""yyyy""),""""))"),"")</f>
        <v/>
      </c>
    </row>
    <row r="241">
      <c r="B241" s="62"/>
      <c r="C241" s="56"/>
      <c r="D241" s="56"/>
      <c r="E241" s="56"/>
      <c r="F241" s="63"/>
      <c r="G241" s="64"/>
      <c r="H241" s="65"/>
      <c r="I241" s="63"/>
      <c r="K241" s="53" t="str">
        <f>IFERROR(__xludf.DUMMYFUNCTION("IF(ISBLANK(B241),"""",IF(ISDATE(B241),""X"",""""))"),"")</f>
        <v/>
      </c>
      <c r="L241" s="40" t="str">
        <f>IFERROR(__xludf.DUMMYFUNCTION("IF(ISBLANK(B241),"""",IF(Or(I241=""Em Aberto"",ISBLANK(I241),NOT(ISDATE(B241))),"""",H241))"),"")</f>
        <v/>
      </c>
      <c r="M241" s="29" t="str">
        <f>IFERROR(__xludf.DUMMYFUNCTION("IF(ISBLANK(B241),"""",IF(ISDATE(B241),TEXT(B241,""m""),""""))"),"")</f>
        <v/>
      </c>
      <c r="N241" s="29" t="str">
        <f>IFERROR(__xludf.DUMMYFUNCTION("IF(M241="""","""",QUERY({'Dashboard-Dados'!$Y$2:$AA$13},""Select Col2 Where Col1=""&amp;M241))"),"")</f>
        <v/>
      </c>
      <c r="O241" s="29" t="str">
        <f>IFERROR(__xludf.DUMMYFUNCTION("IF(ISBLANK(B241),"""",IF(ISDATE(B241),TEXT(B241,""yyyy""),""""))"),"")</f>
        <v/>
      </c>
    </row>
    <row r="242">
      <c r="B242" s="62"/>
      <c r="C242" s="56"/>
      <c r="D242" s="56"/>
      <c r="E242" s="56"/>
      <c r="F242" s="63"/>
      <c r="G242" s="64"/>
      <c r="H242" s="65"/>
      <c r="I242" s="63"/>
      <c r="K242" s="53" t="str">
        <f>IFERROR(__xludf.DUMMYFUNCTION("IF(ISBLANK(B242),"""",IF(ISDATE(B242),""X"",""""))"),"")</f>
        <v/>
      </c>
      <c r="L242" s="40" t="str">
        <f>IFERROR(__xludf.DUMMYFUNCTION("IF(ISBLANK(B242),"""",IF(Or(I242=""Em Aberto"",ISBLANK(I242),NOT(ISDATE(B242))),"""",H242))"),"")</f>
        <v/>
      </c>
      <c r="M242" s="29" t="str">
        <f>IFERROR(__xludf.DUMMYFUNCTION("IF(ISBLANK(B242),"""",IF(ISDATE(B242),TEXT(B242,""m""),""""))"),"")</f>
        <v/>
      </c>
      <c r="N242" s="29" t="str">
        <f>IFERROR(__xludf.DUMMYFUNCTION("IF(M242="""","""",QUERY({'Dashboard-Dados'!$Y$2:$AA$13},""Select Col2 Where Col1=""&amp;M242))"),"")</f>
        <v/>
      </c>
      <c r="O242" s="29" t="str">
        <f>IFERROR(__xludf.DUMMYFUNCTION("IF(ISBLANK(B242),"""",IF(ISDATE(B242),TEXT(B242,""yyyy""),""""))"),"")</f>
        <v/>
      </c>
    </row>
    <row r="243">
      <c r="B243" s="62"/>
      <c r="C243" s="56"/>
      <c r="D243" s="56"/>
      <c r="E243" s="56"/>
      <c r="F243" s="63"/>
      <c r="G243" s="64"/>
      <c r="H243" s="65"/>
      <c r="I243" s="63"/>
      <c r="K243" s="53" t="str">
        <f>IFERROR(__xludf.DUMMYFUNCTION("IF(ISBLANK(B243),"""",IF(ISDATE(B243),""X"",""""))"),"")</f>
        <v/>
      </c>
      <c r="L243" s="40" t="str">
        <f>IFERROR(__xludf.DUMMYFUNCTION("IF(ISBLANK(B243),"""",IF(Or(I243=""Em Aberto"",ISBLANK(I243),NOT(ISDATE(B243))),"""",H243))"),"")</f>
        <v/>
      </c>
      <c r="M243" s="29" t="str">
        <f>IFERROR(__xludf.DUMMYFUNCTION("IF(ISBLANK(B243),"""",IF(ISDATE(B243),TEXT(B243,""m""),""""))"),"")</f>
        <v/>
      </c>
      <c r="N243" s="29" t="str">
        <f>IFERROR(__xludf.DUMMYFUNCTION("IF(M243="""","""",QUERY({'Dashboard-Dados'!$Y$2:$AA$13},""Select Col2 Where Col1=""&amp;M243))"),"")</f>
        <v/>
      </c>
      <c r="O243" s="29" t="str">
        <f>IFERROR(__xludf.DUMMYFUNCTION("IF(ISBLANK(B243),"""",IF(ISDATE(B243),TEXT(B243,""yyyy""),""""))"),"")</f>
        <v/>
      </c>
    </row>
    <row r="244">
      <c r="B244" s="62"/>
      <c r="C244" s="56"/>
      <c r="D244" s="56"/>
      <c r="E244" s="56"/>
      <c r="F244" s="63"/>
      <c r="G244" s="64"/>
      <c r="H244" s="65"/>
      <c r="I244" s="63"/>
      <c r="K244" s="53" t="str">
        <f>IFERROR(__xludf.DUMMYFUNCTION("IF(ISBLANK(B244),"""",IF(ISDATE(B244),""X"",""""))"),"")</f>
        <v/>
      </c>
      <c r="L244" s="40" t="str">
        <f>IFERROR(__xludf.DUMMYFUNCTION("IF(ISBLANK(B244),"""",IF(Or(I244=""Em Aberto"",ISBLANK(I244),NOT(ISDATE(B244))),"""",H244))"),"")</f>
        <v/>
      </c>
      <c r="M244" s="29" t="str">
        <f>IFERROR(__xludf.DUMMYFUNCTION("IF(ISBLANK(B244),"""",IF(ISDATE(B244),TEXT(B244,""m""),""""))"),"")</f>
        <v/>
      </c>
      <c r="N244" s="29" t="str">
        <f>IFERROR(__xludf.DUMMYFUNCTION("IF(M244="""","""",QUERY({'Dashboard-Dados'!$Y$2:$AA$13},""Select Col2 Where Col1=""&amp;M244))"),"")</f>
        <v/>
      </c>
      <c r="O244" s="29" t="str">
        <f>IFERROR(__xludf.DUMMYFUNCTION("IF(ISBLANK(B244),"""",IF(ISDATE(B244),TEXT(B244,""yyyy""),""""))"),"")</f>
        <v/>
      </c>
    </row>
    <row r="245">
      <c r="B245" s="62"/>
      <c r="C245" s="56"/>
      <c r="D245" s="56"/>
      <c r="E245" s="56"/>
      <c r="F245" s="63"/>
      <c r="G245" s="64"/>
      <c r="H245" s="65"/>
      <c r="I245" s="63"/>
      <c r="K245" s="53" t="str">
        <f>IFERROR(__xludf.DUMMYFUNCTION("IF(ISBLANK(B245),"""",IF(ISDATE(B245),""X"",""""))"),"")</f>
        <v/>
      </c>
      <c r="L245" s="40" t="str">
        <f>IFERROR(__xludf.DUMMYFUNCTION("IF(ISBLANK(B245),"""",IF(Or(I245=""Em Aberto"",ISBLANK(I245),NOT(ISDATE(B245))),"""",H245))"),"")</f>
        <v/>
      </c>
      <c r="M245" s="29" t="str">
        <f>IFERROR(__xludf.DUMMYFUNCTION("IF(ISBLANK(B245),"""",IF(ISDATE(B245),TEXT(B245,""m""),""""))"),"")</f>
        <v/>
      </c>
      <c r="N245" s="29" t="str">
        <f>IFERROR(__xludf.DUMMYFUNCTION("IF(M245="""","""",QUERY({'Dashboard-Dados'!$Y$2:$AA$13},""Select Col2 Where Col1=""&amp;M245))"),"")</f>
        <v/>
      </c>
      <c r="O245" s="29" t="str">
        <f>IFERROR(__xludf.DUMMYFUNCTION("IF(ISBLANK(B245),"""",IF(ISDATE(B245),TEXT(B245,""yyyy""),""""))"),"")</f>
        <v/>
      </c>
    </row>
    <row r="246">
      <c r="B246" s="62"/>
      <c r="C246" s="56"/>
      <c r="D246" s="56"/>
      <c r="E246" s="56"/>
      <c r="F246" s="63"/>
      <c r="G246" s="64"/>
      <c r="H246" s="65"/>
      <c r="I246" s="63"/>
      <c r="K246" s="53" t="str">
        <f>IFERROR(__xludf.DUMMYFUNCTION("IF(ISBLANK(B246),"""",IF(ISDATE(B246),""X"",""""))"),"")</f>
        <v/>
      </c>
      <c r="L246" s="40" t="str">
        <f>IFERROR(__xludf.DUMMYFUNCTION("IF(ISBLANK(B246),"""",IF(Or(I246=""Em Aberto"",ISBLANK(I246),NOT(ISDATE(B246))),"""",H246))"),"")</f>
        <v/>
      </c>
      <c r="M246" s="29" t="str">
        <f>IFERROR(__xludf.DUMMYFUNCTION("IF(ISBLANK(B246),"""",IF(ISDATE(B246),TEXT(B246,""m""),""""))"),"")</f>
        <v/>
      </c>
      <c r="N246" s="29" t="str">
        <f>IFERROR(__xludf.DUMMYFUNCTION("IF(M246="""","""",QUERY({'Dashboard-Dados'!$Y$2:$AA$13},""Select Col2 Where Col1=""&amp;M246))"),"")</f>
        <v/>
      </c>
      <c r="O246" s="29" t="str">
        <f>IFERROR(__xludf.DUMMYFUNCTION("IF(ISBLANK(B246),"""",IF(ISDATE(B246),TEXT(B246,""yyyy""),""""))"),"")</f>
        <v/>
      </c>
    </row>
    <row r="247">
      <c r="B247" s="62"/>
      <c r="C247" s="56"/>
      <c r="D247" s="56"/>
      <c r="E247" s="56"/>
      <c r="F247" s="63"/>
      <c r="G247" s="64"/>
      <c r="H247" s="65"/>
      <c r="I247" s="63"/>
      <c r="K247" s="53" t="str">
        <f>IFERROR(__xludf.DUMMYFUNCTION("IF(ISBLANK(B247),"""",IF(ISDATE(B247),""X"",""""))"),"")</f>
        <v/>
      </c>
      <c r="L247" s="40" t="str">
        <f>IFERROR(__xludf.DUMMYFUNCTION("IF(ISBLANK(B247),"""",IF(Or(I247=""Em Aberto"",ISBLANK(I247),NOT(ISDATE(B247))),"""",H247))"),"")</f>
        <v/>
      </c>
      <c r="M247" s="29" t="str">
        <f>IFERROR(__xludf.DUMMYFUNCTION("IF(ISBLANK(B247),"""",IF(ISDATE(B247),TEXT(B247,""m""),""""))"),"")</f>
        <v/>
      </c>
      <c r="N247" s="29" t="str">
        <f>IFERROR(__xludf.DUMMYFUNCTION("IF(M247="""","""",QUERY({'Dashboard-Dados'!$Y$2:$AA$13},""Select Col2 Where Col1=""&amp;M247))"),"")</f>
        <v/>
      </c>
      <c r="O247" s="29" t="str">
        <f>IFERROR(__xludf.DUMMYFUNCTION("IF(ISBLANK(B247),"""",IF(ISDATE(B247),TEXT(B247,""yyyy""),""""))"),"")</f>
        <v/>
      </c>
    </row>
    <row r="248">
      <c r="B248" s="62"/>
      <c r="C248" s="56"/>
      <c r="D248" s="56"/>
      <c r="E248" s="56"/>
      <c r="F248" s="63"/>
      <c r="G248" s="64"/>
      <c r="H248" s="65"/>
      <c r="I248" s="63"/>
      <c r="K248" s="53" t="str">
        <f>IFERROR(__xludf.DUMMYFUNCTION("IF(ISBLANK(B248),"""",IF(ISDATE(B248),""X"",""""))"),"")</f>
        <v/>
      </c>
      <c r="L248" s="40" t="str">
        <f>IFERROR(__xludf.DUMMYFUNCTION("IF(ISBLANK(B248),"""",IF(Or(I248=""Em Aberto"",ISBLANK(I248),NOT(ISDATE(B248))),"""",H248))"),"")</f>
        <v/>
      </c>
      <c r="M248" s="29" t="str">
        <f>IFERROR(__xludf.DUMMYFUNCTION("IF(ISBLANK(B248),"""",IF(ISDATE(B248),TEXT(B248,""m""),""""))"),"")</f>
        <v/>
      </c>
      <c r="N248" s="29" t="str">
        <f>IFERROR(__xludf.DUMMYFUNCTION("IF(M248="""","""",QUERY({'Dashboard-Dados'!$Y$2:$AA$13},""Select Col2 Where Col1=""&amp;M248))"),"")</f>
        <v/>
      </c>
      <c r="O248" s="29" t="str">
        <f>IFERROR(__xludf.DUMMYFUNCTION("IF(ISBLANK(B248),"""",IF(ISDATE(B248),TEXT(B248,""yyyy""),""""))"),"")</f>
        <v/>
      </c>
    </row>
    <row r="249">
      <c r="B249" s="62"/>
      <c r="C249" s="56"/>
      <c r="D249" s="56"/>
      <c r="E249" s="56"/>
      <c r="F249" s="63"/>
      <c r="G249" s="64"/>
      <c r="H249" s="65"/>
      <c r="I249" s="63"/>
      <c r="K249" s="53" t="str">
        <f>IFERROR(__xludf.DUMMYFUNCTION("IF(ISBLANK(B249),"""",IF(ISDATE(B249),""X"",""""))"),"")</f>
        <v/>
      </c>
      <c r="L249" s="40" t="str">
        <f>IFERROR(__xludf.DUMMYFUNCTION("IF(ISBLANK(B249),"""",IF(Or(I249=""Em Aberto"",ISBLANK(I249),NOT(ISDATE(B249))),"""",H249))"),"")</f>
        <v/>
      </c>
      <c r="M249" s="29" t="str">
        <f>IFERROR(__xludf.DUMMYFUNCTION("IF(ISBLANK(B249),"""",IF(ISDATE(B249),TEXT(B249,""m""),""""))"),"")</f>
        <v/>
      </c>
      <c r="N249" s="29" t="str">
        <f>IFERROR(__xludf.DUMMYFUNCTION("IF(M249="""","""",QUERY({'Dashboard-Dados'!$Y$2:$AA$13},""Select Col2 Where Col1=""&amp;M249))"),"")</f>
        <v/>
      </c>
      <c r="O249" s="29" t="str">
        <f>IFERROR(__xludf.DUMMYFUNCTION("IF(ISBLANK(B249),"""",IF(ISDATE(B249),TEXT(B249,""yyyy""),""""))"),"")</f>
        <v/>
      </c>
    </row>
    <row r="250">
      <c r="B250" s="62"/>
      <c r="C250" s="56"/>
      <c r="D250" s="56"/>
      <c r="E250" s="56"/>
      <c r="F250" s="63"/>
      <c r="G250" s="64"/>
      <c r="H250" s="65"/>
      <c r="I250" s="63"/>
      <c r="K250" s="53" t="str">
        <f>IFERROR(__xludf.DUMMYFUNCTION("IF(ISBLANK(B250),"""",IF(ISDATE(B250),""X"",""""))"),"")</f>
        <v/>
      </c>
      <c r="L250" s="40" t="str">
        <f>IFERROR(__xludf.DUMMYFUNCTION("IF(ISBLANK(B250),"""",IF(Or(I250=""Em Aberto"",ISBLANK(I250),NOT(ISDATE(B250))),"""",H250))"),"")</f>
        <v/>
      </c>
      <c r="M250" s="29" t="str">
        <f>IFERROR(__xludf.DUMMYFUNCTION("IF(ISBLANK(B250),"""",IF(ISDATE(B250),TEXT(B250,""m""),""""))"),"")</f>
        <v/>
      </c>
      <c r="N250" s="29" t="str">
        <f>IFERROR(__xludf.DUMMYFUNCTION("IF(M250="""","""",QUERY({'Dashboard-Dados'!$Y$2:$AA$13},""Select Col2 Where Col1=""&amp;M250))"),"")</f>
        <v/>
      </c>
      <c r="O250" s="29" t="str">
        <f>IFERROR(__xludf.DUMMYFUNCTION("IF(ISBLANK(B250),"""",IF(ISDATE(B250),TEXT(B250,""yyyy""),""""))"),"")</f>
        <v/>
      </c>
    </row>
    <row r="251">
      <c r="B251" s="62"/>
      <c r="C251" s="56"/>
      <c r="D251" s="56"/>
      <c r="E251" s="56"/>
      <c r="F251" s="63"/>
      <c r="G251" s="64"/>
      <c r="H251" s="65"/>
      <c r="I251" s="63"/>
      <c r="K251" s="53" t="str">
        <f>IFERROR(__xludf.DUMMYFUNCTION("IF(ISBLANK(B251),"""",IF(ISDATE(B251),""X"",""""))"),"")</f>
        <v/>
      </c>
      <c r="L251" s="40" t="str">
        <f>IFERROR(__xludf.DUMMYFUNCTION("IF(ISBLANK(B251),"""",IF(Or(I251=""Em Aberto"",ISBLANK(I251),NOT(ISDATE(B251))),"""",H251))"),"")</f>
        <v/>
      </c>
      <c r="M251" s="29" t="str">
        <f>IFERROR(__xludf.DUMMYFUNCTION("IF(ISBLANK(B251),"""",IF(ISDATE(B251),TEXT(B251,""m""),""""))"),"")</f>
        <v/>
      </c>
      <c r="N251" s="29" t="str">
        <f>IFERROR(__xludf.DUMMYFUNCTION("IF(M251="""","""",QUERY({'Dashboard-Dados'!$Y$2:$AA$13},""Select Col2 Where Col1=""&amp;M251))"),"")</f>
        <v/>
      </c>
      <c r="O251" s="29" t="str">
        <f>IFERROR(__xludf.DUMMYFUNCTION("IF(ISBLANK(B251),"""",IF(ISDATE(B251),TEXT(B251,""yyyy""),""""))"),"")</f>
        <v/>
      </c>
    </row>
    <row r="252">
      <c r="B252" s="62"/>
      <c r="C252" s="56"/>
      <c r="D252" s="56"/>
      <c r="E252" s="56"/>
      <c r="F252" s="63"/>
      <c r="G252" s="64"/>
      <c r="H252" s="65"/>
      <c r="I252" s="63"/>
      <c r="K252" s="53" t="str">
        <f>IFERROR(__xludf.DUMMYFUNCTION("IF(ISBLANK(B252),"""",IF(ISDATE(B252),""X"",""""))"),"")</f>
        <v/>
      </c>
      <c r="L252" s="40" t="str">
        <f>IFERROR(__xludf.DUMMYFUNCTION("IF(ISBLANK(B252),"""",IF(Or(I252=""Em Aberto"",ISBLANK(I252),NOT(ISDATE(B252))),"""",H252))"),"")</f>
        <v/>
      </c>
      <c r="M252" s="29" t="str">
        <f>IFERROR(__xludf.DUMMYFUNCTION("IF(ISBLANK(B252),"""",IF(ISDATE(B252),TEXT(B252,""m""),""""))"),"")</f>
        <v/>
      </c>
      <c r="N252" s="29" t="str">
        <f>IFERROR(__xludf.DUMMYFUNCTION("IF(M252="""","""",QUERY({'Dashboard-Dados'!$Y$2:$AA$13},""Select Col2 Where Col1=""&amp;M252))"),"")</f>
        <v/>
      </c>
      <c r="O252" s="29" t="str">
        <f>IFERROR(__xludf.DUMMYFUNCTION("IF(ISBLANK(B252),"""",IF(ISDATE(B252),TEXT(B252,""yyyy""),""""))"),"")</f>
        <v/>
      </c>
    </row>
    <row r="253">
      <c r="B253" s="62"/>
      <c r="C253" s="56"/>
      <c r="D253" s="56"/>
      <c r="E253" s="56"/>
      <c r="F253" s="63"/>
      <c r="G253" s="64"/>
      <c r="H253" s="65"/>
      <c r="I253" s="63"/>
      <c r="K253" s="53" t="str">
        <f>IFERROR(__xludf.DUMMYFUNCTION("IF(ISBLANK(B253),"""",IF(ISDATE(B253),""X"",""""))"),"")</f>
        <v/>
      </c>
      <c r="L253" s="40" t="str">
        <f>IFERROR(__xludf.DUMMYFUNCTION("IF(ISBLANK(B253),"""",IF(Or(I253=""Em Aberto"",ISBLANK(I253),NOT(ISDATE(B253))),"""",H253))"),"")</f>
        <v/>
      </c>
      <c r="M253" s="29" t="str">
        <f>IFERROR(__xludf.DUMMYFUNCTION("IF(ISBLANK(B253),"""",IF(ISDATE(B253),TEXT(B253,""m""),""""))"),"")</f>
        <v/>
      </c>
      <c r="N253" s="29" t="str">
        <f>IFERROR(__xludf.DUMMYFUNCTION("IF(M253="""","""",QUERY({'Dashboard-Dados'!$Y$2:$AA$13},""Select Col2 Where Col1=""&amp;M253))"),"")</f>
        <v/>
      </c>
      <c r="O253" s="29" t="str">
        <f>IFERROR(__xludf.DUMMYFUNCTION("IF(ISBLANK(B253),"""",IF(ISDATE(B253),TEXT(B253,""yyyy""),""""))"),"")</f>
        <v/>
      </c>
    </row>
    <row r="254">
      <c r="B254" s="62"/>
      <c r="C254" s="56"/>
      <c r="D254" s="56"/>
      <c r="E254" s="56"/>
      <c r="F254" s="63"/>
      <c r="G254" s="64"/>
      <c r="H254" s="65"/>
      <c r="I254" s="63"/>
      <c r="K254" s="53" t="str">
        <f>IFERROR(__xludf.DUMMYFUNCTION("IF(ISBLANK(B254),"""",IF(ISDATE(B254),""X"",""""))"),"")</f>
        <v/>
      </c>
      <c r="L254" s="40" t="str">
        <f>IFERROR(__xludf.DUMMYFUNCTION("IF(ISBLANK(B254),"""",IF(Or(I254=""Em Aberto"",ISBLANK(I254),NOT(ISDATE(B254))),"""",H254))"),"")</f>
        <v/>
      </c>
      <c r="M254" s="29" t="str">
        <f>IFERROR(__xludf.DUMMYFUNCTION("IF(ISBLANK(B254),"""",IF(ISDATE(B254),TEXT(B254,""m""),""""))"),"")</f>
        <v/>
      </c>
      <c r="N254" s="29" t="str">
        <f>IFERROR(__xludf.DUMMYFUNCTION("IF(M254="""","""",QUERY({'Dashboard-Dados'!$Y$2:$AA$13},""Select Col2 Where Col1=""&amp;M254))"),"")</f>
        <v/>
      </c>
      <c r="O254" s="29" t="str">
        <f>IFERROR(__xludf.DUMMYFUNCTION("IF(ISBLANK(B254),"""",IF(ISDATE(B254),TEXT(B254,""yyyy""),""""))"),"")</f>
        <v/>
      </c>
    </row>
    <row r="255">
      <c r="B255" s="62"/>
      <c r="C255" s="56"/>
      <c r="D255" s="56"/>
      <c r="E255" s="56"/>
      <c r="F255" s="63"/>
      <c r="G255" s="64"/>
      <c r="H255" s="65"/>
      <c r="I255" s="63"/>
      <c r="K255" s="53" t="str">
        <f>IFERROR(__xludf.DUMMYFUNCTION("IF(ISBLANK(B255),"""",IF(ISDATE(B255),""X"",""""))"),"")</f>
        <v/>
      </c>
      <c r="L255" s="40" t="str">
        <f>IFERROR(__xludf.DUMMYFUNCTION("IF(ISBLANK(B255),"""",IF(Or(I255=""Em Aberto"",ISBLANK(I255),NOT(ISDATE(B255))),"""",H255))"),"")</f>
        <v/>
      </c>
      <c r="M255" s="29" t="str">
        <f>IFERROR(__xludf.DUMMYFUNCTION("IF(ISBLANK(B255),"""",IF(ISDATE(B255),TEXT(B255,""m""),""""))"),"")</f>
        <v/>
      </c>
      <c r="N255" s="29" t="str">
        <f>IFERROR(__xludf.DUMMYFUNCTION("IF(M255="""","""",QUERY({'Dashboard-Dados'!$Y$2:$AA$13},""Select Col2 Where Col1=""&amp;M255))"),"")</f>
        <v/>
      </c>
      <c r="O255" s="29" t="str">
        <f>IFERROR(__xludf.DUMMYFUNCTION("IF(ISBLANK(B255),"""",IF(ISDATE(B255),TEXT(B255,""yyyy""),""""))"),"")</f>
        <v/>
      </c>
    </row>
    <row r="256">
      <c r="B256" s="62"/>
      <c r="C256" s="56"/>
      <c r="D256" s="56"/>
      <c r="E256" s="56"/>
      <c r="F256" s="63"/>
      <c r="G256" s="64"/>
      <c r="H256" s="65"/>
      <c r="I256" s="63"/>
      <c r="K256" s="53" t="str">
        <f>IFERROR(__xludf.DUMMYFUNCTION("IF(ISBLANK(B256),"""",IF(ISDATE(B256),""X"",""""))"),"")</f>
        <v/>
      </c>
      <c r="L256" s="40" t="str">
        <f>IFERROR(__xludf.DUMMYFUNCTION("IF(ISBLANK(B256),"""",IF(Or(I256=""Em Aberto"",ISBLANK(I256),NOT(ISDATE(B256))),"""",H256))"),"")</f>
        <v/>
      </c>
      <c r="M256" s="29" t="str">
        <f>IFERROR(__xludf.DUMMYFUNCTION("IF(ISBLANK(B256),"""",IF(ISDATE(B256),TEXT(B256,""m""),""""))"),"")</f>
        <v/>
      </c>
      <c r="N256" s="29" t="str">
        <f>IFERROR(__xludf.DUMMYFUNCTION("IF(M256="""","""",QUERY({'Dashboard-Dados'!$Y$2:$AA$13},""Select Col2 Where Col1=""&amp;M256))"),"")</f>
        <v/>
      </c>
      <c r="O256" s="29" t="str">
        <f>IFERROR(__xludf.DUMMYFUNCTION("IF(ISBLANK(B256),"""",IF(ISDATE(B256),TEXT(B256,""yyyy""),""""))"),"")</f>
        <v/>
      </c>
    </row>
    <row r="257">
      <c r="B257" s="62"/>
      <c r="C257" s="56"/>
      <c r="D257" s="56"/>
      <c r="E257" s="56"/>
      <c r="F257" s="63"/>
      <c r="G257" s="64"/>
      <c r="H257" s="65"/>
      <c r="I257" s="63"/>
      <c r="K257" s="53" t="str">
        <f>IFERROR(__xludf.DUMMYFUNCTION("IF(ISBLANK(B257),"""",IF(ISDATE(B257),""X"",""""))"),"")</f>
        <v/>
      </c>
      <c r="L257" s="40" t="str">
        <f>IFERROR(__xludf.DUMMYFUNCTION("IF(ISBLANK(B257),"""",IF(Or(I257=""Em Aberto"",ISBLANK(I257),NOT(ISDATE(B257))),"""",H257))"),"")</f>
        <v/>
      </c>
      <c r="M257" s="29" t="str">
        <f>IFERROR(__xludf.DUMMYFUNCTION("IF(ISBLANK(B257),"""",IF(ISDATE(B257),TEXT(B257,""m""),""""))"),"")</f>
        <v/>
      </c>
      <c r="N257" s="29" t="str">
        <f>IFERROR(__xludf.DUMMYFUNCTION("IF(M257="""","""",QUERY({'Dashboard-Dados'!$Y$2:$AA$13},""Select Col2 Where Col1=""&amp;M257))"),"")</f>
        <v/>
      </c>
      <c r="O257" s="29" t="str">
        <f>IFERROR(__xludf.DUMMYFUNCTION("IF(ISBLANK(B257),"""",IF(ISDATE(B257),TEXT(B257,""yyyy""),""""))"),"")</f>
        <v/>
      </c>
    </row>
    <row r="258">
      <c r="B258" s="62"/>
      <c r="C258" s="56"/>
      <c r="D258" s="56"/>
      <c r="E258" s="56"/>
      <c r="F258" s="63"/>
      <c r="G258" s="64"/>
      <c r="H258" s="65"/>
      <c r="I258" s="63"/>
      <c r="K258" s="53" t="str">
        <f>IFERROR(__xludf.DUMMYFUNCTION("IF(ISBLANK(B258),"""",IF(ISDATE(B258),""X"",""""))"),"")</f>
        <v/>
      </c>
      <c r="L258" s="40" t="str">
        <f>IFERROR(__xludf.DUMMYFUNCTION("IF(ISBLANK(B258),"""",IF(Or(I258=""Em Aberto"",ISBLANK(I258),NOT(ISDATE(B258))),"""",H258))"),"")</f>
        <v/>
      </c>
      <c r="M258" s="29" t="str">
        <f>IFERROR(__xludf.DUMMYFUNCTION("IF(ISBLANK(B258),"""",IF(ISDATE(B258),TEXT(B258,""m""),""""))"),"")</f>
        <v/>
      </c>
      <c r="N258" s="29" t="str">
        <f>IFERROR(__xludf.DUMMYFUNCTION("IF(M258="""","""",QUERY({'Dashboard-Dados'!$Y$2:$AA$13},""Select Col2 Where Col1=""&amp;M258))"),"")</f>
        <v/>
      </c>
      <c r="O258" s="29" t="str">
        <f>IFERROR(__xludf.DUMMYFUNCTION("IF(ISBLANK(B258),"""",IF(ISDATE(B258),TEXT(B258,""yyyy""),""""))"),"")</f>
        <v/>
      </c>
    </row>
    <row r="259">
      <c r="B259" s="62"/>
      <c r="C259" s="56"/>
      <c r="D259" s="56"/>
      <c r="E259" s="56"/>
      <c r="F259" s="63"/>
      <c r="G259" s="64"/>
      <c r="H259" s="65"/>
      <c r="I259" s="63"/>
      <c r="K259" s="53" t="str">
        <f>IFERROR(__xludf.DUMMYFUNCTION("IF(ISBLANK(B259),"""",IF(ISDATE(B259),""X"",""""))"),"")</f>
        <v/>
      </c>
      <c r="L259" s="40" t="str">
        <f>IFERROR(__xludf.DUMMYFUNCTION("IF(ISBLANK(B259),"""",IF(Or(I259=""Em Aberto"",ISBLANK(I259),NOT(ISDATE(B259))),"""",H259))"),"")</f>
        <v/>
      </c>
      <c r="M259" s="29" t="str">
        <f>IFERROR(__xludf.DUMMYFUNCTION("IF(ISBLANK(B259),"""",IF(ISDATE(B259),TEXT(B259,""m""),""""))"),"")</f>
        <v/>
      </c>
      <c r="N259" s="29" t="str">
        <f>IFERROR(__xludf.DUMMYFUNCTION("IF(M259="""","""",QUERY({'Dashboard-Dados'!$Y$2:$AA$13},""Select Col2 Where Col1=""&amp;M259))"),"")</f>
        <v/>
      </c>
      <c r="O259" s="29" t="str">
        <f>IFERROR(__xludf.DUMMYFUNCTION("IF(ISBLANK(B259),"""",IF(ISDATE(B259),TEXT(B259,""yyyy""),""""))"),"")</f>
        <v/>
      </c>
    </row>
    <row r="260">
      <c r="B260" s="62"/>
      <c r="C260" s="56"/>
      <c r="D260" s="56"/>
      <c r="E260" s="56"/>
      <c r="F260" s="63"/>
      <c r="G260" s="64"/>
      <c r="H260" s="65"/>
      <c r="I260" s="63"/>
      <c r="K260" s="53" t="str">
        <f>IFERROR(__xludf.DUMMYFUNCTION("IF(ISBLANK(B260),"""",IF(ISDATE(B260),""X"",""""))"),"")</f>
        <v/>
      </c>
      <c r="L260" s="40" t="str">
        <f>IFERROR(__xludf.DUMMYFUNCTION("IF(ISBLANK(B260),"""",IF(Or(I260=""Em Aberto"",ISBLANK(I260),NOT(ISDATE(B260))),"""",H260))"),"")</f>
        <v/>
      </c>
      <c r="M260" s="29" t="str">
        <f>IFERROR(__xludf.DUMMYFUNCTION("IF(ISBLANK(B260),"""",IF(ISDATE(B260),TEXT(B260,""m""),""""))"),"")</f>
        <v/>
      </c>
      <c r="N260" s="29" t="str">
        <f>IFERROR(__xludf.DUMMYFUNCTION("IF(M260="""","""",QUERY({'Dashboard-Dados'!$Y$2:$AA$13},""Select Col2 Where Col1=""&amp;M260))"),"")</f>
        <v/>
      </c>
      <c r="O260" s="29" t="str">
        <f>IFERROR(__xludf.DUMMYFUNCTION("IF(ISBLANK(B260),"""",IF(ISDATE(B260),TEXT(B260,""yyyy""),""""))"),"")</f>
        <v/>
      </c>
    </row>
    <row r="261">
      <c r="B261" s="62"/>
      <c r="C261" s="56"/>
      <c r="D261" s="56"/>
      <c r="E261" s="56"/>
      <c r="F261" s="63"/>
      <c r="G261" s="64"/>
      <c r="H261" s="65"/>
      <c r="I261" s="63"/>
      <c r="K261" s="53" t="str">
        <f>IFERROR(__xludf.DUMMYFUNCTION("IF(ISBLANK(B261),"""",IF(ISDATE(B261),""X"",""""))"),"")</f>
        <v/>
      </c>
      <c r="L261" s="40" t="str">
        <f>IFERROR(__xludf.DUMMYFUNCTION("IF(ISBLANK(B261),"""",IF(Or(I261=""Em Aberto"",ISBLANK(I261),NOT(ISDATE(B261))),"""",H261))"),"")</f>
        <v/>
      </c>
      <c r="M261" s="29" t="str">
        <f>IFERROR(__xludf.DUMMYFUNCTION("IF(ISBLANK(B261),"""",IF(ISDATE(B261),TEXT(B261,""m""),""""))"),"")</f>
        <v/>
      </c>
      <c r="N261" s="29" t="str">
        <f>IFERROR(__xludf.DUMMYFUNCTION("IF(M261="""","""",QUERY({'Dashboard-Dados'!$Y$2:$AA$13},""Select Col2 Where Col1=""&amp;M261))"),"")</f>
        <v/>
      </c>
      <c r="O261" s="29" t="str">
        <f>IFERROR(__xludf.DUMMYFUNCTION("IF(ISBLANK(B261),"""",IF(ISDATE(B261),TEXT(B261,""yyyy""),""""))"),"")</f>
        <v/>
      </c>
    </row>
    <row r="262">
      <c r="B262" s="62"/>
      <c r="C262" s="56"/>
      <c r="D262" s="56"/>
      <c r="E262" s="56"/>
      <c r="F262" s="63"/>
      <c r="G262" s="64"/>
      <c r="H262" s="65"/>
      <c r="I262" s="63"/>
      <c r="K262" s="53" t="str">
        <f>IFERROR(__xludf.DUMMYFUNCTION("IF(ISBLANK(B262),"""",IF(ISDATE(B262),""X"",""""))"),"")</f>
        <v/>
      </c>
      <c r="L262" s="40" t="str">
        <f>IFERROR(__xludf.DUMMYFUNCTION("IF(ISBLANK(B262),"""",IF(Or(I262=""Em Aberto"",ISBLANK(I262),NOT(ISDATE(B262))),"""",H262))"),"")</f>
        <v/>
      </c>
      <c r="M262" s="29" t="str">
        <f>IFERROR(__xludf.DUMMYFUNCTION("IF(ISBLANK(B262),"""",IF(ISDATE(B262),TEXT(B262,""m""),""""))"),"")</f>
        <v/>
      </c>
      <c r="N262" s="29" t="str">
        <f>IFERROR(__xludf.DUMMYFUNCTION("IF(M262="""","""",QUERY({'Dashboard-Dados'!$Y$2:$AA$13},""Select Col2 Where Col1=""&amp;M262))"),"")</f>
        <v/>
      </c>
      <c r="O262" s="29" t="str">
        <f>IFERROR(__xludf.DUMMYFUNCTION("IF(ISBLANK(B262),"""",IF(ISDATE(B262),TEXT(B262,""yyyy""),""""))"),"")</f>
        <v/>
      </c>
    </row>
    <row r="263">
      <c r="B263" s="62"/>
      <c r="C263" s="56"/>
      <c r="D263" s="56"/>
      <c r="E263" s="56"/>
      <c r="F263" s="63"/>
      <c r="G263" s="64"/>
      <c r="H263" s="65"/>
      <c r="I263" s="63"/>
      <c r="K263" s="53" t="str">
        <f>IFERROR(__xludf.DUMMYFUNCTION("IF(ISBLANK(B263),"""",IF(ISDATE(B263),""X"",""""))"),"")</f>
        <v/>
      </c>
      <c r="L263" s="40" t="str">
        <f>IFERROR(__xludf.DUMMYFUNCTION("IF(ISBLANK(B263),"""",IF(Or(I263=""Em Aberto"",ISBLANK(I263),NOT(ISDATE(B263))),"""",H263))"),"")</f>
        <v/>
      </c>
      <c r="M263" s="29" t="str">
        <f>IFERROR(__xludf.DUMMYFUNCTION("IF(ISBLANK(B263),"""",IF(ISDATE(B263),TEXT(B263,""m""),""""))"),"")</f>
        <v/>
      </c>
      <c r="N263" s="29" t="str">
        <f>IFERROR(__xludf.DUMMYFUNCTION("IF(M263="""","""",QUERY({'Dashboard-Dados'!$Y$2:$AA$13},""Select Col2 Where Col1=""&amp;M263))"),"")</f>
        <v/>
      </c>
      <c r="O263" s="29" t="str">
        <f>IFERROR(__xludf.DUMMYFUNCTION("IF(ISBLANK(B263),"""",IF(ISDATE(B263),TEXT(B263,""yyyy""),""""))"),"")</f>
        <v/>
      </c>
    </row>
    <row r="264">
      <c r="B264" s="62"/>
      <c r="C264" s="56"/>
      <c r="D264" s="56"/>
      <c r="E264" s="56"/>
      <c r="F264" s="63"/>
      <c r="G264" s="64"/>
      <c r="H264" s="65"/>
      <c r="I264" s="63"/>
      <c r="K264" s="53" t="str">
        <f>IFERROR(__xludf.DUMMYFUNCTION("IF(ISBLANK(B264),"""",IF(ISDATE(B264),""X"",""""))"),"")</f>
        <v/>
      </c>
      <c r="L264" s="40" t="str">
        <f>IFERROR(__xludf.DUMMYFUNCTION("IF(ISBLANK(B264),"""",IF(Or(I264=""Em Aberto"",ISBLANK(I264),NOT(ISDATE(B264))),"""",H264))"),"")</f>
        <v/>
      </c>
      <c r="M264" s="29" t="str">
        <f>IFERROR(__xludf.DUMMYFUNCTION("IF(ISBLANK(B264),"""",IF(ISDATE(B264),TEXT(B264,""m""),""""))"),"")</f>
        <v/>
      </c>
      <c r="N264" s="29" t="str">
        <f>IFERROR(__xludf.DUMMYFUNCTION("IF(M264="""","""",QUERY({'Dashboard-Dados'!$Y$2:$AA$13},""Select Col2 Where Col1=""&amp;M264))"),"")</f>
        <v/>
      </c>
      <c r="O264" s="29" t="str">
        <f>IFERROR(__xludf.DUMMYFUNCTION("IF(ISBLANK(B264),"""",IF(ISDATE(B264),TEXT(B264,""yyyy""),""""))"),"")</f>
        <v/>
      </c>
    </row>
    <row r="265">
      <c r="B265" s="62"/>
      <c r="C265" s="56"/>
      <c r="D265" s="56"/>
      <c r="E265" s="56"/>
      <c r="F265" s="63"/>
      <c r="G265" s="64"/>
      <c r="H265" s="65"/>
      <c r="I265" s="63"/>
      <c r="K265" s="53" t="str">
        <f>IFERROR(__xludf.DUMMYFUNCTION("IF(ISBLANK(B265),"""",IF(ISDATE(B265),""X"",""""))"),"")</f>
        <v/>
      </c>
      <c r="L265" s="40" t="str">
        <f>IFERROR(__xludf.DUMMYFUNCTION("IF(ISBLANK(B265),"""",IF(Or(I265=""Em Aberto"",ISBLANK(I265),NOT(ISDATE(B265))),"""",H265))"),"")</f>
        <v/>
      </c>
      <c r="M265" s="29" t="str">
        <f>IFERROR(__xludf.DUMMYFUNCTION("IF(ISBLANK(B265),"""",IF(ISDATE(B265),TEXT(B265,""m""),""""))"),"")</f>
        <v/>
      </c>
      <c r="N265" s="29" t="str">
        <f>IFERROR(__xludf.DUMMYFUNCTION("IF(M265="""","""",QUERY({'Dashboard-Dados'!$Y$2:$AA$13},""Select Col2 Where Col1=""&amp;M265))"),"")</f>
        <v/>
      </c>
      <c r="O265" s="29" t="str">
        <f>IFERROR(__xludf.DUMMYFUNCTION("IF(ISBLANK(B265),"""",IF(ISDATE(B265),TEXT(B265,""yyyy""),""""))"),"")</f>
        <v/>
      </c>
    </row>
    <row r="266">
      <c r="B266" s="62"/>
      <c r="C266" s="56"/>
      <c r="D266" s="56"/>
      <c r="E266" s="56"/>
      <c r="F266" s="63"/>
      <c r="G266" s="64"/>
      <c r="H266" s="65"/>
      <c r="I266" s="63"/>
      <c r="K266" s="53" t="str">
        <f>IFERROR(__xludf.DUMMYFUNCTION("IF(ISBLANK(B266),"""",IF(ISDATE(B266),""X"",""""))"),"")</f>
        <v/>
      </c>
      <c r="L266" s="40" t="str">
        <f>IFERROR(__xludf.DUMMYFUNCTION("IF(ISBLANK(B266),"""",IF(Or(I266=""Em Aberto"",ISBLANK(I266),NOT(ISDATE(B266))),"""",H266))"),"")</f>
        <v/>
      </c>
      <c r="M266" s="29" t="str">
        <f>IFERROR(__xludf.DUMMYFUNCTION("IF(ISBLANK(B266),"""",IF(ISDATE(B266),TEXT(B266,""m""),""""))"),"")</f>
        <v/>
      </c>
      <c r="N266" s="29" t="str">
        <f>IFERROR(__xludf.DUMMYFUNCTION("IF(M266="""","""",QUERY({'Dashboard-Dados'!$Y$2:$AA$13},""Select Col2 Where Col1=""&amp;M266))"),"")</f>
        <v/>
      </c>
      <c r="O266" s="29" t="str">
        <f>IFERROR(__xludf.DUMMYFUNCTION("IF(ISBLANK(B266),"""",IF(ISDATE(B266),TEXT(B266,""yyyy""),""""))"),"")</f>
        <v/>
      </c>
    </row>
    <row r="267">
      <c r="B267" s="62"/>
      <c r="C267" s="56"/>
      <c r="D267" s="56"/>
      <c r="E267" s="56"/>
      <c r="F267" s="63"/>
      <c r="G267" s="64"/>
      <c r="H267" s="65"/>
      <c r="I267" s="63"/>
      <c r="K267" s="53" t="str">
        <f>IFERROR(__xludf.DUMMYFUNCTION("IF(ISBLANK(B267),"""",IF(ISDATE(B267),""X"",""""))"),"")</f>
        <v/>
      </c>
      <c r="L267" s="40" t="str">
        <f>IFERROR(__xludf.DUMMYFUNCTION("IF(ISBLANK(B267),"""",IF(Or(I267=""Em Aberto"",ISBLANK(I267),NOT(ISDATE(B267))),"""",H267))"),"")</f>
        <v/>
      </c>
      <c r="M267" s="29" t="str">
        <f>IFERROR(__xludf.DUMMYFUNCTION("IF(ISBLANK(B267),"""",IF(ISDATE(B267),TEXT(B267,""m""),""""))"),"")</f>
        <v/>
      </c>
      <c r="N267" s="29" t="str">
        <f>IFERROR(__xludf.DUMMYFUNCTION("IF(M267="""","""",QUERY({'Dashboard-Dados'!$Y$2:$AA$13},""Select Col2 Where Col1=""&amp;M267))"),"")</f>
        <v/>
      </c>
      <c r="O267" s="29" t="str">
        <f>IFERROR(__xludf.DUMMYFUNCTION("IF(ISBLANK(B267),"""",IF(ISDATE(B267),TEXT(B267,""yyyy""),""""))"),"")</f>
        <v/>
      </c>
    </row>
    <row r="268">
      <c r="B268" s="62"/>
      <c r="C268" s="56"/>
      <c r="D268" s="56"/>
      <c r="E268" s="56"/>
      <c r="F268" s="63"/>
      <c r="G268" s="64"/>
      <c r="H268" s="65"/>
      <c r="I268" s="63"/>
      <c r="K268" s="53" t="str">
        <f>IFERROR(__xludf.DUMMYFUNCTION("IF(ISBLANK(B268),"""",IF(ISDATE(B268),""X"",""""))"),"")</f>
        <v/>
      </c>
      <c r="L268" s="40" t="str">
        <f>IFERROR(__xludf.DUMMYFUNCTION("IF(ISBLANK(B268),"""",IF(Or(I268=""Em Aberto"",ISBLANK(I268),NOT(ISDATE(B268))),"""",H268))"),"")</f>
        <v/>
      </c>
      <c r="M268" s="29" t="str">
        <f>IFERROR(__xludf.DUMMYFUNCTION("IF(ISBLANK(B268),"""",IF(ISDATE(B268),TEXT(B268,""m""),""""))"),"")</f>
        <v/>
      </c>
      <c r="N268" s="29" t="str">
        <f>IFERROR(__xludf.DUMMYFUNCTION("IF(M268="""","""",QUERY({'Dashboard-Dados'!$Y$2:$AA$13},""Select Col2 Where Col1=""&amp;M268))"),"")</f>
        <v/>
      </c>
      <c r="O268" s="29" t="str">
        <f>IFERROR(__xludf.DUMMYFUNCTION("IF(ISBLANK(B268),"""",IF(ISDATE(B268),TEXT(B268,""yyyy""),""""))"),"")</f>
        <v/>
      </c>
    </row>
    <row r="269">
      <c r="B269" s="62"/>
      <c r="C269" s="56"/>
      <c r="D269" s="56"/>
      <c r="E269" s="56"/>
      <c r="F269" s="63"/>
      <c r="G269" s="64"/>
      <c r="H269" s="65"/>
      <c r="I269" s="63"/>
      <c r="K269" s="53" t="str">
        <f>IFERROR(__xludf.DUMMYFUNCTION("IF(ISBLANK(B269),"""",IF(ISDATE(B269),""X"",""""))"),"")</f>
        <v/>
      </c>
      <c r="L269" s="40" t="str">
        <f>IFERROR(__xludf.DUMMYFUNCTION("IF(ISBLANK(B269),"""",IF(Or(I269=""Em Aberto"",ISBLANK(I269),NOT(ISDATE(B269))),"""",H269))"),"")</f>
        <v/>
      </c>
      <c r="M269" s="29" t="str">
        <f>IFERROR(__xludf.DUMMYFUNCTION("IF(ISBLANK(B269),"""",IF(ISDATE(B269),TEXT(B269,""m""),""""))"),"")</f>
        <v/>
      </c>
      <c r="N269" s="29" t="str">
        <f>IFERROR(__xludf.DUMMYFUNCTION("IF(M269="""","""",QUERY({'Dashboard-Dados'!$Y$2:$AA$13},""Select Col2 Where Col1=""&amp;M269))"),"")</f>
        <v/>
      </c>
      <c r="O269" s="29" t="str">
        <f>IFERROR(__xludf.DUMMYFUNCTION("IF(ISBLANK(B269),"""",IF(ISDATE(B269),TEXT(B269,""yyyy""),""""))"),"")</f>
        <v/>
      </c>
    </row>
    <row r="270">
      <c r="B270" s="62"/>
      <c r="C270" s="56"/>
      <c r="D270" s="56"/>
      <c r="E270" s="56"/>
      <c r="F270" s="63"/>
      <c r="G270" s="64"/>
      <c r="H270" s="65"/>
      <c r="I270" s="63"/>
      <c r="K270" s="53" t="str">
        <f>IFERROR(__xludf.DUMMYFUNCTION("IF(ISBLANK(B270),"""",IF(ISDATE(B270),""X"",""""))"),"")</f>
        <v/>
      </c>
      <c r="L270" s="40" t="str">
        <f>IFERROR(__xludf.DUMMYFUNCTION("IF(ISBLANK(B270),"""",IF(Or(I270=""Em Aberto"",ISBLANK(I270),NOT(ISDATE(B270))),"""",H270))"),"")</f>
        <v/>
      </c>
      <c r="M270" s="29" t="str">
        <f>IFERROR(__xludf.DUMMYFUNCTION("IF(ISBLANK(B270),"""",IF(ISDATE(B270),TEXT(B270,""m""),""""))"),"")</f>
        <v/>
      </c>
      <c r="N270" s="29" t="str">
        <f>IFERROR(__xludf.DUMMYFUNCTION("IF(M270="""","""",QUERY({'Dashboard-Dados'!$Y$2:$AA$13},""Select Col2 Where Col1=""&amp;M270))"),"")</f>
        <v/>
      </c>
      <c r="O270" s="29" t="str">
        <f>IFERROR(__xludf.DUMMYFUNCTION("IF(ISBLANK(B270),"""",IF(ISDATE(B270),TEXT(B270,""yyyy""),""""))"),"")</f>
        <v/>
      </c>
    </row>
    <row r="271">
      <c r="B271" s="62"/>
      <c r="C271" s="56"/>
      <c r="D271" s="56"/>
      <c r="E271" s="56"/>
      <c r="F271" s="63"/>
      <c r="G271" s="64"/>
      <c r="H271" s="65"/>
      <c r="I271" s="63"/>
      <c r="K271" s="53" t="str">
        <f>IFERROR(__xludf.DUMMYFUNCTION("IF(ISBLANK(B271),"""",IF(ISDATE(B271),""X"",""""))"),"")</f>
        <v/>
      </c>
      <c r="L271" s="40" t="str">
        <f>IFERROR(__xludf.DUMMYFUNCTION("IF(ISBLANK(B271),"""",IF(Or(I271=""Em Aberto"",ISBLANK(I271),NOT(ISDATE(B271))),"""",H271))"),"")</f>
        <v/>
      </c>
      <c r="M271" s="29" t="str">
        <f>IFERROR(__xludf.DUMMYFUNCTION("IF(ISBLANK(B271),"""",IF(ISDATE(B271),TEXT(B271,""m""),""""))"),"")</f>
        <v/>
      </c>
      <c r="N271" s="29" t="str">
        <f>IFERROR(__xludf.DUMMYFUNCTION("IF(M271="""","""",QUERY({'Dashboard-Dados'!$Y$2:$AA$13},""Select Col2 Where Col1=""&amp;M271))"),"")</f>
        <v/>
      </c>
      <c r="O271" s="29" t="str">
        <f>IFERROR(__xludf.DUMMYFUNCTION("IF(ISBLANK(B271),"""",IF(ISDATE(B271),TEXT(B271,""yyyy""),""""))"),"")</f>
        <v/>
      </c>
    </row>
    <row r="272">
      <c r="B272" s="62"/>
      <c r="C272" s="56"/>
      <c r="D272" s="56"/>
      <c r="E272" s="56"/>
      <c r="F272" s="63"/>
      <c r="G272" s="64"/>
      <c r="H272" s="65"/>
      <c r="I272" s="63"/>
      <c r="K272" s="53" t="str">
        <f>IFERROR(__xludf.DUMMYFUNCTION("IF(ISBLANK(B272),"""",IF(ISDATE(B272),""X"",""""))"),"")</f>
        <v/>
      </c>
      <c r="L272" s="40" t="str">
        <f>IFERROR(__xludf.DUMMYFUNCTION("IF(ISBLANK(B272),"""",IF(Or(I272=""Em Aberto"",ISBLANK(I272),NOT(ISDATE(B272))),"""",H272))"),"")</f>
        <v/>
      </c>
      <c r="M272" s="29" t="str">
        <f>IFERROR(__xludf.DUMMYFUNCTION("IF(ISBLANK(B272),"""",IF(ISDATE(B272),TEXT(B272,""m""),""""))"),"")</f>
        <v/>
      </c>
      <c r="N272" s="29" t="str">
        <f>IFERROR(__xludf.DUMMYFUNCTION("IF(M272="""","""",QUERY({'Dashboard-Dados'!$Y$2:$AA$13},""Select Col2 Where Col1=""&amp;M272))"),"")</f>
        <v/>
      </c>
      <c r="O272" s="29" t="str">
        <f>IFERROR(__xludf.DUMMYFUNCTION("IF(ISBLANK(B272),"""",IF(ISDATE(B272),TEXT(B272,""yyyy""),""""))"),"")</f>
        <v/>
      </c>
    </row>
    <row r="273">
      <c r="B273" s="62"/>
      <c r="C273" s="56"/>
      <c r="D273" s="56"/>
      <c r="E273" s="56"/>
      <c r="F273" s="63"/>
      <c r="G273" s="64"/>
      <c r="H273" s="65"/>
      <c r="I273" s="63"/>
      <c r="K273" s="53" t="str">
        <f>IFERROR(__xludf.DUMMYFUNCTION("IF(ISBLANK(B273),"""",IF(ISDATE(B273),""X"",""""))"),"")</f>
        <v/>
      </c>
      <c r="L273" s="40" t="str">
        <f>IFERROR(__xludf.DUMMYFUNCTION("IF(ISBLANK(B273),"""",IF(Or(I273=""Em Aberto"",ISBLANK(I273),NOT(ISDATE(B273))),"""",H273))"),"")</f>
        <v/>
      </c>
      <c r="M273" s="29" t="str">
        <f>IFERROR(__xludf.DUMMYFUNCTION("IF(ISBLANK(B273),"""",IF(ISDATE(B273),TEXT(B273,""m""),""""))"),"")</f>
        <v/>
      </c>
      <c r="N273" s="29" t="str">
        <f>IFERROR(__xludf.DUMMYFUNCTION("IF(M273="""","""",QUERY({'Dashboard-Dados'!$Y$2:$AA$13},""Select Col2 Where Col1=""&amp;M273))"),"")</f>
        <v/>
      </c>
      <c r="O273" s="29" t="str">
        <f>IFERROR(__xludf.DUMMYFUNCTION("IF(ISBLANK(B273),"""",IF(ISDATE(B273),TEXT(B273,""yyyy""),""""))"),"")</f>
        <v/>
      </c>
    </row>
    <row r="274">
      <c r="B274" s="62"/>
      <c r="C274" s="56"/>
      <c r="D274" s="56"/>
      <c r="E274" s="56"/>
      <c r="F274" s="63"/>
      <c r="G274" s="64"/>
      <c r="H274" s="65"/>
      <c r="I274" s="63"/>
      <c r="K274" s="53" t="str">
        <f>IFERROR(__xludf.DUMMYFUNCTION("IF(ISBLANK(B274),"""",IF(ISDATE(B274),""X"",""""))"),"")</f>
        <v/>
      </c>
      <c r="L274" s="40" t="str">
        <f>IFERROR(__xludf.DUMMYFUNCTION("IF(ISBLANK(B274),"""",IF(Or(I274=""Em Aberto"",ISBLANK(I274),NOT(ISDATE(B274))),"""",H274))"),"")</f>
        <v/>
      </c>
      <c r="M274" s="29" t="str">
        <f>IFERROR(__xludf.DUMMYFUNCTION("IF(ISBLANK(B274),"""",IF(ISDATE(B274),TEXT(B274,""m""),""""))"),"")</f>
        <v/>
      </c>
      <c r="N274" s="29" t="str">
        <f>IFERROR(__xludf.DUMMYFUNCTION("IF(M274="""","""",QUERY({'Dashboard-Dados'!$Y$2:$AA$13},""Select Col2 Where Col1=""&amp;M274))"),"")</f>
        <v/>
      </c>
      <c r="O274" s="29" t="str">
        <f>IFERROR(__xludf.DUMMYFUNCTION("IF(ISBLANK(B274),"""",IF(ISDATE(B274),TEXT(B274,""yyyy""),""""))"),"")</f>
        <v/>
      </c>
    </row>
    <row r="275">
      <c r="B275" s="62"/>
      <c r="C275" s="56"/>
      <c r="D275" s="56"/>
      <c r="E275" s="56"/>
      <c r="F275" s="63"/>
      <c r="G275" s="64"/>
      <c r="H275" s="65"/>
      <c r="I275" s="63"/>
      <c r="K275" s="53" t="str">
        <f>IFERROR(__xludf.DUMMYFUNCTION("IF(ISBLANK(B275),"""",IF(ISDATE(B275),""X"",""""))"),"")</f>
        <v/>
      </c>
      <c r="L275" s="40" t="str">
        <f>IFERROR(__xludf.DUMMYFUNCTION("IF(ISBLANK(B275),"""",IF(Or(I275=""Em Aberto"",ISBLANK(I275),NOT(ISDATE(B275))),"""",H275))"),"")</f>
        <v/>
      </c>
      <c r="M275" s="29" t="str">
        <f>IFERROR(__xludf.DUMMYFUNCTION("IF(ISBLANK(B275),"""",IF(ISDATE(B275),TEXT(B275,""m""),""""))"),"")</f>
        <v/>
      </c>
      <c r="N275" s="29" t="str">
        <f>IFERROR(__xludf.DUMMYFUNCTION("IF(M275="""","""",QUERY({'Dashboard-Dados'!$Y$2:$AA$13},""Select Col2 Where Col1=""&amp;M275))"),"")</f>
        <v/>
      </c>
      <c r="O275" s="29" t="str">
        <f>IFERROR(__xludf.DUMMYFUNCTION("IF(ISBLANK(B275),"""",IF(ISDATE(B275),TEXT(B275,""yyyy""),""""))"),"")</f>
        <v/>
      </c>
    </row>
    <row r="276">
      <c r="B276" s="62"/>
      <c r="C276" s="56"/>
      <c r="D276" s="56"/>
      <c r="E276" s="56"/>
      <c r="F276" s="63"/>
      <c r="G276" s="64"/>
      <c r="H276" s="65"/>
      <c r="I276" s="63"/>
      <c r="K276" s="53" t="str">
        <f>IFERROR(__xludf.DUMMYFUNCTION("IF(ISBLANK(B276),"""",IF(ISDATE(B276),""X"",""""))"),"")</f>
        <v/>
      </c>
      <c r="L276" s="40" t="str">
        <f>IFERROR(__xludf.DUMMYFUNCTION("IF(ISBLANK(B276),"""",IF(Or(I276=""Em Aberto"",ISBLANK(I276),NOT(ISDATE(B276))),"""",H276))"),"")</f>
        <v/>
      </c>
      <c r="M276" s="29" t="str">
        <f>IFERROR(__xludf.DUMMYFUNCTION("IF(ISBLANK(B276),"""",IF(ISDATE(B276),TEXT(B276,""m""),""""))"),"")</f>
        <v/>
      </c>
      <c r="N276" s="29" t="str">
        <f>IFERROR(__xludf.DUMMYFUNCTION("IF(M276="""","""",QUERY({'Dashboard-Dados'!$Y$2:$AA$13},""Select Col2 Where Col1=""&amp;M276))"),"")</f>
        <v/>
      </c>
      <c r="O276" s="29" t="str">
        <f>IFERROR(__xludf.DUMMYFUNCTION("IF(ISBLANK(B276),"""",IF(ISDATE(B276),TEXT(B276,""yyyy""),""""))"),"")</f>
        <v/>
      </c>
    </row>
    <row r="277">
      <c r="B277" s="62"/>
      <c r="C277" s="56"/>
      <c r="D277" s="56"/>
      <c r="E277" s="56"/>
      <c r="F277" s="63"/>
      <c r="G277" s="64"/>
      <c r="H277" s="65"/>
      <c r="I277" s="63"/>
      <c r="K277" s="53" t="str">
        <f>IFERROR(__xludf.DUMMYFUNCTION("IF(ISBLANK(B277),"""",IF(ISDATE(B277),""X"",""""))"),"")</f>
        <v/>
      </c>
      <c r="L277" s="40" t="str">
        <f>IFERROR(__xludf.DUMMYFUNCTION("IF(ISBLANK(B277),"""",IF(Or(I277=""Em Aberto"",ISBLANK(I277),NOT(ISDATE(B277))),"""",H277))"),"")</f>
        <v/>
      </c>
      <c r="M277" s="29" t="str">
        <f>IFERROR(__xludf.DUMMYFUNCTION("IF(ISBLANK(B277),"""",IF(ISDATE(B277),TEXT(B277,""m""),""""))"),"")</f>
        <v/>
      </c>
      <c r="N277" s="29" t="str">
        <f>IFERROR(__xludf.DUMMYFUNCTION("IF(M277="""","""",QUERY({'Dashboard-Dados'!$Y$2:$AA$13},""Select Col2 Where Col1=""&amp;M277))"),"")</f>
        <v/>
      </c>
      <c r="O277" s="29" t="str">
        <f>IFERROR(__xludf.DUMMYFUNCTION("IF(ISBLANK(B277),"""",IF(ISDATE(B277),TEXT(B277,""yyyy""),""""))"),"")</f>
        <v/>
      </c>
    </row>
    <row r="278">
      <c r="B278" s="62"/>
      <c r="C278" s="56"/>
      <c r="D278" s="56"/>
      <c r="E278" s="56"/>
      <c r="F278" s="63"/>
      <c r="G278" s="64"/>
      <c r="H278" s="65"/>
      <c r="I278" s="63"/>
      <c r="K278" s="53" t="str">
        <f>IFERROR(__xludf.DUMMYFUNCTION("IF(ISBLANK(B278),"""",IF(ISDATE(B278),""X"",""""))"),"")</f>
        <v/>
      </c>
      <c r="L278" s="40" t="str">
        <f>IFERROR(__xludf.DUMMYFUNCTION("IF(ISBLANK(B278),"""",IF(Or(I278=""Em Aberto"",ISBLANK(I278),NOT(ISDATE(B278))),"""",H278))"),"")</f>
        <v/>
      </c>
      <c r="M278" s="29" t="str">
        <f>IFERROR(__xludf.DUMMYFUNCTION("IF(ISBLANK(B278),"""",IF(ISDATE(B278),TEXT(B278,""m""),""""))"),"")</f>
        <v/>
      </c>
      <c r="N278" s="29" t="str">
        <f>IFERROR(__xludf.DUMMYFUNCTION("IF(M278="""","""",QUERY({'Dashboard-Dados'!$Y$2:$AA$13},""Select Col2 Where Col1=""&amp;M278))"),"")</f>
        <v/>
      </c>
      <c r="O278" s="29" t="str">
        <f>IFERROR(__xludf.DUMMYFUNCTION("IF(ISBLANK(B278),"""",IF(ISDATE(B278),TEXT(B278,""yyyy""),""""))"),"")</f>
        <v/>
      </c>
    </row>
    <row r="279">
      <c r="B279" s="62"/>
      <c r="C279" s="56"/>
      <c r="D279" s="56"/>
      <c r="E279" s="56"/>
      <c r="F279" s="63"/>
      <c r="G279" s="64"/>
      <c r="H279" s="65"/>
      <c r="I279" s="63"/>
      <c r="K279" s="53" t="str">
        <f>IFERROR(__xludf.DUMMYFUNCTION("IF(ISBLANK(B279),"""",IF(ISDATE(B279),""X"",""""))"),"")</f>
        <v/>
      </c>
      <c r="L279" s="40" t="str">
        <f>IFERROR(__xludf.DUMMYFUNCTION("IF(ISBLANK(B279),"""",IF(Or(I279=""Em Aberto"",ISBLANK(I279),NOT(ISDATE(B279))),"""",H279))"),"")</f>
        <v/>
      </c>
      <c r="M279" s="29" t="str">
        <f>IFERROR(__xludf.DUMMYFUNCTION("IF(ISBLANK(B279),"""",IF(ISDATE(B279),TEXT(B279,""m""),""""))"),"")</f>
        <v/>
      </c>
      <c r="N279" s="29" t="str">
        <f>IFERROR(__xludf.DUMMYFUNCTION("IF(M279="""","""",QUERY({'Dashboard-Dados'!$Y$2:$AA$13},""Select Col2 Where Col1=""&amp;M279))"),"")</f>
        <v/>
      </c>
      <c r="O279" s="29" t="str">
        <f>IFERROR(__xludf.DUMMYFUNCTION("IF(ISBLANK(B279),"""",IF(ISDATE(B279),TEXT(B279,""yyyy""),""""))"),"")</f>
        <v/>
      </c>
    </row>
    <row r="280">
      <c r="B280" s="62"/>
      <c r="C280" s="56"/>
      <c r="D280" s="56"/>
      <c r="E280" s="56"/>
      <c r="F280" s="63"/>
      <c r="G280" s="64"/>
      <c r="H280" s="65"/>
      <c r="I280" s="63"/>
      <c r="K280" s="53" t="str">
        <f>IFERROR(__xludf.DUMMYFUNCTION("IF(ISBLANK(B280),"""",IF(ISDATE(B280),""X"",""""))"),"")</f>
        <v/>
      </c>
      <c r="L280" s="40" t="str">
        <f>IFERROR(__xludf.DUMMYFUNCTION("IF(ISBLANK(B280),"""",IF(Or(I280=""Em Aberto"",ISBLANK(I280),NOT(ISDATE(B280))),"""",H280))"),"")</f>
        <v/>
      </c>
      <c r="M280" s="29" t="str">
        <f>IFERROR(__xludf.DUMMYFUNCTION("IF(ISBLANK(B280),"""",IF(ISDATE(B280),TEXT(B280,""m""),""""))"),"")</f>
        <v/>
      </c>
      <c r="N280" s="29" t="str">
        <f>IFERROR(__xludf.DUMMYFUNCTION("IF(M280="""","""",QUERY({'Dashboard-Dados'!$Y$2:$AA$13},""Select Col2 Where Col1=""&amp;M280))"),"")</f>
        <v/>
      </c>
      <c r="O280" s="29" t="str">
        <f>IFERROR(__xludf.DUMMYFUNCTION("IF(ISBLANK(B280),"""",IF(ISDATE(B280),TEXT(B280,""yyyy""),""""))"),"")</f>
        <v/>
      </c>
    </row>
    <row r="281">
      <c r="B281" s="62"/>
      <c r="C281" s="56"/>
      <c r="D281" s="56"/>
      <c r="E281" s="56"/>
      <c r="F281" s="63"/>
      <c r="G281" s="64"/>
      <c r="H281" s="65"/>
      <c r="I281" s="63"/>
      <c r="K281" s="53" t="str">
        <f>IFERROR(__xludf.DUMMYFUNCTION("IF(ISBLANK(B281),"""",IF(ISDATE(B281),""X"",""""))"),"")</f>
        <v/>
      </c>
      <c r="L281" s="40" t="str">
        <f>IFERROR(__xludf.DUMMYFUNCTION("IF(ISBLANK(B281),"""",IF(Or(I281=""Em Aberto"",ISBLANK(I281),NOT(ISDATE(B281))),"""",H281))"),"")</f>
        <v/>
      </c>
      <c r="M281" s="29" t="str">
        <f>IFERROR(__xludf.DUMMYFUNCTION("IF(ISBLANK(B281),"""",IF(ISDATE(B281),TEXT(B281,""m""),""""))"),"")</f>
        <v/>
      </c>
      <c r="N281" s="29" t="str">
        <f>IFERROR(__xludf.DUMMYFUNCTION("IF(M281="""","""",QUERY({'Dashboard-Dados'!$Y$2:$AA$13},""Select Col2 Where Col1=""&amp;M281))"),"")</f>
        <v/>
      </c>
      <c r="O281" s="29" t="str">
        <f>IFERROR(__xludf.DUMMYFUNCTION("IF(ISBLANK(B281),"""",IF(ISDATE(B281),TEXT(B281,""yyyy""),""""))"),"")</f>
        <v/>
      </c>
    </row>
    <row r="282">
      <c r="B282" s="62"/>
      <c r="C282" s="56"/>
      <c r="D282" s="56"/>
      <c r="E282" s="56"/>
      <c r="F282" s="63"/>
      <c r="G282" s="64"/>
      <c r="H282" s="65"/>
      <c r="I282" s="63"/>
      <c r="K282" s="53" t="str">
        <f>IFERROR(__xludf.DUMMYFUNCTION("IF(ISBLANK(B282),"""",IF(ISDATE(B282),""X"",""""))"),"")</f>
        <v/>
      </c>
      <c r="L282" s="40" t="str">
        <f>IFERROR(__xludf.DUMMYFUNCTION("IF(ISBLANK(B282),"""",IF(Or(I282=""Em Aberto"",ISBLANK(I282),NOT(ISDATE(B282))),"""",H282))"),"")</f>
        <v/>
      </c>
      <c r="M282" s="29" t="str">
        <f>IFERROR(__xludf.DUMMYFUNCTION("IF(ISBLANK(B282),"""",IF(ISDATE(B282),TEXT(B282,""m""),""""))"),"")</f>
        <v/>
      </c>
      <c r="N282" s="29" t="str">
        <f>IFERROR(__xludf.DUMMYFUNCTION("IF(M282="""","""",QUERY({'Dashboard-Dados'!$Y$2:$AA$13},""Select Col2 Where Col1=""&amp;M282))"),"")</f>
        <v/>
      </c>
      <c r="O282" s="29" t="str">
        <f>IFERROR(__xludf.DUMMYFUNCTION("IF(ISBLANK(B282),"""",IF(ISDATE(B282),TEXT(B282,""yyyy""),""""))"),"")</f>
        <v/>
      </c>
    </row>
    <row r="283">
      <c r="B283" s="62"/>
      <c r="C283" s="56"/>
      <c r="D283" s="56"/>
      <c r="E283" s="56"/>
      <c r="F283" s="63"/>
      <c r="G283" s="64"/>
      <c r="H283" s="65"/>
      <c r="I283" s="63"/>
      <c r="K283" s="53" t="str">
        <f>IFERROR(__xludf.DUMMYFUNCTION("IF(ISBLANK(B283),"""",IF(ISDATE(B283),""X"",""""))"),"")</f>
        <v/>
      </c>
      <c r="L283" s="40" t="str">
        <f>IFERROR(__xludf.DUMMYFUNCTION("IF(ISBLANK(B283),"""",IF(Or(I283=""Em Aberto"",ISBLANK(I283),NOT(ISDATE(B283))),"""",H283))"),"")</f>
        <v/>
      </c>
      <c r="M283" s="29" t="str">
        <f>IFERROR(__xludf.DUMMYFUNCTION("IF(ISBLANK(B283),"""",IF(ISDATE(B283),TEXT(B283,""m""),""""))"),"")</f>
        <v/>
      </c>
      <c r="N283" s="29" t="str">
        <f>IFERROR(__xludf.DUMMYFUNCTION("IF(M283="""","""",QUERY({'Dashboard-Dados'!$Y$2:$AA$13},""Select Col2 Where Col1=""&amp;M283))"),"")</f>
        <v/>
      </c>
      <c r="O283" s="29" t="str">
        <f>IFERROR(__xludf.DUMMYFUNCTION("IF(ISBLANK(B283),"""",IF(ISDATE(B283),TEXT(B283,""yyyy""),""""))"),"")</f>
        <v/>
      </c>
    </row>
    <row r="284">
      <c r="B284" s="62"/>
      <c r="C284" s="56"/>
      <c r="D284" s="56"/>
      <c r="E284" s="56"/>
      <c r="F284" s="63"/>
      <c r="G284" s="64"/>
      <c r="H284" s="65"/>
      <c r="I284" s="63"/>
      <c r="K284" s="53" t="str">
        <f>IFERROR(__xludf.DUMMYFUNCTION("IF(ISBLANK(B284),"""",IF(ISDATE(B284),""X"",""""))"),"")</f>
        <v/>
      </c>
      <c r="L284" s="40" t="str">
        <f>IFERROR(__xludf.DUMMYFUNCTION("IF(ISBLANK(B284),"""",IF(Or(I284=""Em Aberto"",ISBLANK(I284),NOT(ISDATE(B284))),"""",H284))"),"")</f>
        <v/>
      </c>
      <c r="M284" s="29" t="str">
        <f>IFERROR(__xludf.DUMMYFUNCTION("IF(ISBLANK(B284),"""",IF(ISDATE(B284),TEXT(B284,""m""),""""))"),"")</f>
        <v/>
      </c>
      <c r="N284" s="29" t="str">
        <f>IFERROR(__xludf.DUMMYFUNCTION("IF(M284="""","""",QUERY({'Dashboard-Dados'!$Y$2:$AA$13},""Select Col2 Where Col1=""&amp;M284))"),"")</f>
        <v/>
      </c>
      <c r="O284" s="29" t="str">
        <f>IFERROR(__xludf.DUMMYFUNCTION("IF(ISBLANK(B284),"""",IF(ISDATE(B284),TEXT(B284,""yyyy""),""""))"),"")</f>
        <v/>
      </c>
    </row>
    <row r="285">
      <c r="B285" s="62"/>
      <c r="C285" s="56"/>
      <c r="D285" s="56"/>
      <c r="E285" s="56"/>
      <c r="F285" s="63"/>
      <c r="G285" s="64"/>
      <c r="H285" s="65"/>
      <c r="I285" s="63"/>
      <c r="K285" s="53" t="str">
        <f>IFERROR(__xludf.DUMMYFUNCTION("IF(ISBLANK(B285),"""",IF(ISDATE(B285),""X"",""""))"),"")</f>
        <v/>
      </c>
      <c r="L285" s="40" t="str">
        <f>IFERROR(__xludf.DUMMYFUNCTION("IF(ISBLANK(B285),"""",IF(Or(I285=""Em Aberto"",ISBLANK(I285),NOT(ISDATE(B285))),"""",H285))"),"")</f>
        <v/>
      </c>
      <c r="M285" s="29" t="str">
        <f>IFERROR(__xludf.DUMMYFUNCTION("IF(ISBLANK(B285),"""",IF(ISDATE(B285),TEXT(B285,""m""),""""))"),"")</f>
        <v/>
      </c>
      <c r="N285" s="29" t="str">
        <f>IFERROR(__xludf.DUMMYFUNCTION("IF(M285="""","""",QUERY({'Dashboard-Dados'!$Y$2:$AA$13},""Select Col2 Where Col1=""&amp;M285))"),"")</f>
        <v/>
      </c>
      <c r="O285" s="29" t="str">
        <f>IFERROR(__xludf.DUMMYFUNCTION("IF(ISBLANK(B285),"""",IF(ISDATE(B285),TEXT(B285,""yyyy""),""""))"),"")</f>
        <v/>
      </c>
    </row>
    <row r="286">
      <c r="B286" s="62"/>
      <c r="C286" s="56"/>
      <c r="D286" s="56"/>
      <c r="E286" s="56"/>
      <c r="F286" s="63"/>
      <c r="G286" s="64"/>
      <c r="H286" s="65"/>
      <c r="I286" s="63"/>
      <c r="K286" s="53" t="str">
        <f>IFERROR(__xludf.DUMMYFUNCTION("IF(ISBLANK(B286),"""",IF(ISDATE(B286),""X"",""""))"),"")</f>
        <v/>
      </c>
      <c r="L286" s="40" t="str">
        <f>IFERROR(__xludf.DUMMYFUNCTION("IF(ISBLANK(B286),"""",IF(Or(I286=""Em Aberto"",ISBLANK(I286),NOT(ISDATE(B286))),"""",H286))"),"")</f>
        <v/>
      </c>
      <c r="M286" s="29" t="str">
        <f>IFERROR(__xludf.DUMMYFUNCTION("IF(ISBLANK(B286),"""",IF(ISDATE(B286),TEXT(B286,""m""),""""))"),"")</f>
        <v/>
      </c>
      <c r="N286" s="29" t="str">
        <f>IFERROR(__xludf.DUMMYFUNCTION("IF(M286="""","""",QUERY({'Dashboard-Dados'!$Y$2:$AA$13},""Select Col2 Where Col1=""&amp;M286))"),"")</f>
        <v/>
      </c>
      <c r="O286" s="29" t="str">
        <f>IFERROR(__xludf.DUMMYFUNCTION("IF(ISBLANK(B286),"""",IF(ISDATE(B286),TEXT(B286,""yyyy""),""""))"),"")</f>
        <v/>
      </c>
    </row>
    <row r="287">
      <c r="B287" s="62"/>
      <c r="C287" s="56"/>
      <c r="D287" s="56"/>
      <c r="E287" s="56"/>
      <c r="F287" s="63"/>
      <c r="G287" s="64"/>
      <c r="H287" s="65"/>
      <c r="I287" s="63"/>
      <c r="K287" s="53" t="str">
        <f>IFERROR(__xludf.DUMMYFUNCTION("IF(ISBLANK(B287),"""",IF(ISDATE(B287),""X"",""""))"),"")</f>
        <v/>
      </c>
      <c r="L287" s="40" t="str">
        <f>IFERROR(__xludf.DUMMYFUNCTION("IF(ISBLANK(B287),"""",IF(Or(I287=""Em Aberto"",ISBLANK(I287),NOT(ISDATE(B287))),"""",H287))"),"")</f>
        <v/>
      </c>
      <c r="M287" s="29" t="str">
        <f>IFERROR(__xludf.DUMMYFUNCTION("IF(ISBLANK(B287),"""",IF(ISDATE(B287),TEXT(B287,""m""),""""))"),"")</f>
        <v/>
      </c>
      <c r="N287" s="29" t="str">
        <f>IFERROR(__xludf.DUMMYFUNCTION("IF(M287="""","""",QUERY({'Dashboard-Dados'!$Y$2:$AA$13},""Select Col2 Where Col1=""&amp;M287))"),"")</f>
        <v/>
      </c>
      <c r="O287" s="29" t="str">
        <f>IFERROR(__xludf.DUMMYFUNCTION("IF(ISBLANK(B287),"""",IF(ISDATE(B287),TEXT(B287,""yyyy""),""""))"),"")</f>
        <v/>
      </c>
    </row>
    <row r="288">
      <c r="B288" s="62"/>
      <c r="C288" s="56"/>
      <c r="D288" s="56"/>
      <c r="E288" s="56"/>
      <c r="F288" s="63"/>
      <c r="G288" s="64"/>
      <c r="H288" s="65"/>
      <c r="I288" s="63"/>
      <c r="K288" s="53" t="str">
        <f>IFERROR(__xludf.DUMMYFUNCTION("IF(ISBLANK(B288),"""",IF(ISDATE(B288),""X"",""""))"),"")</f>
        <v/>
      </c>
      <c r="L288" s="40" t="str">
        <f>IFERROR(__xludf.DUMMYFUNCTION("IF(ISBLANK(B288),"""",IF(Or(I288=""Em Aberto"",ISBLANK(I288),NOT(ISDATE(B288))),"""",H288))"),"")</f>
        <v/>
      </c>
      <c r="M288" s="29" t="str">
        <f>IFERROR(__xludf.DUMMYFUNCTION("IF(ISBLANK(B288),"""",IF(ISDATE(B288),TEXT(B288,""m""),""""))"),"")</f>
        <v/>
      </c>
      <c r="N288" s="29" t="str">
        <f>IFERROR(__xludf.DUMMYFUNCTION("IF(M288="""","""",QUERY({'Dashboard-Dados'!$Y$2:$AA$13},""Select Col2 Where Col1=""&amp;M288))"),"")</f>
        <v/>
      </c>
      <c r="O288" s="29" t="str">
        <f>IFERROR(__xludf.DUMMYFUNCTION("IF(ISBLANK(B288),"""",IF(ISDATE(B288),TEXT(B288,""yyyy""),""""))"),"")</f>
        <v/>
      </c>
    </row>
    <row r="289">
      <c r="B289" s="62"/>
      <c r="C289" s="56"/>
      <c r="D289" s="56"/>
      <c r="E289" s="56"/>
      <c r="F289" s="63"/>
      <c r="G289" s="64"/>
      <c r="H289" s="65"/>
      <c r="I289" s="63"/>
      <c r="K289" s="53" t="str">
        <f>IFERROR(__xludf.DUMMYFUNCTION("IF(ISBLANK(B289),"""",IF(ISDATE(B289),""X"",""""))"),"")</f>
        <v/>
      </c>
      <c r="L289" s="40" t="str">
        <f>IFERROR(__xludf.DUMMYFUNCTION("IF(ISBLANK(B289),"""",IF(Or(I289=""Em Aberto"",ISBLANK(I289),NOT(ISDATE(B289))),"""",H289))"),"")</f>
        <v/>
      </c>
      <c r="M289" s="29" t="str">
        <f>IFERROR(__xludf.DUMMYFUNCTION("IF(ISBLANK(B289),"""",IF(ISDATE(B289),TEXT(B289,""m""),""""))"),"")</f>
        <v/>
      </c>
      <c r="N289" s="29" t="str">
        <f>IFERROR(__xludf.DUMMYFUNCTION("IF(M289="""","""",QUERY({'Dashboard-Dados'!$Y$2:$AA$13},""Select Col2 Where Col1=""&amp;M289))"),"")</f>
        <v/>
      </c>
      <c r="O289" s="29" t="str">
        <f>IFERROR(__xludf.DUMMYFUNCTION("IF(ISBLANK(B289),"""",IF(ISDATE(B289),TEXT(B289,""yyyy""),""""))"),"")</f>
        <v/>
      </c>
    </row>
    <row r="290">
      <c r="B290" s="62"/>
      <c r="C290" s="56"/>
      <c r="D290" s="56"/>
      <c r="E290" s="56"/>
      <c r="F290" s="63"/>
      <c r="G290" s="64"/>
      <c r="H290" s="65"/>
      <c r="I290" s="63"/>
      <c r="K290" s="53" t="str">
        <f>IFERROR(__xludf.DUMMYFUNCTION("IF(ISBLANK(B290),"""",IF(ISDATE(B290),""X"",""""))"),"")</f>
        <v/>
      </c>
      <c r="L290" s="40" t="str">
        <f>IFERROR(__xludf.DUMMYFUNCTION("IF(ISBLANK(B290),"""",IF(Or(I290=""Em Aberto"",ISBLANK(I290),NOT(ISDATE(B290))),"""",H290))"),"")</f>
        <v/>
      </c>
      <c r="M290" s="29" t="str">
        <f>IFERROR(__xludf.DUMMYFUNCTION("IF(ISBLANK(B290),"""",IF(ISDATE(B290),TEXT(B290,""m""),""""))"),"")</f>
        <v/>
      </c>
      <c r="N290" s="29" t="str">
        <f>IFERROR(__xludf.DUMMYFUNCTION("IF(M290="""","""",QUERY({'Dashboard-Dados'!$Y$2:$AA$13},""Select Col2 Where Col1=""&amp;M290))"),"")</f>
        <v/>
      </c>
      <c r="O290" s="29" t="str">
        <f>IFERROR(__xludf.DUMMYFUNCTION("IF(ISBLANK(B290),"""",IF(ISDATE(B290),TEXT(B290,""yyyy""),""""))"),"")</f>
        <v/>
      </c>
    </row>
    <row r="291">
      <c r="B291" s="62"/>
      <c r="C291" s="56"/>
      <c r="D291" s="56"/>
      <c r="E291" s="56"/>
      <c r="F291" s="63"/>
      <c r="G291" s="64"/>
      <c r="H291" s="65"/>
      <c r="I291" s="63"/>
      <c r="K291" s="53" t="str">
        <f>IFERROR(__xludf.DUMMYFUNCTION("IF(ISBLANK(B291),"""",IF(ISDATE(B291),""X"",""""))"),"")</f>
        <v/>
      </c>
      <c r="L291" s="40" t="str">
        <f>IFERROR(__xludf.DUMMYFUNCTION("IF(ISBLANK(B291),"""",IF(Or(I291=""Em Aberto"",ISBLANK(I291),NOT(ISDATE(B291))),"""",H291))"),"")</f>
        <v/>
      </c>
      <c r="M291" s="29" t="str">
        <f>IFERROR(__xludf.DUMMYFUNCTION("IF(ISBLANK(B291),"""",IF(ISDATE(B291),TEXT(B291,""m""),""""))"),"")</f>
        <v/>
      </c>
      <c r="N291" s="29" t="str">
        <f>IFERROR(__xludf.DUMMYFUNCTION("IF(M291="""","""",QUERY({'Dashboard-Dados'!$Y$2:$AA$13},""Select Col2 Where Col1=""&amp;M291))"),"")</f>
        <v/>
      </c>
      <c r="O291" s="29" t="str">
        <f>IFERROR(__xludf.DUMMYFUNCTION("IF(ISBLANK(B291),"""",IF(ISDATE(B291),TEXT(B291,""yyyy""),""""))"),"")</f>
        <v/>
      </c>
    </row>
    <row r="292">
      <c r="B292" s="62"/>
      <c r="C292" s="56"/>
      <c r="D292" s="56"/>
      <c r="E292" s="56"/>
      <c r="F292" s="63"/>
      <c r="G292" s="64"/>
      <c r="H292" s="65"/>
      <c r="I292" s="63"/>
      <c r="K292" s="53" t="str">
        <f>IFERROR(__xludf.DUMMYFUNCTION("IF(ISBLANK(B292),"""",IF(ISDATE(B292),""X"",""""))"),"")</f>
        <v/>
      </c>
      <c r="L292" s="40" t="str">
        <f>IFERROR(__xludf.DUMMYFUNCTION("IF(ISBLANK(B292),"""",IF(Or(I292=""Em Aberto"",ISBLANK(I292),NOT(ISDATE(B292))),"""",H292))"),"")</f>
        <v/>
      </c>
      <c r="M292" s="29" t="str">
        <f>IFERROR(__xludf.DUMMYFUNCTION("IF(ISBLANK(B292),"""",IF(ISDATE(B292),TEXT(B292,""m""),""""))"),"")</f>
        <v/>
      </c>
      <c r="N292" s="29" t="str">
        <f>IFERROR(__xludf.DUMMYFUNCTION("IF(M292="""","""",QUERY({'Dashboard-Dados'!$Y$2:$AA$13},""Select Col2 Where Col1=""&amp;M292))"),"")</f>
        <v/>
      </c>
      <c r="O292" s="29" t="str">
        <f>IFERROR(__xludf.DUMMYFUNCTION("IF(ISBLANK(B292),"""",IF(ISDATE(B292),TEXT(B292,""yyyy""),""""))"),"")</f>
        <v/>
      </c>
    </row>
    <row r="293">
      <c r="B293" s="62"/>
      <c r="C293" s="56"/>
      <c r="D293" s="56"/>
      <c r="E293" s="56"/>
      <c r="F293" s="63"/>
      <c r="G293" s="64"/>
      <c r="H293" s="65"/>
      <c r="I293" s="63"/>
      <c r="K293" s="53" t="str">
        <f>IFERROR(__xludf.DUMMYFUNCTION("IF(ISBLANK(B293),"""",IF(ISDATE(B293),""X"",""""))"),"")</f>
        <v/>
      </c>
      <c r="L293" s="40" t="str">
        <f>IFERROR(__xludf.DUMMYFUNCTION("IF(ISBLANK(B293),"""",IF(Or(I293=""Em Aberto"",ISBLANK(I293),NOT(ISDATE(B293))),"""",H293))"),"")</f>
        <v/>
      </c>
      <c r="M293" s="29" t="str">
        <f>IFERROR(__xludf.DUMMYFUNCTION("IF(ISBLANK(B293),"""",IF(ISDATE(B293),TEXT(B293,""m""),""""))"),"")</f>
        <v/>
      </c>
      <c r="N293" s="29" t="str">
        <f>IFERROR(__xludf.DUMMYFUNCTION("IF(M293="""","""",QUERY({'Dashboard-Dados'!$Y$2:$AA$13},""Select Col2 Where Col1=""&amp;M293))"),"")</f>
        <v/>
      </c>
      <c r="O293" s="29" t="str">
        <f>IFERROR(__xludf.DUMMYFUNCTION("IF(ISBLANK(B293),"""",IF(ISDATE(B293),TEXT(B293,""yyyy""),""""))"),"")</f>
        <v/>
      </c>
    </row>
    <row r="294">
      <c r="B294" s="62"/>
      <c r="C294" s="56"/>
      <c r="D294" s="56"/>
      <c r="E294" s="56"/>
      <c r="F294" s="63"/>
      <c r="G294" s="64"/>
      <c r="H294" s="65"/>
      <c r="I294" s="63"/>
      <c r="K294" s="53" t="str">
        <f>IFERROR(__xludf.DUMMYFUNCTION("IF(ISBLANK(B294),"""",IF(ISDATE(B294),""X"",""""))"),"")</f>
        <v/>
      </c>
      <c r="L294" s="40" t="str">
        <f>IFERROR(__xludf.DUMMYFUNCTION("IF(ISBLANK(B294),"""",IF(Or(I294=""Em Aberto"",ISBLANK(I294),NOT(ISDATE(B294))),"""",H294))"),"")</f>
        <v/>
      </c>
      <c r="M294" s="29" t="str">
        <f>IFERROR(__xludf.DUMMYFUNCTION("IF(ISBLANK(B294),"""",IF(ISDATE(B294),TEXT(B294,""m""),""""))"),"")</f>
        <v/>
      </c>
      <c r="N294" s="29" t="str">
        <f>IFERROR(__xludf.DUMMYFUNCTION("IF(M294="""","""",QUERY({'Dashboard-Dados'!$Y$2:$AA$13},""Select Col2 Where Col1=""&amp;M294))"),"")</f>
        <v/>
      </c>
      <c r="O294" s="29" t="str">
        <f>IFERROR(__xludf.DUMMYFUNCTION("IF(ISBLANK(B294),"""",IF(ISDATE(B294),TEXT(B294,""yyyy""),""""))"),"")</f>
        <v/>
      </c>
    </row>
    <row r="295">
      <c r="B295" s="62"/>
      <c r="C295" s="56"/>
      <c r="D295" s="56"/>
      <c r="E295" s="56"/>
      <c r="F295" s="63"/>
      <c r="G295" s="64"/>
      <c r="H295" s="65"/>
      <c r="I295" s="63"/>
      <c r="K295" s="53" t="str">
        <f>IFERROR(__xludf.DUMMYFUNCTION("IF(ISBLANK(B295),"""",IF(ISDATE(B295),""X"",""""))"),"")</f>
        <v/>
      </c>
      <c r="L295" s="40" t="str">
        <f>IFERROR(__xludf.DUMMYFUNCTION("IF(ISBLANK(B295),"""",IF(Or(I295=""Em Aberto"",ISBLANK(I295),NOT(ISDATE(B295))),"""",H295))"),"")</f>
        <v/>
      </c>
      <c r="M295" s="29" t="str">
        <f>IFERROR(__xludf.DUMMYFUNCTION("IF(ISBLANK(B295),"""",IF(ISDATE(B295),TEXT(B295,""m""),""""))"),"")</f>
        <v/>
      </c>
      <c r="N295" s="29" t="str">
        <f>IFERROR(__xludf.DUMMYFUNCTION("IF(M295="""","""",QUERY({'Dashboard-Dados'!$Y$2:$AA$13},""Select Col2 Where Col1=""&amp;M295))"),"")</f>
        <v/>
      </c>
      <c r="O295" s="29" t="str">
        <f>IFERROR(__xludf.DUMMYFUNCTION("IF(ISBLANK(B295),"""",IF(ISDATE(B295),TEXT(B295,""yyyy""),""""))"),"")</f>
        <v/>
      </c>
    </row>
    <row r="296">
      <c r="B296" s="62"/>
      <c r="C296" s="56"/>
      <c r="D296" s="56"/>
      <c r="E296" s="56"/>
      <c r="F296" s="63"/>
      <c r="G296" s="64"/>
      <c r="H296" s="65"/>
      <c r="I296" s="63"/>
      <c r="K296" s="53" t="str">
        <f>IFERROR(__xludf.DUMMYFUNCTION("IF(ISBLANK(B296),"""",IF(ISDATE(B296),""X"",""""))"),"")</f>
        <v/>
      </c>
      <c r="L296" s="40" t="str">
        <f>IFERROR(__xludf.DUMMYFUNCTION("IF(ISBLANK(B296),"""",IF(Or(I296=""Em Aberto"",ISBLANK(I296),NOT(ISDATE(B296))),"""",H296))"),"")</f>
        <v/>
      </c>
      <c r="M296" s="29" t="str">
        <f>IFERROR(__xludf.DUMMYFUNCTION("IF(ISBLANK(B296),"""",IF(ISDATE(B296),TEXT(B296,""m""),""""))"),"")</f>
        <v/>
      </c>
      <c r="N296" s="29" t="str">
        <f>IFERROR(__xludf.DUMMYFUNCTION("IF(M296="""","""",QUERY({'Dashboard-Dados'!$Y$2:$AA$13},""Select Col2 Where Col1=""&amp;M296))"),"")</f>
        <v/>
      </c>
      <c r="O296" s="29" t="str">
        <f>IFERROR(__xludf.DUMMYFUNCTION("IF(ISBLANK(B296),"""",IF(ISDATE(B296),TEXT(B296,""yyyy""),""""))"),"")</f>
        <v/>
      </c>
    </row>
    <row r="297">
      <c r="B297" s="62"/>
      <c r="C297" s="56"/>
      <c r="D297" s="56"/>
      <c r="E297" s="56"/>
      <c r="F297" s="63"/>
      <c r="G297" s="64"/>
      <c r="H297" s="65"/>
      <c r="I297" s="63"/>
      <c r="K297" s="53" t="str">
        <f>IFERROR(__xludf.DUMMYFUNCTION("IF(ISBLANK(B297),"""",IF(ISDATE(B297),""X"",""""))"),"")</f>
        <v/>
      </c>
      <c r="L297" s="40" t="str">
        <f>IFERROR(__xludf.DUMMYFUNCTION("IF(ISBLANK(B297),"""",IF(Or(I297=""Em Aberto"",ISBLANK(I297),NOT(ISDATE(B297))),"""",H297))"),"")</f>
        <v/>
      </c>
      <c r="M297" s="29" t="str">
        <f>IFERROR(__xludf.DUMMYFUNCTION("IF(ISBLANK(B297),"""",IF(ISDATE(B297),TEXT(B297,""m""),""""))"),"")</f>
        <v/>
      </c>
      <c r="N297" s="29" t="str">
        <f>IFERROR(__xludf.DUMMYFUNCTION("IF(M297="""","""",QUERY({'Dashboard-Dados'!$Y$2:$AA$13},""Select Col2 Where Col1=""&amp;M297))"),"")</f>
        <v/>
      </c>
      <c r="O297" s="29" t="str">
        <f>IFERROR(__xludf.DUMMYFUNCTION("IF(ISBLANK(B297),"""",IF(ISDATE(B297),TEXT(B297,""yyyy""),""""))"),"")</f>
        <v/>
      </c>
    </row>
    <row r="298">
      <c r="B298" s="62"/>
      <c r="C298" s="56"/>
      <c r="D298" s="56"/>
      <c r="E298" s="56"/>
      <c r="F298" s="63"/>
      <c r="G298" s="64"/>
      <c r="H298" s="65"/>
      <c r="I298" s="63"/>
      <c r="K298" s="53" t="str">
        <f>IFERROR(__xludf.DUMMYFUNCTION("IF(ISBLANK(B298),"""",IF(ISDATE(B298),""X"",""""))"),"")</f>
        <v/>
      </c>
      <c r="L298" s="40" t="str">
        <f>IFERROR(__xludf.DUMMYFUNCTION("IF(ISBLANK(B298),"""",IF(Or(I298=""Em Aberto"",ISBLANK(I298),NOT(ISDATE(B298))),"""",H298))"),"")</f>
        <v/>
      </c>
      <c r="M298" s="29" t="str">
        <f>IFERROR(__xludf.DUMMYFUNCTION("IF(ISBLANK(B298),"""",IF(ISDATE(B298),TEXT(B298,""m""),""""))"),"")</f>
        <v/>
      </c>
      <c r="N298" s="29" t="str">
        <f>IFERROR(__xludf.DUMMYFUNCTION("IF(M298="""","""",QUERY({'Dashboard-Dados'!$Y$2:$AA$13},""Select Col2 Where Col1=""&amp;M298))"),"")</f>
        <v/>
      </c>
      <c r="O298" s="29" t="str">
        <f>IFERROR(__xludf.DUMMYFUNCTION("IF(ISBLANK(B298),"""",IF(ISDATE(B298),TEXT(B298,""yyyy""),""""))"),"")</f>
        <v/>
      </c>
    </row>
    <row r="299">
      <c r="B299" s="62"/>
      <c r="C299" s="56"/>
      <c r="D299" s="56"/>
      <c r="E299" s="56"/>
      <c r="F299" s="63"/>
      <c r="G299" s="64"/>
      <c r="H299" s="65"/>
      <c r="I299" s="63"/>
      <c r="K299" s="53" t="str">
        <f>IFERROR(__xludf.DUMMYFUNCTION("IF(ISBLANK(B299),"""",IF(ISDATE(B299),""X"",""""))"),"")</f>
        <v/>
      </c>
      <c r="L299" s="40" t="str">
        <f>IFERROR(__xludf.DUMMYFUNCTION("IF(ISBLANK(B299),"""",IF(Or(I299=""Em Aberto"",ISBLANK(I299),NOT(ISDATE(B299))),"""",H299))"),"")</f>
        <v/>
      </c>
      <c r="M299" s="29" t="str">
        <f>IFERROR(__xludf.DUMMYFUNCTION("IF(ISBLANK(B299),"""",IF(ISDATE(B299),TEXT(B299,""m""),""""))"),"")</f>
        <v/>
      </c>
      <c r="N299" s="29" t="str">
        <f>IFERROR(__xludf.DUMMYFUNCTION("IF(M299="""","""",QUERY({'Dashboard-Dados'!$Y$2:$AA$13},""Select Col2 Where Col1=""&amp;M299))"),"")</f>
        <v/>
      </c>
      <c r="O299" s="29" t="str">
        <f>IFERROR(__xludf.DUMMYFUNCTION("IF(ISBLANK(B299),"""",IF(ISDATE(B299),TEXT(B299,""yyyy""),""""))"),"")</f>
        <v/>
      </c>
    </row>
    <row r="300">
      <c r="B300" s="62"/>
      <c r="C300" s="56"/>
      <c r="D300" s="56"/>
      <c r="E300" s="56"/>
      <c r="F300" s="63"/>
      <c r="G300" s="64"/>
      <c r="H300" s="65"/>
      <c r="I300" s="63"/>
      <c r="K300" s="53" t="str">
        <f>IFERROR(__xludf.DUMMYFUNCTION("IF(ISBLANK(B300),"""",IF(ISDATE(B300),""X"",""""))"),"")</f>
        <v/>
      </c>
      <c r="L300" s="40" t="str">
        <f>IFERROR(__xludf.DUMMYFUNCTION("IF(ISBLANK(B300),"""",IF(Or(I300=""Em Aberto"",ISBLANK(I300),NOT(ISDATE(B300))),"""",H300))"),"")</f>
        <v/>
      </c>
      <c r="M300" s="29" t="str">
        <f>IFERROR(__xludf.DUMMYFUNCTION("IF(ISBLANK(B300),"""",IF(ISDATE(B300),TEXT(B300,""m""),""""))"),"")</f>
        <v/>
      </c>
      <c r="N300" s="29" t="str">
        <f>IFERROR(__xludf.DUMMYFUNCTION("IF(M300="""","""",QUERY({'Dashboard-Dados'!$Y$2:$AA$13},""Select Col2 Where Col1=""&amp;M300))"),"")</f>
        <v/>
      </c>
      <c r="O300" s="29" t="str">
        <f>IFERROR(__xludf.DUMMYFUNCTION("IF(ISBLANK(B300),"""",IF(ISDATE(B300),TEXT(B300,""yyyy""),""""))"),"")</f>
        <v/>
      </c>
    </row>
    <row r="301">
      <c r="B301" s="62"/>
      <c r="C301" s="56"/>
      <c r="D301" s="56"/>
      <c r="E301" s="56"/>
      <c r="F301" s="63"/>
      <c r="G301" s="64"/>
      <c r="H301" s="65"/>
      <c r="I301" s="63"/>
      <c r="K301" s="53" t="str">
        <f>IFERROR(__xludf.DUMMYFUNCTION("IF(ISBLANK(B301),"""",IF(ISDATE(B301),""X"",""""))"),"")</f>
        <v/>
      </c>
      <c r="L301" s="40" t="str">
        <f>IFERROR(__xludf.DUMMYFUNCTION("IF(ISBLANK(B301),"""",IF(Or(I301=""Em Aberto"",ISBLANK(I301),NOT(ISDATE(B301))),"""",H301))"),"")</f>
        <v/>
      </c>
      <c r="M301" s="29" t="str">
        <f>IFERROR(__xludf.DUMMYFUNCTION("IF(ISBLANK(B301),"""",IF(ISDATE(B301),TEXT(B301,""m""),""""))"),"")</f>
        <v/>
      </c>
      <c r="N301" s="29" t="str">
        <f>IFERROR(__xludf.DUMMYFUNCTION("IF(M301="""","""",QUERY({'Dashboard-Dados'!$Y$2:$AA$13},""Select Col2 Where Col1=""&amp;M301))"),"")</f>
        <v/>
      </c>
      <c r="O301" s="29" t="str">
        <f>IFERROR(__xludf.DUMMYFUNCTION("IF(ISBLANK(B301),"""",IF(ISDATE(B301),TEXT(B301,""yyyy""),""""))"),"")</f>
        <v/>
      </c>
    </row>
    <row r="302">
      <c r="B302" s="62"/>
      <c r="C302" s="56"/>
      <c r="D302" s="56"/>
      <c r="E302" s="56"/>
      <c r="F302" s="63"/>
      <c r="G302" s="64"/>
      <c r="H302" s="65"/>
      <c r="I302" s="63"/>
      <c r="K302" s="53" t="str">
        <f>IFERROR(__xludf.DUMMYFUNCTION("IF(ISBLANK(B302),"""",IF(ISDATE(B302),""X"",""""))"),"")</f>
        <v/>
      </c>
      <c r="L302" s="40" t="str">
        <f>IFERROR(__xludf.DUMMYFUNCTION("IF(ISBLANK(B302),"""",IF(Or(I302=""Em Aberto"",ISBLANK(I302),NOT(ISDATE(B302))),"""",H302))"),"")</f>
        <v/>
      </c>
      <c r="M302" s="29" t="str">
        <f>IFERROR(__xludf.DUMMYFUNCTION("IF(ISBLANK(B302),"""",IF(ISDATE(B302),TEXT(B302,""m""),""""))"),"")</f>
        <v/>
      </c>
      <c r="N302" s="29" t="str">
        <f>IFERROR(__xludf.DUMMYFUNCTION("IF(M302="""","""",QUERY({'Dashboard-Dados'!$Y$2:$AA$13},""Select Col2 Where Col1=""&amp;M302))"),"")</f>
        <v/>
      </c>
      <c r="O302" s="29" t="str">
        <f>IFERROR(__xludf.DUMMYFUNCTION("IF(ISBLANK(B302),"""",IF(ISDATE(B302),TEXT(B302,""yyyy""),""""))"),"")</f>
        <v/>
      </c>
    </row>
    <row r="303">
      <c r="B303" s="62"/>
      <c r="C303" s="56"/>
      <c r="D303" s="56"/>
      <c r="E303" s="56"/>
      <c r="F303" s="63"/>
      <c r="G303" s="64"/>
      <c r="H303" s="65"/>
      <c r="I303" s="63"/>
      <c r="K303" s="53" t="str">
        <f>IFERROR(__xludf.DUMMYFUNCTION("IF(ISBLANK(B303),"""",IF(ISDATE(B303),""X"",""""))"),"")</f>
        <v/>
      </c>
      <c r="L303" s="40" t="str">
        <f>IFERROR(__xludf.DUMMYFUNCTION("IF(ISBLANK(B303),"""",IF(Or(I303=""Em Aberto"",ISBLANK(I303),NOT(ISDATE(B303))),"""",H303))"),"")</f>
        <v/>
      </c>
      <c r="M303" s="29" t="str">
        <f>IFERROR(__xludf.DUMMYFUNCTION("IF(ISBLANK(B303),"""",IF(ISDATE(B303),TEXT(B303,""m""),""""))"),"")</f>
        <v/>
      </c>
      <c r="N303" s="29" t="str">
        <f>IFERROR(__xludf.DUMMYFUNCTION("IF(M303="""","""",QUERY({'Dashboard-Dados'!$Y$2:$AA$13},""Select Col2 Where Col1=""&amp;M303))"),"")</f>
        <v/>
      </c>
      <c r="O303" s="29" t="str">
        <f>IFERROR(__xludf.DUMMYFUNCTION("IF(ISBLANK(B303),"""",IF(ISDATE(B303),TEXT(B303,""yyyy""),""""))"),"")</f>
        <v/>
      </c>
    </row>
    <row r="304">
      <c r="B304" s="62"/>
      <c r="C304" s="56"/>
      <c r="D304" s="56"/>
      <c r="E304" s="56"/>
      <c r="F304" s="63"/>
      <c r="G304" s="64"/>
      <c r="H304" s="65"/>
      <c r="I304" s="63"/>
      <c r="K304" s="53" t="str">
        <f>IFERROR(__xludf.DUMMYFUNCTION("IF(ISBLANK(B304),"""",IF(ISDATE(B304),""X"",""""))"),"")</f>
        <v/>
      </c>
      <c r="L304" s="40" t="str">
        <f>IFERROR(__xludf.DUMMYFUNCTION("IF(ISBLANK(B304),"""",IF(Or(I304=""Em Aberto"",ISBLANK(I304),NOT(ISDATE(B304))),"""",H304))"),"")</f>
        <v/>
      </c>
      <c r="M304" s="29" t="str">
        <f>IFERROR(__xludf.DUMMYFUNCTION("IF(ISBLANK(B304),"""",IF(ISDATE(B304),TEXT(B304,""m""),""""))"),"")</f>
        <v/>
      </c>
      <c r="N304" s="29" t="str">
        <f>IFERROR(__xludf.DUMMYFUNCTION("IF(M304="""","""",QUERY({'Dashboard-Dados'!$Y$2:$AA$13},""Select Col2 Where Col1=""&amp;M304))"),"")</f>
        <v/>
      </c>
      <c r="O304" s="29" t="str">
        <f>IFERROR(__xludf.DUMMYFUNCTION("IF(ISBLANK(B304),"""",IF(ISDATE(B304),TEXT(B304,""yyyy""),""""))"),"")</f>
        <v/>
      </c>
    </row>
    <row r="305">
      <c r="B305" s="62"/>
      <c r="C305" s="56"/>
      <c r="D305" s="56"/>
      <c r="E305" s="56"/>
      <c r="F305" s="63"/>
      <c r="G305" s="64"/>
      <c r="H305" s="65"/>
      <c r="I305" s="63"/>
      <c r="K305" s="53" t="str">
        <f>IFERROR(__xludf.DUMMYFUNCTION("IF(ISBLANK(B305),"""",IF(ISDATE(B305),""X"",""""))"),"")</f>
        <v/>
      </c>
      <c r="L305" s="40" t="str">
        <f>IFERROR(__xludf.DUMMYFUNCTION("IF(ISBLANK(B305),"""",IF(Or(I305=""Em Aberto"",ISBLANK(I305),NOT(ISDATE(B305))),"""",H305))"),"")</f>
        <v/>
      </c>
      <c r="M305" s="29" t="str">
        <f>IFERROR(__xludf.DUMMYFUNCTION("IF(ISBLANK(B305),"""",IF(ISDATE(B305),TEXT(B305,""m""),""""))"),"")</f>
        <v/>
      </c>
      <c r="N305" s="29" t="str">
        <f>IFERROR(__xludf.DUMMYFUNCTION("IF(M305="""","""",QUERY({'Dashboard-Dados'!$Y$2:$AA$13},""Select Col2 Where Col1=""&amp;M305))"),"")</f>
        <v/>
      </c>
      <c r="O305" s="29" t="str">
        <f>IFERROR(__xludf.DUMMYFUNCTION("IF(ISBLANK(B305),"""",IF(ISDATE(B305),TEXT(B305,""yyyy""),""""))"),"")</f>
        <v/>
      </c>
    </row>
    <row r="306">
      <c r="B306" s="62"/>
      <c r="C306" s="56"/>
      <c r="D306" s="56"/>
      <c r="E306" s="56"/>
      <c r="F306" s="63"/>
      <c r="G306" s="64"/>
      <c r="H306" s="65"/>
      <c r="I306" s="63"/>
      <c r="K306" s="53" t="str">
        <f>IFERROR(__xludf.DUMMYFUNCTION("IF(ISBLANK(B306),"""",IF(ISDATE(B306),""X"",""""))"),"")</f>
        <v/>
      </c>
      <c r="L306" s="40" t="str">
        <f>IFERROR(__xludf.DUMMYFUNCTION("IF(ISBLANK(B306),"""",IF(Or(I306=""Em Aberto"",ISBLANK(I306),NOT(ISDATE(B306))),"""",H306))"),"")</f>
        <v/>
      </c>
      <c r="M306" s="29" t="str">
        <f>IFERROR(__xludf.DUMMYFUNCTION("IF(ISBLANK(B306),"""",IF(ISDATE(B306),TEXT(B306,""m""),""""))"),"")</f>
        <v/>
      </c>
      <c r="N306" s="29" t="str">
        <f>IFERROR(__xludf.DUMMYFUNCTION("IF(M306="""","""",QUERY({'Dashboard-Dados'!$Y$2:$AA$13},""Select Col2 Where Col1=""&amp;M306))"),"")</f>
        <v/>
      </c>
      <c r="O306" s="29" t="str">
        <f>IFERROR(__xludf.DUMMYFUNCTION("IF(ISBLANK(B306),"""",IF(ISDATE(B306),TEXT(B306,""yyyy""),""""))"),"")</f>
        <v/>
      </c>
    </row>
    <row r="307">
      <c r="B307" s="62"/>
      <c r="C307" s="56"/>
      <c r="D307" s="56"/>
      <c r="E307" s="56"/>
      <c r="F307" s="63"/>
      <c r="G307" s="64"/>
      <c r="H307" s="65"/>
      <c r="I307" s="63"/>
      <c r="K307" s="53" t="str">
        <f>IFERROR(__xludf.DUMMYFUNCTION("IF(ISBLANK(B307),"""",IF(ISDATE(B307),""X"",""""))"),"")</f>
        <v/>
      </c>
      <c r="L307" s="40" t="str">
        <f>IFERROR(__xludf.DUMMYFUNCTION("IF(ISBLANK(B307),"""",IF(Or(I307=""Em Aberto"",ISBLANK(I307),NOT(ISDATE(B307))),"""",H307))"),"")</f>
        <v/>
      </c>
      <c r="M307" s="29" t="str">
        <f>IFERROR(__xludf.DUMMYFUNCTION("IF(ISBLANK(B307),"""",IF(ISDATE(B307),TEXT(B307,""m""),""""))"),"")</f>
        <v/>
      </c>
      <c r="N307" s="29" t="str">
        <f>IFERROR(__xludf.DUMMYFUNCTION("IF(M307="""","""",QUERY({'Dashboard-Dados'!$Y$2:$AA$13},""Select Col2 Where Col1=""&amp;M307))"),"")</f>
        <v/>
      </c>
      <c r="O307" s="29" t="str">
        <f>IFERROR(__xludf.DUMMYFUNCTION("IF(ISBLANK(B307),"""",IF(ISDATE(B307),TEXT(B307,""yyyy""),""""))"),"")</f>
        <v/>
      </c>
    </row>
    <row r="308">
      <c r="B308" s="62"/>
      <c r="C308" s="56"/>
      <c r="D308" s="56"/>
      <c r="E308" s="56"/>
      <c r="F308" s="63"/>
      <c r="G308" s="64"/>
      <c r="H308" s="65"/>
      <c r="I308" s="63"/>
      <c r="K308" s="53" t="str">
        <f>IFERROR(__xludf.DUMMYFUNCTION("IF(ISBLANK(B308),"""",IF(ISDATE(B308),""X"",""""))"),"")</f>
        <v/>
      </c>
      <c r="L308" s="40" t="str">
        <f>IFERROR(__xludf.DUMMYFUNCTION("IF(ISBLANK(B308),"""",IF(Or(I308=""Em Aberto"",ISBLANK(I308),NOT(ISDATE(B308))),"""",H308))"),"")</f>
        <v/>
      </c>
      <c r="M308" s="29" t="str">
        <f>IFERROR(__xludf.DUMMYFUNCTION("IF(ISBLANK(B308),"""",IF(ISDATE(B308),TEXT(B308,""m""),""""))"),"")</f>
        <v/>
      </c>
      <c r="N308" s="29" t="str">
        <f>IFERROR(__xludf.DUMMYFUNCTION("IF(M308="""","""",QUERY({'Dashboard-Dados'!$Y$2:$AA$13},""Select Col2 Where Col1=""&amp;M308))"),"")</f>
        <v/>
      </c>
      <c r="O308" s="29" t="str">
        <f>IFERROR(__xludf.DUMMYFUNCTION("IF(ISBLANK(B308),"""",IF(ISDATE(B308),TEXT(B308,""yyyy""),""""))"),"")</f>
        <v/>
      </c>
    </row>
    <row r="309">
      <c r="B309" s="62"/>
      <c r="C309" s="56"/>
      <c r="D309" s="56"/>
      <c r="E309" s="56"/>
      <c r="F309" s="63"/>
      <c r="G309" s="64"/>
      <c r="H309" s="65"/>
      <c r="I309" s="63"/>
      <c r="K309" s="53" t="str">
        <f>IFERROR(__xludf.DUMMYFUNCTION("IF(ISBLANK(B309),"""",IF(ISDATE(B309),""X"",""""))"),"")</f>
        <v/>
      </c>
      <c r="L309" s="40" t="str">
        <f>IFERROR(__xludf.DUMMYFUNCTION("IF(ISBLANK(B309),"""",IF(Or(I309=""Em Aberto"",ISBLANK(I309),NOT(ISDATE(B309))),"""",H309))"),"")</f>
        <v/>
      </c>
      <c r="M309" s="29" t="str">
        <f>IFERROR(__xludf.DUMMYFUNCTION("IF(ISBLANK(B309),"""",IF(ISDATE(B309),TEXT(B309,""m""),""""))"),"")</f>
        <v/>
      </c>
      <c r="N309" s="29" t="str">
        <f>IFERROR(__xludf.DUMMYFUNCTION("IF(M309="""","""",QUERY({'Dashboard-Dados'!$Y$2:$AA$13},""Select Col2 Where Col1=""&amp;M309))"),"")</f>
        <v/>
      </c>
      <c r="O309" s="29" t="str">
        <f>IFERROR(__xludf.DUMMYFUNCTION("IF(ISBLANK(B309),"""",IF(ISDATE(B309),TEXT(B309,""yyyy""),""""))"),"")</f>
        <v/>
      </c>
    </row>
    <row r="310">
      <c r="B310" s="62"/>
      <c r="C310" s="56"/>
      <c r="D310" s="56"/>
      <c r="E310" s="56"/>
      <c r="F310" s="63"/>
      <c r="G310" s="64"/>
      <c r="H310" s="65"/>
      <c r="I310" s="63"/>
      <c r="K310" s="53" t="str">
        <f>IFERROR(__xludf.DUMMYFUNCTION("IF(ISBLANK(B310),"""",IF(ISDATE(B310),""X"",""""))"),"")</f>
        <v/>
      </c>
      <c r="L310" s="40" t="str">
        <f>IFERROR(__xludf.DUMMYFUNCTION("IF(ISBLANK(B310),"""",IF(Or(I310=""Em Aberto"",ISBLANK(I310),NOT(ISDATE(B310))),"""",H310))"),"")</f>
        <v/>
      </c>
      <c r="M310" s="29" t="str">
        <f>IFERROR(__xludf.DUMMYFUNCTION("IF(ISBLANK(B310),"""",IF(ISDATE(B310),TEXT(B310,""m""),""""))"),"")</f>
        <v/>
      </c>
      <c r="N310" s="29" t="str">
        <f>IFERROR(__xludf.DUMMYFUNCTION("IF(M310="""","""",QUERY({'Dashboard-Dados'!$Y$2:$AA$13},""Select Col2 Where Col1=""&amp;M310))"),"")</f>
        <v/>
      </c>
      <c r="O310" s="29" t="str">
        <f>IFERROR(__xludf.DUMMYFUNCTION("IF(ISBLANK(B310),"""",IF(ISDATE(B310),TEXT(B310,""yyyy""),""""))"),"")</f>
        <v/>
      </c>
    </row>
    <row r="311">
      <c r="B311" s="62"/>
      <c r="C311" s="56"/>
      <c r="D311" s="56"/>
      <c r="E311" s="56"/>
      <c r="F311" s="63"/>
      <c r="G311" s="64"/>
      <c r="H311" s="65"/>
      <c r="I311" s="63"/>
      <c r="K311" s="53" t="str">
        <f>IFERROR(__xludf.DUMMYFUNCTION("IF(ISBLANK(B311),"""",IF(ISDATE(B311),""X"",""""))"),"")</f>
        <v/>
      </c>
      <c r="L311" s="40" t="str">
        <f>IFERROR(__xludf.DUMMYFUNCTION("IF(ISBLANK(B311),"""",IF(Or(I311=""Em Aberto"",ISBLANK(I311),NOT(ISDATE(B311))),"""",H311))"),"")</f>
        <v/>
      </c>
      <c r="M311" s="29" t="str">
        <f>IFERROR(__xludf.DUMMYFUNCTION("IF(ISBLANK(B311),"""",IF(ISDATE(B311),TEXT(B311,""m""),""""))"),"")</f>
        <v/>
      </c>
      <c r="N311" s="29" t="str">
        <f>IFERROR(__xludf.DUMMYFUNCTION("IF(M311="""","""",QUERY({'Dashboard-Dados'!$Y$2:$AA$13},""Select Col2 Where Col1=""&amp;M311))"),"")</f>
        <v/>
      </c>
      <c r="O311" s="29" t="str">
        <f>IFERROR(__xludf.DUMMYFUNCTION("IF(ISBLANK(B311),"""",IF(ISDATE(B311),TEXT(B311,""yyyy""),""""))"),"")</f>
        <v/>
      </c>
    </row>
    <row r="312">
      <c r="B312" s="62"/>
      <c r="C312" s="56"/>
      <c r="D312" s="56"/>
      <c r="E312" s="56"/>
      <c r="F312" s="63"/>
      <c r="G312" s="64"/>
      <c r="H312" s="65"/>
      <c r="I312" s="63"/>
      <c r="K312" s="53" t="str">
        <f>IFERROR(__xludf.DUMMYFUNCTION("IF(ISBLANK(B312),"""",IF(ISDATE(B312),""X"",""""))"),"")</f>
        <v/>
      </c>
      <c r="L312" s="40" t="str">
        <f>IFERROR(__xludf.DUMMYFUNCTION("IF(ISBLANK(B312),"""",IF(Or(I312=""Em Aberto"",ISBLANK(I312),NOT(ISDATE(B312))),"""",H312))"),"")</f>
        <v/>
      </c>
      <c r="M312" s="29" t="str">
        <f>IFERROR(__xludf.DUMMYFUNCTION("IF(ISBLANK(B312),"""",IF(ISDATE(B312),TEXT(B312,""m""),""""))"),"")</f>
        <v/>
      </c>
      <c r="N312" s="29" t="str">
        <f>IFERROR(__xludf.DUMMYFUNCTION("IF(M312="""","""",QUERY({'Dashboard-Dados'!$Y$2:$AA$13},""Select Col2 Where Col1=""&amp;M312))"),"")</f>
        <v/>
      </c>
      <c r="O312" s="29" t="str">
        <f>IFERROR(__xludf.DUMMYFUNCTION("IF(ISBLANK(B312),"""",IF(ISDATE(B312),TEXT(B312,""yyyy""),""""))"),"")</f>
        <v/>
      </c>
    </row>
    <row r="313">
      <c r="B313" s="62"/>
      <c r="C313" s="56"/>
      <c r="D313" s="56"/>
      <c r="E313" s="56"/>
      <c r="F313" s="63"/>
      <c r="G313" s="64"/>
      <c r="H313" s="65"/>
      <c r="I313" s="63"/>
      <c r="K313" s="53" t="str">
        <f>IFERROR(__xludf.DUMMYFUNCTION("IF(ISBLANK(B313),"""",IF(ISDATE(B313),""X"",""""))"),"")</f>
        <v/>
      </c>
      <c r="L313" s="40" t="str">
        <f>IFERROR(__xludf.DUMMYFUNCTION("IF(ISBLANK(B313),"""",IF(Or(I313=""Em Aberto"",ISBLANK(I313),NOT(ISDATE(B313))),"""",H313))"),"")</f>
        <v/>
      </c>
      <c r="M313" s="29" t="str">
        <f>IFERROR(__xludf.DUMMYFUNCTION("IF(ISBLANK(B313),"""",IF(ISDATE(B313),TEXT(B313,""m""),""""))"),"")</f>
        <v/>
      </c>
      <c r="N313" s="29" t="str">
        <f>IFERROR(__xludf.DUMMYFUNCTION("IF(M313="""","""",QUERY({'Dashboard-Dados'!$Y$2:$AA$13},""Select Col2 Where Col1=""&amp;M313))"),"")</f>
        <v/>
      </c>
      <c r="O313" s="29" t="str">
        <f>IFERROR(__xludf.DUMMYFUNCTION("IF(ISBLANK(B313),"""",IF(ISDATE(B313),TEXT(B313,""yyyy""),""""))"),"")</f>
        <v/>
      </c>
    </row>
    <row r="314">
      <c r="B314" s="62"/>
      <c r="C314" s="56"/>
      <c r="D314" s="56"/>
      <c r="E314" s="56"/>
      <c r="F314" s="63"/>
      <c r="G314" s="64"/>
      <c r="H314" s="65"/>
      <c r="I314" s="63"/>
      <c r="K314" s="53" t="str">
        <f>IFERROR(__xludf.DUMMYFUNCTION("IF(ISBLANK(B314),"""",IF(ISDATE(B314),""X"",""""))"),"")</f>
        <v/>
      </c>
      <c r="L314" s="40" t="str">
        <f>IFERROR(__xludf.DUMMYFUNCTION("IF(ISBLANK(B314),"""",IF(Or(I314=""Em Aberto"",ISBLANK(I314),NOT(ISDATE(B314))),"""",H314))"),"")</f>
        <v/>
      </c>
      <c r="M314" s="29" t="str">
        <f>IFERROR(__xludf.DUMMYFUNCTION("IF(ISBLANK(B314),"""",IF(ISDATE(B314),TEXT(B314,""m""),""""))"),"")</f>
        <v/>
      </c>
      <c r="N314" s="29" t="str">
        <f>IFERROR(__xludf.DUMMYFUNCTION("IF(M314="""","""",QUERY({'Dashboard-Dados'!$Y$2:$AA$13},""Select Col2 Where Col1=""&amp;M314))"),"")</f>
        <v/>
      </c>
      <c r="O314" s="29" t="str">
        <f>IFERROR(__xludf.DUMMYFUNCTION("IF(ISBLANK(B314),"""",IF(ISDATE(B314),TEXT(B314,""yyyy""),""""))"),"")</f>
        <v/>
      </c>
    </row>
    <row r="315">
      <c r="B315" s="62"/>
      <c r="C315" s="56"/>
      <c r="D315" s="56"/>
      <c r="E315" s="56"/>
      <c r="F315" s="63"/>
      <c r="G315" s="64"/>
      <c r="H315" s="65"/>
      <c r="I315" s="63"/>
      <c r="K315" s="53" t="str">
        <f>IFERROR(__xludf.DUMMYFUNCTION("IF(ISBLANK(B315),"""",IF(ISDATE(B315),""X"",""""))"),"")</f>
        <v/>
      </c>
      <c r="L315" s="40" t="str">
        <f>IFERROR(__xludf.DUMMYFUNCTION("IF(ISBLANK(B315),"""",IF(Or(I315=""Em Aberto"",ISBLANK(I315),NOT(ISDATE(B315))),"""",H315))"),"")</f>
        <v/>
      </c>
      <c r="M315" s="29" t="str">
        <f>IFERROR(__xludf.DUMMYFUNCTION("IF(ISBLANK(B315),"""",IF(ISDATE(B315),TEXT(B315,""m""),""""))"),"")</f>
        <v/>
      </c>
      <c r="N315" s="29" t="str">
        <f>IFERROR(__xludf.DUMMYFUNCTION("IF(M315="""","""",QUERY({'Dashboard-Dados'!$Y$2:$AA$13},""Select Col2 Where Col1=""&amp;M315))"),"")</f>
        <v/>
      </c>
      <c r="O315" s="29" t="str">
        <f>IFERROR(__xludf.DUMMYFUNCTION("IF(ISBLANK(B315),"""",IF(ISDATE(B315),TEXT(B315,""yyyy""),""""))"),"")</f>
        <v/>
      </c>
    </row>
    <row r="316">
      <c r="B316" s="62"/>
      <c r="C316" s="56"/>
      <c r="D316" s="56"/>
      <c r="E316" s="56"/>
      <c r="F316" s="63"/>
      <c r="G316" s="64"/>
      <c r="H316" s="65"/>
      <c r="I316" s="63"/>
      <c r="K316" s="53" t="str">
        <f>IFERROR(__xludf.DUMMYFUNCTION("IF(ISBLANK(B316),"""",IF(ISDATE(B316),""X"",""""))"),"")</f>
        <v/>
      </c>
      <c r="L316" s="40" t="str">
        <f>IFERROR(__xludf.DUMMYFUNCTION("IF(ISBLANK(B316),"""",IF(Or(I316=""Em Aberto"",ISBLANK(I316),NOT(ISDATE(B316))),"""",H316))"),"")</f>
        <v/>
      </c>
      <c r="M316" s="29" t="str">
        <f>IFERROR(__xludf.DUMMYFUNCTION("IF(ISBLANK(B316),"""",IF(ISDATE(B316),TEXT(B316,""m""),""""))"),"")</f>
        <v/>
      </c>
      <c r="N316" s="29" t="str">
        <f>IFERROR(__xludf.DUMMYFUNCTION("IF(M316="""","""",QUERY({'Dashboard-Dados'!$Y$2:$AA$13},""Select Col2 Where Col1=""&amp;M316))"),"")</f>
        <v/>
      </c>
      <c r="O316" s="29" t="str">
        <f>IFERROR(__xludf.DUMMYFUNCTION("IF(ISBLANK(B316),"""",IF(ISDATE(B316),TEXT(B316,""yyyy""),""""))"),"")</f>
        <v/>
      </c>
    </row>
    <row r="317">
      <c r="B317" s="62"/>
      <c r="C317" s="56"/>
      <c r="D317" s="56"/>
      <c r="E317" s="56"/>
      <c r="F317" s="63"/>
      <c r="G317" s="64"/>
      <c r="H317" s="65"/>
      <c r="I317" s="63"/>
      <c r="K317" s="53" t="str">
        <f>IFERROR(__xludf.DUMMYFUNCTION("IF(ISBLANK(B317),"""",IF(ISDATE(B317),""X"",""""))"),"")</f>
        <v/>
      </c>
      <c r="L317" s="40" t="str">
        <f>IFERROR(__xludf.DUMMYFUNCTION("IF(ISBLANK(B317),"""",IF(Or(I317=""Em Aberto"",ISBLANK(I317),NOT(ISDATE(B317))),"""",H317))"),"")</f>
        <v/>
      </c>
      <c r="M317" s="29" t="str">
        <f>IFERROR(__xludf.DUMMYFUNCTION("IF(ISBLANK(B317),"""",IF(ISDATE(B317),TEXT(B317,""m""),""""))"),"")</f>
        <v/>
      </c>
      <c r="N317" s="29" t="str">
        <f>IFERROR(__xludf.DUMMYFUNCTION("IF(M317="""","""",QUERY({'Dashboard-Dados'!$Y$2:$AA$13},""Select Col2 Where Col1=""&amp;M317))"),"")</f>
        <v/>
      </c>
      <c r="O317" s="29" t="str">
        <f>IFERROR(__xludf.DUMMYFUNCTION("IF(ISBLANK(B317),"""",IF(ISDATE(B317),TEXT(B317,""yyyy""),""""))"),"")</f>
        <v/>
      </c>
    </row>
    <row r="318">
      <c r="B318" s="62"/>
      <c r="C318" s="56"/>
      <c r="D318" s="56"/>
      <c r="E318" s="56"/>
      <c r="F318" s="63"/>
      <c r="G318" s="64"/>
      <c r="H318" s="65"/>
      <c r="I318" s="63"/>
      <c r="K318" s="53" t="str">
        <f>IFERROR(__xludf.DUMMYFUNCTION("IF(ISBLANK(B318),"""",IF(ISDATE(B318),""X"",""""))"),"")</f>
        <v/>
      </c>
      <c r="L318" s="40" t="str">
        <f>IFERROR(__xludf.DUMMYFUNCTION("IF(ISBLANK(B318),"""",IF(Or(I318=""Em Aberto"",ISBLANK(I318),NOT(ISDATE(B318))),"""",H318))"),"")</f>
        <v/>
      </c>
      <c r="M318" s="29" t="str">
        <f>IFERROR(__xludf.DUMMYFUNCTION("IF(ISBLANK(B318),"""",IF(ISDATE(B318),TEXT(B318,""m""),""""))"),"")</f>
        <v/>
      </c>
      <c r="N318" s="29" t="str">
        <f>IFERROR(__xludf.DUMMYFUNCTION("IF(M318="""","""",QUERY({'Dashboard-Dados'!$Y$2:$AA$13},""Select Col2 Where Col1=""&amp;M318))"),"")</f>
        <v/>
      </c>
      <c r="O318" s="29" t="str">
        <f>IFERROR(__xludf.DUMMYFUNCTION("IF(ISBLANK(B318),"""",IF(ISDATE(B318),TEXT(B318,""yyyy""),""""))"),"")</f>
        <v/>
      </c>
    </row>
    <row r="319">
      <c r="B319" s="62"/>
      <c r="C319" s="56"/>
      <c r="D319" s="56"/>
      <c r="E319" s="56"/>
      <c r="F319" s="63"/>
      <c r="G319" s="64"/>
      <c r="H319" s="65"/>
      <c r="I319" s="63"/>
      <c r="K319" s="53" t="str">
        <f>IFERROR(__xludf.DUMMYFUNCTION("IF(ISBLANK(B319),"""",IF(ISDATE(B319),""X"",""""))"),"")</f>
        <v/>
      </c>
      <c r="L319" s="40" t="str">
        <f>IFERROR(__xludf.DUMMYFUNCTION("IF(ISBLANK(B319),"""",IF(Or(I319=""Em Aberto"",ISBLANK(I319),NOT(ISDATE(B319))),"""",H319))"),"")</f>
        <v/>
      </c>
      <c r="M319" s="29" t="str">
        <f>IFERROR(__xludf.DUMMYFUNCTION("IF(ISBLANK(B319),"""",IF(ISDATE(B319),TEXT(B319,""m""),""""))"),"")</f>
        <v/>
      </c>
      <c r="N319" s="29" t="str">
        <f>IFERROR(__xludf.DUMMYFUNCTION("IF(M319="""","""",QUERY({'Dashboard-Dados'!$Y$2:$AA$13},""Select Col2 Where Col1=""&amp;M319))"),"")</f>
        <v/>
      </c>
      <c r="O319" s="29" t="str">
        <f>IFERROR(__xludf.DUMMYFUNCTION("IF(ISBLANK(B319),"""",IF(ISDATE(B319),TEXT(B319,""yyyy""),""""))"),"")</f>
        <v/>
      </c>
    </row>
    <row r="320">
      <c r="B320" s="62"/>
      <c r="C320" s="56"/>
      <c r="D320" s="56"/>
      <c r="E320" s="56"/>
      <c r="F320" s="63"/>
      <c r="G320" s="64"/>
      <c r="H320" s="65"/>
      <c r="I320" s="63"/>
      <c r="K320" s="53" t="str">
        <f>IFERROR(__xludf.DUMMYFUNCTION("IF(ISBLANK(B320),"""",IF(ISDATE(B320),""X"",""""))"),"")</f>
        <v/>
      </c>
      <c r="L320" s="40" t="str">
        <f>IFERROR(__xludf.DUMMYFUNCTION("IF(ISBLANK(B320),"""",IF(Or(I320=""Em Aberto"",ISBLANK(I320),NOT(ISDATE(B320))),"""",H320))"),"")</f>
        <v/>
      </c>
      <c r="M320" s="29" t="str">
        <f>IFERROR(__xludf.DUMMYFUNCTION("IF(ISBLANK(B320),"""",IF(ISDATE(B320),TEXT(B320,""m""),""""))"),"")</f>
        <v/>
      </c>
      <c r="N320" s="29" t="str">
        <f>IFERROR(__xludf.DUMMYFUNCTION("IF(M320="""","""",QUERY({'Dashboard-Dados'!$Y$2:$AA$13},""Select Col2 Where Col1=""&amp;M320))"),"")</f>
        <v/>
      </c>
      <c r="O320" s="29" t="str">
        <f>IFERROR(__xludf.DUMMYFUNCTION("IF(ISBLANK(B320),"""",IF(ISDATE(B320),TEXT(B320,""yyyy""),""""))"),"")</f>
        <v/>
      </c>
    </row>
    <row r="321">
      <c r="B321" s="62"/>
      <c r="C321" s="56"/>
      <c r="D321" s="56"/>
      <c r="E321" s="56"/>
      <c r="F321" s="63"/>
      <c r="G321" s="64"/>
      <c r="H321" s="65"/>
      <c r="I321" s="63"/>
      <c r="K321" s="53" t="str">
        <f>IFERROR(__xludf.DUMMYFUNCTION("IF(ISBLANK(B321),"""",IF(ISDATE(B321),""X"",""""))"),"")</f>
        <v/>
      </c>
      <c r="L321" s="40" t="str">
        <f>IFERROR(__xludf.DUMMYFUNCTION("IF(ISBLANK(B321),"""",IF(Or(I321=""Em Aberto"",ISBLANK(I321),NOT(ISDATE(B321))),"""",H321))"),"")</f>
        <v/>
      </c>
      <c r="M321" s="29" t="str">
        <f>IFERROR(__xludf.DUMMYFUNCTION("IF(ISBLANK(B321),"""",IF(ISDATE(B321),TEXT(B321,""m""),""""))"),"")</f>
        <v/>
      </c>
      <c r="N321" s="29" t="str">
        <f>IFERROR(__xludf.DUMMYFUNCTION("IF(M321="""","""",QUERY({'Dashboard-Dados'!$Y$2:$AA$13},""Select Col2 Where Col1=""&amp;M321))"),"")</f>
        <v/>
      </c>
      <c r="O321" s="29" t="str">
        <f>IFERROR(__xludf.DUMMYFUNCTION("IF(ISBLANK(B321),"""",IF(ISDATE(B321),TEXT(B321,""yyyy""),""""))"),"")</f>
        <v/>
      </c>
    </row>
    <row r="322">
      <c r="B322" s="62"/>
      <c r="C322" s="56"/>
      <c r="D322" s="56"/>
      <c r="E322" s="56"/>
      <c r="F322" s="63"/>
      <c r="G322" s="64"/>
      <c r="H322" s="65"/>
      <c r="I322" s="63"/>
      <c r="K322" s="53" t="str">
        <f>IFERROR(__xludf.DUMMYFUNCTION("IF(ISBLANK(B322),"""",IF(ISDATE(B322),""X"",""""))"),"")</f>
        <v/>
      </c>
      <c r="L322" s="40" t="str">
        <f>IFERROR(__xludf.DUMMYFUNCTION("IF(ISBLANK(B322),"""",IF(Or(I322=""Em Aberto"",ISBLANK(I322),NOT(ISDATE(B322))),"""",H322))"),"")</f>
        <v/>
      </c>
      <c r="M322" s="29" t="str">
        <f>IFERROR(__xludf.DUMMYFUNCTION("IF(ISBLANK(B322),"""",IF(ISDATE(B322),TEXT(B322,""m""),""""))"),"")</f>
        <v/>
      </c>
      <c r="N322" s="29" t="str">
        <f>IFERROR(__xludf.DUMMYFUNCTION("IF(M322="""","""",QUERY({'Dashboard-Dados'!$Y$2:$AA$13},""Select Col2 Where Col1=""&amp;M322))"),"")</f>
        <v/>
      </c>
      <c r="O322" s="29" t="str">
        <f>IFERROR(__xludf.DUMMYFUNCTION("IF(ISBLANK(B322),"""",IF(ISDATE(B322),TEXT(B322,""yyyy""),""""))"),"")</f>
        <v/>
      </c>
    </row>
    <row r="323">
      <c r="B323" s="62"/>
      <c r="C323" s="56"/>
      <c r="D323" s="56"/>
      <c r="E323" s="56"/>
      <c r="F323" s="63"/>
      <c r="G323" s="64"/>
      <c r="H323" s="65"/>
      <c r="I323" s="63"/>
      <c r="K323" s="53" t="str">
        <f>IFERROR(__xludf.DUMMYFUNCTION("IF(ISBLANK(B323),"""",IF(ISDATE(B323),""X"",""""))"),"")</f>
        <v/>
      </c>
      <c r="L323" s="40" t="str">
        <f>IFERROR(__xludf.DUMMYFUNCTION("IF(ISBLANK(B323),"""",IF(Or(I323=""Em Aberto"",ISBLANK(I323),NOT(ISDATE(B323))),"""",H323))"),"")</f>
        <v/>
      </c>
      <c r="M323" s="29" t="str">
        <f>IFERROR(__xludf.DUMMYFUNCTION("IF(ISBLANK(B323),"""",IF(ISDATE(B323),TEXT(B323,""m""),""""))"),"")</f>
        <v/>
      </c>
      <c r="N323" s="29" t="str">
        <f>IFERROR(__xludf.DUMMYFUNCTION("IF(M323="""","""",QUERY({'Dashboard-Dados'!$Y$2:$AA$13},""Select Col2 Where Col1=""&amp;M323))"),"")</f>
        <v/>
      </c>
      <c r="O323" s="29" t="str">
        <f>IFERROR(__xludf.DUMMYFUNCTION("IF(ISBLANK(B323),"""",IF(ISDATE(B323),TEXT(B323,""yyyy""),""""))"),"")</f>
        <v/>
      </c>
    </row>
    <row r="324">
      <c r="B324" s="62"/>
      <c r="C324" s="56"/>
      <c r="D324" s="56"/>
      <c r="E324" s="56"/>
      <c r="F324" s="63"/>
      <c r="G324" s="64"/>
      <c r="H324" s="65"/>
      <c r="I324" s="63"/>
      <c r="K324" s="53" t="str">
        <f>IFERROR(__xludf.DUMMYFUNCTION("IF(ISBLANK(B324),"""",IF(ISDATE(B324),""X"",""""))"),"")</f>
        <v/>
      </c>
      <c r="L324" s="40" t="str">
        <f>IFERROR(__xludf.DUMMYFUNCTION("IF(ISBLANK(B324),"""",IF(Or(I324=""Em Aberto"",ISBLANK(I324),NOT(ISDATE(B324))),"""",H324))"),"")</f>
        <v/>
      </c>
      <c r="M324" s="29" t="str">
        <f>IFERROR(__xludf.DUMMYFUNCTION("IF(ISBLANK(B324),"""",IF(ISDATE(B324),TEXT(B324,""m""),""""))"),"")</f>
        <v/>
      </c>
      <c r="N324" s="29" t="str">
        <f>IFERROR(__xludf.DUMMYFUNCTION("IF(M324="""","""",QUERY({'Dashboard-Dados'!$Y$2:$AA$13},""Select Col2 Where Col1=""&amp;M324))"),"")</f>
        <v/>
      </c>
      <c r="O324" s="29" t="str">
        <f>IFERROR(__xludf.DUMMYFUNCTION("IF(ISBLANK(B324),"""",IF(ISDATE(B324),TEXT(B324,""yyyy""),""""))"),"")</f>
        <v/>
      </c>
    </row>
    <row r="325">
      <c r="B325" s="62"/>
      <c r="C325" s="56"/>
      <c r="D325" s="56"/>
      <c r="E325" s="56"/>
      <c r="F325" s="63"/>
      <c r="G325" s="64"/>
      <c r="H325" s="65"/>
      <c r="I325" s="63"/>
      <c r="K325" s="53" t="str">
        <f>IFERROR(__xludf.DUMMYFUNCTION("IF(ISBLANK(B325),"""",IF(ISDATE(B325),""X"",""""))"),"")</f>
        <v/>
      </c>
      <c r="L325" s="40" t="str">
        <f>IFERROR(__xludf.DUMMYFUNCTION("IF(ISBLANK(B325),"""",IF(Or(I325=""Em Aberto"",ISBLANK(I325),NOT(ISDATE(B325))),"""",H325))"),"")</f>
        <v/>
      </c>
      <c r="M325" s="29" t="str">
        <f>IFERROR(__xludf.DUMMYFUNCTION("IF(ISBLANK(B325),"""",IF(ISDATE(B325),TEXT(B325,""m""),""""))"),"")</f>
        <v/>
      </c>
      <c r="N325" s="29" t="str">
        <f>IFERROR(__xludf.DUMMYFUNCTION("IF(M325="""","""",QUERY({'Dashboard-Dados'!$Y$2:$AA$13},""Select Col2 Where Col1=""&amp;M325))"),"")</f>
        <v/>
      </c>
      <c r="O325" s="29" t="str">
        <f>IFERROR(__xludf.DUMMYFUNCTION("IF(ISBLANK(B325),"""",IF(ISDATE(B325),TEXT(B325,""yyyy""),""""))"),"")</f>
        <v/>
      </c>
    </row>
    <row r="326">
      <c r="B326" s="62"/>
      <c r="C326" s="56"/>
      <c r="D326" s="56"/>
      <c r="E326" s="56"/>
      <c r="F326" s="63"/>
      <c r="G326" s="64"/>
      <c r="H326" s="65"/>
      <c r="I326" s="63"/>
      <c r="K326" s="53" t="str">
        <f>IFERROR(__xludf.DUMMYFUNCTION("IF(ISBLANK(B326),"""",IF(ISDATE(B326),""X"",""""))"),"")</f>
        <v/>
      </c>
      <c r="L326" s="40" t="str">
        <f>IFERROR(__xludf.DUMMYFUNCTION("IF(ISBLANK(B326),"""",IF(Or(I326=""Em Aberto"",ISBLANK(I326),NOT(ISDATE(B326))),"""",H326))"),"")</f>
        <v/>
      </c>
      <c r="M326" s="29" t="str">
        <f>IFERROR(__xludf.DUMMYFUNCTION("IF(ISBLANK(B326),"""",IF(ISDATE(B326),TEXT(B326,""m""),""""))"),"")</f>
        <v/>
      </c>
      <c r="N326" s="29" t="str">
        <f>IFERROR(__xludf.DUMMYFUNCTION("IF(M326="""","""",QUERY({'Dashboard-Dados'!$Y$2:$AA$13},""Select Col2 Where Col1=""&amp;M326))"),"")</f>
        <v/>
      </c>
      <c r="O326" s="29" t="str">
        <f>IFERROR(__xludf.DUMMYFUNCTION("IF(ISBLANK(B326),"""",IF(ISDATE(B326),TEXT(B326,""yyyy""),""""))"),"")</f>
        <v/>
      </c>
    </row>
    <row r="327">
      <c r="B327" s="62"/>
      <c r="C327" s="56"/>
      <c r="D327" s="56"/>
      <c r="E327" s="56"/>
      <c r="F327" s="63"/>
      <c r="G327" s="64"/>
      <c r="H327" s="65"/>
      <c r="I327" s="63"/>
      <c r="K327" s="53" t="str">
        <f>IFERROR(__xludf.DUMMYFUNCTION("IF(ISBLANK(B327),"""",IF(ISDATE(B327),""X"",""""))"),"")</f>
        <v/>
      </c>
      <c r="L327" s="40" t="str">
        <f>IFERROR(__xludf.DUMMYFUNCTION("IF(ISBLANK(B327),"""",IF(Or(I327=""Em Aberto"",ISBLANK(I327),NOT(ISDATE(B327))),"""",H327))"),"")</f>
        <v/>
      </c>
      <c r="M327" s="29" t="str">
        <f>IFERROR(__xludf.DUMMYFUNCTION("IF(ISBLANK(B327),"""",IF(ISDATE(B327),TEXT(B327,""m""),""""))"),"")</f>
        <v/>
      </c>
      <c r="N327" s="29" t="str">
        <f>IFERROR(__xludf.DUMMYFUNCTION("IF(M327="""","""",QUERY({'Dashboard-Dados'!$Y$2:$AA$13},""Select Col2 Where Col1=""&amp;M327))"),"")</f>
        <v/>
      </c>
      <c r="O327" s="29" t="str">
        <f>IFERROR(__xludf.DUMMYFUNCTION("IF(ISBLANK(B327),"""",IF(ISDATE(B327),TEXT(B327,""yyyy""),""""))"),"")</f>
        <v/>
      </c>
    </row>
    <row r="328">
      <c r="B328" s="62"/>
      <c r="C328" s="56"/>
      <c r="D328" s="56"/>
      <c r="E328" s="56"/>
      <c r="F328" s="63"/>
      <c r="G328" s="64"/>
      <c r="H328" s="65"/>
      <c r="I328" s="63"/>
      <c r="K328" s="53" t="str">
        <f>IFERROR(__xludf.DUMMYFUNCTION("IF(ISBLANK(B328),"""",IF(ISDATE(B328),""X"",""""))"),"")</f>
        <v/>
      </c>
      <c r="L328" s="40" t="str">
        <f>IFERROR(__xludf.DUMMYFUNCTION("IF(ISBLANK(B328),"""",IF(Or(I328=""Em Aberto"",ISBLANK(I328),NOT(ISDATE(B328))),"""",H328))"),"")</f>
        <v/>
      </c>
      <c r="M328" s="29" t="str">
        <f>IFERROR(__xludf.DUMMYFUNCTION("IF(ISBLANK(B328),"""",IF(ISDATE(B328),TEXT(B328,""m""),""""))"),"")</f>
        <v/>
      </c>
      <c r="N328" s="29" t="str">
        <f>IFERROR(__xludf.DUMMYFUNCTION("IF(M328="""","""",QUERY({'Dashboard-Dados'!$Y$2:$AA$13},""Select Col2 Where Col1=""&amp;M328))"),"")</f>
        <v/>
      </c>
      <c r="O328" s="29" t="str">
        <f>IFERROR(__xludf.DUMMYFUNCTION("IF(ISBLANK(B328),"""",IF(ISDATE(B328),TEXT(B328,""yyyy""),""""))"),"")</f>
        <v/>
      </c>
    </row>
    <row r="329">
      <c r="B329" s="62"/>
      <c r="C329" s="56"/>
      <c r="D329" s="56"/>
      <c r="E329" s="56"/>
      <c r="F329" s="63"/>
      <c r="G329" s="64"/>
      <c r="H329" s="65"/>
      <c r="I329" s="63"/>
      <c r="K329" s="53" t="str">
        <f>IFERROR(__xludf.DUMMYFUNCTION("IF(ISBLANK(B329),"""",IF(ISDATE(B329),""X"",""""))"),"")</f>
        <v/>
      </c>
      <c r="L329" s="40" t="str">
        <f>IFERROR(__xludf.DUMMYFUNCTION("IF(ISBLANK(B329),"""",IF(Or(I329=""Em Aberto"",ISBLANK(I329),NOT(ISDATE(B329))),"""",H329))"),"")</f>
        <v/>
      </c>
      <c r="M329" s="29" t="str">
        <f>IFERROR(__xludf.DUMMYFUNCTION("IF(ISBLANK(B329),"""",IF(ISDATE(B329),TEXT(B329,""m""),""""))"),"")</f>
        <v/>
      </c>
      <c r="N329" s="29" t="str">
        <f>IFERROR(__xludf.DUMMYFUNCTION("IF(M329="""","""",QUERY({'Dashboard-Dados'!$Y$2:$AA$13},""Select Col2 Where Col1=""&amp;M329))"),"")</f>
        <v/>
      </c>
      <c r="O329" s="29" t="str">
        <f>IFERROR(__xludf.DUMMYFUNCTION("IF(ISBLANK(B329),"""",IF(ISDATE(B329),TEXT(B329,""yyyy""),""""))"),"")</f>
        <v/>
      </c>
    </row>
    <row r="330">
      <c r="B330" s="62"/>
      <c r="C330" s="56"/>
      <c r="D330" s="56"/>
      <c r="E330" s="56"/>
      <c r="F330" s="63"/>
      <c r="G330" s="64"/>
      <c r="H330" s="65"/>
      <c r="I330" s="63"/>
      <c r="K330" s="53" t="str">
        <f>IFERROR(__xludf.DUMMYFUNCTION("IF(ISBLANK(B330),"""",IF(ISDATE(B330),""X"",""""))"),"")</f>
        <v/>
      </c>
      <c r="L330" s="40" t="str">
        <f>IFERROR(__xludf.DUMMYFUNCTION("IF(ISBLANK(B330),"""",IF(Or(I330=""Em Aberto"",ISBLANK(I330),NOT(ISDATE(B330))),"""",H330))"),"")</f>
        <v/>
      </c>
      <c r="M330" s="29" t="str">
        <f>IFERROR(__xludf.DUMMYFUNCTION("IF(ISBLANK(B330),"""",IF(ISDATE(B330),TEXT(B330,""m""),""""))"),"")</f>
        <v/>
      </c>
      <c r="N330" s="29" t="str">
        <f>IFERROR(__xludf.DUMMYFUNCTION("IF(M330="""","""",QUERY({'Dashboard-Dados'!$Y$2:$AA$13},""Select Col2 Where Col1=""&amp;M330))"),"")</f>
        <v/>
      </c>
      <c r="O330" s="29" t="str">
        <f>IFERROR(__xludf.DUMMYFUNCTION("IF(ISBLANK(B330),"""",IF(ISDATE(B330),TEXT(B330,""yyyy""),""""))"),"")</f>
        <v/>
      </c>
    </row>
    <row r="331">
      <c r="B331" s="62"/>
      <c r="C331" s="56"/>
      <c r="D331" s="56"/>
      <c r="E331" s="56"/>
      <c r="F331" s="63"/>
      <c r="G331" s="64"/>
      <c r="H331" s="65"/>
      <c r="I331" s="63"/>
      <c r="K331" s="53" t="str">
        <f>IFERROR(__xludf.DUMMYFUNCTION("IF(ISBLANK(B331),"""",IF(ISDATE(B331),""X"",""""))"),"")</f>
        <v/>
      </c>
      <c r="L331" s="40" t="str">
        <f>IFERROR(__xludf.DUMMYFUNCTION("IF(ISBLANK(B331),"""",IF(Or(I331=""Em Aberto"",ISBLANK(I331),NOT(ISDATE(B331))),"""",H331))"),"")</f>
        <v/>
      </c>
      <c r="M331" s="29" t="str">
        <f>IFERROR(__xludf.DUMMYFUNCTION("IF(ISBLANK(B331),"""",IF(ISDATE(B331),TEXT(B331,""m""),""""))"),"")</f>
        <v/>
      </c>
      <c r="N331" s="29" t="str">
        <f>IFERROR(__xludf.DUMMYFUNCTION("IF(M331="""","""",QUERY({'Dashboard-Dados'!$Y$2:$AA$13},""Select Col2 Where Col1=""&amp;M331))"),"")</f>
        <v/>
      </c>
      <c r="O331" s="29" t="str">
        <f>IFERROR(__xludf.DUMMYFUNCTION("IF(ISBLANK(B331),"""",IF(ISDATE(B331),TEXT(B331,""yyyy""),""""))"),"")</f>
        <v/>
      </c>
    </row>
    <row r="332">
      <c r="B332" s="62"/>
      <c r="C332" s="56"/>
      <c r="D332" s="56"/>
      <c r="E332" s="56"/>
      <c r="F332" s="63"/>
      <c r="G332" s="64"/>
      <c r="H332" s="65"/>
      <c r="I332" s="63"/>
      <c r="K332" s="53" t="str">
        <f>IFERROR(__xludf.DUMMYFUNCTION("IF(ISBLANK(B332),"""",IF(ISDATE(B332),""X"",""""))"),"")</f>
        <v/>
      </c>
      <c r="L332" s="40" t="str">
        <f>IFERROR(__xludf.DUMMYFUNCTION("IF(ISBLANK(B332),"""",IF(Or(I332=""Em Aberto"",ISBLANK(I332),NOT(ISDATE(B332))),"""",H332))"),"")</f>
        <v/>
      </c>
      <c r="M332" s="29" t="str">
        <f>IFERROR(__xludf.DUMMYFUNCTION("IF(ISBLANK(B332),"""",IF(ISDATE(B332),TEXT(B332,""m""),""""))"),"")</f>
        <v/>
      </c>
      <c r="N332" s="29" t="str">
        <f>IFERROR(__xludf.DUMMYFUNCTION("IF(M332="""","""",QUERY({'Dashboard-Dados'!$Y$2:$AA$13},""Select Col2 Where Col1=""&amp;M332))"),"")</f>
        <v/>
      </c>
      <c r="O332" s="29" t="str">
        <f>IFERROR(__xludf.DUMMYFUNCTION("IF(ISBLANK(B332),"""",IF(ISDATE(B332),TEXT(B332,""yyyy""),""""))"),"")</f>
        <v/>
      </c>
    </row>
    <row r="333">
      <c r="B333" s="62"/>
      <c r="C333" s="56"/>
      <c r="D333" s="56"/>
      <c r="E333" s="56"/>
      <c r="F333" s="63"/>
      <c r="G333" s="64"/>
      <c r="H333" s="65"/>
      <c r="I333" s="63"/>
      <c r="K333" s="53" t="str">
        <f>IFERROR(__xludf.DUMMYFUNCTION("IF(ISBLANK(B333),"""",IF(ISDATE(B333),""X"",""""))"),"")</f>
        <v/>
      </c>
      <c r="L333" s="40" t="str">
        <f>IFERROR(__xludf.DUMMYFUNCTION("IF(ISBLANK(B333),"""",IF(Or(I333=""Em Aberto"",ISBLANK(I333),NOT(ISDATE(B333))),"""",H333))"),"")</f>
        <v/>
      </c>
      <c r="M333" s="29" t="str">
        <f>IFERROR(__xludf.DUMMYFUNCTION("IF(ISBLANK(B333),"""",IF(ISDATE(B333),TEXT(B333,""m""),""""))"),"")</f>
        <v/>
      </c>
      <c r="N333" s="29" t="str">
        <f>IFERROR(__xludf.DUMMYFUNCTION("IF(M333="""","""",QUERY({'Dashboard-Dados'!$Y$2:$AA$13},""Select Col2 Where Col1=""&amp;M333))"),"")</f>
        <v/>
      </c>
      <c r="O333" s="29" t="str">
        <f>IFERROR(__xludf.DUMMYFUNCTION("IF(ISBLANK(B333),"""",IF(ISDATE(B333),TEXT(B333,""yyyy""),""""))"),"")</f>
        <v/>
      </c>
    </row>
    <row r="334">
      <c r="B334" s="62"/>
      <c r="C334" s="56"/>
      <c r="D334" s="56"/>
      <c r="E334" s="56"/>
      <c r="F334" s="63"/>
      <c r="G334" s="64"/>
      <c r="H334" s="65"/>
      <c r="I334" s="63"/>
      <c r="K334" s="53" t="str">
        <f>IFERROR(__xludf.DUMMYFUNCTION("IF(ISBLANK(B334),"""",IF(ISDATE(B334),""X"",""""))"),"")</f>
        <v/>
      </c>
      <c r="L334" s="40" t="str">
        <f>IFERROR(__xludf.DUMMYFUNCTION("IF(ISBLANK(B334),"""",IF(Or(I334=""Em Aberto"",ISBLANK(I334),NOT(ISDATE(B334))),"""",H334))"),"")</f>
        <v/>
      </c>
      <c r="M334" s="29" t="str">
        <f>IFERROR(__xludf.DUMMYFUNCTION("IF(ISBLANK(B334),"""",IF(ISDATE(B334),TEXT(B334,""m""),""""))"),"")</f>
        <v/>
      </c>
      <c r="N334" s="29" t="str">
        <f>IFERROR(__xludf.DUMMYFUNCTION("IF(M334="""","""",QUERY({'Dashboard-Dados'!$Y$2:$AA$13},""Select Col2 Where Col1=""&amp;M334))"),"")</f>
        <v/>
      </c>
      <c r="O334" s="29" t="str">
        <f>IFERROR(__xludf.DUMMYFUNCTION("IF(ISBLANK(B334),"""",IF(ISDATE(B334),TEXT(B334,""yyyy""),""""))"),"")</f>
        <v/>
      </c>
    </row>
    <row r="335">
      <c r="B335" s="62"/>
      <c r="C335" s="56"/>
      <c r="D335" s="56"/>
      <c r="E335" s="56"/>
      <c r="F335" s="63"/>
      <c r="G335" s="64"/>
      <c r="H335" s="65"/>
      <c r="I335" s="63"/>
      <c r="K335" s="53" t="str">
        <f>IFERROR(__xludf.DUMMYFUNCTION("IF(ISBLANK(B335),"""",IF(ISDATE(B335),""X"",""""))"),"")</f>
        <v/>
      </c>
      <c r="L335" s="40" t="str">
        <f>IFERROR(__xludf.DUMMYFUNCTION("IF(ISBLANK(B335),"""",IF(Or(I335=""Em Aberto"",ISBLANK(I335),NOT(ISDATE(B335))),"""",H335))"),"")</f>
        <v/>
      </c>
      <c r="M335" s="29" t="str">
        <f>IFERROR(__xludf.DUMMYFUNCTION("IF(ISBLANK(B335),"""",IF(ISDATE(B335),TEXT(B335,""m""),""""))"),"")</f>
        <v/>
      </c>
      <c r="N335" s="29" t="str">
        <f>IFERROR(__xludf.DUMMYFUNCTION("IF(M335="""","""",QUERY({'Dashboard-Dados'!$Y$2:$AA$13},""Select Col2 Where Col1=""&amp;M335))"),"")</f>
        <v/>
      </c>
      <c r="O335" s="29" t="str">
        <f>IFERROR(__xludf.DUMMYFUNCTION("IF(ISBLANK(B335),"""",IF(ISDATE(B335),TEXT(B335,""yyyy""),""""))"),"")</f>
        <v/>
      </c>
    </row>
    <row r="336">
      <c r="B336" s="62"/>
      <c r="C336" s="56"/>
      <c r="D336" s="56"/>
      <c r="E336" s="56"/>
      <c r="F336" s="63"/>
      <c r="G336" s="64"/>
      <c r="H336" s="65"/>
      <c r="I336" s="63"/>
      <c r="K336" s="53" t="str">
        <f>IFERROR(__xludf.DUMMYFUNCTION("IF(ISBLANK(B336),"""",IF(ISDATE(B336),""X"",""""))"),"")</f>
        <v/>
      </c>
      <c r="L336" s="40" t="str">
        <f>IFERROR(__xludf.DUMMYFUNCTION("IF(ISBLANK(B336),"""",IF(Or(I336=""Em Aberto"",ISBLANK(I336),NOT(ISDATE(B336))),"""",H336))"),"")</f>
        <v/>
      </c>
      <c r="M336" s="29" t="str">
        <f>IFERROR(__xludf.DUMMYFUNCTION("IF(ISBLANK(B336),"""",IF(ISDATE(B336),TEXT(B336,""m""),""""))"),"")</f>
        <v/>
      </c>
      <c r="N336" s="29" t="str">
        <f>IFERROR(__xludf.DUMMYFUNCTION("IF(M336="""","""",QUERY({'Dashboard-Dados'!$Y$2:$AA$13},""Select Col2 Where Col1=""&amp;M336))"),"")</f>
        <v/>
      </c>
      <c r="O336" s="29" t="str">
        <f>IFERROR(__xludf.DUMMYFUNCTION("IF(ISBLANK(B336),"""",IF(ISDATE(B336),TEXT(B336,""yyyy""),""""))"),"")</f>
        <v/>
      </c>
    </row>
    <row r="337">
      <c r="B337" s="62"/>
      <c r="C337" s="56"/>
      <c r="D337" s="56"/>
      <c r="E337" s="56"/>
      <c r="F337" s="63"/>
      <c r="G337" s="64"/>
      <c r="H337" s="65"/>
      <c r="I337" s="63"/>
      <c r="K337" s="53" t="str">
        <f>IFERROR(__xludf.DUMMYFUNCTION("IF(ISBLANK(B337),"""",IF(ISDATE(B337),""X"",""""))"),"")</f>
        <v/>
      </c>
      <c r="L337" s="40" t="str">
        <f>IFERROR(__xludf.DUMMYFUNCTION("IF(ISBLANK(B337),"""",IF(Or(I337=""Em Aberto"",ISBLANK(I337),NOT(ISDATE(B337))),"""",H337))"),"")</f>
        <v/>
      </c>
      <c r="M337" s="29" t="str">
        <f>IFERROR(__xludf.DUMMYFUNCTION("IF(ISBLANK(B337),"""",IF(ISDATE(B337),TEXT(B337,""m""),""""))"),"")</f>
        <v/>
      </c>
      <c r="N337" s="29" t="str">
        <f>IFERROR(__xludf.DUMMYFUNCTION("IF(M337="""","""",QUERY({'Dashboard-Dados'!$Y$2:$AA$13},""Select Col2 Where Col1=""&amp;M337))"),"")</f>
        <v/>
      </c>
      <c r="O337" s="29" t="str">
        <f>IFERROR(__xludf.DUMMYFUNCTION("IF(ISBLANK(B337),"""",IF(ISDATE(B337),TEXT(B337,""yyyy""),""""))"),"")</f>
        <v/>
      </c>
    </row>
    <row r="338">
      <c r="B338" s="62"/>
      <c r="C338" s="56"/>
      <c r="D338" s="56"/>
      <c r="E338" s="56"/>
      <c r="F338" s="63"/>
      <c r="G338" s="64"/>
      <c r="H338" s="65"/>
      <c r="I338" s="63"/>
      <c r="K338" s="53" t="str">
        <f>IFERROR(__xludf.DUMMYFUNCTION("IF(ISBLANK(B338),"""",IF(ISDATE(B338),""X"",""""))"),"")</f>
        <v/>
      </c>
      <c r="L338" s="40" t="str">
        <f>IFERROR(__xludf.DUMMYFUNCTION("IF(ISBLANK(B338),"""",IF(Or(I338=""Em Aberto"",ISBLANK(I338),NOT(ISDATE(B338))),"""",H338))"),"")</f>
        <v/>
      </c>
      <c r="M338" s="29" t="str">
        <f>IFERROR(__xludf.DUMMYFUNCTION("IF(ISBLANK(B338),"""",IF(ISDATE(B338),TEXT(B338,""m""),""""))"),"")</f>
        <v/>
      </c>
      <c r="N338" s="29" t="str">
        <f>IFERROR(__xludf.DUMMYFUNCTION("IF(M338="""","""",QUERY({'Dashboard-Dados'!$Y$2:$AA$13},""Select Col2 Where Col1=""&amp;M338))"),"")</f>
        <v/>
      </c>
      <c r="O338" s="29" t="str">
        <f>IFERROR(__xludf.DUMMYFUNCTION("IF(ISBLANK(B338),"""",IF(ISDATE(B338),TEXT(B338,""yyyy""),""""))"),"")</f>
        <v/>
      </c>
    </row>
    <row r="339">
      <c r="B339" s="62"/>
      <c r="C339" s="56"/>
      <c r="D339" s="56"/>
      <c r="E339" s="56"/>
      <c r="F339" s="63"/>
      <c r="G339" s="64"/>
      <c r="H339" s="65"/>
      <c r="I339" s="63"/>
      <c r="K339" s="53" t="str">
        <f>IFERROR(__xludf.DUMMYFUNCTION("IF(ISBLANK(B339),"""",IF(ISDATE(B339),""X"",""""))"),"")</f>
        <v/>
      </c>
      <c r="L339" s="40" t="str">
        <f>IFERROR(__xludf.DUMMYFUNCTION("IF(ISBLANK(B339),"""",IF(Or(I339=""Em Aberto"",ISBLANK(I339),NOT(ISDATE(B339))),"""",H339))"),"")</f>
        <v/>
      </c>
      <c r="M339" s="29" t="str">
        <f>IFERROR(__xludf.DUMMYFUNCTION("IF(ISBLANK(B339),"""",IF(ISDATE(B339),TEXT(B339,""m""),""""))"),"")</f>
        <v/>
      </c>
      <c r="N339" s="29" t="str">
        <f>IFERROR(__xludf.DUMMYFUNCTION("IF(M339="""","""",QUERY({'Dashboard-Dados'!$Y$2:$AA$13},""Select Col2 Where Col1=""&amp;M339))"),"")</f>
        <v/>
      </c>
      <c r="O339" s="29" t="str">
        <f>IFERROR(__xludf.DUMMYFUNCTION("IF(ISBLANK(B339),"""",IF(ISDATE(B339),TEXT(B339,""yyyy""),""""))"),"")</f>
        <v/>
      </c>
    </row>
    <row r="340">
      <c r="B340" s="62"/>
      <c r="C340" s="56"/>
      <c r="D340" s="56"/>
      <c r="E340" s="56"/>
      <c r="F340" s="63"/>
      <c r="G340" s="64"/>
      <c r="H340" s="65"/>
      <c r="I340" s="63"/>
      <c r="K340" s="53" t="str">
        <f>IFERROR(__xludf.DUMMYFUNCTION("IF(ISBLANK(B340),"""",IF(ISDATE(B340),""X"",""""))"),"")</f>
        <v/>
      </c>
      <c r="L340" s="40" t="str">
        <f>IFERROR(__xludf.DUMMYFUNCTION("IF(ISBLANK(B340),"""",IF(Or(I340=""Em Aberto"",ISBLANK(I340),NOT(ISDATE(B340))),"""",H340))"),"")</f>
        <v/>
      </c>
      <c r="M340" s="29" t="str">
        <f>IFERROR(__xludf.DUMMYFUNCTION("IF(ISBLANK(B340),"""",IF(ISDATE(B340),TEXT(B340,""m""),""""))"),"")</f>
        <v/>
      </c>
      <c r="N340" s="29" t="str">
        <f>IFERROR(__xludf.DUMMYFUNCTION("IF(M340="""","""",QUERY({'Dashboard-Dados'!$Y$2:$AA$13},""Select Col2 Where Col1=""&amp;M340))"),"")</f>
        <v/>
      </c>
      <c r="O340" s="29" t="str">
        <f>IFERROR(__xludf.DUMMYFUNCTION("IF(ISBLANK(B340),"""",IF(ISDATE(B340),TEXT(B340,""yyyy""),""""))"),"")</f>
        <v/>
      </c>
    </row>
    <row r="341">
      <c r="B341" s="62"/>
      <c r="C341" s="56"/>
      <c r="D341" s="56"/>
      <c r="E341" s="56"/>
      <c r="F341" s="63"/>
      <c r="G341" s="64"/>
      <c r="H341" s="65"/>
      <c r="I341" s="63"/>
      <c r="K341" s="53" t="str">
        <f>IFERROR(__xludf.DUMMYFUNCTION("IF(ISBLANK(B341),"""",IF(ISDATE(B341),""X"",""""))"),"")</f>
        <v/>
      </c>
      <c r="L341" s="40" t="str">
        <f>IFERROR(__xludf.DUMMYFUNCTION("IF(ISBLANK(B341),"""",IF(Or(I341=""Em Aberto"",ISBLANK(I341),NOT(ISDATE(B341))),"""",H341))"),"")</f>
        <v/>
      </c>
      <c r="M341" s="29" t="str">
        <f>IFERROR(__xludf.DUMMYFUNCTION("IF(ISBLANK(B341),"""",IF(ISDATE(B341),TEXT(B341,""m""),""""))"),"")</f>
        <v/>
      </c>
      <c r="N341" s="29" t="str">
        <f>IFERROR(__xludf.DUMMYFUNCTION("IF(M341="""","""",QUERY({'Dashboard-Dados'!$Y$2:$AA$13},""Select Col2 Where Col1=""&amp;M341))"),"")</f>
        <v/>
      </c>
      <c r="O341" s="29" t="str">
        <f>IFERROR(__xludf.DUMMYFUNCTION("IF(ISBLANK(B341),"""",IF(ISDATE(B341),TEXT(B341,""yyyy""),""""))"),"")</f>
        <v/>
      </c>
    </row>
    <row r="342">
      <c r="B342" s="62"/>
      <c r="C342" s="56"/>
      <c r="D342" s="56"/>
      <c r="E342" s="56"/>
      <c r="F342" s="63"/>
      <c r="G342" s="64"/>
      <c r="H342" s="65"/>
      <c r="I342" s="63"/>
      <c r="K342" s="53" t="str">
        <f>IFERROR(__xludf.DUMMYFUNCTION("IF(ISBLANK(B342),"""",IF(ISDATE(B342),""X"",""""))"),"")</f>
        <v/>
      </c>
      <c r="L342" s="40" t="str">
        <f>IFERROR(__xludf.DUMMYFUNCTION("IF(ISBLANK(B342),"""",IF(Or(I342=""Em Aberto"",ISBLANK(I342),NOT(ISDATE(B342))),"""",H342))"),"")</f>
        <v/>
      </c>
      <c r="M342" s="29" t="str">
        <f>IFERROR(__xludf.DUMMYFUNCTION("IF(ISBLANK(B342),"""",IF(ISDATE(B342),TEXT(B342,""m""),""""))"),"")</f>
        <v/>
      </c>
      <c r="N342" s="29" t="str">
        <f>IFERROR(__xludf.DUMMYFUNCTION("IF(M342="""","""",QUERY({'Dashboard-Dados'!$Y$2:$AA$13},""Select Col2 Where Col1=""&amp;M342))"),"")</f>
        <v/>
      </c>
      <c r="O342" s="29" t="str">
        <f>IFERROR(__xludf.DUMMYFUNCTION("IF(ISBLANK(B342),"""",IF(ISDATE(B342),TEXT(B342,""yyyy""),""""))"),"")</f>
        <v/>
      </c>
    </row>
    <row r="343">
      <c r="B343" s="62"/>
      <c r="C343" s="56"/>
      <c r="D343" s="56"/>
      <c r="E343" s="56"/>
      <c r="F343" s="63"/>
      <c r="G343" s="64"/>
      <c r="H343" s="65"/>
      <c r="I343" s="63"/>
      <c r="K343" s="53" t="str">
        <f>IFERROR(__xludf.DUMMYFUNCTION("IF(ISBLANK(B343),"""",IF(ISDATE(B343),""X"",""""))"),"")</f>
        <v/>
      </c>
      <c r="L343" s="40" t="str">
        <f>IFERROR(__xludf.DUMMYFUNCTION("IF(ISBLANK(B343),"""",IF(Or(I343=""Em Aberto"",ISBLANK(I343),NOT(ISDATE(B343))),"""",H343))"),"")</f>
        <v/>
      </c>
      <c r="M343" s="29" t="str">
        <f>IFERROR(__xludf.DUMMYFUNCTION("IF(ISBLANK(B343),"""",IF(ISDATE(B343),TEXT(B343,""m""),""""))"),"")</f>
        <v/>
      </c>
      <c r="N343" s="29" t="str">
        <f>IFERROR(__xludf.DUMMYFUNCTION("IF(M343="""","""",QUERY({'Dashboard-Dados'!$Y$2:$AA$13},""Select Col2 Where Col1=""&amp;M343))"),"")</f>
        <v/>
      </c>
      <c r="O343" s="29" t="str">
        <f>IFERROR(__xludf.DUMMYFUNCTION("IF(ISBLANK(B343),"""",IF(ISDATE(B343),TEXT(B343,""yyyy""),""""))"),"")</f>
        <v/>
      </c>
    </row>
    <row r="344">
      <c r="B344" s="62"/>
      <c r="C344" s="56"/>
      <c r="D344" s="56"/>
      <c r="E344" s="56"/>
      <c r="F344" s="63"/>
      <c r="G344" s="64"/>
      <c r="H344" s="65"/>
      <c r="I344" s="63"/>
      <c r="K344" s="53" t="str">
        <f>IFERROR(__xludf.DUMMYFUNCTION("IF(ISBLANK(B344),"""",IF(ISDATE(B344),""X"",""""))"),"")</f>
        <v/>
      </c>
      <c r="L344" s="40" t="str">
        <f>IFERROR(__xludf.DUMMYFUNCTION("IF(ISBLANK(B344),"""",IF(Or(I344=""Em Aberto"",ISBLANK(I344),NOT(ISDATE(B344))),"""",H344))"),"")</f>
        <v/>
      </c>
      <c r="M344" s="29" t="str">
        <f>IFERROR(__xludf.DUMMYFUNCTION("IF(ISBLANK(B344),"""",IF(ISDATE(B344),TEXT(B344,""m""),""""))"),"")</f>
        <v/>
      </c>
      <c r="N344" s="29" t="str">
        <f>IFERROR(__xludf.DUMMYFUNCTION("IF(M344="""","""",QUERY({'Dashboard-Dados'!$Y$2:$AA$13},""Select Col2 Where Col1=""&amp;M344))"),"")</f>
        <v/>
      </c>
      <c r="O344" s="29" t="str">
        <f>IFERROR(__xludf.DUMMYFUNCTION("IF(ISBLANK(B344),"""",IF(ISDATE(B344),TEXT(B344,""yyyy""),""""))"),"")</f>
        <v/>
      </c>
    </row>
    <row r="345">
      <c r="B345" s="62"/>
      <c r="C345" s="56"/>
      <c r="D345" s="56"/>
      <c r="E345" s="56"/>
      <c r="F345" s="63"/>
      <c r="G345" s="64"/>
      <c r="H345" s="65"/>
      <c r="I345" s="63"/>
      <c r="K345" s="53" t="str">
        <f>IFERROR(__xludf.DUMMYFUNCTION("IF(ISBLANK(B345),"""",IF(ISDATE(B345),""X"",""""))"),"")</f>
        <v/>
      </c>
      <c r="L345" s="40" t="str">
        <f>IFERROR(__xludf.DUMMYFUNCTION("IF(ISBLANK(B345),"""",IF(Or(I345=""Em Aberto"",ISBLANK(I345),NOT(ISDATE(B345))),"""",H345))"),"")</f>
        <v/>
      </c>
      <c r="M345" s="29" t="str">
        <f>IFERROR(__xludf.DUMMYFUNCTION("IF(ISBLANK(B345),"""",IF(ISDATE(B345),TEXT(B345,""m""),""""))"),"")</f>
        <v/>
      </c>
      <c r="N345" s="29" t="str">
        <f>IFERROR(__xludf.DUMMYFUNCTION("IF(M345="""","""",QUERY({'Dashboard-Dados'!$Y$2:$AA$13},""Select Col2 Where Col1=""&amp;M345))"),"")</f>
        <v/>
      </c>
      <c r="O345" s="29" t="str">
        <f>IFERROR(__xludf.DUMMYFUNCTION("IF(ISBLANK(B345),"""",IF(ISDATE(B345),TEXT(B345,""yyyy""),""""))"),"")</f>
        <v/>
      </c>
    </row>
    <row r="346">
      <c r="B346" s="62"/>
      <c r="C346" s="56"/>
      <c r="D346" s="56"/>
      <c r="E346" s="56"/>
      <c r="F346" s="63"/>
      <c r="G346" s="64"/>
      <c r="H346" s="65"/>
      <c r="I346" s="63"/>
      <c r="K346" s="53" t="str">
        <f>IFERROR(__xludf.DUMMYFUNCTION("IF(ISBLANK(B346),"""",IF(ISDATE(B346),""X"",""""))"),"")</f>
        <v/>
      </c>
      <c r="L346" s="40" t="str">
        <f>IFERROR(__xludf.DUMMYFUNCTION("IF(ISBLANK(B346),"""",IF(Or(I346=""Em Aberto"",ISBLANK(I346),NOT(ISDATE(B346))),"""",H346))"),"")</f>
        <v/>
      </c>
      <c r="M346" s="29" t="str">
        <f>IFERROR(__xludf.DUMMYFUNCTION("IF(ISBLANK(B346),"""",IF(ISDATE(B346),TEXT(B346,""m""),""""))"),"")</f>
        <v/>
      </c>
      <c r="N346" s="29" t="str">
        <f>IFERROR(__xludf.DUMMYFUNCTION("IF(M346="""","""",QUERY({'Dashboard-Dados'!$Y$2:$AA$13},""Select Col2 Where Col1=""&amp;M346))"),"")</f>
        <v/>
      </c>
      <c r="O346" s="29" t="str">
        <f>IFERROR(__xludf.DUMMYFUNCTION("IF(ISBLANK(B346),"""",IF(ISDATE(B346),TEXT(B346,""yyyy""),""""))"),"")</f>
        <v/>
      </c>
    </row>
    <row r="347">
      <c r="B347" s="62"/>
      <c r="C347" s="56"/>
      <c r="D347" s="56"/>
      <c r="E347" s="56"/>
      <c r="F347" s="63"/>
      <c r="G347" s="64"/>
      <c r="H347" s="65"/>
      <c r="I347" s="63"/>
      <c r="K347" s="53" t="str">
        <f>IFERROR(__xludf.DUMMYFUNCTION("IF(ISBLANK(B347),"""",IF(ISDATE(B347),""X"",""""))"),"")</f>
        <v/>
      </c>
      <c r="L347" s="40" t="str">
        <f>IFERROR(__xludf.DUMMYFUNCTION("IF(ISBLANK(B347),"""",IF(Or(I347=""Em Aberto"",ISBLANK(I347),NOT(ISDATE(B347))),"""",H347))"),"")</f>
        <v/>
      </c>
      <c r="M347" s="29" t="str">
        <f>IFERROR(__xludf.DUMMYFUNCTION("IF(ISBLANK(B347),"""",IF(ISDATE(B347),TEXT(B347,""m""),""""))"),"")</f>
        <v/>
      </c>
      <c r="N347" s="29" t="str">
        <f>IFERROR(__xludf.DUMMYFUNCTION("IF(M347="""","""",QUERY({'Dashboard-Dados'!$Y$2:$AA$13},""Select Col2 Where Col1=""&amp;M347))"),"")</f>
        <v/>
      </c>
      <c r="O347" s="29" t="str">
        <f>IFERROR(__xludf.DUMMYFUNCTION("IF(ISBLANK(B347),"""",IF(ISDATE(B347),TEXT(B347,""yyyy""),""""))"),"")</f>
        <v/>
      </c>
    </row>
    <row r="348">
      <c r="B348" s="62"/>
      <c r="C348" s="56"/>
      <c r="D348" s="56"/>
      <c r="E348" s="56"/>
      <c r="F348" s="63"/>
      <c r="G348" s="64"/>
      <c r="H348" s="65"/>
      <c r="I348" s="63"/>
      <c r="K348" s="53" t="str">
        <f>IFERROR(__xludf.DUMMYFUNCTION("IF(ISBLANK(B348),"""",IF(ISDATE(B348),""X"",""""))"),"")</f>
        <v/>
      </c>
      <c r="L348" s="40" t="str">
        <f>IFERROR(__xludf.DUMMYFUNCTION("IF(ISBLANK(B348),"""",IF(Or(I348=""Em Aberto"",ISBLANK(I348),NOT(ISDATE(B348))),"""",H348))"),"")</f>
        <v/>
      </c>
      <c r="M348" s="29" t="str">
        <f>IFERROR(__xludf.DUMMYFUNCTION("IF(ISBLANK(B348),"""",IF(ISDATE(B348),TEXT(B348,""m""),""""))"),"")</f>
        <v/>
      </c>
      <c r="N348" s="29" t="str">
        <f>IFERROR(__xludf.DUMMYFUNCTION("IF(M348="""","""",QUERY({'Dashboard-Dados'!$Y$2:$AA$13},""Select Col2 Where Col1=""&amp;M348))"),"")</f>
        <v/>
      </c>
      <c r="O348" s="29" t="str">
        <f>IFERROR(__xludf.DUMMYFUNCTION("IF(ISBLANK(B348),"""",IF(ISDATE(B348),TEXT(B348,""yyyy""),""""))"),"")</f>
        <v/>
      </c>
    </row>
    <row r="349">
      <c r="B349" s="62"/>
      <c r="C349" s="56"/>
      <c r="D349" s="56"/>
      <c r="E349" s="56"/>
      <c r="F349" s="63"/>
      <c r="G349" s="64"/>
      <c r="H349" s="65"/>
      <c r="I349" s="63"/>
      <c r="K349" s="53" t="str">
        <f>IFERROR(__xludf.DUMMYFUNCTION("IF(ISBLANK(B349),"""",IF(ISDATE(B349),""X"",""""))"),"")</f>
        <v/>
      </c>
      <c r="L349" s="40" t="str">
        <f>IFERROR(__xludf.DUMMYFUNCTION("IF(ISBLANK(B349),"""",IF(Or(I349=""Em Aberto"",ISBLANK(I349),NOT(ISDATE(B349))),"""",H349))"),"")</f>
        <v/>
      </c>
      <c r="M349" s="29" t="str">
        <f>IFERROR(__xludf.DUMMYFUNCTION("IF(ISBLANK(B349),"""",IF(ISDATE(B349),TEXT(B349,""m""),""""))"),"")</f>
        <v/>
      </c>
      <c r="N349" s="29" t="str">
        <f>IFERROR(__xludf.DUMMYFUNCTION("IF(M349="""","""",QUERY({'Dashboard-Dados'!$Y$2:$AA$13},""Select Col2 Where Col1=""&amp;M349))"),"")</f>
        <v/>
      </c>
      <c r="O349" s="29" t="str">
        <f>IFERROR(__xludf.DUMMYFUNCTION("IF(ISBLANK(B349),"""",IF(ISDATE(B349),TEXT(B349,""yyyy""),""""))"),"")</f>
        <v/>
      </c>
    </row>
    <row r="350">
      <c r="B350" s="62"/>
      <c r="C350" s="56"/>
      <c r="D350" s="56"/>
      <c r="E350" s="56"/>
      <c r="F350" s="63"/>
      <c r="G350" s="64"/>
      <c r="H350" s="65"/>
      <c r="I350" s="63"/>
      <c r="K350" s="53" t="str">
        <f>IFERROR(__xludf.DUMMYFUNCTION("IF(ISBLANK(B350),"""",IF(ISDATE(B350),""X"",""""))"),"")</f>
        <v/>
      </c>
      <c r="L350" s="40" t="str">
        <f>IFERROR(__xludf.DUMMYFUNCTION("IF(ISBLANK(B350),"""",IF(Or(I350=""Em Aberto"",ISBLANK(I350),NOT(ISDATE(B350))),"""",H350))"),"")</f>
        <v/>
      </c>
      <c r="M350" s="29" t="str">
        <f>IFERROR(__xludf.DUMMYFUNCTION("IF(ISBLANK(B350),"""",IF(ISDATE(B350),TEXT(B350,""m""),""""))"),"")</f>
        <v/>
      </c>
      <c r="N350" s="29" t="str">
        <f>IFERROR(__xludf.DUMMYFUNCTION("IF(M350="""","""",QUERY({'Dashboard-Dados'!$Y$2:$AA$13},""Select Col2 Where Col1=""&amp;M350))"),"")</f>
        <v/>
      </c>
      <c r="O350" s="29" t="str">
        <f>IFERROR(__xludf.DUMMYFUNCTION("IF(ISBLANK(B350),"""",IF(ISDATE(B350),TEXT(B350,""yyyy""),""""))"),"")</f>
        <v/>
      </c>
    </row>
    <row r="351">
      <c r="B351" s="62"/>
      <c r="C351" s="56"/>
      <c r="D351" s="56"/>
      <c r="E351" s="56"/>
      <c r="F351" s="63"/>
      <c r="G351" s="64"/>
      <c r="H351" s="65"/>
      <c r="I351" s="63"/>
      <c r="K351" s="53" t="str">
        <f>IFERROR(__xludf.DUMMYFUNCTION("IF(ISBLANK(B351),"""",IF(ISDATE(B351),""X"",""""))"),"")</f>
        <v/>
      </c>
      <c r="L351" s="40" t="str">
        <f>IFERROR(__xludf.DUMMYFUNCTION("IF(ISBLANK(B351),"""",IF(Or(I351=""Em Aberto"",ISBLANK(I351),NOT(ISDATE(B351))),"""",H351))"),"")</f>
        <v/>
      </c>
      <c r="M351" s="29" t="str">
        <f>IFERROR(__xludf.DUMMYFUNCTION("IF(ISBLANK(B351),"""",IF(ISDATE(B351),TEXT(B351,""m""),""""))"),"")</f>
        <v/>
      </c>
      <c r="N351" s="29" t="str">
        <f>IFERROR(__xludf.DUMMYFUNCTION("IF(M351="""","""",QUERY({'Dashboard-Dados'!$Y$2:$AA$13},""Select Col2 Where Col1=""&amp;M351))"),"")</f>
        <v/>
      </c>
      <c r="O351" s="29" t="str">
        <f>IFERROR(__xludf.DUMMYFUNCTION("IF(ISBLANK(B351),"""",IF(ISDATE(B351),TEXT(B351,""yyyy""),""""))"),"")</f>
        <v/>
      </c>
    </row>
    <row r="352">
      <c r="B352" s="62"/>
      <c r="C352" s="56"/>
      <c r="D352" s="56"/>
      <c r="E352" s="56"/>
      <c r="F352" s="63"/>
      <c r="G352" s="64"/>
      <c r="H352" s="65"/>
      <c r="I352" s="63"/>
      <c r="K352" s="53" t="str">
        <f>IFERROR(__xludf.DUMMYFUNCTION("IF(ISBLANK(B352),"""",IF(ISDATE(B352),""X"",""""))"),"")</f>
        <v/>
      </c>
      <c r="L352" s="40" t="str">
        <f>IFERROR(__xludf.DUMMYFUNCTION("IF(ISBLANK(B352),"""",IF(Or(I352=""Em Aberto"",ISBLANK(I352),NOT(ISDATE(B352))),"""",H352))"),"")</f>
        <v/>
      </c>
      <c r="M352" s="29" t="str">
        <f>IFERROR(__xludf.DUMMYFUNCTION("IF(ISBLANK(B352),"""",IF(ISDATE(B352),TEXT(B352,""m""),""""))"),"")</f>
        <v/>
      </c>
      <c r="N352" s="29" t="str">
        <f>IFERROR(__xludf.DUMMYFUNCTION("IF(M352="""","""",QUERY({'Dashboard-Dados'!$Y$2:$AA$13},""Select Col2 Where Col1=""&amp;M352))"),"")</f>
        <v/>
      </c>
      <c r="O352" s="29" t="str">
        <f>IFERROR(__xludf.DUMMYFUNCTION("IF(ISBLANK(B352),"""",IF(ISDATE(B352),TEXT(B352,""yyyy""),""""))"),"")</f>
        <v/>
      </c>
    </row>
    <row r="353">
      <c r="B353" s="62"/>
      <c r="C353" s="56"/>
      <c r="D353" s="56"/>
      <c r="E353" s="56"/>
      <c r="F353" s="63"/>
      <c r="G353" s="64"/>
      <c r="H353" s="65"/>
      <c r="I353" s="63"/>
      <c r="K353" s="53" t="str">
        <f>IFERROR(__xludf.DUMMYFUNCTION("IF(ISBLANK(B353),"""",IF(ISDATE(B353),""X"",""""))"),"")</f>
        <v/>
      </c>
      <c r="L353" s="40" t="str">
        <f>IFERROR(__xludf.DUMMYFUNCTION("IF(ISBLANK(B353),"""",IF(Or(I353=""Em Aberto"",ISBLANK(I353),NOT(ISDATE(B353))),"""",H353))"),"")</f>
        <v/>
      </c>
      <c r="M353" s="29" t="str">
        <f>IFERROR(__xludf.DUMMYFUNCTION("IF(ISBLANK(B353),"""",IF(ISDATE(B353),TEXT(B353,""m""),""""))"),"")</f>
        <v/>
      </c>
      <c r="N353" s="29" t="str">
        <f>IFERROR(__xludf.DUMMYFUNCTION("IF(M353="""","""",QUERY({'Dashboard-Dados'!$Y$2:$AA$13},""Select Col2 Where Col1=""&amp;M353))"),"")</f>
        <v/>
      </c>
      <c r="O353" s="29" t="str">
        <f>IFERROR(__xludf.DUMMYFUNCTION("IF(ISBLANK(B353),"""",IF(ISDATE(B353),TEXT(B353,""yyyy""),""""))"),"")</f>
        <v/>
      </c>
    </row>
    <row r="354">
      <c r="B354" s="62"/>
      <c r="C354" s="56"/>
      <c r="D354" s="56"/>
      <c r="E354" s="56"/>
      <c r="F354" s="63"/>
      <c r="G354" s="64"/>
      <c r="H354" s="65"/>
      <c r="I354" s="63"/>
      <c r="K354" s="53" t="str">
        <f>IFERROR(__xludf.DUMMYFUNCTION("IF(ISBLANK(B354),"""",IF(ISDATE(B354),""X"",""""))"),"")</f>
        <v/>
      </c>
      <c r="L354" s="40" t="str">
        <f>IFERROR(__xludf.DUMMYFUNCTION("IF(ISBLANK(B354),"""",IF(Or(I354=""Em Aberto"",ISBLANK(I354),NOT(ISDATE(B354))),"""",H354))"),"")</f>
        <v/>
      </c>
      <c r="M354" s="29" t="str">
        <f>IFERROR(__xludf.DUMMYFUNCTION("IF(ISBLANK(B354),"""",IF(ISDATE(B354),TEXT(B354,""m""),""""))"),"")</f>
        <v/>
      </c>
      <c r="N354" s="29" t="str">
        <f>IFERROR(__xludf.DUMMYFUNCTION("IF(M354="""","""",QUERY({'Dashboard-Dados'!$Y$2:$AA$13},""Select Col2 Where Col1=""&amp;M354))"),"")</f>
        <v/>
      </c>
      <c r="O354" s="29" t="str">
        <f>IFERROR(__xludf.DUMMYFUNCTION("IF(ISBLANK(B354),"""",IF(ISDATE(B354),TEXT(B354,""yyyy""),""""))"),"")</f>
        <v/>
      </c>
    </row>
    <row r="355">
      <c r="B355" s="62"/>
      <c r="C355" s="56"/>
      <c r="D355" s="56"/>
      <c r="E355" s="56"/>
      <c r="F355" s="63"/>
      <c r="G355" s="64"/>
      <c r="H355" s="65"/>
      <c r="I355" s="63"/>
      <c r="K355" s="53" t="str">
        <f>IFERROR(__xludf.DUMMYFUNCTION("IF(ISBLANK(B355),"""",IF(ISDATE(B355),""X"",""""))"),"")</f>
        <v/>
      </c>
      <c r="L355" s="40" t="str">
        <f>IFERROR(__xludf.DUMMYFUNCTION("IF(ISBLANK(B355),"""",IF(Or(I355=""Em Aberto"",ISBLANK(I355),NOT(ISDATE(B355))),"""",H355))"),"")</f>
        <v/>
      </c>
      <c r="M355" s="29" t="str">
        <f>IFERROR(__xludf.DUMMYFUNCTION("IF(ISBLANK(B355),"""",IF(ISDATE(B355),TEXT(B355,""m""),""""))"),"")</f>
        <v/>
      </c>
      <c r="N355" s="29" t="str">
        <f>IFERROR(__xludf.DUMMYFUNCTION("IF(M355="""","""",QUERY({'Dashboard-Dados'!$Y$2:$AA$13},""Select Col2 Where Col1=""&amp;M355))"),"")</f>
        <v/>
      </c>
      <c r="O355" s="29" t="str">
        <f>IFERROR(__xludf.DUMMYFUNCTION("IF(ISBLANK(B355),"""",IF(ISDATE(B355),TEXT(B355,""yyyy""),""""))"),"")</f>
        <v/>
      </c>
    </row>
    <row r="356">
      <c r="B356" s="62"/>
      <c r="C356" s="56"/>
      <c r="D356" s="56"/>
      <c r="E356" s="56"/>
      <c r="F356" s="63"/>
      <c r="G356" s="64"/>
      <c r="H356" s="65"/>
      <c r="I356" s="63"/>
      <c r="K356" s="53" t="str">
        <f>IFERROR(__xludf.DUMMYFUNCTION("IF(ISBLANK(B356),"""",IF(ISDATE(B356),""X"",""""))"),"")</f>
        <v/>
      </c>
      <c r="L356" s="40" t="str">
        <f>IFERROR(__xludf.DUMMYFUNCTION("IF(ISBLANK(B356),"""",IF(Or(I356=""Em Aberto"",ISBLANK(I356),NOT(ISDATE(B356))),"""",H356))"),"")</f>
        <v/>
      </c>
      <c r="M356" s="29" t="str">
        <f>IFERROR(__xludf.DUMMYFUNCTION("IF(ISBLANK(B356),"""",IF(ISDATE(B356),TEXT(B356,""m""),""""))"),"")</f>
        <v/>
      </c>
      <c r="N356" s="29" t="str">
        <f>IFERROR(__xludf.DUMMYFUNCTION("IF(M356="""","""",QUERY({'Dashboard-Dados'!$Y$2:$AA$13},""Select Col2 Where Col1=""&amp;M356))"),"")</f>
        <v/>
      </c>
      <c r="O356" s="29" t="str">
        <f>IFERROR(__xludf.DUMMYFUNCTION("IF(ISBLANK(B356),"""",IF(ISDATE(B356),TEXT(B356,""yyyy""),""""))"),"")</f>
        <v/>
      </c>
    </row>
    <row r="357">
      <c r="B357" s="62"/>
      <c r="C357" s="56"/>
      <c r="D357" s="56"/>
      <c r="E357" s="56"/>
      <c r="F357" s="63"/>
      <c r="G357" s="64"/>
      <c r="H357" s="65"/>
      <c r="I357" s="63"/>
      <c r="K357" s="53" t="str">
        <f>IFERROR(__xludf.DUMMYFUNCTION("IF(ISBLANK(B357),"""",IF(ISDATE(B357),""X"",""""))"),"")</f>
        <v/>
      </c>
      <c r="L357" s="40" t="str">
        <f>IFERROR(__xludf.DUMMYFUNCTION("IF(ISBLANK(B357),"""",IF(Or(I357=""Em Aberto"",ISBLANK(I357),NOT(ISDATE(B357))),"""",H357))"),"")</f>
        <v/>
      </c>
      <c r="M357" s="29" t="str">
        <f>IFERROR(__xludf.DUMMYFUNCTION("IF(ISBLANK(B357),"""",IF(ISDATE(B357),TEXT(B357,""m""),""""))"),"")</f>
        <v/>
      </c>
      <c r="N357" s="29" t="str">
        <f>IFERROR(__xludf.DUMMYFUNCTION("IF(M357="""","""",QUERY({'Dashboard-Dados'!$Y$2:$AA$13},""Select Col2 Where Col1=""&amp;M357))"),"")</f>
        <v/>
      </c>
      <c r="O357" s="29" t="str">
        <f>IFERROR(__xludf.DUMMYFUNCTION("IF(ISBLANK(B357),"""",IF(ISDATE(B357),TEXT(B357,""yyyy""),""""))"),"")</f>
        <v/>
      </c>
    </row>
    <row r="358">
      <c r="B358" s="62"/>
      <c r="C358" s="56"/>
      <c r="D358" s="56"/>
      <c r="E358" s="56"/>
      <c r="F358" s="63"/>
      <c r="G358" s="64"/>
      <c r="H358" s="65"/>
      <c r="I358" s="63"/>
      <c r="K358" s="53" t="str">
        <f>IFERROR(__xludf.DUMMYFUNCTION("IF(ISBLANK(B358),"""",IF(ISDATE(B358),""X"",""""))"),"")</f>
        <v/>
      </c>
      <c r="L358" s="40" t="str">
        <f>IFERROR(__xludf.DUMMYFUNCTION("IF(ISBLANK(B358),"""",IF(Or(I358=""Em Aberto"",ISBLANK(I358),NOT(ISDATE(B358))),"""",H358))"),"")</f>
        <v/>
      </c>
      <c r="M358" s="29" t="str">
        <f>IFERROR(__xludf.DUMMYFUNCTION("IF(ISBLANK(B358),"""",IF(ISDATE(B358),TEXT(B358,""m""),""""))"),"")</f>
        <v/>
      </c>
      <c r="N358" s="29" t="str">
        <f>IFERROR(__xludf.DUMMYFUNCTION("IF(M358="""","""",QUERY({'Dashboard-Dados'!$Y$2:$AA$13},""Select Col2 Where Col1=""&amp;M358))"),"")</f>
        <v/>
      </c>
      <c r="O358" s="29" t="str">
        <f>IFERROR(__xludf.DUMMYFUNCTION("IF(ISBLANK(B358),"""",IF(ISDATE(B358),TEXT(B358,""yyyy""),""""))"),"")</f>
        <v/>
      </c>
    </row>
    <row r="359">
      <c r="B359" s="62"/>
      <c r="C359" s="56"/>
      <c r="D359" s="56"/>
      <c r="E359" s="56"/>
      <c r="F359" s="63"/>
      <c r="G359" s="64"/>
      <c r="H359" s="65"/>
      <c r="I359" s="63"/>
      <c r="K359" s="53" t="str">
        <f>IFERROR(__xludf.DUMMYFUNCTION("IF(ISBLANK(B359),"""",IF(ISDATE(B359),""X"",""""))"),"")</f>
        <v/>
      </c>
      <c r="L359" s="40" t="str">
        <f>IFERROR(__xludf.DUMMYFUNCTION("IF(ISBLANK(B359),"""",IF(Or(I359=""Em Aberto"",ISBLANK(I359),NOT(ISDATE(B359))),"""",H359))"),"")</f>
        <v/>
      </c>
      <c r="M359" s="29" t="str">
        <f>IFERROR(__xludf.DUMMYFUNCTION("IF(ISBLANK(B359),"""",IF(ISDATE(B359),TEXT(B359,""m""),""""))"),"")</f>
        <v/>
      </c>
      <c r="N359" s="29" t="str">
        <f>IFERROR(__xludf.DUMMYFUNCTION("IF(M359="""","""",QUERY({'Dashboard-Dados'!$Y$2:$AA$13},""Select Col2 Where Col1=""&amp;M359))"),"")</f>
        <v/>
      </c>
      <c r="O359" s="29" t="str">
        <f>IFERROR(__xludf.DUMMYFUNCTION("IF(ISBLANK(B359),"""",IF(ISDATE(B359),TEXT(B359,""yyyy""),""""))"),"")</f>
        <v/>
      </c>
    </row>
    <row r="360">
      <c r="B360" s="62"/>
      <c r="C360" s="56"/>
      <c r="D360" s="56"/>
      <c r="E360" s="56"/>
      <c r="F360" s="63"/>
      <c r="G360" s="64"/>
      <c r="H360" s="65"/>
      <c r="I360" s="63"/>
      <c r="K360" s="53" t="str">
        <f>IFERROR(__xludf.DUMMYFUNCTION("IF(ISBLANK(B360),"""",IF(ISDATE(B360),""X"",""""))"),"")</f>
        <v/>
      </c>
      <c r="L360" s="40" t="str">
        <f>IFERROR(__xludf.DUMMYFUNCTION("IF(ISBLANK(B360),"""",IF(Or(I360=""Em Aberto"",ISBLANK(I360),NOT(ISDATE(B360))),"""",H360))"),"")</f>
        <v/>
      </c>
      <c r="M360" s="29" t="str">
        <f>IFERROR(__xludf.DUMMYFUNCTION("IF(ISBLANK(B360),"""",IF(ISDATE(B360),TEXT(B360,""m""),""""))"),"")</f>
        <v/>
      </c>
      <c r="N360" s="29" t="str">
        <f>IFERROR(__xludf.DUMMYFUNCTION("IF(M360="""","""",QUERY({'Dashboard-Dados'!$Y$2:$AA$13},""Select Col2 Where Col1=""&amp;M360))"),"")</f>
        <v/>
      </c>
      <c r="O360" s="29" t="str">
        <f>IFERROR(__xludf.DUMMYFUNCTION("IF(ISBLANK(B360),"""",IF(ISDATE(B360),TEXT(B360,""yyyy""),""""))"),"")</f>
        <v/>
      </c>
    </row>
    <row r="361">
      <c r="B361" s="62"/>
      <c r="C361" s="56"/>
      <c r="D361" s="56"/>
      <c r="E361" s="56"/>
      <c r="F361" s="63"/>
      <c r="G361" s="64"/>
      <c r="H361" s="65"/>
      <c r="I361" s="63"/>
      <c r="K361" s="53" t="str">
        <f>IFERROR(__xludf.DUMMYFUNCTION("IF(ISBLANK(B361),"""",IF(ISDATE(B361),""X"",""""))"),"")</f>
        <v/>
      </c>
      <c r="L361" s="40" t="str">
        <f>IFERROR(__xludf.DUMMYFUNCTION("IF(ISBLANK(B361),"""",IF(Or(I361=""Em Aberto"",ISBLANK(I361),NOT(ISDATE(B361))),"""",H361))"),"")</f>
        <v/>
      </c>
      <c r="M361" s="29" t="str">
        <f>IFERROR(__xludf.DUMMYFUNCTION("IF(ISBLANK(B361),"""",IF(ISDATE(B361),TEXT(B361,""m""),""""))"),"")</f>
        <v/>
      </c>
      <c r="N361" s="29" t="str">
        <f>IFERROR(__xludf.DUMMYFUNCTION("IF(M361="""","""",QUERY({'Dashboard-Dados'!$Y$2:$AA$13},""Select Col2 Where Col1=""&amp;M361))"),"")</f>
        <v/>
      </c>
      <c r="O361" s="29" t="str">
        <f>IFERROR(__xludf.DUMMYFUNCTION("IF(ISBLANK(B361),"""",IF(ISDATE(B361),TEXT(B361,""yyyy""),""""))"),"")</f>
        <v/>
      </c>
    </row>
    <row r="362">
      <c r="B362" s="62"/>
      <c r="C362" s="56"/>
      <c r="D362" s="56"/>
      <c r="E362" s="56"/>
      <c r="F362" s="63"/>
      <c r="G362" s="64"/>
      <c r="H362" s="65"/>
      <c r="I362" s="63"/>
      <c r="K362" s="53" t="str">
        <f>IFERROR(__xludf.DUMMYFUNCTION("IF(ISBLANK(B362),"""",IF(ISDATE(B362),""X"",""""))"),"")</f>
        <v/>
      </c>
      <c r="L362" s="40" t="str">
        <f>IFERROR(__xludf.DUMMYFUNCTION("IF(ISBLANK(B362),"""",IF(Or(I362=""Em Aberto"",ISBLANK(I362),NOT(ISDATE(B362))),"""",H362))"),"")</f>
        <v/>
      </c>
      <c r="M362" s="29" t="str">
        <f>IFERROR(__xludf.DUMMYFUNCTION("IF(ISBLANK(B362),"""",IF(ISDATE(B362),TEXT(B362,""m""),""""))"),"")</f>
        <v/>
      </c>
      <c r="N362" s="29" t="str">
        <f>IFERROR(__xludf.DUMMYFUNCTION("IF(M362="""","""",QUERY({'Dashboard-Dados'!$Y$2:$AA$13},""Select Col2 Where Col1=""&amp;M362))"),"")</f>
        <v/>
      </c>
      <c r="O362" s="29" t="str">
        <f>IFERROR(__xludf.DUMMYFUNCTION("IF(ISBLANK(B362),"""",IF(ISDATE(B362),TEXT(B362,""yyyy""),""""))"),"")</f>
        <v/>
      </c>
    </row>
    <row r="363">
      <c r="B363" s="62"/>
      <c r="C363" s="56"/>
      <c r="D363" s="56"/>
      <c r="E363" s="56"/>
      <c r="F363" s="63"/>
      <c r="G363" s="64"/>
      <c r="H363" s="65"/>
      <c r="I363" s="63"/>
      <c r="K363" s="53" t="str">
        <f>IFERROR(__xludf.DUMMYFUNCTION("IF(ISBLANK(B363),"""",IF(ISDATE(B363),""X"",""""))"),"")</f>
        <v/>
      </c>
      <c r="L363" s="40" t="str">
        <f>IFERROR(__xludf.DUMMYFUNCTION("IF(ISBLANK(B363),"""",IF(Or(I363=""Em Aberto"",ISBLANK(I363),NOT(ISDATE(B363))),"""",H363))"),"")</f>
        <v/>
      </c>
      <c r="M363" s="29" t="str">
        <f>IFERROR(__xludf.DUMMYFUNCTION("IF(ISBLANK(B363),"""",IF(ISDATE(B363),TEXT(B363,""m""),""""))"),"")</f>
        <v/>
      </c>
      <c r="N363" s="29" t="str">
        <f>IFERROR(__xludf.DUMMYFUNCTION("IF(M363="""","""",QUERY({'Dashboard-Dados'!$Y$2:$AA$13},""Select Col2 Where Col1=""&amp;M363))"),"")</f>
        <v/>
      </c>
      <c r="O363" s="29" t="str">
        <f>IFERROR(__xludf.DUMMYFUNCTION("IF(ISBLANK(B363),"""",IF(ISDATE(B363),TEXT(B363,""yyyy""),""""))"),"")</f>
        <v/>
      </c>
    </row>
    <row r="364">
      <c r="B364" s="62"/>
      <c r="C364" s="56"/>
      <c r="D364" s="56"/>
      <c r="E364" s="56"/>
      <c r="F364" s="63"/>
      <c r="G364" s="64"/>
      <c r="H364" s="65"/>
      <c r="I364" s="63"/>
      <c r="K364" s="53" t="str">
        <f>IFERROR(__xludf.DUMMYFUNCTION("IF(ISBLANK(B364),"""",IF(ISDATE(B364),""X"",""""))"),"")</f>
        <v/>
      </c>
      <c r="L364" s="40" t="str">
        <f>IFERROR(__xludf.DUMMYFUNCTION("IF(ISBLANK(B364),"""",IF(Or(I364=""Em Aberto"",ISBLANK(I364),NOT(ISDATE(B364))),"""",H364))"),"")</f>
        <v/>
      </c>
      <c r="M364" s="29" t="str">
        <f>IFERROR(__xludf.DUMMYFUNCTION("IF(ISBLANK(B364),"""",IF(ISDATE(B364),TEXT(B364,""m""),""""))"),"")</f>
        <v/>
      </c>
      <c r="N364" s="29" t="str">
        <f>IFERROR(__xludf.DUMMYFUNCTION("IF(M364="""","""",QUERY({'Dashboard-Dados'!$Y$2:$AA$13},""Select Col2 Where Col1=""&amp;M364))"),"")</f>
        <v/>
      </c>
      <c r="O364" s="29" t="str">
        <f>IFERROR(__xludf.DUMMYFUNCTION("IF(ISBLANK(B364),"""",IF(ISDATE(B364),TEXT(B364,""yyyy""),""""))"),"")</f>
        <v/>
      </c>
    </row>
    <row r="365">
      <c r="B365" s="62"/>
      <c r="C365" s="56"/>
      <c r="D365" s="56"/>
      <c r="E365" s="56"/>
      <c r="F365" s="63"/>
      <c r="G365" s="64"/>
      <c r="H365" s="65"/>
      <c r="I365" s="63"/>
      <c r="K365" s="53" t="str">
        <f>IFERROR(__xludf.DUMMYFUNCTION("IF(ISBLANK(B365),"""",IF(ISDATE(B365),""X"",""""))"),"")</f>
        <v/>
      </c>
      <c r="L365" s="40" t="str">
        <f>IFERROR(__xludf.DUMMYFUNCTION("IF(ISBLANK(B365),"""",IF(Or(I365=""Em Aberto"",ISBLANK(I365),NOT(ISDATE(B365))),"""",H365))"),"")</f>
        <v/>
      </c>
      <c r="M365" s="29" t="str">
        <f>IFERROR(__xludf.DUMMYFUNCTION("IF(ISBLANK(B365),"""",IF(ISDATE(B365),TEXT(B365,""m""),""""))"),"")</f>
        <v/>
      </c>
      <c r="N365" s="29" t="str">
        <f>IFERROR(__xludf.DUMMYFUNCTION("IF(M365="""","""",QUERY({'Dashboard-Dados'!$Y$2:$AA$13},""Select Col2 Where Col1=""&amp;M365))"),"")</f>
        <v/>
      </c>
      <c r="O365" s="29" t="str">
        <f>IFERROR(__xludf.DUMMYFUNCTION("IF(ISBLANK(B365),"""",IF(ISDATE(B365),TEXT(B365,""yyyy""),""""))"),"")</f>
        <v/>
      </c>
    </row>
    <row r="366">
      <c r="B366" s="62"/>
      <c r="C366" s="56"/>
      <c r="D366" s="56"/>
      <c r="E366" s="56"/>
      <c r="F366" s="63"/>
      <c r="G366" s="64"/>
      <c r="H366" s="65"/>
      <c r="I366" s="63"/>
      <c r="K366" s="53" t="str">
        <f>IFERROR(__xludf.DUMMYFUNCTION("IF(ISBLANK(B366),"""",IF(ISDATE(B366),""X"",""""))"),"")</f>
        <v/>
      </c>
      <c r="L366" s="40" t="str">
        <f>IFERROR(__xludf.DUMMYFUNCTION("IF(ISBLANK(B366),"""",IF(Or(I366=""Em Aberto"",ISBLANK(I366),NOT(ISDATE(B366))),"""",H366))"),"")</f>
        <v/>
      </c>
      <c r="M366" s="29" t="str">
        <f>IFERROR(__xludf.DUMMYFUNCTION("IF(ISBLANK(B366),"""",IF(ISDATE(B366),TEXT(B366,""m""),""""))"),"")</f>
        <v/>
      </c>
      <c r="N366" s="29" t="str">
        <f>IFERROR(__xludf.DUMMYFUNCTION("IF(M366="""","""",QUERY({'Dashboard-Dados'!$Y$2:$AA$13},""Select Col2 Where Col1=""&amp;M366))"),"")</f>
        <v/>
      </c>
      <c r="O366" s="29" t="str">
        <f>IFERROR(__xludf.DUMMYFUNCTION("IF(ISBLANK(B366),"""",IF(ISDATE(B366),TEXT(B366,""yyyy""),""""))"),"")</f>
        <v/>
      </c>
    </row>
    <row r="367">
      <c r="B367" s="62"/>
      <c r="C367" s="56"/>
      <c r="D367" s="56"/>
      <c r="E367" s="56"/>
      <c r="F367" s="63"/>
      <c r="G367" s="64"/>
      <c r="H367" s="65"/>
      <c r="I367" s="63"/>
      <c r="K367" s="53" t="str">
        <f>IFERROR(__xludf.DUMMYFUNCTION("IF(ISBLANK(B367),"""",IF(ISDATE(B367),""X"",""""))"),"")</f>
        <v/>
      </c>
      <c r="L367" s="40" t="str">
        <f>IFERROR(__xludf.DUMMYFUNCTION("IF(ISBLANK(B367),"""",IF(Or(I367=""Em Aberto"",ISBLANK(I367),NOT(ISDATE(B367))),"""",H367))"),"")</f>
        <v/>
      </c>
      <c r="M367" s="29" t="str">
        <f>IFERROR(__xludf.DUMMYFUNCTION("IF(ISBLANK(B367),"""",IF(ISDATE(B367),TEXT(B367,""m""),""""))"),"")</f>
        <v/>
      </c>
      <c r="N367" s="29" t="str">
        <f>IFERROR(__xludf.DUMMYFUNCTION("IF(M367="""","""",QUERY({'Dashboard-Dados'!$Y$2:$AA$13},""Select Col2 Where Col1=""&amp;M367))"),"")</f>
        <v/>
      </c>
      <c r="O367" s="29" t="str">
        <f>IFERROR(__xludf.DUMMYFUNCTION("IF(ISBLANK(B367),"""",IF(ISDATE(B367),TEXT(B367,""yyyy""),""""))"),"")</f>
        <v/>
      </c>
    </row>
    <row r="368">
      <c r="B368" s="62"/>
      <c r="C368" s="56"/>
      <c r="D368" s="56"/>
      <c r="E368" s="56"/>
      <c r="F368" s="63"/>
      <c r="G368" s="64"/>
      <c r="H368" s="65"/>
      <c r="I368" s="63"/>
      <c r="K368" s="53" t="str">
        <f>IFERROR(__xludf.DUMMYFUNCTION("IF(ISBLANK(B368),"""",IF(ISDATE(B368),""X"",""""))"),"")</f>
        <v/>
      </c>
      <c r="L368" s="40" t="str">
        <f>IFERROR(__xludf.DUMMYFUNCTION("IF(ISBLANK(B368),"""",IF(Or(I368=""Em Aberto"",ISBLANK(I368),NOT(ISDATE(B368))),"""",H368))"),"")</f>
        <v/>
      </c>
      <c r="M368" s="29" t="str">
        <f>IFERROR(__xludf.DUMMYFUNCTION("IF(ISBLANK(B368),"""",IF(ISDATE(B368),TEXT(B368,""m""),""""))"),"")</f>
        <v/>
      </c>
      <c r="N368" s="29" t="str">
        <f>IFERROR(__xludf.DUMMYFUNCTION("IF(M368="""","""",QUERY({'Dashboard-Dados'!$Y$2:$AA$13},""Select Col2 Where Col1=""&amp;M368))"),"")</f>
        <v/>
      </c>
      <c r="O368" s="29" t="str">
        <f>IFERROR(__xludf.DUMMYFUNCTION("IF(ISBLANK(B368),"""",IF(ISDATE(B368),TEXT(B368,""yyyy""),""""))"),"")</f>
        <v/>
      </c>
    </row>
    <row r="369">
      <c r="B369" s="62"/>
      <c r="C369" s="56"/>
      <c r="D369" s="56"/>
      <c r="E369" s="56"/>
      <c r="F369" s="63"/>
      <c r="G369" s="64"/>
      <c r="H369" s="65"/>
      <c r="I369" s="63"/>
      <c r="K369" s="53" t="str">
        <f>IFERROR(__xludf.DUMMYFUNCTION("IF(ISBLANK(B369),"""",IF(ISDATE(B369),""X"",""""))"),"")</f>
        <v/>
      </c>
      <c r="L369" s="40" t="str">
        <f>IFERROR(__xludf.DUMMYFUNCTION("IF(ISBLANK(B369),"""",IF(Or(I369=""Em Aberto"",ISBLANK(I369),NOT(ISDATE(B369))),"""",H369))"),"")</f>
        <v/>
      </c>
      <c r="M369" s="29" t="str">
        <f>IFERROR(__xludf.DUMMYFUNCTION("IF(ISBLANK(B369),"""",IF(ISDATE(B369),TEXT(B369,""m""),""""))"),"")</f>
        <v/>
      </c>
      <c r="N369" s="29" t="str">
        <f>IFERROR(__xludf.DUMMYFUNCTION("IF(M369="""","""",QUERY({'Dashboard-Dados'!$Y$2:$AA$13},""Select Col2 Where Col1=""&amp;M369))"),"")</f>
        <v/>
      </c>
      <c r="O369" s="29" t="str">
        <f>IFERROR(__xludf.DUMMYFUNCTION("IF(ISBLANK(B369),"""",IF(ISDATE(B369),TEXT(B369,""yyyy""),""""))"),"")</f>
        <v/>
      </c>
    </row>
    <row r="370">
      <c r="B370" s="62"/>
      <c r="C370" s="56"/>
      <c r="D370" s="56"/>
      <c r="E370" s="56"/>
      <c r="F370" s="63"/>
      <c r="G370" s="64"/>
      <c r="H370" s="65"/>
      <c r="I370" s="63"/>
      <c r="K370" s="53" t="str">
        <f>IFERROR(__xludf.DUMMYFUNCTION("IF(ISBLANK(B370),"""",IF(ISDATE(B370),""X"",""""))"),"")</f>
        <v/>
      </c>
      <c r="L370" s="40" t="str">
        <f>IFERROR(__xludf.DUMMYFUNCTION("IF(ISBLANK(B370),"""",IF(Or(I370=""Em Aberto"",ISBLANK(I370),NOT(ISDATE(B370))),"""",H370))"),"")</f>
        <v/>
      </c>
      <c r="M370" s="29" t="str">
        <f>IFERROR(__xludf.DUMMYFUNCTION("IF(ISBLANK(B370),"""",IF(ISDATE(B370),TEXT(B370,""m""),""""))"),"")</f>
        <v/>
      </c>
      <c r="N370" s="29" t="str">
        <f>IFERROR(__xludf.DUMMYFUNCTION("IF(M370="""","""",QUERY({'Dashboard-Dados'!$Y$2:$AA$13},""Select Col2 Where Col1=""&amp;M370))"),"")</f>
        <v/>
      </c>
      <c r="O370" s="29" t="str">
        <f>IFERROR(__xludf.DUMMYFUNCTION("IF(ISBLANK(B370),"""",IF(ISDATE(B370),TEXT(B370,""yyyy""),""""))"),"")</f>
        <v/>
      </c>
    </row>
    <row r="371">
      <c r="B371" s="62"/>
      <c r="C371" s="56"/>
      <c r="D371" s="56"/>
      <c r="E371" s="56"/>
      <c r="F371" s="63"/>
      <c r="G371" s="64"/>
      <c r="H371" s="65"/>
      <c r="I371" s="63"/>
      <c r="K371" s="53" t="str">
        <f>IFERROR(__xludf.DUMMYFUNCTION("IF(ISBLANK(B371),"""",IF(ISDATE(B371),""X"",""""))"),"")</f>
        <v/>
      </c>
      <c r="L371" s="40" t="str">
        <f>IFERROR(__xludf.DUMMYFUNCTION("IF(ISBLANK(B371),"""",IF(Or(I371=""Em Aberto"",ISBLANK(I371),NOT(ISDATE(B371))),"""",H371))"),"")</f>
        <v/>
      </c>
      <c r="M371" s="29" t="str">
        <f>IFERROR(__xludf.DUMMYFUNCTION("IF(ISBLANK(B371),"""",IF(ISDATE(B371),TEXT(B371,""m""),""""))"),"")</f>
        <v/>
      </c>
      <c r="N371" s="29" t="str">
        <f>IFERROR(__xludf.DUMMYFUNCTION("IF(M371="""","""",QUERY({'Dashboard-Dados'!$Y$2:$AA$13},""Select Col2 Where Col1=""&amp;M371))"),"")</f>
        <v/>
      </c>
      <c r="O371" s="29" t="str">
        <f>IFERROR(__xludf.DUMMYFUNCTION("IF(ISBLANK(B371),"""",IF(ISDATE(B371),TEXT(B371,""yyyy""),""""))"),"")</f>
        <v/>
      </c>
    </row>
    <row r="372">
      <c r="B372" s="62"/>
      <c r="C372" s="56"/>
      <c r="D372" s="56"/>
      <c r="E372" s="56"/>
      <c r="F372" s="63"/>
      <c r="G372" s="64"/>
      <c r="H372" s="65"/>
      <c r="I372" s="63"/>
      <c r="K372" s="53" t="str">
        <f>IFERROR(__xludf.DUMMYFUNCTION("IF(ISBLANK(B372),"""",IF(ISDATE(B372),""X"",""""))"),"")</f>
        <v/>
      </c>
      <c r="L372" s="40" t="str">
        <f>IFERROR(__xludf.DUMMYFUNCTION("IF(ISBLANK(B372),"""",IF(Or(I372=""Em Aberto"",ISBLANK(I372),NOT(ISDATE(B372))),"""",H372))"),"")</f>
        <v/>
      </c>
      <c r="M372" s="29" t="str">
        <f>IFERROR(__xludf.DUMMYFUNCTION("IF(ISBLANK(B372),"""",IF(ISDATE(B372),TEXT(B372,""m""),""""))"),"")</f>
        <v/>
      </c>
      <c r="N372" s="29" t="str">
        <f>IFERROR(__xludf.DUMMYFUNCTION("IF(M372="""","""",QUERY({'Dashboard-Dados'!$Y$2:$AA$13},""Select Col2 Where Col1=""&amp;M372))"),"")</f>
        <v/>
      </c>
      <c r="O372" s="29" t="str">
        <f>IFERROR(__xludf.DUMMYFUNCTION("IF(ISBLANK(B372),"""",IF(ISDATE(B372),TEXT(B372,""yyyy""),""""))"),"")</f>
        <v/>
      </c>
    </row>
    <row r="373">
      <c r="B373" s="62"/>
      <c r="C373" s="56"/>
      <c r="D373" s="56"/>
      <c r="E373" s="56"/>
      <c r="F373" s="63"/>
      <c r="G373" s="64"/>
      <c r="H373" s="65"/>
      <c r="I373" s="63"/>
      <c r="K373" s="53" t="str">
        <f>IFERROR(__xludf.DUMMYFUNCTION("IF(ISBLANK(B373),"""",IF(ISDATE(B373),""X"",""""))"),"")</f>
        <v/>
      </c>
      <c r="L373" s="40" t="str">
        <f>IFERROR(__xludf.DUMMYFUNCTION("IF(ISBLANK(B373),"""",IF(Or(I373=""Em Aberto"",ISBLANK(I373),NOT(ISDATE(B373))),"""",H373))"),"")</f>
        <v/>
      </c>
      <c r="M373" s="29" t="str">
        <f>IFERROR(__xludf.DUMMYFUNCTION("IF(ISBLANK(B373),"""",IF(ISDATE(B373),TEXT(B373,""m""),""""))"),"")</f>
        <v/>
      </c>
      <c r="N373" s="29" t="str">
        <f>IFERROR(__xludf.DUMMYFUNCTION("IF(M373="""","""",QUERY({'Dashboard-Dados'!$Y$2:$AA$13},""Select Col2 Where Col1=""&amp;M373))"),"")</f>
        <v/>
      </c>
      <c r="O373" s="29" t="str">
        <f>IFERROR(__xludf.DUMMYFUNCTION("IF(ISBLANK(B373),"""",IF(ISDATE(B373),TEXT(B373,""yyyy""),""""))"),"")</f>
        <v/>
      </c>
    </row>
    <row r="374">
      <c r="B374" s="62"/>
      <c r="C374" s="56"/>
      <c r="D374" s="56"/>
      <c r="E374" s="56"/>
      <c r="F374" s="63"/>
      <c r="G374" s="64"/>
      <c r="H374" s="65"/>
      <c r="I374" s="63"/>
      <c r="K374" s="53" t="str">
        <f>IFERROR(__xludf.DUMMYFUNCTION("IF(ISBLANK(B374),"""",IF(ISDATE(B374),""X"",""""))"),"")</f>
        <v/>
      </c>
      <c r="L374" s="40" t="str">
        <f>IFERROR(__xludf.DUMMYFUNCTION("IF(ISBLANK(B374),"""",IF(Or(I374=""Em Aberto"",ISBLANK(I374),NOT(ISDATE(B374))),"""",H374))"),"")</f>
        <v/>
      </c>
      <c r="M374" s="29" t="str">
        <f>IFERROR(__xludf.DUMMYFUNCTION("IF(ISBLANK(B374),"""",IF(ISDATE(B374),TEXT(B374,""m""),""""))"),"")</f>
        <v/>
      </c>
      <c r="N374" s="29" t="str">
        <f>IFERROR(__xludf.DUMMYFUNCTION("IF(M374="""","""",QUERY({'Dashboard-Dados'!$Y$2:$AA$13},""Select Col2 Where Col1=""&amp;M374))"),"")</f>
        <v/>
      </c>
      <c r="O374" s="29" t="str">
        <f>IFERROR(__xludf.DUMMYFUNCTION("IF(ISBLANK(B374),"""",IF(ISDATE(B374),TEXT(B374,""yyyy""),""""))"),"")</f>
        <v/>
      </c>
    </row>
    <row r="375">
      <c r="B375" s="62"/>
      <c r="C375" s="56"/>
      <c r="D375" s="56"/>
      <c r="E375" s="56"/>
      <c r="F375" s="63"/>
      <c r="G375" s="64"/>
      <c r="H375" s="65"/>
      <c r="I375" s="63"/>
      <c r="K375" s="53" t="str">
        <f>IFERROR(__xludf.DUMMYFUNCTION("IF(ISBLANK(B375),"""",IF(ISDATE(B375),""X"",""""))"),"")</f>
        <v/>
      </c>
      <c r="L375" s="40" t="str">
        <f>IFERROR(__xludf.DUMMYFUNCTION("IF(ISBLANK(B375),"""",IF(Or(I375=""Em Aberto"",ISBLANK(I375),NOT(ISDATE(B375))),"""",H375))"),"")</f>
        <v/>
      </c>
      <c r="M375" s="29" t="str">
        <f>IFERROR(__xludf.DUMMYFUNCTION("IF(ISBLANK(B375),"""",IF(ISDATE(B375),TEXT(B375,""m""),""""))"),"")</f>
        <v/>
      </c>
      <c r="N375" s="29" t="str">
        <f>IFERROR(__xludf.DUMMYFUNCTION("IF(M375="""","""",QUERY({'Dashboard-Dados'!$Y$2:$AA$13},""Select Col2 Where Col1=""&amp;M375))"),"")</f>
        <v/>
      </c>
      <c r="O375" s="29" t="str">
        <f>IFERROR(__xludf.DUMMYFUNCTION("IF(ISBLANK(B375),"""",IF(ISDATE(B375),TEXT(B375,""yyyy""),""""))"),"")</f>
        <v/>
      </c>
    </row>
    <row r="376">
      <c r="B376" s="62"/>
      <c r="C376" s="56"/>
      <c r="D376" s="56"/>
      <c r="E376" s="56"/>
      <c r="F376" s="63"/>
      <c r="G376" s="64"/>
      <c r="H376" s="65"/>
      <c r="I376" s="63"/>
      <c r="K376" s="53" t="str">
        <f>IFERROR(__xludf.DUMMYFUNCTION("IF(ISBLANK(B376),"""",IF(ISDATE(B376),""X"",""""))"),"")</f>
        <v/>
      </c>
      <c r="L376" s="40" t="str">
        <f>IFERROR(__xludf.DUMMYFUNCTION("IF(ISBLANK(B376),"""",IF(Or(I376=""Em Aberto"",ISBLANK(I376),NOT(ISDATE(B376))),"""",H376))"),"")</f>
        <v/>
      </c>
      <c r="M376" s="29" t="str">
        <f>IFERROR(__xludf.DUMMYFUNCTION("IF(ISBLANK(B376),"""",IF(ISDATE(B376),TEXT(B376,""m""),""""))"),"")</f>
        <v/>
      </c>
      <c r="N376" s="29" t="str">
        <f>IFERROR(__xludf.DUMMYFUNCTION("IF(M376="""","""",QUERY({'Dashboard-Dados'!$Y$2:$AA$13},""Select Col2 Where Col1=""&amp;M376))"),"")</f>
        <v/>
      </c>
      <c r="O376" s="29" t="str">
        <f>IFERROR(__xludf.DUMMYFUNCTION("IF(ISBLANK(B376),"""",IF(ISDATE(B376),TEXT(B376,""yyyy""),""""))"),"")</f>
        <v/>
      </c>
    </row>
    <row r="377">
      <c r="B377" s="62"/>
      <c r="C377" s="56"/>
      <c r="D377" s="56"/>
      <c r="E377" s="56"/>
      <c r="F377" s="63"/>
      <c r="G377" s="64"/>
      <c r="H377" s="65"/>
      <c r="I377" s="63"/>
      <c r="K377" s="53" t="str">
        <f>IFERROR(__xludf.DUMMYFUNCTION("IF(ISBLANK(B377),"""",IF(ISDATE(B377),""X"",""""))"),"")</f>
        <v/>
      </c>
      <c r="L377" s="40" t="str">
        <f>IFERROR(__xludf.DUMMYFUNCTION("IF(ISBLANK(B377),"""",IF(Or(I377=""Em Aberto"",ISBLANK(I377),NOT(ISDATE(B377))),"""",H377))"),"")</f>
        <v/>
      </c>
      <c r="M377" s="29" t="str">
        <f>IFERROR(__xludf.DUMMYFUNCTION("IF(ISBLANK(B377),"""",IF(ISDATE(B377),TEXT(B377,""m""),""""))"),"")</f>
        <v/>
      </c>
      <c r="N377" s="29" t="str">
        <f>IFERROR(__xludf.DUMMYFUNCTION("IF(M377="""","""",QUERY({'Dashboard-Dados'!$Y$2:$AA$13},""Select Col2 Where Col1=""&amp;M377))"),"")</f>
        <v/>
      </c>
      <c r="O377" s="29" t="str">
        <f>IFERROR(__xludf.DUMMYFUNCTION("IF(ISBLANK(B377),"""",IF(ISDATE(B377),TEXT(B377,""yyyy""),""""))"),"")</f>
        <v/>
      </c>
    </row>
    <row r="378">
      <c r="B378" s="62"/>
      <c r="C378" s="56"/>
      <c r="D378" s="56"/>
      <c r="E378" s="56"/>
      <c r="F378" s="63"/>
      <c r="G378" s="64"/>
      <c r="H378" s="65"/>
      <c r="I378" s="63"/>
      <c r="K378" s="53" t="str">
        <f>IFERROR(__xludf.DUMMYFUNCTION("IF(ISBLANK(B378),"""",IF(ISDATE(B378),""X"",""""))"),"")</f>
        <v/>
      </c>
      <c r="L378" s="40" t="str">
        <f>IFERROR(__xludf.DUMMYFUNCTION("IF(ISBLANK(B378),"""",IF(Or(I378=""Em Aberto"",ISBLANK(I378),NOT(ISDATE(B378))),"""",H378))"),"")</f>
        <v/>
      </c>
      <c r="M378" s="29" t="str">
        <f>IFERROR(__xludf.DUMMYFUNCTION("IF(ISBLANK(B378),"""",IF(ISDATE(B378),TEXT(B378,""m""),""""))"),"")</f>
        <v/>
      </c>
      <c r="N378" s="29" t="str">
        <f>IFERROR(__xludf.DUMMYFUNCTION("IF(M378="""","""",QUERY({'Dashboard-Dados'!$Y$2:$AA$13},""Select Col2 Where Col1=""&amp;M378))"),"")</f>
        <v/>
      </c>
      <c r="O378" s="29" t="str">
        <f>IFERROR(__xludf.DUMMYFUNCTION("IF(ISBLANK(B378),"""",IF(ISDATE(B378),TEXT(B378,""yyyy""),""""))"),"")</f>
        <v/>
      </c>
    </row>
    <row r="379">
      <c r="B379" s="62"/>
      <c r="C379" s="56"/>
      <c r="D379" s="56"/>
      <c r="E379" s="56"/>
      <c r="F379" s="63"/>
      <c r="G379" s="64"/>
      <c r="H379" s="65"/>
      <c r="I379" s="63"/>
      <c r="K379" s="53" t="str">
        <f>IFERROR(__xludf.DUMMYFUNCTION("IF(ISBLANK(B379),"""",IF(ISDATE(B379),""X"",""""))"),"")</f>
        <v/>
      </c>
      <c r="L379" s="40" t="str">
        <f>IFERROR(__xludf.DUMMYFUNCTION("IF(ISBLANK(B379),"""",IF(Or(I379=""Em Aberto"",ISBLANK(I379),NOT(ISDATE(B379))),"""",H379))"),"")</f>
        <v/>
      </c>
      <c r="M379" s="29" t="str">
        <f>IFERROR(__xludf.DUMMYFUNCTION("IF(ISBLANK(B379),"""",IF(ISDATE(B379),TEXT(B379,""m""),""""))"),"")</f>
        <v/>
      </c>
      <c r="N379" s="29" t="str">
        <f>IFERROR(__xludf.DUMMYFUNCTION("IF(M379="""","""",QUERY({'Dashboard-Dados'!$Y$2:$AA$13},""Select Col2 Where Col1=""&amp;M379))"),"")</f>
        <v/>
      </c>
      <c r="O379" s="29" t="str">
        <f>IFERROR(__xludf.DUMMYFUNCTION("IF(ISBLANK(B379),"""",IF(ISDATE(B379),TEXT(B379,""yyyy""),""""))"),"")</f>
        <v/>
      </c>
    </row>
    <row r="380">
      <c r="B380" s="62"/>
      <c r="C380" s="56"/>
      <c r="D380" s="56"/>
      <c r="E380" s="56"/>
      <c r="F380" s="63"/>
      <c r="G380" s="64"/>
      <c r="H380" s="65"/>
      <c r="I380" s="63"/>
      <c r="K380" s="53" t="str">
        <f>IFERROR(__xludf.DUMMYFUNCTION("IF(ISBLANK(B380),"""",IF(ISDATE(B380),""X"",""""))"),"")</f>
        <v/>
      </c>
      <c r="L380" s="40" t="str">
        <f>IFERROR(__xludf.DUMMYFUNCTION("IF(ISBLANK(B380),"""",IF(Or(I380=""Em Aberto"",ISBLANK(I380),NOT(ISDATE(B380))),"""",H380))"),"")</f>
        <v/>
      </c>
      <c r="M380" s="29" t="str">
        <f>IFERROR(__xludf.DUMMYFUNCTION("IF(ISBLANK(B380),"""",IF(ISDATE(B380),TEXT(B380,""m""),""""))"),"")</f>
        <v/>
      </c>
      <c r="N380" s="29" t="str">
        <f>IFERROR(__xludf.DUMMYFUNCTION("IF(M380="""","""",QUERY({'Dashboard-Dados'!$Y$2:$AA$13},""Select Col2 Where Col1=""&amp;M380))"),"")</f>
        <v/>
      </c>
      <c r="O380" s="29" t="str">
        <f>IFERROR(__xludf.DUMMYFUNCTION("IF(ISBLANK(B380),"""",IF(ISDATE(B380),TEXT(B380,""yyyy""),""""))"),"")</f>
        <v/>
      </c>
    </row>
    <row r="381">
      <c r="B381" s="62"/>
      <c r="C381" s="56"/>
      <c r="D381" s="56"/>
      <c r="E381" s="56"/>
      <c r="F381" s="63"/>
      <c r="G381" s="64"/>
      <c r="H381" s="65"/>
      <c r="I381" s="63"/>
      <c r="K381" s="53" t="str">
        <f>IFERROR(__xludf.DUMMYFUNCTION("IF(ISBLANK(B381),"""",IF(ISDATE(B381),""X"",""""))"),"")</f>
        <v/>
      </c>
      <c r="L381" s="40" t="str">
        <f>IFERROR(__xludf.DUMMYFUNCTION("IF(ISBLANK(B381),"""",IF(Or(I381=""Em Aberto"",ISBLANK(I381),NOT(ISDATE(B381))),"""",H381))"),"")</f>
        <v/>
      </c>
      <c r="M381" s="29" t="str">
        <f>IFERROR(__xludf.DUMMYFUNCTION("IF(ISBLANK(B381),"""",IF(ISDATE(B381),TEXT(B381,""m""),""""))"),"")</f>
        <v/>
      </c>
      <c r="N381" s="29" t="str">
        <f>IFERROR(__xludf.DUMMYFUNCTION("IF(M381="""","""",QUERY({'Dashboard-Dados'!$Y$2:$AA$13},""Select Col2 Where Col1=""&amp;M381))"),"")</f>
        <v/>
      </c>
      <c r="O381" s="29" t="str">
        <f>IFERROR(__xludf.DUMMYFUNCTION("IF(ISBLANK(B381),"""",IF(ISDATE(B381),TEXT(B381,""yyyy""),""""))"),"")</f>
        <v/>
      </c>
    </row>
    <row r="382">
      <c r="B382" s="62"/>
      <c r="C382" s="56"/>
      <c r="D382" s="56"/>
      <c r="E382" s="56"/>
      <c r="F382" s="63"/>
      <c r="G382" s="64"/>
      <c r="H382" s="65"/>
      <c r="I382" s="63"/>
      <c r="K382" s="53" t="str">
        <f>IFERROR(__xludf.DUMMYFUNCTION("IF(ISBLANK(B382),"""",IF(ISDATE(B382),""X"",""""))"),"")</f>
        <v/>
      </c>
      <c r="L382" s="40" t="str">
        <f>IFERROR(__xludf.DUMMYFUNCTION("IF(ISBLANK(B382),"""",IF(Or(I382=""Em Aberto"",ISBLANK(I382),NOT(ISDATE(B382))),"""",H382))"),"")</f>
        <v/>
      </c>
      <c r="M382" s="29" t="str">
        <f>IFERROR(__xludf.DUMMYFUNCTION("IF(ISBLANK(B382),"""",IF(ISDATE(B382),TEXT(B382,""m""),""""))"),"")</f>
        <v/>
      </c>
      <c r="N382" s="29" t="str">
        <f>IFERROR(__xludf.DUMMYFUNCTION("IF(M382="""","""",QUERY({'Dashboard-Dados'!$Y$2:$AA$13},""Select Col2 Where Col1=""&amp;M382))"),"")</f>
        <v/>
      </c>
      <c r="O382" s="29" t="str">
        <f>IFERROR(__xludf.DUMMYFUNCTION("IF(ISBLANK(B382),"""",IF(ISDATE(B382),TEXT(B382,""yyyy""),""""))"),"")</f>
        <v/>
      </c>
    </row>
    <row r="383">
      <c r="B383" s="62"/>
      <c r="C383" s="56"/>
      <c r="D383" s="56"/>
      <c r="E383" s="56"/>
      <c r="F383" s="63"/>
      <c r="G383" s="64"/>
      <c r="H383" s="65"/>
      <c r="I383" s="63"/>
      <c r="K383" s="53" t="str">
        <f>IFERROR(__xludf.DUMMYFUNCTION("IF(ISBLANK(B383),"""",IF(ISDATE(B383),""X"",""""))"),"")</f>
        <v/>
      </c>
      <c r="L383" s="40" t="str">
        <f>IFERROR(__xludf.DUMMYFUNCTION("IF(ISBLANK(B383),"""",IF(Or(I383=""Em Aberto"",ISBLANK(I383),NOT(ISDATE(B383))),"""",H383))"),"")</f>
        <v/>
      </c>
      <c r="M383" s="29" t="str">
        <f>IFERROR(__xludf.DUMMYFUNCTION("IF(ISBLANK(B383),"""",IF(ISDATE(B383),TEXT(B383,""m""),""""))"),"")</f>
        <v/>
      </c>
      <c r="N383" s="29" t="str">
        <f>IFERROR(__xludf.DUMMYFUNCTION("IF(M383="""","""",QUERY({'Dashboard-Dados'!$Y$2:$AA$13},""Select Col2 Where Col1=""&amp;M383))"),"")</f>
        <v/>
      </c>
      <c r="O383" s="29" t="str">
        <f>IFERROR(__xludf.DUMMYFUNCTION("IF(ISBLANK(B383),"""",IF(ISDATE(B383),TEXT(B383,""yyyy""),""""))"),"")</f>
        <v/>
      </c>
    </row>
    <row r="384">
      <c r="B384" s="62"/>
      <c r="C384" s="56"/>
      <c r="D384" s="56"/>
      <c r="E384" s="56"/>
      <c r="F384" s="63"/>
      <c r="G384" s="64"/>
      <c r="H384" s="65"/>
      <c r="I384" s="63"/>
      <c r="K384" s="53" t="str">
        <f>IFERROR(__xludf.DUMMYFUNCTION("IF(ISBLANK(B384),"""",IF(ISDATE(B384),""X"",""""))"),"")</f>
        <v/>
      </c>
      <c r="L384" s="40" t="str">
        <f>IFERROR(__xludf.DUMMYFUNCTION("IF(ISBLANK(B384),"""",IF(Or(I384=""Em Aberto"",ISBLANK(I384),NOT(ISDATE(B384))),"""",H384))"),"")</f>
        <v/>
      </c>
      <c r="M384" s="29" t="str">
        <f>IFERROR(__xludf.DUMMYFUNCTION("IF(ISBLANK(B384),"""",IF(ISDATE(B384),TEXT(B384,""m""),""""))"),"")</f>
        <v/>
      </c>
      <c r="N384" s="29" t="str">
        <f>IFERROR(__xludf.DUMMYFUNCTION("IF(M384="""","""",QUERY({'Dashboard-Dados'!$Y$2:$AA$13},""Select Col2 Where Col1=""&amp;M384))"),"")</f>
        <v/>
      </c>
      <c r="O384" s="29" t="str">
        <f>IFERROR(__xludf.DUMMYFUNCTION("IF(ISBLANK(B384),"""",IF(ISDATE(B384),TEXT(B384,""yyyy""),""""))"),"")</f>
        <v/>
      </c>
    </row>
    <row r="385">
      <c r="B385" s="62"/>
      <c r="C385" s="56"/>
      <c r="D385" s="56"/>
      <c r="E385" s="56"/>
      <c r="F385" s="63"/>
      <c r="G385" s="64"/>
      <c r="H385" s="65"/>
      <c r="I385" s="63"/>
      <c r="K385" s="53" t="str">
        <f>IFERROR(__xludf.DUMMYFUNCTION("IF(ISBLANK(B385),"""",IF(ISDATE(B385),""X"",""""))"),"")</f>
        <v/>
      </c>
      <c r="L385" s="40" t="str">
        <f>IFERROR(__xludf.DUMMYFUNCTION("IF(ISBLANK(B385),"""",IF(Or(I385=""Em Aberto"",ISBLANK(I385),NOT(ISDATE(B385))),"""",H385))"),"")</f>
        <v/>
      </c>
      <c r="M385" s="29" t="str">
        <f>IFERROR(__xludf.DUMMYFUNCTION("IF(ISBLANK(B385),"""",IF(ISDATE(B385),TEXT(B385,""m""),""""))"),"")</f>
        <v/>
      </c>
      <c r="N385" s="29" t="str">
        <f>IFERROR(__xludf.DUMMYFUNCTION("IF(M385="""","""",QUERY({'Dashboard-Dados'!$Y$2:$AA$13},""Select Col2 Where Col1=""&amp;M385))"),"")</f>
        <v/>
      </c>
      <c r="O385" s="29" t="str">
        <f>IFERROR(__xludf.DUMMYFUNCTION("IF(ISBLANK(B385),"""",IF(ISDATE(B385),TEXT(B385,""yyyy""),""""))"),"")</f>
        <v/>
      </c>
    </row>
    <row r="386">
      <c r="B386" s="62"/>
      <c r="C386" s="56"/>
      <c r="D386" s="56"/>
      <c r="E386" s="56"/>
      <c r="F386" s="63"/>
      <c r="G386" s="64"/>
      <c r="H386" s="65"/>
      <c r="I386" s="63"/>
      <c r="K386" s="53" t="str">
        <f>IFERROR(__xludf.DUMMYFUNCTION("IF(ISBLANK(B386),"""",IF(ISDATE(B386),""X"",""""))"),"")</f>
        <v/>
      </c>
      <c r="L386" s="40" t="str">
        <f>IFERROR(__xludf.DUMMYFUNCTION("IF(ISBLANK(B386),"""",IF(Or(I386=""Em Aberto"",ISBLANK(I386),NOT(ISDATE(B386))),"""",H386))"),"")</f>
        <v/>
      </c>
      <c r="M386" s="29" t="str">
        <f>IFERROR(__xludf.DUMMYFUNCTION("IF(ISBLANK(B386),"""",IF(ISDATE(B386),TEXT(B386,""m""),""""))"),"")</f>
        <v/>
      </c>
      <c r="N386" s="29" t="str">
        <f>IFERROR(__xludf.DUMMYFUNCTION("IF(M386="""","""",QUERY({'Dashboard-Dados'!$Y$2:$AA$13},""Select Col2 Where Col1=""&amp;M386))"),"")</f>
        <v/>
      </c>
      <c r="O386" s="29" t="str">
        <f>IFERROR(__xludf.DUMMYFUNCTION("IF(ISBLANK(B386),"""",IF(ISDATE(B386),TEXT(B386,""yyyy""),""""))"),"")</f>
        <v/>
      </c>
    </row>
    <row r="387">
      <c r="B387" s="62"/>
      <c r="C387" s="56"/>
      <c r="D387" s="56"/>
      <c r="E387" s="56"/>
      <c r="F387" s="63"/>
      <c r="G387" s="64"/>
      <c r="H387" s="65"/>
      <c r="I387" s="63"/>
      <c r="K387" s="53" t="str">
        <f>IFERROR(__xludf.DUMMYFUNCTION("IF(ISBLANK(B387),"""",IF(ISDATE(B387),""X"",""""))"),"")</f>
        <v/>
      </c>
      <c r="L387" s="40" t="str">
        <f>IFERROR(__xludf.DUMMYFUNCTION("IF(ISBLANK(B387),"""",IF(Or(I387=""Em Aberto"",ISBLANK(I387),NOT(ISDATE(B387))),"""",H387))"),"")</f>
        <v/>
      </c>
      <c r="M387" s="29" t="str">
        <f>IFERROR(__xludf.DUMMYFUNCTION("IF(ISBLANK(B387),"""",IF(ISDATE(B387),TEXT(B387,""m""),""""))"),"")</f>
        <v/>
      </c>
      <c r="N387" s="29" t="str">
        <f>IFERROR(__xludf.DUMMYFUNCTION("IF(M387="""","""",QUERY({'Dashboard-Dados'!$Y$2:$AA$13},""Select Col2 Where Col1=""&amp;M387))"),"")</f>
        <v/>
      </c>
      <c r="O387" s="29" t="str">
        <f>IFERROR(__xludf.DUMMYFUNCTION("IF(ISBLANK(B387),"""",IF(ISDATE(B387),TEXT(B387,""yyyy""),""""))"),"")</f>
        <v/>
      </c>
    </row>
    <row r="388">
      <c r="B388" s="62"/>
      <c r="C388" s="56"/>
      <c r="D388" s="56"/>
      <c r="E388" s="56"/>
      <c r="F388" s="63"/>
      <c r="G388" s="64"/>
      <c r="H388" s="65"/>
      <c r="I388" s="63"/>
      <c r="K388" s="53" t="str">
        <f>IFERROR(__xludf.DUMMYFUNCTION("IF(ISBLANK(B388),"""",IF(ISDATE(B388),""X"",""""))"),"")</f>
        <v/>
      </c>
      <c r="L388" s="40" t="str">
        <f>IFERROR(__xludf.DUMMYFUNCTION("IF(ISBLANK(B388),"""",IF(Or(I388=""Em Aberto"",ISBLANK(I388),NOT(ISDATE(B388))),"""",H388))"),"")</f>
        <v/>
      </c>
      <c r="M388" s="29" t="str">
        <f>IFERROR(__xludf.DUMMYFUNCTION("IF(ISBLANK(B388),"""",IF(ISDATE(B388),TEXT(B388,""m""),""""))"),"")</f>
        <v/>
      </c>
      <c r="N388" s="29" t="str">
        <f>IFERROR(__xludf.DUMMYFUNCTION("IF(M388="""","""",QUERY({'Dashboard-Dados'!$Y$2:$AA$13},""Select Col2 Where Col1=""&amp;M388))"),"")</f>
        <v/>
      </c>
      <c r="O388" s="29" t="str">
        <f>IFERROR(__xludf.DUMMYFUNCTION("IF(ISBLANK(B388),"""",IF(ISDATE(B388),TEXT(B388,""yyyy""),""""))"),"")</f>
        <v/>
      </c>
    </row>
    <row r="389">
      <c r="B389" s="62"/>
      <c r="C389" s="56"/>
      <c r="D389" s="56"/>
      <c r="E389" s="56"/>
      <c r="F389" s="63"/>
      <c r="G389" s="64"/>
      <c r="H389" s="65"/>
      <c r="I389" s="63"/>
      <c r="K389" s="53" t="str">
        <f>IFERROR(__xludf.DUMMYFUNCTION("IF(ISBLANK(B389),"""",IF(ISDATE(B389),""X"",""""))"),"")</f>
        <v/>
      </c>
      <c r="L389" s="40" t="str">
        <f>IFERROR(__xludf.DUMMYFUNCTION("IF(ISBLANK(B389),"""",IF(Or(I389=""Em Aberto"",ISBLANK(I389),NOT(ISDATE(B389))),"""",H389))"),"")</f>
        <v/>
      </c>
      <c r="M389" s="29" t="str">
        <f>IFERROR(__xludf.DUMMYFUNCTION("IF(ISBLANK(B389),"""",IF(ISDATE(B389),TEXT(B389,""m""),""""))"),"")</f>
        <v/>
      </c>
      <c r="N389" s="29" t="str">
        <f>IFERROR(__xludf.DUMMYFUNCTION("IF(M389="""","""",QUERY({'Dashboard-Dados'!$Y$2:$AA$13},""Select Col2 Where Col1=""&amp;M389))"),"")</f>
        <v/>
      </c>
      <c r="O389" s="29" t="str">
        <f>IFERROR(__xludf.DUMMYFUNCTION("IF(ISBLANK(B389),"""",IF(ISDATE(B389),TEXT(B389,""yyyy""),""""))"),"")</f>
        <v/>
      </c>
    </row>
    <row r="390">
      <c r="B390" s="62"/>
      <c r="C390" s="56"/>
      <c r="D390" s="56"/>
      <c r="E390" s="56"/>
      <c r="F390" s="63"/>
      <c r="G390" s="64"/>
      <c r="H390" s="65"/>
      <c r="I390" s="63"/>
      <c r="K390" s="53" t="str">
        <f>IFERROR(__xludf.DUMMYFUNCTION("IF(ISBLANK(B390),"""",IF(ISDATE(B390),""X"",""""))"),"")</f>
        <v/>
      </c>
      <c r="L390" s="40" t="str">
        <f>IFERROR(__xludf.DUMMYFUNCTION("IF(ISBLANK(B390),"""",IF(Or(I390=""Em Aberto"",ISBLANK(I390),NOT(ISDATE(B390))),"""",H390))"),"")</f>
        <v/>
      </c>
      <c r="M390" s="29" t="str">
        <f>IFERROR(__xludf.DUMMYFUNCTION("IF(ISBLANK(B390),"""",IF(ISDATE(B390),TEXT(B390,""m""),""""))"),"")</f>
        <v/>
      </c>
      <c r="N390" s="29" t="str">
        <f>IFERROR(__xludf.DUMMYFUNCTION("IF(M390="""","""",QUERY({'Dashboard-Dados'!$Y$2:$AA$13},""Select Col2 Where Col1=""&amp;M390))"),"")</f>
        <v/>
      </c>
      <c r="O390" s="29" t="str">
        <f>IFERROR(__xludf.DUMMYFUNCTION("IF(ISBLANK(B390),"""",IF(ISDATE(B390),TEXT(B390,""yyyy""),""""))"),"")</f>
        <v/>
      </c>
    </row>
    <row r="391">
      <c r="B391" s="62"/>
      <c r="C391" s="56"/>
      <c r="D391" s="56"/>
      <c r="E391" s="56"/>
      <c r="F391" s="63"/>
      <c r="G391" s="64"/>
      <c r="H391" s="65"/>
      <c r="I391" s="63"/>
      <c r="K391" s="53" t="str">
        <f>IFERROR(__xludf.DUMMYFUNCTION("IF(ISBLANK(B391),"""",IF(ISDATE(B391),""X"",""""))"),"")</f>
        <v/>
      </c>
      <c r="L391" s="40" t="str">
        <f>IFERROR(__xludf.DUMMYFUNCTION("IF(ISBLANK(B391),"""",IF(Or(I391=""Em Aberto"",ISBLANK(I391),NOT(ISDATE(B391))),"""",H391))"),"")</f>
        <v/>
      </c>
      <c r="M391" s="29" t="str">
        <f>IFERROR(__xludf.DUMMYFUNCTION("IF(ISBLANK(B391),"""",IF(ISDATE(B391),TEXT(B391,""m""),""""))"),"")</f>
        <v/>
      </c>
      <c r="N391" s="29" t="str">
        <f>IFERROR(__xludf.DUMMYFUNCTION("IF(M391="""","""",QUERY({'Dashboard-Dados'!$Y$2:$AA$13},""Select Col2 Where Col1=""&amp;M391))"),"")</f>
        <v/>
      </c>
      <c r="O391" s="29" t="str">
        <f>IFERROR(__xludf.DUMMYFUNCTION("IF(ISBLANK(B391),"""",IF(ISDATE(B391),TEXT(B391,""yyyy""),""""))"),"")</f>
        <v/>
      </c>
    </row>
    <row r="392">
      <c r="B392" s="62"/>
      <c r="C392" s="56"/>
      <c r="D392" s="56"/>
      <c r="E392" s="56"/>
      <c r="F392" s="63"/>
      <c r="G392" s="64"/>
      <c r="H392" s="65"/>
      <c r="I392" s="63"/>
      <c r="K392" s="53" t="str">
        <f>IFERROR(__xludf.DUMMYFUNCTION("IF(ISBLANK(B392),"""",IF(ISDATE(B392),""X"",""""))"),"")</f>
        <v/>
      </c>
      <c r="L392" s="40" t="str">
        <f>IFERROR(__xludf.DUMMYFUNCTION("IF(ISBLANK(B392),"""",IF(Or(I392=""Em Aberto"",ISBLANK(I392),NOT(ISDATE(B392))),"""",H392))"),"")</f>
        <v/>
      </c>
      <c r="M392" s="29" t="str">
        <f>IFERROR(__xludf.DUMMYFUNCTION("IF(ISBLANK(B392),"""",IF(ISDATE(B392),TEXT(B392,""m""),""""))"),"")</f>
        <v/>
      </c>
      <c r="N392" s="29" t="str">
        <f>IFERROR(__xludf.DUMMYFUNCTION("IF(M392="""","""",QUERY({'Dashboard-Dados'!$Y$2:$AA$13},""Select Col2 Where Col1=""&amp;M392))"),"")</f>
        <v/>
      </c>
      <c r="O392" s="29" t="str">
        <f>IFERROR(__xludf.DUMMYFUNCTION("IF(ISBLANK(B392),"""",IF(ISDATE(B392),TEXT(B392,""yyyy""),""""))"),"")</f>
        <v/>
      </c>
    </row>
    <row r="393">
      <c r="B393" s="62"/>
      <c r="C393" s="56"/>
      <c r="D393" s="56"/>
      <c r="E393" s="56"/>
      <c r="F393" s="63"/>
      <c r="G393" s="64"/>
      <c r="H393" s="65"/>
      <c r="I393" s="63"/>
      <c r="K393" s="53" t="str">
        <f>IFERROR(__xludf.DUMMYFUNCTION("IF(ISBLANK(B393),"""",IF(ISDATE(B393),""X"",""""))"),"")</f>
        <v/>
      </c>
      <c r="L393" s="40" t="str">
        <f>IFERROR(__xludf.DUMMYFUNCTION("IF(ISBLANK(B393),"""",IF(Or(I393=""Em Aberto"",ISBLANK(I393),NOT(ISDATE(B393))),"""",H393))"),"")</f>
        <v/>
      </c>
      <c r="M393" s="29" t="str">
        <f>IFERROR(__xludf.DUMMYFUNCTION("IF(ISBLANK(B393),"""",IF(ISDATE(B393),TEXT(B393,""m""),""""))"),"")</f>
        <v/>
      </c>
      <c r="N393" s="29" t="str">
        <f>IFERROR(__xludf.DUMMYFUNCTION("IF(M393="""","""",QUERY({'Dashboard-Dados'!$Y$2:$AA$13},""Select Col2 Where Col1=""&amp;M393))"),"")</f>
        <v/>
      </c>
      <c r="O393" s="29" t="str">
        <f>IFERROR(__xludf.DUMMYFUNCTION("IF(ISBLANK(B393),"""",IF(ISDATE(B393),TEXT(B393,""yyyy""),""""))"),"")</f>
        <v/>
      </c>
    </row>
    <row r="394">
      <c r="B394" s="62"/>
      <c r="C394" s="56"/>
      <c r="D394" s="56"/>
      <c r="E394" s="56"/>
      <c r="F394" s="63"/>
      <c r="G394" s="64"/>
      <c r="H394" s="65"/>
      <c r="I394" s="63"/>
      <c r="K394" s="53" t="str">
        <f>IFERROR(__xludf.DUMMYFUNCTION("IF(ISBLANK(B394),"""",IF(ISDATE(B394),""X"",""""))"),"")</f>
        <v/>
      </c>
      <c r="L394" s="40" t="str">
        <f>IFERROR(__xludf.DUMMYFUNCTION("IF(ISBLANK(B394),"""",IF(Or(I394=""Em Aberto"",ISBLANK(I394),NOT(ISDATE(B394))),"""",H394))"),"")</f>
        <v/>
      </c>
      <c r="M394" s="29" t="str">
        <f>IFERROR(__xludf.DUMMYFUNCTION("IF(ISBLANK(B394),"""",IF(ISDATE(B394),TEXT(B394,""m""),""""))"),"")</f>
        <v/>
      </c>
      <c r="N394" s="29" t="str">
        <f>IFERROR(__xludf.DUMMYFUNCTION("IF(M394="""","""",QUERY({'Dashboard-Dados'!$Y$2:$AA$13},""Select Col2 Where Col1=""&amp;M394))"),"")</f>
        <v/>
      </c>
      <c r="O394" s="29" t="str">
        <f>IFERROR(__xludf.DUMMYFUNCTION("IF(ISBLANK(B394),"""",IF(ISDATE(B394),TEXT(B394,""yyyy""),""""))"),"")</f>
        <v/>
      </c>
    </row>
    <row r="395">
      <c r="B395" s="62"/>
      <c r="C395" s="56"/>
      <c r="D395" s="56"/>
      <c r="E395" s="56"/>
      <c r="F395" s="63"/>
      <c r="G395" s="64"/>
      <c r="H395" s="65"/>
      <c r="I395" s="63"/>
      <c r="K395" s="53" t="str">
        <f>IFERROR(__xludf.DUMMYFUNCTION("IF(ISBLANK(B395),"""",IF(ISDATE(B395),""X"",""""))"),"")</f>
        <v/>
      </c>
      <c r="L395" s="40" t="str">
        <f>IFERROR(__xludf.DUMMYFUNCTION("IF(ISBLANK(B395),"""",IF(Or(I395=""Em Aberto"",ISBLANK(I395),NOT(ISDATE(B395))),"""",H395))"),"")</f>
        <v/>
      </c>
      <c r="M395" s="29" t="str">
        <f>IFERROR(__xludf.DUMMYFUNCTION("IF(ISBLANK(B395),"""",IF(ISDATE(B395),TEXT(B395,""m""),""""))"),"")</f>
        <v/>
      </c>
      <c r="N395" s="29" t="str">
        <f>IFERROR(__xludf.DUMMYFUNCTION("IF(M395="""","""",QUERY({'Dashboard-Dados'!$Y$2:$AA$13},""Select Col2 Where Col1=""&amp;M395))"),"")</f>
        <v/>
      </c>
      <c r="O395" s="29" t="str">
        <f>IFERROR(__xludf.DUMMYFUNCTION("IF(ISBLANK(B395),"""",IF(ISDATE(B395),TEXT(B395,""yyyy""),""""))"),"")</f>
        <v/>
      </c>
    </row>
    <row r="396">
      <c r="B396" s="62"/>
      <c r="C396" s="56"/>
      <c r="D396" s="56"/>
      <c r="E396" s="56"/>
      <c r="F396" s="63"/>
      <c r="G396" s="64"/>
      <c r="H396" s="65"/>
      <c r="I396" s="63"/>
      <c r="K396" s="53" t="str">
        <f>IFERROR(__xludf.DUMMYFUNCTION("IF(ISBLANK(B396),"""",IF(ISDATE(B396),""X"",""""))"),"")</f>
        <v/>
      </c>
      <c r="L396" s="40" t="str">
        <f>IFERROR(__xludf.DUMMYFUNCTION("IF(ISBLANK(B396),"""",IF(Or(I396=""Em Aberto"",ISBLANK(I396),NOT(ISDATE(B396))),"""",H396))"),"")</f>
        <v/>
      </c>
      <c r="M396" s="29" t="str">
        <f>IFERROR(__xludf.DUMMYFUNCTION("IF(ISBLANK(B396),"""",IF(ISDATE(B396),TEXT(B396,""m""),""""))"),"")</f>
        <v/>
      </c>
      <c r="N396" s="29" t="str">
        <f>IFERROR(__xludf.DUMMYFUNCTION("IF(M396="""","""",QUERY({'Dashboard-Dados'!$Y$2:$AA$13},""Select Col2 Where Col1=""&amp;M396))"),"")</f>
        <v/>
      </c>
      <c r="O396" s="29" t="str">
        <f>IFERROR(__xludf.DUMMYFUNCTION("IF(ISBLANK(B396),"""",IF(ISDATE(B396),TEXT(B396,""yyyy""),""""))"),"")</f>
        <v/>
      </c>
    </row>
    <row r="397">
      <c r="B397" s="62"/>
      <c r="C397" s="56"/>
      <c r="D397" s="56"/>
      <c r="E397" s="56"/>
      <c r="F397" s="63"/>
      <c r="G397" s="64"/>
      <c r="H397" s="65"/>
      <c r="I397" s="63"/>
      <c r="K397" s="53" t="str">
        <f>IFERROR(__xludf.DUMMYFUNCTION("IF(ISBLANK(B397),"""",IF(ISDATE(B397),""X"",""""))"),"")</f>
        <v/>
      </c>
      <c r="L397" s="40" t="str">
        <f>IFERROR(__xludf.DUMMYFUNCTION("IF(ISBLANK(B397),"""",IF(Or(I397=""Em Aberto"",ISBLANK(I397),NOT(ISDATE(B397))),"""",H397))"),"")</f>
        <v/>
      </c>
      <c r="M397" s="29" t="str">
        <f>IFERROR(__xludf.DUMMYFUNCTION("IF(ISBLANK(B397),"""",IF(ISDATE(B397),TEXT(B397,""m""),""""))"),"")</f>
        <v/>
      </c>
      <c r="N397" s="29" t="str">
        <f>IFERROR(__xludf.DUMMYFUNCTION("IF(M397="""","""",QUERY({'Dashboard-Dados'!$Y$2:$AA$13},""Select Col2 Where Col1=""&amp;M397))"),"")</f>
        <v/>
      </c>
      <c r="O397" s="29" t="str">
        <f>IFERROR(__xludf.DUMMYFUNCTION("IF(ISBLANK(B397),"""",IF(ISDATE(B397),TEXT(B397,""yyyy""),""""))"),"")</f>
        <v/>
      </c>
    </row>
    <row r="398">
      <c r="B398" s="62"/>
      <c r="C398" s="56"/>
      <c r="D398" s="56"/>
      <c r="E398" s="56"/>
      <c r="F398" s="63"/>
      <c r="G398" s="64"/>
      <c r="H398" s="65"/>
      <c r="I398" s="63"/>
      <c r="K398" s="53" t="str">
        <f>IFERROR(__xludf.DUMMYFUNCTION("IF(ISBLANK(B398),"""",IF(ISDATE(B398),""X"",""""))"),"")</f>
        <v/>
      </c>
      <c r="L398" s="40" t="str">
        <f>IFERROR(__xludf.DUMMYFUNCTION("IF(ISBLANK(B398),"""",IF(Or(I398=""Em Aberto"",ISBLANK(I398),NOT(ISDATE(B398))),"""",H398))"),"")</f>
        <v/>
      </c>
      <c r="M398" s="29" t="str">
        <f>IFERROR(__xludf.DUMMYFUNCTION("IF(ISBLANK(B398),"""",IF(ISDATE(B398),TEXT(B398,""m""),""""))"),"")</f>
        <v/>
      </c>
      <c r="N398" s="29" t="str">
        <f>IFERROR(__xludf.DUMMYFUNCTION("IF(M398="""","""",QUERY({'Dashboard-Dados'!$Y$2:$AA$13},""Select Col2 Where Col1=""&amp;M398))"),"")</f>
        <v/>
      </c>
      <c r="O398" s="29" t="str">
        <f>IFERROR(__xludf.DUMMYFUNCTION("IF(ISBLANK(B398),"""",IF(ISDATE(B398),TEXT(B398,""yyyy""),""""))"),"")</f>
        <v/>
      </c>
    </row>
    <row r="399">
      <c r="B399" s="62"/>
      <c r="C399" s="56"/>
      <c r="D399" s="56"/>
      <c r="E399" s="56"/>
      <c r="F399" s="63"/>
      <c r="G399" s="64"/>
      <c r="H399" s="65"/>
      <c r="I399" s="63"/>
      <c r="K399" s="53" t="str">
        <f>IFERROR(__xludf.DUMMYFUNCTION("IF(ISBLANK(B399),"""",IF(ISDATE(B399),""X"",""""))"),"")</f>
        <v/>
      </c>
      <c r="L399" s="40" t="str">
        <f>IFERROR(__xludf.DUMMYFUNCTION("IF(ISBLANK(B399),"""",IF(Or(I399=""Em Aberto"",ISBLANK(I399),NOT(ISDATE(B399))),"""",H399))"),"")</f>
        <v/>
      </c>
      <c r="M399" s="29" t="str">
        <f>IFERROR(__xludf.DUMMYFUNCTION("IF(ISBLANK(B399),"""",IF(ISDATE(B399),TEXT(B399,""m""),""""))"),"")</f>
        <v/>
      </c>
      <c r="N399" s="29" t="str">
        <f>IFERROR(__xludf.DUMMYFUNCTION("IF(M399="""","""",QUERY({'Dashboard-Dados'!$Y$2:$AA$13},""Select Col2 Where Col1=""&amp;M399))"),"")</f>
        <v/>
      </c>
      <c r="O399" s="29" t="str">
        <f>IFERROR(__xludf.DUMMYFUNCTION("IF(ISBLANK(B399),"""",IF(ISDATE(B399),TEXT(B399,""yyyy""),""""))"),"")</f>
        <v/>
      </c>
    </row>
    <row r="400">
      <c r="B400" s="62"/>
      <c r="C400" s="56"/>
      <c r="D400" s="56"/>
      <c r="E400" s="56"/>
      <c r="F400" s="63"/>
      <c r="G400" s="64"/>
      <c r="H400" s="65"/>
      <c r="I400" s="63"/>
      <c r="K400" s="53" t="str">
        <f>IFERROR(__xludf.DUMMYFUNCTION("IF(ISBLANK(B400),"""",IF(ISDATE(B400),""X"",""""))"),"")</f>
        <v/>
      </c>
      <c r="L400" s="40" t="str">
        <f>IFERROR(__xludf.DUMMYFUNCTION("IF(ISBLANK(B400),"""",IF(Or(I400=""Em Aberto"",ISBLANK(I400),NOT(ISDATE(B400))),"""",H400))"),"")</f>
        <v/>
      </c>
      <c r="M400" s="29" t="str">
        <f>IFERROR(__xludf.DUMMYFUNCTION("IF(ISBLANK(B400),"""",IF(ISDATE(B400),TEXT(B400,""m""),""""))"),"")</f>
        <v/>
      </c>
      <c r="N400" s="29" t="str">
        <f>IFERROR(__xludf.DUMMYFUNCTION("IF(M400="""","""",QUERY({'Dashboard-Dados'!$Y$2:$AA$13},""Select Col2 Where Col1=""&amp;M400))"),"")</f>
        <v/>
      </c>
      <c r="O400" s="29" t="str">
        <f>IFERROR(__xludf.DUMMYFUNCTION("IF(ISBLANK(B400),"""",IF(ISDATE(B400),TEXT(B400,""yyyy""),""""))"),"")</f>
        <v/>
      </c>
    </row>
    <row r="401">
      <c r="B401" s="62"/>
      <c r="C401" s="56"/>
      <c r="D401" s="56"/>
      <c r="E401" s="56"/>
      <c r="F401" s="63"/>
      <c r="G401" s="64"/>
      <c r="H401" s="65"/>
      <c r="I401" s="63"/>
      <c r="K401" s="53" t="str">
        <f>IFERROR(__xludf.DUMMYFUNCTION("IF(ISBLANK(B401),"""",IF(ISDATE(B401),""X"",""""))"),"")</f>
        <v/>
      </c>
      <c r="L401" s="40" t="str">
        <f>IFERROR(__xludf.DUMMYFUNCTION("IF(ISBLANK(B401),"""",IF(Or(I401=""Em Aberto"",ISBLANK(I401),NOT(ISDATE(B401))),"""",H401))"),"")</f>
        <v/>
      </c>
      <c r="M401" s="29" t="str">
        <f>IFERROR(__xludf.DUMMYFUNCTION("IF(ISBLANK(B401),"""",IF(ISDATE(B401),TEXT(B401,""m""),""""))"),"")</f>
        <v/>
      </c>
      <c r="N401" s="29" t="str">
        <f>IFERROR(__xludf.DUMMYFUNCTION("IF(M401="""","""",QUERY({'Dashboard-Dados'!$Y$2:$AA$13},""Select Col2 Where Col1=""&amp;M401))"),"")</f>
        <v/>
      </c>
      <c r="O401" s="29" t="str">
        <f>IFERROR(__xludf.DUMMYFUNCTION("IF(ISBLANK(B401),"""",IF(ISDATE(B401),TEXT(B401,""yyyy""),""""))"),"")</f>
        <v/>
      </c>
    </row>
    <row r="402">
      <c r="B402" s="62"/>
      <c r="C402" s="56"/>
      <c r="D402" s="56"/>
      <c r="E402" s="56"/>
      <c r="F402" s="63"/>
      <c r="G402" s="64"/>
      <c r="H402" s="65"/>
      <c r="I402" s="63"/>
      <c r="K402" s="53" t="str">
        <f>IFERROR(__xludf.DUMMYFUNCTION("IF(ISBLANK(B402),"""",IF(ISDATE(B402),""X"",""""))"),"")</f>
        <v/>
      </c>
      <c r="L402" s="40" t="str">
        <f>IFERROR(__xludf.DUMMYFUNCTION("IF(ISBLANK(B402),"""",IF(Or(I402=""Em Aberto"",ISBLANK(I402),NOT(ISDATE(B402))),"""",H402))"),"")</f>
        <v/>
      </c>
      <c r="M402" s="29" t="str">
        <f>IFERROR(__xludf.DUMMYFUNCTION("IF(ISBLANK(B402),"""",IF(ISDATE(B402),TEXT(B402,""m""),""""))"),"")</f>
        <v/>
      </c>
      <c r="N402" s="29" t="str">
        <f>IFERROR(__xludf.DUMMYFUNCTION("IF(M402="""","""",QUERY({'Dashboard-Dados'!$Y$2:$AA$13},""Select Col2 Where Col1=""&amp;M402))"),"")</f>
        <v/>
      </c>
      <c r="O402" s="29" t="str">
        <f>IFERROR(__xludf.DUMMYFUNCTION("IF(ISBLANK(B402),"""",IF(ISDATE(B402),TEXT(B402,""yyyy""),""""))"),"")</f>
        <v/>
      </c>
    </row>
    <row r="403">
      <c r="B403" s="62"/>
      <c r="C403" s="56"/>
      <c r="D403" s="56"/>
      <c r="E403" s="56"/>
      <c r="F403" s="63"/>
      <c r="G403" s="64"/>
      <c r="H403" s="65"/>
      <c r="I403" s="63"/>
      <c r="K403" s="53" t="str">
        <f>IFERROR(__xludf.DUMMYFUNCTION("IF(ISBLANK(B403),"""",IF(ISDATE(B403),""X"",""""))"),"")</f>
        <v/>
      </c>
      <c r="L403" s="40" t="str">
        <f>IFERROR(__xludf.DUMMYFUNCTION("IF(ISBLANK(B403),"""",IF(Or(I403=""Em Aberto"",ISBLANK(I403),NOT(ISDATE(B403))),"""",H403))"),"")</f>
        <v/>
      </c>
      <c r="M403" s="29" t="str">
        <f>IFERROR(__xludf.DUMMYFUNCTION("IF(ISBLANK(B403),"""",IF(ISDATE(B403),TEXT(B403,""m""),""""))"),"")</f>
        <v/>
      </c>
      <c r="N403" s="29" t="str">
        <f>IFERROR(__xludf.DUMMYFUNCTION("IF(M403="""","""",QUERY({'Dashboard-Dados'!$Y$2:$AA$13},""Select Col2 Where Col1=""&amp;M403))"),"")</f>
        <v/>
      </c>
      <c r="O403" s="29" t="str">
        <f>IFERROR(__xludf.DUMMYFUNCTION("IF(ISBLANK(B403),"""",IF(ISDATE(B403),TEXT(B403,""yyyy""),""""))"),"")</f>
        <v/>
      </c>
    </row>
    <row r="404">
      <c r="B404" s="62"/>
      <c r="C404" s="56"/>
      <c r="D404" s="56"/>
      <c r="E404" s="56"/>
      <c r="F404" s="63"/>
      <c r="G404" s="64"/>
      <c r="H404" s="65"/>
      <c r="I404" s="63"/>
      <c r="K404" s="53" t="str">
        <f>IFERROR(__xludf.DUMMYFUNCTION("IF(ISBLANK(B404),"""",IF(ISDATE(B404),""X"",""""))"),"")</f>
        <v/>
      </c>
      <c r="L404" s="40" t="str">
        <f>IFERROR(__xludf.DUMMYFUNCTION("IF(ISBLANK(B404),"""",IF(Or(I404=""Em Aberto"",ISBLANK(I404),NOT(ISDATE(B404))),"""",H404))"),"")</f>
        <v/>
      </c>
      <c r="M404" s="29" t="str">
        <f>IFERROR(__xludf.DUMMYFUNCTION("IF(ISBLANK(B404),"""",IF(ISDATE(B404),TEXT(B404,""m""),""""))"),"")</f>
        <v/>
      </c>
      <c r="N404" s="29" t="str">
        <f>IFERROR(__xludf.DUMMYFUNCTION("IF(M404="""","""",QUERY({'Dashboard-Dados'!$Y$2:$AA$13},""Select Col2 Where Col1=""&amp;M404))"),"")</f>
        <v/>
      </c>
      <c r="O404" s="29" t="str">
        <f>IFERROR(__xludf.DUMMYFUNCTION("IF(ISBLANK(B404),"""",IF(ISDATE(B404),TEXT(B404,""yyyy""),""""))"),"")</f>
        <v/>
      </c>
    </row>
    <row r="405">
      <c r="B405" s="62"/>
      <c r="C405" s="56"/>
      <c r="D405" s="56"/>
      <c r="E405" s="56"/>
      <c r="F405" s="63"/>
      <c r="G405" s="64"/>
      <c r="H405" s="65"/>
      <c r="I405" s="63"/>
      <c r="K405" s="53" t="str">
        <f>IFERROR(__xludf.DUMMYFUNCTION("IF(ISBLANK(B405),"""",IF(ISDATE(B405),""X"",""""))"),"")</f>
        <v/>
      </c>
      <c r="L405" s="40" t="str">
        <f>IFERROR(__xludf.DUMMYFUNCTION("IF(ISBLANK(B405),"""",IF(Or(I405=""Em Aberto"",ISBLANK(I405),NOT(ISDATE(B405))),"""",H405))"),"")</f>
        <v/>
      </c>
      <c r="M405" s="29" t="str">
        <f>IFERROR(__xludf.DUMMYFUNCTION("IF(ISBLANK(B405),"""",IF(ISDATE(B405),TEXT(B405,""m""),""""))"),"")</f>
        <v/>
      </c>
      <c r="N405" s="29" t="str">
        <f>IFERROR(__xludf.DUMMYFUNCTION("IF(M405="""","""",QUERY({'Dashboard-Dados'!$Y$2:$AA$13},""Select Col2 Where Col1=""&amp;M405))"),"")</f>
        <v/>
      </c>
      <c r="O405" s="29" t="str">
        <f>IFERROR(__xludf.DUMMYFUNCTION("IF(ISBLANK(B405),"""",IF(ISDATE(B405),TEXT(B405,""yyyy""),""""))"),"")</f>
        <v/>
      </c>
    </row>
    <row r="406">
      <c r="B406" s="62"/>
      <c r="C406" s="56"/>
      <c r="D406" s="56"/>
      <c r="E406" s="56"/>
      <c r="F406" s="63"/>
      <c r="G406" s="64"/>
      <c r="H406" s="65"/>
      <c r="I406" s="63"/>
      <c r="K406" s="53" t="str">
        <f>IFERROR(__xludf.DUMMYFUNCTION("IF(ISBLANK(B406),"""",IF(ISDATE(B406),""X"",""""))"),"")</f>
        <v/>
      </c>
      <c r="L406" s="40" t="str">
        <f>IFERROR(__xludf.DUMMYFUNCTION("IF(ISBLANK(B406),"""",IF(Or(I406=""Em Aberto"",ISBLANK(I406),NOT(ISDATE(B406))),"""",H406))"),"")</f>
        <v/>
      </c>
      <c r="M406" s="29" t="str">
        <f>IFERROR(__xludf.DUMMYFUNCTION("IF(ISBLANK(B406),"""",IF(ISDATE(B406),TEXT(B406,""m""),""""))"),"")</f>
        <v/>
      </c>
      <c r="N406" s="29" t="str">
        <f>IFERROR(__xludf.DUMMYFUNCTION("IF(M406="""","""",QUERY({'Dashboard-Dados'!$Y$2:$AA$13},""Select Col2 Where Col1=""&amp;M406))"),"")</f>
        <v/>
      </c>
      <c r="O406" s="29" t="str">
        <f>IFERROR(__xludf.DUMMYFUNCTION("IF(ISBLANK(B406),"""",IF(ISDATE(B406),TEXT(B406,""yyyy""),""""))"),"")</f>
        <v/>
      </c>
    </row>
    <row r="407">
      <c r="B407" s="62"/>
      <c r="C407" s="56"/>
      <c r="D407" s="56"/>
      <c r="E407" s="56"/>
      <c r="F407" s="63"/>
      <c r="G407" s="64"/>
      <c r="H407" s="65"/>
      <c r="I407" s="63"/>
      <c r="K407" s="53" t="str">
        <f>IFERROR(__xludf.DUMMYFUNCTION("IF(ISBLANK(B407),"""",IF(ISDATE(B407),""X"",""""))"),"")</f>
        <v/>
      </c>
      <c r="L407" s="40" t="str">
        <f>IFERROR(__xludf.DUMMYFUNCTION("IF(ISBLANK(B407),"""",IF(Or(I407=""Em Aberto"",ISBLANK(I407),NOT(ISDATE(B407))),"""",H407))"),"")</f>
        <v/>
      </c>
      <c r="M407" s="29" t="str">
        <f>IFERROR(__xludf.DUMMYFUNCTION("IF(ISBLANK(B407),"""",IF(ISDATE(B407),TEXT(B407,""m""),""""))"),"")</f>
        <v/>
      </c>
      <c r="N407" s="29" t="str">
        <f>IFERROR(__xludf.DUMMYFUNCTION("IF(M407="""","""",QUERY({'Dashboard-Dados'!$Y$2:$AA$13},""Select Col2 Where Col1=""&amp;M407))"),"")</f>
        <v/>
      </c>
      <c r="O407" s="29" t="str">
        <f>IFERROR(__xludf.DUMMYFUNCTION("IF(ISBLANK(B407),"""",IF(ISDATE(B407),TEXT(B407,""yyyy""),""""))"),"")</f>
        <v/>
      </c>
    </row>
    <row r="408">
      <c r="B408" s="62"/>
      <c r="C408" s="56"/>
      <c r="D408" s="56"/>
      <c r="E408" s="56"/>
      <c r="F408" s="63"/>
      <c r="G408" s="64"/>
      <c r="H408" s="65"/>
      <c r="I408" s="63"/>
      <c r="K408" s="53" t="str">
        <f>IFERROR(__xludf.DUMMYFUNCTION("IF(ISBLANK(B408),"""",IF(ISDATE(B408),""X"",""""))"),"")</f>
        <v/>
      </c>
      <c r="L408" s="40" t="str">
        <f>IFERROR(__xludf.DUMMYFUNCTION("IF(ISBLANK(B408),"""",IF(Or(I408=""Em Aberto"",ISBLANK(I408),NOT(ISDATE(B408))),"""",H408))"),"")</f>
        <v/>
      </c>
      <c r="M408" s="29" t="str">
        <f>IFERROR(__xludf.DUMMYFUNCTION("IF(ISBLANK(B408),"""",IF(ISDATE(B408),TEXT(B408,""m""),""""))"),"")</f>
        <v/>
      </c>
      <c r="N408" s="29" t="str">
        <f>IFERROR(__xludf.DUMMYFUNCTION("IF(M408="""","""",QUERY({'Dashboard-Dados'!$Y$2:$AA$13},""Select Col2 Where Col1=""&amp;M408))"),"")</f>
        <v/>
      </c>
      <c r="O408" s="29" t="str">
        <f>IFERROR(__xludf.DUMMYFUNCTION("IF(ISBLANK(B408),"""",IF(ISDATE(B408),TEXT(B408,""yyyy""),""""))"),"")</f>
        <v/>
      </c>
    </row>
    <row r="409">
      <c r="B409" s="62"/>
      <c r="C409" s="56"/>
      <c r="D409" s="56"/>
      <c r="E409" s="56"/>
      <c r="F409" s="63"/>
      <c r="G409" s="64"/>
      <c r="H409" s="65"/>
      <c r="I409" s="63"/>
      <c r="K409" s="53" t="str">
        <f>IFERROR(__xludf.DUMMYFUNCTION("IF(ISBLANK(B409),"""",IF(ISDATE(B409),""X"",""""))"),"")</f>
        <v/>
      </c>
      <c r="L409" s="40" t="str">
        <f>IFERROR(__xludf.DUMMYFUNCTION("IF(ISBLANK(B409),"""",IF(Or(I409=""Em Aberto"",ISBLANK(I409),NOT(ISDATE(B409))),"""",H409))"),"")</f>
        <v/>
      </c>
      <c r="M409" s="29" t="str">
        <f>IFERROR(__xludf.DUMMYFUNCTION("IF(ISBLANK(B409),"""",IF(ISDATE(B409),TEXT(B409,""m""),""""))"),"")</f>
        <v/>
      </c>
      <c r="N409" s="29" t="str">
        <f>IFERROR(__xludf.DUMMYFUNCTION("IF(M409="""","""",QUERY({'Dashboard-Dados'!$Y$2:$AA$13},""Select Col2 Where Col1=""&amp;M409))"),"")</f>
        <v/>
      </c>
      <c r="O409" s="29" t="str">
        <f>IFERROR(__xludf.DUMMYFUNCTION("IF(ISBLANK(B409),"""",IF(ISDATE(B409),TEXT(B409,""yyyy""),""""))"),"")</f>
        <v/>
      </c>
    </row>
    <row r="410">
      <c r="B410" s="62"/>
      <c r="C410" s="56"/>
      <c r="D410" s="56"/>
      <c r="E410" s="56"/>
      <c r="F410" s="63"/>
      <c r="G410" s="64"/>
      <c r="H410" s="65"/>
      <c r="I410" s="63"/>
      <c r="K410" s="53" t="str">
        <f>IFERROR(__xludf.DUMMYFUNCTION("IF(ISBLANK(B410),"""",IF(ISDATE(B410),""X"",""""))"),"")</f>
        <v/>
      </c>
      <c r="L410" s="40" t="str">
        <f>IFERROR(__xludf.DUMMYFUNCTION("IF(ISBLANK(B410),"""",IF(Or(I410=""Em Aberto"",ISBLANK(I410),NOT(ISDATE(B410))),"""",H410))"),"")</f>
        <v/>
      </c>
      <c r="M410" s="29" t="str">
        <f>IFERROR(__xludf.DUMMYFUNCTION("IF(ISBLANK(B410),"""",IF(ISDATE(B410),TEXT(B410,""m""),""""))"),"")</f>
        <v/>
      </c>
      <c r="N410" s="29" t="str">
        <f>IFERROR(__xludf.DUMMYFUNCTION("IF(M410="""","""",QUERY({'Dashboard-Dados'!$Y$2:$AA$13},""Select Col2 Where Col1=""&amp;M410))"),"")</f>
        <v/>
      </c>
      <c r="O410" s="29" t="str">
        <f>IFERROR(__xludf.DUMMYFUNCTION("IF(ISBLANK(B410),"""",IF(ISDATE(B410),TEXT(B410,""yyyy""),""""))"),"")</f>
        <v/>
      </c>
    </row>
    <row r="411">
      <c r="B411" s="62"/>
      <c r="C411" s="56"/>
      <c r="D411" s="56"/>
      <c r="E411" s="56"/>
      <c r="F411" s="63"/>
      <c r="G411" s="64"/>
      <c r="H411" s="65"/>
      <c r="I411" s="63"/>
      <c r="K411" s="53" t="str">
        <f>IFERROR(__xludf.DUMMYFUNCTION("IF(ISBLANK(B411),"""",IF(ISDATE(B411),""X"",""""))"),"")</f>
        <v/>
      </c>
      <c r="L411" s="40" t="str">
        <f>IFERROR(__xludf.DUMMYFUNCTION("IF(ISBLANK(B411),"""",IF(Or(I411=""Em Aberto"",ISBLANK(I411),NOT(ISDATE(B411))),"""",H411))"),"")</f>
        <v/>
      </c>
      <c r="M411" s="29" t="str">
        <f>IFERROR(__xludf.DUMMYFUNCTION("IF(ISBLANK(B411),"""",IF(ISDATE(B411),TEXT(B411,""m""),""""))"),"")</f>
        <v/>
      </c>
      <c r="N411" s="29" t="str">
        <f>IFERROR(__xludf.DUMMYFUNCTION("IF(M411="""","""",QUERY({'Dashboard-Dados'!$Y$2:$AA$13},""Select Col2 Where Col1=""&amp;M411))"),"")</f>
        <v/>
      </c>
      <c r="O411" s="29" t="str">
        <f>IFERROR(__xludf.DUMMYFUNCTION("IF(ISBLANK(B411),"""",IF(ISDATE(B411),TEXT(B411,""yyyy""),""""))"),"")</f>
        <v/>
      </c>
    </row>
    <row r="412">
      <c r="B412" s="62"/>
      <c r="C412" s="56"/>
      <c r="D412" s="56"/>
      <c r="E412" s="56"/>
      <c r="F412" s="63"/>
      <c r="G412" s="64"/>
      <c r="H412" s="65"/>
      <c r="I412" s="63"/>
      <c r="K412" s="53" t="str">
        <f>IFERROR(__xludf.DUMMYFUNCTION("IF(ISBLANK(B412),"""",IF(ISDATE(B412),""X"",""""))"),"")</f>
        <v/>
      </c>
      <c r="L412" s="40" t="str">
        <f>IFERROR(__xludf.DUMMYFUNCTION("IF(ISBLANK(B412),"""",IF(Or(I412=""Em Aberto"",ISBLANK(I412),NOT(ISDATE(B412))),"""",H412))"),"")</f>
        <v/>
      </c>
      <c r="M412" s="29" t="str">
        <f>IFERROR(__xludf.DUMMYFUNCTION("IF(ISBLANK(B412),"""",IF(ISDATE(B412),TEXT(B412,""m""),""""))"),"")</f>
        <v/>
      </c>
      <c r="N412" s="29" t="str">
        <f>IFERROR(__xludf.DUMMYFUNCTION("IF(M412="""","""",QUERY({'Dashboard-Dados'!$Y$2:$AA$13},""Select Col2 Where Col1=""&amp;M412))"),"")</f>
        <v/>
      </c>
      <c r="O412" s="29" t="str">
        <f>IFERROR(__xludf.DUMMYFUNCTION("IF(ISBLANK(B412),"""",IF(ISDATE(B412),TEXT(B412,""yyyy""),""""))"),"")</f>
        <v/>
      </c>
    </row>
    <row r="413">
      <c r="B413" s="62"/>
      <c r="C413" s="56"/>
      <c r="D413" s="56"/>
      <c r="E413" s="56"/>
      <c r="F413" s="63"/>
      <c r="G413" s="64"/>
      <c r="H413" s="65"/>
      <c r="I413" s="63"/>
      <c r="K413" s="53" t="str">
        <f>IFERROR(__xludf.DUMMYFUNCTION("IF(ISBLANK(B413),"""",IF(ISDATE(B413),""X"",""""))"),"")</f>
        <v/>
      </c>
      <c r="L413" s="40" t="str">
        <f>IFERROR(__xludf.DUMMYFUNCTION("IF(ISBLANK(B413),"""",IF(Or(I413=""Em Aberto"",ISBLANK(I413),NOT(ISDATE(B413))),"""",H413))"),"")</f>
        <v/>
      </c>
      <c r="M413" s="29" t="str">
        <f>IFERROR(__xludf.DUMMYFUNCTION("IF(ISBLANK(B413),"""",IF(ISDATE(B413),TEXT(B413,""m""),""""))"),"")</f>
        <v/>
      </c>
      <c r="N413" s="29" t="str">
        <f>IFERROR(__xludf.DUMMYFUNCTION("IF(M413="""","""",QUERY({'Dashboard-Dados'!$Y$2:$AA$13},""Select Col2 Where Col1=""&amp;M413))"),"")</f>
        <v/>
      </c>
      <c r="O413" s="29" t="str">
        <f>IFERROR(__xludf.DUMMYFUNCTION("IF(ISBLANK(B413),"""",IF(ISDATE(B413),TEXT(B413,""yyyy""),""""))"),"")</f>
        <v/>
      </c>
    </row>
    <row r="414">
      <c r="B414" s="62"/>
      <c r="C414" s="56"/>
      <c r="D414" s="56"/>
      <c r="E414" s="56"/>
      <c r="F414" s="63"/>
      <c r="G414" s="64"/>
      <c r="H414" s="65"/>
      <c r="I414" s="63"/>
      <c r="K414" s="53" t="str">
        <f>IFERROR(__xludf.DUMMYFUNCTION("IF(ISBLANK(B414),"""",IF(ISDATE(B414),""X"",""""))"),"")</f>
        <v/>
      </c>
      <c r="L414" s="40" t="str">
        <f>IFERROR(__xludf.DUMMYFUNCTION("IF(ISBLANK(B414),"""",IF(Or(I414=""Em Aberto"",ISBLANK(I414),NOT(ISDATE(B414))),"""",H414))"),"")</f>
        <v/>
      </c>
      <c r="M414" s="29" t="str">
        <f>IFERROR(__xludf.DUMMYFUNCTION("IF(ISBLANK(B414),"""",IF(ISDATE(B414),TEXT(B414,""m""),""""))"),"")</f>
        <v/>
      </c>
      <c r="N414" s="29" t="str">
        <f>IFERROR(__xludf.DUMMYFUNCTION("IF(M414="""","""",QUERY({'Dashboard-Dados'!$Y$2:$AA$13},""Select Col2 Where Col1=""&amp;M414))"),"")</f>
        <v/>
      </c>
      <c r="O414" s="29" t="str">
        <f>IFERROR(__xludf.DUMMYFUNCTION("IF(ISBLANK(B414),"""",IF(ISDATE(B414),TEXT(B414,""yyyy""),""""))"),"")</f>
        <v/>
      </c>
    </row>
    <row r="415">
      <c r="B415" s="62"/>
      <c r="C415" s="56"/>
      <c r="D415" s="56"/>
      <c r="E415" s="56"/>
      <c r="F415" s="63"/>
      <c r="G415" s="64"/>
      <c r="H415" s="65"/>
      <c r="I415" s="63"/>
      <c r="K415" s="53" t="str">
        <f>IFERROR(__xludf.DUMMYFUNCTION("IF(ISBLANK(B415),"""",IF(ISDATE(B415),""X"",""""))"),"")</f>
        <v/>
      </c>
      <c r="L415" s="40" t="str">
        <f>IFERROR(__xludf.DUMMYFUNCTION("IF(ISBLANK(B415),"""",IF(Or(I415=""Em Aberto"",ISBLANK(I415),NOT(ISDATE(B415))),"""",H415))"),"")</f>
        <v/>
      </c>
      <c r="M415" s="29" t="str">
        <f>IFERROR(__xludf.DUMMYFUNCTION("IF(ISBLANK(B415),"""",IF(ISDATE(B415),TEXT(B415,""m""),""""))"),"")</f>
        <v/>
      </c>
      <c r="N415" s="29" t="str">
        <f>IFERROR(__xludf.DUMMYFUNCTION("IF(M415="""","""",QUERY({'Dashboard-Dados'!$Y$2:$AA$13},""Select Col2 Where Col1=""&amp;M415))"),"")</f>
        <v/>
      </c>
      <c r="O415" s="29" t="str">
        <f>IFERROR(__xludf.DUMMYFUNCTION("IF(ISBLANK(B415),"""",IF(ISDATE(B415),TEXT(B415,""yyyy""),""""))"),"")</f>
        <v/>
      </c>
    </row>
    <row r="416">
      <c r="B416" s="62"/>
      <c r="C416" s="56"/>
      <c r="D416" s="56"/>
      <c r="E416" s="56"/>
      <c r="F416" s="63"/>
      <c r="G416" s="64"/>
      <c r="H416" s="65"/>
      <c r="I416" s="63"/>
      <c r="K416" s="53" t="str">
        <f>IFERROR(__xludf.DUMMYFUNCTION("IF(ISBLANK(B416),"""",IF(ISDATE(B416),""X"",""""))"),"")</f>
        <v/>
      </c>
      <c r="L416" s="40" t="str">
        <f>IFERROR(__xludf.DUMMYFUNCTION("IF(ISBLANK(B416),"""",IF(Or(I416=""Em Aberto"",ISBLANK(I416),NOT(ISDATE(B416))),"""",H416))"),"")</f>
        <v/>
      </c>
      <c r="M416" s="29" t="str">
        <f>IFERROR(__xludf.DUMMYFUNCTION("IF(ISBLANK(B416),"""",IF(ISDATE(B416),TEXT(B416,""m""),""""))"),"")</f>
        <v/>
      </c>
      <c r="N416" s="29" t="str">
        <f>IFERROR(__xludf.DUMMYFUNCTION("IF(M416="""","""",QUERY({'Dashboard-Dados'!$Y$2:$AA$13},""Select Col2 Where Col1=""&amp;M416))"),"")</f>
        <v/>
      </c>
      <c r="O416" s="29" t="str">
        <f>IFERROR(__xludf.DUMMYFUNCTION("IF(ISBLANK(B416),"""",IF(ISDATE(B416),TEXT(B416,""yyyy""),""""))"),"")</f>
        <v/>
      </c>
    </row>
    <row r="417">
      <c r="B417" s="62"/>
      <c r="C417" s="56"/>
      <c r="D417" s="56"/>
      <c r="E417" s="56"/>
      <c r="F417" s="63"/>
      <c r="G417" s="64"/>
      <c r="H417" s="65"/>
      <c r="I417" s="63"/>
      <c r="K417" s="53" t="str">
        <f>IFERROR(__xludf.DUMMYFUNCTION("IF(ISBLANK(B417),"""",IF(ISDATE(B417),""X"",""""))"),"")</f>
        <v/>
      </c>
      <c r="L417" s="40" t="str">
        <f>IFERROR(__xludf.DUMMYFUNCTION("IF(ISBLANK(B417),"""",IF(Or(I417=""Em Aberto"",ISBLANK(I417),NOT(ISDATE(B417))),"""",H417))"),"")</f>
        <v/>
      </c>
      <c r="M417" s="29" t="str">
        <f>IFERROR(__xludf.DUMMYFUNCTION("IF(ISBLANK(B417),"""",IF(ISDATE(B417),TEXT(B417,""m""),""""))"),"")</f>
        <v/>
      </c>
      <c r="N417" s="29" t="str">
        <f>IFERROR(__xludf.DUMMYFUNCTION("IF(M417="""","""",QUERY({'Dashboard-Dados'!$Y$2:$AA$13},""Select Col2 Where Col1=""&amp;M417))"),"")</f>
        <v/>
      </c>
      <c r="O417" s="29" t="str">
        <f>IFERROR(__xludf.DUMMYFUNCTION("IF(ISBLANK(B417),"""",IF(ISDATE(B417),TEXT(B417,""yyyy""),""""))"),"")</f>
        <v/>
      </c>
    </row>
    <row r="418">
      <c r="B418" s="62"/>
      <c r="C418" s="56"/>
      <c r="D418" s="56"/>
      <c r="E418" s="56"/>
      <c r="F418" s="63"/>
      <c r="G418" s="64"/>
      <c r="H418" s="65"/>
      <c r="I418" s="63"/>
      <c r="K418" s="53" t="str">
        <f>IFERROR(__xludf.DUMMYFUNCTION("IF(ISBLANK(B418),"""",IF(ISDATE(B418),""X"",""""))"),"")</f>
        <v/>
      </c>
      <c r="L418" s="40" t="str">
        <f>IFERROR(__xludf.DUMMYFUNCTION("IF(ISBLANK(B418),"""",IF(Or(I418=""Em Aberto"",ISBLANK(I418),NOT(ISDATE(B418))),"""",H418))"),"")</f>
        <v/>
      </c>
      <c r="M418" s="29" t="str">
        <f>IFERROR(__xludf.DUMMYFUNCTION("IF(ISBLANK(B418),"""",IF(ISDATE(B418),TEXT(B418,""m""),""""))"),"")</f>
        <v/>
      </c>
      <c r="N418" s="29" t="str">
        <f>IFERROR(__xludf.DUMMYFUNCTION("IF(M418="""","""",QUERY({'Dashboard-Dados'!$Y$2:$AA$13},""Select Col2 Where Col1=""&amp;M418))"),"")</f>
        <v/>
      </c>
      <c r="O418" s="29" t="str">
        <f>IFERROR(__xludf.DUMMYFUNCTION("IF(ISBLANK(B418),"""",IF(ISDATE(B418),TEXT(B418,""yyyy""),""""))"),"")</f>
        <v/>
      </c>
    </row>
    <row r="419">
      <c r="B419" s="62"/>
      <c r="C419" s="56"/>
      <c r="D419" s="56"/>
      <c r="E419" s="56"/>
      <c r="F419" s="63"/>
      <c r="G419" s="64"/>
      <c r="H419" s="65"/>
      <c r="I419" s="63"/>
      <c r="K419" s="53" t="str">
        <f>IFERROR(__xludf.DUMMYFUNCTION("IF(ISBLANK(B419),"""",IF(ISDATE(B419),""X"",""""))"),"")</f>
        <v/>
      </c>
      <c r="L419" s="40" t="str">
        <f>IFERROR(__xludf.DUMMYFUNCTION("IF(ISBLANK(B419),"""",IF(Or(I419=""Em Aberto"",ISBLANK(I419),NOT(ISDATE(B419))),"""",H419))"),"")</f>
        <v/>
      </c>
      <c r="M419" s="29" t="str">
        <f>IFERROR(__xludf.DUMMYFUNCTION("IF(ISBLANK(B419),"""",IF(ISDATE(B419),TEXT(B419,""m""),""""))"),"")</f>
        <v/>
      </c>
      <c r="N419" s="29" t="str">
        <f>IFERROR(__xludf.DUMMYFUNCTION("IF(M419="""","""",QUERY({'Dashboard-Dados'!$Y$2:$AA$13},""Select Col2 Where Col1=""&amp;M419))"),"")</f>
        <v/>
      </c>
      <c r="O419" s="29" t="str">
        <f>IFERROR(__xludf.DUMMYFUNCTION("IF(ISBLANK(B419),"""",IF(ISDATE(B419),TEXT(B419,""yyyy""),""""))"),"")</f>
        <v/>
      </c>
    </row>
    <row r="420">
      <c r="B420" s="62"/>
      <c r="C420" s="56"/>
      <c r="D420" s="56"/>
      <c r="E420" s="56"/>
      <c r="F420" s="63"/>
      <c r="G420" s="64"/>
      <c r="H420" s="65"/>
      <c r="I420" s="63"/>
      <c r="K420" s="53" t="str">
        <f>IFERROR(__xludf.DUMMYFUNCTION("IF(ISBLANK(B420),"""",IF(ISDATE(B420),""X"",""""))"),"")</f>
        <v/>
      </c>
      <c r="L420" s="40" t="str">
        <f>IFERROR(__xludf.DUMMYFUNCTION("IF(ISBLANK(B420),"""",IF(Or(I420=""Em Aberto"",ISBLANK(I420),NOT(ISDATE(B420))),"""",H420))"),"")</f>
        <v/>
      </c>
      <c r="M420" s="29" t="str">
        <f>IFERROR(__xludf.DUMMYFUNCTION("IF(ISBLANK(B420),"""",IF(ISDATE(B420),TEXT(B420,""m""),""""))"),"")</f>
        <v/>
      </c>
      <c r="N420" s="29" t="str">
        <f>IFERROR(__xludf.DUMMYFUNCTION("IF(M420="""","""",QUERY({'Dashboard-Dados'!$Y$2:$AA$13},""Select Col2 Where Col1=""&amp;M420))"),"")</f>
        <v/>
      </c>
      <c r="O420" s="29" t="str">
        <f>IFERROR(__xludf.DUMMYFUNCTION("IF(ISBLANK(B420),"""",IF(ISDATE(B420),TEXT(B420,""yyyy""),""""))"),"")</f>
        <v/>
      </c>
    </row>
    <row r="421">
      <c r="B421" s="62"/>
      <c r="C421" s="56"/>
      <c r="D421" s="56"/>
      <c r="E421" s="56"/>
      <c r="F421" s="63"/>
      <c r="G421" s="64"/>
      <c r="H421" s="65"/>
      <c r="I421" s="63"/>
      <c r="K421" s="53" t="str">
        <f>IFERROR(__xludf.DUMMYFUNCTION("IF(ISBLANK(B421),"""",IF(ISDATE(B421),""X"",""""))"),"")</f>
        <v/>
      </c>
      <c r="L421" s="40" t="str">
        <f>IFERROR(__xludf.DUMMYFUNCTION("IF(ISBLANK(B421),"""",IF(Or(I421=""Em Aberto"",ISBLANK(I421),NOT(ISDATE(B421))),"""",H421))"),"")</f>
        <v/>
      </c>
      <c r="M421" s="29" t="str">
        <f>IFERROR(__xludf.DUMMYFUNCTION("IF(ISBLANK(B421),"""",IF(ISDATE(B421),TEXT(B421,""m""),""""))"),"")</f>
        <v/>
      </c>
      <c r="N421" s="29" t="str">
        <f>IFERROR(__xludf.DUMMYFUNCTION("IF(M421="""","""",QUERY({'Dashboard-Dados'!$Y$2:$AA$13},""Select Col2 Where Col1=""&amp;M421))"),"")</f>
        <v/>
      </c>
      <c r="O421" s="29" t="str">
        <f>IFERROR(__xludf.DUMMYFUNCTION("IF(ISBLANK(B421),"""",IF(ISDATE(B421),TEXT(B421,""yyyy""),""""))"),"")</f>
        <v/>
      </c>
    </row>
    <row r="422">
      <c r="B422" s="62"/>
      <c r="C422" s="56"/>
      <c r="D422" s="56"/>
      <c r="E422" s="56"/>
      <c r="F422" s="63"/>
      <c r="G422" s="64"/>
      <c r="H422" s="65"/>
      <c r="I422" s="63"/>
      <c r="K422" s="53" t="str">
        <f>IFERROR(__xludf.DUMMYFUNCTION("IF(ISBLANK(B422),"""",IF(ISDATE(B422),""X"",""""))"),"")</f>
        <v/>
      </c>
      <c r="L422" s="40" t="str">
        <f>IFERROR(__xludf.DUMMYFUNCTION("IF(ISBLANK(B422),"""",IF(Or(I422=""Em Aberto"",ISBLANK(I422),NOT(ISDATE(B422))),"""",H422))"),"")</f>
        <v/>
      </c>
      <c r="M422" s="29" t="str">
        <f>IFERROR(__xludf.DUMMYFUNCTION("IF(ISBLANK(B422),"""",IF(ISDATE(B422),TEXT(B422,""m""),""""))"),"")</f>
        <v/>
      </c>
      <c r="N422" s="29" t="str">
        <f>IFERROR(__xludf.DUMMYFUNCTION("IF(M422="""","""",QUERY({'Dashboard-Dados'!$Y$2:$AA$13},""Select Col2 Where Col1=""&amp;M422))"),"")</f>
        <v/>
      </c>
      <c r="O422" s="29" t="str">
        <f>IFERROR(__xludf.DUMMYFUNCTION("IF(ISBLANK(B422),"""",IF(ISDATE(B422),TEXT(B422,""yyyy""),""""))"),"")</f>
        <v/>
      </c>
    </row>
    <row r="423">
      <c r="B423" s="62"/>
      <c r="C423" s="56"/>
      <c r="D423" s="56"/>
      <c r="E423" s="56"/>
      <c r="F423" s="63"/>
      <c r="G423" s="64"/>
      <c r="H423" s="65"/>
      <c r="I423" s="63"/>
      <c r="K423" s="53" t="str">
        <f>IFERROR(__xludf.DUMMYFUNCTION("IF(ISBLANK(B423),"""",IF(ISDATE(B423),""X"",""""))"),"")</f>
        <v/>
      </c>
      <c r="L423" s="40" t="str">
        <f>IFERROR(__xludf.DUMMYFUNCTION("IF(ISBLANK(B423),"""",IF(Or(I423=""Em Aberto"",ISBLANK(I423),NOT(ISDATE(B423))),"""",H423))"),"")</f>
        <v/>
      </c>
      <c r="M423" s="29" t="str">
        <f>IFERROR(__xludf.DUMMYFUNCTION("IF(ISBLANK(B423),"""",IF(ISDATE(B423),TEXT(B423,""m""),""""))"),"")</f>
        <v/>
      </c>
      <c r="N423" s="29" t="str">
        <f>IFERROR(__xludf.DUMMYFUNCTION("IF(M423="""","""",QUERY({'Dashboard-Dados'!$Y$2:$AA$13},""Select Col2 Where Col1=""&amp;M423))"),"")</f>
        <v/>
      </c>
      <c r="O423" s="29" t="str">
        <f>IFERROR(__xludf.DUMMYFUNCTION("IF(ISBLANK(B423),"""",IF(ISDATE(B423),TEXT(B423,""yyyy""),""""))"),"")</f>
        <v/>
      </c>
    </row>
    <row r="424">
      <c r="B424" s="62"/>
      <c r="C424" s="56"/>
      <c r="D424" s="56"/>
      <c r="E424" s="56"/>
      <c r="F424" s="63"/>
      <c r="G424" s="64"/>
      <c r="H424" s="65"/>
      <c r="I424" s="63"/>
      <c r="K424" s="53" t="str">
        <f>IFERROR(__xludf.DUMMYFUNCTION("IF(ISBLANK(B424),"""",IF(ISDATE(B424),""X"",""""))"),"")</f>
        <v/>
      </c>
      <c r="L424" s="40" t="str">
        <f>IFERROR(__xludf.DUMMYFUNCTION("IF(ISBLANK(B424),"""",IF(Or(I424=""Em Aberto"",ISBLANK(I424),NOT(ISDATE(B424))),"""",H424))"),"")</f>
        <v/>
      </c>
      <c r="M424" s="29" t="str">
        <f>IFERROR(__xludf.DUMMYFUNCTION("IF(ISBLANK(B424),"""",IF(ISDATE(B424),TEXT(B424,""m""),""""))"),"")</f>
        <v/>
      </c>
      <c r="N424" s="29" t="str">
        <f>IFERROR(__xludf.DUMMYFUNCTION("IF(M424="""","""",QUERY({'Dashboard-Dados'!$Y$2:$AA$13},""Select Col2 Where Col1=""&amp;M424))"),"")</f>
        <v/>
      </c>
      <c r="O424" s="29" t="str">
        <f>IFERROR(__xludf.DUMMYFUNCTION("IF(ISBLANK(B424),"""",IF(ISDATE(B424),TEXT(B424,""yyyy""),""""))"),"")</f>
        <v/>
      </c>
    </row>
    <row r="425">
      <c r="B425" s="62"/>
      <c r="C425" s="56"/>
      <c r="D425" s="56"/>
      <c r="E425" s="56"/>
      <c r="F425" s="63"/>
      <c r="G425" s="64"/>
      <c r="H425" s="65"/>
      <c r="I425" s="63"/>
      <c r="K425" s="53" t="str">
        <f>IFERROR(__xludf.DUMMYFUNCTION("IF(ISBLANK(B425),"""",IF(ISDATE(B425),""X"",""""))"),"")</f>
        <v/>
      </c>
      <c r="L425" s="40" t="str">
        <f>IFERROR(__xludf.DUMMYFUNCTION("IF(ISBLANK(B425),"""",IF(Or(I425=""Em Aberto"",ISBLANK(I425),NOT(ISDATE(B425))),"""",H425))"),"")</f>
        <v/>
      </c>
      <c r="M425" s="29" t="str">
        <f>IFERROR(__xludf.DUMMYFUNCTION("IF(ISBLANK(B425),"""",IF(ISDATE(B425),TEXT(B425,""m""),""""))"),"")</f>
        <v/>
      </c>
      <c r="N425" s="29" t="str">
        <f>IFERROR(__xludf.DUMMYFUNCTION("IF(M425="""","""",QUERY({'Dashboard-Dados'!$Y$2:$AA$13},""Select Col2 Where Col1=""&amp;M425))"),"")</f>
        <v/>
      </c>
      <c r="O425" s="29" t="str">
        <f>IFERROR(__xludf.DUMMYFUNCTION("IF(ISBLANK(B425),"""",IF(ISDATE(B425),TEXT(B425,""yyyy""),""""))"),"")</f>
        <v/>
      </c>
    </row>
    <row r="426">
      <c r="B426" s="62"/>
      <c r="C426" s="56"/>
      <c r="D426" s="56"/>
      <c r="E426" s="56"/>
      <c r="F426" s="63"/>
      <c r="G426" s="64"/>
      <c r="H426" s="65"/>
      <c r="I426" s="63"/>
      <c r="K426" s="53" t="str">
        <f>IFERROR(__xludf.DUMMYFUNCTION("IF(ISBLANK(B426),"""",IF(ISDATE(B426),""X"",""""))"),"")</f>
        <v/>
      </c>
      <c r="L426" s="40" t="str">
        <f>IFERROR(__xludf.DUMMYFUNCTION("IF(ISBLANK(B426),"""",IF(Or(I426=""Em Aberto"",ISBLANK(I426),NOT(ISDATE(B426))),"""",H426))"),"")</f>
        <v/>
      </c>
      <c r="M426" s="29" t="str">
        <f>IFERROR(__xludf.DUMMYFUNCTION("IF(ISBLANK(B426),"""",IF(ISDATE(B426),TEXT(B426,""m""),""""))"),"")</f>
        <v/>
      </c>
      <c r="N426" s="29" t="str">
        <f>IFERROR(__xludf.DUMMYFUNCTION("IF(M426="""","""",QUERY({'Dashboard-Dados'!$Y$2:$AA$13},""Select Col2 Where Col1=""&amp;M426))"),"")</f>
        <v/>
      </c>
      <c r="O426" s="29" t="str">
        <f>IFERROR(__xludf.DUMMYFUNCTION("IF(ISBLANK(B426),"""",IF(ISDATE(B426),TEXT(B426,""yyyy""),""""))"),"")</f>
        <v/>
      </c>
    </row>
    <row r="427">
      <c r="B427" s="62"/>
      <c r="C427" s="56"/>
      <c r="D427" s="56"/>
      <c r="E427" s="56"/>
      <c r="F427" s="63"/>
      <c r="G427" s="64"/>
      <c r="H427" s="65"/>
      <c r="I427" s="63"/>
      <c r="K427" s="53" t="str">
        <f>IFERROR(__xludf.DUMMYFUNCTION("IF(ISBLANK(B427),"""",IF(ISDATE(B427),""X"",""""))"),"")</f>
        <v/>
      </c>
      <c r="L427" s="40" t="str">
        <f>IFERROR(__xludf.DUMMYFUNCTION("IF(ISBLANK(B427),"""",IF(Or(I427=""Em Aberto"",ISBLANK(I427),NOT(ISDATE(B427))),"""",H427))"),"")</f>
        <v/>
      </c>
      <c r="M427" s="29" t="str">
        <f>IFERROR(__xludf.DUMMYFUNCTION("IF(ISBLANK(B427),"""",IF(ISDATE(B427),TEXT(B427,""m""),""""))"),"")</f>
        <v/>
      </c>
      <c r="N427" s="29" t="str">
        <f>IFERROR(__xludf.DUMMYFUNCTION("IF(M427="""","""",QUERY({'Dashboard-Dados'!$Y$2:$AA$13},""Select Col2 Where Col1=""&amp;M427))"),"")</f>
        <v/>
      </c>
      <c r="O427" s="29" t="str">
        <f>IFERROR(__xludf.DUMMYFUNCTION("IF(ISBLANK(B427),"""",IF(ISDATE(B427),TEXT(B427,""yyyy""),""""))"),"")</f>
        <v/>
      </c>
    </row>
    <row r="428">
      <c r="B428" s="62"/>
      <c r="C428" s="56"/>
      <c r="D428" s="56"/>
      <c r="E428" s="56"/>
      <c r="F428" s="63"/>
      <c r="G428" s="64"/>
      <c r="H428" s="65"/>
      <c r="I428" s="63"/>
      <c r="K428" s="53" t="str">
        <f>IFERROR(__xludf.DUMMYFUNCTION("IF(ISBLANK(B428),"""",IF(ISDATE(B428),""X"",""""))"),"")</f>
        <v/>
      </c>
      <c r="L428" s="40" t="str">
        <f>IFERROR(__xludf.DUMMYFUNCTION("IF(ISBLANK(B428),"""",IF(Or(I428=""Em Aberto"",ISBLANK(I428),NOT(ISDATE(B428))),"""",H428))"),"")</f>
        <v/>
      </c>
      <c r="M428" s="29" t="str">
        <f>IFERROR(__xludf.DUMMYFUNCTION("IF(ISBLANK(B428),"""",IF(ISDATE(B428),TEXT(B428,""m""),""""))"),"")</f>
        <v/>
      </c>
      <c r="N428" s="29" t="str">
        <f>IFERROR(__xludf.DUMMYFUNCTION("IF(M428="""","""",QUERY({'Dashboard-Dados'!$Y$2:$AA$13},""Select Col2 Where Col1=""&amp;M428))"),"")</f>
        <v/>
      </c>
      <c r="O428" s="29" t="str">
        <f>IFERROR(__xludf.DUMMYFUNCTION("IF(ISBLANK(B428),"""",IF(ISDATE(B428),TEXT(B428,""yyyy""),""""))"),"")</f>
        <v/>
      </c>
    </row>
    <row r="429">
      <c r="B429" s="62"/>
      <c r="C429" s="56"/>
      <c r="D429" s="56"/>
      <c r="E429" s="56"/>
      <c r="F429" s="63"/>
      <c r="G429" s="64"/>
      <c r="H429" s="65"/>
      <c r="I429" s="63"/>
      <c r="K429" s="53" t="str">
        <f>IFERROR(__xludf.DUMMYFUNCTION("IF(ISBLANK(B429),"""",IF(ISDATE(B429),""X"",""""))"),"")</f>
        <v/>
      </c>
      <c r="L429" s="40" t="str">
        <f>IFERROR(__xludf.DUMMYFUNCTION("IF(ISBLANK(B429),"""",IF(Or(I429=""Em Aberto"",ISBLANK(I429),NOT(ISDATE(B429))),"""",H429))"),"")</f>
        <v/>
      </c>
      <c r="M429" s="29" t="str">
        <f>IFERROR(__xludf.DUMMYFUNCTION("IF(ISBLANK(B429),"""",IF(ISDATE(B429),TEXT(B429,""m""),""""))"),"")</f>
        <v/>
      </c>
      <c r="N429" s="29" t="str">
        <f>IFERROR(__xludf.DUMMYFUNCTION("IF(M429="""","""",QUERY({'Dashboard-Dados'!$Y$2:$AA$13},""Select Col2 Where Col1=""&amp;M429))"),"")</f>
        <v/>
      </c>
      <c r="O429" s="29" t="str">
        <f>IFERROR(__xludf.DUMMYFUNCTION("IF(ISBLANK(B429),"""",IF(ISDATE(B429),TEXT(B429,""yyyy""),""""))"),"")</f>
        <v/>
      </c>
    </row>
    <row r="430">
      <c r="B430" s="62"/>
      <c r="C430" s="56"/>
      <c r="D430" s="56"/>
      <c r="E430" s="56"/>
      <c r="F430" s="63"/>
      <c r="G430" s="64"/>
      <c r="H430" s="65"/>
      <c r="I430" s="63"/>
      <c r="K430" s="53" t="str">
        <f>IFERROR(__xludf.DUMMYFUNCTION("IF(ISBLANK(B430),"""",IF(ISDATE(B430),""X"",""""))"),"")</f>
        <v/>
      </c>
      <c r="L430" s="40" t="str">
        <f>IFERROR(__xludf.DUMMYFUNCTION("IF(ISBLANK(B430),"""",IF(Or(I430=""Em Aberto"",ISBLANK(I430),NOT(ISDATE(B430))),"""",H430))"),"")</f>
        <v/>
      </c>
      <c r="M430" s="29" t="str">
        <f>IFERROR(__xludf.DUMMYFUNCTION("IF(ISBLANK(B430),"""",IF(ISDATE(B430),TEXT(B430,""m""),""""))"),"")</f>
        <v/>
      </c>
      <c r="N430" s="29" t="str">
        <f>IFERROR(__xludf.DUMMYFUNCTION("IF(M430="""","""",QUERY({'Dashboard-Dados'!$Y$2:$AA$13},""Select Col2 Where Col1=""&amp;M430))"),"")</f>
        <v/>
      </c>
      <c r="O430" s="29" t="str">
        <f>IFERROR(__xludf.DUMMYFUNCTION("IF(ISBLANK(B430),"""",IF(ISDATE(B430),TEXT(B430,""yyyy""),""""))"),"")</f>
        <v/>
      </c>
    </row>
    <row r="431">
      <c r="B431" s="62"/>
      <c r="C431" s="56"/>
      <c r="D431" s="56"/>
      <c r="E431" s="56"/>
      <c r="F431" s="63"/>
      <c r="G431" s="64"/>
      <c r="H431" s="65"/>
      <c r="I431" s="63"/>
      <c r="K431" s="53" t="str">
        <f>IFERROR(__xludf.DUMMYFUNCTION("IF(ISBLANK(B431),"""",IF(ISDATE(B431),""X"",""""))"),"")</f>
        <v/>
      </c>
      <c r="L431" s="40" t="str">
        <f>IFERROR(__xludf.DUMMYFUNCTION("IF(ISBLANK(B431),"""",IF(Or(I431=""Em Aberto"",ISBLANK(I431),NOT(ISDATE(B431))),"""",H431))"),"")</f>
        <v/>
      </c>
      <c r="M431" s="29" t="str">
        <f>IFERROR(__xludf.DUMMYFUNCTION("IF(ISBLANK(B431),"""",IF(ISDATE(B431),TEXT(B431,""m""),""""))"),"")</f>
        <v/>
      </c>
      <c r="N431" s="29" t="str">
        <f>IFERROR(__xludf.DUMMYFUNCTION("IF(M431="""","""",QUERY({'Dashboard-Dados'!$Y$2:$AA$13},""Select Col2 Where Col1=""&amp;M431))"),"")</f>
        <v/>
      </c>
      <c r="O431" s="29" t="str">
        <f>IFERROR(__xludf.DUMMYFUNCTION("IF(ISBLANK(B431),"""",IF(ISDATE(B431),TEXT(B431,""yyyy""),""""))"),"")</f>
        <v/>
      </c>
    </row>
    <row r="432">
      <c r="B432" s="62"/>
      <c r="C432" s="56"/>
      <c r="D432" s="56"/>
      <c r="E432" s="56"/>
      <c r="F432" s="63"/>
      <c r="G432" s="64"/>
      <c r="H432" s="65"/>
      <c r="I432" s="63"/>
      <c r="K432" s="53" t="str">
        <f>IFERROR(__xludf.DUMMYFUNCTION("IF(ISBLANK(B432),"""",IF(ISDATE(B432),""X"",""""))"),"")</f>
        <v/>
      </c>
      <c r="L432" s="40" t="str">
        <f>IFERROR(__xludf.DUMMYFUNCTION("IF(ISBLANK(B432),"""",IF(Or(I432=""Em Aberto"",ISBLANK(I432),NOT(ISDATE(B432))),"""",H432))"),"")</f>
        <v/>
      </c>
      <c r="M432" s="29" t="str">
        <f>IFERROR(__xludf.DUMMYFUNCTION("IF(ISBLANK(B432),"""",IF(ISDATE(B432),TEXT(B432,""m""),""""))"),"")</f>
        <v/>
      </c>
      <c r="N432" s="29" t="str">
        <f>IFERROR(__xludf.DUMMYFUNCTION("IF(M432="""","""",QUERY({'Dashboard-Dados'!$Y$2:$AA$13},""Select Col2 Where Col1=""&amp;M432))"),"")</f>
        <v/>
      </c>
      <c r="O432" s="29" t="str">
        <f>IFERROR(__xludf.DUMMYFUNCTION("IF(ISBLANK(B432),"""",IF(ISDATE(B432),TEXT(B432,""yyyy""),""""))"),"")</f>
        <v/>
      </c>
    </row>
    <row r="433">
      <c r="B433" s="62"/>
      <c r="C433" s="56"/>
      <c r="D433" s="56"/>
      <c r="E433" s="56"/>
      <c r="F433" s="63"/>
      <c r="G433" s="64"/>
      <c r="H433" s="65"/>
      <c r="I433" s="63"/>
      <c r="K433" s="53" t="str">
        <f>IFERROR(__xludf.DUMMYFUNCTION("IF(ISBLANK(B433),"""",IF(ISDATE(B433),""X"",""""))"),"")</f>
        <v/>
      </c>
      <c r="L433" s="40" t="str">
        <f>IFERROR(__xludf.DUMMYFUNCTION("IF(ISBLANK(B433),"""",IF(Or(I433=""Em Aberto"",ISBLANK(I433),NOT(ISDATE(B433))),"""",H433))"),"")</f>
        <v/>
      </c>
      <c r="M433" s="29" t="str">
        <f>IFERROR(__xludf.DUMMYFUNCTION("IF(ISBLANK(B433),"""",IF(ISDATE(B433),TEXT(B433,""m""),""""))"),"")</f>
        <v/>
      </c>
      <c r="N433" s="29" t="str">
        <f>IFERROR(__xludf.DUMMYFUNCTION("IF(M433="""","""",QUERY({'Dashboard-Dados'!$Y$2:$AA$13},""Select Col2 Where Col1=""&amp;M433))"),"")</f>
        <v/>
      </c>
      <c r="O433" s="29" t="str">
        <f>IFERROR(__xludf.DUMMYFUNCTION("IF(ISBLANK(B433),"""",IF(ISDATE(B433),TEXT(B433,""yyyy""),""""))"),"")</f>
        <v/>
      </c>
    </row>
    <row r="434">
      <c r="B434" s="62"/>
      <c r="C434" s="56"/>
      <c r="D434" s="56"/>
      <c r="E434" s="56"/>
      <c r="F434" s="63"/>
      <c r="G434" s="64"/>
      <c r="H434" s="65"/>
      <c r="I434" s="63"/>
      <c r="K434" s="53" t="str">
        <f>IFERROR(__xludf.DUMMYFUNCTION("IF(ISBLANK(B434),"""",IF(ISDATE(B434),""X"",""""))"),"")</f>
        <v/>
      </c>
      <c r="L434" s="40" t="str">
        <f>IFERROR(__xludf.DUMMYFUNCTION("IF(ISBLANK(B434),"""",IF(Or(I434=""Em Aberto"",ISBLANK(I434),NOT(ISDATE(B434))),"""",H434))"),"")</f>
        <v/>
      </c>
      <c r="M434" s="29" t="str">
        <f>IFERROR(__xludf.DUMMYFUNCTION("IF(ISBLANK(B434),"""",IF(ISDATE(B434),TEXT(B434,""m""),""""))"),"")</f>
        <v/>
      </c>
      <c r="N434" s="29" t="str">
        <f>IFERROR(__xludf.DUMMYFUNCTION("IF(M434="""","""",QUERY({'Dashboard-Dados'!$Y$2:$AA$13},""Select Col2 Where Col1=""&amp;M434))"),"")</f>
        <v/>
      </c>
      <c r="O434" s="29" t="str">
        <f>IFERROR(__xludf.DUMMYFUNCTION("IF(ISBLANK(B434),"""",IF(ISDATE(B434),TEXT(B434,""yyyy""),""""))"),"")</f>
        <v/>
      </c>
    </row>
    <row r="435">
      <c r="B435" s="62"/>
      <c r="C435" s="56"/>
      <c r="D435" s="56"/>
      <c r="E435" s="56"/>
      <c r="F435" s="63"/>
      <c r="G435" s="64"/>
      <c r="H435" s="65"/>
      <c r="I435" s="63"/>
      <c r="K435" s="53" t="str">
        <f>IFERROR(__xludf.DUMMYFUNCTION("IF(ISBLANK(B435),"""",IF(ISDATE(B435),""X"",""""))"),"")</f>
        <v/>
      </c>
      <c r="L435" s="40" t="str">
        <f>IFERROR(__xludf.DUMMYFUNCTION("IF(ISBLANK(B435),"""",IF(Or(I435=""Em Aberto"",ISBLANK(I435),NOT(ISDATE(B435))),"""",H435))"),"")</f>
        <v/>
      </c>
      <c r="M435" s="29" t="str">
        <f>IFERROR(__xludf.DUMMYFUNCTION("IF(ISBLANK(B435),"""",IF(ISDATE(B435),TEXT(B435,""m""),""""))"),"")</f>
        <v/>
      </c>
      <c r="N435" s="29" t="str">
        <f>IFERROR(__xludf.DUMMYFUNCTION("IF(M435="""","""",QUERY({'Dashboard-Dados'!$Y$2:$AA$13},""Select Col2 Where Col1=""&amp;M435))"),"")</f>
        <v/>
      </c>
      <c r="O435" s="29" t="str">
        <f>IFERROR(__xludf.DUMMYFUNCTION("IF(ISBLANK(B435),"""",IF(ISDATE(B435),TEXT(B435,""yyyy""),""""))"),"")</f>
        <v/>
      </c>
    </row>
    <row r="436">
      <c r="B436" s="62"/>
      <c r="C436" s="56"/>
      <c r="D436" s="56"/>
      <c r="E436" s="56"/>
      <c r="F436" s="63"/>
      <c r="G436" s="64"/>
      <c r="H436" s="65"/>
      <c r="I436" s="63"/>
      <c r="K436" s="53" t="str">
        <f>IFERROR(__xludf.DUMMYFUNCTION("IF(ISBLANK(B436),"""",IF(ISDATE(B436),""X"",""""))"),"")</f>
        <v/>
      </c>
      <c r="L436" s="40" t="str">
        <f>IFERROR(__xludf.DUMMYFUNCTION("IF(ISBLANK(B436),"""",IF(Or(I436=""Em Aberto"",ISBLANK(I436),NOT(ISDATE(B436))),"""",H436))"),"")</f>
        <v/>
      </c>
      <c r="M436" s="29" t="str">
        <f>IFERROR(__xludf.DUMMYFUNCTION("IF(ISBLANK(B436),"""",IF(ISDATE(B436),TEXT(B436,""m""),""""))"),"")</f>
        <v/>
      </c>
      <c r="N436" s="29" t="str">
        <f>IFERROR(__xludf.DUMMYFUNCTION("IF(M436="""","""",QUERY({'Dashboard-Dados'!$Y$2:$AA$13},""Select Col2 Where Col1=""&amp;M436))"),"")</f>
        <v/>
      </c>
      <c r="O436" s="29" t="str">
        <f>IFERROR(__xludf.DUMMYFUNCTION("IF(ISBLANK(B436),"""",IF(ISDATE(B436),TEXT(B436,""yyyy""),""""))"),"")</f>
        <v/>
      </c>
    </row>
    <row r="437">
      <c r="B437" s="62"/>
      <c r="C437" s="56"/>
      <c r="D437" s="56"/>
      <c r="E437" s="56"/>
      <c r="F437" s="63"/>
      <c r="G437" s="64"/>
      <c r="H437" s="65"/>
      <c r="I437" s="63"/>
      <c r="K437" s="53" t="str">
        <f>IFERROR(__xludf.DUMMYFUNCTION("IF(ISBLANK(B437),"""",IF(ISDATE(B437),""X"",""""))"),"")</f>
        <v/>
      </c>
      <c r="L437" s="40" t="str">
        <f>IFERROR(__xludf.DUMMYFUNCTION("IF(ISBLANK(B437),"""",IF(Or(I437=""Em Aberto"",ISBLANK(I437),NOT(ISDATE(B437))),"""",H437))"),"")</f>
        <v/>
      </c>
      <c r="M437" s="29" t="str">
        <f>IFERROR(__xludf.DUMMYFUNCTION("IF(ISBLANK(B437),"""",IF(ISDATE(B437),TEXT(B437,""m""),""""))"),"")</f>
        <v/>
      </c>
      <c r="N437" s="29" t="str">
        <f>IFERROR(__xludf.DUMMYFUNCTION("IF(M437="""","""",QUERY({'Dashboard-Dados'!$Y$2:$AA$13},""Select Col2 Where Col1=""&amp;M437))"),"")</f>
        <v/>
      </c>
      <c r="O437" s="29" t="str">
        <f>IFERROR(__xludf.DUMMYFUNCTION("IF(ISBLANK(B437),"""",IF(ISDATE(B437),TEXT(B437,""yyyy""),""""))"),"")</f>
        <v/>
      </c>
    </row>
    <row r="438">
      <c r="B438" s="62"/>
      <c r="C438" s="56"/>
      <c r="D438" s="56"/>
      <c r="E438" s="56"/>
      <c r="F438" s="63"/>
      <c r="G438" s="64"/>
      <c r="H438" s="65"/>
      <c r="I438" s="63"/>
      <c r="K438" s="53" t="str">
        <f>IFERROR(__xludf.DUMMYFUNCTION("IF(ISBLANK(B438),"""",IF(ISDATE(B438),""X"",""""))"),"")</f>
        <v/>
      </c>
      <c r="L438" s="40" t="str">
        <f>IFERROR(__xludf.DUMMYFUNCTION("IF(ISBLANK(B438),"""",IF(Or(I438=""Em Aberto"",ISBLANK(I438),NOT(ISDATE(B438))),"""",H438))"),"")</f>
        <v/>
      </c>
      <c r="M438" s="29" t="str">
        <f>IFERROR(__xludf.DUMMYFUNCTION("IF(ISBLANK(B438),"""",IF(ISDATE(B438),TEXT(B438,""m""),""""))"),"")</f>
        <v/>
      </c>
      <c r="N438" s="29" t="str">
        <f>IFERROR(__xludf.DUMMYFUNCTION("IF(M438="""","""",QUERY({'Dashboard-Dados'!$Y$2:$AA$13},""Select Col2 Where Col1=""&amp;M438))"),"")</f>
        <v/>
      </c>
      <c r="O438" s="29" t="str">
        <f>IFERROR(__xludf.DUMMYFUNCTION("IF(ISBLANK(B438),"""",IF(ISDATE(B438),TEXT(B438,""yyyy""),""""))"),"")</f>
        <v/>
      </c>
    </row>
    <row r="439">
      <c r="B439" s="62"/>
      <c r="C439" s="56"/>
      <c r="D439" s="56"/>
      <c r="E439" s="56"/>
      <c r="F439" s="63"/>
      <c r="G439" s="64"/>
      <c r="H439" s="65"/>
      <c r="I439" s="63"/>
      <c r="K439" s="53" t="str">
        <f>IFERROR(__xludf.DUMMYFUNCTION("IF(ISBLANK(B439),"""",IF(ISDATE(B439),""X"",""""))"),"")</f>
        <v/>
      </c>
      <c r="L439" s="40" t="str">
        <f>IFERROR(__xludf.DUMMYFUNCTION("IF(ISBLANK(B439),"""",IF(Or(I439=""Em Aberto"",ISBLANK(I439),NOT(ISDATE(B439))),"""",H439))"),"")</f>
        <v/>
      </c>
      <c r="M439" s="29" t="str">
        <f>IFERROR(__xludf.DUMMYFUNCTION("IF(ISBLANK(B439),"""",IF(ISDATE(B439),TEXT(B439,""m""),""""))"),"")</f>
        <v/>
      </c>
      <c r="N439" s="29" t="str">
        <f>IFERROR(__xludf.DUMMYFUNCTION("IF(M439="""","""",QUERY({'Dashboard-Dados'!$Y$2:$AA$13},""Select Col2 Where Col1=""&amp;M439))"),"")</f>
        <v/>
      </c>
      <c r="O439" s="29" t="str">
        <f>IFERROR(__xludf.DUMMYFUNCTION("IF(ISBLANK(B439),"""",IF(ISDATE(B439),TEXT(B439,""yyyy""),""""))"),"")</f>
        <v/>
      </c>
    </row>
    <row r="440">
      <c r="B440" s="62"/>
      <c r="C440" s="56"/>
      <c r="D440" s="56"/>
      <c r="E440" s="56"/>
      <c r="F440" s="63"/>
      <c r="G440" s="64"/>
      <c r="H440" s="65"/>
      <c r="I440" s="63"/>
      <c r="K440" s="53" t="str">
        <f>IFERROR(__xludf.DUMMYFUNCTION("IF(ISBLANK(B440),"""",IF(ISDATE(B440),""X"",""""))"),"")</f>
        <v/>
      </c>
      <c r="L440" s="40" t="str">
        <f>IFERROR(__xludf.DUMMYFUNCTION("IF(ISBLANK(B440),"""",IF(Or(I440=""Em Aberto"",ISBLANK(I440),NOT(ISDATE(B440))),"""",H440))"),"")</f>
        <v/>
      </c>
      <c r="M440" s="29" t="str">
        <f>IFERROR(__xludf.DUMMYFUNCTION("IF(ISBLANK(B440),"""",IF(ISDATE(B440),TEXT(B440,""m""),""""))"),"")</f>
        <v/>
      </c>
      <c r="N440" s="29" t="str">
        <f>IFERROR(__xludf.DUMMYFUNCTION("IF(M440="""","""",QUERY({'Dashboard-Dados'!$Y$2:$AA$13},""Select Col2 Where Col1=""&amp;M440))"),"")</f>
        <v/>
      </c>
      <c r="O440" s="29" t="str">
        <f>IFERROR(__xludf.DUMMYFUNCTION("IF(ISBLANK(B440),"""",IF(ISDATE(B440),TEXT(B440,""yyyy""),""""))"),"")</f>
        <v/>
      </c>
    </row>
    <row r="441">
      <c r="B441" s="62"/>
      <c r="C441" s="56"/>
      <c r="D441" s="56"/>
      <c r="E441" s="56"/>
      <c r="F441" s="63"/>
      <c r="G441" s="64"/>
      <c r="H441" s="65"/>
      <c r="I441" s="63"/>
      <c r="K441" s="53" t="str">
        <f>IFERROR(__xludf.DUMMYFUNCTION("IF(ISBLANK(B441),"""",IF(ISDATE(B441),""X"",""""))"),"")</f>
        <v/>
      </c>
      <c r="L441" s="40" t="str">
        <f>IFERROR(__xludf.DUMMYFUNCTION("IF(ISBLANK(B441),"""",IF(Or(I441=""Em Aberto"",ISBLANK(I441),NOT(ISDATE(B441))),"""",H441))"),"")</f>
        <v/>
      </c>
      <c r="M441" s="29" t="str">
        <f>IFERROR(__xludf.DUMMYFUNCTION("IF(ISBLANK(B441),"""",IF(ISDATE(B441),TEXT(B441,""m""),""""))"),"")</f>
        <v/>
      </c>
      <c r="N441" s="29" t="str">
        <f>IFERROR(__xludf.DUMMYFUNCTION("IF(M441="""","""",QUERY({'Dashboard-Dados'!$Y$2:$AA$13},""Select Col2 Where Col1=""&amp;M441))"),"")</f>
        <v/>
      </c>
      <c r="O441" s="29" t="str">
        <f>IFERROR(__xludf.DUMMYFUNCTION("IF(ISBLANK(B441),"""",IF(ISDATE(B441),TEXT(B441,""yyyy""),""""))"),"")</f>
        <v/>
      </c>
    </row>
    <row r="442">
      <c r="B442" s="62"/>
      <c r="C442" s="56"/>
      <c r="D442" s="56"/>
      <c r="E442" s="56"/>
      <c r="F442" s="63"/>
      <c r="G442" s="64"/>
      <c r="H442" s="65"/>
      <c r="I442" s="63"/>
      <c r="K442" s="53" t="str">
        <f>IFERROR(__xludf.DUMMYFUNCTION("IF(ISBLANK(B442),"""",IF(ISDATE(B442),""X"",""""))"),"")</f>
        <v/>
      </c>
      <c r="L442" s="40" t="str">
        <f>IFERROR(__xludf.DUMMYFUNCTION("IF(ISBLANK(B442),"""",IF(Or(I442=""Em Aberto"",ISBLANK(I442),NOT(ISDATE(B442))),"""",H442))"),"")</f>
        <v/>
      </c>
      <c r="M442" s="29" t="str">
        <f>IFERROR(__xludf.DUMMYFUNCTION("IF(ISBLANK(B442),"""",IF(ISDATE(B442),TEXT(B442,""m""),""""))"),"")</f>
        <v/>
      </c>
      <c r="N442" s="29" t="str">
        <f>IFERROR(__xludf.DUMMYFUNCTION("IF(M442="""","""",QUERY({'Dashboard-Dados'!$Y$2:$AA$13},""Select Col2 Where Col1=""&amp;M442))"),"")</f>
        <v/>
      </c>
      <c r="O442" s="29" t="str">
        <f>IFERROR(__xludf.DUMMYFUNCTION("IF(ISBLANK(B442),"""",IF(ISDATE(B442),TEXT(B442,""yyyy""),""""))"),"")</f>
        <v/>
      </c>
    </row>
    <row r="443">
      <c r="B443" s="62"/>
      <c r="C443" s="56"/>
      <c r="D443" s="56"/>
      <c r="E443" s="56"/>
      <c r="F443" s="63"/>
      <c r="G443" s="64"/>
      <c r="H443" s="65"/>
      <c r="I443" s="63"/>
      <c r="K443" s="53" t="str">
        <f>IFERROR(__xludf.DUMMYFUNCTION("IF(ISBLANK(B443),"""",IF(ISDATE(B443),""X"",""""))"),"")</f>
        <v/>
      </c>
      <c r="L443" s="40" t="str">
        <f>IFERROR(__xludf.DUMMYFUNCTION("IF(ISBLANK(B443),"""",IF(Or(I443=""Em Aberto"",ISBLANK(I443),NOT(ISDATE(B443))),"""",H443))"),"")</f>
        <v/>
      </c>
      <c r="M443" s="29" t="str">
        <f>IFERROR(__xludf.DUMMYFUNCTION("IF(ISBLANK(B443),"""",IF(ISDATE(B443),TEXT(B443,""m""),""""))"),"")</f>
        <v/>
      </c>
      <c r="N443" s="29" t="str">
        <f>IFERROR(__xludf.DUMMYFUNCTION("IF(M443="""","""",QUERY({'Dashboard-Dados'!$Y$2:$AA$13},""Select Col2 Where Col1=""&amp;M443))"),"")</f>
        <v/>
      </c>
      <c r="O443" s="29" t="str">
        <f>IFERROR(__xludf.DUMMYFUNCTION("IF(ISBLANK(B443),"""",IF(ISDATE(B443),TEXT(B443,""yyyy""),""""))"),"")</f>
        <v/>
      </c>
    </row>
    <row r="444">
      <c r="B444" s="62"/>
      <c r="C444" s="56"/>
      <c r="D444" s="56"/>
      <c r="E444" s="56"/>
      <c r="F444" s="63"/>
      <c r="G444" s="64"/>
      <c r="H444" s="65"/>
      <c r="I444" s="63"/>
      <c r="K444" s="53" t="str">
        <f>IFERROR(__xludf.DUMMYFUNCTION("IF(ISBLANK(B444),"""",IF(ISDATE(B444),""X"",""""))"),"")</f>
        <v/>
      </c>
      <c r="L444" s="40" t="str">
        <f>IFERROR(__xludf.DUMMYFUNCTION("IF(ISBLANK(B444),"""",IF(Or(I444=""Em Aberto"",ISBLANK(I444),NOT(ISDATE(B444))),"""",H444))"),"")</f>
        <v/>
      </c>
      <c r="M444" s="29" t="str">
        <f>IFERROR(__xludf.DUMMYFUNCTION("IF(ISBLANK(B444),"""",IF(ISDATE(B444),TEXT(B444,""m""),""""))"),"")</f>
        <v/>
      </c>
      <c r="N444" s="29" t="str">
        <f>IFERROR(__xludf.DUMMYFUNCTION("IF(M444="""","""",QUERY({'Dashboard-Dados'!$Y$2:$AA$13},""Select Col2 Where Col1=""&amp;M444))"),"")</f>
        <v/>
      </c>
      <c r="O444" s="29" t="str">
        <f>IFERROR(__xludf.DUMMYFUNCTION("IF(ISBLANK(B444),"""",IF(ISDATE(B444),TEXT(B444,""yyyy""),""""))"),"")</f>
        <v/>
      </c>
    </row>
    <row r="445">
      <c r="B445" s="62"/>
      <c r="C445" s="56"/>
      <c r="D445" s="56"/>
      <c r="E445" s="56"/>
      <c r="F445" s="63"/>
      <c r="G445" s="64"/>
      <c r="H445" s="65"/>
      <c r="I445" s="63"/>
      <c r="K445" s="53" t="str">
        <f>IFERROR(__xludf.DUMMYFUNCTION("IF(ISBLANK(B445),"""",IF(ISDATE(B445),""X"",""""))"),"")</f>
        <v/>
      </c>
      <c r="L445" s="40" t="str">
        <f>IFERROR(__xludf.DUMMYFUNCTION("IF(ISBLANK(B445),"""",IF(Or(I445=""Em Aberto"",ISBLANK(I445),NOT(ISDATE(B445))),"""",H445))"),"")</f>
        <v/>
      </c>
      <c r="M445" s="29" t="str">
        <f>IFERROR(__xludf.DUMMYFUNCTION("IF(ISBLANK(B445),"""",IF(ISDATE(B445),TEXT(B445,""m""),""""))"),"")</f>
        <v/>
      </c>
      <c r="N445" s="29" t="str">
        <f>IFERROR(__xludf.DUMMYFUNCTION("IF(M445="""","""",QUERY({'Dashboard-Dados'!$Y$2:$AA$13},""Select Col2 Where Col1=""&amp;M445))"),"")</f>
        <v/>
      </c>
      <c r="O445" s="29" t="str">
        <f>IFERROR(__xludf.DUMMYFUNCTION("IF(ISBLANK(B445),"""",IF(ISDATE(B445),TEXT(B445,""yyyy""),""""))"),"")</f>
        <v/>
      </c>
    </row>
    <row r="446">
      <c r="B446" s="62"/>
      <c r="C446" s="56"/>
      <c r="D446" s="56"/>
      <c r="E446" s="56"/>
      <c r="F446" s="63"/>
      <c r="G446" s="64"/>
      <c r="H446" s="65"/>
      <c r="I446" s="63"/>
      <c r="K446" s="53" t="str">
        <f>IFERROR(__xludf.DUMMYFUNCTION("IF(ISBLANK(B446),"""",IF(ISDATE(B446),""X"",""""))"),"")</f>
        <v/>
      </c>
      <c r="L446" s="40" t="str">
        <f>IFERROR(__xludf.DUMMYFUNCTION("IF(ISBLANK(B446),"""",IF(Or(I446=""Em Aberto"",ISBLANK(I446),NOT(ISDATE(B446))),"""",H446))"),"")</f>
        <v/>
      </c>
      <c r="M446" s="29" t="str">
        <f>IFERROR(__xludf.DUMMYFUNCTION("IF(ISBLANK(B446),"""",IF(ISDATE(B446),TEXT(B446,""m""),""""))"),"")</f>
        <v/>
      </c>
      <c r="N446" s="29" t="str">
        <f>IFERROR(__xludf.DUMMYFUNCTION("IF(M446="""","""",QUERY({'Dashboard-Dados'!$Y$2:$AA$13},""Select Col2 Where Col1=""&amp;M446))"),"")</f>
        <v/>
      </c>
      <c r="O446" s="29" t="str">
        <f>IFERROR(__xludf.DUMMYFUNCTION("IF(ISBLANK(B446),"""",IF(ISDATE(B446),TEXT(B446,""yyyy""),""""))"),"")</f>
        <v/>
      </c>
    </row>
    <row r="447">
      <c r="B447" s="62"/>
      <c r="C447" s="56"/>
      <c r="D447" s="56"/>
      <c r="E447" s="56"/>
      <c r="F447" s="63"/>
      <c r="G447" s="64"/>
      <c r="H447" s="65"/>
      <c r="I447" s="63"/>
      <c r="K447" s="53" t="str">
        <f>IFERROR(__xludf.DUMMYFUNCTION("IF(ISBLANK(B447),"""",IF(ISDATE(B447),""X"",""""))"),"")</f>
        <v/>
      </c>
      <c r="L447" s="40" t="str">
        <f>IFERROR(__xludf.DUMMYFUNCTION("IF(ISBLANK(B447),"""",IF(Or(I447=""Em Aberto"",ISBLANK(I447),NOT(ISDATE(B447))),"""",H447))"),"")</f>
        <v/>
      </c>
      <c r="M447" s="29" t="str">
        <f>IFERROR(__xludf.DUMMYFUNCTION("IF(ISBLANK(B447),"""",IF(ISDATE(B447),TEXT(B447,""m""),""""))"),"")</f>
        <v/>
      </c>
      <c r="N447" s="29" t="str">
        <f>IFERROR(__xludf.DUMMYFUNCTION("IF(M447="""","""",QUERY({'Dashboard-Dados'!$Y$2:$AA$13},""Select Col2 Where Col1=""&amp;M447))"),"")</f>
        <v/>
      </c>
      <c r="O447" s="29" t="str">
        <f>IFERROR(__xludf.DUMMYFUNCTION("IF(ISBLANK(B447),"""",IF(ISDATE(B447),TEXT(B447,""yyyy""),""""))"),"")</f>
        <v/>
      </c>
    </row>
    <row r="448">
      <c r="B448" s="62"/>
      <c r="C448" s="56"/>
      <c r="D448" s="56"/>
      <c r="E448" s="56"/>
      <c r="F448" s="63"/>
      <c r="G448" s="64"/>
      <c r="H448" s="65"/>
      <c r="I448" s="63"/>
      <c r="K448" s="53" t="str">
        <f>IFERROR(__xludf.DUMMYFUNCTION("IF(ISBLANK(B448),"""",IF(ISDATE(B448),""X"",""""))"),"")</f>
        <v/>
      </c>
      <c r="L448" s="40" t="str">
        <f>IFERROR(__xludf.DUMMYFUNCTION("IF(ISBLANK(B448),"""",IF(Or(I448=""Em Aberto"",ISBLANK(I448),NOT(ISDATE(B448))),"""",H448))"),"")</f>
        <v/>
      </c>
      <c r="M448" s="29" t="str">
        <f>IFERROR(__xludf.DUMMYFUNCTION("IF(ISBLANK(B448),"""",IF(ISDATE(B448),TEXT(B448,""m""),""""))"),"")</f>
        <v/>
      </c>
      <c r="N448" s="29" t="str">
        <f>IFERROR(__xludf.DUMMYFUNCTION("IF(M448="""","""",QUERY({'Dashboard-Dados'!$Y$2:$AA$13},""Select Col2 Where Col1=""&amp;M448))"),"")</f>
        <v/>
      </c>
      <c r="O448" s="29" t="str">
        <f>IFERROR(__xludf.DUMMYFUNCTION("IF(ISBLANK(B448),"""",IF(ISDATE(B448),TEXT(B448,""yyyy""),""""))"),"")</f>
        <v/>
      </c>
    </row>
    <row r="449">
      <c r="B449" s="62"/>
      <c r="C449" s="56"/>
      <c r="D449" s="56"/>
      <c r="E449" s="56"/>
      <c r="F449" s="63"/>
      <c r="G449" s="64"/>
      <c r="H449" s="65"/>
      <c r="I449" s="63"/>
      <c r="K449" s="53" t="str">
        <f>IFERROR(__xludf.DUMMYFUNCTION("IF(ISBLANK(B449),"""",IF(ISDATE(B449),""X"",""""))"),"")</f>
        <v/>
      </c>
      <c r="L449" s="40" t="str">
        <f>IFERROR(__xludf.DUMMYFUNCTION("IF(ISBLANK(B449),"""",IF(Or(I449=""Em Aberto"",ISBLANK(I449),NOT(ISDATE(B449))),"""",H449))"),"")</f>
        <v/>
      </c>
      <c r="M449" s="29" t="str">
        <f>IFERROR(__xludf.DUMMYFUNCTION("IF(ISBLANK(B449),"""",IF(ISDATE(B449),TEXT(B449,""m""),""""))"),"")</f>
        <v/>
      </c>
      <c r="N449" s="29" t="str">
        <f>IFERROR(__xludf.DUMMYFUNCTION("IF(M449="""","""",QUERY({'Dashboard-Dados'!$Y$2:$AA$13},""Select Col2 Where Col1=""&amp;M449))"),"")</f>
        <v/>
      </c>
      <c r="O449" s="29" t="str">
        <f>IFERROR(__xludf.DUMMYFUNCTION("IF(ISBLANK(B449),"""",IF(ISDATE(B449),TEXT(B449,""yyyy""),""""))"),"")</f>
        <v/>
      </c>
    </row>
    <row r="450">
      <c r="B450" s="62"/>
      <c r="C450" s="56"/>
      <c r="D450" s="56"/>
      <c r="E450" s="56"/>
      <c r="F450" s="63"/>
      <c r="G450" s="64"/>
      <c r="H450" s="65"/>
      <c r="I450" s="63"/>
      <c r="K450" s="53" t="str">
        <f>IFERROR(__xludf.DUMMYFUNCTION("IF(ISBLANK(B450),"""",IF(ISDATE(B450),""X"",""""))"),"")</f>
        <v/>
      </c>
      <c r="L450" s="40" t="str">
        <f>IFERROR(__xludf.DUMMYFUNCTION("IF(ISBLANK(B450),"""",IF(Or(I450=""Em Aberto"",ISBLANK(I450),NOT(ISDATE(B450))),"""",H450))"),"")</f>
        <v/>
      </c>
      <c r="M450" s="29" t="str">
        <f>IFERROR(__xludf.DUMMYFUNCTION("IF(ISBLANK(B450),"""",IF(ISDATE(B450),TEXT(B450,""m""),""""))"),"")</f>
        <v/>
      </c>
      <c r="N450" s="29" t="str">
        <f>IFERROR(__xludf.DUMMYFUNCTION("IF(M450="""","""",QUERY({'Dashboard-Dados'!$Y$2:$AA$13},""Select Col2 Where Col1=""&amp;M450))"),"")</f>
        <v/>
      </c>
      <c r="O450" s="29" t="str">
        <f>IFERROR(__xludf.DUMMYFUNCTION("IF(ISBLANK(B450),"""",IF(ISDATE(B450),TEXT(B450,""yyyy""),""""))"),"")</f>
        <v/>
      </c>
    </row>
    <row r="451">
      <c r="B451" s="62"/>
      <c r="C451" s="56"/>
      <c r="D451" s="56"/>
      <c r="E451" s="56"/>
      <c r="F451" s="63"/>
      <c r="G451" s="64"/>
      <c r="H451" s="65"/>
      <c r="I451" s="63"/>
      <c r="K451" s="53" t="str">
        <f>IFERROR(__xludf.DUMMYFUNCTION("IF(ISBLANK(B451),"""",IF(ISDATE(B451),""X"",""""))"),"")</f>
        <v/>
      </c>
      <c r="L451" s="40" t="str">
        <f>IFERROR(__xludf.DUMMYFUNCTION("IF(ISBLANK(B451),"""",IF(Or(I451=""Em Aberto"",ISBLANK(I451),NOT(ISDATE(B451))),"""",H451))"),"")</f>
        <v/>
      </c>
      <c r="M451" s="29" t="str">
        <f>IFERROR(__xludf.DUMMYFUNCTION("IF(ISBLANK(B451),"""",IF(ISDATE(B451),TEXT(B451,""m""),""""))"),"")</f>
        <v/>
      </c>
      <c r="N451" s="29" t="str">
        <f>IFERROR(__xludf.DUMMYFUNCTION("IF(M451="""","""",QUERY({'Dashboard-Dados'!$Y$2:$AA$13},""Select Col2 Where Col1=""&amp;M451))"),"")</f>
        <v/>
      </c>
      <c r="O451" s="29" t="str">
        <f>IFERROR(__xludf.DUMMYFUNCTION("IF(ISBLANK(B451),"""",IF(ISDATE(B451),TEXT(B451,""yyyy""),""""))"),"")</f>
        <v/>
      </c>
    </row>
    <row r="452">
      <c r="B452" s="62"/>
      <c r="C452" s="56"/>
      <c r="D452" s="56"/>
      <c r="E452" s="56"/>
      <c r="F452" s="63"/>
      <c r="G452" s="64"/>
      <c r="H452" s="65"/>
      <c r="I452" s="63"/>
      <c r="K452" s="53" t="str">
        <f>IFERROR(__xludf.DUMMYFUNCTION("IF(ISBLANK(B452),"""",IF(ISDATE(B452),""X"",""""))"),"")</f>
        <v/>
      </c>
      <c r="L452" s="40" t="str">
        <f>IFERROR(__xludf.DUMMYFUNCTION("IF(ISBLANK(B452),"""",IF(Or(I452=""Em Aberto"",ISBLANK(I452),NOT(ISDATE(B452))),"""",H452))"),"")</f>
        <v/>
      </c>
      <c r="M452" s="29" t="str">
        <f>IFERROR(__xludf.DUMMYFUNCTION("IF(ISBLANK(B452),"""",IF(ISDATE(B452),TEXT(B452,""m""),""""))"),"")</f>
        <v/>
      </c>
      <c r="N452" s="29" t="str">
        <f>IFERROR(__xludf.DUMMYFUNCTION("IF(M452="""","""",QUERY({'Dashboard-Dados'!$Y$2:$AA$13},""Select Col2 Where Col1=""&amp;M452))"),"")</f>
        <v/>
      </c>
      <c r="O452" s="29" t="str">
        <f>IFERROR(__xludf.DUMMYFUNCTION("IF(ISBLANK(B452),"""",IF(ISDATE(B452),TEXT(B452,""yyyy""),""""))"),"")</f>
        <v/>
      </c>
    </row>
    <row r="453">
      <c r="B453" s="62"/>
      <c r="C453" s="56"/>
      <c r="D453" s="56"/>
      <c r="E453" s="56"/>
      <c r="F453" s="63"/>
      <c r="G453" s="64"/>
      <c r="H453" s="65"/>
      <c r="I453" s="63"/>
      <c r="K453" s="53" t="str">
        <f>IFERROR(__xludf.DUMMYFUNCTION("IF(ISBLANK(B453),"""",IF(ISDATE(B453),""X"",""""))"),"")</f>
        <v/>
      </c>
      <c r="L453" s="40" t="str">
        <f>IFERROR(__xludf.DUMMYFUNCTION("IF(ISBLANK(B453),"""",IF(Or(I453=""Em Aberto"",ISBLANK(I453),NOT(ISDATE(B453))),"""",H453))"),"")</f>
        <v/>
      </c>
      <c r="M453" s="29" t="str">
        <f>IFERROR(__xludf.DUMMYFUNCTION("IF(ISBLANK(B453),"""",IF(ISDATE(B453),TEXT(B453,""m""),""""))"),"")</f>
        <v/>
      </c>
      <c r="N453" s="29" t="str">
        <f>IFERROR(__xludf.DUMMYFUNCTION("IF(M453="""","""",QUERY({'Dashboard-Dados'!$Y$2:$AA$13},""Select Col2 Where Col1=""&amp;M453))"),"")</f>
        <v/>
      </c>
      <c r="O453" s="29" t="str">
        <f>IFERROR(__xludf.DUMMYFUNCTION("IF(ISBLANK(B453),"""",IF(ISDATE(B453),TEXT(B453,""yyyy""),""""))"),"")</f>
        <v/>
      </c>
    </row>
    <row r="454">
      <c r="B454" s="62"/>
      <c r="C454" s="56"/>
      <c r="D454" s="56"/>
      <c r="E454" s="56"/>
      <c r="F454" s="63"/>
      <c r="G454" s="64"/>
      <c r="H454" s="65"/>
      <c r="I454" s="63"/>
      <c r="K454" s="53" t="str">
        <f>IFERROR(__xludf.DUMMYFUNCTION("IF(ISBLANK(B454),"""",IF(ISDATE(B454),""X"",""""))"),"")</f>
        <v/>
      </c>
      <c r="L454" s="40" t="str">
        <f>IFERROR(__xludf.DUMMYFUNCTION("IF(ISBLANK(B454),"""",IF(Or(I454=""Em Aberto"",ISBLANK(I454),NOT(ISDATE(B454))),"""",H454))"),"")</f>
        <v/>
      </c>
      <c r="M454" s="29" t="str">
        <f>IFERROR(__xludf.DUMMYFUNCTION("IF(ISBLANK(B454),"""",IF(ISDATE(B454),TEXT(B454,""m""),""""))"),"")</f>
        <v/>
      </c>
      <c r="N454" s="29" t="str">
        <f>IFERROR(__xludf.DUMMYFUNCTION("IF(M454="""","""",QUERY({'Dashboard-Dados'!$Y$2:$AA$13},""Select Col2 Where Col1=""&amp;M454))"),"")</f>
        <v/>
      </c>
      <c r="O454" s="29" t="str">
        <f>IFERROR(__xludf.DUMMYFUNCTION("IF(ISBLANK(B454),"""",IF(ISDATE(B454),TEXT(B454,""yyyy""),""""))"),"")</f>
        <v/>
      </c>
    </row>
    <row r="455">
      <c r="B455" s="62"/>
      <c r="C455" s="56"/>
      <c r="D455" s="56"/>
      <c r="E455" s="56"/>
      <c r="F455" s="63"/>
      <c r="G455" s="64"/>
      <c r="H455" s="65"/>
      <c r="I455" s="63"/>
      <c r="K455" s="53" t="str">
        <f>IFERROR(__xludf.DUMMYFUNCTION("IF(ISBLANK(B455),"""",IF(ISDATE(B455),""X"",""""))"),"")</f>
        <v/>
      </c>
      <c r="L455" s="40" t="str">
        <f>IFERROR(__xludf.DUMMYFUNCTION("IF(ISBLANK(B455),"""",IF(Or(I455=""Em Aberto"",ISBLANK(I455),NOT(ISDATE(B455))),"""",H455))"),"")</f>
        <v/>
      </c>
      <c r="M455" s="29" t="str">
        <f>IFERROR(__xludf.DUMMYFUNCTION("IF(ISBLANK(B455),"""",IF(ISDATE(B455),TEXT(B455,""m""),""""))"),"")</f>
        <v/>
      </c>
      <c r="N455" s="29" t="str">
        <f>IFERROR(__xludf.DUMMYFUNCTION("IF(M455="""","""",QUERY({'Dashboard-Dados'!$Y$2:$AA$13},""Select Col2 Where Col1=""&amp;M455))"),"")</f>
        <v/>
      </c>
      <c r="O455" s="29" t="str">
        <f>IFERROR(__xludf.DUMMYFUNCTION("IF(ISBLANK(B455),"""",IF(ISDATE(B455),TEXT(B455,""yyyy""),""""))"),"")</f>
        <v/>
      </c>
    </row>
    <row r="456">
      <c r="B456" s="62"/>
      <c r="C456" s="56"/>
      <c r="D456" s="56"/>
      <c r="E456" s="56"/>
      <c r="F456" s="63"/>
      <c r="G456" s="64"/>
      <c r="H456" s="65"/>
      <c r="I456" s="63"/>
      <c r="K456" s="53" t="str">
        <f>IFERROR(__xludf.DUMMYFUNCTION("IF(ISBLANK(B456),"""",IF(ISDATE(B456),""X"",""""))"),"")</f>
        <v/>
      </c>
      <c r="L456" s="40" t="str">
        <f>IFERROR(__xludf.DUMMYFUNCTION("IF(ISBLANK(B456),"""",IF(Or(I456=""Em Aberto"",ISBLANK(I456),NOT(ISDATE(B456))),"""",H456))"),"")</f>
        <v/>
      </c>
      <c r="M456" s="29" t="str">
        <f>IFERROR(__xludf.DUMMYFUNCTION("IF(ISBLANK(B456),"""",IF(ISDATE(B456),TEXT(B456,""m""),""""))"),"")</f>
        <v/>
      </c>
      <c r="N456" s="29" t="str">
        <f>IFERROR(__xludf.DUMMYFUNCTION("IF(M456="""","""",QUERY({'Dashboard-Dados'!$Y$2:$AA$13},""Select Col2 Where Col1=""&amp;M456))"),"")</f>
        <v/>
      </c>
      <c r="O456" s="29" t="str">
        <f>IFERROR(__xludf.DUMMYFUNCTION("IF(ISBLANK(B456),"""",IF(ISDATE(B456),TEXT(B456,""yyyy""),""""))"),"")</f>
        <v/>
      </c>
    </row>
    <row r="457">
      <c r="B457" s="62"/>
      <c r="C457" s="56"/>
      <c r="D457" s="56"/>
      <c r="E457" s="56"/>
      <c r="F457" s="63"/>
      <c r="G457" s="64"/>
      <c r="H457" s="65"/>
      <c r="I457" s="63"/>
      <c r="K457" s="53" t="str">
        <f>IFERROR(__xludf.DUMMYFUNCTION("IF(ISBLANK(B457),"""",IF(ISDATE(B457),""X"",""""))"),"")</f>
        <v/>
      </c>
      <c r="L457" s="40" t="str">
        <f>IFERROR(__xludf.DUMMYFUNCTION("IF(ISBLANK(B457),"""",IF(Or(I457=""Em Aberto"",ISBLANK(I457),NOT(ISDATE(B457))),"""",H457))"),"")</f>
        <v/>
      </c>
      <c r="M457" s="29" t="str">
        <f>IFERROR(__xludf.DUMMYFUNCTION("IF(ISBLANK(B457),"""",IF(ISDATE(B457),TEXT(B457,""m""),""""))"),"")</f>
        <v/>
      </c>
      <c r="N457" s="29" t="str">
        <f>IFERROR(__xludf.DUMMYFUNCTION("IF(M457="""","""",QUERY({'Dashboard-Dados'!$Y$2:$AA$13},""Select Col2 Where Col1=""&amp;M457))"),"")</f>
        <v/>
      </c>
      <c r="O457" s="29" t="str">
        <f>IFERROR(__xludf.DUMMYFUNCTION("IF(ISBLANK(B457),"""",IF(ISDATE(B457),TEXT(B457,""yyyy""),""""))"),"")</f>
        <v/>
      </c>
    </row>
    <row r="458">
      <c r="B458" s="62"/>
      <c r="C458" s="56"/>
      <c r="D458" s="56"/>
      <c r="E458" s="56"/>
      <c r="F458" s="63"/>
      <c r="G458" s="64"/>
      <c r="H458" s="65"/>
      <c r="I458" s="63"/>
      <c r="K458" s="53" t="str">
        <f>IFERROR(__xludf.DUMMYFUNCTION("IF(ISBLANK(B458),"""",IF(ISDATE(B458),""X"",""""))"),"")</f>
        <v/>
      </c>
      <c r="L458" s="40" t="str">
        <f>IFERROR(__xludf.DUMMYFUNCTION("IF(ISBLANK(B458),"""",IF(Or(I458=""Em Aberto"",ISBLANK(I458),NOT(ISDATE(B458))),"""",H458))"),"")</f>
        <v/>
      </c>
      <c r="M458" s="29" t="str">
        <f>IFERROR(__xludf.DUMMYFUNCTION("IF(ISBLANK(B458),"""",IF(ISDATE(B458),TEXT(B458,""m""),""""))"),"")</f>
        <v/>
      </c>
      <c r="N458" s="29" t="str">
        <f>IFERROR(__xludf.DUMMYFUNCTION("IF(M458="""","""",QUERY({'Dashboard-Dados'!$Y$2:$AA$13},""Select Col2 Where Col1=""&amp;M458))"),"")</f>
        <v/>
      </c>
      <c r="O458" s="29" t="str">
        <f>IFERROR(__xludf.DUMMYFUNCTION("IF(ISBLANK(B458),"""",IF(ISDATE(B458),TEXT(B458,""yyyy""),""""))"),"")</f>
        <v/>
      </c>
    </row>
    <row r="459">
      <c r="B459" s="62"/>
      <c r="C459" s="56"/>
      <c r="D459" s="56"/>
      <c r="E459" s="56"/>
      <c r="F459" s="63"/>
      <c r="G459" s="64"/>
      <c r="H459" s="65"/>
      <c r="I459" s="63"/>
      <c r="K459" s="53" t="str">
        <f>IFERROR(__xludf.DUMMYFUNCTION("IF(ISBLANK(B459),"""",IF(ISDATE(B459),""X"",""""))"),"")</f>
        <v/>
      </c>
      <c r="L459" s="40" t="str">
        <f>IFERROR(__xludf.DUMMYFUNCTION("IF(ISBLANK(B459),"""",IF(Or(I459=""Em Aberto"",ISBLANK(I459),NOT(ISDATE(B459))),"""",H459))"),"")</f>
        <v/>
      </c>
      <c r="M459" s="29" t="str">
        <f>IFERROR(__xludf.DUMMYFUNCTION("IF(ISBLANK(B459),"""",IF(ISDATE(B459),TEXT(B459,""m""),""""))"),"")</f>
        <v/>
      </c>
      <c r="N459" s="29" t="str">
        <f>IFERROR(__xludf.DUMMYFUNCTION("IF(M459="""","""",QUERY({'Dashboard-Dados'!$Y$2:$AA$13},""Select Col2 Where Col1=""&amp;M459))"),"")</f>
        <v/>
      </c>
      <c r="O459" s="29" t="str">
        <f>IFERROR(__xludf.DUMMYFUNCTION("IF(ISBLANK(B459),"""",IF(ISDATE(B459),TEXT(B459,""yyyy""),""""))"),"")</f>
        <v/>
      </c>
    </row>
    <row r="460">
      <c r="B460" s="62"/>
      <c r="C460" s="56"/>
      <c r="D460" s="56"/>
      <c r="E460" s="56"/>
      <c r="F460" s="63"/>
      <c r="G460" s="64"/>
      <c r="H460" s="65"/>
      <c r="I460" s="63"/>
      <c r="K460" s="53" t="str">
        <f>IFERROR(__xludf.DUMMYFUNCTION("IF(ISBLANK(B460),"""",IF(ISDATE(B460),""X"",""""))"),"")</f>
        <v/>
      </c>
      <c r="L460" s="40" t="str">
        <f>IFERROR(__xludf.DUMMYFUNCTION("IF(ISBLANK(B460),"""",IF(Or(I460=""Em Aberto"",ISBLANK(I460),NOT(ISDATE(B460))),"""",H460))"),"")</f>
        <v/>
      </c>
      <c r="M460" s="29" t="str">
        <f>IFERROR(__xludf.DUMMYFUNCTION("IF(ISBLANK(B460),"""",IF(ISDATE(B460),TEXT(B460,""m""),""""))"),"")</f>
        <v/>
      </c>
      <c r="N460" s="29" t="str">
        <f>IFERROR(__xludf.DUMMYFUNCTION("IF(M460="""","""",QUERY({'Dashboard-Dados'!$Y$2:$AA$13},""Select Col2 Where Col1=""&amp;M460))"),"")</f>
        <v/>
      </c>
      <c r="O460" s="29" t="str">
        <f>IFERROR(__xludf.DUMMYFUNCTION("IF(ISBLANK(B460),"""",IF(ISDATE(B460),TEXT(B460,""yyyy""),""""))"),"")</f>
        <v/>
      </c>
    </row>
    <row r="461">
      <c r="B461" s="62"/>
      <c r="C461" s="56"/>
      <c r="D461" s="56"/>
      <c r="E461" s="56"/>
      <c r="F461" s="63"/>
      <c r="G461" s="64"/>
      <c r="H461" s="65"/>
      <c r="I461" s="63"/>
      <c r="K461" s="53" t="str">
        <f>IFERROR(__xludf.DUMMYFUNCTION("IF(ISBLANK(B461),"""",IF(ISDATE(B461),""X"",""""))"),"")</f>
        <v/>
      </c>
      <c r="L461" s="40" t="str">
        <f>IFERROR(__xludf.DUMMYFUNCTION("IF(ISBLANK(B461),"""",IF(Or(I461=""Em Aberto"",ISBLANK(I461),NOT(ISDATE(B461))),"""",H461))"),"")</f>
        <v/>
      </c>
      <c r="M461" s="29" t="str">
        <f>IFERROR(__xludf.DUMMYFUNCTION("IF(ISBLANK(B461),"""",IF(ISDATE(B461),TEXT(B461,""m""),""""))"),"")</f>
        <v/>
      </c>
      <c r="N461" s="29" t="str">
        <f>IFERROR(__xludf.DUMMYFUNCTION("IF(M461="""","""",QUERY({'Dashboard-Dados'!$Y$2:$AA$13},""Select Col2 Where Col1=""&amp;M461))"),"")</f>
        <v/>
      </c>
      <c r="O461" s="29" t="str">
        <f>IFERROR(__xludf.DUMMYFUNCTION("IF(ISBLANK(B461),"""",IF(ISDATE(B461),TEXT(B461,""yyyy""),""""))"),"")</f>
        <v/>
      </c>
    </row>
    <row r="462">
      <c r="B462" s="62"/>
      <c r="C462" s="56"/>
      <c r="D462" s="56"/>
      <c r="E462" s="56"/>
      <c r="F462" s="63"/>
      <c r="G462" s="64"/>
      <c r="H462" s="65"/>
      <c r="I462" s="63"/>
      <c r="K462" s="53" t="str">
        <f>IFERROR(__xludf.DUMMYFUNCTION("IF(ISBLANK(B462),"""",IF(ISDATE(B462),""X"",""""))"),"")</f>
        <v/>
      </c>
      <c r="L462" s="40" t="str">
        <f>IFERROR(__xludf.DUMMYFUNCTION("IF(ISBLANK(B462),"""",IF(Or(I462=""Em Aberto"",ISBLANK(I462),NOT(ISDATE(B462))),"""",H462))"),"")</f>
        <v/>
      </c>
      <c r="M462" s="29" t="str">
        <f>IFERROR(__xludf.DUMMYFUNCTION("IF(ISBLANK(B462),"""",IF(ISDATE(B462),TEXT(B462,""m""),""""))"),"")</f>
        <v/>
      </c>
      <c r="N462" s="29" t="str">
        <f>IFERROR(__xludf.DUMMYFUNCTION("IF(M462="""","""",QUERY({'Dashboard-Dados'!$Y$2:$AA$13},""Select Col2 Where Col1=""&amp;M462))"),"")</f>
        <v/>
      </c>
      <c r="O462" s="29" t="str">
        <f>IFERROR(__xludf.DUMMYFUNCTION("IF(ISBLANK(B462),"""",IF(ISDATE(B462),TEXT(B462,""yyyy""),""""))"),"")</f>
        <v/>
      </c>
    </row>
    <row r="463">
      <c r="B463" s="62"/>
      <c r="C463" s="56"/>
      <c r="D463" s="56"/>
      <c r="E463" s="56"/>
      <c r="F463" s="63"/>
      <c r="G463" s="64"/>
      <c r="H463" s="65"/>
      <c r="I463" s="63"/>
      <c r="K463" s="53" t="str">
        <f>IFERROR(__xludf.DUMMYFUNCTION("IF(ISBLANK(B463),"""",IF(ISDATE(B463),""X"",""""))"),"")</f>
        <v/>
      </c>
      <c r="L463" s="40" t="str">
        <f>IFERROR(__xludf.DUMMYFUNCTION("IF(ISBLANK(B463),"""",IF(Or(I463=""Em Aberto"",ISBLANK(I463),NOT(ISDATE(B463))),"""",H463))"),"")</f>
        <v/>
      </c>
      <c r="M463" s="29" t="str">
        <f>IFERROR(__xludf.DUMMYFUNCTION("IF(ISBLANK(B463),"""",IF(ISDATE(B463),TEXT(B463,""m""),""""))"),"")</f>
        <v/>
      </c>
      <c r="N463" s="29" t="str">
        <f>IFERROR(__xludf.DUMMYFUNCTION("IF(M463="""","""",QUERY({'Dashboard-Dados'!$Y$2:$AA$13},""Select Col2 Where Col1=""&amp;M463))"),"")</f>
        <v/>
      </c>
      <c r="O463" s="29" t="str">
        <f>IFERROR(__xludf.DUMMYFUNCTION("IF(ISBLANK(B463),"""",IF(ISDATE(B463),TEXT(B463,""yyyy""),""""))"),"")</f>
        <v/>
      </c>
    </row>
    <row r="464">
      <c r="B464" s="62"/>
      <c r="C464" s="56"/>
      <c r="D464" s="56"/>
      <c r="E464" s="56"/>
      <c r="F464" s="63"/>
      <c r="G464" s="64"/>
      <c r="H464" s="65"/>
      <c r="I464" s="63"/>
      <c r="K464" s="53" t="str">
        <f>IFERROR(__xludf.DUMMYFUNCTION("IF(ISBLANK(B464),"""",IF(ISDATE(B464),""X"",""""))"),"")</f>
        <v/>
      </c>
      <c r="L464" s="40" t="str">
        <f>IFERROR(__xludf.DUMMYFUNCTION("IF(ISBLANK(B464),"""",IF(Or(I464=""Em Aberto"",ISBLANK(I464),NOT(ISDATE(B464))),"""",H464))"),"")</f>
        <v/>
      </c>
      <c r="M464" s="29" t="str">
        <f>IFERROR(__xludf.DUMMYFUNCTION("IF(ISBLANK(B464),"""",IF(ISDATE(B464),TEXT(B464,""m""),""""))"),"")</f>
        <v/>
      </c>
      <c r="N464" s="29" t="str">
        <f>IFERROR(__xludf.DUMMYFUNCTION("IF(M464="""","""",QUERY({'Dashboard-Dados'!$Y$2:$AA$13},""Select Col2 Where Col1=""&amp;M464))"),"")</f>
        <v/>
      </c>
      <c r="O464" s="29" t="str">
        <f>IFERROR(__xludf.DUMMYFUNCTION("IF(ISBLANK(B464),"""",IF(ISDATE(B464),TEXT(B464,""yyyy""),""""))"),"")</f>
        <v/>
      </c>
    </row>
    <row r="465">
      <c r="B465" s="62"/>
      <c r="C465" s="56"/>
      <c r="D465" s="56"/>
      <c r="E465" s="56"/>
      <c r="F465" s="63"/>
      <c r="G465" s="64"/>
      <c r="H465" s="65"/>
      <c r="I465" s="63"/>
      <c r="K465" s="53" t="str">
        <f>IFERROR(__xludf.DUMMYFUNCTION("IF(ISBLANK(B465),"""",IF(ISDATE(B465),""X"",""""))"),"")</f>
        <v/>
      </c>
      <c r="L465" s="40" t="str">
        <f>IFERROR(__xludf.DUMMYFUNCTION("IF(ISBLANK(B465),"""",IF(Or(I465=""Em Aberto"",ISBLANK(I465),NOT(ISDATE(B465))),"""",H465))"),"")</f>
        <v/>
      </c>
      <c r="M465" s="29" t="str">
        <f>IFERROR(__xludf.DUMMYFUNCTION("IF(ISBLANK(B465),"""",IF(ISDATE(B465),TEXT(B465,""m""),""""))"),"")</f>
        <v/>
      </c>
      <c r="N465" s="29" t="str">
        <f>IFERROR(__xludf.DUMMYFUNCTION("IF(M465="""","""",QUERY({'Dashboard-Dados'!$Y$2:$AA$13},""Select Col2 Where Col1=""&amp;M465))"),"")</f>
        <v/>
      </c>
      <c r="O465" s="29" t="str">
        <f>IFERROR(__xludf.DUMMYFUNCTION("IF(ISBLANK(B465),"""",IF(ISDATE(B465),TEXT(B465,""yyyy""),""""))"),"")</f>
        <v/>
      </c>
    </row>
    <row r="466">
      <c r="B466" s="62"/>
      <c r="C466" s="56"/>
      <c r="D466" s="56"/>
      <c r="E466" s="56"/>
      <c r="F466" s="63"/>
      <c r="G466" s="64"/>
      <c r="H466" s="65"/>
      <c r="I466" s="63"/>
      <c r="K466" s="53" t="str">
        <f>IFERROR(__xludf.DUMMYFUNCTION("IF(ISBLANK(B466),"""",IF(ISDATE(B466),""X"",""""))"),"")</f>
        <v/>
      </c>
      <c r="L466" s="40" t="str">
        <f>IFERROR(__xludf.DUMMYFUNCTION("IF(ISBLANK(B466),"""",IF(Or(I466=""Em Aberto"",ISBLANK(I466),NOT(ISDATE(B466))),"""",H466))"),"")</f>
        <v/>
      </c>
      <c r="M466" s="29" t="str">
        <f>IFERROR(__xludf.DUMMYFUNCTION("IF(ISBLANK(B466),"""",IF(ISDATE(B466),TEXT(B466,""m""),""""))"),"")</f>
        <v/>
      </c>
      <c r="N466" s="29" t="str">
        <f>IFERROR(__xludf.DUMMYFUNCTION("IF(M466="""","""",QUERY({'Dashboard-Dados'!$Y$2:$AA$13},""Select Col2 Where Col1=""&amp;M466))"),"")</f>
        <v/>
      </c>
      <c r="O466" s="29" t="str">
        <f>IFERROR(__xludf.DUMMYFUNCTION("IF(ISBLANK(B466),"""",IF(ISDATE(B466),TEXT(B466,""yyyy""),""""))"),"")</f>
        <v/>
      </c>
    </row>
    <row r="467">
      <c r="B467" s="62"/>
      <c r="C467" s="56"/>
      <c r="D467" s="56"/>
      <c r="E467" s="56"/>
      <c r="F467" s="63"/>
      <c r="G467" s="64"/>
      <c r="H467" s="65"/>
      <c r="I467" s="63"/>
      <c r="K467" s="53" t="str">
        <f>IFERROR(__xludf.DUMMYFUNCTION("IF(ISBLANK(B467),"""",IF(ISDATE(B467),""X"",""""))"),"")</f>
        <v/>
      </c>
      <c r="L467" s="40" t="str">
        <f>IFERROR(__xludf.DUMMYFUNCTION("IF(ISBLANK(B467),"""",IF(Or(I467=""Em Aberto"",ISBLANK(I467),NOT(ISDATE(B467))),"""",H467))"),"")</f>
        <v/>
      </c>
      <c r="M467" s="29" t="str">
        <f>IFERROR(__xludf.DUMMYFUNCTION("IF(ISBLANK(B467),"""",IF(ISDATE(B467),TEXT(B467,""m""),""""))"),"")</f>
        <v/>
      </c>
      <c r="N467" s="29" t="str">
        <f>IFERROR(__xludf.DUMMYFUNCTION("IF(M467="""","""",QUERY({'Dashboard-Dados'!$Y$2:$AA$13},""Select Col2 Where Col1=""&amp;M467))"),"")</f>
        <v/>
      </c>
      <c r="O467" s="29" t="str">
        <f>IFERROR(__xludf.DUMMYFUNCTION("IF(ISBLANK(B467),"""",IF(ISDATE(B467),TEXT(B467,""yyyy""),""""))"),"")</f>
        <v/>
      </c>
    </row>
    <row r="468">
      <c r="B468" s="62"/>
      <c r="C468" s="56"/>
      <c r="D468" s="56"/>
      <c r="E468" s="56"/>
      <c r="F468" s="63"/>
      <c r="G468" s="64"/>
      <c r="H468" s="65"/>
      <c r="I468" s="63"/>
      <c r="K468" s="53" t="str">
        <f>IFERROR(__xludf.DUMMYFUNCTION("IF(ISBLANK(B468),"""",IF(ISDATE(B468),""X"",""""))"),"")</f>
        <v/>
      </c>
      <c r="L468" s="40" t="str">
        <f>IFERROR(__xludf.DUMMYFUNCTION("IF(ISBLANK(B468),"""",IF(Or(I468=""Em Aberto"",ISBLANK(I468),NOT(ISDATE(B468))),"""",H468))"),"")</f>
        <v/>
      </c>
      <c r="M468" s="29" t="str">
        <f>IFERROR(__xludf.DUMMYFUNCTION("IF(ISBLANK(B468),"""",IF(ISDATE(B468),TEXT(B468,""m""),""""))"),"")</f>
        <v/>
      </c>
      <c r="N468" s="29" t="str">
        <f>IFERROR(__xludf.DUMMYFUNCTION("IF(M468="""","""",QUERY({'Dashboard-Dados'!$Y$2:$AA$13},""Select Col2 Where Col1=""&amp;M468))"),"")</f>
        <v/>
      </c>
      <c r="O468" s="29" t="str">
        <f>IFERROR(__xludf.DUMMYFUNCTION("IF(ISBLANK(B468),"""",IF(ISDATE(B468),TEXT(B468,""yyyy""),""""))"),"")</f>
        <v/>
      </c>
    </row>
    <row r="469">
      <c r="B469" s="62"/>
      <c r="C469" s="56"/>
      <c r="D469" s="56"/>
      <c r="E469" s="56"/>
      <c r="F469" s="63"/>
      <c r="G469" s="64"/>
      <c r="H469" s="65"/>
      <c r="I469" s="63"/>
      <c r="K469" s="53" t="str">
        <f>IFERROR(__xludf.DUMMYFUNCTION("IF(ISBLANK(B469),"""",IF(ISDATE(B469),""X"",""""))"),"")</f>
        <v/>
      </c>
      <c r="L469" s="40" t="str">
        <f>IFERROR(__xludf.DUMMYFUNCTION("IF(ISBLANK(B469),"""",IF(Or(I469=""Em Aberto"",ISBLANK(I469),NOT(ISDATE(B469))),"""",H469))"),"")</f>
        <v/>
      </c>
      <c r="M469" s="29" t="str">
        <f>IFERROR(__xludf.DUMMYFUNCTION("IF(ISBLANK(B469),"""",IF(ISDATE(B469),TEXT(B469,""m""),""""))"),"")</f>
        <v/>
      </c>
      <c r="N469" s="29" t="str">
        <f>IFERROR(__xludf.DUMMYFUNCTION("IF(M469="""","""",QUERY({'Dashboard-Dados'!$Y$2:$AA$13},""Select Col2 Where Col1=""&amp;M469))"),"")</f>
        <v/>
      </c>
      <c r="O469" s="29" t="str">
        <f>IFERROR(__xludf.DUMMYFUNCTION("IF(ISBLANK(B469),"""",IF(ISDATE(B469),TEXT(B469,""yyyy""),""""))"),"")</f>
        <v/>
      </c>
    </row>
    <row r="470">
      <c r="B470" s="62"/>
      <c r="C470" s="56"/>
      <c r="D470" s="56"/>
      <c r="E470" s="56"/>
      <c r="F470" s="63"/>
      <c r="G470" s="64"/>
      <c r="H470" s="65"/>
      <c r="I470" s="63"/>
      <c r="K470" s="53" t="str">
        <f>IFERROR(__xludf.DUMMYFUNCTION("IF(ISBLANK(B470),"""",IF(ISDATE(B470),""X"",""""))"),"")</f>
        <v/>
      </c>
      <c r="L470" s="40" t="str">
        <f>IFERROR(__xludf.DUMMYFUNCTION("IF(ISBLANK(B470),"""",IF(Or(I470=""Em Aberto"",ISBLANK(I470),NOT(ISDATE(B470))),"""",H470))"),"")</f>
        <v/>
      </c>
      <c r="M470" s="29" t="str">
        <f>IFERROR(__xludf.DUMMYFUNCTION("IF(ISBLANK(B470),"""",IF(ISDATE(B470),TEXT(B470,""m""),""""))"),"")</f>
        <v/>
      </c>
      <c r="N470" s="29" t="str">
        <f>IFERROR(__xludf.DUMMYFUNCTION("IF(M470="""","""",QUERY({'Dashboard-Dados'!$Y$2:$AA$13},""Select Col2 Where Col1=""&amp;M470))"),"")</f>
        <v/>
      </c>
      <c r="O470" s="29" t="str">
        <f>IFERROR(__xludf.DUMMYFUNCTION("IF(ISBLANK(B470),"""",IF(ISDATE(B470),TEXT(B470,""yyyy""),""""))"),"")</f>
        <v/>
      </c>
    </row>
    <row r="471">
      <c r="B471" s="62"/>
      <c r="C471" s="56"/>
      <c r="D471" s="56"/>
      <c r="E471" s="56"/>
      <c r="F471" s="63"/>
      <c r="G471" s="64"/>
      <c r="H471" s="65"/>
      <c r="I471" s="63"/>
      <c r="K471" s="53" t="str">
        <f>IFERROR(__xludf.DUMMYFUNCTION("IF(ISBLANK(B471),"""",IF(ISDATE(B471),""X"",""""))"),"")</f>
        <v/>
      </c>
      <c r="L471" s="40" t="str">
        <f>IFERROR(__xludf.DUMMYFUNCTION("IF(ISBLANK(B471),"""",IF(Or(I471=""Em Aberto"",ISBLANK(I471),NOT(ISDATE(B471))),"""",H471))"),"")</f>
        <v/>
      </c>
      <c r="M471" s="29" t="str">
        <f>IFERROR(__xludf.DUMMYFUNCTION("IF(ISBLANK(B471),"""",IF(ISDATE(B471),TEXT(B471,""m""),""""))"),"")</f>
        <v/>
      </c>
      <c r="N471" s="29" t="str">
        <f>IFERROR(__xludf.DUMMYFUNCTION("IF(M471="""","""",QUERY({'Dashboard-Dados'!$Y$2:$AA$13},""Select Col2 Where Col1=""&amp;M471))"),"")</f>
        <v/>
      </c>
      <c r="O471" s="29" t="str">
        <f>IFERROR(__xludf.DUMMYFUNCTION("IF(ISBLANK(B471),"""",IF(ISDATE(B471),TEXT(B471,""yyyy""),""""))"),"")</f>
        <v/>
      </c>
    </row>
    <row r="472">
      <c r="B472" s="62"/>
      <c r="C472" s="56"/>
      <c r="D472" s="56"/>
      <c r="E472" s="56"/>
      <c r="F472" s="63"/>
      <c r="G472" s="64"/>
      <c r="H472" s="65"/>
      <c r="I472" s="63"/>
      <c r="K472" s="53" t="str">
        <f>IFERROR(__xludf.DUMMYFUNCTION("IF(ISBLANK(B472),"""",IF(ISDATE(B472),""X"",""""))"),"")</f>
        <v/>
      </c>
      <c r="L472" s="40" t="str">
        <f>IFERROR(__xludf.DUMMYFUNCTION("IF(ISBLANK(B472),"""",IF(Or(I472=""Em Aberto"",ISBLANK(I472),NOT(ISDATE(B472))),"""",H472))"),"")</f>
        <v/>
      </c>
      <c r="M472" s="29" t="str">
        <f>IFERROR(__xludf.DUMMYFUNCTION("IF(ISBLANK(B472),"""",IF(ISDATE(B472),TEXT(B472,""m""),""""))"),"")</f>
        <v/>
      </c>
      <c r="N472" s="29" t="str">
        <f>IFERROR(__xludf.DUMMYFUNCTION("IF(M472="""","""",QUERY({'Dashboard-Dados'!$Y$2:$AA$13},""Select Col2 Where Col1=""&amp;M472))"),"")</f>
        <v/>
      </c>
      <c r="O472" s="29" t="str">
        <f>IFERROR(__xludf.DUMMYFUNCTION("IF(ISBLANK(B472),"""",IF(ISDATE(B472),TEXT(B472,""yyyy""),""""))"),"")</f>
        <v/>
      </c>
    </row>
    <row r="473">
      <c r="B473" s="62"/>
      <c r="C473" s="56"/>
      <c r="D473" s="56"/>
      <c r="E473" s="56"/>
      <c r="F473" s="63"/>
      <c r="G473" s="64"/>
      <c r="H473" s="65"/>
      <c r="I473" s="63"/>
      <c r="K473" s="53" t="str">
        <f>IFERROR(__xludf.DUMMYFUNCTION("IF(ISBLANK(B473),"""",IF(ISDATE(B473),""X"",""""))"),"")</f>
        <v/>
      </c>
      <c r="L473" s="40" t="str">
        <f>IFERROR(__xludf.DUMMYFUNCTION("IF(ISBLANK(B473),"""",IF(Or(I473=""Em Aberto"",ISBLANK(I473),NOT(ISDATE(B473))),"""",H473))"),"")</f>
        <v/>
      </c>
      <c r="M473" s="29" t="str">
        <f>IFERROR(__xludf.DUMMYFUNCTION("IF(ISBLANK(B473),"""",IF(ISDATE(B473),TEXT(B473,""m""),""""))"),"")</f>
        <v/>
      </c>
      <c r="N473" s="29" t="str">
        <f>IFERROR(__xludf.DUMMYFUNCTION("IF(M473="""","""",QUERY({'Dashboard-Dados'!$Y$2:$AA$13},""Select Col2 Where Col1=""&amp;M473))"),"")</f>
        <v/>
      </c>
      <c r="O473" s="29" t="str">
        <f>IFERROR(__xludf.DUMMYFUNCTION("IF(ISBLANK(B473),"""",IF(ISDATE(B473),TEXT(B473,""yyyy""),""""))"),"")</f>
        <v/>
      </c>
    </row>
    <row r="474">
      <c r="B474" s="62"/>
      <c r="C474" s="56"/>
      <c r="D474" s="56"/>
      <c r="E474" s="56"/>
      <c r="F474" s="63"/>
      <c r="G474" s="64"/>
      <c r="H474" s="65"/>
      <c r="I474" s="63"/>
      <c r="K474" s="53" t="str">
        <f>IFERROR(__xludf.DUMMYFUNCTION("IF(ISBLANK(B474),"""",IF(ISDATE(B474),""X"",""""))"),"")</f>
        <v/>
      </c>
      <c r="L474" s="40" t="str">
        <f>IFERROR(__xludf.DUMMYFUNCTION("IF(ISBLANK(B474),"""",IF(Or(I474=""Em Aberto"",ISBLANK(I474),NOT(ISDATE(B474))),"""",H474))"),"")</f>
        <v/>
      </c>
      <c r="M474" s="29" t="str">
        <f>IFERROR(__xludf.DUMMYFUNCTION("IF(ISBLANK(B474),"""",IF(ISDATE(B474),TEXT(B474,""m""),""""))"),"")</f>
        <v/>
      </c>
      <c r="N474" s="29" t="str">
        <f>IFERROR(__xludf.DUMMYFUNCTION("IF(M474="""","""",QUERY({'Dashboard-Dados'!$Y$2:$AA$13},""Select Col2 Where Col1=""&amp;M474))"),"")</f>
        <v/>
      </c>
      <c r="O474" s="29" t="str">
        <f>IFERROR(__xludf.DUMMYFUNCTION("IF(ISBLANK(B474),"""",IF(ISDATE(B474),TEXT(B474,""yyyy""),""""))"),"")</f>
        <v/>
      </c>
    </row>
    <row r="475">
      <c r="B475" s="62"/>
      <c r="C475" s="56"/>
      <c r="D475" s="56"/>
      <c r="E475" s="56"/>
      <c r="F475" s="63"/>
      <c r="G475" s="64"/>
      <c r="H475" s="65"/>
      <c r="I475" s="63"/>
      <c r="K475" s="53" t="str">
        <f>IFERROR(__xludf.DUMMYFUNCTION("IF(ISBLANK(B475),"""",IF(ISDATE(B475),""X"",""""))"),"")</f>
        <v/>
      </c>
      <c r="L475" s="40" t="str">
        <f>IFERROR(__xludf.DUMMYFUNCTION("IF(ISBLANK(B475),"""",IF(Or(I475=""Em Aberto"",ISBLANK(I475),NOT(ISDATE(B475))),"""",H475))"),"")</f>
        <v/>
      </c>
      <c r="M475" s="29" t="str">
        <f>IFERROR(__xludf.DUMMYFUNCTION("IF(ISBLANK(B475),"""",IF(ISDATE(B475),TEXT(B475,""m""),""""))"),"")</f>
        <v/>
      </c>
      <c r="N475" s="29" t="str">
        <f>IFERROR(__xludf.DUMMYFUNCTION("IF(M475="""","""",QUERY({'Dashboard-Dados'!$Y$2:$AA$13},""Select Col2 Where Col1=""&amp;M475))"),"")</f>
        <v/>
      </c>
      <c r="O475" s="29" t="str">
        <f>IFERROR(__xludf.DUMMYFUNCTION("IF(ISBLANK(B475),"""",IF(ISDATE(B475),TEXT(B475,""yyyy""),""""))"),"")</f>
        <v/>
      </c>
    </row>
    <row r="476">
      <c r="B476" s="62"/>
      <c r="C476" s="56"/>
      <c r="D476" s="56"/>
      <c r="E476" s="56"/>
      <c r="F476" s="63"/>
      <c r="G476" s="64"/>
      <c r="H476" s="65"/>
      <c r="I476" s="63"/>
      <c r="K476" s="53" t="str">
        <f>IFERROR(__xludf.DUMMYFUNCTION("IF(ISBLANK(B476),"""",IF(ISDATE(B476),""X"",""""))"),"")</f>
        <v/>
      </c>
      <c r="L476" s="40" t="str">
        <f>IFERROR(__xludf.DUMMYFUNCTION("IF(ISBLANK(B476),"""",IF(Or(I476=""Em Aberto"",ISBLANK(I476),NOT(ISDATE(B476))),"""",H476))"),"")</f>
        <v/>
      </c>
      <c r="M476" s="29" t="str">
        <f>IFERROR(__xludf.DUMMYFUNCTION("IF(ISBLANK(B476),"""",IF(ISDATE(B476),TEXT(B476,""m""),""""))"),"")</f>
        <v/>
      </c>
      <c r="N476" s="29" t="str">
        <f>IFERROR(__xludf.DUMMYFUNCTION("IF(M476="""","""",QUERY({'Dashboard-Dados'!$Y$2:$AA$13},""Select Col2 Where Col1=""&amp;M476))"),"")</f>
        <v/>
      </c>
      <c r="O476" s="29" t="str">
        <f>IFERROR(__xludf.DUMMYFUNCTION("IF(ISBLANK(B476),"""",IF(ISDATE(B476),TEXT(B476,""yyyy""),""""))"),"")</f>
        <v/>
      </c>
    </row>
    <row r="477">
      <c r="B477" s="62"/>
      <c r="C477" s="56"/>
      <c r="D477" s="56"/>
      <c r="E477" s="56"/>
      <c r="F477" s="63"/>
      <c r="G477" s="64"/>
      <c r="H477" s="65"/>
      <c r="I477" s="63"/>
      <c r="K477" s="53" t="str">
        <f>IFERROR(__xludf.DUMMYFUNCTION("IF(ISBLANK(B477),"""",IF(ISDATE(B477),""X"",""""))"),"")</f>
        <v/>
      </c>
      <c r="L477" s="40" t="str">
        <f>IFERROR(__xludf.DUMMYFUNCTION("IF(ISBLANK(B477),"""",IF(Or(I477=""Em Aberto"",ISBLANK(I477),NOT(ISDATE(B477))),"""",H477))"),"")</f>
        <v/>
      </c>
      <c r="M477" s="29" t="str">
        <f>IFERROR(__xludf.DUMMYFUNCTION("IF(ISBLANK(B477),"""",IF(ISDATE(B477),TEXT(B477,""m""),""""))"),"")</f>
        <v/>
      </c>
      <c r="N477" s="29" t="str">
        <f>IFERROR(__xludf.DUMMYFUNCTION("IF(M477="""","""",QUERY({'Dashboard-Dados'!$Y$2:$AA$13},""Select Col2 Where Col1=""&amp;M477))"),"")</f>
        <v/>
      </c>
      <c r="O477" s="29" t="str">
        <f>IFERROR(__xludf.DUMMYFUNCTION("IF(ISBLANK(B477),"""",IF(ISDATE(B477),TEXT(B477,""yyyy""),""""))"),"")</f>
        <v/>
      </c>
    </row>
    <row r="478">
      <c r="B478" s="62"/>
      <c r="C478" s="56"/>
      <c r="D478" s="56"/>
      <c r="E478" s="56"/>
      <c r="F478" s="63"/>
      <c r="G478" s="64"/>
      <c r="H478" s="65"/>
      <c r="I478" s="63"/>
      <c r="K478" s="53" t="str">
        <f>IFERROR(__xludf.DUMMYFUNCTION("IF(ISBLANK(B478),"""",IF(ISDATE(B478),""X"",""""))"),"")</f>
        <v/>
      </c>
      <c r="L478" s="40" t="str">
        <f>IFERROR(__xludf.DUMMYFUNCTION("IF(ISBLANK(B478),"""",IF(Or(I478=""Em Aberto"",ISBLANK(I478),NOT(ISDATE(B478))),"""",H478))"),"")</f>
        <v/>
      </c>
      <c r="M478" s="29" t="str">
        <f>IFERROR(__xludf.DUMMYFUNCTION("IF(ISBLANK(B478),"""",IF(ISDATE(B478),TEXT(B478,""m""),""""))"),"")</f>
        <v/>
      </c>
      <c r="N478" s="29" t="str">
        <f>IFERROR(__xludf.DUMMYFUNCTION("IF(M478="""","""",QUERY({'Dashboard-Dados'!$Y$2:$AA$13},""Select Col2 Where Col1=""&amp;M478))"),"")</f>
        <v/>
      </c>
      <c r="O478" s="29" t="str">
        <f>IFERROR(__xludf.DUMMYFUNCTION("IF(ISBLANK(B478),"""",IF(ISDATE(B478),TEXT(B478,""yyyy""),""""))"),"")</f>
        <v/>
      </c>
    </row>
    <row r="479">
      <c r="B479" s="62"/>
      <c r="C479" s="56"/>
      <c r="D479" s="56"/>
      <c r="E479" s="56"/>
      <c r="F479" s="63"/>
      <c r="G479" s="64"/>
      <c r="H479" s="65"/>
      <c r="I479" s="63"/>
      <c r="K479" s="53" t="str">
        <f>IFERROR(__xludf.DUMMYFUNCTION("IF(ISBLANK(B479),"""",IF(ISDATE(B479),""X"",""""))"),"")</f>
        <v/>
      </c>
      <c r="L479" s="40" t="str">
        <f>IFERROR(__xludf.DUMMYFUNCTION("IF(ISBLANK(B479),"""",IF(Or(I479=""Em Aberto"",ISBLANK(I479),NOT(ISDATE(B479))),"""",H479))"),"")</f>
        <v/>
      </c>
      <c r="M479" s="29" t="str">
        <f>IFERROR(__xludf.DUMMYFUNCTION("IF(ISBLANK(B479),"""",IF(ISDATE(B479),TEXT(B479,""m""),""""))"),"")</f>
        <v/>
      </c>
      <c r="N479" s="29" t="str">
        <f>IFERROR(__xludf.DUMMYFUNCTION("IF(M479="""","""",QUERY({'Dashboard-Dados'!$Y$2:$AA$13},""Select Col2 Where Col1=""&amp;M479))"),"")</f>
        <v/>
      </c>
      <c r="O479" s="29" t="str">
        <f>IFERROR(__xludf.DUMMYFUNCTION("IF(ISBLANK(B479),"""",IF(ISDATE(B479),TEXT(B479,""yyyy""),""""))"),"")</f>
        <v/>
      </c>
    </row>
    <row r="480">
      <c r="B480" s="62"/>
      <c r="C480" s="56"/>
      <c r="D480" s="56"/>
      <c r="E480" s="56"/>
      <c r="F480" s="63"/>
      <c r="G480" s="64"/>
      <c r="H480" s="65"/>
      <c r="I480" s="63"/>
      <c r="K480" s="53" t="str">
        <f>IFERROR(__xludf.DUMMYFUNCTION("IF(ISBLANK(B480),"""",IF(ISDATE(B480),""X"",""""))"),"")</f>
        <v/>
      </c>
      <c r="L480" s="40" t="str">
        <f>IFERROR(__xludf.DUMMYFUNCTION("IF(ISBLANK(B480),"""",IF(Or(I480=""Em Aberto"",ISBLANK(I480),NOT(ISDATE(B480))),"""",H480))"),"")</f>
        <v/>
      </c>
      <c r="M480" s="29" t="str">
        <f>IFERROR(__xludf.DUMMYFUNCTION("IF(ISBLANK(B480),"""",IF(ISDATE(B480),TEXT(B480,""m""),""""))"),"")</f>
        <v/>
      </c>
      <c r="N480" s="29" t="str">
        <f>IFERROR(__xludf.DUMMYFUNCTION("IF(M480="""","""",QUERY({'Dashboard-Dados'!$Y$2:$AA$13},""Select Col2 Where Col1=""&amp;M480))"),"")</f>
        <v/>
      </c>
      <c r="O480" s="29" t="str">
        <f>IFERROR(__xludf.DUMMYFUNCTION("IF(ISBLANK(B480),"""",IF(ISDATE(B480),TEXT(B480,""yyyy""),""""))"),"")</f>
        <v/>
      </c>
    </row>
    <row r="481">
      <c r="B481" s="62"/>
      <c r="C481" s="56"/>
      <c r="D481" s="56"/>
      <c r="E481" s="56"/>
      <c r="F481" s="63"/>
      <c r="G481" s="64"/>
      <c r="H481" s="65"/>
      <c r="I481" s="63"/>
      <c r="K481" s="53" t="str">
        <f>IFERROR(__xludf.DUMMYFUNCTION("IF(ISBLANK(B481),"""",IF(ISDATE(B481),""X"",""""))"),"")</f>
        <v/>
      </c>
      <c r="L481" s="40" t="str">
        <f>IFERROR(__xludf.DUMMYFUNCTION("IF(ISBLANK(B481),"""",IF(Or(I481=""Em Aberto"",ISBLANK(I481),NOT(ISDATE(B481))),"""",H481))"),"")</f>
        <v/>
      </c>
      <c r="M481" s="29" t="str">
        <f>IFERROR(__xludf.DUMMYFUNCTION("IF(ISBLANK(B481),"""",IF(ISDATE(B481),TEXT(B481,""m""),""""))"),"")</f>
        <v/>
      </c>
      <c r="N481" s="29" t="str">
        <f>IFERROR(__xludf.DUMMYFUNCTION("IF(M481="""","""",QUERY({'Dashboard-Dados'!$Y$2:$AA$13},""Select Col2 Where Col1=""&amp;M481))"),"")</f>
        <v/>
      </c>
      <c r="O481" s="29" t="str">
        <f>IFERROR(__xludf.DUMMYFUNCTION("IF(ISBLANK(B481),"""",IF(ISDATE(B481),TEXT(B481,""yyyy""),""""))"),"")</f>
        <v/>
      </c>
    </row>
    <row r="482">
      <c r="B482" s="62"/>
      <c r="C482" s="56"/>
      <c r="D482" s="56"/>
      <c r="E482" s="56"/>
      <c r="F482" s="63"/>
      <c r="G482" s="64"/>
      <c r="H482" s="65"/>
      <c r="I482" s="63"/>
      <c r="K482" s="53" t="str">
        <f>IFERROR(__xludf.DUMMYFUNCTION("IF(ISBLANK(B482),"""",IF(ISDATE(B482),""X"",""""))"),"")</f>
        <v/>
      </c>
      <c r="L482" s="40" t="str">
        <f>IFERROR(__xludf.DUMMYFUNCTION("IF(ISBLANK(B482),"""",IF(Or(I482=""Em Aberto"",ISBLANK(I482),NOT(ISDATE(B482))),"""",H482))"),"")</f>
        <v/>
      </c>
      <c r="M482" s="29" t="str">
        <f>IFERROR(__xludf.DUMMYFUNCTION("IF(ISBLANK(B482),"""",IF(ISDATE(B482),TEXT(B482,""m""),""""))"),"")</f>
        <v/>
      </c>
      <c r="N482" s="29" t="str">
        <f>IFERROR(__xludf.DUMMYFUNCTION("IF(M482="""","""",QUERY({'Dashboard-Dados'!$Y$2:$AA$13},""Select Col2 Where Col1=""&amp;M482))"),"")</f>
        <v/>
      </c>
      <c r="O482" s="29" t="str">
        <f>IFERROR(__xludf.DUMMYFUNCTION("IF(ISBLANK(B482),"""",IF(ISDATE(B482),TEXT(B482,""yyyy""),""""))"),"")</f>
        <v/>
      </c>
    </row>
    <row r="483">
      <c r="B483" s="62"/>
      <c r="C483" s="56"/>
      <c r="D483" s="56"/>
      <c r="E483" s="56"/>
      <c r="F483" s="63"/>
      <c r="G483" s="64"/>
      <c r="H483" s="65"/>
      <c r="I483" s="63"/>
      <c r="K483" s="53" t="str">
        <f>IFERROR(__xludf.DUMMYFUNCTION("IF(ISBLANK(B483),"""",IF(ISDATE(B483),""X"",""""))"),"")</f>
        <v/>
      </c>
      <c r="L483" s="40" t="str">
        <f>IFERROR(__xludf.DUMMYFUNCTION("IF(ISBLANK(B483),"""",IF(Or(I483=""Em Aberto"",ISBLANK(I483),NOT(ISDATE(B483))),"""",H483))"),"")</f>
        <v/>
      </c>
      <c r="M483" s="29" t="str">
        <f>IFERROR(__xludf.DUMMYFUNCTION("IF(ISBLANK(B483),"""",IF(ISDATE(B483),TEXT(B483,""m""),""""))"),"")</f>
        <v/>
      </c>
      <c r="N483" s="29" t="str">
        <f>IFERROR(__xludf.DUMMYFUNCTION("IF(M483="""","""",QUERY({'Dashboard-Dados'!$Y$2:$AA$13},""Select Col2 Where Col1=""&amp;M483))"),"")</f>
        <v/>
      </c>
      <c r="O483" s="29" t="str">
        <f>IFERROR(__xludf.DUMMYFUNCTION("IF(ISBLANK(B483),"""",IF(ISDATE(B483),TEXT(B483,""yyyy""),""""))"),"")</f>
        <v/>
      </c>
    </row>
    <row r="484">
      <c r="B484" s="62"/>
      <c r="C484" s="56"/>
      <c r="D484" s="56"/>
      <c r="E484" s="56"/>
      <c r="F484" s="63"/>
      <c r="G484" s="64"/>
      <c r="H484" s="65"/>
      <c r="I484" s="63"/>
      <c r="K484" s="53" t="str">
        <f>IFERROR(__xludf.DUMMYFUNCTION("IF(ISBLANK(B484),"""",IF(ISDATE(B484),""X"",""""))"),"")</f>
        <v/>
      </c>
      <c r="L484" s="40" t="str">
        <f>IFERROR(__xludf.DUMMYFUNCTION("IF(ISBLANK(B484),"""",IF(Or(I484=""Em Aberto"",ISBLANK(I484),NOT(ISDATE(B484))),"""",H484))"),"")</f>
        <v/>
      </c>
      <c r="M484" s="29" t="str">
        <f>IFERROR(__xludf.DUMMYFUNCTION("IF(ISBLANK(B484),"""",IF(ISDATE(B484),TEXT(B484,""m""),""""))"),"")</f>
        <v/>
      </c>
      <c r="N484" s="29" t="str">
        <f>IFERROR(__xludf.DUMMYFUNCTION("IF(M484="""","""",QUERY({'Dashboard-Dados'!$Y$2:$AA$13},""Select Col2 Where Col1=""&amp;M484))"),"")</f>
        <v/>
      </c>
      <c r="O484" s="29" t="str">
        <f>IFERROR(__xludf.DUMMYFUNCTION("IF(ISBLANK(B484),"""",IF(ISDATE(B484),TEXT(B484,""yyyy""),""""))"),"")</f>
        <v/>
      </c>
    </row>
    <row r="485">
      <c r="B485" s="62"/>
      <c r="C485" s="56"/>
      <c r="D485" s="56"/>
      <c r="E485" s="56"/>
      <c r="F485" s="63"/>
      <c r="G485" s="64"/>
      <c r="H485" s="65"/>
      <c r="I485" s="63"/>
      <c r="K485" s="53" t="str">
        <f>IFERROR(__xludf.DUMMYFUNCTION("IF(ISBLANK(B485),"""",IF(ISDATE(B485),""X"",""""))"),"")</f>
        <v/>
      </c>
      <c r="L485" s="40" t="str">
        <f>IFERROR(__xludf.DUMMYFUNCTION("IF(ISBLANK(B485),"""",IF(Or(I485=""Em Aberto"",ISBLANK(I485),NOT(ISDATE(B485))),"""",H485))"),"")</f>
        <v/>
      </c>
      <c r="M485" s="29" t="str">
        <f>IFERROR(__xludf.DUMMYFUNCTION("IF(ISBLANK(B485),"""",IF(ISDATE(B485),TEXT(B485,""m""),""""))"),"")</f>
        <v/>
      </c>
      <c r="N485" s="29" t="str">
        <f>IFERROR(__xludf.DUMMYFUNCTION("IF(M485="""","""",QUERY({'Dashboard-Dados'!$Y$2:$AA$13},""Select Col2 Where Col1=""&amp;M485))"),"")</f>
        <v/>
      </c>
      <c r="O485" s="29" t="str">
        <f>IFERROR(__xludf.DUMMYFUNCTION("IF(ISBLANK(B485),"""",IF(ISDATE(B485),TEXT(B485,""yyyy""),""""))"),"")</f>
        <v/>
      </c>
    </row>
    <row r="486">
      <c r="B486" s="62"/>
      <c r="C486" s="56"/>
      <c r="D486" s="56"/>
      <c r="E486" s="56"/>
      <c r="F486" s="63"/>
      <c r="G486" s="64"/>
      <c r="H486" s="65"/>
      <c r="I486" s="63"/>
      <c r="K486" s="53" t="str">
        <f>IFERROR(__xludf.DUMMYFUNCTION("IF(ISBLANK(B486),"""",IF(ISDATE(B486),""X"",""""))"),"")</f>
        <v/>
      </c>
      <c r="L486" s="40" t="str">
        <f>IFERROR(__xludf.DUMMYFUNCTION("IF(ISBLANK(B486),"""",IF(Or(I486=""Em Aberto"",ISBLANK(I486),NOT(ISDATE(B486))),"""",H486))"),"")</f>
        <v/>
      </c>
      <c r="M486" s="29" t="str">
        <f>IFERROR(__xludf.DUMMYFUNCTION("IF(ISBLANK(B486),"""",IF(ISDATE(B486),TEXT(B486,""m""),""""))"),"")</f>
        <v/>
      </c>
      <c r="N486" s="29" t="str">
        <f>IFERROR(__xludf.DUMMYFUNCTION("IF(M486="""","""",QUERY({'Dashboard-Dados'!$Y$2:$AA$13},""Select Col2 Where Col1=""&amp;M486))"),"")</f>
        <v/>
      </c>
      <c r="O486" s="29" t="str">
        <f>IFERROR(__xludf.DUMMYFUNCTION("IF(ISBLANK(B486),"""",IF(ISDATE(B486),TEXT(B486,""yyyy""),""""))"),"")</f>
        <v/>
      </c>
    </row>
    <row r="487">
      <c r="B487" s="62"/>
      <c r="C487" s="56"/>
      <c r="D487" s="56"/>
      <c r="E487" s="56"/>
      <c r="F487" s="63"/>
      <c r="G487" s="64"/>
      <c r="H487" s="65"/>
      <c r="I487" s="63"/>
      <c r="K487" s="53" t="str">
        <f>IFERROR(__xludf.DUMMYFUNCTION("IF(ISBLANK(B487),"""",IF(ISDATE(B487),""X"",""""))"),"")</f>
        <v/>
      </c>
      <c r="L487" s="40" t="str">
        <f>IFERROR(__xludf.DUMMYFUNCTION("IF(ISBLANK(B487),"""",IF(Or(I487=""Em Aberto"",ISBLANK(I487),NOT(ISDATE(B487))),"""",H487))"),"")</f>
        <v/>
      </c>
      <c r="M487" s="29" t="str">
        <f>IFERROR(__xludf.DUMMYFUNCTION("IF(ISBLANK(B487),"""",IF(ISDATE(B487),TEXT(B487,""m""),""""))"),"")</f>
        <v/>
      </c>
      <c r="N487" s="29" t="str">
        <f>IFERROR(__xludf.DUMMYFUNCTION("IF(M487="""","""",QUERY({'Dashboard-Dados'!$Y$2:$AA$13},""Select Col2 Where Col1=""&amp;M487))"),"")</f>
        <v/>
      </c>
      <c r="O487" s="29" t="str">
        <f>IFERROR(__xludf.DUMMYFUNCTION("IF(ISBLANK(B487),"""",IF(ISDATE(B487),TEXT(B487,""yyyy""),""""))"),"")</f>
        <v/>
      </c>
    </row>
    <row r="488">
      <c r="B488" s="62"/>
      <c r="C488" s="56"/>
      <c r="D488" s="56"/>
      <c r="E488" s="56"/>
      <c r="F488" s="63"/>
      <c r="G488" s="64"/>
      <c r="H488" s="65"/>
      <c r="I488" s="63"/>
      <c r="K488" s="53" t="str">
        <f>IFERROR(__xludf.DUMMYFUNCTION("IF(ISBLANK(B488),"""",IF(ISDATE(B488),""X"",""""))"),"")</f>
        <v/>
      </c>
      <c r="L488" s="40" t="str">
        <f>IFERROR(__xludf.DUMMYFUNCTION("IF(ISBLANK(B488),"""",IF(Or(I488=""Em Aberto"",ISBLANK(I488),NOT(ISDATE(B488))),"""",H488))"),"")</f>
        <v/>
      </c>
      <c r="M488" s="29" t="str">
        <f>IFERROR(__xludf.DUMMYFUNCTION("IF(ISBLANK(B488),"""",IF(ISDATE(B488),TEXT(B488,""m""),""""))"),"")</f>
        <v/>
      </c>
      <c r="N488" s="29" t="str">
        <f>IFERROR(__xludf.DUMMYFUNCTION("IF(M488="""","""",QUERY({'Dashboard-Dados'!$Y$2:$AA$13},""Select Col2 Where Col1=""&amp;M488))"),"")</f>
        <v/>
      </c>
      <c r="O488" s="29" t="str">
        <f>IFERROR(__xludf.DUMMYFUNCTION("IF(ISBLANK(B488),"""",IF(ISDATE(B488),TEXT(B488,""yyyy""),""""))"),"")</f>
        <v/>
      </c>
    </row>
    <row r="489">
      <c r="B489" s="62"/>
      <c r="C489" s="56"/>
      <c r="D489" s="56"/>
      <c r="E489" s="56"/>
      <c r="F489" s="63"/>
      <c r="G489" s="64"/>
      <c r="H489" s="65"/>
      <c r="I489" s="63"/>
      <c r="K489" s="53" t="str">
        <f>IFERROR(__xludf.DUMMYFUNCTION("IF(ISBLANK(B489),"""",IF(ISDATE(B489),""X"",""""))"),"")</f>
        <v/>
      </c>
      <c r="L489" s="40" t="str">
        <f>IFERROR(__xludf.DUMMYFUNCTION("IF(ISBLANK(B489),"""",IF(Or(I489=""Em Aberto"",ISBLANK(I489),NOT(ISDATE(B489))),"""",H489))"),"")</f>
        <v/>
      </c>
      <c r="M489" s="29" t="str">
        <f>IFERROR(__xludf.DUMMYFUNCTION("IF(ISBLANK(B489),"""",IF(ISDATE(B489),TEXT(B489,""m""),""""))"),"")</f>
        <v/>
      </c>
      <c r="N489" s="29" t="str">
        <f>IFERROR(__xludf.DUMMYFUNCTION("IF(M489="""","""",QUERY({'Dashboard-Dados'!$Y$2:$AA$13},""Select Col2 Where Col1=""&amp;M489))"),"")</f>
        <v/>
      </c>
      <c r="O489" s="29" t="str">
        <f>IFERROR(__xludf.DUMMYFUNCTION("IF(ISBLANK(B489),"""",IF(ISDATE(B489),TEXT(B489,""yyyy""),""""))"),"")</f>
        <v/>
      </c>
    </row>
    <row r="490">
      <c r="B490" s="62"/>
      <c r="C490" s="56"/>
      <c r="D490" s="56"/>
      <c r="E490" s="56"/>
      <c r="F490" s="63"/>
      <c r="G490" s="64"/>
      <c r="H490" s="65"/>
      <c r="I490" s="63"/>
      <c r="K490" s="53" t="str">
        <f>IFERROR(__xludf.DUMMYFUNCTION("IF(ISBLANK(B490),"""",IF(ISDATE(B490),""X"",""""))"),"")</f>
        <v/>
      </c>
      <c r="L490" s="40" t="str">
        <f>IFERROR(__xludf.DUMMYFUNCTION("IF(ISBLANK(B490),"""",IF(Or(I490=""Em Aberto"",ISBLANK(I490),NOT(ISDATE(B490))),"""",H490))"),"")</f>
        <v/>
      </c>
      <c r="M490" s="29" t="str">
        <f>IFERROR(__xludf.DUMMYFUNCTION("IF(ISBLANK(B490),"""",IF(ISDATE(B490),TEXT(B490,""m""),""""))"),"")</f>
        <v/>
      </c>
      <c r="N490" s="29" t="str">
        <f>IFERROR(__xludf.DUMMYFUNCTION("IF(M490="""","""",QUERY({'Dashboard-Dados'!$Y$2:$AA$13},""Select Col2 Where Col1=""&amp;M490))"),"")</f>
        <v/>
      </c>
      <c r="O490" s="29" t="str">
        <f>IFERROR(__xludf.DUMMYFUNCTION("IF(ISBLANK(B490),"""",IF(ISDATE(B490),TEXT(B490,""yyyy""),""""))"),"")</f>
        <v/>
      </c>
    </row>
    <row r="491">
      <c r="B491" s="62"/>
      <c r="C491" s="56"/>
      <c r="D491" s="56"/>
      <c r="E491" s="56"/>
      <c r="F491" s="63"/>
      <c r="G491" s="64"/>
      <c r="H491" s="65"/>
      <c r="I491" s="63"/>
      <c r="K491" s="53" t="str">
        <f>IFERROR(__xludf.DUMMYFUNCTION("IF(ISBLANK(B491),"""",IF(ISDATE(B491),""X"",""""))"),"")</f>
        <v/>
      </c>
      <c r="L491" s="40" t="str">
        <f>IFERROR(__xludf.DUMMYFUNCTION("IF(ISBLANK(B491),"""",IF(Or(I491=""Em Aberto"",ISBLANK(I491),NOT(ISDATE(B491))),"""",H491))"),"")</f>
        <v/>
      </c>
      <c r="M491" s="29" t="str">
        <f>IFERROR(__xludf.DUMMYFUNCTION("IF(ISBLANK(B491),"""",IF(ISDATE(B491),TEXT(B491,""m""),""""))"),"")</f>
        <v/>
      </c>
      <c r="N491" s="29" t="str">
        <f>IFERROR(__xludf.DUMMYFUNCTION("IF(M491="""","""",QUERY({'Dashboard-Dados'!$Y$2:$AA$13},""Select Col2 Where Col1=""&amp;M491))"),"")</f>
        <v/>
      </c>
      <c r="O491" s="29" t="str">
        <f>IFERROR(__xludf.DUMMYFUNCTION("IF(ISBLANK(B491),"""",IF(ISDATE(B491),TEXT(B491,""yyyy""),""""))"),"")</f>
        <v/>
      </c>
    </row>
    <row r="492">
      <c r="B492" s="62"/>
      <c r="C492" s="56"/>
      <c r="D492" s="56"/>
      <c r="E492" s="56"/>
      <c r="F492" s="63"/>
      <c r="G492" s="64"/>
      <c r="H492" s="65"/>
      <c r="I492" s="63"/>
      <c r="K492" s="53" t="str">
        <f>IFERROR(__xludf.DUMMYFUNCTION("IF(ISBLANK(B492),"""",IF(ISDATE(B492),""X"",""""))"),"")</f>
        <v/>
      </c>
      <c r="L492" s="40" t="str">
        <f>IFERROR(__xludf.DUMMYFUNCTION("IF(ISBLANK(B492),"""",IF(Or(I492=""Em Aberto"",ISBLANK(I492),NOT(ISDATE(B492))),"""",H492))"),"")</f>
        <v/>
      </c>
      <c r="M492" s="29" t="str">
        <f>IFERROR(__xludf.DUMMYFUNCTION("IF(ISBLANK(B492),"""",IF(ISDATE(B492),TEXT(B492,""m""),""""))"),"")</f>
        <v/>
      </c>
      <c r="N492" s="29" t="str">
        <f>IFERROR(__xludf.DUMMYFUNCTION("IF(M492="""","""",QUERY({'Dashboard-Dados'!$Y$2:$AA$13},""Select Col2 Where Col1=""&amp;M492))"),"")</f>
        <v/>
      </c>
      <c r="O492" s="29" t="str">
        <f>IFERROR(__xludf.DUMMYFUNCTION("IF(ISBLANK(B492),"""",IF(ISDATE(B492),TEXT(B492,""yyyy""),""""))"),"")</f>
        <v/>
      </c>
    </row>
    <row r="493">
      <c r="B493" s="62"/>
      <c r="C493" s="56"/>
      <c r="D493" s="56"/>
      <c r="E493" s="56"/>
      <c r="F493" s="63"/>
      <c r="G493" s="64"/>
      <c r="H493" s="65"/>
      <c r="I493" s="63"/>
      <c r="K493" s="53" t="str">
        <f>IFERROR(__xludf.DUMMYFUNCTION("IF(ISBLANK(B493),"""",IF(ISDATE(B493),""X"",""""))"),"")</f>
        <v/>
      </c>
      <c r="L493" s="40" t="str">
        <f>IFERROR(__xludf.DUMMYFUNCTION("IF(ISBLANK(B493),"""",IF(Or(I493=""Em Aberto"",ISBLANK(I493),NOT(ISDATE(B493))),"""",H493))"),"")</f>
        <v/>
      </c>
      <c r="M493" s="29" t="str">
        <f>IFERROR(__xludf.DUMMYFUNCTION("IF(ISBLANK(B493),"""",IF(ISDATE(B493),TEXT(B493,""m""),""""))"),"")</f>
        <v/>
      </c>
      <c r="N493" s="29" t="str">
        <f>IFERROR(__xludf.DUMMYFUNCTION("IF(M493="""","""",QUERY({'Dashboard-Dados'!$Y$2:$AA$13},""Select Col2 Where Col1=""&amp;M493))"),"")</f>
        <v/>
      </c>
      <c r="O493" s="29" t="str">
        <f>IFERROR(__xludf.DUMMYFUNCTION("IF(ISBLANK(B493),"""",IF(ISDATE(B493),TEXT(B493,""yyyy""),""""))"),"")</f>
        <v/>
      </c>
    </row>
    <row r="494">
      <c r="B494" s="62"/>
      <c r="C494" s="56"/>
      <c r="D494" s="56"/>
      <c r="E494" s="56"/>
      <c r="F494" s="63"/>
      <c r="G494" s="64"/>
      <c r="H494" s="65"/>
      <c r="I494" s="63"/>
      <c r="K494" s="53" t="str">
        <f>IFERROR(__xludf.DUMMYFUNCTION("IF(ISBLANK(B494),"""",IF(ISDATE(B494),""X"",""""))"),"")</f>
        <v/>
      </c>
      <c r="L494" s="40" t="str">
        <f>IFERROR(__xludf.DUMMYFUNCTION("IF(ISBLANK(B494),"""",IF(Or(I494=""Em Aberto"",ISBLANK(I494),NOT(ISDATE(B494))),"""",H494))"),"")</f>
        <v/>
      </c>
      <c r="M494" s="29" t="str">
        <f>IFERROR(__xludf.DUMMYFUNCTION("IF(ISBLANK(B494),"""",IF(ISDATE(B494),TEXT(B494,""m""),""""))"),"")</f>
        <v/>
      </c>
      <c r="N494" s="29" t="str">
        <f>IFERROR(__xludf.DUMMYFUNCTION("IF(M494="""","""",QUERY({'Dashboard-Dados'!$Y$2:$AA$13},""Select Col2 Where Col1=""&amp;M494))"),"")</f>
        <v/>
      </c>
      <c r="O494" s="29" t="str">
        <f>IFERROR(__xludf.DUMMYFUNCTION("IF(ISBLANK(B494),"""",IF(ISDATE(B494),TEXT(B494,""yyyy""),""""))"),"")</f>
        <v/>
      </c>
    </row>
    <row r="495">
      <c r="B495" s="62"/>
      <c r="C495" s="56"/>
      <c r="D495" s="56"/>
      <c r="E495" s="56"/>
      <c r="F495" s="63"/>
      <c r="G495" s="64"/>
      <c r="H495" s="65"/>
      <c r="I495" s="63"/>
      <c r="K495" s="53" t="str">
        <f>IFERROR(__xludf.DUMMYFUNCTION("IF(ISBLANK(B495),"""",IF(ISDATE(B495),""X"",""""))"),"")</f>
        <v/>
      </c>
      <c r="L495" s="40" t="str">
        <f>IFERROR(__xludf.DUMMYFUNCTION("IF(ISBLANK(B495),"""",IF(Or(I495=""Em Aberto"",ISBLANK(I495),NOT(ISDATE(B495))),"""",H495))"),"")</f>
        <v/>
      </c>
      <c r="M495" s="29" t="str">
        <f>IFERROR(__xludf.DUMMYFUNCTION("IF(ISBLANK(B495),"""",IF(ISDATE(B495),TEXT(B495,""m""),""""))"),"")</f>
        <v/>
      </c>
      <c r="N495" s="29" t="str">
        <f>IFERROR(__xludf.DUMMYFUNCTION("IF(M495="""","""",QUERY({'Dashboard-Dados'!$Y$2:$AA$13},""Select Col2 Where Col1=""&amp;M495))"),"")</f>
        <v/>
      </c>
      <c r="O495" s="29" t="str">
        <f>IFERROR(__xludf.DUMMYFUNCTION("IF(ISBLANK(B495),"""",IF(ISDATE(B495),TEXT(B495,""yyyy""),""""))"),"")</f>
        <v/>
      </c>
    </row>
    <row r="496">
      <c r="B496" s="62"/>
      <c r="C496" s="56"/>
      <c r="D496" s="56"/>
      <c r="E496" s="56"/>
      <c r="F496" s="63"/>
      <c r="G496" s="64"/>
      <c r="H496" s="65"/>
      <c r="I496" s="63"/>
      <c r="K496" s="53" t="str">
        <f>IFERROR(__xludf.DUMMYFUNCTION("IF(ISBLANK(B496),"""",IF(ISDATE(B496),""X"",""""))"),"")</f>
        <v/>
      </c>
      <c r="L496" s="40" t="str">
        <f>IFERROR(__xludf.DUMMYFUNCTION("IF(ISBLANK(B496),"""",IF(Or(I496=""Em Aberto"",ISBLANK(I496),NOT(ISDATE(B496))),"""",H496))"),"")</f>
        <v/>
      </c>
      <c r="M496" s="29" t="str">
        <f>IFERROR(__xludf.DUMMYFUNCTION("IF(ISBLANK(B496),"""",IF(ISDATE(B496),TEXT(B496,""m""),""""))"),"")</f>
        <v/>
      </c>
      <c r="N496" s="29" t="str">
        <f>IFERROR(__xludf.DUMMYFUNCTION("IF(M496="""","""",QUERY({'Dashboard-Dados'!$Y$2:$AA$13},""Select Col2 Where Col1=""&amp;M496))"),"")</f>
        <v/>
      </c>
      <c r="O496" s="29" t="str">
        <f>IFERROR(__xludf.DUMMYFUNCTION("IF(ISBLANK(B496),"""",IF(ISDATE(B496),TEXT(B496,""yyyy""),""""))"),"")</f>
        <v/>
      </c>
    </row>
    <row r="497">
      <c r="B497" s="62"/>
      <c r="C497" s="56"/>
      <c r="D497" s="56"/>
      <c r="E497" s="56"/>
      <c r="F497" s="63"/>
      <c r="G497" s="64"/>
      <c r="H497" s="65"/>
      <c r="I497" s="63"/>
      <c r="K497" s="53" t="str">
        <f>IFERROR(__xludf.DUMMYFUNCTION("IF(ISBLANK(B497),"""",IF(ISDATE(B497),""X"",""""))"),"")</f>
        <v/>
      </c>
      <c r="L497" s="40" t="str">
        <f>IFERROR(__xludf.DUMMYFUNCTION("IF(ISBLANK(B497),"""",IF(Or(I497=""Em Aberto"",ISBLANK(I497),NOT(ISDATE(B497))),"""",H497))"),"")</f>
        <v/>
      </c>
      <c r="M497" s="29" t="str">
        <f>IFERROR(__xludf.DUMMYFUNCTION("IF(ISBLANK(B497),"""",IF(ISDATE(B497),TEXT(B497,""m""),""""))"),"")</f>
        <v/>
      </c>
      <c r="N497" s="29" t="str">
        <f>IFERROR(__xludf.DUMMYFUNCTION("IF(M497="""","""",QUERY({'Dashboard-Dados'!$Y$2:$AA$13},""Select Col2 Where Col1=""&amp;M497))"),"")</f>
        <v/>
      </c>
      <c r="O497" s="29" t="str">
        <f>IFERROR(__xludf.DUMMYFUNCTION("IF(ISBLANK(B497),"""",IF(ISDATE(B497),TEXT(B497,""yyyy""),""""))"),"")</f>
        <v/>
      </c>
    </row>
    <row r="498">
      <c r="B498" s="62"/>
      <c r="C498" s="56"/>
      <c r="D498" s="56"/>
      <c r="E498" s="56"/>
      <c r="F498" s="63"/>
      <c r="G498" s="64"/>
      <c r="H498" s="65"/>
      <c r="I498" s="63"/>
      <c r="K498" s="53" t="str">
        <f>IFERROR(__xludf.DUMMYFUNCTION("IF(ISBLANK(B498),"""",IF(ISDATE(B498),""X"",""""))"),"")</f>
        <v/>
      </c>
      <c r="L498" s="40" t="str">
        <f>IFERROR(__xludf.DUMMYFUNCTION("IF(ISBLANK(B498),"""",IF(Or(I498=""Em Aberto"",ISBLANK(I498),NOT(ISDATE(B498))),"""",H498))"),"")</f>
        <v/>
      </c>
      <c r="M498" s="29" t="str">
        <f>IFERROR(__xludf.DUMMYFUNCTION("IF(ISBLANK(B498),"""",IF(ISDATE(B498),TEXT(B498,""m""),""""))"),"")</f>
        <v/>
      </c>
      <c r="N498" s="29" t="str">
        <f>IFERROR(__xludf.DUMMYFUNCTION("IF(M498="""","""",QUERY({'Dashboard-Dados'!$Y$2:$AA$13},""Select Col2 Where Col1=""&amp;M498))"),"")</f>
        <v/>
      </c>
      <c r="O498" s="29" t="str">
        <f>IFERROR(__xludf.DUMMYFUNCTION("IF(ISBLANK(B498),"""",IF(ISDATE(B498),TEXT(B498,""yyyy""),""""))"),"")</f>
        <v/>
      </c>
    </row>
    <row r="499">
      <c r="B499" s="62"/>
      <c r="C499" s="56"/>
      <c r="D499" s="56"/>
      <c r="E499" s="56"/>
      <c r="F499" s="63"/>
      <c r="G499" s="64"/>
      <c r="H499" s="65"/>
      <c r="I499" s="63"/>
      <c r="K499" s="53" t="str">
        <f>IFERROR(__xludf.DUMMYFUNCTION("IF(ISBLANK(B499),"""",IF(ISDATE(B499),""X"",""""))"),"")</f>
        <v/>
      </c>
      <c r="L499" s="40" t="str">
        <f>IFERROR(__xludf.DUMMYFUNCTION("IF(ISBLANK(B499),"""",IF(Or(I499=""Em Aberto"",ISBLANK(I499),NOT(ISDATE(B499))),"""",H499))"),"")</f>
        <v/>
      </c>
      <c r="M499" s="29" t="str">
        <f>IFERROR(__xludf.DUMMYFUNCTION("IF(ISBLANK(B499),"""",IF(ISDATE(B499),TEXT(B499,""m""),""""))"),"")</f>
        <v/>
      </c>
      <c r="N499" s="29" t="str">
        <f>IFERROR(__xludf.DUMMYFUNCTION("IF(M499="""","""",QUERY({'Dashboard-Dados'!$Y$2:$AA$13},""Select Col2 Where Col1=""&amp;M499))"),"")</f>
        <v/>
      </c>
      <c r="O499" s="29" t="str">
        <f>IFERROR(__xludf.DUMMYFUNCTION("IF(ISBLANK(B499),"""",IF(ISDATE(B499),TEXT(B499,""yyyy""),""""))"),"")</f>
        <v/>
      </c>
    </row>
    <row r="500">
      <c r="B500" s="62"/>
      <c r="C500" s="56"/>
      <c r="D500" s="56"/>
      <c r="E500" s="56"/>
      <c r="F500" s="63"/>
      <c r="G500" s="64"/>
      <c r="H500" s="65"/>
      <c r="I500" s="63"/>
      <c r="K500" s="53" t="str">
        <f>IFERROR(__xludf.DUMMYFUNCTION("IF(ISBLANK(B500),"""",IF(ISDATE(B500),""X"",""""))"),"")</f>
        <v/>
      </c>
      <c r="L500" s="40" t="str">
        <f>IFERROR(__xludf.DUMMYFUNCTION("IF(ISBLANK(B500),"""",IF(Or(I500=""Em Aberto"",ISBLANK(I500),NOT(ISDATE(B500))),"""",H500))"),"")</f>
        <v/>
      </c>
      <c r="M500" s="29" t="str">
        <f>IFERROR(__xludf.DUMMYFUNCTION("IF(ISBLANK(B500),"""",IF(ISDATE(B500),TEXT(B500,""m""),""""))"),"")</f>
        <v/>
      </c>
      <c r="N500" s="29" t="str">
        <f>IFERROR(__xludf.DUMMYFUNCTION("IF(M500="""","""",QUERY({'Dashboard-Dados'!$Y$2:$AA$13},""Select Col2 Where Col1=""&amp;M500))"),"")</f>
        <v/>
      </c>
      <c r="O500" s="29" t="str">
        <f>IFERROR(__xludf.DUMMYFUNCTION("IF(ISBLANK(B500),"""",IF(ISDATE(B500),TEXT(B500,""yyyy""),""""))"),"")</f>
        <v/>
      </c>
    </row>
    <row r="501">
      <c r="B501" s="62"/>
      <c r="C501" s="56"/>
      <c r="D501" s="56"/>
      <c r="E501" s="56"/>
      <c r="F501" s="63"/>
      <c r="G501" s="64"/>
      <c r="H501" s="65"/>
      <c r="I501" s="63"/>
      <c r="K501" s="53" t="str">
        <f>IFERROR(__xludf.DUMMYFUNCTION("IF(ISBLANK(B501),"""",IF(ISDATE(B501),""X"",""""))"),"")</f>
        <v/>
      </c>
      <c r="L501" s="40" t="str">
        <f>IFERROR(__xludf.DUMMYFUNCTION("IF(ISBLANK(B501),"""",IF(Or(I501=""Em Aberto"",ISBLANK(I501),NOT(ISDATE(B501))),"""",H501))"),"")</f>
        <v/>
      </c>
      <c r="M501" s="29" t="str">
        <f>IFERROR(__xludf.DUMMYFUNCTION("IF(ISBLANK(B501),"""",IF(ISDATE(B501),TEXT(B501,""m""),""""))"),"")</f>
        <v/>
      </c>
      <c r="N501" s="29" t="str">
        <f>IFERROR(__xludf.DUMMYFUNCTION("IF(M501="""","""",QUERY({'Dashboard-Dados'!$Y$2:$AA$13},""Select Col2 Where Col1=""&amp;M501))"),"")</f>
        <v/>
      </c>
      <c r="O501" s="29" t="str">
        <f>IFERROR(__xludf.DUMMYFUNCTION("IF(ISBLANK(B501),"""",IF(ISDATE(B501),TEXT(B501,""yyyy""),""""))"),"")</f>
        <v/>
      </c>
    </row>
    <row r="502">
      <c r="B502" s="62"/>
      <c r="C502" s="56"/>
      <c r="D502" s="56"/>
      <c r="E502" s="56"/>
      <c r="F502" s="63"/>
      <c r="G502" s="64"/>
      <c r="H502" s="65"/>
      <c r="I502" s="63"/>
      <c r="K502" s="53" t="str">
        <f>IFERROR(__xludf.DUMMYFUNCTION("IF(ISBLANK(B502),"""",IF(ISDATE(B502),""X"",""""))"),"")</f>
        <v/>
      </c>
      <c r="L502" s="40" t="str">
        <f>IFERROR(__xludf.DUMMYFUNCTION("IF(ISBLANK(B502),"""",IF(Or(I502=""Em Aberto"",ISBLANK(I502),NOT(ISDATE(B502))),"""",H502))"),"")</f>
        <v/>
      </c>
      <c r="M502" s="29" t="str">
        <f>IFERROR(__xludf.DUMMYFUNCTION("IF(ISBLANK(B502),"""",IF(ISDATE(B502),TEXT(B502,""m""),""""))"),"")</f>
        <v/>
      </c>
      <c r="N502" s="29" t="str">
        <f>IFERROR(__xludf.DUMMYFUNCTION("IF(M502="""","""",QUERY({'Dashboard-Dados'!$Y$2:$AA$13},""Select Col2 Where Col1=""&amp;M502))"),"")</f>
        <v/>
      </c>
      <c r="O502" s="29" t="str">
        <f>IFERROR(__xludf.DUMMYFUNCTION("IF(ISBLANK(B502),"""",IF(ISDATE(B502),TEXT(B502,""yyyy""),""""))"),"")</f>
        <v/>
      </c>
    </row>
    <row r="503">
      <c r="B503" s="62"/>
      <c r="C503" s="56"/>
      <c r="D503" s="56"/>
      <c r="E503" s="56"/>
      <c r="F503" s="63"/>
      <c r="G503" s="64"/>
      <c r="H503" s="65"/>
      <c r="I503" s="63"/>
      <c r="K503" s="53" t="str">
        <f>IFERROR(__xludf.DUMMYFUNCTION("IF(ISBLANK(B503),"""",IF(ISDATE(B503),""X"",""""))"),"")</f>
        <v/>
      </c>
      <c r="L503" s="40" t="str">
        <f>IFERROR(__xludf.DUMMYFUNCTION("IF(ISBLANK(B503),"""",IF(Or(I503=""Em Aberto"",ISBLANK(I503),NOT(ISDATE(B503))),"""",H503))"),"")</f>
        <v/>
      </c>
      <c r="M503" s="29" t="str">
        <f>IFERROR(__xludf.DUMMYFUNCTION("IF(ISBLANK(B503),"""",IF(ISDATE(B503),TEXT(B503,""m""),""""))"),"")</f>
        <v/>
      </c>
      <c r="N503" s="29" t="str">
        <f>IFERROR(__xludf.DUMMYFUNCTION("IF(M503="""","""",QUERY({'Dashboard-Dados'!$Y$2:$AA$13},""Select Col2 Where Col1=""&amp;M503))"),"")</f>
        <v/>
      </c>
      <c r="O503" s="29" t="str">
        <f>IFERROR(__xludf.DUMMYFUNCTION("IF(ISBLANK(B503),"""",IF(ISDATE(B503),TEXT(B503,""yyyy""),""""))"),"")</f>
        <v/>
      </c>
    </row>
    <row r="504">
      <c r="B504" s="62"/>
      <c r="C504" s="56"/>
      <c r="D504" s="56"/>
      <c r="E504" s="56"/>
      <c r="F504" s="63"/>
      <c r="G504" s="64"/>
      <c r="H504" s="65"/>
      <c r="I504" s="63"/>
      <c r="K504" s="53" t="str">
        <f>IFERROR(__xludf.DUMMYFUNCTION("IF(ISBLANK(B504),"""",IF(ISDATE(B504),""X"",""""))"),"")</f>
        <v/>
      </c>
      <c r="L504" s="40" t="str">
        <f>IFERROR(__xludf.DUMMYFUNCTION("IF(ISBLANK(B504),"""",IF(Or(I504=""Em Aberto"",ISBLANK(I504),NOT(ISDATE(B504))),"""",H504))"),"")</f>
        <v/>
      </c>
      <c r="M504" s="29" t="str">
        <f>IFERROR(__xludf.DUMMYFUNCTION("IF(ISBLANK(B504),"""",IF(ISDATE(B504),TEXT(B504,""m""),""""))"),"")</f>
        <v/>
      </c>
      <c r="N504" s="29" t="str">
        <f>IFERROR(__xludf.DUMMYFUNCTION("IF(M504="""","""",QUERY({'Dashboard-Dados'!$Y$2:$AA$13},""Select Col2 Where Col1=""&amp;M504))"),"")</f>
        <v/>
      </c>
      <c r="O504" s="29" t="str">
        <f>IFERROR(__xludf.DUMMYFUNCTION("IF(ISBLANK(B504),"""",IF(ISDATE(B504),TEXT(B504,""yyyy""),""""))"),"")</f>
        <v/>
      </c>
    </row>
    <row r="505">
      <c r="B505" s="62"/>
      <c r="C505" s="56"/>
      <c r="D505" s="56"/>
      <c r="E505" s="56"/>
      <c r="F505" s="63"/>
      <c r="G505" s="64"/>
      <c r="H505" s="65"/>
      <c r="I505" s="63"/>
      <c r="K505" s="53" t="str">
        <f>IFERROR(__xludf.DUMMYFUNCTION("IF(ISBLANK(B505),"""",IF(ISDATE(B505),""X"",""""))"),"")</f>
        <v/>
      </c>
      <c r="L505" s="40" t="str">
        <f>IFERROR(__xludf.DUMMYFUNCTION("IF(ISBLANK(B505),"""",IF(Or(I505=""Em Aberto"",ISBLANK(I505),NOT(ISDATE(B505))),"""",H505))"),"")</f>
        <v/>
      </c>
      <c r="M505" s="29" t="str">
        <f>IFERROR(__xludf.DUMMYFUNCTION("IF(ISBLANK(B505),"""",IF(ISDATE(B505),TEXT(B505,""m""),""""))"),"")</f>
        <v/>
      </c>
      <c r="N505" s="29" t="str">
        <f>IFERROR(__xludf.DUMMYFUNCTION("IF(M505="""","""",QUERY({'Dashboard-Dados'!$Y$2:$AA$13},""Select Col2 Where Col1=""&amp;M505))"),"")</f>
        <v/>
      </c>
      <c r="O505" s="29" t="str">
        <f>IFERROR(__xludf.DUMMYFUNCTION("IF(ISBLANK(B505),"""",IF(ISDATE(B505),TEXT(B505,""yyyy""),""""))"),"")</f>
        <v/>
      </c>
    </row>
    <row r="506">
      <c r="B506" s="62"/>
      <c r="C506" s="56"/>
      <c r="D506" s="56"/>
      <c r="E506" s="56"/>
      <c r="F506" s="63"/>
      <c r="G506" s="64"/>
      <c r="H506" s="65"/>
      <c r="I506" s="63"/>
      <c r="K506" s="53" t="str">
        <f>IFERROR(__xludf.DUMMYFUNCTION("IF(ISBLANK(B506),"""",IF(ISDATE(B506),""X"",""""))"),"")</f>
        <v/>
      </c>
      <c r="L506" s="40" t="str">
        <f>IFERROR(__xludf.DUMMYFUNCTION("IF(ISBLANK(B506),"""",IF(Or(I506=""Em Aberto"",ISBLANK(I506),NOT(ISDATE(B506))),"""",H506))"),"")</f>
        <v/>
      </c>
      <c r="M506" s="29" t="str">
        <f>IFERROR(__xludf.DUMMYFUNCTION("IF(ISBLANK(B506),"""",IF(ISDATE(B506),TEXT(B506,""m""),""""))"),"")</f>
        <v/>
      </c>
      <c r="N506" s="29" t="str">
        <f>IFERROR(__xludf.DUMMYFUNCTION("IF(M506="""","""",QUERY({'Dashboard-Dados'!$Y$2:$AA$13},""Select Col2 Where Col1=""&amp;M506))"),"")</f>
        <v/>
      </c>
      <c r="O506" s="29" t="str">
        <f>IFERROR(__xludf.DUMMYFUNCTION("IF(ISBLANK(B506),"""",IF(ISDATE(B506),TEXT(B506,""yyyy""),""""))"),"")</f>
        <v/>
      </c>
    </row>
    <row r="507">
      <c r="B507" s="62"/>
      <c r="C507" s="56"/>
      <c r="D507" s="56"/>
      <c r="E507" s="56"/>
      <c r="F507" s="63"/>
      <c r="G507" s="64"/>
      <c r="H507" s="65"/>
      <c r="I507" s="63"/>
      <c r="K507" s="53" t="str">
        <f>IFERROR(__xludf.DUMMYFUNCTION("IF(ISBLANK(B507),"""",IF(ISDATE(B507),""X"",""""))"),"")</f>
        <v/>
      </c>
      <c r="L507" s="40" t="str">
        <f>IFERROR(__xludf.DUMMYFUNCTION("IF(ISBLANK(B507),"""",IF(Or(I507=""Em Aberto"",ISBLANK(I507),NOT(ISDATE(B507))),"""",H507))"),"")</f>
        <v/>
      </c>
      <c r="M507" s="29" t="str">
        <f>IFERROR(__xludf.DUMMYFUNCTION("IF(ISBLANK(B507),"""",IF(ISDATE(B507),TEXT(B507,""m""),""""))"),"")</f>
        <v/>
      </c>
      <c r="N507" s="29" t="str">
        <f>IFERROR(__xludf.DUMMYFUNCTION("IF(M507="""","""",QUERY({'Dashboard-Dados'!$Y$2:$AA$13},""Select Col2 Where Col1=""&amp;M507))"),"")</f>
        <v/>
      </c>
      <c r="O507" s="29" t="str">
        <f>IFERROR(__xludf.DUMMYFUNCTION("IF(ISBLANK(B507),"""",IF(ISDATE(B507),TEXT(B507,""yyyy""),""""))"),"")</f>
        <v/>
      </c>
    </row>
    <row r="508">
      <c r="B508" s="62"/>
      <c r="C508" s="56"/>
      <c r="D508" s="56"/>
      <c r="E508" s="56"/>
      <c r="F508" s="63"/>
      <c r="G508" s="64"/>
      <c r="H508" s="65"/>
      <c r="I508" s="63"/>
      <c r="K508" s="53" t="str">
        <f>IFERROR(__xludf.DUMMYFUNCTION("IF(ISBLANK(B508),"""",IF(ISDATE(B508),""X"",""""))"),"")</f>
        <v/>
      </c>
      <c r="L508" s="40" t="str">
        <f>IFERROR(__xludf.DUMMYFUNCTION("IF(ISBLANK(B508),"""",IF(Or(I508=""Em Aberto"",ISBLANK(I508),NOT(ISDATE(B508))),"""",H508))"),"")</f>
        <v/>
      </c>
      <c r="M508" s="29" t="str">
        <f>IFERROR(__xludf.DUMMYFUNCTION("IF(ISBLANK(B508),"""",IF(ISDATE(B508),TEXT(B508,""m""),""""))"),"")</f>
        <v/>
      </c>
      <c r="N508" s="29" t="str">
        <f>IFERROR(__xludf.DUMMYFUNCTION("IF(M508="""","""",QUERY({'Dashboard-Dados'!$Y$2:$AA$13},""Select Col2 Where Col1=""&amp;M508))"),"")</f>
        <v/>
      </c>
      <c r="O508" s="29" t="str">
        <f>IFERROR(__xludf.DUMMYFUNCTION("IF(ISBLANK(B508),"""",IF(ISDATE(B508),TEXT(B508,""yyyy""),""""))"),"")</f>
        <v/>
      </c>
    </row>
    <row r="509">
      <c r="B509" s="62"/>
      <c r="C509" s="56"/>
      <c r="D509" s="56"/>
      <c r="E509" s="56"/>
      <c r="F509" s="63"/>
      <c r="G509" s="64"/>
      <c r="H509" s="65"/>
      <c r="I509" s="63"/>
      <c r="K509" s="53" t="str">
        <f>IFERROR(__xludf.DUMMYFUNCTION("IF(ISBLANK(B509),"""",IF(ISDATE(B509),""X"",""""))"),"")</f>
        <v/>
      </c>
      <c r="L509" s="40" t="str">
        <f>IFERROR(__xludf.DUMMYFUNCTION("IF(ISBLANK(B509),"""",IF(Or(I509=""Em Aberto"",ISBLANK(I509),NOT(ISDATE(B509))),"""",H509))"),"")</f>
        <v/>
      </c>
      <c r="M509" s="29" t="str">
        <f>IFERROR(__xludf.DUMMYFUNCTION("IF(ISBLANK(B509),"""",IF(ISDATE(B509),TEXT(B509,""m""),""""))"),"")</f>
        <v/>
      </c>
      <c r="N509" s="29" t="str">
        <f>IFERROR(__xludf.DUMMYFUNCTION("IF(M509="""","""",QUERY({'Dashboard-Dados'!$Y$2:$AA$13},""Select Col2 Where Col1=""&amp;M509))"),"")</f>
        <v/>
      </c>
      <c r="O509" s="29" t="str">
        <f>IFERROR(__xludf.DUMMYFUNCTION("IF(ISBLANK(B509),"""",IF(ISDATE(B509),TEXT(B509,""yyyy""),""""))"),"")</f>
        <v/>
      </c>
    </row>
    <row r="510">
      <c r="B510" s="62"/>
      <c r="C510" s="56"/>
      <c r="D510" s="56"/>
      <c r="E510" s="56"/>
      <c r="F510" s="63"/>
      <c r="G510" s="64"/>
      <c r="H510" s="65"/>
      <c r="I510" s="63"/>
      <c r="K510" s="53" t="str">
        <f>IFERROR(__xludf.DUMMYFUNCTION("IF(ISBLANK(B510),"""",IF(ISDATE(B510),""X"",""""))"),"")</f>
        <v/>
      </c>
      <c r="L510" s="40" t="str">
        <f>IFERROR(__xludf.DUMMYFUNCTION("IF(ISBLANK(B510),"""",IF(Or(I510=""Em Aberto"",ISBLANK(I510),NOT(ISDATE(B510))),"""",H510))"),"")</f>
        <v/>
      </c>
      <c r="M510" s="29" t="str">
        <f>IFERROR(__xludf.DUMMYFUNCTION("IF(ISBLANK(B510),"""",IF(ISDATE(B510),TEXT(B510,""m""),""""))"),"")</f>
        <v/>
      </c>
      <c r="N510" s="29" t="str">
        <f>IFERROR(__xludf.DUMMYFUNCTION("IF(M510="""","""",QUERY({'Dashboard-Dados'!$Y$2:$AA$13},""Select Col2 Where Col1=""&amp;M510))"),"")</f>
        <v/>
      </c>
      <c r="O510" s="29" t="str">
        <f>IFERROR(__xludf.DUMMYFUNCTION("IF(ISBLANK(B510),"""",IF(ISDATE(B510),TEXT(B510,""yyyy""),""""))"),"")</f>
        <v/>
      </c>
    </row>
    <row r="511">
      <c r="B511" s="62"/>
      <c r="C511" s="56"/>
      <c r="D511" s="56"/>
      <c r="E511" s="56"/>
      <c r="F511" s="63"/>
      <c r="G511" s="64"/>
      <c r="H511" s="65"/>
      <c r="I511" s="63"/>
      <c r="K511" s="53" t="str">
        <f>IFERROR(__xludf.DUMMYFUNCTION("IF(ISBLANK(B511),"""",IF(ISDATE(B511),""X"",""""))"),"")</f>
        <v/>
      </c>
      <c r="L511" s="40" t="str">
        <f>IFERROR(__xludf.DUMMYFUNCTION("IF(ISBLANK(B511),"""",IF(Or(I511=""Em Aberto"",ISBLANK(I511),NOT(ISDATE(B511))),"""",H511))"),"")</f>
        <v/>
      </c>
      <c r="M511" s="29" t="str">
        <f>IFERROR(__xludf.DUMMYFUNCTION("IF(ISBLANK(B511),"""",IF(ISDATE(B511),TEXT(B511,""m""),""""))"),"")</f>
        <v/>
      </c>
      <c r="N511" s="29" t="str">
        <f>IFERROR(__xludf.DUMMYFUNCTION("IF(M511="""","""",QUERY({'Dashboard-Dados'!$Y$2:$AA$13},""Select Col2 Where Col1=""&amp;M511))"),"")</f>
        <v/>
      </c>
      <c r="O511" s="29" t="str">
        <f>IFERROR(__xludf.DUMMYFUNCTION("IF(ISBLANK(B511),"""",IF(ISDATE(B511),TEXT(B511,""yyyy""),""""))"),"")</f>
        <v/>
      </c>
    </row>
    <row r="512">
      <c r="B512" s="62"/>
      <c r="C512" s="56"/>
      <c r="D512" s="56"/>
      <c r="E512" s="56"/>
      <c r="F512" s="63"/>
      <c r="G512" s="64"/>
      <c r="H512" s="65"/>
      <c r="I512" s="63"/>
      <c r="K512" s="53" t="str">
        <f>IFERROR(__xludf.DUMMYFUNCTION("IF(ISBLANK(B512),"""",IF(ISDATE(B512),""X"",""""))"),"")</f>
        <v/>
      </c>
      <c r="L512" s="40" t="str">
        <f>IFERROR(__xludf.DUMMYFUNCTION("IF(ISBLANK(B512),"""",IF(Or(I512=""Em Aberto"",ISBLANK(I512),NOT(ISDATE(B512))),"""",H512))"),"")</f>
        <v/>
      </c>
      <c r="M512" s="29" t="str">
        <f>IFERROR(__xludf.DUMMYFUNCTION("IF(ISBLANK(B512),"""",IF(ISDATE(B512),TEXT(B512,""m""),""""))"),"")</f>
        <v/>
      </c>
      <c r="N512" s="29" t="str">
        <f>IFERROR(__xludf.DUMMYFUNCTION("IF(M512="""","""",QUERY({'Dashboard-Dados'!$Y$2:$AA$13},""Select Col2 Where Col1=""&amp;M512))"),"")</f>
        <v/>
      </c>
      <c r="O512" s="29" t="str">
        <f>IFERROR(__xludf.DUMMYFUNCTION("IF(ISBLANK(B512),"""",IF(ISDATE(B512),TEXT(B512,""yyyy""),""""))"),"")</f>
        <v/>
      </c>
    </row>
    <row r="513">
      <c r="B513" s="62"/>
      <c r="C513" s="56"/>
      <c r="D513" s="56"/>
      <c r="E513" s="56"/>
      <c r="F513" s="63"/>
      <c r="G513" s="64"/>
      <c r="H513" s="65"/>
      <c r="I513" s="63"/>
      <c r="K513" s="53" t="str">
        <f>IFERROR(__xludf.DUMMYFUNCTION("IF(ISBLANK(B513),"""",IF(ISDATE(B513),""X"",""""))"),"")</f>
        <v/>
      </c>
      <c r="L513" s="40" t="str">
        <f>IFERROR(__xludf.DUMMYFUNCTION("IF(ISBLANK(B513),"""",IF(Or(I513=""Em Aberto"",ISBLANK(I513),NOT(ISDATE(B513))),"""",H513))"),"")</f>
        <v/>
      </c>
      <c r="M513" s="29" t="str">
        <f>IFERROR(__xludf.DUMMYFUNCTION("IF(ISBLANK(B513),"""",IF(ISDATE(B513),TEXT(B513,""m""),""""))"),"")</f>
        <v/>
      </c>
      <c r="N513" s="29" t="str">
        <f>IFERROR(__xludf.DUMMYFUNCTION("IF(M513="""","""",QUERY({'Dashboard-Dados'!$Y$2:$AA$13},""Select Col2 Where Col1=""&amp;M513))"),"")</f>
        <v/>
      </c>
      <c r="O513" s="29" t="str">
        <f>IFERROR(__xludf.DUMMYFUNCTION("IF(ISBLANK(B513),"""",IF(ISDATE(B513),TEXT(B513,""yyyy""),""""))"),"")</f>
        <v/>
      </c>
    </row>
    <row r="514">
      <c r="B514" s="62"/>
      <c r="C514" s="56"/>
      <c r="D514" s="56"/>
      <c r="E514" s="56"/>
      <c r="F514" s="63"/>
      <c r="G514" s="64"/>
      <c r="H514" s="65"/>
      <c r="I514" s="63"/>
      <c r="K514" s="53" t="str">
        <f>IFERROR(__xludf.DUMMYFUNCTION("IF(ISBLANK(B514),"""",IF(ISDATE(B514),""X"",""""))"),"")</f>
        <v/>
      </c>
      <c r="L514" s="40" t="str">
        <f>IFERROR(__xludf.DUMMYFUNCTION("IF(ISBLANK(B514),"""",IF(Or(I514=""Em Aberto"",ISBLANK(I514),NOT(ISDATE(B514))),"""",H514))"),"")</f>
        <v/>
      </c>
      <c r="M514" s="29" t="str">
        <f>IFERROR(__xludf.DUMMYFUNCTION("IF(ISBLANK(B514),"""",IF(ISDATE(B514),TEXT(B514,""m""),""""))"),"")</f>
        <v/>
      </c>
      <c r="N514" s="29" t="str">
        <f>IFERROR(__xludf.DUMMYFUNCTION("IF(M514="""","""",QUERY({'Dashboard-Dados'!$Y$2:$AA$13},""Select Col2 Where Col1=""&amp;M514))"),"")</f>
        <v/>
      </c>
      <c r="O514" s="29" t="str">
        <f>IFERROR(__xludf.DUMMYFUNCTION("IF(ISBLANK(B514),"""",IF(ISDATE(B514),TEXT(B514,""yyyy""),""""))"),"")</f>
        <v/>
      </c>
    </row>
    <row r="515">
      <c r="B515" s="62"/>
      <c r="C515" s="56"/>
      <c r="D515" s="56"/>
      <c r="E515" s="56"/>
      <c r="F515" s="63"/>
      <c r="G515" s="64"/>
      <c r="H515" s="65"/>
      <c r="I515" s="63"/>
      <c r="K515" s="53" t="str">
        <f>IFERROR(__xludf.DUMMYFUNCTION("IF(ISBLANK(B515),"""",IF(ISDATE(B515),""X"",""""))"),"")</f>
        <v/>
      </c>
      <c r="L515" s="40" t="str">
        <f>IFERROR(__xludf.DUMMYFUNCTION("IF(ISBLANK(B515),"""",IF(Or(I515=""Em Aberto"",ISBLANK(I515),NOT(ISDATE(B515))),"""",H515))"),"")</f>
        <v/>
      </c>
      <c r="M515" s="29" t="str">
        <f>IFERROR(__xludf.DUMMYFUNCTION("IF(ISBLANK(B515),"""",IF(ISDATE(B515),TEXT(B515,""m""),""""))"),"")</f>
        <v/>
      </c>
      <c r="N515" s="29" t="str">
        <f>IFERROR(__xludf.DUMMYFUNCTION("IF(M515="""","""",QUERY({'Dashboard-Dados'!$Y$2:$AA$13},""Select Col2 Where Col1=""&amp;M515))"),"")</f>
        <v/>
      </c>
      <c r="O515" s="29" t="str">
        <f>IFERROR(__xludf.DUMMYFUNCTION("IF(ISBLANK(B515),"""",IF(ISDATE(B515),TEXT(B515,""yyyy""),""""))"),"")</f>
        <v/>
      </c>
    </row>
    <row r="516">
      <c r="B516" s="62"/>
      <c r="C516" s="56"/>
      <c r="D516" s="56"/>
      <c r="E516" s="56"/>
      <c r="F516" s="63"/>
      <c r="G516" s="64"/>
      <c r="H516" s="65"/>
      <c r="I516" s="63"/>
      <c r="K516" s="53" t="str">
        <f>IFERROR(__xludf.DUMMYFUNCTION("IF(ISBLANK(B516),"""",IF(ISDATE(B516),""X"",""""))"),"")</f>
        <v/>
      </c>
      <c r="L516" s="40" t="str">
        <f>IFERROR(__xludf.DUMMYFUNCTION("IF(ISBLANK(B516),"""",IF(Or(I516=""Em Aberto"",ISBLANK(I516),NOT(ISDATE(B516))),"""",H516))"),"")</f>
        <v/>
      </c>
      <c r="M516" s="29" t="str">
        <f>IFERROR(__xludf.DUMMYFUNCTION("IF(ISBLANK(B516),"""",IF(ISDATE(B516),TEXT(B516,""m""),""""))"),"")</f>
        <v/>
      </c>
      <c r="N516" s="29" t="str">
        <f>IFERROR(__xludf.DUMMYFUNCTION("IF(M516="""","""",QUERY({'Dashboard-Dados'!$Y$2:$AA$13},""Select Col2 Where Col1=""&amp;M516))"),"")</f>
        <v/>
      </c>
      <c r="O516" s="29" t="str">
        <f>IFERROR(__xludf.DUMMYFUNCTION("IF(ISBLANK(B516),"""",IF(ISDATE(B516),TEXT(B516,""yyyy""),""""))"),"")</f>
        <v/>
      </c>
    </row>
    <row r="517">
      <c r="B517" s="62"/>
      <c r="C517" s="56"/>
      <c r="D517" s="56"/>
      <c r="E517" s="56"/>
      <c r="F517" s="63"/>
      <c r="G517" s="64"/>
      <c r="H517" s="65"/>
      <c r="I517" s="63"/>
      <c r="K517" s="53" t="str">
        <f>IFERROR(__xludf.DUMMYFUNCTION("IF(ISBLANK(B517),"""",IF(ISDATE(B517),""X"",""""))"),"")</f>
        <v/>
      </c>
      <c r="L517" s="40" t="str">
        <f>IFERROR(__xludf.DUMMYFUNCTION("IF(ISBLANK(B517),"""",IF(Or(I517=""Em Aberto"",ISBLANK(I517),NOT(ISDATE(B517))),"""",H517))"),"")</f>
        <v/>
      </c>
      <c r="M517" s="29" t="str">
        <f>IFERROR(__xludf.DUMMYFUNCTION("IF(ISBLANK(B517),"""",IF(ISDATE(B517),TEXT(B517,""m""),""""))"),"")</f>
        <v/>
      </c>
      <c r="N517" s="29" t="str">
        <f>IFERROR(__xludf.DUMMYFUNCTION("IF(M517="""","""",QUERY({'Dashboard-Dados'!$Y$2:$AA$13},""Select Col2 Where Col1=""&amp;M517))"),"")</f>
        <v/>
      </c>
      <c r="O517" s="29" t="str">
        <f>IFERROR(__xludf.DUMMYFUNCTION("IF(ISBLANK(B517),"""",IF(ISDATE(B517),TEXT(B517,""yyyy""),""""))"),"")</f>
        <v/>
      </c>
    </row>
    <row r="518">
      <c r="B518" s="62"/>
      <c r="C518" s="56"/>
      <c r="D518" s="56"/>
      <c r="E518" s="56"/>
      <c r="F518" s="63"/>
      <c r="G518" s="64"/>
      <c r="H518" s="65"/>
      <c r="I518" s="63"/>
      <c r="K518" s="53" t="str">
        <f>IFERROR(__xludf.DUMMYFUNCTION("IF(ISBLANK(B518),"""",IF(ISDATE(B518),""X"",""""))"),"")</f>
        <v/>
      </c>
      <c r="L518" s="40" t="str">
        <f>IFERROR(__xludf.DUMMYFUNCTION("IF(ISBLANK(B518),"""",IF(Or(I518=""Em Aberto"",ISBLANK(I518),NOT(ISDATE(B518))),"""",H518))"),"")</f>
        <v/>
      </c>
      <c r="M518" s="29" t="str">
        <f>IFERROR(__xludf.DUMMYFUNCTION("IF(ISBLANK(B518),"""",IF(ISDATE(B518),TEXT(B518,""m""),""""))"),"")</f>
        <v/>
      </c>
      <c r="N518" s="29" t="str">
        <f>IFERROR(__xludf.DUMMYFUNCTION("IF(M518="""","""",QUERY({'Dashboard-Dados'!$Y$2:$AA$13},""Select Col2 Where Col1=""&amp;M518))"),"")</f>
        <v/>
      </c>
      <c r="O518" s="29" t="str">
        <f>IFERROR(__xludf.DUMMYFUNCTION("IF(ISBLANK(B518),"""",IF(ISDATE(B518),TEXT(B518,""yyyy""),""""))"),"")</f>
        <v/>
      </c>
    </row>
    <row r="519">
      <c r="B519" s="62"/>
      <c r="C519" s="56"/>
      <c r="D519" s="56"/>
      <c r="E519" s="56"/>
      <c r="F519" s="63"/>
      <c r="G519" s="64"/>
      <c r="H519" s="65"/>
      <c r="I519" s="63"/>
      <c r="K519" s="53" t="str">
        <f>IFERROR(__xludf.DUMMYFUNCTION("IF(ISBLANK(B519),"""",IF(ISDATE(B519),""X"",""""))"),"")</f>
        <v/>
      </c>
      <c r="L519" s="40" t="str">
        <f>IFERROR(__xludf.DUMMYFUNCTION("IF(ISBLANK(B519),"""",IF(Or(I519=""Em Aberto"",ISBLANK(I519),NOT(ISDATE(B519))),"""",H519))"),"")</f>
        <v/>
      </c>
      <c r="M519" s="29" t="str">
        <f>IFERROR(__xludf.DUMMYFUNCTION("IF(ISBLANK(B519),"""",IF(ISDATE(B519),TEXT(B519,""m""),""""))"),"")</f>
        <v/>
      </c>
      <c r="N519" s="29" t="str">
        <f>IFERROR(__xludf.DUMMYFUNCTION("IF(M519="""","""",QUERY({'Dashboard-Dados'!$Y$2:$AA$13},""Select Col2 Where Col1=""&amp;M519))"),"")</f>
        <v/>
      </c>
      <c r="O519" s="29" t="str">
        <f>IFERROR(__xludf.DUMMYFUNCTION("IF(ISBLANK(B519),"""",IF(ISDATE(B519),TEXT(B519,""yyyy""),""""))"),"")</f>
        <v/>
      </c>
    </row>
    <row r="520">
      <c r="B520" s="62"/>
      <c r="C520" s="56"/>
      <c r="D520" s="56"/>
      <c r="E520" s="56"/>
      <c r="F520" s="63"/>
      <c r="G520" s="64"/>
      <c r="H520" s="65"/>
      <c r="I520" s="63"/>
      <c r="K520" s="53" t="str">
        <f>IFERROR(__xludf.DUMMYFUNCTION("IF(ISBLANK(B520),"""",IF(ISDATE(B520),""X"",""""))"),"")</f>
        <v/>
      </c>
      <c r="L520" s="40" t="str">
        <f>IFERROR(__xludf.DUMMYFUNCTION("IF(ISBLANK(B520),"""",IF(Or(I520=""Em Aberto"",ISBLANK(I520),NOT(ISDATE(B520))),"""",H520))"),"")</f>
        <v/>
      </c>
      <c r="M520" s="29" t="str">
        <f>IFERROR(__xludf.DUMMYFUNCTION("IF(ISBLANK(B520),"""",IF(ISDATE(B520),TEXT(B520,""m""),""""))"),"")</f>
        <v/>
      </c>
      <c r="N520" s="29" t="str">
        <f>IFERROR(__xludf.DUMMYFUNCTION("IF(M520="""","""",QUERY({'Dashboard-Dados'!$Y$2:$AA$13},""Select Col2 Where Col1=""&amp;M520))"),"")</f>
        <v/>
      </c>
      <c r="O520" s="29" t="str">
        <f>IFERROR(__xludf.DUMMYFUNCTION("IF(ISBLANK(B520),"""",IF(ISDATE(B520),TEXT(B520,""yyyy""),""""))"),"")</f>
        <v/>
      </c>
    </row>
    <row r="521">
      <c r="B521" s="62"/>
      <c r="C521" s="56"/>
      <c r="D521" s="56"/>
      <c r="E521" s="56"/>
      <c r="F521" s="63"/>
      <c r="G521" s="64"/>
      <c r="H521" s="65"/>
      <c r="I521" s="63"/>
      <c r="K521" s="53" t="str">
        <f>IFERROR(__xludf.DUMMYFUNCTION("IF(ISBLANK(B521),"""",IF(ISDATE(B521),""X"",""""))"),"")</f>
        <v/>
      </c>
      <c r="L521" s="40" t="str">
        <f>IFERROR(__xludf.DUMMYFUNCTION("IF(ISBLANK(B521),"""",IF(Or(I521=""Em Aberto"",ISBLANK(I521),NOT(ISDATE(B521))),"""",H521))"),"")</f>
        <v/>
      </c>
      <c r="M521" s="29" t="str">
        <f>IFERROR(__xludf.DUMMYFUNCTION("IF(ISBLANK(B521),"""",IF(ISDATE(B521),TEXT(B521,""m""),""""))"),"")</f>
        <v/>
      </c>
      <c r="N521" s="29" t="str">
        <f>IFERROR(__xludf.DUMMYFUNCTION("IF(M521="""","""",QUERY({'Dashboard-Dados'!$Y$2:$AA$13},""Select Col2 Where Col1=""&amp;M521))"),"")</f>
        <v/>
      </c>
      <c r="O521" s="29" t="str">
        <f>IFERROR(__xludf.DUMMYFUNCTION("IF(ISBLANK(B521),"""",IF(ISDATE(B521),TEXT(B521,""yyyy""),""""))"),"")</f>
        <v/>
      </c>
    </row>
    <row r="522">
      <c r="B522" s="62"/>
      <c r="C522" s="56"/>
      <c r="D522" s="56"/>
      <c r="E522" s="56"/>
      <c r="F522" s="63"/>
      <c r="G522" s="64"/>
      <c r="H522" s="65"/>
      <c r="I522" s="63"/>
      <c r="K522" s="53" t="str">
        <f>IFERROR(__xludf.DUMMYFUNCTION("IF(ISBLANK(B522),"""",IF(ISDATE(B522),""X"",""""))"),"")</f>
        <v/>
      </c>
      <c r="L522" s="40" t="str">
        <f>IFERROR(__xludf.DUMMYFUNCTION("IF(ISBLANK(B522),"""",IF(Or(I522=""Em Aberto"",ISBLANK(I522),NOT(ISDATE(B522))),"""",H522))"),"")</f>
        <v/>
      </c>
      <c r="M522" s="29" t="str">
        <f>IFERROR(__xludf.DUMMYFUNCTION("IF(ISBLANK(B522),"""",IF(ISDATE(B522),TEXT(B522,""m""),""""))"),"")</f>
        <v/>
      </c>
      <c r="N522" s="29" t="str">
        <f>IFERROR(__xludf.DUMMYFUNCTION("IF(M522="""","""",QUERY({'Dashboard-Dados'!$Y$2:$AA$13},""Select Col2 Where Col1=""&amp;M522))"),"")</f>
        <v/>
      </c>
      <c r="O522" s="29" t="str">
        <f>IFERROR(__xludf.DUMMYFUNCTION("IF(ISBLANK(B522),"""",IF(ISDATE(B522),TEXT(B522,""yyyy""),""""))"),"")</f>
        <v/>
      </c>
    </row>
    <row r="523">
      <c r="B523" s="62"/>
      <c r="C523" s="56"/>
      <c r="D523" s="56"/>
      <c r="E523" s="56"/>
      <c r="F523" s="63"/>
      <c r="G523" s="64"/>
      <c r="H523" s="65"/>
      <c r="I523" s="63"/>
      <c r="K523" s="53" t="str">
        <f>IFERROR(__xludf.DUMMYFUNCTION("IF(ISBLANK(B523),"""",IF(ISDATE(B523),""X"",""""))"),"")</f>
        <v/>
      </c>
      <c r="L523" s="40" t="str">
        <f>IFERROR(__xludf.DUMMYFUNCTION("IF(ISBLANK(B523),"""",IF(Or(I523=""Em Aberto"",ISBLANK(I523),NOT(ISDATE(B523))),"""",H523))"),"")</f>
        <v/>
      </c>
      <c r="M523" s="29" t="str">
        <f>IFERROR(__xludf.DUMMYFUNCTION("IF(ISBLANK(B523),"""",IF(ISDATE(B523),TEXT(B523,""m""),""""))"),"")</f>
        <v/>
      </c>
      <c r="N523" s="29" t="str">
        <f>IFERROR(__xludf.DUMMYFUNCTION("IF(M523="""","""",QUERY({'Dashboard-Dados'!$Y$2:$AA$13},""Select Col2 Where Col1=""&amp;M523))"),"")</f>
        <v/>
      </c>
      <c r="O523" s="29" t="str">
        <f>IFERROR(__xludf.DUMMYFUNCTION("IF(ISBLANK(B523),"""",IF(ISDATE(B523),TEXT(B523,""yyyy""),""""))"),"")</f>
        <v/>
      </c>
    </row>
    <row r="524">
      <c r="B524" s="62"/>
      <c r="C524" s="56"/>
      <c r="D524" s="56"/>
      <c r="E524" s="56"/>
      <c r="F524" s="63"/>
      <c r="G524" s="64"/>
      <c r="H524" s="65"/>
      <c r="I524" s="63"/>
      <c r="K524" s="53" t="str">
        <f>IFERROR(__xludf.DUMMYFUNCTION("IF(ISBLANK(B524),"""",IF(ISDATE(B524),""X"",""""))"),"")</f>
        <v/>
      </c>
      <c r="L524" s="40" t="str">
        <f>IFERROR(__xludf.DUMMYFUNCTION("IF(ISBLANK(B524),"""",IF(Or(I524=""Em Aberto"",ISBLANK(I524),NOT(ISDATE(B524))),"""",H524))"),"")</f>
        <v/>
      </c>
      <c r="M524" s="29" t="str">
        <f>IFERROR(__xludf.DUMMYFUNCTION("IF(ISBLANK(B524),"""",IF(ISDATE(B524),TEXT(B524,""m""),""""))"),"")</f>
        <v/>
      </c>
      <c r="N524" s="29" t="str">
        <f>IFERROR(__xludf.DUMMYFUNCTION("IF(M524="""","""",QUERY({'Dashboard-Dados'!$Y$2:$AA$13},""Select Col2 Where Col1=""&amp;M524))"),"")</f>
        <v/>
      </c>
      <c r="O524" s="29" t="str">
        <f>IFERROR(__xludf.DUMMYFUNCTION("IF(ISBLANK(B524),"""",IF(ISDATE(B524),TEXT(B524,""yyyy""),""""))"),"")</f>
        <v/>
      </c>
    </row>
    <row r="525">
      <c r="B525" s="62"/>
      <c r="C525" s="56"/>
      <c r="D525" s="56"/>
      <c r="E525" s="56"/>
      <c r="F525" s="63"/>
      <c r="G525" s="64"/>
      <c r="H525" s="65"/>
      <c r="I525" s="63"/>
      <c r="K525" s="53" t="str">
        <f>IFERROR(__xludf.DUMMYFUNCTION("IF(ISBLANK(B525),"""",IF(ISDATE(B525),""X"",""""))"),"")</f>
        <v/>
      </c>
      <c r="L525" s="40" t="str">
        <f>IFERROR(__xludf.DUMMYFUNCTION("IF(ISBLANK(B525),"""",IF(Or(I525=""Em Aberto"",ISBLANK(I525),NOT(ISDATE(B525))),"""",H525))"),"")</f>
        <v/>
      </c>
      <c r="M525" s="29" t="str">
        <f>IFERROR(__xludf.DUMMYFUNCTION("IF(ISBLANK(B525),"""",IF(ISDATE(B525),TEXT(B525,""m""),""""))"),"")</f>
        <v/>
      </c>
      <c r="N525" s="29" t="str">
        <f>IFERROR(__xludf.DUMMYFUNCTION("IF(M525="""","""",QUERY({'Dashboard-Dados'!$Y$2:$AA$13},""Select Col2 Where Col1=""&amp;M525))"),"")</f>
        <v/>
      </c>
      <c r="O525" s="29" t="str">
        <f>IFERROR(__xludf.DUMMYFUNCTION("IF(ISBLANK(B525),"""",IF(ISDATE(B525),TEXT(B525,""yyyy""),""""))"),"")</f>
        <v/>
      </c>
    </row>
    <row r="526">
      <c r="B526" s="62"/>
      <c r="C526" s="56"/>
      <c r="D526" s="56"/>
      <c r="E526" s="56"/>
      <c r="F526" s="63"/>
      <c r="G526" s="64"/>
      <c r="H526" s="65"/>
      <c r="I526" s="63"/>
      <c r="K526" s="53" t="str">
        <f>IFERROR(__xludf.DUMMYFUNCTION("IF(ISBLANK(B526),"""",IF(ISDATE(B526),""X"",""""))"),"")</f>
        <v/>
      </c>
      <c r="L526" s="40" t="str">
        <f>IFERROR(__xludf.DUMMYFUNCTION("IF(ISBLANK(B526),"""",IF(Or(I526=""Em Aberto"",ISBLANK(I526),NOT(ISDATE(B526))),"""",H526))"),"")</f>
        <v/>
      </c>
      <c r="M526" s="29" t="str">
        <f>IFERROR(__xludf.DUMMYFUNCTION("IF(ISBLANK(B526),"""",IF(ISDATE(B526),TEXT(B526,""m""),""""))"),"")</f>
        <v/>
      </c>
      <c r="N526" s="29" t="str">
        <f>IFERROR(__xludf.DUMMYFUNCTION("IF(M526="""","""",QUERY({'Dashboard-Dados'!$Y$2:$AA$13},""Select Col2 Where Col1=""&amp;M526))"),"")</f>
        <v/>
      </c>
      <c r="O526" s="29" t="str">
        <f>IFERROR(__xludf.DUMMYFUNCTION("IF(ISBLANK(B526),"""",IF(ISDATE(B526),TEXT(B526,""yyyy""),""""))"),"")</f>
        <v/>
      </c>
    </row>
    <row r="527">
      <c r="B527" s="62"/>
      <c r="C527" s="56"/>
      <c r="D527" s="56"/>
      <c r="E527" s="56"/>
      <c r="F527" s="63"/>
      <c r="G527" s="64"/>
      <c r="H527" s="65"/>
      <c r="I527" s="63"/>
      <c r="K527" s="53" t="str">
        <f>IFERROR(__xludf.DUMMYFUNCTION("IF(ISBLANK(B527),"""",IF(ISDATE(B527),""X"",""""))"),"")</f>
        <v/>
      </c>
      <c r="L527" s="40" t="str">
        <f>IFERROR(__xludf.DUMMYFUNCTION("IF(ISBLANK(B527),"""",IF(Or(I527=""Em Aberto"",ISBLANK(I527),NOT(ISDATE(B527))),"""",H527))"),"")</f>
        <v/>
      </c>
      <c r="M527" s="29" t="str">
        <f>IFERROR(__xludf.DUMMYFUNCTION("IF(ISBLANK(B527),"""",IF(ISDATE(B527),TEXT(B527,""m""),""""))"),"")</f>
        <v/>
      </c>
      <c r="N527" s="29" t="str">
        <f>IFERROR(__xludf.DUMMYFUNCTION("IF(M527="""","""",QUERY({'Dashboard-Dados'!$Y$2:$AA$13},""Select Col2 Where Col1=""&amp;M527))"),"")</f>
        <v/>
      </c>
      <c r="O527" s="29" t="str">
        <f>IFERROR(__xludf.DUMMYFUNCTION("IF(ISBLANK(B527),"""",IF(ISDATE(B527),TEXT(B527,""yyyy""),""""))"),"")</f>
        <v/>
      </c>
    </row>
    <row r="528">
      <c r="B528" s="62"/>
      <c r="C528" s="56"/>
      <c r="D528" s="56"/>
      <c r="E528" s="56"/>
      <c r="F528" s="63"/>
      <c r="G528" s="64"/>
      <c r="H528" s="65"/>
      <c r="I528" s="63"/>
      <c r="K528" s="53" t="str">
        <f>IFERROR(__xludf.DUMMYFUNCTION("IF(ISBLANK(B528),"""",IF(ISDATE(B528),""X"",""""))"),"")</f>
        <v/>
      </c>
      <c r="L528" s="40" t="str">
        <f>IFERROR(__xludf.DUMMYFUNCTION("IF(ISBLANK(B528),"""",IF(Or(I528=""Em Aberto"",ISBLANK(I528),NOT(ISDATE(B528))),"""",H528))"),"")</f>
        <v/>
      </c>
      <c r="M528" s="29" t="str">
        <f>IFERROR(__xludf.DUMMYFUNCTION("IF(ISBLANK(B528),"""",IF(ISDATE(B528),TEXT(B528,""m""),""""))"),"")</f>
        <v/>
      </c>
      <c r="N528" s="29" t="str">
        <f>IFERROR(__xludf.DUMMYFUNCTION("IF(M528="""","""",QUERY({'Dashboard-Dados'!$Y$2:$AA$13},""Select Col2 Where Col1=""&amp;M528))"),"")</f>
        <v/>
      </c>
      <c r="O528" s="29" t="str">
        <f>IFERROR(__xludf.DUMMYFUNCTION("IF(ISBLANK(B528),"""",IF(ISDATE(B528),TEXT(B528,""yyyy""),""""))"),"")</f>
        <v/>
      </c>
    </row>
    <row r="529">
      <c r="B529" s="62"/>
      <c r="C529" s="56"/>
      <c r="D529" s="56"/>
      <c r="E529" s="56"/>
      <c r="F529" s="63"/>
      <c r="G529" s="64"/>
      <c r="H529" s="65"/>
      <c r="I529" s="63"/>
      <c r="K529" s="53" t="str">
        <f>IFERROR(__xludf.DUMMYFUNCTION("IF(ISBLANK(B529),"""",IF(ISDATE(B529),""X"",""""))"),"")</f>
        <v/>
      </c>
      <c r="L529" s="40" t="str">
        <f>IFERROR(__xludf.DUMMYFUNCTION("IF(ISBLANK(B529),"""",IF(Or(I529=""Em Aberto"",ISBLANK(I529),NOT(ISDATE(B529))),"""",H529))"),"")</f>
        <v/>
      </c>
      <c r="M529" s="29" t="str">
        <f>IFERROR(__xludf.DUMMYFUNCTION("IF(ISBLANK(B529),"""",IF(ISDATE(B529),TEXT(B529,""m""),""""))"),"")</f>
        <v/>
      </c>
      <c r="N529" s="29" t="str">
        <f>IFERROR(__xludf.DUMMYFUNCTION("IF(M529="""","""",QUERY({'Dashboard-Dados'!$Y$2:$AA$13},""Select Col2 Where Col1=""&amp;M529))"),"")</f>
        <v/>
      </c>
      <c r="O529" s="29" t="str">
        <f>IFERROR(__xludf.DUMMYFUNCTION("IF(ISBLANK(B529),"""",IF(ISDATE(B529),TEXT(B529,""yyyy""),""""))"),"")</f>
        <v/>
      </c>
    </row>
    <row r="530">
      <c r="B530" s="62"/>
      <c r="C530" s="56"/>
      <c r="D530" s="56"/>
      <c r="E530" s="56"/>
      <c r="F530" s="63"/>
      <c r="G530" s="64"/>
      <c r="H530" s="65"/>
      <c r="I530" s="63"/>
      <c r="K530" s="53" t="str">
        <f>IFERROR(__xludf.DUMMYFUNCTION("IF(ISBLANK(B530),"""",IF(ISDATE(B530),""X"",""""))"),"")</f>
        <v/>
      </c>
      <c r="L530" s="40" t="str">
        <f>IFERROR(__xludf.DUMMYFUNCTION("IF(ISBLANK(B530),"""",IF(Or(I530=""Em Aberto"",ISBLANK(I530),NOT(ISDATE(B530))),"""",H530))"),"")</f>
        <v/>
      </c>
      <c r="M530" s="29" t="str">
        <f>IFERROR(__xludf.DUMMYFUNCTION("IF(ISBLANK(B530),"""",IF(ISDATE(B530),TEXT(B530,""m""),""""))"),"")</f>
        <v/>
      </c>
      <c r="N530" s="29" t="str">
        <f>IFERROR(__xludf.DUMMYFUNCTION("IF(M530="""","""",QUERY({'Dashboard-Dados'!$Y$2:$AA$13},""Select Col2 Where Col1=""&amp;M530))"),"")</f>
        <v/>
      </c>
      <c r="O530" s="29" t="str">
        <f>IFERROR(__xludf.DUMMYFUNCTION("IF(ISBLANK(B530),"""",IF(ISDATE(B530),TEXT(B530,""yyyy""),""""))"),"")</f>
        <v/>
      </c>
    </row>
    <row r="531">
      <c r="B531" s="62"/>
      <c r="C531" s="56"/>
      <c r="D531" s="56"/>
      <c r="E531" s="56"/>
      <c r="F531" s="63"/>
      <c r="G531" s="64"/>
      <c r="H531" s="65"/>
      <c r="I531" s="63"/>
      <c r="K531" s="53" t="str">
        <f>IFERROR(__xludf.DUMMYFUNCTION("IF(ISBLANK(B531),"""",IF(ISDATE(B531),""X"",""""))"),"")</f>
        <v/>
      </c>
      <c r="L531" s="40" t="str">
        <f>IFERROR(__xludf.DUMMYFUNCTION("IF(ISBLANK(B531),"""",IF(Or(I531=""Em Aberto"",ISBLANK(I531),NOT(ISDATE(B531))),"""",H531))"),"")</f>
        <v/>
      </c>
      <c r="M531" s="29" t="str">
        <f>IFERROR(__xludf.DUMMYFUNCTION("IF(ISBLANK(B531),"""",IF(ISDATE(B531),TEXT(B531,""m""),""""))"),"")</f>
        <v/>
      </c>
      <c r="N531" s="29" t="str">
        <f>IFERROR(__xludf.DUMMYFUNCTION("IF(M531="""","""",QUERY({'Dashboard-Dados'!$Y$2:$AA$13},""Select Col2 Where Col1=""&amp;M531))"),"")</f>
        <v/>
      </c>
      <c r="O531" s="29" t="str">
        <f>IFERROR(__xludf.DUMMYFUNCTION("IF(ISBLANK(B531),"""",IF(ISDATE(B531),TEXT(B531,""yyyy""),""""))"),"")</f>
        <v/>
      </c>
    </row>
    <row r="532">
      <c r="B532" s="62"/>
      <c r="C532" s="56"/>
      <c r="D532" s="56"/>
      <c r="E532" s="56"/>
      <c r="F532" s="63"/>
      <c r="G532" s="64"/>
      <c r="H532" s="65"/>
      <c r="I532" s="63"/>
      <c r="K532" s="53" t="str">
        <f>IFERROR(__xludf.DUMMYFUNCTION("IF(ISBLANK(B532),"""",IF(ISDATE(B532),""X"",""""))"),"")</f>
        <v/>
      </c>
      <c r="L532" s="40" t="str">
        <f>IFERROR(__xludf.DUMMYFUNCTION("IF(ISBLANK(B532),"""",IF(Or(I532=""Em Aberto"",ISBLANK(I532),NOT(ISDATE(B532))),"""",H532))"),"")</f>
        <v/>
      </c>
      <c r="M532" s="29" t="str">
        <f>IFERROR(__xludf.DUMMYFUNCTION("IF(ISBLANK(B532),"""",IF(ISDATE(B532),TEXT(B532,""m""),""""))"),"")</f>
        <v/>
      </c>
      <c r="N532" s="29" t="str">
        <f>IFERROR(__xludf.DUMMYFUNCTION("IF(M532="""","""",QUERY({'Dashboard-Dados'!$Y$2:$AA$13},""Select Col2 Where Col1=""&amp;M532))"),"")</f>
        <v/>
      </c>
      <c r="O532" s="29" t="str">
        <f>IFERROR(__xludf.DUMMYFUNCTION("IF(ISBLANK(B532),"""",IF(ISDATE(B532),TEXT(B532,""yyyy""),""""))"),"")</f>
        <v/>
      </c>
    </row>
    <row r="533">
      <c r="B533" s="62"/>
      <c r="C533" s="56"/>
      <c r="D533" s="56"/>
      <c r="E533" s="56"/>
      <c r="F533" s="63"/>
      <c r="G533" s="64"/>
      <c r="H533" s="65"/>
      <c r="I533" s="63"/>
      <c r="K533" s="53" t="str">
        <f>IFERROR(__xludf.DUMMYFUNCTION("IF(ISBLANK(B533),"""",IF(ISDATE(B533),""X"",""""))"),"")</f>
        <v/>
      </c>
      <c r="L533" s="40" t="str">
        <f>IFERROR(__xludf.DUMMYFUNCTION("IF(ISBLANK(B533),"""",IF(Or(I533=""Em Aberto"",ISBLANK(I533),NOT(ISDATE(B533))),"""",H533))"),"")</f>
        <v/>
      </c>
      <c r="M533" s="29" t="str">
        <f>IFERROR(__xludf.DUMMYFUNCTION("IF(ISBLANK(B533),"""",IF(ISDATE(B533),TEXT(B533,""m""),""""))"),"")</f>
        <v/>
      </c>
      <c r="N533" s="29" t="str">
        <f>IFERROR(__xludf.DUMMYFUNCTION("IF(M533="""","""",QUERY({'Dashboard-Dados'!$Y$2:$AA$13},""Select Col2 Where Col1=""&amp;M533))"),"")</f>
        <v/>
      </c>
      <c r="O533" s="29" t="str">
        <f>IFERROR(__xludf.DUMMYFUNCTION("IF(ISBLANK(B533),"""",IF(ISDATE(B533),TEXT(B533,""yyyy""),""""))"),"")</f>
        <v/>
      </c>
    </row>
    <row r="534">
      <c r="B534" s="62"/>
      <c r="C534" s="56"/>
      <c r="D534" s="56"/>
      <c r="E534" s="56"/>
      <c r="F534" s="63"/>
      <c r="G534" s="64"/>
      <c r="H534" s="65"/>
      <c r="I534" s="63"/>
      <c r="K534" s="53" t="str">
        <f>IFERROR(__xludf.DUMMYFUNCTION("IF(ISBLANK(B534),"""",IF(ISDATE(B534),""X"",""""))"),"")</f>
        <v/>
      </c>
      <c r="L534" s="40" t="str">
        <f>IFERROR(__xludf.DUMMYFUNCTION("IF(ISBLANK(B534),"""",IF(Or(I534=""Em Aberto"",ISBLANK(I534),NOT(ISDATE(B534))),"""",H534))"),"")</f>
        <v/>
      </c>
      <c r="M534" s="29" t="str">
        <f>IFERROR(__xludf.DUMMYFUNCTION("IF(ISBLANK(B534),"""",IF(ISDATE(B534),TEXT(B534,""m""),""""))"),"")</f>
        <v/>
      </c>
      <c r="N534" s="29" t="str">
        <f>IFERROR(__xludf.DUMMYFUNCTION("IF(M534="""","""",QUERY({'Dashboard-Dados'!$Y$2:$AA$13},""Select Col2 Where Col1=""&amp;M534))"),"")</f>
        <v/>
      </c>
      <c r="O534" s="29" t="str">
        <f>IFERROR(__xludf.DUMMYFUNCTION("IF(ISBLANK(B534),"""",IF(ISDATE(B534),TEXT(B534,""yyyy""),""""))"),"")</f>
        <v/>
      </c>
    </row>
    <row r="535">
      <c r="B535" s="62"/>
      <c r="C535" s="56"/>
      <c r="D535" s="56"/>
      <c r="E535" s="56"/>
      <c r="F535" s="63"/>
      <c r="G535" s="64"/>
      <c r="H535" s="65"/>
      <c r="I535" s="63"/>
      <c r="K535" s="53" t="str">
        <f>IFERROR(__xludf.DUMMYFUNCTION("IF(ISBLANK(B535),"""",IF(ISDATE(B535),""X"",""""))"),"")</f>
        <v/>
      </c>
      <c r="L535" s="40" t="str">
        <f>IFERROR(__xludf.DUMMYFUNCTION("IF(ISBLANK(B535),"""",IF(Or(I535=""Em Aberto"",ISBLANK(I535),NOT(ISDATE(B535))),"""",H535))"),"")</f>
        <v/>
      </c>
      <c r="M535" s="29" t="str">
        <f>IFERROR(__xludf.DUMMYFUNCTION("IF(ISBLANK(B535),"""",IF(ISDATE(B535),TEXT(B535,""m""),""""))"),"")</f>
        <v/>
      </c>
      <c r="N535" s="29" t="str">
        <f>IFERROR(__xludf.DUMMYFUNCTION("IF(M535="""","""",QUERY({'Dashboard-Dados'!$Y$2:$AA$13},""Select Col2 Where Col1=""&amp;M535))"),"")</f>
        <v/>
      </c>
      <c r="O535" s="29" t="str">
        <f>IFERROR(__xludf.DUMMYFUNCTION("IF(ISBLANK(B535),"""",IF(ISDATE(B535),TEXT(B535,""yyyy""),""""))"),"")</f>
        <v/>
      </c>
    </row>
    <row r="536">
      <c r="B536" s="62"/>
      <c r="C536" s="56"/>
      <c r="D536" s="56"/>
      <c r="E536" s="56"/>
      <c r="F536" s="63"/>
      <c r="G536" s="64"/>
      <c r="H536" s="65"/>
      <c r="I536" s="63"/>
      <c r="K536" s="53" t="str">
        <f>IFERROR(__xludf.DUMMYFUNCTION("IF(ISBLANK(B536),"""",IF(ISDATE(B536),""X"",""""))"),"")</f>
        <v/>
      </c>
      <c r="L536" s="40" t="str">
        <f>IFERROR(__xludf.DUMMYFUNCTION("IF(ISBLANK(B536),"""",IF(Or(I536=""Em Aberto"",ISBLANK(I536),NOT(ISDATE(B536))),"""",H536))"),"")</f>
        <v/>
      </c>
      <c r="M536" s="29" t="str">
        <f>IFERROR(__xludf.DUMMYFUNCTION("IF(ISBLANK(B536),"""",IF(ISDATE(B536),TEXT(B536,""m""),""""))"),"")</f>
        <v/>
      </c>
      <c r="N536" s="29" t="str">
        <f>IFERROR(__xludf.DUMMYFUNCTION("IF(M536="""","""",QUERY({'Dashboard-Dados'!$Y$2:$AA$13},""Select Col2 Where Col1=""&amp;M536))"),"")</f>
        <v/>
      </c>
      <c r="O536" s="29" t="str">
        <f>IFERROR(__xludf.DUMMYFUNCTION("IF(ISBLANK(B536),"""",IF(ISDATE(B536),TEXT(B536,""yyyy""),""""))"),"")</f>
        <v/>
      </c>
    </row>
    <row r="537">
      <c r="B537" s="62"/>
      <c r="C537" s="56"/>
      <c r="D537" s="56"/>
      <c r="E537" s="56"/>
      <c r="F537" s="63"/>
      <c r="G537" s="64"/>
      <c r="H537" s="65"/>
      <c r="I537" s="63"/>
      <c r="K537" s="53" t="str">
        <f>IFERROR(__xludf.DUMMYFUNCTION("IF(ISBLANK(B537),"""",IF(ISDATE(B537),""X"",""""))"),"")</f>
        <v/>
      </c>
      <c r="L537" s="40" t="str">
        <f>IFERROR(__xludf.DUMMYFUNCTION("IF(ISBLANK(B537),"""",IF(Or(I537=""Em Aberto"",ISBLANK(I537),NOT(ISDATE(B537))),"""",H537))"),"")</f>
        <v/>
      </c>
      <c r="M537" s="29" t="str">
        <f>IFERROR(__xludf.DUMMYFUNCTION("IF(ISBLANK(B537),"""",IF(ISDATE(B537),TEXT(B537,""m""),""""))"),"")</f>
        <v/>
      </c>
      <c r="N537" s="29" t="str">
        <f>IFERROR(__xludf.DUMMYFUNCTION("IF(M537="""","""",QUERY({'Dashboard-Dados'!$Y$2:$AA$13},""Select Col2 Where Col1=""&amp;M537))"),"")</f>
        <v/>
      </c>
      <c r="O537" s="29" t="str">
        <f>IFERROR(__xludf.DUMMYFUNCTION("IF(ISBLANK(B537),"""",IF(ISDATE(B537),TEXT(B537,""yyyy""),""""))"),"")</f>
        <v/>
      </c>
    </row>
    <row r="538">
      <c r="B538" s="62"/>
      <c r="C538" s="56"/>
      <c r="D538" s="56"/>
      <c r="E538" s="56"/>
      <c r="F538" s="63"/>
      <c r="G538" s="64"/>
      <c r="H538" s="65"/>
      <c r="I538" s="63"/>
      <c r="K538" s="53" t="str">
        <f>IFERROR(__xludf.DUMMYFUNCTION("IF(ISBLANK(B538),"""",IF(ISDATE(B538),""X"",""""))"),"")</f>
        <v/>
      </c>
      <c r="L538" s="40" t="str">
        <f>IFERROR(__xludf.DUMMYFUNCTION("IF(ISBLANK(B538),"""",IF(Or(I538=""Em Aberto"",ISBLANK(I538),NOT(ISDATE(B538))),"""",H538))"),"")</f>
        <v/>
      </c>
      <c r="M538" s="29" t="str">
        <f>IFERROR(__xludf.DUMMYFUNCTION("IF(ISBLANK(B538),"""",IF(ISDATE(B538),TEXT(B538,""m""),""""))"),"")</f>
        <v/>
      </c>
      <c r="N538" s="29" t="str">
        <f>IFERROR(__xludf.DUMMYFUNCTION("IF(M538="""","""",QUERY({'Dashboard-Dados'!$Y$2:$AA$13},""Select Col2 Where Col1=""&amp;M538))"),"")</f>
        <v/>
      </c>
      <c r="O538" s="29" t="str">
        <f>IFERROR(__xludf.DUMMYFUNCTION("IF(ISBLANK(B538),"""",IF(ISDATE(B538),TEXT(B538,""yyyy""),""""))"),"")</f>
        <v/>
      </c>
    </row>
    <row r="539">
      <c r="B539" s="62"/>
      <c r="C539" s="56"/>
      <c r="D539" s="56"/>
      <c r="E539" s="56"/>
      <c r="F539" s="63"/>
      <c r="G539" s="64"/>
      <c r="H539" s="65"/>
      <c r="I539" s="63"/>
      <c r="K539" s="53" t="str">
        <f>IFERROR(__xludf.DUMMYFUNCTION("IF(ISBLANK(B539),"""",IF(ISDATE(B539),""X"",""""))"),"")</f>
        <v/>
      </c>
      <c r="L539" s="40" t="str">
        <f>IFERROR(__xludf.DUMMYFUNCTION("IF(ISBLANK(B539),"""",IF(Or(I539=""Em Aberto"",ISBLANK(I539),NOT(ISDATE(B539))),"""",H539))"),"")</f>
        <v/>
      </c>
      <c r="M539" s="29" t="str">
        <f>IFERROR(__xludf.DUMMYFUNCTION("IF(ISBLANK(B539),"""",IF(ISDATE(B539),TEXT(B539,""m""),""""))"),"")</f>
        <v/>
      </c>
      <c r="N539" s="29" t="str">
        <f>IFERROR(__xludf.DUMMYFUNCTION("IF(M539="""","""",QUERY({'Dashboard-Dados'!$Y$2:$AA$13},""Select Col2 Where Col1=""&amp;M539))"),"")</f>
        <v/>
      </c>
      <c r="O539" s="29" t="str">
        <f>IFERROR(__xludf.DUMMYFUNCTION("IF(ISBLANK(B539),"""",IF(ISDATE(B539),TEXT(B539,""yyyy""),""""))"),"")</f>
        <v/>
      </c>
    </row>
    <row r="540">
      <c r="B540" s="62"/>
      <c r="C540" s="56"/>
      <c r="D540" s="56"/>
      <c r="E540" s="56"/>
      <c r="F540" s="63"/>
      <c r="G540" s="64"/>
      <c r="H540" s="65"/>
      <c r="I540" s="63"/>
      <c r="K540" s="53" t="str">
        <f>IFERROR(__xludf.DUMMYFUNCTION("IF(ISBLANK(B540),"""",IF(ISDATE(B540),""X"",""""))"),"")</f>
        <v/>
      </c>
      <c r="L540" s="40" t="str">
        <f>IFERROR(__xludf.DUMMYFUNCTION("IF(ISBLANK(B540),"""",IF(Or(I540=""Em Aberto"",ISBLANK(I540),NOT(ISDATE(B540))),"""",H540))"),"")</f>
        <v/>
      </c>
      <c r="M540" s="29" t="str">
        <f>IFERROR(__xludf.DUMMYFUNCTION("IF(ISBLANK(B540),"""",IF(ISDATE(B540),TEXT(B540,""m""),""""))"),"")</f>
        <v/>
      </c>
      <c r="N540" s="29" t="str">
        <f>IFERROR(__xludf.DUMMYFUNCTION("IF(M540="""","""",QUERY({'Dashboard-Dados'!$Y$2:$AA$13},""Select Col2 Where Col1=""&amp;M540))"),"")</f>
        <v/>
      </c>
      <c r="O540" s="29" t="str">
        <f>IFERROR(__xludf.DUMMYFUNCTION("IF(ISBLANK(B540),"""",IF(ISDATE(B540),TEXT(B540,""yyyy""),""""))"),"")</f>
        <v/>
      </c>
    </row>
    <row r="541">
      <c r="B541" s="62"/>
      <c r="C541" s="56"/>
      <c r="D541" s="56"/>
      <c r="E541" s="56"/>
      <c r="F541" s="63"/>
      <c r="G541" s="64"/>
      <c r="H541" s="65"/>
      <c r="I541" s="63"/>
      <c r="K541" s="53" t="str">
        <f>IFERROR(__xludf.DUMMYFUNCTION("IF(ISBLANK(B541),"""",IF(ISDATE(B541),""X"",""""))"),"")</f>
        <v/>
      </c>
      <c r="L541" s="40" t="str">
        <f>IFERROR(__xludf.DUMMYFUNCTION("IF(ISBLANK(B541),"""",IF(Or(I541=""Em Aberto"",ISBLANK(I541),NOT(ISDATE(B541))),"""",H541))"),"")</f>
        <v/>
      </c>
      <c r="M541" s="29" t="str">
        <f>IFERROR(__xludf.DUMMYFUNCTION("IF(ISBLANK(B541),"""",IF(ISDATE(B541),TEXT(B541,""m""),""""))"),"")</f>
        <v/>
      </c>
      <c r="N541" s="29" t="str">
        <f>IFERROR(__xludf.DUMMYFUNCTION("IF(M541="""","""",QUERY({'Dashboard-Dados'!$Y$2:$AA$13},""Select Col2 Where Col1=""&amp;M541))"),"")</f>
        <v/>
      </c>
      <c r="O541" s="29" t="str">
        <f>IFERROR(__xludf.DUMMYFUNCTION("IF(ISBLANK(B541),"""",IF(ISDATE(B541),TEXT(B541,""yyyy""),""""))"),"")</f>
        <v/>
      </c>
    </row>
    <row r="542">
      <c r="B542" s="62"/>
      <c r="C542" s="56"/>
      <c r="D542" s="56"/>
      <c r="E542" s="56"/>
      <c r="F542" s="63"/>
      <c r="G542" s="64"/>
      <c r="H542" s="65"/>
      <c r="I542" s="63"/>
      <c r="K542" s="53" t="str">
        <f>IFERROR(__xludf.DUMMYFUNCTION("IF(ISBLANK(B542),"""",IF(ISDATE(B542),""X"",""""))"),"")</f>
        <v/>
      </c>
      <c r="L542" s="40" t="str">
        <f>IFERROR(__xludf.DUMMYFUNCTION("IF(ISBLANK(B542),"""",IF(Or(I542=""Em Aberto"",ISBLANK(I542),NOT(ISDATE(B542))),"""",H542))"),"")</f>
        <v/>
      </c>
      <c r="M542" s="29" t="str">
        <f>IFERROR(__xludf.DUMMYFUNCTION("IF(ISBLANK(B542),"""",IF(ISDATE(B542),TEXT(B542,""m""),""""))"),"")</f>
        <v/>
      </c>
      <c r="N542" s="29" t="str">
        <f>IFERROR(__xludf.DUMMYFUNCTION("IF(M542="""","""",QUERY({'Dashboard-Dados'!$Y$2:$AA$13},""Select Col2 Where Col1=""&amp;M542))"),"")</f>
        <v/>
      </c>
      <c r="O542" s="29" t="str">
        <f>IFERROR(__xludf.DUMMYFUNCTION("IF(ISBLANK(B542),"""",IF(ISDATE(B542),TEXT(B542,""yyyy""),""""))"),"")</f>
        <v/>
      </c>
    </row>
    <row r="543">
      <c r="B543" s="62"/>
      <c r="C543" s="56"/>
      <c r="D543" s="56"/>
      <c r="E543" s="56"/>
      <c r="F543" s="63"/>
      <c r="G543" s="64"/>
      <c r="H543" s="65"/>
      <c r="I543" s="63"/>
      <c r="K543" s="53" t="str">
        <f>IFERROR(__xludf.DUMMYFUNCTION("IF(ISBLANK(B543),"""",IF(ISDATE(B543),""X"",""""))"),"")</f>
        <v/>
      </c>
      <c r="L543" s="40" t="str">
        <f>IFERROR(__xludf.DUMMYFUNCTION("IF(ISBLANK(B543),"""",IF(Or(I543=""Em Aberto"",ISBLANK(I543),NOT(ISDATE(B543))),"""",H543))"),"")</f>
        <v/>
      </c>
      <c r="M543" s="29" t="str">
        <f>IFERROR(__xludf.DUMMYFUNCTION("IF(ISBLANK(B543),"""",IF(ISDATE(B543),TEXT(B543,""m""),""""))"),"")</f>
        <v/>
      </c>
      <c r="N543" s="29" t="str">
        <f>IFERROR(__xludf.DUMMYFUNCTION("IF(M543="""","""",QUERY({'Dashboard-Dados'!$Y$2:$AA$13},""Select Col2 Where Col1=""&amp;M543))"),"")</f>
        <v/>
      </c>
      <c r="O543" s="29" t="str">
        <f>IFERROR(__xludf.DUMMYFUNCTION("IF(ISBLANK(B543),"""",IF(ISDATE(B543),TEXT(B543,""yyyy""),""""))"),"")</f>
        <v/>
      </c>
    </row>
    <row r="544">
      <c r="B544" s="62"/>
      <c r="C544" s="56"/>
      <c r="D544" s="56"/>
      <c r="E544" s="56"/>
      <c r="F544" s="63"/>
      <c r="G544" s="64"/>
      <c r="H544" s="65"/>
      <c r="I544" s="63"/>
      <c r="K544" s="53" t="str">
        <f>IFERROR(__xludf.DUMMYFUNCTION("IF(ISBLANK(B544),"""",IF(ISDATE(B544),""X"",""""))"),"")</f>
        <v/>
      </c>
      <c r="L544" s="40" t="str">
        <f>IFERROR(__xludf.DUMMYFUNCTION("IF(ISBLANK(B544),"""",IF(Or(I544=""Em Aberto"",ISBLANK(I544),NOT(ISDATE(B544))),"""",H544))"),"")</f>
        <v/>
      </c>
      <c r="M544" s="29" t="str">
        <f>IFERROR(__xludf.DUMMYFUNCTION("IF(ISBLANK(B544),"""",IF(ISDATE(B544),TEXT(B544,""m""),""""))"),"")</f>
        <v/>
      </c>
      <c r="N544" s="29" t="str">
        <f>IFERROR(__xludf.DUMMYFUNCTION("IF(M544="""","""",QUERY({'Dashboard-Dados'!$Y$2:$AA$13},""Select Col2 Where Col1=""&amp;M544))"),"")</f>
        <v/>
      </c>
      <c r="O544" s="29" t="str">
        <f>IFERROR(__xludf.DUMMYFUNCTION("IF(ISBLANK(B544),"""",IF(ISDATE(B544),TEXT(B544,""yyyy""),""""))"),"")</f>
        <v/>
      </c>
    </row>
    <row r="545">
      <c r="B545" s="62"/>
      <c r="C545" s="56"/>
      <c r="D545" s="56"/>
      <c r="E545" s="56"/>
      <c r="F545" s="63"/>
      <c r="G545" s="64"/>
      <c r="H545" s="65"/>
      <c r="I545" s="63"/>
      <c r="K545" s="53" t="str">
        <f>IFERROR(__xludf.DUMMYFUNCTION("IF(ISBLANK(B545),"""",IF(ISDATE(B545),""X"",""""))"),"")</f>
        <v/>
      </c>
      <c r="L545" s="40" t="str">
        <f>IFERROR(__xludf.DUMMYFUNCTION("IF(ISBLANK(B545),"""",IF(Or(I545=""Em Aberto"",ISBLANK(I545),NOT(ISDATE(B545))),"""",H545))"),"")</f>
        <v/>
      </c>
      <c r="M545" s="29" t="str">
        <f>IFERROR(__xludf.DUMMYFUNCTION("IF(ISBLANK(B545),"""",IF(ISDATE(B545),TEXT(B545,""m""),""""))"),"")</f>
        <v/>
      </c>
      <c r="N545" s="29" t="str">
        <f>IFERROR(__xludf.DUMMYFUNCTION("IF(M545="""","""",QUERY({'Dashboard-Dados'!$Y$2:$AA$13},""Select Col2 Where Col1=""&amp;M545))"),"")</f>
        <v/>
      </c>
      <c r="O545" s="29" t="str">
        <f>IFERROR(__xludf.DUMMYFUNCTION("IF(ISBLANK(B545),"""",IF(ISDATE(B545),TEXT(B545,""yyyy""),""""))"),"")</f>
        <v/>
      </c>
    </row>
    <row r="546">
      <c r="B546" s="62"/>
      <c r="C546" s="56"/>
      <c r="D546" s="56"/>
      <c r="E546" s="56"/>
      <c r="F546" s="63"/>
      <c r="G546" s="64"/>
      <c r="H546" s="65"/>
      <c r="I546" s="63"/>
      <c r="K546" s="53" t="str">
        <f>IFERROR(__xludf.DUMMYFUNCTION("IF(ISBLANK(B546),"""",IF(ISDATE(B546),""X"",""""))"),"")</f>
        <v/>
      </c>
      <c r="L546" s="40" t="str">
        <f>IFERROR(__xludf.DUMMYFUNCTION("IF(ISBLANK(B546),"""",IF(Or(I546=""Em Aberto"",ISBLANK(I546),NOT(ISDATE(B546))),"""",H546))"),"")</f>
        <v/>
      </c>
      <c r="M546" s="29" t="str">
        <f>IFERROR(__xludf.DUMMYFUNCTION("IF(ISBLANK(B546),"""",IF(ISDATE(B546),TEXT(B546,""m""),""""))"),"")</f>
        <v/>
      </c>
      <c r="N546" s="29" t="str">
        <f>IFERROR(__xludf.DUMMYFUNCTION("IF(M546="""","""",QUERY({'Dashboard-Dados'!$Y$2:$AA$13},""Select Col2 Where Col1=""&amp;M546))"),"")</f>
        <v/>
      </c>
      <c r="O546" s="29" t="str">
        <f>IFERROR(__xludf.DUMMYFUNCTION("IF(ISBLANK(B546),"""",IF(ISDATE(B546),TEXT(B546,""yyyy""),""""))"),"")</f>
        <v/>
      </c>
    </row>
    <row r="547">
      <c r="B547" s="62"/>
      <c r="C547" s="56"/>
      <c r="D547" s="56"/>
      <c r="E547" s="56"/>
      <c r="F547" s="63"/>
      <c r="G547" s="64"/>
      <c r="H547" s="65"/>
      <c r="I547" s="63"/>
      <c r="K547" s="53" t="str">
        <f>IFERROR(__xludf.DUMMYFUNCTION("IF(ISBLANK(B547),"""",IF(ISDATE(B547),""X"",""""))"),"")</f>
        <v/>
      </c>
      <c r="L547" s="40" t="str">
        <f>IFERROR(__xludf.DUMMYFUNCTION("IF(ISBLANK(B547),"""",IF(Or(I547=""Em Aberto"",ISBLANK(I547),NOT(ISDATE(B547))),"""",H547))"),"")</f>
        <v/>
      </c>
      <c r="M547" s="29" t="str">
        <f>IFERROR(__xludf.DUMMYFUNCTION("IF(ISBLANK(B547),"""",IF(ISDATE(B547),TEXT(B547,""m""),""""))"),"")</f>
        <v/>
      </c>
      <c r="N547" s="29" t="str">
        <f>IFERROR(__xludf.DUMMYFUNCTION("IF(M547="""","""",QUERY({'Dashboard-Dados'!$Y$2:$AA$13},""Select Col2 Where Col1=""&amp;M547))"),"")</f>
        <v/>
      </c>
      <c r="O547" s="29" t="str">
        <f>IFERROR(__xludf.DUMMYFUNCTION("IF(ISBLANK(B547),"""",IF(ISDATE(B547),TEXT(B547,""yyyy""),""""))"),"")</f>
        <v/>
      </c>
    </row>
    <row r="548">
      <c r="B548" s="62"/>
      <c r="C548" s="56"/>
      <c r="D548" s="56"/>
      <c r="E548" s="56"/>
      <c r="F548" s="63"/>
      <c r="G548" s="64"/>
      <c r="H548" s="65"/>
      <c r="I548" s="63"/>
      <c r="K548" s="53" t="str">
        <f>IFERROR(__xludf.DUMMYFUNCTION("IF(ISBLANK(B548),"""",IF(ISDATE(B548),""X"",""""))"),"")</f>
        <v/>
      </c>
      <c r="L548" s="40" t="str">
        <f>IFERROR(__xludf.DUMMYFUNCTION("IF(ISBLANK(B548),"""",IF(Or(I548=""Em Aberto"",ISBLANK(I548),NOT(ISDATE(B548))),"""",H548))"),"")</f>
        <v/>
      </c>
      <c r="M548" s="29" t="str">
        <f>IFERROR(__xludf.DUMMYFUNCTION("IF(ISBLANK(B548),"""",IF(ISDATE(B548),TEXT(B548,""m""),""""))"),"")</f>
        <v/>
      </c>
      <c r="N548" s="29" t="str">
        <f>IFERROR(__xludf.DUMMYFUNCTION("IF(M548="""","""",QUERY({'Dashboard-Dados'!$Y$2:$AA$13},""Select Col2 Where Col1=""&amp;M548))"),"")</f>
        <v/>
      </c>
      <c r="O548" s="29" t="str">
        <f>IFERROR(__xludf.DUMMYFUNCTION("IF(ISBLANK(B548),"""",IF(ISDATE(B548),TEXT(B548,""yyyy""),""""))"),"")</f>
        <v/>
      </c>
    </row>
    <row r="549">
      <c r="B549" s="62"/>
      <c r="C549" s="56"/>
      <c r="D549" s="56"/>
      <c r="E549" s="56"/>
      <c r="F549" s="63"/>
      <c r="G549" s="64"/>
      <c r="H549" s="65"/>
      <c r="I549" s="63"/>
      <c r="K549" s="53" t="str">
        <f>IFERROR(__xludf.DUMMYFUNCTION("IF(ISBLANK(B549),"""",IF(ISDATE(B549),""X"",""""))"),"")</f>
        <v/>
      </c>
      <c r="L549" s="40" t="str">
        <f>IFERROR(__xludf.DUMMYFUNCTION("IF(ISBLANK(B549),"""",IF(Or(I549=""Em Aberto"",ISBLANK(I549),NOT(ISDATE(B549))),"""",H549))"),"")</f>
        <v/>
      </c>
      <c r="M549" s="29" t="str">
        <f>IFERROR(__xludf.DUMMYFUNCTION("IF(ISBLANK(B549),"""",IF(ISDATE(B549),TEXT(B549,""m""),""""))"),"")</f>
        <v/>
      </c>
      <c r="N549" s="29" t="str">
        <f>IFERROR(__xludf.DUMMYFUNCTION("IF(M549="""","""",QUERY({'Dashboard-Dados'!$Y$2:$AA$13},""Select Col2 Where Col1=""&amp;M549))"),"")</f>
        <v/>
      </c>
      <c r="O549" s="29" t="str">
        <f>IFERROR(__xludf.DUMMYFUNCTION("IF(ISBLANK(B549),"""",IF(ISDATE(B549),TEXT(B549,""yyyy""),""""))"),"")</f>
        <v/>
      </c>
    </row>
    <row r="550">
      <c r="B550" s="62"/>
      <c r="C550" s="56"/>
      <c r="D550" s="56"/>
      <c r="E550" s="56"/>
      <c r="F550" s="63"/>
      <c r="G550" s="64"/>
      <c r="H550" s="65"/>
      <c r="I550" s="63"/>
      <c r="K550" s="53" t="str">
        <f>IFERROR(__xludf.DUMMYFUNCTION("IF(ISBLANK(B550),"""",IF(ISDATE(B550),""X"",""""))"),"")</f>
        <v/>
      </c>
      <c r="L550" s="40" t="str">
        <f>IFERROR(__xludf.DUMMYFUNCTION("IF(ISBLANK(B550),"""",IF(Or(I550=""Em Aberto"",ISBLANK(I550),NOT(ISDATE(B550))),"""",H550))"),"")</f>
        <v/>
      </c>
      <c r="M550" s="29" t="str">
        <f>IFERROR(__xludf.DUMMYFUNCTION("IF(ISBLANK(B550),"""",IF(ISDATE(B550),TEXT(B550,""m""),""""))"),"")</f>
        <v/>
      </c>
      <c r="N550" s="29" t="str">
        <f>IFERROR(__xludf.DUMMYFUNCTION("IF(M550="""","""",QUERY({'Dashboard-Dados'!$Y$2:$AA$13},""Select Col2 Where Col1=""&amp;M550))"),"")</f>
        <v/>
      </c>
      <c r="O550" s="29" t="str">
        <f>IFERROR(__xludf.DUMMYFUNCTION("IF(ISBLANK(B550),"""",IF(ISDATE(B550),TEXT(B550,""yyyy""),""""))"),"")</f>
        <v/>
      </c>
    </row>
    <row r="551">
      <c r="B551" s="62"/>
      <c r="C551" s="56"/>
      <c r="D551" s="56"/>
      <c r="E551" s="56"/>
      <c r="F551" s="63"/>
      <c r="G551" s="64"/>
      <c r="H551" s="65"/>
      <c r="I551" s="63"/>
      <c r="K551" s="53" t="str">
        <f>IFERROR(__xludf.DUMMYFUNCTION("IF(ISBLANK(B551),"""",IF(ISDATE(B551),""X"",""""))"),"")</f>
        <v/>
      </c>
      <c r="L551" s="40" t="str">
        <f>IFERROR(__xludf.DUMMYFUNCTION("IF(ISBLANK(B551),"""",IF(Or(I551=""Em Aberto"",ISBLANK(I551),NOT(ISDATE(B551))),"""",H551))"),"")</f>
        <v/>
      </c>
      <c r="M551" s="29" t="str">
        <f>IFERROR(__xludf.DUMMYFUNCTION("IF(ISBLANK(B551),"""",IF(ISDATE(B551),TEXT(B551,""m""),""""))"),"")</f>
        <v/>
      </c>
      <c r="N551" s="29" t="str">
        <f>IFERROR(__xludf.DUMMYFUNCTION("IF(M551="""","""",QUERY({'Dashboard-Dados'!$Y$2:$AA$13},""Select Col2 Where Col1=""&amp;M551))"),"")</f>
        <v/>
      </c>
      <c r="O551" s="29" t="str">
        <f>IFERROR(__xludf.DUMMYFUNCTION("IF(ISBLANK(B551),"""",IF(ISDATE(B551),TEXT(B551,""yyyy""),""""))"),"")</f>
        <v/>
      </c>
    </row>
    <row r="552">
      <c r="B552" s="62"/>
      <c r="C552" s="56"/>
      <c r="D552" s="56"/>
      <c r="E552" s="56"/>
      <c r="F552" s="63"/>
      <c r="G552" s="64"/>
      <c r="H552" s="65"/>
      <c r="I552" s="63"/>
      <c r="K552" s="53" t="str">
        <f>IFERROR(__xludf.DUMMYFUNCTION("IF(ISBLANK(B552),"""",IF(ISDATE(B552),""X"",""""))"),"")</f>
        <v/>
      </c>
      <c r="L552" s="40" t="str">
        <f>IFERROR(__xludf.DUMMYFUNCTION("IF(ISBLANK(B552),"""",IF(Or(I552=""Em Aberto"",ISBLANK(I552),NOT(ISDATE(B552))),"""",H552))"),"")</f>
        <v/>
      </c>
      <c r="M552" s="29" t="str">
        <f>IFERROR(__xludf.DUMMYFUNCTION("IF(ISBLANK(B552),"""",IF(ISDATE(B552),TEXT(B552,""m""),""""))"),"")</f>
        <v/>
      </c>
      <c r="N552" s="29" t="str">
        <f>IFERROR(__xludf.DUMMYFUNCTION("IF(M552="""","""",QUERY({'Dashboard-Dados'!$Y$2:$AA$13},""Select Col2 Where Col1=""&amp;M552))"),"")</f>
        <v/>
      </c>
      <c r="O552" s="29" t="str">
        <f>IFERROR(__xludf.DUMMYFUNCTION("IF(ISBLANK(B552),"""",IF(ISDATE(B552),TEXT(B552,""yyyy""),""""))"),"")</f>
        <v/>
      </c>
    </row>
    <row r="553">
      <c r="B553" s="62"/>
      <c r="C553" s="56"/>
      <c r="D553" s="56"/>
      <c r="E553" s="56"/>
      <c r="F553" s="63"/>
      <c r="G553" s="64"/>
      <c r="H553" s="65"/>
      <c r="I553" s="63"/>
      <c r="K553" s="53" t="str">
        <f>IFERROR(__xludf.DUMMYFUNCTION("IF(ISBLANK(B553),"""",IF(ISDATE(B553),""X"",""""))"),"")</f>
        <v/>
      </c>
      <c r="L553" s="40" t="str">
        <f>IFERROR(__xludf.DUMMYFUNCTION("IF(ISBLANK(B553),"""",IF(Or(I553=""Em Aberto"",ISBLANK(I553),NOT(ISDATE(B553))),"""",H553))"),"")</f>
        <v/>
      </c>
      <c r="M553" s="29" t="str">
        <f>IFERROR(__xludf.DUMMYFUNCTION("IF(ISBLANK(B553),"""",IF(ISDATE(B553),TEXT(B553,""m""),""""))"),"")</f>
        <v/>
      </c>
      <c r="N553" s="29" t="str">
        <f>IFERROR(__xludf.DUMMYFUNCTION("IF(M553="""","""",QUERY({'Dashboard-Dados'!$Y$2:$AA$13},""Select Col2 Where Col1=""&amp;M553))"),"")</f>
        <v/>
      </c>
      <c r="O553" s="29" t="str">
        <f>IFERROR(__xludf.DUMMYFUNCTION("IF(ISBLANK(B553),"""",IF(ISDATE(B553),TEXT(B553,""yyyy""),""""))"),"")</f>
        <v/>
      </c>
    </row>
    <row r="554">
      <c r="B554" s="62"/>
      <c r="C554" s="56"/>
      <c r="D554" s="56"/>
      <c r="E554" s="56"/>
      <c r="F554" s="63"/>
      <c r="G554" s="64"/>
      <c r="H554" s="65"/>
      <c r="I554" s="63"/>
      <c r="K554" s="53" t="str">
        <f>IFERROR(__xludf.DUMMYFUNCTION("IF(ISBLANK(B554),"""",IF(ISDATE(B554),""X"",""""))"),"")</f>
        <v/>
      </c>
      <c r="L554" s="40" t="str">
        <f>IFERROR(__xludf.DUMMYFUNCTION("IF(ISBLANK(B554),"""",IF(Or(I554=""Em Aberto"",ISBLANK(I554),NOT(ISDATE(B554))),"""",H554))"),"")</f>
        <v/>
      </c>
      <c r="M554" s="29" t="str">
        <f>IFERROR(__xludf.DUMMYFUNCTION("IF(ISBLANK(B554),"""",IF(ISDATE(B554),TEXT(B554,""m""),""""))"),"")</f>
        <v/>
      </c>
      <c r="N554" s="29" t="str">
        <f>IFERROR(__xludf.DUMMYFUNCTION("IF(M554="""","""",QUERY({'Dashboard-Dados'!$Y$2:$AA$13},""Select Col2 Where Col1=""&amp;M554))"),"")</f>
        <v/>
      </c>
      <c r="O554" s="29" t="str">
        <f>IFERROR(__xludf.DUMMYFUNCTION("IF(ISBLANK(B554),"""",IF(ISDATE(B554),TEXT(B554,""yyyy""),""""))"),"")</f>
        <v/>
      </c>
    </row>
    <row r="555">
      <c r="B555" s="62"/>
      <c r="C555" s="56"/>
      <c r="D555" s="56"/>
      <c r="E555" s="56"/>
      <c r="F555" s="63"/>
      <c r="G555" s="64"/>
      <c r="H555" s="65"/>
      <c r="I555" s="63"/>
      <c r="K555" s="53" t="str">
        <f>IFERROR(__xludf.DUMMYFUNCTION("IF(ISBLANK(B555),"""",IF(ISDATE(B555),""X"",""""))"),"")</f>
        <v/>
      </c>
      <c r="L555" s="40" t="str">
        <f>IFERROR(__xludf.DUMMYFUNCTION("IF(ISBLANK(B555),"""",IF(Or(I555=""Em Aberto"",ISBLANK(I555),NOT(ISDATE(B555))),"""",H555))"),"")</f>
        <v/>
      </c>
      <c r="M555" s="29" t="str">
        <f>IFERROR(__xludf.DUMMYFUNCTION("IF(ISBLANK(B555),"""",IF(ISDATE(B555),TEXT(B555,""m""),""""))"),"")</f>
        <v/>
      </c>
      <c r="N555" s="29" t="str">
        <f>IFERROR(__xludf.DUMMYFUNCTION("IF(M555="""","""",QUERY({'Dashboard-Dados'!$Y$2:$AA$13},""Select Col2 Where Col1=""&amp;M555))"),"")</f>
        <v/>
      </c>
      <c r="O555" s="29" t="str">
        <f>IFERROR(__xludf.DUMMYFUNCTION("IF(ISBLANK(B555),"""",IF(ISDATE(B555),TEXT(B555,""yyyy""),""""))"),"")</f>
        <v/>
      </c>
    </row>
    <row r="556">
      <c r="B556" s="62"/>
      <c r="C556" s="56"/>
      <c r="D556" s="56"/>
      <c r="E556" s="56"/>
      <c r="F556" s="63"/>
      <c r="G556" s="64"/>
      <c r="H556" s="65"/>
      <c r="I556" s="63"/>
      <c r="K556" s="53" t="str">
        <f>IFERROR(__xludf.DUMMYFUNCTION("IF(ISBLANK(B556),"""",IF(ISDATE(B556),""X"",""""))"),"")</f>
        <v/>
      </c>
      <c r="L556" s="40" t="str">
        <f>IFERROR(__xludf.DUMMYFUNCTION("IF(ISBLANK(B556),"""",IF(Or(I556=""Em Aberto"",ISBLANK(I556),NOT(ISDATE(B556))),"""",H556))"),"")</f>
        <v/>
      </c>
      <c r="M556" s="29" t="str">
        <f>IFERROR(__xludf.DUMMYFUNCTION("IF(ISBLANK(B556),"""",IF(ISDATE(B556),TEXT(B556,""m""),""""))"),"")</f>
        <v/>
      </c>
      <c r="N556" s="29" t="str">
        <f>IFERROR(__xludf.DUMMYFUNCTION("IF(M556="""","""",QUERY({'Dashboard-Dados'!$Y$2:$AA$13},""Select Col2 Where Col1=""&amp;M556))"),"")</f>
        <v/>
      </c>
      <c r="O556" s="29" t="str">
        <f>IFERROR(__xludf.DUMMYFUNCTION("IF(ISBLANK(B556),"""",IF(ISDATE(B556),TEXT(B556,""yyyy""),""""))"),"")</f>
        <v/>
      </c>
    </row>
    <row r="557">
      <c r="B557" s="62"/>
      <c r="C557" s="56"/>
      <c r="D557" s="56"/>
      <c r="E557" s="56"/>
      <c r="F557" s="63"/>
      <c r="G557" s="64"/>
      <c r="H557" s="65"/>
      <c r="I557" s="63"/>
      <c r="K557" s="53" t="str">
        <f>IFERROR(__xludf.DUMMYFUNCTION("IF(ISBLANK(B557),"""",IF(ISDATE(B557),""X"",""""))"),"")</f>
        <v/>
      </c>
      <c r="L557" s="40" t="str">
        <f>IFERROR(__xludf.DUMMYFUNCTION("IF(ISBLANK(B557),"""",IF(Or(I557=""Em Aberto"",ISBLANK(I557),NOT(ISDATE(B557))),"""",H557))"),"")</f>
        <v/>
      </c>
      <c r="M557" s="29" t="str">
        <f>IFERROR(__xludf.DUMMYFUNCTION("IF(ISBLANK(B557),"""",IF(ISDATE(B557),TEXT(B557,""m""),""""))"),"")</f>
        <v/>
      </c>
      <c r="N557" s="29" t="str">
        <f>IFERROR(__xludf.DUMMYFUNCTION("IF(M557="""","""",QUERY({'Dashboard-Dados'!$Y$2:$AA$13},""Select Col2 Where Col1=""&amp;M557))"),"")</f>
        <v/>
      </c>
      <c r="O557" s="29" t="str">
        <f>IFERROR(__xludf.DUMMYFUNCTION("IF(ISBLANK(B557),"""",IF(ISDATE(B557),TEXT(B557,""yyyy""),""""))"),"")</f>
        <v/>
      </c>
    </row>
    <row r="558">
      <c r="B558" s="62"/>
      <c r="C558" s="56"/>
      <c r="D558" s="56"/>
      <c r="E558" s="56"/>
      <c r="F558" s="63"/>
      <c r="G558" s="64"/>
      <c r="H558" s="65"/>
      <c r="I558" s="63"/>
      <c r="K558" s="53" t="str">
        <f>IFERROR(__xludf.DUMMYFUNCTION("IF(ISBLANK(B558),"""",IF(ISDATE(B558),""X"",""""))"),"")</f>
        <v/>
      </c>
      <c r="L558" s="40" t="str">
        <f>IFERROR(__xludf.DUMMYFUNCTION("IF(ISBLANK(B558),"""",IF(Or(I558=""Em Aberto"",ISBLANK(I558),NOT(ISDATE(B558))),"""",H558))"),"")</f>
        <v/>
      </c>
      <c r="M558" s="29" t="str">
        <f>IFERROR(__xludf.DUMMYFUNCTION("IF(ISBLANK(B558),"""",IF(ISDATE(B558),TEXT(B558,""m""),""""))"),"")</f>
        <v/>
      </c>
      <c r="N558" s="29" t="str">
        <f>IFERROR(__xludf.DUMMYFUNCTION("IF(M558="""","""",QUERY({'Dashboard-Dados'!$Y$2:$AA$13},""Select Col2 Where Col1=""&amp;M558))"),"")</f>
        <v/>
      </c>
      <c r="O558" s="29" t="str">
        <f>IFERROR(__xludf.DUMMYFUNCTION("IF(ISBLANK(B558),"""",IF(ISDATE(B558),TEXT(B558,""yyyy""),""""))"),"")</f>
        <v/>
      </c>
    </row>
    <row r="559">
      <c r="B559" s="62"/>
      <c r="C559" s="56"/>
      <c r="D559" s="56"/>
      <c r="E559" s="56"/>
      <c r="F559" s="63"/>
      <c r="G559" s="64"/>
      <c r="H559" s="65"/>
      <c r="I559" s="63"/>
      <c r="K559" s="53" t="str">
        <f>IFERROR(__xludf.DUMMYFUNCTION("IF(ISBLANK(B559),"""",IF(ISDATE(B559),""X"",""""))"),"")</f>
        <v/>
      </c>
      <c r="L559" s="40" t="str">
        <f>IFERROR(__xludf.DUMMYFUNCTION("IF(ISBLANK(B559),"""",IF(Or(I559=""Em Aberto"",ISBLANK(I559),NOT(ISDATE(B559))),"""",H559))"),"")</f>
        <v/>
      </c>
      <c r="M559" s="29" t="str">
        <f>IFERROR(__xludf.DUMMYFUNCTION("IF(ISBLANK(B559),"""",IF(ISDATE(B559),TEXT(B559,""m""),""""))"),"")</f>
        <v/>
      </c>
      <c r="N559" s="29" t="str">
        <f>IFERROR(__xludf.DUMMYFUNCTION("IF(M559="""","""",QUERY({'Dashboard-Dados'!$Y$2:$AA$13},""Select Col2 Where Col1=""&amp;M559))"),"")</f>
        <v/>
      </c>
      <c r="O559" s="29" t="str">
        <f>IFERROR(__xludf.DUMMYFUNCTION("IF(ISBLANK(B559),"""",IF(ISDATE(B559),TEXT(B559,""yyyy""),""""))"),"")</f>
        <v/>
      </c>
    </row>
    <row r="560">
      <c r="B560" s="62"/>
      <c r="C560" s="56"/>
      <c r="D560" s="56"/>
      <c r="E560" s="56"/>
      <c r="F560" s="63"/>
      <c r="G560" s="64"/>
      <c r="H560" s="65"/>
      <c r="I560" s="63"/>
      <c r="K560" s="53" t="str">
        <f>IFERROR(__xludf.DUMMYFUNCTION("IF(ISBLANK(B560),"""",IF(ISDATE(B560),""X"",""""))"),"")</f>
        <v/>
      </c>
      <c r="L560" s="40" t="str">
        <f>IFERROR(__xludf.DUMMYFUNCTION("IF(ISBLANK(B560),"""",IF(Or(I560=""Em Aberto"",ISBLANK(I560),NOT(ISDATE(B560))),"""",H560))"),"")</f>
        <v/>
      </c>
      <c r="M560" s="29" t="str">
        <f>IFERROR(__xludf.DUMMYFUNCTION("IF(ISBLANK(B560),"""",IF(ISDATE(B560),TEXT(B560,""m""),""""))"),"")</f>
        <v/>
      </c>
      <c r="N560" s="29" t="str">
        <f>IFERROR(__xludf.DUMMYFUNCTION("IF(M560="""","""",QUERY({'Dashboard-Dados'!$Y$2:$AA$13},""Select Col2 Where Col1=""&amp;M560))"),"")</f>
        <v/>
      </c>
      <c r="O560" s="29" t="str">
        <f>IFERROR(__xludf.DUMMYFUNCTION("IF(ISBLANK(B560),"""",IF(ISDATE(B560),TEXT(B560,""yyyy""),""""))"),"")</f>
        <v/>
      </c>
    </row>
    <row r="561">
      <c r="B561" s="62"/>
      <c r="C561" s="56"/>
      <c r="D561" s="56"/>
      <c r="E561" s="56"/>
      <c r="F561" s="63"/>
      <c r="G561" s="64"/>
      <c r="H561" s="65"/>
      <c r="I561" s="63"/>
      <c r="K561" s="53" t="str">
        <f>IFERROR(__xludf.DUMMYFUNCTION("IF(ISBLANK(B561),"""",IF(ISDATE(B561),""X"",""""))"),"")</f>
        <v/>
      </c>
      <c r="L561" s="40" t="str">
        <f>IFERROR(__xludf.DUMMYFUNCTION("IF(ISBLANK(B561),"""",IF(Or(I561=""Em Aberto"",ISBLANK(I561),NOT(ISDATE(B561))),"""",H561))"),"")</f>
        <v/>
      </c>
      <c r="M561" s="29" t="str">
        <f>IFERROR(__xludf.DUMMYFUNCTION("IF(ISBLANK(B561),"""",IF(ISDATE(B561),TEXT(B561,""m""),""""))"),"")</f>
        <v/>
      </c>
      <c r="N561" s="29" t="str">
        <f>IFERROR(__xludf.DUMMYFUNCTION("IF(M561="""","""",QUERY({'Dashboard-Dados'!$Y$2:$AA$13},""Select Col2 Where Col1=""&amp;M561))"),"")</f>
        <v/>
      </c>
      <c r="O561" s="29" t="str">
        <f>IFERROR(__xludf.DUMMYFUNCTION("IF(ISBLANK(B561),"""",IF(ISDATE(B561),TEXT(B561,""yyyy""),""""))"),"")</f>
        <v/>
      </c>
    </row>
    <row r="562">
      <c r="B562" s="62"/>
      <c r="C562" s="56"/>
      <c r="D562" s="56"/>
      <c r="E562" s="56"/>
      <c r="F562" s="63"/>
      <c r="G562" s="64"/>
      <c r="H562" s="65"/>
      <c r="I562" s="63"/>
      <c r="K562" s="53" t="str">
        <f>IFERROR(__xludf.DUMMYFUNCTION("IF(ISBLANK(B562),"""",IF(ISDATE(B562),""X"",""""))"),"")</f>
        <v/>
      </c>
      <c r="L562" s="40" t="str">
        <f>IFERROR(__xludf.DUMMYFUNCTION("IF(ISBLANK(B562),"""",IF(Or(I562=""Em Aberto"",ISBLANK(I562),NOT(ISDATE(B562))),"""",H562))"),"")</f>
        <v/>
      </c>
      <c r="M562" s="29" t="str">
        <f>IFERROR(__xludf.DUMMYFUNCTION("IF(ISBLANK(B562),"""",IF(ISDATE(B562),TEXT(B562,""m""),""""))"),"")</f>
        <v/>
      </c>
      <c r="N562" s="29" t="str">
        <f>IFERROR(__xludf.DUMMYFUNCTION("IF(M562="""","""",QUERY({'Dashboard-Dados'!$Y$2:$AA$13},""Select Col2 Where Col1=""&amp;M562))"),"")</f>
        <v/>
      </c>
      <c r="O562" s="29" t="str">
        <f>IFERROR(__xludf.DUMMYFUNCTION("IF(ISBLANK(B562),"""",IF(ISDATE(B562),TEXT(B562,""yyyy""),""""))"),"")</f>
        <v/>
      </c>
    </row>
    <row r="563">
      <c r="B563" s="62"/>
      <c r="C563" s="56"/>
      <c r="D563" s="56"/>
      <c r="E563" s="56"/>
      <c r="F563" s="63"/>
      <c r="G563" s="64"/>
      <c r="H563" s="65"/>
      <c r="I563" s="63"/>
      <c r="K563" s="53" t="str">
        <f>IFERROR(__xludf.DUMMYFUNCTION("IF(ISBLANK(B563),"""",IF(ISDATE(B563),""X"",""""))"),"")</f>
        <v/>
      </c>
      <c r="L563" s="40" t="str">
        <f>IFERROR(__xludf.DUMMYFUNCTION("IF(ISBLANK(B563),"""",IF(Or(I563=""Em Aberto"",ISBLANK(I563),NOT(ISDATE(B563))),"""",H563))"),"")</f>
        <v/>
      </c>
      <c r="M563" s="29" t="str">
        <f>IFERROR(__xludf.DUMMYFUNCTION("IF(ISBLANK(B563),"""",IF(ISDATE(B563),TEXT(B563,""m""),""""))"),"")</f>
        <v/>
      </c>
      <c r="N563" s="29" t="str">
        <f>IFERROR(__xludf.DUMMYFUNCTION("IF(M563="""","""",QUERY({'Dashboard-Dados'!$Y$2:$AA$13},""Select Col2 Where Col1=""&amp;M563))"),"")</f>
        <v/>
      </c>
      <c r="O563" s="29" t="str">
        <f>IFERROR(__xludf.DUMMYFUNCTION("IF(ISBLANK(B563),"""",IF(ISDATE(B563),TEXT(B563,""yyyy""),""""))"),"")</f>
        <v/>
      </c>
    </row>
    <row r="564">
      <c r="B564" s="62"/>
      <c r="C564" s="56"/>
      <c r="D564" s="56"/>
      <c r="E564" s="56"/>
      <c r="F564" s="63"/>
      <c r="G564" s="64"/>
      <c r="H564" s="65"/>
      <c r="I564" s="63"/>
      <c r="K564" s="53" t="str">
        <f>IFERROR(__xludf.DUMMYFUNCTION("IF(ISBLANK(B564),"""",IF(ISDATE(B564),""X"",""""))"),"")</f>
        <v/>
      </c>
      <c r="L564" s="40" t="str">
        <f>IFERROR(__xludf.DUMMYFUNCTION("IF(ISBLANK(B564),"""",IF(Or(I564=""Em Aberto"",ISBLANK(I564),NOT(ISDATE(B564))),"""",H564))"),"")</f>
        <v/>
      </c>
      <c r="M564" s="29" t="str">
        <f>IFERROR(__xludf.DUMMYFUNCTION("IF(ISBLANK(B564),"""",IF(ISDATE(B564),TEXT(B564,""m""),""""))"),"")</f>
        <v/>
      </c>
      <c r="N564" s="29" t="str">
        <f>IFERROR(__xludf.DUMMYFUNCTION("IF(M564="""","""",QUERY({'Dashboard-Dados'!$Y$2:$AA$13},""Select Col2 Where Col1=""&amp;M564))"),"")</f>
        <v/>
      </c>
      <c r="O564" s="29" t="str">
        <f>IFERROR(__xludf.DUMMYFUNCTION("IF(ISBLANK(B564),"""",IF(ISDATE(B564),TEXT(B564,""yyyy""),""""))"),"")</f>
        <v/>
      </c>
    </row>
    <row r="565">
      <c r="B565" s="62"/>
      <c r="C565" s="56"/>
      <c r="D565" s="56"/>
      <c r="E565" s="56"/>
      <c r="F565" s="63"/>
      <c r="G565" s="64"/>
      <c r="H565" s="65"/>
      <c r="I565" s="63"/>
      <c r="K565" s="53" t="str">
        <f>IFERROR(__xludf.DUMMYFUNCTION("IF(ISBLANK(B565),"""",IF(ISDATE(B565),""X"",""""))"),"")</f>
        <v/>
      </c>
      <c r="L565" s="40" t="str">
        <f>IFERROR(__xludf.DUMMYFUNCTION("IF(ISBLANK(B565),"""",IF(Or(I565=""Em Aberto"",ISBLANK(I565),NOT(ISDATE(B565))),"""",H565))"),"")</f>
        <v/>
      </c>
      <c r="M565" s="29" t="str">
        <f>IFERROR(__xludf.DUMMYFUNCTION("IF(ISBLANK(B565),"""",IF(ISDATE(B565),TEXT(B565,""m""),""""))"),"")</f>
        <v/>
      </c>
      <c r="N565" s="29" t="str">
        <f>IFERROR(__xludf.DUMMYFUNCTION("IF(M565="""","""",QUERY({'Dashboard-Dados'!$Y$2:$AA$13},""Select Col2 Where Col1=""&amp;M565))"),"")</f>
        <v/>
      </c>
      <c r="O565" s="29" t="str">
        <f>IFERROR(__xludf.DUMMYFUNCTION("IF(ISBLANK(B565),"""",IF(ISDATE(B565),TEXT(B565,""yyyy""),""""))"),"")</f>
        <v/>
      </c>
    </row>
    <row r="566">
      <c r="B566" s="62"/>
      <c r="C566" s="56"/>
      <c r="D566" s="56"/>
      <c r="E566" s="56"/>
      <c r="F566" s="63"/>
      <c r="G566" s="64"/>
      <c r="H566" s="65"/>
      <c r="I566" s="63"/>
      <c r="K566" s="53" t="str">
        <f>IFERROR(__xludf.DUMMYFUNCTION("IF(ISBLANK(B566),"""",IF(ISDATE(B566),""X"",""""))"),"")</f>
        <v/>
      </c>
      <c r="L566" s="40" t="str">
        <f>IFERROR(__xludf.DUMMYFUNCTION("IF(ISBLANK(B566),"""",IF(Or(I566=""Em Aberto"",ISBLANK(I566),NOT(ISDATE(B566))),"""",H566))"),"")</f>
        <v/>
      </c>
      <c r="M566" s="29" t="str">
        <f>IFERROR(__xludf.DUMMYFUNCTION("IF(ISBLANK(B566),"""",IF(ISDATE(B566),TEXT(B566,""m""),""""))"),"")</f>
        <v/>
      </c>
      <c r="N566" s="29" t="str">
        <f>IFERROR(__xludf.DUMMYFUNCTION("IF(M566="""","""",QUERY({'Dashboard-Dados'!$Y$2:$AA$13},""Select Col2 Where Col1=""&amp;M566))"),"")</f>
        <v/>
      </c>
      <c r="O566" s="29" t="str">
        <f>IFERROR(__xludf.DUMMYFUNCTION("IF(ISBLANK(B566),"""",IF(ISDATE(B566),TEXT(B566,""yyyy""),""""))"),"")</f>
        <v/>
      </c>
    </row>
    <row r="567">
      <c r="B567" s="62"/>
      <c r="C567" s="56"/>
      <c r="D567" s="56"/>
      <c r="E567" s="56"/>
      <c r="F567" s="63"/>
      <c r="G567" s="64"/>
      <c r="H567" s="65"/>
      <c r="I567" s="63"/>
      <c r="K567" s="53" t="str">
        <f>IFERROR(__xludf.DUMMYFUNCTION("IF(ISBLANK(B567),"""",IF(ISDATE(B567),""X"",""""))"),"")</f>
        <v/>
      </c>
      <c r="L567" s="40" t="str">
        <f>IFERROR(__xludf.DUMMYFUNCTION("IF(ISBLANK(B567),"""",IF(Or(I567=""Em Aberto"",ISBLANK(I567),NOT(ISDATE(B567))),"""",H567))"),"")</f>
        <v/>
      </c>
      <c r="M567" s="29" t="str">
        <f>IFERROR(__xludf.DUMMYFUNCTION("IF(ISBLANK(B567),"""",IF(ISDATE(B567),TEXT(B567,""m""),""""))"),"")</f>
        <v/>
      </c>
      <c r="N567" s="29" t="str">
        <f>IFERROR(__xludf.DUMMYFUNCTION("IF(M567="""","""",QUERY({'Dashboard-Dados'!$Y$2:$AA$13},""Select Col2 Where Col1=""&amp;M567))"),"")</f>
        <v/>
      </c>
      <c r="O567" s="29" t="str">
        <f>IFERROR(__xludf.DUMMYFUNCTION("IF(ISBLANK(B567),"""",IF(ISDATE(B567),TEXT(B567,""yyyy""),""""))"),"")</f>
        <v/>
      </c>
    </row>
    <row r="568">
      <c r="B568" s="62"/>
      <c r="C568" s="56"/>
      <c r="D568" s="56"/>
      <c r="E568" s="56"/>
      <c r="F568" s="63"/>
      <c r="G568" s="64"/>
      <c r="H568" s="65"/>
      <c r="I568" s="63"/>
      <c r="K568" s="53" t="str">
        <f>IFERROR(__xludf.DUMMYFUNCTION("IF(ISBLANK(B568),"""",IF(ISDATE(B568),""X"",""""))"),"")</f>
        <v/>
      </c>
      <c r="L568" s="40" t="str">
        <f>IFERROR(__xludf.DUMMYFUNCTION("IF(ISBLANK(B568),"""",IF(Or(I568=""Em Aberto"",ISBLANK(I568),NOT(ISDATE(B568))),"""",H568))"),"")</f>
        <v/>
      </c>
      <c r="M568" s="29" t="str">
        <f>IFERROR(__xludf.DUMMYFUNCTION("IF(ISBLANK(B568),"""",IF(ISDATE(B568),TEXT(B568,""m""),""""))"),"")</f>
        <v/>
      </c>
      <c r="N568" s="29" t="str">
        <f>IFERROR(__xludf.DUMMYFUNCTION("IF(M568="""","""",QUERY({'Dashboard-Dados'!$Y$2:$AA$13},""Select Col2 Where Col1=""&amp;M568))"),"")</f>
        <v/>
      </c>
      <c r="O568" s="29" t="str">
        <f>IFERROR(__xludf.DUMMYFUNCTION("IF(ISBLANK(B568),"""",IF(ISDATE(B568),TEXT(B568,""yyyy""),""""))"),"")</f>
        <v/>
      </c>
    </row>
    <row r="569">
      <c r="B569" s="62"/>
      <c r="C569" s="56"/>
      <c r="D569" s="56"/>
      <c r="E569" s="56"/>
      <c r="F569" s="63"/>
      <c r="G569" s="64"/>
      <c r="H569" s="65"/>
      <c r="I569" s="63"/>
      <c r="K569" s="53" t="str">
        <f>IFERROR(__xludf.DUMMYFUNCTION("IF(ISBLANK(B569),"""",IF(ISDATE(B569),""X"",""""))"),"")</f>
        <v/>
      </c>
      <c r="L569" s="40" t="str">
        <f>IFERROR(__xludf.DUMMYFUNCTION("IF(ISBLANK(B569),"""",IF(Or(I569=""Em Aberto"",ISBLANK(I569),NOT(ISDATE(B569))),"""",H569))"),"")</f>
        <v/>
      </c>
      <c r="M569" s="29" t="str">
        <f>IFERROR(__xludf.DUMMYFUNCTION("IF(ISBLANK(B569),"""",IF(ISDATE(B569),TEXT(B569,""m""),""""))"),"")</f>
        <v/>
      </c>
      <c r="N569" s="29" t="str">
        <f>IFERROR(__xludf.DUMMYFUNCTION("IF(M569="""","""",QUERY({'Dashboard-Dados'!$Y$2:$AA$13},""Select Col2 Where Col1=""&amp;M569))"),"")</f>
        <v/>
      </c>
      <c r="O569" s="29" t="str">
        <f>IFERROR(__xludf.DUMMYFUNCTION("IF(ISBLANK(B569),"""",IF(ISDATE(B569),TEXT(B569,""yyyy""),""""))"),"")</f>
        <v/>
      </c>
    </row>
    <row r="570">
      <c r="B570" s="62"/>
      <c r="C570" s="56"/>
      <c r="D570" s="56"/>
      <c r="E570" s="56"/>
      <c r="F570" s="63"/>
      <c r="G570" s="64"/>
      <c r="H570" s="65"/>
      <c r="I570" s="63"/>
      <c r="K570" s="53" t="str">
        <f>IFERROR(__xludf.DUMMYFUNCTION("IF(ISBLANK(B570),"""",IF(ISDATE(B570),""X"",""""))"),"")</f>
        <v/>
      </c>
      <c r="L570" s="40" t="str">
        <f>IFERROR(__xludf.DUMMYFUNCTION("IF(ISBLANK(B570),"""",IF(Or(I570=""Em Aberto"",ISBLANK(I570),NOT(ISDATE(B570))),"""",H570))"),"")</f>
        <v/>
      </c>
      <c r="M570" s="29" t="str">
        <f>IFERROR(__xludf.DUMMYFUNCTION("IF(ISBLANK(B570),"""",IF(ISDATE(B570),TEXT(B570,""m""),""""))"),"")</f>
        <v/>
      </c>
      <c r="N570" s="29" t="str">
        <f>IFERROR(__xludf.DUMMYFUNCTION("IF(M570="""","""",QUERY({'Dashboard-Dados'!$Y$2:$AA$13},""Select Col2 Where Col1=""&amp;M570))"),"")</f>
        <v/>
      </c>
      <c r="O570" s="29" t="str">
        <f>IFERROR(__xludf.DUMMYFUNCTION("IF(ISBLANK(B570),"""",IF(ISDATE(B570),TEXT(B570,""yyyy""),""""))"),"")</f>
        <v/>
      </c>
    </row>
    <row r="571">
      <c r="B571" s="62"/>
      <c r="C571" s="56"/>
      <c r="D571" s="56"/>
      <c r="E571" s="56"/>
      <c r="F571" s="63"/>
      <c r="G571" s="64"/>
      <c r="H571" s="65"/>
      <c r="I571" s="63"/>
      <c r="K571" s="53" t="str">
        <f>IFERROR(__xludf.DUMMYFUNCTION("IF(ISBLANK(B571),"""",IF(ISDATE(B571),""X"",""""))"),"")</f>
        <v/>
      </c>
      <c r="L571" s="40" t="str">
        <f>IFERROR(__xludf.DUMMYFUNCTION("IF(ISBLANK(B571),"""",IF(Or(I571=""Em Aberto"",ISBLANK(I571),NOT(ISDATE(B571))),"""",H571))"),"")</f>
        <v/>
      </c>
      <c r="M571" s="29" t="str">
        <f>IFERROR(__xludf.DUMMYFUNCTION("IF(ISBLANK(B571),"""",IF(ISDATE(B571),TEXT(B571,""m""),""""))"),"")</f>
        <v/>
      </c>
      <c r="N571" s="29" t="str">
        <f>IFERROR(__xludf.DUMMYFUNCTION("IF(M571="""","""",QUERY({'Dashboard-Dados'!$Y$2:$AA$13},""Select Col2 Where Col1=""&amp;M571))"),"")</f>
        <v/>
      </c>
      <c r="O571" s="29" t="str">
        <f>IFERROR(__xludf.DUMMYFUNCTION("IF(ISBLANK(B571),"""",IF(ISDATE(B571),TEXT(B571,""yyyy""),""""))"),"")</f>
        <v/>
      </c>
    </row>
    <row r="572">
      <c r="B572" s="62"/>
      <c r="C572" s="56"/>
      <c r="D572" s="56"/>
      <c r="E572" s="56"/>
      <c r="F572" s="63"/>
      <c r="G572" s="64"/>
      <c r="H572" s="65"/>
      <c r="I572" s="63"/>
      <c r="K572" s="53" t="str">
        <f>IFERROR(__xludf.DUMMYFUNCTION("IF(ISBLANK(B572),"""",IF(ISDATE(B572),""X"",""""))"),"")</f>
        <v/>
      </c>
      <c r="L572" s="40" t="str">
        <f>IFERROR(__xludf.DUMMYFUNCTION("IF(ISBLANK(B572),"""",IF(Or(I572=""Em Aberto"",ISBLANK(I572),NOT(ISDATE(B572))),"""",H572))"),"")</f>
        <v/>
      </c>
      <c r="M572" s="29" t="str">
        <f>IFERROR(__xludf.DUMMYFUNCTION("IF(ISBLANK(B572),"""",IF(ISDATE(B572),TEXT(B572,""m""),""""))"),"")</f>
        <v/>
      </c>
      <c r="N572" s="29" t="str">
        <f>IFERROR(__xludf.DUMMYFUNCTION("IF(M572="""","""",QUERY({'Dashboard-Dados'!$Y$2:$AA$13},""Select Col2 Where Col1=""&amp;M572))"),"")</f>
        <v/>
      </c>
      <c r="O572" s="29" t="str">
        <f>IFERROR(__xludf.DUMMYFUNCTION("IF(ISBLANK(B572),"""",IF(ISDATE(B572),TEXT(B572,""yyyy""),""""))"),"")</f>
        <v/>
      </c>
    </row>
    <row r="573">
      <c r="B573" s="62"/>
      <c r="C573" s="56"/>
      <c r="D573" s="56"/>
      <c r="E573" s="56"/>
      <c r="F573" s="63"/>
      <c r="G573" s="64"/>
      <c r="H573" s="65"/>
      <c r="I573" s="63"/>
      <c r="K573" s="53" t="str">
        <f>IFERROR(__xludf.DUMMYFUNCTION("IF(ISBLANK(B573),"""",IF(ISDATE(B573),""X"",""""))"),"")</f>
        <v/>
      </c>
      <c r="L573" s="40" t="str">
        <f>IFERROR(__xludf.DUMMYFUNCTION("IF(ISBLANK(B573),"""",IF(Or(I573=""Em Aberto"",ISBLANK(I573),NOT(ISDATE(B573))),"""",H573))"),"")</f>
        <v/>
      </c>
      <c r="M573" s="29" t="str">
        <f>IFERROR(__xludf.DUMMYFUNCTION("IF(ISBLANK(B573),"""",IF(ISDATE(B573),TEXT(B573,""m""),""""))"),"")</f>
        <v/>
      </c>
      <c r="N573" s="29" t="str">
        <f>IFERROR(__xludf.DUMMYFUNCTION("IF(M573="""","""",QUERY({'Dashboard-Dados'!$Y$2:$AA$13},""Select Col2 Where Col1=""&amp;M573))"),"")</f>
        <v/>
      </c>
      <c r="O573" s="29" t="str">
        <f>IFERROR(__xludf.DUMMYFUNCTION("IF(ISBLANK(B573),"""",IF(ISDATE(B573),TEXT(B573,""yyyy""),""""))"),"")</f>
        <v/>
      </c>
    </row>
    <row r="574">
      <c r="B574" s="62"/>
      <c r="C574" s="56"/>
      <c r="D574" s="56"/>
      <c r="E574" s="56"/>
      <c r="F574" s="63"/>
      <c r="G574" s="64"/>
      <c r="H574" s="65"/>
      <c r="I574" s="63"/>
      <c r="K574" s="53" t="str">
        <f>IFERROR(__xludf.DUMMYFUNCTION("IF(ISBLANK(B574),"""",IF(ISDATE(B574),""X"",""""))"),"")</f>
        <v/>
      </c>
      <c r="L574" s="40" t="str">
        <f>IFERROR(__xludf.DUMMYFUNCTION("IF(ISBLANK(B574),"""",IF(Or(I574=""Em Aberto"",ISBLANK(I574),NOT(ISDATE(B574))),"""",H574))"),"")</f>
        <v/>
      </c>
      <c r="M574" s="29" t="str">
        <f>IFERROR(__xludf.DUMMYFUNCTION("IF(ISBLANK(B574),"""",IF(ISDATE(B574),TEXT(B574,""m""),""""))"),"")</f>
        <v/>
      </c>
      <c r="N574" s="29" t="str">
        <f>IFERROR(__xludf.DUMMYFUNCTION("IF(M574="""","""",QUERY({'Dashboard-Dados'!$Y$2:$AA$13},""Select Col2 Where Col1=""&amp;M574))"),"")</f>
        <v/>
      </c>
      <c r="O574" s="29" t="str">
        <f>IFERROR(__xludf.DUMMYFUNCTION("IF(ISBLANK(B574),"""",IF(ISDATE(B574),TEXT(B574,""yyyy""),""""))"),"")</f>
        <v/>
      </c>
    </row>
    <row r="575">
      <c r="B575" s="62"/>
      <c r="C575" s="56"/>
      <c r="D575" s="56"/>
      <c r="E575" s="56"/>
      <c r="F575" s="63"/>
      <c r="G575" s="64"/>
      <c r="H575" s="65"/>
      <c r="I575" s="63"/>
      <c r="K575" s="53" t="str">
        <f>IFERROR(__xludf.DUMMYFUNCTION("IF(ISBLANK(B575),"""",IF(ISDATE(B575),""X"",""""))"),"")</f>
        <v/>
      </c>
      <c r="L575" s="40" t="str">
        <f>IFERROR(__xludf.DUMMYFUNCTION("IF(ISBLANK(B575),"""",IF(Or(I575=""Em Aberto"",ISBLANK(I575),NOT(ISDATE(B575))),"""",H575))"),"")</f>
        <v/>
      </c>
      <c r="M575" s="29" t="str">
        <f>IFERROR(__xludf.DUMMYFUNCTION("IF(ISBLANK(B575),"""",IF(ISDATE(B575),TEXT(B575,""m""),""""))"),"")</f>
        <v/>
      </c>
      <c r="N575" s="29" t="str">
        <f>IFERROR(__xludf.DUMMYFUNCTION("IF(M575="""","""",QUERY({'Dashboard-Dados'!$Y$2:$AA$13},""Select Col2 Where Col1=""&amp;M575))"),"")</f>
        <v/>
      </c>
      <c r="O575" s="29" t="str">
        <f>IFERROR(__xludf.DUMMYFUNCTION("IF(ISBLANK(B575),"""",IF(ISDATE(B575),TEXT(B575,""yyyy""),""""))"),"")</f>
        <v/>
      </c>
    </row>
    <row r="576">
      <c r="B576" s="62"/>
      <c r="C576" s="56"/>
      <c r="D576" s="56"/>
      <c r="E576" s="56"/>
      <c r="F576" s="63"/>
      <c r="G576" s="64"/>
      <c r="H576" s="65"/>
      <c r="I576" s="63"/>
      <c r="K576" s="53" t="str">
        <f>IFERROR(__xludf.DUMMYFUNCTION("IF(ISBLANK(B576),"""",IF(ISDATE(B576),""X"",""""))"),"")</f>
        <v/>
      </c>
      <c r="L576" s="40" t="str">
        <f>IFERROR(__xludf.DUMMYFUNCTION("IF(ISBLANK(B576),"""",IF(Or(I576=""Em Aberto"",ISBLANK(I576),NOT(ISDATE(B576))),"""",H576))"),"")</f>
        <v/>
      </c>
      <c r="M576" s="29" t="str">
        <f>IFERROR(__xludf.DUMMYFUNCTION("IF(ISBLANK(B576),"""",IF(ISDATE(B576),TEXT(B576,""m""),""""))"),"")</f>
        <v/>
      </c>
      <c r="N576" s="29" t="str">
        <f>IFERROR(__xludf.DUMMYFUNCTION("IF(M576="""","""",QUERY({'Dashboard-Dados'!$Y$2:$AA$13},""Select Col2 Where Col1=""&amp;M576))"),"")</f>
        <v/>
      </c>
      <c r="O576" s="29" t="str">
        <f>IFERROR(__xludf.DUMMYFUNCTION("IF(ISBLANK(B576),"""",IF(ISDATE(B576),TEXT(B576,""yyyy""),""""))"),"")</f>
        <v/>
      </c>
    </row>
    <row r="577">
      <c r="B577" s="62"/>
      <c r="C577" s="56"/>
      <c r="D577" s="56"/>
      <c r="E577" s="56"/>
      <c r="F577" s="63"/>
      <c r="G577" s="64"/>
      <c r="H577" s="65"/>
      <c r="I577" s="63"/>
      <c r="K577" s="53" t="str">
        <f>IFERROR(__xludf.DUMMYFUNCTION("IF(ISBLANK(B577),"""",IF(ISDATE(B577),""X"",""""))"),"")</f>
        <v/>
      </c>
      <c r="L577" s="40" t="str">
        <f>IFERROR(__xludf.DUMMYFUNCTION("IF(ISBLANK(B577),"""",IF(Or(I577=""Em Aberto"",ISBLANK(I577),NOT(ISDATE(B577))),"""",H577))"),"")</f>
        <v/>
      </c>
      <c r="M577" s="29" t="str">
        <f>IFERROR(__xludf.DUMMYFUNCTION("IF(ISBLANK(B577),"""",IF(ISDATE(B577),TEXT(B577,""m""),""""))"),"")</f>
        <v/>
      </c>
      <c r="N577" s="29" t="str">
        <f>IFERROR(__xludf.DUMMYFUNCTION("IF(M577="""","""",QUERY({'Dashboard-Dados'!$Y$2:$AA$13},""Select Col2 Where Col1=""&amp;M577))"),"")</f>
        <v/>
      </c>
      <c r="O577" s="29" t="str">
        <f>IFERROR(__xludf.DUMMYFUNCTION("IF(ISBLANK(B577),"""",IF(ISDATE(B577),TEXT(B577,""yyyy""),""""))"),"")</f>
        <v/>
      </c>
    </row>
    <row r="578">
      <c r="B578" s="62"/>
      <c r="C578" s="56"/>
      <c r="D578" s="56"/>
      <c r="E578" s="56"/>
      <c r="F578" s="63"/>
      <c r="G578" s="64"/>
      <c r="H578" s="65"/>
      <c r="I578" s="63"/>
      <c r="K578" s="53" t="str">
        <f>IFERROR(__xludf.DUMMYFUNCTION("IF(ISBLANK(B578),"""",IF(ISDATE(B578),""X"",""""))"),"")</f>
        <v/>
      </c>
      <c r="L578" s="40" t="str">
        <f>IFERROR(__xludf.DUMMYFUNCTION("IF(ISBLANK(B578),"""",IF(Or(I578=""Em Aberto"",ISBLANK(I578),NOT(ISDATE(B578))),"""",H578))"),"")</f>
        <v/>
      </c>
      <c r="M578" s="29" t="str">
        <f>IFERROR(__xludf.DUMMYFUNCTION("IF(ISBLANK(B578),"""",IF(ISDATE(B578),TEXT(B578,""m""),""""))"),"")</f>
        <v/>
      </c>
      <c r="N578" s="29" t="str">
        <f>IFERROR(__xludf.DUMMYFUNCTION("IF(M578="""","""",QUERY({'Dashboard-Dados'!$Y$2:$AA$13},""Select Col2 Where Col1=""&amp;M578))"),"")</f>
        <v/>
      </c>
      <c r="O578" s="29" t="str">
        <f>IFERROR(__xludf.DUMMYFUNCTION("IF(ISBLANK(B578),"""",IF(ISDATE(B578),TEXT(B578,""yyyy""),""""))"),"")</f>
        <v/>
      </c>
    </row>
    <row r="579">
      <c r="B579" s="62"/>
      <c r="C579" s="56"/>
      <c r="D579" s="56"/>
      <c r="E579" s="56"/>
      <c r="F579" s="63"/>
      <c r="G579" s="64"/>
      <c r="H579" s="65"/>
      <c r="I579" s="63"/>
      <c r="K579" s="53" t="str">
        <f>IFERROR(__xludf.DUMMYFUNCTION("IF(ISBLANK(B579),"""",IF(ISDATE(B579),""X"",""""))"),"")</f>
        <v/>
      </c>
      <c r="L579" s="40" t="str">
        <f>IFERROR(__xludf.DUMMYFUNCTION("IF(ISBLANK(B579),"""",IF(Or(I579=""Em Aberto"",ISBLANK(I579),NOT(ISDATE(B579))),"""",H579))"),"")</f>
        <v/>
      </c>
      <c r="M579" s="29" t="str">
        <f>IFERROR(__xludf.DUMMYFUNCTION("IF(ISBLANK(B579),"""",IF(ISDATE(B579),TEXT(B579,""m""),""""))"),"")</f>
        <v/>
      </c>
      <c r="N579" s="29" t="str">
        <f>IFERROR(__xludf.DUMMYFUNCTION("IF(M579="""","""",QUERY({'Dashboard-Dados'!$Y$2:$AA$13},""Select Col2 Where Col1=""&amp;M579))"),"")</f>
        <v/>
      </c>
      <c r="O579" s="29" t="str">
        <f>IFERROR(__xludf.DUMMYFUNCTION("IF(ISBLANK(B579),"""",IF(ISDATE(B579),TEXT(B579,""yyyy""),""""))"),"")</f>
        <v/>
      </c>
    </row>
    <row r="580">
      <c r="B580" s="62"/>
      <c r="C580" s="56"/>
      <c r="D580" s="56"/>
      <c r="E580" s="56"/>
      <c r="F580" s="63"/>
      <c r="G580" s="64"/>
      <c r="H580" s="65"/>
      <c r="I580" s="63"/>
      <c r="K580" s="53" t="str">
        <f>IFERROR(__xludf.DUMMYFUNCTION("IF(ISBLANK(B580),"""",IF(ISDATE(B580),""X"",""""))"),"")</f>
        <v/>
      </c>
      <c r="L580" s="40" t="str">
        <f>IFERROR(__xludf.DUMMYFUNCTION("IF(ISBLANK(B580),"""",IF(Or(I580=""Em Aberto"",ISBLANK(I580),NOT(ISDATE(B580))),"""",H580))"),"")</f>
        <v/>
      </c>
      <c r="M580" s="29" t="str">
        <f>IFERROR(__xludf.DUMMYFUNCTION("IF(ISBLANK(B580),"""",IF(ISDATE(B580),TEXT(B580,""m""),""""))"),"")</f>
        <v/>
      </c>
      <c r="N580" s="29" t="str">
        <f>IFERROR(__xludf.DUMMYFUNCTION("IF(M580="""","""",QUERY({'Dashboard-Dados'!$Y$2:$AA$13},""Select Col2 Where Col1=""&amp;M580))"),"")</f>
        <v/>
      </c>
      <c r="O580" s="29" t="str">
        <f>IFERROR(__xludf.DUMMYFUNCTION("IF(ISBLANK(B580),"""",IF(ISDATE(B580),TEXT(B580,""yyyy""),""""))"),"")</f>
        <v/>
      </c>
    </row>
    <row r="581">
      <c r="B581" s="62"/>
      <c r="C581" s="56"/>
      <c r="D581" s="56"/>
      <c r="E581" s="56"/>
      <c r="F581" s="63"/>
      <c r="G581" s="64"/>
      <c r="H581" s="65"/>
      <c r="I581" s="63"/>
      <c r="K581" s="53" t="str">
        <f>IFERROR(__xludf.DUMMYFUNCTION("IF(ISBLANK(B581),"""",IF(ISDATE(B581),""X"",""""))"),"")</f>
        <v/>
      </c>
      <c r="L581" s="40" t="str">
        <f>IFERROR(__xludf.DUMMYFUNCTION("IF(ISBLANK(B581),"""",IF(Or(I581=""Em Aberto"",ISBLANK(I581),NOT(ISDATE(B581))),"""",H581))"),"")</f>
        <v/>
      </c>
      <c r="M581" s="29" t="str">
        <f>IFERROR(__xludf.DUMMYFUNCTION("IF(ISBLANK(B581),"""",IF(ISDATE(B581),TEXT(B581,""m""),""""))"),"")</f>
        <v/>
      </c>
      <c r="N581" s="29" t="str">
        <f>IFERROR(__xludf.DUMMYFUNCTION("IF(M581="""","""",QUERY({'Dashboard-Dados'!$Y$2:$AA$13},""Select Col2 Where Col1=""&amp;M581))"),"")</f>
        <v/>
      </c>
      <c r="O581" s="29" t="str">
        <f>IFERROR(__xludf.DUMMYFUNCTION("IF(ISBLANK(B581),"""",IF(ISDATE(B581),TEXT(B581,""yyyy""),""""))"),"")</f>
        <v/>
      </c>
    </row>
    <row r="582">
      <c r="B582" s="62"/>
      <c r="C582" s="56"/>
      <c r="D582" s="56"/>
      <c r="E582" s="56"/>
      <c r="F582" s="63"/>
      <c r="G582" s="64"/>
      <c r="H582" s="65"/>
      <c r="I582" s="63"/>
      <c r="K582" s="53" t="str">
        <f>IFERROR(__xludf.DUMMYFUNCTION("IF(ISBLANK(B582),"""",IF(ISDATE(B582),""X"",""""))"),"")</f>
        <v/>
      </c>
      <c r="L582" s="40" t="str">
        <f>IFERROR(__xludf.DUMMYFUNCTION("IF(ISBLANK(B582),"""",IF(Or(I582=""Em Aberto"",ISBLANK(I582),NOT(ISDATE(B582))),"""",H582))"),"")</f>
        <v/>
      </c>
      <c r="M582" s="29" t="str">
        <f>IFERROR(__xludf.DUMMYFUNCTION("IF(ISBLANK(B582),"""",IF(ISDATE(B582),TEXT(B582,""m""),""""))"),"")</f>
        <v/>
      </c>
      <c r="N582" s="29" t="str">
        <f>IFERROR(__xludf.DUMMYFUNCTION("IF(M582="""","""",QUERY({'Dashboard-Dados'!$Y$2:$AA$13},""Select Col2 Where Col1=""&amp;M582))"),"")</f>
        <v/>
      </c>
      <c r="O582" s="29" t="str">
        <f>IFERROR(__xludf.DUMMYFUNCTION("IF(ISBLANK(B582),"""",IF(ISDATE(B582),TEXT(B582,""yyyy""),""""))"),"")</f>
        <v/>
      </c>
    </row>
    <row r="583">
      <c r="B583" s="62"/>
      <c r="C583" s="56"/>
      <c r="D583" s="56"/>
      <c r="E583" s="56"/>
      <c r="F583" s="63"/>
      <c r="G583" s="64"/>
      <c r="H583" s="65"/>
      <c r="I583" s="63"/>
      <c r="K583" s="53" t="str">
        <f>IFERROR(__xludf.DUMMYFUNCTION("IF(ISBLANK(B583),"""",IF(ISDATE(B583),""X"",""""))"),"")</f>
        <v/>
      </c>
      <c r="L583" s="40" t="str">
        <f>IFERROR(__xludf.DUMMYFUNCTION("IF(ISBLANK(B583),"""",IF(Or(I583=""Em Aberto"",ISBLANK(I583),NOT(ISDATE(B583))),"""",H583))"),"")</f>
        <v/>
      </c>
      <c r="M583" s="29" t="str">
        <f>IFERROR(__xludf.DUMMYFUNCTION("IF(ISBLANK(B583),"""",IF(ISDATE(B583),TEXT(B583,""m""),""""))"),"")</f>
        <v/>
      </c>
      <c r="N583" s="29" t="str">
        <f>IFERROR(__xludf.DUMMYFUNCTION("IF(M583="""","""",QUERY({'Dashboard-Dados'!$Y$2:$AA$13},""Select Col2 Where Col1=""&amp;M583))"),"")</f>
        <v/>
      </c>
      <c r="O583" s="29" t="str">
        <f>IFERROR(__xludf.DUMMYFUNCTION("IF(ISBLANK(B583),"""",IF(ISDATE(B583),TEXT(B583,""yyyy""),""""))"),"")</f>
        <v/>
      </c>
    </row>
    <row r="584">
      <c r="B584" s="62"/>
      <c r="C584" s="56"/>
      <c r="D584" s="56"/>
      <c r="E584" s="56"/>
      <c r="F584" s="63"/>
      <c r="G584" s="64"/>
      <c r="H584" s="65"/>
      <c r="I584" s="63"/>
      <c r="K584" s="53" t="str">
        <f>IFERROR(__xludf.DUMMYFUNCTION("IF(ISBLANK(B584),"""",IF(ISDATE(B584),""X"",""""))"),"")</f>
        <v/>
      </c>
      <c r="L584" s="40" t="str">
        <f>IFERROR(__xludf.DUMMYFUNCTION("IF(ISBLANK(B584),"""",IF(Or(I584=""Em Aberto"",ISBLANK(I584),NOT(ISDATE(B584))),"""",H584))"),"")</f>
        <v/>
      </c>
      <c r="M584" s="29" t="str">
        <f>IFERROR(__xludf.DUMMYFUNCTION("IF(ISBLANK(B584),"""",IF(ISDATE(B584),TEXT(B584,""m""),""""))"),"")</f>
        <v/>
      </c>
      <c r="N584" s="29" t="str">
        <f>IFERROR(__xludf.DUMMYFUNCTION("IF(M584="""","""",QUERY({'Dashboard-Dados'!$Y$2:$AA$13},""Select Col2 Where Col1=""&amp;M584))"),"")</f>
        <v/>
      </c>
      <c r="O584" s="29" t="str">
        <f>IFERROR(__xludf.DUMMYFUNCTION("IF(ISBLANK(B584),"""",IF(ISDATE(B584),TEXT(B584,""yyyy""),""""))"),"")</f>
        <v/>
      </c>
    </row>
    <row r="585">
      <c r="B585" s="62"/>
      <c r="C585" s="56"/>
      <c r="D585" s="56"/>
      <c r="E585" s="56"/>
      <c r="F585" s="63"/>
      <c r="G585" s="64"/>
      <c r="H585" s="65"/>
      <c r="I585" s="63"/>
      <c r="K585" s="53" t="str">
        <f>IFERROR(__xludf.DUMMYFUNCTION("IF(ISBLANK(B585),"""",IF(ISDATE(B585),""X"",""""))"),"")</f>
        <v/>
      </c>
      <c r="L585" s="40" t="str">
        <f>IFERROR(__xludf.DUMMYFUNCTION("IF(ISBLANK(B585),"""",IF(Or(I585=""Em Aberto"",ISBLANK(I585),NOT(ISDATE(B585))),"""",H585))"),"")</f>
        <v/>
      </c>
      <c r="M585" s="29" t="str">
        <f>IFERROR(__xludf.DUMMYFUNCTION("IF(ISBLANK(B585),"""",IF(ISDATE(B585),TEXT(B585,""m""),""""))"),"")</f>
        <v/>
      </c>
      <c r="N585" s="29" t="str">
        <f>IFERROR(__xludf.DUMMYFUNCTION("IF(M585="""","""",QUERY({'Dashboard-Dados'!$Y$2:$AA$13},""Select Col2 Where Col1=""&amp;M585))"),"")</f>
        <v/>
      </c>
      <c r="O585" s="29" t="str">
        <f>IFERROR(__xludf.DUMMYFUNCTION("IF(ISBLANK(B585),"""",IF(ISDATE(B585),TEXT(B585,""yyyy""),""""))"),"")</f>
        <v/>
      </c>
    </row>
    <row r="586">
      <c r="B586" s="62"/>
      <c r="C586" s="56"/>
      <c r="D586" s="56"/>
      <c r="E586" s="56"/>
      <c r="F586" s="63"/>
      <c r="G586" s="64"/>
      <c r="H586" s="65"/>
      <c r="I586" s="63"/>
      <c r="K586" s="53" t="str">
        <f>IFERROR(__xludf.DUMMYFUNCTION("IF(ISBLANK(B586),"""",IF(ISDATE(B586),""X"",""""))"),"")</f>
        <v/>
      </c>
      <c r="L586" s="40" t="str">
        <f>IFERROR(__xludf.DUMMYFUNCTION("IF(ISBLANK(B586),"""",IF(Or(I586=""Em Aberto"",ISBLANK(I586),NOT(ISDATE(B586))),"""",H586))"),"")</f>
        <v/>
      </c>
      <c r="M586" s="29" t="str">
        <f>IFERROR(__xludf.DUMMYFUNCTION("IF(ISBLANK(B586),"""",IF(ISDATE(B586),TEXT(B586,""m""),""""))"),"")</f>
        <v/>
      </c>
      <c r="N586" s="29" t="str">
        <f>IFERROR(__xludf.DUMMYFUNCTION("IF(M586="""","""",QUERY({'Dashboard-Dados'!$Y$2:$AA$13},""Select Col2 Where Col1=""&amp;M586))"),"")</f>
        <v/>
      </c>
      <c r="O586" s="29" t="str">
        <f>IFERROR(__xludf.DUMMYFUNCTION("IF(ISBLANK(B586),"""",IF(ISDATE(B586),TEXT(B586,""yyyy""),""""))"),"")</f>
        <v/>
      </c>
    </row>
    <row r="587">
      <c r="B587" s="62"/>
      <c r="C587" s="56"/>
      <c r="D587" s="56"/>
      <c r="E587" s="56"/>
      <c r="F587" s="63"/>
      <c r="G587" s="64"/>
      <c r="H587" s="65"/>
      <c r="I587" s="63"/>
      <c r="K587" s="53" t="str">
        <f>IFERROR(__xludf.DUMMYFUNCTION("IF(ISBLANK(B587),"""",IF(ISDATE(B587),""X"",""""))"),"")</f>
        <v/>
      </c>
      <c r="L587" s="40" t="str">
        <f>IFERROR(__xludf.DUMMYFUNCTION("IF(ISBLANK(B587),"""",IF(Or(I587=""Em Aberto"",ISBLANK(I587),NOT(ISDATE(B587))),"""",H587))"),"")</f>
        <v/>
      </c>
      <c r="M587" s="29" t="str">
        <f>IFERROR(__xludf.DUMMYFUNCTION("IF(ISBLANK(B587),"""",IF(ISDATE(B587),TEXT(B587,""m""),""""))"),"")</f>
        <v/>
      </c>
      <c r="N587" s="29" t="str">
        <f>IFERROR(__xludf.DUMMYFUNCTION("IF(M587="""","""",QUERY({'Dashboard-Dados'!$Y$2:$AA$13},""Select Col2 Where Col1=""&amp;M587))"),"")</f>
        <v/>
      </c>
      <c r="O587" s="29" t="str">
        <f>IFERROR(__xludf.DUMMYFUNCTION("IF(ISBLANK(B587),"""",IF(ISDATE(B587),TEXT(B587,""yyyy""),""""))"),"")</f>
        <v/>
      </c>
    </row>
    <row r="588">
      <c r="B588" s="62"/>
      <c r="C588" s="56"/>
      <c r="D588" s="56"/>
      <c r="E588" s="56"/>
      <c r="F588" s="63"/>
      <c r="G588" s="64"/>
      <c r="H588" s="65"/>
      <c r="I588" s="63"/>
      <c r="K588" s="53" t="str">
        <f>IFERROR(__xludf.DUMMYFUNCTION("IF(ISBLANK(B588),"""",IF(ISDATE(B588),""X"",""""))"),"")</f>
        <v/>
      </c>
      <c r="L588" s="40" t="str">
        <f>IFERROR(__xludf.DUMMYFUNCTION("IF(ISBLANK(B588),"""",IF(Or(I588=""Em Aberto"",ISBLANK(I588),NOT(ISDATE(B588))),"""",H588))"),"")</f>
        <v/>
      </c>
      <c r="M588" s="29" t="str">
        <f>IFERROR(__xludf.DUMMYFUNCTION("IF(ISBLANK(B588),"""",IF(ISDATE(B588),TEXT(B588,""m""),""""))"),"")</f>
        <v/>
      </c>
      <c r="N588" s="29" t="str">
        <f>IFERROR(__xludf.DUMMYFUNCTION("IF(M588="""","""",QUERY({'Dashboard-Dados'!$Y$2:$AA$13},""Select Col2 Where Col1=""&amp;M588))"),"")</f>
        <v/>
      </c>
      <c r="O588" s="29" t="str">
        <f>IFERROR(__xludf.DUMMYFUNCTION("IF(ISBLANK(B588),"""",IF(ISDATE(B588),TEXT(B588,""yyyy""),""""))"),"")</f>
        <v/>
      </c>
    </row>
    <row r="589">
      <c r="B589" s="62"/>
      <c r="C589" s="56"/>
      <c r="D589" s="56"/>
      <c r="E589" s="56"/>
      <c r="F589" s="63"/>
      <c r="G589" s="64"/>
      <c r="H589" s="65"/>
      <c r="I589" s="63"/>
      <c r="K589" s="53" t="str">
        <f>IFERROR(__xludf.DUMMYFUNCTION("IF(ISBLANK(B589),"""",IF(ISDATE(B589),""X"",""""))"),"")</f>
        <v/>
      </c>
      <c r="L589" s="40" t="str">
        <f>IFERROR(__xludf.DUMMYFUNCTION("IF(ISBLANK(B589),"""",IF(Or(I589=""Em Aberto"",ISBLANK(I589),NOT(ISDATE(B589))),"""",H589))"),"")</f>
        <v/>
      </c>
      <c r="M589" s="29" t="str">
        <f>IFERROR(__xludf.DUMMYFUNCTION("IF(ISBLANK(B589),"""",IF(ISDATE(B589),TEXT(B589,""m""),""""))"),"")</f>
        <v/>
      </c>
      <c r="N589" s="29" t="str">
        <f>IFERROR(__xludf.DUMMYFUNCTION("IF(M589="""","""",QUERY({'Dashboard-Dados'!$Y$2:$AA$13},""Select Col2 Where Col1=""&amp;M589))"),"")</f>
        <v/>
      </c>
      <c r="O589" s="29" t="str">
        <f>IFERROR(__xludf.DUMMYFUNCTION("IF(ISBLANK(B589),"""",IF(ISDATE(B589),TEXT(B589,""yyyy""),""""))"),"")</f>
        <v/>
      </c>
    </row>
    <row r="590">
      <c r="B590" s="62"/>
      <c r="C590" s="56"/>
      <c r="D590" s="56"/>
      <c r="E590" s="56"/>
      <c r="F590" s="63"/>
      <c r="G590" s="64"/>
      <c r="H590" s="65"/>
      <c r="I590" s="63"/>
      <c r="K590" s="53" t="str">
        <f>IFERROR(__xludf.DUMMYFUNCTION("IF(ISBLANK(B590),"""",IF(ISDATE(B590),""X"",""""))"),"")</f>
        <v/>
      </c>
      <c r="L590" s="40" t="str">
        <f>IFERROR(__xludf.DUMMYFUNCTION("IF(ISBLANK(B590),"""",IF(Or(I590=""Em Aberto"",ISBLANK(I590),NOT(ISDATE(B590))),"""",H590))"),"")</f>
        <v/>
      </c>
      <c r="M590" s="29" t="str">
        <f>IFERROR(__xludf.DUMMYFUNCTION("IF(ISBLANK(B590),"""",IF(ISDATE(B590),TEXT(B590,""m""),""""))"),"")</f>
        <v/>
      </c>
      <c r="N590" s="29" t="str">
        <f>IFERROR(__xludf.DUMMYFUNCTION("IF(M590="""","""",QUERY({'Dashboard-Dados'!$Y$2:$AA$13},""Select Col2 Where Col1=""&amp;M590))"),"")</f>
        <v/>
      </c>
      <c r="O590" s="29" t="str">
        <f>IFERROR(__xludf.DUMMYFUNCTION("IF(ISBLANK(B590),"""",IF(ISDATE(B590),TEXT(B590,""yyyy""),""""))"),"")</f>
        <v/>
      </c>
    </row>
    <row r="591">
      <c r="B591" s="62"/>
      <c r="C591" s="56"/>
      <c r="D591" s="56"/>
      <c r="E591" s="56"/>
      <c r="F591" s="63"/>
      <c r="G591" s="64"/>
      <c r="H591" s="65"/>
      <c r="I591" s="63"/>
      <c r="K591" s="53" t="str">
        <f>IFERROR(__xludf.DUMMYFUNCTION("IF(ISBLANK(B591),"""",IF(ISDATE(B591),""X"",""""))"),"")</f>
        <v/>
      </c>
      <c r="L591" s="40" t="str">
        <f>IFERROR(__xludf.DUMMYFUNCTION("IF(ISBLANK(B591),"""",IF(Or(I591=""Em Aberto"",ISBLANK(I591),NOT(ISDATE(B591))),"""",H591))"),"")</f>
        <v/>
      </c>
      <c r="M591" s="29" t="str">
        <f>IFERROR(__xludf.DUMMYFUNCTION("IF(ISBLANK(B591),"""",IF(ISDATE(B591),TEXT(B591,""m""),""""))"),"")</f>
        <v/>
      </c>
      <c r="N591" s="29" t="str">
        <f>IFERROR(__xludf.DUMMYFUNCTION("IF(M591="""","""",QUERY({'Dashboard-Dados'!$Y$2:$AA$13},""Select Col2 Where Col1=""&amp;M591))"),"")</f>
        <v/>
      </c>
      <c r="O591" s="29" t="str">
        <f>IFERROR(__xludf.DUMMYFUNCTION("IF(ISBLANK(B591),"""",IF(ISDATE(B591),TEXT(B591,""yyyy""),""""))"),"")</f>
        <v/>
      </c>
    </row>
    <row r="592">
      <c r="B592" s="62"/>
      <c r="C592" s="56"/>
      <c r="D592" s="56"/>
      <c r="E592" s="56"/>
      <c r="F592" s="63"/>
      <c r="G592" s="64"/>
      <c r="H592" s="65"/>
      <c r="I592" s="63"/>
      <c r="K592" s="53" t="str">
        <f>IFERROR(__xludf.DUMMYFUNCTION("IF(ISBLANK(B592),"""",IF(ISDATE(B592),""X"",""""))"),"")</f>
        <v/>
      </c>
      <c r="L592" s="40" t="str">
        <f>IFERROR(__xludf.DUMMYFUNCTION("IF(ISBLANK(B592),"""",IF(Or(I592=""Em Aberto"",ISBLANK(I592),NOT(ISDATE(B592))),"""",H592))"),"")</f>
        <v/>
      </c>
      <c r="M592" s="29" t="str">
        <f>IFERROR(__xludf.DUMMYFUNCTION("IF(ISBLANK(B592),"""",IF(ISDATE(B592),TEXT(B592,""m""),""""))"),"")</f>
        <v/>
      </c>
      <c r="N592" s="29" t="str">
        <f>IFERROR(__xludf.DUMMYFUNCTION("IF(M592="""","""",QUERY({'Dashboard-Dados'!$Y$2:$AA$13},""Select Col2 Where Col1=""&amp;M592))"),"")</f>
        <v/>
      </c>
      <c r="O592" s="29" t="str">
        <f>IFERROR(__xludf.DUMMYFUNCTION("IF(ISBLANK(B592),"""",IF(ISDATE(B592),TEXT(B592,""yyyy""),""""))"),"")</f>
        <v/>
      </c>
    </row>
    <row r="593">
      <c r="B593" s="62"/>
      <c r="C593" s="56"/>
      <c r="D593" s="56"/>
      <c r="E593" s="56"/>
      <c r="F593" s="63"/>
      <c r="G593" s="64"/>
      <c r="H593" s="65"/>
      <c r="I593" s="63"/>
      <c r="K593" s="53" t="str">
        <f>IFERROR(__xludf.DUMMYFUNCTION("IF(ISBLANK(B593),"""",IF(ISDATE(B593),""X"",""""))"),"")</f>
        <v/>
      </c>
      <c r="L593" s="40" t="str">
        <f>IFERROR(__xludf.DUMMYFUNCTION("IF(ISBLANK(B593),"""",IF(Or(I593=""Em Aberto"",ISBLANK(I593),NOT(ISDATE(B593))),"""",H593))"),"")</f>
        <v/>
      </c>
      <c r="M593" s="29" t="str">
        <f>IFERROR(__xludf.DUMMYFUNCTION("IF(ISBLANK(B593),"""",IF(ISDATE(B593),TEXT(B593,""m""),""""))"),"")</f>
        <v/>
      </c>
      <c r="N593" s="29" t="str">
        <f>IFERROR(__xludf.DUMMYFUNCTION("IF(M593="""","""",QUERY({'Dashboard-Dados'!$Y$2:$AA$13},""Select Col2 Where Col1=""&amp;M593))"),"")</f>
        <v/>
      </c>
      <c r="O593" s="29" t="str">
        <f>IFERROR(__xludf.DUMMYFUNCTION("IF(ISBLANK(B593),"""",IF(ISDATE(B593),TEXT(B593,""yyyy""),""""))"),"")</f>
        <v/>
      </c>
    </row>
    <row r="594">
      <c r="B594" s="62"/>
      <c r="C594" s="56"/>
      <c r="D594" s="56"/>
      <c r="E594" s="56"/>
      <c r="F594" s="63"/>
      <c r="G594" s="64"/>
      <c r="H594" s="65"/>
      <c r="I594" s="63"/>
      <c r="K594" s="53" t="str">
        <f>IFERROR(__xludf.DUMMYFUNCTION("IF(ISBLANK(B594),"""",IF(ISDATE(B594),""X"",""""))"),"")</f>
        <v/>
      </c>
      <c r="L594" s="40" t="str">
        <f>IFERROR(__xludf.DUMMYFUNCTION("IF(ISBLANK(B594),"""",IF(Or(I594=""Em Aberto"",ISBLANK(I594),NOT(ISDATE(B594))),"""",H594))"),"")</f>
        <v/>
      </c>
      <c r="M594" s="29" t="str">
        <f>IFERROR(__xludf.DUMMYFUNCTION("IF(ISBLANK(B594),"""",IF(ISDATE(B594),TEXT(B594,""m""),""""))"),"")</f>
        <v/>
      </c>
      <c r="N594" s="29" t="str">
        <f>IFERROR(__xludf.DUMMYFUNCTION("IF(M594="""","""",QUERY({'Dashboard-Dados'!$Y$2:$AA$13},""Select Col2 Where Col1=""&amp;M594))"),"")</f>
        <v/>
      </c>
      <c r="O594" s="29" t="str">
        <f>IFERROR(__xludf.DUMMYFUNCTION("IF(ISBLANK(B594),"""",IF(ISDATE(B594),TEXT(B594,""yyyy""),""""))"),"")</f>
        <v/>
      </c>
    </row>
    <row r="595">
      <c r="B595" s="62"/>
      <c r="C595" s="56"/>
      <c r="D595" s="56"/>
      <c r="E595" s="56"/>
      <c r="F595" s="63"/>
      <c r="G595" s="64"/>
      <c r="H595" s="65"/>
      <c r="I595" s="63"/>
      <c r="K595" s="53" t="str">
        <f>IFERROR(__xludf.DUMMYFUNCTION("IF(ISBLANK(B595),"""",IF(ISDATE(B595),""X"",""""))"),"")</f>
        <v/>
      </c>
      <c r="L595" s="40" t="str">
        <f>IFERROR(__xludf.DUMMYFUNCTION("IF(ISBLANK(B595),"""",IF(Or(I595=""Em Aberto"",ISBLANK(I595),NOT(ISDATE(B595))),"""",H595))"),"")</f>
        <v/>
      </c>
      <c r="M595" s="29" t="str">
        <f>IFERROR(__xludf.DUMMYFUNCTION("IF(ISBLANK(B595),"""",IF(ISDATE(B595),TEXT(B595,""m""),""""))"),"")</f>
        <v/>
      </c>
      <c r="N595" s="29" t="str">
        <f>IFERROR(__xludf.DUMMYFUNCTION("IF(M595="""","""",QUERY({'Dashboard-Dados'!$Y$2:$AA$13},""Select Col2 Where Col1=""&amp;M595))"),"")</f>
        <v/>
      </c>
      <c r="O595" s="29" t="str">
        <f>IFERROR(__xludf.DUMMYFUNCTION("IF(ISBLANK(B595),"""",IF(ISDATE(B595),TEXT(B595,""yyyy""),""""))"),"")</f>
        <v/>
      </c>
    </row>
    <row r="596">
      <c r="B596" s="62"/>
      <c r="C596" s="56"/>
      <c r="D596" s="56"/>
      <c r="E596" s="56"/>
      <c r="F596" s="63"/>
      <c r="G596" s="64"/>
      <c r="H596" s="65"/>
      <c r="I596" s="63"/>
      <c r="K596" s="53" t="str">
        <f>IFERROR(__xludf.DUMMYFUNCTION("IF(ISBLANK(B596),"""",IF(ISDATE(B596),""X"",""""))"),"")</f>
        <v/>
      </c>
      <c r="L596" s="40" t="str">
        <f>IFERROR(__xludf.DUMMYFUNCTION("IF(ISBLANK(B596),"""",IF(Or(I596=""Em Aberto"",ISBLANK(I596),NOT(ISDATE(B596))),"""",H596))"),"")</f>
        <v/>
      </c>
      <c r="M596" s="29" t="str">
        <f>IFERROR(__xludf.DUMMYFUNCTION("IF(ISBLANK(B596),"""",IF(ISDATE(B596),TEXT(B596,""m""),""""))"),"")</f>
        <v/>
      </c>
      <c r="N596" s="29" t="str">
        <f>IFERROR(__xludf.DUMMYFUNCTION("IF(M596="""","""",QUERY({'Dashboard-Dados'!$Y$2:$AA$13},""Select Col2 Where Col1=""&amp;M596))"),"")</f>
        <v/>
      </c>
      <c r="O596" s="29" t="str">
        <f>IFERROR(__xludf.DUMMYFUNCTION("IF(ISBLANK(B596),"""",IF(ISDATE(B596),TEXT(B596,""yyyy""),""""))"),"")</f>
        <v/>
      </c>
    </row>
    <row r="597">
      <c r="B597" s="62"/>
      <c r="C597" s="56"/>
      <c r="D597" s="56"/>
      <c r="E597" s="56"/>
      <c r="F597" s="63"/>
      <c r="G597" s="64"/>
      <c r="H597" s="65"/>
      <c r="I597" s="63"/>
      <c r="K597" s="53" t="str">
        <f>IFERROR(__xludf.DUMMYFUNCTION("IF(ISBLANK(B597),"""",IF(ISDATE(B597),""X"",""""))"),"")</f>
        <v/>
      </c>
      <c r="L597" s="40" t="str">
        <f>IFERROR(__xludf.DUMMYFUNCTION("IF(ISBLANK(B597),"""",IF(Or(I597=""Em Aberto"",ISBLANK(I597),NOT(ISDATE(B597))),"""",H597))"),"")</f>
        <v/>
      </c>
      <c r="M597" s="29" t="str">
        <f>IFERROR(__xludf.DUMMYFUNCTION("IF(ISBLANK(B597),"""",IF(ISDATE(B597),TEXT(B597,""m""),""""))"),"")</f>
        <v/>
      </c>
      <c r="N597" s="29" t="str">
        <f>IFERROR(__xludf.DUMMYFUNCTION("IF(M597="""","""",QUERY({'Dashboard-Dados'!$Y$2:$AA$13},""Select Col2 Where Col1=""&amp;M597))"),"")</f>
        <v/>
      </c>
      <c r="O597" s="29" t="str">
        <f>IFERROR(__xludf.DUMMYFUNCTION("IF(ISBLANK(B597),"""",IF(ISDATE(B597),TEXT(B597,""yyyy""),""""))"),"")</f>
        <v/>
      </c>
    </row>
    <row r="598">
      <c r="B598" s="62"/>
      <c r="C598" s="56"/>
      <c r="D598" s="56"/>
      <c r="E598" s="56"/>
      <c r="F598" s="63"/>
      <c r="G598" s="64"/>
      <c r="H598" s="65"/>
      <c r="I598" s="63"/>
      <c r="K598" s="53" t="str">
        <f>IFERROR(__xludf.DUMMYFUNCTION("IF(ISBLANK(B598),"""",IF(ISDATE(B598),""X"",""""))"),"")</f>
        <v/>
      </c>
      <c r="L598" s="40" t="str">
        <f>IFERROR(__xludf.DUMMYFUNCTION("IF(ISBLANK(B598),"""",IF(Or(I598=""Em Aberto"",ISBLANK(I598),NOT(ISDATE(B598))),"""",H598))"),"")</f>
        <v/>
      </c>
      <c r="M598" s="29" t="str">
        <f>IFERROR(__xludf.DUMMYFUNCTION("IF(ISBLANK(B598),"""",IF(ISDATE(B598),TEXT(B598,""m""),""""))"),"")</f>
        <v/>
      </c>
      <c r="N598" s="29" t="str">
        <f>IFERROR(__xludf.DUMMYFUNCTION("IF(M598="""","""",QUERY({'Dashboard-Dados'!$Y$2:$AA$13},""Select Col2 Where Col1=""&amp;M598))"),"")</f>
        <v/>
      </c>
      <c r="O598" s="29" t="str">
        <f>IFERROR(__xludf.DUMMYFUNCTION("IF(ISBLANK(B598),"""",IF(ISDATE(B598),TEXT(B598,""yyyy""),""""))"),"")</f>
        <v/>
      </c>
    </row>
    <row r="599">
      <c r="B599" s="62"/>
      <c r="C599" s="56"/>
      <c r="D599" s="56"/>
      <c r="E599" s="56"/>
      <c r="F599" s="63"/>
      <c r="G599" s="64"/>
      <c r="H599" s="65"/>
      <c r="I599" s="63"/>
      <c r="K599" s="53" t="str">
        <f>IFERROR(__xludf.DUMMYFUNCTION("IF(ISBLANK(B599),"""",IF(ISDATE(B599),""X"",""""))"),"")</f>
        <v/>
      </c>
      <c r="L599" s="40" t="str">
        <f>IFERROR(__xludf.DUMMYFUNCTION("IF(ISBLANK(B599),"""",IF(Or(I599=""Em Aberto"",ISBLANK(I599),NOT(ISDATE(B599))),"""",H599))"),"")</f>
        <v/>
      </c>
      <c r="M599" s="29" t="str">
        <f>IFERROR(__xludf.DUMMYFUNCTION("IF(ISBLANK(B599),"""",IF(ISDATE(B599),TEXT(B599,""m""),""""))"),"")</f>
        <v/>
      </c>
      <c r="N599" s="29" t="str">
        <f>IFERROR(__xludf.DUMMYFUNCTION("IF(M599="""","""",QUERY({'Dashboard-Dados'!$Y$2:$AA$13},""Select Col2 Where Col1=""&amp;M599))"),"")</f>
        <v/>
      </c>
      <c r="O599" s="29" t="str">
        <f>IFERROR(__xludf.DUMMYFUNCTION("IF(ISBLANK(B599),"""",IF(ISDATE(B599),TEXT(B599,""yyyy""),""""))"),"")</f>
        <v/>
      </c>
    </row>
    <row r="600">
      <c r="B600" s="62"/>
      <c r="C600" s="56"/>
      <c r="D600" s="56"/>
      <c r="E600" s="56"/>
      <c r="F600" s="63"/>
      <c r="G600" s="64"/>
      <c r="H600" s="65"/>
      <c r="I600" s="63"/>
      <c r="K600" s="53" t="str">
        <f>IFERROR(__xludf.DUMMYFUNCTION("IF(ISBLANK(B600),"""",IF(ISDATE(B600),""X"",""""))"),"")</f>
        <v/>
      </c>
      <c r="L600" s="40" t="str">
        <f>IFERROR(__xludf.DUMMYFUNCTION("IF(ISBLANK(B600),"""",IF(Or(I600=""Em Aberto"",ISBLANK(I600),NOT(ISDATE(B600))),"""",H600))"),"")</f>
        <v/>
      </c>
      <c r="M600" s="29" t="str">
        <f>IFERROR(__xludf.DUMMYFUNCTION("IF(ISBLANK(B600),"""",IF(ISDATE(B600),TEXT(B600,""m""),""""))"),"")</f>
        <v/>
      </c>
      <c r="N600" s="29" t="str">
        <f>IFERROR(__xludf.DUMMYFUNCTION("IF(M600="""","""",QUERY({'Dashboard-Dados'!$Y$2:$AA$13},""Select Col2 Where Col1=""&amp;M600))"),"")</f>
        <v/>
      </c>
      <c r="O600" s="29" t="str">
        <f>IFERROR(__xludf.DUMMYFUNCTION("IF(ISBLANK(B600),"""",IF(ISDATE(B600),TEXT(B600,""yyyy""),""""))"),"")</f>
        <v/>
      </c>
    </row>
    <row r="601">
      <c r="B601" s="62"/>
      <c r="C601" s="56"/>
      <c r="D601" s="56"/>
      <c r="E601" s="56"/>
      <c r="F601" s="63"/>
      <c r="G601" s="64"/>
      <c r="H601" s="65"/>
      <c r="I601" s="63"/>
      <c r="K601" s="53" t="str">
        <f>IFERROR(__xludf.DUMMYFUNCTION("IF(ISBLANK(B601),"""",IF(ISDATE(B601),""X"",""""))"),"")</f>
        <v/>
      </c>
      <c r="L601" s="40" t="str">
        <f>IFERROR(__xludf.DUMMYFUNCTION("IF(ISBLANK(B601),"""",IF(Or(I601=""Em Aberto"",ISBLANK(I601),NOT(ISDATE(B601))),"""",H601))"),"")</f>
        <v/>
      </c>
      <c r="M601" s="29" t="str">
        <f>IFERROR(__xludf.DUMMYFUNCTION("IF(ISBLANK(B601),"""",IF(ISDATE(B601),TEXT(B601,""m""),""""))"),"")</f>
        <v/>
      </c>
      <c r="N601" s="29" t="str">
        <f>IFERROR(__xludf.DUMMYFUNCTION("IF(M601="""","""",QUERY({'Dashboard-Dados'!$Y$2:$AA$13},""Select Col2 Where Col1=""&amp;M601))"),"")</f>
        <v/>
      </c>
      <c r="O601" s="29" t="str">
        <f>IFERROR(__xludf.DUMMYFUNCTION("IF(ISBLANK(B601),"""",IF(ISDATE(B601),TEXT(B601,""yyyy""),""""))"),"")</f>
        <v/>
      </c>
    </row>
    <row r="602">
      <c r="B602" s="62"/>
      <c r="C602" s="56"/>
      <c r="D602" s="56"/>
      <c r="E602" s="56"/>
      <c r="F602" s="63"/>
      <c r="G602" s="64"/>
      <c r="H602" s="65"/>
      <c r="I602" s="63"/>
      <c r="K602" s="53" t="str">
        <f>IFERROR(__xludf.DUMMYFUNCTION("IF(ISBLANK(B602),"""",IF(ISDATE(B602),""X"",""""))"),"")</f>
        <v/>
      </c>
      <c r="L602" s="40" t="str">
        <f>IFERROR(__xludf.DUMMYFUNCTION("IF(ISBLANK(B602),"""",IF(Or(I602=""Em Aberto"",ISBLANK(I602),NOT(ISDATE(B602))),"""",H602))"),"")</f>
        <v/>
      </c>
      <c r="M602" s="29" t="str">
        <f>IFERROR(__xludf.DUMMYFUNCTION("IF(ISBLANK(B602),"""",IF(ISDATE(B602),TEXT(B602,""m""),""""))"),"")</f>
        <v/>
      </c>
      <c r="N602" s="29" t="str">
        <f>IFERROR(__xludf.DUMMYFUNCTION("IF(M602="""","""",QUERY({'Dashboard-Dados'!$Y$2:$AA$13},""Select Col2 Where Col1=""&amp;M602))"),"")</f>
        <v/>
      </c>
      <c r="O602" s="29" t="str">
        <f>IFERROR(__xludf.DUMMYFUNCTION("IF(ISBLANK(B602),"""",IF(ISDATE(B602),TEXT(B602,""yyyy""),""""))"),"")</f>
        <v/>
      </c>
    </row>
    <row r="603">
      <c r="B603" s="62"/>
      <c r="C603" s="56"/>
      <c r="D603" s="56"/>
      <c r="E603" s="56"/>
      <c r="F603" s="63"/>
      <c r="G603" s="64"/>
      <c r="H603" s="65"/>
      <c r="I603" s="63"/>
      <c r="K603" s="53" t="str">
        <f>IFERROR(__xludf.DUMMYFUNCTION("IF(ISBLANK(B603),"""",IF(ISDATE(B603),""X"",""""))"),"")</f>
        <v/>
      </c>
      <c r="L603" s="40" t="str">
        <f>IFERROR(__xludf.DUMMYFUNCTION("IF(ISBLANK(B603),"""",IF(Or(I603=""Em Aberto"",ISBLANK(I603),NOT(ISDATE(B603))),"""",H603))"),"")</f>
        <v/>
      </c>
      <c r="M603" s="29" t="str">
        <f>IFERROR(__xludf.DUMMYFUNCTION("IF(ISBLANK(B603),"""",IF(ISDATE(B603),TEXT(B603,""m""),""""))"),"")</f>
        <v/>
      </c>
      <c r="N603" s="29" t="str">
        <f>IFERROR(__xludf.DUMMYFUNCTION("IF(M603="""","""",QUERY({'Dashboard-Dados'!$Y$2:$AA$13},""Select Col2 Where Col1=""&amp;M603))"),"")</f>
        <v/>
      </c>
      <c r="O603" s="29" t="str">
        <f>IFERROR(__xludf.DUMMYFUNCTION("IF(ISBLANK(B603),"""",IF(ISDATE(B603),TEXT(B603,""yyyy""),""""))"),"")</f>
        <v/>
      </c>
    </row>
    <row r="604">
      <c r="B604" s="62"/>
      <c r="C604" s="56"/>
      <c r="D604" s="56"/>
      <c r="E604" s="56"/>
      <c r="F604" s="63"/>
      <c r="G604" s="64"/>
      <c r="H604" s="65"/>
      <c r="I604" s="63"/>
      <c r="K604" s="53" t="str">
        <f>IFERROR(__xludf.DUMMYFUNCTION("IF(ISBLANK(B604),"""",IF(ISDATE(B604),""X"",""""))"),"")</f>
        <v/>
      </c>
      <c r="L604" s="40" t="str">
        <f>IFERROR(__xludf.DUMMYFUNCTION("IF(ISBLANK(B604),"""",IF(Or(I604=""Em Aberto"",ISBLANK(I604),NOT(ISDATE(B604))),"""",H604))"),"")</f>
        <v/>
      </c>
      <c r="M604" s="29" t="str">
        <f>IFERROR(__xludf.DUMMYFUNCTION("IF(ISBLANK(B604),"""",IF(ISDATE(B604),TEXT(B604,""m""),""""))"),"")</f>
        <v/>
      </c>
      <c r="N604" s="29" t="str">
        <f>IFERROR(__xludf.DUMMYFUNCTION("IF(M604="""","""",QUERY({'Dashboard-Dados'!$Y$2:$AA$13},""Select Col2 Where Col1=""&amp;M604))"),"")</f>
        <v/>
      </c>
      <c r="O604" s="29" t="str">
        <f>IFERROR(__xludf.DUMMYFUNCTION("IF(ISBLANK(B604),"""",IF(ISDATE(B604),TEXT(B604,""yyyy""),""""))"),"")</f>
        <v/>
      </c>
    </row>
    <row r="605">
      <c r="B605" s="62"/>
      <c r="C605" s="56"/>
      <c r="D605" s="56"/>
      <c r="E605" s="56"/>
      <c r="F605" s="63"/>
      <c r="G605" s="64"/>
      <c r="H605" s="65"/>
      <c r="I605" s="63"/>
      <c r="K605" s="53" t="str">
        <f>IFERROR(__xludf.DUMMYFUNCTION("IF(ISBLANK(B605),"""",IF(ISDATE(B605),""X"",""""))"),"")</f>
        <v/>
      </c>
      <c r="L605" s="40" t="str">
        <f>IFERROR(__xludf.DUMMYFUNCTION("IF(ISBLANK(B605),"""",IF(Or(I605=""Em Aberto"",ISBLANK(I605),NOT(ISDATE(B605))),"""",H605))"),"")</f>
        <v/>
      </c>
      <c r="M605" s="29" t="str">
        <f>IFERROR(__xludf.DUMMYFUNCTION("IF(ISBLANK(B605),"""",IF(ISDATE(B605),TEXT(B605,""m""),""""))"),"")</f>
        <v/>
      </c>
      <c r="N605" s="29" t="str">
        <f>IFERROR(__xludf.DUMMYFUNCTION("IF(M605="""","""",QUERY({'Dashboard-Dados'!$Y$2:$AA$13},""Select Col2 Where Col1=""&amp;M605))"),"")</f>
        <v/>
      </c>
      <c r="O605" s="29" t="str">
        <f>IFERROR(__xludf.DUMMYFUNCTION("IF(ISBLANK(B605),"""",IF(ISDATE(B605),TEXT(B605,""yyyy""),""""))"),"")</f>
        <v/>
      </c>
    </row>
    <row r="606">
      <c r="B606" s="62"/>
      <c r="C606" s="56"/>
      <c r="D606" s="56"/>
      <c r="E606" s="56"/>
      <c r="F606" s="63"/>
      <c r="G606" s="64"/>
      <c r="H606" s="65"/>
      <c r="I606" s="63"/>
      <c r="K606" s="53" t="str">
        <f>IFERROR(__xludf.DUMMYFUNCTION("IF(ISBLANK(B606),"""",IF(ISDATE(B606),""X"",""""))"),"")</f>
        <v/>
      </c>
      <c r="L606" s="40" t="str">
        <f>IFERROR(__xludf.DUMMYFUNCTION("IF(ISBLANK(B606),"""",IF(Or(I606=""Em Aberto"",ISBLANK(I606),NOT(ISDATE(B606))),"""",H606))"),"")</f>
        <v/>
      </c>
      <c r="M606" s="29" t="str">
        <f>IFERROR(__xludf.DUMMYFUNCTION("IF(ISBLANK(B606),"""",IF(ISDATE(B606),TEXT(B606,""m""),""""))"),"")</f>
        <v/>
      </c>
      <c r="N606" s="29" t="str">
        <f>IFERROR(__xludf.DUMMYFUNCTION("IF(M606="""","""",QUERY({'Dashboard-Dados'!$Y$2:$AA$13},""Select Col2 Where Col1=""&amp;M606))"),"")</f>
        <v/>
      </c>
      <c r="O606" s="29" t="str">
        <f>IFERROR(__xludf.DUMMYFUNCTION("IF(ISBLANK(B606),"""",IF(ISDATE(B606),TEXT(B606,""yyyy""),""""))"),"")</f>
        <v/>
      </c>
    </row>
    <row r="607">
      <c r="B607" s="62"/>
      <c r="C607" s="56"/>
      <c r="D607" s="56"/>
      <c r="E607" s="56"/>
      <c r="F607" s="63"/>
      <c r="G607" s="64"/>
      <c r="H607" s="65"/>
      <c r="I607" s="63"/>
      <c r="K607" s="53" t="str">
        <f>IFERROR(__xludf.DUMMYFUNCTION("IF(ISBLANK(B607),"""",IF(ISDATE(B607),""X"",""""))"),"")</f>
        <v/>
      </c>
      <c r="L607" s="40" t="str">
        <f>IFERROR(__xludf.DUMMYFUNCTION("IF(ISBLANK(B607),"""",IF(Or(I607=""Em Aberto"",ISBLANK(I607),NOT(ISDATE(B607))),"""",H607))"),"")</f>
        <v/>
      </c>
      <c r="M607" s="29" t="str">
        <f>IFERROR(__xludf.DUMMYFUNCTION("IF(ISBLANK(B607),"""",IF(ISDATE(B607),TEXT(B607,""m""),""""))"),"")</f>
        <v/>
      </c>
      <c r="N607" s="29" t="str">
        <f>IFERROR(__xludf.DUMMYFUNCTION("IF(M607="""","""",QUERY({'Dashboard-Dados'!$Y$2:$AA$13},""Select Col2 Where Col1=""&amp;M607))"),"")</f>
        <v/>
      </c>
      <c r="O607" s="29" t="str">
        <f>IFERROR(__xludf.DUMMYFUNCTION("IF(ISBLANK(B607),"""",IF(ISDATE(B607),TEXT(B607,""yyyy""),""""))"),"")</f>
        <v/>
      </c>
    </row>
    <row r="608">
      <c r="B608" s="62"/>
      <c r="C608" s="56"/>
      <c r="D608" s="56"/>
      <c r="E608" s="56"/>
      <c r="F608" s="63"/>
      <c r="G608" s="64"/>
      <c r="H608" s="65"/>
      <c r="I608" s="63"/>
      <c r="K608" s="53" t="str">
        <f>IFERROR(__xludf.DUMMYFUNCTION("IF(ISBLANK(B608),"""",IF(ISDATE(B608),""X"",""""))"),"")</f>
        <v/>
      </c>
      <c r="L608" s="40" t="str">
        <f>IFERROR(__xludf.DUMMYFUNCTION("IF(ISBLANK(B608),"""",IF(Or(I608=""Em Aberto"",ISBLANK(I608),NOT(ISDATE(B608))),"""",H608))"),"")</f>
        <v/>
      </c>
      <c r="M608" s="29" t="str">
        <f>IFERROR(__xludf.DUMMYFUNCTION("IF(ISBLANK(B608),"""",IF(ISDATE(B608),TEXT(B608,""m""),""""))"),"")</f>
        <v/>
      </c>
      <c r="N608" s="29" t="str">
        <f>IFERROR(__xludf.DUMMYFUNCTION("IF(M608="""","""",QUERY({'Dashboard-Dados'!$Y$2:$AA$13},""Select Col2 Where Col1=""&amp;M608))"),"")</f>
        <v/>
      </c>
      <c r="O608" s="29" t="str">
        <f>IFERROR(__xludf.DUMMYFUNCTION("IF(ISBLANK(B608),"""",IF(ISDATE(B608),TEXT(B608,""yyyy""),""""))"),"")</f>
        <v/>
      </c>
    </row>
    <row r="609">
      <c r="B609" s="62"/>
      <c r="C609" s="56"/>
      <c r="D609" s="56"/>
      <c r="E609" s="56"/>
      <c r="F609" s="63"/>
      <c r="G609" s="64"/>
      <c r="H609" s="65"/>
      <c r="I609" s="63"/>
      <c r="K609" s="53" t="str">
        <f>IFERROR(__xludf.DUMMYFUNCTION("IF(ISBLANK(B609),"""",IF(ISDATE(B609),""X"",""""))"),"")</f>
        <v/>
      </c>
      <c r="L609" s="40" t="str">
        <f>IFERROR(__xludf.DUMMYFUNCTION("IF(ISBLANK(B609),"""",IF(Or(I609=""Em Aberto"",ISBLANK(I609),NOT(ISDATE(B609))),"""",H609))"),"")</f>
        <v/>
      </c>
      <c r="M609" s="29" t="str">
        <f>IFERROR(__xludf.DUMMYFUNCTION("IF(ISBLANK(B609),"""",IF(ISDATE(B609),TEXT(B609,""m""),""""))"),"")</f>
        <v/>
      </c>
      <c r="N609" s="29" t="str">
        <f>IFERROR(__xludf.DUMMYFUNCTION("IF(M609="""","""",QUERY({'Dashboard-Dados'!$Y$2:$AA$13},""Select Col2 Where Col1=""&amp;M609))"),"")</f>
        <v/>
      </c>
      <c r="O609" s="29" t="str">
        <f>IFERROR(__xludf.DUMMYFUNCTION("IF(ISBLANK(B609),"""",IF(ISDATE(B609),TEXT(B609,""yyyy""),""""))"),"")</f>
        <v/>
      </c>
    </row>
    <row r="610">
      <c r="B610" s="62"/>
      <c r="C610" s="56"/>
      <c r="D610" s="56"/>
      <c r="E610" s="56"/>
      <c r="F610" s="63"/>
      <c r="G610" s="64"/>
      <c r="H610" s="65"/>
      <c r="I610" s="63"/>
      <c r="K610" s="53" t="str">
        <f>IFERROR(__xludf.DUMMYFUNCTION("IF(ISBLANK(B610),"""",IF(ISDATE(B610),""X"",""""))"),"")</f>
        <v/>
      </c>
      <c r="L610" s="40" t="str">
        <f>IFERROR(__xludf.DUMMYFUNCTION("IF(ISBLANK(B610),"""",IF(Or(I610=""Em Aberto"",ISBLANK(I610),NOT(ISDATE(B610))),"""",H610))"),"")</f>
        <v/>
      </c>
      <c r="M610" s="29" t="str">
        <f>IFERROR(__xludf.DUMMYFUNCTION("IF(ISBLANK(B610),"""",IF(ISDATE(B610),TEXT(B610,""m""),""""))"),"")</f>
        <v/>
      </c>
      <c r="N610" s="29" t="str">
        <f>IFERROR(__xludf.DUMMYFUNCTION("IF(M610="""","""",QUERY({'Dashboard-Dados'!$Y$2:$AA$13},""Select Col2 Where Col1=""&amp;M610))"),"")</f>
        <v/>
      </c>
      <c r="O610" s="29" t="str">
        <f>IFERROR(__xludf.DUMMYFUNCTION("IF(ISBLANK(B610),"""",IF(ISDATE(B610),TEXT(B610,""yyyy""),""""))"),"")</f>
        <v/>
      </c>
    </row>
    <row r="611">
      <c r="B611" s="62"/>
      <c r="C611" s="56"/>
      <c r="D611" s="56"/>
      <c r="E611" s="56"/>
      <c r="F611" s="63"/>
      <c r="G611" s="64"/>
      <c r="H611" s="65"/>
      <c r="I611" s="63"/>
      <c r="K611" s="53" t="str">
        <f>IFERROR(__xludf.DUMMYFUNCTION("IF(ISBLANK(B611),"""",IF(ISDATE(B611),""X"",""""))"),"")</f>
        <v/>
      </c>
      <c r="L611" s="40" t="str">
        <f>IFERROR(__xludf.DUMMYFUNCTION("IF(ISBLANK(B611),"""",IF(Or(I611=""Em Aberto"",ISBLANK(I611),NOT(ISDATE(B611))),"""",H611))"),"")</f>
        <v/>
      </c>
      <c r="M611" s="29" t="str">
        <f>IFERROR(__xludf.DUMMYFUNCTION("IF(ISBLANK(B611),"""",IF(ISDATE(B611),TEXT(B611,""m""),""""))"),"")</f>
        <v/>
      </c>
      <c r="N611" s="29" t="str">
        <f>IFERROR(__xludf.DUMMYFUNCTION("IF(M611="""","""",QUERY({'Dashboard-Dados'!$Y$2:$AA$13},""Select Col2 Where Col1=""&amp;M611))"),"")</f>
        <v/>
      </c>
      <c r="O611" s="29" t="str">
        <f>IFERROR(__xludf.DUMMYFUNCTION("IF(ISBLANK(B611),"""",IF(ISDATE(B611),TEXT(B611,""yyyy""),""""))"),"")</f>
        <v/>
      </c>
    </row>
    <row r="612">
      <c r="B612" s="62"/>
      <c r="C612" s="56"/>
      <c r="D612" s="56"/>
      <c r="E612" s="56"/>
      <c r="F612" s="63"/>
      <c r="G612" s="64"/>
      <c r="H612" s="65"/>
      <c r="I612" s="63"/>
      <c r="K612" s="53" t="str">
        <f>IFERROR(__xludf.DUMMYFUNCTION("IF(ISBLANK(B612),"""",IF(ISDATE(B612),""X"",""""))"),"")</f>
        <v/>
      </c>
      <c r="L612" s="40" t="str">
        <f>IFERROR(__xludf.DUMMYFUNCTION("IF(ISBLANK(B612),"""",IF(Or(I612=""Em Aberto"",ISBLANK(I612),NOT(ISDATE(B612))),"""",H612))"),"")</f>
        <v/>
      </c>
      <c r="M612" s="29" t="str">
        <f>IFERROR(__xludf.DUMMYFUNCTION("IF(ISBLANK(B612),"""",IF(ISDATE(B612),TEXT(B612,""m""),""""))"),"")</f>
        <v/>
      </c>
      <c r="N612" s="29" t="str">
        <f>IFERROR(__xludf.DUMMYFUNCTION("IF(M612="""","""",QUERY({'Dashboard-Dados'!$Y$2:$AA$13},""Select Col2 Where Col1=""&amp;M612))"),"")</f>
        <v/>
      </c>
      <c r="O612" s="29" t="str">
        <f>IFERROR(__xludf.DUMMYFUNCTION("IF(ISBLANK(B612),"""",IF(ISDATE(B612),TEXT(B612,""yyyy""),""""))"),"")</f>
        <v/>
      </c>
    </row>
    <row r="613">
      <c r="B613" s="62"/>
      <c r="C613" s="56"/>
      <c r="D613" s="56"/>
      <c r="E613" s="56"/>
      <c r="F613" s="63"/>
      <c r="G613" s="64"/>
      <c r="H613" s="65"/>
      <c r="I613" s="63"/>
      <c r="K613" s="53" t="str">
        <f>IFERROR(__xludf.DUMMYFUNCTION("IF(ISBLANK(B613),"""",IF(ISDATE(B613),""X"",""""))"),"")</f>
        <v/>
      </c>
      <c r="L613" s="40" t="str">
        <f>IFERROR(__xludf.DUMMYFUNCTION("IF(ISBLANK(B613),"""",IF(Or(I613=""Em Aberto"",ISBLANK(I613),NOT(ISDATE(B613))),"""",H613))"),"")</f>
        <v/>
      </c>
      <c r="M613" s="29" t="str">
        <f>IFERROR(__xludf.DUMMYFUNCTION("IF(ISBLANK(B613),"""",IF(ISDATE(B613),TEXT(B613,""m""),""""))"),"")</f>
        <v/>
      </c>
      <c r="N613" s="29" t="str">
        <f>IFERROR(__xludf.DUMMYFUNCTION("IF(M613="""","""",QUERY({'Dashboard-Dados'!$Y$2:$AA$13},""Select Col2 Where Col1=""&amp;M613))"),"")</f>
        <v/>
      </c>
      <c r="O613" s="29" t="str">
        <f>IFERROR(__xludf.DUMMYFUNCTION("IF(ISBLANK(B613),"""",IF(ISDATE(B613),TEXT(B613,""yyyy""),""""))"),"")</f>
        <v/>
      </c>
    </row>
    <row r="614">
      <c r="B614" s="62"/>
      <c r="C614" s="56"/>
      <c r="D614" s="56"/>
      <c r="E614" s="56"/>
      <c r="F614" s="63"/>
      <c r="G614" s="64"/>
      <c r="H614" s="65"/>
      <c r="I614" s="63"/>
      <c r="K614" s="53" t="str">
        <f>IFERROR(__xludf.DUMMYFUNCTION("IF(ISBLANK(B614),"""",IF(ISDATE(B614),""X"",""""))"),"")</f>
        <v/>
      </c>
      <c r="L614" s="40" t="str">
        <f>IFERROR(__xludf.DUMMYFUNCTION("IF(ISBLANK(B614),"""",IF(Or(I614=""Em Aberto"",ISBLANK(I614),NOT(ISDATE(B614))),"""",H614))"),"")</f>
        <v/>
      </c>
      <c r="M614" s="29" t="str">
        <f>IFERROR(__xludf.DUMMYFUNCTION("IF(ISBLANK(B614),"""",IF(ISDATE(B614),TEXT(B614,""m""),""""))"),"")</f>
        <v/>
      </c>
      <c r="N614" s="29" t="str">
        <f>IFERROR(__xludf.DUMMYFUNCTION("IF(M614="""","""",QUERY({'Dashboard-Dados'!$Y$2:$AA$13},""Select Col2 Where Col1=""&amp;M614))"),"")</f>
        <v/>
      </c>
      <c r="O614" s="29" t="str">
        <f>IFERROR(__xludf.DUMMYFUNCTION("IF(ISBLANK(B614),"""",IF(ISDATE(B614),TEXT(B614,""yyyy""),""""))"),"")</f>
        <v/>
      </c>
    </row>
    <row r="615">
      <c r="B615" s="62"/>
      <c r="C615" s="56"/>
      <c r="D615" s="56"/>
      <c r="E615" s="56"/>
      <c r="F615" s="63"/>
      <c r="G615" s="64"/>
      <c r="H615" s="65"/>
      <c r="I615" s="63"/>
      <c r="K615" s="53" t="str">
        <f>IFERROR(__xludf.DUMMYFUNCTION("IF(ISBLANK(B615),"""",IF(ISDATE(B615),""X"",""""))"),"")</f>
        <v/>
      </c>
      <c r="L615" s="40" t="str">
        <f>IFERROR(__xludf.DUMMYFUNCTION("IF(ISBLANK(B615),"""",IF(Or(I615=""Em Aberto"",ISBLANK(I615),NOT(ISDATE(B615))),"""",H615))"),"")</f>
        <v/>
      </c>
      <c r="M615" s="29" t="str">
        <f>IFERROR(__xludf.DUMMYFUNCTION("IF(ISBLANK(B615),"""",IF(ISDATE(B615),TEXT(B615,""m""),""""))"),"")</f>
        <v/>
      </c>
      <c r="N615" s="29" t="str">
        <f>IFERROR(__xludf.DUMMYFUNCTION("IF(M615="""","""",QUERY({'Dashboard-Dados'!$Y$2:$AA$13},""Select Col2 Where Col1=""&amp;M615))"),"")</f>
        <v/>
      </c>
      <c r="O615" s="29" t="str">
        <f>IFERROR(__xludf.DUMMYFUNCTION("IF(ISBLANK(B615),"""",IF(ISDATE(B615),TEXT(B615,""yyyy""),""""))"),"")</f>
        <v/>
      </c>
    </row>
    <row r="616">
      <c r="B616" s="62"/>
      <c r="C616" s="56"/>
      <c r="D616" s="56"/>
      <c r="E616" s="56"/>
      <c r="F616" s="63"/>
      <c r="G616" s="64"/>
      <c r="H616" s="65"/>
      <c r="I616" s="63"/>
      <c r="K616" s="53" t="str">
        <f>IFERROR(__xludf.DUMMYFUNCTION("IF(ISBLANK(B616),"""",IF(ISDATE(B616),""X"",""""))"),"")</f>
        <v/>
      </c>
      <c r="L616" s="40" t="str">
        <f>IFERROR(__xludf.DUMMYFUNCTION("IF(ISBLANK(B616),"""",IF(Or(I616=""Em Aberto"",ISBLANK(I616),NOT(ISDATE(B616))),"""",H616))"),"")</f>
        <v/>
      </c>
      <c r="M616" s="29" t="str">
        <f>IFERROR(__xludf.DUMMYFUNCTION("IF(ISBLANK(B616),"""",IF(ISDATE(B616),TEXT(B616,""m""),""""))"),"")</f>
        <v/>
      </c>
      <c r="N616" s="29" t="str">
        <f>IFERROR(__xludf.DUMMYFUNCTION("IF(M616="""","""",QUERY({'Dashboard-Dados'!$Y$2:$AA$13},""Select Col2 Where Col1=""&amp;M616))"),"")</f>
        <v/>
      </c>
      <c r="O616" s="29" t="str">
        <f>IFERROR(__xludf.DUMMYFUNCTION("IF(ISBLANK(B616),"""",IF(ISDATE(B616),TEXT(B616,""yyyy""),""""))"),"")</f>
        <v/>
      </c>
    </row>
    <row r="617">
      <c r="B617" s="62"/>
      <c r="C617" s="56"/>
      <c r="D617" s="56"/>
      <c r="E617" s="56"/>
      <c r="F617" s="63"/>
      <c r="G617" s="64"/>
      <c r="H617" s="65"/>
      <c r="I617" s="63"/>
      <c r="K617" s="53" t="str">
        <f>IFERROR(__xludf.DUMMYFUNCTION("IF(ISBLANK(B617),"""",IF(ISDATE(B617),""X"",""""))"),"")</f>
        <v/>
      </c>
      <c r="L617" s="40" t="str">
        <f>IFERROR(__xludf.DUMMYFUNCTION("IF(ISBLANK(B617),"""",IF(Or(I617=""Em Aberto"",ISBLANK(I617),NOT(ISDATE(B617))),"""",H617))"),"")</f>
        <v/>
      </c>
      <c r="M617" s="29" t="str">
        <f>IFERROR(__xludf.DUMMYFUNCTION("IF(ISBLANK(B617),"""",IF(ISDATE(B617),TEXT(B617,""m""),""""))"),"")</f>
        <v/>
      </c>
      <c r="N617" s="29" t="str">
        <f>IFERROR(__xludf.DUMMYFUNCTION("IF(M617="""","""",QUERY({'Dashboard-Dados'!$Y$2:$AA$13},""Select Col2 Where Col1=""&amp;M617))"),"")</f>
        <v/>
      </c>
      <c r="O617" s="29" t="str">
        <f>IFERROR(__xludf.DUMMYFUNCTION("IF(ISBLANK(B617),"""",IF(ISDATE(B617),TEXT(B617,""yyyy""),""""))"),"")</f>
        <v/>
      </c>
    </row>
    <row r="618">
      <c r="B618" s="62"/>
      <c r="C618" s="56"/>
      <c r="D618" s="56"/>
      <c r="E618" s="56"/>
      <c r="F618" s="63"/>
      <c r="G618" s="64"/>
      <c r="H618" s="65"/>
      <c r="I618" s="63"/>
      <c r="K618" s="53" t="str">
        <f>IFERROR(__xludf.DUMMYFUNCTION("IF(ISBLANK(B618),"""",IF(ISDATE(B618),""X"",""""))"),"")</f>
        <v/>
      </c>
      <c r="L618" s="40" t="str">
        <f>IFERROR(__xludf.DUMMYFUNCTION("IF(ISBLANK(B618),"""",IF(Or(I618=""Em Aberto"",ISBLANK(I618),NOT(ISDATE(B618))),"""",H618))"),"")</f>
        <v/>
      </c>
      <c r="M618" s="29" t="str">
        <f>IFERROR(__xludf.DUMMYFUNCTION("IF(ISBLANK(B618),"""",IF(ISDATE(B618),TEXT(B618,""m""),""""))"),"")</f>
        <v/>
      </c>
      <c r="N618" s="29" t="str">
        <f>IFERROR(__xludf.DUMMYFUNCTION("IF(M618="""","""",QUERY({'Dashboard-Dados'!$Y$2:$AA$13},""Select Col2 Where Col1=""&amp;M618))"),"")</f>
        <v/>
      </c>
      <c r="O618" s="29" t="str">
        <f>IFERROR(__xludf.DUMMYFUNCTION("IF(ISBLANK(B618),"""",IF(ISDATE(B618),TEXT(B618,""yyyy""),""""))"),"")</f>
        <v/>
      </c>
    </row>
    <row r="619">
      <c r="B619" s="62"/>
      <c r="C619" s="56"/>
      <c r="D619" s="56"/>
      <c r="E619" s="56"/>
      <c r="F619" s="63"/>
      <c r="G619" s="64"/>
      <c r="H619" s="65"/>
      <c r="I619" s="63"/>
      <c r="K619" s="53" t="str">
        <f>IFERROR(__xludf.DUMMYFUNCTION("IF(ISBLANK(B619),"""",IF(ISDATE(B619),""X"",""""))"),"")</f>
        <v/>
      </c>
      <c r="L619" s="40" t="str">
        <f>IFERROR(__xludf.DUMMYFUNCTION("IF(ISBLANK(B619),"""",IF(Or(I619=""Em Aberto"",ISBLANK(I619),NOT(ISDATE(B619))),"""",H619))"),"")</f>
        <v/>
      </c>
      <c r="M619" s="29" t="str">
        <f>IFERROR(__xludf.DUMMYFUNCTION("IF(ISBLANK(B619),"""",IF(ISDATE(B619),TEXT(B619,""m""),""""))"),"")</f>
        <v/>
      </c>
      <c r="N619" s="29" t="str">
        <f>IFERROR(__xludf.DUMMYFUNCTION("IF(M619="""","""",QUERY({'Dashboard-Dados'!$Y$2:$AA$13},""Select Col2 Where Col1=""&amp;M619))"),"")</f>
        <v/>
      </c>
      <c r="O619" s="29" t="str">
        <f>IFERROR(__xludf.DUMMYFUNCTION("IF(ISBLANK(B619),"""",IF(ISDATE(B619),TEXT(B619,""yyyy""),""""))"),"")</f>
        <v/>
      </c>
    </row>
    <row r="620">
      <c r="B620" s="62"/>
      <c r="C620" s="56"/>
      <c r="D620" s="56"/>
      <c r="E620" s="56"/>
      <c r="F620" s="63"/>
      <c r="G620" s="64"/>
      <c r="H620" s="65"/>
      <c r="I620" s="63"/>
      <c r="K620" s="53" t="str">
        <f>IFERROR(__xludf.DUMMYFUNCTION("IF(ISBLANK(B620),"""",IF(ISDATE(B620),""X"",""""))"),"")</f>
        <v/>
      </c>
      <c r="L620" s="40" t="str">
        <f>IFERROR(__xludf.DUMMYFUNCTION("IF(ISBLANK(B620),"""",IF(Or(I620=""Em Aberto"",ISBLANK(I620),NOT(ISDATE(B620))),"""",H620))"),"")</f>
        <v/>
      </c>
      <c r="M620" s="29" t="str">
        <f>IFERROR(__xludf.DUMMYFUNCTION("IF(ISBLANK(B620),"""",IF(ISDATE(B620),TEXT(B620,""m""),""""))"),"")</f>
        <v/>
      </c>
      <c r="N620" s="29" t="str">
        <f>IFERROR(__xludf.DUMMYFUNCTION("IF(M620="""","""",QUERY({'Dashboard-Dados'!$Y$2:$AA$13},""Select Col2 Where Col1=""&amp;M620))"),"")</f>
        <v/>
      </c>
      <c r="O620" s="29" t="str">
        <f>IFERROR(__xludf.DUMMYFUNCTION("IF(ISBLANK(B620),"""",IF(ISDATE(B620),TEXT(B620,""yyyy""),""""))"),"")</f>
        <v/>
      </c>
    </row>
    <row r="621">
      <c r="B621" s="62"/>
      <c r="C621" s="56"/>
      <c r="D621" s="56"/>
      <c r="E621" s="56"/>
      <c r="F621" s="63"/>
      <c r="G621" s="64"/>
      <c r="H621" s="65"/>
      <c r="I621" s="63"/>
      <c r="K621" s="53" t="str">
        <f>IFERROR(__xludf.DUMMYFUNCTION("IF(ISBLANK(B621),"""",IF(ISDATE(B621),""X"",""""))"),"")</f>
        <v/>
      </c>
      <c r="L621" s="40" t="str">
        <f>IFERROR(__xludf.DUMMYFUNCTION("IF(ISBLANK(B621),"""",IF(Or(I621=""Em Aberto"",ISBLANK(I621),NOT(ISDATE(B621))),"""",H621))"),"")</f>
        <v/>
      </c>
      <c r="M621" s="29" t="str">
        <f>IFERROR(__xludf.DUMMYFUNCTION("IF(ISBLANK(B621),"""",IF(ISDATE(B621),TEXT(B621,""m""),""""))"),"")</f>
        <v/>
      </c>
      <c r="N621" s="29" t="str">
        <f>IFERROR(__xludf.DUMMYFUNCTION("IF(M621="""","""",QUERY({'Dashboard-Dados'!$Y$2:$AA$13},""Select Col2 Where Col1=""&amp;M621))"),"")</f>
        <v/>
      </c>
      <c r="O621" s="29" t="str">
        <f>IFERROR(__xludf.DUMMYFUNCTION("IF(ISBLANK(B621),"""",IF(ISDATE(B621),TEXT(B621,""yyyy""),""""))"),"")</f>
        <v/>
      </c>
    </row>
    <row r="622">
      <c r="B622" s="62"/>
      <c r="C622" s="56"/>
      <c r="D622" s="56"/>
      <c r="E622" s="56"/>
      <c r="F622" s="63"/>
      <c r="G622" s="64"/>
      <c r="H622" s="65"/>
      <c r="I622" s="63"/>
      <c r="K622" s="53" t="str">
        <f>IFERROR(__xludf.DUMMYFUNCTION("IF(ISBLANK(B622),"""",IF(ISDATE(B622),""X"",""""))"),"")</f>
        <v/>
      </c>
      <c r="L622" s="40" t="str">
        <f>IFERROR(__xludf.DUMMYFUNCTION("IF(ISBLANK(B622),"""",IF(Or(I622=""Em Aberto"",ISBLANK(I622),NOT(ISDATE(B622))),"""",H622))"),"")</f>
        <v/>
      </c>
      <c r="M622" s="29" t="str">
        <f>IFERROR(__xludf.DUMMYFUNCTION("IF(ISBLANK(B622),"""",IF(ISDATE(B622),TEXT(B622,""m""),""""))"),"")</f>
        <v/>
      </c>
      <c r="N622" s="29" t="str">
        <f>IFERROR(__xludf.DUMMYFUNCTION("IF(M622="""","""",QUERY({'Dashboard-Dados'!$Y$2:$AA$13},""Select Col2 Where Col1=""&amp;M622))"),"")</f>
        <v/>
      </c>
      <c r="O622" s="29" t="str">
        <f>IFERROR(__xludf.DUMMYFUNCTION("IF(ISBLANK(B622),"""",IF(ISDATE(B622),TEXT(B622,""yyyy""),""""))"),"")</f>
        <v/>
      </c>
    </row>
    <row r="623">
      <c r="B623" s="62"/>
      <c r="C623" s="56"/>
      <c r="D623" s="56"/>
      <c r="E623" s="56"/>
      <c r="F623" s="63"/>
      <c r="G623" s="64"/>
      <c r="H623" s="65"/>
      <c r="I623" s="63"/>
      <c r="K623" s="53" t="str">
        <f>IFERROR(__xludf.DUMMYFUNCTION("IF(ISBLANK(B623),"""",IF(ISDATE(B623),""X"",""""))"),"")</f>
        <v/>
      </c>
      <c r="L623" s="40" t="str">
        <f>IFERROR(__xludf.DUMMYFUNCTION("IF(ISBLANK(B623),"""",IF(Or(I623=""Em Aberto"",ISBLANK(I623),NOT(ISDATE(B623))),"""",H623))"),"")</f>
        <v/>
      </c>
      <c r="M623" s="29" t="str">
        <f>IFERROR(__xludf.DUMMYFUNCTION("IF(ISBLANK(B623),"""",IF(ISDATE(B623),TEXT(B623,""m""),""""))"),"")</f>
        <v/>
      </c>
      <c r="N623" s="29" t="str">
        <f>IFERROR(__xludf.DUMMYFUNCTION("IF(M623="""","""",QUERY({'Dashboard-Dados'!$Y$2:$AA$13},""Select Col2 Where Col1=""&amp;M623))"),"")</f>
        <v/>
      </c>
      <c r="O623" s="29" t="str">
        <f>IFERROR(__xludf.DUMMYFUNCTION("IF(ISBLANK(B623),"""",IF(ISDATE(B623),TEXT(B623,""yyyy""),""""))"),"")</f>
        <v/>
      </c>
    </row>
    <row r="624">
      <c r="B624" s="62"/>
      <c r="C624" s="56"/>
      <c r="D624" s="56"/>
      <c r="E624" s="56"/>
      <c r="F624" s="63"/>
      <c r="G624" s="64"/>
      <c r="H624" s="65"/>
      <c r="I624" s="63"/>
      <c r="K624" s="53" t="str">
        <f>IFERROR(__xludf.DUMMYFUNCTION("IF(ISBLANK(B624),"""",IF(ISDATE(B624),""X"",""""))"),"")</f>
        <v/>
      </c>
      <c r="L624" s="40" t="str">
        <f>IFERROR(__xludf.DUMMYFUNCTION("IF(ISBLANK(B624),"""",IF(Or(I624=""Em Aberto"",ISBLANK(I624),NOT(ISDATE(B624))),"""",H624))"),"")</f>
        <v/>
      </c>
      <c r="M624" s="29" t="str">
        <f>IFERROR(__xludf.DUMMYFUNCTION("IF(ISBLANK(B624),"""",IF(ISDATE(B624),TEXT(B624,""m""),""""))"),"")</f>
        <v/>
      </c>
      <c r="N624" s="29" t="str">
        <f>IFERROR(__xludf.DUMMYFUNCTION("IF(M624="""","""",QUERY({'Dashboard-Dados'!$Y$2:$AA$13},""Select Col2 Where Col1=""&amp;M624))"),"")</f>
        <v/>
      </c>
      <c r="O624" s="29" t="str">
        <f>IFERROR(__xludf.DUMMYFUNCTION("IF(ISBLANK(B624),"""",IF(ISDATE(B624),TEXT(B624,""yyyy""),""""))"),"")</f>
        <v/>
      </c>
    </row>
    <row r="625">
      <c r="B625" s="62"/>
      <c r="C625" s="56"/>
      <c r="D625" s="56"/>
      <c r="E625" s="56"/>
      <c r="F625" s="63"/>
      <c r="G625" s="64"/>
      <c r="H625" s="65"/>
      <c r="I625" s="63"/>
      <c r="K625" s="53" t="str">
        <f>IFERROR(__xludf.DUMMYFUNCTION("IF(ISBLANK(B625),"""",IF(ISDATE(B625),""X"",""""))"),"")</f>
        <v/>
      </c>
      <c r="L625" s="40" t="str">
        <f>IFERROR(__xludf.DUMMYFUNCTION("IF(ISBLANK(B625),"""",IF(Or(I625=""Em Aberto"",ISBLANK(I625),NOT(ISDATE(B625))),"""",H625))"),"")</f>
        <v/>
      </c>
      <c r="M625" s="29" t="str">
        <f>IFERROR(__xludf.DUMMYFUNCTION("IF(ISBLANK(B625),"""",IF(ISDATE(B625),TEXT(B625,""m""),""""))"),"")</f>
        <v/>
      </c>
      <c r="N625" s="29" t="str">
        <f>IFERROR(__xludf.DUMMYFUNCTION("IF(M625="""","""",QUERY({'Dashboard-Dados'!$Y$2:$AA$13},""Select Col2 Where Col1=""&amp;M625))"),"")</f>
        <v/>
      </c>
      <c r="O625" s="29" t="str">
        <f>IFERROR(__xludf.DUMMYFUNCTION("IF(ISBLANK(B625),"""",IF(ISDATE(B625),TEXT(B625,""yyyy""),""""))"),"")</f>
        <v/>
      </c>
    </row>
    <row r="626">
      <c r="B626" s="62"/>
      <c r="C626" s="56"/>
      <c r="D626" s="56"/>
      <c r="E626" s="56"/>
      <c r="F626" s="63"/>
      <c r="G626" s="64"/>
      <c r="H626" s="65"/>
      <c r="I626" s="63"/>
      <c r="K626" s="53" t="str">
        <f>IFERROR(__xludf.DUMMYFUNCTION("IF(ISBLANK(B626),"""",IF(ISDATE(B626),""X"",""""))"),"")</f>
        <v/>
      </c>
      <c r="L626" s="40" t="str">
        <f>IFERROR(__xludf.DUMMYFUNCTION("IF(ISBLANK(B626),"""",IF(Or(I626=""Em Aberto"",ISBLANK(I626),NOT(ISDATE(B626))),"""",H626))"),"")</f>
        <v/>
      </c>
      <c r="M626" s="29" t="str">
        <f>IFERROR(__xludf.DUMMYFUNCTION("IF(ISBLANK(B626),"""",IF(ISDATE(B626),TEXT(B626,""m""),""""))"),"")</f>
        <v/>
      </c>
      <c r="N626" s="29" t="str">
        <f>IFERROR(__xludf.DUMMYFUNCTION("IF(M626="""","""",QUERY({'Dashboard-Dados'!$Y$2:$AA$13},""Select Col2 Where Col1=""&amp;M626))"),"")</f>
        <v/>
      </c>
      <c r="O626" s="29" t="str">
        <f>IFERROR(__xludf.DUMMYFUNCTION("IF(ISBLANK(B626),"""",IF(ISDATE(B626),TEXT(B626,""yyyy""),""""))"),"")</f>
        <v/>
      </c>
    </row>
    <row r="627">
      <c r="B627" s="62"/>
      <c r="C627" s="56"/>
      <c r="D627" s="56"/>
      <c r="E627" s="56"/>
      <c r="F627" s="63"/>
      <c r="G627" s="64"/>
      <c r="H627" s="65"/>
      <c r="I627" s="63"/>
      <c r="K627" s="53" t="str">
        <f>IFERROR(__xludf.DUMMYFUNCTION("IF(ISBLANK(B627),"""",IF(ISDATE(B627),""X"",""""))"),"")</f>
        <v/>
      </c>
      <c r="L627" s="40" t="str">
        <f>IFERROR(__xludf.DUMMYFUNCTION("IF(ISBLANK(B627),"""",IF(Or(I627=""Em Aberto"",ISBLANK(I627),NOT(ISDATE(B627))),"""",H627))"),"")</f>
        <v/>
      </c>
      <c r="M627" s="29" t="str">
        <f>IFERROR(__xludf.DUMMYFUNCTION("IF(ISBLANK(B627),"""",IF(ISDATE(B627),TEXT(B627,""m""),""""))"),"")</f>
        <v/>
      </c>
      <c r="N627" s="29" t="str">
        <f>IFERROR(__xludf.DUMMYFUNCTION("IF(M627="""","""",QUERY({'Dashboard-Dados'!$Y$2:$AA$13},""Select Col2 Where Col1=""&amp;M627))"),"")</f>
        <v/>
      </c>
      <c r="O627" s="29" t="str">
        <f>IFERROR(__xludf.DUMMYFUNCTION("IF(ISBLANK(B627),"""",IF(ISDATE(B627),TEXT(B627,""yyyy""),""""))"),"")</f>
        <v/>
      </c>
    </row>
    <row r="628">
      <c r="B628" s="62"/>
      <c r="C628" s="56"/>
      <c r="D628" s="56"/>
      <c r="E628" s="56"/>
      <c r="F628" s="63"/>
      <c r="G628" s="64"/>
      <c r="H628" s="65"/>
      <c r="I628" s="63"/>
      <c r="K628" s="53" t="str">
        <f>IFERROR(__xludf.DUMMYFUNCTION("IF(ISBLANK(B628),"""",IF(ISDATE(B628),""X"",""""))"),"")</f>
        <v/>
      </c>
      <c r="L628" s="40" t="str">
        <f>IFERROR(__xludf.DUMMYFUNCTION("IF(ISBLANK(B628),"""",IF(Or(I628=""Em Aberto"",ISBLANK(I628),NOT(ISDATE(B628))),"""",H628))"),"")</f>
        <v/>
      </c>
      <c r="M628" s="29" t="str">
        <f>IFERROR(__xludf.DUMMYFUNCTION("IF(ISBLANK(B628),"""",IF(ISDATE(B628),TEXT(B628,""m""),""""))"),"")</f>
        <v/>
      </c>
      <c r="N628" s="29" t="str">
        <f>IFERROR(__xludf.DUMMYFUNCTION("IF(M628="""","""",QUERY({'Dashboard-Dados'!$Y$2:$AA$13},""Select Col2 Where Col1=""&amp;M628))"),"")</f>
        <v/>
      </c>
      <c r="O628" s="29" t="str">
        <f>IFERROR(__xludf.DUMMYFUNCTION("IF(ISBLANK(B628),"""",IF(ISDATE(B628),TEXT(B628,""yyyy""),""""))"),"")</f>
        <v/>
      </c>
    </row>
    <row r="629">
      <c r="B629" s="62"/>
      <c r="C629" s="56"/>
      <c r="D629" s="56"/>
      <c r="E629" s="56"/>
      <c r="F629" s="63"/>
      <c r="G629" s="64"/>
      <c r="H629" s="65"/>
      <c r="I629" s="63"/>
      <c r="K629" s="53" t="str">
        <f>IFERROR(__xludf.DUMMYFUNCTION("IF(ISBLANK(B629),"""",IF(ISDATE(B629),""X"",""""))"),"")</f>
        <v/>
      </c>
      <c r="L629" s="40" t="str">
        <f>IFERROR(__xludf.DUMMYFUNCTION("IF(ISBLANK(B629),"""",IF(Or(I629=""Em Aberto"",ISBLANK(I629),NOT(ISDATE(B629))),"""",H629))"),"")</f>
        <v/>
      </c>
      <c r="M629" s="29" t="str">
        <f>IFERROR(__xludf.DUMMYFUNCTION("IF(ISBLANK(B629),"""",IF(ISDATE(B629),TEXT(B629,""m""),""""))"),"")</f>
        <v/>
      </c>
      <c r="N629" s="29" t="str">
        <f>IFERROR(__xludf.DUMMYFUNCTION("IF(M629="""","""",QUERY({'Dashboard-Dados'!$Y$2:$AA$13},""Select Col2 Where Col1=""&amp;M629))"),"")</f>
        <v/>
      </c>
      <c r="O629" s="29" t="str">
        <f>IFERROR(__xludf.DUMMYFUNCTION("IF(ISBLANK(B629),"""",IF(ISDATE(B629),TEXT(B629,""yyyy""),""""))"),"")</f>
        <v/>
      </c>
    </row>
    <row r="630">
      <c r="B630" s="62"/>
      <c r="C630" s="56"/>
      <c r="D630" s="56"/>
      <c r="E630" s="56"/>
      <c r="F630" s="63"/>
      <c r="G630" s="64"/>
      <c r="H630" s="65"/>
      <c r="I630" s="63"/>
      <c r="K630" s="53" t="str">
        <f>IFERROR(__xludf.DUMMYFUNCTION("IF(ISBLANK(B630),"""",IF(ISDATE(B630),""X"",""""))"),"")</f>
        <v/>
      </c>
      <c r="L630" s="40" t="str">
        <f>IFERROR(__xludf.DUMMYFUNCTION("IF(ISBLANK(B630),"""",IF(Or(I630=""Em Aberto"",ISBLANK(I630),NOT(ISDATE(B630))),"""",H630))"),"")</f>
        <v/>
      </c>
      <c r="M630" s="29" t="str">
        <f>IFERROR(__xludf.DUMMYFUNCTION("IF(ISBLANK(B630),"""",IF(ISDATE(B630),TEXT(B630,""m""),""""))"),"")</f>
        <v/>
      </c>
      <c r="N630" s="29" t="str">
        <f>IFERROR(__xludf.DUMMYFUNCTION("IF(M630="""","""",QUERY({'Dashboard-Dados'!$Y$2:$AA$13},""Select Col2 Where Col1=""&amp;M630))"),"")</f>
        <v/>
      </c>
      <c r="O630" s="29" t="str">
        <f>IFERROR(__xludf.DUMMYFUNCTION("IF(ISBLANK(B630),"""",IF(ISDATE(B630),TEXT(B630,""yyyy""),""""))"),"")</f>
        <v/>
      </c>
    </row>
    <row r="631">
      <c r="B631" s="62"/>
      <c r="C631" s="56"/>
      <c r="D631" s="56"/>
      <c r="E631" s="56"/>
      <c r="F631" s="63"/>
      <c r="G631" s="64"/>
      <c r="H631" s="65"/>
      <c r="I631" s="63"/>
      <c r="K631" s="53" t="str">
        <f>IFERROR(__xludf.DUMMYFUNCTION("IF(ISBLANK(B631),"""",IF(ISDATE(B631),""X"",""""))"),"")</f>
        <v/>
      </c>
      <c r="L631" s="40" t="str">
        <f>IFERROR(__xludf.DUMMYFUNCTION("IF(ISBLANK(B631),"""",IF(Or(I631=""Em Aberto"",ISBLANK(I631),NOT(ISDATE(B631))),"""",H631))"),"")</f>
        <v/>
      </c>
      <c r="M631" s="29" t="str">
        <f>IFERROR(__xludf.DUMMYFUNCTION("IF(ISBLANK(B631),"""",IF(ISDATE(B631),TEXT(B631,""m""),""""))"),"")</f>
        <v/>
      </c>
      <c r="N631" s="29" t="str">
        <f>IFERROR(__xludf.DUMMYFUNCTION("IF(M631="""","""",QUERY({'Dashboard-Dados'!$Y$2:$AA$13},""Select Col2 Where Col1=""&amp;M631))"),"")</f>
        <v/>
      </c>
      <c r="O631" s="29" t="str">
        <f>IFERROR(__xludf.DUMMYFUNCTION("IF(ISBLANK(B631),"""",IF(ISDATE(B631),TEXT(B631,""yyyy""),""""))"),"")</f>
        <v/>
      </c>
    </row>
    <row r="632">
      <c r="B632" s="62"/>
      <c r="C632" s="56"/>
      <c r="D632" s="56"/>
      <c r="E632" s="56"/>
      <c r="F632" s="63"/>
      <c r="G632" s="64"/>
      <c r="H632" s="65"/>
      <c r="I632" s="63"/>
      <c r="K632" s="53" t="str">
        <f>IFERROR(__xludf.DUMMYFUNCTION("IF(ISBLANK(B632),"""",IF(ISDATE(B632),""X"",""""))"),"")</f>
        <v/>
      </c>
      <c r="L632" s="40" t="str">
        <f>IFERROR(__xludf.DUMMYFUNCTION("IF(ISBLANK(B632),"""",IF(Or(I632=""Em Aberto"",ISBLANK(I632),NOT(ISDATE(B632))),"""",H632))"),"")</f>
        <v/>
      </c>
      <c r="M632" s="29" t="str">
        <f>IFERROR(__xludf.DUMMYFUNCTION("IF(ISBLANK(B632),"""",IF(ISDATE(B632),TEXT(B632,""m""),""""))"),"")</f>
        <v/>
      </c>
      <c r="N632" s="29" t="str">
        <f>IFERROR(__xludf.DUMMYFUNCTION("IF(M632="""","""",QUERY({'Dashboard-Dados'!$Y$2:$AA$13},""Select Col2 Where Col1=""&amp;M632))"),"")</f>
        <v/>
      </c>
      <c r="O632" s="29" t="str">
        <f>IFERROR(__xludf.DUMMYFUNCTION("IF(ISBLANK(B632),"""",IF(ISDATE(B632),TEXT(B632,""yyyy""),""""))"),"")</f>
        <v/>
      </c>
    </row>
    <row r="633">
      <c r="B633" s="62"/>
      <c r="C633" s="56"/>
      <c r="D633" s="56"/>
      <c r="E633" s="56"/>
      <c r="F633" s="63"/>
      <c r="G633" s="64"/>
      <c r="H633" s="65"/>
      <c r="I633" s="63"/>
      <c r="K633" s="53" t="str">
        <f>IFERROR(__xludf.DUMMYFUNCTION("IF(ISBLANK(B633),"""",IF(ISDATE(B633),""X"",""""))"),"")</f>
        <v/>
      </c>
      <c r="L633" s="40" t="str">
        <f>IFERROR(__xludf.DUMMYFUNCTION("IF(ISBLANK(B633),"""",IF(Or(I633=""Em Aberto"",ISBLANK(I633),NOT(ISDATE(B633))),"""",H633))"),"")</f>
        <v/>
      </c>
      <c r="M633" s="29" t="str">
        <f>IFERROR(__xludf.DUMMYFUNCTION("IF(ISBLANK(B633),"""",IF(ISDATE(B633),TEXT(B633,""m""),""""))"),"")</f>
        <v/>
      </c>
      <c r="N633" s="29" t="str">
        <f>IFERROR(__xludf.DUMMYFUNCTION("IF(M633="""","""",QUERY({'Dashboard-Dados'!$Y$2:$AA$13},""Select Col2 Where Col1=""&amp;M633))"),"")</f>
        <v/>
      </c>
      <c r="O633" s="29" t="str">
        <f>IFERROR(__xludf.DUMMYFUNCTION("IF(ISBLANK(B633),"""",IF(ISDATE(B633),TEXT(B633,""yyyy""),""""))"),"")</f>
        <v/>
      </c>
    </row>
    <row r="634">
      <c r="B634" s="62"/>
      <c r="C634" s="56"/>
      <c r="D634" s="56"/>
      <c r="E634" s="56"/>
      <c r="F634" s="63"/>
      <c r="G634" s="64"/>
      <c r="H634" s="65"/>
      <c r="I634" s="63"/>
      <c r="K634" s="53" t="str">
        <f>IFERROR(__xludf.DUMMYFUNCTION("IF(ISBLANK(B634),"""",IF(ISDATE(B634),""X"",""""))"),"")</f>
        <v/>
      </c>
      <c r="L634" s="40" t="str">
        <f>IFERROR(__xludf.DUMMYFUNCTION("IF(ISBLANK(B634),"""",IF(Or(I634=""Em Aberto"",ISBLANK(I634),NOT(ISDATE(B634))),"""",H634))"),"")</f>
        <v/>
      </c>
      <c r="M634" s="29" t="str">
        <f>IFERROR(__xludf.DUMMYFUNCTION("IF(ISBLANK(B634),"""",IF(ISDATE(B634),TEXT(B634,""m""),""""))"),"")</f>
        <v/>
      </c>
      <c r="N634" s="29" t="str">
        <f>IFERROR(__xludf.DUMMYFUNCTION("IF(M634="""","""",QUERY({'Dashboard-Dados'!$Y$2:$AA$13},""Select Col2 Where Col1=""&amp;M634))"),"")</f>
        <v/>
      </c>
      <c r="O634" s="29" t="str">
        <f>IFERROR(__xludf.DUMMYFUNCTION("IF(ISBLANK(B634),"""",IF(ISDATE(B634),TEXT(B634,""yyyy""),""""))"),"")</f>
        <v/>
      </c>
    </row>
    <row r="635">
      <c r="B635" s="62"/>
      <c r="C635" s="56"/>
      <c r="D635" s="56"/>
      <c r="E635" s="56"/>
      <c r="F635" s="63"/>
      <c r="G635" s="64"/>
      <c r="H635" s="65"/>
      <c r="I635" s="63"/>
      <c r="K635" s="53" t="str">
        <f>IFERROR(__xludf.DUMMYFUNCTION("IF(ISBLANK(B635),"""",IF(ISDATE(B635),""X"",""""))"),"")</f>
        <v/>
      </c>
      <c r="L635" s="40" t="str">
        <f>IFERROR(__xludf.DUMMYFUNCTION("IF(ISBLANK(B635),"""",IF(Or(I635=""Em Aberto"",ISBLANK(I635),NOT(ISDATE(B635))),"""",H635))"),"")</f>
        <v/>
      </c>
      <c r="M635" s="29" t="str">
        <f>IFERROR(__xludf.DUMMYFUNCTION("IF(ISBLANK(B635),"""",IF(ISDATE(B635),TEXT(B635,""m""),""""))"),"")</f>
        <v/>
      </c>
      <c r="N635" s="29" t="str">
        <f>IFERROR(__xludf.DUMMYFUNCTION("IF(M635="""","""",QUERY({'Dashboard-Dados'!$Y$2:$AA$13},""Select Col2 Where Col1=""&amp;M635))"),"")</f>
        <v/>
      </c>
      <c r="O635" s="29" t="str">
        <f>IFERROR(__xludf.DUMMYFUNCTION("IF(ISBLANK(B635),"""",IF(ISDATE(B635),TEXT(B635,""yyyy""),""""))"),"")</f>
        <v/>
      </c>
    </row>
    <row r="636">
      <c r="B636" s="62"/>
      <c r="C636" s="56"/>
      <c r="D636" s="56"/>
      <c r="E636" s="56"/>
      <c r="F636" s="63"/>
      <c r="G636" s="64"/>
      <c r="H636" s="65"/>
      <c r="I636" s="63"/>
      <c r="K636" s="53" t="str">
        <f>IFERROR(__xludf.DUMMYFUNCTION("IF(ISBLANK(B636),"""",IF(ISDATE(B636),""X"",""""))"),"")</f>
        <v/>
      </c>
      <c r="L636" s="40" t="str">
        <f>IFERROR(__xludf.DUMMYFUNCTION("IF(ISBLANK(B636),"""",IF(Or(I636=""Em Aberto"",ISBLANK(I636),NOT(ISDATE(B636))),"""",H636))"),"")</f>
        <v/>
      </c>
      <c r="M636" s="29" t="str">
        <f>IFERROR(__xludf.DUMMYFUNCTION("IF(ISBLANK(B636),"""",IF(ISDATE(B636),TEXT(B636,""m""),""""))"),"")</f>
        <v/>
      </c>
      <c r="N636" s="29" t="str">
        <f>IFERROR(__xludf.DUMMYFUNCTION("IF(M636="""","""",QUERY({'Dashboard-Dados'!$Y$2:$AA$13},""Select Col2 Where Col1=""&amp;M636))"),"")</f>
        <v/>
      </c>
      <c r="O636" s="29" t="str">
        <f>IFERROR(__xludf.DUMMYFUNCTION("IF(ISBLANK(B636),"""",IF(ISDATE(B636),TEXT(B636,""yyyy""),""""))"),"")</f>
        <v/>
      </c>
    </row>
    <row r="637">
      <c r="B637" s="62"/>
      <c r="C637" s="56"/>
      <c r="D637" s="56"/>
      <c r="E637" s="56"/>
      <c r="F637" s="63"/>
      <c r="G637" s="64"/>
      <c r="H637" s="65"/>
      <c r="I637" s="63"/>
      <c r="K637" s="53" t="str">
        <f>IFERROR(__xludf.DUMMYFUNCTION("IF(ISBLANK(B637),"""",IF(ISDATE(B637),""X"",""""))"),"")</f>
        <v/>
      </c>
      <c r="L637" s="40" t="str">
        <f>IFERROR(__xludf.DUMMYFUNCTION("IF(ISBLANK(B637),"""",IF(Or(I637=""Em Aberto"",ISBLANK(I637),NOT(ISDATE(B637))),"""",H637))"),"")</f>
        <v/>
      </c>
      <c r="M637" s="29" t="str">
        <f>IFERROR(__xludf.DUMMYFUNCTION("IF(ISBLANK(B637),"""",IF(ISDATE(B637),TEXT(B637,""m""),""""))"),"")</f>
        <v/>
      </c>
      <c r="N637" s="29" t="str">
        <f>IFERROR(__xludf.DUMMYFUNCTION("IF(M637="""","""",QUERY({'Dashboard-Dados'!$Y$2:$AA$13},""Select Col2 Where Col1=""&amp;M637))"),"")</f>
        <v/>
      </c>
      <c r="O637" s="29" t="str">
        <f>IFERROR(__xludf.DUMMYFUNCTION("IF(ISBLANK(B637),"""",IF(ISDATE(B637),TEXT(B637,""yyyy""),""""))"),"")</f>
        <v/>
      </c>
    </row>
    <row r="638">
      <c r="B638" s="62"/>
      <c r="C638" s="56"/>
      <c r="D638" s="56"/>
      <c r="E638" s="56"/>
      <c r="F638" s="63"/>
      <c r="G638" s="64"/>
      <c r="H638" s="65"/>
      <c r="I638" s="63"/>
      <c r="K638" s="53" t="str">
        <f>IFERROR(__xludf.DUMMYFUNCTION("IF(ISBLANK(B638),"""",IF(ISDATE(B638),""X"",""""))"),"")</f>
        <v/>
      </c>
      <c r="L638" s="40" t="str">
        <f>IFERROR(__xludf.DUMMYFUNCTION("IF(ISBLANK(B638),"""",IF(Or(I638=""Em Aberto"",ISBLANK(I638),NOT(ISDATE(B638))),"""",H638))"),"")</f>
        <v/>
      </c>
      <c r="M638" s="29" t="str">
        <f>IFERROR(__xludf.DUMMYFUNCTION("IF(ISBLANK(B638),"""",IF(ISDATE(B638),TEXT(B638,""m""),""""))"),"")</f>
        <v/>
      </c>
      <c r="N638" s="29" t="str">
        <f>IFERROR(__xludf.DUMMYFUNCTION("IF(M638="""","""",QUERY({'Dashboard-Dados'!$Y$2:$AA$13},""Select Col2 Where Col1=""&amp;M638))"),"")</f>
        <v/>
      </c>
      <c r="O638" s="29" t="str">
        <f>IFERROR(__xludf.DUMMYFUNCTION("IF(ISBLANK(B638),"""",IF(ISDATE(B638),TEXT(B638,""yyyy""),""""))"),"")</f>
        <v/>
      </c>
    </row>
    <row r="639">
      <c r="B639" s="62"/>
      <c r="C639" s="56"/>
      <c r="D639" s="56"/>
      <c r="E639" s="56"/>
      <c r="F639" s="63"/>
      <c r="G639" s="64"/>
      <c r="H639" s="65"/>
      <c r="I639" s="63"/>
      <c r="K639" s="53" t="str">
        <f>IFERROR(__xludf.DUMMYFUNCTION("IF(ISBLANK(B639),"""",IF(ISDATE(B639),""X"",""""))"),"")</f>
        <v/>
      </c>
      <c r="L639" s="40" t="str">
        <f>IFERROR(__xludf.DUMMYFUNCTION("IF(ISBLANK(B639),"""",IF(Or(I639=""Em Aberto"",ISBLANK(I639),NOT(ISDATE(B639))),"""",H639))"),"")</f>
        <v/>
      </c>
      <c r="M639" s="29" t="str">
        <f>IFERROR(__xludf.DUMMYFUNCTION("IF(ISBLANK(B639),"""",IF(ISDATE(B639),TEXT(B639,""m""),""""))"),"")</f>
        <v/>
      </c>
      <c r="N639" s="29" t="str">
        <f>IFERROR(__xludf.DUMMYFUNCTION("IF(M639="""","""",QUERY({'Dashboard-Dados'!$Y$2:$AA$13},""Select Col2 Where Col1=""&amp;M639))"),"")</f>
        <v/>
      </c>
      <c r="O639" s="29" t="str">
        <f>IFERROR(__xludf.DUMMYFUNCTION("IF(ISBLANK(B639),"""",IF(ISDATE(B639),TEXT(B639,""yyyy""),""""))"),"")</f>
        <v/>
      </c>
    </row>
    <row r="640">
      <c r="B640" s="62"/>
      <c r="C640" s="56"/>
      <c r="D640" s="56"/>
      <c r="E640" s="56"/>
      <c r="F640" s="63"/>
      <c r="G640" s="64"/>
      <c r="H640" s="65"/>
      <c r="I640" s="63"/>
      <c r="K640" s="53" t="str">
        <f>IFERROR(__xludf.DUMMYFUNCTION("IF(ISBLANK(B640),"""",IF(ISDATE(B640),""X"",""""))"),"")</f>
        <v/>
      </c>
      <c r="L640" s="40" t="str">
        <f>IFERROR(__xludf.DUMMYFUNCTION("IF(ISBLANK(B640),"""",IF(Or(I640=""Em Aberto"",ISBLANK(I640),NOT(ISDATE(B640))),"""",H640))"),"")</f>
        <v/>
      </c>
      <c r="M640" s="29" t="str">
        <f>IFERROR(__xludf.DUMMYFUNCTION("IF(ISBLANK(B640),"""",IF(ISDATE(B640),TEXT(B640,""m""),""""))"),"")</f>
        <v/>
      </c>
      <c r="N640" s="29" t="str">
        <f>IFERROR(__xludf.DUMMYFUNCTION("IF(M640="""","""",QUERY({'Dashboard-Dados'!$Y$2:$AA$13},""Select Col2 Where Col1=""&amp;M640))"),"")</f>
        <v/>
      </c>
      <c r="O640" s="29" t="str">
        <f>IFERROR(__xludf.DUMMYFUNCTION("IF(ISBLANK(B640),"""",IF(ISDATE(B640),TEXT(B640,""yyyy""),""""))"),"")</f>
        <v/>
      </c>
    </row>
    <row r="641">
      <c r="B641" s="62"/>
      <c r="C641" s="56"/>
      <c r="D641" s="56"/>
      <c r="E641" s="56"/>
      <c r="F641" s="63"/>
      <c r="G641" s="64"/>
      <c r="H641" s="65"/>
      <c r="I641" s="63"/>
      <c r="K641" s="53" t="str">
        <f>IFERROR(__xludf.DUMMYFUNCTION("IF(ISBLANK(B641),"""",IF(ISDATE(B641),""X"",""""))"),"")</f>
        <v/>
      </c>
      <c r="L641" s="40" t="str">
        <f>IFERROR(__xludf.DUMMYFUNCTION("IF(ISBLANK(B641),"""",IF(Or(I641=""Em Aberto"",ISBLANK(I641),NOT(ISDATE(B641))),"""",H641))"),"")</f>
        <v/>
      </c>
      <c r="M641" s="29" t="str">
        <f>IFERROR(__xludf.DUMMYFUNCTION("IF(ISBLANK(B641),"""",IF(ISDATE(B641),TEXT(B641,""m""),""""))"),"")</f>
        <v/>
      </c>
      <c r="N641" s="29" t="str">
        <f>IFERROR(__xludf.DUMMYFUNCTION("IF(M641="""","""",QUERY({'Dashboard-Dados'!$Y$2:$AA$13},""Select Col2 Where Col1=""&amp;M641))"),"")</f>
        <v/>
      </c>
      <c r="O641" s="29" t="str">
        <f>IFERROR(__xludf.DUMMYFUNCTION("IF(ISBLANK(B641),"""",IF(ISDATE(B641),TEXT(B641,""yyyy""),""""))"),"")</f>
        <v/>
      </c>
    </row>
    <row r="642">
      <c r="B642" s="62"/>
      <c r="C642" s="56"/>
      <c r="D642" s="56"/>
      <c r="E642" s="56"/>
      <c r="F642" s="63"/>
      <c r="G642" s="64"/>
      <c r="H642" s="65"/>
      <c r="I642" s="63"/>
      <c r="K642" s="53" t="str">
        <f>IFERROR(__xludf.DUMMYFUNCTION("IF(ISBLANK(B642),"""",IF(ISDATE(B642),""X"",""""))"),"")</f>
        <v/>
      </c>
      <c r="L642" s="40" t="str">
        <f>IFERROR(__xludf.DUMMYFUNCTION("IF(ISBLANK(B642),"""",IF(Or(I642=""Em Aberto"",ISBLANK(I642),NOT(ISDATE(B642))),"""",H642))"),"")</f>
        <v/>
      </c>
      <c r="M642" s="29" t="str">
        <f>IFERROR(__xludf.DUMMYFUNCTION("IF(ISBLANK(B642),"""",IF(ISDATE(B642),TEXT(B642,""m""),""""))"),"")</f>
        <v/>
      </c>
      <c r="N642" s="29" t="str">
        <f>IFERROR(__xludf.DUMMYFUNCTION("IF(M642="""","""",QUERY({'Dashboard-Dados'!$Y$2:$AA$13},""Select Col2 Where Col1=""&amp;M642))"),"")</f>
        <v/>
      </c>
      <c r="O642" s="29" t="str">
        <f>IFERROR(__xludf.DUMMYFUNCTION("IF(ISBLANK(B642),"""",IF(ISDATE(B642),TEXT(B642,""yyyy""),""""))"),"")</f>
        <v/>
      </c>
    </row>
    <row r="643">
      <c r="B643" s="62"/>
      <c r="C643" s="56"/>
      <c r="D643" s="56"/>
      <c r="E643" s="56"/>
      <c r="F643" s="63"/>
      <c r="G643" s="64"/>
      <c r="H643" s="65"/>
      <c r="I643" s="63"/>
      <c r="K643" s="53" t="str">
        <f>IFERROR(__xludf.DUMMYFUNCTION("IF(ISBLANK(B643),"""",IF(ISDATE(B643),""X"",""""))"),"")</f>
        <v/>
      </c>
      <c r="L643" s="40" t="str">
        <f>IFERROR(__xludf.DUMMYFUNCTION("IF(ISBLANK(B643),"""",IF(Or(I643=""Em Aberto"",ISBLANK(I643),NOT(ISDATE(B643))),"""",H643))"),"")</f>
        <v/>
      </c>
      <c r="M643" s="29" t="str">
        <f>IFERROR(__xludf.DUMMYFUNCTION("IF(ISBLANK(B643),"""",IF(ISDATE(B643),TEXT(B643,""m""),""""))"),"")</f>
        <v/>
      </c>
      <c r="N643" s="29" t="str">
        <f>IFERROR(__xludf.DUMMYFUNCTION("IF(M643="""","""",QUERY({'Dashboard-Dados'!$Y$2:$AA$13},""Select Col2 Where Col1=""&amp;M643))"),"")</f>
        <v/>
      </c>
      <c r="O643" s="29" t="str">
        <f>IFERROR(__xludf.DUMMYFUNCTION("IF(ISBLANK(B643),"""",IF(ISDATE(B643),TEXT(B643,""yyyy""),""""))"),"")</f>
        <v/>
      </c>
    </row>
    <row r="644">
      <c r="B644" s="62"/>
      <c r="C644" s="56"/>
      <c r="D644" s="56"/>
      <c r="E644" s="56"/>
      <c r="F644" s="63"/>
      <c r="G644" s="64"/>
      <c r="H644" s="65"/>
      <c r="I644" s="63"/>
      <c r="K644" s="53" t="str">
        <f>IFERROR(__xludf.DUMMYFUNCTION("IF(ISBLANK(B644),"""",IF(ISDATE(B644),""X"",""""))"),"")</f>
        <v/>
      </c>
      <c r="L644" s="40" t="str">
        <f>IFERROR(__xludf.DUMMYFUNCTION("IF(ISBLANK(B644),"""",IF(Or(I644=""Em Aberto"",ISBLANK(I644),NOT(ISDATE(B644))),"""",H644))"),"")</f>
        <v/>
      </c>
      <c r="M644" s="29" t="str">
        <f>IFERROR(__xludf.DUMMYFUNCTION("IF(ISBLANK(B644),"""",IF(ISDATE(B644),TEXT(B644,""m""),""""))"),"")</f>
        <v/>
      </c>
      <c r="N644" s="29" t="str">
        <f>IFERROR(__xludf.DUMMYFUNCTION("IF(M644="""","""",QUERY({'Dashboard-Dados'!$Y$2:$AA$13},""Select Col2 Where Col1=""&amp;M644))"),"")</f>
        <v/>
      </c>
      <c r="O644" s="29" t="str">
        <f>IFERROR(__xludf.DUMMYFUNCTION("IF(ISBLANK(B644),"""",IF(ISDATE(B644),TEXT(B644,""yyyy""),""""))"),"")</f>
        <v/>
      </c>
    </row>
    <row r="645">
      <c r="B645" s="62"/>
      <c r="C645" s="56"/>
      <c r="D645" s="56"/>
      <c r="E645" s="56"/>
      <c r="F645" s="63"/>
      <c r="G645" s="64"/>
      <c r="H645" s="65"/>
      <c r="I645" s="63"/>
      <c r="K645" s="53" t="str">
        <f>IFERROR(__xludf.DUMMYFUNCTION("IF(ISBLANK(B645),"""",IF(ISDATE(B645),""X"",""""))"),"")</f>
        <v/>
      </c>
      <c r="L645" s="40" t="str">
        <f>IFERROR(__xludf.DUMMYFUNCTION("IF(ISBLANK(B645),"""",IF(Or(I645=""Em Aberto"",ISBLANK(I645),NOT(ISDATE(B645))),"""",H645))"),"")</f>
        <v/>
      </c>
      <c r="M645" s="29" t="str">
        <f>IFERROR(__xludf.DUMMYFUNCTION("IF(ISBLANK(B645),"""",IF(ISDATE(B645),TEXT(B645,""m""),""""))"),"")</f>
        <v/>
      </c>
      <c r="N645" s="29" t="str">
        <f>IFERROR(__xludf.DUMMYFUNCTION("IF(M645="""","""",QUERY({'Dashboard-Dados'!$Y$2:$AA$13},""Select Col2 Where Col1=""&amp;M645))"),"")</f>
        <v/>
      </c>
      <c r="O645" s="29" t="str">
        <f>IFERROR(__xludf.DUMMYFUNCTION("IF(ISBLANK(B645),"""",IF(ISDATE(B645),TEXT(B645,""yyyy""),""""))"),"")</f>
        <v/>
      </c>
    </row>
    <row r="646">
      <c r="B646" s="62"/>
      <c r="C646" s="56"/>
      <c r="D646" s="56"/>
      <c r="E646" s="56"/>
      <c r="F646" s="63"/>
      <c r="G646" s="64"/>
      <c r="H646" s="65"/>
      <c r="I646" s="63"/>
      <c r="K646" s="53" t="str">
        <f>IFERROR(__xludf.DUMMYFUNCTION("IF(ISBLANK(B646),"""",IF(ISDATE(B646),""X"",""""))"),"")</f>
        <v/>
      </c>
      <c r="L646" s="40" t="str">
        <f>IFERROR(__xludf.DUMMYFUNCTION("IF(ISBLANK(B646),"""",IF(Or(I646=""Em Aberto"",ISBLANK(I646),NOT(ISDATE(B646))),"""",H646))"),"")</f>
        <v/>
      </c>
      <c r="M646" s="29" t="str">
        <f>IFERROR(__xludf.DUMMYFUNCTION("IF(ISBLANK(B646),"""",IF(ISDATE(B646),TEXT(B646,""m""),""""))"),"")</f>
        <v/>
      </c>
      <c r="N646" s="29" t="str">
        <f>IFERROR(__xludf.DUMMYFUNCTION("IF(M646="""","""",QUERY({'Dashboard-Dados'!$Y$2:$AA$13},""Select Col2 Where Col1=""&amp;M646))"),"")</f>
        <v/>
      </c>
      <c r="O646" s="29" t="str">
        <f>IFERROR(__xludf.DUMMYFUNCTION("IF(ISBLANK(B646),"""",IF(ISDATE(B646),TEXT(B646,""yyyy""),""""))"),"")</f>
        <v/>
      </c>
    </row>
    <row r="647">
      <c r="B647" s="62"/>
      <c r="C647" s="56"/>
      <c r="D647" s="56"/>
      <c r="E647" s="56"/>
      <c r="F647" s="63"/>
      <c r="G647" s="64"/>
      <c r="H647" s="65"/>
      <c r="I647" s="63"/>
      <c r="K647" s="53" t="str">
        <f>IFERROR(__xludf.DUMMYFUNCTION("IF(ISBLANK(B647),"""",IF(ISDATE(B647),""X"",""""))"),"")</f>
        <v/>
      </c>
      <c r="L647" s="40" t="str">
        <f>IFERROR(__xludf.DUMMYFUNCTION("IF(ISBLANK(B647),"""",IF(Or(I647=""Em Aberto"",ISBLANK(I647),NOT(ISDATE(B647))),"""",H647))"),"")</f>
        <v/>
      </c>
      <c r="M647" s="29" t="str">
        <f>IFERROR(__xludf.DUMMYFUNCTION("IF(ISBLANK(B647),"""",IF(ISDATE(B647),TEXT(B647,""m""),""""))"),"")</f>
        <v/>
      </c>
      <c r="N647" s="29" t="str">
        <f>IFERROR(__xludf.DUMMYFUNCTION("IF(M647="""","""",QUERY({'Dashboard-Dados'!$Y$2:$AA$13},""Select Col2 Where Col1=""&amp;M647))"),"")</f>
        <v/>
      </c>
      <c r="O647" s="29" t="str">
        <f>IFERROR(__xludf.DUMMYFUNCTION("IF(ISBLANK(B647),"""",IF(ISDATE(B647),TEXT(B647,""yyyy""),""""))"),"")</f>
        <v/>
      </c>
    </row>
    <row r="648">
      <c r="B648" s="62"/>
      <c r="C648" s="56"/>
      <c r="D648" s="56"/>
      <c r="E648" s="56"/>
      <c r="F648" s="63"/>
      <c r="G648" s="64"/>
      <c r="H648" s="65"/>
      <c r="I648" s="63"/>
      <c r="K648" s="53" t="str">
        <f>IFERROR(__xludf.DUMMYFUNCTION("IF(ISBLANK(B648),"""",IF(ISDATE(B648),""X"",""""))"),"")</f>
        <v/>
      </c>
      <c r="L648" s="40" t="str">
        <f>IFERROR(__xludf.DUMMYFUNCTION("IF(ISBLANK(B648),"""",IF(Or(I648=""Em Aberto"",ISBLANK(I648),NOT(ISDATE(B648))),"""",H648))"),"")</f>
        <v/>
      </c>
      <c r="M648" s="29" t="str">
        <f>IFERROR(__xludf.DUMMYFUNCTION("IF(ISBLANK(B648),"""",IF(ISDATE(B648),TEXT(B648,""m""),""""))"),"")</f>
        <v/>
      </c>
      <c r="N648" s="29" t="str">
        <f>IFERROR(__xludf.DUMMYFUNCTION("IF(M648="""","""",QUERY({'Dashboard-Dados'!$Y$2:$AA$13},""Select Col2 Where Col1=""&amp;M648))"),"")</f>
        <v/>
      </c>
      <c r="O648" s="29" t="str">
        <f>IFERROR(__xludf.DUMMYFUNCTION("IF(ISBLANK(B648),"""",IF(ISDATE(B648),TEXT(B648,""yyyy""),""""))"),"")</f>
        <v/>
      </c>
    </row>
    <row r="649">
      <c r="B649" s="62"/>
      <c r="C649" s="56"/>
      <c r="D649" s="56"/>
      <c r="E649" s="56"/>
      <c r="F649" s="63"/>
      <c r="G649" s="64"/>
      <c r="H649" s="65"/>
      <c r="I649" s="63"/>
      <c r="K649" s="53" t="str">
        <f>IFERROR(__xludf.DUMMYFUNCTION("IF(ISBLANK(B649),"""",IF(ISDATE(B649),""X"",""""))"),"")</f>
        <v/>
      </c>
      <c r="L649" s="40" t="str">
        <f>IFERROR(__xludf.DUMMYFUNCTION("IF(ISBLANK(B649),"""",IF(Or(I649=""Em Aberto"",ISBLANK(I649),NOT(ISDATE(B649))),"""",H649))"),"")</f>
        <v/>
      </c>
      <c r="M649" s="29" t="str">
        <f>IFERROR(__xludf.DUMMYFUNCTION("IF(ISBLANK(B649),"""",IF(ISDATE(B649),TEXT(B649,""m""),""""))"),"")</f>
        <v/>
      </c>
      <c r="N649" s="29" t="str">
        <f>IFERROR(__xludf.DUMMYFUNCTION("IF(M649="""","""",QUERY({'Dashboard-Dados'!$Y$2:$AA$13},""Select Col2 Where Col1=""&amp;M649))"),"")</f>
        <v/>
      </c>
      <c r="O649" s="29" t="str">
        <f>IFERROR(__xludf.DUMMYFUNCTION("IF(ISBLANK(B649),"""",IF(ISDATE(B649),TEXT(B649,""yyyy""),""""))"),"")</f>
        <v/>
      </c>
    </row>
    <row r="650">
      <c r="B650" s="62"/>
      <c r="C650" s="56"/>
      <c r="D650" s="56"/>
      <c r="E650" s="56"/>
      <c r="F650" s="63"/>
      <c r="G650" s="64"/>
      <c r="H650" s="65"/>
      <c r="I650" s="63"/>
      <c r="K650" s="53" t="str">
        <f>IFERROR(__xludf.DUMMYFUNCTION("IF(ISBLANK(B650),"""",IF(ISDATE(B650),""X"",""""))"),"")</f>
        <v/>
      </c>
      <c r="L650" s="40" t="str">
        <f>IFERROR(__xludf.DUMMYFUNCTION("IF(ISBLANK(B650),"""",IF(Or(I650=""Em Aberto"",ISBLANK(I650),NOT(ISDATE(B650))),"""",H650))"),"")</f>
        <v/>
      </c>
      <c r="M650" s="29" t="str">
        <f>IFERROR(__xludf.DUMMYFUNCTION("IF(ISBLANK(B650),"""",IF(ISDATE(B650),TEXT(B650,""m""),""""))"),"")</f>
        <v/>
      </c>
      <c r="N650" s="29" t="str">
        <f>IFERROR(__xludf.DUMMYFUNCTION("IF(M650="""","""",QUERY({'Dashboard-Dados'!$Y$2:$AA$13},""Select Col2 Where Col1=""&amp;M650))"),"")</f>
        <v/>
      </c>
      <c r="O650" s="29" t="str">
        <f>IFERROR(__xludf.DUMMYFUNCTION("IF(ISBLANK(B650),"""",IF(ISDATE(B650),TEXT(B650,""yyyy""),""""))"),"")</f>
        <v/>
      </c>
    </row>
    <row r="651">
      <c r="B651" s="62"/>
      <c r="C651" s="56"/>
      <c r="D651" s="56"/>
      <c r="E651" s="56"/>
      <c r="F651" s="63"/>
      <c r="G651" s="64"/>
      <c r="H651" s="65"/>
      <c r="I651" s="63"/>
      <c r="K651" s="53" t="str">
        <f>IFERROR(__xludf.DUMMYFUNCTION("IF(ISBLANK(B651),"""",IF(ISDATE(B651),""X"",""""))"),"")</f>
        <v/>
      </c>
      <c r="L651" s="40" t="str">
        <f>IFERROR(__xludf.DUMMYFUNCTION("IF(ISBLANK(B651),"""",IF(Or(I651=""Em Aberto"",ISBLANK(I651),NOT(ISDATE(B651))),"""",H651))"),"")</f>
        <v/>
      </c>
      <c r="M651" s="29" t="str">
        <f>IFERROR(__xludf.DUMMYFUNCTION("IF(ISBLANK(B651),"""",IF(ISDATE(B651),TEXT(B651,""m""),""""))"),"")</f>
        <v/>
      </c>
      <c r="N651" s="29" t="str">
        <f>IFERROR(__xludf.DUMMYFUNCTION("IF(M651="""","""",QUERY({'Dashboard-Dados'!$Y$2:$AA$13},""Select Col2 Where Col1=""&amp;M651))"),"")</f>
        <v/>
      </c>
      <c r="O651" s="29" t="str">
        <f>IFERROR(__xludf.DUMMYFUNCTION("IF(ISBLANK(B651),"""",IF(ISDATE(B651),TEXT(B651,""yyyy""),""""))"),"")</f>
        <v/>
      </c>
    </row>
    <row r="652">
      <c r="B652" s="62"/>
      <c r="C652" s="56"/>
      <c r="D652" s="56"/>
      <c r="E652" s="56"/>
      <c r="F652" s="63"/>
      <c r="G652" s="64"/>
      <c r="H652" s="65"/>
      <c r="I652" s="63"/>
      <c r="K652" s="53" t="str">
        <f>IFERROR(__xludf.DUMMYFUNCTION("IF(ISBLANK(B652),"""",IF(ISDATE(B652),""X"",""""))"),"")</f>
        <v/>
      </c>
      <c r="L652" s="40" t="str">
        <f>IFERROR(__xludf.DUMMYFUNCTION("IF(ISBLANK(B652),"""",IF(Or(I652=""Em Aberto"",ISBLANK(I652),NOT(ISDATE(B652))),"""",H652))"),"")</f>
        <v/>
      </c>
      <c r="M652" s="29" t="str">
        <f>IFERROR(__xludf.DUMMYFUNCTION("IF(ISBLANK(B652),"""",IF(ISDATE(B652),TEXT(B652,""m""),""""))"),"")</f>
        <v/>
      </c>
      <c r="N652" s="29" t="str">
        <f>IFERROR(__xludf.DUMMYFUNCTION("IF(M652="""","""",QUERY({'Dashboard-Dados'!$Y$2:$AA$13},""Select Col2 Where Col1=""&amp;M652))"),"")</f>
        <v/>
      </c>
      <c r="O652" s="29" t="str">
        <f>IFERROR(__xludf.DUMMYFUNCTION("IF(ISBLANK(B652),"""",IF(ISDATE(B652),TEXT(B652,""yyyy""),""""))"),"")</f>
        <v/>
      </c>
    </row>
    <row r="653">
      <c r="B653" s="62"/>
      <c r="C653" s="56"/>
      <c r="D653" s="56"/>
      <c r="E653" s="56"/>
      <c r="F653" s="63"/>
      <c r="G653" s="64"/>
      <c r="H653" s="65"/>
      <c r="I653" s="63"/>
      <c r="K653" s="53" t="str">
        <f>IFERROR(__xludf.DUMMYFUNCTION("IF(ISBLANK(B653),"""",IF(ISDATE(B653),""X"",""""))"),"")</f>
        <v/>
      </c>
      <c r="L653" s="40" t="str">
        <f>IFERROR(__xludf.DUMMYFUNCTION("IF(ISBLANK(B653),"""",IF(Or(I653=""Em Aberto"",ISBLANK(I653),NOT(ISDATE(B653))),"""",H653))"),"")</f>
        <v/>
      </c>
      <c r="M653" s="29" t="str">
        <f>IFERROR(__xludf.DUMMYFUNCTION("IF(ISBLANK(B653),"""",IF(ISDATE(B653),TEXT(B653,""m""),""""))"),"")</f>
        <v/>
      </c>
      <c r="N653" s="29" t="str">
        <f>IFERROR(__xludf.DUMMYFUNCTION("IF(M653="""","""",QUERY({'Dashboard-Dados'!$Y$2:$AA$13},""Select Col2 Where Col1=""&amp;M653))"),"")</f>
        <v/>
      </c>
      <c r="O653" s="29" t="str">
        <f>IFERROR(__xludf.DUMMYFUNCTION("IF(ISBLANK(B653),"""",IF(ISDATE(B653),TEXT(B653,""yyyy""),""""))"),"")</f>
        <v/>
      </c>
    </row>
    <row r="654">
      <c r="B654" s="62"/>
      <c r="C654" s="56"/>
      <c r="D654" s="56"/>
      <c r="E654" s="56"/>
      <c r="F654" s="63"/>
      <c r="G654" s="64"/>
      <c r="H654" s="65"/>
      <c r="I654" s="63"/>
      <c r="K654" s="53" t="str">
        <f>IFERROR(__xludf.DUMMYFUNCTION("IF(ISBLANK(B654),"""",IF(ISDATE(B654),""X"",""""))"),"")</f>
        <v/>
      </c>
      <c r="L654" s="40" t="str">
        <f>IFERROR(__xludf.DUMMYFUNCTION("IF(ISBLANK(B654),"""",IF(Or(I654=""Em Aberto"",ISBLANK(I654),NOT(ISDATE(B654))),"""",H654))"),"")</f>
        <v/>
      </c>
      <c r="M654" s="29" t="str">
        <f>IFERROR(__xludf.DUMMYFUNCTION("IF(ISBLANK(B654),"""",IF(ISDATE(B654),TEXT(B654,""m""),""""))"),"")</f>
        <v/>
      </c>
      <c r="N654" s="29" t="str">
        <f>IFERROR(__xludf.DUMMYFUNCTION("IF(M654="""","""",QUERY({'Dashboard-Dados'!$Y$2:$AA$13},""Select Col2 Where Col1=""&amp;M654))"),"")</f>
        <v/>
      </c>
      <c r="O654" s="29" t="str">
        <f>IFERROR(__xludf.DUMMYFUNCTION("IF(ISBLANK(B654),"""",IF(ISDATE(B654),TEXT(B654,""yyyy""),""""))"),"")</f>
        <v/>
      </c>
    </row>
    <row r="655">
      <c r="B655" s="62"/>
      <c r="C655" s="56"/>
      <c r="D655" s="56"/>
      <c r="E655" s="56"/>
      <c r="F655" s="63"/>
      <c r="G655" s="64"/>
      <c r="H655" s="65"/>
      <c r="I655" s="63"/>
      <c r="K655" s="53" t="str">
        <f>IFERROR(__xludf.DUMMYFUNCTION("IF(ISBLANK(B655),"""",IF(ISDATE(B655),""X"",""""))"),"")</f>
        <v/>
      </c>
      <c r="L655" s="40" t="str">
        <f>IFERROR(__xludf.DUMMYFUNCTION("IF(ISBLANK(B655),"""",IF(Or(I655=""Em Aberto"",ISBLANK(I655),NOT(ISDATE(B655))),"""",H655))"),"")</f>
        <v/>
      </c>
      <c r="M655" s="29" t="str">
        <f>IFERROR(__xludf.DUMMYFUNCTION("IF(ISBLANK(B655),"""",IF(ISDATE(B655),TEXT(B655,""m""),""""))"),"")</f>
        <v/>
      </c>
      <c r="N655" s="29" t="str">
        <f>IFERROR(__xludf.DUMMYFUNCTION("IF(M655="""","""",QUERY({'Dashboard-Dados'!$Y$2:$AA$13},""Select Col2 Where Col1=""&amp;M655))"),"")</f>
        <v/>
      </c>
      <c r="O655" s="29" t="str">
        <f>IFERROR(__xludf.DUMMYFUNCTION("IF(ISBLANK(B655),"""",IF(ISDATE(B655),TEXT(B655,""yyyy""),""""))"),"")</f>
        <v/>
      </c>
    </row>
    <row r="656">
      <c r="B656" s="62"/>
      <c r="C656" s="56"/>
      <c r="D656" s="56"/>
      <c r="E656" s="56"/>
      <c r="F656" s="63"/>
      <c r="G656" s="64"/>
      <c r="H656" s="65"/>
      <c r="I656" s="63"/>
      <c r="K656" s="53" t="str">
        <f>IFERROR(__xludf.DUMMYFUNCTION("IF(ISBLANK(B656),"""",IF(ISDATE(B656),""X"",""""))"),"")</f>
        <v/>
      </c>
      <c r="L656" s="40" t="str">
        <f>IFERROR(__xludf.DUMMYFUNCTION("IF(ISBLANK(B656),"""",IF(Or(I656=""Em Aberto"",ISBLANK(I656),NOT(ISDATE(B656))),"""",H656))"),"")</f>
        <v/>
      </c>
      <c r="M656" s="29" t="str">
        <f>IFERROR(__xludf.DUMMYFUNCTION("IF(ISBLANK(B656),"""",IF(ISDATE(B656),TEXT(B656,""m""),""""))"),"")</f>
        <v/>
      </c>
      <c r="N656" s="29" t="str">
        <f>IFERROR(__xludf.DUMMYFUNCTION("IF(M656="""","""",QUERY({'Dashboard-Dados'!$Y$2:$AA$13},""Select Col2 Where Col1=""&amp;M656))"),"")</f>
        <v/>
      </c>
      <c r="O656" s="29" t="str">
        <f>IFERROR(__xludf.DUMMYFUNCTION("IF(ISBLANK(B656),"""",IF(ISDATE(B656),TEXT(B656,""yyyy""),""""))"),"")</f>
        <v/>
      </c>
    </row>
    <row r="657">
      <c r="B657" s="62"/>
      <c r="C657" s="56"/>
      <c r="D657" s="56"/>
      <c r="E657" s="56"/>
      <c r="F657" s="63"/>
      <c r="G657" s="64"/>
      <c r="H657" s="65"/>
      <c r="I657" s="63"/>
      <c r="K657" s="53" t="str">
        <f>IFERROR(__xludf.DUMMYFUNCTION("IF(ISBLANK(B657),"""",IF(ISDATE(B657),""X"",""""))"),"")</f>
        <v/>
      </c>
      <c r="L657" s="40" t="str">
        <f>IFERROR(__xludf.DUMMYFUNCTION("IF(ISBLANK(B657),"""",IF(Or(I657=""Em Aberto"",ISBLANK(I657),NOT(ISDATE(B657))),"""",H657))"),"")</f>
        <v/>
      </c>
      <c r="M657" s="29" t="str">
        <f>IFERROR(__xludf.DUMMYFUNCTION("IF(ISBLANK(B657),"""",IF(ISDATE(B657),TEXT(B657,""m""),""""))"),"")</f>
        <v/>
      </c>
      <c r="N657" s="29" t="str">
        <f>IFERROR(__xludf.DUMMYFUNCTION("IF(M657="""","""",QUERY({'Dashboard-Dados'!$Y$2:$AA$13},""Select Col2 Where Col1=""&amp;M657))"),"")</f>
        <v/>
      </c>
      <c r="O657" s="29" t="str">
        <f>IFERROR(__xludf.DUMMYFUNCTION("IF(ISBLANK(B657),"""",IF(ISDATE(B657),TEXT(B657,""yyyy""),""""))"),"")</f>
        <v/>
      </c>
    </row>
    <row r="658">
      <c r="B658" s="62"/>
      <c r="C658" s="56"/>
      <c r="D658" s="56"/>
      <c r="E658" s="56"/>
      <c r="F658" s="63"/>
      <c r="G658" s="64"/>
      <c r="H658" s="65"/>
      <c r="I658" s="63"/>
      <c r="K658" s="53" t="str">
        <f>IFERROR(__xludf.DUMMYFUNCTION("IF(ISBLANK(B658),"""",IF(ISDATE(B658),""X"",""""))"),"")</f>
        <v/>
      </c>
      <c r="L658" s="40" t="str">
        <f>IFERROR(__xludf.DUMMYFUNCTION("IF(ISBLANK(B658),"""",IF(Or(I658=""Em Aberto"",ISBLANK(I658),NOT(ISDATE(B658))),"""",H658))"),"")</f>
        <v/>
      </c>
      <c r="M658" s="29" t="str">
        <f>IFERROR(__xludf.DUMMYFUNCTION("IF(ISBLANK(B658),"""",IF(ISDATE(B658),TEXT(B658,""m""),""""))"),"")</f>
        <v/>
      </c>
      <c r="N658" s="29" t="str">
        <f>IFERROR(__xludf.DUMMYFUNCTION("IF(M658="""","""",QUERY({'Dashboard-Dados'!$Y$2:$AA$13},""Select Col2 Where Col1=""&amp;M658))"),"")</f>
        <v/>
      </c>
      <c r="O658" s="29" t="str">
        <f>IFERROR(__xludf.DUMMYFUNCTION("IF(ISBLANK(B658),"""",IF(ISDATE(B658),TEXT(B658,""yyyy""),""""))"),"")</f>
        <v/>
      </c>
    </row>
    <row r="659">
      <c r="B659" s="62"/>
      <c r="C659" s="56"/>
      <c r="D659" s="56"/>
      <c r="E659" s="56"/>
      <c r="F659" s="63"/>
      <c r="G659" s="64"/>
      <c r="H659" s="65"/>
      <c r="I659" s="63"/>
      <c r="K659" s="53" t="str">
        <f>IFERROR(__xludf.DUMMYFUNCTION("IF(ISBLANK(B659),"""",IF(ISDATE(B659),""X"",""""))"),"")</f>
        <v/>
      </c>
      <c r="L659" s="40" t="str">
        <f>IFERROR(__xludf.DUMMYFUNCTION("IF(ISBLANK(B659),"""",IF(Or(I659=""Em Aberto"",ISBLANK(I659),NOT(ISDATE(B659))),"""",H659))"),"")</f>
        <v/>
      </c>
      <c r="M659" s="29" t="str">
        <f>IFERROR(__xludf.DUMMYFUNCTION("IF(ISBLANK(B659),"""",IF(ISDATE(B659),TEXT(B659,""m""),""""))"),"")</f>
        <v/>
      </c>
      <c r="N659" s="29" t="str">
        <f>IFERROR(__xludf.DUMMYFUNCTION("IF(M659="""","""",QUERY({'Dashboard-Dados'!$Y$2:$AA$13},""Select Col2 Where Col1=""&amp;M659))"),"")</f>
        <v/>
      </c>
      <c r="O659" s="29" t="str">
        <f>IFERROR(__xludf.DUMMYFUNCTION("IF(ISBLANK(B659),"""",IF(ISDATE(B659),TEXT(B659,""yyyy""),""""))"),"")</f>
        <v/>
      </c>
    </row>
    <row r="660">
      <c r="B660" s="62"/>
      <c r="C660" s="56"/>
      <c r="D660" s="56"/>
      <c r="E660" s="56"/>
      <c r="F660" s="63"/>
      <c r="G660" s="64"/>
      <c r="H660" s="65"/>
      <c r="I660" s="63"/>
      <c r="K660" s="53" t="str">
        <f>IFERROR(__xludf.DUMMYFUNCTION("IF(ISBLANK(B660),"""",IF(ISDATE(B660),""X"",""""))"),"")</f>
        <v/>
      </c>
      <c r="L660" s="40" t="str">
        <f>IFERROR(__xludf.DUMMYFUNCTION("IF(ISBLANK(B660),"""",IF(Or(I660=""Em Aberto"",ISBLANK(I660),NOT(ISDATE(B660))),"""",H660))"),"")</f>
        <v/>
      </c>
      <c r="M660" s="29" t="str">
        <f>IFERROR(__xludf.DUMMYFUNCTION("IF(ISBLANK(B660),"""",IF(ISDATE(B660),TEXT(B660,""m""),""""))"),"")</f>
        <v/>
      </c>
      <c r="N660" s="29" t="str">
        <f>IFERROR(__xludf.DUMMYFUNCTION("IF(M660="""","""",QUERY({'Dashboard-Dados'!$Y$2:$AA$13},""Select Col2 Where Col1=""&amp;M660))"),"")</f>
        <v/>
      </c>
      <c r="O660" s="29" t="str">
        <f>IFERROR(__xludf.DUMMYFUNCTION("IF(ISBLANK(B660),"""",IF(ISDATE(B660),TEXT(B660,""yyyy""),""""))"),"")</f>
        <v/>
      </c>
    </row>
    <row r="661">
      <c r="B661" s="62"/>
      <c r="C661" s="56"/>
      <c r="D661" s="56"/>
      <c r="E661" s="56"/>
      <c r="F661" s="63"/>
      <c r="G661" s="64"/>
      <c r="H661" s="65"/>
      <c r="I661" s="63"/>
      <c r="K661" s="53" t="str">
        <f>IFERROR(__xludf.DUMMYFUNCTION("IF(ISBLANK(B661),"""",IF(ISDATE(B661),""X"",""""))"),"")</f>
        <v/>
      </c>
      <c r="L661" s="40" t="str">
        <f>IFERROR(__xludf.DUMMYFUNCTION("IF(ISBLANK(B661),"""",IF(Or(I661=""Em Aberto"",ISBLANK(I661),NOT(ISDATE(B661))),"""",H661))"),"")</f>
        <v/>
      </c>
      <c r="M661" s="29" t="str">
        <f>IFERROR(__xludf.DUMMYFUNCTION("IF(ISBLANK(B661),"""",IF(ISDATE(B661),TEXT(B661,""m""),""""))"),"")</f>
        <v/>
      </c>
      <c r="N661" s="29" t="str">
        <f>IFERROR(__xludf.DUMMYFUNCTION("IF(M661="""","""",QUERY({'Dashboard-Dados'!$Y$2:$AA$13},""Select Col2 Where Col1=""&amp;M661))"),"")</f>
        <v/>
      </c>
      <c r="O661" s="29" t="str">
        <f>IFERROR(__xludf.DUMMYFUNCTION("IF(ISBLANK(B661),"""",IF(ISDATE(B661),TEXT(B661,""yyyy""),""""))"),"")</f>
        <v/>
      </c>
    </row>
    <row r="662">
      <c r="B662" s="62"/>
      <c r="C662" s="56"/>
      <c r="D662" s="56"/>
      <c r="E662" s="56"/>
      <c r="F662" s="63"/>
      <c r="G662" s="64"/>
      <c r="H662" s="65"/>
      <c r="I662" s="63"/>
      <c r="K662" s="53" t="str">
        <f>IFERROR(__xludf.DUMMYFUNCTION("IF(ISBLANK(B662),"""",IF(ISDATE(B662),""X"",""""))"),"")</f>
        <v/>
      </c>
      <c r="L662" s="40" t="str">
        <f>IFERROR(__xludf.DUMMYFUNCTION("IF(ISBLANK(B662),"""",IF(Or(I662=""Em Aberto"",ISBLANK(I662),NOT(ISDATE(B662))),"""",H662))"),"")</f>
        <v/>
      </c>
      <c r="M662" s="29" t="str">
        <f>IFERROR(__xludf.DUMMYFUNCTION("IF(ISBLANK(B662),"""",IF(ISDATE(B662),TEXT(B662,""m""),""""))"),"")</f>
        <v/>
      </c>
      <c r="N662" s="29" t="str">
        <f>IFERROR(__xludf.DUMMYFUNCTION("IF(M662="""","""",QUERY({'Dashboard-Dados'!$Y$2:$AA$13},""Select Col2 Where Col1=""&amp;M662))"),"")</f>
        <v/>
      </c>
      <c r="O662" s="29" t="str">
        <f>IFERROR(__xludf.DUMMYFUNCTION("IF(ISBLANK(B662),"""",IF(ISDATE(B662),TEXT(B662,""yyyy""),""""))"),"")</f>
        <v/>
      </c>
    </row>
    <row r="663">
      <c r="B663" s="62"/>
      <c r="C663" s="56"/>
      <c r="D663" s="56"/>
      <c r="E663" s="56"/>
      <c r="F663" s="63"/>
      <c r="G663" s="64"/>
      <c r="H663" s="65"/>
      <c r="I663" s="63"/>
      <c r="K663" s="53" t="str">
        <f>IFERROR(__xludf.DUMMYFUNCTION("IF(ISBLANK(B663),"""",IF(ISDATE(B663),""X"",""""))"),"")</f>
        <v/>
      </c>
      <c r="L663" s="40" t="str">
        <f>IFERROR(__xludf.DUMMYFUNCTION("IF(ISBLANK(B663),"""",IF(Or(I663=""Em Aberto"",ISBLANK(I663),NOT(ISDATE(B663))),"""",H663))"),"")</f>
        <v/>
      </c>
      <c r="M663" s="29" t="str">
        <f>IFERROR(__xludf.DUMMYFUNCTION("IF(ISBLANK(B663),"""",IF(ISDATE(B663),TEXT(B663,""m""),""""))"),"")</f>
        <v/>
      </c>
      <c r="N663" s="29" t="str">
        <f>IFERROR(__xludf.DUMMYFUNCTION("IF(M663="""","""",QUERY({'Dashboard-Dados'!$Y$2:$AA$13},""Select Col2 Where Col1=""&amp;M663))"),"")</f>
        <v/>
      </c>
      <c r="O663" s="29" t="str">
        <f>IFERROR(__xludf.DUMMYFUNCTION("IF(ISBLANK(B663),"""",IF(ISDATE(B663),TEXT(B663,""yyyy""),""""))"),"")</f>
        <v/>
      </c>
    </row>
    <row r="664">
      <c r="B664" s="62"/>
      <c r="C664" s="56"/>
      <c r="D664" s="56"/>
      <c r="E664" s="56"/>
      <c r="F664" s="63"/>
      <c r="G664" s="64"/>
      <c r="H664" s="65"/>
      <c r="I664" s="63"/>
      <c r="K664" s="53" t="str">
        <f>IFERROR(__xludf.DUMMYFUNCTION("IF(ISBLANK(B664),"""",IF(ISDATE(B664),""X"",""""))"),"")</f>
        <v/>
      </c>
      <c r="L664" s="40" t="str">
        <f>IFERROR(__xludf.DUMMYFUNCTION("IF(ISBLANK(B664),"""",IF(Or(I664=""Em Aberto"",ISBLANK(I664),NOT(ISDATE(B664))),"""",H664))"),"")</f>
        <v/>
      </c>
      <c r="M664" s="29" t="str">
        <f>IFERROR(__xludf.DUMMYFUNCTION("IF(ISBLANK(B664),"""",IF(ISDATE(B664),TEXT(B664,""m""),""""))"),"")</f>
        <v/>
      </c>
      <c r="N664" s="29" t="str">
        <f>IFERROR(__xludf.DUMMYFUNCTION("IF(M664="""","""",QUERY({'Dashboard-Dados'!$Y$2:$AA$13},""Select Col2 Where Col1=""&amp;M664))"),"")</f>
        <v/>
      </c>
      <c r="O664" s="29" t="str">
        <f>IFERROR(__xludf.DUMMYFUNCTION("IF(ISBLANK(B664),"""",IF(ISDATE(B664),TEXT(B664,""yyyy""),""""))"),"")</f>
        <v/>
      </c>
    </row>
    <row r="665">
      <c r="B665" s="62"/>
      <c r="C665" s="56"/>
      <c r="D665" s="56"/>
      <c r="E665" s="56"/>
      <c r="F665" s="63"/>
      <c r="G665" s="64"/>
      <c r="H665" s="65"/>
      <c r="I665" s="63"/>
      <c r="K665" s="53" t="str">
        <f>IFERROR(__xludf.DUMMYFUNCTION("IF(ISBLANK(B665),"""",IF(ISDATE(B665),""X"",""""))"),"")</f>
        <v/>
      </c>
      <c r="L665" s="40" t="str">
        <f>IFERROR(__xludf.DUMMYFUNCTION("IF(ISBLANK(B665),"""",IF(Or(I665=""Em Aberto"",ISBLANK(I665),NOT(ISDATE(B665))),"""",H665))"),"")</f>
        <v/>
      </c>
      <c r="M665" s="29" t="str">
        <f>IFERROR(__xludf.DUMMYFUNCTION("IF(ISBLANK(B665),"""",IF(ISDATE(B665),TEXT(B665,""m""),""""))"),"")</f>
        <v/>
      </c>
      <c r="N665" s="29" t="str">
        <f>IFERROR(__xludf.DUMMYFUNCTION("IF(M665="""","""",QUERY({'Dashboard-Dados'!$Y$2:$AA$13},""Select Col2 Where Col1=""&amp;M665))"),"")</f>
        <v/>
      </c>
      <c r="O665" s="29" t="str">
        <f>IFERROR(__xludf.DUMMYFUNCTION("IF(ISBLANK(B665),"""",IF(ISDATE(B665),TEXT(B665,""yyyy""),""""))"),"")</f>
        <v/>
      </c>
    </row>
    <row r="666">
      <c r="B666" s="62"/>
      <c r="C666" s="56"/>
      <c r="D666" s="56"/>
      <c r="E666" s="56"/>
      <c r="F666" s="63"/>
      <c r="G666" s="64"/>
      <c r="H666" s="65"/>
      <c r="I666" s="63"/>
      <c r="K666" s="53" t="str">
        <f>IFERROR(__xludf.DUMMYFUNCTION("IF(ISBLANK(B666),"""",IF(ISDATE(B666),""X"",""""))"),"")</f>
        <v/>
      </c>
      <c r="L666" s="40" t="str">
        <f>IFERROR(__xludf.DUMMYFUNCTION("IF(ISBLANK(B666),"""",IF(Or(I666=""Em Aberto"",ISBLANK(I666),NOT(ISDATE(B666))),"""",H666))"),"")</f>
        <v/>
      </c>
      <c r="M666" s="29" t="str">
        <f>IFERROR(__xludf.DUMMYFUNCTION("IF(ISBLANK(B666),"""",IF(ISDATE(B666),TEXT(B666,""m""),""""))"),"")</f>
        <v/>
      </c>
      <c r="N666" s="29" t="str">
        <f>IFERROR(__xludf.DUMMYFUNCTION("IF(M666="""","""",QUERY({'Dashboard-Dados'!$Y$2:$AA$13},""Select Col2 Where Col1=""&amp;M666))"),"")</f>
        <v/>
      </c>
      <c r="O666" s="29" t="str">
        <f>IFERROR(__xludf.DUMMYFUNCTION("IF(ISBLANK(B666),"""",IF(ISDATE(B666),TEXT(B666,""yyyy""),""""))"),"")</f>
        <v/>
      </c>
    </row>
    <row r="667">
      <c r="B667" s="62"/>
      <c r="C667" s="56"/>
      <c r="D667" s="56"/>
      <c r="E667" s="56"/>
      <c r="F667" s="63"/>
      <c r="G667" s="64"/>
      <c r="H667" s="65"/>
      <c r="I667" s="63"/>
      <c r="K667" s="53" t="str">
        <f>IFERROR(__xludf.DUMMYFUNCTION("IF(ISBLANK(B667),"""",IF(ISDATE(B667),""X"",""""))"),"")</f>
        <v/>
      </c>
      <c r="L667" s="40" t="str">
        <f>IFERROR(__xludf.DUMMYFUNCTION("IF(ISBLANK(B667),"""",IF(Or(I667=""Em Aberto"",ISBLANK(I667),NOT(ISDATE(B667))),"""",H667))"),"")</f>
        <v/>
      </c>
      <c r="M667" s="29" t="str">
        <f>IFERROR(__xludf.DUMMYFUNCTION("IF(ISBLANK(B667),"""",IF(ISDATE(B667),TEXT(B667,""m""),""""))"),"")</f>
        <v/>
      </c>
      <c r="N667" s="29" t="str">
        <f>IFERROR(__xludf.DUMMYFUNCTION("IF(M667="""","""",QUERY({'Dashboard-Dados'!$Y$2:$AA$13},""Select Col2 Where Col1=""&amp;M667))"),"")</f>
        <v/>
      </c>
      <c r="O667" s="29" t="str">
        <f>IFERROR(__xludf.DUMMYFUNCTION("IF(ISBLANK(B667),"""",IF(ISDATE(B667),TEXT(B667,""yyyy""),""""))"),"")</f>
        <v/>
      </c>
    </row>
    <row r="668">
      <c r="B668" s="62"/>
      <c r="C668" s="56"/>
      <c r="D668" s="56"/>
      <c r="E668" s="56"/>
      <c r="F668" s="63"/>
      <c r="G668" s="64"/>
      <c r="H668" s="65"/>
      <c r="I668" s="63"/>
      <c r="K668" s="53" t="str">
        <f>IFERROR(__xludf.DUMMYFUNCTION("IF(ISBLANK(B668),"""",IF(ISDATE(B668),""X"",""""))"),"")</f>
        <v/>
      </c>
      <c r="L668" s="40" t="str">
        <f>IFERROR(__xludf.DUMMYFUNCTION("IF(ISBLANK(B668),"""",IF(Or(I668=""Em Aberto"",ISBLANK(I668),NOT(ISDATE(B668))),"""",H668))"),"")</f>
        <v/>
      </c>
      <c r="M668" s="29" t="str">
        <f>IFERROR(__xludf.DUMMYFUNCTION("IF(ISBLANK(B668),"""",IF(ISDATE(B668),TEXT(B668,""m""),""""))"),"")</f>
        <v/>
      </c>
      <c r="N668" s="29" t="str">
        <f>IFERROR(__xludf.DUMMYFUNCTION("IF(M668="""","""",QUERY({'Dashboard-Dados'!$Y$2:$AA$13},""Select Col2 Where Col1=""&amp;M668))"),"")</f>
        <v/>
      </c>
      <c r="O668" s="29" t="str">
        <f>IFERROR(__xludf.DUMMYFUNCTION("IF(ISBLANK(B668),"""",IF(ISDATE(B668),TEXT(B668,""yyyy""),""""))"),"")</f>
        <v/>
      </c>
    </row>
    <row r="669">
      <c r="B669" s="62"/>
      <c r="C669" s="56"/>
      <c r="D669" s="56"/>
      <c r="E669" s="56"/>
      <c r="F669" s="63"/>
      <c r="G669" s="64"/>
      <c r="H669" s="65"/>
      <c r="I669" s="63"/>
      <c r="K669" s="53" t="str">
        <f>IFERROR(__xludf.DUMMYFUNCTION("IF(ISBLANK(B669),"""",IF(ISDATE(B669),""X"",""""))"),"")</f>
        <v/>
      </c>
      <c r="L669" s="40" t="str">
        <f>IFERROR(__xludf.DUMMYFUNCTION("IF(ISBLANK(B669),"""",IF(Or(I669=""Em Aberto"",ISBLANK(I669),NOT(ISDATE(B669))),"""",H669))"),"")</f>
        <v/>
      </c>
      <c r="M669" s="29" t="str">
        <f>IFERROR(__xludf.DUMMYFUNCTION("IF(ISBLANK(B669),"""",IF(ISDATE(B669),TEXT(B669,""m""),""""))"),"")</f>
        <v/>
      </c>
      <c r="N669" s="29" t="str">
        <f>IFERROR(__xludf.DUMMYFUNCTION("IF(M669="""","""",QUERY({'Dashboard-Dados'!$Y$2:$AA$13},""Select Col2 Where Col1=""&amp;M669))"),"")</f>
        <v/>
      </c>
      <c r="O669" s="29" t="str">
        <f>IFERROR(__xludf.DUMMYFUNCTION("IF(ISBLANK(B669),"""",IF(ISDATE(B669),TEXT(B669,""yyyy""),""""))"),"")</f>
        <v/>
      </c>
    </row>
    <row r="670">
      <c r="B670" s="62"/>
      <c r="C670" s="56"/>
      <c r="D670" s="56"/>
      <c r="E670" s="56"/>
      <c r="F670" s="63"/>
      <c r="G670" s="64"/>
      <c r="H670" s="65"/>
      <c r="I670" s="63"/>
      <c r="K670" s="53" t="str">
        <f>IFERROR(__xludf.DUMMYFUNCTION("IF(ISBLANK(B670),"""",IF(ISDATE(B670),""X"",""""))"),"")</f>
        <v/>
      </c>
      <c r="L670" s="40" t="str">
        <f>IFERROR(__xludf.DUMMYFUNCTION("IF(ISBLANK(B670),"""",IF(Or(I670=""Em Aberto"",ISBLANK(I670),NOT(ISDATE(B670))),"""",H670))"),"")</f>
        <v/>
      </c>
      <c r="M670" s="29" t="str">
        <f>IFERROR(__xludf.DUMMYFUNCTION("IF(ISBLANK(B670),"""",IF(ISDATE(B670),TEXT(B670,""m""),""""))"),"")</f>
        <v/>
      </c>
      <c r="N670" s="29" t="str">
        <f>IFERROR(__xludf.DUMMYFUNCTION("IF(M670="""","""",QUERY({'Dashboard-Dados'!$Y$2:$AA$13},""Select Col2 Where Col1=""&amp;M670))"),"")</f>
        <v/>
      </c>
      <c r="O670" s="29" t="str">
        <f>IFERROR(__xludf.DUMMYFUNCTION("IF(ISBLANK(B670),"""",IF(ISDATE(B670),TEXT(B670,""yyyy""),""""))"),"")</f>
        <v/>
      </c>
    </row>
    <row r="671">
      <c r="B671" s="62"/>
      <c r="C671" s="56"/>
      <c r="D671" s="56"/>
      <c r="E671" s="56"/>
      <c r="F671" s="63"/>
      <c r="G671" s="64"/>
      <c r="H671" s="65"/>
      <c r="I671" s="63"/>
      <c r="K671" s="53" t="str">
        <f>IFERROR(__xludf.DUMMYFUNCTION("IF(ISBLANK(B671),"""",IF(ISDATE(B671),""X"",""""))"),"")</f>
        <v/>
      </c>
      <c r="L671" s="40" t="str">
        <f>IFERROR(__xludf.DUMMYFUNCTION("IF(ISBLANK(B671),"""",IF(Or(I671=""Em Aberto"",ISBLANK(I671),NOT(ISDATE(B671))),"""",H671))"),"")</f>
        <v/>
      </c>
      <c r="M671" s="29" t="str">
        <f>IFERROR(__xludf.DUMMYFUNCTION("IF(ISBLANK(B671),"""",IF(ISDATE(B671),TEXT(B671,""m""),""""))"),"")</f>
        <v/>
      </c>
      <c r="N671" s="29" t="str">
        <f>IFERROR(__xludf.DUMMYFUNCTION("IF(M671="""","""",QUERY({'Dashboard-Dados'!$Y$2:$AA$13},""Select Col2 Where Col1=""&amp;M671))"),"")</f>
        <v/>
      </c>
      <c r="O671" s="29" t="str">
        <f>IFERROR(__xludf.DUMMYFUNCTION("IF(ISBLANK(B671),"""",IF(ISDATE(B671),TEXT(B671,""yyyy""),""""))"),"")</f>
        <v/>
      </c>
    </row>
    <row r="672">
      <c r="B672" s="62"/>
      <c r="C672" s="56"/>
      <c r="D672" s="56"/>
      <c r="E672" s="56"/>
      <c r="F672" s="63"/>
      <c r="G672" s="64"/>
      <c r="H672" s="65"/>
      <c r="I672" s="63"/>
      <c r="K672" s="53" t="str">
        <f>IFERROR(__xludf.DUMMYFUNCTION("IF(ISBLANK(B672),"""",IF(ISDATE(B672),""X"",""""))"),"")</f>
        <v/>
      </c>
      <c r="L672" s="40" t="str">
        <f>IFERROR(__xludf.DUMMYFUNCTION("IF(ISBLANK(B672),"""",IF(Or(I672=""Em Aberto"",ISBLANK(I672),NOT(ISDATE(B672))),"""",H672))"),"")</f>
        <v/>
      </c>
      <c r="M672" s="29" t="str">
        <f>IFERROR(__xludf.DUMMYFUNCTION("IF(ISBLANK(B672),"""",IF(ISDATE(B672),TEXT(B672,""m""),""""))"),"")</f>
        <v/>
      </c>
      <c r="N672" s="29" t="str">
        <f>IFERROR(__xludf.DUMMYFUNCTION("IF(M672="""","""",QUERY({'Dashboard-Dados'!$Y$2:$AA$13},""Select Col2 Where Col1=""&amp;M672))"),"")</f>
        <v/>
      </c>
      <c r="O672" s="29" t="str">
        <f>IFERROR(__xludf.DUMMYFUNCTION("IF(ISBLANK(B672),"""",IF(ISDATE(B672),TEXT(B672,""yyyy""),""""))"),"")</f>
        <v/>
      </c>
    </row>
    <row r="673">
      <c r="B673" s="62"/>
      <c r="C673" s="56"/>
      <c r="D673" s="56"/>
      <c r="E673" s="56"/>
      <c r="F673" s="63"/>
      <c r="G673" s="64"/>
      <c r="H673" s="65"/>
      <c r="I673" s="63"/>
      <c r="K673" s="53" t="str">
        <f>IFERROR(__xludf.DUMMYFUNCTION("IF(ISBLANK(B673),"""",IF(ISDATE(B673),""X"",""""))"),"")</f>
        <v/>
      </c>
      <c r="L673" s="40" t="str">
        <f>IFERROR(__xludf.DUMMYFUNCTION("IF(ISBLANK(B673),"""",IF(Or(I673=""Em Aberto"",ISBLANK(I673),NOT(ISDATE(B673))),"""",H673))"),"")</f>
        <v/>
      </c>
      <c r="M673" s="29" t="str">
        <f>IFERROR(__xludf.DUMMYFUNCTION("IF(ISBLANK(B673),"""",IF(ISDATE(B673),TEXT(B673,""m""),""""))"),"")</f>
        <v/>
      </c>
      <c r="N673" s="29" t="str">
        <f>IFERROR(__xludf.DUMMYFUNCTION("IF(M673="""","""",QUERY({'Dashboard-Dados'!$Y$2:$AA$13},""Select Col2 Where Col1=""&amp;M673))"),"")</f>
        <v/>
      </c>
      <c r="O673" s="29" t="str">
        <f>IFERROR(__xludf.DUMMYFUNCTION("IF(ISBLANK(B673),"""",IF(ISDATE(B673),TEXT(B673,""yyyy""),""""))"),"")</f>
        <v/>
      </c>
    </row>
    <row r="674">
      <c r="B674" s="62"/>
      <c r="C674" s="56"/>
      <c r="D674" s="56"/>
      <c r="E674" s="56"/>
      <c r="F674" s="63"/>
      <c r="G674" s="64"/>
      <c r="H674" s="65"/>
      <c r="I674" s="63"/>
      <c r="K674" s="53" t="str">
        <f>IFERROR(__xludf.DUMMYFUNCTION("IF(ISBLANK(B674),"""",IF(ISDATE(B674),""X"",""""))"),"")</f>
        <v/>
      </c>
      <c r="L674" s="40" t="str">
        <f>IFERROR(__xludf.DUMMYFUNCTION("IF(ISBLANK(B674),"""",IF(Or(I674=""Em Aberto"",ISBLANK(I674),NOT(ISDATE(B674))),"""",H674))"),"")</f>
        <v/>
      </c>
      <c r="M674" s="29" t="str">
        <f>IFERROR(__xludf.DUMMYFUNCTION("IF(ISBLANK(B674),"""",IF(ISDATE(B674),TEXT(B674,""m""),""""))"),"")</f>
        <v/>
      </c>
      <c r="N674" s="29" t="str">
        <f>IFERROR(__xludf.DUMMYFUNCTION("IF(M674="""","""",QUERY({'Dashboard-Dados'!$Y$2:$AA$13},""Select Col2 Where Col1=""&amp;M674))"),"")</f>
        <v/>
      </c>
      <c r="O674" s="29" t="str">
        <f>IFERROR(__xludf.DUMMYFUNCTION("IF(ISBLANK(B674),"""",IF(ISDATE(B674),TEXT(B674,""yyyy""),""""))"),"")</f>
        <v/>
      </c>
    </row>
    <row r="675">
      <c r="B675" s="62"/>
      <c r="C675" s="56"/>
      <c r="D675" s="56"/>
      <c r="E675" s="56"/>
      <c r="F675" s="63"/>
      <c r="G675" s="64"/>
      <c r="H675" s="65"/>
      <c r="I675" s="63"/>
      <c r="K675" s="53" t="str">
        <f>IFERROR(__xludf.DUMMYFUNCTION("IF(ISBLANK(B675),"""",IF(ISDATE(B675),""X"",""""))"),"")</f>
        <v/>
      </c>
      <c r="L675" s="40" t="str">
        <f>IFERROR(__xludf.DUMMYFUNCTION("IF(ISBLANK(B675),"""",IF(Or(I675=""Em Aberto"",ISBLANK(I675),NOT(ISDATE(B675))),"""",H675))"),"")</f>
        <v/>
      </c>
      <c r="M675" s="29" t="str">
        <f>IFERROR(__xludf.DUMMYFUNCTION("IF(ISBLANK(B675),"""",IF(ISDATE(B675),TEXT(B675,""m""),""""))"),"")</f>
        <v/>
      </c>
      <c r="N675" s="29" t="str">
        <f>IFERROR(__xludf.DUMMYFUNCTION("IF(M675="""","""",QUERY({'Dashboard-Dados'!$Y$2:$AA$13},""Select Col2 Where Col1=""&amp;M675))"),"")</f>
        <v/>
      </c>
      <c r="O675" s="29" t="str">
        <f>IFERROR(__xludf.DUMMYFUNCTION("IF(ISBLANK(B675),"""",IF(ISDATE(B675),TEXT(B675,""yyyy""),""""))"),"")</f>
        <v/>
      </c>
    </row>
    <row r="676">
      <c r="B676" s="62"/>
      <c r="C676" s="56"/>
      <c r="D676" s="56"/>
      <c r="E676" s="56"/>
      <c r="F676" s="63"/>
      <c r="G676" s="64"/>
      <c r="H676" s="65"/>
      <c r="I676" s="63"/>
      <c r="K676" s="53" t="str">
        <f>IFERROR(__xludf.DUMMYFUNCTION("IF(ISBLANK(B676),"""",IF(ISDATE(B676),""X"",""""))"),"")</f>
        <v/>
      </c>
      <c r="L676" s="40" t="str">
        <f>IFERROR(__xludf.DUMMYFUNCTION("IF(ISBLANK(B676),"""",IF(Or(I676=""Em Aberto"",ISBLANK(I676),NOT(ISDATE(B676))),"""",H676))"),"")</f>
        <v/>
      </c>
      <c r="M676" s="29" t="str">
        <f>IFERROR(__xludf.DUMMYFUNCTION("IF(ISBLANK(B676),"""",IF(ISDATE(B676),TEXT(B676,""m""),""""))"),"")</f>
        <v/>
      </c>
      <c r="N676" s="29" t="str">
        <f>IFERROR(__xludf.DUMMYFUNCTION("IF(M676="""","""",QUERY({'Dashboard-Dados'!$Y$2:$AA$13},""Select Col2 Where Col1=""&amp;M676))"),"")</f>
        <v/>
      </c>
      <c r="O676" s="29" t="str">
        <f>IFERROR(__xludf.DUMMYFUNCTION("IF(ISBLANK(B676),"""",IF(ISDATE(B676),TEXT(B676,""yyyy""),""""))"),"")</f>
        <v/>
      </c>
    </row>
    <row r="677">
      <c r="B677" s="62"/>
      <c r="C677" s="56"/>
      <c r="D677" s="56"/>
      <c r="E677" s="56"/>
      <c r="F677" s="63"/>
      <c r="G677" s="64"/>
      <c r="H677" s="65"/>
      <c r="I677" s="63"/>
      <c r="K677" s="53" t="str">
        <f>IFERROR(__xludf.DUMMYFUNCTION("IF(ISBLANK(B677),"""",IF(ISDATE(B677),""X"",""""))"),"")</f>
        <v/>
      </c>
      <c r="L677" s="40" t="str">
        <f>IFERROR(__xludf.DUMMYFUNCTION("IF(ISBLANK(B677),"""",IF(Or(I677=""Em Aberto"",ISBLANK(I677),NOT(ISDATE(B677))),"""",H677))"),"")</f>
        <v/>
      </c>
      <c r="M677" s="29" t="str">
        <f>IFERROR(__xludf.DUMMYFUNCTION("IF(ISBLANK(B677),"""",IF(ISDATE(B677),TEXT(B677,""m""),""""))"),"")</f>
        <v/>
      </c>
      <c r="N677" s="29" t="str">
        <f>IFERROR(__xludf.DUMMYFUNCTION("IF(M677="""","""",QUERY({'Dashboard-Dados'!$Y$2:$AA$13},""Select Col2 Where Col1=""&amp;M677))"),"")</f>
        <v/>
      </c>
      <c r="O677" s="29" t="str">
        <f>IFERROR(__xludf.DUMMYFUNCTION("IF(ISBLANK(B677),"""",IF(ISDATE(B677),TEXT(B677,""yyyy""),""""))"),"")</f>
        <v/>
      </c>
    </row>
    <row r="678">
      <c r="B678" s="62"/>
      <c r="C678" s="56"/>
      <c r="D678" s="56"/>
      <c r="E678" s="56"/>
      <c r="F678" s="63"/>
      <c r="G678" s="64"/>
      <c r="H678" s="65"/>
      <c r="I678" s="63"/>
      <c r="K678" s="53" t="str">
        <f>IFERROR(__xludf.DUMMYFUNCTION("IF(ISBLANK(B678),"""",IF(ISDATE(B678),""X"",""""))"),"")</f>
        <v/>
      </c>
      <c r="L678" s="40" t="str">
        <f>IFERROR(__xludf.DUMMYFUNCTION("IF(ISBLANK(B678),"""",IF(Or(I678=""Em Aberto"",ISBLANK(I678),NOT(ISDATE(B678))),"""",H678))"),"")</f>
        <v/>
      </c>
      <c r="M678" s="29" t="str">
        <f>IFERROR(__xludf.DUMMYFUNCTION("IF(ISBLANK(B678),"""",IF(ISDATE(B678),TEXT(B678,""m""),""""))"),"")</f>
        <v/>
      </c>
      <c r="N678" s="29" t="str">
        <f>IFERROR(__xludf.DUMMYFUNCTION("IF(M678="""","""",QUERY({'Dashboard-Dados'!$Y$2:$AA$13},""Select Col2 Where Col1=""&amp;M678))"),"")</f>
        <v/>
      </c>
      <c r="O678" s="29" t="str">
        <f>IFERROR(__xludf.DUMMYFUNCTION("IF(ISBLANK(B678),"""",IF(ISDATE(B678),TEXT(B678,""yyyy""),""""))"),"")</f>
        <v/>
      </c>
    </row>
    <row r="679">
      <c r="B679" s="62"/>
      <c r="C679" s="56"/>
      <c r="D679" s="56"/>
      <c r="E679" s="56"/>
      <c r="F679" s="63"/>
      <c r="G679" s="64"/>
      <c r="H679" s="65"/>
      <c r="I679" s="63"/>
      <c r="K679" s="53" t="str">
        <f>IFERROR(__xludf.DUMMYFUNCTION("IF(ISBLANK(B679),"""",IF(ISDATE(B679),""X"",""""))"),"")</f>
        <v/>
      </c>
      <c r="L679" s="40" t="str">
        <f>IFERROR(__xludf.DUMMYFUNCTION("IF(ISBLANK(B679),"""",IF(Or(I679=""Em Aberto"",ISBLANK(I679),NOT(ISDATE(B679))),"""",H679))"),"")</f>
        <v/>
      </c>
      <c r="M679" s="29" t="str">
        <f>IFERROR(__xludf.DUMMYFUNCTION("IF(ISBLANK(B679),"""",IF(ISDATE(B679),TEXT(B679,""m""),""""))"),"")</f>
        <v/>
      </c>
      <c r="N679" s="29" t="str">
        <f>IFERROR(__xludf.DUMMYFUNCTION("IF(M679="""","""",QUERY({'Dashboard-Dados'!$Y$2:$AA$13},""Select Col2 Where Col1=""&amp;M679))"),"")</f>
        <v/>
      </c>
      <c r="O679" s="29" t="str">
        <f>IFERROR(__xludf.DUMMYFUNCTION("IF(ISBLANK(B679),"""",IF(ISDATE(B679),TEXT(B679,""yyyy""),""""))"),"")</f>
        <v/>
      </c>
    </row>
    <row r="680">
      <c r="B680" s="62"/>
      <c r="C680" s="56"/>
      <c r="D680" s="56"/>
      <c r="E680" s="56"/>
      <c r="F680" s="63"/>
      <c r="G680" s="64"/>
      <c r="H680" s="65"/>
      <c r="I680" s="63"/>
      <c r="K680" s="53" t="str">
        <f>IFERROR(__xludf.DUMMYFUNCTION("IF(ISBLANK(B680),"""",IF(ISDATE(B680),""X"",""""))"),"")</f>
        <v/>
      </c>
      <c r="L680" s="40" t="str">
        <f>IFERROR(__xludf.DUMMYFUNCTION("IF(ISBLANK(B680),"""",IF(Or(I680=""Em Aberto"",ISBLANK(I680),NOT(ISDATE(B680))),"""",H680))"),"")</f>
        <v/>
      </c>
      <c r="M680" s="29" t="str">
        <f>IFERROR(__xludf.DUMMYFUNCTION("IF(ISBLANK(B680),"""",IF(ISDATE(B680),TEXT(B680,""m""),""""))"),"")</f>
        <v/>
      </c>
      <c r="N680" s="29" t="str">
        <f>IFERROR(__xludf.DUMMYFUNCTION("IF(M680="""","""",QUERY({'Dashboard-Dados'!$Y$2:$AA$13},""Select Col2 Where Col1=""&amp;M680))"),"")</f>
        <v/>
      </c>
      <c r="O680" s="29" t="str">
        <f>IFERROR(__xludf.DUMMYFUNCTION("IF(ISBLANK(B680),"""",IF(ISDATE(B680),TEXT(B680,""yyyy""),""""))"),"")</f>
        <v/>
      </c>
    </row>
    <row r="681">
      <c r="B681" s="62"/>
      <c r="C681" s="56"/>
      <c r="D681" s="56"/>
      <c r="E681" s="56"/>
      <c r="F681" s="63"/>
      <c r="G681" s="64"/>
      <c r="H681" s="65"/>
      <c r="I681" s="63"/>
      <c r="K681" s="53" t="str">
        <f>IFERROR(__xludf.DUMMYFUNCTION("IF(ISBLANK(B681),"""",IF(ISDATE(B681),""X"",""""))"),"")</f>
        <v/>
      </c>
      <c r="L681" s="40" t="str">
        <f>IFERROR(__xludf.DUMMYFUNCTION("IF(ISBLANK(B681),"""",IF(Or(I681=""Em Aberto"",ISBLANK(I681),NOT(ISDATE(B681))),"""",H681))"),"")</f>
        <v/>
      </c>
      <c r="M681" s="29" t="str">
        <f>IFERROR(__xludf.DUMMYFUNCTION("IF(ISBLANK(B681),"""",IF(ISDATE(B681),TEXT(B681,""m""),""""))"),"")</f>
        <v/>
      </c>
      <c r="N681" s="29" t="str">
        <f>IFERROR(__xludf.DUMMYFUNCTION("IF(M681="""","""",QUERY({'Dashboard-Dados'!$Y$2:$AA$13},""Select Col2 Where Col1=""&amp;M681))"),"")</f>
        <v/>
      </c>
      <c r="O681" s="29" t="str">
        <f>IFERROR(__xludf.DUMMYFUNCTION("IF(ISBLANK(B681),"""",IF(ISDATE(B681),TEXT(B681,""yyyy""),""""))"),"")</f>
        <v/>
      </c>
    </row>
    <row r="682">
      <c r="B682" s="62"/>
      <c r="C682" s="56"/>
      <c r="D682" s="56"/>
      <c r="E682" s="56"/>
      <c r="F682" s="63"/>
      <c r="G682" s="64"/>
      <c r="H682" s="65"/>
      <c r="I682" s="63"/>
      <c r="K682" s="53" t="str">
        <f>IFERROR(__xludf.DUMMYFUNCTION("IF(ISBLANK(B682),"""",IF(ISDATE(B682),""X"",""""))"),"")</f>
        <v/>
      </c>
      <c r="L682" s="40" t="str">
        <f>IFERROR(__xludf.DUMMYFUNCTION("IF(ISBLANK(B682),"""",IF(Or(I682=""Em Aberto"",ISBLANK(I682),NOT(ISDATE(B682))),"""",H682))"),"")</f>
        <v/>
      </c>
      <c r="M682" s="29" t="str">
        <f>IFERROR(__xludf.DUMMYFUNCTION("IF(ISBLANK(B682),"""",IF(ISDATE(B682),TEXT(B682,""m""),""""))"),"")</f>
        <v/>
      </c>
      <c r="N682" s="29" t="str">
        <f>IFERROR(__xludf.DUMMYFUNCTION("IF(M682="""","""",QUERY({'Dashboard-Dados'!$Y$2:$AA$13},""Select Col2 Where Col1=""&amp;M682))"),"")</f>
        <v/>
      </c>
      <c r="O682" s="29" t="str">
        <f>IFERROR(__xludf.DUMMYFUNCTION("IF(ISBLANK(B682),"""",IF(ISDATE(B682),TEXT(B682,""yyyy""),""""))"),"")</f>
        <v/>
      </c>
    </row>
    <row r="683">
      <c r="B683" s="62"/>
      <c r="C683" s="56"/>
      <c r="D683" s="56"/>
      <c r="E683" s="56"/>
      <c r="F683" s="63"/>
      <c r="G683" s="64"/>
      <c r="H683" s="65"/>
      <c r="I683" s="63"/>
      <c r="K683" s="53" t="str">
        <f>IFERROR(__xludf.DUMMYFUNCTION("IF(ISBLANK(B683),"""",IF(ISDATE(B683),""X"",""""))"),"")</f>
        <v/>
      </c>
      <c r="L683" s="40" t="str">
        <f>IFERROR(__xludf.DUMMYFUNCTION("IF(ISBLANK(B683),"""",IF(Or(I683=""Em Aberto"",ISBLANK(I683),NOT(ISDATE(B683))),"""",H683))"),"")</f>
        <v/>
      </c>
      <c r="M683" s="29" t="str">
        <f>IFERROR(__xludf.DUMMYFUNCTION("IF(ISBLANK(B683),"""",IF(ISDATE(B683),TEXT(B683,""m""),""""))"),"")</f>
        <v/>
      </c>
      <c r="N683" s="29" t="str">
        <f>IFERROR(__xludf.DUMMYFUNCTION("IF(M683="""","""",QUERY({'Dashboard-Dados'!$Y$2:$AA$13},""Select Col2 Where Col1=""&amp;M683))"),"")</f>
        <v/>
      </c>
      <c r="O683" s="29" t="str">
        <f>IFERROR(__xludf.DUMMYFUNCTION("IF(ISBLANK(B683),"""",IF(ISDATE(B683),TEXT(B683,""yyyy""),""""))"),"")</f>
        <v/>
      </c>
    </row>
    <row r="684">
      <c r="B684" s="62"/>
      <c r="C684" s="56"/>
      <c r="D684" s="56"/>
      <c r="E684" s="56"/>
      <c r="F684" s="63"/>
      <c r="G684" s="64"/>
      <c r="H684" s="65"/>
      <c r="I684" s="63"/>
      <c r="K684" s="53" t="str">
        <f>IFERROR(__xludf.DUMMYFUNCTION("IF(ISBLANK(B684),"""",IF(ISDATE(B684),""X"",""""))"),"")</f>
        <v/>
      </c>
      <c r="L684" s="40" t="str">
        <f>IFERROR(__xludf.DUMMYFUNCTION("IF(ISBLANK(B684),"""",IF(Or(I684=""Em Aberto"",ISBLANK(I684),NOT(ISDATE(B684))),"""",H684))"),"")</f>
        <v/>
      </c>
      <c r="M684" s="29" t="str">
        <f>IFERROR(__xludf.DUMMYFUNCTION("IF(ISBLANK(B684),"""",IF(ISDATE(B684),TEXT(B684,""m""),""""))"),"")</f>
        <v/>
      </c>
      <c r="N684" s="29" t="str">
        <f>IFERROR(__xludf.DUMMYFUNCTION("IF(M684="""","""",QUERY({'Dashboard-Dados'!$Y$2:$AA$13},""Select Col2 Where Col1=""&amp;M684))"),"")</f>
        <v/>
      </c>
      <c r="O684" s="29" t="str">
        <f>IFERROR(__xludf.DUMMYFUNCTION("IF(ISBLANK(B684),"""",IF(ISDATE(B684),TEXT(B684,""yyyy""),""""))"),"")</f>
        <v/>
      </c>
    </row>
    <row r="685">
      <c r="B685" s="62"/>
      <c r="C685" s="56"/>
      <c r="D685" s="56"/>
      <c r="E685" s="56"/>
      <c r="F685" s="63"/>
      <c r="G685" s="64"/>
      <c r="H685" s="65"/>
      <c r="I685" s="63"/>
      <c r="K685" s="53" t="str">
        <f>IFERROR(__xludf.DUMMYFUNCTION("IF(ISBLANK(B685),"""",IF(ISDATE(B685),""X"",""""))"),"")</f>
        <v/>
      </c>
      <c r="L685" s="40" t="str">
        <f>IFERROR(__xludf.DUMMYFUNCTION("IF(ISBLANK(B685),"""",IF(Or(I685=""Em Aberto"",ISBLANK(I685),NOT(ISDATE(B685))),"""",H685))"),"")</f>
        <v/>
      </c>
      <c r="M685" s="29" t="str">
        <f>IFERROR(__xludf.DUMMYFUNCTION("IF(ISBLANK(B685),"""",IF(ISDATE(B685),TEXT(B685,""m""),""""))"),"")</f>
        <v/>
      </c>
      <c r="N685" s="29" t="str">
        <f>IFERROR(__xludf.DUMMYFUNCTION("IF(M685="""","""",QUERY({'Dashboard-Dados'!$Y$2:$AA$13},""Select Col2 Where Col1=""&amp;M685))"),"")</f>
        <v/>
      </c>
      <c r="O685" s="29" t="str">
        <f>IFERROR(__xludf.DUMMYFUNCTION("IF(ISBLANK(B685),"""",IF(ISDATE(B685),TEXT(B685,""yyyy""),""""))"),"")</f>
        <v/>
      </c>
    </row>
    <row r="686">
      <c r="B686" s="62"/>
      <c r="C686" s="56"/>
      <c r="D686" s="56"/>
      <c r="E686" s="56"/>
      <c r="F686" s="63"/>
      <c r="G686" s="64"/>
      <c r="H686" s="65"/>
      <c r="I686" s="63"/>
      <c r="K686" s="53" t="str">
        <f>IFERROR(__xludf.DUMMYFUNCTION("IF(ISBLANK(B686),"""",IF(ISDATE(B686),""X"",""""))"),"")</f>
        <v/>
      </c>
      <c r="L686" s="40" t="str">
        <f>IFERROR(__xludf.DUMMYFUNCTION("IF(ISBLANK(B686),"""",IF(Or(I686=""Em Aberto"",ISBLANK(I686),NOT(ISDATE(B686))),"""",H686))"),"")</f>
        <v/>
      </c>
      <c r="M686" s="29" t="str">
        <f>IFERROR(__xludf.DUMMYFUNCTION("IF(ISBLANK(B686),"""",IF(ISDATE(B686),TEXT(B686,""m""),""""))"),"")</f>
        <v/>
      </c>
      <c r="N686" s="29" t="str">
        <f>IFERROR(__xludf.DUMMYFUNCTION("IF(M686="""","""",QUERY({'Dashboard-Dados'!$Y$2:$AA$13},""Select Col2 Where Col1=""&amp;M686))"),"")</f>
        <v/>
      </c>
      <c r="O686" s="29" t="str">
        <f>IFERROR(__xludf.DUMMYFUNCTION("IF(ISBLANK(B686),"""",IF(ISDATE(B686),TEXT(B686,""yyyy""),""""))"),"")</f>
        <v/>
      </c>
    </row>
    <row r="687">
      <c r="B687" s="62"/>
      <c r="C687" s="56"/>
      <c r="D687" s="56"/>
      <c r="E687" s="56"/>
      <c r="F687" s="63"/>
      <c r="G687" s="64"/>
      <c r="H687" s="65"/>
      <c r="I687" s="63"/>
      <c r="K687" s="53" t="str">
        <f>IFERROR(__xludf.DUMMYFUNCTION("IF(ISBLANK(B687),"""",IF(ISDATE(B687),""X"",""""))"),"")</f>
        <v/>
      </c>
      <c r="L687" s="40" t="str">
        <f>IFERROR(__xludf.DUMMYFUNCTION("IF(ISBLANK(B687),"""",IF(Or(I687=""Em Aberto"",ISBLANK(I687),NOT(ISDATE(B687))),"""",H687))"),"")</f>
        <v/>
      </c>
      <c r="M687" s="29" t="str">
        <f>IFERROR(__xludf.DUMMYFUNCTION("IF(ISBLANK(B687),"""",IF(ISDATE(B687),TEXT(B687,""m""),""""))"),"")</f>
        <v/>
      </c>
      <c r="N687" s="29" t="str">
        <f>IFERROR(__xludf.DUMMYFUNCTION("IF(M687="""","""",QUERY({'Dashboard-Dados'!$Y$2:$AA$13},""Select Col2 Where Col1=""&amp;M687))"),"")</f>
        <v/>
      </c>
      <c r="O687" s="29" t="str">
        <f>IFERROR(__xludf.DUMMYFUNCTION("IF(ISBLANK(B687),"""",IF(ISDATE(B687),TEXT(B687,""yyyy""),""""))"),"")</f>
        <v/>
      </c>
    </row>
    <row r="688">
      <c r="B688" s="62"/>
      <c r="C688" s="56"/>
      <c r="D688" s="56"/>
      <c r="E688" s="56"/>
      <c r="F688" s="63"/>
      <c r="G688" s="64"/>
      <c r="H688" s="65"/>
      <c r="I688" s="63"/>
      <c r="K688" s="53" t="str">
        <f>IFERROR(__xludf.DUMMYFUNCTION("IF(ISBLANK(B688),"""",IF(ISDATE(B688),""X"",""""))"),"")</f>
        <v/>
      </c>
      <c r="L688" s="40" t="str">
        <f>IFERROR(__xludf.DUMMYFUNCTION("IF(ISBLANK(B688),"""",IF(Or(I688=""Em Aberto"",ISBLANK(I688),NOT(ISDATE(B688))),"""",H688))"),"")</f>
        <v/>
      </c>
      <c r="M688" s="29" t="str">
        <f>IFERROR(__xludf.DUMMYFUNCTION("IF(ISBLANK(B688),"""",IF(ISDATE(B688),TEXT(B688,""m""),""""))"),"")</f>
        <v/>
      </c>
      <c r="N688" s="29" t="str">
        <f>IFERROR(__xludf.DUMMYFUNCTION("IF(M688="""","""",QUERY({'Dashboard-Dados'!$Y$2:$AA$13},""Select Col2 Where Col1=""&amp;M688))"),"")</f>
        <v/>
      </c>
      <c r="O688" s="29" t="str">
        <f>IFERROR(__xludf.DUMMYFUNCTION("IF(ISBLANK(B688),"""",IF(ISDATE(B688),TEXT(B688,""yyyy""),""""))"),"")</f>
        <v/>
      </c>
    </row>
    <row r="689">
      <c r="B689" s="62"/>
      <c r="C689" s="56"/>
      <c r="D689" s="56"/>
      <c r="E689" s="56"/>
      <c r="F689" s="63"/>
      <c r="G689" s="64"/>
      <c r="H689" s="65"/>
      <c r="I689" s="63"/>
      <c r="K689" s="53" t="str">
        <f>IFERROR(__xludf.DUMMYFUNCTION("IF(ISBLANK(B689),"""",IF(ISDATE(B689),""X"",""""))"),"")</f>
        <v/>
      </c>
      <c r="L689" s="40" t="str">
        <f>IFERROR(__xludf.DUMMYFUNCTION("IF(ISBLANK(B689),"""",IF(Or(I689=""Em Aberto"",ISBLANK(I689),NOT(ISDATE(B689))),"""",H689))"),"")</f>
        <v/>
      </c>
      <c r="M689" s="29" t="str">
        <f>IFERROR(__xludf.DUMMYFUNCTION("IF(ISBLANK(B689),"""",IF(ISDATE(B689),TEXT(B689,""m""),""""))"),"")</f>
        <v/>
      </c>
      <c r="N689" s="29" t="str">
        <f>IFERROR(__xludf.DUMMYFUNCTION("IF(M689="""","""",QUERY({'Dashboard-Dados'!$Y$2:$AA$13},""Select Col2 Where Col1=""&amp;M689))"),"")</f>
        <v/>
      </c>
      <c r="O689" s="29" t="str">
        <f>IFERROR(__xludf.DUMMYFUNCTION("IF(ISBLANK(B689),"""",IF(ISDATE(B689),TEXT(B689,""yyyy""),""""))"),"")</f>
        <v/>
      </c>
    </row>
    <row r="690">
      <c r="B690" s="62"/>
      <c r="C690" s="56"/>
      <c r="D690" s="56"/>
      <c r="E690" s="56"/>
      <c r="F690" s="63"/>
      <c r="G690" s="64"/>
      <c r="H690" s="65"/>
      <c r="I690" s="63"/>
      <c r="K690" s="53" t="str">
        <f>IFERROR(__xludf.DUMMYFUNCTION("IF(ISBLANK(B690),"""",IF(ISDATE(B690),""X"",""""))"),"")</f>
        <v/>
      </c>
      <c r="L690" s="40" t="str">
        <f>IFERROR(__xludf.DUMMYFUNCTION("IF(ISBLANK(B690),"""",IF(Or(I690=""Em Aberto"",ISBLANK(I690),NOT(ISDATE(B690))),"""",H690))"),"")</f>
        <v/>
      </c>
      <c r="M690" s="29" t="str">
        <f>IFERROR(__xludf.DUMMYFUNCTION("IF(ISBLANK(B690),"""",IF(ISDATE(B690),TEXT(B690,""m""),""""))"),"")</f>
        <v/>
      </c>
      <c r="N690" s="29" t="str">
        <f>IFERROR(__xludf.DUMMYFUNCTION("IF(M690="""","""",QUERY({'Dashboard-Dados'!$Y$2:$AA$13},""Select Col2 Where Col1=""&amp;M690))"),"")</f>
        <v/>
      </c>
      <c r="O690" s="29" t="str">
        <f>IFERROR(__xludf.DUMMYFUNCTION("IF(ISBLANK(B690),"""",IF(ISDATE(B690),TEXT(B690,""yyyy""),""""))"),"")</f>
        <v/>
      </c>
    </row>
    <row r="691">
      <c r="B691" s="62"/>
      <c r="C691" s="56"/>
      <c r="D691" s="56"/>
      <c r="E691" s="56"/>
      <c r="F691" s="63"/>
      <c r="G691" s="64"/>
      <c r="H691" s="65"/>
      <c r="I691" s="63"/>
      <c r="K691" s="53" t="str">
        <f>IFERROR(__xludf.DUMMYFUNCTION("IF(ISBLANK(B691),"""",IF(ISDATE(B691),""X"",""""))"),"")</f>
        <v/>
      </c>
      <c r="L691" s="40" t="str">
        <f>IFERROR(__xludf.DUMMYFUNCTION("IF(ISBLANK(B691),"""",IF(Or(I691=""Em Aberto"",ISBLANK(I691),NOT(ISDATE(B691))),"""",H691))"),"")</f>
        <v/>
      </c>
      <c r="M691" s="29" t="str">
        <f>IFERROR(__xludf.DUMMYFUNCTION("IF(ISBLANK(B691),"""",IF(ISDATE(B691),TEXT(B691,""m""),""""))"),"")</f>
        <v/>
      </c>
      <c r="N691" s="29" t="str">
        <f>IFERROR(__xludf.DUMMYFUNCTION("IF(M691="""","""",QUERY({'Dashboard-Dados'!$Y$2:$AA$13},""Select Col2 Where Col1=""&amp;M691))"),"")</f>
        <v/>
      </c>
      <c r="O691" s="29" t="str">
        <f>IFERROR(__xludf.DUMMYFUNCTION("IF(ISBLANK(B691),"""",IF(ISDATE(B691),TEXT(B691,""yyyy""),""""))"),"")</f>
        <v/>
      </c>
    </row>
    <row r="692">
      <c r="B692" s="62"/>
      <c r="C692" s="56"/>
      <c r="D692" s="56"/>
      <c r="E692" s="56"/>
      <c r="F692" s="63"/>
      <c r="G692" s="64"/>
      <c r="H692" s="65"/>
      <c r="I692" s="63"/>
      <c r="K692" s="53" t="str">
        <f>IFERROR(__xludf.DUMMYFUNCTION("IF(ISBLANK(B692),"""",IF(ISDATE(B692),""X"",""""))"),"")</f>
        <v/>
      </c>
      <c r="L692" s="40" t="str">
        <f>IFERROR(__xludf.DUMMYFUNCTION("IF(ISBLANK(B692),"""",IF(Or(I692=""Em Aberto"",ISBLANK(I692),NOT(ISDATE(B692))),"""",H692))"),"")</f>
        <v/>
      </c>
      <c r="M692" s="29" t="str">
        <f>IFERROR(__xludf.DUMMYFUNCTION("IF(ISBLANK(B692),"""",IF(ISDATE(B692),TEXT(B692,""m""),""""))"),"")</f>
        <v/>
      </c>
      <c r="N692" s="29" t="str">
        <f>IFERROR(__xludf.DUMMYFUNCTION("IF(M692="""","""",QUERY({'Dashboard-Dados'!$Y$2:$AA$13},""Select Col2 Where Col1=""&amp;M692))"),"")</f>
        <v/>
      </c>
      <c r="O692" s="29" t="str">
        <f>IFERROR(__xludf.DUMMYFUNCTION("IF(ISBLANK(B692),"""",IF(ISDATE(B692),TEXT(B692,""yyyy""),""""))"),"")</f>
        <v/>
      </c>
    </row>
    <row r="693">
      <c r="B693" s="62"/>
      <c r="C693" s="56"/>
      <c r="D693" s="56"/>
      <c r="E693" s="56"/>
      <c r="F693" s="63"/>
      <c r="G693" s="64"/>
      <c r="H693" s="65"/>
      <c r="I693" s="63"/>
      <c r="K693" s="53" t="str">
        <f>IFERROR(__xludf.DUMMYFUNCTION("IF(ISBLANK(B693),"""",IF(ISDATE(B693),""X"",""""))"),"")</f>
        <v/>
      </c>
      <c r="L693" s="40" t="str">
        <f>IFERROR(__xludf.DUMMYFUNCTION("IF(ISBLANK(B693),"""",IF(Or(I693=""Em Aberto"",ISBLANK(I693),NOT(ISDATE(B693))),"""",H693))"),"")</f>
        <v/>
      </c>
      <c r="M693" s="29" t="str">
        <f>IFERROR(__xludf.DUMMYFUNCTION("IF(ISBLANK(B693),"""",IF(ISDATE(B693),TEXT(B693,""m""),""""))"),"")</f>
        <v/>
      </c>
      <c r="N693" s="29" t="str">
        <f>IFERROR(__xludf.DUMMYFUNCTION("IF(M693="""","""",QUERY({'Dashboard-Dados'!$Y$2:$AA$13},""Select Col2 Where Col1=""&amp;M693))"),"")</f>
        <v/>
      </c>
      <c r="O693" s="29" t="str">
        <f>IFERROR(__xludf.DUMMYFUNCTION("IF(ISBLANK(B693),"""",IF(ISDATE(B693),TEXT(B693,""yyyy""),""""))"),"")</f>
        <v/>
      </c>
    </row>
    <row r="694">
      <c r="B694" s="62"/>
      <c r="C694" s="56"/>
      <c r="D694" s="56"/>
      <c r="E694" s="56"/>
      <c r="F694" s="63"/>
      <c r="G694" s="64"/>
      <c r="H694" s="65"/>
      <c r="I694" s="63"/>
      <c r="K694" s="53" t="str">
        <f>IFERROR(__xludf.DUMMYFUNCTION("IF(ISBLANK(B694),"""",IF(ISDATE(B694),""X"",""""))"),"")</f>
        <v/>
      </c>
      <c r="L694" s="40" t="str">
        <f>IFERROR(__xludf.DUMMYFUNCTION("IF(ISBLANK(B694),"""",IF(Or(I694=""Em Aberto"",ISBLANK(I694),NOT(ISDATE(B694))),"""",H694))"),"")</f>
        <v/>
      </c>
      <c r="M694" s="29" t="str">
        <f>IFERROR(__xludf.DUMMYFUNCTION("IF(ISBLANK(B694),"""",IF(ISDATE(B694),TEXT(B694,""m""),""""))"),"")</f>
        <v/>
      </c>
      <c r="N694" s="29" t="str">
        <f>IFERROR(__xludf.DUMMYFUNCTION("IF(M694="""","""",QUERY({'Dashboard-Dados'!$Y$2:$AA$13},""Select Col2 Where Col1=""&amp;M694))"),"")</f>
        <v/>
      </c>
      <c r="O694" s="29" t="str">
        <f>IFERROR(__xludf.DUMMYFUNCTION("IF(ISBLANK(B694),"""",IF(ISDATE(B694),TEXT(B694,""yyyy""),""""))"),"")</f>
        <v/>
      </c>
    </row>
    <row r="695">
      <c r="B695" s="62"/>
      <c r="C695" s="56"/>
      <c r="D695" s="56"/>
      <c r="E695" s="56"/>
      <c r="F695" s="63"/>
      <c r="G695" s="64"/>
      <c r="H695" s="65"/>
      <c r="I695" s="63"/>
      <c r="K695" s="53" t="str">
        <f>IFERROR(__xludf.DUMMYFUNCTION("IF(ISBLANK(B695),"""",IF(ISDATE(B695),""X"",""""))"),"")</f>
        <v/>
      </c>
      <c r="L695" s="40" t="str">
        <f>IFERROR(__xludf.DUMMYFUNCTION("IF(ISBLANK(B695),"""",IF(Or(I695=""Em Aberto"",ISBLANK(I695),NOT(ISDATE(B695))),"""",H695))"),"")</f>
        <v/>
      </c>
      <c r="M695" s="29" t="str">
        <f>IFERROR(__xludf.DUMMYFUNCTION("IF(ISBLANK(B695),"""",IF(ISDATE(B695),TEXT(B695,""m""),""""))"),"")</f>
        <v/>
      </c>
      <c r="N695" s="29" t="str">
        <f>IFERROR(__xludf.DUMMYFUNCTION("IF(M695="""","""",QUERY({'Dashboard-Dados'!$Y$2:$AA$13},""Select Col2 Where Col1=""&amp;M695))"),"")</f>
        <v/>
      </c>
      <c r="O695" s="29" t="str">
        <f>IFERROR(__xludf.DUMMYFUNCTION("IF(ISBLANK(B695),"""",IF(ISDATE(B695),TEXT(B695,""yyyy""),""""))"),"")</f>
        <v/>
      </c>
    </row>
    <row r="696">
      <c r="B696" s="62"/>
      <c r="C696" s="56"/>
      <c r="D696" s="56"/>
      <c r="E696" s="56"/>
      <c r="F696" s="63"/>
      <c r="G696" s="64"/>
      <c r="H696" s="65"/>
      <c r="I696" s="63"/>
      <c r="K696" s="53" t="str">
        <f>IFERROR(__xludf.DUMMYFUNCTION("IF(ISBLANK(B696),"""",IF(ISDATE(B696),""X"",""""))"),"")</f>
        <v/>
      </c>
      <c r="L696" s="40" t="str">
        <f>IFERROR(__xludf.DUMMYFUNCTION("IF(ISBLANK(B696),"""",IF(Or(I696=""Em Aberto"",ISBLANK(I696),NOT(ISDATE(B696))),"""",H696))"),"")</f>
        <v/>
      </c>
      <c r="M696" s="29" t="str">
        <f>IFERROR(__xludf.DUMMYFUNCTION("IF(ISBLANK(B696),"""",IF(ISDATE(B696),TEXT(B696,""m""),""""))"),"")</f>
        <v/>
      </c>
      <c r="N696" s="29" t="str">
        <f>IFERROR(__xludf.DUMMYFUNCTION("IF(M696="""","""",QUERY({'Dashboard-Dados'!$Y$2:$AA$13},""Select Col2 Where Col1=""&amp;M696))"),"")</f>
        <v/>
      </c>
      <c r="O696" s="29" t="str">
        <f>IFERROR(__xludf.DUMMYFUNCTION("IF(ISBLANK(B696),"""",IF(ISDATE(B696),TEXT(B696,""yyyy""),""""))"),"")</f>
        <v/>
      </c>
    </row>
    <row r="697">
      <c r="B697" s="62"/>
      <c r="C697" s="56"/>
      <c r="D697" s="56"/>
      <c r="E697" s="56"/>
      <c r="F697" s="63"/>
      <c r="G697" s="64"/>
      <c r="H697" s="65"/>
      <c r="I697" s="63"/>
      <c r="K697" s="53" t="str">
        <f>IFERROR(__xludf.DUMMYFUNCTION("IF(ISBLANK(B697),"""",IF(ISDATE(B697),""X"",""""))"),"")</f>
        <v/>
      </c>
      <c r="L697" s="40" t="str">
        <f>IFERROR(__xludf.DUMMYFUNCTION("IF(ISBLANK(B697),"""",IF(Or(I697=""Em Aberto"",ISBLANK(I697),NOT(ISDATE(B697))),"""",H697))"),"")</f>
        <v/>
      </c>
      <c r="M697" s="29" t="str">
        <f>IFERROR(__xludf.DUMMYFUNCTION("IF(ISBLANK(B697),"""",IF(ISDATE(B697),TEXT(B697,""m""),""""))"),"")</f>
        <v/>
      </c>
      <c r="N697" s="29" t="str">
        <f>IFERROR(__xludf.DUMMYFUNCTION("IF(M697="""","""",QUERY({'Dashboard-Dados'!$Y$2:$AA$13},""Select Col2 Where Col1=""&amp;M697))"),"")</f>
        <v/>
      </c>
      <c r="O697" s="29" t="str">
        <f>IFERROR(__xludf.DUMMYFUNCTION("IF(ISBLANK(B697),"""",IF(ISDATE(B697),TEXT(B697,""yyyy""),""""))"),"")</f>
        <v/>
      </c>
    </row>
    <row r="698">
      <c r="B698" s="62"/>
      <c r="C698" s="56"/>
      <c r="D698" s="56"/>
      <c r="E698" s="56"/>
      <c r="F698" s="63"/>
      <c r="G698" s="64"/>
      <c r="H698" s="65"/>
      <c r="I698" s="63"/>
      <c r="K698" s="53" t="str">
        <f>IFERROR(__xludf.DUMMYFUNCTION("IF(ISBLANK(B698),"""",IF(ISDATE(B698),""X"",""""))"),"")</f>
        <v/>
      </c>
      <c r="L698" s="40" t="str">
        <f>IFERROR(__xludf.DUMMYFUNCTION("IF(ISBLANK(B698),"""",IF(Or(I698=""Em Aberto"",ISBLANK(I698),NOT(ISDATE(B698))),"""",H698))"),"")</f>
        <v/>
      </c>
      <c r="M698" s="29" t="str">
        <f>IFERROR(__xludf.DUMMYFUNCTION("IF(ISBLANK(B698),"""",IF(ISDATE(B698),TEXT(B698,""m""),""""))"),"")</f>
        <v/>
      </c>
      <c r="N698" s="29" t="str">
        <f>IFERROR(__xludf.DUMMYFUNCTION("IF(M698="""","""",QUERY({'Dashboard-Dados'!$Y$2:$AA$13},""Select Col2 Where Col1=""&amp;M698))"),"")</f>
        <v/>
      </c>
      <c r="O698" s="29" t="str">
        <f>IFERROR(__xludf.DUMMYFUNCTION("IF(ISBLANK(B698),"""",IF(ISDATE(B698),TEXT(B698,""yyyy""),""""))"),"")</f>
        <v/>
      </c>
    </row>
    <row r="699">
      <c r="B699" s="62"/>
      <c r="C699" s="56"/>
      <c r="D699" s="56"/>
      <c r="E699" s="56"/>
      <c r="F699" s="63"/>
      <c r="G699" s="64"/>
      <c r="H699" s="65"/>
      <c r="I699" s="63"/>
      <c r="K699" s="53" t="str">
        <f>IFERROR(__xludf.DUMMYFUNCTION("IF(ISBLANK(B699),"""",IF(ISDATE(B699),""X"",""""))"),"")</f>
        <v/>
      </c>
      <c r="L699" s="40" t="str">
        <f>IFERROR(__xludf.DUMMYFUNCTION("IF(ISBLANK(B699),"""",IF(Or(I699=""Em Aberto"",ISBLANK(I699),NOT(ISDATE(B699))),"""",H699))"),"")</f>
        <v/>
      </c>
      <c r="M699" s="29" t="str">
        <f>IFERROR(__xludf.DUMMYFUNCTION("IF(ISBLANK(B699),"""",IF(ISDATE(B699),TEXT(B699,""m""),""""))"),"")</f>
        <v/>
      </c>
      <c r="N699" s="29" t="str">
        <f>IFERROR(__xludf.DUMMYFUNCTION("IF(M699="""","""",QUERY({'Dashboard-Dados'!$Y$2:$AA$13},""Select Col2 Where Col1=""&amp;M699))"),"")</f>
        <v/>
      </c>
      <c r="O699" s="29" t="str">
        <f>IFERROR(__xludf.DUMMYFUNCTION("IF(ISBLANK(B699),"""",IF(ISDATE(B699),TEXT(B699,""yyyy""),""""))"),"")</f>
        <v/>
      </c>
    </row>
    <row r="700">
      <c r="B700" s="62"/>
      <c r="C700" s="56"/>
      <c r="D700" s="56"/>
      <c r="E700" s="56"/>
      <c r="F700" s="63"/>
      <c r="G700" s="64"/>
      <c r="H700" s="65"/>
      <c r="I700" s="63"/>
      <c r="K700" s="53" t="str">
        <f>IFERROR(__xludf.DUMMYFUNCTION("IF(ISBLANK(B700),"""",IF(ISDATE(B700),""X"",""""))"),"")</f>
        <v/>
      </c>
      <c r="L700" s="40" t="str">
        <f>IFERROR(__xludf.DUMMYFUNCTION("IF(ISBLANK(B700),"""",IF(Or(I700=""Em Aberto"",ISBLANK(I700),NOT(ISDATE(B700))),"""",H700))"),"")</f>
        <v/>
      </c>
      <c r="M700" s="29" t="str">
        <f>IFERROR(__xludf.DUMMYFUNCTION("IF(ISBLANK(B700),"""",IF(ISDATE(B700),TEXT(B700,""m""),""""))"),"")</f>
        <v/>
      </c>
      <c r="N700" s="29" t="str">
        <f>IFERROR(__xludf.DUMMYFUNCTION("IF(M700="""","""",QUERY({'Dashboard-Dados'!$Y$2:$AA$13},""Select Col2 Where Col1=""&amp;M700))"),"")</f>
        <v/>
      </c>
      <c r="O700" s="29" t="str">
        <f>IFERROR(__xludf.DUMMYFUNCTION("IF(ISBLANK(B700),"""",IF(ISDATE(B700),TEXT(B700,""yyyy""),""""))"),"")</f>
        <v/>
      </c>
    </row>
    <row r="701">
      <c r="B701" s="62"/>
      <c r="C701" s="56"/>
      <c r="D701" s="56"/>
      <c r="E701" s="56"/>
      <c r="F701" s="63"/>
      <c r="G701" s="64"/>
      <c r="H701" s="65"/>
      <c r="I701" s="63"/>
      <c r="K701" s="53" t="str">
        <f>IFERROR(__xludf.DUMMYFUNCTION("IF(ISBLANK(B701),"""",IF(ISDATE(B701),""X"",""""))"),"")</f>
        <v/>
      </c>
      <c r="L701" s="40" t="str">
        <f>IFERROR(__xludf.DUMMYFUNCTION("IF(ISBLANK(B701),"""",IF(Or(I701=""Em Aberto"",ISBLANK(I701),NOT(ISDATE(B701))),"""",H701))"),"")</f>
        <v/>
      </c>
      <c r="M701" s="29" t="str">
        <f>IFERROR(__xludf.DUMMYFUNCTION("IF(ISBLANK(B701),"""",IF(ISDATE(B701),TEXT(B701,""m""),""""))"),"")</f>
        <v/>
      </c>
      <c r="N701" s="29" t="str">
        <f>IFERROR(__xludf.DUMMYFUNCTION("IF(M701="""","""",QUERY({'Dashboard-Dados'!$Y$2:$AA$13},""Select Col2 Where Col1=""&amp;M701))"),"")</f>
        <v/>
      </c>
      <c r="O701" s="29" t="str">
        <f>IFERROR(__xludf.DUMMYFUNCTION("IF(ISBLANK(B701),"""",IF(ISDATE(B701),TEXT(B701,""yyyy""),""""))"),"")</f>
        <v/>
      </c>
    </row>
    <row r="702">
      <c r="B702" s="62"/>
      <c r="C702" s="56"/>
      <c r="D702" s="56"/>
      <c r="E702" s="56"/>
      <c r="F702" s="63"/>
      <c r="G702" s="64"/>
      <c r="H702" s="65"/>
      <c r="I702" s="63"/>
      <c r="K702" s="53" t="str">
        <f>IFERROR(__xludf.DUMMYFUNCTION("IF(ISBLANK(B702),"""",IF(ISDATE(B702),""X"",""""))"),"")</f>
        <v/>
      </c>
      <c r="L702" s="40" t="str">
        <f>IFERROR(__xludf.DUMMYFUNCTION("IF(ISBLANK(B702),"""",IF(Or(I702=""Em Aberto"",ISBLANK(I702),NOT(ISDATE(B702))),"""",H702))"),"")</f>
        <v/>
      </c>
      <c r="M702" s="29" t="str">
        <f>IFERROR(__xludf.DUMMYFUNCTION("IF(ISBLANK(B702),"""",IF(ISDATE(B702),TEXT(B702,""m""),""""))"),"")</f>
        <v/>
      </c>
      <c r="N702" s="29" t="str">
        <f>IFERROR(__xludf.DUMMYFUNCTION("IF(M702="""","""",QUERY({'Dashboard-Dados'!$Y$2:$AA$13},""Select Col2 Where Col1=""&amp;M702))"),"")</f>
        <v/>
      </c>
      <c r="O702" s="29" t="str">
        <f>IFERROR(__xludf.DUMMYFUNCTION("IF(ISBLANK(B702),"""",IF(ISDATE(B702),TEXT(B702,""yyyy""),""""))"),"")</f>
        <v/>
      </c>
    </row>
    <row r="703">
      <c r="B703" s="62"/>
      <c r="C703" s="56"/>
      <c r="D703" s="56"/>
      <c r="E703" s="56"/>
      <c r="F703" s="63"/>
      <c r="G703" s="64"/>
      <c r="H703" s="65"/>
      <c r="I703" s="63"/>
      <c r="K703" s="53" t="str">
        <f>IFERROR(__xludf.DUMMYFUNCTION("IF(ISBLANK(B703),"""",IF(ISDATE(B703),""X"",""""))"),"")</f>
        <v/>
      </c>
      <c r="L703" s="40" t="str">
        <f>IFERROR(__xludf.DUMMYFUNCTION("IF(ISBLANK(B703),"""",IF(Or(I703=""Em Aberto"",ISBLANK(I703),NOT(ISDATE(B703))),"""",H703))"),"")</f>
        <v/>
      </c>
      <c r="M703" s="29" t="str">
        <f>IFERROR(__xludf.DUMMYFUNCTION("IF(ISBLANK(B703),"""",IF(ISDATE(B703),TEXT(B703,""m""),""""))"),"")</f>
        <v/>
      </c>
      <c r="N703" s="29" t="str">
        <f>IFERROR(__xludf.DUMMYFUNCTION("IF(M703="""","""",QUERY({'Dashboard-Dados'!$Y$2:$AA$13},""Select Col2 Where Col1=""&amp;M703))"),"")</f>
        <v/>
      </c>
      <c r="O703" s="29" t="str">
        <f>IFERROR(__xludf.DUMMYFUNCTION("IF(ISBLANK(B703),"""",IF(ISDATE(B703),TEXT(B703,""yyyy""),""""))"),"")</f>
        <v/>
      </c>
    </row>
    <row r="704">
      <c r="B704" s="62"/>
      <c r="C704" s="56"/>
      <c r="D704" s="56"/>
      <c r="E704" s="56"/>
      <c r="F704" s="63"/>
      <c r="G704" s="64"/>
      <c r="H704" s="65"/>
      <c r="I704" s="63"/>
      <c r="K704" s="53" t="str">
        <f>IFERROR(__xludf.DUMMYFUNCTION("IF(ISBLANK(B704),"""",IF(ISDATE(B704),""X"",""""))"),"")</f>
        <v/>
      </c>
      <c r="L704" s="40" t="str">
        <f>IFERROR(__xludf.DUMMYFUNCTION("IF(ISBLANK(B704),"""",IF(Or(I704=""Em Aberto"",ISBLANK(I704),NOT(ISDATE(B704))),"""",H704))"),"")</f>
        <v/>
      </c>
      <c r="M704" s="29" t="str">
        <f>IFERROR(__xludf.DUMMYFUNCTION("IF(ISBLANK(B704),"""",IF(ISDATE(B704),TEXT(B704,""m""),""""))"),"")</f>
        <v/>
      </c>
      <c r="N704" s="29" t="str">
        <f>IFERROR(__xludf.DUMMYFUNCTION("IF(M704="""","""",QUERY({'Dashboard-Dados'!$Y$2:$AA$13},""Select Col2 Where Col1=""&amp;M704))"),"")</f>
        <v/>
      </c>
      <c r="O704" s="29" t="str">
        <f>IFERROR(__xludf.DUMMYFUNCTION("IF(ISBLANK(B704),"""",IF(ISDATE(B704),TEXT(B704,""yyyy""),""""))"),"")</f>
        <v/>
      </c>
    </row>
    <row r="705">
      <c r="B705" s="62"/>
      <c r="C705" s="56"/>
      <c r="D705" s="56"/>
      <c r="E705" s="56"/>
      <c r="F705" s="63"/>
      <c r="G705" s="64"/>
      <c r="H705" s="65"/>
      <c r="I705" s="63"/>
      <c r="K705" s="53" t="str">
        <f>IFERROR(__xludf.DUMMYFUNCTION("IF(ISBLANK(B705),"""",IF(ISDATE(B705),""X"",""""))"),"")</f>
        <v/>
      </c>
      <c r="L705" s="40" t="str">
        <f>IFERROR(__xludf.DUMMYFUNCTION("IF(ISBLANK(B705),"""",IF(Or(I705=""Em Aberto"",ISBLANK(I705),NOT(ISDATE(B705))),"""",H705))"),"")</f>
        <v/>
      </c>
      <c r="M705" s="29" t="str">
        <f>IFERROR(__xludf.DUMMYFUNCTION("IF(ISBLANK(B705),"""",IF(ISDATE(B705),TEXT(B705,""m""),""""))"),"")</f>
        <v/>
      </c>
      <c r="N705" s="29" t="str">
        <f>IFERROR(__xludf.DUMMYFUNCTION("IF(M705="""","""",QUERY({'Dashboard-Dados'!$Y$2:$AA$13},""Select Col2 Where Col1=""&amp;M705))"),"")</f>
        <v/>
      </c>
      <c r="O705" s="29" t="str">
        <f>IFERROR(__xludf.DUMMYFUNCTION("IF(ISBLANK(B705),"""",IF(ISDATE(B705),TEXT(B705,""yyyy""),""""))"),"")</f>
        <v/>
      </c>
    </row>
    <row r="706">
      <c r="B706" s="62"/>
      <c r="C706" s="56"/>
      <c r="D706" s="56"/>
      <c r="E706" s="56"/>
      <c r="F706" s="63"/>
      <c r="G706" s="64"/>
      <c r="H706" s="65"/>
      <c r="I706" s="63"/>
      <c r="K706" s="53" t="str">
        <f>IFERROR(__xludf.DUMMYFUNCTION("IF(ISBLANK(B706),"""",IF(ISDATE(B706),""X"",""""))"),"")</f>
        <v/>
      </c>
      <c r="L706" s="40" t="str">
        <f>IFERROR(__xludf.DUMMYFUNCTION("IF(ISBLANK(B706),"""",IF(Or(I706=""Em Aberto"",ISBLANK(I706),NOT(ISDATE(B706))),"""",H706))"),"")</f>
        <v/>
      </c>
      <c r="M706" s="29" t="str">
        <f>IFERROR(__xludf.DUMMYFUNCTION("IF(ISBLANK(B706),"""",IF(ISDATE(B706),TEXT(B706,""m""),""""))"),"")</f>
        <v/>
      </c>
      <c r="N706" s="29" t="str">
        <f>IFERROR(__xludf.DUMMYFUNCTION("IF(M706="""","""",QUERY({'Dashboard-Dados'!$Y$2:$AA$13},""Select Col2 Where Col1=""&amp;M706))"),"")</f>
        <v/>
      </c>
      <c r="O706" s="29" t="str">
        <f>IFERROR(__xludf.DUMMYFUNCTION("IF(ISBLANK(B706),"""",IF(ISDATE(B706),TEXT(B706,""yyyy""),""""))"),"")</f>
        <v/>
      </c>
    </row>
    <row r="707">
      <c r="B707" s="62"/>
      <c r="C707" s="56"/>
      <c r="D707" s="56"/>
      <c r="E707" s="56"/>
      <c r="F707" s="63"/>
      <c r="G707" s="64"/>
      <c r="H707" s="65"/>
      <c r="I707" s="63"/>
      <c r="K707" s="53" t="str">
        <f>IFERROR(__xludf.DUMMYFUNCTION("IF(ISBLANK(B707),"""",IF(ISDATE(B707),""X"",""""))"),"")</f>
        <v/>
      </c>
      <c r="L707" s="40" t="str">
        <f>IFERROR(__xludf.DUMMYFUNCTION("IF(ISBLANK(B707),"""",IF(Or(I707=""Em Aberto"",ISBLANK(I707),NOT(ISDATE(B707))),"""",H707))"),"")</f>
        <v/>
      </c>
      <c r="M707" s="29" t="str">
        <f>IFERROR(__xludf.DUMMYFUNCTION("IF(ISBLANK(B707),"""",IF(ISDATE(B707),TEXT(B707,""m""),""""))"),"")</f>
        <v/>
      </c>
      <c r="N707" s="29" t="str">
        <f>IFERROR(__xludf.DUMMYFUNCTION("IF(M707="""","""",QUERY({'Dashboard-Dados'!$Y$2:$AA$13},""Select Col2 Where Col1=""&amp;M707))"),"")</f>
        <v/>
      </c>
      <c r="O707" s="29" t="str">
        <f>IFERROR(__xludf.DUMMYFUNCTION("IF(ISBLANK(B707),"""",IF(ISDATE(B707),TEXT(B707,""yyyy""),""""))"),"")</f>
        <v/>
      </c>
    </row>
    <row r="708">
      <c r="B708" s="62"/>
      <c r="C708" s="56"/>
      <c r="D708" s="56"/>
      <c r="E708" s="56"/>
      <c r="F708" s="63"/>
      <c r="G708" s="64"/>
      <c r="H708" s="65"/>
      <c r="I708" s="63"/>
      <c r="K708" s="53" t="str">
        <f>IFERROR(__xludf.DUMMYFUNCTION("IF(ISBLANK(B708),"""",IF(ISDATE(B708),""X"",""""))"),"")</f>
        <v/>
      </c>
      <c r="L708" s="40" t="str">
        <f>IFERROR(__xludf.DUMMYFUNCTION("IF(ISBLANK(B708),"""",IF(Or(I708=""Em Aberto"",ISBLANK(I708),NOT(ISDATE(B708))),"""",H708))"),"")</f>
        <v/>
      </c>
      <c r="M708" s="29" t="str">
        <f>IFERROR(__xludf.DUMMYFUNCTION("IF(ISBLANK(B708),"""",IF(ISDATE(B708),TEXT(B708,""m""),""""))"),"")</f>
        <v/>
      </c>
      <c r="N708" s="29" t="str">
        <f>IFERROR(__xludf.DUMMYFUNCTION("IF(M708="""","""",QUERY({'Dashboard-Dados'!$Y$2:$AA$13},""Select Col2 Where Col1=""&amp;M708))"),"")</f>
        <v/>
      </c>
      <c r="O708" s="29" t="str">
        <f>IFERROR(__xludf.DUMMYFUNCTION("IF(ISBLANK(B708),"""",IF(ISDATE(B708),TEXT(B708,""yyyy""),""""))"),"")</f>
        <v/>
      </c>
    </row>
    <row r="709">
      <c r="B709" s="62"/>
      <c r="C709" s="56"/>
      <c r="D709" s="56"/>
      <c r="E709" s="56"/>
      <c r="F709" s="63"/>
      <c r="G709" s="64"/>
      <c r="H709" s="65"/>
      <c r="I709" s="63"/>
      <c r="K709" s="53" t="str">
        <f>IFERROR(__xludf.DUMMYFUNCTION("IF(ISBLANK(B709),"""",IF(ISDATE(B709),""X"",""""))"),"")</f>
        <v/>
      </c>
      <c r="L709" s="40" t="str">
        <f>IFERROR(__xludf.DUMMYFUNCTION("IF(ISBLANK(B709),"""",IF(Or(I709=""Em Aberto"",ISBLANK(I709),NOT(ISDATE(B709))),"""",H709))"),"")</f>
        <v/>
      </c>
      <c r="M709" s="29" t="str">
        <f>IFERROR(__xludf.DUMMYFUNCTION("IF(ISBLANK(B709),"""",IF(ISDATE(B709),TEXT(B709,""m""),""""))"),"")</f>
        <v/>
      </c>
      <c r="N709" s="29" t="str">
        <f>IFERROR(__xludf.DUMMYFUNCTION("IF(M709="""","""",QUERY({'Dashboard-Dados'!$Y$2:$AA$13},""Select Col2 Where Col1=""&amp;M709))"),"")</f>
        <v/>
      </c>
      <c r="O709" s="29" t="str">
        <f>IFERROR(__xludf.DUMMYFUNCTION("IF(ISBLANK(B709),"""",IF(ISDATE(B709),TEXT(B709,""yyyy""),""""))"),"")</f>
        <v/>
      </c>
    </row>
    <row r="710">
      <c r="B710" s="62"/>
      <c r="C710" s="56"/>
      <c r="D710" s="56"/>
      <c r="E710" s="56"/>
      <c r="F710" s="63"/>
      <c r="G710" s="64"/>
      <c r="H710" s="65"/>
      <c r="I710" s="63"/>
      <c r="K710" s="53" t="str">
        <f>IFERROR(__xludf.DUMMYFUNCTION("IF(ISBLANK(B710),"""",IF(ISDATE(B710),""X"",""""))"),"")</f>
        <v/>
      </c>
      <c r="L710" s="40" t="str">
        <f>IFERROR(__xludf.DUMMYFUNCTION("IF(ISBLANK(B710),"""",IF(Or(I710=""Em Aberto"",ISBLANK(I710),NOT(ISDATE(B710))),"""",H710))"),"")</f>
        <v/>
      </c>
      <c r="M710" s="29" t="str">
        <f>IFERROR(__xludf.DUMMYFUNCTION("IF(ISBLANK(B710),"""",IF(ISDATE(B710),TEXT(B710,""m""),""""))"),"")</f>
        <v/>
      </c>
      <c r="N710" s="29" t="str">
        <f>IFERROR(__xludf.DUMMYFUNCTION("IF(M710="""","""",QUERY({'Dashboard-Dados'!$Y$2:$AA$13},""Select Col2 Where Col1=""&amp;M710))"),"")</f>
        <v/>
      </c>
      <c r="O710" s="29" t="str">
        <f>IFERROR(__xludf.DUMMYFUNCTION("IF(ISBLANK(B710),"""",IF(ISDATE(B710),TEXT(B710,""yyyy""),""""))"),"")</f>
        <v/>
      </c>
    </row>
    <row r="711">
      <c r="B711" s="62"/>
      <c r="C711" s="56"/>
      <c r="D711" s="56"/>
      <c r="E711" s="56"/>
      <c r="F711" s="63"/>
      <c r="G711" s="64"/>
      <c r="H711" s="65"/>
      <c r="I711" s="63"/>
      <c r="K711" s="53" t="str">
        <f>IFERROR(__xludf.DUMMYFUNCTION("IF(ISBLANK(B711),"""",IF(ISDATE(B711),""X"",""""))"),"")</f>
        <v/>
      </c>
      <c r="L711" s="40" t="str">
        <f>IFERROR(__xludf.DUMMYFUNCTION("IF(ISBLANK(B711),"""",IF(Or(I711=""Em Aberto"",ISBLANK(I711),NOT(ISDATE(B711))),"""",H711))"),"")</f>
        <v/>
      </c>
      <c r="M711" s="29" t="str">
        <f>IFERROR(__xludf.DUMMYFUNCTION("IF(ISBLANK(B711),"""",IF(ISDATE(B711),TEXT(B711,""m""),""""))"),"")</f>
        <v/>
      </c>
      <c r="N711" s="29" t="str">
        <f>IFERROR(__xludf.DUMMYFUNCTION("IF(M711="""","""",QUERY({'Dashboard-Dados'!$Y$2:$AA$13},""Select Col2 Where Col1=""&amp;M711))"),"")</f>
        <v/>
      </c>
      <c r="O711" s="29" t="str">
        <f>IFERROR(__xludf.DUMMYFUNCTION("IF(ISBLANK(B711),"""",IF(ISDATE(B711),TEXT(B711,""yyyy""),""""))"),"")</f>
        <v/>
      </c>
    </row>
    <row r="712">
      <c r="B712" s="62"/>
      <c r="C712" s="56"/>
      <c r="D712" s="56"/>
      <c r="E712" s="56"/>
      <c r="F712" s="63"/>
      <c r="G712" s="64"/>
      <c r="H712" s="65"/>
      <c r="I712" s="63"/>
      <c r="K712" s="53" t="str">
        <f>IFERROR(__xludf.DUMMYFUNCTION("IF(ISBLANK(B712),"""",IF(ISDATE(B712),""X"",""""))"),"")</f>
        <v/>
      </c>
      <c r="L712" s="40" t="str">
        <f>IFERROR(__xludf.DUMMYFUNCTION("IF(ISBLANK(B712),"""",IF(Or(I712=""Em Aberto"",ISBLANK(I712),NOT(ISDATE(B712))),"""",H712))"),"")</f>
        <v/>
      </c>
      <c r="M712" s="29" t="str">
        <f>IFERROR(__xludf.DUMMYFUNCTION("IF(ISBLANK(B712),"""",IF(ISDATE(B712),TEXT(B712,""m""),""""))"),"")</f>
        <v/>
      </c>
      <c r="N712" s="29" t="str">
        <f>IFERROR(__xludf.DUMMYFUNCTION("IF(M712="""","""",QUERY({'Dashboard-Dados'!$Y$2:$AA$13},""Select Col2 Where Col1=""&amp;M712))"),"")</f>
        <v/>
      </c>
      <c r="O712" s="29" t="str">
        <f>IFERROR(__xludf.DUMMYFUNCTION("IF(ISBLANK(B712),"""",IF(ISDATE(B712),TEXT(B712,""yyyy""),""""))"),"")</f>
        <v/>
      </c>
    </row>
    <row r="713">
      <c r="B713" s="62"/>
      <c r="C713" s="56"/>
      <c r="D713" s="56"/>
      <c r="E713" s="56"/>
      <c r="F713" s="63"/>
      <c r="G713" s="64"/>
      <c r="H713" s="65"/>
      <c r="I713" s="63"/>
      <c r="K713" s="53" t="str">
        <f>IFERROR(__xludf.DUMMYFUNCTION("IF(ISBLANK(B713),"""",IF(ISDATE(B713),""X"",""""))"),"")</f>
        <v/>
      </c>
      <c r="L713" s="40" t="str">
        <f>IFERROR(__xludf.DUMMYFUNCTION("IF(ISBLANK(B713),"""",IF(Or(I713=""Em Aberto"",ISBLANK(I713),NOT(ISDATE(B713))),"""",H713))"),"")</f>
        <v/>
      </c>
      <c r="M713" s="29" t="str">
        <f>IFERROR(__xludf.DUMMYFUNCTION("IF(ISBLANK(B713),"""",IF(ISDATE(B713),TEXT(B713,""m""),""""))"),"")</f>
        <v/>
      </c>
      <c r="N713" s="29" t="str">
        <f>IFERROR(__xludf.DUMMYFUNCTION("IF(M713="""","""",QUERY({'Dashboard-Dados'!$Y$2:$AA$13},""Select Col2 Where Col1=""&amp;M713))"),"")</f>
        <v/>
      </c>
      <c r="O713" s="29" t="str">
        <f>IFERROR(__xludf.DUMMYFUNCTION("IF(ISBLANK(B713),"""",IF(ISDATE(B713),TEXT(B713,""yyyy""),""""))"),"")</f>
        <v/>
      </c>
    </row>
    <row r="714">
      <c r="B714" s="62"/>
      <c r="C714" s="56"/>
      <c r="D714" s="56"/>
      <c r="E714" s="56"/>
      <c r="F714" s="63"/>
      <c r="G714" s="64"/>
      <c r="H714" s="65"/>
      <c r="I714" s="63"/>
      <c r="K714" s="53" t="str">
        <f>IFERROR(__xludf.DUMMYFUNCTION("IF(ISBLANK(B714),"""",IF(ISDATE(B714),""X"",""""))"),"")</f>
        <v/>
      </c>
      <c r="L714" s="40" t="str">
        <f>IFERROR(__xludf.DUMMYFUNCTION("IF(ISBLANK(B714),"""",IF(Or(I714=""Em Aberto"",ISBLANK(I714),NOT(ISDATE(B714))),"""",H714))"),"")</f>
        <v/>
      </c>
      <c r="M714" s="29" t="str">
        <f>IFERROR(__xludf.DUMMYFUNCTION("IF(ISBLANK(B714),"""",IF(ISDATE(B714),TEXT(B714,""m""),""""))"),"")</f>
        <v/>
      </c>
      <c r="N714" s="29" t="str">
        <f>IFERROR(__xludf.DUMMYFUNCTION("IF(M714="""","""",QUERY({'Dashboard-Dados'!$Y$2:$AA$13},""Select Col2 Where Col1=""&amp;M714))"),"")</f>
        <v/>
      </c>
      <c r="O714" s="29" t="str">
        <f>IFERROR(__xludf.DUMMYFUNCTION("IF(ISBLANK(B714),"""",IF(ISDATE(B714),TEXT(B714,""yyyy""),""""))"),"")</f>
        <v/>
      </c>
    </row>
    <row r="715">
      <c r="B715" s="62"/>
      <c r="C715" s="56"/>
      <c r="D715" s="56"/>
      <c r="E715" s="56"/>
      <c r="F715" s="63"/>
      <c r="G715" s="64"/>
      <c r="H715" s="65"/>
      <c r="I715" s="63"/>
      <c r="K715" s="53" t="str">
        <f>IFERROR(__xludf.DUMMYFUNCTION("IF(ISBLANK(B715),"""",IF(ISDATE(B715),""X"",""""))"),"")</f>
        <v/>
      </c>
      <c r="L715" s="40" t="str">
        <f>IFERROR(__xludf.DUMMYFUNCTION("IF(ISBLANK(B715),"""",IF(Or(I715=""Em Aberto"",ISBLANK(I715),NOT(ISDATE(B715))),"""",H715))"),"")</f>
        <v/>
      </c>
      <c r="M715" s="29" t="str">
        <f>IFERROR(__xludf.DUMMYFUNCTION("IF(ISBLANK(B715),"""",IF(ISDATE(B715),TEXT(B715,""m""),""""))"),"")</f>
        <v/>
      </c>
      <c r="N715" s="29" t="str">
        <f>IFERROR(__xludf.DUMMYFUNCTION("IF(M715="""","""",QUERY({'Dashboard-Dados'!$Y$2:$AA$13},""Select Col2 Where Col1=""&amp;M715))"),"")</f>
        <v/>
      </c>
      <c r="O715" s="29" t="str">
        <f>IFERROR(__xludf.DUMMYFUNCTION("IF(ISBLANK(B715),"""",IF(ISDATE(B715),TEXT(B715,""yyyy""),""""))"),"")</f>
        <v/>
      </c>
    </row>
    <row r="716">
      <c r="B716" s="62"/>
      <c r="C716" s="56"/>
      <c r="D716" s="56"/>
      <c r="E716" s="56"/>
      <c r="F716" s="63"/>
      <c r="G716" s="64"/>
      <c r="H716" s="65"/>
      <c r="I716" s="63"/>
      <c r="K716" s="53" t="str">
        <f>IFERROR(__xludf.DUMMYFUNCTION("IF(ISBLANK(B716),"""",IF(ISDATE(B716),""X"",""""))"),"")</f>
        <v/>
      </c>
      <c r="L716" s="40" t="str">
        <f>IFERROR(__xludf.DUMMYFUNCTION("IF(ISBLANK(B716),"""",IF(Or(I716=""Em Aberto"",ISBLANK(I716),NOT(ISDATE(B716))),"""",H716))"),"")</f>
        <v/>
      </c>
      <c r="M716" s="29" t="str">
        <f>IFERROR(__xludf.DUMMYFUNCTION("IF(ISBLANK(B716),"""",IF(ISDATE(B716),TEXT(B716,""m""),""""))"),"")</f>
        <v/>
      </c>
      <c r="N716" s="29" t="str">
        <f>IFERROR(__xludf.DUMMYFUNCTION("IF(M716="""","""",QUERY({'Dashboard-Dados'!$Y$2:$AA$13},""Select Col2 Where Col1=""&amp;M716))"),"")</f>
        <v/>
      </c>
      <c r="O716" s="29" t="str">
        <f>IFERROR(__xludf.DUMMYFUNCTION("IF(ISBLANK(B716),"""",IF(ISDATE(B716),TEXT(B716,""yyyy""),""""))"),"")</f>
        <v/>
      </c>
    </row>
    <row r="717">
      <c r="B717" s="62"/>
      <c r="C717" s="56"/>
      <c r="D717" s="56"/>
      <c r="E717" s="56"/>
      <c r="F717" s="63"/>
      <c r="G717" s="64"/>
      <c r="H717" s="65"/>
      <c r="I717" s="63"/>
      <c r="K717" s="53" t="str">
        <f>IFERROR(__xludf.DUMMYFUNCTION("IF(ISBLANK(B717),"""",IF(ISDATE(B717),""X"",""""))"),"")</f>
        <v/>
      </c>
      <c r="L717" s="40" t="str">
        <f>IFERROR(__xludf.DUMMYFUNCTION("IF(ISBLANK(B717),"""",IF(Or(I717=""Em Aberto"",ISBLANK(I717),NOT(ISDATE(B717))),"""",H717))"),"")</f>
        <v/>
      </c>
      <c r="M717" s="29" t="str">
        <f>IFERROR(__xludf.DUMMYFUNCTION("IF(ISBLANK(B717),"""",IF(ISDATE(B717),TEXT(B717,""m""),""""))"),"")</f>
        <v/>
      </c>
      <c r="N717" s="29" t="str">
        <f>IFERROR(__xludf.DUMMYFUNCTION("IF(M717="""","""",QUERY({'Dashboard-Dados'!$Y$2:$AA$13},""Select Col2 Where Col1=""&amp;M717))"),"")</f>
        <v/>
      </c>
      <c r="O717" s="29" t="str">
        <f>IFERROR(__xludf.DUMMYFUNCTION("IF(ISBLANK(B717),"""",IF(ISDATE(B717),TEXT(B717,""yyyy""),""""))"),"")</f>
        <v/>
      </c>
    </row>
    <row r="718">
      <c r="B718" s="62"/>
      <c r="C718" s="56"/>
      <c r="D718" s="56"/>
      <c r="E718" s="56"/>
      <c r="F718" s="63"/>
      <c r="G718" s="64"/>
      <c r="H718" s="65"/>
      <c r="I718" s="63"/>
      <c r="K718" s="53" t="str">
        <f>IFERROR(__xludf.DUMMYFUNCTION("IF(ISBLANK(B718),"""",IF(ISDATE(B718),""X"",""""))"),"")</f>
        <v/>
      </c>
      <c r="L718" s="40" t="str">
        <f>IFERROR(__xludf.DUMMYFUNCTION("IF(ISBLANK(B718),"""",IF(Or(I718=""Em Aberto"",ISBLANK(I718),NOT(ISDATE(B718))),"""",H718))"),"")</f>
        <v/>
      </c>
      <c r="M718" s="29" t="str">
        <f>IFERROR(__xludf.DUMMYFUNCTION("IF(ISBLANK(B718),"""",IF(ISDATE(B718),TEXT(B718,""m""),""""))"),"")</f>
        <v/>
      </c>
      <c r="N718" s="29" t="str">
        <f>IFERROR(__xludf.DUMMYFUNCTION("IF(M718="""","""",QUERY({'Dashboard-Dados'!$Y$2:$AA$13},""Select Col2 Where Col1=""&amp;M718))"),"")</f>
        <v/>
      </c>
      <c r="O718" s="29" t="str">
        <f>IFERROR(__xludf.DUMMYFUNCTION("IF(ISBLANK(B718),"""",IF(ISDATE(B718),TEXT(B718,""yyyy""),""""))"),"")</f>
        <v/>
      </c>
    </row>
    <row r="719">
      <c r="B719" s="62"/>
      <c r="C719" s="56"/>
      <c r="D719" s="56"/>
      <c r="E719" s="56"/>
      <c r="F719" s="63"/>
      <c r="G719" s="64"/>
      <c r="H719" s="65"/>
      <c r="I719" s="63"/>
      <c r="K719" s="53" t="str">
        <f>IFERROR(__xludf.DUMMYFUNCTION("IF(ISBLANK(B719),"""",IF(ISDATE(B719),""X"",""""))"),"")</f>
        <v/>
      </c>
      <c r="L719" s="40" t="str">
        <f>IFERROR(__xludf.DUMMYFUNCTION("IF(ISBLANK(B719),"""",IF(Or(I719=""Em Aberto"",ISBLANK(I719),NOT(ISDATE(B719))),"""",H719))"),"")</f>
        <v/>
      </c>
      <c r="M719" s="29" t="str">
        <f>IFERROR(__xludf.DUMMYFUNCTION("IF(ISBLANK(B719),"""",IF(ISDATE(B719),TEXT(B719,""m""),""""))"),"")</f>
        <v/>
      </c>
      <c r="N719" s="29" t="str">
        <f>IFERROR(__xludf.DUMMYFUNCTION("IF(M719="""","""",QUERY({'Dashboard-Dados'!$Y$2:$AA$13},""Select Col2 Where Col1=""&amp;M719))"),"")</f>
        <v/>
      </c>
      <c r="O719" s="29" t="str">
        <f>IFERROR(__xludf.DUMMYFUNCTION("IF(ISBLANK(B719),"""",IF(ISDATE(B719),TEXT(B719,""yyyy""),""""))"),"")</f>
        <v/>
      </c>
    </row>
    <row r="720">
      <c r="B720" s="62"/>
      <c r="C720" s="56"/>
      <c r="D720" s="56"/>
      <c r="E720" s="56"/>
      <c r="F720" s="63"/>
      <c r="G720" s="64"/>
      <c r="H720" s="65"/>
      <c r="I720" s="63"/>
      <c r="K720" s="53" t="str">
        <f>IFERROR(__xludf.DUMMYFUNCTION("IF(ISBLANK(B720),"""",IF(ISDATE(B720),""X"",""""))"),"")</f>
        <v/>
      </c>
      <c r="L720" s="40" t="str">
        <f>IFERROR(__xludf.DUMMYFUNCTION("IF(ISBLANK(B720),"""",IF(Or(I720=""Em Aberto"",ISBLANK(I720),NOT(ISDATE(B720))),"""",H720))"),"")</f>
        <v/>
      </c>
      <c r="M720" s="29" t="str">
        <f>IFERROR(__xludf.DUMMYFUNCTION("IF(ISBLANK(B720),"""",IF(ISDATE(B720),TEXT(B720,""m""),""""))"),"")</f>
        <v/>
      </c>
      <c r="N720" s="29" t="str">
        <f>IFERROR(__xludf.DUMMYFUNCTION("IF(M720="""","""",QUERY({'Dashboard-Dados'!$Y$2:$AA$13},""Select Col2 Where Col1=""&amp;M720))"),"")</f>
        <v/>
      </c>
      <c r="O720" s="29" t="str">
        <f>IFERROR(__xludf.DUMMYFUNCTION("IF(ISBLANK(B720),"""",IF(ISDATE(B720),TEXT(B720,""yyyy""),""""))"),"")</f>
        <v/>
      </c>
    </row>
    <row r="721">
      <c r="B721" s="62"/>
      <c r="C721" s="56"/>
      <c r="D721" s="56"/>
      <c r="E721" s="56"/>
      <c r="F721" s="63"/>
      <c r="G721" s="64"/>
      <c r="H721" s="65"/>
      <c r="I721" s="63"/>
      <c r="K721" s="53" t="str">
        <f>IFERROR(__xludf.DUMMYFUNCTION("IF(ISBLANK(B721),"""",IF(ISDATE(B721),""X"",""""))"),"")</f>
        <v/>
      </c>
      <c r="L721" s="40" t="str">
        <f>IFERROR(__xludf.DUMMYFUNCTION("IF(ISBLANK(B721),"""",IF(Or(I721=""Em Aberto"",ISBLANK(I721),NOT(ISDATE(B721))),"""",H721))"),"")</f>
        <v/>
      </c>
      <c r="M721" s="29" t="str">
        <f>IFERROR(__xludf.DUMMYFUNCTION("IF(ISBLANK(B721),"""",IF(ISDATE(B721),TEXT(B721,""m""),""""))"),"")</f>
        <v/>
      </c>
      <c r="N721" s="29" t="str">
        <f>IFERROR(__xludf.DUMMYFUNCTION("IF(M721="""","""",QUERY({'Dashboard-Dados'!$Y$2:$AA$13},""Select Col2 Where Col1=""&amp;M721))"),"")</f>
        <v/>
      </c>
      <c r="O721" s="29" t="str">
        <f>IFERROR(__xludf.DUMMYFUNCTION("IF(ISBLANK(B721),"""",IF(ISDATE(B721),TEXT(B721,""yyyy""),""""))"),"")</f>
        <v/>
      </c>
    </row>
    <row r="722">
      <c r="B722" s="62"/>
      <c r="C722" s="56"/>
      <c r="D722" s="56"/>
      <c r="E722" s="56"/>
      <c r="F722" s="63"/>
      <c r="G722" s="64"/>
      <c r="H722" s="65"/>
      <c r="I722" s="63"/>
      <c r="K722" s="53" t="str">
        <f>IFERROR(__xludf.DUMMYFUNCTION("IF(ISBLANK(B722),"""",IF(ISDATE(B722),""X"",""""))"),"")</f>
        <v/>
      </c>
      <c r="L722" s="40" t="str">
        <f>IFERROR(__xludf.DUMMYFUNCTION("IF(ISBLANK(B722),"""",IF(Or(I722=""Em Aberto"",ISBLANK(I722),NOT(ISDATE(B722))),"""",H722))"),"")</f>
        <v/>
      </c>
      <c r="M722" s="29" t="str">
        <f>IFERROR(__xludf.DUMMYFUNCTION("IF(ISBLANK(B722),"""",IF(ISDATE(B722),TEXT(B722,""m""),""""))"),"")</f>
        <v/>
      </c>
      <c r="N722" s="29" t="str">
        <f>IFERROR(__xludf.DUMMYFUNCTION("IF(M722="""","""",QUERY({'Dashboard-Dados'!$Y$2:$AA$13},""Select Col2 Where Col1=""&amp;M722))"),"")</f>
        <v/>
      </c>
      <c r="O722" s="29" t="str">
        <f>IFERROR(__xludf.DUMMYFUNCTION("IF(ISBLANK(B722),"""",IF(ISDATE(B722),TEXT(B722,""yyyy""),""""))"),"")</f>
        <v/>
      </c>
    </row>
    <row r="723">
      <c r="B723" s="62"/>
      <c r="C723" s="56"/>
      <c r="D723" s="56"/>
      <c r="E723" s="56"/>
      <c r="F723" s="63"/>
      <c r="G723" s="64"/>
      <c r="H723" s="65"/>
      <c r="I723" s="63"/>
      <c r="K723" s="53" t="str">
        <f>IFERROR(__xludf.DUMMYFUNCTION("IF(ISBLANK(B723),"""",IF(ISDATE(B723),""X"",""""))"),"")</f>
        <v/>
      </c>
      <c r="L723" s="40" t="str">
        <f>IFERROR(__xludf.DUMMYFUNCTION("IF(ISBLANK(B723),"""",IF(Or(I723=""Em Aberto"",ISBLANK(I723),NOT(ISDATE(B723))),"""",H723))"),"")</f>
        <v/>
      </c>
      <c r="M723" s="29" t="str">
        <f>IFERROR(__xludf.DUMMYFUNCTION("IF(ISBLANK(B723),"""",IF(ISDATE(B723),TEXT(B723,""m""),""""))"),"")</f>
        <v/>
      </c>
      <c r="N723" s="29" t="str">
        <f>IFERROR(__xludf.DUMMYFUNCTION("IF(M723="""","""",QUERY({'Dashboard-Dados'!$Y$2:$AA$13},""Select Col2 Where Col1=""&amp;M723))"),"")</f>
        <v/>
      </c>
      <c r="O723" s="29" t="str">
        <f>IFERROR(__xludf.DUMMYFUNCTION("IF(ISBLANK(B723),"""",IF(ISDATE(B723),TEXT(B723,""yyyy""),""""))"),"")</f>
        <v/>
      </c>
    </row>
    <row r="724">
      <c r="B724" s="62"/>
      <c r="C724" s="56"/>
      <c r="D724" s="56"/>
      <c r="E724" s="56"/>
      <c r="F724" s="63"/>
      <c r="G724" s="64"/>
      <c r="H724" s="65"/>
      <c r="I724" s="63"/>
      <c r="K724" s="53" t="str">
        <f>IFERROR(__xludf.DUMMYFUNCTION("IF(ISBLANK(B724),"""",IF(ISDATE(B724),""X"",""""))"),"")</f>
        <v/>
      </c>
      <c r="L724" s="40" t="str">
        <f>IFERROR(__xludf.DUMMYFUNCTION("IF(ISBLANK(B724),"""",IF(Or(I724=""Em Aberto"",ISBLANK(I724),NOT(ISDATE(B724))),"""",H724))"),"")</f>
        <v/>
      </c>
      <c r="M724" s="29" t="str">
        <f>IFERROR(__xludf.DUMMYFUNCTION("IF(ISBLANK(B724),"""",IF(ISDATE(B724),TEXT(B724,""m""),""""))"),"")</f>
        <v/>
      </c>
      <c r="N724" s="29" t="str">
        <f>IFERROR(__xludf.DUMMYFUNCTION("IF(M724="""","""",QUERY({'Dashboard-Dados'!$Y$2:$AA$13},""Select Col2 Where Col1=""&amp;M724))"),"")</f>
        <v/>
      </c>
      <c r="O724" s="29" t="str">
        <f>IFERROR(__xludf.DUMMYFUNCTION("IF(ISBLANK(B724),"""",IF(ISDATE(B724),TEXT(B724,""yyyy""),""""))"),"")</f>
        <v/>
      </c>
    </row>
    <row r="725">
      <c r="B725" s="62"/>
      <c r="C725" s="56"/>
      <c r="D725" s="56"/>
      <c r="E725" s="56"/>
      <c r="F725" s="63"/>
      <c r="G725" s="64"/>
      <c r="H725" s="65"/>
      <c r="I725" s="63"/>
      <c r="K725" s="53" t="str">
        <f>IFERROR(__xludf.DUMMYFUNCTION("IF(ISBLANK(B725),"""",IF(ISDATE(B725),""X"",""""))"),"")</f>
        <v/>
      </c>
      <c r="L725" s="40" t="str">
        <f>IFERROR(__xludf.DUMMYFUNCTION("IF(ISBLANK(B725),"""",IF(Or(I725=""Em Aberto"",ISBLANK(I725),NOT(ISDATE(B725))),"""",H725))"),"")</f>
        <v/>
      </c>
      <c r="M725" s="29" t="str">
        <f>IFERROR(__xludf.DUMMYFUNCTION("IF(ISBLANK(B725),"""",IF(ISDATE(B725),TEXT(B725,""m""),""""))"),"")</f>
        <v/>
      </c>
      <c r="N725" s="29" t="str">
        <f>IFERROR(__xludf.DUMMYFUNCTION("IF(M725="""","""",QUERY({'Dashboard-Dados'!$Y$2:$AA$13},""Select Col2 Where Col1=""&amp;M725))"),"")</f>
        <v/>
      </c>
      <c r="O725" s="29" t="str">
        <f>IFERROR(__xludf.DUMMYFUNCTION("IF(ISBLANK(B725),"""",IF(ISDATE(B725),TEXT(B725,""yyyy""),""""))"),"")</f>
        <v/>
      </c>
    </row>
    <row r="726">
      <c r="B726" s="62"/>
      <c r="C726" s="56"/>
      <c r="D726" s="56"/>
      <c r="E726" s="56"/>
      <c r="F726" s="63"/>
      <c r="G726" s="64"/>
      <c r="H726" s="65"/>
      <c r="I726" s="63"/>
      <c r="K726" s="53" t="str">
        <f>IFERROR(__xludf.DUMMYFUNCTION("IF(ISBLANK(B726),"""",IF(ISDATE(B726),""X"",""""))"),"")</f>
        <v/>
      </c>
      <c r="L726" s="40" t="str">
        <f>IFERROR(__xludf.DUMMYFUNCTION("IF(ISBLANK(B726),"""",IF(Or(I726=""Em Aberto"",ISBLANK(I726),NOT(ISDATE(B726))),"""",H726))"),"")</f>
        <v/>
      </c>
      <c r="M726" s="29" t="str">
        <f>IFERROR(__xludf.DUMMYFUNCTION("IF(ISBLANK(B726),"""",IF(ISDATE(B726),TEXT(B726,""m""),""""))"),"")</f>
        <v/>
      </c>
      <c r="N726" s="29" t="str">
        <f>IFERROR(__xludf.DUMMYFUNCTION("IF(M726="""","""",QUERY({'Dashboard-Dados'!$Y$2:$AA$13},""Select Col2 Where Col1=""&amp;M726))"),"")</f>
        <v/>
      </c>
      <c r="O726" s="29" t="str">
        <f>IFERROR(__xludf.DUMMYFUNCTION("IF(ISBLANK(B726),"""",IF(ISDATE(B726),TEXT(B726,""yyyy""),""""))"),"")</f>
        <v/>
      </c>
    </row>
    <row r="727">
      <c r="B727" s="62"/>
      <c r="C727" s="56"/>
      <c r="D727" s="56"/>
      <c r="E727" s="56"/>
      <c r="F727" s="63"/>
      <c r="G727" s="64"/>
      <c r="H727" s="65"/>
      <c r="I727" s="63"/>
      <c r="K727" s="53" t="str">
        <f>IFERROR(__xludf.DUMMYFUNCTION("IF(ISBLANK(B727),"""",IF(ISDATE(B727),""X"",""""))"),"")</f>
        <v/>
      </c>
      <c r="L727" s="40" t="str">
        <f>IFERROR(__xludf.DUMMYFUNCTION("IF(ISBLANK(B727),"""",IF(Or(I727=""Em Aberto"",ISBLANK(I727),NOT(ISDATE(B727))),"""",H727))"),"")</f>
        <v/>
      </c>
      <c r="M727" s="29" t="str">
        <f>IFERROR(__xludf.DUMMYFUNCTION("IF(ISBLANK(B727),"""",IF(ISDATE(B727),TEXT(B727,""m""),""""))"),"")</f>
        <v/>
      </c>
      <c r="N727" s="29" t="str">
        <f>IFERROR(__xludf.DUMMYFUNCTION("IF(M727="""","""",QUERY({'Dashboard-Dados'!$Y$2:$AA$13},""Select Col2 Where Col1=""&amp;M727))"),"")</f>
        <v/>
      </c>
      <c r="O727" s="29" t="str">
        <f>IFERROR(__xludf.DUMMYFUNCTION("IF(ISBLANK(B727),"""",IF(ISDATE(B727),TEXT(B727,""yyyy""),""""))"),"")</f>
        <v/>
      </c>
    </row>
    <row r="728">
      <c r="B728" s="62"/>
      <c r="C728" s="56"/>
      <c r="D728" s="56"/>
      <c r="E728" s="56"/>
      <c r="F728" s="63"/>
      <c r="G728" s="64"/>
      <c r="H728" s="65"/>
      <c r="I728" s="63"/>
      <c r="K728" s="53" t="str">
        <f>IFERROR(__xludf.DUMMYFUNCTION("IF(ISBLANK(B728),"""",IF(ISDATE(B728),""X"",""""))"),"")</f>
        <v/>
      </c>
      <c r="L728" s="40" t="str">
        <f>IFERROR(__xludf.DUMMYFUNCTION("IF(ISBLANK(B728),"""",IF(Or(I728=""Em Aberto"",ISBLANK(I728),NOT(ISDATE(B728))),"""",H728))"),"")</f>
        <v/>
      </c>
      <c r="M728" s="29" t="str">
        <f>IFERROR(__xludf.DUMMYFUNCTION("IF(ISBLANK(B728),"""",IF(ISDATE(B728),TEXT(B728,""m""),""""))"),"")</f>
        <v/>
      </c>
      <c r="N728" s="29" t="str">
        <f>IFERROR(__xludf.DUMMYFUNCTION("IF(M728="""","""",QUERY({'Dashboard-Dados'!$Y$2:$AA$13},""Select Col2 Where Col1=""&amp;M728))"),"")</f>
        <v/>
      </c>
      <c r="O728" s="29" t="str">
        <f>IFERROR(__xludf.DUMMYFUNCTION("IF(ISBLANK(B728),"""",IF(ISDATE(B728),TEXT(B728,""yyyy""),""""))"),"")</f>
        <v/>
      </c>
    </row>
    <row r="729">
      <c r="B729" s="62"/>
      <c r="C729" s="56"/>
      <c r="D729" s="56"/>
      <c r="E729" s="56"/>
      <c r="F729" s="63"/>
      <c r="G729" s="64"/>
      <c r="H729" s="65"/>
      <c r="I729" s="63"/>
      <c r="K729" s="53" t="str">
        <f>IFERROR(__xludf.DUMMYFUNCTION("IF(ISBLANK(B729),"""",IF(ISDATE(B729),""X"",""""))"),"")</f>
        <v/>
      </c>
      <c r="L729" s="40" t="str">
        <f>IFERROR(__xludf.DUMMYFUNCTION("IF(ISBLANK(B729),"""",IF(Or(I729=""Em Aberto"",ISBLANK(I729),NOT(ISDATE(B729))),"""",H729))"),"")</f>
        <v/>
      </c>
      <c r="M729" s="29" t="str">
        <f>IFERROR(__xludf.DUMMYFUNCTION("IF(ISBLANK(B729),"""",IF(ISDATE(B729),TEXT(B729,""m""),""""))"),"")</f>
        <v/>
      </c>
      <c r="N729" s="29" t="str">
        <f>IFERROR(__xludf.DUMMYFUNCTION("IF(M729="""","""",QUERY({'Dashboard-Dados'!$Y$2:$AA$13},""Select Col2 Where Col1=""&amp;M729))"),"")</f>
        <v/>
      </c>
      <c r="O729" s="29" t="str">
        <f>IFERROR(__xludf.DUMMYFUNCTION("IF(ISBLANK(B729),"""",IF(ISDATE(B729),TEXT(B729,""yyyy""),""""))"),"")</f>
        <v/>
      </c>
    </row>
    <row r="730">
      <c r="B730" s="62"/>
      <c r="C730" s="56"/>
      <c r="D730" s="56"/>
      <c r="E730" s="56"/>
      <c r="F730" s="63"/>
      <c r="G730" s="64"/>
      <c r="H730" s="65"/>
      <c r="I730" s="63"/>
      <c r="K730" s="53" t="str">
        <f>IFERROR(__xludf.DUMMYFUNCTION("IF(ISBLANK(B730),"""",IF(ISDATE(B730),""X"",""""))"),"")</f>
        <v/>
      </c>
      <c r="L730" s="40" t="str">
        <f>IFERROR(__xludf.DUMMYFUNCTION("IF(ISBLANK(B730),"""",IF(Or(I730=""Em Aberto"",ISBLANK(I730),NOT(ISDATE(B730))),"""",H730))"),"")</f>
        <v/>
      </c>
      <c r="M730" s="29" t="str">
        <f>IFERROR(__xludf.DUMMYFUNCTION("IF(ISBLANK(B730),"""",IF(ISDATE(B730),TEXT(B730,""m""),""""))"),"")</f>
        <v/>
      </c>
      <c r="N730" s="29" t="str">
        <f>IFERROR(__xludf.DUMMYFUNCTION("IF(M730="""","""",QUERY({'Dashboard-Dados'!$Y$2:$AA$13},""Select Col2 Where Col1=""&amp;M730))"),"")</f>
        <v/>
      </c>
      <c r="O730" s="29" t="str">
        <f>IFERROR(__xludf.DUMMYFUNCTION("IF(ISBLANK(B730),"""",IF(ISDATE(B730),TEXT(B730,""yyyy""),""""))"),"")</f>
        <v/>
      </c>
    </row>
    <row r="731">
      <c r="B731" s="62"/>
      <c r="C731" s="56"/>
      <c r="D731" s="56"/>
      <c r="E731" s="56"/>
      <c r="F731" s="63"/>
      <c r="G731" s="64"/>
      <c r="H731" s="65"/>
      <c r="I731" s="63"/>
      <c r="K731" s="53" t="str">
        <f>IFERROR(__xludf.DUMMYFUNCTION("IF(ISBLANK(B731),"""",IF(ISDATE(B731),""X"",""""))"),"")</f>
        <v/>
      </c>
      <c r="L731" s="40" t="str">
        <f>IFERROR(__xludf.DUMMYFUNCTION("IF(ISBLANK(B731),"""",IF(Or(I731=""Em Aberto"",ISBLANK(I731),NOT(ISDATE(B731))),"""",H731))"),"")</f>
        <v/>
      </c>
      <c r="M731" s="29" t="str">
        <f>IFERROR(__xludf.DUMMYFUNCTION("IF(ISBLANK(B731),"""",IF(ISDATE(B731),TEXT(B731,""m""),""""))"),"")</f>
        <v/>
      </c>
      <c r="N731" s="29" t="str">
        <f>IFERROR(__xludf.DUMMYFUNCTION("IF(M731="""","""",QUERY({'Dashboard-Dados'!$Y$2:$AA$13},""Select Col2 Where Col1=""&amp;M731))"),"")</f>
        <v/>
      </c>
      <c r="O731" s="29" t="str">
        <f>IFERROR(__xludf.DUMMYFUNCTION("IF(ISBLANK(B731),"""",IF(ISDATE(B731),TEXT(B731,""yyyy""),""""))"),"")</f>
        <v/>
      </c>
    </row>
    <row r="732">
      <c r="B732" s="62"/>
      <c r="C732" s="56"/>
      <c r="D732" s="56"/>
      <c r="E732" s="56"/>
      <c r="F732" s="63"/>
      <c r="G732" s="64"/>
      <c r="H732" s="65"/>
      <c r="I732" s="63"/>
      <c r="K732" s="53" t="str">
        <f>IFERROR(__xludf.DUMMYFUNCTION("IF(ISBLANK(B732),"""",IF(ISDATE(B732),""X"",""""))"),"")</f>
        <v/>
      </c>
      <c r="L732" s="40" t="str">
        <f>IFERROR(__xludf.DUMMYFUNCTION("IF(ISBLANK(B732),"""",IF(Or(I732=""Em Aberto"",ISBLANK(I732),NOT(ISDATE(B732))),"""",H732))"),"")</f>
        <v/>
      </c>
      <c r="M732" s="29" t="str">
        <f>IFERROR(__xludf.DUMMYFUNCTION("IF(ISBLANK(B732),"""",IF(ISDATE(B732),TEXT(B732,""m""),""""))"),"")</f>
        <v/>
      </c>
      <c r="N732" s="29" t="str">
        <f>IFERROR(__xludf.DUMMYFUNCTION("IF(M732="""","""",QUERY({'Dashboard-Dados'!$Y$2:$AA$13},""Select Col2 Where Col1=""&amp;M732))"),"")</f>
        <v/>
      </c>
      <c r="O732" s="29" t="str">
        <f>IFERROR(__xludf.DUMMYFUNCTION("IF(ISBLANK(B732),"""",IF(ISDATE(B732),TEXT(B732,""yyyy""),""""))"),"")</f>
        <v/>
      </c>
    </row>
    <row r="733">
      <c r="B733" s="62"/>
      <c r="C733" s="56"/>
      <c r="D733" s="56"/>
      <c r="E733" s="56"/>
      <c r="F733" s="63"/>
      <c r="G733" s="64"/>
      <c r="H733" s="65"/>
      <c r="I733" s="63"/>
      <c r="K733" s="53" t="str">
        <f>IFERROR(__xludf.DUMMYFUNCTION("IF(ISBLANK(B733),"""",IF(ISDATE(B733),""X"",""""))"),"")</f>
        <v/>
      </c>
      <c r="L733" s="40" t="str">
        <f>IFERROR(__xludf.DUMMYFUNCTION("IF(ISBLANK(B733),"""",IF(Or(I733=""Em Aberto"",ISBLANK(I733),NOT(ISDATE(B733))),"""",H733))"),"")</f>
        <v/>
      </c>
      <c r="M733" s="29" t="str">
        <f>IFERROR(__xludf.DUMMYFUNCTION("IF(ISBLANK(B733),"""",IF(ISDATE(B733),TEXT(B733,""m""),""""))"),"")</f>
        <v/>
      </c>
      <c r="N733" s="29" t="str">
        <f>IFERROR(__xludf.DUMMYFUNCTION("IF(M733="""","""",QUERY({'Dashboard-Dados'!$Y$2:$AA$13},""Select Col2 Where Col1=""&amp;M733))"),"")</f>
        <v/>
      </c>
      <c r="O733" s="29" t="str">
        <f>IFERROR(__xludf.DUMMYFUNCTION("IF(ISBLANK(B733),"""",IF(ISDATE(B733),TEXT(B733,""yyyy""),""""))"),"")</f>
        <v/>
      </c>
    </row>
    <row r="734">
      <c r="B734" s="62"/>
      <c r="C734" s="56"/>
      <c r="D734" s="56"/>
      <c r="E734" s="56"/>
      <c r="F734" s="63"/>
      <c r="G734" s="64"/>
      <c r="H734" s="65"/>
      <c r="I734" s="63"/>
      <c r="K734" s="53" t="str">
        <f>IFERROR(__xludf.DUMMYFUNCTION("IF(ISBLANK(B734),"""",IF(ISDATE(B734),""X"",""""))"),"")</f>
        <v/>
      </c>
      <c r="L734" s="40" t="str">
        <f>IFERROR(__xludf.DUMMYFUNCTION("IF(ISBLANK(B734),"""",IF(Or(I734=""Em Aberto"",ISBLANK(I734),NOT(ISDATE(B734))),"""",H734))"),"")</f>
        <v/>
      </c>
      <c r="M734" s="29" t="str">
        <f>IFERROR(__xludf.DUMMYFUNCTION("IF(ISBLANK(B734),"""",IF(ISDATE(B734),TEXT(B734,""m""),""""))"),"")</f>
        <v/>
      </c>
      <c r="N734" s="29" t="str">
        <f>IFERROR(__xludf.DUMMYFUNCTION("IF(M734="""","""",QUERY({'Dashboard-Dados'!$Y$2:$AA$13},""Select Col2 Where Col1=""&amp;M734))"),"")</f>
        <v/>
      </c>
      <c r="O734" s="29" t="str">
        <f>IFERROR(__xludf.DUMMYFUNCTION("IF(ISBLANK(B734),"""",IF(ISDATE(B734),TEXT(B734,""yyyy""),""""))"),"")</f>
        <v/>
      </c>
    </row>
    <row r="735">
      <c r="B735" s="62"/>
      <c r="C735" s="56"/>
      <c r="D735" s="56"/>
      <c r="E735" s="56"/>
      <c r="F735" s="63"/>
      <c r="G735" s="64"/>
      <c r="H735" s="65"/>
      <c r="I735" s="63"/>
      <c r="K735" s="53" t="str">
        <f>IFERROR(__xludf.DUMMYFUNCTION("IF(ISBLANK(B735),"""",IF(ISDATE(B735),""X"",""""))"),"")</f>
        <v/>
      </c>
      <c r="L735" s="40" t="str">
        <f>IFERROR(__xludf.DUMMYFUNCTION("IF(ISBLANK(B735),"""",IF(Or(I735=""Em Aberto"",ISBLANK(I735),NOT(ISDATE(B735))),"""",H735))"),"")</f>
        <v/>
      </c>
      <c r="M735" s="29" t="str">
        <f>IFERROR(__xludf.DUMMYFUNCTION("IF(ISBLANK(B735),"""",IF(ISDATE(B735),TEXT(B735,""m""),""""))"),"")</f>
        <v/>
      </c>
      <c r="N735" s="29" t="str">
        <f>IFERROR(__xludf.DUMMYFUNCTION("IF(M735="""","""",QUERY({'Dashboard-Dados'!$Y$2:$AA$13},""Select Col2 Where Col1=""&amp;M735))"),"")</f>
        <v/>
      </c>
      <c r="O735" s="29" t="str">
        <f>IFERROR(__xludf.DUMMYFUNCTION("IF(ISBLANK(B735),"""",IF(ISDATE(B735),TEXT(B735,""yyyy""),""""))"),"")</f>
        <v/>
      </c>
    </row>
    <row r="736">
      <c r="B736" s="62"/>
      <c r="C736" s="56"/>
      <c r="D736" s="56"/>
      <c r="E736" s="56"/>
      <c r="F736" s="63"/>
      <c r="G736" s="64"/>
      <c r="H736" s="65"/>
      <c r="I736" s="63"/>
      <c r="K736" s="53" t="str">
        <f>IFERROR(__xludf.DUMMYFUNCTION("IF(ISBLANK(B736),"""",IF(ISDATE(B736),""X"",""""))"),"")</f>
        <v/>
      </c>
      <c r="L736" s="40" t="str">
        <f>IFERROR(__xludf.DUMMYFUNCTION("IF(ISBLANK(B736),"""",IF(Or(I736=""Em Aberto"",ISBLANK(I736),NOT(ISDATE(B736))),"""",H736))"),"")</f>
        <v/>
      </c>
      <c r="M736" s="29" t="str">
        <f>IFERROR(__xludf.DUMMYFUNCTION("IF(ISBLANK(B736),"""",IF(ISDATE(B736),TEXT(B736,""m""),""""))"),"")</f>
        <v/>
      </c>
      <c r="N736" s="29" t="str">
        <f>IFERROR(__xludf.DUMMYFUNCTION("IF(M736="""","""",QUERY({'Dashboard-Dados'!$Y$2:$AA$13},""Select Col2 Where Col1=""&amp;M736))"),"")</f>
        <v/>
      </c>
      <c r="O736" s="29" t="str">
        <f>IFERROR(__xludf.DUMMYFUNCTION("IF(ISBLANK(B736),"""",IF(ISDATE(B736),TEXT(B736,""yyyy""),""""))"),"")</f>
        <v/>
      </c>
    </row>
    <row r="737">
      <c r="B737" s="62"/>
      <c r="C737" s="56"/>
      <c r="D737" s="56"/>
      <c r="E737" s="56"/>
      <c r="F737" s="63"/>
      <c r="G737" s="64"/>
      <c r="H737" s="65"/>
      <c r="I737" s="63"/>
      <c r="K737" s="53" t="str">
        <f>IFERROR(__xludf.DUMMYFUNCTION("IF(ISBLANK(B737),"""",IF(ISDATE(B737),""X"",""""))"),"")</f>
        <v/>
      </c>
      <c r="L737" s="40" t="str">
        <f>IFERROR(__xludf.DUMMYFUNCTION("IF(ISBLANK(B737),"""",IF(Or(I737=""Em Aberto"",ISBLANK(I737),NOT(ISDATE(B737))),"""",H737))"),"")</f>
        <v/>
      </c>
      <c r="M737" s="29" t="str">
        <f>IFERROR(__xludf.DUMMYFUNCTION("IF(ISBLANK(B737),"""",IF(ISDATE(B737),TEXT(B737,""m""),""""))"),"")</f>
        <v/>
      </c>
      <c r="N737" s="29" t="str">
        <f>IFERROR(__xludf.DUMMYFUNCTION("IF(M737="""","""",QUERY({'Dashboard-Dados'!$Y$2:$AA$13},""Select Col2 Where Col1=""&amp;M737))"),"")</f>
        <v/>
      </c>
      <c r="O737" s="29" t="str">
        <f>IFERROR(__xludf.DUMMYFUNCTION("IF(ISBLANK(B737),"""",IF(ISDATE(B737),TEXT(B737,""yyyy""),""""))"),"")</f>
        <v/>
      </c>
    </row>
    <row r="738">
      <c r="B738" s="62"/>
      <c r="C738" s="56"/>
      <c r="D738" s="56"/>
      <c r="E738" s="56"/>
      <c r="F738" s="63"/>
      <c r="G738" s="64"/>
      <c r="H738" s="65"/>
      <c r="I738" s="63"/>
      <c r="K738" s="53" t="str">
        <f>IFERROR(__xludf.DUMMYFUNCTION("IF(ISBLANK(B738),"""",IF(ISDATE(B738),""X"",""""))"),"")</f>
        <v/>
      </c>
      <c r="L738" s="40" t="str">
        <f>IFERROR(__xludf.DUMMYFUNCTION("IF(ISBLANK(B738),"""",IF(Or(I738=""Em Aberto"",ISBLANK(I738),NOT(ISDATE(B738))),"""",H738))"),"")</f>
        <v/>
      </c>
      <c r="M738" s="29" t="str">
        <f>IFERROR(__xludf.DUMMYFUNCTION("IF(ISBLANK(B738),"""",IF(ISDATE(B738),TEXT(B738,""m""),""""))"),"")</f>
        <v/>
      </c>
      <c r="N738" s="29" t="str">
        <f>IFERROR(__xludf.DUMMYFUNCTION("IF(M738="""","""",QUERY({'Dashboard-Dados'!$Y$2:$AA$13},""Select Col2 Where Col1=""&amp;M738))"),"")</f>
        <v/>
      </c>
      <c r="O738" s="29" t="str">
        <f>IFERROR(__xludf.DUMMYFUNCTION("IF(ISBLANK(B738),"""",IF(ISDATE(B738),TEXT(B738,""yyyy""),""""))"),"")</f>
        <v/>
      </c>
    </row>
    <row r="739">
      <c r="B739" s="62"/>
      <c r="C739" s="56"/>
      <c r="D739" s="56"/>
      <c r="E739" s="56"/>
      <c r="F739" s="63"/>
      <c r="G739" s="64"/>
      <c r="H739" s="65"/>
      <c r="I739" s="63"/>
      <c r="K739" s="53" t="str">
        <f>IFERROR(__xludf.DUMMYFUNCTION("IF(ISBLANK(B739),"""",IF(ISDATE(B739),""X"",""""))"),"")</f>
        <v/>
      </c>
      <c r="L739" s="40" t="str">
        <f>IFERROR(__xludf.DUMMYFUNCTION("IF(ISBLANK(B739),"""",IF(Or(I739=""Em Aberto"",ISBLANK(I739),NOT(ISDATE(B739))),"""",H739))"),"")</f>
        <v/>
      </c>
      <c r="M739" s="29" t="str">
        <f>IFERROR(__xludf.DUMMYFUNCTION("IF(ISBLANK(B739),"""",IF(ISDATE(B739),TEXT(B739,""m""),""""))"),"")</f>
        <v/>
      </c>
      <c r="N739" s="29" t="str">
        <f>IFERROR(__xludf.DUMMYFUNCTION("IF(M739="""","""",QUERY({'Dashboard-Dados'!$Y$2:$AA$13},""Select Col2 Where Col1=""&amp;M739))"),"")</f>
        <v/>
      </c>
      <c r="O739" s="29" t="str">
        <f>IFERROR(__xludf.DUMMYFUNCTION("IF(ISBLANK(B739),"""",IF(ISDATE(B739),TEXT(B739,""yyyy""),""""))"),"")</f>
        <v/>
      </c>
    </row>
    <row r="740">
      <c r="B740" s="62"/>
      <c r="C740" s="56"/>
      <c r="D740" s="56"/>
      <c r="E740" s="56"/>
      <c r="F740" s="63"/>
      <c r="G740" s="64"/>
      <c r="H740" s="65"/>
      <c r="I740" s="63"/>
      <c r="K740" s="53" t="str">
        <f>IFERROR(__xludf.DUMMYFUNCTION("IF(ISBLANK(B740),"""",IF(ISDATE(B740),""X"",""""))"),"")</f>
        <v/>
      </c>
      <c r="L740" s="40" t="str">
        <f>IFERROR(__xludf.DUMMYFUNCTION("IF(ISBLANK(B740),"""",IF(Or(I740=""Em Aberto"",ISBLANK(I740),NOT(ISDATE(B740))),"""",H740))"),"")</f>
        <v/>
      </c>
      <c r="M740" s="29" t="str">
        <f>IFERROR(__xludf.DUMMYFUNCTION("IF(ISBLANK(B740),"""",IF(ISDATE(B740),TEXT(B740,""m""),""""))"),"")</f>
        <v/>
      </c>
      <c r="N740" s="29" t="str">
        <f>IFERROR(__xludf.DUMMYFUNCTION("IF(M740="""","""",QUERY({'Dashboard-Dados'!$Y$2:$AA$13},""Select Col2 Where Col1=""&amp;M740))"),"")</f>
        <v/>
      </c>
      <c r="O740" s="29" t="str">
        <f>IFERROR(__xludf.DUMMYFUNCTION("IF(ISBLANK(B740),"""",IF(ISDATE(B740),TEXT(B740,""yyyy""),""""))"),"")</f>
        <v/>
      </c>
    </row>
    <row r="741">
      <c r="B741" s="62"/>
      <c r="C741" s="56"/>
      <c r="D741" s="56"/>
      <c r="E741" s="56"/>
      <c r="F741" s="63"/>
      <c r="G741" s="64"/>
      <c r="H741" s="65"/>
      <c r="I741" s="63"/>
      <c r="K741" s="53" t="str">
        <f>IFERROR(__xludf.DUMMYFUNCTION("IF(ISBLANK(B741),"""",IF(ISDATE(B741),""X"",""""))"),"")</f>
        <v/>
      </c>
      <c r="L741" s="40" t="str">
        <f>IFERROR(__xludf.DUMMYFUNCTION("IF(ISBLANK(B741),"""",IF(Or(I741=""Em Aberto"",ISBLANK(I741),NOT(ISDATE(B741))),"""",H741))"),"")</f>
        <v/>
      </c>
      <c r="M741" s="29" t="str">
        <f>IFERROR(__xludf.DUMMYFUNCTION("IF(ISBLANK(B741),"""",IF(ISDATE(B741),TEXT(B741,""m""),""""))"),"")</f>
        <v/>
      </c>
      <c r="N741" s="29" t="str">
        <f>IFERROR(__xludf.DUMMYFUNCTION("IF(M741="""","""",QUERY({'Dashboard-Dados'!$Y$2:$AA$13},""Select Col2 Where Col1=""&amp;M741))"),"")</f>
        <v/>
      </c>
      <c r="O741" s="29" t="str">
        <f>IFERROR(__xludf.DUMMYFUNCTION("IF(ISBLANK(B741),"""",IF(ISDATE(B741),TEXT(B741,""yyyy""),""""))"),"")</f>
        <v/>
      </c>
    </row>
    <row r="742">
      <c r="B742" s="62"/>
      <c r="C742" s="56"/>
      <c r="D742" s="56"/>
      <c r="E742" s="56"/>
      <c r="F742" s="63"/>
      <c r="G742" s="64"/>
      <c r="H742" s="65"/>
      <c r="I742" s="63"/>
      <c r="K742" s="53" t="str">
        <f>IFERROR(__xludf.DUMMYFUNCTION("IF(ISBLANK(B742),"""",IF(ISDATE(B742),""X"",""""))"),"")</f>
        <v/>
      </c>
      <c r="L742" s="40" t="str">
        <f>IFERROR(__xludf.DUMMYFUNCTION("IF(ISBLANK(B742),"""",IF(Or(I742=""Em Aberto"",ISBLANK(I742),NOT(ISDATE(B742))),"""",H742))"),"")</f>
        <v/>
      </c>
      <c r="M742" s="29" t="str">
        <f>IFERROR(__xludf.DUMMYFUNCTION("IF(ISBLANK(B742),"""",IF(ISDATE(B742),TEXT(B742,""m""),""""))"),"")</f>
        <v/>
      </c>
      <c r="N742" s="29" t="str">
        <f>IFERROR(__xludf.DUMMYFUNCTION("IF(M742="""","""",QUERY({'Dashboard-Dados'!$Y$2:$AA$13},""Select Col2 Where Col1=""&amp;M742))"),"")</f>
        <v/>
      </c>
      <c r="O742" s="29" t="str">
        <f>IFERROR(__xludf.DUMMYFUNCTION("IF(ISBLANK(B742),"""",IF(ISDATE(B742),TEXT(B742,""yyyy""),""""))"),"")</f>
        <v/>
      </c>
    </row>
    <row r="743">
      <c r="B743" s="62"/>
      <c r="C743" s="56"/>
      <c r="D743" s="56"/>
      <c r="E743" s="56"/>
      <c r="F743" s="63"/>
      <c r="G743" s="64"/>
      <c r="H743" s="65"/>
      <c r="I743" s="63"/>
      <c r="K743" s="53" t="str">
        <f>IFERROR(__xludf.DUMMYFUNCTION("IF(ISBLANK(B743),"""",IF(ISDATE(B743),""X"",""""))"),"")</f>
        <v/>
      </c>
      <c r="L743" s="40" t="str">
        <f>IFERROR(__xludf.DUMMYFUNCTION("IF(ISBLANK(B743),"""",IF(Or(I743=""Em Aberto"",ISBLANK(I743),NOT(ISDATE(B743))),"""",H743))"),"")</f>
        <v/>
      </c>
      <c r="M743" s="29" t="str">
        <f>IFERROR(__xludf.DUMMYFUNCTION("IF(ISBLANK(B743),"""",IF(ISDATE(B743),TEXT(B743,""m""),""""))"),"")</f>
        <v/>
      </c>
      <c r="N743" s="29" t="str">
        <f>IFERROR(__xludf.DUMMYFUNCTION("IF(M743="""","""",QUERY({'Dashboard-Dados'!$Y$2:$AA$13},""Select Col2 Where Col1=""&amp;M743))"),"")</f>
        <v/>
      </c>
      <c r="O743" s="29" t="str">
        <f>IFERROR(__xludf.DUMMYFUNCTION("IF(ISBLANK(B743),"""",IF(ISDATE(B743),TEXT(B743,""yyyy""),""""))"),"")</f>
        <v/>
      </c>
    </row>
    <row r="744">
      <c r="B744" s="62"/>
      <c r="C744" s="56"/>
      <c r="D744" s="56"/>
      <c r="E744" s="56"/>
      <c r="F744" s="63"/>
      <c r="G744" s="64"/>
      <c r="H744" s="65"/>
      <c r="I744" s="63"/>
      <c r="K744" s="53" t="str">
        <f>IFERROR(__xludf.DUMMYFUNCTION("IF(ISBLANK(B744),"""",IF(ISDATE(B744),""X"",""""))"),"")</f>
        <v/>
      </c>
      <c r="L744" s="40" t="str">
        <f>IFERROR(__xludf.DUMMYFUNCTION("IF(ISBLANK(B744),"""",IF(Or(I744=""Em Aberto"",ISBLANK(I744),NOT(ISDATE(B744))),"""",H744))"),"")</f>
        <v/>
      </c>
      <c r="M744" s="29" t="str">
        <f>IFERROR(__xludf.DUMMYFUNCTION("IF(ISBLANK(B744),"""",IF(ISDATE(B744),TEXT(B744,""m""),""""))"),"")</f>
        <v/>
      </c>
      <c r="N744" s="29" t="str">
        <f>IFERROR(__xludf.DUMMYFUNCTION("IF(M744="""","""",QUERY({'Dashboard-Dados'!$Y$2:$AA$13},""Select Col2 Where Col1=""&amp;M744))"),"")</f>
        <v/>
      </c>
      <c r="O744" s="29" t="str">
        <f>IFERROR(__xludf.DUMMYFUNCTION("IF(ISBLANK(B744),"""",IF(ISDATE(B744),TEXT(B744,""yyyy""),""""))"),"")</f>
        <v/>
      </c>
    </row>
    <row r="745">
      <c r="B745" s="62"/>
      <c r="C745" s="56"/>
      <c r="D745" s="56"/>
      <c r="E745" s="56"/>
      <c r="F745" s="63"/>
      <c r="G745" s="64"/>
      <c r="H745" s="65"/>
      <c r="I745" s="63"/>
      <c r="K745" s="53" t="str">
        <f>IFERROR(__xludf.DUMMYFUNCTION("IF(ISBLANK(B745),"""",IF(ISDATE(B745),""X"",""""))"),"")</f>
        <v/>
      </c>
      <c r="L745" s="40" t="str">
        <f>IFERROR(__xludf.DUMMYFUNCTION("IF(ISBLANK(B745),"""",IF(Or(I745=""Em Aberto"",ISBLANK(I745),NOT(ISDATE(B745))),"""",H745))"),"")</f>
        <v/>
      </c>
      <c r="M745" s="29" t="str">
        <f>IFERROR(__xludf.DUMMYFUNCTION("IF(ISBLANK(B745),"""",IF(ISDATE(B745),TEXT(B745,""m""),""""))"),"")</f>
        <v/>
      </c>
      <c r="N745" s="29" t="str">
        <f>IFERROR(__xludf.DUMMYFUNCTION("IF(M745="""","""",QUERY({'Dashboard-Dados'!$Y$2:$AA$13},""Select Col2 Where Col1=""&amp;M745))"),"")</f>
        <v/>
      </c>
      <c r="O745" s="29" t="str">
        <f>IFERROR(__xludf.DUMMYFUNCTION("IF(ISBLANK(B745),"""",IF(ISDATE(B745),TEXT(B745,""yyyy""),""""))"),"")</f>
        <v/>
      </c>
    </row>
    <row r="746">
      <c r="B746" s="62"/>
      <c r="C746" s="56"/>
      <c r="D746" s="56"/>
      <c r="E746" s="56"/>
      <c r="F746" s="63"/>
      <c r="G746" s="64"/>
      <c r="H746" s="65"/>
      <c r="I746" s="63"/>
      <c r="K746" s="53" t="str">
        <f>IFERROR(__xludf.DUMMYFUNCTION("IF(ISBLANK(B746),"""",IF(ISDATE(B746),""X"",""""))"),"")</f>
        <v/>
      </c>
      <c r="L746" s="40" t="str">
        <f>IFERROR(__xludf.DUMMYFUNCTION("IF(ISBLANK(B746),"""",IF(Or(I746=""Em Aberto"",ISBLANK(I746),NOT(ISDATE(B746))),"""",H746))"),"")</f>
        <v/>
      </c>
      <c r="M746" s="29" t="str">
        <f>IFERROR(__xludf.DUMMYFUNCTION("IF(ISBLANK(B746),"""",IF(ISDATE(B746),TEXT(B746,""m""),""""))"),"")</f>
        <v/>
      </c>
      <c r="N746" s="29" t="str">
        <f>IFERROR(__xludf.DUMMYFUNCTION("IF(M746="""","""",QUERY({'Dashboard-Dados'!$Y$2:$AA$13},""Select Col2 Where Col1=""&amp;M746))"),"")</f>
        <v/>
      </c>
      <c r="O746" s="29" t="str">
        <f>IFERROR(__xludf.DUMMYFUNCTION("IF(ISBLANK(B746),"""",IF(ISDATE(B746),TEXT(B746,""yyyy""),""""))"),"")</f>
        <v/>
      </c>
    </row>
    <row r="747">
      <c r="B747" s="62"/>
      <c r="C747" s="56"/>
      <c r="D747" s="56"/>
      <c r="E747" s="56"/>
      <c r="F747" s="63"/>
      <c r="G747" s="64"/>
      <c r="H747" s="65"/>
      <c r="I747" s="63"/>
      <c r="K747" s="53" t="str">
        <f>IFERROR(__xludf.DUMMYFUNCTION("IF(ISBLANK(B747),"""",IF(ISDATE(B747),""X"",""""))"),"")</f>
        <v/>
      </c>
      <c r="L747" s="40" t="str">
        <f>IFERROR(__xludf.DUMMYFUNCTION("IF(ISBLANK(B747),"""",IF(Or(I747=""Em Aberto"",ISBLANK(I747),NOT(ISDATE(B747))),"""",H747))"),"")</f>
        <v/>
      </c>
      <c r="M747" s="29" t="str">
        <f>IFERROR(__xludf.DUMMYFUNCTION("IF(ISBLANK(B747),"""",IF(ISDATE(B747),TEXT(B747,""m""),""""))"),"")</f>
        <v/>
      </c>
      <c r="N747" s="29" t="str">
        <f>IFERROR(__xludf.DUMMYFUNCTION("IF(M747="""","""",QUERY({'Dashboard-Dados'!$Y$2:$AA$13},""Select Col2 Where Col1=""&amp;M747))"),"")</f>
        <v/>
      </c>
      <c r="O747" s="29" t="str">
        <f>IFERROR(__xludf.DUMMYFUNCTION("IF(ISBLANK(B747),"""",IF(ISDATE(B747),TEXT(B747,""yyyy""),""""))"),"")</f>
        <v/>
      </c>
    </row>
    <row r="748">
      <c r="B748" s="62"/>
      <c r="C748" s="56"/>
      <c r="D748" s="56"/>
      <c r="E748" s="56"/>
      <c r="F748" s="63"/>
      <c r="G748" s="64"/>
      <c r="H748" s="65"/>
      <c r="I748" s="63"/>
      <c r="K748" s="53" t="str">
        <f>IFERROR(__xludf.DUMMYFUNCTION("IF(ISBLANK(B748),"""",IF(ISDATE(B748),""X"",""""))"),"")</f>
        <v/>
      </c>
      <c r="L748" s="40" t="str">
        <f>IFERROR(__xludf.DUMMYFUNCTION("IF(ISBLANK(B748),"""",IF(Or(I748=""Em Aberto"",ISBLANK(I748),NOT(ISDATE(B748))),"""",H748))"),"")</f>
        <v/>
      </c>
      <c r="M748" s="29" t="str">
        <f>IFERROR(__xludf.DUMMYFUNCTION("IF(ISBLANK(B748),"""",IF(ISDATE(B748),TEXT(B748,""m""),""""))"),"")</f>
        <v/>
      </c>
      <c r="N748" s="29" t="str">
        <f>IFERROR(__xludf.DUMMYFUNCTION("IF(M748="""","""",QUERY({'Dashboard-Dados'!$Y$2:$AA$13},""Select Col2 Where Col1=""&amp;M748))"),"")</f>
        <v/>
      </c>
      <c r="O748" s="29" t="str">
        <f>IFERROR(__xludf.DUMMYFUNCTION("IF(ISBLANK(B748),"""",IF(ISDATE(B748),TEXT(B748,""yyyy""),""""))"),"")</f>
        <v/>
      </c>
    </row>
    <row r="749">
      <c r="B749" s="62"/>
      <c r="C749" s="56"/>
      <c r="D749" s="56"/>
      <c r="E749" s="56"/>
      <c r="F749" s="63"/>
      <c r="G749" s="64"/>
      <c r="H749" s="65"/>
      <c r="I749" s="63"/>
      <c r="K749" s="53" t="str">
        <f>IFERROR(__xludf.DUMMYFUNCTION("IF(ISBLANK(B749),"""",IF(ISDATE(B749),""X"",""""))"),"")</f>
        <v/>
      </c>
      <c r="L749" s="40" t="str">
        <f>IFERROR(__xludf.DUMMYFUNCTION("IF(ISBLANK(B749),"""",IF(Or(I749=""Em Aberto"",ISBLANK(I749),NOT(ISDATE(B749))),"""",H749))"),"")</f>
        <v/>
      </c>
      <c r="M749" s="29" t="str">
        <f>IFERROR(__xludf.DUMMYFUNCTION("IF(ISBLANK(B749),"""",IF(ISDATE(B749),TEXT(B749,""m""),""""))"),"")</f>
        <v/>
      </c>
      <c r="N749" s="29" t="str">
        <f>IFERROR(__xludf.DUMMYFUNCTION("IF(M749="""","""",QUERY({'Dashboard-Dados'!$Y$2:$AA$13},""Select Col2 Where Col1=""&amp;M749))"),"")</f>
        <v/>
      </c>
      <c r="O749" s="29" t="str">
        <f>IFERROR(__xludf.DUMMYFUNCTION("IF(ISBLANK(B749),"""",IF(ISDATE(B749),TEXT(B749,""yyyy""),""""))"),"")</f>
        <v/>
      </c>
    </row>
    <row r="750">
      <c r="B750" s="62"/>
      <c r="C750" s="56"/>
      <c r="D750" s="56"/>
      <c r="E750" s="56"/>
      <c r="F750" s="63"/>
      <c r="G750" s="64"/>
      <c r="H750" s="65"/>
      <c r="I750" s="63"/>
      <c r="K750" s="53" t="str">
        <f>IFERROR(__xludf.DUMMYFUNCTION("IF(ISBLANK(B750),"""",IF(ISDATE(B750),""X"",""""))"),"")</f>
        <v/>
      </c>
      <c r="L750" s="40" t="str">
        <f>IFERROR(__xludf.DUMMYFUNCTION("IF(ISBLANK(B750),"""",IF(Or(I750=""Em Aberto"",ISBLANK(I750),NOT(ISDATE(B750))),"""",H750))"),"")</f>
        <v/>
      </c>
      <c r="M750" s="29" t="str">
        <f>IFERROR(__xludf.DUMMYFUNCTION("IF(ISBLANK(B750),"""",IF(ISDATE(B750),TEXT(B750,""m""),""""))"),"")</f>
        <v/>
      </c>
      <c r="N750" s="29" t="str">
        <f>IFERROR(__xludf.DUMMYFUNCTION("IF(M750="""","""",QUERY({'Dashboard-Dados'!$Y$2:$AA$13},""Select Col2 Where Col1=""&amp;M750))"),"")</f>
        <v/>
      </c>
      <c r="O750" s="29" t="str">
        <f>IFERROR(__xludf.DUMMYFUNCTION("IF(ISBLANK(B750),"""",IF(ISDATE(B750),TEXT(B750,""yyyy""),""""))"),"")</f>
        <v/>
      </c>
    </row>
    <row r="751">
      <c r="B751" s="62"/>
      <c r="C751" s="56"/>
      <c r="D751" s="56"/>
      <c r="E751" s="56"/>
      <c r="F751" s="63"/>
      <c r="G751" s="64"/>
      <c r="H751" s="65"/>
      <c r="I751" s="63"/>
      <c r="K751" s="53" t="str">
        <f>IFERROR(__xludf.DUMMYFUNCTION("IF(ISBLANK(B751),"""",IF(ISDATE(B751),""X"",""""))"),"")</f>
        <v/>
      </c>
      <c r="L751" s="40" t="str">
        <f>IFERROR(__xludf.DUMMYFUNCTION("IF(ISBLANK(B751),"""",IF(Or(I751=""Em Aberto"",ISBLANK(I751),NOT(ISDATE(B751))),"""",H751))"),"")</f>
        <v/>
      </c>
      <c r="M751" s="29" t="str">
        <f>IFERROR(__xludf.DUMMYFUNCTION("IF(ISBLANK(B751),"""",IF(ISDATE(B751),TEXT(B751,""m""),""""))"),"")</f>
        <v/>
      </c>
      <c r="N751" s="29" t="str">
        <f>IFERROR(__xludf.DUMMYFUNCTION("IF(M751="""","""",QUERY({'Dashboard-Dados'!$Y$2:$AA$13},""Select Col2 Where Col1=""&amp;M751))"),"")</f>
        <v/>
      </c>
      <c r="O751" s="29" t="str">
        <f>IFERROR(__xludf.DUMMYFUNCTION("IF(ISBLANK(B751),"""",IF(ISDATE(B751),TEXT(B751,""yyyy""),""""))"),"")</f>
        <v/>
      </c>
    </row>
    <row r="752">
      <c r="B752" s="62"/>
      <c r="C752" s="56"/>
      <c r="D752" s="56"/>
      <c r="E752" s="56"/>
      <c r="F752" s="63"/>
      <c r="G752" s="64"/>
      <c r="H752" s="65"/>
      <c r="I752" s="63"/>
      <c r="K752" s="53" t="str">
        <f>IFERROR(__xludf.DUMMYFUNCTION("IF(ISBLANK(B752),"""",IF(ISDATE(B752),""X"",""""))"),"")</f>
        <v/>
      </c>
      <c r="L752" s="40" t="str">
        <f>IFERROR(__xludf.DUMMYFUNCTION("IF(ISBLANK(B752),"""",IF(Or(I752=""Em Aberto"",ISBLANK(I752),NOT(ISDATE(B752))),"""",H752))"),"")</f>
        <v/>
      </c>
      <c r="M752" s="29" t="str">
        <f>IFERROR(__xludf.DUMMYFUNCTION("IF(ISBLANK(B752),"""",IF(ISDATE(B752),TEXT(B752,""m""),""""))"),"")</f>
        <v/>
      </c>
      <c r="N752" s="29" t="str">
        <f>IFERROR(__xludf.DUMMYFUNCTION("IF(M752="""","""",QUERY({'Dashboard-Dados'!$Y$2:$AA$13},""Select Col2 Where Col1=""&amp;M752))"),"")</f>
        <v/>
      </c>
      <c r="O752" s="29" t="str">
        <f>IFERROR(__xludf.DUMMYFUNCTION("IF(ISBLANK(B752),"""",IF(ISDATE(B752),TEXT(B752,""yyyy""),""""))"),"")</f>
        <v/>
      </c>
    </row>
    <row r="753">
      <c r="B753" s="62"/>
      <c r="C753" s="56"/>
      <c r="D753" s="56"/>
      <c r="E753" s="56"/>
      <c r="F753" s="63"/>
      <c r="G753" s="64"/>
      <c r="H753" s="65"/>
      <c r="I753" s="63"/>
      <c r="K753" s="53" t="str">
        <f>IFERROR(__xludf.DUMMYFUNCTION("IF(ISBLANK(B753),"""",IF(ISDATE(B753),""X"",""""))"),"")</f>
        <v/>
      </c>
      <c r="L753" s="40" t="str">
        <f>IFERROR(__xludf.DUMMYFUNCTION("IF(ISBLANK(B753),"""",IF(Or(I753=""Em Aberto"",ISBLANK(I753),NOT(ISDATE(B753))),"""",H753))"),"")</f>
        <v/>
      </c>
      <c r="M753" s="29" t="str">
        <f>IFERROR(__xludf.DUMMYFUNCTION("IF(ISBLANK(B753),"""",IF(ISDATE(B753),TEXT(B753,""m""),""""))"),"")</f>
        <v/>
      </c>
      <c r="N753" s="29" t="str">
        <f>IFERROR(__xludf.DUMMYFUNCTION("IF(M753="""","""",QUERY({'Dashboard-Dados'!$Y$2:$AA$13},""Select Col2 Where Col1=""&amp;M753))"),"")</f>
        <v/>
      </c>
      <c r="O753" s="29" t="str">
        <f>IFERROR(__xludf.DUMMYFUNCTION("IF(ISBLANK(B753),"""",IF(ISDATE(B753),TEXT(B753,""yyyy""),""""))"),"")</f>
        <v/>
      </c>
    </row>
    <row r="754">
      <c r="B754" s="62"/>
      <c r="C754" s="56"/>
      <c r="D754" s="56"/>
      <c r="E754" s="56"/>
      <c r="F754" s="63"/>
      <c r="G754" s="64"/>
      <c r="H754" s="65"/>
      <c r="I754" s="63"/>
      <c r="K754" s="53" t="str">
        <f>IFERROR(__xludf.DUMMYFUNCTION("IF(ISBLANK(B754),"""",IF(ISDATE(B754),""X"",""""))"),"")</f>
        <v/>
      </c>
      <c r="L754" s="40" t="str">
        <f>IFERROR(__xludf.DUMMYFUNCTION("IF(ISBLANK(B754),"""",IF(Or(I754=""Em Aberto"",ISBLANK(I754),NOT(ISDATE(B754))),"""",H754))"),"")</f>
        <v/>
      </c>
      <c r="M754" s="29" t="str">
        <f>IFERROR(__xludf.DUMMYFUNCTION("IF(ISBLANK(B754),"""",IF(ISDATE(B754),TEXT(B754,""m""),""""))"),"")</f>
        <v/>
      </c>
      <c r="N754" s="29" t="str">
        <f>IFERROR(__xludf.DUMMYFUNCTION("IF(M754="""","""",QUERY({'Dashboard-Dados'!$Y$2:$AA$13},""Select Col2 Where Col1=""&amp;M754))"),"")</f>
        <v/>
      </c>
      <c r="O754" s="29" t="str">
        <f>IFERROR(__xludf.DUMMYFUNCTION("IF(ISBLANK(B754),"""",IF(ISDATE(B754),TEXT(B754,""yyyy""),""""))"),"")</f>
        <v/>
      </c>
    </row>
    <row r="755">
      <c r="B755" s="62"/>
      <c r="C755" s="56"/>
      <c r="D755" s="56"/>
      <c r="E755" s="56"/>
      <c r="F755" s="63"/>
      <c r="G755" s="64"/>
      <c r="H755" s="65"/>
      <c r="I755" s="63"/>
      <c r="K755" s="53" t="str">
        <f>IFERROR(__xludf.DUMMYFUNCTION("IF(ISBLANK(B755),"""",IF(ISDATE(B755),""X"",""""))"),"")</f>
        <v/>
      </c>
      <c r="L755" s="40" t="str">
        <f>IFERROR(__xludf.DUMMYFUNCTION("IF(ISBLANK(B755),"""",IF(Or(I755=""Em Aberto"",ISBLANK(I755),NOT(ISDATE(B755))),"""",H755))"),"")</f>
        <v/>
      </c>
      <c r="M755" s="29" t="str">
        <f>IFERROR(__xludf.DUMMYFUNCTION("IF(ISBLANK(B755),"""",IF(ISDATE(B755),TEXT(B755,""m""),""""))"),"")</f>
        <v/>
      </c>
      <c r="N755" s="29" t="str">
        <f>IFERROR(__xludf.DUMMYFUNCTION("IF(M755="""","""",QUERY({'Dashboard-Dados'!$Y$2:$AA$13},""Select Col2 Where Col1=""&amp;M755))"),"")</f>
        <v/>
      </c>
      <c r="O755" s="29" t="str">
        <f>IFERROR(__xludf.DUMMYFUNCTION("IF(ISBLANK(B755),"""",IF(ISDATE(B755),TEXT(B755,""yyyy""),""""))"),"")</f>
        <v/>
      </c>
    </row>
    <row r="756">
      <c r="B756" s="62"/>
      <c r="C756" s="56"/>
      <c r="D756" s="56"/>
      <c r="E756" s="56"/>
      <c r="F756" s="63"/>
      <c r="G756" s="64"/>
      <c r="H756" s="65"/>
      <c r="I756" s="63"/>
      <c r="K756" s="53" t="str">
        <f>IFERROR(__xludf.DUMMYFUNCTION("IF(ISBLANK(B756),"""",IF(ISDATE(B756),""X"",""""))"),"")</f>
        <v/>
      </c>
      <c r="L756" s="40" t="str">
        <f>IFERROR(__xludf.DUMMYFUNCTION("IF(ISBLANK(B756),"""",IF(Or(I756=""Em Aberto"",ISBLANK(I756),NOT(ISDATE(B756))),"""",H756))"),"")</f>
        <v/>
      </c>
      <c r="M756" s="29" t="str">
        <f>IFERROR(__xludf.DUMMYFUNCTION("IF(ISBLANK(B756),"""",IF(ISDATE(B756),TEXT(B756,""m""),""""))"),"")</f>
        <v/>
      </c>
      <c r="N756" s="29" t="str">
        <f>IFERROR(__xludf.DUMMYFUNCTION("IF(M756="""","""",QUERY({'Dashboard-Dados'!$Y$2:$AA$13},""Select Col2 Where Col1=""&amp;M756))"),"")</f>
        <v/>
      </c>
      <c r="O756" s="29" t="str">
        <f>IFERROR(__xludf.DUMMYFUNCTION("IF(ISBLANK(B756),"""",IF(ISDATE(B756),TEXT(B756,""yyyy""),""""))"),"")</f>
        <v/>
      </c>
    </row>
    <row r="757">
      <c r="B757" s="62"/>
      <c r="C757" s="56"/>
      <c r="D757" s="56"/>
      <c r="E757" s="56"/>
      <c r="F757" s="63"/>
      <c r="G757" s="64"/>
      <c r="H757" s="65"/>
      <c r="I757" s="63"/>
      <c r="K757" s="53" t="str">
        <f>IFERROR(__xludf.DUMMYFUNCTION("IF(ISBLANK(B757),"""",IF(ISDATE(B757),""X"",""""))"),"")</f>
        <v/>
      </c>
      <c r="L757" s="40" t="str">
        <f>IFERROR(__xludf.DUMMYFUNCTION("IF(ISBLANK(B757),"""",IF(Or(I757=""Em Aberto"",ISBLANK(I757),NOT(ISDATE(B757))),"""",H757))"),"")</f>
        <v/>
      </c>
      <c r="M757" s="29" t="str">
        <f>IFERROR(__xludf.DUMMYFUNCTION("IF(ISBLANK(B757),"""",IF(ISDATE(B757),TEXT(B757,""m""),""""))"),"")</f>
        <v/>
      </c>
      <c r="N757" s="29" t="str">
        <f>IFERROR(__xludf.DUMMYFUNCTION("IF(M757="""","""",QUERY({'Dashboard-Dados'!$Y$2:$AA$13},""Select Col2 Where Col1=""&amp;M757))"),"")</f>
        <v/>
      </c>
      <c r="O757" s="29" t="str">
        <f>IFERROR(__xludf.DUMMYFUNCTION("IF(ISBLANK(B757),"""",IF(ISDATE(B757),TEXT(B757,""yyyy""),""""))"),"")</f>
        <v/>
      </c>
    </row>
    <row r="758">
      <c r="B758" s="62"/>
      <c r="C758" s="56"/>
      <c r="D758" s="56"/>
      <c r="E758" s="56"/>
      <c r="F758" s="63"/>
      <c r="G758" s="64"/>
      <c r="H758" s="65"/>
      <c r="I758" s="63"/>
      <c r="K758" s="53" t="str">
        <f>IFERROR(__xludf.DUMMYFUNCTION("IF(ISBLANK(B758),"""",IF(ISDATE(B758),""X"",""""))"),"")</f>
        <v/>
      </c>
      <c r="L758" s="40" t="str">
        <f>IFERROR(__xludf.DUMMYFUNCTION("IF(ISBLANK(B758),"""",IF(Or(I758=""Em Aberto"",ISBLANK(I758),NOT(ISDATE(B758))),"""",H758))"),"")</f>
        <v/>
      </c>
      <c r="M758" s="29" t="str">
        <f>IFERROR(__xludf.DUMMYFUNCTION("IF(ISBLANK(B758),"""",IF(ISDATE(B758),TEXT(B758,""m""),""""))"),"")</f>
        <v/>
      </c>
      <c r="N758" s="29" t="str">
        <f>IFERROR(__xludf.DUMMYFUNCTION("IF(M758="""","""",QUERY({'Dashboard-Dados'!$Y$2:$AA$13},""Select Col2 Where Col1=""&amp;M758))"),"")</f>
        <v/>
      </c>
      <c r="O758" s="29" t="str">
        <f>IFERROR(__xludf.DUMMYFUNCTION("IF(ISBLANK(B758),"""",IF(ISDATE(B758),TEXT(B758,""yyyy""),""""))"),"")</f>
        <v/>
      </c>
    </row>
    <row r="759">
      <c r="B759" s="62"/>
      <c r="C759" s="56"/>
      <c r="D759" s="56"/>
      <c r="E759" s="56"/>
      <c r="F759" s="63"/>
      <c r="G759" s="64"/>
      <c r="H759" s="65"/>
      <c r="I759" s="63"/>
      <c r="K759" s="53" t="str">
        <f>IFERROR(__xludf.DUMMYFUNCTION("IF(ISBLANK(B759),"""",IF(ISDATE(B759),""X"",""""))"),"")</f>
        <v/>
      </c>
      <c r="L759" s="40" t="str">
        <f>IFERROR(__xludf.DUMMYFUNCTION("IF(ISBLANK(B759),"""",IF(Or(I759=""Em Aberto"",ISBLANK(I759),NOT(ISDATE(B759))),"""",H759))"),"")</f>
        <v/>
      </c>
      <c r="M759" s="29" t="str">
        <f>IFERROR(__xludf.DUMMYFUNCTION("IF(ISBLANK(B759),"""",IF(ISDATE(B759),TEXT(B759,""m""),""""))"),"")</f>
        <v/>
      </c>
      <c r="N759" s="29" t="str">
        <f>IFERROR(__xludf.DUMMYFUNCTION("IF(M759="""","""",QUERY({'Dashboard-Dados'!$Y$2:$AA$13},""Select Col2 Where Col1=""&amp;M759))"),"")</f>
        <v/>
      </c>
      <c r="O759" s="29" t="str">
        <f>IFERROR(__xludf.DUMMYFUNCTION("IF(ISBLANK(B759),"""",IF(ISDATE(B759),TEXT(B759,""yyyy""),""""))"),"")</f>
        <v/>
      </c>
    </row>
    <row r="760">
      <c r="B760" s="62"/>
      <c r="C760" s="56"/>
      <c r="D760" s="56"/>
      <c r="E760" s="56"/>
      <c r="F760" s="63"/>
      <c r="G760" s="64"/>
      <c r="H760" s="65"/>
      <c r="I760" s="63"/>
      <c r="K760" s="53" t="str">
        <f>IFERROR(__xludf.DUMMYFUNCTION("IF(ISBLANK(B760),"""",IF(ISDATE(B760),""X"",""""))"),"")</f>
        <v/>
      </c>
      <c r="L760" s="40" t="str">
        <f>IFERROR(__xludf.DUMMYFUNCTION("IF(ISBLANK(B760),"""",IF(Or(I760=""Em Aberto"",ISBLANK(I760),NOT(ISDATE(B760))),"""",H760))"),"")</f>
        <v/>
      </c>
      <c r="M760" s="29" t="str">
        <f>IFERROR(__xludf.DUMMYFUNCTION("IF(ISBLANK(B760),"""",IF(ISDATE(B760),TEXT(B760,""m""),""""))"),"")</f>
        <v/>
      </c>
      <c r="N760" s="29" t="str">
        <f>IFERROR(__xludf.DUMMYFUNCTION("IF(M760="""","""",QUERY({'Dashboard-Dados'!$Y$2:$AA$13},""Select Col2 Where Col1=""&amp;M760))"),"")</f>
        <v/>
      </c>
      <c r="O760" s="29" t="str">
        <f>IFERROR(__xludf.DUMMYFUNCTION("IF(ISBLANK(B760),"""",IF(ISDATE(B760),TEXT(B760,""yyyy""),""""))"),"")</f>
        <v/>
      </c>
    </row>
    <row r="761">
      <c r="B761" s="62"/>
      <c r="C761" s="56"/>
      <c r="D761" s="56"/>
      <c r="E761" s="56"/>
      <c r="F761" s="63"/>
      <c r="G761" s="64"/>
      <c r="H761" s="65"/>
      <c r="I761" s="63"/>
      <c r="K761" s="53" t="str">
        <f>IFERROR(__xludf.DUMMYFUNCTION("IF(ISBLANK(B761),"""",IF(ISDATE(B761),""X"",""""))"),"")</f>
        <v/>
      </c>
      <c r="L761" s="40" t="str">
        <f>IFERROR(__xludf.DUMMYFUNCTION("IF(ISBLANK(B761),"""",IF(Or(I761=""Em Aberto"",ISBLANK(I761),NOT(ISDATE(B761))),"""",H761))"),"")</f>
        <v/>
      </c>
      <c r="M761" s="29" t="str">
        <f>IFERROR(__xludf.DUMMYFUNCTION("IF(ISBLANK(B761),"""",IF(ISDATE(B761),TEXT(B761,""m""),""""))"),"")</f>
        <v/>
      </c>
      <c r="N761" s="29" t="str">
        <f>IFERROR(__xludf.DUMMYFUNCTION("IF(M761="""","""",QUERY({'Dashboard-Dados'!$Y$2:$AA$13},""Select Col2 Where Col1=""&amp;M761))"),"")</f>
        <v/>
      </c>
      <c r="O761" s="29" t="str">
        <f>IFERROR(__xludf.DUMMYFUNCTION("IF(ISBLANK(B761),"""",IF(ISDATE(B761),TEXT(B761,""yyyy""),""""))"),"")</f>
        <v/>
      </c>
    </row>
    <row r="762">
      <c r="B762" s="62"/>
      <c r="C762" s="56"/>
      <c r="D762" s="56"/>
      <c r="E762" s="56"/>
      <c r="F762" s="63"/>
      <c r="G762" s="64"/>
      <c r="H762" s="65"/>
      <c r="I762" s="63"/>
      <c r="K762" s="53" t="str">
        <f>IFERROR(__xludf.DUMMYFUNCTION("IF(ISBLANK(B762),"""",IF(ISDATE(B762),""X"",""""))"),"")</f>
        <v/>
      </c>
      <c r="L762" s="40" t="str">
        <f>IFERROR(__xludf.DUMMYFUNCTION("IF(ISBLANK(B762),"""",IF(Or(I762=""Em Aberto"",ISBLANK(I762),NOT(ISDATE(B762))),"""",H762))"),"")</f>
        <v/>
      </c>
      <c r="M762" s="29" t="str">
        <f>IFERROR(__xludf.DUMMYFUNCTION("IF(ISBLANK(B762),"""",IF(ISDATE(B762),TEXT(B762,""m""),""""))"),"")</f>
        <v/>
      </c>
      <c r="N762" s="29" t="str">
        <f>IFERROR(__xludf.DUMMYFUNCTION("IF(M762="""","""",QUERY({'Dashboard-Dados'!$Y$2:$AA$13},""Select Col2 Where Col1=""&amp;M762))"),"")</f>
        <v/>
      </c>
      <c r="O762" s="29" t="str">
        <f>IFERROR(__xludf.DUMMYFUNCTION("IF(ISBLANK(B762),"""",IF(ISDATE(B762),TEXT(B762,""yyyy""),""""))"),"")</f>
        <v/>
      </c>
    </row>
    <row r="763">
      <c r="B763" s="62"/>
      <c r="C763" s="56"/>
      <c r="D763" s="56"/>
      <c r="E763" s="56"/>
      <c r="F763" s="63"/>
      <c r="G763" s="64"/>
      <c r="H763" s="65"/>
      <c r="I763" s="63"/>
      <c r="K763" s="53" t="str">
        <f>IFERROR(__xludf.DUMMYFUNCTION("IF(ISBLANK(B763),"""",IF(ISDATE(B763),""X"",""""))"),"")</f>
        <v/>
      </c>
      <c r="L763" s="40" t="str">
        <f>IFERROR(__xludf.DUMMYFUNCTION("IF(ISBLANK(B763),"""",IF(Or(I763=""Em Aberto"",ISBLANK(I763),NOT(ISDATE(B763))),"""",H763))"),"")</f>
        <v/>
      </c>
      <c r="M763" s="29" t="str">
        <f>IFERROR(__xludf.DUMMYFUNCTION("IF(ISBLANK(B763),"""",IF(ISDATE(B763),TEXT(B763,""m""),""""))"),"")</f>
        <v/>
      </c>
      <c r="N763" s="29" t="str">
        <f>IFERROR(__xludf.DUMMYFUNCTION("IF(M763="""","""",QUERY({'Dashboard-Dados'!$Y$2:$AA$13},""Select Col2 Where Col1=""&amp;M763))"),"")</f>
        <v/>
      </c>
      <c r="O763" s="29" t="str">
        <f>IFERROR(__xludf.DUMMYFUNCTION("IF(ISBLANK(B763),"""",IF(ISDATE(B763),TEXT(B763,""yyyy""),""""))"),"")</f>
        <v/>
      </c>
    </row>
    <row r="764">
      <c r="B764" s="62"/>
      <c r="C764" s="56"/>
      <c r="D764" s="56"/>
      <c r="E764" s="56"/>
      <c r="F764" s="63"/>
      <c r="G764" s="64"/>
      <c r="H764" s="65"/>
      <c r="I764" s="63"/>
      <c r="K764" s="53" t="str">
        <f>IFERROR(__xludf.DUMMYFUNCTION("IF(ISBLANK(B764),"""",IF(ISDATE(B764),""X"",""""))"),"")</f>
        <v/>
      </c>
      <c r="L764" s="40" t="str">
        <f>IFERROR(__xludf.DUMMYFUNCTION("IF(ISBLANK(B764),"""",IF(Or(I764=""Em Aberto"",ISBLANK(I764),NOT(ISDATE(B764))),"""",H764))"),"")</f>
        <v/>
      </c>
      <c r="M764" s="29" t="str">
        <f>IFERROR(__xludf.DUMMYFUNCTION("IF(ISBLANK(B764),"""",IF(ISDATE(B764),TEXT(B764,""m""),""""))"),"")</f>
        <v/>
      </c>
      <c r="N764" s="29" t="str">
        <f>IFERROR(__xludf.DUMMYFUNCTION("IF(M764="""","""",QUERY({'Dashboard-Dados'!$Y$2:$AA$13},""Select Col2 Where Col1=""&amp;M764))"),"")</f>
        <v/>
      </c>
      <c r="O764" s="29" t="str">
        <f>IFERROR(__xludf.DUMMYFUNCTION("IF(ISBLANK(B764),"""",IF(ISDATE(B764),TEXT(B764,""yyyy""),""""))"),"")</f>
        <v/>
      </c>
    </row>
    <row r="765">
      <c r="B765" s="62"/>
      <c r="C765" s="56"/>
      <c r="D765" s="56"/>
      <c r="E765" s="56"/>
      <c r="F765" s="63"/>
      <c r="G765" s="64"/>
      <c r="H765" s="65"/>
      <c r="I765" s="63"/>
      <c r="K765" s="53" t="str">
        <f>IFERROR(__xludf.DUMMYFUNCTION("IF(ISBLANK(B765),"""",IF(ISDATE(B765),""X"",""""))"),"")</f>
        <v/>
      </c>
      <c r="L765" s="40" t="str">
        <f>IFERROR(__xludf.DUMMYFUNCTION("IF(ISBLANK(B765),"""",IF(Or(I765=""Em Aberto"",ISBLANK(I765),NOT(ISDATE(B765))),"""",H765))"),"")</f>
        <v/>
      </c>
      <c r="M765" s="29" t="str">
        <f>IFERROR(__xludf.DUMMYFUNCTION("IF(ISBLANK(B765),"""",IF(ISDATE(B765),TEXT(B765,""m""),""""))"),"")</f>
        <v/>
      </c>
      <c r="N765" s="29" t="str">
        <f>IFERROR(__xludf.DUMMYFUNCTION("IF(M765="""","""",QUERY({'Dashboard-Dados'!$Y$2:$AA$13},""Select Col2 Where Col1=""&amp;M765))"),"")</f>
        <v/>
      </c>
      <c r="O765" s="29" t="str">
        <f>IFERROR(__xludf.DUMMYFUNCTION("IF(ISBLANK(B765),"""",IF(ISDATE(B765),TEXT(B765,""yyyy""),""""))"),"")</f>
        <v/>
      </c>
    </row>
    <row r="766">
      <c r="B766" s="62"/>
      <c r="C766" s="56"/>
      <c r="D766" s="56"/>
      <c r="E766" s="56"/>
      <c r="F766" s="63"/>
      <c r="G766" s="64"/>
      <c r="H766" s="65"/>
      <c r="I766" s="63"/>
      <c r="K766" s="53" t="str">
        <f>IFERROR(__xludf.DUMMYFUNCTION("IF(ISBLANK(B766),"""",IF(ISDATE(B766),""X"",""""))"),"")</f>
        <v/>
      </c>
      <c r="L766" s="40" t="str">
        <f>IFERROR(__xludf.DUMMYFUNCTION("IF(ISBLANK(B766),"""",IF(Or(I766=""Em Aberto"",ISBLANK(I766),NOT(ISDATE(B766))),"""",H766))"),"")</f>
        <v/>
      </c>
      <c r="M766" s="29" t="str">
        <f>IFERROR(__xludf.DUMMYFUNCTION("IF(ISBLANK(B766),"""",IF(ISDATE(B766),TEXT(B766,""m""),""""))"),"")</f>
        <v/>
      </c>
      <c r="N766" s="29" t="str">
        <f>IFERROR(__xludf.DUMMYFUNCTION("IF(M766="""","""",QUERY({'Dashboard-Dados'!$Y$2:$AA$13},""Select Col2 Where Col1=""&amp;M766))"),"")</f>
        <v/>
      </c>
      <c r="O766" s="29" t="str">
        <f>IFERROR(__xludf.DUMMYFUNCTION("IF(ISBLANK(B766),"""",IF(ISDATE(B766),TEXT(B766,""yyyy""),""""))"),"")</f>
        <v/>
      </c>
    </row>
    <row r="767">
      <c r="B767" s="62"/>
      <c r="C767" s="56"/>
      <c r="D767" s="56"/>
      <c r="E767" s="56"/>
      <c r="F767" s="63"/>
      <c r="G767" s="64"/>
      <c r="H767" s="65"/>
      <c r="I767" s="63"/>
      <c r="K767" s="53" t="str">
        <f>IFERROR(__xludf.DUMMYFUNCTION("IF(ISBLANK(B767),"""",IF(ISDATE(B767),""X"",""""))"),"")</f>
        <v/>
      </c>
      <c r="L767" s="40" t="str">
        <f>IFERROR(__xludf.DUMMYFUNCTION("IF(ISBLANK(B767),"""",IF(Or(I767=""Em Aberto"",ISBLANK(I767),NOT(ISDATE(B767))),"""",H767))"),"")</f>
        <v/>
      </c>
      <c r="M767" s="29" t="str">
        <f>IFERROR(__xludf.DUMMYFUNCTION("IF(ISBLANK(B767),"""",IF(ISDATE(B767),TEXT(B767,""m""),""""))"),"")</f>
        <v/>
      </c>
      <c r="N767" s="29" t="str">
        <f>IFERROR(__xludf.DUMMYFUNCTION("IF(M767="""","""",QUERY({'Dashboard-Dados'!$Y$2:$AA$13},""Select Col2 Where Col1=""&amp;M767))"),"")</f>
        <v/>
      </c>
      <c r="O767" s="29" t="str">
        <f>IFERROR(__xludf.DUMMYFUNCTION("IF(ISBLANK(B767),"""",IF(ISDATE(B767),TEXT(B767,""yyyy""),""""))"),"")</f>
        <v/>
      </c>
    </row>
    <row r="768">
      <c r="B768" s="62"/>
      <c r="C768" s="56"/>
      <c r="D768" s="56"/>
      <c r="E768" s="56"/>
      <c r="F768" s="63"/>
      <c r="G768" s="64"/>
      <c r="H768" s="65"/>
      <c r="I768" s="63"/>
      <c r="K768" s="53" t="str">
        <f>IFERROR(__xludf.DUMMYFUNCTION("IF(ISBLANK(B768),"""",IF(ISDATE(B768),""X"",""""))"),"")</f>
        <v/>
      </c>
      <c r="L768" s="40" t="str">
        <f>IFERROR(__xludf.DUMMYFUNCTION("IF(ISBLANK(B768),"""",IF(Or(I768=""Em Aberto"",ISBLANK(I768),NOT(ISDATE(B768))),"""",H768))"),"")</f>
        <v/>
      </c>
      <c r="M768" s="29" t="str">
        <f>IFERROR(__xludf.DUMMYFUNCTION("IF(ISBLANK(B768),"""",IF(ISDATE(B768),TEXT(B768,""m""),""""))"),"")</f>
        <v/>
      </c>
      <c r="N768" s="29" t="str">
        <f>IFERROR(__xludf.DUMMYFUNCTION("IF(M768="""","""",QUERY({'Dashboard-Dados'!$Y$2:$AA$13},""Select Col2 Where Col1=""&amp;M768))"),"")</f>
        <v/>
      </c>
      <c r="O768" s="29" t="str">
        <f>IFERROR(__xludf.DUMMYFUNCTION("IF(ISBLANK(B768),"""",IF(ISDATE(B768),TEXT(B768,""yyyy""),""""))"),"")</f>
        <v/>
      </c>
    </row>
    <row r="769">
      <c r="B769" s="62"/>
      <c r="C769" s="56"/>
      <c r="D769" s="56"/>
      <c r="E769" s="56"/>
      <c r="F769" s="63"/>
      <c r="G769" s="64"/>
      <c r="H769" s="65"/>
      <c r="I769" s="63"/>
      <c r="K769" s="53" t="str">
        <f>IFERROR(__xludf.DUMMYFUNCTION("IF(ISBLANK(B769),"""",IF(ISDATE(B769),""X"",""""))"),"")</f>
        <v/>
      </c>
      <c r="L769" s="40" t="str">
        <f>IFERROR(__xludf.DUMMYFUNCTION("IF(ISBLANK(B769),"""",IF(Or(I769=""Em Aberto"",ISBLANK(I769),NOT(ISDATE(B769))),"""",H769))"),"")</f>
        <v/>
      </c>
      <c r="M769" s="29" t="str">
        <f>IFERROR(__xludf.DUMMYFUNCTION("IF(ISBLANK(B769),"""",IF(ISDATE(B769),TEXT(B769,""m""),""""))"),"")</f>
        <v/>
      </c>
      <c r="N769" s="29" t="str">
        <f>IFERROR(__xludf.DUMMYFUNCTION("IF(M769="""","""",QUERY({'Dashboard-Dados'!$Y$2:$AA$13},""Select Col2 Where Col1=""&amp;M769))"),"")</f>
        <v/>
      </c>
      <c r="O769" s="29" t="str">
        <f>IFERROR(__xludf.DUMMYFUNCTION("IF(ISBLANK(B769),"""",IF(ISDATE(B769),TEXT(B769,""yyyy""),""""))"),"")</f>
        <v/>
      </c>
    </row>
    <row r="770">
      <c r="B770" s="62"/>
      <c r="C770" s="56"/>
      <c r="D770" s="56"/>
      <c r="E770" s="56"/>
      <c r="F770" s="63"/>
      <c r="G770" s="64"/>
      <c r="H770" s="65"/>
      <c r="I770" s="63"/>
      <c r="K770" s="53" t="str">
        <f>IFERROR(__xludf.DUMMYFUNCTION("IF(ISBLANK(B770),"""",IF(ISDATE(B770),""X"",""""))"),"")</f>
        <v/>
      </c>
      <c r="L770" s="40" t="str">
        <f>IFERROR(__xludf.DUMMYFUNCTION("IF(ISBLANK(B770),"""",IF(Or(I770=""Em Aberto"",ISBLANK(I770),NOT(ISDATE(B770))),"""",H770))"),"")</f>
        <v/>
      </c>
      <c r="M770" s="29" t="str">
        <f>IFERROR(__xludf.DUMMYFUNCTION("IF(ISBLANK(B770),"""",IF(ISDATE(B770),TEXT(B770,""m""),""""))"),"")</f>
        <v/>
      </c>
      <c r="N770" s="29" t="str">
        <f>IFERROR(__xludf.DUMMYFUNCTION("IF(M770="""","""",QUERY({'Dashboard-Dados'!$Y$2:$AA$13},""Select Col2 Where Col1=""&amp;M770))"),"")</f>
        <v/>
      </c>
      <c r="O770" s="29" t="str">
        <f>IFERROR(__xludf.DUMMYFUNCTION("IF(ISBLANK(B770),"""",IF(ISDATE(B770),TEXT(B770,""yyyy""),""""))"),"")</f>
        <v/>
      </c>
    </row>
    <row r="771">
      <c r="B771" s="62"/>
      <c r="C771" s="56"/>
      <c r="D771" s="56"/>
      <c r="E771" s="56"/>
      <c r="F771" s="63"/>
      <c r="G771" s="64"/>
      <c r="H771" s="65"/>
      <c r="I771" s="63"/>
      <c r="K771" s="53" t="str">
        <f>IFERROR(__xludf.DUMMYFUNCTION("IF(ISBLANK(B771),"""",IF(ISDATE(B771),""X"",""""))"),"")</f>
        <v/>
      </c>
      <c r="L771" s="40" t="str">
        <f>IFERROR(__xludf.DUMMYFUNCTION("IF(ISBLANK(B771),"""",IF(Or(I771=""Em Aberto"",ISBLANK(I771),NOT(ISDATE(B771))),"""",H771))"),"")</f>
        <v/>
      </c>
      <c r="M771" s="29" t="str">
        <f>IFERROR(__xludf.DUMMYFUNCTION("IF(ISBLANK(B771),"""",IF(ISDATE(B771),TEXT(B771,""m""),""""))"),"")</f>
        <v/>
      </c>
      <c r="N771" s="29" t="str">
        <f>IFERROR(__xludf.DUMMYFUNCTION("IF(M771="""","""",QUERY({'Dashboard-Dados'!$Y$2:$AA$13},""Select Col2 Where Col1=""&amp;M771))"),"")</f>
        <v/>
      </c>
      <c r="O771" s="29" t="str">
        <f>IFERROR(__xludf.DUMMYFUNCTION("IF(ISBLANK(B771),"""",IF(ISDATE(B771),TEXT(B771,""yyyy""),""""))"),"")</f>
        <v/>
      </c>
    </row>
    <row r="772">
      <c r="B772" s="62"/>
      <c r="C772" s="56"/>
      <c r="D772" s="56"/>
      <c r="E772" s="56"/>
      <c r="F772" s="63"/>
      <c r="G772" s="64"/>
      <c r="H772" s="65"/>
      <c r="I772" s="63"/>
      <c r="K772" s="53" t="str">
        <f>IFERROR(__xludf.DUMMYFUNCTION("IF(ISBLANK(B772),"""",IF(ISDATE(B772),""X"",""""))"),"")</f>
        <v/>
      </c>
      <c r="L772" s="40" t="str">
        <f>IFERROR(__xludf.DUMMYFUNCTION("IF(ISBLANK(B772),"""",IF(Or(I772=""Em Aberto"",ISBLANK(I772),NOT(ISDATE(B772))),"""",H772))"),"")</f>
        <v/>
      </c>
      <c r="M772" s="29" t="str">
        <f>IFERROR(__xludf.DUMMYFUNCTION("IF(ISBLANK(B772),"""",IF(ISDATE(B772),TEXT(B772,""m""),""""))"),"")</f>
        <v/>
      </c>
      <c r="N772" s="29" t="str">
        <f>IFERROR(__xludf.DUMMYFUNCTION("IF(M772="""","""",QUERY({'Dashboard-Dados'!$Y$2:$AA$13},""Select Col2 Where Col1=""&amp;M772))"),"")</f>
        <v/>
      </c>
      <c r="O772" s="29" t="str">
        <f>IFERROR(__xludf.DUMMYFUNCTION("IF(ISBLANK(B772),"""",IF(ISDATE(B772),TEXT(B772,""yyyy""),""""))"),"")</f>
        <v/>
      </c>
    </row>
    <row r="773">
      <c r="B773" s="62"/>
      <c r="C773" s="56"/>
      <c r="D773" s="56"/>
      <c r="E773" s="56"/>
      <c r="F773" s="63"/>
      <c r="G773" s="64"/>
      <c r="H773" s="65"/>
      <c r="I773" s="63"/>
      <c r="K773" s="53" t="str">
        <f>IFERROR(__xludf.DUMMYFUNCTION("IF(ISBLANK(B773),"""",IF(ISDATE(B773),""X"",""""))"),"")</f>
        <v/>
      </c>
      <c r="L773" s="40" t="str">
        <f>IFERROR(__xludf.DUMMYFUNCTION("IF(ISBLANK(B773),"""",IF(Or(I773=""Em Aberto"",ISBLANK(I773),NOT(ISDATE(B773))),"""",H773))"),"")</f>
        <v/>
      </c>
      <c r="M773" s="29" t="str">
        <f>IFERROR(__xludf.DUMMYFUNCTION("IF(ISBLANK(B773),"""",IF(ISDATE(B773),TEXT(B773,""m""),""""))"),"")</f>
        <v/>
      </c>
      <c r="N773" s="29" t="str">
        <f>IFERROR(__xludf.DUMMYFUNCTION("IF(M773="""","""",QUERY({'Dashboard-Dados'!$Y$2:$AA$13},""Select Col2 Where Col1=""&amp;M773))"),"")</f>
        <v/>
      </c>
      <c r="O773" s="29" t="str">
        <f>IFERROR(__xludf.DUMMYFUNCTION("IF(ISBLANK(B773),"""",IF(ISDATE(B773),TEXT(B773,""yyyy""),""""))"),"")</f>
        <v/>
      </c>
    </row>
    <row r="774">
      <c r="B774" s="62"/>
      <c r="C774" s="56"/>
      <c r="D774" s="56"/>
      <c r="E774" s="56"/>
      <c r="F774" s="63"/>
      <c r="G774" s="64"/>
      <c r="H774" s="65"/>
      <c r="I774" s="63"/>
      <c r="K774" s="53" t="str">
        <f>IFERROR(__xludf.DUMMYFUNCTION("IF(ISBLANK(B774),"""",IF(ISDATE(B774),""X"",""""))"),"")</f>
        <v/>
      </c>
      <c r="L774" s="40" t="str">
        <f>IFERROR(__xludf.DUMMYFUNCTION("IF(ISBLANK(B774),"""",IF(Or(I774=""Em Aberto"",ISBLANK(I774),NOT(ISDATE(B774))),"""",H774))"),"")</f>
        <v/>
      </c>
      <c r="M774" s="29" t="str">
        <f>IFERROR(__xludf.DUMMYFUNCTION("IF(ISBLANK(B774),"""",IF(ISDATE(B774),TEXT(B774,""m""),""""))"),"")</f>
        <v/>
      </c>
      <c r="N774" s="29" t="str">
        <f>IFERROR(__xludf.DUMMYFUNCTION("IF(M774="""","""",QUERY({'Dashboard-Dados'!$Y$2:$AA$13},""Select Col2 Where Col1=""&amp;M774))"),"")</f>
        <v/>
      </c>
      <c r="O774" s="29" t="str">
        <f>IFERROR(__xludf.DUMMYFUNCTION("IF(ISBLANK(B774),"""",IF(ISDATE(B774),TEXT(B774,""yyyy""),""""))"),"")</f>
        <v/>
      </c>
    </row>
    <row r="775">
      <c r="B775" s="62"/>
      <c r="C775" s="56"/>
      <c r="D775" s="56"/>
      <c r="E775" s="56"/>
      <c r="F775" s="63"/>
      <c r="G775" s="64"/>
      <c r="H775" s="65"/>
      <c r="I775" s="63"/>
      <c r="K775" s="53" t="str">
        <f>IFERROR(__xludf.DUMMYFUNCTION("IF(ISBLANK(B775),"""",IF(ISDATE(B775),""X"",""""))"),"")</f>
        <v/>
      </c>
      <c r="L775" s="40" t="str">
        <f>IFERROR(__xludf.DUMMYFUNCTION("IF(ISBLANK(B775),"""",IF(Or(I775=""Em Aberto"",ISBLANK(I775),NOT(ISDATE(B775))),"""",H775))"),"")</f>
        <v/>
      </c>
      <c r="M775" s="29" t="str">
        <f>IFERROR(__xludf.DUMMYFUNCTION("IF(ISBLANK(B775),"""",IF(ISDATE(B775),TEXT(B775,""m""),""""))"),"")</f>
        <v/>
      </c>
      <c r="N775" s="29" t="str">
        <f>IFERROR(__xludf.DUMMYFUNCTION("IF(M775="""","""",QUERY({'Dashboard-Dados'!$Y$2:$AA$13},""Select Col2 Where Col1=""&amp;M775))"),"")</f>
        <v/>
      </c>
      <c r="O775" s="29" t="str">
        <f>IFERROR(__xludf.DUMMYFUNCTION("IF(ISBLANK(B775),"""",IF(ISDATE(B775),TEXT(B775,""yyyy""),""""))"),"")</f>
        <v/>
      </c>
    </row>
    <row r="776">
      <c r="B776" s="62"/>
      <c r="C776" s="56"/>
      <c r="D776" s="56"/>
      <c r="E776" s="56"/>
      <c r="F776" s="63"/>
      <c r="G776" s="64"/>
      <c r="H776" s="65"/>
      <c r="I776" s="63"/>
      <c r="K776" s="53" t="str">
        <f>IFERROR(__xludf.DUMMYFUNCTION("IF(ISBLANK(B776),"""",IF(ISDATE(B776),""X"",""""))"),"")</f>
        <v/>
      </c>
      <c r="L776" s="40" t="str">
        <f>IFERROR(__xludf.DUMMYFUNCTION("IF(ISBLANK(B776),"""",IF(Or(I776=""Em Aberto"",ISBLANK(I776),NOT(ISDATE(B776))),"""",H776))"),"")</f>
        <v/>
      </c>
      <c r="M776" s="29" t="str">
        <f>IFERROR(__xludf.DUMMYFUNCTION("IF(ISBLANK(B776),"""",IF(ISDATE(B776),TEXT(B776,""m""),""""))"),"")</f>
        <v/>
      </c>
      <c r="N776" s="29" t="str">
        <f>IFERROR(__xludf.DUMMYFUNCTION("IF(M776="""","""",QUERY({'Dashboard-Dados'!$Y$2:$AA$13},""Select Col2 Where Col1=""&amp;M776))"),"")</f>
        <v/>
      </c>
      <c r="O776" s="29" t="str">
        <f>IFERROR(__xludf.DUMMYFUNCTION("IF(ISBLANK(B776),"""",IF(ISDATE(B776),TEXT(B776,""yyyy""),""""))"),"")</f>
        <v/>
      </c>
    </row>
    <row r="777">
      <c r="B777" s="62"/>
      <c r="C777" s="56"/>
      <c r="D777" s="56"/>
      <c r="E777" s="56"/>
      <c r="F777" s="63"/>
      <c r="G777" s="64"/>
      <c r="H777" s="65"/>
      <c r="I777" s="63"/>
      <c r="K777" s="53" t="str">
        <f>IFERROR(__xludf.DUMMYFUNCTION("IF(ISBLANK(B777),"""",IF(ISDATE(B777),""X"",""""))"),"")</f>
        <v/>
      </c>
      <c r="L777" s="40" t="str">
        <f>IFERROR(__xludf.DUMMYFUNCTION("IF(ISBLANK(B777),"""",IF(Or(I777=""Em Aberto"",ISBLANK(I777),NOT(ISDATE(B777))),"""",H777))"),"")</f>
        <v/>
      </c>
      <c r="M777" s="29" t="str">
        <f>IFERROR(__xludf.DUMMYFUNCTION("IF(ISBLANK(B777),"""",IF(ISDATE(B777),TEXT(B777,""m""),""""))"),"")</f>
        <v/>
      </c>
      <c r="N777" s="29" t="str">
        <f>IFERROR(__xludf.DUMMYFUNCTION("IF(M777="""","""",QUERY({'Dashboard-Dados'!$Y$2:$AA$13},""Select Col2 Where Col1=""&amp;M777))"),"")</f>
        <v/>
      </c>
      <c r="O777" s="29" t="str">
        <f>IFERROR(__xludf.DUMMYFUNCTION("IF(ISBLANK(B777),"""",IF(ISDATE(B777),TEXT(B777,""yyyy""),""""))"),"")</f>
        <v/>
      </c>
    </row>
    <row r="778">
      <c r="B778" s="62"/>
      <c r="C778" s="56"/>
      <c r="D778" s="56"/>
      <c r="E778" s="56"/>
      <c r="F778" s="63"/>
      <c r="G778" s="64"/>
      <c r="H778" s="65"/>
      <c r="I778" s="63"/>
      <c r="K778" s="53" t="str">
        <f>IFERROR(__xludf.DUMMYFUNCTION("IF(ISBLANK(B778),"""",IF(ISDATE(B778),""X"",""""))"),"")</f>
        <v/>
      </c>
      <c r="L778" s="40" t="str">
        <f>IFERROR(__xludf.DUMMYFUNCTION("IF(ISBLANK(B778),"""",IF(Or(I778=""Em Aberto"",ISBLANK(I778),NOT(ISDATE(B778))),"""",H778))"),"")</f>
        <v/>
      </c>
      <c r="M778" s="29" t="str">
        <f>IFERROR(__xludf.DUMMYFUNCTION("IF(ISBLANK(B778),"""",IF(ISDATE(B778),TEXT(B778,""m""),""""))"),"")</f>
        <v/>
      </c>
      <c r="N778" s="29" t="str">
        <f>IFERROR(__xludf.DUMMYFUNCTION("IF(M778="""","""",QUERY({'Dashboard-Dados'!$Y$2:$AA$13},""Select Col2 Where Col1=""&amp;M778))"),"")</f>
        <v/>
      </c>
      <c r="O778" s="29" t="str">
        <f>IFERROR(__xludf.DUMMYFUNCTION("IF(ISBLANK(B778),"""",IF(ISDATE(B778),TEXT(B778,""yyyy""),""""))"),"")</f>
        <v/>
      </c>
    </row>
    <row r="779">
      <c r="B779" s="62"/>
      <c r="C779" s="56"/>
      <c r="D779" s="56"/>
      <c r="E779" s="56"/>
      <c r="F779" s="63"/>
      <c r="G779" s="64"/>
      <c r="H779" s="65"/>
      <c r="I779" s="63"/>
      <c r="K779" s="53" t="str">
        <f>IFERROR(__xludf.DUMMYFUNCTION("IF(ISBLANK(B779),"""",IF(ISDATE(B779),""X"",""""))"),"")</f>
        <v/>
      </c>
      <c r="L779" s="40" t="str">
        <f>IFERROR(__xludf.DUMMYFUNCTION("IF(ISBLANK(B779),"""",IF(Or(I779=""Em Aberto"",ISBLANK(I779),NOT(ISDATE(B779))),"""",H779))"),"")</f>
        <v/>
      </c>
      <c r="M779" s="29" t="str">
        <f>IFERROR(__xludf.DUMMYFUNCTION("IF(ISBLANK(B779),"""",IF(ISDATE(B779),TEXT(B779,""m""),""""))"),"")</f>
        <v/>
      </c>
      <c r="N779" s="29" t="str">
        <f>IFERROR(__xludf.DUMMYFUNCTION("IF(M779="""","""",QUERY({'Dashboard-Dados'!$Y$2:$AA$13},""Select Col2 Where Col1=""&amp;M779))"),"")</f>
        <v/>
      </c>
      <c r="O779" s="29" t="str">
        <f>IFERROR(__xludf.DUMMYFUNCTION("IF(ISBLANK(B779),"""",IF(ISDATE(B779),TEXT(B779,""yyyy""),""""))"),"")</f>
        <v/>
      </c>
    </row>
    <row r="780">
      <c r="B780" s="62"/>
      <c r="C780" s="56"/>
      <c r="D780" s="56"/>
      <c r="E780" s="56"/>
      <c r="F780" s="63"/>
      <c r="G780" s="64"/>
      <c r="H780" s="65"/>
      <c r="I780" s="63"/>
      <c r="K780" s="53" t="str">
        <f>IFERROR(__xludf.DUMMYFUNCTION("IF(ISBLANK(B780),"""",IF(ISDATE(B780),""X"",""""))"),"")</f>
        <v/>
      </c>
      <c r="L780" s="40" t="str">
        <f>IFERROR(__xludf.DUMMYFUNCTION("IF(ISBLANK(B780),"""",IF(Or(I780=""Em Aberto"",ISBLANK(I780),NOT(ISDATE(B780))),"""",H780))"),"")</f>
        <v/>
      </c>
      <c r="M780" s="29" t="str">
        <f>IFERROR(__xludf.DUMMYFUNCTION("IF(ISBLANK(B780),"""",IF(ISDATE(B780),TEXT(B780,""m""),""""))"),"")</f>
        <v/>
      </c>
      <c r="N780" s="29" t="str">
        <f>IFERROR(__xludf.DUMMYFUNCTION("IF(M780="""","""",QUERY({'Dashboard-Dados'!$Y$2:$AA$13},""Select Col2 Where Col1=""&amp;M780))"),"")</f>
        <v/>
      </c>
      <c r="O780" s="29" t="str">
        <f>IFERROR(__xludf.DUMMYFUNCTION("IF(ISBLANK(B780),"""",IF(ISDATE(B780),TEXT(B780,""yyyy""),""""))"),"")</f>
        <v/>
      </c>
    </row>
    <row r="781">
      <c r="B781" s="62"/>
      <c r="C781" s="56"/>
      <c r="D781" s="56"/>
      <c r="E781" s="56"/>
      <c r="F781" s="63"/>
      <c r="G781" s="64"/>
      <c r="H781" s="65"/>
      <c r="I781" s="63"/>
      <c r="K781" s="53" t="str">
        <f>IFERROR(__xludf.DUMMYFUNCTION("IF(ISBLANK(B781),"""",IF(ISDATE(B781),""X"",""""))"),"")</f>
        <v/>
      </c>
      <c r="L781" s="40" t="str">
        <f>IFERROR(__xludf.DUMMYFUNCTION("IF(ISBLANK(B781),"""",IF(Or(I781=""Em Aberto"",ISBLANK(I781),NOT(ISDATE(B781))),"""",H781))"),"")</f>
        <v/>
      </c>
      <c r="M781" s="29" t="str">
        <f>IFERROR(__xludf.DUMMYFUNCTION("IF(ISBLANK(B781),"""",IF(ISDATE(B781),TEXT(B781,""m""),""""))"),"")</f>
        <v/>
      </c>
      <c r="N781" s="29" t="str">
        <f>IFERROR(__xludf.DUMMYFUNCTION("IF(M781="""","""",QUERY({'Dashboard-Dados'!$Y$2:$AA$13},""Select Col2 Where Col1=""&amp;M781))"),"")</f>
        <v/>
      </c>
      <c r="O781" s="29" t="str">
        <f>IFERROR(__xludf.DUMMYFUNCTION("IF(ISBLANK(B781),"""",IF(ISDATE(B781),TEXT(B781,""yyyy""),""""))"),"")</f>
        <v/>
      </c>
    </row>
    <row r="782">
      <c r="B782" s="62"/>
      <c r="C782" s="56"/>
      <c r="D782" s="56"/>
      <c r="E782" s="56"/>
      <c r="F782" s="63"/>
      <c r="G782" s="64"/>
      <c r="H782" s="65"/>
      <c r="I782" s="63"/>
      <c r="K782" s="53" t="str">
        <f>IFERROR(__xludf.DUMMYFUNCTION("IF(ISBLANK(B782),"""",IF(ISDATE(B782),""X"",""""))"),"")</f>
        <v/>
      </c>
      <c r="L782" s="40" t="str">
        <f>IFERROR(__xludf.DUMMYFUNCTION("IF(ISBLANK(B782),"""",IF(Or(I782=""Em Aberto"",ISBLANK(I782),NOT(ISDATE(B782))),"""",H782))"),"")</f>
        <v/>
      </c>
      <c r="M782" s="29" t="str">
        <f>IFERROR(__xludf.DUMMYFUNCTION("IF(ISBLANK(B782),"""",IF(ISDATE(B782),TEXT(B782,""m""),""""))"),"")</f>
        <v/>
      </c>
      <c r="N782" s="29" t="str">
        <f>IFERROR(__xludf.DUMMYFUNCTION("IF(M782="""","""",QUERY({'Dashboard-Dados'!$Y$2:$AA$13},""Select Col2 Where Col1=""&amp;M782))"),"")</f>
        <v/>
      </c>
      <c r="O782" s="29" t="str">
        <f>IFERROR(__xludf.DUMMYFUNCTION("IF(ISBLANK(B782),"""",IF(ISDATE(B782),TEXT(B782,""yyyy""),""""))"),"")</f>
        <v/>
      </c>
    </row>
    <row r="783">
      <c r="B783" s="62"/>
      <c r="C783" s="56"/>
      <c r="D783" s="56"/>
      <c r="E783" s="56"/>
      <c r="F783" s="63"/>
      <c r="G783" s="64"/>
      <c r="H783" s="65"/>
      <c r="I783" s="63"/>
      <c r="K783" s="53" t="str">
        <f>IFERROR(__xludf.DUMMYFUNCTION("IF(ISBLANK(B783),"""",IF(ISDATE(B783),""X"",""""))"),"")</f>
        <v/>
      </c>
      <c r="L783" s="40" t="str">
        <f>IFERROR(__xludf.DUMMYFUNCTION("IF(ISBLANK(B783),"""",IF(Or(I783=""Em Aberto"",ISBLANK(I783),NOT(ISDATE(B783))),"""",H783))"),"")</f>
        <v/>
      </c>
      <c r="M783" s="29" t="str">
        <f>IFERROR(__xludf.DUMMYFUNCTION("IF(ISBLANK(B783),"""",IF(ISDATE(B783),TEXT(B783,""m""),""""))"),"")</f>
        <v/>
      </c>
      <c r="N783" s="29" t="str">
        <f>IFERROR(__xludf.DUMMYFUNCTION("IF(M783="""","""",QUERY({'Dashboard-Dados'!$Y$2:$AA$13},""Select Col2 Where Col1=""&amp;M783))"),"")</f>
        <v/>
      </c>
      <c r="O783" s="29" t="str">
        <f>IFERROR(__xludf.DUMMYFUNCTION("IF(ISBLANK(B783),"""",IF(ISDATE(B783),TEXT(B783,""yyyy""),""""))"),"")</f>
        <v/>
      </c>
    </row>
    <row r="784">
      <c r="B784" s="62"/>
      <c r="C784" s="56"/>
      <c r="D784" s="56"/>
      <c r="E784" s="56"/>
      <c r="F784" s="63"/>
      <c r="G784" s="64"/>
      <c r="H784" s="65"/>
      <c r="I784" s="63"/>
      <c r="K784" s="53" t="str">
        <f>IFERROR(__xludf.DUMMYFUNCTION("IF(ISBLANK(B784),"""",IF(ISDATE(B784),""X"",""""))"),"")</f>
        <v/>
      </c>
      <c r="L784" s="40" t="str">
        <f>IFERROR(__xludf.DUMMYFUNCTION("IF(ISBLANK(B784),"""",IF(Or(I784=""Em Aberto"",ISBLANK(I784),NOT(ISDATE(B784))),"""",H784))"),"")</f>
        <v/>
      </c>
      <c r="M784" s="29" t="str">
        <f>IFERROR(__xludf.DUMMYFUNCTION("IF(ISBLANK(B784),"""",IF(ISDATE(B784),TEXT(B784,""m""),""""))"),"")</f>
        <v/>
      </c>
      <c r="N784" s="29" t="str">
        <f>IFERROR(__xludf.DUMMYFUNCTION("IF(M784="""","""",QUERY({'Dashboard-Dados'!$Y$2:$AA$13},""Select Col2 Where Col1=""&amp;M784))"),"")</f>
        <v/>
      </c>
      <c r="O784" s="29" t="str">
        <f>IFERROR(__xludf.DUMMYFUNCTION("IF(ISBLANK(B784),"""",IF(ISDATE(B784),TEXT(B784,""yyyy""),""""))"),"")</f>
        <v/>
      </c>
    </row>
    <row r="785">
      <c r="B785" s="62"/>
      <c r="C785" s="56"/>
      <c r="D785" s="56"/>
      <c r="E785" s="56"/>
      <c r="F785" s="63"/>
      <c r="G785" s="64"/>
      <c r="H785" s="65"/>
      <c r="I785" s="63"/>
      <c r="K785" s="53" t="str">
        <f>IFERROR(__xludf.DUMMYFUNCTION("IF(ISBLANK(B785),"""",IF(ISDATE(B785),""X"",""""))"),"")</f>
        <v/>
      </c>
      <c r="L785" s="40" t="str">
        <f>IFERROR(__xludf.DUMMYFUNCTION("IF(ISBLANK(B785),"""",IF(Or(I785=""Em Aberto"",ISBLANK(I785),NOT(ISDATE(B785))),"""",H785))"),"")</f>
        <v/>
      </c>
      <c r="M785" s="29" t="str">
        <f>IFERROR(__xludf.DUMMYFUNCTION("IF(ISBLANK(B785),"""",IF(ISDATE(B785),TEXT(B785,""m""),""""))"),"")</f>
        <v/>
      </c>
      <c r="N785" s="29" t="str">
        <f>IFERROR(__xludf.DUMMYFUNCTION("IF(M785="""","""",QUERY({'Dashboard-Dados'!$Y$2:$AA$13},""Select Col2 Where Col1=""&amp;M785))"),"")</f>
        <v/>
      </c>
      <c r="O785" s="29" t="str">
        <f>IFERROR(__xludf.DUMMYFUNCTION("IF(ISBLANK(B785),"""",IF(ISDATE(B785),TEXT(B785,""yyyy""),""""))"),"")</f>
        <v/>
      </c>
    </row>
    <row r="786">
      <c r="B786" s="62"/>
      <c r="C786" s="56"/>
      <c r="D786" s="56"/>
      <c r="E786" s="56"/>
      <c r="F786" s="63"/>
      <c r="G786" s="64"/>
      <c r="H786" s="65"/>
      <c r="I786" s="63"/>
      <c r="K786" s="53" t="str">
        <f>IFERROR(__xludf.DUMMYFUNCTION("IF(ISBLANK(B786),"""",IF(ISDATE(B786),""X"",""""))"),"")</f>
        <v/>
      </c>
      <c r="L786" s="40" t="str">
        <f>IFERROR(__xludf.DUMMYFUNCTION("IF(ISBLANK(B786),"""",IF(Or(I786=""Em Aberto"",ISBLANK(I786),NOT(ISDATE(B786))),"""",H786))"),"")</f>
        <v/>
      </c>
      <c r="M786" s="29" t="str">
        <f>IFERROR(__xludf.DUMMYFUNCTION("IF(ISBLANK(B786),"""",IF(ISDATE(B786),TEXT(B786,""m""),""""))"),"")</f>
        <v/>
      </c>
      <c r="N786" s="29" t="str">
        <f>IFERROR(__xludf.DUMMYFUNCTION("IF(M786="""","""",QUERY({'Dashboard-Dados'!$Y$2:$AA$13},""Select Col2 Where Col1=""&amp;M786))"),"")</f>
        <v/>
      </c>
      <c r="O786" s="29" t="str">
        <f>IFERROR(__xludf.DUMMYFUNCTION("IF(ISBLANK(B786),"""",IF(ISDATE(B786),TEXT(B786,""yyyy""),""""))"),"")</f>
        <v/>
      </c>
    </row>
    <row r="787">
      <c r="B787" s="62"/>
      <c r="C787" s="56"/>
      <c r="D787" s="56"/>
      <c r="E787" s="56"/>
      <c r="F787" s="63"/>
      <c r="G787" s="64"/>
      <c r="H787" s="65"/>
      <c r="I787" s="63"/>
      <c r="K787" s="53" t="str">
        <f>IFERROR(__xludf.DUMMYFUNCTION("IF(ISBLANK(B787),"""",IF(ISDATE(B787),""X"",""""))"),"")</f>
        <v/>
      </c>
      <c r="L787" s="40" t="str">
        <f>IFERROR(__xludf.DUMMYFUNCTION("IF(ISBLANK(B787),"""",IF(Or(I787=""Em Aberto"",ISBLANK(I787),NOT(ISDATE(B787))),"""",H787))"),"")</f>
        <v/>
      </c>
      <c r="M787" s="29" t="str">
        <f>IFERROR(__xludf.DUMMYFUNCTION("IF(ISBLANK(B787),"""",IF(ISDATE(B787),TEXT(B787,""m""),""""))"),"")</f>
        <v/>
      </c>
      <c r="N787" s="29" t="str">
        <f>IFERROR(__xludf.DUMMYFUNCTION("IF(M787="""","""",QUERY({'Dashboard-Dados'!$Y$2:$AA$13},""Select Col2 Where Col1=""&amp;M787))"),"")</f>
        <v/>
      </c>
      <c r="O787" s="29" t="str">
        <f>IFERROR(__xludf.DUMMYFUNCTION("IF(ISBLANK(B787),"""",IF(ISDATE(B787),TEXT(B787,""yyyy""),""""))"),"")</f>
        <v/>
      </c>
    </row>
    <row r="788">
      <c r="B788" s="62"/>
      <c r="C788" s="56"/>
      <c r="D788" s="56"/>
      <c r="E788" s="56"/>
      <c r="F788" s="63"/>
      <c r="G788" s="64"/>
      <c r="H788" s="65"/>
      <c r="I788" s="63"/>
      <c r="K788" s="53" t="str">
        <f>IFERROR(__xludf.DUMMYFUNCTION("IF(ISBLANK(B788),"""",IF(ISDATE(B788),""X"",""""))"),"")</f>
        <v/>
      </c>
      <c r="L788" s="40" t="str">
        <f>IFERROR(__xludf.DUMMYFUNCTION("IF(ISBLANK(B788),"""",IF(Or(I788=""Em Aberto"",ISBLANK(I788),NOT(ISDATE(B788))),"""",H788))"),"")</f>
        <v/>
      </c>
      <c r="M788" s="29" t="str">
        <f>IFERROR(__xludf.DUMMYFUNCTION("IF(ISBLANK(B788),"""",IF(ISDATE(B788),TEXT(B788,""m""),""""))"),"")</f>
        <v/>
      </c>
      <c r="N788" s="29" t="str">
        <f>IFERROR(__xludf.DUMMYFUNCTION("IF(M788="""","""",QUERY({'Dashboard-Dados'!$Y$2:$AA$13},""Select Col2 Where Col1=""&amp;M788))"),"")</f>
        <v/>
      </c>
      <c r="O788" s="29" t="str">
        <f>IFERROR(__xludf.DUMMYFUNCTION("IF(ISBLANK(B788),"""",IF(ISDATE(B788),TEXT(B788,""yyyy""),""""))"),"")</f>
        <v/>
      </c>
    </row>
    <row r="789">
      <c r="B789" s="62"/>
      <c r="C789" s="56"/>
      <c r="D789" s="56"/>
      <c r="E789" s="56"/>
      <c r="F789" s="63"/>
      <c r="G789" s="64"/>
      <c r="H789" s="65"/>
      <c r="I789" s="63"/>
      <c r="K789" s="53" t="str">
        <f>IFERROR(__xludf.DUMMYFUNCTION("IF(ISBLANK(B789),"""",IF(ISDATE(B789),""X"",""""))"),"")</f>
        <v/>
      </c>
      <c r="L789" s="40" t="str">
        <f>IFERROR(__xludf.DUMMYFUNCTION("IF(ISBLANK(B789),"""",IF(Or(I789=""Em Aberto"",ISBLANK(I789),NOT(ISDATE(B789))),"""",H789))"),"")</f>
        <v/>
      </c>
      <c r="M789" s="29" t="str">
        <f>IFERROR(__xludf.DUMMYFUNCTION("IF(ISBLANK(B789),"""",IF(ISDATE(B789),TEXT(B789,""m""),""""))"),"")</f>
        <v/>
      </c>
      <c r="N789" s="29" t="str">
        <f>IFERROR(__xludf.DUMMYFUNCTION("IF(M789="""","""",QUERY({'Dashboard-Dados'!$Y$2:$AA$13},""Select Col2 Where Col1=""&amp;M789))"),"")</f>
        <v/>
      </c>
      <c r="O789" s="29" t="str">
        <f>IFERROR(__xludf.DUMMYFUNCTION("IF(ISBLANK(B789),"""",IF(ISDATE(B789),TEXT(B789,""yyyy""),""""))"),"")</f>
        <v/>
      </c>
    </row>
    <row r="790">
      <c r="B790" s="62"/>
      <c r="C790" s="56"/>
      <c r="D790" s="56"/>
      <c r="E790" s="56"/>
      <c r="F790" s="63"/>
      <c r="G790" s="64"/>
      <c r="H790" s="65"/>
      <c r="I790" s="63"/>
      <c r="K790" s="53" t="str">
        <f>IFERROR(__xludf.DUMMYFUNCTION("IF(ISBLANK(B790),"""",IF(ISDATE(B790),""X"",""""))"),"")</f>
        <v/>
      </c>
      <c r="L790" s="40" t="str">
        <f>IFERROR(__xludf.DUMMYFUNCTION("IF(ISBLANK(B790),"""",IF(Or(I790=""Em Aberto"",ISBLANK(I790),NOT(ISDATE(B790))),"""",H790))"),"")</f>
        <v/>
      </c>
      <c r="M790" s="29" t="str">
        <f>IFERROR(__xludf.DUMMYFUNCTION("IF(ISBLANK(B790),"""",IF(ISDATE(B790),TEXT(B790,""m""),""""))"),"")</f>
        <v/>
      </c>
      <c r="N790" s="29" t="str">
        <f>IFERROR(__xludf.DUMMYFUNCTION("IF(M790="""","""",QUERY({'Dashboard-Dados'!$Y$2:$AA$13},""Select Col2 Where Col1=""&amp;M790))"),"")</f>
        <v/>
      </c>
      <c r="O790" s="29" t="str">
        <f>IFERROR(__xludf.DUMMYFUNCTION("IF(ISBLANK(B790),"""",IF(ISDATE(B790),TEXT(B790,""yyyy""),""""))"),"")</f>
        <v/>
      </c>
    </row>
    <row r="791">
      <c r="B791" s="62"/>
      <c r="C791" s="56"/>
      <c r="D791" s="56"/>
      <c r="E791" s="56"/>
      <c r="F791" s="63"/>
      <c r="G791" s="64"/>
      <c r="H791" s="65"/>
      <c r="I791" s="63"/>
      <c r="K791" s="53" t="str">
        <f>IFERROR(__xludf.DUMMYFUNCTION("IF(ISBLANK(B791),"""",IF(ISDATE(B791),""X"",""""))"),"")</f>
        <v/>
      </c>
      <c r="L791" s="40" t="str">
        <f>IFERROR(__xludf.DUMMYFUNCTION("IF(ISBLANK(B791),"""",IF(Or(I791=""Em Aberto"",ISBLANK(I791),NOT(ISDATE(B791))),"""",H791))"),"")</f>
        <v/>
      </c>
      <c r="M791" s="29" t="str">
        <f>IFERROR(__xludf.DUMMYFUNCTION("IF(ISBLANK(B791),"""",IF(ISDATE(B791),TEXT(B791,""m""),""""))"),"")</f>
        <v/>
      </c>
      <c r="N791" s="29" t="str">
        <f>IFERROR(__xludf.DUMMYFUNCTION("IF(M791="""","""",QUERY({'Dashboard-Dados'!$Y$2:$AA$13},""Select Col2 Where Col1=""&amp;M791))"),"")</f>
        <v/>
      </c>
      <c r="O791" s="29" t="str">
        <f>IFERROR(__xludf.DUMMYFUNCTION("IF(ISBLANK(B791),"""",IF(ISDATE(B791),TEXT(B791,""yyyy""),""""))"),"")</f>
        <v/>
      </c>
    </row>
    <row r="792">
      <c r="B792" s="62"/>
      <c r="C792" s="56"/>
      <c r="D792" s="56"/>
      <c r="E792" s="56"/>
      <c r="F792" s="63"/>
      <c r="G792" s="64"/>
      <c r="H792" s="65"/>
      <c r="I792" s="63"/>
      <c r="K792" s="53" t="str">
        <f>IFERROR(__xludf.DUMMYFUNCTION("IF(ISBLANK(B792),"""",IF(ISDATE(B792),""X"",""""))"),"")</f>
        <v/>
      </c>
      <c r="L792" s="40" t="str">
        <f>IFERROR(__xludf.DUMMYFUNCTION("IF(ISBLANK(B792),"""",IF(Or(I792=""Em Aberto"",ISBLANK(I792),NOT(ISDATE(B792))),"""",H792))"),"")</f>
        <v/>
      </c>
      <c r="M792" s="29" t="str">
        <f>IFERROR(__xludf.DUMMYFUNCTION("IF(ISBLANK(B792),"""",IF(ISDATE(B792),TEXT(B792,""m""),""""))"),"")</f>
        <v/>
      </c>
      <c r="N792" s="29" t="str">
        <f>IFERROR(__xludf.DUMMYFUNCTION("IF(M792="""","""",QUERY({'Dashboard-Dados'!$Y$2:$AA$13},""Select Col2 Where Col1=""&amp;M792))"),"")</f>
        <v/>
      </c>
      <c r="O792" s="29" t="str">
        <f>IFERROR(__xludf.DUMMYFUNCTION("IF(ISBLANK(B792),"""",IF(ISDATE(B792),TEXT(B792,""yyyy""),""""))"),"")</f>
        <v/>
      </c>
    </row>
    <row r="793">
      <c r="B793" s="62"/>
      <c r="C793" s="56"/>
      <c r="D793" s="56"/>
      <c r="E793" s="56"/>
      <c r="F793" s="63"/>
      <c r="G793" s="64"/>
      <c r="H793" s="65"/>
      <c r="I793" s="63"/>
      <c r="K793" s="53" t="str">
        <f>IFERROR(__xludf.DUMMYFUNCTION("IF(ISBLANK(B793),"""",IF(ISDATE(B793),""X"",""""))"),"")</f>
        <v/>
      </c>
      <c r="L793" s="40" t="str">
        <f>IFERROR(__xludf.DUMMYFUNCTION("IF(ISBLANK(B793),"""",IF(Or(I793=""Em Aberto"",ISBLANK(I793),NOT(ISDATE(B793))),"""",H793))"),"")</f>
        <v/>
      </c>
      <c r="M793" s="29" t="str">
        <f>IFERROR(__xludf.DUMMYFUNCTION("IF(ISBLANK(B793),"""",IF(ISDATE(B793),TEXT(B793,""m""),""""))"),"")</f>
        <v/>
      </c>
      <c r="N793" s="29" t="str">
        <f>IFERROR(__xludf.DUMMYFUNCTION("IF(M793="""","""",QUERY({'Dashboard-Dados'!$Y$2:$AA$13},""Select Col2 Where Col1=""&amp;M793))"),"")</f>
        <v/>
      </c>
      <c r="O793" s="29" t="str">
        <f>IFERROR(__xludf.DUMMYFUNCTION("IF(ISBLANK(B793),"""",IF(ISDATE(B793),TEXT(B793,""yyyy""),""""))"),"")</f>
        <v/>
      </c>
    </row>
    <row r="794">
      <c r="B794" s="62"/>
      <c r="C794" s="56"/>
      <c r="D794" s="56"/>
      <c r="E794" s="56"/>
      <c r="F794" s="63"/>
      <c r="G794" s="64"/>
      <c r="H794" s="65"/>
      <c r="I794" s="63"/>
      <c r="K794" s="53" t="str">
        <f>IFERROR(__xludf.DUMMYFUNCTION("IF(ISBLANK(B794),"""",IF(ISDATE(B794),""X"",""""))"),"")</f>
        <v/>
      </c>
      <c r="L794" s="40" t="str">
        <f>IFERROR(__xludf.DUMMYFUNCTION("IF(ISBLANK(B794),"""",IF(Or(I794=""Em Aberto"",ISBLANK(I794),NOT(ISDATE(B794))),"""",H794))"),"")</f>
        <v/>
      </c>
      <c r="M794" s="29" t="str">
        <f>IFERROR(__xludf.DUMMYFUNCTION("IF(ISBLANK(B794),"""",IF(ISDATE(B794),TEXT(B794,""m""),""""))"),"")</f>
        <v/>
      </c>
      <c r="N794" s="29" t="str">
        <f>IFERROR(__xludf.DUMMYFUNCTION("IF(M794="""","""",QUERY({'Dashboard-Dados'!$Y$2:$AA$13},""Select Col2 Where Col1=""&amp;M794))"),"")</f>
        <v/>
      </c>
      <c r="O794" s="29" t="str">
        <f>IFERROR(__xludf.DUMMYFUNCTION("IF(ISBLANK(B794),"""",IF(ISDATE(B794),TEXT(B794,""yyyy""),""""))"),"")</f>
        <v/>
      </c>
    </row>
    <row r="795">
      <c r="B795" s="62"/>
      <c r="C795" s="56"/>
      <c r="D795" s="56"/>
      <c r="E795" s="56"/>
      <c r="F795" s="63"/>
      <c r="G795" s="64"/>
      <c r="H795" s="65"/>
      <c r="I795" s="63"/>
      <c r="K795" s="53" t="str">
        <f>IFERROR(__xludf.DUMMYFUNCTION("IF(ISBLANK(B795),"""",IF(ISDATE(B795),""X"",""""))"),"")</f>
        <v/>
      </c>
      <c r="L795" s="40" t="str">
        <f>IFERROR(__xludf.DUMMYFUNCTION("IF(ISBLANK(B795),"""",IF(Or(I795=""Em Aberto"",ISBLANK(I795),NOT(ISDATE(B795))),"""",H795))"),"")</f>
        <v/>
      </c>
      <c r="M795" s="29" t="str">
        <f>IFERROR(__xludf.DUMMYFUNCTION("IF(ISBLANK(B795),"""",IF(ISDATE(B795),TEXT(B795,""m""),""""))"),"")</f>
        <v/>
      </c>
      <c r="N795" s="29" t="str">
        <f>IFERROR(__xludf.DUMMYFUNCTION("IF(M795="""","""",QUERY({'Dashboard-Dados'!$Y$2:$AA$13},""Select Col2 Where Col1=""&amp;M795))"),"")</f>
        <v/>
      </c>
      <c r="O795" s="29" t="str">
        <f>IFERROR(__xludf.DUMMYFUNCTION("IF(ISBLANK(B795),"""",IF(ISDATE(B795),TEXT(B795,""yyyy""),""""))"),"")</f>
        <v/>
      </c>
    </row>
    <row r="796">
      <c r="B796" s="62"/>
      <c r="C796" s="56"/>
      <c r="D796" s="56"/>
      <c r="E796" s="56"/>
      <c r="F796" s="63"/>
      <c r="G796" s="64"/>
      <c r="H796" s="65"/>
      <c r="I796" s="63"/>
      <c r="K796" s="53" t="str">
        <f>IFERROR(__xludf.DUMMYFUNCTION("IF(ISBLANK(B796),"""",IF(ISDATE(B796),""X"",""""))"),"")</f>
        <v/>
      </c>
      <c r="L796" s="40" t="str">
        <f>IFERROR(__xludf.DUMMYFUNCTION("IF(ISBLANK(B796),"""",IF(Or(I796=""Em Aberto"",ISBLANK(I796),NOT(ISDATE(B796))),"""",H796))"),"")</f>
        <v/>
      </c>
      <c r="M796" s="29" t="str">
        <f>IFERROR(__xludf.DUMMYFUNCTION("IF(ISBLANK(B796),"""",IF(ISDATE(B796),TEXT(B796,""m""),""""))"),"")</f>
        <v/>
      </c>
      <c r="N796" s="29" t="str">
        <f>IFERROR(__xludf.DUMMYFUNCTION("IF(M796="""","""",QUERY({'Dashboard-Dados'!$Y$2:$AA$13},""Select Col2 Where Col1=""&amp;M796))"),"")</f>
        <v/>
      </c>
      <c r="O796" s="29" t="str">
        <f>IFERROR(__xludf.DUMMYFUNCTION("IF(ISBLANK(B796),"""",IF(ISDATE(B796),TEXT(B796,""yyyy""),""""))"),"")</f>
        <v/>
      </c>
    </row>
    <row r="797">
      <c r="B797" s="62"/>
      <c r="C797" s="56"/>
      <c r="D797" s="56"/>
      <c r="E797" s="56"/>
      <c r="F797" s="63"/>
      <c r="G797" s="64"/>
      <c r="H797" s="65"/>
      <c r="I797" s="63"/>
      <c r="K797" s="53" t="str">
        <f>IFERROR(__xludf.DUMMYFUNCTION("IF(ISBLANK(B797),"""",IF(ISDATE(B797),""X"",""""))"),"")</f>
        <v/>
      </c>
      <c r="L797" s="40" t="str">
        <f>IFERROR(__xludf.DUMMYFUNCTION("IF(ISBLANK(B797),"""",IF(Or(I797=""Em Aberto"",ISBLANK(I797),NOT(ISDATE(B797))),"""",H797))"),"")</f>
        <v/>
      </c>
      <c r="M797" s="29" t="str">
        <f>IFERROR(__xludf.DUMMYFUNCTION("IF(ISBLANK(B797),"""",IF(ISDATE(B797),TEXT(B797,""m""),""""))"),"")</f>
        <v/>
      </c>
      <c r="N797" s="29" t="str">
        <f>IFERROR(__xludf.DUMMYFUNCTION("IF(M797="""","""",QUERY({'Dashboard-Dados'!$Y$2:$AA$13},""Select Col2 Where Col1=""&amp;M797))"),"")</f>
        <v/>
      </c>
      <c r="O797" s="29" t="str">
        <f>IFERROR(__xludf.DUMMYFUNCTION("IF(ISBLANK(B797),"""",IF(ISDATE(B797),TEXT(B797,""yyyy""),""""))"),"")</f>
        <v/>
      </c>
    </row>
    <row r="798">
      <c r="B798" s="62"/>
      <c r="C798" s="56"/>
      <c r="D798" s="56"/>
      <c r="E798" s="56"/>
      <c r="F798" s="63"/>
      <c r="G798" s="64"/>
      <c r="H798" s="65"/>
      <c r="I798" s="63"/>
      <c r="K798" s="53" t="str">
        <f>IFERROR(__xludf.DUMMYFUNCTION("IF(ISBLANK(B798),"""",IF(ISDATE(B798),""X"",""""))"),"")</f>
        <v/>
      </c>
      <c r="L798" s="40" t="str">
        <f>IFERROR(__xludf.DUMMYFUNCTION("IF(ISBLANK(B798),"""",IF(Or(I798=""Em Aberto"",ISBLANK(I798),NOT(ISDATE(B798))),"""",H798))"),"")</f>
        <v/>
      </c>
      <c r="M798" s="29" t="str">
        <f>IFERROR(__xludf.DUMMYFUNCTION("IF(ISBLANK(B798),"""",IF(ISDATE(B798),TEXT(B798,""m""),""""))"),"")</f>
        <v/>
      </c>
      <c r="N798" s="29" t="str">
        <f>IFERROR(__xludf.DUMMYFUNCTION("IF(M798="""","""",QUERY({'Dashboard-Dados'!$Y$2:$AA$13},""Select Col2 Where Col1=""&amp;M798))"),"")</f>
        <v/>
      </c>
      <c r="O798" s="29" t="str">
        <f>IFERROR(__xludf.DUMMYFUNCTION("IF(ISBLANK(B798),"""",IF(ISDATE(B798),TEXT(B798,""yyyy""),""""))"),"")</f>
        <v/>
      </c>
    </row>
    <row r="799">
      <c r="B799" s="62"/>
      <c r="C799" s="56"/>
      <c r="D799" s="56"/>
      <c r="E799" s="56"/>
      <c r="F799" s="63"/>
      <c r="G799" s="64"/>
      <c r="H799" s="65"/>
      <c r="I799" s="63"/>
      <c r="K799" s="53" t="str">
        <f>IFERROR(__xludf.DUMMYFUNCTION("IF(ISBLANK(B799),"""",IF(ISDATE(B799),""X"",""""))"),"")</f>
        <v/>
      </c>
      <c r="L799" s="40" t="str">
        <f>IFERROR(__xludf.DUMMYFUNCTION("IF(ISBLANK(B799),"""",IF(Or(I799=""Em Aberto"",ISBLANK(I799),NOT(ISDATE(B799))),"""",H799))"),"")</f>
        <v/>
      </c>
      <c r="M799" s="29" t="str">
        <f>IFERROR(__xludf.DUMMYFUNCTION("IF(ISBLANK(B799),"""",IF(ISDATE(B799),TEXT(B799,""m""),""""))"),"")</f>
        <v/>
      </c>
      <c r="N799" s="29" t="str">
        <f>IFERROR(__xludf.DUMMYFUNCTION("IF(M799="""","""",QUERY({'Dashboard-Dados'!$Y$2:$AA$13},""Select Col2 Where Col1=""&amp;M799))"),"")</f>
        <v/>
      </c>
      <c r="O799" s="29" t="str">
        <f>IFERROR(__xludf.DUMMYFUNCTION("IF(ISBLANK(B799),"""",IF(ISDATE(B799),TEXT(B799,""yyyy""),""""))"),"")</f>
        <v/>
      </c>
    </row>
    <row r="800">
      <c r="B800" s="62"/>
      <c r="C800" s="56"/>
      <c r="D800" s="56"/>
      <c r="E800" s="56"/>
      <c r="F800" s="63"/>
      <c r="G800" s="64"/>
      <c r="H800" s="65"/>
      <c r="I800" s="63"/>
      <c r="K800" s="53" t="str">
        <f>IFERROR(__xludf.DUMMYFUNCTION("IF(ISBLANK(B800),"""",IF(ISDATE(B800),""X"",""""))"),"")</f>
        <v/>
      </c>
      <c r="L800" s="40" t="str">
        <f>IFERROR(__xludf.DUMMYFUNCTION("IF(ISBLANK(B800),"""",IF(Or(I800=""Em Aberto"",ISBLANK(I800),NOT(ISDATE(B800))),"""",H800))"),"")</f>
        <v/>
      </c>
      <c r="M800" s="29" t="str">
        <f>IFERROR(__xludf.DUMMYFUNCTION("IF(ISBLANK(B800),"""",IF(ISDATE(B800),TEXT(B800,""m""),""""))"),"")</f>
        <v/>
      </c>
      <c r="N800" s="29" t="str">
        <f>IFERROR(__xludf.DUMMYFUNCTION("IF(M800="""","""",QUERY({'Dashboard-Dados'!$Y$2:$AA$13},""Select Col2 Where Col1=""&amp;M800))"),"")</f>
        <v/>
      </c>
      <c r="O800" s="29" t="str">
        <f>IFERROR(__xludf.DUMMYFUNCTION("IF(ISBLANK(B800),"""",IF(ISDATE(B800),TEXT(B800,""yyyy""),""""))"),"")</f>
        <v/>
      </c>
    </row>
    <row r="801">
      <c r="B801" s="62"/>
      <c r="C801" s="56"/>
      <c r="D801" s="56"/>
      <c r="E801" s="56"/>
      <c r="F801" s="63"/>
      <c r="G801" s="64"/>
      <c r="H801" s="65"/>
      <c r="I801" s="63"/>
      <c r="K801" s="53" t="str">
        <f>IFERROR(__xludf.DUMMYFUNCTION("IF(ISBLANK(B801),"""",IF(ISDATE(B801),""X"",""""))"),"")</f>
        <v/>
      </c>
      <c r="L801" s="40" t="str">
        <f>IFERROR(__xludf.DUMMYFUNCTION("IF(ISBLANK(B801),"""",IF(Or(I801=""Em Aberto"",ISBLANK(I801),NOT(ISDATE(B801))),"""",H801))"),"")</f>
        <v/>
      </c>
      <c r="M801" s="29" t="str">
        <f>IFERROR(__xludf.DUMMYFUNCTION("IF(ISBLANK(B801),"""",IF(ISDATE(B801),TEXT(B801,""m""),""""))"),"")</f>
        <v/>
      </c>
      <c r="N801" s="29" t="str">
        <f>IFERROR(__xludf.DUMMYFUNCTION("IF(M801="""","""",QUERY({'Dashboard-Dados'!$Y$2:$AA$13},""Select Col2 Where Col1=""&amp;M801))"),"")</f>
        <v/>
      </c>
      <c r="O801" s="29" t="str">
        <f>IFERROR(__xludf.DUMMYFUNCTION("IF(ISBLANK(B801),"""",IF(ISDATE(B801),TEXT(B801,""yyyy""),""""))"),"")</f>
        <v/>
      </c>
    </row>
    <row r="802">
      <c r="B802" s="62"/>
      <c r="C802" s="56"/>
      <c r="D802" s="56"/>
      <c r="E802" s="56"/>
      <c r="F802" s="63"/>
      <c r="G802" s="64"/>
      <c r="H802" s="65"/>
      <c r="I802" s="63"/>
      <c r="K802" s="53" t="str">
        <f>IFERROR(__xludf.DUMMYFUNCTION("IF(ISBLANK(B802),"""",IF(ISDATE(B802),""X"",""""))"),"")</f>
        <v/>
      </c>
      <c r="L802" s="40" t="str">
        <f>IFERROR(__xludf.DUMMYFUNCTION("IF(ISBLANK(B802),"""",IF(Or(I802=""Em Aberto"",ISBLANK(I802),NOT(ISDATE(B802))),"""",H802))"),"")</f>
        <v/>
      </c>
      <c r="M802" s="29" t="str">
        <f>IFERROR(__xludf.DUMMYFUNCTION("IF(ISBLANK(B802),"""",IF(ISDATE(B802),TEXT(B802,""m""),""""))"),"")</f>
        <v/>
      </c>
      <c r="N802" s="29" t="str">
        <f>IFERROR(__xludf.DUMMYFUNCTION("IF(M802="""","""",QUERY({'Dashboard-Dados'!$Y$2:$AA$13},""Select Col2 Where Col1=""&amp;M802))"),"")</f>
        <v/>
      </c>
      <c r="O802" s="29" t="str">
        <f>IFERROR(__xludf.DUMMYFUNCTION("IF(ISBLANK(B802),"""",IF(ISDATE(B802),TEXT(B802,""yyyy""),""""))"),"")</f>
        <v/>
      </c>
    </row>
    <row r="803">
      <c r="B803" s="62"/>
      <c r="C803" s="56"/>
      <c r="D803" s="56"/>
      <c r="E803" s="56"/>
      <c r="F803" s="63"/>
      <c r="G803" s="64"/>
      <c r="H803" s="65"/>
      <c r="I803" s="63"/>
      <c r="K803" s="53" t="str">
        <f>IFERROR(__xludf.DUMMYFUNCTION("IF(ISBLANK(B803),"""",IF(ISDATE(B803),""X"",""""))"),"")</f>
        <v/>
      </c>
      <c r="L803" s="40" t="str">
        <f>IFERROR(__xludf.DUMMYFUNCTION("IF(ISBLANK(B803),"""",IF(Or(I803=""Em Aberto"",ISBLANK(I803),NOT(ISDATE(B803))),"""",H803))"),"")</f>
        <v/>
      </c>
      <c r="M803" s="29" t="str">
        <f>IFERROR(__xludf.DUMMYFUNCTION("IF(ISBLANK(B803),"""",IF(ISDATE(B803),TEXT(B803,""m""),""""))"),"")</f>
        <v/>
      </c>
      <c r="N803" s="29" t="str">
        <f>IFERROR(__xludf.DUMMYFUNCTION("IF(M803="""","""",QUERY({'Dashboard-Dados'!$Y$2:$AA$13},""Select Col2 Where Col1=""&amp;M803))"),"")</f>
        <v/>
      </c>
      <c r="O803" s="29" t="str">
        <f>IFERROR(__xludf.DUMMYFUNCTION("IF(ISBLANK(B803),"""",IF(ISDATE(B803),TEXT(B803,""yyyy""),""""))"),"")</f>
        <v/>
      </c>
    </row>
    <row r="804">
      <c r="B804" s="62"/>
      <c r="C804" s="56"/>
      <c r="D804" s="56"/>
      <c r="E804" s="56"/>
      <c r="F804" s="63"/>
      <c r="G804" s="64"/>
      <c r="H804" s="65"/>
      <c r="I804" s="63"/>
      <c r="K804" s="53" t="str">
        <f>IFERROR(__xludf.DUMMYFUNCTION("IF(ISBLANK(B804),"""",IF(ISDATE(B804),""X"",""""))"),"")</f>
        <v/>
      </c>
      <c r="L804" s="40" t="str">
        <f>IFERROR(__xludf.DUMMYFUNCTION("IF(ISBLANK(B804),"""",IF(Or(I804=""Em Aberto"",ISBLANK(I804),NOT(ISDATE(B804))),"""",H804))"),"")</f>
        <v/>
      </c>
      <c r="M804" s="29" t="str">
        <f>IFERROR(__xludf.DUMMYFUNCTION("IF(ISBLANK(B804),"""",IF(ISDATE(B804),TEXT(B804,""m""),""""))"),"")</f>
        <v/>
      </c>
      <c r="N804" s="29" t="str">
        <f>IFERROR(__xludf.DUMMYFUNCTION("IF(M804="""","""",QUERY({'Dashboard-Dados'!$Y$2:$AA$13},""Select Col2 Where Col1=""&amp;M804))"),"")</f>
        <v/>
      </c>
      <c r="O804" s="29" t="str">
        <f>IFERROR(__xludf.DUMMYFUNCTION("IF(ISBLANK(B804),"""",IF(ISDATE(B804),TEXT(B804,""yyyy""),""""))"),"")</f>
        <v/>
      </c>
    </row>
    <row r="805">
      <c r="B805" s="62"/>
      <c r="C805" s="56"/>
      <c r="D805" s="56"/>
      <c r="E805" s="56"/>
      <c r="F805" s="63"/>
      <c r="G805" s="64"/>
      <c r="H805" s="65"/>
      <c r="I805" s="63"/>
      <c r="K805" s="53" t="str">
        <f>IFERROR(__xludf.DUMMYFUNCTION("IF(ISBLANK(B805),"""",IF(ISDATE(B805),""X"",""""))"),"")</f>
        <v/>
      </c>
      <c r="L805" s="40" t="str">
        <f>IFERROR(__xludf.DUMMYFUNCTION("IF(ISBLANK(B805),"""",IF(Or(I805=""Em Aberto"",ISBLANK(I805),NOT(ISDATE(B805))),"""",H805))"),"")</f>
        <v/>
      </c>
      <c r="M805" s="29" t="str">
        <f>IFERROR(__xludf.DUMMYFUNCTION("IF(ISBLANK(B805),"""",IF(ISDATE(B805),TEXT(B805,""m""),""""))"),"")</f>
        <v/>
      </c>
      <c r="N805" s="29" t="str">
        <f>IFERROR(__xludf.DUMMYFUNCTION("IF(M805="""","""",QUERY({'Dashboard-Dados'!$Y$2:$AA$13},""Select Col2 Where Col1=""&amp;M805))"),"")</f>
        <v/>
      </c>
      <c r="O805" s="29" t="str">
        <f>IFERROR(__xludf.DUMMYFUNCTION("IF(ISBLANK(B805),"""",IF(ISDATE(B805),TEXT(B805,""yyyy""),""""))"),"")</f>
        <v/>
      </c>
    </row>
    <row r="806">
      <c r="B806" s="62"/>
      <c r="C806" s="56"/>
      <c r="D806" s="56"/>
      <c r="E806" s="56"/>
      <c r="F806" s="63"/>
      <c r="G806" s="64"/>
      <c r="H806" s="65"/>
      <c r="I806" s="63"/>
      <c r="K806" s="53" t="str">
        <f>IFERROR(__xludf.DUMMYFUNCTION("IF(ISBLANK(B806),"""",IF(ISDATE(B806),""X"",""""))"),"")</f>
        <v/>
      </c>
      <c r="L806" s="40" t="str">
        <f>IFERROR(__xludf.DUMMYFUNCTION("IF(ISBLANK(B806),"""",IF(Or(I806=""Em Aberto"",ISBLANK(I806),NOT(ISDATE(B806))),"""",H806))"),"")</f>
        <v/>
      </c>
      <c r="M806" s="29" t="str">
        <f>IFERROR(__xludf.DUMMYFUNCTION("IF(ISBLANK(B806),"""",IF(ISDATE(B806),TEXT(B806,""m""),""""))"),"")</f>
        <v/>
      </c>
      <c r="N806" s="29" t="str">
        <f>IFERROR(__xludf.DUMMYFUNCTION("IF(M806="""","""",QUERY({'Dashboard-Dados'!$Y$2:$AA$13},""Select Col2 Where Col1=""&amp;M806))"),"")</f>
        <v/>
      </c>
      <c r="O806" s="29" t="str">
        <f>IFERROR(__xludf.DUMMYFUNCTION("IF(ISBLANK(B806),"""",IF(ISDATE(B806),TEXT(B806,""yyyy""),""""))"),"")</f>
        <v/>
      </c>
    </row>
    <row r="807">
      <c r="B807" s="62"/>
      <c r="C807" s="56"/>
      <c r="D807" s="56"/>
      <c r="E807" s="56"/>
      <c r="F807" s="63"/>
      <c r="G807" s="64"/>
      <c r="H807" s="65"/>
      <c r="I807" s="63"/>
      <c r="K807" s="53" t="str">
        <f>IFERROR(__xludf.DUMMYFUNCTION("IF(ISBLANK(B807),"""",IF(ISDATE(B807),""X"",""""))"),"")</f>
        <v/>
      </c>
      <c r="L807" s="40" t="str">
        <f>IFERROR(__xludf.DUMMYFUNCTION("IF(ISBLANK(B807),"""",IF(Or(I807=""Em Aberto"",ISBLANK(I807),NOT(ISDATE(B807))),"""",H807))"),"")</f>
        <v/>
      </c>
      <c r="M807" s="29" t="str">
        <f>IFERROR(__xludf.DUMMYFUNCTION("IF(ISBLANK(B807),"""",IF(ISDATE(B807),TEXT(B807,""m""),""""))"),"")</f>
        <v/>
      </c>
      <c r="N807" s="29" t="str">
        <f>IFERROR(__xludf.DUMMYFUNCTION("IF(M807="""","""",QUERY({'Dashboard-Dados'!$Y$2:$AA$13},""Select Col2 Where Col1=""&amp;M807))"),"")</f>
        <v/>
      </c>
      <c r="O807" s="29" t="str">
        <f>IFERROR(__xludf.DUMMYFUNCTION("IF(ISBLANK(B807),"""",IF(ISDATE(B807),TEXT(B807,""yyyy""),""""))"),"")</f>
        <v/>
      </c>
    </row>
    <row r="808">
      <c r="B808" s="62"/>
      <c r="C808" s="56"/>
      <c r="D808" s="56"/>
      <c r="E808" s="56"/>
      <c r="F808" s="63"/>
      <c r="G808" s="64"/>
      <c r="H808" s="65"/>
      <c r="I808" s="63"/>
      <c r="K808" s="53" t="str">
        <f>IFERROR(__xludf.DUMMYFUNCTION("IF(ISBLANK(B808),"""",IF(ISDATE(B808),""X"",""""))"),"")</f>
        <v/>
      </c>
      <c r="L808" s="40" t="str">
        <f>IFERROR(__xludf.DUMMYFUNCTION("IF(ISBLANK(B808),"""",IF(Or(I808=""Em Aberto"",ISBLANK(I808),NOT(ISDATE(B808))),"""",H808))"),"")</f>
        <v/>
      </c>
      <c r="M808" s="29" t="str">
        <f>IFERROR(__xludf.DUMMYFUNCTION("IF(ISBLANK(B808),"""",IF(ISDATE(B808),TEXT(B808,""m""),""""))"),"")</f>
        <v/>
      </c>
      <c r="N808" s="29" t="str">
        <f>IFERROR(__xludf.DUMMYFUNCTION("IF(M808="""","""",QUERY({'Dashboard-Dados'!$Y$2:$AA$13},""Select Col2 Where Col1=""&amp;M808))"),"")</f>
        <v/>
      </c>
      <c r="O808" s="29" t="str">
        <f>IFERROR(__xludf.DUMMYFUNCTION("IF(ISBLANK(B808),"""",IF(ISDATE(B808),TEXT(B808,""yyyy""),""""))"),"")</f>
        <v/>
      </c>
    </row>
    <row r="809">
      <c r="B809" s="62"/>
      <c r="C809" s="56"/>
      <c r="D809" s="56"/>
      <c r="E809" s="56"/>
      <c r="F809" s="63"/>
      <c r="G809" s="64"/>
      <c r="H809" s="65"/>
      <c r="I809" s="63"/>
      <c r="K809" s="53" t="str">
        <f>IFERROR(__xludf.DUMMYFUNCTION("IF(ISBLANK(B809),"""",IF(ISDATE(B809),""X"",""""))"),"")</f>
        <v/>
      </c>
      <c r="L809" s="40" t="str">
        <f>IFERROR(__xludf.DUMMYFUNCTION("IF(ISBLANK(B809),"""",IF(Or(I809=""Em Aberto"",ISBLANK(I809),NOT(ISDATE(B809))),"""",H809))"),"")</f>
        <v/>
      </c>
      <c r="M809" s="29" t="str">
        <f>IFERROR(__xludf.DUMMYFUNCTION("IF(ISBLANK(B809),"""",IF(ISDATE(B809),TEXT(B809,""m""),""""))"),"")</f>
        <v/>
      </c>
      <c r="N809" s="29" t="str">
        <f>IFERROR(__xludf.DUMMYFUNCTION("IF(M809="""","""",QUERY({'Dashboard-Dados'!$Y$2:$AA$13},""Select Col2 Where Col1=""&amp;M809))"),"")</f>
        <v/>
      </c>
      <c r="O809" s="29" t="str">
        <f>IFERROR(__xludf.DUMMYFUNCTION("IF(ISBLANK(B809),"""",IF(ISDATE(B809),TEXT(B809,""yyyy""),""""))"),"")</f>
        <v/>
      </c>
    </row>
    <row r="810">
      <c r="B810" s="62"/>
      <c r="C810" s="56"/>
      <c r="D810" s="56"/>
      <c r="E810" s="56"/>
      <c r="F810" s="63"/>
      <c r="G810" s="64"/>
      <c r="H810" s="65"/>
      <c r="I810" s="63"/>
      <c r="K810" s="53" t="str">
        <f>IFERROR(__xludf.DUMMYFUNCTION("IF(ISBLANK(B810),"""",IF(ISDATE(B810),""X"",""""))"),"")</f>
        <v/>
      </c>
      <c r="L810" s="40" t="str">
        <f>IFERROR(__xludf.DUMMYFUNCTION("IF(ISBLANK(B810),"""",IF(Or(I810=""Em Aberto"",ISBLANK(I810),NOT(ISDATE(B810))),"""",H810))"),"")</f>
        <v/>
      </c>
      <c r="M810" s="29" t="str">
        <f>IFERROR(__xludf.DUMMYFUNCTION("IF(ISBLANK(B810),"""",IF(ISDATE(B810),TEXT(B810,""m""),""""))"),"")</f>
        <v/>
      </c>
      <c r="N810" s="29" t="str">
        <f>IFERROR(__xludf.DUMMYFUNCTION("IF(M810="""","""",QUERY({'Dashboard-Dados'!$Y$2:$AA$13},""Select Col2 Where Col1=""&amp;M810))"),"")</f>
        <v/>
      </c>
      <c r="O810" s="29" t="str">
        <f>IFERROR(__xludf.DUMMYFUNCTION("IF(ISBLANK(B810),"""",IF(ISDATE(B810),TEXT(B810,""yyyy""),""""))"),"")</f>
        <v/>
      </c>
    </row>
    <row r="811">
      <c r="B811" s="62"/>
      <c r="C811" s="56"/>
      <c r="D811" s="56"/>
      <c r="E811" s="56"/>
      <c r="F811" s="63"/>
      <c r="G811" s="64"/>
      <c r="H811" s="65"/>
      <c r="I811" s="63"/>
      <c r="K811" s="53" t="str">
        <f>IFERROR(__xludf.DUMMYFUNCTION("IF(ISBLANK(B811),"""",IF(ISDATE(B811),""X"",""""))"),"")</f>
        <v/>
      </c>
      <c r="L811" s="40" t="str">
        <f>IFERROR(__xludf.DUMMYFUNCTION("IF(ISBLANK(B811),"""",IF(Or(I811=""Em Aberto"",ISBLANK(I811),NOT(ISDATE(B811))),"""",H811))"),"")</f>
        <v/>
      </c>
      <c r="M811" s="29" t="str">
        <f>IFERROR(__xludf.DUMMYFUNCTION("IF(ISBLANK(B811),"""",IF(ISDATE(B811),TEXT(B811,""m""),""""))"),"")</f>
        <v/>
      </c>
      <c r="N811" s="29" t="str">
        <f>IFERROR(__xludf.DUMMYFUNCTION("IF(M811="""","""",QUERY({'Dashboard-Dados'!$Y$2:$AA$13},""Select Col2 Where Col1=""&amp;M811))"),"")</f>
        <v/>
      </c>
      <c r="O811" s="29" t="str">
        <f>IFERROR(__xludf.DUMMYFUNCTION("IF(ISBLANK(B811),"""",IF(ISDATE(B811),TEXT(B811,""yyyy""),""""))"),"")</f>
        <v/>
      </c>
    </row>
    <row r="812">
      <c r="B812" s="62"/>
      <c r="C812" s="56"/>
      <c r="D812" s="56"/>
      <c r="E812" s="56"/>
      <c r="F812" s="63"/>
      <c r="G812" s="64"/>
      <c r="H812" s="65"/>
      <c r="I812" s="63"/>
      <c r="K812" s="53" t="str">
        <f>IFERROR(__xludf.DUMMYFUNCTION("IF(ISBLANK(B812),"""",IF(ISDATE(B812),""X"",""""))"),"")</f>
        <v/>
      </c>
      <c r="L812" s="40" t="str">
        <f>IFERROR(__xludf.DUMMYFUNCTION("IF(ISBLANK(B812),"""",IF(Or(I812=""Em Aberto"",ISBLANK(I812),NOT(ISDATE(B812))),"""",H812))"),"")</f>
        <v/>
      </c>
      <c r="M812" s="29" t="str">
        <f>IFERROR(__xludf.DUMMYFUNCTION("IF(ISBLANK(B812),"""",IF(ISDATE(B812),TEXT(B812,""m""),""""))"),"")</f>
        <v/>
      </c>
      <c r="N812" s="29" t="str">
        <f>IFERROR(__xludf.DUMMYFUNCTION("IF(M812="""","""",QUERY({'Dashboard-Dados'!$Y$2:$AA$13},""Select Col2 Where Col1=""&amp;M812))"),"")</f>
        <v/>
      </c>
      <c r="O812" s="29" t="str">
        <f>IFERROR(__xludf.DUMMYFUNCTION("IF(ISBLANK(B812),"""",IF(ISDATE(B812),TEXT(B812,""yyyy""),""""))"),"")</f>
        <v/>
      </c>
    </row>
    <row r="813">
      <c r="B813" s="62"/>
      <c r="C813" s="56"/>
      <c r="D813" s="56"/>
      <c r="E813" s="56"/>
      <c r="F813" s="63"/>
      <c r="G813" s="64"/>
      <c r="H813" s="65"/>
      <c r="I813" s="63"/>
      <c r="K813" s="53" t="str">
        <f>IFERROR(__xludf.DUMMYFUNCTION("IF(ISBLANK(B813),"""",IF(ISDATE(B813),""X"",""""))"),"")</f>
        <v/>
      </c>
      <c r="L813" s="40" t="str">
        <f>IFERROR(__xludf.DUMMYFUNCTION("IF(ISBLANK(B813),"""",IF(Or(I813=""Em Aberto"",ISBLANK(I813),NOT(ISDATE(B813))),"""",H813))"),"")</f>
        <v/>
      </c>
      <c r="M813" s="29" t="str">
        <f>IFERROR(__xludf.DUMMYFUNCTION("IF(ISBLANK(B813),"""",IF(ISDATE(B813),TEXT(B813,""m""),""""))"),"")</f>
        <v/>
      </c>
      <c r="N813" s="29" t="str">
        <f>IFERROR(__xludf.DUMMYFUNCTION("IF(M813="""","""",QUERY({'Dashboard-Dados'!$Y$2:$AA$13},""Select Col2 Where Col1=""&amp;M813))"),"")</f>
        <v/>
      </c>
      <c r="O813" s="29" t="str">
        <f>IFERROR(__xludf.DUMMYFUNCTION("IF(ISBLANK(B813),"""",IF(ISDATE(B813),TEXT(B813,""yyyy""),""""))"),"")</f>
        <v/>
      </c>
    </row>
    <row r="814">
      <c r="B814" s="62"/>
      <c r="C814" s="56"/>
      <c r="D814" s="56"/>
      <c r="E814" s="56"/>
      <c r="F814" s="63"/>
      <c r="G814" s="64"/>
      <c r="H814" s="65"/>
      <c r="I814" s="63"/>
      <c r="K814" s="53" t="str">
        <f>IFERROR(__xludf.DUMMYFUNCTION("IF(ISBLANK(B814),"""",IF(ISDATE(B814),""X"",""""))"),"")</f>
        <v/>
      </c>
      <c r="L814" s="40" t="str">
        <f>IFERROR(__xludf.DUMMYFUNCTION("IF(ISBLANK(B814),"""",IF(Or(I814=""Em Aberto"",ISBLANK(I814),NOT(ISDATE(B814))),"""",H814))"),"")</f>
        <v/>
      </c>
      <c r="M814" s="29" t="str">
        <f>IFERROR(__xludf.DUMMYFUNCTION("IF(ISBLANK(B814),"""",IF(ISDATE(B814),TEXT(B814,""m""),""""))"),"")</f>
        <v/>
      </c>
      <c r="N814" s="29" t="str">
        <f>IFERROR(__xludf.DUMMYFUNCTION("IF(M814="""","""",QUERY({'Dashboard-Dados'!$Y$2:$AA$13},""Select Col2 Where Col1=""&amp;M814))"),"")</f>
        <v/>
      </c>
      <c r="O814" s="29" t="str">
        <f>IFERROR(__xludf.DUMMYFUNCTION("IF(ISBLANK(B814),"""",IF(ISDATE(B814),TEXT(B814,""yyyy""),""""))"),"")</f>
        <v/>
      </c>
    </row>
    <row r="815">
      <c r="B815" s="62"/>
      <c r="C815" s="56"/>
      <c r="D815" s="56"/>
      <c r="E815" s="56"/>
      <c r="F815" s="63"/>
      <c r="G815" s="64"/>
      <c r="H815" s="65"/>
      <c r="I815" s="63"/>
      <c r="K815" s="53" t="str">
        <f>IFERROR(__xludf.DUMMYFUNCTION("IF(ISBLANK(B815),"""",IF(ISDATE(B815),""X"",""""))"),"")</f>
        <v/>
      </c>
      <c r="L815" s="40" t="str">
        <f>IFERROR(__xludf.DUMMYFUNCTION("IF(ISBLANK(B815),"""",IF(Or(I815=""Em Aberto"",ISBLANK(I815),NOT(ISDATE(B815))),"""",H815))"),"")</f>
        <v/>
      </c>
      <c r="M815" s="29" t="str">
        <f>IFERROR(__xludf.DUMMYFUNCTION("IF(ISBLANK(B815),"""",IF(ISDATE(B815),TEXT(B815,""m""),""""))"),"")</f>
        <v/>
      </c>
      <c r="N815" s="29" t="str">
        <f>IFERROR(__xludf.DUMMYFUNCTION("IF(M815="""","""",QUERY({'Dashboard-Dados'!$Y$2:$AA$13},""Select Col2 Where Col1=""&amp;M815))"),"")</f>
        <v/>
      </c>
      <c r="O815" s="29" t="str">
        <f>IFERROR(__xludf.DUMMYFUNCTION("IF(ISBLANK(B815),"""",IF(ISDATE(B815),TEXT(B815,""yyyy""),""""))"),"")</f>
        <v/>
      </c>
    </row>
    <row r="816">
      <c r="B816" s="62"/>
      <c r="C816" s="56"/>
      <c r="D816" s="56"/>
      <c r="E816" s="56"/>
      <c r="F816" s="63"/>
      <c r="G816" s="64"/>
      <c r="H816" s="65"/>
      <c r="I816" s="63"/>
      <c r="K816" s="53" t="str">
        <f>IFERROR(__xludf.DUMMYFUNCTION("IF(ISBLANK(B816),"""",IF(ISDATE(B816),""X"",""""))"),"")</f>
        <v/>
      </c>
      <c r="L816" s="40" t="str">
        <f>IFERROR(__xludf.DUMMYFUNCTION("IF(ISBLANK(B816),"""",IF(Or(I816=""Em Aberto"",ISBLANK(I816),NOT(ISDATE(B816))),"""",H816))"),"")</f>
        <v/>
      </c>
      <c r="M816" s="29" t="str">
        <f>IFERROR(__xludf.DUMMYFUNCTION("IF(ISBLANK(B816),"""",IF(ISDATE(B816),TEXT(B816,""m""),""""))"),"")</f>
        <v/>
      </c>
      <c r="N816" s="29" t="str">
        <f>IFERROR(__xludf.DUMMYFUNCTION("IF(M816="""","""",QUERY({'Dashboard-Dados'!$Y$2:$AA$13},""Select Col2 Where Col1=""&amp;M816))"),"")</f>
        <v/>
      </c>
      <c r="O816" s="29" t="str">
        <f>IFERROR(__xludf.DUMMYFUNCTION("IF(ISBLANK(B816),"""",IF(ISDATE(B816),TEXT(B816,""yyyy""),""""))"),"")</f>
        <v/>
      </c>
    </row>
    <row r="817">
      <c r="B817" s="62"/>
      <c r="C817" s="56"/>
      <c r="D817" s="56"/>
      <c r="E817" s="56"/>
      <c r="F817" s="63"/>
      <c r="G817" s="64"/>
      <c r="H817" s="65"/>
      <c r="I817" s="63"/>
      <c r="K817" s="53" t="str">
        <f>IFERROR(__xludf.DUMMYFUNCTION("IF(ISBLANK(B817),"""",IF(ISDATE(B817),""X"",""""))"),"")</f>
        <v/>
      </c>
      <c r="L817" s="40" t="str">
        <f>IFERROR(__xludf.DUMMYFUNCTION("IF(ISBLANK(B817),"""",IF(Or(I817=""Em Aberto"",ISBLANK(I817),NOT(ISDATE(B817))),"""",H817))"),"")</f>
        <v/>
      </c>
      <c r="M817" s="29" t="str">
        <f>IFERROR(__xludf.DUMMYFUNCTION("IF(ISBLANK(B817),"""",IF(ISDATE(B817),TEXT(B817,""m""),""""))"),"")</f>
        <v/>
      </c>
      <c r="N817" s="29" t="str">
        <f>IFERROR(__xludf.DUMMYFUNCTION("IF(M817="""","""",QUERY({'Dashboard-Dados'!$Y$2:$AA$13},""Select Col2 Where Col1=""&amp;M817))"),"")</f>
        <v/>
      </c>
      <c r="O817" s="29" t="str">
        <f>IFERROR(__xludf.DUMMYFUNCTION("IF(ISBLANK(B817),"""",IF(ISDATE(B817),TEXT(B817,""yyyy""),""""))"),"")</f>
        <v/>
      </c>
    </row>
    <row r="818">
      <c r="B818" s="62"/>
      <c r="C818" s="56"/>
      <c r="D818" s="56"/>
      <c r="E818" s="56"/>
      <c r="F818" s="63"/>
      <c r="G818" s="64"/>
      <c r="H818" s="65"/>
      <c r="I818" s="63"/>
      <c r="K818" s="53" t="str">
        <f>IFERROR(__xludf.DUMMYFUNCTION("IF(ISBLANK(B818),"""",IF(ISDATE(B818),""X"",""""))"),"")</f>
        <v/>
      </c>
      <c r="L818" s="40" t="str">
        <f>IFERROR(__xludf.DUMMYFUNCTION("IF(ISBLANK(B818),"""",IF(Or(I818=""Em Aberto"",ISBLANK(I818),NOT(ISDATE(B818))),"""",H818))"),"")</f>
        <v/>
      </c>
      <c r="M818" s="29" t="str">
        <f>IFERROR(__xludf.DUMMYFUNCTION("IF(ISBLANK(B818),"""",IF(ISDATE(B818),TEXT(B818,""m""),""""))"),"")</f>
        <v/>
      </c>
      <c r="N818" s="29" t="str">
        <f>IFERROR(__xludf.DUMMYFUNCTION("IF(M818="""","""",QUERY({'Dashboard-Dados'!$Y$2:$AA$13},""Select Col2 Where Col1=""&amp;M818))"),"")</f>
        <v/>
      </c>
      <c r="O818" s="29" t="str">
        <f>IFERROR(__xludf.DUMMYFUNCTION("IF(ISBLANK(B818),"""",IF(ISDATE(B818),TEXT(B818,""yyyy""),""""))"),"")</f>
        <v/>
      </c>
    </row>
    <row r="819">
      <c r="B819" s="62"/>
      <c r="C819" s="56"/>
      <c r="D819" s="56"/>
      <c r="E819" s="56"/>
      <c r="F819" s="63"/>
      <c r="G819" s="64"/>
      <c r="H819" s="65"/>
      <c r="I819" s="63"/>
      <c r="K819" s="53" t="str">
        <f>IFERROR(__xludf.DUMMYFUNCTION("IF(ISBLANK(B819),"""",IF(ISDATE(B819),""X"",""""))"),"")</f>
        <v/>
      </c>
      <c r="L819" s="40" t="str">
        <f>IFERROR(__xludf.DUMMYFUNCTION("IF(ISBLANK(B819),"""",IF(Or(I819=""Em Aberto"",ISBLANK(I819),NOT(ISDATE(B819))),"""",H819))"),"")</f>
        <v/>
      </c>
      <c r="M819" s="29" t="str">
        <f>IFERROR(__xludf.DUMMYFUNCTION("IF(ISBLANK(B819),"""",IF(ISDATE(B819),TEXT(B819,""m""),""""))"),"")</f>
        <v/>
      </c>
      <c r="N819" s="29" t="str">
        <f>IFERROR(__xludf.DUMMYFUNCTION("IF(M819="""","""",QUERY({'Dashboard-Dados'!$Y$2:$AA$13},""Select Col2 Where Col1=""&amp;M819))"),"")</f>
        <v/>
      </c>
      <c r="O819" s="29" t="str">
        <f>IFERROR(__xludf.DUMMYFUNCTION("IF(ISBLANK(B819),"""",IF(ISDATE(B819),TEXT(B819,""yyyy""),""""))"),"")</f>
        <v/>
      </c>
    </row>
    <row r="820">
      <c r="B820" s="62"/>
      <c r="C820" s="56"/>
      <c r="D820" s="56"/>
      <c r="E820" s="56"/>
      <c r="F820" s="63"/>
      <c r="G820" s="64"/>
      <c r="H820" s="65"/>
      <c r="I820" s="63"/>
      <c r="K820" s="53" t="str">
        <f>IFERROR(__xludf.DUMMYFUNCTION("IF(ISBLANK(B820),"""",IF(ISDATE(B820),""X"",""""))"),"")</f>
        <v/>
      </c>
      <c r="L820" s="40" t="str">
        <f>IFERROR(__xludf.DUMMYFUNCTION("IF(ISBLANK(B820),"""",IF(Or(I820=""Em Aberto"",ISBLANK(I820),NOT(ISDATE(B820))),"""",H820))"),"")</f>
        <v/>
      </c>
      <c r="M820" s="29" t="str">
        <f>IFERROR(__xludf.DUMMYFUNCTION("IF(ISBLANK(B820),"""",IF(ISDATE(B820),TEXT(B820,""m""),""""))"),"")</f>
        <v/>
      </c>
      <c r="N820" s="29" t="str">
        <f>IFERROR(__xludf.DUMMYFUNCTION("IF(M820="""","""",QUERY({'Dashboard-Dados'!$Y$2:$AA$13},""Select Col2 Where Col1=""&amp;M820))"),"")</f>
        <v/>
      </c>
      <c r="O820" s="29" t="str">
        <f>IFERROR(__xludf.DUMMYFUNCTION("IF(ISBLANK(B820),"""",IF(ISDATE(B820),TEXT(B820,""yyyy""),""""))"),"")</f>
        <v/>
      </c>
    </row>
    <row r="821">
      <c r="B821" s="62"/>
      <c r="C821" s="56"/>
      <c r="D821" s="56"/>
      <c r="E821" s="56"/>
      <c r="F821" s="63"/>
      <c r="G821" s="64"/>
      <c r="H821" s="65"/>
      <c r="I821" s="63"/>
      <c r="K821" s="53" t="str">
        <f>IFERROR(__xludf.DUMMYFUNCTION("IF(ISBLANK(B821),"""",IF(ISDATE(B821),""X"",""""))"),"")</f>
        <v/>
      </c>
      <c r="L821" s="40" t="str">
        <f>IFERROR(__xludf.DUMMYFUNCTION("IF(ISBLANK(B821),"""",IF(Or(I821=""Em Aberto"",ISBLANK(I821),NOT(ISDATE(B821))),"""",H821))"),"")</f>
        <v/>
      </c>
      <c r="M821" s="29" t="str">
        <f>IFERROR(__xludf.DUMMYFUNCTION("IF(ISBLANK(B821),"""",IF(ISDATE(B821),TEXT(B821,""m""),""""))"),"")</f>
        <v/>
      </c>
      <c r="N821" s="29" t="str">
        <f>IFERROR(__xludf.DUMMYFUNCTION("IF(M821="""","""",QUERY({'Dashboard-Dados'!$Y$2:$AA$13},""Select Col2 Where Col1=""&amp;M821))"),"")</f>
        <v/>
      </c>
      <c r="O821" s="29" t="str">
        <f>IFERROR(__xludf.DUMMYFUNCTION("IF(ISBLANK(B821),"""",IF(ISDATE(B821),TEXT(B821,""yyyy""),""""))"),"")</f>
        <v/>
      </c>
    </row>
    <row r="822">
      <c r="B822" s="62"/>
      <c r="C822" s="56"/>
      <c r="D822" s="56"/>
      <c r="E822" s="56"/>
      <c r="F822" s="63"/>
      <c r="G822" s="64"/>
      <c r="H822" s="65"/>
      <c r="I822" s="63"/>
      <c r="K822" s="53" t="str">
        <f>IFERROR(__xludf.DUMMYFUNCTION("IF(ISBLANK(B822),"""",IF(ISDATE(B822),""X"",""""))"),"")</f>
        <v/>
      </c>
      <c r="L822" s="40" t="str">
        <f>IFERROR(__xludf.DUMMYFUNCTION("IF(ISBLANK(B822),"""",IF(Or(I822=""Em Aberto"",ISBLANK(I822),NOT(ISDATE(B822))),"""",H822))"),"")</f>
        <v/>
      </c>
      <c r="M822" s="29" t="str">
        <f>IFERROR(__xludf.DUMMYFUNCTION("IF(ISBLANK(B822),"""",IF(ISDATE(B822),TEXT(B822,""m""),""""))"),"")</f>
        <v/>
      </c>
      <c r="N822" s="29" t="str">
        <f>IFERROR(__xludf.DUMMYFUNCTION("IF(M822="""","""",QUERY({'Dashboard-Dados'!$Y$2:$AA$13},""Select Col2 Where Col1=""&amp;M822))"),"")</f>
        <v/>
      </c>
      <c r="O822" s="29" t="str">
        <f>IFERROR(__xludf.DUMMYFUNCTION("IF(ISBLANK(B822),"""",IF(ISDATE(B822),TEXT(B822,""yyyy""),""""))"),"")</f>
        <v/>
      </c>
    </row>
    <row r="823">
      <c r="B823" s="62"/>
      <c r="C823" s="56"/>
      <c r="D823" s="56"/>
      <c r="E823" s="56"/>
      <c r="F823" s="63"/>
      <c r="G823" s="64"/>
      <c r="H823" s="65"/>
      <c r="I823" s="63"/>
      <c r="K823" s="53" t="str">
        <f>IFERROR(__xludf.DUMMYFUNCTION("IF(ISBLANK(B823),"""",IF(ISDATE(B823),""X"",""""))"),"")</f>
        <v/>
      </c>
      <c r="L823" s="40" t="str">
        <f>IFERROR(__xludf.DUMMYFUNCTION("IF(ISBLANK(B823),"""",IF(Or(I823=""Em Aberto"",ISBLANK(I823),NOT(ISDATE(B823))),"""",H823))"),"")</f>
        <v/>
      </c>
      <c r="M823" s="29" t="str">
        <f>IFERROR(__xludf.DUMMYFUNCTION("IF(ISBLANK(B823),"""",IF(ISDATE(B823),TEXT(B823,""m""),""""))"),"")</f>
        <v/>
      </c>
      <c r="N823" s="29" t="str">
        <f>IFERROR(__xludf.DUMMYFUNCTION("IF(M823="""","""",QUERY({'Dashboard-Dados'!$Y$2:$AA$13},""Select Col2 Where Col1=""&amp;M823))"),"")</f>
        <v/>
      </c>
      <c r="O823" s="29" t="str">
        <f>IFERROR(__xludf.DUMMYFUNCTION("IF(ISBLANK(B823),"""",IF(ISDATE(B823),TEXT(B823,""yyyy""),""""))"),"")</f>
        <v/>
      </c>
    </row>
    <row r="824">
      <c r="B824" s="62"/>
      <c r="C824" s="56"/>
      <c r="D824" s="56"/>
      <c r="E824" s="56"/>
      <c r="F824" s="63"/>
      <c r="G824" s="64"/>
      <c r="H824" s="65"/>
      <c r="I824" s="63"/>
      <c r="K824" s="53" t="str">
        <f>IFERROR(__xludf.DUMMYFUNCTION("IF(ISBLANK(B824),"""",IF(ISDATE(B824),""X"",""""))"),"")</f>
        <v/>
      </c>
      <c r="L824" s="40" t="str">
        <f>IFERROR(__xludf.DUMMYFUNCTION("IF(ISBLANK(B824),"""",IF(Or(I824=""Em Aberto"",ISBLANK(I824),NOT(ISDATE(B824))),"""",H824))"),"")</f>
        <v/>
      </c>
      <c r="M824" s="29" t="str">
        <f>IFERROR(__xludf.DUMMYFUNCTION("IF(ISBLANK(B824),"""",IF(ISDATE(B824),TEXT(B824,""m""),""""))"),"")</f>
        <v/>
      </c>
      <c r="N824" s="29" t="str">
        <f>IFERROR(__xludf.DUMMYFUNCTION("IF(M824="""","""",QUERY({'Dashboard-Dados'!$Y$2:$AA$13},""Select Col2 Where Col1=""&amp;M824))"),"")</f>
        <v/>
      </c>
      <c r="O824" s="29" t="str">
        <f>IFERROR(__xludf.DUMMYFUNCTION("IF(ISBLANK(B824),"""",IF(ISDATE(B824),TEXT(B824,""yyyy""),""""))"),"")</f>
        <v/>
      </c>
    </row>
    <row r="825">
      <c r="B825" s="62"/>
      <c r="C825" s="56"/>
      <c r="D825" s="56"/>
      <c r="E825" s="56"/>
      <c r="F825" s="63"/>
      <c r="G825" s="64"/>
      <c r="H825" s="65"/>
      <c r="I825" s="63"/>
      <c r="K825" s="53" t="str">
        <f>IFERROR(__xludf.DUMMYFUNCTION("IF(ISBLANK(B825),"""",IF(ISDATE(B825),""X"",""""))"),"")</f>
        <v/>
      </c>
      <c r="L825" s="40" t="str">
        <f>IFERROR(__xludf.DUMMYFUNCTION("IF(ISBLANK(B825),"""",IF(Or(I825=""Em Aberto"",ISBLANK(I825),NOT(ISDATE(B825))),"""",H825))"),"")</f>
        <v/>
      </c>
      <c r="M825" s="29" t="str">
        <f>IFERROR(__xludf.DUMMYFUNCTION("IF(ISBLANK(B825),"""",IF(ISDATE(B825),TEXT(B825,""m""),""""))"),"")</f>
        <v/>
      </c>
      <c r="N825" s="29" t="str">
        <f>IFERROR(__xludf.DUMMYFUNCTION("IF(M825="""","""",QUERY({'Dashboard-Dados'!$Y$2:$AA$13},""Select Col2 Where Col1=""&amp;M825))"),"")</f>
        <v/>
      </c>
      <c r="O825" s="29" t="str">
        <f>IFERROR(__xludf.DUMMYFUNCTION("IF(ISBLANK(B825),"""",IF(ISDATE(B825),TEXT(B825,""yyyy""),""""))"),"")</f>
        <v/>
      </c>
    </row>
    <row r="826">
      <c r="B826" s="62"/>
      <c r="C826" s="56"/>
      <c r="D826" s="56"/>
      <c r="E826" s="56"/>
      <c r="F826" s="63"/>
      <c r="G826" s="64"/>
      <c r="H826" s="65"/>
      <c r="I826" s="63"/>
      <c r="K826" s="53" t="str">
        <f>IFERROR(__xludf.DUMMYFUNCTION("IF(ISBLANK(B826),"""",IF(ISDATE(B826),""X"",""""))"),"")</f>
        <v/>
      </c>
      <c r="L826" s="40" t="str">
        <f>IFERROR(__xludf.DUMMYFUNCTION("IF(ISBLANK(B826),"""",IF(Or(I826=""Em Aberto"",ISBLANK(I826),NOT(ISDATE(B826))),"""",H826))"),"")</f>
        <v/>
      </c>
      <c r="M826" s="29" t="str">
        <f>IFERROR(__xludf.DUMMYFUNCTION("IF(ISBLANK(B826),"""",IF(ISDATE(B826),TEXT(B826,""m""),""""))"),"")</f>
        <v/>
      </c>
      <c r="N826" s="29" t="str">
        <f>IFERROR(__xludf.DUMMYFUNCTION("IF(M826="""","""",QUERY({'Dashboard-Dados'!$Y$2:$AA$13},""Select Col2 Where Col1=""&amp;M826))"),"")</f>
        <v/>
      </c>
      <c r="O826" s="29" t="str">
        <f>IFERROR(__xludf.DUMMYFUNCTION("IF(ISBLANK(B826),"""",IF(ISDATE(B826),TEXT(B826,""yyyy""),""""))"),"")</f>
        <v/>
      </c>
    </row>
    <row r="827">
      <c r="B827" s="62"/>
      <c r="C827" s="56"/>
      <c r="D827" s="56"/>
      <c r="E827" s="56"/>
      <c r="F827" s="63"/>
      <c r="G827" s="64"/>
      <c r="H827" s="65"/>
      <c r="I827" s="63"/>
      <c r="K827" s="53" t="str">
        <f>IFERROR(__xludf.DUMMYFUNCTION("IF(ISBLANK(B827),"""",IF(ISDATE(B827),""X"",""""))"),"")</f>
        <v/>
      </c>
      <c r="L827" s="40" t="str">
        <f>IFERROR(__xludf.DUMMYFUNCTION("IF(ISBLANK(B827),"""",IF(Or(I827=""Em Aberto"",ISBLANK(I827),NOT(ISDATE(B827))),"""",H827))"),"")</f>
        <v/>
      </c>
      <c r="M827" s="29" t="str">
        <f>IFERROR(__xludf.DUMMYFUNCTION("IF(ISBLANK(B827),"""",IF(ISDATE(B827),TEXT(B827,""m""),""""))"),"")</f>
        <v/>
      </c>
      <c r="N827" s="29" t="str">
        <f>IFERROR(__xludf.DUMMYFUNCTION("IF(M827="""","""",QUERY({'Dashboard-Dados'!$Y$2:$AA$13},""Select Col2 Where Col1=""&amp;M827))"),"")</f>
        <v/>
      </c>
      <c r="O827" s="29" t="str">
        <f>IFERROR(__xludf.DUMMYFUNCTION("IF(ISBLANK(B827),"""",IF(ISDATE(B827),TEXT(B827,""yyyy""),""""))"),"")</f>
        <v/>
      </c>
    </row>
    <row r="828">
      <c r="B828" s="62"/>
      <c r="C828" s="56"/>
      <c r="D828" s="56"/>
      <c r="E828" s="56"/>
      <c r="F828" s="63"/>
      <c r="G828" s="64"/>
      <c r="H828" s="65"/>
      <c r="I828" s="63"/>
      <c r="K828" s="53" t="str">
        <f>IFERROR(__xludf.DUMMYFUNCTION("IF(ISBLANK(B828),"""",IF(ISDATE(B828),""X"",""""))"),"")</f>
        <v/>
      </c>
      <c r="L828" s="40" t="str">
        <f>IFERROR(__xludf.DUMMYFUNCTION("IF(ISBLANK(B828),"""",IF(Or(I828=""Em Aberto"",ISBLANK(I828),NOT(ISDATE(B828))),"""",H828))"),"")</f>
        <v/>
      </c>
      <c r="M828" s="29" t="str">
        <f>IFERROR(__xludf.DUMMYFUNCTION("IF(ISBLANK(B828),"""",IF(ISDATE(B828),TEXT(B828,""m""),""""))"),"")</f>
        <v/>
      </c>
      <c r="N828" s="29" t="str">
        <f>IFERROR(__xludf.DUMMYFUNCTION("IF(M828="""","""",QUERY({'Dashboard-Dados'!$Y$2:$AA$13},""Select Col2 Where Col1=""&amp;M828))"),"")</f>
        <v/>
      </c>
      <c r="O828" s="29" t="str">
        <f>IFERROR(__xludf.DUMMYFUNCTION("IF(ISBLANK(B828),"""",IF(ISDATE(B828),TEXT(B828,""yyyy""),""""))"),"")</f>
        <v/>
      </c>
    </row>
    <row r="829">
      <c r="B829" s="62"/>
      <c r="C829" s="56"/>
      <c r="D829" s="56"/>
      <c r="E829" s="56"/>
      <c r="F829" s="63"/>
      <c r="G829" s="64"/>
      <c r="H829" s="65"/>
      <c r="I829" s="63"/>
      <c r="K829" s="53" t="str">
        <f>IFERROR(__xludf.DUMMYFUNCTION("IF(ISBLANK(B829),"""",IF(ISDATE(B829),""X"",""""))"),"")</f>
        <v/>
      </c>
      <c r="L829" s="40" t="str">
        <f>IFERROR(__xludf.DUMMYFUNCTION("IF(ISBLANK(B829),"""",IF(Or(I829=""Em Aberto"",ISBLANK(I829),NOT(ISDATE(B829))),"""",H829))"),"")</f>
        <v/>
      </c>
      <c r="M829" s="29" t="str">
        <f>IFERROR(__xludf.DUMMYFUNCTION("IF(ISBLANK(B829),"""",IF(ISDATE(B829),TEXT(B829,""m""),""""))"),"")</f>
        <v/>
      </c>
      <c r="N829" s="29" t="str">
        <f>IFERROR(__xludf.DUMMYFUNCTION("IF(M829="""","""",QUERY({'Dashboard-Dados'!$Y$2:$AA$13},""Select Col2 Where Col1=""&amp;M829))"),"")</f>
        <v/>
      </c>
      <c r="O829" s="29" t="str">
        <f>IFERROR(__xludf.DUMMYFUNCTION("IF(ISBLANK(B829),"""",IF(ISDATE(B829),TEXT(B829,""yyyy""),""""))"),"")</f>
        <v/>
      </c>
    </row>
    <row r="830">
      <c r="B830" s="62"/>
      <c r="C830" s="56"/>
      <c r="D830" s="56"/>
      <c r="E830" s="56"/>
      <c r="F830" s="63"/>
      <c r="G830" s="64"/>
      <c r="H830" s="65"/>
      <c r="I830" s="63"/>
      <c r="K830" s="53" t="str">
        <f>IFERROR(__xludf.DUMMYFUNCTION("IF(ISBLANK(B830),"""",IF(ISDATE(B830),""X"",""""))"),"")</f>
        <v/>
      </c>
      <c r="L830" s="40" t="str">
        <f>IFERROR(__xludf.DUMMYFUNCTION("IF(ISBLANK(B830),"""",IF(Or(I830=""Em Aberto"",ISBLANK(I830),NOT(ISDATE(B830))),"""",H830))"),"")</f>
        <v/>
      </c>
      <c r="M830" s="29" t="str">
        <f>IFERROR(__xludf.DUMMYFUNCTION("IF(ISBLANK(B830),"""",IF(ISDATE(B830),TEXT(B830,""m""),""""))"),"")</f>
        <v/>
      </c>
      <c r="N830" s="29" t="str">
        <f>IFERROR(__xludf.DUMMYFUNCTION("IF(M830="""","""",QUERY({'Dashboard-Dados'!$Y$2:$AA$13},""Select Col2 Where Col1=""&amp;M830))"),"")</f>
        <v/>
      </c>
      <c r="O830" s="29" t="str">
        <f>IFERROR(__xludf.DUMMYFUNCTION("IF(ISBLANK(B830),"""",IF(ISDATE(B830),TEXT(B830,""yyyy""),""""))"),"")</f>
        <v/>
      </c>
    </row>
    <row r="831">
      <c r="B831" s="62"/>
      <c r="C831" s="56"/>
      <c r="D831" s="56"/>
      <c r="E831" s="56"/>
      <c r="F831" s="63"/>
      <c r="G831" s="64"/>
      <c r="H831" s="65"/>
      <c r="I831" s="63"/>
      <c r="K831" s="53" t="str">
        <f>IFERROR(__xludf.DUMMYFUNCTION("IF(ISBLANK(B831),"""",IF(ISDATE(B831),""X"",""""))"),"")</f>
        <v/>
      </c>
      <c r="L831" s="40" t="str">
        <f>IFERROR(__xludf.DUMMYFUNCTION("IF(ISBLANK(B831),"""",IF(Or(I831=""Em Aberto"",ISBLANK(I831),NOT(ISDATE(B831))),"""",H831))"),"")</f>
        <v/>
      </c>
      <c r="M831" s="29" t="str">
        <f>IFERROR(__xludf.DUMMYFUNCTION("IF(ISBLANK(B831),"""",IF(ISDATE(B831),TEXT(B831,""m""),""""))"),"")</f>
        <v/>
      </c>
      <c r="N831" s="29" t="str">
        <f>IFERROR(__xludf.DUMMYFUNCTION("IF(M831="""","""",QUERY({'Dashboard-Dados'!$Y$2:$AA$13},""Select Col2 Where Col1=""&amp;M831))"),"")</f>
        <v/>
      </c>
      <c r="O831" s="29" t="str">
        <f>IFERROR(__xludf.DUMMYFUNCTION("IF(ISBLANK(B831),"""",IF(ISDATE(B831),TEXT(B831,""yyyy""),""""))"),"")</f>
        <v/>
      </c>
    </row>
    <row r="832">
      <c r="B832" s="62"/>
      <c r="C832" s="56"/>
      <c r="D832" s="56"/>
      <c r="E832" s="56"/>
      <c r="F832" s="63"/>
      <c r="G832" s="64"/>
      <c r="H832" s="65"/>
      <c r="I832" s="63"/>
      <c r="K832" s="53" t="str">
        <f>IFERROR(__xludf.DUMMYFUNCTION("IF(ISBLANK(B832),"""",IF(ISDATE(B832),""X"",""""))"),"")</f>
        <v/>
      </c>
      <c r="L832" s="40" t="str">
        <f>IFERROR(__xludf.DUMMYFUNCTION("IF(ISBLANK(B832),"""",IF(Or(I832=""Em Aberto"",ISBLANK(I832),NOT(ISDATE(B832))),"""",H832))"),"")</f>
        <v/>
      </c>
      <c r="M832" s="29" t="str">
        <f>IFERROR(__xludf.DUMMYFUNCTION("IF(ISBLANK(B832),"""",IF(ISDATE(B832),TEXT(B832,""m""),""""))"),"")</f>
        <v/>
      </c>
      <c r="N832" s="29" t="str">
        <f>IFERROR(__xludf.DUMMYFUNCTION("IF(M832="""","""",QUERY({'Dashboard-Dados'!$Y$2:$AA$13},""Select Col2 Where Col1=""&amp;M832))"),"")</f>
        <v/>
      </c>
      <c r="O832" s="29" t="str">
        <f>IFERROR(__xludf.DUMMYFUNCTION("IF(ISBLANK(B832),"""",IF(ISDATE(B832),TEXT(B832,""yyyy""),""""))"),"")</f>
        <v/>
      </c>
    </row>
    <row r="833">
      <c r="B833" s="62"/>
      <c r="C833" s="56"/>
      <c r="D833" s="56"/>
      <c r="E833" s="56"/>
      <c r="F833" s="63"/>
      <c r="G833" s="64"/>
      <c r="H833" s="65"/>
      <c r="I833" s="63"/>
      <c r="K833" s="53" t="str">
        <f>IFERROR(__xludf.DUMMYFUNCTION("IF(ISBLANK(B833),"""",IF(ISDATE(B833),""X"",""""))"),"")</f>
        <v/>
      </c>
      <c r="L833" s="40" t="str">
        <f>IFERROR(__xludf.DUMMYFUNCTION("IF(ISBLANK(B833),"""",IF(Or(I833=""Em Aberto"",ISBLANK(I833),NOT(ISDATE(B833))),"""",H833))"),"")</f>
        <v/>
      </c>
      <c r="M833" s="29" t="str">
        <f>IFERROR(__xludf.DUMMYFUNCTION("IF(ISBLANK(B833),"""",IF(ISDATE(B833),TEXT(B833,""m""),""""))"),"")</f>
        <v/>
      </c>
      <c r="N833" s="29" t="str">
        <f>IFERROR(__xludf.DUMMYFUNCTION("IF(M833="""","""",QUERY({'Dashboard-Dados'!$Y$2:$AA$13},""Select Col2 Where Col1=""&amp;M833))"),"")</f>
        <v/>
      </c>
      <c r="O833" s="29" t="str">
        <f>IFERROR(__xludf.DUMMYFUNCTION("IF(ISBLANK(B833),"""",IF(ISDATE(B833),TEXT(B833,""yyyy""),""""))"),"")</f>
        <v/>
      </c>
    </row>
    <row r="834">
      <c r="B834" s="62"/>
      <c r="C834" s="56"/>
      <c r="D834" s="56"/>
      <c r="E834" s="56"/>
      <c r="F834" s="63"/>
      <c r="G834" s="64"/>
      <c r="H834" s="65"/>
      <c r="I834" s="63"/>
      <c r="K834" s="53" t="str">
        <f>IFERROR(__xludf.DUMMYFUNCTION("IF(ISBLANK(B834),"""",IF(ISDATE(B834),""X"",""""))"),"")</f>
        <v/>
      </c>
      <c r="L834" s="40" t="str">
        <f>IFERROR(__xludf.DUMMYFUNCTION("IF(ISBLANK(B834),"""",IF(Or(I834=""Em Aberto"",ISBLANK(I834),NOT(ISDATE(B834))),"""",H834))"),"")</f>
        <v/>
      </c>
      <c r="M834" s="29" t="str">
        <f>IFERROR(__xludf.DUMMYFUNCTION("IF(ISBLANK(B834),"""",IF(ISDATE(B834),TEXT(B834,""m""),""""))"),"")</f>
        <v/>
      </c>
      <c r="N834" s="29" t="str">
        <f>IFERROR(__xludf.DUMMYFUNCTION("IF(M834="""","""",QUERY({'Dashboard-Dados'!$Y$2:$AA$13},""Select Col2 Where Col1=""&amp;M834))"),"")</f>
        <v/>
      </c>
      <c r="O834" s="29" t="str">
        <f>IFERROR(__xludf.DUMMYFUNCTION("IF(ISBLANK(B834),"""",IF(ISDATE(B834),TEXT(B834,""yyyy""),""""))"),"")</f>
        <v/>
      </c>
    </row>
    <row r="835">
      <c r="B835" s="62"/>
      <c r="C835" s="56"/>
      <c r="D835" s="56"/>
      <c r="E835" s="56"/>
      <c r="F835" s="63"/>
      <c r="G835" s="64"/>
      <c r="H835" s="65"/>
      <c r="I835" s="63"/>
      <c r="K835" s="53" t="str">
        <f>IFERROR(__xludf.DUMMYFUNCTION("IF(ISBLANK(B835),"""",IF(ISDATE(B835),""X"",""""))"),"")</f>
        <v/>
      </c>
      <c r="L835" s="40" t="str">
        <f>IFERROR(__xludf.DUMMYFUNCTION("IF(ISBLANK(B835),"""",IF(Or(I835=""Em Aberto"",ISBLANK(I835),NOT(ISDATE(B835))),"""",H835))"),"")</f>
        <v/>
      </c>
      <c r="M835" s="29" t="str">
        <f>IFERROR(__xludf.DUMMYFUNCTION("IF(ISBLANK(B835),"""",IF(ISDATE(B835),TEXT(B835,""m""),""""))"),"")</f>
        <v/>
      </c>
      <c r="N835" s="29" t="str">
        <f>IFERROR(__xludf.DUMMYFUNCTION("IF(M835="""","""",QUERY({'Dashboard-Dados'!$Y$2:$AA$13},""Select Col2 Where Col1=""&amp;M835))"),"")</f>
        <v/>
      </c>
      <c r="O835" s="29" t="str">
        <f>IFERROR(__xludf.DUMMYFUNCTION("IF(ISBLANK(B835),"""",IF(ISDATE(B835),TEXT(B835,""yyyy""),""""))"),"")</f>
        <v/>
      </c>
    </row>
    <row r="836">
      <c r="B836" s="62"/>
      <c r="C836" s="56"/>
      <c r="D836" s="56"/>
      <c r="E836" s="56"/>
      <c r="F836" s="63"/>
      <c r="G836" s="64"/>
      <c r="H836" s="65"/>
      <c r="I836" s="63"/>
      <c r="K836" s="53" t="str">
        <f>IFERROR(__xludf.DUMMYFUNCTION("IF(ISBLANK(B836),"""",IF(ISDATE(B836),""X"",""""))"),"")</f>
        <v/>
      </c>
      <c r="L836" s="40" t="str">
        <f>IFERROR(__xludf.DUMMYFUNCTION("IF(ISBLANK(B836),"""",IF(Or(I836=""Em Aberto"",ISBLANK(I836),NOT(ISDATE(B836))),"""",H836))"),"")</f>
        <v/>
      </c>
      <c r="M836" s="29" t="str">
        <f>IFERROR(__xludf.DUMMYFUNCTION("IF(ISBLANK(B836),"""",IF(ISDATE(B836),TEXT(B836,""m""),""""))"),"")</f>
        <v/>
      </c>
      <c r="N836" s="29" t="str">
        <f>IFERROR(__xludf.DUMMYFUNCTION("IF(M836="""","""",QUERY({'Dashboard-Dados'!$Y$2:$AA$13},""Select Col2 Where Col1=""&amp;M836))"),"")</f>
        <v/>
      </c>
      <c r="O836" s="29" t="str">
        <f>IFERROR(__xludf.DUMMYFUNCTION("IF(ISBLANK(B836),"""",IF(ISDATE(B836),TEXT(B836,""yyyy""),""""))"),"")</f>
        <v/>
      </c>
    </row>
    <row r="837">
      <c r="B837" s="62"/>
      <c r="C837" s="56"/>
      <c r="D837" s="56"/>
      <c r="E837" s="56"/>
      <c r="F837" s="63"/>
      <c r="G837" s="64"/>
      <c r="H837" s="65"/>
      <c r="I837" s="63"/>
      <c r="K837" s="53" t="str">
        <f>IFERROR(__xludf.DUMMYFUNCTION("IF(ISBLANK(B837),"""",IF(ISDATE(B837),""X"",""""))"),"")</f>
        <v/>
      </c>
      <c r="L837" s="40" t="str">
        <f>IFERROR(__xludf.DUMMYFUNCTION("IF(ISBLANK(B837),"""",IF(Or(I837=""Em Aberto"",ISBLANK(I837),NOT(ISDATE(B837))),"""",H837))"),"")</f>
        <v/>
      </c>
      <c r="M837" s="29" t="str">
        <f>IFERROR(__xludf.DUMMYFUNCTION("IF(ISBLANK(B837),"""",IF(ISDATE(B837),TEXT(B837,""m""),""""))"),"")</f>
        <v/>
      </c>
      <c r="N837" s="29" t="str">
        <f>IFERROR(__xludf.DUMMYFUNCTION("IF(M837="""","""",QUERY({'Dashboard-Dados'!$Y$2:$AA$13},""Select Col2 Where Col1=""&amp;M837))"),"")</f>
        <v/>
      </c>
      <c r="O837" s="29" t="str">
        <f>IFERROR(__xludf.DUMMYFUNCTION("IF(ISBLANK(B837),"""",IF(ISDATE(B837),TEXT(B837,""yyyy""),""""))"),"")</f>
        <v/>
      </c>
    </row>
    <row r="838">
      <c r="B838" s="62"/>
      <c r="C838" s="56"/>
      <c r="D838" s="56"/>
      <c r="E838" s="56"/>
      <c r="F838" s="63"/>
      <c r="G838" s="64"/>
      <c r="H838" s="65"/>
      <c r="I838" s="63"/>
      <c r="K838" s="53" t="str">
        <f>IFERROR(__xludf.DUMMYFUNCTION("IF(ISBLANK(B838),"""",IF(ISDATE(B838),""X"",""""))"),"")</f>
        <v/>
      </c>
      <c r="L838" s="40" t="str">
        <f>IFERROR(__xludf.DUMMYFUNCTION("IF(ISBLANK(B838),"""",IF(Or(I838=""Em Aberto"",ISBLANK(I838),NOT(ISDATE(B838))),"""",H838))"),"")</f>
        <v/>
      </c>
      <c r="M838" s="29" t="str">
        <f>IFERROR(__xludf.DUMMYFUNCTION("IF(ISBLANK(B838),"""",IF(ISDATE(B838),TEXT(B838,""m""),""""))"),"")</f>
        <v/>
      </c>
      <c r="N838" s="29" t="str">
        <f>IFERROR(__xludf.DUMMYFUNCTION("IF(M838="""","""",QUERY({'Dashboard-Dados'!$Y$2:$AA$13},""Select Col2 Where Col1=""&amp;M838))"),"")</f>
        <v/>
      </c>
      <c r="O838" s="29" t="str">
        <f>IFERROR(__xludf.DUMMYFUNCTION("IF(ISBLANK(B838),"""",IF(ISDATE(B838),TEXT(B838,""yyyy""),""""))"),"")</f>
        <v/>
      </c>
    </row>
    <row r="839">
      <c r="B839" s="62"/>
      <c r="C839" s="56"/>
      <c r="D839" s="56"/>
      <c r="E839" s="56"/>
      <c r="F839" s="63"/>
      <c r="G839" s="64"/>
      <c r="H839" s="65"/>
      <c r="I839" s="63"/>
      <c r="K839" s="53" t="str">
        <f>IFERROR(__xludf.DUMMYFUNCTION("IF(ISBLANK(B839),"""",IF(ISDATE(B839),""X"",""""))"),"")</f>
        <v/>
      </c>
      <c r="L839" s="40" t="str">
        <f>IFERROR(__xludf.DUMMYFUNCTION("IF(ISBLANK(B839),"""",IF(Or(I839=""Em Aberto"",ISBLANK(I839),NOT(ISDATE(B839))),"""",H839))"),"")</f>
        <v/>
      </c>
      <c r="M839" s="29" t="str">
        <f>IFERROR(__xludf.DUMMYFUNCTION("IF(ISBLANK(B839),"""",IF(ISDATE(B839),TEXT(B839,""m""),""""))"),"")</f>
        <v/>
      </c>
      <c r="N839" s="29" t="str">
        <f>IFERROR(__xludf.DUMMYFUNCTION("IF(M839="""","""",QUERY({'Dashboard-Dados'!$Y$2:$AA$13},""Select Col2 Where Col1=""&amp;M839))"),"")</f>
        <v/>
      </c>
      <c r="O839" s="29" t="str">
        <f>IFERROR(__xludf.DUMMYFUNCTION("IF(ISBLANK(B839),"""",IF(ISDATE(B839),TEXT(B839,""yyyy""),""""))"),"")</f>
        <v/>
      </c>
    </row>
    <row r="840">
      <c r="B840" s="62"/>
      <c r="C840" s="56"/>
      <c r="D840" s="56"/>
      <c r="E840" s="56"/>
      <c r="F840" s="63"/>
      <c r="G840" s="64"/>
      <c r="H840" s="65"/>
      <c r="I840" s="63"/>
      <c r="K840" s="53" t="str">
        <f>IFERROR(__xludf.DUMMYFUNCTION("IF(ISBLANK(B840),"""",IF(ISDATE(B840),""X"",""""))"),"")</f>
        <v/>
      </c>
      <c r="L840" s="40" t="str">
        <f>IFERROR(__xludf.DUMMYFUNCTION("IF(ISBLANK(B840),"""",IF(Or(I840=""Em Aberto"",ISBLANK(I840),NOT(ISDATE(B840))),"""",H840))"),"")</f>
        <v/>
      </c>
      <c r="M840" s="29" t="str">
        <f>IFERROR(__xludf.DUMMYFUNCTION("IF(ISBLANK(B840),"""",IF(ISDATE(B840),TEXT(B840,""m""),""""))"),"")</f>
        <v/>
      </c>
      <c r="N840" s="29" t="str">
        <f>IFERROR(__xludf.DUMMYFUNCTION("IF(M840="""","""",QUERY({'Dashboard-Dados'!$Y$2:$AA$13},""Select Col2 Where Col1=""&amp;M840))"),"")</f>
        <v/>
      </c>
      <c r="O840" s="29" t="str">
        <f>IFERROR(__xludf.DUMMYFUNCTION("IF(ISBLANK(B840),"""",IF(ISDATE(B840),TEXT(B840,""yyyy""),""""))"),"")</f>
        <v/>
      </c>
    </row>
    <row r="841">
      <c r="B841" s="62"/>
      <c r="C841" s="56"/>
      <c r="D841" s="56"/>
      <c r="E841" s="56"/>
      <c r="F841" s="63"/>
      <c r="G841" s="64"/>
      <c r="H841" s="65"/>
      <c r="I841" s="63"/>
      <c r="K841" s="53" t="str">
        <f>IFERROR(__xludf.DUMMYFUNCTION("IF(ISBLANK(B841),"""",IF(ISDATE(B841),""X"",""""))"),"")</f>
        <v/>
      </c>
      <c r="L841" s="40" t="str">
        <f>IFERROR(__xludf.DUMMYFUNCTION("IF(ISBLANK(B841),"""",IF(Or(I841=""Em Aberto"",ISBLANK(I841),NOT(ISDATE(B841))),"""",H841))"),"")</f>
        <v/>
      </c>
      <c r="M841" s="29" t="str">
        <f>IFERROR(__xludf.DUMMYFUNCTION("IF(ISBLANK(B841),"""",IF(ISDATE(B841),TEXT(B841,""m""),""""))"),"")</f>
        <v/>
      </c>
      <c r="N841" s="29" t="str">
        <f>IFERROR(__xludf.DUMMYFUNCTION("IF(M841="""","""",QUERY({'Dashboard-Dados'!$Y$2:$AA$13},""Select Col2 Where Col1=""&amp;M841))"),"")</f>
        <v/>
      </c>
      <c r="O841" s="29" t="str">
        <f>IFERROR(__xludf.DUMMYFUNCTION("IF(ISBLANK(B841),"""",IF(ISDATE(B841),TEXT(B841,""yyyy""),""""))"),"")</f>
        <v/>
      </c>
    </row>
    <row r="842">
      <c r="B842" s="62"/>
      <c r="C842" s="56"/>
      <c r="D842" s="56"/>
      <c r="E842" s="56"/>
      <c r="F842" s="63"/>
      <c r="G842" s="64"/>
      <c r="H842" s="65"/>
      <c r="I842" s="63"/>
      <c r="K842" s="53" t="str">
        <f>IFERROR(__xludf.DUMMYFUNCTION("IF(ISBLANK(B842),"""",IF(ISDATE(B842),""X"",""""))"),"")</f>
        <v/>
      </c>
      <c r="L842" s="40" t="str">
        <f>IFERROR(__xludf.DUMMYFUNCTION("IF(ISBLANK(B842),"""",IF(Or(I842=""Em Aberto"",ISBLANK(I842),NOT(ISDATE(B842))),"""",H842))"),"")</f>
        <v/>
      </c>
      <c r="M842" s="29" t="str">
        <f>IFERROR(__xludf.DUMMYFUNCTION("IF(ISBLANK(B842),"""",IF(ISDATE(B842),TEXT(B842,""m""),""""))"),"")</f>
        <v/>
      </c>
      <c r="N842" s="29" t="str">
        <f>IFERROR(__xludf.DUMMYFUNCTION("IF(M842="""","""",QUERY({'Dashboard-Dados'!$Y$2:$AA$13},""Select Col2 Where Col1=""&amp;M842))"),"")</f>
        <v/>
      </c>
      <c r="O842" s="29" t="str">
        <f>IFERROR(__xludf.DUMMYFUNCTION("IF(ISBLANK(B842),"""",IF(ISDATE(B842),TEXT(B842,""yyyy""),""""))"),"")</f>
        <v/>
      </c>
    </row>
    <row r="843">
      <c r="B843" s="62"/>
      <c r="C843" s="56"/>
      <c r="D843" s="56"/>
      <c r="E843" s="56"/>
      <c r="F843" s="63"/>
      <c r="G843" s="64"/>
      <c r="H843" s="65"/>
      <c r="I843" s="63"/>
      <c r="K843" s="53" t="str">
        <f>IFERROR(__xludf.DUMMYFUNCTION("IF(ISBLANK(B843),"""",IF(ISDATE(B843),""X"",""""))"),"")</f>
        <v/>
      </c>
      <c r="L843" s="40" t="str">
        <f>IFERROR(__xludf.DUMMYFUNCTION("IF(ISBLANK(B843),"""",IF(Or(I843=""Em Aberto"",ISBLANK(I843),NOT(ISDATE(B843))),"""",H843))"),"")</f>
        <v/>
      </c>
      <c r="M843" s="29" t="str">
        <f>IFERROR(__xludf.DUMMYFUNCTION("IF(ISBLANK(B843),"""",IF(ISDATE(B843),TEXT(B843,""m""),""""))"),"")</f>
        <v/>
      </c>
      <c r="N843" s="29" t="str">
        <f>IFERROR(__xludf.DUMMYFUNCTION("IF(M843="""","""",QUERY({'Dashboard-Dados'!$Y$2:$AA$13},""Select Col2 Where Col1=""&amp;M843))"),"")</f>
        <v/>
      </c>
      <c r="O843" s="29" t="str">
        <f>IFERROR(__xludf.DUMMYFUNCTION("IF(ISBLANK(B843),"""",IF(ISDATE(B843),TEXT(B843,""yyyy""),""""))"),"")</f>
        <v/>
      </c>
    </row>
    <row r="844">
      <c r="B844" s="62"/>
      <c r="C844" s="56"/>
      <c r="D844" s="56"/>
      <c r="E844" s="56"/>
      <c r="F844" s="63"/>
      <c r="G844" s="64"/>
      <c r="H844" s="65"/>
      <c r="I844" s="63"/>
      <c r="K844" s="53" t="str">
        <f>IFERROR(__xludf.DUMMYFUNCTION("IF(ISBLANK(B844),"""",IF(ISDATE(B844),""X"",""""))"),"")</f>
        <v/>
      </c>
      <c r="L844" s="40" t="str">
        <f>IFERROR(__xludf.DUMMYFUNCTION("IF(ISBLANK(B844),"""",IF(Or(I844=""Em Aberto"",ISBLANK(I844),NOT(ISDATE(B844))),"""",H844))"),"")</f>
        <v/>
      </c>
      <c r="M844" s="29" t="str">
        <f>IFERROR(__xludf.DUMMYFUNCTION("IF(ISBLANK(B844),"""",IF(ISDATE(B844),TEXT(B844,""m""),""""))"),"")</f>
        <v/>
      </c>
      <c r="N844" s="29" t="str">
        <f>IFERROR(__xludf.DUMMYFUNCTION("IF(M844="""","""",QUERY({'Dashboard-Dados'!$Y$2:$AA$13},""Select Col2 Where Col1=""&amp;M844))"),"")</f>
        <v/>
      </c>
      <c r="O844" s="29" t="str">
        <f>IFERROR(__xludf.DUMMYFUNCTION("IF(ISBLANK(B844),"""",IF(ISDATE(B844),TEXT(B844,""yyyy""),""""))"),"")</f>
        <v/>
      </c>
    </row>
    <row r="845">
      <c r="B845" s="62"/>
      <c r="C845" s="56"/>
      <c r="D845" s="56"/>
      <c r="E845" s="56"/>
      <c r="F845" s="63"/>
      <c r="G845" s="64"/>
      <c r="H845" s="65"/>
      <c r="I845" s="63"/>
      <c r="K845" s="53" t="str">
        <f>IFERROR(__xludf.DUMMYFUNCTION("IF(ISBLANK(B845),"""",IF(ISDATE(B845),""X"",""""))"),"")</f>
        <v/>
      </c>
      <c r="L845" s="40" t="str">
        <f>IFERROR(__xludf.DUMMYFUNCTION("IF(ISBLANK(B845),"""",IF(Or(I845=""Em Aberto"",ISBLANK(I845),NOT(ISDATE(B845))),"""",H845))"),"")</f>
        <v/>
      </c>
      <c r="M845" s="29" t="str">
        <f>IFERROR(__xludf.DUMMYFUNCTION("IF(ISBLANK(B845),"""",IF(ISDATE(B845),TEXT(B845,""m""),""""))"),"")</f>
        <v/>
      </c>
      <c r="N845" s="29" t="str">
        <f>IFERROR(__xludf.DUMMYFUNCTION("IF(M845="""","""",QUERY({'Dashboard-Dados'!$Y$2:$AA$13},""Select Col2 Where Col1=""&amp;M845))"),"")</f>
        <v/>
      </c>
      <c r="O845" s="29" t="str">
        <f>IFERROR(__xludf.DUMMYFUNCTION("IF(ISBLANK(B845),"""",IF(ISDATE(B845),TEXT(B845,""yyyy""),""""))"),"")</f>
        <v/>
      </c>
    </row>
    <row r="846">
      <c r="B846" s="62"/>
      <c r="C846" s="56"/>
      <c r="D846" s="56"/>
      <c r="E846" s="56"/>
      <c r="F846" s="63"/>
      <c r="G846" s="64"/>
      <c r="H846" s="65"/>
      <c r="I846" s="63"/>
      <c r="K846" s="53" t="str">
        <f>IFERROR(__xludf.DUMMYFUNCTION("IF(ISBLANK(B846),"""",IF(ISDATE(B846),""X"",""""))"),"")</f>
        <v/>
      </c>
      <c r="L846" s="40" t="str">
        <f>IFERROR(__xludf.DUMMYFUNCTION("IF(ISBLANK(B846),"""",IF(Or(I846=""Em Aberto"",ISBLANK(I846),NOT(ISDATE(B846))),"""",H846))"),"")</f>
        <v/>
      </c>
      <c r="M846" s="29" t="str">
        <f>IFERROR(__xludf.DUMMYFUNCTION("IF(ISBLANK(B846),"""",IF(ISDATE(B846),TEXT(B846,""m""),""""))"),"")</f>
        <v/>
      </c>
      <c r="N846" s="29" t="str">
        <f>IFERROR(__xludf.DUMMYFUNCTION("IF(M846="""","""",QUERY({'Dashboard-Dados'!$Y$2:$AA$13},""Select Col2 Where Col1=""&amp;M846))"),"")</f>
        <v/>
      </c>
      <c r="O846" s="29" t="str">
        <f>IFERROR(__xludf.DUMMYFUNCTION("IF(ISBLANK(B846),"""",IF(ISDATE(B846),TEXT(B846,""yyyy""),""""))"),"")</f>
        <v/>
      </c>
    </row>
    <row r="847">
      <c r="B847" s="62"/>
      <c r="C847" s="56"/>
      <c r="D847" s="56"/>
      <c r="E847" s="56"/>
      <c r="F847" s="63"/>
      <c r="G847" s="64"/>
      <c r="H847" s="65"/>
      <c r="I847" s="63"/>
      <c r="K847" s="53" t="str">
        <f>IFERROR(__xludf.DUMMYFUNCTION("IF(ISBLANK(B847),"""",IF(ISDATE(B847),""X"",""""))"),"")</f>
        <v/>
      </c>
      <c r="L847" s="40" t="str">
        <f>IFERROR(__xludf.DUMMYFUNCTION("IF(ISBLANK(B847),"""",IF(Or(I847=""Em Aberto"",ISBLANK(I847),NOT(ISDATE(B847))),"""",H847))"),"")</f>
        <v/>
      </c>
      <c r="M847" s="29" t="str">
        <f>IFERROR(__xludf.DUMMYFUNCTION("IF(ISBLANK(B847),"""",IF(ISDATE(B847),TEXT(B847,""m""),""""))"),"")</f>
        <v/>
      </c>
      <c r="N847" s="29" t="str">
        <f>IFERROR(__xludf.DUMMYFUNCTION("IF(M847="""","""",QUERY({'Dashboard-Dados'!$Y$2:$AA$13},""Select Col2 Where Col1=""&amp;M847))"),"")</f>
        <v/>
      </c>
      <c r="O847" s="29" t="str">
        <f>IFERROR(__xludf.DUMMYFUNCTION("IF(ISBLANK(B847),"""",IF(ISDATE(B847),TEXT(B847,""yyyy""),""""))"),"")</f>
        <v/>
      </c>
    </row>
    <row r="848">
      <c r="B848" s="62"/>
      <c r="C848" s="56"/>
      <c r="D848" s="56"/>
      <c r="E848" s="56"/>
      <c r="F848" s="63"/>
      <c r="G848" s="64"/>
      <c r="H848" s="65"/>
      <c r="I848" s="63"/>
      <c r="K848" s="53" t="str">
        <f>IFERROR(__xludf.DUMMYFUNCTION("IF(ISBLANK(B848),"""",IF(ISDATE(B848),""X"",""""))"),"")</f>
        <v/>
      </c>
      <c r="L848" s="40" t="str">
        <f>IFERROR(__xludf.DUMMYFUNCTION("IF(ISBLANK(B848),"""",IF(Or(I848=""Em Aberto"",ISBLANK(I848),NOT(ISDATE(B848))),"""",H848))"),"")</f>
        <v/>
      </c>
      <c r="M848" s="29" t="str">
        <f>IFERROR(__xludf.DUMMYFUNCTION("IF(ISBLANK(B848),"""",IF(ISDATE(B848),TEXT(B848,""m""),""""))"),"")</f>
        <v/>
      </c>
      <c r="N848" s="29" t="str">
        <f>IFERROR(__xludf.DUMMYFUNCTION("IF(M848="""","""",QUERY({'Dashboard-Dados'!$Y$2:$AA$13},""Select Col2 Where Col1=""&amp;M848))"),"")</f>
        <v/>
      </c>
      <c r="O848" s="29" t="str">
        <f>IFERROR(__xludf.DUMMYFUNCTION("IF(ISBLANK(B848),"""",IF(ISDATE(B848),TEXT(B848,""yyyy""),""""))"),"")</f>
        <v/>
      </c>
    </row>
    <row r="849">
      <c r="B849" s="62"/>
      <c r="C849" s="56"/>
      <c r="D849" s="56"/>
      <c r="E849" s="56"/>
      <c r="F849" s="63"/>
      <c r="G849" s="64"/>
      <c r="H849" s="65"/>
      <c r="I849" s="63"/>
      <c r="K849" s="53" t="str">
        <f>IFERROR(__xludf.DUMMYFUNCTION("IF(ISBLANK(B849),"""",IF(ISDATE(B849),""X"",""""))"),"")</f>
        <v/>
      </c>
      <c r="L849" s="40" t="str">
        <f>IFERROR(__xludf.DUMMYFUNCTION("IF(ISBLANK(B849),"""",IF(Or(I849=""Em Aberto"",ISBLANK(I849),NOT(ISDATE(B849))),"""",H849))"),"")</f>
        <v/>
      </c>
      <c r="M849" s="29" t="str">
        <f>IFERROR(__xludf.DUMMYFUNCTION("IF(ISBLANK(B849),"""",IF(ISDATE(B849),TEXT(B849,""m""),""""))"),"")</f>
        <v/>
      </c>
      <c r="N849" s="29" t="str">
        <f>IFERROR(__xludf.DUMMYFUNCTION("IF(M849="""","""",QUERY({'Dashboard-Dados'!$Y$2:$AA$13},""Select Col2 Where Col1=""&amp;M849))"),"")</f>
        <v/>
      </c>
      <c r="O849" s="29" t="str">
        <f>IFERROR(__xludf.DUMMYFUNCTION("IF(ISBLANK(B849),"""",IF(ISDATE(B849),TEXT(B849,""yyyy""),""""))"),"")</f>
        <v/>
      </c>
    </row>
    <row r="850">
      <c r="B850" s="62"/>
      <c r="C850" s="56"/>
      <c r="D850" s="56"/>
      <c r="E850" s="56"/>
      <c r="F850" s="63"/>
      <c r="G850" s="64"/>
      <c r="H850" s="65"/>
      <c r="I850" s="63"/>
      <c r="K850" s="53" t="str">
        <f>IFERROR(__xludf.DUMMYFUNCTION("IF(ISBLANK(B850),"""",IF(ISDATE(B850),""X"",""""))"),"")</f>
        <v/>
      </c>
      <c r="L850" s="40" t="str">
        <f>IFERROR(__xludf.DUMMYFUNCTION("IF(ISBLANK(B850),"""",IF(Or(I850=""Em Aberto"",ISBLANK(I850),NOT(ISDATE(B850))),"""",H850))"),"")</f>
        <v/>
      </c>
      <c r="M850" s="29" t="str">
        <f>IFERROR(__xludf.DUMMYFUNCTION("IF(ISBLANK(B850),"""",IF(ISDATE(B850),TEXT(B850,""m""),""""))"),"")</f>
        <v/>
      </c>
      <c r="N850" s="29" t="str">
        <f>IFERROR(__xludf.DUMMYFUNCTION("IF(M850="""","""",QUERY({'Dashboard-Dados'!$Y$2:$AA$13},""Select Col2 Where Col1=""&amp;M850))"),"")</f>
        <v/>
      </c>
      <c r="O850" s="29" t="str">
        <f>IFERROR(__xludf.DUMMYFUNCTION("IF(ISBLANK(B850),"""",IF(ISDATE(B850),TEXT(B850,""yyyy""),""""))"),"")</f>
        <v/>
      </c>
    </row>
    <row r="851">
      <c r="B851" s="62"/>
      <c r="C851" s="56"/>
      <c r="D851" s="56"/>
      <c r="E851" s="56"/>
      <c r="F851" s="63"/>
      <c r="G851" s="64"/>
      <c r="H851" s="65"/>
      <c r="I851" s="63"/>
      <c r="K851" s="53" t="str">
        <f>IFERROR(__xludf.DUMMYFUNCTION("IF(ISBLANK(B851),"""",IF(ISDATE(B851),""X"",""""))"),"")</f>
        <v/>
      </c>
      <c r="L851" s="40" t="str">
        <f>IFERROR(__xludf.DUMMYFUNCTION("IF(ISBLANK(B851),"""",IF(Or(I851=""Em Aberto"",ISBLANK(I851),NOT(ISDATE(B851))),"""",H851))"),"")</f>
        <v/>
      </c>
      <c r="M851" s="29" t="str">
        <f>IFERROR(__xludf.DUMMYFUNCTION("IF(ISBLANK(B851),"""",IF(ISDATE(B851),TEXT(B851,""m""),""""))"),"")</f>
        <v/>
      </c>
      <c r="N851" s="29" t="str">
        <f>IFERROR(__xludf.DUMMYFUNCTION("IF(M851="""","""",QUERY({'Dashboard-Dados'!$Y$2:$AA$13},""Select Col2 Where Col1=""&amp;M851))"),"")</f>
        <v/>
      </c>
      <c r="O851" s="29" t="str">
        <f>IFERROR(__xludf.DUMMYFUNCTION("IF(ISBLANK(B851),"""",IF(ISDATE(B851),TEXT(B851,""yyyy""),""""))"),"")</f>
        <v/>
      </c>
    </row>
    <row r="852">
      <c r="B852" s="62"/>
      <c r="C852" s="56"/>
      <c r="D852" s="56"/>
      <c r="E852" s="56"/>
      <c r="F852" s="63"/>
      <c r="G852" s="64"/>
      <c r="H852" s="65"/>
      <c r="I852" s="63"/>
      <c r="K852" s="53" t="str">
        <f>IFERROR(__xludf.DUMMYFUNCTION("IF(ISBLANK(B852),"""",IF(ISDATE(B852),""X"",""""))"),"")</f>
        <v/>
      </c>
      <c r="L852" s="40" t="str">
        <f>IFERROR(__xludf.DUMMYFUNCTION("IF(ISBLANK(B852),"""",IF(Or(I852=""Em Aberto"",ISBLANK(I852),NOT(ISDATE(B852))),"""",H852))"),"")</f>
        <v/>
      </c>
      <c r="M852" s="29" t="str">
        <f>IFERROR(__xludf.DUMMYFUNCTION("IF(ISBLANK(B852),"""",IF(ISDATE(B852),TEXT(B852,""m""),""""))"),"")</f>
        <v/>
      </c>
      <c r="N852" s="29" t="str">
        <f>IFERROR(__xludf.DUMMYFUNCTION("IF(M852="""","""",QUERY({'Dashboard-Dados'!$Y$2:$AA$13},""Select Col2 Where Col1=""&amp;M852))"),"")</f>
        <v/>
      </c>
      <c r="O852" s="29" t="str">
        <f>IFERROR(__xludf.DUMMYFUNCTION("IF(ISBLANK(B852),"""",IF(ISDATE(B852),TEXT(B852,""yyyy""),""""))"),"")</f>
        <v/>
      </c>
    </row>
    <row r="853">
      <c r="B853" s="62"/>
      <c r="C853" s="56"/>
      <c r="D853" s="56"/>
      <c r="E853" s="56"/>
      <c r="F853" s="63"/>
      <c r="G853" s="64"/>
      <c r="H853" s="65"/>
      <c r="I853" s="63"/>
      <c r="K853" s="53" t="str">
        <f>IFERROR(__xludf.DUMMYFUNCTION("IF(ISBLANK(B853),"""",IF(ISDATE(B853),""X"",""""))"),"")</f>
        <v/>
      </c>
      <c r="L853" s="40" t="str">
        <f>IFERROR(__xludf.DUMMYFUNCTION("IF(ISBLANK(B853),"""",IF(Or(I853=""Em Aberto"",ISBLANK(I853),NOT(ISDATE(B853))),"""",H853))"),"")</f>
        <v/>
      </c>
      <c r="M853" s="29" t="str">
        <f>IFERROR(__xludf.DUMMYFUNCTION("IF(ISBLANK(B853),"""",IF(ISDATE(B853),TEXT(B853,""m""),""""))"),"")</f>
        <v/>
      </c>
      <c r="N853" s="29" t="str">
        <f>IFERROR(__xludf.DUMMYFUNCTION("IF(M853="""","""",QUERY({'Dashboard-Dados'!$Y$2:$AA$13},""Select Col2 Where Col1=""&amp;M853))"),"")</f>
        <v/>
      </c>
      <c r="O853" s="29" t="str">
        <f>IFERROR(__xludf.DUMMYFUNCTION("IF(ISBLANK(B853),"""",IF(ISDATE(B853),TEXT(B853,""yyyy""),""""))"),"")</f>
        <v/>
      </c>
    </row>
    <row r="854">
      <c r="B854" s="62"/>
      <c r="C854" s="56"/>
      <c r="D854" s="56"/>
      <c r="E854" s="56"/>
      <c r="F854" s="63"/>
      <c r="G854" s="64"/>
      <c r="H854" s="65"/>
      <c r="I854" s="63"/>
      <c r="K854" s="53" t="str">
        <f>IFERROR(__xludf.DUMMYFUNCTION("IF(ISBLANK(B854),"""",IF(ISDATE(B854),""X"",""""))"),"")</f>
        <v/>
      </c>
      <c r="L854" s="40" t="str">
        <f>IFERROR(__xludf.DUMMYFUNCTION("IF(ISBLANK(B854),"""",IF(Or(I854=""Em Aberto"",ISBLANK(I854),NOT(ISDATE(B854))),"""",H854))"),"")</f>
        <v/>
      </c>
      <c r="M854" s="29" t="str">
        <f>IFERROR(__xludf.DUMMYFUNCTION("IF(ISBLANK(B854),"""",IF(ISDATE(B854),TEXT(B854,""m""),""""))"),"")</f>
        <v/>
      </c>
      <c r="N854" s="29" t="str">
        <f>IFERROR(__xludf.DUMMYFUNCTION("IF(M854="""","""",QUERY({'Dashboard-Dados'!$Y$2:$AA$13},""Select Col2 Where Col1=""&amp;M854))"),"")</f>
        <v/>
      </c>
      <c r="O854" s="29" t="str">
        <f>IFERROR(__xludf.DUMMYFUNCTION("IF(ISBLANK(B854),"""",IF(ISDATE(B854),TEXT(B854,""yyyy""),""""))"),"")</f>
        <v/>
      </c>
    </row>
    <row r="855">
      <c r="B855" s="62"/>
      <c r="C855" s="56"/>
      <c r="D855" s="56"/>
      <c r="E855" s="56"/>
      <c r="F855" s="63"/>
      <c r="G855" s="64"/>
      <c r="H855" s="65"/>
      <c r="I855" s="63"/>
      <c r="K855" s="53" t="str">
        <f>IFERROR(__xludf.DUMMYFUNCTION("IF(ISBLANK(B855),"""",IF(ISDATE(B855),""X"",""""))"),"")</f>
        <v/>
      </c>
      <c r="L855" s="40" t="str">
        <f>IFERROR(__xludf.DUMMYFUNCTION("IF(ISBLANK(B855),"""",IF(Or(I855=""Em Aberto"",ISBLANK(I855),NOT(ISDATE(B855))),"""",H855))"),"")</f>
        <v/>
      </c>
      <c r="M855" s="29" t="str">
        <f>IFERROR(__xludf.DUMMYFUNCTION("IF(ISBLANK(B855),"""",IF(ISDATE(B855),TEXT(B855,""m""),""""))"),"")</f>
        <v/>
      </c>
      <c r="N855" s="29" t="str">
        <f>IFERROR(__xludf.DUMMYFUNCTION("IF(M855="""","""",QUERY({'Dashboard-Dados'!$Y$2:$AA$13},""Select Col2 Where Col1=""&amp;M855))"),"")</f>
        <v/>
      </c>
      <c r="O855" s="29" t="str">
        <f>IFERROR(__xludf.DUMMYFUNCTION("IF(ISBLANK(B855),"""",IF(ISDATE(B855),TEXT(B855,""yyyy""),""""))"),"")</f>
        <v/>
      </c>
    </row>
    <row r="856">
      <c r="B856" s="62"/>
      <c r="C856" s="56"/>
      <c r="D856" s="56"/>
      <c r="E856" s="56"/>
      <c r="F856" s="63"/>
      <c r="G856" s="64"/>
      <c r="H856" s="65"/>
      <c r="I856" s="63"/>
      <c r="K856" s="53" t="str">
        <f>IFERROR(__xludf.DUMMYFUNCTION("IF(ISBLANK(B856),"""",IF(ISDATE(B856),""X"",""""))"),"")</f>
        <v/>
      </c>
      <c r="L856" s="40" t="str">
        <f>IFERROR(__xludf.DUMMYFUNCTION("IF(ISBLANK(B856),"""",IF(Or(I856=""Em Aberto"",ISBLANK(I856),NOT(ISDATE(B856))),"""",H856))"),"")</f>
        <v/>
      </c>
      <c r="M856" s="29" t="str">
        <f>IFERROR(__xludf.DUMMYFUNCTION("IF(ISBLANK(B856),"""",IF(ISDATE(B856),TEXT(B856,""m""),""""))"),"")</f>
        <v/>
      </c>
      <c r="N856" s="29" t="str">
        <f>IFERROR(__xludf.DUMMYFUNCTION("IF(M856="""","""",QUERY({'Dashboard-Dados'!$Y$2:$AA$13},""Select Col2 Where Col1=""&amp;M856))"),"")</f>
        <v/>
      </c>
      <c r="O856" s="29" t="str">
        <f>IFERROR(__xludf.DUMMYFUNCTION("IF(ISBLANK(B856),"""",IF(ISDATE(B856),TEXT(B856,""yyyy""),""""))"),"")</f>
        <v/>
      </c>
    </row>
    <row r="857">
      <c r="B857" s="62"/>
      <c r="C857" s="56"/>
      <c r="D857" s="56"/>
      <c r="E857" s="56"/>
      <c r="F857" s="63"/>
      <c r="G857" s="64"/>
      <c r="H857" s="65"/>
      <c r="I857" s="63"/>
      <c r="K857" s="53" t="str">
        <f>IFERROR(__xludf.DUMMYFUNCTION("IF(ISBLANK(B857),"""",IF(ISDATE(B857),""X"",""""))"),"")</f>
        <v/>
      </c>
      <c r="L857" s="40" t="str">
        <f>IFERROR(__xludf.DUMMYFUNCTION("IF(ISBLANK(B857),"""",IF(Or(I857=""Em Aberto"",ISBLANK(I857),NOT(ISDATE(B857))),"""",H857))"),"")</f>
        <v/>
      </c>
      <c r="M857" s="29" t="str">
        <f>IFERROR(__xludf.DUMMYFUNCTION("IF(ISBLANK(B857),"""",IF(ISDATE(B857),TEXT(B857,""m""),""""))"),"")</f>
        <v/>
      </c>
      <c r="N857" s="29" t="str">
        <f>IFERROR(__xludf.DUMMYFUNCTION("IF(M857="""","""",QUERY({'Dashboard-Dados'!$Y$2:$AA$13},""Select Col2 Where Col1=""&amp;M857))"),"")</f>
        <v/>
      </c>
      <c r="O857" s="29" t="str">
        <f>IFERROR(__xludf.DUMMYFUNCTION("IF(ISBLANK(B857),"""",IF(ISDATE(B857),TEXT(B857,""yyyy""),""""))"),"")</f>
        <v/>
      </c>
    </row>
    <row r="858">
      <c r="B858" s="62"/>
      <c r="C858" s="56"/>
      <c r="D858" s="56"/>
      <c r="E858" s="56"/>
      <c r="F858" s="63"/>
      <c r="G858" s="64"/>
      <c r="H858" s="65"/>
      <c r="I858" s="63"/>
      <c r="K858" s="53" t="str">
        <f>IFERROR(__xludf.DUMMYFUNCTION("IF(ISBLANK(B858),"""",IF(ISDATE(B858),""X"",""""))"),"")</f>
        <v/>
      </c>
      <c r="L858" s="40" t="str">
        <f>IFERROR(__xludf.DUMMYFUNCTION("IF(ISBLANK(B858),"""",IF(Or(I858=""Em Aberto"",ISBLANK(I858),NOT(ISDATE(B858))),"""",H858))"),"")</f>
        <v/>
      </c>
      <c r="M858" s="29" t="str">
        <f>IFERROR(__xludf.DUMMYFUNCTION("IF(ISBLANK(B858),"""",IF(ISDATE(B858),TEXT(B858,""m""),""""))"),"")</f>
        <v/>
      </c>
      <c r="N858" s="29" t="str">
        <f>IFERROR(__xludf.DUMMYFUNCTION("IF(M858="""","""",QUERY({'Dashboard-Dados'!$Y$2:$AA$13},""Select Col2 Where Col1=""&amp;M858))"),"")</f>
        <v/>
      </c>
      <c r="O858" s="29" t="str">
        <f>IFERROR(__xludf.DUMMYFUNCTION("IF(ISBLANK(B858),"""",IF(ISDATE(B858),TEXT(B858,""yyyy""),""""))"),"")</f>
        <v/>
      </c>
    </row>
    <row r="859">
      <c r="B859" s="62"/>
      <c r="C859" s="56"/>
      <c r="D859" s="56"/>
      <c r="E859" s="56"/>
      <c r="F859" s="63"/>
      <c r="G859" s="64"/>
      <c r="H859" s="65"/>
      <c r="I859" s="63"/>
      <c r="K859" s="53" t="str">
        <f>IFERROR(__xludf.DUMMYFUNCTION("IF(ISBLANK(B859),"""",IF(ISDATE(B859),""X"",""""))"),"")</f>
        <v/>
      </c>
      <c r="L859" s="40" t="str">
        <f>IFERROR(__xludf.DUMMYFUNCTION("IF(ISBLANK(B859),"""",IF(Or(I859=""Em Aberto"",ISBLANK(I859),NOT(ISDATE(B859))),"""",H859))"),"")</f>
        <v/>
      </c>
      <c r="M859" s="29" t="str">
        <f>IFERROR(__xludf.DUMMYFUNCTION("IF(ISBLANK(B859),"""",IF(ISDATE(B859),TEXT(B859,""m""),""""))"),"")</f>
        <v/>
      </c>
      <c r="N859" s="29" t="str">
        <f>IFERROR(__xludf.DUMMYFUNCTION("IF(M859="""","""",QUERY({'Dashboard-Dados'!$Y$2:$AA$13},""Select Col2 Where Col1=""&amp;M859))"),"")</f>
        <v/>
      </c>
      <c r="O859" s="29" t="str">
        <f>IFERROR(__xludf.DUMMYFUNCTION("IF(ISBLANK(B859),"""",IF(ISDATE(B859),TEXT(B859,""yyyy""),""""))"),"")</f>
        <v/>
      </c>
    </row>
    <row r="860">
      <c r="B860" s="62"/>
      <c r="C860" s="56"/>
      <c r="D860" s="56"/>
      <c r="E860" s="56"/>
      <c r="F860" s="63"/>
      <c r="G860" s="64"/>
      <c r="H860" s="65"/>
      <c r="I860" s="63"/>
      <c r="K860" s="53" t="str">
        <f>IFERROR(__xludf.DUMMYFUNCTION("IF(ISBLANK(B860),"""",IF(ISDATE(B860),""X"",""""))"),"")</f>
        <v/>
      </c>
      <c r="L860" s="40" t="str">
        <f>IFERROR(__xludf.DUMMYFUNCTION("IF(ISBLANK(B860),"""",IF(Or(I860=""Em Aberto"",ISBLANK(I860),NOT(ISDATE(B860))),"""",H860))"),"")</f>
        <v/>
      </c>
      <c r="M860" s="29" t="str">
        <f>IFERROR(__xludf.DUMMYFUNCTION("IF(ISBLANK(B860),"""",IF(ISDATE(B860),TEXT(B860,""m""),""""))"),"")</f>
        <v/>
      </c>
      <c r="N860" s="29" t="str">
        <f>IFERROR(__xludf.DUMMYFUNCTION("IF(M860="""","""",QUERY({'Dashboard-Dados'!$Y$2:$AA$13},""Select Col2 Where Col1=""&amp;M860))"),"")</f>
        <v/>
      </c>
      <c r="O860" s="29" t="str">
        <f>IFERROR(__xludf.DUMMYFUNCTION("IF(ISBLANK(B860),"""",IF(ISDATE(B860),TEXT(B860,""yyyy""),""""))"),"")</f>
        <v/>
      </c>
    </row>
    <row r="861">
      <c r="B861" s="62"/>
      <c r="C861" s="56"/>
      <c r="D861" s="56"/>
      <c r="E861" s="56"/>
      <c r="F861" s="63"/>
      <c r="G861" s="64"/>
      <c r="H861" s="65"/>
      <c r="I861" s="63"/>
      <c r="K861" s="53" t="str">
        <f>IFERROR(__xludf.DUMMYFUNCTION("IF(ISBLANK(B861),"""",IF(ISDATE(B861),""X"",""""))"),"")</f>
        <v/>
      </c>
      <c r="L861" s="40" t="str">
        <f>IFERROR(__xludf.DUMMYFUNCTION("IF(ISBLANK(B861),"""",IF(Or(I861=""Em Aberto"",ISBLANK(I861),NOT(ISDATE(B861))),"""",H861))"),"")</f>
        <v/>
      </c>
      <c r="M861" s="29" t="str">
        <f>IFERROR(__xludf.DUMMYFUNCTION("IF(ISBLANK(B861),"""",IF(ISDATE(B861),TEXT(B861,""m""),""""))"),"")</f>
        <v/>
      </c>
      <c r="N861" s="29" t="str">
        <f>IFERROR(__xludf.DUMMYFUNCTION("IF(M861="""","""",QUERY({'Dashboard-Dados'!$Y$2:$AA$13},""Select Col2 Where Col1=""&amp;M861))"),"")</f>
        <v/>
      </c>
      <c r="O861" s="29" t="str">
        <f>IFERROR(__xludf.DUMMYFUNCTION("IF(ISBLANK(B861),"""",IF(ISDATE(B861),TEXT(B861,""yyyy""),""""))"),"")</f>
        <v/>
      </c>
    </row>
    <row r="862">
      <c r="B862" s="62"/>
      <c r="C862" s="56"/>
      <c r="D862" s="56"/>
      <c r="E862" s="56"/>
      <c r="F862" s="63"/>
      <c r="G862" s="64"/>
      <c r="H862" s="65"/>
      <c r="I862" s="63"/>
      <c r="K862" s="53" t="str">
        <f>IFERROR(__xludf.DUMMYFUNCTION("IF(ISBLANK(B862),"""",IF(ISDATE(B862),""X"",""""))"),"")</f>
        <v/>
      </c>
      <c r="L862" s="40" t="str">
        <f>IFERROR(__xludf.DUMMYFUNCTION("IF(ISBLANK(B862),"""",IF(Or(I862=""Em Aberto"",ISBLANK(I862),NOT(ISDATE(B862))),"""",H862))"),"")</f>
        <v/>
      </c>
      <c r="M862" s="29" t="str">
        <f>IFERROR(__xludf.DUMMYFUNCTION("IF(ISBLANK(B862),"""",IF(ISDATE(B862),TEXT(B862,""m""),""""))"),"")</f>
        <v/>
      </c>
      <c r="N862" s="29" t="str">
        <f>IFERROR(__xludf.DUMMYFUNCTION("IF(M862="""","""",QUERY({'Dashboard-Dados'!$Y$2:$AA$13},""Select Col2 Where Col1=""&amp;M862))"),"")</f>
        <v/>
      </c>
      <c r="O862" s="29" t="str">
        <f>IFERROR(__xludf.DUMMYFUNCTION("IF(ISBLANK(B862),"""",IF(ISDATE(B862),TEXT(B862,""yyyy""),""""))"),"")</f>
        <v/>
      </c>
    </row>
    <row r="863">
      <c r="B863" s="62"/>
      <c r="C863" s="56"/>
      <c r="D863" s="56"/>
      <c r="E863" s="56"/>
      <c r="F863" s="63"/>
      <c r="G863" s="64"/>
      <c r="H863" s="65"/>
      <c r="I863" s="63"/>
      <c r="K863" s="53" t="str">
        <f>IFERROR(__xludf.DUMMYFUNCTION("IF(ISBLANK(B863),"""",IF(ISDATE(B863),""X"",""""))"),"")</f>
        <v/>
      </c>
      <c r="L863" s="40" t="str">
        <f>IFERROR(__xludf.DUMMYFUNCTION("IF(ISBLANK(B863),"""",IF(Or(I863=""Em Aberto"",ISBLANK(I863),NOT(ISDATE(B863))),"""",H863))"),"")</f>
        <v/>
      </c>
      <c r="M863" s="29" t="str">
        <f>IFERROR(__xludf.DUMMYFUNCTION("IF(ISBLANK(B863),"""",IF(ISDATE(B863),TEXT(B863,""m""),""""))"),"")</f>
        <v/>
      </c>
      <c r="N863" s="29" t="str">
        <f>IFERROR(__xludf.DUMMYFUNCTION("IF(M863="""","""",QUERY({'Dashboard-Dados'!$Y$2:$AA$13},""Select Col2 Where Col1=""&amp;M863))"),"")</f>
        <v/>
      </c>
      <c r="O863" s="29" t="str">
        <f>IFERROR(__xludf.DUMMYFUNCTION("IF(ISBLANK(B863),"""",IF(ISDATE(B863),TEXT(B863,""yyyy""),""""))"),"")</f>
        <v/>
      </c>
    </row>
    <row r="864">
      <c r="B864" s="62"/>
      <c r="C864" s="56"/>
      <c r="D864" s="56"/>
      <c r="E864" s="56"/>
      <c r="F864" s="63"/>
      <c r="G864" s="64"/>
      <c r="H864" s="65"/>
      <c r="I864" s="63"/>
      <c r="K864" s="53" t="str">
        <f>IFERROR(__xludf.DUMMYFUNCTION("IF(ISBLANK(B864),"""",IF(ISDATE(B864),""X"",""""))"),"")</f>
        <v/>
      </c>
      <c r="L864" s="40" t="str">
        <f>IFERROR(__xludf.DUMMYFUNCTION("IF(ISBLANK(B864),"""",IF(Or(I864=""Em Aberto"",ISBLANK(I864),NOT(ISDATE(B864))),"""",H864))"),"")</f>
        <v/>
      </c>
      <c r="M864" s="29" t="str">
        <f>IFERROR(__xludf.DUMMYFUNCTION("IF(ISBLANK(B864),"""",IF(ISDATE(B864),TEXT(B864,""m""),""""))"),"")</f>
        <v/>
      </c>
      <c r="N864" s="29" t="str">
        <f>IFERROR(__xludf.DUMMYFUNCTION("IF(M864="""","""",QUERY({'Dashboard-Dados'!$Y$2:$AA$13},""Select Col2 Where Col1=""&amp;M864))"),"")</f>
        <v/>
      </c>
      <c r="O864" s="29" t="str">
        <f>IFERROR(__xludf.DUMMYFUNCTION("IF(ISBLANK(B864),"""",IF(ISDATE(B864),TEXT(B864,""yyyy""),""""))"),"")</f>
        <v/>
      </c>
    </row>
    <row r="865">
      <c r="B865" s="62"/>
      <c r="C865" s="56"/>
      <c r="D865" s="56"/>
      <c r="E865" s="56"/>
      <c r="F865" s="63"/>
      <c r="G865" s="64"/>
      <c r="H865" s="65"/>
      <c r="I865" s="63"/>
      <c r="K865" s="53" t="str">
        <f>IFERROR(__xludf.DUMMYFUNCTION("IF(ISBLANK(B865),"""",IF(ISDATE(B865),""X"",""""))"),"")</f>
        <v/>
      </c>
      <c r="L865" s="40" t="str">
        <f>IFERROR(__xludf.DUMMYFUNCTION("IF(ISBLANK(B865),"""",IF(Or(I865=""Em Aberto"",ISBLANK(I865),NOT(ISDATE(B865))),"""",H865))"),"")</f>
        <v/>
      </c>
      <c r="M865" s="29" t="str">
        <f>IFERROR(__xludf.DUMMYFUNCTION("IF(ISBLANK(B865),"""",IF(ISDATE(B865),TEXT(B865,""m""),""""))"),"")</f>
        <v/>
      </c>
      <c r="N865" s="29" t="str">
        <f>IFERROR(__xludf.DUMMYFUNCTION("IF(M865="""","""",QUERY({'Dashboard-Dados'!$Y$2:$AA$13},""Select Col2 Where Col1=""&amp;M865))"),"")</f>
        <v/>
      </c>
      <c r="O865" s="29" t="str">
        <f>IFERROR(__xludf.DUMMYFUNCTION("IF(ISBLANK(B865),"""",IF(ISDATE(B865),TEXT(B865,""yyyy""),""""))"),"")</f>
        <v/>
      </c>
    </row>
    <row r="866">
      <c r="B866" s="62"/>
      <c r="C866" s="56"/>
      <c r="D866" s="56"/>
      <c r="E866" s="56"/>
      <c r="F866" s="63"/>
      <c r="G866" s="64"/>
      <c r="H866" s="65"/>
      <c r="I866" s="63"/>
      <c r="K866" s="53" t="str">
        <f>IFERROR(__xludf.DUMMYFUNCTION("IF(ISBLANK(B866),"""",IF(ISDATE(B866),""X"",""""))"),"")</f>
        <v/>
      </c>
      <c r="L866" s="40" t="str">
        <f>IFERROR(__xludf.DUMMYFUNCTION("IF(ISBLANK(B866),"""",IF(Or(I866=""Em Aberto"",ISBLANK(I866),NOT(ISDATE(B866))),"""",H866))"),"")</f>
        <v/>
      </c>
      <c r="M866" s="29" t="str">
        <f>IFERROR(__xludf.DUMMYFUNCTION("IF(ISBLANK(B866),"""",IF(ISDATE(B866),TEXT(B866,""m""),""""))"),"")</f>
        <v/>
      </c>
      <c r="N866" s="29" t="str">
        <f>IFERROR(__xludf.DUMMYFUNCTION("IF(M866="""","""",QUERY({'Dashboard-Dados'!$Y$2:$AA$13},""Select Col2 Where Col1=""&amp;M866))"),"")</f>
        <v/>
      </c>
      <c r="O866" s="29" t="str">
        <f>IFERROR(__xludf.DUMMYFUNCTION("IF(ISBLANK(B866),"""",IF(ISDATE(B866),TEXT(B866,""yyyy""),""""))"),"")</f>
        <v/>
      </c>
    </row>
    <row r="867">
      <c r="B867" s="62"/>
      <c r="C867" s="56"/>
      <c r="D867" s="56"/>
      <c r="E867" s="56"/>
      <c r="F867" s="63"/>
      <c r="G867" s="64"/>
      <c r="H867" s="65"/>
      <c r="I867" s="63"/>
      <c r="K867" s="53" t="str">
        <f>IFERROR(__xludf.DUMMYFUNCTION("IF(ISBLANK(B867),"""",IF(ISDATE(B867),""X"",""""))"),"")</f>
        <v/>
      </c>
      <c r="L867" s="40" t="str">
        <f>IFERROR(__xludf.DUMMYFUNCTION("IF(ISBLANK(B867),"""",IF(Or(I867=""Em Aberto"",ISBLANK(I867),NOT(ISDATE(B867))),"""",H867))"),"")</f>
        <v/>
      </c>
      <c r="M867" s="29" t="str">
        <f>IFERROR(__xludf.DUMMYFUNCTION("IF(ISBLANK(B867),"""",IF(ISDATE(B867),TEXT(B867,""m""),""""))"),"")</f>
        <v/>
      </c>
      <c r="N867" s="29" t="str">
        <f>IFERROR(__xludf.DUMMYFUNCTION("IF(M867="""","""",QUERY({'Dashboard-Dados'!$Y$2:$AA$13},""Select Col2 Where Col1=""&amp;M867))"),"")</f>
        <v/>
      </c>
      <c r="O867" s="29" t="str">
        <f>IFERROR(__xludf.DUMMYFUNCTION("IF(ISBLANK(B867),"""",IF(ISDATE(B867),TEXT(B867,""yyyy""),""""))"),"")</f>
        <v/>
      </c>
    </row>
    <row r="868">
      <c r="B868" s="62"/>
      <c r="C868" s="56"/>
      <c r="D868" s="56"/>
      <c r="E868" s="56"/>
      <c r="F868" s="63"/>
      <c r="G868" s="64"/>
      <c r="H868" s="65"/>
      <c r="I868" s="63"/>
      <c r="K868" s="53" t="str">
        <f>IFERROR(__xludf.DUMMYFUNCTION("IF(ISBLANK(B868),"""",IF(ISDATE(B868),""X"",""""))"),"")</f>
        <v/>
      </c>
      <c r="L868" s="40" t="str">
        <f>IFERROR(__xludf.DUMMYFUNCTION("IF(ISBLANK(B868),"""",IF(Or(I868=""Em Aberto"",ISBLANK(I868),NOT(ISDATE(B868))),"""",H868))"),"")</f>
        <v/>
      </c>
      <c r="M868" s="29" t="str">
        <f>IFERROR(__xludf.DUMMYFUNCTION("IF(ISBLANK(B868),"""",IF(ISDATE(B868),TEXT(B868,""m""),""""))"),"")</f>
        <v/>
      </c>
      <c r="N868" s="29" t="str">
        <f>IFERROR(__xludf.DUMMYFUNCTION("IF(M868="""","""",QUERY({'Dashboard-Dados'!$Y$2:$AA$13},""Select Col2 Where Col1=""&amp;M868))"),"")</f>
        <v/>
      </c>
      <c r="O868" s="29" t="str">
        <f>IFERROR(__xludf.DUMMYFUNCTION("IF(ISBLANK(B868),"""",IF(ISDATE(B868),TEXT(B868,""yyyy""),""""))"),"")</f>
        <v/>
      </c>
    </row>
    <row r="869">
      <c r="B869" s="62"/>
      <c r="C869" s="56"/>
      <c r="D869" s="56"/>
      <c r="E869" s="56"/>
      <c r="F869" s="63"/>
      <c r="G869" s="64"/>
      <c r="H869" s="65"/>
      <c r="I869" s="63"/>
      <c r="K869" s="53" t="str">
        <f>IFERROR(__xludf.DUMMYFUNCTION("IF(ISBLANK(B869),"""",IF(ISDATE(B869),""X"",""""))"),"")</f>
        <v/>
      </c>
      <c r="L869" s="40" t="str">
        <f>IFERROR(__xludf.DUMMYFUNCTION("IF(ISBLANK(B869),"""",IF(Or(I869=""Em Aberto"",ISBLANK(I869),NOT(ISDATE(B869))),"""",H869))"),"")</f>
        <v/>
      </c>
      <c r="M869" s="29" t="str">
        <f>IFERROR(__xludf.DUMMYFUNCTION("IF(ISBLANK(B869),"""",IF(ISDATE(B869),TEXT(B869,""m""),""""))"),"")</f>
        <v/>
      </c>
      <c r="N869" s="29" t="str">
        <f>IFERROR(__xludf.DUMMYFUNCTION("IF(M869="""","""",QUERY({'Dashboard-Dados'!$Y$2:$AA$13},""Select Col2 Where Col1=""&amp;M869))"),"")</f>
        <v/>
      </c>
      <c r="O869" s="29" t="str">
        <f>IFERROR(__xludf.DUMMYFUNCTION("IF(ISBLANK(B869),"""",IF(ISDATE(B869),TEXT(B869,""yyyy""),""""))"),"")</f>
        <v/>
      </c>
    </row>
    <row r="870">
      <c r="B870" s="62"/>
      <c r="C870" s="56"/>
      <c r="D870" s="56"/>
      <c r="E870" s="56"/>
      <c r="F870" s="63"/>
      <c r="G870" s="64"/>
      <c r="H870" s="65"/>
      <c r="I870" s="63"/>
      <c r="K870" s="53" t="str">
        <f>IFERROR(__xludf.DUMMYFUNCTION("IF(ISBLANK(B870),"""",IF(ISDATE(B870),""X"",""""))"),"")</f>
        <v/>
      </c>
      <c r="L870" s="40" t="str">
        <f>IFERROR(__xludf.DUMMYFUNCTION("IF(ISBLANK(B870),"""",IF(Or(I870=""Em Aberto"",ISBLANK(I870),NOT(ISDATE(B870))),"""",H870))"),"")</f>
        <v/>
      </c>
      <c r="M870" s="29" t="str">
        <f>IFERROR(__xludf.DUMMYFUNCTION("IF(ISBLANK(B870),"""",IF(ISDATE(B870),TEXT(B870,""m""),""""))"),"")</f>
        <v/>
      </c>
      <c r="N870" s="29" t="str">
        <f>IFERROR(__xludf.DUMMYFUNCTION("IF(M870="""","""",QUERY({'Dashboard-Dados'!$Y$2:$AA$13},""Select Col2 Where Col1=""&amp;M870))"),"")</f>
        <v/>
      </c>
      <c r="O870" s="29" t="str">
        <f>IFERROR(__xludf.DUMMYFUNCTION("IF(ISBLANK(B870),"""",IF(ISDATE(B870),TEXT(B870,""yyyy""),""""))"),"")</f>
        <v/>
      </c>
    </row>
    <row r="871">
      <c r="B871" s="62"/>
      <c r="C871" s="56"/>
      <c r="D871" s="56"/>
      <c r="E871" s="56"/>
      <c r="F871" s="63"/>
      <c r="G871" s="64"/>
      <c r="H871" s="65"/>
      <c r="I871" s="63"/>
      <c r="K871" s="53" t="str">
        <f>IFERROR(__xludf.DUMMYFUNCTION("IF(ISBLANK(B871),"""",IF(ISDATE(B871),""X"",""""))"),"")</f>
        <v/>
      </c>
      <c r="L871" s="40" t="str">
        <f>IFERROR(__xludf.DUMMYFUNCTION("IF(ISBLANK(B871),"""",IF(Or(I871=""Em Aberto"",ISBLANK(I871),NOT(ISDATE(B871))),"""",H871))"),"")</f>
        <v/>
      </c>
      <c r="M871" s="29" t="str">
        <f>IFERROR(__xludf.DUMMYFUNCTION("IF(ISBLANK(B871),"""",IF(ISDATE(B871),TEXT(B871,""m""),""""))"),"")</f>
        <v/>
      </c>
      <c r="N871" s="29" t="str">
        <f>IFERROR(__xludf.DUMMYFUNCTION("IF(M871="""","""",QUERY({'Dashboard-Dados'!$Y$2:$AA$13},""Select Col2 Where Col1=""&amp;M871))"),"")</f>
        <v/>
      </c>
      <c r="O871" s="29" t="str">
        <f>IFERROR(__xludf.DUMMYFUNCTION("IF(ISBLANK(B871),"""",IF(ISDATE(B871),TEXT(B871,""yyyy""),""""))"),"")</f>
        <v/>
      </c>
    </row>
    <row r="872">
      <c r="B872" s="62"/>
      <c r="C872" s="56"/>
      <c r="D872" s="56"/>
      <c r="E872" s="56"/>
      <c r="F872" s="63"/>
      <c r="G872" s="64"/>
      <c r="H872" s="65"/>
      <c r="I872" s="63"/>
      <c r="K872" s="53" t="str">
        <f>IFERROR(__xludf.DUMMYFUNCTION("IF(ISBLANK(B872),"""",IF(ISDATE(B872),""X"",""""))"),"")</f>
        <v/>
      </c>
      <c r="L872" s="40" t="str">
        <f>IFERROR(__xludf.DUMMYFUNCTION("IF(ISBLANK(B872),"""",IF(Or(I872=""Em Aberto"",ISBLANK(I872),NOT(ISDATE(B872))),"""",H872))"),"")</f>
        <v/>
      </c>
      <c r="M872" s="29" t="str">
        <f>IFERROR(__xludf.DUMMYFUNCTION("IF(ISBLANK(B872),"""",IF(ISDATE(B872),TEXT(B872,""m""),""""))"),"")</f>
        <v/>
      </c>
      <c r="N872" s="29" t="str">
        <f>IFERROR(__xludf.DUMMYFUNCTION("IF(M872="""","""",QUERY({'Dashboard-Dados'!$Y$2:$AA$13},""Select Col2 Where Col1=""&amp;M872))"),"")</f>
        <v/>
      </c>
      <c r="O872" s="29" t="str">
        <f>IFERROR(__xludf.DUMMYFUNCTION("IF(ISBLANK(B872),"""",IF(ISDATE(B872),TEXT(B872,""yyyy""),""""))"),"")</f>
        <v/>
      </c>
    </row>
    <row r="873">
      <c r="B873" s="62"/>
      <c r="C873" s="56"/>
      <c r="D873" s="56"/>
      <c r="E873" s="56"/>
      <c r="F873" s="63"/>
      <c r="G873" s="64"/>
      <c r="H873" s="65"/>
      <c r="I873" s="63"/>
      <c r="K873" s="53" t="str">
        <f>IFERROR(__xludf.DUMMYFUNCTION("IF(ISBLANK(B873),"""",IF(ISDATE(B873),""X"",""""))"),"")</f>
        <v/>
      </c>
      <c r="L873" s="40" t="str">
        <f>IFERROR(__xludf.DUMMYFUNCTION("IF(ISBLANK(B873),"""",IF(Or(I873=""Em Aberto"",ISBLANK(I873),NOT(ISDATE(B873))),"""",H873))"),"")</f>
        <v/>
      </c>
      <c r="M873" s="29" t="str">
        <f>IFERROR(__xludf.DUMMYFUNCTION("IF(ISBLANK(B873),"""",IF(ISDATE(B873),TEXT(B873,""m""),""""))"),"")</f>
        <v/>
      </c>
      <c r="N873" s="29" t="str">
        <f>IFERROR(__xludf.DUMMYFUNCTION("IF(M873="""","""",QUERY({'Dashboard-Dados'!$Y$2:$AA$13},""Select Col2 Where Col1=""&amp;M873))"),"")</f>
        <v/>
      </c>
      <c r="O873" s="29" t="str">
        <f>IFERROR(__xludf.DUMMYFUNCTION("IF(ISBLANK(B873),"""",IF(ISDATE(B873),TEXT(B873,""yyyy""),""""))"),"")</f>
        <v/>
      </c>
    </row>
    <row r="874">
      <c r="B874" s="62"/>
      <c r="C874" s="56"/>
      <c r="D874" s="56"/>
      <c r="E874" s="56"/>
      <c r="F874" s="63"/>
      <c r="G874" s="64"/>
      <c r="H874" s="65"/>
      <c r="I874" s="63"/>
      <c r="K874" s="53" t="str">
        <f>IFERROR(__xludf.DUMMYFUNCTION("IF(ISBLANK(B874),"""",IF(ISDATE(B874),""X"",""""))"),"")</f>
        <v/>
      </c>
      <c r="L874" s="40" t="str">
        <f>IFERROR(__xludf.DUMMYFUNCTION("IF(ISBLANK(B874),"""",IF(Or(I874=""Em Aberto"",ISBLANK(I874),NOT(ISDATE(B874))),"""",H874))"),"")</f>
        <v/>
      </c>
      <c r="M874" s="29" t="str">
        <f>IFERROR(__xludf.DUMMYFUNCTION("IF(ISBLANK(B874),"""",IF(ISDATE(B874),TEXT(B874,""m""),""""))"),"")</f>
        <v/>
      </c>
      <c r="N874" s="29" t="str">
        <f>IFERROR(__xludf.DUMMYFUNCTION("IF(M874="""","""",QUERY({'Dashboard-Dados'!$Y$2:$AA$13},""Select Col2 Where Col1=""&amp;M874))"),"")</f>
        <v/>
      </c>
      <c r="O874" s="29" t="str">
        <f>IFERROR(__xludf.DUMMYFUNCTION("IF(ISBLANK(B874),"""",IF(ISDATE(B874),TEXT(B874,""yyyy""),""""))"),"")</f>
        <v/>
      </c>
    </row>
    <row r="875">
      <c r="B875" s="62"/>
      <c r="C875" s="56"/>
      <c r="D875" s="56"/>
      <c r="E875" s="56"/>
      <c r="F875" s="63"/>
      <c r="G875" s="64"/>
      <c r="H875" s="65"/>
      <c r="I875" s="63"/>
      <c r="K875" s="53" t="str">
        <f>IFERROR(__xludf.DUMMYFUNCTION("IF(ISBLANK(B875),"""",IF(ISDATE(B875),""X"",""""))"),"")</f>
        <v/>
      </c>
      <c r="L875" s="40" t="str">
        <f>IFERROR(__xludf.DUMMYFUNCTION("IF(ISBLANK(B875),"""",IF(Or(I875=""Em Aberto"",ISBLANK(I875),NOT(ISDATE(B875))),"""",H875))"),"")</f>
        <v/>
      </c>
      <c r="M875" s="29" t="str">
        <f>IFERROR(__xludf.DUMMYFUNCTION("IF(ISBLANK(B875),"""",IF(ISDATE(B875),TEXT(B875,""m""),""""))"),"")</f>
        <v/>
      </c>
      <c r="N875" s="29" t="str">
        <f>IFERROR(__xludf.DUMMYFUNCTION("IF(M875="""","""",QUERY({'Dashboard-Dados'!$Y$2:$AA$13},""Select Col2 Where Col1=""&amp;M875))"),"")</f>
        <v/>
      </c>
      <c r="O875" s="29" t="str">
        <f>IFERROR(__xludf.DUMMYFUNCTION("IF(ISBLANK(B875),"""",IF(ISDATE(B875),TEXT(B875,""yyyy""),""""))"),"")</f>
        <v/>
      </c>
    </row>
    <row r="876">
      <c r="B876" s="62"/>
      <c r="C876" s="56"/>
      <c r="D876" s="56"/>
      <c r="E876" s="56"/>
      <c r="F876" s="63"/>
      <c r="G876" s="64"/>
      <c r="H876" s="65"/>
      <c r="I876" s="63"/>
      <c r="K876" s="53" t="str">
        <f>IFERROR(__xludf.DUMMYFUNCTION("IF(ISBLANK(B876),"""",IF(ISDATE(B876),""X"",""""))"),"")</f>
        <v/>
      </c>
      <c r="L876" s="40" t="str">
        <f>IFERROR(__xludf.DUMMYFUNCTION("IF(ISBLANK(B876),"""",IF(Or(I876=""Em Aberto"",ISBLANK(I876),NOT(ISDATE(B876))),"""",H876))"),"")</f>
        <v/>
      </c>
      <c r="M876" s="29" t="str">
        <f>IFERROR(__xludf.DUMMYFUNCTION("IF(ISBLANK(B876),"""",IF(ISDATE(B876),TEXT(B876,""m""),""""))"),"")</f>
        <v/>
      </c>
      <c r="N876" s="29" t="str">
        <f>IFERROR(__xludf.DUMMYFUNCTION("IF(M876="""","""",QUERY({'Dashboard-Dados'!$Y$2:$AA$13},""Select Col2 Where Col1=""&amp;M876))"),"")</f>
        <v/>
      </c>
      <c r="O876" s="29" t="str">
        <f>IFERROR(__xludf.DUMMYFUNCTION("IF(ISBLANK(B876),"""",IF(ISDATE(B876),TEXT(B876,""yyyy""),""""))"),"")</f>
        <v/>
      </c>
    </row>
    <row r="877">
      <c r="B877" s="62"/>
      <c r="C877" s="56"/>
      <c r="D877" s="56"/>
      <c r="E877" s="56"/>
      <c r="F877" s="63"/>
      <c r="G877" s="64"/>
      <c r="H877" s="65"/>
      <c r="I877" s="63"/>
      <c r="K877" s="53" t="str">
        <f>IFERROR(__xludf.DUMMYFUNCTION("IF(ISBLANK(B877),"""",IF(ISDATE(B877),""X"",""""))"),"")</f>
        <v/>
      </c>
      <c r="L877" s="40" t="str">
        <f>IFERROR(__xludf.DUMMYFUNCTION("IF(ISBLANK(B877),"""",IF(Or(I877=""Em Aberto"",ISBLANK(I877),NOT(ISDATE(B877))),"""",H877))"),"")</f>
        <v/>
      </c>
      <c r="M877" s="29" t="str">
        <f>IFERROR(__xludf.DUMMYFUNCTION("IF(ISBLANK(B877),"""",IF(ISDATE(B877),TEXT(B877,""m""),""""))"),"")</f>
        <v/>
      </c>
      <c r="N877" s="29" t="str">
        <f>IFERROR(__xludf.DUMMYFUNCTION("IF(M877="""","""",QUERY({'Dashboard-Dados'!$Y$2:$AA$13},""Select Col2 Where Col1=""&amp;M877))"),"")</f>
        <v/>
      </c>
      <c r="O877" s="29" t="str">
        <f>IFERROR(__xludf.DUMMYFUNCTION("IF(ISBLANK(B877),"""",IF(ISDATE(B877),TEXT(B877,""yyyy""),""""))"),"")</f>
        <v/>
      </c>
    </row>
    <row r="878">
      <c r="B878" s="62"/>
      <c r="C878" s="56"/>
      <c r="D878" s="56"/>
      <c r="E878" s="56"/>
      <c r="F878" s="63"/>
      <c r="G878" s="64"/>
      <c r="H878" s="65"/>
      <c r="I878" s="63"/>
      <c r="K878" s="53" t="str">
        <f>IFERROR(__xludf.DUMMYFUNCTION("IF(ISBLANK(B878),"""",IF(ISDATE(B878),""X"",""""))"),"")</f>
        <v/>
      </c>
      <c r="L878" s="40" t="str">
        <f>IFERROR(__xludf.DUMMYFUNCTION("IF(ISBLANK(B878),"""",IF(Or(I878=""Em Aberto"",ISBLANK(I878),NOT(ISDATE(B878))),"""",H878))"),"")</f>
        <v/>
      </c>
      <c r="M878" s="29" t="str">
        <f>IFERROR(__xludf.DUMMYFUNCTION("IF(ISBLANK(B878),"""",IF(ISDATE(B878),TEXT(B878,""m""),""""))"),"")</f>
        <v/>
      </c>
      <c r="N878" s="29" t="str">
        <f>IFERROR(__xludf.DUMMYFUNCTION("IF(M878="""","""",QUERY({'Dashboard-Dados'!$Y$2:$AA$13},""Select Col2 Where Col1=""&amp;M878))"),"")</f>
        <v/>
      </c>
      <c r="O878" s="29" t="str">
        <f>IFERROR(__xludf.DUMMYFUNCTION("IF(ISBLANK(B878),"""",IF(ISDATE(B878),TEXT(B878,""yyyy""),""""))"),"")</f>
        <v/>
      </c>
    </row>
    <row r="879">
      <c r="B879" s="62"/>
      <c r="C879" s="56"/>
      <c r="D879" s="56"/>
      <c r="E879" s="56"/>
      <c r="F879" s="63"/>
      <c r="G879" s="64"/>
      <c r="H879" s="65"/>
      <c r="I879" s="63"/>
      <c r="K879" s="53" t="str">
        <f>IFERROR(__xludf.DUMMYFUNCTION("IF(ISBLANK(B879),"""",IF(ISDATE(B879),""X"",""""))"),"")</f>
        <v/>
      </c>
      <c r="L879" s="40" t="str">
        <f>IFERROR(__xludf.DUMMYFUNCTION("IF(ISBLANK(B879),"""",IF(Or(I879=""Em Aberto"",ISBLANK(I879),NOT(ISDATE(B879))),"""",H879))"),"")</f>
        <v/>
      </c>
      <c r="M879" s="29" t="str">
        <f>IFERROR(__xludf.DUMMYFUNCTION("IF(ISBLANK(B879),"""",IF(ISDATE(B879),TEXT(B879,""m""),""""))"),"")</f>
        <v/>
      </c>
      <c r="N879" s="29" t="str">
        <f>IFERROR(__xludf.DUMMYFUNCTION("IF(M879="""","""",QUERY({'Dashboard-Dados'!$Y$2:$AA$13},""Select Col2 Where Col1=""&amp;M879))"),"")</f>
        <v/>
      </c>
      <c r="O879" s="29" t="str">
        <f>IFERROR(__xludf.DUMMYFUNCTION("IF(ISBLANK(B879),"""",IF(ISDATE(B879),TEXT(B879,""yyyy""),""""))"),"")</f>
        <v/>
      </c>
    </row>
    <row r="880">
      <c r="B880" s="62"/>
      <c r="C880" s="56"/>
      <c r="D880" s="56"/>
      <c r="E880" s="56"/>
      <c r="F880" s="63"/>
      <c r="G880" s="64"/>
      <c r="H880" s="65"/>
      <c r="I880" s="63"/>
      <c r="K880" s="53" t="str">
        <f>IFERROR(__xludf.DUMMYFUNCTION("IF(ISBLANK(B880),"""",IF(ISDATE(B880),""X"",""""))"),"")</f>
        <v/>
      </c>
      <c r="L880" s="40" t="str">
        <f>IFERROR(__xludf.DUMMYFUNCTION("IF(ISBLANK(B880),"""",IF(Or(I880=""Em Aberto"",ISBLANK(I880),NOT(ISDATE(B880))),"""",H880))"),"")</f>
        <v/>
      </c>
      <c r="M880" s="29" t="str">
        <f>IFERROR(__xludf.DUMMYFUNCTION("IF(ISBLANK(B880),"""",IF(ISDATE(B880),TEXT(B880,""m""),""""))"),"")</f>
        <v/>
      </c>
      <c r="N880" s="29" t="str">
        <f>IFERROR(__xludf.DUMMYFUNCTION("IF(M880="""","""",QUERY({'Dashboard-Dados'!$Y$2:$AA$13},""Select Col2 Where Col1=""&amp;M880))"),"")</f>
        <v/>
      </c>
      <c r="O880" s="29" t="str">
        <f>IFERROR(__xludf.DUMMYFUNCTION("IF(ISBLANK(B880),"""",IF(ISDATE(B880),TEXT(B880,""yyyy""),""""))"),"")</f>
        <v/>
      </c>
    </row>
    <row r="881">
      <c r="B881" s="62"/>
      <c r="C881" s="56"/>
      <c r="D881" s="56"/>
      <c r="E881" s="56"/>
      <c r="F881" s="63"/>
      <c r="G881" s="64"/>
      <c r="H881" s="65"/>
      <c r="I881" s="63"/>
      <c r="K881" s="53" t="str">
        <f>IFERROR(__xludf.DUMMYFUNCTION("IF(ISBLANK(B881),"""",IF(ISDATE(B881),""X"",""""))"),"")</f>
        <v/>
      </c>
      <c r="L881" s="40" t="str">
        <f>IFERROR(__xludf.DUMMYFUNCTION("IF(ISBLANK(B881),"""",IF(Or(I881=""Em Aberto"",ISBLANK(I881),NOT(ISDATE(B881))),"""",H881))"),"")</f>
        <v/>
      </c>
      <c r="M881" s="29" t="str">
        <f>IFERROR(__xludf.DUMMYFUNCTION("IF(ISBLANK(B881),"""",IF(ISDATE(B881),TEXT(B881,""m""),""""))"),"")</f>
        <v/>
      </c>
      <c r="N881" s="29" t="str">
        <f>IFERROR(__xludf.DUMMYFUNCTION("IF(M881="""","""",QUERY({'Dashboard-Dados'!$Y$2:$AA$13},""Select Col2 Where Col1=""&amp;M881))"),"")</f>
        <v/>
      </c>
      <c r="O881" s="29" t="str">
        <f>IFERROR(__xludf.DUMMYFUNCTION("IF(ISBLANK(B881),"""",IF(ISDATE(B881),TEXT(B881,""yyyy""),""""))"),"")</f>
        <v/>
      </c>
    </row>
    <row r="882">
      <c r="B882" s="62"/>
      <c r="C882" s="56"/>
      <c r="D882" s="56"/>
      <c r="E882" s="56"/>
      <c r="F882" s="63"/>
      <c r="G882" s="64"/>
      <c r="H882" s="65"/>
      <c r="I882" s="63"/>
      <c r="K882" s="53" t="str">
        <f>IFERROR(__xludf.DUMMYFUNCTION("IF(ISBLANK(B882),"""",IF(ISDATE(B882),""X"",""""))"),"")</f>
        <v/>
      </c>
      <c r="L882" s="40" t="str">
        <f>IFERROR(__xludf.DUMMYFUNCTION("IF(ISBLANK(B882),"""",IF(Or(I882=""Em Aberto"",ISBLANK(I882),NOT(ISDATE(B882))),"""",H882))"),"")</f>
        <v/>
      </c>
      <c r="M882" s="29" t="str">
        <f>IFERROR(__xludf.DUMMYFUNCTION("IF(ISBLANK(B882),"""",IF(ISDATE(B882),TEXT(B882,""m""),""""))"),"")</f>
        <v/>
      </c>
      <c r="N882" s="29" t="str">
        <f>IFERROR(__xludf.DUMMYFUNCTION("IF(M882="""","""",QUERY({'Dashboard-Dados'!$Y$2:$AA$13},""Select Col2 Where Col1=""&amp;M882))"),"")</f>
        <v/>
      </c>
      <c r="O882" s="29" t="str">
        <f>IFERROR(__xludf.DUMMYFUNCTION("IF(ISBLANK(B882),"""",IF(ISDATE(B882),TEXT(B882,""yyyy""),""""))"),"")</f>
        <v/>
      </c>
    </row>
    <row r="883">
      <c r="B883" s="62"/>
      <c r="C883" s="56"/>
      <c r="D883" s="56"/>
      <c r="E883" s="56"/>
      <c r="F883" s="63"/>
      <c r="G883" s="64"/>
      <c r="H883" s="65"/>
      <c r="I883" s="63"/>
      <c r="K883" s="53" t="str">
        <f>IFERROR(__xludf.DUMMYFUNCTION("IF(ISBLANK(B883),"""",IF(ISDATE(B883),""X"",""""))"),"")</f>
        <v/>
      </c>
      <c r="L883" s="40" t="str">
        <f>IFERROR(__xludf.DUMMYFUNCTION("IF(ISBLANK(B883),"""",IF(Or(I883=""Em Aberto"",ISBLANK(I883),NOT(ISDATE(B883))),"""",H883))"),"")</f>
        <v/>
      </c>
      <c r="M883" s="29" t="str">
        <f>IFERROR(__xludf.DUMMYFUNCTION("IF(ISBLANK(B883),"""",IF(ISDATE(B883),TEXT(B883,""m""),""""))"),"")</f>
        <v/>
      </c>
      <c r="N883" s="29" t="str">
        <f>IFERROR(__xludf.DUMMYFUNCTION("IF(M883="""","""",QUERY({'Dashboard-Dados'!$Y$2:$AA$13},""Select Col2 Where Col1=""&amp;M883))"),"")</f>
        <v/>
      </c>
      <c r="O883" s="29" t="str">
        <f>IFERROR(__xludf.DUMMYFUNCTION("IF(ISBLANK(B883),"""",IF(ISDATE(B883),TEXT(B883,""yyyy""),""""))"),"")</f>
        <v/>
      </c>
    </row>
    <row r="884">
      <c r="B884" s="62"/>
      <c r="C884" s="56"/>
      <c r="D884" s="56"/>
      <c r="E884" s="56"/>
      <c r="F884" s="63"/>
      <c r="G884" s="64"/>
      <c r="H884" s="65"/>
      <c r="I884" s="63"/>
      <c r="K884" s="53" t="str">
        <f>IFERROR(__xludf.DUMMYFUNCTION("IF(ISBLANK(B884),"""",IF(ISDATE(B884),""X"",""""))"),"")</f>
        <v/>
      </c>
      <c r="L884" s="40" t="str">
        <f>IFERROR(__xludf.DUMMYFUNCTION("IF(ISBLANK(B884),"""",IF(Or(I884=""Em Aberto"",ISBLANK(I884),NOT(ISDATE(B884))),"""",H884))"),"")</f>
        <v/>
      </c>
      <c r="M884" s="29" t="str">
        <f>IFERROR(__xludf.DUMMYFUNCTION("IF(ISBLANK(B884),"""",IF(ISDATE(B884),TEXT(B884,""m""),""""))"),"")</f>
        <v/>
      </c>
      <c r="N884" s="29" t="str">
        <f>IFERROR(__xludf.DUMMYFUNCTION("IF(M884="""","""",QUERY({'Dashboard-Dados'!$Y$2:$AA$13},""Select Col2 Where Col1=""&amp;M884))"),"")</f>
        <v/>
      </c>
      <c r="O884" s="29" t="str">
        <f>IFERROR(__xludf.DUMMYFUNCTION("IF(ISBLANK(B884),"""",IF(ISDATE(B884),TEXT(B884,""yyyy""),""""))"),"")</f>
        <v/>
      </c>
    </row>
    <row r="885">
      <c r="B885" s="62"/>
      <c r="C885" s="56"/>
      <c r="D885" s="56"/>
      <c r="E885" s="56"/>
      <c r="F885" s="63"/>
      <c r="G885" s="64"/>
      <c r="H885" s="65"/>
      <c r="I885" s="63"/>
      <c r="K885" s="53" t="str">
        <f>IFERROR(__xludf.DUMMYFUNCTION("IF(ISBLANK(B885),"""",IF(ISDATE(B885),""X"",""""))"),"")</f>
        <v/>
      </c>
      <c r="L885" s="40" t="str">
        <f>IFERROR(__xludf.DUMMYFUNCTION("IF(ISBLANK(B885),"""",IF(Or(I885=""Em Aberto"",ISBLANK(I885),NOT(ISDATE(B885))),"""",H885))"),"")</f>
        <v/>
      </c>
      <c r="M885" s="29" t="str">
        <f>IFERROR(__xludf.DUMMYFUNCTION("IF(ISBLANK(B885),"""",IF(ISDATE(B885),TEXT(B885,""m""),""""))"),"")</f>
        <v/>
      </c>
      <c r="N885" s="29" t="str">
        <f>IFERROR(__xludf.DUMMYFUNCTION("IF(M885="""","""",QUERY({'Dashboard-Dados'!$Y$2:$AA$13},""Select Col2 Where Col1=""&amp;M885))"),"")</f>
        <v/>
      </c>
      <c r="O885" s="29" t="str">
        <f>IFERROR(__xludf.DUMMYFUNCTION("IF(ISBLANK(B885),"""",IF(ISDATE(B885),TEXT(B885,""yyyy""),""""))"),"")</f>
        <v/>
      </c>
    </row>
    <row r="886">
      <c r="B886" s="62"/>
      <c r="C886" s="56"/>
      <c r="D886" s="56"/>
      <c r="E886" s="56"/>
      <c r="F886" s="63"/>
      <c r="G886" s="64"/>
      <c r="H886" s="65"/>
      <c r="I886" s="63"/>
      <c r="K886" s="53" t="str">
        <f>IFERROR(__xludf.DUMMYFUNCTION("IF(ISBLANK(B886),"""",IF(ISDATE(B886),""X"",""""))"),"")</f>
        <v/>
      </c>
      <c r="L886" s="40" t="str">
        <f>IFERROR(__xludf.DUMMYFUNCTION("IF(ISBLANK(B886),"""",IF(Or(I886=""Em Aberto"",ISBLANK(I886),NOT(ISDATE(B886))),"""",H886))"),"")</f>
        <v/>
      </c>
      <c r="M886" s="29" t="str">
        <f>IFERROR(__xludf.DUMMYFUNCTION("IF(ISBLANK(B886),"""",IF(ISDATE(B886),TEXT(B886,""m""),""""))"),"")</f>
        <v/>
      </c>
      <c r="N886" s="29" t="str">
        <f>IFERROR(__xludf.DUMMYFUNCTION("IF(M886="""","""",QUERY({'Dashboard-Dados'!$Y$2:$AA$13},""Select Col2 Where Col1=""&amp;M886))"),"")</f>
        <v/>
      </c>
      <c r="O886" s="29" t="str">
        <f>IFERROR(__xludf.DUMMYFUNCTION("IF(ISBLANK(B886),"""",IF(ISDATE(B886),TEXT(B886,""yyyy""),""""))"),"")</f>
        <v/>
      </c>
    </row>
    <row r="887">
      <c r="B887" s="62"/>
      <c r="C887" s="56"/>
      <c r="D887" s="56"/>
      <c r="E887" s="56"/>
      <c r="F887" s="63"/>
      <c r="G887" s="64"/>
      <c r="H887" s="65"/>
      <c r="I887" s="63"/>
      <c r="K887" s="53" t="str">
        <f>IFERROR(__xludf.DUMMYFUNCTION("IF(ISBLANK(B887),"""",IF(ISDATE(B887),""X"",""""))"),"")</f>
        <v/>
      </c>
      <c r="L887" s="40" t="str">
        <f>IFERROR(__xludf.DUMMYFUNCTION("IF(ISBLANK(B887),"""",IF(Or(I887=""Em Aberto"",ISBLANK(I887),NOT(ISDATE(B887))),"""",H887))"),"")</f>
        <v/>
      </c>
      <c r="M887" s="29" t="str">
        <f>IFERROR(__xludf.DUMMYFUNCTION("IF(ISBLANK(B887),"""",IF(ISDATE(B887),TEXT(B887,""m""),""""))"),"")</f>
        <v/>
      </c>
      <c r="N887" s="29" t="str">
        <f>IFERROR(__xludf.DUMMYFUNCTION("IF(M887="""","""",QUERY({'Dashboard-Dados'!$Y$2:$AA$13},""Select Col2 Where Col1=""&amp;M887))"),"")</f>
        <v/>
      </c>
      <c r="O887" s="29" t="str">
        <f>IFERROR(__xludf.DUMMYFUNCTION("IF(ISBLANK(B887),"""",IF(ISDATE(B887),TEXT(B887,""yyyy""),""""))"),"")</f>
        <v/>
      </c>
    </row>
    <row r="888">
      <c r="B888" s="62"/>
      <c r="C888" s="56"/>
      <c r="D888" s="56"/>
      <c r="E888" s="56"/>
      <c r="F888" s="63"/>
      <c r="G888" s="64"/>
      <c r="H888" s="65"/>
      <c r="I888" s="63"/>
      <c r="K888" s="53" t="str">
        <f>IFERROR(__xludf.DUMMYFUNCTION("IF(ISBLANK(B888),"""",IF(ISDATE(B888),""X"",""""))"),"")</f>
        <v/>
      </c>
      <c r="L888" s="40" t="str">
        <f>IFERROR(__xludf.DUMMYFUNCTION("IF(ISBLANK(B888),"""",IF(Or(I888=""Em Aberto"",ISBLANK(I888),NOT(ISDATE(B888))),"""",H888))"),"")</f>
        <v/>
      </c>
      <c r="M888" s="29" t="str">
        <f>IFERROR(__xludf.DUMMYFUNCTION("IF(ISBLANK(B888),"""",IF(ISDATE(B888),TEXT(B888,""m""),""""))"),"")</f>
        <v/>
      </c>
      <c r="N888" s="29" t="str">
        <f>IFERROR(__xludf.DUMMYFUNCTION("IF(M888="""","""",QUERY({'Dashboard-Dados'!$Y$2:$AA$13},""Select Col2 Where Col1=""&amp;M888))"),"")</f>
        <v/>
      </c>
      <c r="O888" s="29" t="str">
        <f>IFERROR(__xludf.DUMMYFUNCTION("IF(ISBLANK(B888),"""",IF(ISDATE(B888),TEXT(B888,""yyyy""),""""))"),"")</f>
        <v/>
      </c>
    </row>
    <row r="889">
      <c r="B889" s="62"/>
      <c r="C889" s="56"/>
      <c r="D889" s="56"/>
      <c r="E889" s="56"/>
      <c r="F889" s="63"/>
      <c r="G889" s="64"/>
      <c r="H889" s="65"/>
      <c r="I889" s="63"/>
      <c r="K889" s="53" t="str">
        <f>IFERROR(__xludf.DUMMYFUNCTION("IF(ISBLANK(B889),"""",IF(ISDATE(B889),""X"",""""))"),"")</f>
        <v/>
      </c>
      <c r="L889" s="40" t="str">
        <f>IFERROR(__xludf.DUMMYFUNCTION("IF(ISBLANK(B889),"""",IF(Or(I889=""Em Aberto"",ISBLANK(I889),NOT(ISDATE(B889))),"""",H889))"),"")</f>
        <v/>
      </c>
      <c r="M889" s="29" t="str">
        <f>IFERROR(__xludf.DUMMYFUNCTION("IF(ISBLANK(B889),"""",IF(ISDATE(B889),TEXT(B889,""m""),""""))"),"")</f>
        <v/>
      </c>
      <c r="N889" s="29" t="str">
        <f>IFERROR(__xludf.DUMMYFUNCTION("IF(M889="""","""",QUERY({'Dashboard-Dados'!$Y$2:$AA$13},""Select Col2 Where Col1=""&amp;M889))"),"")</f>
        <v/>
      </c>
      <c r="O889" s="29" t="str">
        <f>IFERROR(__xludf.DUMMYFUNCTION("IF(ISBLANK(B889),"""",IF(ISDATE(B889),TEXT(B889,""yyyy""),""""))"),"")</f>
        <v/>
      </c>
    </row>
    <row r="890">
      <c r="B890" s="62"/>
      <c r="C890" s="56"/>
      <c r="D890" s="56"/>
      <c r="E890" s="56"/>
      <c r="F890" s="63"/>
      <c r="G890" s="64"/>
      <c r="H890" s="65"/>
      <c r="I890" s="63"/>
      <c r="K890" s="53" t="str">
        <f>IFERROR(__xludf.DUMMYFUNCTION("IF(ISBLANK(B890),"""",IF(ISDATE(B890),""X"",""""))"),"")</f>
        <v/>
      </c>
      <c r="L890" s="40" t="str">
        <f>IFERROR(__xludf.DUMMYFUNCTION("IF(ISBLANK(B890),"""",IF(Or(I890=""Em Aberto"",ISBLANK(I890),NOT(ISDATE(B890))),"""",H890))"),"")</f>
        <v/>
      </c>
      <c r="M890" s="29" t="str">
        <f>IFERROR(__xludf.DUMMYFUNCTION("IF(ISBLANK(B890),"""",IF(ISDATE(B890),TEXT(B890,""m""),""""))"),"")</f>
        <v/>
      </c>
      <c r="N890" s="29" t="str">
        <f>IFERROR(__xludf.DUMMYFUNCTION("IF(M890="""","""",QUERY({'Dashboard-Dados'!$Y$2:$AA$13},""Select Col2 Where Col1=""&amp;M890))"),"")</f>
        <v/>
      </c>
      <c r="O890" s="29" t="str">
        <f>IFERROR(__xludf.DUMMYFUNCTION("IF(ISBLANK(B890),"""",IF(ISDATE(B890),TEXT(B890,""yyyy""),""""))"),"")</f>
        <v/>
      </c>
    </row>
    <row r="891">
      <c r="B891" s="62"/>
      <c r="C891" s="56"/>
      <c r="D891" s="56"/>
      <c r="E891" s="56"/>
      <c r="F891" s="63"/>
      <c r="G891" s="64"/>
      <c r="H891" s="65"/>
      <c r="I891" s="63"/>
      <c r="K891" s="53" t="str">
        <f>IFERROR(__xludf.DUMMYFUNCTION("IF(ISBLANK(B891),"""",IF(ISDATE(B891),""X"",""""))"),"")</f>
        <v/>
      </c>
      <c r="L891" s="40" t="str">
        <f>IFERROR(__xludf.DUMMYFUNCTION("IF(ISBLANK(B891),"""",IF(Or(I891=""Em Aberto"",ISBLANK(I891),NOT(ISDATE(B891))),"""",H891))"),"")</f>
        <v/>
      </c>
      <c r="M891" s="29" t="str">
        <f>IFERROR(__xludf.DUMMYFUNCTION("IF(ISBLANK(B891),"""",IF(ISDATE(B891),TEXT(B891,""m""),""""))"),"")</f>
        <v/>
      </c>
      <c r="N891" s="29" t="str">
        <f>IFERROR(__xludf.DUMMYFUNCTION("IF(M891="""","""",QUERY({'Dashboard-Dados'!$Y$2:$AA$13},""Select Col2 Where Col1=""&amp;M891))"),"")</f>
        <v/>
      </c>
      <c r="O891" s="29" t="str">
        <f>IFERROR(__xludf.DUMMYFUNCTION("IF(ISBLANK(B891),"""",IF(ISDATE(B891),TEXT(B891,""yyyy""),""""))"),"")</f>
        <v/>
      </c>
    </row>
    <row r="892">
      <c r="B892" s="62"/>
      <c r="C892" s="56"/>
      <c r="D892" s="56"/>
      <c r="E892" s="56"/>
      <c r="F892" s="63"/>
      <c r="G892" s="64"/>
      <c r="H892" s="65"/>
      <c r="I892" s="63"/>
      <c r="K892" s="53" t="str">
        <f>IFERROR(__xludf.DUMMYFUNCTION("IF(ISBLANK(B892),"""",IF(ISDATE(B892),""X"",""""))"),"")</f>
        <v/>
      </c>
      <c r="L892" s="40" t="str">
        <f>IFERROR(__xludf.DUMMYFUNCTION("IF(ISBLANK(B892),"""",IF(Or(I892=""Em Aberto"",ISBLANK(I892),NOT(ISDATE(B892))),"""",H892))"),"")</f>
        <v/>
      </c>
      <c r="M892" s="29" t="str">
        <f>IFERROR(__xludf.DUMMYFUNCTION("IF(ISBLANK(B892),"""",IF(ISDATE(B892),TEXT(B892,""m""),""""))"),"")</f>
        <v/>
      </c>
      <c r="N892" s="29" t="str">
        <f>IFERROR(__xludf.DUMMYFUNCTION("IF(M892="""","""",QUERY({'Dashboard-Dados'!$Y$2:$AA$13},""Select Col2 Where Col1=""&amp;M892))"),"")</f>
        <v/>
      </c>
      <c r="O892" s="29" t="str">
        <f>IFERROR(__xludf.DUMMYFUNCTION("IF(ISBLANK(B892),"""",IF(ISDATE(B892),TEXT(B892,""yyyy""),""""))"),"")</f>
        <v/>
      </c>
    </row>
    <row r="893">
      <c r="B893" s="62"/>
      <c r="C893" s="56"/>
      <c r="D893" s="56"/>
      <c r="E893" s="56"/>
      <c r="F893" s="63"/>
      <c r="G893" s="64"/>
      <c r="H893" s="65"/>
      <c r="I893" s="63"/>
      <c r="K893" s="53" t="str">
        <f>IFERROR(__xludf.DUMMYFUNCTION("IF(ISBLANK(B893),"""",IF(ISDATE(B893),""X"",""""))"),"")</f>
        <v/>
      </c>
      <c r="L893" s="40" t="str">
        <f>IFERROR(__xludf.DUMMYFUNCTION("IF(ISBLANK(B893),"""",IF(Or(I893=""Em Aberto"",ISBLANK(I893),NOT(ISDATE(B893))),"""",H893))"),"")</f>
        <v/>
      </c>
      <c r="M893" s="29" t="str">
        <f>IFERROR(__xludf.DUMMYFUNCTION("IF(ISBLANK(B893),"""",IF(ISDATE(B893),TEXT(B893,""m""),""""))"),"")</f>
        <v/>
      </c>
      <c r="N893" s="29" t="str">
        <f>IFERROR(__xludf.DUMMYFUNCTION("IF(M893="""","""",QUERY({'Dashboard-Dados'!$Y$2:$AA$13},""Select Col2 Where Col1=""&amp;M893))"),"")</f>
        <v/>
      </c>
      <c r="O893" s="29" t="str">
        <f>IFERROR(__xludf.DUMMYFUNCTION("IF(ISBLANK(B893),"""",IF(ISDATE(B893),TEXT(B893,""yyyy""),""""))"),"")</f>
        <v/>
      </c>
    </row>
    <row r="894">
      <c r="B894" s="62"/>
      <c r="C894" s="56"/>
      <c r="D894" s="56"/>
      <c r="E894" s="56"/>
      <c r="F894" s="63"/>
      <c r="G894" s="64"/>
      <c r="H894" s="65"/>
      <c r="I894" s="63"/>
      <c r="K894" s="53" t="str">
        <f>IFERROR(__xludf.DUMMYFUNCTION("IF(ISBLANK(B894),"""",IF(ISDATE(B894),""X"",""""))"),"")</f>
        <v/>
      </c>
      <c r="L894" s="40" t="str">
        <f>IFERROR(__xludf.DUMMYFUNCTION("IF(ISBLANK(B894),"""",IF(Or(I894=""Em Aberto"",ISBLANK(I894),NOT(ISDATE(B894))),"""",H894))"),"")</f>
        <v/>
      </c>
      <c r="M894" s="29" t="str">
        <f>IFERROR(__xludf.DUMMYFUNCTION("IF(ISBLANK(B894),"""",IF(ISDATE(B894),TEXT(B894,""m""),""""))"),"")</f>
        <v/>
      </c>
      <c r="N894" s="29" t="str">
        <f>IFERROR(__xludf.DUMMYFUNCTION("IF(M894="""","""",QUERY({'Dashboard-Dados'!$Y$2:$AA$13},""Select Col2 Where Col1=""&amp;M894))"),"")</f>
        <v/>
      </c>
      <c r="O894" s="29" t="str">
        <f>IFERROR(__xludf.DUMMYFUNCTION("IF(ISBLANK(B894),"""",IF(ISDATE(B894),TEXT(B894,""yyyy""),""""))"),"")</f>
        <v/>
      </c>
    </row>
    <row r="895">
      <c r="B895" s="62"/>
      <c r="C895" s="56"/>
      <c r="D895" s="56"/>
      <c r="E895" s="56"/>
      <c r="F895" s="63"/>
      <c r="G895" s="64"/>
      <c r="H895" s="65"/>
      <c r="I895" s="63"/>
      <c r="K895" s="53" t="str">
        <f>IFERROR(__xludf.DUMMYFUNCTION("IF(ISBLANK(B895),"""",IF(ISDATE(B895),""X"",""""))"),"")</f>
        <v/>
      </c>
      <c r="L895" s="40" t="str">
        <f>IFERROR(__xludf.DUMMYFUNCTION("IF(ISBLANK(B895),"""",IF(Or(I895=""Em Aberto"",ISBLANK(I895),NOT(ISDATE(B895))),"""",H895))"),"")</f>
        <v/>
      </c>
      <c r="M895" s="29" t="str">
        <f>IFERROR(__xludf.DUMMYFUNCTION("IF(ISBLANK(B895),"""",IF(ISDATE(B895),TEXT(B895,""m""),""""))"),"")</f>
        <v/>
      </c>
      <c r="N895" s="29" t="str">
        <f>IFERROR(__xludf.DUMMYFUNCTION("IF(M895="""","""",QUERY({'Dashboard-Dados'!$Y$2:$AA$13},""Select Col2 Where Col1=""&amp;M895))"),"")</f>
        <v/>
      </c>
      <c r="O895" s="29" t="str">
        <f>IFERROR(__xludf.DUMMYFUNCTION("IF(ISBLANK(B895),"""",IF(ISDATE(B895),TEXT(B895,""yyyy""),""""))"),"")</f>
        <v/>
      </c>
    </row>
    <row r="896">
      <c r="B896" s="62"/>
      <c r="C896" s="56"/>
      <c r="D896" s="56"/>
      <c r="E896" s="56"/>
      <c r="F896" s="63"/>
      <c r="G896" s="64"/>
      <c r="H896" s="65"/>
      <c r="I896" s="63"/>
      <c r="K896" s="53" t="str">
        <f>IFERROR(__xludf.DUMMYFUNCTION("IF(ISBLANK(B896),"""",IF(ISDATE(B896),""X"",""""))"),"")</f>
        <v/>
      </c>
      <c r="L896" s="40" t="str">
        <f>IFERROR(__xludf.DUMMYFUNCTION("IF(ISBLANK(B896),"""",IF(Or(I896=""Em Aberto"",ISBLANK(I896),NOT(ISDATE(B896))),"""",H896))"),"")</f>
        <v/>
      </c>
      <c r="M896" s="29" t="str">
        <f>IFERROR(__xludf.DUMMYFUNCTION("IF(ISBLANK(B896),"""",IF(ISDATE(B896),TEXT(B896,""m""),""""))"),"")</f>
        <v/>
      </c>
      <c r="N896" s="29" t="str">
        <f>IFERROR(__xludf.DUMMYFUNCTION("IF(M896="""","""",QUERY({'Dashboard-Dados'!$Y$2:$AA$13},""Select Col2 Where Col1=""&amp;M896))"),"")</f>
        <v/>
      </c>
      <c r="O896" s="29" t="str">
        <f>IFERROR(__xludf.DUMMYFUNCTION("IF(ISBLANK(B896),"""",IF(ISDATE(B896),TEXT(B896,""yyyy""),""""))"),"")</f>
        <v/>
      </c>
    </row>
    <row r="897">
      <c r="B897" s="62"/>
      <c r="C897" s="56"/>
      <c r="D897" s="56"/>
      <c r="E897" s="56"/>
      <c r="F897" s="63"/>
      <c r="G897" s="64"/>
      <c r="H897" s="65"/>
      <c r="I897" s="63"/>
      <c r="K897" s="53" t="str">
        <f>IFERROR(__xludf.DUMMYFUNCTION("IF(ISBLANK(B897),"""",IF(ISDATE(B897),""X"",""""))"),"")</f>
        <v/>
      </c>
      <c r="L897" s="40" t="str">
        <f>IFERROR(__xludf.DUMMYFUNCTION("IF(ISBLANK(B897),"""",IF(Or(I897=""Em Aberto"",ISBLANK(I897),NOT(ISDATE(B897))),"""",H897))"),"")</f>
        <v/>
      </c>
      <c r="M897" s="29" t="str">
        <f>IFERROR(__xludf.DUMMYFUNCTION("IF(ISBLANK(B897),"""",IF(ISDATE(B897),TEXT(B897,""m""),""""))"),"")</f>
        <v/>
      </c>
      <c r="N897" s="29" t="str">
        <f>IFERROR(__xludf.DUMMYFUNCTION("IF(M897="""","""",QUERY({'Dashboard-Dados'!$Y$2:$AA$13},""Select Col2 Where Col1=""&amp;M897))"),"")</f>
        <v/>
      </c>
      <c r="O897" s="29" t="str">
        <f>IFERROR(__xludf.DUMMYFUNCTION("IF(ISBLANK(B897),"""",IF(ISDATE(B897),TEXT(B897,""yyyy""),""""))"),"")</f>
        <v/>
      </c>
    </row>
    <row r="898">
      <c r="B898" s="62"/>
      <c r="C898" s="56"/>
      <c r="D898" s="56"/>
      <c r="E898" s="56"/>
      <c r="F898" s="63"/>
      <c r="G898" s="64"/>
      <c r="H898" s="65"/>
      <c r="I898" s="63"/>
      <c r="K898" s="53" t="str">
        <f>IFERROR(__xludf.DUMMYFUNCTION("IF(ISBLANK(B898),"""",IF(ISDATE(B898),""X"",""""))"),"")</f>
        <v/>
      </c>
      <c r="L898" s="40" t="str">
        <f>IFERROR(__xludf.DUMMYFUNCTION("IF(ISBLANK(B898),"""",IF(Or(I898=""Em Aberto"",ISBLANK(I898),NOT(ISDATE(B898))),"""",H898))"),"")</f>
        <v/>
      </c>
      <c r="M898" s="29" t="str">
        <f>IFERROR(__xludf.DUMMYFUNCTION("IF(ISBLANK(B898),"""",IF(ISDATE(B898),TEXT(B898,""m""),""""))"),"")</f>
        <v/>
      </c>
      <c r="N898" s="29" t="str">
        <f>IFERROR(__xludf.DUMMYFUNCTION("IF(M898="""","""",QUERY({'Dashboard-Dados'!$Y$2:$AA$13},""Select Col2 Where Col1=""&amp;M898))"),"")</f>
        <v/>
      </c>
      <c r="O898" s="29" t="str">
        <f>IFERROR(__xludf.DUMMYFUNCTION("IF(ISBLANK(B898),"""",IF(ISDATE(B898),TEXT(B898,""yyyy""),""""))"),"")</f>
        <v/>
      </c>
    </row>
    <row r="899">
      <c r="B899" s="62"/>
      <c r="C899" s="56"/>
      <c r="D899" s="56"/>
      <c r="E899" s="56"/>
      <c r="F899" s="63"/>
      <c r="G899" s="64"/>
      <c r="H899" s="65"/>
      <c r="I899" s="63"/>
      <c r="K899" s="53" t="str">
        <f>IFERROR(__xludf.DUMMYFUNCTION("IF(ISBLANK(B899),"""",IF(ISDATE(B899),""X"",""""))"),"")</f>
        <v/>
      </c>
      <c r="L899" s="40" t="str">
        <f>IFERROR(__xludf.DUMMYFUNCTION("IF(ISBLANK(B899),"""",IF(Or(I899=""Em Aberto"",ISBLANK(I899),NOT(ISDATE(B899))),"""",H899))"),"")</f>
        <v/>
      </c>
      <c r="M899" s="29" t="str">
        <f>IFERROR(__xludf.DUMMYFUNCTION("IF(ISBLANK(B899),"""",IF(ISDATE(B899),TEXT(B899,""m""),""""))"),"")</f>
        <v/>
      </c>
      <c r="N899" s="29" t="str">
        <f>IFERROR(__xludf.DUMMYFUNCTION("IF(M899="""","""",QUERY({'Dashboard-Dados'!$Y$2:$AA$13},""Select Col2 Where Col1=""&amp;M899))"),"")</f>
        <v/>
      </c>
      <c r="O899" s="29" t="str">
        <f>IFERROR(__xludf.DUMMYFUNCTION("IF(ISBLANK(B899),"""",IF(ISDATE(B899),TEXT(B899,""yyyy""),""""))"),"")</f>
        <v/>
      </c>
    </row>
    <row r="900">
      <c r="B900" s="62"/>
      <c r="C900" s="56"/>
      <c r="D900" s="56"/>
      <c r="E900" s="56"/>
      <c r="F900" s="63"/>
      <c r="G900" s="64"/>
      <c r="H900" s="65"/>
      <c r="I900" s="63"/>
      <c r="K900" s="53" t="str">
        <f>IFERROR(__xludf.DUMMYFUNCTION("IF(ISBLANK(B900),"""",IF(ISDATE(B900),""X"",""""))"),"")</f>
        <v/>
      </c>
      <c r="L900" s="40" t="str">
        <f>IFERROR(__xludf.DUMMYFUNCTION("IF(ISBLANK(B900),"""",IF(Or(I900=""Em Aberto"",ISBLANK(I900),NOT(ISDATE(B900))),"""",H900))"),"")</f>
        <v/>
      </c>
      <c r="M900" s="29" t="str">
        <f>IFERROR(__xludf.DUMMYFUNCTION("IF(ISBLANK(B900),"""",IF(ISDATE(B900),TEXT(B900,""m""),""""))"),"")</f>
        <v/>
      </c>
      <c r="N900" s="29" t="str">
        <f>IFERROR(__xludf.DUMMYFUNCTION("IF(M900="""","""",QUERY({'Dashboard-Dados'!$Y$2:$AA$13},""Select Col2 Where Col1=""&amp;M900))"),"")</f>
        <v/>
      </c>
      <c r="O900" s="29" t="str">
        <f>IFERROR(__xludf.DUMMYFUNCTION("IF(ISBLANK(B900),"""",IF(ISDATE(B900),TEXT(B900,""yyyy""),""""))"),"")</f>
        <v/>
      </c>
    </row>
    <row r="901">
      <c r="B901" s="62"/>
      <c r="C901" s="56"/>
      <c r="D901" s="56"/>
      <c r="E901" s="56"/>
      <c r="F901" s="63"/>
      <c r="G901" s="64"/>
      <c r="H901" s="65"/>
      <c r="I901" s="63"/>
      <c r="K901" s="53" t="str">
        <f>IFERROR(__xludf.DUMMYFUNCTION("IF(ISBLANK(B901),"""",IF(ISDATE(B901),""X"",""""))"),"")</f>
        <v/>
      </c>
      <c r="L901" s="40" t="str">
        <f>IFERROR(__xludf.DUMMYFUNCTION("IF(ISBLANK(B901),"""",IF(Or(I901=""Em Aberto"",ISBLANK(I901),NOT(ISDATE(B901))),"""",H901))"),"")</f>
        <v/>
      </c>
      <c r="M901" s="29" t="str">
        <f>IFERROR(__xludf.DUMMYFUNCTION("IF(ISBLANK(B901),"""",IF(ISDATE(B901),TEXT(B901,""m""),""""))"),"")</f>
        <v/>
      </c>
      <c r="N901" s="29" t="str">
        <f>IFERROR(__xludf.DUMMYFUNCTION("IF(M901="""","""",QUERY({'Dashboard-Dados'!$Y$2:$AA$13},""Select Col2 Where Col1=""&amp;M901))"),"")</f>
        <v/>
      </c>
      <c r="O901" s="29" t="str">
        <f>IFERROR(__xludf.DUMMYFUNCTION("IF(ISBLANK(B901),"""",IF(ISDATE(B901),TEXT(B901,""yyyy""),""""))"),"")</f>
        <v/>
      </c>
    </row>
    <row r="902">
      <c r="B902" s="62"/>
      <c r="C902" s="56"/>
      <c r="D902" s="56"/>
      <c r="E902" s="56"/>
      <c r="F902" s="63"/>
      <c r="G902" s="64"/>
      <c r="H902" s="65"/>
      <c r="I902" s="63"/>
      <c r="K902" s="53" t="str">
        <f>IFERROR(__xludf.DUMMYFUNCTION("IF(ISBLANK(B902),"""",IF(ISDATE(B902),""X"",""""))"),"")</f>
        <v/>
      </c>
      <c r="L902" s="40" t="str">
        <f>IFERROR(__xludf.DUMMYFUNCTION("IF(ISBLANK(B902),"""",IF(Or(I902=""Em Aberto"",ISBLANK(I902),NOT(ISDATE(B902))),"""",H902))"),"")</f>
        <v/>
      </c>
      <c r="M902" s="29" t="str">
        <f>IFERROR(__xludf.DUMMYFUNCTION("IF(ISBLANK(B902),"""",IF(ISDATE(B902),TEXT(B902,""m""),""""))"),"")</f>
        <v/>
      </c>
      <c r="N902" s="29" t="str">
        <f>IFERROR(__xludf.DUMMYFUNCTION("IF(M902="""","""",QUERY({'Dashboard-Dados'!$Y$2:$AA$13},""Select Col2 Where Col1=""&amp;M902))"),"")</f>
        <v/>
      </c>
      <c r="O902" s="29" t="str">
        <f>IFERROR(__xludf.DUMMYFUNCTION("IF(ISBLANK(B902),"""",IF(ISDATE(B902),TEXT(B902,""yyyy""),""""))"),"")</f>
        <v/>
      </c>
    </row>
    <row r="903">
      <c r="B903" s="62"/>
      <c r="C903" s="56"/>
      <c r="D903" s="56"/>
      <c r="E903" s="56"/>
      <c r="F903" s="63"/>
      <c r="G903" s="64"/>
      <c r="H903" s="65"/>
      <c r="I903" s="63"/>
      <c r="K903" s="53" t="str">
        <f>IFERROR(__xludf.DUMMYFUNCTION("IF(ISBLANK(B903),"""",IF(ISDATE(B903),""X"",""""))"),"")</f>
        <v/>
      </c>
      <c r="L903" s="40" t="str">
        <f>IFERROR(__xludf.DUMMYFUNCTION("IF(ISBLANK(B903),"""",IF(Or(I903=""Em Aberto"",ISBLANK(I903),NOT(ISDATE(B903))),"""",H903))"),"")</f>
        <v/>
      </c>
      <c r="M903" s="29" t="str">
        <f>IFERROR(__xludf.DUMMYFUNCTION("IF(ISBLANK(B903),"""",IF(ISDATE(B903),TEXT(B903,""m""),""""))"),"")</f>
        <v/>
      </c>
      <c r="N903" s="29" t="str">
        <f>IFERROR(__xludf.DUMMYFUNCTION("IF(M903="""","""",QUERY({'Dashboard-Dados'!$Y$2:$AA$13},""Select Col2 Where Col1=""&amp;M903))"),"")</f>
        <v/>
      </c>
      <c r="O903" s="29" t="str">
        <f>IFERROR(__xludf.DUMMYFUNCTION("IF(ISBLANK(B903),"""",IF(ISDATE(B903),TEXT(B903,""yyyy""),""""))"),"")</f>
        <v/>
      </c>
    </row>
    <row r="904">
      <c r="B904" s="62"/>
      <c r="C904" s="56"/>
      <c r="D904" s="56"/>
      <c r="E904" s="56"/>
      <c r="F904" s="63"/>
      <c r="G904" s="64"/>
      <c r="H904" s="65"/>
      <c r="I904" s="63"/>
      <c r="K904" s="53" t="str">
        <f>IFERROR(__xludf.DUMMYFUNCTION("IF(ISBLANK(B904),"""",IF(ISDATE(B904),""X"",""""))"),"")</f>
        <v/>
      </c>
      <c r="L904" s="40" t="str">
        <f>IFERROR(__xludf.DUMMYFUNCTION("IF(ISBLANK(B904),"""",IF(Or(I904=""Em Aberto"",ISBLANK(I904),NOT(ISDATE(B904))),"""",H904))"),"")</f>
        <v/>
      </c>
      <c r="M904" s="29" t="str">
        <f>IFERROR(__xludf.DUMMYFUNCTION("IF(ISBLANK(B904),"""",IF(ISDATE(B904),TEXT(B904,""m""),""""))"),"")</f>
        <v/>
      </c>
      <c r="N904" s="29" t="str">
        <f>IFERROR(__xludf.DUMMYFUNCTION("IF(M904="""","""",QUERY({'Dashboard-Dados'!$Y$2:$AA$13},""Select Col2 Where Col1=""&amp;M904))"),"")</f>
        <v/>
      </c>
      <c r="O904" s="29" t="str">
        <f>IFERROR(__xludf.DUMMYFUNCTION("IF(ISBLANK(B904),"""",IF(ISDATE(B904),TEXT(B904,""yyyy""),""""))"),"")</f>
        <v/>
      </c>
    </row>
    <row r="905">
      <c r="B905" s="62"/>
      <c r="C905" s="56"/>
      <c r="D905" s="56"/>
      <c r="E905" s="56"/>
      <c r="F905" s="63"/>
      <c r="G905" s="64"/>
      <c r="H905" s="65"/>
      <c r="I905" s="63"/>
      <c r="K905" s="53" t="str">
        <f>IFERROR(__xludf.DUMMYFUNCTION("IF(ISBLANK(B905),"""",IF(ISDATE(B905),""X"",""""))"),"")</f>
        <v/>
      </c>
      <c r="L905" s="40" t="str">
        <f>IFERROR(__xludf.DUMMYFUNCTION("IF(ISBLANK(B905),"""",IF(Or(I905=""Em Aberto"",ISBLANK(I905),NOT(ISDATE(B905))),"""",H905))"),"")</f>
        <v/>
      </c>
      <c r="M905" s="29" t="str">
        <f>IFERROR(__xludf.DUMMYFUNCTION("IF(ISBLANK(B905),"""",IF(ISDATE(B905),TEXT(B905,""m""),""""))"),"")</f>
        <v/>
      </c>
      <c r="N905" s="29" t="str">
        <f>IFERROR(__xludf.DUMMYFUNCTION("IF(M905="""","""",QUERY({'Dashboard-Dados'!$Y$2:$AA$13},""Select Col2 Where Col1=""&amp;M905))"),"")</f>
        <v/>
      </c>
      <c r="O905" s="29" t="str">
        <f>IFERROR(__xludf.DUMMYFUNCTION("IF(ISBLANK(B905),"""",IF(ISDATE(B905),TEXT(B905,""yyyy""),""""))"),"")</f>
        <v/>
      </c>
    </row>
    <row r="906">
      <c r="B906" s="62"/>
      <c r="C906" s="56"/>
      <c r="D906" s="56"/>
      <c r="E906" s="56"/>
      <c r="F906" s="63"/>
      <c r="G906" s="64"/>
      <c r="H906" s="65"/>
      <c r="I906" s="63"/>
      <c r="K906" s="53" t="str">
        <f>IFERROR(__xludf.DUMMYFUNCTION("IF(ISBLANK(B906),"""",IF(ISDATE(B906),""X"",""""))"),"")</f>
        <v/>
      </c>
      <c r="L906" s="40" t="str">
        <f>IFERROR(__xludf.DUMMYFUNCTION("IF(ISBLANK(B906),"""",IF(Or(I906=""Em Aberto"",ISBLANK(I906),NOT(ISDATE(B906))),"""",H906))"),"")</f>
        <v/>
      </c>
      <c r="M906" s="29" t="str">
        <f>IFERROR(__xludf.DUMMYFUNCTION("IF(ISBLANK(B906),"""",IF(ISDATE(B906),TEXT(B906,""m""),""""))"),"")</f>
        <v/>
      </c>
      <c r="N906" s="29" t="str">
        <f>IFERROR(__xludf.DUMMYFUNCTION("IF(M906="""","""",QUERY({'Dashboard-Dados'!$Y$2:$AA$13},""Select Col2 Where Col1=""&amp;M906))"),"")</f>
        <v/>
      </c>
      <c r="O906" s="29" t="str">
        <f>IFERROR(__xludf.DUMMYFUNCTION("IF(ISBLANK(B906),"""",IF(ISDATE(B906),TEXT(B906,""yyyy""),""""))"),"")</f>
        <v/>
      </c>
    </row>
    <row r="907">
      <c r="B907" s="62"/>
      <c r="C907" s="56"/>
      <c r="D907" s="56"/>
      <c r="E907" s="56"/>
      <c r="F907" s="63"/>
      <c r="G907" s="64"/>
      <c r="H907" s="65"/>
      <c r="I907" s="63"/>
      <c r="K907" s="53" t="str">
        <f>IFERROR(__xludf.DUMMYFUNCTION("IF(ISBLANK(B907),"""",IF(ISDATE(B907),""X"",""""))"),"")</f>
        <v/>
      </c>
      <c r="L907" s="40" t="str">
        <f>IFERROR(__xludf.DUMMYFUNCTION("IF(ISBLANK(B907),"""",IF(Or(I907=""Em Aberto"",ISBLANK(I907),NOT(ISDATE(B907))),"""",H907))"),"")</f>
        <v/>
      </c>
      <c r="M907" s="29" t="str">
        <f>IFERROR(__xludf.DUMMYFUNCTION("IF(ISBLANK(B907),"""",IF(ISDATE(B907),TEXT(B907,""m""),""""))"),"")</f>
        <v/>
      </c>
      <c r="N907" s="29" t="str">
        <f>IFERROR(__xludf.DUMMYFUNCTION("IF(M907="""","""",QUERY({'Dashboard-Dados'!$Y$2:$AA$13},""Select Col2 Where Col1=""&amp;M907))"),"")</f>
        <v/>
      </c>
      <c r="O907" s="29" t="str">
        <f>IFERROR(__xludf.DUMMYFUNCTION("IF(ISBLANK(B907),"""",IF(ISDATE(B907),TEXT(B907,""yyyy""),""""))"),"")</f>
        <v/>
      </c>
    </row>
    <row r="908">
      <c r="B908" s="62"/>
      <c r="C908" s="56"/>
      <c r="D908" s="56"/>
      <c r="E908" s="56"/>
      <c r="F908" s="63"/>
      <c r="G908" s="64"/>
      <c r="H908" s="65"/>
      <c r="I908" s="63"/>
      <c r="K908" s="53" t="str">
        <f>IFERROR(__xludf.DUMMYFUNCTION("IF(ISBLANK(B908),"""",IF(ISDATE(B908),""X"",""""))"),"")</f>
        <v/>
      </c>
      <c r="L908" s="40" t="str">
        <f>IFERROR(__xludf.DUMMYFUNCTION("IF(ISBLANK(B908),"""",IF(Or(I908=""Em Aberto"",ISBLANK(I908),NOT(ISDATE(B908))),"""",H908))"),"")</f>
        <v/>
      </c>
      <c r="M908" s="29" t="str">
        <f>IFERROR(__xludf.DUMMYFUNCTION("IF(ISBLANK(B908),"""",IF(ISDATE(B908),TEXT(B908,""m""),""""))"),"")</f>
        <v/>
      </c>
      <c r="N908" s="29" t="str">
        <f>IFERROR(__xludf.DUMMYFUNCTION("IF(M908="""","""",QUERY({'Dashboard-Dados'!$Y$2:$AA$13},""Select Col2 Where Col1=""&amp;M908))"),"")</f>
        <v/>
      </c>
      <c r="O908" s="29" t="str">
        <f>IFERROR(__xludf.DUMMYFUNCTION("IF(ISBLANK(B908),"""",IF(ISDATE(B908),TEXT(B908,""yyyy""),""""))"),"")</f>
        <v/>
      </c>
    </row>
    <row r="909">
      <c r="B909" s="62"/>
      <c r="C909" s="56"/>
      <c r="D909" s="56"/>
      <c r="E909" s="56"/>
      <c r="F909" s="63"/>
      <c r="G909" s="64"/>
      <c r="H909" s="65"/>
      <c r="I909" s="63"/>
      <c r="K909" s="53" t="str">
        <f>IFERROR(__xludf.DUMMYFUNCTION("IF(ISBLANK(B909),"""",IF(ISDATE(B909),""X"",""""))"),"")</f>
        <v/>
      </c>
      <c r="L909" s="40" t="str">
        <f>IFERROR(__xludf.DUMMYFUNCTION("IF(ISBLANK(B909),"""",IF(Or(I909=""Em Aberto"",ISBLANK(I909),NOT(ISDATE(B909))),"""",H909))"),"")</f>
        <v/>
      </c>
      <c r="M909" s="29" t="str">
        <f>IFERROR(__xludf.DUMMYFUNCTION("IF(ISBLANK(B909),"""",IF(ISDATE(B909),TEXT(B909,""m""),""""))"),"")</f>
        <v/>
      </c>
      <c r="N909" s="29" t="str">
        <f>IFERROR(__xludf.DUMMYFUNCTION("IF(M909="""","""",QUERY({'Dashboard-Dados'!$Y$2:$AA$13},""Select Col2 Where Col1=""&amp;M909))"),"")</f>
        <v/>
      </c>
      <c r="O909" s="29" t="str">
        <f>IFERROR(__xludf.DUMMYFUNCTION("IF(ISBLANK(B909),"""",IF(ISDATE(B909),TEXT(B909,""yyyy""),""""))"),"")</f>
        <v/>
      </c>
    </row>
    <row r="910">
      <c r="B910" s="62"/>
      <c r="C910" s="56"/>
      <c r="D910" s="56"/>
      <c r="E910" s="56"/>
      <c r="F910" s="63"/>
      <c r="G910" s="64"/>
      <c r="H910" s="65"/>
      <c r="I910" s="63"/>
      <c r="K910" s="53" t="str">
        <f>IFERROR(__xludf.DUMMYFUNCTION("IF(ISBLANK(B910),"""",IF(ISDATE(B910),""X"",""""))"),"")</f>
        <v/>
      </c>
      <c r="L910" s="40" t="str">
        <f>IFERROR(__xludf.DUMMYFUNCTION("IF(ISBLANK(B910),"""",IF(Or(I910=""Em Aberto"",ISBLANK(I910),NOT(ISDATE(B910))),"""",H910))"),"")</f>
        <v/>
      </c>
      <c r="M910" s="29" t="str">
        <f>IFERROR(__xludf.DUMMYFUNCTION("IF(ISBLANK(B910),"""",IF(ISDATE(B910),TEXT(B910,""m""),""""))"),"")</f>
        <v/>
      </c>
      <c r="N910" s="29" t="str">
        <f>IFERROR(__xludf.DUMMYFUNCTION("IF(M910="""","""",QUERY({'Dashboard-Dados'!$Y$2:$AA$13},""Select Col2 Where Col1=""&amp;M910))"),"")</f>
        <v/>
      </c>
      <c r="O910" s="29" t="str">
        <f>IFERROR(__xludf.DUMMYFUNCTION("IF(ISBLANK(B910),"""",IF(ISDATE(B910),TEXT(B910,""yyyy""),""""))"),"")</f>
        <v/>
      </c>
    </row>
    <row r="911">
      <c r="B911" s="62"/>
      <c r="C911" s="56"/>
      <c r="D911" s="56"/>
      <c r="E911" s="56"/>
      <c r="F911" s="63"/>
      <c r="G911" s="64"/>
      <c r="H911" s="65"/>
      <c r="I911" s="63"/>
      <c r="K911" s="53" t="str">
        <f>IFERROR(__xludf.DUMMYFUNCTION("IF(ISBLANK(B911),"""",IF(ISDATE(B911),""X"",""""))"),"")</f>
        <v/>
      </c>
      <c r="L911" s="40" t="str">
        <f>IFERROR(__xludf.DUMMYFUNCTION("IF(ISBLANK(B911),"""",IF(Or(I911=""Em Aberto"",ISBLANK(I911),NOT(ISDATE(B911))),"""",H911))"),"")</f>
        <v/>
      </c>
      <c r="M911" s="29" t="str">
        <f>IFERROR(__xludf.DUMMYFUNCTION("IF(ISBLANK(B911),"""",IF(ISDATE(B911),TEXT(B911,""m""),""""))"),"")</f>
        <v/>
      </c>
      <c r="N911" s="29" t="str">
        <f>IFERROR(__xludf.DUMMYFUNCTION("IF(M911="""","""",QUERY({'Dashboard-Dados'!$Y$2:$AA$13},""Select Col2 Where Col1=""&amp;M911))"),"")</f>
        <v/>
      </c>
      <c r="O911" s="29" t="str">
        <f>IFERROR(__xludf.DUMMYFUNCTION("IF(ISBLANK(B911),"""",IF(ISDATE(B911),TEXT(B911,""yyyy""),""""))"),"")</f>
        <v/>
      </c>
    </row>
    <row r="912">
      <c r="B912" s="62"/>
      <c r="C912" s="56"/>
      <c r="D912" s="56"/>
      <c r="E912" s="56"/>
      <c r="F912" s="63"/>
      <c r="G912" s="64"/>
      <c r="H912" s="65"/>
      <c r="I912" s="63"/>
      <c r="K912" s="53" t="str">
        <f>IFERROR(__xludf.DUMMYFUNCTION("IF(ISBLANK(B912),"""",IF(ISDATE(B912),""X"",""""))"),"")</f>
        <v/>
      </c>
      <c r="L912" s="40" t="str">
        <f>IFERROR(__xludf.DUMMYFUNCTION("IF(ISBLANK(B912),"""",IF(Or(I912=""Em Aberto"",ISBLANK(I912),NOT(ISDATE(B912))),"""",H912))"),"")</f>
        <v/>
      </c>
      <c r="M912" s="29" t="str">
        <f>IFERROR(__xludf.DUMMYFUNCTION("IF(ISBLANK(B912),"""",IF(ISDATE(B912),TEXT(B912,""m""),""""))"),"")</f>
        <v/>
      </c>
      <c r="N912" s="29" t="str">
        <f>IFERROR(__xludf.DUMMYFUNCTION("IF(M912="""","""",QUERY({'Dashboard-Dados'!$Y$2:$AA$13},""Select Col2 Where Col1=""&amp;M912))"),"")</f>
        <v/>
      </c>
      <c r="O912" s="29" t="str">
        <f>IFERROR(__xludf.DUMMYFUNCTION("IF(ISBLANK(B912),"""",IF(ISDATE(B912),TEXT(B912,""yyyy""),""""))"),"")</f>
        <v/>
      </c>
    </row>
    <row r="913">
      <c r="B913" s="62"/>
      <c r="C913" s="56"/>
      <c r="D913" s="56"/>
      <c r="E913" s="56"/>
      <c r="F913" s="63"/>
      <c r="G913" s="64"/>
      <c r="H913" s="65"/>
      <c r="I913" s="63"/>
      <c r="K913" s="53" t="str">
        <f>IFERROR(__xludf.DUMMYFUNCTION("IF(ISBLANK(B913),"""",IF(ISDATE(B913),""X"",""""))"),"")</f>
        <v/>
      </c>
      <c r="L913" s="40" t="str">
        <f>IFERROR(__xludf.DUMMYFUNCTION("IF(ISBLANK(B913),"""",IF(Or(I913=""Em Aberto"",ISBLANK(I913),NOT(ISDATE(B913))),"""",H913))"),"")</f>
        <v/>
      </c>
      <c r="M913" s="29" t="str">
        <f>IFERROR(__xludf.DUMMYFUNCTION("IF(ISBLANK(B913),"""",IF(ISDATE(B913),TEXT(B913,""m""),""""))"),"")</f>
        <v/>
      </c>
      <c r="N913" s="29" t="str">
        <f>IFERROR(__xludf.DUMMYFUNCTION("IF(M913="""","""",QUERY({'Dashboard-Dados'!$Y$2:$AA$13},""Select Col2 Where Col1=""&amp;M913))"),"")</f>
        <v/>
      </c>
      <c r="O913" s="29" t="str">
        <f>IFERROR(__xludf.DUMMYFUNCTION("IF(ISBLANK(B913),"""",IF(ISDATE(B913),TEXT(B913,""yyyy""),""""))"),"")</f>
        <v/>
      </c>
    </row>
    <row r="914">
      <c r="B914" s="62"/>
      <c r="C914" s="56"/>
      <c r="D914" s="56"/>
      <c r="E914" s="56"/>
      <c r="F914" s="63"/>
      <c r="G914" s="64"/>
      <c r="H914" s="65"/>
      <c r="I914" s="63"/>
      <c r="K914" s="53" t="str">
        <f>IFERROR(__xludf.DUMMYFUNCTION("IF(ISBLANK(B914),"""",IF(ISDATE(B914),""X"",""""))"),"")</f>
        <v/>
      </c>
      <c r="L914" s="40" t="str">
        <f>IFERROR(__xludf.DUMMYFUNCTION("IF(ISBLANK(B914),"""",IF(Or(I914=""Em Aberto"",ISBLANK(I914),NOT(ISDATE(B914))),"""",H914))"),"")</f>
        <v/>
      </c>
      <c r="M914" s="29" t="str">
        <f>IFERROR(__xludf.DUMMYFUNCTION("IF(ISBLANK(B914),"""",IF(ISDATE(B914),TEXT(B914,""m""),""""))"),"")</f>
        <v/>
      </c>
      <c r="N914" s="29" t="str">
        <f>IFERROR(__xludf.DUMMYFUNCTION("IF(M914="""","""",QUERY({'Dashboard-Dados'!$Y$2:$AA$13},""Select Col2 Where Col1=""&amp;M914))"),"")</f>
        <v/>
      </c>
      <c r="O914" s="29" t="str">
        <f>IFERROR(__xludf.DUMMYFUNCTION("IF(ISBLANK(B914),"""",IF(ISDATE(B914),TEXT(B914,""yyyy""),""""))"),"")</f>
        <v/>
      </c>
    </row>
    <row r="915">
      <c r="B915" s="62"/>
      <c r="C915" s="56"/>
      <c r="D915" s="56"/>
      <c r="E915" s="56"/>
      <c r="F915" s="63"/>
      <c r="G915" s="64"/>
      <c r="H915" s="65"/>
      <c r="I915" s="63"/>
      <c r="K915" s="53" t="str">
        <f>IFERROR(__xludf.DUMMYFUNCTION("IF(ISBLANK(B915),"""",IF(ISDATE(B915),""X"",""""))"),"")</f>
        <v/>
      </c>
      <c r="L915" s="40" t="str">
        <f>IFERROR(__xludf.DUMMYFUNCTION("IF(ISBLANK(B915),"""",IF(Or(I915=""Em Aberto"",ISBLANK(I915),NOT(ISDATE(B915))),"""",H915))"),"")</f>
        <v/>
      </c>
      <c r="M915" s="29" t="str">
        <f>IFERROR(__xludf.DUMMYFUNCTION("IF(ISBLANK(B915),"""",IF(ISDATE(B915),TEXT(B915,""m""),""""))"),"")</f>
        <v/>
      </c>
      <c r="N915" s="29" t="str">
        <f>IFERROR(__xludf.DUMMYFUNCTION("IF(M915="""","""",QUERY({'Dashboard-Dados'!$Y$2:$AA$13},""Select Col2 Where Col1=""&amp;M915))"),"")</f>
        <v/>
      </c>
      <c r="O915" s="29" t="str">
        <f>IFERROR(__xludf.DUMMYFUNCTION("IF(ISBLANK(B915),"""",IF(ISDATE(B915),TEXT(B915,""yyyy""),""""))"),"")</f>
        <v/>
      </c>
    </row>
    <row r="916">
      <c r="B916" s="62"/>
      <c r="C916" s="56"/>
      <c r="D916" s="56"/>
      <c r="E916" s="56"/>
      <c r="F916" s="63"/>
      <c r="G916" s="64"/>
      <c r="H916" s="65"/>
      <c r="I916" s="63"/>
      <c r="K916" s="53" t="str">
        <f>IFERROR(__xludf.DUMMYFUNCTION("IF(ISBLANK(B916),"""",IF(ISDATE(B916),""X"",""""))"),"")</f>
        <v/>
      </c>
      <c r="L916" s="40" t="str">
        <f>IFERROR(__xludf.DUMMYFUNCTION("IF(ISBLANK(B916),"""",IF(Or(I916=""Em Aberto"",ISBLANK(I916),NOT(ISDATE(B916))),"""",H916))"),"")</f>
        <v/>
      </c>
      <c r="M916" s="29" t="str">
        <f>IFERROR(__xludf.DUMMYFUNCTION("IF(ISBLANK(B916),"""",IF(ISDATE(B916),TEXT(B916,""m""),""""))"),"")</f>
        <v/>
      </c>
      <c r="N916" s="29" t="str">
        <f>IFERROR(__xludf.DUMMYFUNCTION("IF(M916="""","""",QUERY({'Dashboard-Dados'!$Y$2:$AA$13},""Select Col2 Where Col1=""&amp;M916))"),"")</f>
        <v/>
      </c>
      <c r="O916" s="29" t="str">
        <f>IFERROR(__xludf.DUMMYFUNCTION("IF(ISBLANK(B916),"""",IF(ISDATE(B916),TEXT(B916,""yyyy""),""""))"),"")</f>
        <v/>
      </c>
    </row>
    <row r="917">
      <c r="B917" s="62"/>
      <c r="C917" s="56"/>
      <c r="D917" s="56"/>
      <c r="E917" s="56"/>
      <c r="F917" s="63"/>
      <c r="G917" s="64"/>
      <c r="H917" s="65"/>
      <c r="I917" s="63"/>
      <c r="K917" s="53" t="str">
        <f>IFERROR(__xludf.DUMMYFUNCTION("IF(ISBLANK(B917),"""",IF(ISDATE(B917),""X"",""""))"),"")</f>
        <v/>
      </c>
      <c r="L917" s="40" t="str">
        <f>IFERROR(__xludf.DUMMYFUNCTION("IF(ISBLANK(B917),"""",IF(Or(I917=""Em Aberto"",ISBLANK(I917),NOT(ISDATE(B917))),"""",H917))"),"")</f>
        <v/>
      </c>
      <c r="M917" s="29" t="str">
        <f>IFERROR(__xludf.DUMMYFUNCTION("IF(ISBLANK(B917),"""",IF(ISDATE(B917),TEXT(B917,""m""),""""))"),"")</f>
        <v/>
      </c>
      <c r="N917" s="29" t="str">
        <f>IFERROR(__xludf.DUMMYFUNCTION("IF(M917="""","""",QUERY({'Dashboard-Dados'!$Y$2:$AA$13},""Select Col2 Where Col1=""&amp;M917))"),"")</f>
        <v/>
      </c>
      <c r="O917" s="29" t="str">
        <f>IFERROR(__xludf.DUMMYFUNCTION("IF(ISBLANK(B917),"""",IF(ISDATE(B917),TEXT(B917,""yyyy""),""""))"),"")</f>
        <v/>
      </c>
    </row>
    <row r="918">
      <c r="B918" s="62"/>
      <c r="C918" s="56"/>
      <c r="D918" s="56"/>
      <c r="E918" s="56"/>
      <c r="F918" s="63"/>
      <c r="G918" s="64"/>
      <c r="H918" s="65"/>
      <c r="I918" s="63"/>
      <c r="K918" s="53" t="str">
        <f>IFERROR(__xludf.DUMMYFUNCTION("IF(ISBLANK(B918),"""",IF(ISDATE(B918),""X"",""""))"),"")</f>
        <v/>
      </c>
      <c r="L918" s="40" t="str">
        <f>IFERROR(__xludf.DUMMYFUNCTION("IF(ISBLANK(B918),"""",IF(Or(I918=""Em Aberto"",ISBLANK(I918),NOT(ISDATE(B918))),"""",H918))"),"")</f>
        <v/>
      </c>
      <c r="M918" s="29" t="str">
        <f>IFERROR(__xludf.DUMMYFUNCTION("IF(ISBLANK(B918),"""",IF(ISDATE(B918),TEXT(B918,""m""),""""))"),"")</f>
        <v/>
      </c>
      <c r="N918" s="29" t="str">
        <f>IFERROR(__xludf.DUMMYFUNCTION("IF(M918="""","""",QUERY({'Dashboard-Dados'!$Y$2:$AA$13},""Select Col2 Where Col1=""&amp;M918))"),"")</f>
        <v/>
      </c>
      <c r="O918" s="29" t="str">
        <f>IFERROR(__xludf.DUMMYFUNCTION("IF(ISBLANK(B918),"""",IF(ISDATE(B918),TEXT(B918,""yyyy""),""""))"),"")</f>
        <v/>
      </c>
    </row>
    <row r="919">
      <c r="B919" s="62"/>
      <c r="C919" s="56"/>
      <c r="D919" s="56"/>
      <c r="E919" s="56"/>
      <c r="F919" s="63"/>
      <c r="G919" s="64"/>
      <c r="H919" s="65"/>
      <c r="I919" s="63"/>
      <c r="K919" s="53" t="str">
        <f>IFERROR(__xludf.DUMMYFUNCTION("IF(ISBLANK(B919),"""",IF(ISDATE(B919),""X"",""""))"),"")</f>
        <v/>
      </c>
      <c r="L919" s="40" t="str">
        <f>IFERROR(__xludf.DUMMYFUNCTION("IF(ISBLANK(B919),"""",IF(Or(I919=""Em Aberto"",ISBLANK(I919),NOT(ISDATE(B919))),"""",H919))"),"")</f>
        <v/>
      </c>
      <c r="M919" s="29" t="str">
        <f>IFERROR(__xludf.DUMMYFUNCTION("IF(ISBLANK(B919),"""",IF(ISDATE(B919),TEXT(B919,""m""),""""))"),"")</f>
        <v/>
      </c>
      <c r="N919" s="29" t="str">
        <f>IFERROR(__xludf.DUMMYFUNCTION("IF(M919="""","""",QUERY({'Dashboard-Dados'!$Y$2:$AA$13},""Select Col2 Where Col1=""&amp;M919))"),"")</f>
        <v/>
      </c>
      <c r="O919" s="29" t="str">
        <f>IFERROR(__xludf.DUMMYFUNCTION("IF(ISBLANK(B919),"""",IF(ISDATE(B919),TEXT(B919,""yyyy""),""""))"),"")</f>
        <v/>
      </c>
    </row>
    <row r="920">
      <c r="B920" s="62"/>
      <c r="C920" s="56"/>
      <c r="D920" s="56"/>
      <c r="E920" s="56"/>
      <c r="F920" s="63"/>
      <c r="G920" s="64"/>
      <c r="H920" s="65"/>
      <c r="I920" s="63"/>
      <c r="K920" s="53" t="str">
        <f>IFERROR(__xludf.DUMMYFUNCTION("IF(ISBLANK(B920),"""",IF(ISDATE(B920),""X"",""""))"),"")</f>
        <v/>
      </c>
      <c r="L920" s="40" t="str">
        <f>IFERROR(__xludf.DUMMYFUNCTION("IF(ISBLANK(B920),"""",IF(Or(I920=""Em Aberto"",ISBLANK(I920),NOT(ISDATE(B920))),"""",H920))"),"")</f>
        <v/>
      </c>
      <c r="M920" s="29" t="str">
        <f>IFERROR(__xludf.DUMMYFUNCTION("IF(ISBLANK(B920),"""",IF(ISDATE(B920),TEXT(B920,""m""),""""))"),"")</f>
        <v/>
      </c>
      <c r="N920" s="29" t="str">
        <f>IFERROR(__xludf.DUMMYFUNCTION("IF(M920="""","""",QUERY({'Dashboard-Dados'!$Y$2:$AA$13},""Select Col2 Where Col1=""&amp;M920))"),"")</f>
        <v/>
      </c>
      <c r="O920" s="29" t="str">
        <f>IFERROR(__xludf.DUMMYFUNCTION("IF(ISBLANK(B920),"""",IF(ISDATE(B920),TEXT(B920,""yyyy""),""""))"),"")</f>
        <v/>
      </c>
    </row>
    <row r="921">
      <c r="B921" s="62"/>
      <c r="C921" s="56"/>
      <c r="D921" s="56"/>
      <c r="E921" s="56"/>
      <c r="F921" s="63"/>
      <c r="G921" s="64"/>
      <c r="H921" s="65"/>
      <c r="I921" s="63"/>
      <c r="K921" s="53" t="str">
        <f>IFERROR(__xludf.DUMMYFUNCTION("IF(ISBLANK(B921),"""",IF(ISDATE(B921),""X"",""""))"),"")</f>
        <v/>
      </c>
      <c r="L921" s="40" t="str">
        <f>IFERROR(__xludf.DUMMYFUNCTION("IF(ISBLANK(B921),"""",IF(Or(I921=""Em Aberto"",ISBLANK(I921),NOT(ISDATE(B921))),"""",H921))"),"")</f>
        <v/>
      </c>
      <c r="M921" s="29" t="str">
        <f>IFERROR(__xludf.DUMMYFUNCTION("IF(ISBLANK(B921),"""",IF(ISDATE(B921),TEXT(B921,""m""),""""))"),"")</f>
        <v/>
      </c>
      <c r="N921" s="29" t="str">
        <f>IFERROR(__xludf.DUMMYFUNCTION("IF(M921="""","""",QUERY({'Dashboard-Dados'!$Y$2:$AA$13},""Select Col2 Where Col1=""&amp;M921))"),"")</f>
        <v/>
      </c>
      <c r="O921" s="29" t="str">
        <f>IFERROR(__xludf.DUMMYFUNCTION("IF(ISBLANK(B921),"""",IF(ISDATE(B921),TEXT(B921,""yyyy""),""""))"),"")</f>
        <v/>
      </c>
    </row>
    <row r="922">
      <c r="B922" s="62"/>
      <c r="C922" s="56"/>
      <c r="D922" s="56"/>
      <c r="E922" s="56"/>
      <c r="F922" s="63"/>
      <c r="G922" s="64"/>
      <c r="H922" s="65"/>
      <c r="I922" s="63"/>
      <c r="K922" s="53" t="str">
        <f>IFERROR(__xludf.DUMMYFUNCTION("IF(ISBLANK(B922),"""",IF(ISDATE(B922),""X"",""""))"),"")</f>
        <v/>
      </c>
      <c r="L922" s="40" t="str">
        <f>IFERROR(__xludf.DUMMYFUNCTION("IF(ISBLANK(B922),"""",IF(Or(I922=""Em Aberto"",ISBLANK(I922),NOT(ISDATE(B922))),"""",H922))"),"")</f>
        <v/>
      </c>
      <c r="M922" s="29" t="str">
        <f>IFERROR(__xludf.DUMMYFUNCTION("IF(ISBLANK(B922),"""",IF(ISDATE(B922),TEXT(B922,""m""),""""))"),"")</f>
        <v/>
      </c>
      <c r="N922" s="29" t="str">
        <f>IFERROR(__xludf.DUMMYFUNCTION("IF(M922="""","""",QUERY({'Dashboard-Dados'!$Y$2:$AA$13},""Select Col2 Where Col1=""&amp;M922))"),"")</f>
        <v/>
      </c>
      <c r="O922" s="29" t="str">
        <f>IFERROR(__xludf.DUMMYFUNCTION("IF(ISBLANK(B922),"""",IF(ISDATE(B922),TEXT(B922,""yyyy""),""""))"),"")</f>
        <v/>
      </c>
    </row>
    <row r="923">
      <c r="B923" s="62"/>
      <c r="C923" s="56"/>
      <c r="D923" s="56"/>
      <c r="E923" s="56"/>
      <c r="F923" s="63"/>
      <c r="G923" s="64"/>
      <c r="H923" s="65"/>
      <c r="I923" s="63"/>
      <c r="K923" s="53" t="str">
        <f>IFERROR(__xludf.DUMMYFUNCTION("IF(ISBLANK(B923),"""",IF(ISDATE(B923),""X"",""""))"),"")</f>
        <v/>
      </c>
      <c r="L923" s="40" t="str">
        <f>IFERROR(__xludf.DUMMYFUNCTION("IF(ISBLANK(B923),"""",IF(Or(I923=""Em Aberto"",ISBLANK(I923),NOT(ISDATE(B923))),"""",H923))"),"")</f>
        <v/>
      </c>
      <c r="M923" s="29" t="str">
        <f>IFERROR(__xludf.DUMMYFUNCTION("IF(ISBLANK(B923),"""",IF(ISDATE(B923),TEXT(B923,""m""),""""))"),"")</f>
        <v/>
      </c>
      <c r="N923" s="29" t="str">
        <f>IFERROR(__xludf.DUMMYFUNCTION("IF(M923="""","""",QUERY({'Dashboard-Dados'!$Y$2:$AA$13},""Select Col2 Where Col1=""&amp;M923))"),"")</f>
        <v/>
      </c>
      <c r="O923" s="29" t="str">
        <f>IFERROR(__xludf.DUMMYFUNCTION("IF(ISBLANK(B923),"""",IF(ISDATE(B923),TEXT(B923,""yyyy""),""""))"),"")</f>
        <v/>
      </c>
    </row>
    <row r="924">
      <c r="B924" s="62"/>
      <c r="C924" s="56"/>
      <c r="D924" s="56"/>
      <c r="E924" s="56"/>
      <c r="F924" s="63"/>
      <c r="G924" s="64"/>
      <c r="H924" s="65"/>
      <c r="I924" s="63"/>
      <c r="K924" s="53" t="str">
        <f>IFERROR(__xludf.DUMMYFUNCTION("IF(ISBLANK(B924),"""",IF(ISDATE(B924),""X"",""""))"),"")</f>
        <v/>
      </c>
      <c r="L924" s="40" t="str">
        <f>IFERROR(__xludf.DUMMYFUNCTION("IF(ISBLANK(B924),"""",IF(Or(I924=""Em Aberto"",ISBLANK(I924),NOT(ISDATE(B924))),"""",H924))"),"")</f>
        <v/>
      </c>
      <c r="M924" s="29" t="str">
        <f>IFERROR(__xludf.DUMMYFUNCTION("IF(ISBLANK(B924),"""",IF(ISDATE(B924),TEXT(B924,""m""),""""))"),"")</f>
        <v/>
      </c>
      <c r="N924" s="29" t="str">
        <f>IFERROR(__xludf.DUMMYFUNCTION("IF(M924="""","""",QUERY({'Dashboard-Dados'!$Y$2:$AA$13},""Select Col2 Where Col1=""&amp;M924))"),"")</f>
        <v/>
      </c>
      <c r="O924" s="29" t="str">
        <f>IFERROR(__xludf.DUMMYFUNCTION("IF(ISBLANK(B924),"""",IF(ISDATE(B924),TEXT(B924,""yyyy""),""""))"),"")</f>
        <v/>
      </c>
    </row>
    <row r="925">
      <c r="B925" s="62"/>
      <c r="C925" s="56"/>
      <c r="D925" s="56"/>
      <c r="E925" s="56"/>
      <c r="F925" s="63"/>
      <c r="G925" s="64"/>
      <c r="H925" s="65"/>
      <c r="I925" s="63"/>
      <c r="K925" s="53" t="str">
        <f>IFERROR(__xludf.DUMMYFUNCTION("IF(ISBLANK(B925),"""",IF(ISDATE(B925),""X"",""""))"),"")</f>
        <v/>
      </c>
      <c r="L925" s="40" t="str">
        <f>IFERROR(__xludf.DUMMYFUNCTION("IF(ISBLANK(B925),"""",IF(Or(I925=""Em Aberto"",ISBLANK(I925),NOT(ISDATE(B925))),"""",H925))"),"")</f>
        <v/>
      </c>
      <c r="M925" s="29" t="str">
        <f>IFERROR(__xludf.DUMMYFUNCTION("IF(ISBLANK(B925),"""",IF(ISDATE(B925),TEXT(B925,""m""),""""))"),"")</f>
        <v/>
      </c>
      <c r="N925" s="29" t="str">
        <f>IFERROR(__xludf.DUMMYFUNCTION("IF(M925="""","""",QUERY({'Dashboard-Dados'!$Y$2:$AA$13},""Select Col2 Where Col1=""&amp;M925))"),"")</f>
        <v/>
      </c>
      <c r="O925" s="29" t="str">
        <f>IFERROR(__xludf.DUMMYFUNCTION("IF(ISBLANK(B925),"""",IF(ISDATE(B925),TEXT(B925,""yyyy""),""""))"),"")</f>
        <v/>
      </c>
    </row>
    <row r="926">
      <c r="B926" s="62"/>
      <c r="C926" s="56"/>
      <c r="D926" s="56"/>
      <c r="E926" s="56"/>
      <c r="F926" s="63"/>
      <c r="G926" s="64"/>
      <c r="H926" s="65"/>
      <c r="I926" s="63"/>
      <c r="K926" s="53" t="str">
        <f>IFERROR(__xludf.DUMMYFUNCTION("IF(ISBLANK(B926),"""",IF(ISDATE(B926),""X"",""""))"),"")</f>
        <v/>
      </c>
      <c r="L926" s="40" t="str">
        <f>IFERROR(__xludf.DUMMYFUNCTION("IF(ISBLANK(B926),"""",IF(Or(I926=""Em Aberto"",ISBLANK(I926),NOT(ISDATE(B926))),"""",H926))"),"")</f>
        <v/>
      </c>
      <c r="M926" s="29" t="str">
        <f>IFERROR(__xludf.DUMMYFUNCTION("IF(ISBLANK(B926),"""",IF(ISDATE(B926),TEXT(B926,""m""),""""))"),"")</f>
        <v/>
      </c>
      <c r="N926" s="29" t="str">
        <f>IFERROR(__xludf.DUMMYFUNCTION("IF(M926="""","""",QUERY({'Dashboard-Dados'!$Y$2:$AA$13},""Select Col2 Where Col1=""&amp;M926))"),"")</f>
        <v/>
      </c>
      <c r="O926" s="29" t="str">
        <f>IFERROR(__xludf.DUMMYFUNCTION("IF(ISBLANK(B926),"""",IF(ISDATE(B926),TEXT(B926,""yyyy""),""""))"),"")</f>
        <v/>
      </c>
    </row>
    <row r="927">
      <c r="B927" s="62"/>
      <c r="C927" s="56"/>
      <c r="D927" s="56"/>
      <c r="E927" s="56"/>
      <c r="F927" s="63"/>
      <c r="G927" s="64"/>
      <c r="H927" s="65"/>
      <c r="I927" s="63"/>
      <c r="K927" s="53" t="str">
        <f>IFERROR(__xludf.DUMMYFUNCTION("IF(ISBLANK(B927),"""",IF(ISDATE(B927),""X"",""""))"),"")</f>
        <v/>
      </c>
      <c r="L927" s="40" t="str">
        <f>IFERROR(__xludf.DUMMYFUNCTION("IF(ISBLANK(B927),"""",IF(Or(I927=""Em Aberto"",ISBLANK(I927),NOT(ISDATE(B927))),"""",H927))"),"")</f>
        <v/>
      </c>
      <c r="M927" s="29" t="str">
        <f>IFERROR(__xludf.DUMMYFUNCTION("IF(ISBLANK(B927),"""",IF(ISDATE(B927),TEXT(B927,""m""),""""))"),"")</f>
        <v/>
      </c>
      <c r="N927" s="29" t="str">
        <f>IFERROR(__xludf.DUMMYFUNCTION("IF(M927="""","""",QUERY({'Dashboard-Dados'!$Y$2:$AA$13},""Select Col2 Where Col1=""&amp;M927))"),"")</f>
        <v/>
      </c>
      <c r="O927" s="29" t="str">
        <f>IFERROR(__xludf.DUMMYFUNCTION("IF(ISBLANK(B927),"""",IF(ISDATE(B927),TEXT(B927,""yyyy""),""""))"),"")</f>
        <v/>
      </c>
    </row>
    <row r="928">
      <c r="B928" s="62"/>
      <c r="C928" s="56"/>
      <c r="D928" s="56"/>
      <c r="E928" s="56"/>
      <c r="F928" s="63"/>
      <c r="G928" s="64"/>
      <c r="H928" s="65"/>
      <c r="I928" s="63"/>
      <c r="K928" s="53" t="str">
        <f>IFERROR(__xludf.DUMMYFUNCTION("IF(ISBLANK(B928),"""",IF(ISDATE(B928),""X"",""""))"),"")</f>
        <v/>
      </c>
      <c r="L928" s="40" t="str">
        <f>IFERROR(__xludf.DUMMYFUNCTION("IF(ISBLANK(B928),"""",IF(Or(I928=""Em Aberto"",ISBLANK(I928),NOT(ISDATE(B928))),"""",H928))"),"")</f>
        <v/>
      </c>
      <c r="M928" s="29" t="str">
        <f>IFERROR(__xludf.DUMMYFUNCTION("IF(ISBLANK(B928),"""",IF(ISDATE(B928),TEXT(B928,""m""),""""))"),"")</f>
        <v/>
      </c>
      <c r="N928" s="29" t="str">
        <f>IFERROR(__xludf.DUMMYFUNCTION("IF(M928="""","""",QUERY({'Dashboard-Dados'!$Y$2:$AA$13},""Select Col2 Where Col1=""&amp;M928))"),"")</f>
        <v/>
      </c>
      <c r="O928" s="29" t="str">
        <f>IFERROR(__xludf.DUMMYFUNCTION("IF(ISBLANK(B928),"""",IF(ISDATE(B928),TEXT(B928,""yyyy""),""""))"),"")</f>
        <v/>
      </c>
    </row>
    <row r="929">
      <c r="B929" s="62"/>
      <c r="C929" s="56"/>
      <c r="D929" s="56"/>
      <c r="E929" s="56"/>
      <c r="F929" s="63"/>
      <c r="G929" s="64"/>
      <c r="H929" s="65"/>
      <c r="I929" s="63"/>
      <c r="K929" s="53" t="str">
        <f>IFERROR(__xludf.DUMMYFUNCTION("IF(ISBLANK(B929),"""",IF(ISDATE(B929),""X"",""""))"),"")</f>
        <v/>
      </c>
      <c r="L929" s="40" t="str">
        <f>IFERROR(__xludf.DUMMYFUNCTION("IF(ISBLANK(B929),"""",IF(Or(I929=""Em Aberto"",ISBLANK(I929),NOT(ISDATE(B929))),"""",H929))"),"")</f>
        <v/>
      </c>
      <c r="M929" s="29" t="str">
        <f>IFERROR(__xludf.DUMMYFUNCTION("IF(ISBLANK(B929),"""",IF(ISDATE(B929),TEXT(B929,""m""),""""))"),"")</f>
        <v/>
      </c>
      <c r="N929" s="29" t="str">
        <f>IFERROR(__xludf.DUMMYFUNCTION("IF(M929="""","""",QUERY({'Dashboard-Dados'!$Y$2:$AA$13},""Select Col2 Where Col1=""&amp;M929))"),"")</f>
        <v/>
      </c>
      <c r="O929" s="29" t="str">
        <f>IFERROR(__xludf.DUMMYFUNCTION("IF(ISBLANK(B929),"""",IF(ISDATE(B929),TEXT(B929,""yyyy""),""""))"),"")</f>
        <v/>
      </c>
    </row>
    <row r="930">
      <c r="B930" s="62"/>
      <c r="C930" s="56"/>
      <c r="D930" s="56"/>
      <c r="E930" s="56"/>
      <c r="F930" s="63"/>
      <c r="G930" s="64"/>
      <c r="H930" s="65"/>
      <c r="I930" s="63"/>
      <c r="K930" s="53" t="str">
        <f>IFERROR(__xludf.DUMMYFUNCTION("IF(ISBLANK(B930),"""",IF(ISDATE(B930),""X"",""""))"),"")</f>
        <v/>
      </c>
      <c r="L930" s="40" t="str">
        <f>IFERROR(__xludf.DUMMYFUNCTION("IF(ISBLANK(B930),"""",IF(Or(I930=""Em Aberto"",ISBLANK(I930),NOT(ISDATE(B930))),"""",H930))"),"")</f>
        <v/>
      </c>
      <c r="M930" s="29" t="str">
        <f>IFERROR(__xludf.DUMMYFUNCTION("IF(ISBLANK(B930),"""",IF(ISDATE(B930),TEXT(B930,""m""),""""))"),"")</f>
        <v/>
      </c>
      <c r="N930" s="29" t="str">
        <f>IFERROR(__xludf.DUMMYFUNCTION("IF(M930="""","""",QUERY({'Dashboard-Dados'!$Y$2:$AA$13},""Select Col2 Where Col1=""&amp;M930))"),"")</f>
        <v/>
      </c>
      <c r="O930" s="29" t="str">
        <f>IFERROR(__xludf.DUMMYFUNCTION("IF(ISBLANK(B930),"""",IF(ISDATE(B930),TEXT(B930,""yyyy""),""""))"),"")</f>
        <v/>
      </c>
    </row>
    <row r="931">
      <c r="B931" s="62"/>
      <c r="C931" s="56"/>
      <c r="D931" s="56"/>
      <c r="E931" s="56"/>
      <c r="F931" s="63"/>
      <c r="G931" s="64"/>
      <c r="H931" s="65"/>
      <c r="I931" s="63"/>
      <c r="K931" s="53" t="str">
        <f>IFERROR(__xludf.DUMMYFUNCTION("IF(ISBLANK(B931),"""",IF(ISDATE(B931),""X"",""""))"),"")</f>
        <v/>
      </c>
      <c r="L931" s="40" t="str">
        <f>IFERROR(__xludf.DUMMYFUNCTION("IF(ISBLANK(B931),"""",IF(Or(I931=""Em Aberto"",ISBLANK(I931),NOT(ISDATE(B931))),"""",H931))"),"")</f>
        <v/>
      </c>
      <c r="M931" s="29" t="str">
        <f>IFERROR(__xludf.DUMMYFUNCTION("IF(ISBLANK(B931),"""",IF(ISDATE(B931),TEXT(B931,""m""),""""))"),"")</f>
        <v/>
      </c>
      <c r="N931" s="29" t="str">
        <f>IFERROR(__xludf.DUMMYFUNCTION("IF(M931="""","""",QUERY({'Dashboard-Dados'!$Y$2:$AA$13},""Select Col2 Where Col1=""&amp;M931))"),"")</f>
        <v/>
      </c>
      <c r="O931" s="29" t="str">
        <f>IFERROR(__xludf.DUMMYFUNCTION("IF(ISBLANK(B931),"""",IF(ISDATE(B931),TEXT(B931,""yyyy""),""""))"),"")</f>
        <v/>
      </c>
    </row>
    <row r="932">
      <c r="B932" s="62"/>
      <c r="C932" s="56"/>
      <c r="D932" s="56"/>
      <c r="E932" s="56"/>
      <c r="F932" s="63"/>
      <c r="G932" s="64"/>
      <c r="H932" s="65"/>
      <c r="I932" s="63"/>
      <c r="K932" s="53" t="str">
        <f>IFERROR(__xludf.DUMMYFUNCTION("IF(ISBLANK(B932),"""",IF(ISDATE(B932),""X"",""""))"),"")</f>
        <v/>
      </c>
      <c r="L932" s="40" t="str">
        <f>IFERROR(__xludf.DUMMYFUNCTION("IF(ISBLANK(B932),"""",IF(Or(I932=""Em Aberto"",ISBLANK(I932),NOT(ISDATE(B932))),"""",H932))"),"")</f>
        <v/>
      </c>
      <c r="M932" s="29" t="str">
        <f>IFERROR(__xludf.DUMMYFUNCTION("IF(ISBLANK(B932),"""",IF(ISDATE(B932),TEXT(B932,""m""),""""))"),"")</f>
        <v/>
      </c>
      <c r="N932" s="29" t="str">
        <f>IFERROR(__xludf.DUMMYFUNCTION("IF(M932="""","""",QUERY({'Dashboard-Dados'!$Y$2:$AA$13},""Select Col2 Where Col1=""&amp;M932))"),"")</f>
        <v/>
      </c>
      <c r="O932" s="29" t="str">
        <f>IFERROR(__xludf.DUMMYFUNCTION("IF(ISBLANK(B932),"""",IF(ISDATE(B932),TEXT(B932,""yyyy""),""""))"),"")</f>
        <v/>
      </c>
    </row>
    <row r="933">
      <c r="B933" s="62"/>
      <c r="C933" s="56"/>
      <c r="D933" s="56"/>
      <c r="E933" s="56"/>
      <c r="F933" s="63"/>
      <c r="G933" s="64"/>
      <c r="H933" s="65"/>
      <c r="I933" s="63"/>
      <c r="K933" s="53" t="str">
        <f>IFERROR(__xludf.DUMMYFUNCTION("IF(ISBLANK(B933),"""",IF(ISDATE(B933),""X"",""""))"),"")</f>
        <v/>
      </c>
      <c r="L933" s="40" t="str">
        <f>IFERROR(__xludf.DUMMYFUNCTION("IF(ISBLANK(B933),"""",IF(Or(I933=""Em Aberto"",ISBLANK(I933),NOT(ISDATE(B933))),"""",H933))"),"")</f>
        <v/>
      </c>
      <c r="M933" s="29" t="str">
        <f>IFERROR(__xludf.DUMMYFUNCTION("IF(ISBLANK(B933),"""",IF(ISDATE(B933),TEXT(B933,""m""),""""))"),"")</f>
        <v/>
      </c>
      <c r="N933" s="29" t="str">
        <f>IFERROR(__xludf.DUMMYFUNCTION("IF(M933="""","""",QUERY({'Dashboard-Dados'!$Y$2:$AA$13},""Select Col2 Where Col1=""&amp;M933))"),"")</f>
        <v/>
      </c>
      <c r="O933" s="29" t="str">
        <f>IFERROR(__xludf.DUMMYFUNCTION("IF(ISBLANK(B933),"""",IF(ISDATE(B933),TEXT(B933,""yyyy""),""""))"),"")</f>
        <v/>
      </c>
    </row>
    <row r="934">
      <c r="B934" s="62"/>
      <c r="C934" s="56"/>
      <c r="D934" s="56"/>
      <c r="E934" s="56"/>
      <c r="F934" s="63"/>
      <c r="G934" s="64"/>
      <c r="H934" s="65"/>
      <c r="I934" s="63"/>
      <c r="K934" s="53" t="str">
        <f>IFERROR(__xludf.DUMMYFUNCTION("IF(ISBLANK(B934),"""",IF(ISDATE(B934),""X"",""""))"),"")</f>
        <v/>
      </c>
      <c r="L934" s="40" t="str">
        <f>IFERROR(__xludf.DUMMYFUNCTION("IF(ISBLANK(B934),"""",IF(Or(I934=""Em Aberto"",ISBLANK(I934),NOT(ISDATE(B934))),"""",H934))"),"")</f>
        <v/>
      </c>
      <c r="M934" s="29" t="str">
        <f>IFERROR(__xludf.DUMMYFUNCTION("IF(ISBLANK(B934),"""",IF(ISDATE(B934),TEXT(B934,""m""),""""))"),"")</f>
        <v/>
      </c>
      <c r="N934" s="29" t="str">
        <f>IFERROR(__xludf.DUMMYFUNCTION("IF(M934="""","""",QUERY({'Dashboard-Dados'!$Y$2:$AA$13},""Select Col2 Where Col1=""&amp;M934))"),"")</f>
        <v/>
      </c>
      <c r="O934" s="29" t="str">
        <f>IFERROR(__xludf.DUMMYFUNCTION("IF(ISBLANK(B934),"""",IF(ISDATE(B934),TEXT(B934,""yyyy""),""""))"),"")</f>
        <v/>
      </c>
    </row>
    <row r="935">
      <c r="B935" s="62"/>
      <c r="C935" s="56"/>
      <c r="D935" s="56"/>
      <c r="E935" s="56"/>
      <c r="F935" s="63"/>
      <c r="G935" s="64"/>
      <c r="H935" s="65"/>
      <c r="I935" s="63"/>
      <c r="K935" s="53" t="str">
        <f>IFERROR(__xludf.DUMMYFUNCTION("IF(ISBLANK(B935),"""",IF(ISDATE(B935),""X"",""""))"),"")</f>
        <v/>
      </c>
      <c r="L935" s="40" t="str">
        <f>IFERROR(__xludf.DUMMYFUNCTION("IF(ISBLANK(B935),"""",IF(Or(I935=""Em Aberto"",ISBLANK(I935),NOT(ISDATE(B935))),"""",H935))"),"")</f>
        <v/>
      </c>
      <c r="M935" s="29" t="str">
        <f>IFERROR(__xludf.DUMMYFUNCTION("IF(ISBLANK(B935),"""",IF(ISDATE(B935),TEXT(B935,""m""),""""))"),"")</f>
        <v/>
      </c>
      <c r="N935" s="29" t="str">
        <f>IFERROR(__xludf.DUMMYFUNCTION("IF(M935="""","""",QUERY({'Dashboard-Dados'!$Y$2:$AA$13},""Select Col2 Where Col1=""&amp;M935))"),"")</f>
        <v/>
      </c>
      <c r="O935" s="29" t="str">
        <f>IFERROR(__xludf.DUMMYFUNCTION("IF(ISBLANK(B935),"""",IF(ISDATE(B935),TEXT(B935,""yyyy""),""""))"),"")</f>
        <v/>
      </c>
    </row>
    <row r="936">
      <c r="B936" s="62"/>
      <c r="C936" s="56"/>
      <c r="D936" s="56"/>
      <c r="E936" s="56"/>
      <c r="F936" s="63"/>
      <c r="G936" s="64"/>
      <c r="H936" s="65"/>
      <c r="I936" s="63"/>
      <c r="K936" s="53" t="str">
        <f>IFERROR(__xludf.DUMMYFUNCTION("IF(ISBLANK(B936),"""",IF(ISDATE(B936),""X"",""""))"),"")</f>
        <v/>
      </c>
      <c r="L936" s="40" t="str">
        <f>IFERROR(__xludf.DUMMYFUNCTION("IF(ISBLANK(B936),"""",IF(Or(I936=""Em Aberto"",ISBLANK(I936),NOT(ISDATE(B936))),"""",H936))"),"")</f>
        <v/>
      </c>
      <c r="M936" s="29" t="str">
        <f>IFERROR(__xludf.DUMMYFUNCTION("IF(ISBLANK(B936),"""",IF(ISDATE(B936),TEXT(B936,""m""),""""))"),"")</f>
        <v/>
      </c>
      <c r="N936" s="29" t="str">
        <f>IFERROR(__xludf.DUMMYFUNCTION("IF(M936="""","""",QUERY({'Dashboard-Dados'!$Y$2:$AA$13},""Select Col2 Where Col1=""&amp;M936))"),"")</f>
        <v/>
      </c>
      <c r="O936" s="29" t="str">
        <f>IFERROR(__xludf.DUMMYFUNCTION("IF(ISBLANK(B936),"""",IF(ISDATE(B936),TEXT(B936,""yyyy""),""""))"),"")</f>
        <v/>
      </c>
    </row>
    <row r="937">
      <c r="B937" s="62"/>
      <c r="C937" s="56"/>
      <c r="D937" s="56"/>
      <c r="E937" s="56"/>
      <c r="F937" s="63"/>
      <c r="G937" s="64"/>
      <c r="H937" s="65"/>
      <c r="I937" s="63"/>
      <c r="K937" s="53" t="str">
        <f>IFERROR(__xludf.DUMMYFUNCTION("IF(ISBLANK(B937),"""",IF(ISDATE(B937),""X"",""""))"),"")</f>
        <v/>
      </c>
      <c r="L937" s="40" t="str">
        <f>IFERROR(__xludf.DUMMYFUNCTION("IF(ISBLANK(B937),"""",IF(Or(I937=""Em Aberto"",ISBLANK(I937),NOT(ISDATE(B937))),"""",H937))"),"")</f>
        <v/>
      </c>
      <c r="M937" s="29" t="str">
        <f>IFERROR(__xludf.DUMMYFUNCTION("IF(ISBLANK(B937),"""",IF(ISDATE(B937),TEXT(B937,""m""),""""))"),"")</f>
        <v/>
      </c>
      <c r="N937" s="29" t="str">
        <f>IFERROR(__xludf.DUMMYFUNCTION("IF(M937="""","""",QUERY({'Dashboard-Dados'!$Y$2:$AA$13},""Select Col2 Where Col1=""&amp;M937))"),"")</f>
        <v/>
      </c>
      <c r="O937" s="29" t="str">
        <f>IFERROR(__xludf.DUMMYFUNCTION("IF(ISBLANK(B937),"""",IF(ISDATE(B937),TEXT(B937,""yyyy""),""""))"),"")</f>
        <v/>
      </c>
    </row>
    <row r="938">
      <c r="B938" s="62"/>
      <c r="C938" s="56"/>
      <c r="D938" s="56"/>
      <c r="E938" s="56"/>
      <c r="F938" s="63"/>
      <c r="G938" s="64"/>
      <c r="H938" s="65"/>
      <c r="I938" s="63"/>
      <c r="K938" s="53" t="str">
        <f>IFERROR(__xludf.DUMMYFUNCTION("IF(ISBLANK(B938),"""",IF(ISDATE(B938),""X"",""""))"),"")</f>
        <v/>
      </c>
      <c r="L938" s="40" t="str">
        <f>IFERROR(__xludf.DUMMYFUNCTION("IF(ISBLANK(B938),"""",IF(Or(I938=""Em Aberto"",ISBLANK(I938),NOT(ISDATE(B938))),"""",H938))"),"")</f>
        <v/>
      </c>
      <c r="M938" s="29" t="str">
        <f>IFERROR(__xludf.DUMMYFUNCTION("IF(ISBLANK(B938),"""",IF(ISDATE(B938),TEXT(B938,""m""),""""))"),"")</f>
        <v/>
      </c>
      <c r="N938" s="29" t="str">
        <f>IFERROR(__xludf.DUMMYFUNCTION("IF(M938="""","""",QUERY({'Dashboard-Dados'!$Y$2:$AA$13},""Select Col2 Where Col1=""&amp;M938))"),"")</f>
        <v/>
      </c>
      <c r="O938" s="29" t="str">
        <f>IFERROR(__xludf.DUMMYFUNCTION("IF(ISBLANK(B938),"""",IF(ISDATE(B938),TEXT(B938,""yyyy""),""""))"),"")</f>
        <v/>
      </c>
    </row>
    <row r="939">
      <c r="B939" s="62"/>
      <c r="C939" s="56"/>
      <c r="D939" s="56"/>
      <c r="E939" s="56"/>
      <c r="F939" s="63"/>
      <c r="G939" s="64"/>
      <c r="H939" s="65"/>
      <c r="I939" s="63"/>
      <c r="K939" s="53" t="str">
        <f>IFERROR(__xludf.DUMMYFUNCTION("IF(ISBLANK(B939),"""",IF(ISDATE(B939),""X"",""""))"),"")</f>
        <v/>
      </c>
      <c r="L939" s="40" t="str">
        <f>IFERROR(__xludf.DUMMYFUNCTION("IF(ISBLANK(B939),"""",IF(Or(I939=""Em Aberto"",ISBLANK(I939),NOT(ISDATE(B939))),"""",H939))"),"")</f>
        <v/>
      </c>
      <c r="M939" s="29" t="str">
        <f>IFERROR(__xludf.DUMMYFUNCTION("IF(ISBLANK(B939),"""",IF(ISDATE(B939),TEXT(B939,""m""),""""))"),"")</f>
        <v/>
      </c>
      <c r="N939" s="29" t="str">
        <f>IFERROR(__xludf.DUMMYFUNCTION("IF(M939="""","""",QUERY({'Dashboard-Dados'!$Y$2:$AA$13},""Select Col2 Where Col1=""&amp;M939))"),"")</f>
        <v/>
      </c>
      <c r="O939" s="29" t="str">
        <f>IFERROR(__xludf.DUMMYFUNCTION("IF(ISBLANK(B939),"""",IF(ISDATE(B939),TEXT(B939,""yyyy""),""""))"),"")</f>
        <v/>
      </c>
    </row>
    <row r="940">
      <c r="B940" s="62"/>
      <c r="C940" s="56"/>
      <c r="D940" s="56"/>
      <c r="E940" s="56"/>
      <c r="F940" s="63"/>
      <c r="G940" s="64"/>
      <c r="H940" s="65"/>
      <c r="I940" s="63"/>
      <c r="K940" s="53" t="str">
        <f>IFERROR(__xludf.DUMMYFUNCTION("IF(ISBLANK(B940),"""",IF(ISDATE(B940),""X"",""""))"),"")</f>
        <v/>
      </c>
      <c r="L940" s="40" t="str">
        <f>IFERROR(__xludf.DUMMYFUNCTION("IF(ISBLANK(B940),"""",IF(Or(I940=""Em Aberto"",ISBLANK(I940),NOT(ISDATE(B940))),"""",H940))"),"")</f>
        <v/>
      </c>
      <c r="M940" s="29" t="str">
        <f>IFERROR(__xludf.DUMMYFUNCTION("IF(ISBLANK(B940),"""",IF(ISDATE(B940),TEXT(B940,""m""),""""))"),"")</f>
        <v/>
      </c>
      <c r="N940" s="29" t="str">
        <f>IFERROR(__xludf.DUMMYFUNCTION("IF(M940="""","""",QUERY({'Dashboard-Dados'!$Y$2:$AA$13},""Select Col2 Where Col1=""&amp;M940))"),"")</f>
        <v/>
      </c>
      <c r="O940" s="29" t="str">
        <f>IFERROR(__xludf.DUMMYFUNCTION("IF(ISBLANK(B940),"""",IF(ISDATE(B940),TEXT(B940,""yyyy""),""""))"),"")</f>
        <v/>
      </c>
    </row>
    <row r="941">
      <c r="B941" s="62"/>
      <c r="C941" s="56"/>
      <c r="D941" s="56"/>
      <c r="E941" s="56"/>
      <c r="F941" s="63"/>
      <c r="G941" s="64"/>
      <c r="H941" s="65"/>
      <c r="I941" s="63"/>
      <c r="K941" s="53" t="str">
        <f>IFERROR(__xludf.DUMMYFUNCTION("IF(ISBLANK(B941),"""",IF(ISDATE(B941),""X"",""""))"),"")</f>
        <v/>
      </c>
      <c r="L941" s="40" t="str">
        <f>IFERROR(__xludf.DUMMYFUNCTION("IF(ISBLANK(B941),"""",IF(Or(I941=""Em Aberto"",ISBLANK(I941),NOT(ISDATE(B941))),"""",H941))"),"")</f>
        <v/>
      </c>
      <c r="M941" s="29" t="str">
        <f>IFERROR(__xludf.DUMMYFUNCTION("IF(ISBLANK(B941),"""",IF(ISDATE(B941),TEXT(B941,""m""),""""))"),"")</f>
        <v/>
      </c>
      <c r="N941" s="29" t="str">
        <f>IFERROR(__xludf.DUMMYFUNCTION("IF(M941="""","""",QUERY({'Dashboard-Dados'!$Y$2:$AA$13},""Select Col2 Where Col1=""&amp;M941))"),"")</f>
        <v/>
      </c>
      <c r="O941" s="29" t="str">
        <f>IFERROR(__xludf.DUMMYFUNCTION("IF(ISBLANK(B941),"""",IF(ISDATE(B941),TEXT(B941,""yyyy""),""""))"),"")</f>
        <v/>
      </c>
    </row>
    <row r="942">
      <c r="B942" s="62"/>
      <c r="C942" s="56"/>
      <c r="D942" s="56"/>
      <c r="E942" s="56"/>
      <c r="F942" s="63"/>
      <c r="G942" s="64"/>
      <c r="H942" s="65"/>
      <c r="I942" s="63"/>
      <c r="K942" s="53" t="str">
        <f>IFERROR(__xludf.DUMMYFUNCTION("IF(ISBLANK(B942),"""",IF(ISDATE(B942),""X"",""""))"),"")</f>
        <v/>
      </c>
      <c r="L942" s="40" t="str">
        <f>IFERROR(__xludf.DUMMYFUNCTION("IF(ISBLANK(B942),"""",IF(Or(I942=""Em Aberto"",ISBLANK(I942),NOT(ISDATE(B942))),"""",H942))"),"")</f>
        <v/>
      </c>
      <c r="M942" s="29" t="str">
        <f>IFERROR(__xludf.DUMMYFUNCTION("IF(ISBLANK(B942),"""",IF(ISDATE(B942),TEXT(B942,""m""),""""))"),"")</f>
        <v/>
      </c>
      <c r="N942" s="29" t="str">
        <f>IFERROR(__xludf.DUMMYFUNCTION("IF(M942="""","""",QUERY({'Dashboard-Dados'!$Y$2:$AA$13},""Select Col2 Where Col1=""&amp;M942))"),"")</f>
        <v/>
      </c>
      <c r="O942" s="29" t="str">
        <f>IFERROR(__xludf.DUMMYFUNCTION("IF(ISBLANK(B942),"""",IF(ISDATE(B942),TEXT(B942,""yyyy""),""""))"),"")</f>
        <v/>
      </c>
    </row>
    <row r="943">
      <c r="B943" s="62"/>
      <c r="C943" s="56"/>
      <c r="D943" s="56"/>
      <c r="E943" s="56"/>
      <c r="F943" s="63"/>
      <c r="G943" s="64"/>
      <c r="H943" s="65"/>
      <c r="I943" s="63"/>
      <c r="K943" s="53" t="str">
        <f>IFERROR(__xludf.DUMMYFUNCTION("IF(ISBLANK(B943),"""",IF(ISDATE(B943),""X"",""""))"),"")</f>
        <v/>
      </c>
      <c r="L943" s="40" t="str">
        <f>IFERROR(__xludf.DUMMYFUNCTION("IF(ISBLANK(B943),"""",IF(Or(I943=""Em Aberto"",ISBLANK(I943),NOT(ISDATE(B943))),"""",H943))"),"")</f>
        <v/>
      </c>
      <c r="M943" s="29" t="str">
        <f>IFERROR(__xludf.DUMMYFUNCTION("IF(ISBLANK(B943),"""",IF(ISDATE(B943),TEXT(B943,""m""),""""))"),"")</f>
        <v/>
      </c>
      <c r="N943" s="29" t="str">
        <f>IFERROR(__xludf.DUMMYFUNCTION("IF(M943="""","""",QUERY({'Dashboard-Dados'!$Y$2:$AA$13},""Select Col2 Where Col1=""&amp;M943))"),"")</f>
        <v/>
      </c>
      <c r="O943" s="29" t="str">
        <f>IFERROR(__xludf.DUMMYFUNCTION("IF(ISBLANK(B943),"""",IF(ISDATE(B943),TEXT(B943,""yyyy""),""""))"),"")</f>
        <v/>
      </c>
    </row>
    <row r="944">
      <c r="B944" s="62"/>
      <c r="C944" s="56"/>
      <c r="D944" s="56"/>
      <c r="E944" s="56"/>
      <c r="F944" s="63"/>
      <c r="G944" s="64"/>
      <c r="H944" s="65"/>
      <c r="I944" s="63"/>
      <c r="K944" s="53" t="str">
        <f>IFERROR(__xludf.DUMMYFUNCTION("IF(ISBLANK(B944),"""",IF(ISDATE(B944),""X"",""""))"),"")</f>
        <v/>
      </c>
      <c r="L944" s="40" t="str">
        <f>IFERROR(__xludf.DUMMYFUNCTION("IF(ISBLANK(B944),"""",IF(Or(I944=""Em Aberto"",ISBLANK(I944),NOT(ISDATE(B944))),"""",H944))"),"")</f>
        <v/>
      </c>
      <c r="M944" s="29" t="str">
        <f>IFERROR(__xludf.DUMMYFUNCTION("IF(ISBLANK(B944),"""",IF(ISDATE(B944),TEXT(B944,""m""),""""))"),"")</f>
        <v/>
      </c>
      <c r="N944" s="29" t="str">
        <f>IFERROR(__xludf.DUMMYFUNCTION("IF(M944="""","""",QUERY({'Dashboard-Dados'!$Y$2:$AA$13},""Select Col2 Where Col1=""&amp;M944))"),"")</f>
        <v/>
      </c>
      <c r="O944" s="29" t="str">
        <f>IFERROR(__xludf.DUMMYFUNCTION("IF(ISBLANK(B944),"""",IF(ISDATE(B944),TEXT(B944,""yyyy""),""""))"),"")</f>
        <v/>
      </c>
    </row>
    <row r="945">
      <c r="B945" s="62"/>
      <c r="C945" s="56"/>
      <c r="D945" s="56"/>
      <c r="E945" s="56"/>
      <c r="F945" s="63"/>
      <c r="G945" s="64"/>
      <c r="H945" s="65"/>
      <c r="I945" s="63"/>
      <c r="K945" s="53" t="str">
        <f>IFERROR(__xludf.DUMMYFUNCTION("IF(ISBLANK(B945),"""",IF(ISDATE(B945),""X"",""""))"),"")</f>
        <v/>
      </c>
      <c r="L945" s="40" t="str">
        <f>IFERROR(__xludf.DUMMYFUNCTION("IF(ISBLANK(B945),"""",IF(Or(I945=""Em Aberto"",ISBLANK(I945),NOT(ISDATE(B945))),"""",H945))"),"")</f>
        <v/>
      </c>
      <c r="M945" s="29" t="str">
        <f>IFERROR(__xludf.DUMMYFUNCTION("IF(ISBLANK(B945),"""",IF(ISDATE(B945),TEXT(B945,""m""),""""))"),"")</f>
        <v/>
      </c>
      <c r="N945" s="29" t="str">
        <f>IFERROR(__xludf.DUMMYFUNCTION("IF(M945="""","""",QUERY({'Dashboard-Dados'!$Y$2:$AA$13},""Select Col2 Where Col1=""&amp;M945))"),"")</f>
        <v/>
      </c>
      <c r="O945" s="29" t="str">
        <f>IFERROR(__xludf.DUMMYFUNCTION("IF(ISBLANK(B945),"""",IF(ISDATE(B945),TEXT(B945,""yyyy""),""""))"),"")</f>
        <v/>
      </c>
    </row>
    <row r="946">
      <c r="B946" s="62"/>
      <c r="C946" s="56"/>
      <c r="D946" s="56"/>
      <c r="E946" s="56"/>
      <c r="F946" s="63"/>
      <c r="G946" s="64"/>
      <c r="H946" s="65"/>
      <c r="I946" s="63"/>
      <c r="K946" s="53" t="str">
        <f>IFERROR(__xludf.DUMMYFUNCTION("IF(ISBLANK(B946),"""",IF(ISDATE(B946),""X"",""""))"),"")</f>
        <v/>
      </c>
      <c r="L946" s="40" t="str">
        <f>IFERROR(__xludf.DUMMYFUNCTION("IF(ISBLANK(B946),"""",IF(Or(I946=""Em Aberto"",ISBLANK(I946),NOT(ISDATE(B946))),"""",H946))"),"")</f>
        <v/>
      </c>
      <c r="M946" s="29" t="str">
        <f>IFERROR(__xludf.DUMMYFUNCTION("IF(ISBLANK(B946),"""",IF(ISDATE(B946),TEXT(B946,""m""),""""))"),"")</f>
        <v/>
      </c>
      <c r="N946" s="29" t="str">
        <f>IFERROR(__xludf.DUMMYFUNCTION("IF(M946="""","""",QUERY({'Dashboard-Dados'!$Y$2:$AA$13},""Select Col2 Where Col1=""&amp;M946))"),"")</f>
        <v/>
      </c>
      <c r="O946" s="29" t="str">
        <f>IFERROR(__xludf.DUMMYFUNCTION("IF(ISBLANK(B946),"""",IF(ISDATE(B946),TEXT(B946,""yyyy""),""""))"),"")</f>
        <v/>
      </c>
    </row>
    <row r="947">
      <c r="B947" s="62"/>
      <c r="C947" s="56"/>
      <c r="D947" s="56"/>
      <c r="E947" s="56"/>
      <c r="F947" s="63"/>
      <c r="G947" s="64"/>
      <c r="H947" s="65"/>
      <c r="I947" s="63"/>
      <c r="K947" s="53" t="str">
        <f>IFERROR(__xludf.DUMMYFUNCTION("IF(ISBLANK(B947),"""",IF(ISDATE(B947),""X"",""""))"),"")</f>
        <v/>
      </c>
      <c r="L947" s="40" t="str">
        <f>IFERROR(__xludf.DUMMYFUNCTION("IF(ISBLANK(B947),"""",IF(Or(I947=""Em Aberto"",ISBLANK(I947),NOT(ISDATE(B947))),"""",H947))"),"")</f>
        <v/>
      </c>
      <c r="M947" s="29" t="str">
        <f>IFERROR(__xludf.DUMMYFUNCTION("IF(ISBLANK(B947),"""",IF(ISDATE(B947),TEXT(B947,""m""),""""))"),"")</f>
        <v/>
      </c>
      <c r="N947" s="29" t="str">
        <f>IFERROR(__xludf.DUMMYFUNCTION("IF(M947="""","""",QUERY({'Dashboard-Dados'!$Y$2:$AA$13},""Select Col2 Where Col1=""&amp;M947))"),"")</f>
        <v/>
      </c>
      <c r="O947" s="29" t="str">
        <f>IFERROR(__xludf.DUMMYFUNCTION("IF(ISBLANK(B947),"""",IF(ISDATE(B947),TEXT(B947,""yyyy""),""""))"),"")</f>
        <v/>
      </c>
    </row>
    <row r="948">
      <c r="B948" s="62"/>
      <c r="C948" s="56"/>
      <c r="D948" s="56"/>
      <c r="E948" s="56"/>
      <c r="F948" s="63"/>
      <c r="G948" s="64"/>
      <c r="H948" s="65"/>
      <c r="I948" s="63"/>
      <c r="K948" s="53" t="str">
        <f>IFERROR(__xludf.DUMMYFUNCTION("IF(ISBLANK(B948),"""",IF(ISDATE(B948),""X"",""""))"),"")</f>
        <v/>
      </c>
      <c r="L948" s="40" t="str">
        <f>IFERROR(__xludf.DUMMYFUNCTION("IF(ISBLANK(B948),"""",IF(Or(I948=""Em Aberto"",ISBLANK(I948),NOT(ISDATE(B948))),"""",H948))"),"")</f>
        <v/>
      </c>
      <c r="M948" s="29" t="str">
        <f>IFERROR(__xludf.DUMMYFUNCTION("IF(ISBLANK(B948),"""",IF(ISDATE(B948),TEXT(B948,""m""),""""))"),"")</f>
        <v/>
      </c>
      <c r="N948" s="29" t="str">
        <f>IFERROR(__xludf.DUMMYFUNCTION("IF(M948="""","""",QUERY({'Dashboard-Dados'!$Y$2:$AA$13},""Select Col2 Where Col1=""&amp;M948))"),"")</f>
        <v/>
      </c>
      <c r="O948" s="29" t="str">
        <f>IFERROR(__xludf.DUMMYFUNCTION("IF(ISBLANK(B948),"""",IF(ISDATE(B948),TEXT(B948,""yyyy""),""""))"),"")</f>
        <v/>
      </c>
    </row>
    <row r="949">
      <c r="B949" s="62"/>
      <c r="C949" s="56"/>
      <c r="D949" s="56"/>
      <c r="E949" s="56"/>
      <c r="F949" s="63"/>
      <c r="G949" s="64"/>
      <c r="H949" s="65"/>
      <c r="I949" s="63"/>
      <c r="K949" s="53" t="str">
        <f>IFERROR(__xludf.DUMMYFUNCTION("IF(ISBLANK(B949),"""",IF(ISDATE(B949),""X"",""""))"),"")</f>
        <v/>
      </c>
      <c r="L949" s="40" t="str">
        <f>IFERROR(__xludf.DUMMYFUNCTION("IF(ISBLANK(B949),"""",IF(Or(I949=""Em Aberto"",ISBLANK(I949),NOT(ISDATE(B949))),"""",H949))"),"")</f>
        <v/>
      </c>
      <c r="M949" s="29" t="str">
        <f>IFERROR(__xludf.DUMMYFUNCTION("IF(ISBLANK(B949),"""",IF(ISDATE(B949),TEXT(B949,""m""),""""))"),"")</f>
        <v/>
      </c>
      <c r="N949" s="29" t="str">
        <f>IFERROR(__xludf.DUMMYFUNCTION("IF(M949="""","""",QUERY({'Dashboard-Dados'!$Y$2:$AA$13},""Select Col2 Where Col1=""&amp;M949))"),"")</f>
        <v/>
      </c>
      <c r="O949" s="29" t="str">
        <f>IFERROR(__xludf.DUMMYFUNCTION("IF(ISBLANK(B949),"""",IF(ISDATE(B949),TEXT(B949,""yyyy""),""""))"),"")</f>
        <v/>
      </c>
    </row>
    <row r="950">
      <c r="B950" s="62"/>
      <c r="C950" s="56"/>
      <c r="D950" s="56"/>
      <c r="E950" s="56"/>
      <c r="F950" s="63"/>
      <c r="G950" s="64"/>
      <c r="H950" s="65"/>
      <c r="I950" s="63"/>
      <c r="K950" s="53" t="str">
        <f>IFERROR(__xludf.DUMMYFUNCTION("IF(ISBLANK(B950),"""",IF(ISDATE(B950),""X"",""""))"),"")</f>
        <v/>
      </c>
      <c r="L950" s="40" t="str">
        <f>IFERROR(__xludf.DUMMYFUNCTION("IF(ISBLANK(B950),"""",IF(Or(I950=""Em Aberto"",ISBLANK(I950),NOT(ISDATE(B950))),"""",H950))"),"")</f>
        <v/>
      </c>
      <c r="M950" s="29" t="str">
        <f>IFERROR(__xludf.DUMMYFUNCTION("IF(ISBLANK(B950),"""",IF(ISDATE(B950),TEXT(B950,""m""),""""))"),"")</f>
        <v/>
      </c>
      <c r="N950" s="29" t="str">
        <f>IFERROR(__xludf.DUMMYFUNCTION("IF(M950="""","""",QUERY({'Dashboard-Dados'!$Y$2:$AA$13},""Select Col2 Where Col1=""&amp;M950))"),"")</f>
        <v/>
      </c>
      <c r="O950" s="29" t="str">
        <f>IFERROR(__xludf.DUMMYFUNCTION("IF(ISBLANK(B950),"""",IF(ISDATE(B950),TEXT(B950,""yyyy""),""""))"),"")</f>
        <v/>
      </c>
    </row>
    <row r="951">
      <c r="B951" s="62"/>
      <c r="C951" s="56"/>
      <c r="D951" s="56"/>
      <c r="E951" s="56"/>
      <c r="F951" s="63"/>
      <c r="G951" s="64"/>
      <c r="H951" s="65"/>
      <c r="I951" s="63"/>
      <c r="K951" s="53" t="str">
        <f>IFERROR(__xludf.DUMMYFUNCTION("IF(ISBLANK(B951),"""",IF(ISDATE(B951),""X"",""""))"),"")</f>
        <v/>
      </c>
      <c r="L951" s="40" t="str">
        <f>IFERROR(__xludf.DUMMYFUNCTION("IF(ISBLANK(B951),"""",IF(Or(I951=""Em Aberto"",ISBLANK(I951),NOT(ISDATE(B951))),"""",H951))"),"")</f>
        <v/>
      </c>
      <c r="M951" s="29" t="str">
        <f>IFERROR(__xludf.DUMMYFUNCTION("IF(ISBLANK(B951),"""",IF(ISDATE(B951),TEXT(B951,""m""),""""))"),"")</f>
        <v/>
      </c>
      <c r="N951" s="29" t="str">
        <f>IFERROR(__xludf.DUMMYFUNCTION("IF(M951="""","""",QUERY({'Dashboard-Dados'!$Y$2:$AA$13},""Select Col2 Where Col1=""&amp;M951))"),"")</f>
        <v/>
      </c>
      <c r="O951" s="29" t="str">
        <f>IFERROR(__xludf.DUMMYFUNCTION("IF(ISBLANK(B951),"""",IF(ISDATE(B951),TEXT(B951,""yyyy""),""""))"),"")</f>
        <v/>
      </c>
    </row>
    <row r="952">
      <c r="B952" s="62"/>
      <c r="C952" s="56"/>
      <c r="D952" s="56"/>
      <c r="E952" s="56"/>
      <c r="F952" s="63"/>
      <c r="G952" s="64"/>
      <c r="H952" s="65"/>
      <c r="I952" s="63"/>
      <c r="K952" s="53" t="str">
        <f>IFERROR(__xludf.DUMMYFUNCTION("IF(ISBLANK(B952),"""",IF(ISDATE(B952),""X"",""""))"),"")</f>
        <v/>
      </c>
      <c r="L952" s="40" t="str">
        <f>IFERROR(__xludf.DUMMYFUNCTION("IF(ISBLANK(B952),"""",IF(Or(I952=""Em Aberto"",ISBLANK(I952),NOT(ISDATE(B952))),"""",H952))"),"")</f>
        <v/>
      </c>
      <c r="M952" s="29" t="str">
        <f>IFERROR(__xludf.DUMMYFUNCTION("IF(ISBLANK(B952),"""",IF(ISDATE(B952),TEXT(B952,""m""),""""))"),"")</f>
        <v/>
      </c>
      <c r="N952" s="29" t="str">
        <f>IFERROR(__xludf.DUMMYFUNCTION("IF(M952="""","""",QUERY({'Dashboard-Dados'!$Y$2:$AA$13},""Select Col2 Where Col1=""&amp;M952))"),"")</f>
        <v/>
      </c>
      <c r="O952" s="29" t="str">
        <f>IFERROR(__xludf.DUMMYFUNCTION("IF(ISBLANK(B952),"""",IF(ISDATE(B952),TEXT(B952,""yyyy""),""""))"),"")</f>
        <v/>
      </c>
    </row>
    <row r="953">
      <c r="B953" s="62"/>
      <c r="C953" s="56"/>
      <c r="D953" s="56"/>
      <c r="E953" s="56"/>
      <c r="F953" s="63"/>
      <c r="G953" s="64"/>
      <c r="H953" s="65"/>
      <c r="I953" s="63"/>
      <c r="K953" s="53" t="str">
        <f>IFERROR(__xludf.DUMMYFUNCTION("IF(ISBLANK(B953),"""",IF(ISDATE(B953),""X"",""""))"),"")</f>
        <v/>
      </c>
      <c r="L953" s="40" t="str">
        <f>IFERROR(__xludf.DUMMYFUNCTION("IF(ISBLANK(B953),"""",IF(Or(I953=""Em Aberto"",ISBLANK(I953),NOT(ISDATE(B953))),"""",H953))"),"")</f>
        <v/>
      </c>
      <c r="M953" s="29" t="str">
        <f>IFERROR(__xludf.DUMMYFUNCTION("IF(ISBLANK(B953),"""",IF(ISDATE(B953),TEXT(B953,""m""),""""))"),"")</f>
        <v/>
      </c>
      <c r="N953" s="29" t="str">
        <f>IFERROR(__xludf.DUMMYFUNCTION("IF(M953="""","""",QUERY({'Dashboard-Dados'!$Y$2:$AA$13},""Select Col2 Where Col1=""&amp;M953))"),"")</f>
        <v/>
      </c>
      <c r="O953" s="29" t="str">
        <f>IFERROR(__xludf.DUMMYFUNCTION("IF(ISBLANK(B953),"""",IF(ISDATE(B953),TEXT(B953,""yyyy""),""""))"),"")</f>
        <v/>
      </c>
    </row>
    <row r="954">
      <c r="B954" s="62"/>
      <c r="C954" s="56"/>
      <c r="D954" s="56"/>
      <c r="E954" s="56"/>
      <c r="F954" s="63"/>
      <c r="G954" s="64"/>
      <c r="H954" s="65"/>
      <c r="I954" s="63"/>
      <c r="K954" s="53" t="str">
        <f>IFERROR(__xludf.DUMMYFUNCTION("IF(ISBLANK(B954),"""",IF(ISDATE(B954),""X"",""""))"),"")</f>
        <v/>
      </c>
      <c r="L954" s="40" t="str">
        <f>IFERROR(__xludf.DUMMYFUNCTION("IF(ISBLANK(B954),"""",IF(Or(I954=""Em Aberto"",ISBLANK(I954),NOT(ISDATE(B954))),"""",H954))"),"")</f>
        <v/>
      </c>
      <c r="M954" s="29" t="str">
        <f>IFERROR(__xludf.DUMMYFUNCTION("IF(ISBLANK(B954),"""",IF(ISDATE(B954),TEXT(B954,""m""),""""))"),"")</f>
        <v/>
      </c>
      <c r="N954" s="29" t="str">
        <f>IFERROR(__xludf.DUMMYFUNCTION("IF(M954="""","""",QUERY({'Dashboard-Dados'!$Y$2:$AA$13},""Select Col2 Where Col1=""&amp;M954))"),"")</f>
        <v/>
      </c>
      <c r="O954" s="29" t="str">
        <f>IFERROR(__xludf.DUMMYFUNCTION("IF(ISBLANK(B954),"""",IF(ISDATE(B954),TEXT(B954,""yyyy""),""""))"),"")</f>
        <v/>
      </c>
    </row>
    <row r="955">
      <c r="B955" s="62"/>
      <c r="C955" s="56"/>
      <c r="D955" s="56"/>
      <c r="E955" s="56"/>
      <c r="F955" s="63"/>
      <c r="G955" s="64"/>
      <c r="H955" s="65"/>
      <c r="I955" s="63"/>
      <c r="K955" s="53" t="str">
        <f>IFERROR(__xludf.DUMMYFUNCTION("IF(ISBLANK(B955),"""",IF(ISDATE(B955),""X"",""""))"),"")</f>
        <v/>
      </c>
      <c r="L955" s="40" t="str">
        <f>IFERROR(__xludf.DUMMYFUNCTION("IF(ISBLANK(B955),"""",IF(Or(I955=""Em Aberto"",ISBLANK(I955),NOT(ISDATE(B955))),"""",H955))"),"")</f>
        <v/>
      </c>
      <c r="M955" s="29" t="str">
        <f>IFERROR(__xludf.DUMMYFUNCTION("IF(ISBLANK(B955),"""",IF(ISDATE(B955),TEXT(B955,""m""),""""))"),"")</f>
        <v/>
      </c>
      <c r="N955" s="29" t="str">
        <f>IFERROR(__xludf.DUMMYFUNCTION("IF(M955="""","""",QUERY({'Dashboard-Dados'!$Y$2:$AA$13},""Select Col2 Where Col1=""&amp;M955))"),"")</f>
        <v/>
      </c>
      <c r="O955" s="29" t="str">
        <f>IFERROR(__xludf.DUMMYFUNCTION("IF(ISBLANK(B955),"""",IF(ISDATE(B955),TEXT(B955,""yyyy""),""""))"),"")</f>
        <v/>
      </c>
    </row>
    <row r="956">
      <c r="B956" s="62"/>
      <c r="C956" s="56"/>
      <c r="D956" s="56"/>
      <c r="E956" s="56"/>
      <c r="F956" s="63"/>
      <c r="G956" s="64"/>
      <c r="H956" s="65"/>
      <c r="I956" s="63"/>
      <c r="K956" s="53" t="str">
        <f>IFERROR(__xludf.DUMMYFUNCTION("IF(ISBLANK(B956),"""",IF(ISDATE(B956),""X"",""""))"),"")</f>
        <v/>
      </c>
      <c r="L956" s="40" t="str">
        <f>IFERROR(__xludf.DUMMYFUNCTION("IF(ISBLANK(B956),"""",IF(Or(I956=""Em Aberto"",ISBLANK(I956),NOT(ISDATE(B956))),"""",H956))"),"")</f>
        <v/>
      </c>
      <c r="M956" s="29" t="str">
        <f>IFERROR(__xludf.DUMMYFUNCTION("IF(ISBLANK(B956),"""",IF(ISDATE(B956),TEXT(B956,""m""),""""))"),"")</f>
        <v/>
      </c>
      <c r="N956" s="29" t="str">
        <f>IFERROR(__xludf.DUMMYFUNCTION("IF(M956="""","""",QUERY({'Dashboard-Dados'!$Y$2:$AA$13},""Select Col2 Where Col1=""&amp;M956))"),"")</f>
        <v/>
      </c>
      <c r="O956" s="29" t="str">
        <f>IFERROR(__xludf.DUMMYFUNCTION("IF(ISBLANK(B956),"""",IF(ISDATE(B956),TEXT(B956,""yyyy""),""""))"),"")</f>
        <v/>
      </c>
    </row>
    <row r="957">
      <c r="B957" s="62"/>
      <c r="C957" s="56"/>
      <c r="D957" s="56"/>
      <c r="E957" s="56"/>
      <c r="F957" s="63"/>
      <c r="G957" s="64"/>
      <c r="H957" s="65"/>
      <c r="I957" s="63"/>
      <c r="K957" s="53" t="str">
        <f>IFERROR(__xludf.DUMMYFUNCTION("IF(ISBLANK(B957),"""",IF(ISDATE(B957),""X"",""""))"),"")</f>
        <v/>
      </c>
      <c r="L957" s="40" t="str">
        <f>IFERROR(__xludf.DUMMYFUNCTION("IF(ISBLANK(B957),"""",IF(Or(I957=""Em Aberto"",ISBLANK(I957),NOT(ISDATE(B957))),"""",H957))"),"")</f>
        <v/>
      </c>
      <c r="M957" s="29" t="str">
        <f>IFERROR(__xludf.DUMMYFUNCTION("IF(ISBLANK(B957),"""",IF(ISDATE(B957),TEXT(B957,""m""),""""))"),"")</f>
        <v/>
      </c>
      <c r="N957" s="29" t="str">
        <f>IFERROR(__xludf.DUMMYFUNCTION("IF(M957="""","""",QUERY({'Dashboard-Dados'!$Y$2:$AA$13},""Select Col2 Where Col1=""&amp;M957))"),"")</f>
        <v/>
      </c>
      <c r="O957" s="29" t="str">
        <f>IFERROR(__xludf.DUMMYFUNCTION("IF(ISBLANK(B957),"""",IF(ISDATE(B957),TEXT(B957,""yyyy""),""""))"),"")</f>
        <v/>
      </c>
    </row>
    <row r="958">
      <c r="B958" s="62"/>
      <c r="C958" s="56"/>
      <c r="D958" s="56"/>
      <c r="E958" s="56"/>
      <c r="F958" s="63"/>
      <c r="G958" s="64"/>
      <c r="H958" s="65"/>
      <c r="I958" s="63"/>
      <c r="K958" s="53" t="str">
        <f>IFERROR(__xludf.DUMMYFUNCTION("IF(ISBLANK(B958),"""",IF(ISDATE(B958),""X"",""""))"),"")</f>
        <v/>
      </c>
      <c r="L958" s="40" t="str">
        <f>IFERROR(__xludf.DUMMYFUNCTION("IF(ISBLANK(B958),"""",IF(Or(I958=""Em Aberto"",ISBLANK(I958),NOT(ISDATE(B958))),"""",H958))"),"")</f>
        <v/>
      </c>
      <c r="M958" s="29" t="str">
        <f>IFERROR(__xludf.DUMMYFUNCTION("IF(ISBLANK(B958),"""",IF(ISDATE(B958),TEXT(B958,""m""),""""))"),"")</f>
        <v/>
      </c>
      <c r="N958" s="29" t="str">
        <f>IFERROR(__xludf.DUMMYFUNCTION("IF(M958="""","""",QUERY({'Dashboard-Dados'!$Y$2:$AA$13},""Select Col2 Where Col1=""&amp;M958))"),"")</f>
        <v/>
      </c>
      <c r="O958" s="29" t="str">
        <f>IFERROR(__xludf.DUMMYFUNCTION("IF(ISBLANK(B958),"""",IF(ISDATE(B958),TEXT(B958,""yyyy""),""""))"),"")</f>
        <v/>
      </c>
    </row>
    <row r="959">
      <c r="B959" s="62"/>
      <c r="C959" s="56"/>
      <c r="D959" s="56"/>
      <c r="E959" s="56"/>
      <c r="F959" s="63"/>
      <c r="G959" s="64"/>
      <c r="H959" s="65"/>
      <c r="I959" s="63"/>
      <c r="K959" s="53" t="str">
        <f>IFERROR(__xludf.DUMMYFUNCTION("IF(ISBLANK(B959),"""",IF(ISDATE(B959),""X"",""""))"),"")</f>
        <v/>
      </c>
      <c r="L959" s="40" t="str">
        <f>IFERROR(__xludf.DUMMYFUNCTION("IF(ISBLANK(B959),"""",IF(Or(I959=""Em Aberto"",ISBLANK(I959),NOT(ISDATE(B959))),"""",H959))"),"")</f>
        <v/>
      </c>
      <c r="M959" s="29" t="str">
        <f>IFERROR(__xludf.DUMMYFUNCTION("IF(ISBLANK(B959),"""",IF(ISDATE(B959),TEXT(B959,""m""),""""))"),"")</f>
        <v/>
      </c>
      <c r="N959" s="29" t="str">
        <f>IFERROR(__xludf.DUMMYFUNCTION("IF(M959="""","""",QUERY({'Dashboard-Dados'!$Y$2:$AA$13},""Select Col2 Where Col1=""&amp;M959))"),"")</f>
        <v/>
      </c>
      <c r="O959" s="29" t="str">
        <f>IFERROR(__xludf.DUMMYFUNCTION("IF(ISBLANK(B959),"""",IF(ISDATE(B959),TEXT(B959,""yyyy""),""""))"),"")</f>
        <v/>
      </c>
    </row>
    <row r="960">
      <c r="B960" s="62"/>
      <c r="C960" s="56"/>
      <c r="D960" s="56"/>
      <c r="E960" s="56"/>
      <c r="F960" s="63"/>
      <c r="G960" s="64"/>
      <c r="H960" s="65"/>
      <c r="I960" s="63"/>
      <c r="K960" s="53" t="str">
        <f>IFERROR(__xludf.DUMMYFUNCTION("IF(ISBLANK(B960),"""",IF(ISDATE(B960),""X"",""""))"),"")</f>
        <v/>
      </c>
      <c r="L960" s="40" t="str">
        <f>IFERROR(__xludf.DUMMYFUNCTION("IF(ISBLANK(B960),"""",IF(Or(I960=""Em Aberto"",ISBLANK(I960),NOT(ISDATE(B960))),"""",H960))"),"")</f>
        <v/>
      </c>
      <c r="M960" s="29" t="str">
        <f>IFERROR(__xludf.DUMMYFUNCTION("IF(ISBLANK(B960),"""",IF(ISDATE(B960),TEXT(B960,""m""),""""))"),"")</f>
        <v/>
      </c>
      <c r="N960" s="29" t="str">
        <f>IFERROR(__xludf.DUMMYFUNCTION("IF(M960="""","""",QUERY({'Dashboard-Dados'!$Y$2:$AA$13},""Select Col2 Where Col1=""&amp;M960))"),"")</f>
        <v/>
      </c>
      <c r="O960" s="29" t="str">
        <f>IFERROR(__xludf.DUMMYFUNCTION("IF(ISBLANK(B960),"""",IF(ISDATE(B960),TEXT(B960,""yyyy""),""""))"),"")</f>
        <v/>
      </c>
    </row>
    <row r="961">
      <c r="B961" s="62"/>
      <c r="C961" s="56"/>
      <c r="D961" s="56"/>
      <c r="E961" s="56"/>
      <c r="F961" s="63"/>
      <c r="G961" s="64"/>
      <c r="H961" s="65"/>
      <c r="I961" s="63"/>
      <c r="K961" s="53" t="str">
        <f>IFERROR(__xludf.DUMMYFUNCTION("IF(ISBLANK(B961),"""",IF(ISDATE(B961),""X"",""""))"),"")</f>
        <v/>
      </c>
      <c r="L961" s="40" t="str">
        <f>IFERROR(__xludf.DUMMYFUNCTION("IF(ISBLANK(B961),"""",IF(Or(I961=""Em Aberto"",ISBLANK(I961),NOT(ISDATE(B961))),"""",H961))"),"")</f>
        <v/>
      </c>
      <c r="M961" s="29" t="str">
        <f>IFERROR(__xludf.DUMMYFUNCTION("IF(ISBLANK(B961),"""",IF(ISDATE(B961),TEXT(B961,""m""),""""))"),"")</f>
        <v/>
      </c>
      <c r="N961" s="29" t="str">
        <f>IFERROR(__xludf.DUMMYFUNCTION("IF(M961="""","""",QUERY({'Dashboard-Dados'!$Y$2:$AA$13},""Select Col2 Where Col1=""&amp;M961))"),"")</f>
        <v/>
      </c>
      <c r="O961" s="29" t="str">
        <f>IFERROR(__xludf.DUMMYFUNCTION("IF(ISBLANK(B961),"""",IF(ISDATE(B961),TEXT(B961,""yyyy""),""""))"),"")</f>
        <v/>
      </c>
    </row>
    <row r="962">
      <c r="B962" s="62"/>
      <c r="C962" s="56"/>
      <c r="D962" s="56"/>
      <c r="E962" s="56"/>
      <c r="F962" s="63"/>
      <c r="G962" s="64"/>
      <c r="H962" s="65"/>
      <c r="I962" s="63"/>
      <c r="K962" s="53" t="str">
        <f>IFERROR(__xludf.DUMMYFUNCTION("IF(ISBLANK(B962),"""",IF(ISDATE(B962),""X"",""""))"),"")</f>
        <v/>
      </c>
      <c r="L962" s="40" t="str">
        <f>IFERROR(__xludf.DUMMYFUNCTION("IF(ISBLANK(B962),"""",IF(Or(I962=""Em Aberto"",ISBLANK(I962),NOT(ISDATE(B962))),"""",H962))"),"")</f>
        <v/>
      </c>
      <c r="M962" s="29" t="str">
        <f>IFERROR(__xludf.DUMMYFUNCTION("IF(ISBLANK(B962),"""",IF(ISDATE(B962),TEXT(B962,""m""),""""))"),"")</f>
        <v/>
      </c>
      <c r="N962" s="29" t="str">
        <f>IFERROR(__xludf.DUMMYFUNCTION("IF(M962="""","""",QUERY({'Dashboard-Dados'!$Y$2:$AA$13},""Select Col2 Where Col1=""&amp;M962))"),"")</f>
        <v/>
      </c>
      <c r="O962" s="29" t="str">
        <f>IFERROR(__xludf.DUMMYFUNCTION("IF(ISBLANK(B962),"""",IF(ISDATE(B962),TEXT(B962,""yyyy""),""""))"),"")</f>
        <v/>
      </c>
    </row>
    <row r="963">
      <c r="B963" s="62"/>
      <c r="C963" s="56"/>
      <c r="D963" s="56"/>
      <c r="E963" s="56"/>
      <c r="F963" s="63"/>
      <c r="G963" s="64"/>
      <c r="H963" s="65"/>
      <c r="I963" s="63"/>
      <c r="K963" s="53" t="str">
        <f>IFERROR(__xludf.DUMMYFUNCTION("IF(ISBLANK(B963),"""",IF(ISDATE(B963),""X"",""""))"),"")</f>
        <v/>
      </c>
      <c r="L963" s="40" t="str">
        <f>IFERROR(__xludf.DUMMYFUNCTION("IF(ISBLANK(B963),"""",IF(Or(I963=""Em Aberto"",ISBLANK(I963),NOT(ISDATE(B963))),"""",H963))"),"")</f>
        <v/>
      </c>
      <c r="M963" s="29" t="str">
        <f>IFERROR(__xludf.DUMMYFUNCTION("IF(ISBLANK(B963),"""",IF(ISDATE(B963),TEXT(B963,""m""),""""))"),"")</f>
        <v/>
      </c>
      <c r="N963" s="29" t="str">
        <f>IFERROR(__xludf.DUMMYFUNCTION("IF(M963="""","""",QUERY({'Dashboard-Dados'!$Y$2:$AA$13},""Select Col2 Where Col1=""&amp;M963))"),"")</f>
        <v/>
      </c>
      <c r="O963" s="29" t="str">
        <f>IFERROR(__xludf.DUMMYFUNCTION("IF(ISBLANK(B963),"""",IF(ISDATE(B963),TEXT(B963,""yyyy""),""""))"),"")</f>
        <v/>
      </c>
    </row>
    <row r="964">
      <c r="B964" s="62"/>
      <c r="C964" s="56"/>
      <c r="D964" s="56"/>
      <c r="E964" s="56"/>
      <c r="F964" s="63"/>
      <c r="G964" s="64"/>
      <c r="H964" s="65"/>
      <c r="I964" s="63"/>
      <c r="K964" s="53" t="str">
        <f>IFERROR(__xludf.DUMMYFUNCTION("IF(ISBLANK(B964),"""",IF(ISDATE(B964),""X"",""""))"),"")</f>
        <v/>
      </c>
      <c r="L964" s="40" t="str">
        <f>IFERROR(__xludf.DUMMYFUNCTION("IF(ISBLANK(B964),"""",IF(Or(I964=""Em Aberto"",ISBLANK(I964),NOT(ISDATE(B964))),"""",H964))"),"")</f>
        <v/>
      </c>
      <c r="M964" s="29" t="str">
        <f>IFERROR(__xludf.DUMMYFUNCTION("IF(ISBLANK(B964),"""",IF(ISDATE(B964),TEXT(B964,""m""),""""))"),"")</f>
        <v/>
      </c>
      <c r="N964" s="29" t="str">
        <f>IFERROR(__xludf.DUMMYFUNCTION("IF(M964="""","""",QUERY({'Dashboard-Dados'!$Y$2:$AA$13},""Select Col2 Where Col1=""&amp;M964))"),"")</f>
        <v/>
      </c>
      <c r="O964" s="29" t="str">
        <f>IFERROR(__xludf.DUMMYFUNCTION("IF(ISBLANK(B964),"""",IF(ISDATE(B964),TEXT(B964,""yyyy""),""""))"),"")</f>
        <v/>
      </c>
    </row>
    <row r="965">
      <c r="B965" s="62"/>
      <c r="C965" s="56"/>
      <c r="D965" s="56"/>
      <c r="E965" s="56"/>
      <c r="F965" s="63"/>
      <c r="G965" s="64"/>
      <c r="H965" s="65"/>
      <c r="I965" s="63"/>
      <c r="K965" s="53" t="str">
        <f>IFERROR(__xludf.DUMMYFUNCTION("IF(ISBLANK(B965),"""",IF(ISDATE(B965),""X"",""""))"),"")</f>
        <v/>
      </c>
      <c r="L965" s="40" t="str">
        <f>IFERROR(__xludf.DUMMYFUNCTION("IF(ISBLANK(B965),"""",IF(Or(I965=""Em Aberto"",ISBLANK(I965),NOT(ISDATE(B965))),"""",H965))"),"")</f>
        <v/>
      </c>
      <c r="M965" s="29" t="str">
        <f>IFERROR(__xludf.DUMMYFUNCTION("IF(ISBLANK(B965),"""",IF(ISDATE(B965),TEXT(B965,""m""),""""))"),"")</f>
        <v/>
      </c>
      <c r="N965" s="29" t="str">
        <f>IFERROR(__xludf.DUMMYFUNCTION("IF(M965="""","""",QUERY({'Dashboard-Dados'!$Y$2:$AA$13},""Select Col2 Where Col1=""&amp;M965))"),"")</f>
        <v/>
      </c>
      <c r="O965" s="29" t="str">
        <f>IFERROR(__xludf.DUMMYFUNCTION("IF(ISBLANK(B965),"""",IF(ISDATE(B965),TEXT(B965,""yyyy""),""""))"),"")</f>
        <v/>
      </c>
    </row>
    <row r="966">
      <c r="B966" s="62"/>
      <c r="C966" s="56"/>
      <c r="D966" s="56"/>
      <c r="E966" s="56"/>
      <c r="F966" s="63"/>
      <c r="G966" s="64"/>
      <c r="H966" s="65"/>
      <c r="I966" s="63"/>
      <c r="K966" s="53" t="str">
        <f>IFERROR(__xludf.DUMMYFUNCTION("IF(ISBLANK(B966),"""",IF(ISDATE(B966),""X"",""""))"),"")</f>
        <v/>
      </c>
      <c r="L966" s="40" t="str">
        <f>IFERROR(__xludf.DUMMYFUNCTION("IF(ISBLANK(B966),"""",IF(Or(I966=""Em Aberto"",ISBLANK(I966),NOT(ISDATE(B966))),"""",H966))"),"")</f>
        <v/>
      </c>
      <c r="M966" s="29" t="str">
        <f>IFERROR(__xludf.DUMMYFUNCTION("IF(ISBLANK(B966),"""",IF(ISDATE(B966),TEXT(B966,""m""),""""))"),"")</f>
        <v/>
      </c>
      <c r="N966" s="29" t="str">
        <f>IFERROR(__xludf.DUMMYFUNCTION("IF(M966="""","""",QUERY({'Dashboard-Dados'!$Y$2:$AA$13},""Select Col2 Where Col1=""&amp;M966))"),"")</f>
        <v/>
      </c>
      <c r="O966" s="29" t="str">
        <f>IFERROR(__xludf.DUMMYFUNCTION("IF(ISBLANK(B966),"""",IF(ISDATE(B966),TEXT(B966,""yyyy""),""""))"),"")</f>
        <v/>
      </c>
    </row>
    <row r="967">
      <c r="B967" s="62"/>
      <c r="C967" s="56"/>
      <c r="D967" s="56"/>
      <c r="E967" s="56"/>
      <c r="F967" s="63"/>
      <c r="G967" s="64"/>
      <c r="H967" s="65"/>
      <c r="I967" s="63"/>
      <c r="K967" s="53" t="str">
        <f>IFERROR(__xludf.DUMMYFUNCTION("IF(ISBLANK(B967),"""",IF(ISDATE(B967),""X"",""""))"),"")</f>
        <v/>
      </c>
      <c r="L967" s="40" t="str">
        <f>IFERROR(__xludf.DUMMYFUNCTION("IF(ISBLANK(B967),"""",IF(Or(I967=""Em Aberto"",ISBLANK(I967),NOT(ISDATE(B967))),"""",H967))"),"")</f>
        <v/>
      </c>
      <c r="M967" s="29" t="str">
        <f>IFERROR(__xludf.DUMMYFUNCTION("IF(ISBLANK(B967),"""",IF(ISDATE(B967),TEXT(B967,""m""),""""))"),"")</f>
        <v/>
      </c>
      <c r="N967" s="29" t="str">
        <f>IFERROR(__xludf.DUMMYFUNCTION("IF(M967="""","""",QUERY({'Dashboard-Dados'!$Y$2:$AA$13},""Select Col2 Where Col1=""&amp;M967))"),"")</f>
        <v/>
      </c>
      <c r="O967" s="29" t="str">
        <f>IFERROR(__xludf.DUMMYFUNCTION("IF(ISBLANK(B967),"""",IF(ISDATE(B967),TEXT(B967,""yyyy""),""""))"),"")</f>
        <v/>
      </c>
    </row>
    <row r="968">
      <c r="B968" s="62"/>
      <c r="C968" s="56"/>
      <c r="D968" s="56"/>
      <c r="E968" s="56"/>
      <c r="F968" s="63"/>
      <c r="G968" s="64"/>
      <c r="H968" s="65"/>
      <c r="I968" s="63"/>
      <c r="K968" s="53" t="str">
        <f>IFERROR(__xludf.DUMMYFUNCTION("IF(ISBLANK(B968),"""",IF(ISDATE(B968),""X"",""""))"),"")</f>
        <v/>
      </c>
      <c r="L968" s="40" t="str">
        <f>IFERROR(__xludf.DUMMYFUNCTION("IF(ISBLANK(B968),"""",IF(Or(I968=""Em Aberto"",ISBLANK(I968),NOT(ISDATE(B968))),"""",H968))"),"")</f>
        <v/>
      </c>
      <c r="M968" s="29" t="str">
        <f>IFERROR(__xludf.DUMMYFUNCTION("IF(ISBLANK(B968),"""",IF(ISDATE(B968),TEXT(B968,""m""),""""))"),"")</f>
        <v/>
      </c>
      <c r="N968" s="29" t="str">
        <f>IFERROR(__xludf.DUMMYFUNCTION("IF(M968="""","""",QUERY({'Dashboard-Dados'!$Y$2:$AA$13},""Select Col2 Where Col1=""&amp;M968))"),"")</f>
        <v/>
      </c>
      <c r="O968" s="29" t="str">
        <f>IFERROR(__xludf.DUMMYFUNCTION("IF(ISBLANK(B968),"""",IF(ISDATE(B968),TEXT(B968,""yyyy""),""""))"),"")</f>
        <v/>
      </c>
    </row>
    <row r="969">
      <c r="B969" s="62"/>
      <c r="C969" s="56"/>
      <c r="D969" s="56"/>
      <c r="E969" s="56"/>
      <c r="F969" s="63"/>
      <c r="G969" s="64"/>
      <c r="H969" s="65"/>
      <c r="I969" s="63"/>
      <c r="K969" s="53" t="str">
        <f>IFERROR(__xludf.DUMMYFUNCTION("IF(ISBLANK(B969),"""",IF(ISDATE(B969),""X"",""""))"),"")</f>
        <v/>
      </c>
      <c r="L969" s="40" t="str">
        <f>IFERROR(__xludf.DUMMYFUNCTION("IF(ISBLANK(B969),"""",IF(Or(I969=""Em Aberto"",ISBLANK(I969),NOT(ISDATE(B969))),"""",H969))"),"")</f>
        <v/>
      </c>
      <c r="M969" s="29" t="str">
        <f>IFERROR(__xludf.DUMMYFUNCTION("IF(ISBLANK(B969),"""",IF(ISDATE(B969),TEXT(B969,""m""),""""))"),"")</f>
        <v/>
      </c>
      <c r="N969" s="29" t="str">
        <f>IFERROR(__xludf.DUMMYFUNCTION("IF(M969="""","""",QUERY({'Dashboard-Dados'!$Y$2:$AA$13},""Select Col2 Where Col1=""&amp;M969))"),"")</f>
        <v/>
      </c>
      <c r="O969" s="29" t="str">
        <f>IFERROR(__xludf.DUMMYFUNCTION("IF(ISBLANK(B969),"""",IF(ISDATE(B969),TEXT(B969,""yyyy""),""""))"),"")</f>
        <v/>
      </c>
    </row>
    <row r="970">
      <c r="B970" s="62"/>
      <c r="C970" s="56"/>
      <c r="D970" s="56"/>
      <c r="E970" s="56"/>
      <c r="F970" s="63"/>
      <c r="G970" s="64"/>
      <c r="H970" s="65"/>
      <c r="I970" s="63"/>
      <c r="K970" s="53" t="str">
        <f>IFERROR(__xludf.DUMMYFUNCTION("IF(ISBLANK(B970),"""",IF(ISDATE(B970),""X"",""""))"),"")</f>
        <v/>
      </c>
      <c r="L970" s="40" t="str">
        <f>IFERROR(__xludf.DUMMYFUNCTION("IF(ISBLANK(B970),"""",IF(Or(I970=""Em Aberto"",ISBLANK(I970),NOT(ISDATE(B970))),"""",H970))"),"")</f>
        <v/>
      </c>
      <c r="M970" s="29" t="str">
        <f>IFERROR(__xludf.DUMMYFUNCTION("IF(ISBLANK(B970),"""",IF(ISDATE(B970),TEXT(B970,""m""),""""))"),"")</f>
        <v/>
      </c>
      <c r="N970" s="29" t="str">
        <f>IFERROR(__xludf.DUMMYFUNCTION("IF(M970="""","""",QUERY({'Dashboard-Dados'!$Y$2:$AA$13},""Select Col2 Where Col1=""&amp;M970))"),"")</f>
        <v/>
      </c>
      <c r="O970" s="29" t="str">
        <f>IFERROR(__xludf.DUMMYFUNCTION("IF(ISBLANK(B970),"""",IF(ISDATE(B970),TEXT(B970,""yyyy""),""""))"),"")</f>
        <v/>
      </c>
    </row>
    <row r="971">
      <c r="B971" s="62"/>
      <c r="C971" s="56"/>
      <c r="D971" s="56"/>
      <c r="E971" s="56"/>
      <c r="F971" s="63"/>
      <c r="G971" s="64"/>
      <c r="H971" s="65"/>
      <c r="I971" s="63"/>
      <c r="K971" s="53" t="str">
        <f>IFERROR(__xludf.DUMMYFUNCTION("IF(ISBLANK(B971),"""",IF(ISDATE(B971),""X"",""""))"),"")</f>
        <v/>
      </c>
      <c r="L971" s="40" t="str">
        <f>IFERROR(__xludf.DUMMYFUNCTION("IF(ISBLANK(B971),"""",IF(Or(I971=""Em Aberto"",ISBLANK(I971),NOT(ISDATE(B971))),"""",H971))"),"")</f>
        <v/>
      </c>
      <c r="M971" s="29" t="str">
        <f>IFERROR(__xludf.DUMMYFUNCTION("IF(ISBLANK(B971),"""",IF(ISDATE(B971),TEXT(B971,""m""),""""))"),"")</f>
        <v/>
      </c>
      <c r="N971" s="29" t="str">
        <f>IFERROR(__xludf.DUMMYFUNCTION("IF(M971="""","""",QUERY({'Dashboard-Dados'!$Y$2:$AA$13},""Select Col2 Where Col1=""&amp;M971))"),"")</f>
        <v/>
      </c>
      <c r="O971" s="29" t="str">
        <f>IFERROR(__xludf.DUMMYFUNCTION("IF(ISBLANK(B971),"""",IF(ISDATE(B971),TEXT(B971,""yyyy""),""""))"),"")</f>
        <v/>
      </c>
    </row>
    <row r="972">
      <c r="B972" s="62"/>
      <c r="C972" s="56"/>
      <c r="D972" s="56"/>
      <c r="E972" s="56"/>
      <c r="F972" s="63"/>
      <c r="G972" s="64"/>
      <c r="H972" s="65"/>
      <c r="I972" s="63"/>
      <c r="K972" s="53" t="str">
        <f>IFERROR(__xludf.DUMMYFUNCTION("IF(ISBLANK(B972),"""",IF(ISDATE(B972),""X"",""""))"),"")</f>
        <v/>
      </c>
      <c r="L972" s="40" t="str">
        <f>IFERROR(__xludf.DUMMYFUNCTION("IF(ISBLANK(B972),"""",IF(Or(I972=""Em Aberto"",ISBLANK(I972),NOT(ISDATE(B972))),"""",H972))"),"")</f>
        <v/>
      </c>
      <c r="M972" s="29" t="str">
        <f>IFERROR(__xludf.DUMMYFUNCTION("IF(ISBLANK(B972),"""",IF(ISDATE(B972),TEXT(B972,""m""),""""))"),"")</f>
        <v/>
      </c>
      <c r="N972" s="29" t="str">
        <f>IFERROR(__xludf.DUMMYFUNCTION("IF(M972="""","""",QUERY({'Dashboard-Dados'!$Y$2:$AA$13},""Select Col2 Where Col1=""&amp;M972))"),"")</f>
        <v/>
      </c>
      <c r="O972" s="29" t="str">
        <f>IFERROR(__xludf.DUMMYFUNCTION("IF(ISBLANK(B972),"""",IF(ISDATE(B972),TEXT(B972,""yyyy""),""""))"),"")</f>
        <v/>
      </c>
    </row>
    <row r="973">
      <c r="B973" s="62"/>
      <c r="C973" s="56"/>
      <c r="D973" s="56"/>
      <c r="E973" s="56"/>
      <c r="F973" s="63"/>
      <c r="G973" s="64"/>
      <c r="H973" s="65"/>
      <c r="I973" s="63"/>
      <c r="K973" s="53" t="str">
        <f>IFERROR(__xludf.DUMMYFUNCTION("IF(ISBLANK(B973),"""",IF(ISDATE(B973),""X"",""""))"),"")</f>
        <v/>
      </c>
      <c r="L973" s="40" t="str">
        <f>IFERROR(__xludf.DUMMYFUNCTION("IF(ISBLANK(B973),"""",IF(Or(I973=""Em Aberto"",ISBLANK(I973),NOT(ISDATE(B973))),"""",H973))"),"")</f>
        <v/>
      </c>
      <c r="M973" s="29" t="str">
        <f>IFERROR(__xludf.DUMMYFUNCTION("IF(ISBLANK(B973),"""",IF(ISDATE(B973),TEXT(B973,""m""),""""))"),"")</f>
        <v/>
      </c>
      <c r="N973" s="29" t="str">
        <f>IFERROR(__xludf.DUMMYFUNCTION("IF(M973="""","""",QUERY({'Dashboard-Dados'!$Y$2:$AA$13},""Select Col2 Where Col1=""&amp;M973))"),"")</f>
        <v/>
      </c>
      <c r="O973" s="29" t="str">
        <f>IFERROR(__xludf.DUMMYFUNCTION("IF(ISBLANK(B973),"""",IF(ISDATE(B973),TEXT(B973,""yyyy""),""""))"),"")</f>
        <v/>
      </c>
    </row>
    <row r="974">
      <c r="B974" s="62"/>
      <c r="C974" s="56"/>
      <c r="D974" s="56"/>
      <c r="E974" s="56"/>
      <c r="F974" s="63"/>
      <c r="G974" s="64"/>
      <c r="H974" s="65"/>
      <c r="I974" s="63"/>
      <c r="K974" s="53" t="str">
        <f>IFERROR(__xludf.DUMMYFUNCTION("IF(ISBLANK(B974),"""",IF(ISDATE(B974),""X"",""""))"),"")</f>
        <v/>
      </c>
      <c r="L974" s="40" t="str">
        <f>IFERROR(__xludf.DUMMYFUNCTION("IF(ISBLANK(B974),"""",IF(Or(I974=""Em Aberto"",ISBLANK(I974),NOT(ISDATE(B974))),"""",H974))"),"")</f>
        <v/>
      </c>
      <c r="M974" s="29" t="str">
        <f>IFERROR(__xludf.DUMMYFUNCTION("IF(ISBLANK(B974),"""",IF(ISDATE(B974),TEXT(B974,""m""),""""))"),"")</f>
        <v/>
      </c>
      <c r="N974" s="29" t="str">
        <f>IFERROR(__xludf.DUMMYFUNCTION("IF(M974="""","""",QUERY({'Dashboard-Dados'!$Y$2:$AA$13},""Select Col2 Where Col1=""&amp;M974))"),"")</f>
        <v/>
      </c>
      <c r="O974" s="29" t="str">
        <f>IFERROR(__xludf.DUMMYFUNCTION("IF(ISBLANK(B974),"""",IF(ISDATE(B974),TEXT(B974,""yyyy""),""""))"),"")</f>
        <v/>
      </c>
    </row>
    <row r="975">
      <c r="B975" s="62"/>
      <c r="C975" s="56"/>
      <c r="D975" s="56"/>
      <c r="E975" s="56"/>
      <c r="F975" s="63"/>
      <c r="G975" s="64"/>
      <c r="H975" s="65"/>
      <c r="I975" s="63"/>
      <c r="K975" s="53" t="str">
        <f>IFERROR(__xludf.DUMMYFUNCTION("IF(ISBLANK(B975),"""",IF(ISDATE(B975),""X"",""""))"),"")</f>
        <v/>
      </c>
      <c r="L975" s="40" t="str">
        <f>IFERROR(__xludf.DUMMYFUNCTION("IF(ISBLANK(B975),"""",IF(Or(I975=""Em Aberto"",ISBLANK(I975),NOT(ISDATE(B975))),"""",H975))"),"")</f>
        <v/>
      </c>
      <c r="M975" s="29" t="str">
        <f>IFERROR(__xludf.DUMMYFUNCTION("IF(ISBLANK(B975),"""",IF(ISDATE(B975),TEXT(B975,""m""),""""))"),"")</f>
        <v/>
      </c>
      <c r="N975" s="29" t="str">
        <f>IFERROR(__xludf.DUMMYFUNCTION("IF(M975="""","""",QUERY({'Dashboard-Dados'!$Y$2:$AA$13},""Select Col2 Where Col1=""&amp;M975))"),"")</f>
        <v/>
      </c>
      <c r="O975" s="29" t="str">
        <f>IFERROR(__xludf.DUMMYFUNCTION("IF(ISBLANK(B975),"""",IF(ISDATE(B975),TEXT(B975,""yyyy""),""""))"),"")</f>
        <v/>
      </c>
    </row>
    <row r="976">
      <c r="B976" s="62"/>
      <c r="C976" s="56"/>
      <c r="D976" s="56"/>
      <c r="E976" s="56"/>
      <c r="F976" s="63"/>
      <c r="G976" s="64"/>
      <c r="H976" s="65"/>
      <c r="I976" s="63"/>
      <c r="K976" s="53" t="str">
        <f>IFERROR(__xludf.DUMMYFUNCTION("IF(ISBLANK(B976),"""",IF(ISDATE(B976),""X"",""""))"),"")</f>
        <v/>
      </c>
      <c r="L976" s="40" t="str">
        <f>IFERROR(__xludf.DUMMYFUNCTION("IF(ISBLANK(B976),"""",IF(Or(I976=""Em Aberto"",ISBLANK(I976),NOT(ISDATE(B976))),"""",H976))"),"")</f>
        <v/>
      </c>
      <c r="M976" s="29" t="str">
        <f>IFERROR(__xludf.DUMMYFUNCTION("IF(ISBLANK(B976),"""",IF(ISDATE(B976),TEXT(B976,""m""),""""))"),"")</f>
        <v/>
      </c>
      <c r="N976" s="29" t="str">
        <f>IFERROR(__xludf.DUMMYFUNCTION("IF(M976="""","""",QUERY({'Dashboard-Dados'!$Y$2:$AA$13},""Select Col2 Where Col1=""&amp;M976))"),"")</f>
        <v/>
      </c>
      <c r="O976" s="29" t="str">
        <f>IFERROR(__xludf.DUMMYFUNCTION("IF(ISBLANK(B976),"""",IF(ISDATE(B976),TEXT(B976,""yyyy""),""""))"),"")</f>
        <v/>
      </c>
    </row>
    <row r="977">
      <c r="B977" s="62"/>
      <c r="C977" s="56"/>
      <c r="D977" s="56"/>
      <c r="E977" s="56"/>
      <c r="F977" s="63"/>
      <c r="G977" s="64"/>
      <c r="H977" s="65"/>
      <c r="I977" s="63"/>
      <c r="K977" s="53" t="str">
        <f>IFERROR(__xludf.DUMMYFUNCTION("IF(ISBLANK(B977),"""",IF(ISDATE(B977),""X"",""""))"),"")</f>
        <v/>
      </c>
      <c r="L977" s="40" t="str">
        <f>IFERROR(__xludf.DUMMYFUNCTION("IF(ISBLANK(B977),"""",IF(Or(I977=""Em Aberto"",ISBLANK(I977),NOT(ISDATE(B977))),"""",H977))"),"")</f>
        <v/>
      </c>
      <c r="M977" s="29" t="str">
        <f>IFERROR(__xludf.DUMMYFUNCTION("IF(ISBLANK(B977),"""",IF(ISDATE(B977),TEXT(B977,""m""),""""))"),"")</f>
        <v/>
      </c>
      <c r="N977" s="29" t="str">
        <f>IFERROR(__xludf.DUMMYFUNCTION("IF(M977="""","""",QUERY({'Dashboard-Dados'!$Y$2:$AA$13},""Select Col2 Where Col1=""&amp;M977))"),"")</f>
        <v/>
      </c>
      <c r="O977" s="29" t="str">
        <f>IFERROR(__xludf.DUMMYFUNCTION("IF(ISBLANK(B977),"""",IF(ISDATE(B977),TEXT(B977,""yyyy""),""""))"),"")</f>
        <v/>
      </c>
    </row>
    <row r="978">
      <c r="B978" s="62"/>
      <c r="C978" s="56"/>
      <c r="D978" s="56"/>
      <c r="E978" s="56"/>
      <c r="F978" s="63"/>
      <c r="G978" s="64"/>
      <c r="H978" s="65"/>
      <c r="I978" s="63"/>
      <c r="K978" s="53" t="str">
        <f>IFERROR(__xludf.DUMMYFUNCTION("IF(ISBLANK(B978),"""",IF(ISDATE(B978),""X"",""""))"),"")</f>
        <v/>
      </c>
      <c r="L978" s="40" t="str">
        <f>IFERROR(__xludf.DUMMYFUNCTION("IF(ISBLANK(B978),"""",IF(Or(I978=""Em Aberto"",ISBLANK(I978),NOT(ISDATE(B978))),"""",H978))"),"")</f>
        <v/>
      </c>
      <c r="M978" s="29" t="str">
        <f>IFERROR(__xludf.DUMMYFUNCTION("IF(ISBLANK(B978),"""",IF(ISDATE(B978),TEXT(B978,""m""),""""))"),"")</f>
        <v/>
      </c>
      <c r="N978" s="29" t="str">
        <f>IFERROR(__xludf.DUMMYFUNCTION("IF(M978="""","""",QUERY({'Dashboard-Dados'!$Y$2:$AA$13},""Select Col2 Where Col1=""&amp;M978))"),"")</f>
        <v/>
      </c>
      <c r="O978" s="29" t="str">
        <f>IFERROR(__xludf.DUMMYFUNCTION("IF(ISBLANK(B978),"""",IF(ISDATE(B978),TEXT(B978,""yyyy""),""""))"),"")</f>
        <v/>
      </c>
    </row>
    <row r="979">
      <c r="B979" s="62"/>
      <c r="C979" s="56"/>
      <c r="D979" s="56"/>
      <c r="E979" s="56"/>
      <c r="F979" s="63"/>
      <c r="G979" s="64"/>
      <c r="H979" s="65"/>
      <c r="I979" s="63"/>
      <c r="K979" s="53" t="str">
        <f>IFERROR(__xludf.DUMMYFUNCTION("IF(ISBLANK(B979),"""",IF(ISDATE(B979),""X"",""""))"),"")</f>
        <v/>
      </c>
      <c r="L979" s="40" t="str">
        <f>IFERROR(__xludf.DUMMYFUNCTION("IF(ISBLANK(B979),"""",IF(Or(I979=""Em Aberto"",ISBLANK(I979),NOT(ISDATE(B979))),"""",H979))"),"")</f>
        <v/>
      </c>
      <c r="M979" s="29" t="str">
        <f>IFERROR(__xludf.DUMMYFUNCTION("IF(ISBLANK(B979),"""",IF(ISDATE(B979),TEXT(B979,""m""),""""))"),"")</f>
        <v/>
      </c>
      <c r="N979" s="29" t="str">
        <f>IFERROR(__xludf.DUMMYFUNCTION("IF(M979="""","""",QUERY({'Dashboard-Dados'!$Y$2:$AA$13},""Select Col2 Where Col1=""&amp;M979))"),"")</f>
        <v/>
      </c>
      <c r="O979" s="29" t="str">
        <f>IFERROR(__xludf.DUMMYFUNCTION("IF(ISBLANK(B979),"""",IF(ISDATE(B979),TEXT(B979,""yyyy""),""""))"),"")</f>
        <v/>
      </c>
    </row>
    <row r="980">
      <c r="B980" s="62"/>
      <c r="C980" s="56"/>
      <c r="D980" s="56"/>
      <c r="E980" s="56"/>
      <c r="F980" s="63"/>
      <c r="G980" s="64"/>
      <c r="H980" s="65"/>
      <c r="I980" s="63"/>
      <c r="K980" s="53" t="str">
        <f>IFERROR(__xludf.DUMMYFUNCTION("IF(ISBLANK(B980),"""",IF(ISDATE(B980),""X"",""""))"),"")</f>
        <v/>
      </c>
      <c r="L980" s="40" t="str">
        <f>IFERROR(__xludf.DUMMYFUNCTION("IF(ISBLANK(B980),"""",IF(Or(I980=""Em Aberto"",ISBLANK(I980),NOT(ISDATE(B980))),"""",H980))"),"")</f>
        <v/>
      </c>
      <c r="M980" s="29" t="str">
        <f>IFERROR(__xludf.DUMMYFUNCTION("IF(ISBLANK(B980),"""",IF(ISDATE(B980),TEXT(B980,""m""),""""))"),"")</f>
        <v/>
      </c>
      <c r="N980" s="29" t="str">
        <f>IFERROR(__xludf.DUMMYFUNCTION("IF(M980="""","""",QUERY({'Dashboard-Dados'!$Y$2:$AA$13},""Select Col2 Where Col1=""&amp;M980))"),"")</f>
        <v/>
      </c>
      <c r="O980" s="29" t="str">
        <f>IFERROR(__xludf.DUMMYFUNCTION("IF(ISBLANK(B980),"""",IF(ISDATE(B980),TEXT(B980,""yyyy""),""""))"),"")</f>
        <v/>
      </c>
    </row>
    <row r="981">
      <c r="B981" s="62"/>
      <c r="C981" s="56"/>
      <c r="D981" s="56"/>
      <c r="E981" s="56"/>
      <c r="F981" s="63"/>
      <c r="G981" s="64"/>
      <c r="H981" s="65"/>
      <c r="I981" s="63"/>
      <c r="K981" s="53" t="str">
        <f>IFERROR(__xludf.DUMMYFUNCTION("IF(ISBLANK(B981),"""",IF(ISDATE(B981),""X"",""""))"),"")</f>
        <v/>
      </c>
      <c r="L981" s="40" t="str">
        <f>IFERROR(__xludf.DUMMYFUNCTION("IF(ISBLANK(B981),"""",IF(Or(I981=""Em Aberto"",ISBLANK(I981),NOT(ISDATE(B981))),"""",H981))"),"")</f>
        <v/>
      </c>
      <c r="M981" s="29" t="str">
        <f>IFERROR(__xludf.DUMMYFUNCTION("IF(ISBLANK(B981),"""",IF(ISDATE(B981),TEXT(B981,""m""),""""))"),"")</f>
        <v/>
      </c>
      <c r="N981" s="29" t="str">
        <f>IFERROR(__xludf.DUMMYFUNCTION("IF(M981="""","""",QUERY({'Dashboard-Dados'!$Y$2:$AA$13},""Select Col2 Where Col1=""&amp;M981))"),"")</f>
        <v/>
      </c>
      <c r="O981" s="29" t="str">
        <f>IFERROR(__xludf.DUMMYFUNCTION("IF(ISBLANK(B981),"""",IF(ISDATE(B981),TEXT(B981,""yyyy""),""""))"),"")</f>
        <v/>
      </c>
    </row>
    <row r="982">
      <c r="B982" s="62"/>
      <c r="C982" s="56"/>
      <c r="D982" s="56"/>
      <c r="E982" s="56"/>
      <c r="F982" s="63"/>
      <c r="G982" s="64"/>
      <c r="H982" s="65"/>
      <c r="I982" s="63"/>
      <c r="K982" s="53" t="str">
        <f>IFERROR(__xludf.DUMMYFUNCTION("IF(ISBLANK(B982),"""",IF(ISDATE(B982),""X"",""""))"),"")</f>
        <v/>
      </c>
      <c r="L982" s="40" t="str">
        <f>IFERROR(__xludf.DUMMYFUNCTION("IF(ISBLANK(B982),"""",IF(Or(I982=""Em Aberto"",ISBLANK(I982),NOT(ISDATE(B982))),"""",H982))"),"")</f>
        <v/>
      </c>
      <c r="M982" s="29" t="str">
        <f>IFERROR(__xludf.DUMMYFUNCTION("IF(ISBLANK(B982),"""",IF(ISDATE(B982),TEXT(B982,""m""),""""))"),"")</f>
        <v/>
      </c>
      <c r="N982" s="29" t="str">
        <f>IFERROR(__xludf.DUMMYFUNCTION("IF(M982="""","""",QUERY({'Dashboard-Dados'!$Y$2:$AA$13},""Select Col2 Where Col1=""&amp;M982))"),"")</f>
        <v/>
      </c>
      <c r="O982" s="29" t="str">
        <f>IFERROR(__xludf.DUMMYFUNCTION("IF(ISBLANK(B982),"""",IF(ISDATE(B982),TEXT(B982,""yyyy""),""""))"),"")</f>
        <v/>
      </c>
    </row>
    <row r="983">
      <c r="B983" s="62"/>
      <c r="C983" s="56"/>
      <c r="D983" s="56"/>
      <c r="E983" s="56"/>
      <c r="F983" s="63"/>
      <c r="G983" s="64"/>
      <c r="H983" s="65"/>
      <c r="I983" s="63"/>
      <c r="K983" s="53" t="str">
        <f>IFERROR(__xludf.DUMMYFUNCTION("IF(ISBLANK(B983),"""",IF(ISDATE(B983),""X"",""""))"),"")</f>
        <v/>
      </c>
      <c r="L983" s="40" t="str">
        <f>IFERROR(__xludf.DUMMYFUNCTION("IF(ISBLANK(B983),"""",IF(Or(I983=""Em Aberto"",ISBLANK(I983),NOT(ISDATE(B983))),"""",H983))"),"")</f>
        <v/>
      </c>
      <c r="M983" s="29" t="str">
        <f>IFERROR(__xludf.DUMMYFUNCTION("IF(ISBLANK(B983),"""",IF(ISDATE(B983),TEXT(B983,""m""),""""))"),"")</f>
        <v/>
      </c>
      <c r="N983" s="29" t="str">
        <f>IFERROR(__xludf.DUMMYFUNCTION("IF(M983="""","""",QUERY({'Dashboard-Dados'!$Y$2:$AA$13},""Select Col2 Where Col1=""&amp;M983))"),"")</f>
        <v/>
      </c>
      <c r="O983" s="29" t="str">
        <f>IFERROR(__xludf.DUMMYFUNCTION("IF(ISBLANK(B983),"""",IF(ISDATE(B983),TEXT(B983,""yyyy""),""""))"),"")</f>
        <v/>
      </c>
    </row>
    <row r="984">
      <c r="B984" s="62"/>
      <c r="C984" s="56"/>
      <c r="D984" s="56"/>
      <c r="E984" s="56"/>
      <c r="F984" s="63"/>
      <c r="G984" s="64"/>
      <c r="H984" s="65"/>
      <c r="I984" s="63"/>
      <c r="K984" s="53" t="str">
        <f>IFERROR(__xludf.DUMMYFUNCTION("IF(ISBLANK(B984),"""",IF(ISDATE(B984),""X"",""""))"),"")</f>
        <v/>
      </c>
      <c r="L984" s="40" t="str">
        <f>IFERROR(__xludf.DUMMYFUNCTION("IF(ISBLANK(B984),"""",IF(Or(I984=""Em Aberto"",ISBLANK(I984),NOT(ISDATE(B984))),"""",H984))"),"")</f>
        <v/>
      </c>
      <c r="M984" s="29" t="str">
        <f>IFERROR(__xludf.DUMMYFUNCTION("IF(ISBLANK(B984),"""",IF(ISDATE(B984),TEXT(B984,""m""),""""))"),"")</f>
        <v/>
      </c>
      <c r="N984" s="29" t="str">
        <f>IFERROR(__xludf.DUMMYFUNCTION("IF(M984="""","""",QUERY({'Dashboard-Dados'!$Y$2:$AA$13},""Select Col2 Where Col1=""&amp;M984))"),"")</f>
        <v/>
      </c>
      <c r="O984" s="29" t="str">
        <f>IFERROR(__xludf.DUMMYFUNCTION("IF(ISBLANK(B984),"""",IF(ISDATE(B984),TEXT(B984,""yyyy""),""""))"),"")</f>
        <v/>
      </c>
    </row>
    <row r="985">
      <c r="B985" s="62"/>
      <c r="C985" s="56"/>
      <c r="D985" s="56"/>
      <c r="E985" s="56"/>
      <c r="F985" s="63"/>
      <c r="G985" s="64"/>
      <c r="H985" s="65"/>
      <c r="I985" s="63"/>
      <c r="K985" s="53" t="str">
        <f>IFERROR(__xludf.DUMMYFUNCTION("IF(ISBLANK(B985),"""",IF(ISDATE(B985),""X"",""""))"),"")</f>
        <v/>
      </c>
      <c r="L985" s="40" t="str">
        <f>IFERROR(__xludf.DUMMYFUNCTION("IF(ISBLANK(B985),"""",IF(Or(I985=""Em Aberto"",ISBLANK(I985),NOT(ISDATE(B985))),"""",H985))"),"")</f>
        <v/>
      </c>
      <c r="M985" s="29" t="str">
        <f>IFERROR(__xludf.DUMMYFUNCTION("IF(ISBLANK(B985),"""",IF(ISDATE(B985),TEXT(B985,""m""),""""))"),"")</f>
        <v/>
      </c>
      <c r="N985" s="29" t="str">
        <f>IFERROR(__xludf.DUMMYFUNCTION("IF(M985="""","""",QUERY({'Dashboard-Dados'!$Y$2:$AA$13},""Select Col2 Where Col1=""&amp;M985))"),"")</f>
        <v/>
      </c>
      <c r="O985" s="29" t="str">
        <f>IFERROR(__xludf.DUMMYFUNCTION("IF(ISBLANK(B985),"""",IF(ISDATE(B985),TEXT(B985,""yyyy""),""""))"),"")</f>
        <v/>
      </c>
    </row>
    <row r="986">
      <c r="B986" s="62"/>
      <c r="C986" s="56"/>
      <c r="D986" s="56"/>
      <c r="E986" s="56"/>
      <c r="F986" s="63"/>
      <c r="G986" s="64"/>
      <c r="H986" s="65"/>
      <c r="I986" s="63"/>
      <c r="K986" s="53" t="str">
        <f>IFERROR(__xludf.DUMMYFUNCTION("IF(ISBLANK(B986),"""",IF(ISDATE(B986),""X"",""""))"),"")</f>
        <v/>
      </c>
      <c r="L986" s="40" t="str">
        <f>IFERROR(__xludf.DUMMYFUNCTION("IF(ISBLANK(B986),"""",IF(Or(I986=""Em Aberto"",ISBLANK(I986),NOT(ISDATE(B986))),"""",H986))"),"")</f>
        <v/>
      </c>
      <c r="M986" s="29" t="str">
        <f>IFERROR(__xludf.DUMMYFUNCTION("IF(ISBLANK(B986),"""",IF(ISDATE(B986),TEXT(B986,""m""),""""))"),"")</f>
        <v/>
      </c>
      <c r="N986" s="29" t="str">
        <f>IFERROR(__xludf.DUMMYFUNCTION("IF(M986="""","""",QUERY({'Dashboard-Dados'!$Y$2:$AA$13},""Select Col2 Where Col1=""&amp;M986))"),"")</f>
        <v/>
      </c>
      <c r="O986" s="29" t="str">
        <f>IFERROR(__xludf.DUMMYFUNCTION("IF(ISBLANK(B986),"""",IF(ISDATE(B986),TEXT(B986,""yyyy""),""""))"),"")</f>
        <v/>
      </c>
    </row>
    <row r="987">
      <c r="B987" s="62"/>
      <c r="C987" s="56"/>
      <c r="D987" s="56"/>
      <c r="E987" s="56"/>
      <c r="F987" s="63"/>
      <c r="G987" s="64"/>
      <c r="H987" s="65"/>
      <c r="I987" s="63"/>
      <c r="K987" s="53" t="str">
        <f>IFERROR(__xludf.DUMMYFUNCTION("IF(ISBLANK(B987),"""",IF(ISDATE(B987),""X"",""""))"),"")</f>
        <v/>
      </c>
      <c r="L987" s="40" t="str">
        <f>IFERROR(__xludf.DUMMYFUNCTION("IF(ISBLANK(B987),"""",IF(Or(I987=""Em Aberto"",ISBLANK(I987),NOT(ISDATE(B987))),"""",H987))"),"")</f>
        <v/>
      </c>
      <c r="M987" s="29" t="str">
        <f>IFERROR(__xludf.DUMMYFUNCTION("IF(ISBLANK(B987),"""",IF(ISDATE(B987),TEXT(B987,""m""),""""))"),"")</f>
        <v/>
      </c>
      <c r="N987" s="29" t="str">
        <f>IFERROR(__xludf.DUMMYFUNCTION("IF(M987="""","""",QUERY({'Dashboard-Dados'!$Y$2:$AA$13},""Select Col2 Where Col1=""&amp;M987))"),"")</f>
        <v/>
      </c>
      <c r="O987" s="29" t="str">
        <f>IFERROR(__xludf.DUMMYFUNCTION("IF(ISBLANK(B987),"""",IF(ISDATE(B987),TEXT(B987,""yyyy""),""""))"),"")</f>
        <v/>
      </c>
    </row>
    <row r="988">
      <c r="B988" s="62"/>
      <c r="C988" s="56"/>
      <c r="D988" s="56"/>
      <c r="E988" s="56"/>
      <c r="F988" s="63"/>
      <c r="G988" s="64"/>
      <c r="H988" s="65"/>
      <c r="I988" s="63"/>
      <c r="K988" s="53" t="str">
        <f>IFERROR(__xludf.DUMMYFUNCTION("IF(ISBLANK(B988),"""",IF(ISDATE(B988),""X"",""""))"),"")</f>
        <v/>
      </c>
      <c r="L988" s="40" t="str">
        <f>IFERROR(__xludf.DUMMYFUNCTION("IF(ISBLANK(B988),"""",IF(Or(I988=""Em Aberto"",ISBLANK(I988),NOT(ISDATE(B988))),"""",H988))"),"")</f>
        <v/>
      </c>
      <c r="M988" s="29" t="str">
        <f>IFERROR(__xludf.DUMMYFUNCTION("IF(ISBLANK(B988),"""",IF(ISDATE(B988),TEXT(B988,""m""),""""))"),"")</f>
        <v/>
      </c>
      <c r="N988" s="29" t="str">
        <f>IFERROR(__xludf.DUMMYFUNCTION("IF(M988="""","""",QUERY({'Dashboard-Dados'!$Y$2:$AA$13},""Select Col2 Where Col1=""&amp;M988))"),"")</f>
        <v/>
      </c>
      <c r="O988" s="29" t="str">
        <f>IFERROR(__xludf.DUMMYFUNCTION("IF(ISBLANK(B988),"""",IF(ISDATE(B988),TEXT(B988,""yyyy""),""""))"),"")</f>
        <v/>
      </c>
    </row>
    <row r="989">
      <c r="B989" s="62"/>
      <c r="C989" s="56"/>
      <c r="D989" s="56"/>
      <c r="E989" s="56"/>
      <c r="F989" s="63"/>
      <c r="G989" s="64"/>
      <c r="H989" s="65"/>
      <c r="I989" s="63"/>
      <c r="K989" s="53" t="str">
        <f>IFERROR(__xludf.DUMMYFUNCTION("IF(ISBLANK(B989),"""",IF(ISDATE(B989),""X"",""""))"),"")</f>
        <v/>
      </c>
      <c r="L989" s="40" t="str">
        <f>IFERROR(__xludf.DUMMYFUNCTION("IF(ISBLANK(B989),"""",IF(Or(I989=""Em Aberto"",ISBLANK(I989),NOT(ISDATE(B989))),"""",H989))"),"")</f>
        <v/>
      </c>
      <c r="M989" s="29" t="str">
        <f>IFERROR(__xludf.DUMMYFUNCTION("IF(ISBLANK(B989),"""",IF(ISDATE(B989),TEXT(B989,""m""),""""))"),"")</f>
        <v/>
      </c>
      <c r="N989" s="29" t="str">
        <f>IFERROR(__xludf.DUMMYFUNCTION("IF(M989="""","""",QUERY({'Dashboard-Dados'!$Y$2:$AA$13},""Select Col2 Where Col1=""&amp;M989))"),"")</f>
        <v/>
      </c>
      <c r="O989" s="29" t="str">
        <f>IFERROR(__xludf.DUMMYFUNCTION("IF(ISBLANK(B989),"""",IF(ISDATE(B989),TEXT(B989,""yyyy""),""""))"),"")</f>
        <v/>
      </c>
    </row>
    <row r="990">
      <c r="B990" s="62"/>
      <c r="C990" s="56"/>
      <c r="D990" s="56"/>
      <c r="E990" s="56"/>
      <c r="F990" s="63"/>
      <c r="G990" s="64"/>
      <c r="H990" s="65"/>
      <c r="I990" s="63"/>
      <c r="K990" s="53" t="str">
        <f>IFERROR(__xludf.DUMMYFUNCTION("IF(ISBLANK(B990),"""",IF(ISDATE(B990),""X"",""""))"),"")</f>
        <v/>
      </c>
      <c r="L990" s="40" t="str">
        <f>IFERROR(__xludf.DUMMYFUNCTION("IF(ISBLANK(B990),"""",IF(Or(I990=""Em Aberto"",ISBLANK(I990),NOT(ISDATE(B990))),"""",H990))"),"")</f>
        <v/>
      </c>
      <c r="M990" s="29" t="str">
        <f>IFERROR(__xludf.DUMMYFUNCTION("IF(ISBLANK(B990),"""",IF(ISDATE(B990),TEXT(B990,""m""),""""))"),"")</f>
        <v/>
      </c>
      <c r="N990" s="29" t="str">
        <f>IFERROR(__xludf.DUMMYFUNCTION("IF(M990="""","""",QUERY({'Dashboard-Dados'!$Y$2:$AA$13},""Select Col2 Where Col1=""&amp;M990))"),"")</f>
        <v/>
      </c>
      <c r="O990" s="29" t="str">
        <f>IFERROR(__xludf.DUMMYFUNCTION("IF(ISBLANK(B990),"""",IF(ISDATE(B990),TEXT(B990,""yyyy""),""""))"),"")</f>
        <v/>
      </c>
    </row>
    <row r="991">
      <c r="B991" s="62"/>
      <c r="C991" s="56"/>
      <c r="D991" s="56"/>
      <c r="E991" s="56"/>
      <c r="F991" s="63"/>
      <c r="G991" s="64"/>
      <c r="H991" s="65"/>
      <c r="I991" s="63"/>
      <c r="K991" s="53" t="str">
        <f>IFERROR(__xludf.DUMMYFUNCTION("IF(ISBLANK(B991),"""",IF(ISDATE(B991),""X"",""""))"),"")</f>
        <v/>
      </c>
      <c r="L991" s="40" t="str">
        <f>IFERROR(__xludf.DUMMYFUNCTION("IF(ISBLANK(B991),"""",IF(Or(I991=""Em Aberto"",ISBLANK(I991),NOT(ISDATE(B991))),"""",H991))"),"")</f>
        <v/>
      </c>
      <c r="M991" s="29" t="str">
        <f>IFERROR(__xludf.DUMMYFUNCTION("IF(ISBLANK(B991),"""",IF(ISDATE(B991),TEXT(B991,""m""),""""))"),"")</f>
        <v/>
      </c>
      <c r="N991" s="29" t="str">
        <f>IFERROR(__xludf.DUMMYFUNCTION("IF(M991="""","""",QUERY({'Dashboard-Dados'!$Y$2:$AA$13},""Select Col2 Where Col1=""&amp;M991))"),"")</f>
        <v/>
      </c>
      <c r="O991" s="29" t="str">
        <f>IFERROR(__xludf.DUMMYFUNCTION("IF(ISBLANK(B991),"""",IF(ISDATE(B991),TEXT(B991,""yyyy""),""""))"),"")</f>
        <v/>
      </c>
    </row>
    <row r="992">
      <c r="B992" s="62"/>
      <c r="C992" s="56"/>
      <c r="D992" s="56"/>
      <c r="E992" s="56"/>
      <c r="F992" s="63"/>
      <c r="G992" s="64"/>
      <c r="H992" s="65"/>
      <c r="I992" s="63"/>
      <c r="K992" s="53" t="str">
        <f>IFERROR(__xludf.DUMMYFUNCTION("IF(ISBLANK(B992),"""",IF(ISDATE(B992),""X"",""""))"),"")</f>
        <v/>
      </c>
      <c r="L992" s="40" t="str">
        <f>IFERROR(__xludf.DUMMYFUNCTION("IF(ISBLANK(B992),"""",IF(Or(I992=""Em Aberto"",ISBLANK(I992),NOT(ISDATE(B992))),"""",H992))"),"")</f>
        <v/>
      </c>
      <c r="M992" s="29" t="str">
        <f>IFERROR(__xludf.DUMMYFUNCTION("IF(ISBLANK(B992),"""",IF(ISDATE(B992),TEXT(B992,""m""),""""))"),"")</f>
        <v/>
      </c>
      <c r="N992" s="29" t="str">
        <f>IFERROR(__xludf.DUMMYFUNCTION("IF(M992="""","""",QUERY({'Dashboard-Dados'!$Y$2:$AA$13},""Select Col2 Where Col1=""&amp;M992))"),"")</f>
        <v/>
      </c>
      <c r="O992" s="29" t="str">
        <f>IFERROR(__xludf.DUMMYFUNCTION("IF(ISBLANK(B992),"""",IF(ISDATE(B992),TEXT(B992,""yyyy""),""""))"),"")</f>
        <v/>
      </c>
    </row>
    <row r="993">
      <c r="B993" s="62"/>
      <c r="C993" s="56"/>
      <c r="D993" s="56"/>
      <c r="E993" s="56"/>
      <c r="F993" s="63"/>
      <c r="G993" s="64"/>
      <c r="H993" s="65"/>
      <c r="I993" s="63"/>
      <c r="K993" s="53" t="str">
        <f>IFERROR(__xludf.DUMMYFUNCTION("IF(ISBLANK(B993),"""",IF(ISDATE(B993),""X"",""""))"),"")</f>
        <v/>
      </c>
      <c r="L993" s="40" t="str">
        <f>IFERROR(__xludf.DUMMYFUNCTION("IF(ISBLANK(B993),"""",IF(Or(I993=""Em Aberto"",ISBLANK(I993),NOT(ISDATE(B993))),"""",H993))"),"")</f>
        <v/>
      </c>
      <c r="M993" s="29" t="str">
        <f>IFERROR(__xludf.DUMMYFUNCTION("IF(ISBLANK(B993),"""",IF(ISDATE(B993),TEXT(B993,""m""),""""))"),"")</f>
        <v/>
      </c>
      <c r="N993" s="29" t="str">
        <f>IFERROR(__xludf.DUMMYFUNCTION("IF(M993="""","""",QUERY({'Dashboard-Dados'!$Y$2:$AA$13},""Select Col2 Where Col1=""&amp;M993))"),"")</f>
        <v/>
      </c>
      <c r="O993" s="29" t="str">
        <f>IFERROR(__xludf.DUMMYFUNCTION("IF(ISBLANK(B993),"""",IF(ISDATE(B993),TEXT(B993,""yyyy""),""""))"),"")</f>
        <v/>
      </c>
    </row>
    <row r="994">
      <c r="B994" s="62"/>
      <c r="C994" s="56"/>
      <c r="D994" s="56"/>
      <c r="E994" s="56"/>
      <c r="F994" s="63"/>
      <c r="G994" s="64"/>
      <c r="H994" s="65"/>
      <c r="I994" s="63"/>
      <c r="K994" s="53" t="str">
        <f>IFERROR(__xludf.DUMMYFUNCTION("IF(ISBLANK(B994),"""",IF(ISDATE(B994),""X"",""""))"),"")</f>
        <v/>
      </c>
      <c r="L994" s="40" t="str">
        <f>IFERROR(__xludf.DUMMYFUNCTION("IF(ISBLANK(B994),"""",IF(Or(I994=""Em Aberto"",ISBLANK(I994),NOT(ISDATE(B994))),"""",H994))"),"")</f>
        <v/>
      </c>
      <c r="M994" s="29" t="str">
        <f>IFERROR(__xludf.DUMMYFUNCTION("IF(ISBLANK(B994),"""",IF(ISDATE(B994),TEXT(B994,""m""),""""))"),"")</f>
        <v/>
      </c>
      <c r="N994" s="29" t="str">
        <f>IFERROR(__xludf.DUMMYFUNCTION("IF(M994="""","""",QUERY({'Dashboard-Dados'!$Y$2:$AA$13},""Select Col2 Where Col1=""&amp;M994))"),"")</f>
        <v/>
      </c>
      <c r="O994" s="29" t="str">
        <f>IFERROR(__xludf.DUMMYFUNCTION("IF(ISBLANK(B994),"""",IF(ISDATE(B994),TEXT(B994,""yyyy""),""""))"),"")</f>
        <v/>
      </c>
    </row>
    <row r="995">
      <c r="B995" s="62"/>
      <c r="C995" s="56"/>
      <c r="D995" s="56"/>
      <c r="E995" s="56"/>
      <c r="F995" s="63"/>
      <c r="G995" s="64"/>
      <c r="H995" s="65"/>
      <c r="I995" s="63"/>
      <c r="K995" s="53" t="str">
        <f>IFERROR(__xludf.DUMMYFUNCTION("IF(ISBLANK(B995),"""",IF(ISDATE(B995),""X"",""""))"),"")</f>
        <v/>
      </c>
      <c r="L995" s="40" t="str">
        <f>IFERROR(__xludf.DUMMYFUNCTION("IF(ISBLANK(B995),"""",IF(Or(I995=""Em Aberto"",ISBLANK(I995),NOT(ISDATE(B995))),"""",H995))"),"")</f>
        <v/>
      </c>
      <c r="M995" s="29" t="str">
        <f>IFERROR(__xludf.DUMMYFUNCTION("IF(ISBLANK(B995),"""",IF(ISDATE(B995),TEXT(B995,""m""),""""))"),"")</f>
        <v/>
      </c>
      <c r="N995" s="29" t="str">
        <f>IFERROR(__xludf.DUMMYFUNCTION("IF(M995="""","""",QUERY({'Dashboard-Dados'!$Y$2:$AA$13},""Select Col2 Where Col1=""&amp;M995))"),"")</f>
        <v/>
      </c>
      <c r="O995" s="29" t="str">
        <f>IFERROR(__xludf.DUMMYFUNCTION("IF(ISBLANK(B995),"""",IF(ISDATE(B995),TEXT(B995,""yyyy""),""""))"),"")</f>
        <v/>
      </c>
    </row>
    <row r="996">
      <c r="B996" s="62"/>
      <c r="C996" s="56"/>
      <c r="D996" s="56"/>
      <c r="E996" s="56"/>
      <c r="F996" s="63"/>
      <c r="G996" s="64"/>
      <c r="H996" s="65"/>
      <c r="I996" s="63"/>
      <c r="K996" s="53" t="str">
        <f>IFERROR(__xludf.DUMMYFUNCTION("IF(ISBLANK(B996),"""",IF(ISDATE(B996),""X"",""""))"),"")</f>
        <v/>
      </c>
      <c r="L996" s="40" t="str">
        <f>IFERROR(__xludf.DUMMYFUNCTION("IF(ISBLANK(B996),"""",IF(Or(I996=""Em Aberto"",ISBLANK(I996),NOT(ISDATE(B996))),"""",H996))"),"")</f>
        <v/>
      </c>
      <c r="M996" s="29" t="str">
        <f>IFERROR(__xludf.DUMMYFUNCTION("IF(ISBLANK(B996),"""",IF(ISDATE(B996),TEXT(B996,""m""),""""))"),"")</f>
        <v/>
      </c>
      <c r="N996" s="29" t="str">
        <f>IFERROR(__xludf.DUMMYFUNCTION("IF(M996="""","""",QUERY({'Dashboard-Dados'!$Y$2:$AA$13},""Select Col2 Where Col1=""&amp;M996))"),"")</f>
        <v/>
      </c>
      <c r="O996" s="29" t="str">
        <f>IFERROR(__xludf.DUMMYFUNCTION("IF(ISBLANK(B996),"""",IF(ISDATE(B996),TEXT(B996,""yyyy""),""""))"),"")</f>
        <v/>
      </c>
    </row>
    <row r="997">
      <c r="B997" s="62"/>
      <c r="C997" s="56"/>
      <c r="D997" s="56"/>
      <c r="E997" s="56"/>
      <c r="F997" s="63"/>
      <c r="G997" s="64"/>
      <c r="H997" s="65"/>
      <c r="I997" s="63"/>
      <c r="K997" s="53" t="str">
        <f>IFERROR(__xludf.DUMMYFUNCTION("IF(ISBLANK(B997),"""",IF(ISDATE(B997),""X"",""""))"),"")</f>
        <v/>
      </c>
      <c r="L997" s="40" t="str">
        <f>IFERROR(__xludf.DUMMYFUNCTION("IF(ISBLANK(B997),"""",IF(Or(I997=""Em Aberto"",ISBLANK(I997),NOT(ISDATE(B997))),"""",H997))"),"")</f>
        <v/>
      </c>
      <c r="M997" s="29" t="str">
        <f>IFERROR(__xludf.DUMMYFUNCTION("IF(ISBLANK(B997),"""",IF(ISDATE(B997),TEXT(B997,""m""),""""))"),"")</f>
        <v/>
      </c>
      <c r="N997" s="29" t="str">
        <f>IFERROR(__xludf.DUMMYFUNCTION("IF(M997="""","""",QUERY({'Dashboard-Dados'!$Y$2:$AA$13},""Select Col2 Where Col1=""&amp;M997))"),"")</f>
        <v/>
      </c>
      <c r="O997" s="29" t="str">
        <f>IFERROR(__xludf.DUMMYFUNCTION("IF(ISBLANK(B997),"""",IF(ISDATE(B997),TEXT(B997,""yyyy""),""""))"),"")</f>
        <v/>
      </c>
    </row>
    <row r="998">
      <c r="B998" s="62"/>
      <c r="C998" s="56"/>
      <c r="D998" s="56"/>
      <c r="E998" s="56"/>
      <c r="F998" s="63"/>
      <c r="G998" s="64"/>
      <c r="H998" s="65"/>
      <c r="I998" s="63"/>
      <c r="K998" s="53" t="str">
        <f>IFERROR(__xludf.DUMMYFUNCTION("IF(ISBLANK(B998),"""",IF(ISDATE(B998),""X"",""""))"),"")</f>
        <v/>
      </c>
      <c r="L998" s="40" t="str">
        <f>IFERROR(__xludf.DUMMYFUNCTION("IF(ISBLANK(B998),"""",IF(Or(I998=""Em Aberto"",ISBLANK(I998),NOT(ISDATE(B998))),"""",H998))"),"")</f>
        <v/>
      </c>
      <c r="M998" s="29" t="str">
        <f>IFERROR(__xludf.DUMMYFUNCTION("IF(ISBLANK(B998),"""",IF(ISDATE(B998),TEXT(B998,""m""),""""))"),"")</f>
        <v/>
      </c>
      <c r="N998" s="29" t="str">
        <f>IFERROR(__xludf.DUMMYFUNCTION("IF(M998="""","""",QUERY({'Dashboard-Dados'!$Y$2:$AA$13},""Select Col2 Where Col1=""&amp;M998))"),"")</f>
        <v/>
      </c>
      <c r="O998" s="29" t="str">
        <f>IFERROR(__xludf.DUMMYFUNCTION("IF(ISBLANK(B998),"""",IF(ISDATE(B998),TEXT(B998,""yyyy""),""""))"),"")</f>
        <v/>
      </c>
    </row>
    <row r="999">
      <c r="B999" s="62"/>
      <c r="C999" s="56"/>
      <c r="D999" s="56"/>
      <c r="E999" s="56"/>
      <c r="F999" s="63"/>
      <c r="G999" s="64"/>
      <c r="H999" s="65"/>
      <c r="I999" s="63"/>
      <c r="K999" s="53" t="str">
        <f>IFERROR(__xludf.DUMMYFUNCTION("IF(ISBLANK(B999),"""",IF(ISDATE(B999),""X"",""""))"),"")</f>
        <v/>
      </c>
      <c r="L999" s="40" t="str">
        <f>IFERROR(__xludf.DUMMYFUNCTION("IF(ISBLANK(B999),"""",IF(Or(I999=""Em Aberto"",ISBLANK(I999),NOT(ISDATE(B999))),"""",H999))"),"")</f>
        <v/>
      </c>
      <c r="M999" s="29" t="str">
        <f>IFERROR(__xludf.DUMMYFUNCTION("IF(ISBLANK(B999),"""",IF(ISDATE(B999),TEXT(B999,""m""),""""))"),"")</f>
        <v/>
      </c>
      <c r="N999" s="29" t="str">
        <f>IFERROR(__xludf.DUMMYFUNCTION("IF(M999="""","""",QUERY({'Dashboard-Dados'!$Y$2:$AA$13},""Select Col2 Where Col1=""&amp;M999))"),"")</f>
        <v/>
      </c>
      <c r="O999" s="29" t="str">
        <f>IFERROR(__xludf.DUMMYFUNCTION("IF(ISBLANK(B999),"""",IF(ISDATE(B999),TEXT(B999,""yyyy""),""""))"),"")</f>
        <v/>
      </c>
    </row>
    <row r="1000">
      <c r="B1000" s="62"/>
      <c r="C1000" s="56"/>
      <c r="D1000" s="56"/>
      <c r="E1000" s="56"/>
      <c r="F1000" s="63"/>
      <c r="G1000" s="64"/>
      <c r="H1000" s="65"/>
      <c r="I1000" s="63"/>
      <c r="K1000" s="53" t="str">
        <f>IFERROR(__xludf.DUMMYFUNCTION("IF(ISBLANK(B1000),"""",IF(ISDATE(B1000),""X"",""""))"),"")</f>
        <v/>
      </c>
      <c r="L1000" s="40" t="str">
        <f>IFERROR(__xludf.DUMMYFUNCTION("IF(ISBLANK(B1000),"""",IF(Or(I1000=""Em Aberto"",ISBLANK(I1000),NOT(ISDATE(B1000))),"""",H1000))"),"")</f>
        <v/>
      </c>
      <c r="M1000" s="29" t="str">
        <f>IFERROR(__xludf.DUMMYFUNCTION("IF(ISBLANK(B1000),"""",IF(ISDATE(B1000),TEXT(B1000,""m""),""""))"),"")</f>
        <v/>
      </c>
      <c r="N1000" s="29" t="str">
        <f>IFERROR(__xludf.DUMMYFUNCTION("IF(M1000="""","""",QUERY({'Dashboard-Dados'!$Y$2:$AA$13},""Select Col2 Where Col1=""&amp;M1000))"),"")</f>
        <v/>
      </c>
      <c r="O1000" s="29" t="str">
        <f>IFERROR(__xludf.DUMMYFUNCTION("IF(ISBLANK(B1000),"""",IF(ISDATE(B1000),TEXT(B1000,""yyyy""),""""))"),"")</f>
        <v/>
      </c>
    </row>
    <row r="1001">
      <c r="B1001" s="62"/>
      <c r="C1001" s="56"/>
      <c r="D1001" s="56"/>
      <c r="E1001" s="56"/>
      <c r="F1001" s="63"/>
      <c r="G1001" s="64"/>
      <c r="H1001" s="65"/>
      <c r="I1001" s="63"/>
      <c r="K1001" s="53" t="str">
        <f>IFERROR(__xludf.DUMMYFUNCTION("IF(ISBLANK(B1001),"""",IF(ISDATE(B1001),""X"",""""))"),"")</f>
        <v/>
      </c>
      <c r="L1001" s="40" t="str">
        <f>IFERROR(__xludf.DUMMYFUNCTION("IF(ISBLANK(B1001),"""",IF(Or(I1001=""Em Aberto"",ISBLANK(I1001),NOT(ISDATE(B1001))),"""",H1001))"),"")</f>
        <v/>
      </c>
      <c r="M1001" s="29" t="str">
        <f>IFERROR(__xludf.DUMMYFUNCTION("IF(ISBLANK(B1001),"""",IF(ISDATE(B1001),TEXT(B1001,""m""),""""))"),"")</f>
        <v/>
      </c>
      <c r="N1001" s="29" t="str">
        <f>IFERROR(__xludf.DUMMYFUNCTION("IF(M1001="""","""",QUERY({'Dashboard-Dados'!$Y$2:$AA$13},""Select Col2 Where Col1=""&amp;M1001))"),"")</f>
        <v/>
      </c>
      <c r="O1001" s="29" t="str">
        <f>IFERROR(__xludf.DUMMYFUNCTION("IF(ISBLANK(B1001),"""",IF(ISDATE(B1001),TEXT(B1001,""yyyy""),""""))"),"")</f>
        <v/>
      </c>
    </row>
    <row r="1002">
      <c r="B1002" s="62"/>
      <c r="C1002" s="56"/>
      <c r="D1002" s="56"/>
      <c r="E1002" s="56"/>
      <c r="F1002" s="63"/>
      <c r="G1002" s="64"/>
      <c r="H1002" s="65"/>
      <c r="I1002" s="63"/>
      <c r="K1002" s="53" t="str">
        <f>IFERROR(__xludf.DUMMYFUNCTION("IF(ISBLANK(B1002),"""",IF(ISDATE(B1002),""X"",""""))"),"")</f>
        <v/>
      </c>
      <c r="L1002" s="40" t="str">
        <f>IFERROR(__xludf.DUMMYFUNCTION("IF(ISBLANK(B1002),"""",IF(Or(I1002=""Em Aberto"",ISBLANK(I1002),NOT(ISDATE(B1002))),"""",H1002))"),"")</f>
        <v/>
      </c>
      <c r="M1002" s="29" t="str">
        <f>IFERROR(__xludf.DUMMYFUNCTION("IF(ISBLANK(B1002),"""",IF(ISDATE(B1002),TEXT(B1002,""m""),""""))"),"")</f>
        <v/>
      </c>
      <c r="N1002" s="29" t="str">
        <f>IFERROR(__xludf.DUMMYFUNCTION("IF(M1002="""","""",QUERY({'Dashboard-Dados'!$Y$2:$AA$13},""Select Col2 Where Col1=""&amp;M1002))"),"")</f>
        <v/>
      </c>
      <c r="O1002" s="29" t="str">
        <f>IFERROR(__xludf.DUMMYFUNCTION("IF(ISBLANK(B1002),"""",IF(ISDATE(B1002),TEXT(B1002,""yyyy""),""""))"),"")</f>
        <v/>
      </c>
    </row>
    <row r="1003">
      <c r="B1003" s="62"/>
      <c r="C1003" s="56"/>
      <c r="D1003" s="56"/>
      <c r="E1003" s="56"/>
      <c r="F1003" s="63"/>
      <c r="G1003" s="64"/>
      <c r="H1003" s="65"/>
      <c r="I1003" s="63"/>
      <c r="K1003" s="53" t="str">
        <f>IFERROR(__xludf.DUMMYFUNCTION("IF(ISBLANK(B1003),"""",IF(ISDATE(B1003),""X"",""""))"),"")</f>
        <v/>
      </c>
      <c r="L1003" s="40" t="str">
        <f>IFERROR(__xludf.DUMMYFUNCTION("IF(ISBLANK(B1003),"""",IF(Or(I1003=""Em Aberto"",ISBLANK(I1003),NOT(ISDATE(B1003))),"""",H1003))"),"")</f>
        <v/>
      </c>
      <c r="M1003" s="29" t="str">
        <f>IFERROR(__xludf.DUMMYFUNCTION("IF(ISBLANK(B1003),"""",IF(ISDATE(B1003),TEXT(B1003,""m""),""""))"),"")</f>
        <v/>
      </c>
      <c r="N1003" s="29" t="str">
        <f>IFERROR(__xludf.DUMMYFUNCTION("IF(M1003="""","""",QUERY({'Dashboard-Dados'!$Y$2:$AA$13},""Select Col2 Where Col1=""&amp;M1003))"),"")</f>
        <v/>
      </c>
      <c r="O1003" s="29" t="str">
        <f>IFERROR(__xludf.DUMMYFUNCTION("IF(ISBLANK(B1003),"""",IF(ISDATE(B1003),TEXT(B1003,""yyyy""),""""))"),"")</f>
        <v/>
      </c>
    </row>
    <row r="1004">
      <c r="B1004" s="62"/>
      <c r="C1004" s="56"/>
      <c r="D1004" s="56"/>
      <c r="E1004" s="56"/>
      <c r="F1004" s="63"/>
      <c r="G1004" s="64"/>
      <c r="H1004" s="65"/>
      <c r="I1004" s="63"/>
      <c r="K1004" s="53" t="str">
        <f>IFERROR(__xludf.DUMMYFUNCTION("IF(ISBLANK(B1004),"""",IF(ISDATE(B1004),""X"",""""))"),"")</f>
        <v/>
      </c>
      <c r="L1004" s="40" t="str">
        <f>IFERROR(__xludf.DUMMYFUNCTION("IF(ISBLANK(B1004),"""",IF(Or(I1004=""Em Aberto"",ISBLANK(I1004),NOT(ISDATE(B1004))),"""",H1004))"),"")</f>
        <v/>
      </c>
      <c r="M1004" s="29" t="str">
        <f>IFERROR(__xludf.DUMMYFUNCTION("IF(ISBLANK(B1004),"""",IF(ISDATE(B1004),TEXT(B1004,""m""),""""))"),"")</f>
        <v/>
      </c>
      <c r="N1004" s="29" t="str">
        <f>IFERROR(__xludf.DUMMYFUNCTION("IF(M1004="""","""",QUERY({'Dashboard-Dados'!$Y$2:$AA$13},""Select Col2 Where Col1=""&amp;M1004))"),"")</f>
        <v/>
      </c>
      <c r="O1004" s="29" t="str">
        <f>IFERROR(__xludf.DUMMYFUNCTION("IF(ISBLANK(B1004),"""",IF(ISDATE(B1004),TEXT(B1004,""yyyy""),""""))"),"")</f>
        <v/>
      </c>
    </row>
    <row r="1005">
      <c r="B1005" s="62"/>
      <c r="C1005" s="56"/>
      <c r="D1005" s="56"/>
      <c r="E1005" s="56"/>
      <c r="F1005" s="63"/>
      <c r="G1005" s="64"/>
      <c r="H1005" s="65"/>
      <c r="I1005" s="63"/>
      <c r="K1005" s="53" t="str">
        <f>IFERROR(__xludf.DUMMYFUNCTION("IF(ISBLANK(B1005),"""",IF(ISDATE(B1005),""X"",""""))"),"")</f>
        <v/>
      </c>
      <c r="L1005" s="40" t="str">
        <f>IFERROR(__xludf.DUMMYFUNCTION("IF(ISBLANK(B1005),"""",IF(Or(I1005=""Em Aberto"",ISBLANK(I1005),NOT(ISDATE(B1005))),"""",H1005))"),"")</f>
        <v/>
      </c>
      <c r="M1005" s="29" t="str">
        <f>IFERROR(__xludf.DUMMYFUNCTION("IF(ISBLANK(B1005),"""",IF(ISDATE(B1005),TEXT(B1005,""m""),""""))"),"")</f>
        <v/>
      </c>
      <c r="N1005" s="29" t="str">
        <f>IFERROR(__xludf.DUMMYFUNCTION("IF(M1005="""","""",QUERY({'Dashboard-Dados'!$Y$2:$AA$13},""Select Col2 Where Col1=""&amp;M1005))"),"")</f>
        <v/>
      </c>
      <c r="O1005" s="29" t="str">
        <f>IFERROR(__xludf.DUMMYFUNCTION("IF(ISBLANK(B1005),"""",IF(ISDATE(B1005),TEXT(B1005,""yyyy""),""""))"),"")</f>
        <v/>
      </c>
    </row>
    <row r="1006">
      <c r="B1006" s="62"/>
      <c r="C1006" s="56"/>
      <c r="D1006" s="56"/>
      <c r="E1006" s="56"/>
      <c r="F1006" s="63"/>
      <c r="G1006" s="64"/>
      <c r="H1006" s="65"/>
      <c r="I1006" s="63"/>
      <c r="K1006" s="53" t="str">
        <f>IFERROR(__xludf.DUMMYFUNCTION("IF(ISBLANK(B1006),"""",IF(ISDATE(B1006),""X"",""""))"),"")</f>
        <v/>
      </c>
      <c r="L1006" s="40" t="str">
        <f>IFERROR(__xludf.DUMMYFUNCTION("IF(ISBLANK(B1006),"""",IF(Or(I1006=""Em Aberto"",ISBLANK(I1006),NOT(ISDATE(B1006))),"""",H1006))"),"")</f>
        <v/>
      </c>
      <c r="M1006" s="29" t="str">
        <f>IFERROR(__xludf.DUMMYFUNCTION("IF(ISBLANK(B1006),"""",IF(ISDATE(B1006),TEXT(B1006,""m""),""""))"),"")</f>
        <v/>
      </c>
      <c r="N1006" s="29" t="str">
        <f>IFERROR(__xludf.DUMMYFUNCTION("IF(M1006="""","""",QUERY({'Dashboard-Dados'!$Y$2:$AA$13},""Select Col2 Where Col1=""&amp;M1006))"),"")</f>
        <v/>
      </c>
      <c r="O1006" s="29" t="str">
        <f>IFERROR(__xludf.DUMMYFUNCTION("IF(ISBLANK(B1006),"""",IF(ISDATE(B1006),TEXT(B1006,""yyyy""),""""))"),"")</f>
        <v/>
      </c>
    </row>
    <row r="1007">
      <c r="B1007" s="62"/>
      <c r="C1007" s="56"/>
      <c r="D1007" s="56"/>
      <c r="E1007" s="56"/>
      <c r="F1007" s="63"/>
      <c r="G1007" s="64"/>
      <c r="H1007" s="65"/>
      <c r="I1007" s="63"/>
      <c r="K1007" s="53" t="str">
        <f>IFERROR(__xludf.DUMMYFUNCTION("IF(ISBLANK(B1007),"""",IF(ISDATE(B1007),""X"",""""))"),"")</f>
        <v/>
      </c>
      <c r="L1007" s="40" t="str">
        <f>IFERROR(__xludf.DUMMYFUNCTION("IF(ISBLANK(B1007),"""",IF(Or(I1007=""Em Aberto"",ISBLANK(I1007),NOT(ISDATE(B1007))),"""",H1007))"),"")</f>
        <v/>
      </c>
      <c r="M1007" s="29" t="str">
        <f>IFERROR(__xludf.DUMMYFUNCTION("IF(ISBLANK(B1007),"""",IF(ISDATE(B1007),TEXT(B1007,""m""),""""))"),"")</f>
        <v/>
      </c>
      <c r="N1007" s="29" t="str">
        <f>IFERROR(__xludf.DUMMYFUNCTION("IF(M1007="""","""",QUERY({'Dashboard-Dados'!$Y$2:$AA$13},""Select Col2 Where Col1=""&amp;M1007))"),"")</f>
        <v/>
      </c>
      <c r="O1007" s="29" t="str">
        <f>IFERROR(__xludf.DUMMYFUNCTION("IF(ISBLANK(B1007),"""",IF(ISDATE(B1007),TEXT(B1007,""yyyy""),""""))"),"")</f>
        <v/>
      </c>
    </row>
    <row r="1008">
      <c r="B1008" s="62"/>
      <c r="C1008" s="56"/>
      <c r="D1008" s="56"/>
      <c r="E1008" s="56"/>
      <c r="F1008" s="63"/>
      <c r="G1008" s="64"/>
      <c r="H1008" s="65"/>
      <c r="I1008" s="63"/>
      <c r="K1008" s="53" t="str">
        <f>IFERROR(__xludf.DUMMYFUNCTION("IF(ISBLANK(B1008),"""",IF(ISDATE(B1008),""X"",""""))"),"")</f>
        <v/>
      </c>
      <c r="L1008" s="40" t="str">
        <f>IFERROR(__xludf.DUMMYFUNCTION("IF(ISBLANK(B1008),"""",IF(Or(I1008=""Em Aberto"",ISBLANK(I1008),NOT(ISDATE(B1008))),"""",H1008))"),"")</f>
        <v/>
      </c>
      <c r="M1008" s="29" t="str">
        <f>IFERROR(__xludf.DUMMYFUNCTION("IF(ISBLANK(B1008),"""",IF(ISDATE(B1008),TEXT(B1008,""m""),""""))"),"")</f>
        <v/>
      </c>
      <c r="N1008" s="29" t="str">
        <f>IFERROR(__xludf.DUMMYFUNCTION("IF(M1008="""","""",QUERY({'Dashboard-Dados'!$Y$2:$AA$13},""Select Col2 Where Col1=""&amp;M1008))"),"")</f>
        <v/>
      </c>
      <c r="O1008" s="29" t="str">
        <f>IFERROR(__xludf.DUMMYFUNCTION("IF(ISBLANK(B1008),"""",IF(ISDATE(B1008),TEXT(B1008,""yyyy""),""""))"),"")</f>
        <v/>
      </c>
    </row>
    <row r="1009">
      <c r="B1009" s="62"/>
      <c r="C1009" s="56"/>
      <c r="D1009" s="56"/>
      <c r="E1009" s="56"/>
      <c r="F1009" s="63"/>
      <c r="G1009" s="64"/>
      <c r="H1009" s="65"/>
      <c r="I1009" s="63"/>
      <c r="K1009" s="53" t="str">
        <f>IFERROR(__xludf.DUMMYFUNCTION("IF(ISBLANK(B1009),"""",IF(ISDATE(B1009),""X"",""""))"),"")</f>
        <v/>
      </c>
      <c r="L1009" s="40" t="str">
        <f>IFERROR(__xludf.DUMMYFUNCTION("IF(ISBLANK(B1009),"""",IF(Or(I1009=""Em Aberto"",ISBLANK(I1009),NOT(ISDATE(B1009))),"""",H1009))"),"")</f>
        <v/>
      </c>
      <c r="M1009" s="29" t="str">
        <f>IFERROR(__xludf.DUMMYFUNCTION("IF(ISBLANK(B1009),"""",IF(ISDATE(B1009),TEXT(B1009,""m""),""""))"),"")</f>
        <v/>
      </c>
      <c r="N1009" s="29" t="str">
        <f>IFERROR(__xludf.DUMMYFUNCTION("IF(M1009="""","""",QUERY({'Dashboard-Dados'!$Y$2:$AA$13},""Select Col2 Where Col1=""&amp;M1009))"),"")</f>
        <v/>
      </c>
      <c r="O1009" s="29" t="str">
        <f>IFERROR(__xludf.DUMMYFUNCTION("IF(ISBLANK(B1009),"""",IF(ISDATE(B1009),TEXT(B1009,""yyyy""),""""))"),"")</f>
        <v/>
      </c>
    </row>
    <row r="1010">
      <c r="B1010" s="62"/>
      <c r="C1010" s="56"/>
      <c r="D1010" s="56"/>
      <c r="E1010" s="56"/>
      <c r="F1010" s="63"/>
      <c r="G1010" s="64"/>
      <c r="H1010" s="65"/>
      <c r="I1010" s="63"/>
      <c r="K1010" s="53" t="str">
        <f>IFERROR(__xludf.DUMMYFUNCTION("IF(ISBLANK(B1010),"""",IF(ISDATE(B1010),""X"",""""))"),"")</f>
        <v/>
      </c>
      <c r="L1010" s="40" t="str">
        <f>IFERROR(__xludf.DUMMYFUNCTION("IF(ISBLANK(B1010),"""",IF(Or(I1010=""Em Aberto"",ISBLANK(I1010),NOT(ISDATE(B1010))),"""",H1010))"),"")</f>
        <v/>
      </c>
      <c r="M1010" s="29" t="str">
        <f>IFERROR(__xludf.DUMMYFUNCTION("IF(ISBLANK(B1010),"""",IF(ISDATE(B1010),TEXT(B1010,""m""),""""))"),"")</f>
        <v/>
      </c>
      <c r="N1010" s="29" t="str">
        <f>IFERROR(__xludf.DUMMYFUNCTION("IF(M1010="""","""",QUERY({'Dashboard-Dados'!$Y$2:$AA$13},""Select Col2 Where Col1=""&amp;M1010))"),"")</f>
        <v/>
      </c>
      <c r="O1010" s="29" t="str">
        <f>IFERROR(__xludf.DUMMYFUNCTION("IF(ISBLANK(B1010),"""",IF(ISDATE(B1010),TEXT(B1010,""yyyy""),""""))"),"")</f>
        <v/>
      </c>
    </row>
    <row r="1011">
      <c r="B1011" s="62"/>
      <c r="C1011" s="56"/>
      <c r="D1011" s="56"/>
      <c r="E1011" s="56"/>
      <c r="F1011" s="63"/>
      <c r="G1011" s="64"/>
      <c r="H1011" s="65"/>
      <c r="I1011" s="63"/>
      <c r="K1011" s="53" t="str">
        <f>IFERROR(__xludf.DUMMYFUNCTION("IF(ISBLANK(B1011),"""",IF(ISDATE(B1011),""X"",""""))"),"")</f>
        <v/>
      </c>
      <c r="L1011" s="40" t="str">
        <f>IFERROR(__xludf.DUMMYFUNCTION("IF(ISBLANK(B1011),"""",IF(Or(I1011=""Em Aberto"",ISBLANK(I1011),NOT(ISDATE(B1011))),"""",H1011))"),"")</f>
        <v/>
      </c>
      <c r="M1011" s="29" t="str">
        <f>IFERROR(__xludf.DUMMYFUNCTION("IF(ISBLANK(B1011),"""",IF(ISDATE(B1011),TEXT(B1011,""m""),""""))"),"")</f>
        <v/>
      </c>
      <c r="N1011" s="29" t="str">
        <f>IFERROR(__xludf.DUMMYFUNCTION("IF(M1011="""","""",QUERY({'Dashboard-Dados'!$Y$2:$AA$13},""Select Col2 Where Col1=""&amp;M1011))"),"")</f>
        <v/>
      </c>
      <c r="O1011" s="29" t="str">
        <f>IFERROR(__xludf.DUMMYFUNCTION("IF(ISBLANK(B1011),"""",IF(ISDATE(B1011),TEXT(B1011,""yyyy""),""""))"),"")</f>
        <v/>
      </c>
    </row>
    <row r="1012">
      <c r="B1012" s="62"/>
      <c r="C1012" s="56"/>
      <c r="D1012" s="56"/>
      <c r="E1012" s="56"/>
      <c r="F1012" s="63"/>
      <c r="G1012" s="64"/>
      <c r="H1012" s="65"/>
      <c r="I1012" s="63"/>
      <c r="K1012" s="53" t="str">
        <f>IFERROR(__xludf.DUMMYFUNCTION("IF(ISBLANK(B1012),"""",IF(ISDATE(B1012),""X"",""""))"),"")</f>
        <v/>
      </c>
      <c r="L1012" s="40" t="str">
        <f>IFERROR(__xludf.DUMMYFUNCTION("IF(ISBLANK(B1012),"""",IF(Or(I1012=""Em Aberto"",ISBLANK(I1012),NOT(ISDATE(B1012))),"""",H1012))"),"")</f>
        <v/>
      </c>
      <c r="M1012" s="29" t="str">
        <f>IFERROR(__xludf.DUMMYFUNCTION("IF(ISBLANK(B1012),"""",IF(ISDATE(B1012),TEXT(B1012,""m""),""""))"),"")</f>
        <v/>
      </c>
      <c r="N1012" s="29" t="str">
        <f>IFERROR(__xludf.DUMMYFUNCTION("IF(M1012="""","""",QUERY({'Dashboard-Dados'!$Y$2:$AA$13},""Select Col2 Where Col1=""&amp;M1012))"),"")</f>
        <v/>
      </c>
      <c r="O1012" s="29" t="str">
        <f>IFERROR(__xludf.DUMMYFUNCTION("IF(ISBLANK(B1012),"""",IF(ISDATE(B1012),TEXT(B1012,""yyyy""),""""))"),"")</f>
        <v/>
      </c>
    </row>
    <row r="1013">
      <c r="B1013" s="62"/>
      <c r="C1013" s="56"/>
      <c r="D1013" s="56"/>
      <c r="E1013" s="56"/>
      <c r="F1013" s="63"/>
      <c r="G1013" s="64"/>
      <c r="H1013" s="65"/>
      <c r="I1013" s="63"/>
      <c r="K1013" s="53" t="str">
        <f>IFERROR(__xludf.DUMMYFUNCTION("IF(ISBLANK(B1013),"""",IF(ISDATE(B1013),""X"",""""))"),"")</f>
        <v/>
      </c>
      <c r="L1013" s="40" t="str">
        <f>IFERROR(__xludf.DUMMYFUNCTION("IF(ISBLANK(B1013),"""",IF(Or(I1013=""Em Aberto"",ISBLANK(I1013),NOT(ISDATE(B1013))),"""",H1013))"),"")</f>
        <v/>
      </c>
      <c r="M1013" s="29" t="str">
        <f>IFERROR(__xludf.DUMMYFUNCTION("IF(ISBLANK(B1013),"""",IF(ISDATE(B1013),TEXT(B1013,""m""),""""))"),"")</f>
        <v/>
      </c>
      <c r="N1013" s="29" t="str">
        <f>IFERROR(__xludf.DUMMYFUNCTION("IF(M1013="""","""",QUERY({'Dashboard-Dados'!$Y$2:$AA$13},""Select Col2 Where Col1=""&amp;M1013))"),"")</f>
        <v/>
      </c>
      <c r="O1013" s="29" t="str">
        <f>IFERROR(__xludf.DUMMYFUNCTION("IF(ISBLANK(B1013),"""",IF(ISDATE(B1013),TEXT(B1013,""yyyy""),""""))"),"")</f>
        <v/>
      </c>
    </row>
    <row r="1014">
      <c r="B1014" s="62"/>
      <c r="C1014" s="56"/>
      <c r="D1014" s="56"/>
      <c r="E1014" s="56"/>
      <c r="F1014" s="63"/>
      <c r="G1014" s="64"/>
      <c r="H1014" s="65"/>
      <c r="I1014" s="63"/>
      <c r="K1014" s="53" t="str">
        <f>IFERROR(__xludf.DUMMYFUNCTION("IF(ISBLANK(B1014),"""",IF(ISDATE(B1014),""X"",""""))"),"")</f>
        <v/>
      </c>
      <c r="L1014" s="40" t="str">
        <f>IFERROR(__xludf.DUMMYFUNCTION("IF(ISBLANK(B1014),"""",IF(Or(I1014=""Em Aberto"",ISBLANK(I1014),NOT(ISDATE(B1014))),"""",H1014))"),"")</f>
        <v/>
      </c>
      <c r="M1014" s="29" t="str">
        <f>IFERROR(__xludf.DUMMYFUNCTION("IF(ISBLANK(B1014),"""",IF(ISDATE(B1014),TEXT(B1014,""m""),""""))"),"")</f>
        <v/>
      </c>
      <c r="N1014" s="29" t="str">
        <f>IFERROR(__xludf.DUMMYFUNCTION("IF(M1014="""","""",QUERY({'Dashboard-Dados'!$Y$2:$AA$13},""Select Col2 Where Col1=""&amp;M1014))"),"")</f>
        <v/>
      </c>
      <c r="O1014" s="29" t="str">
        <f>IFERROR(__xludf.DUMMYFUNCTION("IF(ISBLANK(B1014),"""",IF(ISDATE(B1014),TEXT(B1014,""yyyy""),""""))"),"")</f>
        <v/>
      </c>
    </row>
    <row r="1015">
      <c r="B1015" s="62"/>
      <c r="C1015" s="56"/>
      <c r="D1015" s="56"/>
      <c r="E1015" s="56"/>
      <c r="F1015" s="63"/>
      <c r="G1015" s="64"/>
      <c r="H1015" s="65"/>
      <c r="I1015" s="63"/>
      <c r="K1015" s="53" t="str">
        <f>IFERROR(__xludf.DUMMYFUNCTION("IF(ISBLANK(B1015),"""",IF(ISDATE(B1015),""X"",""""))"),"")</f>
        <v/>
      </c>
      <c r="L1015" s="40" t="str">
        <f>IFERROR(__xludf.DUMMYFUNCTION("IF(ISBLANK(B1015),"""",IF(Or(I1015=""Em Aberto"",ISBLANK(I1015),NOT(ISDATE(B1015))),"""",H1015))"),"")</f>
        <v/>
      </c>
      <c r="M1015" s="29" t="str">
        <f>IFERROR(__xludf.DUMMYFUNCTION("IF(ISBLANK(B1015),"""",IF(ISDATE(B1015),TEXT(B1015,""m""),""""))"),"")</f>
        <v/>
      </c>
      <c r="N1015" s="29" t="str">
        <f>IFERROR(__xludf.DUMMYFUNCTION("IF(M1015="""","""",QUERY({'Dashboard-Dados'!$Y$2:$AA$13},""Select Col2 Where Col1=""&amp;M1015))"),"")</f>
        <v/>
      </c>
      <c r="O1015" s="29" t="str">
        <f>IFERROR(__xludf.DUMMYFUNCTION("IF(ISBLANK(B1015),"""",IF(ISDATE(B1015),TEXT(B1015,""yyyy""),""""))"),"")</f>
        <v/>
      </c>
    </row>
    <row r="1016">
      <c r="B1016" s="62"/>
      <c r="C1016" s="56"/>
      <c r="D1016" s="56"/>
      <c r="E1016" s="56"/>
      <c r="F1016" s="63"/>
      <c r="G1016" s="64"/>
      <c r="H1016" s="65"/>
      <c r="I1016" s="63"/>
      <c r="K1016" s="53" t="str">
        <f>IFERROR(__xludf.DUMMYFUNCTION("IF(ISBLANK(B1016),"""",IF(ISDATE(B1016),""X"",""""))"),"")</f>
        <v/>
      </c>
      <c r="L1016" s="40" t="str">
        <f>IFERROR(__xludf.DUMMYFUNCTION("IF(ISBLANK(B1016),"""",IF(Or(I1016=""Em Aberto"",ISBLANK(I1016),NOT(ISDATE(B1016))),"""",H1016))"),"")</f>
        <v/>
      </c>
      <c r="M1016" s="29" t="str">
        <f>IFERROR(__xludf.DUMMYFUNCTION("IF(ISBLANK(B1016),"""",IF(ISDATE(B1016),TEXT(B1016,""m""),""""))"),"")</f>
        <v/>
      </c>
      <c r="N1016" s="29" t="str">
        <f>IFERROR(__xludf.DUMMYFUNCTION("IF(M1016="""","""",QUERY({'Dashboard-Dados'!$Y$2:$AA$13},""Select Col2 Where Col1=""&amp;M1016))"),"")</f>
        <v/>
      </c>
      <c r="O1016" s="29" t="str">
        <f>IFERROR(__xludf.DUMMYFUNCTION("IF(ISBLANK(B1016),"""",IF(ISDATE(B1016),TEXT(B1016,""yyyy""),""""))"),"")</f>
        <v/>
      </c>
    </row>
    <row r="1017">
      <c r="B1017" s="62"/>
      <c r="C1017" s="56"/>
      <c r="D1017" s="56"/>
      <c r="E1017" s="56"/>
      <c r="F1017" s="63"/>
      <c r="G1017" s="64"/>
      <c r="H1017" s="65"/>
      <c r="I1017" s="63"/>
      <c r="K1017" s="53" t="str">
        <f>IFERROR(__xludf.DUMMYFUNCTION("IF(ISBLANK(B1017),"""",IF(ISDATE(B1017),""X"",""""))"),"")</f>
        <v/>
      </c>
      <c r="L1017" s="40" t="str">
        <f>IFERROR(__xludf.DUMMYFUNCTION("IF(ISBLANK(B1017),"""",IF(Or(I1017=""Em Aberto"",ISBLANK(I1017),NOT(ISDATE(B1017))),"""",H1017))"),"")</f>
        <v/>
      </c>
      <c r="M1017" s="29" t="str">
        <f>IFERROR(__xludf.DUMMYFUNCTION("IF(ISBLANK(B1017),"""",IF(ISDATE(B1017),TEXT(B1017,""m""),""""))"),"")</f>
        <v/>
      </c>
      <c r="N1017" s="29" t="str">
        <f>IFERROR(__xludf.DUMMYFUNCTION("IF(M1017="""","""",QUERY({'Dashboard-Dados'!$Y$2:$AA$13},""Select Col2 Where Col1=""&amp;M1017))"),"")</f>
        <v/>
      </c>
      <c r="O1017" s="29" t="str">
        <f>IFERROR(__xludf.DUMMYFUNCTION("IF(ISBLANK(B1017),"""",IF(ISDATE(B1017),TEXT(B1017,""yyyy""),""""))"),"")</f>
        <v/>
      </c>
    </row>
    <row r="1018">
      <c r="B1018" s="62"/>
      <c r="C1018" s="56"/>
      <c r="D1018" s="56"/>
      <c r="E1018" s="56"/>
      <c r="F1018" s="63"/>
      <c r="G1018" s="64"/>
      <c r="H1018" s="65"/>
      <c r="I1018" s="63"/>
      <c r="K1018" s="53" t="str">
        <f>IFERROR(__xludf.DUMMYFUNCTION("IF(ISBLANK(B1018),"""",IF(ISDATE(B1018),""X"",""""))"),"")</f>
        <v/>
      </c>
      <c r="L1018" s="40" t="str">
        <f>IFERROR(__xludf.DUMMYFUNCTION("IF(ISBLANK(B1018),"""",IF(Or(I1018=""Em Aberto"",ISBLANK(I1018),NOT(ISDATE(B1018))),"""",H1018))"),"")</f>
        <v/>
      </c>
      <c r="M1018" s="29" t="str">
        <f>IFERROR(__xludf.DUMMYFUNCTION("IF(ISBLANK(B1018),"""",IF(ISDATE(B1018),TEXT(B1018,""m""),""""))"),"")</f>
        <v/>
      </c>
      <c r="N1018" s="29" t="str">
        <f>IFERROR(__xludf.DUMMYFUNCTION("IF(M1018="""","""",QUERY({'Dashboard-Dados'!$Y$2:$AA$13},""Select Col2 Where Col1=""&amp;M1018))"),"")</f>
        <v/>
      </c>
      <c r="O1018" s="29" t="str">
        <f>IFERROR(__xludf.DUMMYFUNCTION("IF(ISBLANK(B1018),"""",IF(ISDATE(B1018),TEXT(B1018,""yyyy""),""""))"),"")</f>
        <v/>
      </c>
    </row>
    <row r="1019">
      <c r="B1019" s="62"/>
      <c r="C1019" s="56"/>
      <c r="D1019" s="56"/>
      <c r="E1019" s="56"/>
      <c r="F1019" s="63"/>
      <c r="G1019" s="64"/>
      <c r="H1019" s="65"/>
      <c r="I1019" s="63"/>
      <c r="K1019" s="53" t="str">
        <f>IFERROR(__xludf.DUMMYFUNCTION("IF(ISBLANK(B1019),"""",IF(ISDATE(B1019),""X"",""""))"),"")</f>
        <v/>
      </c>
      <c r="L1019" s="40" t="str">
        <f>IFERROR(__xludf.DUMMYFUNCTION("IF(ISBLANK(B1019),"""",IF(Or(I1019=""Em Aberto"",ISBLANK(I1019),NOT(ISDATE(B1019))),"""",H1019))"),"")</f>
        <v/>
      </c>
      <c r="M1019" s="29" t="str">
        <f>IFERROR(__xludf.DUMMYFUNCTION("IF(ISBLANK(B1019),"""",IF(ISDATE(B1019),TEXT(B1019,""m""),""""))"),"")</f>
        <v/>
      </c>
      <c r="N1019" s="29" t="str">
        <f>IFERROR(__xludf.DUMMYFUNCTION("IF(M1019="""","""",QUERY({'Dashboard-Dados'!$Y$2:$AA$13},""Select Col2 Where Col1=""&amp;M1019))"),"")</f>
        <v/>
      </c>
      <c r="O1019" s="29" t="str">
        <f>IFERROR(__xludf.DUMMYFUNCTION("IF(ISBLANK(B1019),"""",IF(ISDATE(B1019),TEXT(B1019,""yyyy""),""""))"),"")</f>
        <v/>
      </c>
    </row>
    <row r="1020">
      <c r="B1020" s="62"/>
      <c r="C1020" s="56"/>
      <c r="D1020" s="56"/>
      <c r="E1020" s="56"/>
      <c r="F1020" s="63"/>
      <c r="G1020" s="64"/>
      <c r="H1020" s="65"/>
      <c r="I1020" s="63"/>
      <c r="K1020" s="53" t="str">
        <f>IFERROR(__xludf.DUMMYFUNCTION("IF(ISBLANK(B1020),"""",IF(ISDATE(B1020),""X"",""""))"),"")</f>
        <v/>
      </c>
      <c r="L1020" s="40" t="str">
        <f>IFERROR(__xludf.DUMMYFUNCTION("IF(ISBLANK(B1020),"""",IF(Or(I1020=""Em Aberto"",ISBLANK(I1020),NOT(ISDATE(B1020))),"""",H1020))"),"")</f>
        <v/>
      </c>
      <c r="M1020" s="29" t="str">
        <f>IFERROR(__xludf.DUMMYFUNCTION("IF(ISBLANK(B1020),"""",IF(ISDATE(B1020),TEXT(B1020,""m""),""""))"),"")</f>
        <v/>
      </c>
      <c r="N1020" s="29" t="str">
        <f>IFERROR(__xludf.DUMMYFUNCTION("IF(M1020="""","""",QUERY({'Dashboard-Dados'!$Y$2:$AA$13},""Select Col2 Where Col1=""&amp;M1020))"),"")</f>
        <v/>
      </c>
      <c r="O1020" s="29" t="str">
        <f>IFERROR(__xludf.DUMMYFUNCTION("IF(ISBLANK(B1020),"""",IF(ISDATE(B1020),TEXT(B1020,""yyyy""),""""))"),"")</f>
        <v/>
      </c>
    </row>
    <row r="1021">
      <c r="B1021" s="62"/>
      <c r="C1021" s="56"/>
      <c r="D1021" s="56"/>
      <c r="E1021" s="56"/>
      <c r="F1021" s="63"/>
      <c r="G1021" s="64"/>
      <c r="H1021" s="65"/>
      <c r="I1021" s="63"/>
      <c r="K1021" s="53" t="str">
        <f>IFERROR(__xludf.DUMMYFUNCTION("IF(ISBLANK(B1021),"""",IF(ISDATE(B1021),""X"",""""))"),"")</f>
        <v/>
      </c>
      <c r="L1021" s="40" t="str">
        <f>IFERROR(__xludf.DUMMYFUNCTION("IF(ISBLANK(B1021),"""",IF(Or(I1021=""Em Aberto"",ISBLANK(I1021),NOT(ISDATE(B1021))),"""",H1021))"),"")</f>
        <v/>
      </c>
      <c r="M1021" s="29" t="str">
        <f>IFERROR(__xludf.DUMMYFUNCTION("IF(ISBLANK(B1021),"""",IF(ISDATE(B1021),TEXT(B1021,""m""),""""))"),"")</f>
        <v/>
      </c>
      <c r="N1021" s="29" t="str">
        <f>IFERROR(__xludf.DUMMYFUNCTION("IF(M1021="""","""",QUERY({'Dashboard-Dados'!$Y$2:$AA$13},""Select Col2 Where Col1=""&amp;M1021))"),"")</f>
        <v/>
      </c>
      <c r="O1021" s="29" t="str">
        <f>IFERROR(__xludf.DUMMYFUNCTION("IF(ISBLANK(B1021),"""",IF(ISDATE(B1021),TEXT(B1021,""yyyy""),""""))"),"")</f>
        <v/>
      </c>
    </row>
    <row r="1022">
      <c r="B1022" s="62"/>
      <c r="C1022" s="56"/>
      <c r="D1022" s="56"/>
      <c r="E1022" s="56"/>
      <c r="F1022" s="63"/>
      <c r="G1022" s="64"/>
      <c r="H1022" s="65"/>
      <c r="I1022" s="63"/>
      <c r="K1022" s="53" t="str">
        <f>IFERROR(__xludf.DUMMYFUNCTION("IF(ISBLANK(B1022),"""",IF(ISDATE(B1022),""X"",""""))"),"")</f>
        <v/>
      </c>
      <c r="L1022" s="40" t="str">
        <f>IFERROR(__xludf.DUMMYFUNCTION("IF(ISBLANK(B1022),"""",IF(Or(I1022=""Em Aberto"",ISBLANK(I1022),NOT(ISDATE(B1022))),"""",H1022))"),"")</f>
        <v/>
      </c>
      <c r="M1022" s="29" t="str">
        <f>IFERROR(__xludf.DUMMYFUNCTION("IF(ISBLANK(B1022),"""",IF(ISDATE(B1022),TEXT(B1022,""m""),""""))"),"")</f>
        <v/>
      </c>
      <c r="N1022" s="29" t="str">
        <f>IFERROR(__xludf.DUMMYFUNCTION("IF(M1022="""","""",QUERY({'Dashboard-Dados'!$Y$2:$AA$13},""Select Col2 Where Col1=""&amp;M1022))"),"")</f>
        <v/>
      </c>
      <c r="O1022" s="29" t="str">
        <f>IFERROR(__xludf.DUMMYFUNCTION("IF(ISBLANK(B1022),"""",IF(ISDATE(B1022),TEXT(B1022,""yyyy""),""""))"),"")</f>
        <v/>
      </c>
    </row>
    <row r="1023">
      <c r="B1023" s="62"/>
      <c r="C1023" s="56"/>
      <c r="D1023" s="56"/>
      <c r="E1023" s="56"/>
      <c r="F1023" s="63"/>
      <c r="G1023" s="64"/>
      <c r="H1023" s="65"/>
      <c r="I1023" s="63"/>
      <c r="K1023" s="53" t="str">
        <f>IFERROR(__xludf.DUMMYFUNCTION("IF(ISBLANK(B1023),"""",IF(ISDATE(B1023),""X"",""""))"),"")</f>
        <v/>
      </c>
      <c r="L1023" s="40" t="str">
        <f>IFERROR(__xludf.DUMMYFUNCTION("IF(ISBLANK(B1023),"""",IF(Or(I1023=""Em Aberto"",ISBLANK(I1023),NOT(ISDATE(B1023))),"""",H1023))"),"")</f>
        <v/>
      </c>
      <c r="M1023" s="29" t="str">
        <f>IFERROR(__xludf.DUMMYFUNCTION("IF(ISBLANK(B1023),"""",IF(ISDATE(B1023),TEXT(B1023,""m""),""""))"),"")</f>
        <v/>
      </c>
      <c r="N1023" s="29" t="str">
        <f>IFERROR(__xludf.DUMMYFUNCTION("IF(M1023="""","""",QUERY({'Dashboard-Dados'!$Y$2:$AA$13},""Select Col2 Where Col1=""&amp;M1023))"),"")</f>
        <v/>
      </c>
      <c r="O1023" s="29" t="str">
        <f>IFERROR(__xludf.DUMMYFUNCTION("IF(ISBLANK(B1023),"""",IF(ISDATE(B1023),TEXT(B1023,""yyyy""),""""))"),"")</f>
        <v/>
      </c>
    </row>
    <row r="1024">
      <c r="B1024" s="62"/>
      <c r="C1024" s="56"/>
      <c r="D1024" s="56"/>
      <c r="E1024" s="56"/>
      <c r="F1024" s="63"/>
      <c r="G1024" s="64"/>
      <c r="H1024" s="65"/>
      <c r="I1024" s="63"/>
      <c r="K1024" s="53" t="str">
        <f>IFERROR(__xludf.DUMMYFUNCTION("IF(ISBLANK(B1024),"""",IF(ISDATE(B1024),""X"",""""))"),"")</f>
        <v/>
      </c>
      <c r="L1024" s="40" t="str">
        <f>IFERROR(__xludf.DUMMYFUNCTION("IF(ISBLANK(B1024),"""",IF(Or(I1024=""Em Aberto"",ISBLANK(I1024),NOT(ISDATE(B1024))),"""",H1024))"),"")</f>
        <v/>
      </c>
      <c r="M1024" s="29" t="str">
        <f>IFERROR(__xludf.DUMMYFUNCTION("IF(ISBLANK(B1024),"""",IF(ISDATE(B1024),TEXT(B1024,""m""),""""))"),"")</f>
        <v/>
      </c>
      <c r="N1024" s="29" t="str">
        <f>IFERROR(__xludf.DUMMYFUNCTION("IF(M1024="""","""",QUERY({'Dashboard-Dados'!$Y$2:$AA$13},""Select Col2 Where Col1=""&amp;M1024))"),"")</f>
        <v/>
      </c>
      <c r="O1024" s="29" t="str">
        <f>IFERROR(__xludf.DUMMYFUNCTION("IF(ISBLANK(B1024),"""",IF(ISDATE(B1024),TEXT(B1024,""yyyy""),""""))"),"")</f>
        <v/>
      </c>
    </row>
    <row r="1025">
      <c r="B1025" s="62"/>
      <c r="C1025" s="56"/>
      <c r="D1025" s="56"/>
      <c r="E1025" s="56"/>
      <c r="F1025" s="63"/>
      <c r="G1025" s="64"/>
      <c r="H1025" s="65"/>
      <c r="I1025" s="63"/>
      <c r="K1025" s="53" t="str">
        <f>IFERROR(__xludf.DUMMYFUNCTION("IF(ISBLANK(B1025),"""",IF(ISDATE(B1025),""X"",""""))"),"")</f>
        <v/>
      </c>
      <c r="L1025" s="40" t="str">
        <f>IFERROR(__xludf.DUMMYFUNCTION("IF(ISBLANK(B1025),"""",IF(Or(I1025=""Em Aberto"",ISBLANK(I1025),NOT(ISDATE(B1025))),"""",H1025))"),"")</f>
        <v/>
      </c>
      <c r="M1025" s="29" t="str">
        <f>IFERROR(__xludf.DUMMYFUNCTION("IF(ISBLANK(B1025),"""",IF(ISDATE(B1025),TEXT(B1025,""m""),""""))"),"")</f>
        <v/>
      </c>
      <c r="N1025" s="29" t="str">
        <f>IFERROR(__xludf.DUMMYFUNCTION("IF(M1025="""","""",QUERY({'Dashboard-Dados'!$Y$2:$AA$13},""Select Col2 Where Col1=""&amp;M1025))"),"")</f>
        <v/>
      </c>
      <c r="O1025" s="29" t="str">
        <f>IFERROR(__xludf.DUMMYFUNCTION("IF(ISBLANK(B1025),"""",IF(ISDATE(B1025),TEXT(B1025,""yyyy""),""""))"),"")</f>
        <v/>
      </c>
    </row>
    <row r="1026">
      <c r="B1026" s="62"/>
      <c r="C1026" s="56"/>
      <c r="D1026" s="56"/>
      <c r="E1026" s="56"/>
      <c r="F1026" s="63"/>
      <c r="G1026" s="64"/>
      <c r="H1026" s="65"/>
      <c r="I1026" s="63"/>
      <c r="K1026" s="53" t="str">
        <f>IFERROR(__xludf.DUMMYFUNCTION("IF(ISBLANK(B1026),"""",IF(ISDATE(B1026),""X"",""""))"),"")</f>
        <v/>
      </c>
      <c r="L1026" s="40" t="str">
        <f>IFERROR(__xludf.DUMMYFUNCTION("IF(ISBLANK(B1026),"""",IF(Or(I1026=""Em Aberto"",ISBLANK(I1026),NOT(ISDATE(B1026))),"""",H1026))"),"")</f>
        <v/>
      </c>
      <c r="M1026" s="29" t="str">
        <f>IFERROR(__xludf.DUMMYFUNCTION("IF(ISBLANK(B1026),"""",IF(ISDATE(B1026),TEXT(B1026,""m""),""""))"),"")</f>
        <v/>
      </c>
      <c r="N1026" s="29" t="str">
        <f>IFERROR(__xludf.DUMMYFUNCTION("IF(M1026="""","""",QUERY({'Dashboard-Dados'!$Y$2:$AA$13},""Select Col2 Where Col1=""&amp;M1026))"),"")</f>
        <v/>
      </c>
      <c r="O1026" s="29" t="str">
        <f>IFERROR(__xludf.DUMMYFUNCTION("IF(ISBLANK(B1026),"""",IF(ISDATE(B1026),TEXT(B1026,""yyyy""),""""))"),"")</f>
        <v/>
      </c>
    </row>
    <row r="1027">
      <c r="B1027" s="62"/>
      <c r="C1027" s="56"/>
      <c r="D1027" s="56"/>
      <c r="E1027" s="56"/>
      <c r="F1027" s="63"/>
      <c r="G1027" s="64"/>
      <c r="H1027" s="65"/>
      <c r="I1027" s="63"/>
      <c r="K1027" s="53" t="str">
        <f>IFERROR(__xludf.DUMMYFUNCTION("IF(ISBLANK(B1027),"""",IF(ISDATE(B1027),""X"",""""))"),"")</f>
        <v/>
      </c>
      <c r="L1027" s="40" t="str">
        <f>IFERROR(__xludf.DUMMYFUNCTION("IF(ISBLANK(B1027),"""",IF(Or(I1027=""Em Aberto"",ISBLANK(I1027),NOT(ISDATE(B1027))),"""",H1027))"),"")</f>
        <v/>
      </c>
      <c r="M1027" s="29" t="str">
        <f>IFERROR(__xludf.DUMMYFUNCTION("IF(ISBLANK(B1027),"""",IF(ISDATE(B1027),TEXT(B1027,""m""),""""))"),"")</f>
        <v/>
      </c>
      <c r="N1027" s="29" t="str">
        <f>IFERROR(__xludf.DUMMYFUNCTION("IF(M1027="""","""",QUERY({'Dashboard-Dados'!$Y$2:$AA$13},""Select Col2 Where Col1=""&amp;M1027))"),"")</f>
        <v/>
      </c>
      <c r="O1027" s="29" t="str">
        <f>IFERROR(__xludf.DUMMYFUNCTION("IF(ISBLANK(B1027),"""",IF(ISDATE(B1027),TEXT(B1027,""yyyy""),""""))"),"")</f>
        <v/>
      </c>
    </row>
    <row r="1028">
      <c r="B1028" s="62"/>
      <c r="C1028" s="56"/>
      <c r="D1028" s="56"/>
      <c r="E1028" s="56"/>
      <c r="F1028" s="63"/>
      <c r="G1028" s="64"/>
      <c r="H1028" s="65"/>
      <c r="I1028" s="63"/>
      <c r="K1028" s="53" t="str">
        <f>IFERROR(__xludf.DUMMYFUNCTION("IF(ISBLANK(B1028),"""",IF(ISDATE(B1028),""X"",""""))"),"")</f>
        <v/>
      </c>
      <c r="L1028" s="40" t="str">
        <f>IFERROR(__xludf.DUMMYFUNCTION("IF(ISBLANK(B1028),"""",IF(Or(I1028=""Em Aberto"",ISBLANK(I1028),NOT(ISDATE(B1028))),"""",H1028))"),"")</f>
        <v/>
      </c>
      <c r="M1028" s="29" t="str">
        <f>IFERROR(__xludf.DUMMYFUNCTION("IF(ISBLANK(B1028),"""",IF(ISDATE(B1028),TEXT(B1028,""m""),""""))"),"")</f>
        <v/>
      </c>
      <c r="N1028" s="29" t="str">
        <f>IFERROR(__xludf.DUMMYFUNCTION("IF(M1028="""","""",QUERY({'Dashboard-Dados'!$Y$2:$AA$13},""Select Col2 Where Col1=""&amp;M1028))"),"")</f>
        <v/>
      </c>
      <c r="O1028" s="29" t="str">
        <f>IFERROR(__xludf.DUMMYFUNCTION("IF(ISBLANK(B1028),"""",IF(ISDATE(B1028),TEXT(B1028,""yyyy""),""""))"),"")</f>
        <v/>
      </c>
    </row>
    <row r="1029">
      <c r="B1029" s="62"/>
      <c r="C1029" s="56"/>
      <c r="D1029" s="56"/>
      <c r="E1029" s="56"/>
      <c r="F1029" s="63"/>
      <c r="G1029" s="64"/>
      <c r="H1029" s="65"/>
      <c r="I1029" s="63"/>
      <c r="K1029" s="53" t="str">
        <f>IFERROR(__xludf.DUMMYFUNCTION("IF(ISBLANK(B1029),"""",IF(ISDATE(B1029),""X"",""""))"),"")</f>
        <v/>
      </c>
      <c r="L1029" s="40" t="str">
        <f>IFERROR(__xludf.DUMMYFUNCTION("IF(ISBLANK(B1029),"""",IF(Or(I1029=""Em Aberto"",ISBLANK(I1029),NOT(ISDATE(B1029))),"""",H1029))"),"")</f>
        <v/>
      </c>
      <c r="M1029" s="29" t="str">
        <f>IFERROR(__xludf.DUMMYFUNCTION("IF(ISBLANK(B1029),"""",IF(ISDATE(B1029),TEXT(B1029,""m""),""""))"),"")</f>
        <v/>
      </c>
      <c r="N1029" s="29" t="str">
        <f>IFERROR(__xludf.DUMMYFUNCTION("IF(M1029="""","""",QUERY({'Dashboard-Dados'!$Y$2:$AA$13},""Select Col2 Where Col1=""&amp;M1029))"),"")</f>
        <v/>
      </c>
      <c r="O1029" s="29" t="str">
        <f>IFERROR(__xludf.DUMMYFUNCTION("IF(ISBLANK(B1029),"""",IF(ISDATE(B1029),TEXT(B1029,""yyyy""),""""))"),"")</f>
        <v/>
      </c>
    </row>
    <row r="1030">
      <c r="B1030" s="62"/>
      <c r="C1030" s="56"/>
      <c r="D1030" s="56"/>
      <c r="E1030" s="56"/>
      <c r="F1030" s="63"/>
      <c r="G1030" s="64"/>
      <c r="H1030" s="65"/>
      <c r="I1030" s="63"/>
      <c r="K1030" s="53" t="str">
        <f>IFERROR(__xludf.DUMMYFUNCTION("IF(ISBLANK(B1030),"""",IF(ISDATE(B1030),""X"",""""))"),"")</f>
        <v/>
      </c>
      <c r="L1030" s="40" t="str">
        <f>IFERROR(__xludf.DUMMYFUNCTION("IF(ISBLANK(B1030),"""",IF(Or(I1030=""Em Aberto"",ISBLANK(I1030),NOT(ISDATE(B1030))),"""",H1030))"),"")</f>
        <v/>
      </c>
      <c r="M1030" s="29" t="str">
        <f>IFERROR(__xludf.DUMMYFUNCTION("IF(ISBLANK(B1030),"""",IF(ISDATE(B1030),TEXT(B1030,""m""),""""))"),"")</f>
        <v/>
      </c>
      <c r="N1030" s="29" t="str">
        <f>IFERROR(__xludf.DUMMYFUNCTION("IF(M1030="""","""",QUERY({'Dashboard-Dados'!$Y$2:$AA$13},""Select Col2 Where Col1=""&amp;M1030))"),"")</f>
        <v/>
      </c>
      <c r="O1030" s="29" t="str">
        <f>IFERROR(__xludf.DUMMYFUNCTION("IF(ISBLANK(B1030),"""",IF(ISDATE(B1030),TEXT(B1030,""yyyy""),""""))"),"")</f>
        <v/>
      </c>
    </row>
    <row r="1031">
      <c r="B1031" s="62"/>
      <c r="C1031" s="56"/>
      <c r="D1031" s="56"/>
      <c r="E1031" s="56"/>
      <c r="F1031" s="63"/>
      <c r="G1031" s="64"/>
      <c r="H1031" s="65"/>
      <c r="I1031" s="63"/>
      <c r="K1031" s="53" t="str">
        <f>IFERROR(__xludf.DUMMYFUNCTION("IF(ISBLANK(B1031),"""",IF(ISDATE(B1031),""X"",""""))"),"")</f>
        <v/>
      </c>
      <c r="L1031" s="40" t="str">
        <f>IFERROR(__xludf.DUMMYFUNCTION("IF(ISBLANK(B1031),"""",IF(Or(I1031=""Em Aberto"",ISBLANK(I1031),NOT(ISDATE(B1031))),"""",H1031))"),"")</f>
        <v/>
      </c>
      <c r="M1031" s="29" t="str">
        <f>IFERROR(__xludf.DUMMYFUNCTION("IF(ISBLANK(B1031),"""",IF(ISDATE(B1031),TEXT(B1031,""m""),""""))"),"")</f>
        <v/>
      </c>
      <c r="N1031" s="29" t="str">
        <f>IFERROR(__xludf.DUMMYFUNCTION("IF(M1031="""","""",QUERY({'Dashboard-Dados'!$Y$2:$AA$13},""Select Col2 Where Col1=""&amp;M1031))"),"")</f>
        <v/>
      </c>
      <c r="O1031" s="29" t="str">
        <f>IFERROR(__xludf.DUMMYFUNCTION("IF(ISBLANK(B1031),"""",IF(ISDATE(B1031),TEXT(B1031,""yyyy""),""""))"),"")</f>
        <v/>
      </c>
    </row>
    <row r="1032">
      <c r="B1032" s="62"/>
      <c r="C1032" s="56"/>
      <c r="D1032" s="56"/>
      <c r="E1032" s="56"/>
      <c r="F1032" s="63"/>
      <c r="G1032" s="64"/>
      <c r="H1032" s="65"/>
      <c r="I1032" s="63"/>
      <c r="K1032" s="53" t="str">
        <f>IFERROR(__xludf.DUMMYFUNCTION("IF(ISBLANK(B1032),"""",IF(ISDATE(B1032),""X"",""""))"),"")</f>
        <v/>
      </c>
      <c r="L1032" s="40" t="str">
        <f>IFERROR(__xludf.DUMMYFUNCTION("IF(ISBLANK(B1032),"""",IF(Or(I1032=""Em Aberto"",ISBLANK(I1032),NOT(ISDATE(B1032))),"""",H1032))"),"")</f>
        <v/>
      </c>
      <c r="M1032" s="29" t="str">
        <f>IFERROR(__xludf.DUMMYFUNCTION("IF(ISBLANK(B1032),"""",IF(ISDATE(B1032),TEXT(B1032,""m""),""""))"),"")</f>
        <v/>
      </c>
      <c r="N1032" s="29" t="str">
        <f>IFERROR(__xludf.DUMMYFUNCTION("IF(M1032="""","""",QUERY({'Dashboard-Dados'!$Y$2:$AA$13},""Select Col2 Where Col1=""&amp;M1032))"),"")</f>
        <v/>
      </c>
      <c r="O1032" s="29" t="str">
        <f>IFERROR(__xludf.DUMMYFUNCTION("IF(ISBLANK(B1032),"""",IF(ISDATE(B1032),TEXT(B1032,""yyyy""),""""))"),"")</f>
        <v/>
      </c>
    </row>
    <row r="1033">
      <c r="B1033" s="62"/>
      <c r="C1033" s="56"/>
      <c r="D1033" s="56"/>
      <c r="E1033" s="56"/>
      <c r="F1033" s="63"/>
      <c r="G1033" s="64"/>
      <c r="H1033" s="65"/>
      <c r="I1033" s="63"/>
      <c r="K1033" s="53" t="str">
        <f>IFERROR(__xludf.DUMMYFUNCTION("IF(ISBLANK(B1033),"""",IF(ISDATE(B1033),""X"",""""))"),"")</f>
        <v/>
      </c>
      <c r="L1033" s="40" t="str">
        <f>IFERROR(__xludf.DUMMYFUNCTION("IF(ISBLANK(B1033),"""",IF(Or(I1033=""Em Aberto"",ISBLANK(I1033),NOT(ISDATE(B1033))),"""",H1033))"),"")</f>
        <v/>
      </c>
      <c r="M1033" s="29" t="str">
        <f>IFERROR(__xludf.DUMMYFUNCTION("IF(ISBLANK(B1033),"""",IF(ISDATE(B1033),TEXT(B1033,""m""),""""))"),"")</f>
        <v/>
      </c>
      <c r="N1033" s="29" t="str">
        <f>IFERROR(__xludf.DUMMYFUNCTION("IF(M1033="""","""",QUERY({'Dashboard-Dados'!$Y$2:$AA$13},""Select Col2 Where Col1=""&amp;M1033))"),"")</f>
        <v/>
      </c>
      <c r="O1033" s="29" t="str">
        <f>IFERROR(__xludf.DUMMYFUNCTION("IF(ISBLANK(B1033),"""",IF(ISDATE(B1033),TEXT(B1033,""yyyy""),""""))"),"")</f>
        <v/>
      </c>
    </row>
    <row r="1034">
      <c r="B1034" s="62"/>
      <c r="C1034" s="56"/>
      <c r="D1034" s="56"/>
      <c r="E1034" s="56"/>
      <c r="F1034" s="63"/>
      <c r="G1034" s="64"/>
      <c r="H1034" s="65"/>
      <c r="I1034" s="63"/>
      <c r="K1034" s="53" t="str">
        <f>IFERROR(__xludf.DUMMYFUNCTION("IF(ISBLANK(B1034),"""",IF(ISDATE(B1034),""X"",""""))"),"")</f>
        <v/>
      </c>
      <c r="L1034" s="40" t="str">
        <f>IFERROR(__xludf.DUMMYFUNCTION("IF(ISBLANK(B1034),"""",IF(Or(I1034=""Em Aberto"",ISBLANK(I1034),NOT(ISDATE(B1034))),"""",H1034))"),"")</f>
        <v/>
      </c>
      <c r="M1034" s="29" t="str">
        <f>IFERROR(__xludf.DUMMYFUNCTION("IF(ISBLANK(B1034),"""",IF(ISDATE(B1034),TEXT(B1034,""m""),""""))"),"")</f>
        <v/>
      </c>
      <c r="N1034" s="29" t="str">
        <f>IFERROR(__xludf.DUMMYFUNCTION("IF(M1034="""","""",QUERY({'Dashboard-Dados'!$Y$2:$AA$13},""Select Col2 Where Col1=""&amp;M1034))"),"")</f>
        <v/>
      </c>
      <c r="O1034" s="29" t="str">
        <f>IFERROR(__xludf.DUMMYFUNCTION("IF(ISBLANK(B1034),"""",IF(ISDATE(B1034),TEXT(B1034,""yyyy""),""""))"),"")</f>
        <v/>
      </c>
    </row>
    <row r="1035">
      <c r="B1035" s="62"/>
      <c r="C1035" s="56"/>
      <c r="D1035" s="56"/>
      <c r="E1035" s="56"/>
      <c r="F1035" s="63"/>
      <c r="G1035" s="64"/>
      <c r="H1035" s="65"/>
      <c r="I1035" s="63"/>
      <c r="K1035" s="53" t="str">
        <f>IFERROR(__xludf.DUMMYFUNCTION("IF(ISBLANK(B1035),"""",IF(ISDATE(B1035),""X"",""""))"),"")</f>
        <v/>
      </c>
      <c r="L1035" s="40" t="str">
        <f>IFERROR(__xludf.DUMMYFUNCTION("IF(ISBLANK(B1035),"""",IF(Or(I1035=""Em Aberto"",ISBLANK(I1035),NOT(ISDATE(B1035))),"""",H1035))"),"")</f>
        <v/>
      </c>
      <c r="M1035" s="29" t="str">
        <f>IFERROR(__xludf.DUMMYFUNCTION("IF(ISBLANK(B1035),"""",IF(ISDATE(B1035),TEXT(B1035,""m""),""""))"),"")</f>
        <v/>
      </c>
      <c r="N1035" s="29" t="str">
        <f>IFERROR(__xludf.DUMMYFUNCTION("IF(M1035="""","""",QUERY({'Dashboard-Dados'!$Y$2:$AA$13},""Select Col2 Where Col1=""&amp;M1035))"),"")</f>
        <v/>
      </c>
      <c r="O1035" s="29" t="str">
        <f>IFERROR(__xludf.DUMMYFUNCTION("IF(ISBLANK(B1035),"""",IF(ISDATE(B1035),TEXT(B1035,""yyyy""),""""))"),"")</f>
        <v/>
      </c>
    </row>
    <row r="1036">
      <c r="B1036" s="62"/>
      <c r="C1036" s="56"/>
      <c r="D1036" s="56"/>
      <c r="E1036" s="56"/>
      <c r="F1036" s="63"/>
      <c r="G1036" s="64"/>
      <c r="H1036" s="65"/>
      <c r="I1036" s="63"/>
      <c r="K1036" s="53" t="str">
        <f>IFERROR(__xludf.DUMMYFUNCTION("IF(ISBLANK(B1036),"""",IF(ISDATE(B1036),""X"",""""))"),"")</f>
        <v/>
      </c>
      <c r="L1036" s="40" t="str">
        <f>IFERROR(__xludf.DUMMYFUNCTION("IF(ISBLANK(B1036),"""",IF(Or(I1036=""Em Aberto"",ISBLANK(I1036),NOT(ISDATE(B1036))),"""",H1036))"),"")</f>
        <v/>
      </c>
      <c r="M1036" s="29" t="str">
        <f>IFERROR(__xludf.DUMMYFUNCTION("IF(ISBLANK(B1036),"""",IF(ISDATE(B1036),TEXT(B1036,""m""),""""))"),"")</f>
        <v/>
      </c>
      <c r="N1036" s="29" t="str">
        <f>IFERROR(__xludf.DUMMYFUNCTION("IF(M1036="""","""",QUERY({'Dashboard-Dados'!$Y$2:$AA$13},""Select Col2 Where Col1=""&amp;M1036))"),"")</f>
        <v/>
      </c>
      <c r="O1036" s="29" t="str">
        <f>IFERROR(__xludf.DUMMYFUNCTION("IF(ISBLANK(B1036),"""",IF(ISDATE(B1036),TEXT(B1036,""yyyy""),""""))"),"")</f>
        <v/>
      </c>
    </row>
    <row r="1037">
      <c r="B1037" s="62"/>
      <c r="C1037" s="56"/>
      <c r="D1037" s="56"/>
      <c r="E1037" s="56"/>
      <c r="F1037" s="63"/>
      <c r="G1037" s="64"/>
      <c r="H1037" s="65"/>
      <c r="I1037" s="63"/>
      <c r="K1037" s="53" t="str">
        <f>IFERROR(__xludf.DUMMYFUNCTION("IF(ISBLANK(B1037),"""",IF(ISDATE(B1037),""X"",""""))"),"")</f>
        <v/>
      </c>
      <c r="L1037" s="40" t="str">
        <f>IFERROR(__xludf.DUMMYFUNCTION("IF(ISBLANK(B1037),"""",IF(Or(I1037=""Em Aberto"",ISBLANK(I1037),NOT(ISDATE(B1037))),"""",H1037))"),"")</f>
        <v/>
      </c>
      <c r="M1037" s="29" t="str">
        <f>IFERROR(__xludf.DUMMYFUNCTION("IF(ISBLANK(B1037),"""",IF(ISDATE(B1037),TEXT(B1037,""m""),""""))"),"")</f>
        <v/>
      </c>
      <c r="N1037" s="29" t="str">
        <f>IFERROR(__xludf.DUMMYFUNCTION("IF(M1037="""","""",QUERY({'Dashboard-Dados'!$Y$2:$AA$13},""Select Col2 Where Col1=""&amp;M1037))"),"")</f>
        <v/>
      </c>
      <c r="O1037" s="29" t="str">
        <f>IFERROR(__xludf.DUMMYFUNCTION("IF(ISBLANK(B1037),"""",IF(ISDATE(B1037),TEXT(B1037,""yyyy""),""""))"),"")</f>
        <v/>
      </c>
    </row>
    <row r="1038">
      <c r="B1038" s="62"/>
      <c r="C1038" s="56"/>
      <c r="D1038" s="56"/>
      <c r="E1038" s="56"/>
      <c r="F1038" s="63"/>
      <c r="G1038" s="64"/>
      <c r="H1038" s="65"/>
      <c r="I1038" s="63"/>
      <c r="K1038" s="53" t="str">
        <f>IFERROR(__xludf.DUMMYFUNCTION("IF(ISBLANK(B1038),"""",IF(ISDATE(B1038),""X"",""""))"),"")</f>
        <v/>
      </c>
      <c r="L1038" s="40" t="str">
        <f>IFERROR(__xludf.DUMMYFUNCTION("IF(ISBLANK(B1038),"""",IF(Or(I1038=""Em Aberto"",ISBLANK(I1038),NOT(ISDATE(B1038))),"""",H1038))"),"")</f>
        <v/>
      </c>
      <c r="M1038" s="29" t="str">
        <f>IFERROR(__xludf.DUMMYFUNCTION("IF(ISBLANK(B1038),"""",IF(ISDATE(B1038),TEXT(B1038,""m""),""""))"),"")</f>
        <v/>
      </c>
      <c r="N1038" s="29" t="str">
        <f>IFERROR(__xludf.DUMMYFUNCTION("IF(M1038="""","""",QUERY({'Dashboard-Dados'!$Y$2:$AA$13},""Select Col2 Where Col1=""&amp;M1038))"),"")</f>
        <v/>
      </c>
      <c r="O1038" s="29" t="str">
        <f>IFERROR(__xludf.DUMMYFUNCTION("IF(ISBLANK(B1038),"""",IF(ISDATE(B1038),TEXT(B1038,""yyyy""),""""))"),"")</f>
        <v/>
      </c>
    </row>
    <row r="1039">
      <c r="B1039" s="62"/>
      <c r="C1039" s="56"/>
      <c r="D1039" s="56"/>
      <c r="E1039" s="56"/>
      <c r="F1039" s="63"/>
      <c r="G1039" s="64"/>
      <c r="H1039" s="65"/>
      <c r="I1039" s="63"/>
      <c r="K1039" s="53" t="str">
        <f>IFERROR(__xludf.DUMMYFUNCTION("IF(ISBLANK(B1039),"""",IF(ISDATE(B1039),""X"",""""))"),"")</f>
        <v/>
      </c>
      <c r="L1039" s="40" t="str">
        <f>IFERROR(__xludf.DUMMYFUNCTION("IF(ISBLANK(B1039),"""",IF(Or(I1039=""Em Aberto"",ISBLANK(I1039),NOT(ISDATE(B1039))),"""",H1039))"),"")</f>
        <v/>
      </c>
      <c r="M1039" s="29" t="str">
        <f>IFERROR(__xludf.DUMMYFUNCTION("IF(ISBLANK(B1039),"""",IF(ISDATE(B1039),TEXT(B1039,""m""),""""))"),"")</f>
        <v/>
      </c>
      <c r="N1039" s="29" t="str">
        <f>IFERROR(__xludf.DUMMYFUNCTION("IF(M1039="""","""",QUERY({'Dashboard-Dados'!$Y$2:$AA$13},""Select Col2 Where Col1=""&amp;M1039))"),"")</f>
        <v/>
      </c>
      <c r="O1039" s="29" t="str">
        <f>IFERROR(__xludf.DUMMYFUNCTION("IF(ISBLANK(B1039),"""",IF(ISDATE(B1039),TEXT(B1039,""yyyy""),""""))"),"")</f>
        <v/>
      </c>
    </row>
    <row r="1040">
      <c r="B1040" s="62"/>
      <c r="C1040" s="56"/>
      <c r="D1040" s="56"/>
      <c r="E1040" s="56"/>
      <c r="F1040" s="63"/>
      <c r="G1040" s="64"/>
      <c r="H1040" s="65"/>
      <c r="I1040" s="63"/>
      <c r="K1040" s="53" t="str">
        <f>IFERROR(__xludf.DUMMYFUNCTION("IF(ISBLANK(B1040),"""",IF(ISDATE(B1040),""X"",""""))"),"")</f>
        <v/>
      </c>
      <c r="L1040" s="40" t="str">
        <f>IFERROR(__xludf.DUMMYFUNCTION("IF(ISBLANK(B1040),"""",IF(Or(I1040=""Em Aberto"",ISBLANK(I1040),NOT(ISDATE(B1040))),"""",H1040))"),"")</f>
        <v/>
      </c>
      <c r="M1040" s="29" t="str">
        <f>IFERROR(__xludf.DUMMYFUNCTION("IF(ISBLANK(B1040),"""",IF(ISDATE(B1040),TEXT(B1040,""m""),""""))"),"")</f>
        <v/>
      </c>
      <c r="N1040" s="29" t="str">
        <f>IFERROR(__xludf.DUMMYFUNCTION("IF(M1040="""","""",QUERY({'Dashboard-Dados'!$Y$2:$AA$13},""Select Col2 Where Col1=""&amp;M1040))"),"")</f>
        <v/>
      </c>
      <c r="O1040" s="29" t="str">
        <f>IFERROR(__xludf.DUMMYFUNCTION("IF(ISBLANK(B1040),"""",IF(ISDATE(B1040),TEXT(B1040,""yyyy""),""""))"),"")</f>
        <v/>
      </c>
    </row>
    <row r="1041">
      <c r="B1041" s="62"/>
      <c r="C1041" s="56"/>
      <c r="D1041" s="56"/>
      <c r="E1041" s="56"/>
      <c r="F1041" s="63"/>
      <c r="G1041" s="64"/>
      <c r="H1041" s="65"/>
      <c r="I1041" s="63"/>
      <c r="K1041" s="53" t="str">
        <f>IFERROR(__xludf.DUMMYFUNCTION("IF(ISBLANK(B1041),"""",IF(ISDATE(B1041),""X"",""""))"),"")</f>
        <v/>
      </c>
      <c r="L1041" s="40" t="str">
        <f>IFERROR(__xludf.DUMMYFUNCTION("IF(ISBLANK(B1041),"""",IF(Or(I1041=""Em Aberto"",ISBLANK(I1041),NOT(ISDATE(B1041))),"""",H1041))"),"")</f>
        <v/>
      </c>
      <c r="M1041" s="29" t="str">
        <f>IFERROR(__xludf.DUMMYFUNCTION("IF(ISBLANK(B1041),"""",IF(ISDATE(B1041),TEXT(B1041,""m""),""""))"),"")</f>
        <v/>
      </c>
      <c r="N1041" s="29" t="str">
        <f>IFERROR(__xludf.DUMMYFUNCTION("IF(M1041="""","""",QUERY({'Dashboard-Dados'!$Y$2:$AA$13},""Select Col2 Where Col1=""&amp;M1041))"),"")</f>
        <v/>
      </c>
      <c r="O1041" s="29" t="str">
        <f>IFERROR(__xludf.DUMMYFUNCTION("IF(ISBLANK(B1041),"""",IF(ISDATE(B1041),TEXT(B1041,""yyyy""),""""))"),"")</f>
        <v/>
      </c>
    </row>
    <row r="1042">
      <c r="B1042" s="62"/>
      <c r="C1042" s="56"/>
      <c r="D1042" s="56"/>
      <c r="E1042" s="56"/>
      <c r="F1042" s="63"/>
      <c r="G1042" s="64"/>
      <c r="H1042" s="65"/>
      <c r="I1042" s="63"/>
      <c r="K1042" s="53" t="str">
        <f>IFERROR(__xludf.DUMMYFUNCTION("IF(ISBLANK(B1042),"""",IF(ISDATE(B1042),""X"",""""))"),"")</f>
        <v/>
      </c>
      <c r="L1042" s="40" t="str">
        <f>IFERROR(__xludf.DUMMYFUNCTION("IF(ISBLANK(B1042),"""",IF(Or(I1042=""Em Aberto"",ISBLANK(I1042),NOT(ISDATE(B1042))),"""",H1042))"),"")</f>
        <v/>
      </c>
      <c r="M1042" s="29" t="str">
        <f>IFERROR(__xludf.DUMMYFUNCTION("IF(ISBLANK(B1042),"""",IF(ISDATE(B1042),TEXT(B1042,""m""),""""))"),"")</f>
        <v/>
      </c>
      <c r="N1042" s="29" t="str">
        <f>IFERROR(__xludf.DUMMYFUNCTION("IF(M1042="""","""",QUERY({'Dashboard-Dados'!$Y$2:$AA$13},""Select Col2 Where Col1=""&amp;M1042))"),"")</f>
        <v/>
      </c>
      <c r="O1042" s="29" t="str">
        <f>IFERROR(__xludf.DUMMYFUNCTION("IF(ISBLANK(B1042),"""",IF(ISDATE(B1042),TEXT(B1042,""yyyy""),""""))"),"")</f>
        <v/>
      </c>
    </row>
    <row r="1043">
      <c r="B1043" s="62"/>
      <c r="C1043" s="56"/>
      <c r="D1043" s="56"/>
      <c r="E1043" s="56"/>
      <c r="F1043" s="63"/>
      <c r="G1043" s="64"/>
      <c r="H1043" s="65"/>
      <c r="I1043" s="63"/>
      <c r="K1043" s="53" t="str">
        <f>IFERROR(__xludf.DUMMYFUNCTION("IF(ISBLANK(B1043),"""",IF(ISDATE(B1043),""X"",""""))"),"")</f>
        <v/>
      </c>
      <c r="L1043" s="40" t="str">
        <f>IFERROR(__xludf.DUMMYFUNCTION("IF(ISBLANK(B1043),"""",IF(Or(I1043=""Em Aberto"",ISBLANK(I1043),NOT(ISDATE(B1043))),"""",H1043))"),"")</f>
        <v/>
      </c>
      <c r="M1043" s="29" t="str">
        <f>IFERROR(__xludf.DUMMYFUNCTION("IF(ISBLANK(B1043),"""",IF(ISDATE(B1043),TEXT(B1043,""m""),""""))"),"")</f>
        <v/>
      </c>
      <c r="N1043" s="29" t="str">
        <f>IFERROR(__xludf.DUMMYFUNCTION("IF(M1043="""","""",QUERY({'Dashboard-Dados'!$Y$2:$AA$13},""Select Col2 Where Col1=""&amp;M1043))"),"")</f>
        <v/>
      </c>
      <c r="O1043" s="29" t="str">
        <f>IFERROR(__xludf.DUMMYFUNCTION("IF(ISBLANK(B1043),"""",IF(ISDATE(B1043),TEXT(B1043,""yyyy""),""""))"),"")</f>
        <v/>
      </c>
    </row>
    <row r="1044">
      <c r="B1044" s="62"/>
      <c r="C1044" s="56"/>
      <c r="D1044" s="56"/>
      <c r="E1044" s="56"/>
      <c r="F1044" s="63"/>
      <c r="G1044" s="64"/>
      <c r="H1044" s="65"/>
      <c r="I1044" s="63"/>
      <c r="K1044" s="53" t="str">
        <f>IFERROR(__xludf.DUMMYFUNCTION("IF(ISBLANK(B1044),"""",IF(ISDATE(B1044),""X"",""""))"),"")</f>
        <v/>
      </c>
      <c r="L1044" s="40" t="str">
        <f>IFERROR(__xludf.DUMMYFUNCTION("IF(ISBLANK(B1044),"""",IF(Or(I1044=""Em Aberto"",ISBLANK(I1044),NOT(ISDATE(B1044))),"""",H1044))"),"")</f>
        <v/>
      </c>
      <c r="M1044" s="29" t="str">
        <f>IFERROR(__xludf.DUMMYFUNCTION("IF(ISBLANK(B1044),"""",IF(ISDATE(B1044),TEXT(B1044,""m""),""""))"),"")</f>
        <v/>
      </c>
      <c r="N1044" s="29" t="str">
        <f>IFERROR(__xludf.DUMMYFUNCTION("IF(M1044="""","""",QUERY({'Dashboard-Dados'!$Y$2:$AA$13},""Select Col2 Where Col1=""&amp;M1044))"),"")</f>
        <v/>
      </c>
      <c r="O1044" s="29" t="str">
        <f>IFERROR(__xludf.DUMMYFUNCTION("IF(ISBLANK(B1044),"""",IF(ISDATE(B1044),TEXT(B1044,""yyyy""),""""))"),"")</f>
        <v/>
      </c>
    </row>
    <row r="1045">
      <c r="B1045" s="62"/>
      <c r="C1045" s="56"/>
      <c r="D1045" s="56"/>
      <c r="E1045" s="56"/>
      <c r="F1045" s="63"/>
      <c r="G1045" s="64"/>
      <c r="H1045" s="65"/>
      <c r="I1045" s="63"/>
      <c r="K1045" s="53" t="str">
        <f>IFERROR(__xludf.DUMMYFUNCTION("IF(ISBLANK(B1045),"""",IF(ISDATE(B1045),""X"",""""))"),"")</f>
        <v/>
      </c>
      <c r="L1045" s="40" t="str">
        <f>IFERROR(__xludf.DUMMYFUNCTION("IF(ISBLANK(B1045),"""",IF(Or(I1045=""Em Aberto"",ISBLANK(I1045),NOT(ISDATE(B1045))),"""",H1045))"),"")</f>
        <v/>
      </c>
      <c r="M1045" s="29" t="str">
        <f>IFERROR(__xludf.DUMMYFUNCTION("IF(ISBLANK(B1045),"""",IF(ISDATE(B1045),TEXT(B1045,""m""),""""))"),"")</f>
        <v/>
      </c>
      <c r="N1045" s="29" t="str">
        <f>IFERROR(__xludf.DUMMYFUNCTION("IF(M1045="""","""",QUERY({'Dashboard-Dados'!$Y$2:$AA$13},""Select Col2 Where Col1=""&amp;M1045))"),"")</f>
        <v/>
      </c>
      <c r="O1045" s="29" t="str">
        <f>IFERROR(__xludf.DUMMYFUNCTION("IF(ISBLANK(B1045),"""",IF(ISDATE(B1045),TEXT(B1045,""yyyy""),""""))"),"")</f>
        <v/>
      </c>
    </row>
    <row r="1046">
      <c r="B1046" s="62"/>
      <c r="C1046" s="56"/>
      <c r="D1046" s="56"/>
      <c r="E1046" s="56"/>
      <c r="F1046" s="63"/>
      <c r="G1046" s="64"/>
      <c r="H1046" s="65"/>
      <c r="I1046" s="63"/>
      <c r="K1046" s="53" t="str">
        <f>IFERROR(__xludf.DUMMYFUNCTION("IF(ISBLANK(B1046),"""",IF(ISDATE(B1046),""X"",""""))"),"")</f>
        <v/>
      </c>
      <c r="L1046" s="40" t="str">
        <f>IFERROR(__xludf.DUMMYFUNCTION("IF(ISBLANK(B1046),"""",IF(Or(I1046=""Em Aberto"",ISBLANK(I1046),NOT(ISDATE(B1046))),"""",H1046))"),"")</f>
        <v/>
      </c>
      <c r="M1046" s="29" t="str">
        <f>IFERROR(__xludf.DUMMYFUNCTION("IF(ISBLANK(B1046),"""",IF(ISDATE(B1046),TEXT(B1046,""m""),""""))"),"")</f>
        <v/>
      </c>
      <c r="N1046" s="29" t="str">
        <f>IFERROR(__xludf.DUMMYFUNCTION("IF(M1046="""","""",QUERY({'Dashboard-Dados'!$Y$2:$AA$13},""Select Col2 Where Col1=""&amp;M1046))"),"")</f>
        <v/>
      </c>
      <c r="O1046" s="29" t="str">
        <f>IFERROR(__xludf.DUMMYFUNCTION("IF(ISBLANK(B1046),"""",IF(ISDATE(B1046),TEXT(B1046,""yyyy""),""""))"),"")</f>
        <v/>
      </c>
    </row>
    <row r="1047">
      <c r="B1047" s="62"/>
      <c r="C1047" s="56"/>
      <c r="D1047" s="56"/>
      <c r="E1047" s="56"/>
      <c r="F1047" s="63"/>
      <c r="G1047" s="64"/>
      <c r="H1047" s="65"/>
      <c r="I1047" s="63"/>
      <c r="K1047" s="53" t="str">
        <f>IFERROR(__xludf.DUMMYFUNCTION("IF(ISBLANK(B1047),"""",IF(ISDATE(B1047),""X"",""""))"),"")</f>
        <v/>
      </c>
      <c r="L1047" s="40" t="str">
        <f>IFERROR(__xludf.DUMMYFUNCTION("IF(ISBLANK(B1047),"""",IF(Or(I1047=""Em Aberto"",ISBLANK(I1047),NOT(ISDATE(B1047))),"""",H1047))"),"")</f>
        <v/>
      </c>
      <c r="M1047" s="29" t="str">
        <f>IFERROR(__xludf.DUMMYFUNCTION("IF(ISBLANK(B1047),"""",IF(ISDATE(B1047),TEXT(B1047,""m""),""""))"),"")</f>
        <v/>
      </c>
      <c r="N1047" s="29" t="str">
        <f>IFERROR(__xludf.DUMMYFUNCTION("IF(M1047="""","""",QUERY({'Dashboard-Dados'!$Y$2:$AA$13},""Select Col2 Where Col1=""&amp;M1047))"),"")</f>
        <v/>
      </c>
      <c r="O1047" s="29" t="str">
        <f>IFERROR(__xludf.DUMMYFUNCTION("IF(ISBLANK(B1047),"""",IF(ISDATE(B1047),TEXT(B1047,""yyyy""),""""))"),"")</f>
        <v/>
      </c>
    </row>
    <row r="1048">
      <c r="B1048" s="62"/>
      <c r="C1048" s="56"/>
      <c r="D1048" s="56"/>
      <c r="E1048" s="56"/>
      <c r="F1048" s="63"/>
      <c r="G1048" s="64"/>
      <c r="H1048" s="65"/>
      <c r="I1048" s="63"/>
      <c r="K1048" s="53" t="str">
        <f>IFERROR(__xludf.DUMMYFUNCTION("IF(ISBLANK(B1048),"""",IF(ISDATE(B1048),""X"",""""))"),"")</f>
        <v/>
      </c>
      <c r="L1048" s="40" t="str">
        <f>IFERROR(__xludf.DUMMYFUNCTION("IF(ISBLANK(B1048),"""",IF(Or(I1048=""Em Aberto"",ISBLANK(I1048),NOT(ISDATE(B1048))),"""",H1048))"),"")</f>
        <v/>
      </c>
      <c r="M1048" s="29" t="str">
        <f>IFERROR(__xludf.DUMMYFUNCTION("IF(ISBLANK(B1048),"""",IF(ISDATE(B1048),TEXT(B1048,""m""),""""))"),"")</f>
        <v/>
      </c>
      <c r="N1048" s="29" t="str">
        <f>IFERROR(__xludf.DUMMYFUNCTION("IF(M1048="""","""",QUERY({'Dashboard-Dados'!$Y$2:$AA$13},""Select Col2 Where Col1=""&amp;M1048))"),"")</f>
        <v/>
      </c>
      <c r="O1048" s="29" t="str">
        <f>IFERROR(__xludf.DUMMYFUNCTION("IF(ISBLANK(B1048),"""",IF(ISDATE(B1048),TEXT(B1048,""yyyy""),""""))"),"")</f>
        <v/>
      </c>
    </row>
    <row r="1049">
      <c r="B1049" s="62"/>
      <c r="C1049" s="56"/>
      <c r="D1049" s="56"/>
      <c r="E1049" s="56"/>
      <c r="F1049" s="63"/>
      <c r="G1049" s="64"/>
      <c r="H1049" s="65"/>
      <c r="I1049" s="63"/>
      <c r="K1049" s="53" t="str">
        <f>IFERROR(__xludf.DUMMYFUNCTION("IF(ISBLANK(B1049),"""",IF(ISDATE(B1049),""X"",""""))"),"")</f>
        <v/>
      </c>
      <c r="L1049" s="40" t="str">
        <f>IFERROR(__xludf.DUMMYFUNCTION("IF(ISBLANK(B1049),"""",IF(Or(I1049=""Em Aberto"",ISBLANK(I1049),NOT(ISDATE(B1049))),"""",H1049))"),"")</f>
        <v/>
      </c>
      <c r="M1049" s="29" t="str">
        <f>IFERROR(__xludf.DUMMYFUNCTION("IF(ISBLANK(B1049),"""",IF(ISDATE(B1049),TEXT(B1049,""m""),""""))"),"")</f>
        <v/>
      </c>
      <c r="N1049" s="29" t="str">
        <f>IFERROR(__xludf.DUMMYFUNCTION("IF(M1049="""","""",QUERY({'Dashboard-Dados'!$Y$2:$AA$13},""Select Col2 Where Col1=""&amp;M1049))"),"")</f>
        <v/>
      </c>
      <c r="O1049" s="29" t="str">
        <f>IFERROR(__xludf.DUMMYFUNCTION("IF(ISBLANK(B1049),"""",IF(ISDATE(B1049),TEXT(B1049,""yyyy""),""""))"),"")</f>
        <v/>
      </c>
    </row>
    <row r="1050">
      <c r="B1050" s="62"/>
      <c r="C1050" s="56"/>
      <c r="D1050" s="56"/>
      <c r="E1050" s="56"/>
      <c r="F1050" s="63"/>
      <c r="G1050" s="64"/>
      <c r="H1050" s="65"/>
      <c r="I1050" s="63"/>
      <c r="K1050" s="53" t="str">
        <f>IFERROR(__xludf.DUMMYFUNCTION("IF(ISBLANK(B1050),"""",IF(ISDATE(B1050),""X"",""""))"),"")</f>
        <v/>
      </c>
      <c r="L1050" s="40" t="str">
        <f>IFERROR(__xludf.DUMMYFUNCTION("IF(ISBLANK(B1050),"""",IF(Or(I1050=""Em Aberto"",ISBLANK(I1050),NOT(ISDATE(B1050))),"""",H1050))"),"")</f>
        <v/>
      </c>
      <c r="M1050" s="29" t="str">
        <f>IFERROR(__xludf.DUMMYFUNCTION("IF(ISBLANK(B1050),"""",IF(ISDATE(B1050),TEXT(B1050,""m""),""""))"),"")</f>
        <v/>
      </c>
      <c r="N1050" s="29" t="str">
        <f>IFERROR(__xludf.DUMMYFUNCTION("IF(M1050="""","""",QUERY({'Dashboard-Dados'!$Y$2:$AA$13},""Select Col2 Where Col1=""&amp;M1050))"),"")</f>
        <v/>
      </c>
      <c r="O1050" s="29" t="str">
        <f>IFERROR(__xludf.DUMMYFUNCTION("IF(ISBLANK(B1050),"""",IF(ISDATE(B1050),TEXT(B1050,""yyyy""),""""))"),"")</f>
        <v/>
      </c>
    </row>
    <row r="1051">
      <c r="B1051" s="62"/>
      <c r="C1051" s="56"/>
      <c r="D1051" s="56"/>
      <c r="E1051" s="56"/>
      <c r="F1051" s="63"/>
      <c r="G1051" s="64"/>
      <c r="H1051" s="65"/>
      <c r="I1051" s="63"/>
      <c r="K1051" s="53" t="str">
        <f>IFERROR(__xludf.DUMMYFUNCTION("IF(ISBLANK(B1051),"""",IF(ISDATE(B1051),""X"",""""))"),"")</f>
        <v/>
      </c>
      <c r="L1051" s="40" t="str">
        <f>IFERROR(__xludf.DUMMYFUNCTION("IF(ISBLANK(B1051),"""",IF(Or(I1051=""Em Aberto"",ISBLANK(I1051),NOT(ISDATE(B1051))),"""",H1051))"),"")</f>
        <v/>
      </c>
      <c r="M1051" s="29" t="str">
        <f>IFERROR(__xludf.DUMMYFUNCTION("IF(ISBLANK(B1051),"""",IF(ISDATE(B1051),TEXT(B1051,""m""),""""))"),"")</f>
        <v/>
      </c>
      <c r="N1051" s="29" t="str">
        <f>IFERROR(__xludf.DUMMYFUNCTION("IF(M1051="""","""",QUERY({'Dashboard-Dados'!$Y$2:$AA$13},""Select Col2 Where Col1=""&amp;M1051))"),"")</f>
        <v/>
      </c>
      <c r="O1051" s="29" t="str">
        <f>IFERROR(__xludf.DUMMYFUNCTION("IF(ISBLANK(B1051),"""",IF(ISDATE(B1051),TEXT(B1051,""yyyy""),""""))"),"")</f>
        <v/>
      </c>
    </row>
    <row r="1052">
      <c r="B1052" s="62"/>
      <c r="C1052" s="56"/>
      <c r="D1052" s="56"/>
      <c r="E1052" s="56"/>
      <c r="F1052" s="63"/>
      <c r="G1052" s="64"/>
      <c r="H1052" s="65"/>
      <c r="I1052" s="63"/>
      <c r="K1052" s="53" t="str">
        <f>IFERROR(__xludf.DUMMYFUNCTION("IF(ISBLANK(B1052),"""",IF(ISDATE(B1052),""X"",""""))"),"")</f>
        <v/>
      </c>
      <c r="L1052" s="40" t="str">
        <f>IFERROR(__xludf.DUMMYFUNCTION("IF(ISBLANK(B1052),"""",IF(Or(I1052=""Em Aberto"",ISBLANK(I1052),NOT(ISDATE(B1052))),"""",H1052))"),"")</f>
        <v/>
      </c>
      <c r="M1052" s="29" t="str">
        <f>IFERROR(__xludf.DUMMYFUNCTION("IF(ISBLANK(B1052),"""",IF(ISDATE(B1052),TEXT(B1052,""m""),""""))"),"")</f>
        <v/>
      </c>
      <c r="N1052" s="29" t="str">
        <f>IFERROR(__xludf.DUMMYFUNCTION("IF(M1052="""","""",QUERY({'Dashboard-Dados'!$Y$2:$AA$13},""Select Col2 Where Col1=""&amp;M1052))"),"")</f>
        <v/>
      </c>
      <c r="O1052" s="29" t="str">
        <f>IFERROR(__xludf.DUMMYFUNCTION("IF(ISBLANK(B1052),"""",IF(ISDATE(B1052),TEXT(B1052,""yyyy""),""""))"),"")</f>
        <v/>
      </c>
    </row>
    <row r="1053">
      <c r="B1053" s="62"/>
      <c r="C1053" s="56"/>
      <c r="D1053" s="56"/>
      <c r="E1053" s="56"/>
      <c r="F1053" s="63"/>
      <c r="G1053" s="64"/>
      <c r="H1053" s="65"/>
      <c r="I1053" s="63"/>
      <c r="K1053" s="53" t="str">
        <f>IFERROR(__xludf.DUMMYFUNCTION("IF(ISBLANK(B1053),"""",IF(ISDATE(B1053),""X"",""""))"),"")</f>
        <v/>
      </c>
      <c r="L1053" s="40" t="str">
        <f>IFERROR(__xludf.DUMMYFUNCTION("IF(ISBLANK(B1053),"""",IF(Or(I1053=""Em Aberto"",ISBLANK(I1053),NOT(ISDATE(B1053))),"""",H1053))"),"")</f>
        <v/>
      </c>
      <c r="M1053" s="29" t="str">
        <f>IFERROR(__xludf.DUMMYFUNCTION("IF(ISBLANK(B1053),"""",IF(ISDATE(B1053),TEXT(B1053,""m""),""""))"),"")</f>
        <v/>
      </c>
      <c r="N1053" s="29" t="str">
        <f>IFERROR(__xludf.DUMMYFUNCTION("IF(M1053="""","""",QUERY({'Dashboard-Dados'!$Y$2:$AA$13},""Select Col2 Where Col1=""&amp;M1053))"),"")</f>
        <v/>
      </c>
      <c r="O1053" s="29" t="str">
        <f>IFERROR(__xludf.DUMMYFUNCTION("IF(ISBLANK(B1053),"""",IF(ISDATE(B1053),TEXT(B1053,""yyyy""),""""))"),"")</f>
        <v/>
      </c>
    </row>
    <row r="1054">
      <c r="B1054" s="62"/>
      <c r="C1054" s="56"/>
      <c r="D1054" s="56"/>
      <c r="E1054" s="56"/>
      <c r="F1054" s="63"/>
      <c r="G1054" s="64"/>
      <c r="H1054" s="65"/>
      <c r="I1054" s="63"/>
      <c r="K1054" s="53" t="str">
        <f>IFERROR(__xludf.DUMMYFUNCTION("IF(ISBLANK(B1054),"""",IF(ISDATE(B1054),""X"",""""))"),"")</f>
        <v/>
      </c>
      <c r="L1054" s="40" t="str">
        <f>IFERROR(__xludf.DUMMYFUNCTION("IF(ISBLANK(B1054),"""",IF(Or(I1054=""Em Aberto"",ISBLANK(I1054),NOT(ISDATE(B1054))),"""",H1054))"),"")</f>
        <v/>
      </c>
      <c r="M1054" s="29" t="str">
        <f>IFERROR(__xludf.DUMMYFUNCTION("IF(ISBLANK(B1054),"""",IF(ISDATE(B1054),TEXT(B1054,""m""),""""))"),"")</f>
        <v/>
      </c>
      <c r="N1054" s="29" t="str">
        <f>IFERROR(__xludf.DUMMYFUNCTION("IF(M1054="""","""",QUERY({'Dashboard-Dados'!$Y$2:$AA$13},""Select Col2 Where Col1=""&amp;M1054))"),"")</f>
        <v/>
      </c>
      <c r="O1054" s="29" t="str">
        <f>IFERROR(__xludf.DUMMYFUNCTION("IF(ISBLANK(B1054),"""",IF(ISDATE(B1054),TEXT(B1054,""yyyy""),""""))"),"")</f>
        <v/>
      </c>
    </row>
    <row r="1055">
      <c r="B1055" s="62"/>
      <c r="C1055" s="56"/>
      <c r="D1055" s="56"/>
      <c r="E1055" s="56"/>
      <c r="F1055" s="63"/>
      <c r="G1055" s="64"/>
      <c r="H1055" s="65"/>
      <c r="I1055" s="63"/>
      <c r="K1055" s="53" t="str">
        <f>IFERROR(__xludf.DUMMYFUNCTION("IF(ISBLANK(B1055),"""",IF(ISDATE(B1055),""X"",""""))"),"")</f>
        <v/>
      </c>
      <c r="L1055" s="40" t="str">
        <f>IFERROR(__xludf.DUMMYFUNCTION("IF(ISBLANK(B1055),"""",IF(Or(I1055=""Em Aberto"",ISBLANK(I1055),NOT(ISDATE(B1055))),"""",H1055))"),"")</f>
        <v/>
      </c>
      <c r="M1055" s="29" t="str">
        <f>IFERROR(__xludf.DUMMYFUNCTION("IF(ISBLANK(B1055),"""",IF(ISDATE(B1055),TEXT(B1055,""m""),""""))"),"")</f>
        <v/>
      </c>
      <c r="N1055" s="29" t="str">
        <f>IFERROR(__xludf.DUMMYFUNCTION("IF(M1055="""","""",QUERY({'Dashboard-Dados'!$Y$2:$AA$13},""Select Col2 Where Col1=""&amp;M1055))"),"")</f>
        <v/>
      </c>
      <c r="O1055" s="29" t="str">
        <f>IFERROR(__xludf.DUMMYFUNCTION("IF(ISBLANK(B1055),"""",IF(ISDATE(B1055),TEXT(B1055,""yyyy""),""""))"),"")</f>
        <v/>
      </c>
    </row>
    <row r="1056">
      <c r="B1056" s="62"/>
      <c r="C1056" s="56"/>
      <c r="D1056" s="56"/>
      <c r="E1056" s="56"/>
      <c r="F1056" s="63"/>
      <c r="G1056" s="64"/>
      <c r="H1056" s="65"/>
      <c r="I1056" s="63"/>
      <c r="K1056" s="53" t="str">
        <f>IFERROR(__xludf.DUMMYFUNCTION("IF(ISBLANK(B1056),"""",IF(ISDATE(B1056),""X"",""""))"),"")</f>
        <v/>
      </c>
      <c r="L1056" s="40" t="str">
        <f>IFERROR(__xludf.DUMMYFUNCTION("IF(ISBLANK(B1056),"""",IF(Or(I1056=""Em Aberto"",ISBLANK(I1056),NOT(ISDATE(B1056))),"""",H1056))"),"")</f>
        <v/>
      </c>
      <c r="M1056" s="29" t="str">
        <f>IFERROR(__xludf.DUMMYFUNCTION("IF(ISBLANK(B1056),"""",IF(ISDATE(B1056),TEXT(B1056,""m""),""""))"),"")</f>
        <v/>
      </c>
      <c r="N1056" s="29" t="str">
        <f>IFERROR(__xludf.DUMMYFUNCTION("IF(M1056="""","""",QUERY({'Dashboard-Dados'!$Y$2:$AA$13},""Select Col2 Where Col1=""&amp;M1056))"),"")</f>
        <v/>
      </c>
      <c r="O1056" s="29" t="str">
        <f>IFERROR(__xludf.DUMMYFUNCTION("IF(ISBLANK(B1056),"""",IF(ISDATE(B1056),TEXT(B1056,""yyyy""),""""))"),"")</f>
        <v/>
      </c>
    </row>
    <row r="1057">
      <c r="B1057" s="62"/>
      <c r="C1057" s="56"/>
      <c r="D1057" s="56"/>
      <c r="E1057" s="56"/>
      <c r="F1057" s="63"/>
      <c r="G1057" s="64"/>
      <c r="H1057" s="65"/>
      <c r="I1057" s="63"/>
      <c r="K1057" s="53" t="str">
        <f>IFERROR(__xludf.DUMMYFUNCTION("IF(ISBLANK(B1057),"""",IF(ISDATE(B1057),""X"",""""))"),"")</f>
        <v/>
      </c>
      <c r="L1057" s="40" t="str">
        <f>IFERROR(__xludf.DUMMYFUNCTION("IF(ISBLANK(B1057),"""",IF(Or(I1057=""Em Aberto"",ISBLANK(I1057),NOT(ISDATE(B1057))),"""",H1057))"),"")</f>
        <v/>
      </c>
      <c r="M1057" s="29" t="str">
        <f>IFERROR(__xludf.DUMMYFUNCTION("IF(ISBLANK(B1057),"""",IF(ISDATE(B1057),TEXT(B1057,""m""),""""))"),"")</f>
        <v/>
      </c>
      <c r="N1057" s="29" t="str">
        <f>IFERROR(__xludf.DUMMYFUNCTION("IF(M1057="""","""",QUERY({'Dashboard-Dados'!$Y$2:$AA$13},""Select Col2 Where Col1=""&amp;M1057))"),"")</f>
        <v/>
      </c>
      <c r="O1057" s="29" t="str">
        <f>IFERROR(__xludf.DUMMYFUNCTION("IF(ISBLANK(B1057),"""",IF(ISDATE(B1057),TEXT(B1057,""yyyy""),""""))"),"")</f>
        <v/>
      </c>
    </row>
    <row r="1058">
      <c r="B1058" s="62"/>
      <c r="C1058" s="56"/>
      <c r="D1058" s="56"/>
      <c r="E1058" s="56"/>
      <c r="F1058" s="63"/>
      <c r="G1058" s="64"/>
      <c r="H1058" s="65"/>
      <c r="I1058" s="63"/>
      <c r="K1058" s="53" t="str">
        <f>IFERROR(__xludf.DUMMYFUNCTION("IF(ISBLANK(B1058),"""",IF(ISDATE(B1058),""X"",""""))"),"")</f>
        <v/>
      </c>
      <c r="L1058" s="40" t="str">
        <f>IFERROR(__xludf.DUMMYFUNCTION("IF(ISBLANK(B1058),"""",IF(Or(I1058=""Em Aberto"",ISBLANK(I1058),NOT(ISDATE(B1058))),"""",H1058))"),"")</f>
        <v/>
      </c>
      <c r="M1058" s="29" t="str">
        <f>IFERROR(__xludf.DUMMYFUNCTION("IF(ISBLANK(B1058),"""",IF(ISDATE(B1058),TEXT(B1058,""m""),""""))"),"")</f>
        <v/>
      </c>
      <c r="N1058" s="29" t="str">
        <f>IFERROR(__xludf.DUMMYFUNCTION("IF(M1058="""","""",QUERY({'Dashboard-Dados'!$Y$2:$AA$13},""Select Col2 Where Col1=""&amp;M1058))"),"")</f>
        <v/>
      </c>
      <c r="O1058" s="29" t="str">
        <f>IFERROR(__xludf.DUMMYFUNCTION("IF(ISBLANK(B1058),"""",IF(ISDATE(B1058),TEXT(B1058,""yyyy""),""""))"),"")</f>
        <v/>
      </c>
    </row>
    <row r="1059">
      <c r="B1059" s="62"/>
      <c r="C1059" s="56"/>
      <c r="D1059" s="56"/>
      <c r="E1059" s="56"/>
      <c r="F1059" s="63"/>
      <c r="G1059" s="64"/>
      <c r="H1059" s="65"/>
      <c r="I1059" s="63"/>
      <c r="K1059" s="53" t="str">
        <f>IFERROR(__xludf.DUMMYFUNCTION("IF(ISBLANK(B1059),"""",IF(ISDATE(B1059),""X"",""""))"),"")</f>
        <v/>
      </c>
      <c r="L1059" s="40" t="str">
        <f>IFERROR(__xludf.DUMMYFUNCTION("IF(ISBLANK(B1059),"""",IF(Or(I1059=""Em Aberto"",ISBLANK(I1059),NOT(ISDATE(B1059))),"""",H1059))"),"")</f>
        <v/>
      </c>
      <c r="M1059" s="29" t="str">
        <f>IFERROR(__xludf.DUMMYFUNCTION("IF(ISBLANK(B1059),"""",IF(ISDATE(B1059),TEXT(B1059,""m""),""""))"),"")</f>
        <v/>
      </c>
      <c r="N1059" s="29" t="str">
        <f>IFERROR(__xludf.DUMMYFUNCTION("IF(M1059="""","""",QUERY({'Dashboard-Dados'!$Y$2:$AA$13},""Select Col2 Where Col1=""&amp;M1059))"),"")</f>
        <v/>
      </c>
      <c r="O1059" s="29" t="str">
        <f>IFERROR(__xludf.DUMMYFUNCTION("IF(ISBLANK(B1059),"""",IF(ISDATE(B1059),TEXT(B1059,""yyyy""),""""))"),"")</f>
        <v/>
      </c>
    </row>
    <row r="1060">
      <c r="B1060" s="62"/>
      <c r="C1060" s="56"/>
      <c r="D1060" s="56"/>
      <c r="E1060" s="56"/>
      <c r="F1060" s="63"/>
      <c r="G1060" s="64"/>
      <c r="H1060" s="65"/>
      <c r="I1060" s="63"/>
      <c r="K1060" s="53" t="str">
        <f>IFERROR(__xludf.DUMMYFUNCTION("IF(ISBLANK(B1060),"""",IF(ISDATE(B1060),""X"",""""))"),"")</f>
        <v/>
      </c>
      <c r="L1060" s="40" t="str">
        <f>IFERROR(__xludf.DUMMYFUNCTION("IF(ISBLANK(B1060),"""",IF(Or(I1060=""Em Aberto"",ISBLANK(I1060),NOT(ISDATE(B1060))),"""",H1060))"),"")</f>
        <v/>
      </c>
      <c r="M1060" s="29" t="str">
        <f>IFERROR(__xludf.DUMMYFUNCTION("IF(ISBLANK(B1060),"""",IF(ISDATE(B1060),TEXT(B1060,""m""),""""))"),"")</f>
        <v/>
      </c>
      <c r="N1060" s="29" t="str">
        <f>IFERROR(__xludf.DUMMYFUNCTION("IF(M1060="""","""",QUERY({'Dashboard-Dados'!$Y$2:$AA$13},""Select Col2 Where Col1=""&amp;M1060))"),"")</f>
        <v/>
      </c>
      <c r="O1060" s="29" t="str">
        <f>IFERROR(__xludf.DUMMYFUNCTION("IF(ISBLANK(B1060),"""",IF(ISDATE(B1060),TEXT(B1060,""yyyy""),""""))"),"")</f>
        <v/>
      </c>
    </row>
    <row r="1061">
      <c r="B1061" s="62"/>
      <c r="C1061" s="56"/>
      <c r="D1061" s="56"/>
      <c r="E1061" s="56"/>
      <c r="F1061" s="63"/>
      <c r="G1061" s="64"/>
      <c r="H1061" s="65"/>
      <c r="I1061" s="63"/>
      <c r="K1061" s="53" t="str">
        <f>IFERROR(__xludf.DUMMYFUNCTION("IF(ISBLANK(B1061),"""",IF(ISDATE(B1061),""X"",""""))"),"")</f>
        <v/>
      </c>
      <c r="L1061" s="40" t="str">
        <f>IFERROR(__xludf.DUMMYFUNCTION("IF(ISBLANK(B1061),"""",IF(Or(I1061=""Em Aberto"",ISBLANK(I1061),NOT(ISDATE(B1061))),"""",H1061))"),"")</f>
        <v/>
      </c>
      <c r="M1061" s="29" t="str">
        <f>IFERROR(__xludf.DUMMYFUNCTION("IF(ISBLANK(B1061),"""",IF(ISDATE(B1061),TEXT(B1061,""m""),""""))"),"")</f>
        <v/>
      </c>
      <c r="N1061" s="29" t="str">
        <f>IFERROR(__xludf.DUMMYFUNCTION("IF(M1061="""","""",QUERY({'Dashboard-Dados'!$Y$2:$AA$13},""Select Col2 Where Col1=""&amp;M1061))"),"")</f>
        <v/>
      </c>
      <c r="O1061" s="29" t="str">
        <f>IFERROR(__xludf.DUMMYFUNCTION("IF(ISBLANK(B1061),"""",IF(ISDATE(B1061),TEXT(B1061,""yyyy""),""""))"),"")</f>
        <v/>
      </c>
    </row>
    <row r="1062">
      <c r="B1062" s="62"/>
      <c r="C1062" s="56"/>
      <c r="D1062" s="56"/>
      <c r="E1062" s="56"/>
      <c r="F1062" s="63"/>
      <c r="G1062" s="64"/>
      <c r="H1062" s="65"/>
      <c r="I1062" s="63"/>
      <c r="K1062" s="53" t="str">
        <f>IFERROR(__xludf.DUMMYFUNCTION("IF(ISBLANK(B1062),"""",IF(ISDATE(B1062),""X"",""""))"),"")</f>
        <v/>
      </c>
      <c r="L1062" s="40" t="str">
        <f>IFERROR(__xludf.DUMMYFUNCTION("IF(ISBLANK(B1062),"""",IF(Or(I1062=""Em Aberto"",ISBLANK(I1062),NOT(ISDATE(B1062))),"""",H1062))"),"")</f>
        <v/>
      </c>
      <c r="M1062" s="29" t="str">
        <f>IFERROR(__xludf.DUMMYFUNCTION("IF(ISBLANK(B1062),"""",IF(ISDATE(B1062),TEXT(B1062,""m""),""""))"),"")</f>
        <v/>
      </c>
      <c r="N1062" s="29" t="str">
        <f>IFERROR(__xludf.DUMMYFUNCTION("IF(M1062="""","""",QUERY({'Dashboard-Dados'!$Y$2:$AA$13},""Select Col2 Where Col1=""&amp;M1062))"),"")</f>
        <v/>
      </c>
      <c r="O1062" s="29" t="str">
        <f>IFERROR(__xludf.DUMMYFUNCTION("IF(ISBLANK(B1062),"""",IF(ISDATE(B1062),TEXT(B1062,""yyyy""),""""))"),"")</f>
        <v/>
      </c>
    </row>
    <row r="1063">
      <c r="B1063" s="62"/>
      <c r="C1063" s="56"/>
      <c r="D1063" s="56"/>
      <c r="E1063" s="56"/>
      <c r="F1063" s="63"/>
      <c r="G1063" s="64"/>
      <c r="H1063" s="65"/>
      <c r="I1063" s="63"/>
      <c r="K1063" s="53" t="str">
        <f>IFERROR(__xludf.DUMMYFUNCTION("IF(ISBLANK(B1063),"""",IF(ISDATE(B1063),""X"",""""))"),"")</f>
        <v/>
      </c>
      <c r="L1063" s="40" t="str">
        <f>IFERROR(__xludf.DUMMYFUNCTION("IF(ISBLANK(B1063),"""",IF(Or(I1063=""Em Aberto"",ISBLANK(I1063),NOT(ISDATE(B1063))),"""",H1063))"),"")</f>
        <v/>
      </c>
      <c r="M1063" s="29" t="str">
        <f>IFERROR(__xludf.DUMMYFUNCTION("IF(ISBLANK(B1063),"""",IF(ISDATE(B1063),TEXT(B1063,""m""),""""))"),"")</f>
        <v/>
      </c>
      <c r="N1063" s="29" t="str">
        <f>IFERROR(__xludf.DUMMYFUNCTION("IF(M1063="""","""",QUERY({'Dashboard-Dados'!$Y$2:$AA$13},""Select Col2 Where Col1=""&amp;M1063))"),"")</f>
        <v/>
      </c>
      <c r="O1063" s="29" t="str">
        <f>IFERROR(__xludf.DUMMYFUNCTION("IF(ISBLANK(B1063),"""",IF(ISDATE(B1063),TEXT(B1063,""yyyy""),""""))"),"")</f>
        <v/>
      </c>
    </row>
    <row r="1064">
      <c r="B1064" s="62"/>
      <c r="C1064" s="56"/>
      <c r="D1064" s="56"/>
      <c r="E1064" s="56"/>
      <c r="F1064" s="63"/>
      <c r="G1064" s="64"/>
      <c r="H1064" s="65"/>
      <c r="I1064" s="63"/>
      <c r="K1064" s="53" t="str">
        <f>IFERROR(__xludf.DUMMYFUNCTION("IF(ISBLANK(B1064),"""",IF(ISDATE(B1064),""X"",""""))"),"")</f>
        <v/>
      </c>
      <c r="L1064" s="40" t="str">
        <f>IFERROR(__xludf.DUMMYFUNCTION("IF(ISBLANK(B1064),"""",IF(Or(I1064=""Em Aberto"",ISBLANK(I1064),NOT(ISDATE(B1064))),"""",H1064))"),"")</f>
        <v/>
      </c>
      <c r="M1064" s="29" t="str">
        <f>IFERROR(__xludf.DUMMYFUNCTION("IF(ISBLANK(B1064),"""",IF(ISDATE(B1064),TEXT(B1064,""m""),""""))"),"")</f>
        <v/>
      </c>
      <c r="N1064" s="29" t="str">
        <f>IFERROR(__xludf.DUMMYFUNCTION("IF(M1064="""","""",QUERY({'Dashboard-Dados'!$Y$2:$AA$13},""Select Col2 Where Col1=""&amp;M1064))"),"")</f>
        <v/>
      </c>
      <c r="O1064" s="29" t="str">
        <f>IFERROR(__xludf.DUMMYFUNCTION("IF(ISBLANK(B1064),"""",IF(ISDATE(B1064),TEXT(B1064,""yyyy""),""""))"),"")</f>
        <v/>
      </c>
    </row>
    <row r="1065">
      <c r="B1065" s="62"/>
      <c r="C1065" s="56"/>
      <c r="D1065" s="56"/>
      <c r="E1065" s="56"/>
      <c r="F1065" s="63"/>
      <c r="G1065" s="64"/>
      <c r="H1065" s="65"/>
      <c r="I1065" s="63"/>
      <c r="K1065" s="53" t="str">
        <f>IFERROR(__xludf.DUMMYFUNCTION("IF(ISBLANK(B1065),"""",IF(ISDATE(B1065),""X"",""""))"),"")</f>
        <v/>
      </c>
      <c r="L1065" s="40" t="str">
        <f>IFERROR(__xludf.DUMMYFUNCTION("IF(ISBLANK(B1065),"""",IF(Or(I1065=""Em Aberto"",ISBLANK(I1065),NOT(ISDATE(B1065))),"""",H1065))"),"")</f>
        <v/>
      </c>
      <c r="M1065" s="29" t="str">
        <f>IFERROR(__xludf.DUMMYFUNCTION("IF(ISBLANK(B1065),"""",IF(ISDATE(B1065),TEXT(B1065,""m""),""""))"),"")</f>
        <v/>
      </c>
      <c r="N1065" s="29" t="str">
        <f>IFERROR(__xludf.DUMMYFUNCTION("IF(M1065="""","""",QUERY({'Dashboard-Dados'!$Y$2:$AA$13},""Select Col2 Where Col1=""&amp;M1065))"),"")</f>
        <v/>
      </c>
      <c r="O1065" s="29" t="str">
        <f>IFERROR(__xludf.DUMMYFUNCTION("IF(ISBLANK(B1065),"""",IF(ISDATE(B1065),TEXT(B1065,""yyyy""),""""))"),"")</f>
        <v/>
      </c>
    </row>
    <row r="1066">
      <c r="B1066" s="62"/>
      <c r="C1066" s="56"/>
      <c r="D1066" s="56"/>
      <c r="E1066" s="56"/>
      <c r="F1066" s="63"/>
      <c r="G1066" s="64"/>
      <c r="H1066" s="65"/>
      <c r="I1066" s="63"/>
      <c r="K1066" s="53" t="str">
        <f>IFERROR(__xludf.DUMMYFUNCTION("IF(ISBLANK(B1066),"""",IF(ISDATE(B1066),""X"",""""))"),"")</f>
        <v/>
      </c>
      <c r="L1066" s="40" t="str">
        <f>IFERROR(__xludf.DUMMYFUNCTION("IF(ISBLANK(B1066),"""",IF(Or(I1066=""Em Aberto"",ISBLANK(I1066),NOT(ISDATE(B1066))),"""",H1066))"),"")</f>
        <v/>
      </c>
      <c r="M1066" s="29" t="str">
        <f>IFERROR(__xludf.DUMMYFUNCTION("IF(ISBLANK(B1066),"""",IF(ISDATE(B1066),TEXT(B1066,""m""),""""))"),"")</f>
        <v/>
      </c>
      <c r="N1066" s="29" t="str">
        <f>IFERROR(__xludf.DUMMYFUNCTION("IF(M1066="""","""",QUERY({'Dashboard-Dados'!$Y$2:$AA$13},""Select Col2 Where Col1=""&amp;M1066))"),"")</f>
        <v/>
      </c>
      <c r="O1066" s="29" t="str">
        <f>IFERROR(__xludf.DUMMYFUNCTION("IF(ISBLANK(B1066),"""",IF(ISDATE(B1066),TEXT(B1066,""yyyy""),""""))"),"")</f>
        <v/>
      </c>
    </row>
    <row r="1067">
      <c r="B1067" s="62"/>
      <c r="C1067" s="56"/>
      <c r="D1067" s="56"/>
      <c r="E1067" s="56"/>
      <c r="F1067" s="63"/>
      <c r="G1067" s="64"/>
      <c r="H1067" s="65"/>
      <c r="I1067" s="63"/>
      <c r="K1067" s="53" t="str">
        <f>IFERROR(__xludf.DUMMYFUNCTION("IF(ISBLANK(B1067),"""",IF(ISDATE(B1067),""X"",""""))"),"")</f>
        <v/>
      </c>
      <c r="L1067" s="40" t="str">
        <f>IFERROR(__xludf.DUMMYFUNCTION("IF(ISBLANK(B1067),"""",IF(Or(I1067=""Em Aberto"",ISBLANK(I1067),NOT(ISDATE(B1067))),"""",H1067))"),"")</f>
        <v/>
      </c>
      <c r="M1067" s="29" t="str">
        <f>IFERROR(__xludf.DUMMYFUNCTION("IF(ISBLANK(B1067),"""",IF(ISDATE(B1067),TEXT(B1067,""m""),""""))"),"")</f>
        <v/>
      </c>
      <c r="N1067" s="29" t="str">
        <f>IFERROR(__xludf.DUMMYFUNCTION("IF(M1067="""","""",QUERY({'Dashboard-Dados'!$Y$2:$AA$13},""Select Col2 Where Col1=""&amp;M1067))"),"")</f>
        <v/>
      </c>
      <c r="O1067" s="29" t="str">
        <f>IFERROR(__xludf.DUMMYFUNCTION("IF(ISBLANK(B1067),"""",IF(ISDATE(B1067),TEXT(B1067,""yyyy""),""""))"),"")</f>
        <v/>
      </c>
    </row>
    <row r="1068">
      <c r="B1068" s="62"/>
      <c r="C1068" s="56"/>
      <c r="D1068" s="56"/>
      <c r="E1068" s="56"/>
      <c r="F1068" s="63"/>
      <c r="G1068" s="64"/>
      <c r="H1068" s="65"/>
      <c r="I1068" s="63"/>
      <c r="K1068" s="53" t="str">
        <f>IFERROR(__xludf.DUMMYFUNCTION("IF(ISBLANK(B1068),"""",IF(ISDATE(B1068),""X"",""""))"),"")</f>
        <v/>
      </c>
      <c r="L1068" s="40" t="str">
        <f>IFERROR(__xludf.DUMMYFUNCTION("IF(ISBLANK(B1068),"""",IF(Or(I1068=""Em Aberto"",ISBLANK(I1068),NOT(ISDATE(B1068))),"""",H1068))"),"")</f>
        <v/>
      </c>
      <c r="M1068" s="29" t="str">
        <f>IFERROR(__xludf.DUMMYFUNCTION("IF(ISBLANK(B1068),"""",IF(ISDATE(B1068),TEXT(B1068,""m""),""""))"),"")</f>
        <v/>
      </c>
      <c r="N1068" s="29" t="str">
        <f>IFERROR(__xludf.DUMMYFUNCTION("IF(M1068="""","""",QUERY({'Dashboard-Dados'!$Y$2:$AA$13},""Select Col2 Where Col1=""&amp;M1068))"),"")</f>
        <v/>
      </c>
      <c r="O1068" s="29" t="str">
        <f>IFERROR(__xludf.DUMMYFUNCTION("IF(ISBLANK(B1068),"""",IF(ISDATE(B1068),TEXT(B1068,""yyyy""),""""))"),"")</f>
        <v/>
      </c>
    </row>
    <row r="1069">
      <c r="B1069" s="62"/>
      <c r="C1069" s="56"/>
      <c r="D1069" s="56"/>
      <c r="E1069" s="56"/>
      <c r="F1069" s="63"/>
      <c r="G1069" s="64"/>
      <c r="H1069" s="65"/>
      <c r="I1069" s="63"/>
      <c r="K1069" s="53" t="str">
        <f>IFERROR(__xludf.DUMMYFUNCTION("IF(ISBLANK(B1069),"""",IF(ISDATE(B1069),""X"",""""))"),"")</f>
        <v/>
      </c>
      <c r="L1069" s="40" t="str">
        <f>IFERROR(__xludf.DUMMYFUNCTION("IF(ISBLANK(B1069),"""",IF(Or(I1069=""Em Aberto"",ISBLANK(I1069),NOT(ISDATE(B1069))),"""",H1069))"),"")</f>
        <v/>
      </c>
      <c r="M1069" s="29" t="str">
        <f>IFERROR(__xludf.DUMMYFUNCTION("IF(ISBLANK(B1069),"""",IF(ISDATE(B1069),TEXT(B1069,""m""),""""))"),"")</f>
        <v/>
      </c>
      <c r="N1069" s="29" t="str">
        <f>IFERROR(__xludf.DUMMYFUNCTION("IF(M1069="""","""",QUERY({'Dashboard-Dados'!$Y$2:$AA$13},""Select Col2 Where Col1=""&amp;M1069))"),"")</f>
        <v/>
      </c>
      <c r="O1069" s="29" t="str">
        <f>IFERROR(__xludf.DUMMYFUNCTION("IF(ISBLANK(B1069),"""",IF(ISDATE(B1069),TEXT(B1069,""yyyy""),""""))"),"")</f>
        <v/>
      </c>
    </row>
    <row r="1070">
      <c r="B1070" s="62"/>
      <c r="C1070" s="56"/>
      <c r="D1070" s="56"/>
      <c r="E1070" s="56"/>
      <c r="F1070" s="63"/>
      <c r="G1070" s="64"/>
      <c r="H1070" s="65"/>
      <c r="I1070" s="63"/>
      <c r="K1070" s="53" t="str">
        <f>IFERROR(__xludf.DUMMYFUNCTION("IF(ISBLANK(B1070),"""",IF(ISDATE(B1070),""X"",""""))"),"")</f>
        <v/>
      </c>
      <c r="L1070" s="40" t="str">
        <f>IFERROR(__xludf.DUMMYFUNCTION("IF(ISBLANK(B1070),"""",IF(Or(I1070=""Em Aberto"",ISBLANK(I1070),NOT(ISDATE(B1070))),"""",H1070))"),"")</f>
        <v/>
      </c>
      <c r="M1070" s="29" t="str">
        <f>IFERROR(__xludf.DUMMYFUNCTION("IF(ISBLANK(B1070),"""",IF(ISDATE(B1070),TEXT(B1070,""m""),""""))"),"")</f>
        <v/>
      </c>
      <c r="N1070" s="29" t="str">
        <f>IFERROR(__xludf.DUMMYFUNCTION("IF(M1070="""","""",QUERY({'Dashboard-Dados'!$Y$2:$AA$13},""Select Col2 Where Col1=""&amp;M1070))"),"")</f>
        <v/>
      </c>
      <c r="O1070" s="29" t="str">
        <f>IFERROR(__xludf.DUMMYFUNCTION("IF(ISBLANK(B1070),"""",IF(ISDATE(B1070),TEXT(B1070,""yyyy""),""""))"),"")</f>
        <v/>
      </c>
    </row>
    <row r="1071">
      <c r="B1071" s="62"/>
      <c r="C1071" s="56"/>
      <c r="D1071" s="56"/>
      <c r="E1071" s="56"/>
      <c r="F1071" s="63"/>
      <c r="G1071" s="64"/>
      <c r="H1071" s="65"/>
      <c r="I1071" s="63"/>
      <c r="K1071" s="53" t="str">
        <f>IFERROR(__xludf.DUMMYFUNCTION("IF(ISBLANK(B1071),"""",IF(ISDATE(B1071),""X"",""""))"),"")</f>
        <v/>
      </c>
      <c r="L1071" s="40" t="str">
        <f>IFERROR(__xludf.DUMMYFUNCTION("IF(ISBLANK(B1071),"""",IF(Or(I1071=""Em Aberto"",ISBLANK(I1071),NOT(ISDATE(B1071))),"""",H1071))"),"")</f>
        <v/>
      </c>
      <c r="M1071" s="29" t="str">
        <f>IFERROR(__xludf.DUMMYFUNCTION("IF(ISBLANK(B1071),"""",IF(ISDATE(B1071),TEXT(B1071,""m""),""""))"),"")</f>
        <v/>
      </c>
      <c r="N1071" s="29" t="str">
        <f>IFERROR(__xludf.DUMMYFUNCTION("IF(M1071="""","""",QUERY({'Dashboard-Dados'!$Y$2:$AA$13},""Select Col2 Where Col1=""&amp;M1071))"),"")</f>
        <v/>
      </c>
      <c r="O1071" s="29" t="str">
        <f>IFERROR(__xludf.DUMMYFUNCTION("IF(ISBLANK(B1071),"""",IF(ISDATE(B1071),TEXT(B1071,""yyyy""),""""))"),"")</f>
        <v/>
      </c>
    </row>
    <row r="1072">
      <c r="B1072" s="62"/>
      <c r="C1072" s="56"/>
      <c r="D1072" s="56"/>
      <c r="E1072" s="56"/>
      <c r="F1072" s="63"/>
      <c r="G1072" s="64"/>
      <c r="H1072" s="65"/>
      <c r="I1072" s="63"/>
      <c r="K1072" s="53" t="str">
        <f>IFERROR(__xludf.DUMMYFUNCTION("IF(ISBLANK(B1072),"""",IF(ISDATE(B1072),""X"",""""))"),"")</f>
        <v/>
      </c>
      <c r="L1072" s="40" t="str">
        <f>IFERROR(__xludf.DUMMYFUNCTION("IF(ISBLANK(B1072),"""",IF(Or(I1072=""Em Aberto"",ISBLANK(I1072),NOT(ISDATE(B1072))),"""",H1072))"),"")</f>
        <v/>
      </c>
      <c r="M1072" s="29" t="str">
        <f>IFERROR(__xludf.DUMMYFUNCTION("IF(ISBLANK(B1072),"""",IF(ISDATE(B1072),TEXT(B1072,""m""),""""))"),"")</f>
        <v/>
      </c>
      <c r="N1072" s="29" t="str">
        <f>IFERROR(__xludf.DUMMYFUNCTION("IF(M1072="""","""",QUERY({'Dashboard-Dados'!$Y$2:$AA$13},""Select Col2 Where Col1=""&amp;M1072))"),"")</f>
        <v/>
      </c>
      <c r="O1072" s="29" t="str">
        <f>IFERROR(__xludf.DUMMYFUNCTION("IF(ISBLANK(B1072),"""",IF(ISDATE(B1072),TEXT(B1072,""yyyy""),""""))"),"")</f>
        <v/>
      </c>
    </row>
    <row r="1073">
      <c r="B1073" s="62"/>
      <c r="C1073" s="56"/>
      <c r="D1073" s="56"/>
      <c r="E1073" s="56"/>
      <c r="F1073" s="63"/>
      <c r="G1073" s="64"/>
      <c r="H1073" s="65"/>
      <c r="I1073" s="63"/>
      <c r="K1073" s="53" t="str">
        <f>IFERROR(__xludf.DUMMYFUNCTION("IF(ISBLANK(B1073),"""",IF(ISDATE(B1073),""X"",""""))"),"")</f>
        <v/>
      </c>
      <c r="L1073" s="40" t="str">
        <f>IFERROR(__xludf.DUMMYFUNCTION("IF(ISBLANK(B1073),"""",IF(Or(I1073=""Em Aberto"",ISBLANK(I1073),NOT(ISDATE(B1073))),"""",H1073))"),"")</f>
        <v/>
      </c>
      <c r="M1073" s="29" t="str">
        <f>IFERROR(__xludf.DUMMYFUNCTION("IF(ISBLANK(B1073),"""",IF(ISDATE(B1073),TEXT(B1073,""m""),""""))"),"")</f>
        <v/>
      </c>
      <c r="N1073" s="29" t="str">
        <f>IFERROR(__xludf.DUMMYFUNCTION("IF(M1073="""","""",QUERY({'Dashboard-Dados'!$Y$2:$AA$13},""Select Col2 Where Col1=""&amp;M1073))"),"")</f>
        <v/>
      </c>
      <c r="O1073" s="29" t="str">
        <f>IFERROR(__xludf.DUMMYFUNCTION("IF(ISBLANK(B1073),"""",IF(ISDATE(B1073),TEXT(B1073,""yyyy""),""""))"),"")</f>
        <v/>
      </c>
    </row>
    <row r="1074">
      <c r="B1074" s="62"/>
      <c r="C1074" s="56"/>
      <c r="D1074" s="56"/>
      <c r="E1074" s="56"/>
      <c r="F1074" s="63"/>
      <c r="G1074" s="64"/>
      <c r="H1074" s="65"/>
      <c r="I1074" s="63"/>
      <c r="K1074" s="53" t="str">
        <f>IFERROR(__xludf.DUMMYFUNCTION("IF(ISBLANK(B1074),"""",IF(ISDATE(B1074),""X"",""""))"),"")</f>
        <v/>
      </c>
      <c r="L1074" s="40" t="str">
        <f>IFERROR(__xludf.DUMMYFUNCTION("IF(ISBLANK(B1074),"""",IF(Or(I1074=""Em Aberto"",ISBLANK(I1074),NOT(ISDATE(B1074))),"""",H1074))"),"")</f>
        <v/>
      </c>
      <c r="M1074" s="29" t="str">
        <f>IFERROR(__xludf.DUMMYFUNCTION("IF(ISBLANK(B1074),"""",IF(ISDATE(B1074),TEXT(B1074,""m""),""""))"),"")</f>
        <v/>
      </c>
      <c r="N1074" s="29" t="str">
        <f>IFERROR(__xludf.DUMMYFUNCTION("IF(M1074="""","""",QUERY({'Dashboard-Dados'!$Y$2:$AA$13},""Select Col2 Where Col1=""&amp;M1074))"),"")</f>
        <v/>
      </c>
      <c r="O1074" s="29" t="str">
        <f>IFERROR(__xludf.DUMMYFUNCTION("IF(ISBLANK(B1074),"""",IF(ISDATE(B1074),TEXT(B1074,""yyyy""),""""))"),"")</f>
        <v/>
      </c>
    </row>
    <row r="1075">
      <c r="B1075" s="62"/>
      <c r="C1075" s="56"/>
      <c r="D1075" s="56"/>
      <c r="E1075" s="56"/>
      <c r="F1075" s="63"/>
      <c r="G1075" s="64"/>
      <c r="H1075" s="65"/>
      <c r="I1075" s="63"/>
      <c r="K1075" s="53" t="str">
        <f>IFERROR(__xludf.DUMMYFUNCTION("IF(ISBLANK(B1075),"""",IF(ISDATE(B1075),""X"",""""))"),"")</f>
        <v/>
      </c>
      <c r="L1075" s="40" t="str">
        <f>IFERROR(__xludf.DUMMYFUNCTION("IF(ISBLANK(B1075),"""",IF(Or(I1075=""Em Aberto"",ISBLANK(I1075),NOT(ISDATE(B1075))),"""",H1075))"),"")</f>
        <v/>
      </c>
      <c r="M1075" s="29" t="str">
        <f>IFERROR(__xludf.DUMMYFUNCTION("IF(ISBLANK(B1075),"""",IF(ISDATE(B1075),TEXT(B1075,""m""),""""))"),"")</f>
        <v/>
      </c>
      <c r="N1075" s="29" t="str">
        <f>IFERROR(__xludf.DUMMYFUNCTION("IF(M1075="""","""",QUERY({'Dashboard-Dados'!$Y$2:$AA$13},""Select Col2 Where Col1=""&amp;M1075))"),"")</f>
        <v/>
      </c>
      <c r="O1075" s="29" t="str">
        <f>IFERROR(__xludf.DUMMYFUNCTION("IF(ISBLANK(B1075),"""",IF(ISDATE(B1075),TEXT(B1075,""yyyy""),""""))"),"")</f>
        <v/>
      </c>
    </row>
    <row r="1076">
      <c r="B1076" s="62"/>
      <c r="C1076" s="56"/>
      <c r="D1076" s="56"/>
      <c r="E1076" s="56"/>
      <c r="F1076" s="63"/>
      <c r="G1076" s="64"/>
      <c r="H1076" s="65"/>
      <c r="I1076" s="63"/>
      <c r="K1076" s="53" t="str">
        <f>IFERROR(__xludf.DUMMYFUNCTION("IF(ISBLANK(B1076),"""",IF(ISDATE(B1076),""X"",""""))"),"")</f>
        <v/>
      </c>
      <c r="L1076" s="40" t="str">
        <f>IFERROR(__xludf.DUMMYFUNCTION("IF(ISBLANK(B1076),"""",IF(Or(I1076=""Em Aberto"",ISBLANK(I1076),NOT(ISDATE(B1076))),"""",H1076))"),"")</f>
        <v/>
      </c>
      <c r="M1076" s="29" t="str">
        <f>IFERROR(__xludf.DUMMYFUNCTION("IF(ISBLANK(B1076),"""",IF(ISDATE(B1076),TEXT(B1076,""m""),""""))"),"")</f>
        <v/>
      </c>
      <c r="N1076" s="29" t="str">
        <f>IFERROR(__xludf.DUMMYFUNCTION("IF(M1076="""","""",QUERY({'Dashboard-Dados'!$Y$2:$AA$13},""Select Col2 Where Col1=""&amp;M1076))"),"")</f>
        <v/>
      </c>
      <c r="O1076" s="29" t="str">
        <f>IFERROR(__xludf.DUMMYFUNCTION("IF(ISBLANK(B1076),"""",IF(ISDATE(B1076),TEXT(B1076,""yyyy""),""""))"),"")</f>
        <v/>
      </c>
    </row>
    <row r="1077">
      <c r="B1077" s="62"/>
      <c r="C1077" s="56"/>
      <c r="D1077" s="56"/>
      <c r="E1077" s="56"/>
      <c r="F1077" s="63"/>
      <c r="G1077" s="64"/>
      <c r="H1077" s="65"/>
      <c r="I1077" s="63"/>
      <c r="K1077" s="53" t="str">
        <f>IFERROR(__xludf.DUMMYFUNCTION("IF(ISBLANK(B1077),"""",IF(ISDATE(B1077),""X"",""""))"),"")</f>
        <v/>
      </c>
      <c r="L1077" s="40" t="str">
        <f>IFERROR(__xludf.DUMMYFUNCTION("IF(ISBLANK(B1077),"""",IF(Or(I1077=""Em Aberto"",ISBLANK(I1077),NOT(ISDATE(B1077))),"""",H1077))"),"")</f>
        <v/>
      </c>
      <c r="M1077" s="29" t="str">
        <f>IFERROR(__xludf.DUMMYFUNCTION("IF(ISBLANK(B1077),"""",IF(ISDATE(B1077),TEXT(B1077,""m""),""""))"),"")</f>
        <v/>
      </c>
      <c r="N1077" s="29" t="str">
        <f>IFERROR(__xludf.DUMMYFUNCTION("IF(M1077="""","""",QUERY({'Dashboard-Dados'!$Y$2:$AA$13},""Select Col2 Where Col1=""&amp;M1077))"),"")</f>
        <v/>
      </c>
      <c r="O1077" s="29" t="str">
        <f>IFERROR(__xludf.DUMMYFUNCTION("IF(ISBLANK(B1077),"""",IF(ISDATE(B1077),TEXT(B1077,""yyyy""),""""))"),"")</f>
        <v/>
      </c>
    </row>
    <row r="1078">
      <c r="B1078" s="62"/>
      <c r="C1078" s="56"/>
      <c r="D1078" s="56"/>
      <c r="E1078" s="56"/>
      <c r="F1078" s="63"/>
      <c r="G1078" s="64"/>
      <c r="H1078" s="65"/>
      <c r="I1078" s="63"/>
      <c r="K1078" s="53" t="str">
        <f>IFERROR(__xludf.DUMMYFUNCTION("IF(ISBLANK(B1078),"""",IF(ISDATE(B1078),""X"",""""))"),"")</f>
        <v/>
      </c>
      <c r="L1078" s="40" t="str">
        <f>IFERROR(__xludf.DUMMYFUNCTION("IF(ISBLANK(B1078),"""",IF(Or(I1078=""Em Aberto"",ISBLANK(I1078),NOT(ISDATE(B1078))),"""",H1078))"),"")</f>
        <v/>
      </c>
      <c r="M1078" s="29" t="str">
        <f>IFERROR(__xludf.DUMMYFUNCTION("IF(ISBLANK(B1078),"""",IF(ISDATE(B1078),TEXT(B1078,""m""),""""))"),"")</f>
        <v/>
      </c>
      <c r="N1078" s="29" t="str">
        <f>IFERROR(__xludf.DUMMYFUNCTION("IF(M1078="""","""",QUERY({'Dashboard-Dados'!$Y$2:$AA$13},""Select Col2 Where Col1=""&amp;M1078))"),"")</f>
        <v/>
      </c>
      <c r="O1078" s="29" t="str">
        <f>IFERROR(__xludf.DUMMYFUNCTION("IF(ISBLANK(B1078),"""",IF(ISDATE(B1078),TEXT(B1078,""yyyy""),""""))"),"")</f>
        <v/>
      </c>
    </row>
    <row r="1079">
      <c r="B1079" s="62"/>
      <c r="C1079" s="56"/>
      <c r="D1079" s="56"/>
      <c r="E1079" s="56"/>
      <c r="F1079" s="63"/>
      <c r="G1079" s="64"/>
      <c r="H1079" s="65"/>
      <c r="I1079" s="63"/>
      <c r="K1079" s="53" t="str">
        <f>IFERROR(__xludf.DUMMYFUNCTION("IF(ISBLANK(B1079),"""",IF(ISDATE(B1079),""X"",""""))"),"")</f>
        <v/>
      </c>
      <c r="L1079" s="40" t="str">
        <f>IFERROR(__xludf.DUMMYFUNCTION("IF(ISBLANK(B1079),"""",IF(Or(I1079=""Em Aberto"",ISBLANK(I1079),NOT(ISDATE(B1079))),"""",H1079))"),"")</f>
        <v/>
      </c>
      <c r="M1079" s="29" t="str">
        <f>IFERROR(__xludf.DUMMYFUNCTION("IF(ISBLANK(B1079),"""",IF(ISDATE(B1079),TEXT(B1079,""m""),""""))"),"")</f>
        <v/>
      </c>
      <c r="N1079" s="29" t="str">
        <f>IFERROR(__xludf.DUMMYFUNCTION("IF(M1079="""","""",QUERY({'Dashboard-Dados'!$Y$2:$AA$13},""Select Col2 Where Col1=""&amp;M1079))"),"")</f>
        <v/>
      </c>
      <c r="O1079" s="29" t="str">
        <f>IFERROR(__xludf.DUMMYFUNCTION("IF(ISBLANK(B1079),"""",IF(ISDATE(B1079),TEXT(B1079,""yyyy""),""""))"),"")</f>
        <v/>
      </c>
    </row>
    <row r="1080">
      <c r="B1080" s="62"/>
      <c r="C1080" s="56"/>
      <c r="D1080" s="56"/>
      <c r="E1080" s="56"/>
      <c r="F1080" s="63"/>
      <c r="G1080" s="64"/>
      <c r="H1080" s="65"/>
      <c r="I1080" s="63"/>
      <c r="K1080" s="53" t="str">
        <f>IFERROR(__xludf.DUMMYFUNCTION("IF(ISBLANK(B1080),"""",IF(ISDATE(B1080),""X"",""""))"),"")</f>
        <v/>
      </c>
      <c r="L1080" s="40" t="str">
        <f>IFERROR(__xludf.DUMMYFUNCTION("IF(ISBLANK(B1080),"""",IF(Or(I1080=""Em Aberto"",ISBLANK(I1080),NOT(ISDATE(B1080))),"""",H1080))"),"")</f>
        <v/>
      </c>
      <c r="M1080" s="29" t="str">
        <f>IFERROR(__xludf.DUMMYFUNCTION("IF(ISBLANK(B1080),"""",IF(ISDATE(B1080),TEXT(B1080,""m""),""""))"),"")</f>
        <v/>
      </c>
      <c r="N1080" s="29" t="str">
        <f>IFERROR(__xludf.DUMMYFUNCTION("IF(M1080="""","""",QUERY({'Dashboard-Dados'!$Y$2:$AA$13},""Select Col2 Where Col1=""&amp;M1080))"),"")</f>
        <v/>
      </c>
      <c r="O1080" s="29" t="str">
        <f>IFERROR(__xludf.DUMMYFUNCTION("IF(ISBLANK(B1080),"""",IF(ISDATE(B1080),TEXT(B1080,""yyyy""),""""))"),"")</f>
        <v/>
      </c>
    </row>
    <row r="1081">
      <c r="B1081" s="62"/>
      <c r="C1081" s="56"/>
      <c r="D1081" s="56"/>
      <c r="E1081" s="56"/>
      <c r="F1081" s="63"/>
      <c r="G1081" s="64"/>
      <c r="H1081" s="65"/>
      <c r="I1081" s="63"/>
      <c r="K1081" s="53" t="str">
        <f>IFERROR(__xludf.DUMMYFUNCTION("IF(ISBLANK(B1081),"""",IF(ISDATE(B1081),""X"",""""))"),"")</f>
        <v/>
      </c>
      <c r="L1081" s="40" t="str">
        <f>IFERROR(__xludf.DUMMYFUNCTION("IF(ISBLANK(B1081),"""",IF(Or(I1081=""Em Aberto"",ISBLANK(I1081),NOT(ISDATE(B1081))),"""",H1081))"),"")</f>
        <v/>
      </c>
      <c r="M1081" s="29" t="str">
        <f>IFERROR(__xludf.DUMMYFUNCTION("IF(ISBLANK(B1081),"""",IF(ISDATE(B1081),TEXT(B1081,""m""),""""))"),"")</f>
        <v/>
      </c>
      <c r="N1081" s="29" t="str">
        <f>IFERROR(__xludf.DUMMYFUNCTION("IF(M1081="""","""",QUERY({'Dashboard-Dados'!$Y$2:$AA$13},""Select Col2 Where Col1=""&amp;M1081))"),"")</f>
        <v/>
      </c>
      <c r="O1081" s="29" t="str">
        <f>IFERROR(__xludf.DUMMYFUNCTION("IF(ISBLANK(B1081),"""",IF(ISDATE(B1081),TEXT(B1081,""yyyy""),""""))"),"")</f>
        <v/>
      </c>
    </row>
    <row r="1082">
      <c r="B1082" s="62"/>
      <c r="C1082" s="56"/>
      <c r="D1082" s="56"/>
      <c r="E1082" s="56"/>
      <c r="F1082" s="63"/>
      <c r="G1082" s="64"/>
      <c r="H1082" s="65"/>
      <c r="I1082" s="63"/>
      <c r="K1082" s="53" t="str">
        <f>IFERROR(__xludf.DUMMYFUNCTION("IF(ISBLANK(B1082),"""",IF(ISDATE(B1082),""X"",""""))"),"")</f>
        <v/>
      </c>
      <c r="L1082" s="40" t="str">
        <f>IFERROR(__xludf.DUMMYFUNCTION("IF(ISBLANK(B1082),"""",IF(Or(I1082=""Em Aberto"",ISBLANK(I1082),NOT(ISDATE(B1082))),"""",H1082))"),"")</f>
        <v/>
      </c>
      <c r="M1082" s="29" t="str">
        <f>IFERROR(__xludf.DUMMYFUNCTION("IF(ISBLANK(B1082),"""",IF(ISDATE(B1082),TEXT(B1082,""m""),""""))"),"")</f>
        <v/>
      </c>
      <c r="N1082" s="29" t="str">
        <f>IFERROR(__xludf.DUMMYFUNCTION("IF(M1082="""","""",QUERY({'Dashboard-Dados'!$Y$2:$AA$13},""Select Col2 Where Col1=""&amp;M1082))"),"")</f>
        <v/>
      </c>
      <c r="O1082" s="29" t="str">
        <f>IFERROR(__xludf.DUMMYFUNCTION("IF(ISBLANK(B1082),"""",IF(ISDATE(B1082),TEXT(B1082,""yyyy""),""""))"),"")</f>
        <v/>
      </c>
    </row>
    <row r="1083">
      <c r="B1083" s="62"/>
      <c r="C1083" s="56"/>
      <c r="D1083" s="56"/>
      <c r="E1083" s="56"/>
      <c r="F1083" s="63"/>
      <c r="G1083" s="64"/>
      <c r="H1083" s="65"/>
      <c r="I1083" s="63"/>
      <c r="K1083" s="53" t="str">
        <f>IFERROR(__xludf.DUMMYFUNCTION("IF(ISBLANK(B1083),"""",IF(ISDATE(B1083),""X"",""""))"),"")</f>
        <v/>
      </c>
      <c r="L1083" s="40" t="str">
        <f>IFERROR(__xludf.DUMMYFUNCTION("IF(ISBLANK(B1083),"""",IF(Or(I1083=""Em Aberto"",ISBLANK(I1083),NOT(ISDATE(B1083))),"""",H1083))"),"")</f>
        <v/>
      </c>
      <c r="M1083" s="29" t="str">
        <f>IFERROR(__xludf.DUMMYFUNCTION("IF(ISBLANK(B1083),"""",IF(ISDATE(B1083),TEXT(B1083,""m""),""""))"),"")</f>
        <v/>
      </c>
      <c r="N1083" s="29" t="str">
        <f>IFERROR(__xludf.DUMMYFUNCTION("IF(M1083="""","""",QUERY({'Dashboard-Dados'!$Y$2:$AA$13},""Select Col2 Where Col1=""&amp;M1083))"),"")</f>
        <v/>
      </c>
      <c r="O1083" s="29" t="str">
        <f>IFERROR(__xludf.DUMMYFUNCTION("IF(ISBLANK(B1083),"""",IF(ISDATE(B1083),TEXT(B1083,""yyyy""),""""))"),"")</f>
        <v/>
      </c>
    </row>
    <row r="1084">
      <c r="B1084" s="62"/>
      <c r="C1084" s="56"/>
      <c r="D1084" s="56"/>
      <c r="E1084" s="56"/>
      <c r="F1084" s="63"/>
      <c r="G1084" s="64"/>
      <c r="H1084" s="65"/>
      <c r="I1084" s="63"/>
      <c r="K1084" s="53" t="str">
        <f>IFERROR(__xludf.DUMMYFUNCTION("IF(ISBLANK(B1084),"""",IF(ISDATE(B1084),""X"",""""))"),"")</f>
        <v/>
      </c>
      <c r="L1084" s="40" t="str">
        <f>IFERROR(__xludf.DUMMYFUNCTION("IF(ISBLANK(B1084),"""",IF(Or(I1084=""Em Aberto"",ISBLANK(I1084),NOT(ISDATE(B1084))),"""",H1084))"),"")</f>
        <v/>
      </c>
      <c r="M1084" s="29" t="str">
        <f>IFERROR(__xludf.DUMMYFUNCTION("IF(ISBLANK(B1084),"""",IF(ISDATE(B1084),TEXT(B1084,""m""),""""))"),"")</f>
        <v/>
      </c>
      <c r="N1084" s="29" t="str">
        <f>IFERROR(__xludf.DUMMYFUNCTION("IF(M1084="""","""",QUERY({'Dashboard-Dados'!$Y$2:$AA$13},""Select Col2 Where Col1=""&amp;M1084))"),"")</f>
        <v/>
      </c>
      <c r="O1084" s="29" t="str">
        <f>IFERROR(__xludf.DUMMYFUNCTION("IF(ISBLANK(B1084),"""",IF(ISDATE(B1084),TEXT(B1084,""yyyy""),""""))"),"")</f>
        <v/>
      </c>
    </row>
    <row r="1085">
      <c r="B1085" s="62"/>
      <c r="C1085" s="56"/>
      <c r="D1085" s="56"/>
      <c r="E1085" s="56"/>
      <c r="F1085" s="63"/>
      <c r="G1085" s="64"/>
      <c r="H1085" s="65"/>
      <c r="I1085" s="63"/>
      <c r="K1085" s="53" t="str">
        <f>IFERROR(__xludf.DUMMYFUNCTION("IF(ISBLANK(B1085),"""",IF(ISDATE(B1085),""X"",""""))"),"")</f>
        <v/>
      </c>
      <c r="L1085" s="40" t="str">
        <f>IFERROR(__xludf.DUMMYFUNCTION("IF(ISBLANK(B1085),"""",IF(Or(I1085=""Em Aberto"",ISBLANK(I1085),NOT(ISDATE(B1085))),"""",H1085))"),"")</f>
        <v/>
      </c>
      <c r="M1085" s="29" t="str">
        <f>IFERROR(__xludf.DUMMYFUNCTION("IF(ISBLANK(B1085),"""",IF(ISDATE(B1085),TEXT(B1085,""m""),""""))"),"")</f>
        <v/>
      </c>
      <c r="N1085" s="29" t="str">
        <f>IFERROR(__xludf.DUMMYFUNCTION("IF(M1085="""","""",QUERY({'Dashboard-Dados'!$Y$2:$AA$13},""Select Col2 Where Col1=""&amp;M1085))"),"")</f>
        <v/>
      </c>
      <c r="O1085" s="29" t="str">
        <f>IFERROR(__xludf.DUMMYFUNCTION("IF(ISBLANK(B1085),"""",IF(ISDATE(B1085),TEXT(B1085,""yyyy""),""""))"),"")</f>
        <v/>
      </c>
    </row>
    <row r="1086">
      <c r="B1086" s="62"/>
      <c r="C1086" s="56"/>
      <c r="D1086" s="56"/>
      <c r="E1086" s="56"/>
      <c r="F1086" s="63"/>
      <c r="G1086" s="64"/>
      <c r="H1086" s="65"/>
      <c r="I1086" s="63"/>
      <c r="K1086" s="53" t="str">
        <f>IFERROR(__xludf.DUMMYFUNCTION("IF(ISBLANK(B1086),"""",IF(ISDATE(B1086),""X"",""""))"),"")</f>
        <v/>
      </c>
      <c r="L1086" s="40" t="str">
        <f>IFERROR(__xludf.DUMMYFUNCTION("IF(ISBLANK(B1086),"""",IF(Or(I1086=""Em Aberto"",ISBLANK(I1086),NOT(ISDATE(B1086))),"""",H1086))"),"")</f>
        <v/>
      </c>
      <c r="M1086" s="29" t="str">
        <f>IFERROR(__xludf.DUMMYFUNCTION("IF(ISBLANK(B1086),"""",IF(ISDATE(B1086),TEXT(B1086,""m""),""""))"),"")</f>
        <v/>
      </c>
      <c r="N1086" s="29" t="str">
        <f>IFERROR(__xludf.DUMMYFUNCTION("IF(M1086="""","""",QUERY({'Dashboard-Dados'!$Y$2:$AA$13},""Select Col2 Where Col1=""&amp;M1086))"),"")</f>
        <v/>
      </c>
      <c r="O1086" s="29" t="str">
        <f>IFERROR(__xludf.DUMMYFUNCTION("IF(ISBLANK(B1086),"""",IF(ISDATE(B1086),TEXT(B1086,""yyyy""),""""))"),"")</f>
        <v/>
      </c>
    </row>
    <row r="1087">
      <c r="B1087" s="62"/>
      <c r="C1087" s="56"/>
      <c r="D1087" s="56"/>
      <c r="E1087" s="56"/>
      <c r="F1087" s="63"/>
      <c r="G1087" s="64"/>
      <c r="H1087" s="65"/>
      <c r="I1087" s="63"/>
      <c r="K1087" s="53" t="str">
        <f>IFERROR(__xludf.DUMMYFUNCTION("IF(ISBLANK(B1087),"""",IF(ISDATE(B1087),""X"",""""))"),"")</f>
        <v/>
      </c>
      <c r="L1087" s="40" t="str">
        <f>IFERROR(__xludf.DUMMYFUNCTION("IF(ISBLANK(B1087),"""",IF(Or(I1087=""Em Aberto"",ISBLANK(I1087),NOT(ISDATE(B1087))),"""",H1087))"),"")</f>
        <v/>
      </c>
      <c r="M1087" s="29" t="str">
        <f>IFERROR(__xludf.DUMMYFUNCTION("IF(ISBLANK(B1087),"""",IF(ISDATE(B1087),TEXT(B1087,""m""),""""))"),"")</f>
        <v/>
      </c>
      <c r="N1087" s="29" t="str">
        <f>IFERROR(__xludf.DUMMYFUNCTION("IF(M1087="""","""",QUERY({'Dashboard-Dados'!$Y$2:$AA$13},""Select Col2 Where Col1=""&amp;M1087))"),"")</f>
        <v/>
      </c>
      <c r="O1087" s="29" t="str">
        <f>IFERROR(__xludf.DUMMYFUNCTION("IF(ISBLANK(B1087),"""",IF(ISDATE(B1087),TEXT(B1087,""yyyy""),""""))"),"")</f>
        <v/>
      </c>
    </row>
    <row r="1088">
      <c r="B1088" s="62"/>
      <c r="C1088" s="56"/>
      <c r="D1088" s="56"/>
      <c r="E1088" s="56"/>
      <c r="F1088" s="63"/>
      <c r="G1088" s="64"/>
      <c r="H1088" s="65"/>
      <c r="I1088" s="63"/>
      <c r="K1088" s="53" t="str">
        <f>IFERROR(__xludf.DUMMYFUNCTION("IF(ISBLANK(B1088),"""",IF(ISDATE(B1088),""X"",""""))"),"")</f>
        <v/>
      </c>
      <c r="L1088" s="40" t="str">
        <f>IFERROR(__xludf.DUMMYFUNCTION("IF(ISBLANK(B1088),"""",IF(Or(I1088=""Em Aberto"",ISBLANK(I1088),NOT(ISDATE(B1088))),"""",H1088))"),"")</f>
        <v/>
      </c>
      <c r="M1088" s="29" t="str">
        <f>IFERROR(__xludf.DUMMYFUNCTION("IF(ISBLANK(B1088),"""",IF(ISDATE(B1088),TEXT(B1088,""m""),""""))"),"")</f>
        <v/>
      </c>
      <c r="N1088" s="29" t="str">
        <f>IFERROR(__xludf.DUMMYFUNCTION("IF(M1088="""","""",QUERY({'Dashboard-Dados'!$Y$2:$AA$13},""Select Col2 Where Col1=""&amp;M1088))"),"")</f>
        <v/>
      </c>
      <c r="O1088" s="29" t="str">
        <f>IFERROR(__xludf.DUMMYFUNCTION("IF(ISBLANK(B1088),"""",IF(ISDATE(B1088),TEXT(B1088,""yyyy""),""""))"),"")</f>
        <v/>
      </c>
    </row>
    <row r="1089">
      <c r="B1089" s="62"/>
      <c r="C1089" s="56"/>
      <c r="D1089" s="56"/>
      <c r="E1089" s="56"/>
      <c r="F1089" s="63"/>
      <c r="G1089" s="64"/>
      <c r="H1089" s="65"/>
      <c r="I1089" s="63"/>
      <c r="K1089" s="53" t="str">
        <f>IFERROR(__xludf.DUMMYFUNCTION("IF(ISBLANK(B1089),"""",IF(ISDATE(B1089),""X"",""""))"),"")</f>
        <v/>
      </c>
      <c r="L1089" s="40" t="str">
        <f>IFERROR(__xludf.DUMMYFUNCTION("IF(ISBLANK(B1089),"""",IF(Or(I1089=""Em Aberto"",ISBLANK(I1089),NOT(ISDATE(B1089))),"""",H1089))"),"")</f>
        <v/>
      </c>
      <c r="M1089" s="29" t="str">
        <f>IFERROR(__xludf.DUMMYFUNCTION("IF(ISBLANK(B1089),"""",IF(ISDATE(B1089),TEXT(B1089,""m""),""""))"),"")</f>
        <v/>
      </c>
      <c r="N1089" s="29" t="str">
        <f>IFERROR(__xludf.DUMMYFUNCTION("IF(M1089="""","""",QUERY({'Dashboard-Dados'!$Y$2:$AA$13},""Select Col2 Where Col1=""&amp;M1089))"),"")</f>
        <v/>
      </c>
      <c r="O1089" s="29" t="str">
        <f>IFERROR(__xludf.DUMMYFUNCTION("IF(ISBLANK(B1089),"""",IF(ISDATE(B1089),TEXT(B1089,""yyyy""),""""))"),"")</f>
        <v/>
      </c>
    </row>
    <row r="1090">
      <c r="B1090" s="62"/>
      <c r="C1090" s="56"/>
      <c r="D1090" s="56"/>
      <c r="E1090" s="56"/>
      <c r="F1090" s="63"/>
      <c r="G1090" s="64"/>
      <c r="H1090" s="65"/>
      <c r="I1090" s="63"/>
      <c r="K1090" s="53" t="str">
        <f>IFERROR(__xludf.DUMMYFUNCTION("IF(ISBLANK(B1090),"""",IF(ISDATE(B1090),""X"",""""))"),"")</f>
        <v/>
      </c>
      <c r="L1090" s="40" t="str">
        <f>IFERROR(__xludf.DUMMYFUNCTION("IF(ISBLANK(B1090),"""",IF(Or(I1090=""Em Aberto"",ISBLANK(I1090),NOT(ISDATE(B1090))),"""",H1090))"),"")</f>
        <v/>
      </c>
      <c r="M1090" s="29" t="str">
        <f>IFERROR(__xludf.DUMMYFUNCTION("IF(ISBLANK(B1090),"""",IF(ISDATE(B1090),TEXT(B1090,""m""),""""))"),"")</f>
        <v/>
      </c>
      <c r="N1090" s="29" t="str">
        <f>IFERROR(__xludf.DUMMYFUNCTION("IF(M1090="""","""",QUERY({'Dashboard-Dados'!$Y$2:$AA$13},""Select Col2 Where Col1=""&amp;M1090))"),"")</f>
        <v/>
      </c>
      <c r="O1090" s="29" t="str">
        <f>IFERROR(__xludf.DUMMYFUNCTION("IF(ISBLANK(B1090),"""",IF(ISDATE(B1090),TEXT(B1090,""yyyy""),""""))"),"")</f>
        <v/>
      </c>
    </row>
    <row r="1091">
      <c r="B1091" s="62"/>
      <c r="C1091" s="56"/>
      <c r="D1091" s="56"/>
      <c r="E1091" s="56"/>
      <c r="F1091" s="63"/>
      <c r="G1091" s="64"/>
      <c r="H1091" s="65"/>
      <c r="I1091" s="63"/>
      <c r="K1091" s="53" t="str">
        <f>IFERROR(__xludf.DUMMYFUNCTION("IF(ISBLANK(B1091),"""",IF(ISDATE(B1091),""X"",""""))"),"")</f>
        <v/>
      </c>
      <c r="L1091" s="40" t="str">
        <f>IFERROR(__xludf.DUMMYFUNCTION("IF(ISBLANK(B1091),"""",IF(Or(I1091=""Em Aberto"",ISBLANK(I1091),NOT(ISDATE(B1091))),"""",H1091))"),"")</f>
        <v/>
      </c>
      <c r="M1091" s="29" t="str">
        <f>IFERROR(__xludf.DUMMYFUNCTION("IF(ISBLANK(B1091),"""",IF(ISDATE(B1091),TEXT(B1091,""m""),""""))"),"")</f>
        <v/>
      </c>
      <c r="N1091" s="29" t="str">
        <f>IFERROR(__xludf.DUMMYFUNCTION("IF(M1091="""","""",QUERY({'Dashboard-Dados'!$Y$2:$AA$13},""Select Col2 Where Col1=""&amp;M1091))"),"")</f>
        <v/>
      </c>
      <c r="O1091" s="29" t="str">
        <f>IFERROR(__xludf.DUMMYFUNCTION("IF(ISBLANK(B1091),"""",IF(ISDATE(B1091),TEXT(B1091,""yyyy""),""""))"),"")</f>
        <v/>
      </c>
    </row>
    <row r="1092">
      <c r="B1092" s="62"/>
      <c r="C1092" s="56"/>
      <c r="D1092" s="56"/>
      <c r="E1092" s="56"/>
      <c r="F1092" s="63"/>
      <c r="G1092" s="64"/>
      <c r="H1092" s="65"/>
      <c r="I1092" s="63"/>
      <c r="K1092" s="53" t="str">
        <f>IFERROR(__xludf.DUMMYFUNCTION("IF(ISBLANK(B1092),"""",IF(ISDATE(B1092),""X"",""""))"),"")</f>
        <v/>
      </c>
      <c r="L1092" s="40" t="str">
        <f>IFERROR(__xludf.DUMMYFUNCTION("IF(ISBLANK(B1092),"""",IF(Or(I1092=""Em Aberto"",ISBLANK(I1092),NOT(ISDATE(B1092))),"""",H1092))"),"")</f>
        <v/>
      </c>
      <c r="M1092" s="29" t="str">
        <f>IFERROR(__xludf.DUMMYFUNCTION("IF(ISBLANK(B1092),"""",IF(ISDATE(B1092),TEXT(B1092,""m""),""""))"),"")</f>
        <v/>
      </c>
      <c r="N1092" s="29" t="str">
        <f>IFERROR(__xludf.DUMMYFUNCTION("IF(M1092="""","""",QUERY({'Dashboard-Dados'!$Y$2:$AA$13},""Select Col2 Where Col1=""&amp;M1092))"),"")</f>
        <v/>
      </c>
      <c r="O1092" s="29" t="str">
        <f>IFERROR(__xludf.DUMMYFUNCTION("IF(ISBLANK(B1092),"""",IF(ISDATE(B1092),TEXT(B1092,""yyyy""),""""))"),"")</f>
        <v/>
      </c>
    </row>
    <row r="1093">
      <c r="B1093" s="62"/>
      <c r="C1093" s="56"/>
      <c r="D1093" s="56"/>
      <c r="E1093" s="56"/>
      <c r="F1093" s="63"/>
      <c r="G1093" s="64"/>
      <c r="H1093" s="65"/>
      <c r="I1093" s="63"/>
      <c r="K1093" s="53" t="str">
        <f>IFERROR(__xludf.DUMMYFUNCTION("IF(ISBLANK(B1093),"""",IF(ISDATE(B1093),""X"",""""))"),"")</f>
        <v/>
      </c>
      <c r="L1093" s="40" t="str">
        <f>IFERROR(__xludf.DUMMYFUNCTION("IF(ISBLANK(B1093),"""",IF(Or(I1093=""Em Aberto"",ISBLANK(I1093),NOT(ISDATE(B1093))),"""",H1093))"),"")</f>
        <v/>
      </c>
      <c r="M1093" s="29" t="str">
        <f>IFERROR(__xludf.DUMMYFUNCTION("IF(ISBLANK(B1093),"""",IF(ISDATE(B1093),TEXT(B1093,""m""),""""))"),"")</f>
        <v/>
      </c>
      <c r="N1093" s="29" t="str">
        <f>IFERROR(__xludf.DUMMYFUNCTION("IF(M1093="""","""",QUERY({'Dashboard-Dados'!$Y$2:$AA$13},""Select Col2 Where Col1=""&amp;M1093))"),"")</f>
        <v/>
      </c>
      <c r="O1093" s="29" t="str">
        <f>IFERROR(__xludf.DUMMYFUNCTION("IF(ISBLANK(B1093),"""",IF(ISDATE(B1093),TEXT(B1093,""yyyy""),""""))"),"")</f>
        <v/>
      </c>
    </row>
    <row r="1094">
      <c r="B1094" s="62"/>
      <c r="C1094" s="56"/>
      <c r="D1094" s="56"/>
      <c r="E1094" s="56"/>
      <c r="F1094" s="63"/>
      <c r="G1094" s="64"/>
      <c r="H1094" s="65"/>
      <c r="I1094" s="63"/>
      <c r="K1094" s="53" t="str">
        <f>IFERROR(__xludf.DUMMYFUNCTION("IF(ISBLANK(B1094),"""",IF(ISDATE(B1094),""X"",""""))"),"")</f>
        <v/>
      </c>
      <c r="L1094" s="40" t="str">
        <f>IFERROR(__xludf.DUMMYFUNCTION("IF(ISBLANK(B1094),"""",IF(Or(I1094=""Em Aberto"",ISBLANK(I1094),NOT(ISDATE(B1094))),"""",H1094))"),"")</f>
        <v/>
      </c>
      <c r="M1094" s="29" t="str">
        <f>IFERROR(__xludf.DUMMYFUNCTION("IF(ISBLANK(B1094),"""",IF(ISDATE(B1094),TEXT(B1094,""m""),""""))"),"")</f>
        <v/>
      </c>
      <c r="N1094" s="29" t="str">
        <f>IFERROR(__xludf.DUMMYFUNCTION("IF(M1094="""","""",QUERY({'Dashboard-Dados'!$Y$2:$AA$13},""Select Col2 Where Col1=""&amp;M1094))"),"")</f>
        <v/>
      </c>
      <c r="O1094" s="29" t="str">
        <f>IFERROR(__xludf.DUMMYFUNCTION("IF(ISBLANK(B1094),"""",IF(ISDATE(B1094),TEXT(B1094,""yyyy""),""""))"),"")</f>
        <v/>
      </c>
    </row>
    <row r="1095">
      <c r="B1095" s="62"/>
      <c r="C1095" s="56"/>
      <c r="D1095" s="56"/>
      <c r="E1095" s="56"/>
      <c r="F1095" s="63"/>
      <c r="G1095" s="64"/>
      <c r="H1095" s="65"/>
      <c r="I1095" s="63"/>
      <c r="K1095" s="53" t="str">
        <f>IFERROR(__xludf.DUMMYFUNCTION("IF(ISBLANK(B1095),"""",IF(ISDATE(B1095),""X"",""""))"),"")</f>
        <v/>
      </c>
      <c r="L1095" s="40" t="str">
        <f>IFERROR(__xludf.DUMMYFUNCTION("IF(ISBLANK(B1095),"""",IF(Or(I1095=""Em Aberto"",ISBLANK(I1095),NOT(ISDATE(B1095))),"""",H1095))"),"")</f>
        <v/>
      </c>
      <c r="M1095" s="29" t="str">
        <f>IFERROR(__xludf.DUMMYFUNCTION("IF(ISBLANK(B1095),"""",IF(ISDATE(B1095),TEXT(B1095,""m""),""""))"),"")</f>
        <v/>
      </c>
      <c r="N1095" s="29" t="str">
        <f>IFERROR(__xludf.DUMMYFUNCTION("IF(M1095="""","""",QUERY({'Dashboard-Dados'!$Y$2:$AA$13},""Select Col2 Where Col1=""&amp;M1095))"),"")</f>
        <v/>
      </c>
      <c r="O1095" s="29" t="str">
        <f>IFERROR(__xludf.DUMMYFUNCTION("IF(ISBLANK(B1095),"""",IF(ISDATE(B1095),TEXT(B1095,""yyyy""),""""))"),"")</f>
        <v/>
      </c>
    </row>
    <row r="1096">
      <c r="B1096" s="62"/>
      <c r="C1096" s="56"/>
      <c r="D1096" s="56"/>
      <c r="E1096" s="56"/>
      <c r="F1096" s="63"/>
      <c r="G1096" s="64"/>
      <c r="H1096" s="65"/>
      <c r="I1096" s="63"/>
      <c r="K1096" s="53" t="str">
        <f>IFERROR(__xludf.DUMMYFUNCTION("IF(ISBLANK(B1096),"""",IF(ISDATE(B1096),""X"",""""))"),"")</f>
        <v/>
      </c>
      <c r="L1096" s="40" t="str">
        <f>IFERROR(__xludf.DUMMYFUNCTION("IF(ISBLANK(B1096),"""",IF(Or(I1096=""Em Aberto"",ISBLANK(I1096),NOT(ISDATE(B1096))),"""",H1096))"),"")</f>
        <v/>
      </c>
      <c r="M1096" s="29" t="str">
        <f>IFERROR(__xludf.DUMMYFUNCTION("IF(ISBLANK(B1096),"""",IF(ISDATE(B1096),TEXT(B1096,""m""),""""))"),"")</f>
        <v/>
      </c>
      <c r="N1096" s="29" t="str">
        <f>IFERROR(__xludf.DUMMYFUNCTION("IF(M1096="""","""",QUERY({'Dashboard-Dados'!$Y$2:$AA$13},""Select Col2 Where Col1=""&amp;M1096))"),"")</f>
        <v/>
      </c>
      <c r="O1096" s="29" t="str">
        <f>IFERROR(__xludf.DUMMYFUNCTION("IF(ISBLANK(B1096),"""",IF(ISDATE(B1096),TEXT(B1096,""yyyy""),""""))"),"")</f>
        <v/>
      </c>
    </row>
    <row r="1097">
      <c r="B1097" s="62"/>
      <c r="C1097" s="56"/>
      <c r="D1097" s="56"/>
      <c r="E1097" s="56"/>
      <c r="F1097" s="63"/>
      <c r="G1097" s="64"/>
      <c r="H1097" s="65"/>
      <c r="I1097" s="63"/>
      <c r="K1097" s="53" t="str">
        <f>IFERROR(__xludf.DUMMYFUNCTION("IF(ISBLANK(B1097),"""",IF(ISDATE(B1097),""X"",""""))"),"")</f>
        <v/>
      </c>
      <c r="L1097" s="40" t="str">
        <f>IFERROR(__xludf.DUMMYFUNCTION("IF(ISBLANK(B1097),"""",IF(Or(I1097=""Em Aberto"",ISBLANK(I1097),NOT(ISDATE(B1097))),"""",H1097))"),"")</f>
        <v/>
      </c>
      <c r="M1097" s="29" t="str">
        <f>IFERROR(__xludf.DUMMYFUNCTION("IF(ISBLANK(B1097),"""",IF(ISDATE(B1097),TEXT(B1097,""m""),""""))"),"")</f>
        <v/>
      </c>
      <c r="N1097" s="29" t="str">
        <f>IFERROR(__xludf.DUMMYFUNCTION("IF(M1097="""","""",QUERY({'Dashboard-Dados'!$Y$2:$AA$13},""Select Col2 Where Col1=""&amp;M1097))"),"")</f>
        <v/>
      </c>
      <c r="O1097" s="29" t="str">
        <f>IFERROR(__xludf.DUMMYFUNCTION("IF(ISBLANK(B1097),"""",IF(ISDATE(B1097),TEXT(B1097,""yyyy""),""""))"),"")</f>
        <v/>
      </c>
    </row>
    <row r="1098">
      <c r="B1098" s="62"/>
      <c r="C1098" s="56"/>
      <c r="D1098" s="56"/>
      <c r="E1098" s="56"/>
      <c r="F1098" s="63"/>
      <c r="G1098" s="64"/>
      <c r="H1098" s="65"/>
      <c r="I1098" s="63"/>
      <c r="K1098" s="53" t="str">
        <f>IFERROR(__xludf.DUMMYFUNCTION("IF(ISBLANK(B1098),"""",IF(ISDATE(B1098),""X"",""""))"),"")</f>
        <v/>
      </c>
      <c r="L1098" s="40" t="str">
        <f>IFERROR(__xludf.DUMMYFUNCTION("IF(ISBLANK(B1098),"""",IF(Or(I1098=""Em Aberto"",ISBLANK(I1098),NOT(ISDATE(B1098))),"""",H1098))"),"")</f>
        <v/>
      </c>
      <c r="M1098" s="29" t="str">
        <f>IFERROR(__xludf.DUMMYFUNCTION("IF(ISBLANK(B1098),"""",IF(ISDATE(B1098),TEXT(B1098,""m""),""""))"),"")</f>
        <v/>
      </c>
      <c r="N1098" s="29" t="str">
        <f>IFERROR(__xludf.DUMMYFUNCTION("IF(M1098="""","""",QUERY({'Dashboard-Dados'!$Y$2:$AA$13},""Select Col2 Where Col1=""&amp;M1098))"),"")</f>
        <v/>
      </c>
      <c r="O1098" s="29" t="str">
        <f>IFERROR(__xludf.DUMMYFUNCTION("IF(ISBLANK(B1098),"""",IF(ISDATE(B1098),TEXT(B1098,""yyyy""),""""))"),"")</f>
        <v/>
      </c>
    </row>
    <row r="1099">
      <c r="B1099" s="62"/>
      <c r="C1099" s="56"/>
      <c r="D1099" s="56"/>
      <c r="E1099" s="56"/>
      <c r="F1099" s="63"/>
      <c r="G1099" s="64"/>
      <c r="H1099" s="65"/>
      <c r="I1099" s="63"/>
      <c r="K1099" s="53" t="str">
        <f>IFERROR(__xludf.DUMMYFUNCTION("IF(ISBLANK(B1099),"""",IF(ISDATE(B1099),""X"",""""))"),"")</f>
        <v/>
      </c>
      <c r="L1099" s="40" t="str">
        <f>IFERROR(__xludf.DUMMYFUNCTION("IF(ISBLANK(B1099),"""",IF(Or(I1099=""Em Aberto"",ISBLANK(I1099),NOT(ISDATE(B1099))),"""",H1099))"),"")</f>
        <v/>
      </c>
      <c r="M1099" s="29" t="str">
        <f>IFERROR(__xludf.DUMMYFUNCTION("IF(ISBLANK(B1099),"""",IF(ISDATE(B1099),TEXT(B1099,""m""),""""))"),"")</f>
        <v/>
      </c>
      <c r="N1099" s="29" t="str">
        <f>IFERROR(__xludf.DUMMYFUNCTION("IF(M1099="""","""",QUERY({'Dashboard-Dados'!$Y$2:$AA$13},""Select Col2 Where Col1=""&amp;M1099))"),"")</f>
        <v/>
      </c>
      <c r="O1099" s="29" t="str">
        <f>IFERROR(__xludf.DUMMYFUNCTION("IF(ISBLANK(B1099),"""",IF(ISDATE(B1099),TEXT(B1099,""yyyy""),""""))"),"")</f>
        <v/>
      </c>
    </row>
    <row r="1100">
      <c r="B1100" s="62"/>
      <c r="C1100" s="56"/>
      <c r="D1100" s="56"/>
      <c r="E1100" s="56"/>
      <c r="F1100" s="63"/>
      <c r="G1100" s="64"/>
      <c r="H1100" s="65"/>
      <c r="I1100" s="63"/>
      <c r="K1100" s="53" t="str">
        <f>IFERROR(__xludf.DUMMYFUNCTION("IF(ISBLANK(B1100),"""",IF(ISDATE(B1100),""X"",""""))"),"")</f>
        <v/>
      </c>
      <c r="L1100" s="40" t="str">
        <f>IFERROR(__xludf.DUMMYFUNCTION("IF(ISBLANK(B1100),"""",IF(Or(I1100=""Em Aberto"",ISBLANK(I1100),NOT(ISDATE(B1100))),"""",H1100))"),"")</f>
        <v/>
      </c>
      <c r="M1100" s="29" t="str">
        <f>IFERROR(__xludf.DUMMYFUNCTION("IF(ISBLANK(B1100),"""",IF(ISDATE(B1100),TEXT(B1100,""m""),""""))"),"")</f>
        <v/>
      </c>
      <c r="N1100" s="29" t="str">
        <f>IFERROR(__xludf.DUMMYFUNCTION("IF(M1100="""","""",QUERY({'Dashboard-Dados'!$Y$2:$AA$13},""Select Col2 Where Col1=""&amp;M1100))"),"")</f>
        <v/>
      </c>
      <c r="O1100" s="29" t="str">
        <f>IFERROR(__xludf.DUMMYFUNCTION("IF(ISBLANK(B1100),"""",IF(ISDATE(B1100),TEXT(B1100,""yyyy""),""""))"),"")</f>
        <v/>
      </c>
    </row>
    <row r="1101">
      <c r="B1101" s="62"/>
      <c r="C1101" s="56"/>
      <c r="D1101" s="56"/>
      <c r="E1101" s="56"/>
      <c r="F1101" s="63"/>
      <c r="G1101" s="64"/>
      <c r="H1101" s="65"/>
      <c r="I1101" s="63"/>
      <c r="K1101" s="53" t="str">
        <f>IFERROR(__xludf.DUMMYFUNCTION("IF(ISBLANK(B1101),"""",IF(ISDATE(B1101),""X"",""""))"),"")</f>
        <v/>
      </c>
      <c r="L1101" s="40" t="str">
        <f>IFERROR(__xludf.DUMMYFUNCTION("IF(ISBLANK(B1101),"""",IF(Or(I1101=""Em Aberto"",ISBLANK(I1101),NOT(ISDATE(B1101))),"""",H1101))"),"")</f>
        <v/>
      </c>
      <c r="M1101" s="29" t="str">
        <f>IFERROR(__xludf.DUMMYFUNCTION("IF(ISBLANK(B1101),"""",IF(ISDATE(B1101),TEXT(B1101,""m""),""""))"),"")</f>
        <v/>
      </c>
      <c r="N1101" s="29" t="str">
        <f>IFERROR(__xludf.DUMMYFUNCTION("IF(M1101="""","""",QUERY({'Dashboard-Dados'!$Y$2:$AA$13},""Select Col2 Where Col1=""&amp;M1101))"),"")</f>
        <v/>
      </c>
      <c r="O1101" s="29" t="str">
        <f>IFERROR(__xludf.DUMMYFUNCTION("IF(ISBLANK(B1101),"""",IF(ISDATE(B1101),TEXT(B1101,""yyyy""),""""))"),"")</f>
        <v/>
      </c>
    </row>
    <row r="1102">
      <c r="B1102" s="62"/>
      <c r="C1102" s="56"/>
      <c r="D1102" s="56"/>
      <c r="E1102" s="56"/>
      <c r="F1102" s="63"/>
      <c r="G1102" s="64"/>
      <c r="H1102" s="65"/>
      <c r="I1102" s="63"/>
      <c r="K1102" s="53" t="str">
        <f>IFERROR(__xludf.DUMMYFUNCTION("IF(ISBLANK(B1102),"""",IF(ISDATE(B1102),""X"",""""))"),"")</f>
        <v/>
      </c>
      <c r="L1102" s="40" t="str">
        <f>IFERROR(__xludf.DUMMYFUNCTION("IF(ISBLANK(B1102),"""",IF(Or(I1102=""Em Aberto"",ISBLANK(I1102),NOT(ISDATE(B1102))),"""",H1102))"),"")</f>
        <v/>
      </c>
      <c r="M1102" s="29" t="str">
        <f>IFERROR(__xludf.DUMMYFUNCTION("IF(ISBLANK(B1102),"""",IF(ISDATE(B1102),TEXT(B1102,""m""),""""))"),"")</f>
        <v/>
      </c>
      <c r="N1102" s="29" t="str">
        <f>IFERROR(__xludf.DUMMYFUNCTION("IF(M1102="""","""",QUERY({'Dashboard-Dados'!$Y$2:$AA$13},""Select Col2 Where Col1=""&amp;M1102))"),"")</f>
        <v/>
      </c>
      <c r="O1102" s="29" t="str">
        <f>IFERROR(__xludf.DUMMYFUNCTION("IF(ISBLANK(B1102),"""",IF(ISDATE(B1102),TEXT(B1102,""yyyy""),""""))"),"")</f>
        <v/>
      </c>
    </row>
    <row r="1103">
      <c r="B1103" s="62"/>
      <c r="C1103" s="56"/>
      <c r="D1103" s="56"/>
      <c r="E1103" s="56"/>
      <c r="F1103" s="63"/>
      <c r="G1103" s="64"/>
      <c r="H1103" s="65"/>
      <c r="I1103" s="63"/>
      <c r="K1103" s="53" t="str">
        <f>IFERROR(__xludf.DUMMYFUNCTION("IF(ISBLANK(B1103),"""",IF(ISDATE(B1103),""X"",""""))"),"")</f>
        <v/>
      </c>
      <c r="L1103" s="40" t="str">
        <f>IFERROR(__xludf.DUMMYFUNCTION("IF(ISBLANK(B1103),"""",IF(Or(I1103=""Em Aberto"",ISBLANK(I1103),NOT(ISDATE(B1103))),"""",H1103))"),"")</f>
        <v/>
      </c>
      <c r="M1103" s="29" t="str">
        <f>IFERROR(__xludf.DUMMYFUNCTION("IF(ISBLANK(B1103),"""",IF(ISDATE(B1103),TEXT(B1103,""m""),""""))"),"")</f>
        <v/>
      </c>
      <c r="N1103" s="29" t="str">
        <f>IFERROR(__xludf.DUMMYFUNCTION("IF(M1103="""","""",QUERY({'Dashboard-Dados'!$Y$2:$AA$13},""Select Col2 Where Col1=""&amp;M1103))"),"")</f>
        <v/>
      </c>
      <c r="O1103" s="29" t="str">
        <f>IFERROR(__xludf.DUMMYFUNCTION("IF(ISBLANK(B1103),"""",IF(ISDATE(B1103),TEXT(B1103,""yyyy""),""""))"),"")</f>
        <v/>
      </c>
    </row>
    <row r="1104">
      <c r="B1104" s="62"/>
      <c r="C1104" s="56"/>
      <c r="D1104" s="56"/>
      <c r="E1104" s="56"/>
      <c r="F1104" s="63"/>
      <c r="G1104" s="64"/>
      <c r="H1104" s="65"/>
      <c r="I1104" s="63"/>
      <c r="K1104" s="53" t="str">
        <f>IFERROR(__xludf.DUMMYFUNCTION("IF(ISBLANK(B1104),"""",IF(ISDATE(B1104),""X"",""""))"),"")</f>
        <v/>
      </c>
      <c r="L1104" s="40" t="str">
        <f>IFERROR(__xludf.DUMMYFUNCTION("IF(ISBLANK(B1104),"""",IF(Or(I1104=""Em Aberto"",ISBLANK(I1104),NOT(ISDATE(B1104))),"""",H1104))"),"")</f>
        <v/>
      </c>
      <c r="M1104" s="29" t="str">
        <f>IFERROR(__xludf.DUMMYFUNCTION("IF(ISBLANK(B1104),"""",IF(ISDATE(B1104),TEXT(B1104,""m""),""""))"),"")</f>
        <v/>
      </c>
      <c r="N1104" s="29" t="str">
        <f>IFERROR(__xludf.DUMMYFUNCTION("IF(M1104="""","""",QUERY({'Dashboard-Dados'!$Y$2:$AA$13},""Select Col2 Where Col1=""&amp;M1104))"),"")</f>
        <v/>
      </c>
      <c r="O1104" s="29" t="str">
        <f>IFERROR(__xludf.DUMMYFUNCTION("IF(ISBLANK(B1104),"""",IF(ISDATE(B1104),TEXT(B1104,""yyyy""),""""))"),"")</f>
        <v/>
      </c>
    </row>
    <row r="1105">
      <c r="B1105" s="62"/>
      <c r="C1105" s="56"/>
      <c r="D1105" s="56"/>
      <c r="E1105" s="56"/>
      <c r="F1105" s="63"/>
      <c r="G1105" s="64"/>
      <c r="H1105" s="65"/>
      <c r="I1105" s="63"/>
      <c r="K1105" s="53" t="str">
        <f>IFERROR(__xludf.DUMMYFUNCTION("IF(ISBLANK(B1105),"""",IF(ISDATE(B1105),""X"",""""))"),"")</f>
        <v/>
      </c>
      <c r="L1105" s="40" t="str">
        <f>IFERROR(__xludf.DUMMYFUNCTION("IF(ISBLANK(B1105),"""",IF(Or(I1105=""Em Aberto"",ISBLANK(I1105),NOT(ISDATE(B1105))),"""",H1105))"),"")</f>
        <v/>
      </c>
      <c r="M1105" s="29" t="str">
        <f>IFERROR(__xludf.DUMMYFUNCTION("IF(ISBLANK(B1105),"""",IF(ISDATE(B1105),TEXT(B1105,""m""),""""))"),"")</f>
        <v/>
      </c>
      <c r="N1105" s="29" t="str">
        <f>IFERROR(__xludf.DUMMYFUNCTION("IF(M1105="""","""",QUERY({'Dashboard-Dados'!$Y$2:$AA$13},""Select Col2 Where Col1=""&amp;M1105))"),"")</f>
        <v/>
      </c>
      <c r="O1105" s="29" t="str">
        <f>IFERROR(__xludf.DUMMYFUNCTION("IF(ISBLANK(B1105),"""",IF(ISDATE(B1105),TEXT(B1105,""yyyy""),""""))"),"")</f>
        <v/>
      </c>
    </row>
    <row r="1106">
      <c r="B1106" s="62"/>
      <c r="C1106" s="56"/>
      <c r="D1106" s="56"/>
      <c r="E1106" s="56"/>
      <c r="F1106" s="63"/>
      <c r="G1106" s="64"/>
      <c r="H1106" s="65"/>
      <c r="I1106" s="63"/>
      <c r="K1106" s="53" t="str">
        <f>IFERROR(__xludf.DUMMYFUNCTION("IF(ISBLANK(B1106),"""",IF(ISDATE(B1106),""X"",""""))"),"")</f>
        <v/>
      </c>
      <c r="L1106" s="40" t="str">
        <f>IFERROR(__xludf.DUMMYFUNCTION("IF(ISBLANK(B1106),"""",IF(Or(I1106=""Em Aberto"",ISBLANK(I1106),NOT(ISDATE(B1106))),"""",H1106))"),"")</f>
        <v/>
      </c>
      <c r="M1106" s="29" t="str">
        <f>IFERROR(__xludf.DUMMYFUNCTION("IF(ISBLANK(B1106),"""",IF(ISDATE(B1106),TEXT(B1106,""m""),""""))"),"")</f>
        <v/>
      </c>
      <c r="N1106" s="29" t="str">
        <f>IFERROR(__xludf.DUMMYFUNCTION("IF(M1106="""","""",QUERY({'Dashboard-Dados'!$Y$2:$AA$13},""Select Col2 Where Col1=""&amp;M1106))"),"")</f>
        <v/>
      </c>
      <c r="O1106" s="29" t="str">
        <f>IFERROR(__xludf.DUMMYFUNCTION("IF(ISBLANK(B1106),"""",IF(ISDATE(B1106),TEXT(B1106,""yyyy""),""""))"),"")</f>
        <v/>
      </c>
    </row>
    <row r="1107">
      <c r="B1107" s="62"/>
      <c r="C1107" s="56"/>
      <c r="D1107" s="56"/>
      <c r="E1107" s="56"/>
      <c r="F1107" s="63"/>
      <c r="G1107" s="64"/>
      <c r="H1107" s="65"/>
      <c r="I1107" s="63"/>
      <c r="K1107" s="53" t="str">
        <f>IFERROR(__xludf.DUMMYFUNCTION("IF(ISBLANK(B1107),"""",IF(ISDATE(B1107),""X"",""""))"),"")</f>
        <v/>
      </c>
      <c r="L1107" s="40" t="str">
        <f>IFERROR(__xludf.DUMMYFUNCTION("IF(ISBLANK(B1107),"""",IF(Or(I1107=""Em Aberto"",ISBLANK(I1107),NOT(ISDATE(B1107))),"""",H1107))"),"")</f>
        <v/>
      </c>
      <c r="M1107" s="29" t="str">
        <f>IFERROR(__xludf.DUMMYFUNCTION("IF(ISBLANK(B1107),"""",IF(ISDATE(B1107),TEXT(B1107,""m""),""""))"),"")</f>
        <v/>
      </c>
      <c r="N1107" s="29" t="str">
        <f>IFERROR(__xludf.DUMMYFUNCTION("IF(M1107="""","""",QUERY({'Dashboard-Dados'!$Y$2:$AA$13},""Select Col2 Where Col1=""&amp;M1107))"),"")</f>
        <v/>
      </c>
      <c r="O1107" s="29" t="str">
        <f>IFERROR(__xludf.DUMMYFUNCTION("IF(ISBLANK(B1107),"""",IF(ISDATE(B1107),TEXT(B1107,""yyyy""),""""))"),"")</f>
        <v/>
      </c>
    </row>
    <row r="1108">
      <c r="B1108" s="62"/>
      <c r="C1108" s="56"/>
      <c r="D1108" s="56"/>
      <c r="E1108" s="56"/>
      <c r="F1108" s="63"/>
      <c r="G1108" s="64"/>
      <c r="H1108" s="65"/>
      <c r="I1108" s="63"/>
      <c r="K1108" s="53" t="str">
        <f>IFERROR(__xludf.DUMMYFUNCTION("IF(ISBLANK(B1108),"""",IF(ISDATE(B1108),""X"",""""))"),"")</f>
        <v/>
      </c>
      <c r="L1108" s="40" t="str">
        <f>IFERROR(__xludf.DUMMYFUNCTION("IF(ISBLANK(B1108),"""",IF(Or(I1108=""Em Aberto"",ISBLANK(I1108),NOT(ISDATE(B1108))),"""",H1108))"),"")</f>
        <v/>
      </c>
      <c r="M1108" s="29" t="str">
        <f>IFERROR(__xludf.DUMMYFUNCTION("IF(ISBLANK(B1108),"""",IF(ISDATE(B1108),TEXT(B1108,""m""),""""))"),"")</f>
        <v/>
      </c>
      <c r="N1108" s="29" t="str">
        <f>IFERROR(__xludf.DUMMYFUNCTION("IF(M1108="""","""",QUERY({'Dashboard-Dados'!$Y$2:$AA$13},""Select Col2 Where Col1=""&amp;M1108))"),"")</f>
        <v/>
      </c>
      <c r="O1108" s="29" t="str">
        <f>IFERROR(__xludf.DUMMYFUNCTION("IF(ISBLANK(B1108),"""",IF(ISDATE(B1108),TEXT(B1108,""yyyy""),""""))"),"")</f>
        <v/>
      </c>
    </row>
    <row r="1109">
      <c r="B1109" s="62"/>
      <c r="C1109" s="56"/>
      <c r="D1109" s="56"/>
      <c r="E1109" s="56"/>
      <c r="F1109" s="63"/>
      <c r="G1109" s="64"/>
      <c r="H1109" s="65"/>
      <c r="I1109" s="63"/>
      <c r="K1109" s="53" t="str">
        <f>IFERROR(__xludf.DUMMYFUNCTION("IF(ISBLANK(B1109),"""",IF(ISDATE(B1109),""X"",""""))"),"")</f>
        <v/>
      </c>
      <c r="L1109" s="40" t="str">
        <f>IFERROR(__xludf.DUMMYFUNCTION("IF(ISBLANK(B1109),"""",IF(Or(I1109=""Em Aberto"",ISBLANK(I1109),NOT(ISDATE(B1109))),"""",H1109))"),"")</f>
        <v/>
      </c>
      <c r="M1109" s="29" t="str">
        <f>IFERROR(__xludf.DUMMYFUNCTION("IF(ISBLANK(B1109),"""",IF(ISDATE(B1109),TEXT(B1109,""m""),""""))"),"")</f>
        <v/>
      </c>
      <c r="N1109" s="29" t="str">
        <f>IFERROR(__xludf.DUMMYFUNCTION("IF(M1109="""","""",QUERY({'Dashboard-Dados'!$Y$2:$AA$13},""Select Col2 Where Col1=""&amp;M1109))"),"")</f>
        <v/>
      </c>
      <c r="O1109" s="29" t="str">
        <f>IFERROR(__xludf.DUMMYFUNCTION("IF(ISBLANK(B1109),"""",IF(ISDATE(B1109),TEXT(B1109,""yyyy""),""""))"),"")</f>
        <v/>
      </c>
    </row>
    <row r="1110">
      <c r="B1110" s="62"/>
      <c r="C1110" s="56"/>
      <c r="D1110" s="56"/>
      <c r="E1110" s="56"/>
      <c r="F1110" s="63"/>
      <c r="G1110" s="64"/>
      <c r="H1110" s="65"/>
      <c r="I1110" s="63"/>
      <c r="K1110" s="53" t="str">
        <f>IFERROR(__xludf.DUMMYFUNCTION("IF(ISBLANK(B1110),"""",IF(ISDATE(B1110),""X"",""""))"),"")</f>
        <v/>
      </c>
      <c r="L1110" s="40" t="str">
        <f>IFERROR(__xludf.DUMMYFUNCTION("IF(ISBLANK(B1110),"""",IF(Or(I1110=""Em Aberto"",ISBLANK(I1110),NOT(ISDATE(B1110))),"""",H1110))"),"")</f>
        <v/>
      </c>
      <c r="M1110" s="29" t="str">
        <f>IFERROR(__xludf.DUMMYFUNCTION("IF(ISBLANK(B1110),"""",IF(ISDATE(B1110),TEXT(B1110,""m""),""""))"),"")</f>
        <v/>
      </c>
      <c r="N1110" s="29" t="str">
        <f>IFERROR(__xludf.DUMMYFUNCTION("IF(M1110="""","""",QUERY({'Dashboard-Dados'!$Y$2:$AA$13},""Select Col2 Where Col1=""&amp;M1110))"),"")</f>
        <v/>
      </c>
      <c r="O1110" s="29" t="str">
        <f>IFERROR(__xludf.DUMMYFUNCTION("IF(ISBLANK(B1110),"""",IF(ISDATE(B1110),TEXT(B1110,""yyyy""),""""))"),"")</f>
        <v/>
      </c>
    </row>
    <row r="1111">
      <c r="B1111" s="62"/>
      <c r="C1111" s="56"/>
      <c r="D1111" s="56"/>
      <c r="E1111" s="56"/>
      <c r="F1111" s="63"/>
      <c r="G1111" s="64"/>
      <c r="H1111" s="65"/>
      <c r="I1111" s="63"/>
      <c r="K1111" s="53" t="str">
        <f>IFERROR(__xludf.DUMMYFUNCTION("IF(ISBLANK(B1111),"""",IF(ISDATE(B1111),""X"",""""))"),"")</f>
        <v/>
      </c>
      <c r="L1111" s="40" t="str">
        <f>IFERROR(__xludf.DUMMYFUNCTION("IF(ISBLANK(B1111),"""",IF(Or(I1111=""Em Aberto"",ISBLANK(I1111),NOT(ISDATE(B1111))),"""",H1111))"),"")</f>
        <v/>
      </c>
      <c r="M1111" s="29" t="str">
        <f>IFERROR(__xludf.DUMMYFUNCTION("IF(ISBLANK(B1111),"""",IF(ISDATE(B1111),TEXT(B1111,""m""),""""))"),"")</f>
        <v/>
      </c>
      <c r="N1111" s="29" t="str">
        <f>IFERROR(__xludf.DUMMYFUNCTION("IF(M1111="""","""",QUERY({'Dashboard-Dados'!$Y$2:$AA$13},""Select Col2 Where Col1=""&amp;M1111))"),"")</f>
        <v/>
      </c>
      <c r="O1111" s="29" t="str">
        <f>IFERROR(__xludf.DUMMYFUNCTION("IF(ISBLANK(B1111),"""",IF(ISDATE(B1111),TEXT(B1111,""yyyy""),""""))"),"")</f>
        <v/>
      </c>
    </row>
    <row r="1112">
      <c r="B1112" s="62"/>
      <c r="C1112" s="56"/>
      <c r="D1112" s="56"/>
      <c r="E1112" s="56"/>
      <c r="F1112" s="63"/>
      <c r="G1112" s="64"/>
      <c r="H1112" s="65"/>
      <c r="I1112" s="63"/>
      <c r="K1112" s="53" t="str">
        <f>IFERROR(__xludf.DUMMYFUNCTION("IF(ISBLANK(B1112),"""",IF(ISDATE(B1112),""X"",""""))"),"")</f>
        <v/>
      </c>
      <c r="L1112" s="40" t="str">
        <f>IFERROR(__xludf.DUMMYFUNCTION("IF(ISBLANK(B1112),"""",IF(Or(I1112=""Em Aberto"",ISBLANK(I1112),NOT(ISDATE(B1112))),"""",H1112))"),"")</f>
        <v/>
      </c>
      <c r="M1112" s="29" t="str">
        <f>IFERROR(__xludf.DUMMYFUNCTION("IF(ISBLANK(B1112),"""",IF(ISDATE(B1112),TEXT(B1112,""m""),""""))"),"")</f>
        <v/>
      </c>
      <c r="N1112" s="29" t="str">
        <f>IFERROR(__xludf.DUMMYFUNCTION("IF(M1112="""","""",QUERY({'Dashboard-Dados'!$Y$2:$AA$13},""Select Col2 Where Col1=""&amp;M1112))"),"")</f>
        <v/>
      </c>
      <c r="O1112" s="29" t="str">
        <f>IFERROR(__xludf.DUMMYFUNCTION("IF(ISBLANK(B1112),"""",IF(ISDATE(B1112),TEXT(B1112,""yyyy""),""""))"),"")</f>
        <v/>
      </c>
    </row>
    <row r="1113">
      <c r="B1113" s="62"/>
      <c r="C1113" s="56"/>
      <c r="D1113" s="56"/>
      <c r="E1113" s="56"/>
      <c r="F1113" s="63"/>
      <c r="G1113" s="64"/>
      <c r="H1113" s="65"/>
      <c r="I1113" s="63"/>
      <c r="K1113" s="53" t="str">
        <f>IFERROR(__xludf.DUMMYFUNCTION("IF(ISBLANK(B1113),"""",IF(ISDATE(B1113),""X"",""""))"),"")</f>
        <v/>
      </c>
      <c r="L1113" s="40" t="str">
        <f>IFERROR(__xludf.DUMMYFUNCTION("IF(ISBLANK(B1113),"""",IF(Or(I1113=""Em Aberto"",ISBLANK(I1113),NOT(ISDATE(B1113))),"""",H1113))"),"")</f>
        <v/>
      </c>
      <c r="M1113" s="29" t="str">
        <f>IFERROR(__xludf.DUMMYFUNCTION("IF(ISBLANK(B1113),"""",IF(ISDATE(B1113),TEXT(B1113,""m""),""""))"),"")</f>
        <v/>
      </c>
      <c r="N1113" s="29" t="str">
        <f>IFERROR(__xludf.DUMMYFUNCTION("IF(M1113="""","""",QUERY({'Dashboard-Dados'!$Y$2:$AA$13},""Select Col2 Where Col1=""&amp;M1113))"),"")</f>
        <v/>
      </c>
      <c r="O1113" s="29" t="str">
        <f>IFERROR(__xludf.DUMMYFUNCTION("IF(ISBLANK(B1113),"""",IF(ISDATE(B1113),TEXT(B1113,""yyyy""),""""))"),"")</f>
        <v/>
      </c>
    </row>
    <row r="1114">
      <c r="B1114" s="62"/>
      <c r="C1114" s="56"/>
      <c r="D1114" s="56"/>
      <c r="E1114" s="56"/>
      <c r="F1114" s="63"/>
      <c r="G1114" s="64"/>
      <c r="H1114" s="65"/>
      <c r="I1114" s="63"/>
      <c r="K1114" s="53" t="str">
        <f>IFERROR(__xludf.DUMMYFUNCTION("IF(ISBLANK(B1114),"""",IF(ISDATE(B1114),""X"",""""))"),"")</f>
        <v/>
      </c>
      <c r="L1114" s="40" t="str">
        <f>IFERROR(__xludf.DUMMYFUNCTION("IF(ISBLANK(B1114),"""",IF(Or(I1114=""Em Aberto"",ISBLANK(I1114),NOT(ISDATE(B1114))),"""",H1114))"),"")</f>
        <v/>
      </c>
      <c r="M1114" s="29" t="str">
        <f>IFERROR(__xludf.DUMMYFUNCTION("IF(ISBLANK(B1114),"""",IF(ISDATE(B1114),TEXT(B1114,""m""),""""))"),"")</f>
        <v/>
      </c>
      <c r="N1114" s="29" t="str">
        <f>IFERROR(__xludf.DUMMYFUNCTION("IF(M1114="""","""",QUERY({'Dashboard-Dados'!$Y$2:$AA$13},""Select Col2 Where Col1=""&amp;M1114))"),"")</f>
        <v/>
      </c>
      <c r="O1114" s="29" t="str">
        <f>IFERROR(__xludf.DUMMYFUNCTION("IF(ISBLANK(B1114),"""",IF(ISDATE(B1114),TEXT(B1114,""yyyy""),""""))"),"")</f>
        <v/>
      </c>
    </row>
    <row r="1115">
      <c r="B1115" s="62"/>
      <c r="C1115" s="56"/>
      <c r="D1115" s="56"/>
      <c r="E1115" s="56"/>
      <c r="F1115" s="63"/>
      <c r="G1115" s="64"/>
      <c r="H1115" s="65"/>
      <c r="I1115" s="63"/>
      <c r="K1115" s="53" t="str">
        <f>IFERROR(__xludf.DUMMYFUNCTION("IF(ISBLANK(B1115),"""",IF(ISDATE(B1115),""X"",""""))"),"")</f>
        <v/>
      </c>
      <c r="L1115" s="40" t="str">
        <f>IFERROR(__xludf.DUMMYFUNCTION("IF(ISBLANK(B1115),"""",IF(Or(I1115=""Em Aberto"",ISBLANK(I1115),NOT(ISDATE(B1115))),"""",H1115))"),"")</f>
        <v/>
      </c>
      <c r="M1115" s="29" t="str">
        <f>IFERROR(__xludf.DUMMYFUNCTION("IF(ISBLANK(B1115),"""",IF(ISDATE(B1115),TEXT(B1115,""m""),""""))"),"")</f>
        <v/>
      </c>
      <c r="N1115" s="29" t="str">
        <f>IFERROR(__xludf.DUMMYFUNCTION("IF(M1115="""","""",QUERY({'Dashboard-Dados'!$Y$2:$AA$13},""Select Col2 Where Col1=""&amp;M1115))"),"")</f>
        <v/>
      </c>
      <c r="O1115" s="29" t="str">
        <f>IFERROR(__xludf.DUMMYFUNCTION("IF(ISBLANK(B1115),"""",IF(ISDATE(B1115),TEXT(B1115,""yyyy""),""""))"),"")</f>
        <v/>
      </c>
    </row>
    <row r="1116">
      <c r="B1116" s="62"/>
      <c r="C1116" s="56"/>
      <c r="D1116" s="56"/>
      <c r="E1116" s="56"/>
      <c r="F1116" s="63"/>
      <c r="G1116" s="64"/>
      <c r="H1116" s="65"/>
      <c r="I1116" s="63"/>
      <c r="K1116" s="53" t="str">
        <f>IFERROR(__xludf.DUMMYFUNCTION("IF(ISBLANK(B1116),"""",IF(ISDATE(B1116),""X"",""""))"),"")</f>
        <v/>
      </c>
      <c r="L1116" s="40" t="str">
        <f>IFERROR(__xludf.DUMMYFUNCTION("IF(ISBLANK(B1116),"""",IF(Or(I1116=""Em Aberto"",ISBLANK(I1116),NOT(ISDATE(B1116))),"""",H1116))"),"")</f>
        <v/>
      </c>
      <c r="M1116" s="29" t="str">
        <f>IFERROR(__xludf.DUMMYFUNCTION("IF(ISBLANK(B1116),"""",IF(ISDATE(B1116),TEXT(B1116,""m""),""""))"),"")</f>
        <v/>
      </c>
      <c r="N1116" s="29" t="str">
        <f>IFERROR(__xludf.DUMMYFUNCTION("IF(M1116="""","""",QUERY({'Dashboard-Dados'!$Y$2:$AA$13},""Select Col2 Where Col1=""&amp;M1116))"),"")</f>
        <v/>
      </c>
      <c r="O1116" s="29" t="str">
        <f>IFERROR(__xludf.DUMMYFUNCTION("IF(ISBLANK(B1116),"""",IF(ISDATE(B1116),TEXT(B1116,""yyyy""),""""))"),"")</f>
        <v/>
      </c>
    </row>
    <row r="1117">
      <c r="B1117" s="62"/>
      <c r="C1117" s="56"/>
      <c r="D1117" s="56"/>
      <c r="E1117" s="56"/>
      <c r="F1117" s="63"/>
      <c r="G1117" s="64"/>
      <c r="H1117" s="65"/>
      <c r="I1117" s="63"/>
      <c r="K1117" s="53" t="str">
        <f>IFERROR(__xludf.DUMMYFUNCTION("IF(ISBLANK(B1117),"""",IF(ISDATE(B1117),""X"",""""))"),"")</f>
        <v/>
      </c>
      <c r="L1117" s="40" t="str">
        <f>IFERROR(__xludf.DUMMYFUNCTION("IF(ISBLANK(B1117),"""",IF(Or(I1117=""Em Aberto"",ISBLANK(I1117),NOT(ISDATE(B1117))),"""",H1117))"),"")</f>
        <v/>
      </c>
      <c r="M1117" s="29" t="str">
        <f>IFERROR(__xludf.DUMMYFUNCTION("IF(ISBLANK(B1117),"""",IF(ISDATE(B1117),TEXT(B1117,""m""),""""))"),"")</f>
        <v/>
      </c>
      <c r="N1117" s="29" t="str">
        <f>IFERROR(__xludf.DUMMYFUNCTION("IF(M1117="""","""",QUERY({'Dashboard-Dados'!$Y$2:$AA$13},""Select Col2 Where Col1=""&amp;M1117))"),"")</f>
        <v/>
      </c>
      <c r="O1117" s="29" t="str">
        <f>IFERROR(__xludf.DUMMYFUNCTION("IF(ISBLANK(B1117),"""",IF(ISDATE(B1117),TEXT(B1117,""yyyy""),""""))"),"")</f>
        <v/>
      </c>
    </row>
    <row r="1118">
      <c r="B1118" s="62"/>
      <c r="C1118" s="56"/>
      <c r="D1118" s="56"/>
      <c r="E1118" s="56"/>
      <c r="F1118" s="63"/>
      <c r="G1118" s="64"/>
      <c r="H1118" s="65"/>
      <c r="I1118" s="63"/>
      <c r="K1118" s="53" t="str">
        <f>IFERROR(__xludf.DUMMYFUNCTION("IF(ISBLANK(B1118),"""",IF(ISDATE(B1118),""X"",""""))"),"")</f>
        <v/>
      </c>
      <c r="L1118" s="40" t="str">
        <f>IFERROR(__xludf.DUMMYFUNCTION("IF(ISBLANK(B1118),"""",IF(Or(I1118=""Em Aberto"",ISBLANK(I1118),NOT(ISDATE(B1118))),"""",H1118))"),"")</f>
        <v/>
      </c>
      <c r="M1118" s="29" t="str">
        <f>IFERROR(__xludf.DUMMYFUNCTION("IF(ISBLANK(B1118),"""",IF(ISDATE(B1118),TEXT(B1118,""m""),""""))"),"")</f>
        <v/>
      </c>
      <c r="N1118" s="29" t="str">
        <f>IFERROR(__xludf.DUMMYFUNCTION("IF(M1118="""","""",QUERY({'Dashboard-Dados'!$Y$2:$AA$13},""Select Col2 Where Col1=""&amp;M1118))"),"")</f>
        <v/>
      </c>
      <c r="O1118" s="29" t="str">
        <f>IFERROR(__xludf.DUMMYFUNCTION("IF(ISBLANK(B1118),"""",IF(ISDATE(B1118),TEXT(B1118,""yyyy""),""""))"),"")</f>
        <v/>
      </c>
    </row>
    <row r="1119">
      <c r="B1119" s="62"/>
      <c r="C1119" s="56"/>
      <c r="D1119" s="56"/>
      <c r="E1119" s="56"/>
      <c r="F1119" s="63"/>
      <c r="G1119" s="64"/>
      <c r="H1119" s="65"/>
      <c r="I1119" s="63"/>
      <c r="K1119" s="53" t="str">
        <f>IFERROR(__xludf.DUMMYFUNCTION("IF(ISBLANK(B1119),"""",IF(ISDATE(B1119),""X"",""""))"),"")</f>
        <v/>
      </c>
      <c r="L1119" s="40" t="str">
        <f>IFERROR(__xludf.DUMMYFUNCTION("IF(ISBLANK(B1119),"""",IF(Or(I1119=""Em Aberto"",ISBLANK(I1119),NOT(ISDATE(B1119))),"""",H1119))"),"")</f>
        <v/>
      </c>
      <c r="M1119" s="29" t="str">
        <f>IFERROR(__xludf.DUMMYFUNCTION("IF(ISBLANK(B1119),"""",IF(ISDATE(B1119),TEXT(B1119,""m""),""""))"),"")</f>
        <v/>
      </c>
      <c r="N1119" s="29" t="str">
        <f>IFERROR(__xludf.DUMMYFUNCTION("IF(M1119="""","""",QUERY({'Dashboard-Dados'!$Y$2:$AA$13},""Select Col2 Where Col1=""&amp;M1119))"),"")</f>
        <v/>
      </c>
      <c r="O1119" s="29" t="str">
        <f>IFERROR(__xludf.DUMMYFUNCTION("IF(ISBLANK(B1119),"""",IF(ISDATE(B1119),TEXT(B1119,""yyyy""),""""))"),"")</f>
        <v/>
      </c>
    </row>
    <row r="1120">
      <c r="B1120" s="62"/>
      <c r="C1120" s="56"/>
      <c r="D1120" s="56"/>
      <c r="E1120" s="56"/>
      <c r="F1120" s="63"/>
      <c r="G1120" s="64"/>
      <c r="H1120" s="65"/>
      <c r="I1120" s="63"/>
      <c r="K1120" s="53" t="str">
        <f>IFERROR(__xludf.DUMMYFUNCTION("IF(ISBLANK(B1120),"""",IF(ISDATE(B1120),""X"",""""))"),"")</f>
        <v/>
      </c>
      <c r="L1120" s="40" t="str">
        <f>IFERROR(__xludf.DUMMYFUNCTION("IF(ISBLANK(B1120),"""",IF(Or(I1120=""Em Aberto"",ISBLANK(I1120),NOT(ISDATE(B1120))),"""",H1120))"),"")</f>
        <v/>
      </c>
      <c r="M1120" s="29" t="str">
        <f>IFERROR(__xludf.DUMMYFUNCTION("IF(ISBLANK(B1120),"""",IF(ISDATE(B1120),TEXT(B1120,""m""),""""))"),"")</f>
        <v/>
      </c>
      <c r="N1120" s="29" t="str">
        <f>IFERROR(__xludf.DUMMYFUNCTION("IF(M1120="""","""",QUERY({'Dashboard-Dados'!$Y$2:$AA$13},""Select Col2 Where Col1=""&amp;M1120))"),"")</f>
        <v/>
      </c>
      <c r="O1120" s="29" t="str">
        <f>IFERROR(__xludf.DUMMYFUNCTION("IF(ISBLANK(B1120),"""",IF(ISDATE(B1120),TEXT(B1120,""yyyy""),""""))"),"")</f>
        <v/>
      </c>
    </row>
    <row r="1121">
      <c r="B1121" s="62"/>
      <c r="C1121" s="56"/>
      <c r="D1121" s="56"/>
      <c r="E1121" s="56"/>
      <c r="F1121" s="63"/>
      <c r="G1121" s="64"/>
      <c r="H1121" s="65"/>
      <c r="I1121" s="63"/>
      <c r="K1121" s="53" t="str">
        <f>IFERROR(__xludf.DUMMYFUNCTION("IF(ISBLANK(B1121),"""",IF(ISDATE(B1121),""X"",""""))"),"")</f>
        <v/>
      </c>
      <c r="L1121" s="40" t="str">
        <f>IFERROR(__xludf.DUMMYFUNCTION("IF(ISBLANK(B1121),"""",IF(Or(I1121=""Em Aberto"",ISBLANK(I1121),NOT(ISDATE(B1121))),"""",H1121))"),"")</f>
        <v/>
      </c>
      <c r="M1121" s="29" t="str">
        <f>IFERROR(__xludf.DUMMYFUNCTION("IF(ISBLANK(B1121),"""",IF(ISDATE(B1121),TEXT(B1121,""m""),""""))"),"")</f>
        <v/>
      </c>
      <c r="N1121" s="29" t="str">
        <f>IFERROR(__xludf.DUMMYFUNCTION("IF(M1121="""","""",QUERY({'Dashboard-Dados'!$Y$2:$AA$13},""Select Col2 Where Col1=""&amp;M1121))"),"")</f>
        <v/>
      </c>
      <c r="O1121" s="29" t="str">
        <f>IFERROR(__xludf.DUMMYFUNCTION("IF(ISBLANK(B1121),"""",IF(ISDATE(B1121),TEXT(B1121,""yyyy""),""""))"),"")</f>
        <v/>
      </c>
    </row>
    <row r="1122">
      <c r="B1122" s="62"/>
      <c r="C1122" s="56"/>
      <c r="D1122" s="56"/>
      <c r="E1122" s="56"/>
      <c r="F1122" s="63"/>
      <c r="G1122" s="64"/>
      <c r="H1122" s="65"/>
      <c r="I1122" s="63"/>
      <c r="K1122" s="53" t="str">
        <f>IFERROR(__xludf.DUMMYFUNCTION("IF(ISBLANK(B1122),"""",IF(ISDATE(B1122),""X"",""""))"),"")</f>
        <v/>
      </c>
      <c r="L1122" s="40" t="str">
        <f>IFERROR(__xludf.DUMMYFUNCTION("IF(ISBLANK(B1122),"""",IF(Or(I1122=""Em Aberto"",ISBLANK(I1122),NOT(ISDATE(B1122))),"""",H1122))"),"")</f>
        <v/>
      </c>
      <c r="M1122" s="29" t="str">
        <f>IFERROR(__xludf.DUMMYFUNCTION("IF(ISBLANK(B1122),"""",IF(ISDATE(B1122),TEXT(B1122,""m""),""""))"),"")</f>
        <v/>
      </c>
      <c r="N1122" s="29" t="str">
        <f>IFERROR(__xludf.DUMMYFUNCTION("IF(M1122="""","""",QUERY({'Dashboard-Dados'!$Y$2:$AA$13},""Select Col2 Where Col1=""&amp;M1122))"),"")</f>
        <v/>
      </c>
      <c r="O1122" s="29" t="str">
        <f>IFERROR(__xludf.DUMMYFUNCTION("IF(ISBLANK(B1122),"""",IF(ISDATE(B1122),TEXT(B1122,""yyyy""),""""))"),"")</f>
        <v/>
      </c>
    </row>
    <row r="1123">
      <c r="B1123" s="62"/>
      <c r="C1123" s="56"/>
      <c r="D1123" s="56"/>
      <c r="E1123" s="56"/>
      <c r="F1123" s="63"/>
      <c r="G1123" s="64"/>
      <c r="H1123" s="65"/>
      <c r="I1123" s="63"/>
      <c r="K1123" s="53" t="str">
        <f>IFERROR(__xludf.DUMMYFUNCTION("IF(ISBLANK(B1123),"""",IF(ISDATE(B1123),""X"",""""))"),"")</f>
        <v/>
      </c>
      <c r="L1123" s="40" t="str">
        <f>IFERROR(__xludf.DUMMYFUNCTION("IF(ISBLANK(B1123),"""",IF(Or(I1123=""Em Aberto"",ISBLANK(I1123),NOT(ISDATE(B1123))),"""",H1123))"),"")</f>
        <v/>
      </c>
      <c r="M1123" s="29" t="str">
        <f>IFERROR(__xludf.DUMMYFUNCTION("IF(ISBLANK(B1123),"""",IF(ISDATE(B1123),TEXT(B1123,""m""),""""))"),"")</f>
        <v/>
      </c>
      <c r="N1123" s="29" t="str">
        <f>IFERROR(__xludf.DUMMYFUNCTION("IF(M1123="""","""",QUERY({'Dashboard-Dados'!$Y$2:$AA$13},""Select Col2 Where Col1=""&amp;M1123))"),"")</f>
        <v/>
      </c>
      <c r="O1123" s="29" t="str">
        <f>IFERROR(__xludf.DUMMYFUNCTION("IF(ISBLANK(B1123),"""",IF(ISDATE(B1123),TEXT(B1123,""yyyy""),""""))"),"")</f>
        <v/>
      </c>
    </row>
    <row r="1124">
      <c r="B1124" s="62"/>
      <c r="C1124" s="56"/>
      <c r="D1124" s="56"/>
      <c r="E1124" s="56"/>
      <c r="F1124" s="63"/>
      <c r="G1124" s="64"/>
      <c r="H1124" s="65"/>
      <c r="I1124" s="63"/>
      <c r="K1124" s="53" t="str">
        <f>IFERROR(__xludf.DUMMYFUNCTION("IF(ISBLANK(B1124),"""",IF(ISDATE(B1124),""X"",""""))"),"")</f>
        <v/>
      </c>
      <c r="L1124" s="40" t="str">
        <f>IFERROR(__xludf.DUMMYFUNCTION("IF(ISBLANK(B1124),"""",IF(Or(I1124=""Em Aberto"",ISBLANK(I1124),NOT(ISDATE(B1124))),"""",H1124))"),"")</f>
        <v/>
      </c>
      <c r="M1124" s="29" t="str">
        <f>IFERROR(__xludf.DUMMYFUNCTION("IF(ISBLANK(B1124),"""",IF(ISDATE(B1124),TEXT(B1124,""m""),""""))"),"")</f>
        <v/>
      </c>
      <c r="N1124" s="29" t="str">
        <f>IFERROR(__xludf.DUMMYFUNCTION("IF(M1124="""","""",QUERY({'Dashboard-Dados'!$Y$2:$AA$13},""Select Col2 Where Col1=""&amp;M1124))"),"")</f>
        <v/>
      </c>
      <c r="O1124" s="29" t="str">
        <f>IFERROR(__xludf.DUMMYFUNCTION("IF(ISBLANK(B1124),"""",IF(ISDATE(B1124),TEXT(B1124,""yyyy""),""""))"),"")</f>
        <v/>
      </c>
    </row>
    <row r="1125">
      <c r="B1125" s="62"/>
      <c r="C1125" s="56"/>
      <c r="D1125" s="56"/>
      <c r="E1125" s="56"/>
      <c r="F1125" s="63"/>
      <c r="G1125" s="64"/>
      <c r="H1125" s="65"/>
      <c r="I1125" s="63"/>
      <c r="K1125" s="53" t="str">
        <f>IFERROR(__xludf.DUMMYFUNCTION("IF(ISBLANK(B1125),"""",IF(ISDATE(B1125),""X"",""""))"),"")</f>
        <v/>
      </c>
      <c r="L1125" s="40" t="str">
        <f>IFERROR(__xludf.DUMMYFUNCTION("IF(ISBLANK(B1125),"""",IF(Or(I1125=""Em Aberto"",ISBLANK(I1125),NOT(ISDATE(B1125))),"""",H1125))"),"")</f>
        <v/>
      </c>
      <c r="M1125" s="29" t="str">
        <f>IFERROR(__xludf.DUMMYFUNCTION("IF(ISBLANK(B1125),"""",IF(ISDATE(B1125),TEXT(B1125,""m""),""""))"),"")</f>
        <v/>
      </c>
      <c r="N1125" s="29" t="str">
        <f>IFERROR(__xludf.DUMMYFUNCTION("IF(M1125="""","""",QUERY({'Dashboard-Dados'!$Y$2:$AA$13},""Select Col2 Where Col1=""&amp;M1125))"),"")</f>
        <v/>
      </c>
      <c r="O1125" s="29" t="str">
        <f>IFERROR(__xludf.DUMMYFUNCTION("IF(ISBLANK(B1125),"""",IF(ISDATE(B1125),TEXT(B1125,""yyyy""),""""))"),"")</f>
        <v/>
      </c>
    </row>
    <row r="1126">
      <c r="B1126" s="62"/>
      <c r="C1126" s="56"/>
      <c r="D1126" s="56"/>
      <c r="E1126" s="56"/>
      <c r="F1126" s="63"/>
      <c r="G1126" s="64"/>
      <c r="H1126" s="65"/>
      <c r="I1126" s="63"/>
      <c r="K1126" s="53" t="str">
        <f>IFERROR(__xludf.DUMMYFUNCTION("IF(ISBLANK(B1126),"""",IF(ISDATE(B1126),""X"",""""))"),"")</f>
        <v/>
      </c>
      <c r="L1126" s="40" t="str">
        <f>IFERROR(__xludf.DUMMYFUNCTION("IF(ISBLANK(B1126),"""",IF(Or(I1126=""Em Aberto"",ISBLANK(I1126),NOT(ISDATE(B1126))),"""",H1126))"),"")</f>
        <v/>
      </c>
      <c r="M1126" s="29" t="str">
        <f>IFERROR(__xludf.DUMMYFUNCTION("IF(ISBLANK(B1126),"""",IF(ISDATE(B1126),TEXT(B1126,""m""),""""))"),"")</f>
        <v/>
      </c>
      <c r="N1126" s="29" t="str">
        <f>IFERROR(__xludf.DUMMYFUNCTION("IF(M1126="""","""",QUERY({'Dashboard-Dados'!$Y$2:$AA$13},""Select Col2 Where Col1=""&amp;M1126))"),"")</f>
        <v/>
      </c>
      <c r="O1126" s="29" t="str">
        <f>IFERROR(__xludf.DUMMYFUNCTION("IF(ISBLANK(B1126),"""",IF(ISDATE(B1126),TEXT(B1126,""yyyy""),""""))"),"")</f>
        <v/>
      </c>
    </row>
    <row r="1127">
      <c r="B1127" s="62"/>
      <c r="C1127" s="56"/>
      <c r="D1127" s="56"/>
      <c r="E1127" s="56"/>
      <c r="F1127" s="63"/>
      <c r="G1127" s="64"/>
      <c r="H1127" s="65"/>
      <c r="I1127" s="63"/>
      <c r="K1127" s="53" t="str">
        <f>IFERROR(__xludf.DUMMYFUNCTION("IF(ISBLANK(B1127),"""",IF(ISDATE(B1127),""X"",""""))"),"")</f>
        <v/>
      </c>
      <c r="L1127" s="40" t="str">
        <f>IFERROR(__xludf.DUMMYFUNCTION("IF(ISBLANK(B1127),"""",IF(Or(I1127=""Em Aberto"",ISBLANK(I1127),NOT(ISDATE(B1127))),"""",H1127))"),"")</f>
        <v/>
      </c>
      <c r="M1127" s="29" t="str">
        <f>IFERROR(__xludf.DUMMYFUNCTION("IF(ISBLANK(B1127),"""",IF(ISDATE(B1127),TEXT(B1127,""m""),""""))"),"")</f>
        <v/>
      </c>
      <c r="N1127" s="29" t="str">
        <f>IFERROR(__xludf.DUMMYFUNCTION("IF(M1127="""","""",QUERY({'Dashboard-Dados'!$Y$2:$AA$13},""Select Col2 Where Col1=""&amp;M1127))"),"")</f>
        <v/>
      </c>
      <c r="O1127" s="29" t="str">
        <f>IFERROR(__xludf.DUMMYFUNCTION("IF(ISBLANK(B1127),"""",IF(ISDATE(B1127),TEXT(B1127,""yyyy""),""""))"),"")</f>
        <v/>
      </c>
    </row>
    <row r="1128">
      <c r="B1128" s="62"/>
      <c r="C1128" s="56"/>
      <c r="D1128" s="56"/>
      <c r="E1128" s="56"/>
      <c r="F1128" s="63"/>
      <c r="G1128" s="64"/>
      <c r="H1128" s="65"/>
      <c r="I1128" s="63"/>
      <c r="K1128" s="53" t="str">
        <f>IFERROR(__xludf.DUMMYFUNCTION("IF(ISBLANK(B1128),"""",IF(ISDATE(B1128),""X"",""""))"),"")</f>
        <v/>
      </c>
      <c r="L1128" s="40" t="str">
        <f>IFERROR(__xludf.DUMMYFUNCTION("IF(ISBLANK(B1128),"""",IF(Or(I1128=""Em Aberto"",ISBLANK(I1128),NOT(ISDATE(B1128))),"""",H1128))"),"")</f>
        <v/>
      </c>
      <c r="M1128" s="29" t="str">
        <f>IFERROR(__xludf.DUMMYFUNCTION("IF(ISBLANK(B1128),"""",IF(ISDATE(B1128),TEXT(B1128,""m""),""""))"),"")</f>
        <v/>
      </c>
      <c r="N1128" s="29" t="str">
        <f>IFERROR(__xludf.DUMMYFUNCTION("IF(M1128="""","""",QUERY({'Dashboard-Dados'!$Y$2:$AA$13},""Select Col2 Where Col1=""&amp;M1128))"),"")</f>
        <v/>
      </c>
      <c r="O1128" s="29" t="str">
        <f>IFERROR(__xludf.DUMMYFUNCTION("IF(ISBLANK(B1128),"""",IF(ISDATE(B1128),TEXT(B1128,""yyyy""),""""))"),"")</f>
        <v/>
      </c>
    </row>
    <row r="1129">
      <c r="B1129" s="62"/>
      <c r="C1129" s="56"/>
      <c r="D1129" s="56"/>
      <c r="E1129" s="56"/>
      <c r="F1129" s="63"/>
      <c r="G1129" s="64"/>
      <c r="H1129" s="65"/>
      <c r="I1129" s="63"/>
      <c r="K1129" s="53" t="str">
        <f>IFERROR(__xludf.DUMMYFUNCTION("IF(ISBLANK(B1129),"""",IF(ISDATE(B1129),""X"",""""))"),"")</f>
        <v/>
      </c>
      <c r="L1129" s="40" t="str">
        <f>IFERROR(__xludf.DUMMYFUNCTION("IF(ISBLANK(B1129),"""",IF(Or(I1129=""Em Aberto"",ISBLANK(I1129),NOT(ISDATE(B1129))),"""",H1129))"),"")</f>
        <v/>
      </c>
      <c r="M1129" s="29" t="str">
        <f>IFERROR(__xludf.DUMMYFUNCTION("IF(ISBLANK(B1129),"""",IF(ISDATE(B1129),TEXT(B1129,""m""),""""))"),"")</f>
        <v/>
      </c>
      <c r="N1129" s="29" t="str">
        <f>IFERROR(__xludf.DUMMYFUNCTION("IF(M1129="""","""",QUERY({'Dashboard-Dados'!$Y$2:$AA$13},""Select Col2 Where Col1=""&amp;M1129))"),"")</f>
        <v/>
      </c>
      <c r="O1129" s="29" t="str">
        <f>IFERROR(__xludf.DUMMYFUNCTION("IF(ISBLANK(B1129),"""",IF(ISDATE(B1129),TEXT(B1129,""yyyy""),""""))"),"")</f>
        <v/>
      </c>
    </row>
    <row r="1130">
      <c r="B1130" s="62"/>
      <c r="C1130" s="56"/>
      <c r="D1130" s="56"/>
      <c r="E1130" s="56"/>
      <c r="F1130" s="63"/>
      <c r="G1130" s="64"/>
      <c r="H1130" s="65"/>
      <c r="I1130" s="63"/>
      <c r="K1130" s="53" t="str">
        <f>IFERROR(__xludf.DUMMYFUNCTION("IF(ISBLANK(B1130),"""",IF(ISDATE(B1130),""X"",""""))"),"")</f>
        <v/>
      </c>
      <c r="L1130" s="40" t="str">
        <f>IFERROR(__xludf.DUMMYFUNCTION("IF(ISBLANK(B1130),"""",IF(Or(I1130=""Em Aberto"",ISBLANK(I1130),NOT(ISDATE(B1130))),"""",H1130))"),"")</f>
        <v/>
      </c>
      <c r="M1130" s="29" t="str">
        <f>IFERROR(__xludf.DUMMYFUNCTION("IF(ISBLANK(B1130),"""",IF(ISDATE(B1130),TEXT(B1130,""m""),""""))"),"")</f>
        <v/>
      </c>
      <c r="N1130" s="29" t="str">
        <f>IFERROR(__xludf.DUMMYFUNCTION("IF(M1130="""","""",QUERY({'Dashboard-Dados'!$Y$2:$AA$13},""Select Col2 Where Col1=""&amp;M1130))"),"")</f>
        <v/>
      </c>
      <c r="O1130" s="29" t="str">
        <f>IFERROR(__xludf.DUMMYFUNCTION("IF(ISBLANK(B1130),"""",IF(ISDATE(B1130),TEXT(B1130,""yyyy""),""""))"),"")</f>
        <v/>
      </c>
    </row>
    <row r="1131">
      <c r="B1131" s="62"/>
      <c r="C1131" s="56"/>
      <c r="D1131" s="56"/>
      <c r="E1131" s="56"/>
      <c r="F1131" s="63"/>
      <c r="G1131" s="64"/>
      <c r="H1131" s="65"/>
      <c r="I1131" s="63"/>
      <c r="K1131" s="53" t="str">
        <f>IFERROR(__xludf.DUMMYFUNCTION("IF(ISBLANK(B1131),"""",IF(ISDATE(B1131),""X"",""""))"),"")</f>
        <v/>
      </c>
      <c r="L1131" s="40" t="str">
        <f>IFERROR(__xludf.DUMMYFUNCTION("IF(ISBLANK(B1131),"""",IF(Or(I1131=""Em Aberto"",ISBLANK(I1131),NOT(ISDATE(B1131))),"""",H1131))"),"")</f>
        <v/>
      </c>
      <c r="M1131" s="29" t="str">
        <f>IFERROR(__xludf.DUMMYFUNCTION("IF(ISBLANK(B1131),"""",IF(ISDATE(B1131),TEXT(B1131,""m""),""""))"),"")</f>
        <v/>
      </c>
      <c r="N1131" s="29" t="str">
        <f>IFERROR(__xludf.DUMMYFUNCTION("IF(M1131="""","""",QUERY({'Dashboard-Dados'!$Y$2:$AA$13},""Select Col2 Where Col1=""&amp;M1131))"),"")</f>
        <v/>
      </c>
      <c r="O1131" s="29" t="str">
        <f>IFERROR(__xludf.DUMMYFUNCTION("IF(ISBLANK(B1131),"""",IF(ISDATE(B1131),TEXT(B1131,""yyyy""),""""))"),"")</f>
        <v/>
      </c>
    </row>
    <row r="1132">
      <c r="B1132" s="62"/>
      <c r="C1132" s="56"/>
      <c r="D1132" s="56"/>
      <c r="E1132" s="56"/>
      <c r="F1132" s="63"/>
      <c r="G1132" s="64"/>
      <c r="H1132" s="65"/>
      <c r="I1132" s="63"/>
      <c r="K1132" s="53" t="str">
        <f>IFERROR(__xludf.DUMMYFUNCTION("IF(ISBLANK(B1132),"""",IF(ISDATE(B1132),""X"",""""))"),"")</f>
        <v/>
      </c>
      <c r="L1132" s="40" t="str">
        <f>IFERROR(__xludf.DUMMYFUNCTION("IF(ISBLANK(B1132),"""",IF(Or(I1132=""Em Aberto"",ISBLANK(I1132),NOT(ISDATE(B1132))),"""",H1132))"),"")</f>
        <v/>
      </c>
      <c r="M1132" s="29" t="str">
        <f>IFERROR(__xludf.DUMMYFUNCTION("IF(ISBLANK(B1132),"""",IF(ISDATE(B1132),TEXT(B1132,""m""),""""))"),"")</f>
        <v/>
      </c>
      <c r="N1132" s="29" t="str">
        <f>IFERROR(__xludf.DUMMYFUNCTION("IF(M1132="""","""",QUERY({'Dashboard-Dados'!$Y$2:$AA$13},""Select Col2 Where Col1=""&amp;M1132))"),"")</f>
        <v/>
      </c>
      <c r="O1132" s="29" t="str">
        <f>IFERROR(__xludf.DUMMYFUNCTION("IF(ISBLANK(B1132),"""",IF(ISDATE(B1132),TEXT(B1132,""yyyy""),""""))"),"")</f>
        <v/>
      </c>
    </row>
    <row r="1133">
      <c r="B1133" s="62"/>
      <c r="C1133" s="56"/>
      <c r="D1133" s="56"/>
      <c r="E1133" s="56"/>
      <c r="F1133" s="63"/>
      <c r="G1133" s="64"/>
      <c r="H1133" s="65"/>
      <c r="I1133" s="63"/>
      <c r="K1133" s="53" t="str">
        <f>IFERROR(__xludf.DUMMYFUNCTION("IF(ISBLANK(B1133),"""",IF(ISDATE(B1133),""X"",""""))"),"")</f>
        <v/>
      </c>
      <c r="L1133" s="40" t="str">
        <f>IFERROR(__xludf.DUMMYFUNCTION("IF(ISBLANK(B1133),"""",IF(Or(I1133=""Em Aberto"",ISBLANK(I1133),NOT(ISDATE(B1133))),"""",H1133))"),"")</f>
        <v/>
      </c>
      <c r="M1133" s="29" t="str">
        <f>IFERROR(__xludf.DUMMYFUNCTION("IF(ISBLANK(B1133),"""",IF(ISDATE(B1133),TEXT(B1133,""m""),""""))"),"")</f>
        <v/>
      </c>
      <c r="N1133" s="29" t="str">
        <f>IFERROR(__xludf.DUMMYFUNCTION("IF(M1133="""","""",QUERY({'Dashboard-Dados'!$Y$2:$AA$13},""Select Col2 Where Col1=""&amp;M1133))"),"")</f>
        <v/>
      </c>
      <c r="O1133" s="29" t="str">
        <f>IFERROR(__xludf.DUMMYFUNCTION("IF(ISBLANK(B1133),"""",IF(ISDATE(B1133),TEXT(B1133,""yyyy""),""""))"),"")</f>
        <v/>
      </c>
    </row>
    <row r="1134">
      <c r="B1134" s="62"/>
      <c r="C1134" s="56"/>
      <c r="D1134" s="56"/>
      <c r="E1134" s="56"/>
      <c r="F1134" s="63"/>
      <c r="G1134" s="64"/>
      <c r="H1134" s="65"/>
      <c r="I1134" s="63"/>
      <c r="K1134" s="53" t="str">
        <f>IFERROR(__xludf.DUMMYFUNCTION("IF(ISBLANK(B1134),"""",IF(ISDATE(B1134),""X"",""""))"),"")</f>
        <v/>
      </c>
      <c r="L1134" s="40" t="str">
        <f>IFERROR(__xludf.DUMMYFUNCTION("IF(ISBLANK(B1134),"""",IF(Or(I1134=""Em Aberto"",ISBLANK(I1134),NOT(ISDATE(B1134))),"""",H1134))"),"")</f>
        <v/>
      </c>
      <c r="M1134" s="29" t="str">
        <f>IFERROR(__xludf.DUMMYFUNCTION("IF(ISBLANK(B1134),"""",IF(ISDATE(B1134),TEXT(B1134,""m""),""""))"),"")</f>
        <v/>
      </c>
      <c r="N1134" s="29" t="str">
        <f>IFERROR(__xludf.DUMMYFUNCTION("IF(M1134="""","""",QUERY({'Dashboard-Dados'!$Y$2:$AA$13},""Select Col2 Where Col1=""&amp;M1134))"),"")</f>
        <v/>
      </c>
      <c r="O1134" s="29" t="str">
        <f>IFERROR(__xludf.DUMMYFUNCTION("IF(ISBLANK(B1134),"""",IF(ISDATE(B1134),TEXT(B1134,""yyyy""),""""))"),"")</f>
        <v/>
      </c>
    </row>
    <row r="1135">
      <c r="B1135" s="62"/>
      <c r="C1135" s="56"/>
      <c r="D1135" s="56"/>
      <c r="E1135" s="56"/>
      <c r="F1135" s="63"/>
      <c r="G1135" s="64"/>
      <c r="H1135" s="65"/>
      <c r="I1135" s="63"/>
      <c r="K1135" s="53" t="str">
        <f>IFERROR(__xludf.DUMMYFUNCTION("IF(ISBLANK(B1135),"""",IF(ISDATE(B1135),""X"",""""))"),"")</f>
        <v/>
      </c>
      <c r="L1135" s="40" t="str">
        <f>IFERROR(__xludf.DUMMYFUNCTION("IF(ISBLANK(B1135),"""",IF(Or(I1135=""Em Aberto"",ISBLANK(I1135),NOT(ISDATE(B1135))),"""",H1135))"),"")</f>
        <v/>
      </c>
      <c r="M1135" s="29" t="str">
        <f>IFERROR(__xludf.DUMMYFUNCTION("IF(ISBLANK(B1135),"""",IF(ISDATE(B1135),TEXT(B1135,""m""),""""))"),"")</f>
        <v/>
      </c>
      <c r="N1135" s="29" t="str">
        <f>IFERROR(__xludf.DUMMYFUNCTION("IF(M1135="""","""",QUERY({'Dashboard-Dados'!$Y$2:$AA$13},""Select Col2 Where Col1=""&amp;M1135))"),"")</f>
        <v/>
      </c>
      <c r="O1135" s="29" t="str">
        <f>IFERROR(__xludf.DUMMYFUNCTION("IF(ISBLANK(B1135),"""",IF(ISDATE(B1135),TEXT(B1135,""yyyy""),""""))"),"")</f>
        <v/>
      </c>
    </row>
    <row r="1136">
      <c r="B1136" s="62"/>
      <c r="C1136" s="56"/>
      <c r="D1136" s="56"/>
      <c r="E1136" s="56"/>
      <c r="F1136" s="63"/>
      <c r="G1136" s="64"/>
      <c r="H1136" s="65"/>
      <c r="I1136" s="63"/>
      <c r="K1136" s="53" t="str">
        <f>IFERROR(__xludf.DUMMYFUNCTION("IF(ISBLANK(B1136),"""",IF(ISDATE(B1136),""X"",""""))"),"")</f>
        <v/>
      </c>
      <c r="L1136" s="40" t="str">
        <f>IFERROR(__xludf.DUMMYFUNCTION("IF(ISBLANK(B1136),"""",IF(Or(I1136=""Em Aberto"",ISBLANK(I1136),NOT(ISDATE(B1136))),"""",H1136))"),"")</f>
        <v/>
      </c>
      <c r="M1136" s="29" t="str">
        <f>IFERROR(__xludf.DUMMYFUNCTION("IF(ISBLANK(B1136),"""",IF(ISDATE(B1136),TEXT(B1136,""m""),""""))"),"")</f>
        <v/>
      </c>
      <c r="N1136" s="29" t="str">
        <f>IFERROR(__xludf.DUMMYFUNCTION("IF(M1136="""","""",QUERY({'Dashboard-Dados'!$Y$2:$AA$13},""Select Col2 Where Col1=""&amp;M1136))"),"")</f>
        <v/>
      </c>
      <c r="O1136" s="29" t="str">
        <f>IFERROR(__xludf.DUMMYFUNCTION("IF(ISBLANK(B1136),"""",IF(ISDATE(B1136),TEXT(B1136,""yyyy""),""""))"),"")</f>
        <v/>
      </c>
    </row>
    <row r="1137">
      <c r="B1137" s="62"/>
      <c r="C1137" s="56"/>
      <c r="D1137" s="56"/>
      <c r="E1137" s="56"/>
      <c r="F1137" s="63"/>
      <c r="G1137" s="64"/>
      <c r="H1137" s="65"/>
      <c r="I1137" s="63"/>
      <c r="K1137" s="53" t="str">
        <f>IFERROR(__xludf.DUMMYFUNCTION("IF(ISBLANK(B1137),"""",IF(ISDATE(B1137),""X"",""""))"),"")</f>
        <v/>
      </c>
      <c r="L1137" s="40" t="str">
        <f>IFERROR(__xludf.DUMMYFUNCTION("IF(ISBLANK(B1137),"""",IF(Or(I1137=""Em Aberto"",ISBLANK(I1137),NOT(ISDATE(B1137))),"""",H1137))"),"")</f>
        <v/>
      </c>
      <c r="M1137" s="29" t="str">
        <f>IFERROR(__xludf.DUMMYFUNCTION("IF(ISBLANK(B1137),"""",IF(ISDATE(B1137),TEXT(B1137,""m""),""""))"),"")</f>
        <v/>
      </c>
      <c r="N1137" s="29" t="str">
        <f>IFERROR(__xludf.DUMMYFUNCTION("IF(M1137="""","""",QUERY({'Dashboard-Dados'!$Y$2:$AA$13},""Select Col2 Where Col1=""&amp;M1137))"),"")</f>
        <v/>
      </c>
      <c r="O1137" s="29" t="str">
        <f>IFERROR(__xludf.DUMMYFUNCTION("IF(ISBLANK(B1137),"""",IF(ISDATE(B1137),TEXT(B1137,""yyyy""),""""))"),"")</f>
        <v/>
      </c>
    </row>
    <row r="1138">
      <c r="B1138" s="62"/>
      <c r="C1138" s="56"/>
      <c r="D1138" s="56"/>
      <c r="E1138" s="56"/>
      <c r="F1138" s="63"/>
      <c r="G1138" s="64"/>
      <c r="H1138" s="65"/>
      <c r="I1138" s="63"/>
      <c r="K1138" s="53" t="str">
        <f>IFERROR(__xludf.DUMMYFUNCTION("IF(ISBLANK(B1138),"""",IF(ISDATE(B1138),""X"",""""))"),"")</f>
        <v/>
      </c>
      <c r="L1138" s="40" t="str">
        <f>IFERROR(__xludf.DUMMYFUNCTION("IF(ISBLANK(B1138),"""",IF(Or(I1138=""Em Aberto"",ISBLANK(I1138),NOT(ISDATE(B1138))),"""",H1138))"),"")</f>
        <v/>
      </c>
      <c r="M1138" s="29" t="str">
        <f>IFERROR(__xludf.DUMMYFUNCTION("IF(ISBLANK(B1138),"""",IF(ISDATE(B1138),TEXT(B1138,""m""),""""))"),"")</f>
        <v/>
      </c>
      <c r="N1138" s="29" t="str">
        <f>IFERROR(__xludf.DUMMYFUNCTION("IF(M1138="""","""",QUERY({'Dashboard-Dados'!$Y$2:$AA$13},""Select Col2 Where Col1=""&amp;M1138))"),"")</f>
        <v/>
      </c>
      <c r="O1138" s="29" t="str">
        <f>IFERROR(__xludf.DUMMYFUNCTION("IF(ISBLANK(B1138),"""",IF(ISDATE(B1138),TEXT(B1138,""yyyy""),""""))"),"")</f>
        <v/>
      </c>
    </row>
    <row r="1139">
      <c r="B1139" s="62"/>
      <c r="C1139" s="56"/>
      <c r="D1139" s="56"/>
      <c r="E1139" s="56"/>
      <c r="F1139" s="63"/>
      <c r="G1139" s="64"/>
      <c r="H1139" s="65"/>
      <c r="I1139" s="63"/>
      <c r="K1139" s="53" t="str">
        <f>IFERROR(__xludf.DUMMYFUNCTION("IF(ISBLANK(B1139),"""",IF(ISDATE(B1139),""X"",""""))"),"")</f>
        <v/>
      </c>
      <c r="L1139" s="40" t="str">
        <f>IFERROR(__xludf.DUMMYFUNCTION("IF(ISBLANK(B1139),"""",IF(Or(I1139=""Em Aberto"",ISBLANK(I1139),NOT(ISDATE(B1139))),"""",H1139))"),"")</f>
        <v/>
      </c>
      <c r="M1139" s="29" t="str">
        <f>IFERROR(__xludf.DUMMYFUNCTION("IF(ISBLANK(B1139),"""",IF(ISDATE(B1139),TEXT(B1139,""m""),""""))"),"")</f>
        <v/>
      </c>
      <c r="N1139" s="29" t="str">
        <f>IFERROR(__xludf.DUMMYFUNCTION("IF(M1139="""","""",QUERY({'Dashboard-Dados'!$Y$2:$AA$13},""Select Col2 Where Col1=""&amp;M1139))"),"")</f>
        <v/>
      </c>
      <c r="O1139" s="29" t="str">
        <f>IFERROR(__xludf.DUMMYFUNCTION("IF(ISBLANK(B1139),"""",IF(ISDATE(B1139),TEXT(B1139,""yyyy""),""""))"),"")</f>
        <v/>
      </c>
    </row>
    <row r="1140">
      <c r="B1140" s="62"/>
      <c r="C1140" s="56"/>
      <c r="D1140" s="56"/>
      <c r="E1140" s="56"/>
      <c r="F1140" s="63"/>
      <c r="G1140" s="64"/>
      <c r="H1140" s="65"/>
      <c r="I1140" s="63"/>
      <c r="K1140" s="53" t="str">
        <f>IFERROR(__xludf.DUMMYFUNCTION("IF(ISBLANK(B1140),"""",IF(ISDATE(B1140),""X"",""""))"),"")</f>
        <v/>
      </c>
      <c r="L1140" s="40" t="str">
        <f>IFERROR(__xludf.DUMMYFUNCTION("IF(ISBLANK(B1140),"""",IF(Or(I1140=""Em Aberto"",ISBLANK(I1140),NOT(ISDATE(B1140))),"""",H1140))"),"")</f>
        <v/>
      </c>
      <c r="M1140" s="29" t="str">
        <f>IFERROR(__xludf.DUMMYFUNCTION("IF(ISBLANK(B1140),"""",IF(ISDATE(B1140),TEXT(B1140,""m""),""""))"),"")</f>
        <v/>
      </c>
      <c r="N1140" s="29" t="str">
        <f>IFERROR(__xludf.DUMMYFUNCTION("IF(M1140="""","""",QUERY({'Dashboard-Dados'!$Y$2:$AA$13},""Select Col2 Where Col1=""&amp;M1140))"),"")</f>
        <v/>
      </c>
      <c r="O1140" s="29" t="str">
        <f>IFERROR(__xludf.DUMMYFUNCTION("IF(ISBLANK(B1140),"""",IF(ISDATE(B1140),TEXT(B1140,""yyyy""),""""))"),"")</f>
        <v/>
      </c>
    </row>
    <row r="1141">
      <c r="B1141" s="62"/>
      <c r="C1141" s="56"/>
      <c r="D1141" s="56"/>
      <c r="E1141" s="56"/>
      <c r="F1141" s="63"/>
      <c r="G1141" s="64"/>
      <c r="H1141" s="65"/>
      <c r="I1141" s="63"/>
      <c r="K1141" s="53" t="str">
        <f>IFERROR(__xludf.DUMMYFUNCTION("IF(ISBLANK(B1141),"""",IF(ISDATE(B1141),""X"",""""))"),"")</f>
        <v/>
      </c>
      <c r="L1141" s="40" t="str">
        <f>IFERROR(__xludf.DUMMYFUNCTION("IF(ISBLANK(B1141),"""",IF(Or(I1141=""Em Aberto"",ISBLANK(I1141),NOT(ISDATE(B1141))),"""",H1141))"),"")</f>
        <v/>
      </c>
      <c r="M1141" s="29" t="str">
        <f>IFERROR(__xludf.DUMMYFUNCTION("IF(ISBLANK(B1141),"""",IF(ISDATE(B1141),TEXT(B1141,""m""),""""))"),"")</f>
        <v/>
      </c>
      <c r="N1141" s="29" t="str">
        <f>IFERROR(__xludf.DUMMYFUNCTION("IF(M1141="""","""",QUERY({'Dashboard-Dados'!$Y$2:$AA$13},""Select Col2 Where Col1=""&amp;M1141))"),"")</f>
        <v/>
      </c>
      <c r="O1141" s="29" t="str">
        <f>IFERROR(__xludf.DUMMYFUNCTION("IF(ISBLANK(B1141),"""",IF(ISDATE(B1141),TEXT(B1141,""yyyy""),""""))"),"")</f>
        <v/>
      </c>
    </row>
    <row r="1142">
      <c r="B1142" s="62"/>
      <c r="C1142" s="56"/>
      <c r="D1142" s="56"/>
      <c r="E1142" s="56"/>
      <c r="F1142" s="63"/>
      <c r="G1142" s="64"/>
      <c r="H1142" s="65"/>
      <c r="I1142" s="63"/>
      <c r="K1142" s="53" t="str">
        <f>IFERROR(__xludf.DUMMYFUNCTION("IF(ISBLANK(B1142),"""",IF(ISDATE(B1142),""X"",""""))"),"")</f>
        <v/>
      </c>
      <c r="L1142" s="40" t="str">
        <f>IFERROR(__xludf.DUMMYFUNCTION("IF(ISBLANK(B1142),"""",IF(Or(I1142=""Em Aberto"",ISBLANK(I1142),NOT(ISDATE(B1142))),"""",H1142))"),"")</f>
        <v/>
      </c>
      <c r="M1142" s="29" t="str">
        <f>IFERROR(__xludf.DUMMYFUNCTION("IF(ISBLANK(B1142),"""",IF(ISDATE(B1142),TEXT(B1142,""m""),""""))"),"")</f>
        <v/>
      </c>
      <c r="N1142" s="29" t="str">
        <f>IFERROR(__xludf.DUMMYFUNCTION("IF(M1142="""","""",QUERY({'Dashboard-Dados'!$Y$2:$AA$13},""Select Col2 Where Col1=""&amp;M1142))"),"")</f>
        <v/>
      </c>
      <c r="O1142" s="29" t="str">
        <f>IFERROR(__xludf.DUMMYFUNCTION("IF(ISBLANK(B1142),"""",IF(ISDATE(B1142),TEXT(B1142,""yyyy""),""""))"),"")</f>
        <v/>
      </c>
    </row>
    <row r="1143">
      <c r="B1143" s="62"/>
      <c r="C1143" s="56"/>
      <c r="D1143" s="56"/>
      <c r="E1143" s="56"/>
      <c r="F1143" s="63"/>
      <c r="G1143" s="64"/>
      <c r="H1143" s="65"/>
      <c r="I1143" s="63"/>
      <c r="K1143" s="53" t="str">
        <f>IFERROR(__xludf.DUMMYFUNCTION("IF(ISBLANK(B1143),"""",IF(ISDATE(B1143),""X"",""""))"),"")</f>
        <v/>
      </c>
      <c r="L1143" s="40" t="str">
        <f>IFERROR(__xludf.DUMMYFUNCTION("IF(ISBLANK(B1143),"""",IF(Or(I1143=""Em Aberto"",ISBLANK(I1143),NOT(ISDATE(B1143))),"""",H1143))"),"")</f>
        <v/>
      </c>
      <c r="M1143" s="29" t="str">
        <f>IFERROR(__xludf.DUMMYFUNCTION("IF(ISBLANK(B1143),"""",IF(ISDATE(B1143),TEXT(B1143,""m""),""""))"),"")</f>
        <v/>
      </c>
      <c r="N1143" s="29" t="str">
        <f>IFERROR(__xludf.DUMMYFUNCTION("IF(M1143="""","""",QUERY({'Dashboard-Dados'!$Y$2:$AA$13},""Select Col2 Where Col1=""&amp;M1143))"),"")</f>
        <v/>
      </c>
      <c r="O1143" s="29" t="str">
        <f>IFERROR(__xludf.DUMMYFUNCTION("IF(ISBLANK(B1143),"""",IF(ISDATE(B1143),TEXT(B1143,""yyyy""),""""))"),"")</f>
        <v/>
      </c>
    </row>
    <row r="1144">
      <c r="B1144" s="62"/>
      <c r="C1144" s="56"/>
      <c r="D1144" s="56"/>
      <c r="E1144" s="56"/>
      <c r="F1144" s="63"/>
      <c r="G1144" s="64"/>
      <c r="H1144" s="65"/>
      <c r="I1144" s="63"/>
      <c r="K1144" s="53" t="str">
        <f>IFERROR(__xludf.DUMMYFUNCTION("IF(ISBLANK(B1144),"""",IF(ISDATE(B1144),""X"",""""))"),"")</f>
        <v/>
      </c>
      <c r="L1144" s="40" t="str">
        <f>IFERROR(__xludf.DUMMYFUNCTION("IF(ISBLANK(B1144),"""",IF(Or(I1144=""Em Aberto"",ISBLANK(I1144),NOT(ISDATE(B1144))),"""",H1144))"),"")</f>
        <v/>
      </c>
      <c r="M1144" s="29" t="str">
        <f>IFERROR(__xludf.DUMMYFUNCTION("IF(ISBLANK(B1144),"""",IF(ISDATE(B1144),TEXT(B1144,""m""),""""))"),"")</f>
        <v/>
      </c>
      <c r="N1144" s="29" t="str">
        <f>IFERROR(__xludf.DUMMYFUNCTION("IF(M1144="""","""",QUERY({'Dashboard-Dados'!$Y$2:$AA$13},""Select Col2 Where Col1=""&amp;M1144))"),"")</f>
        <v/>
      </c>
      <c r="O1144" s="29" t="str">
        <f>IFERROR(__xludf.DUMMYFUNCTION("IF(ISBLANK(B1144),"""",IF(ISDATE(B1144),TEXT(B1144,""yyyy""),""""))"),"")</f>
        <v/>
      </c>
    </row>
    <row r="1145">
      <c r="B1145" s="62"/>
      <c r="C1145" s="56"/>
      <c r="D1145" s="56"/>
      <c r="E1145" s="56"/>
      <c r="F1145" s="63"/>
      <c r="G1145" s="64"/>
      <c r="H1145" s="65"/>
      <c r="I1145" s="63"/>
      <c r="K1145" s="53" t="str">
        <f>IFERROR(__xludf.DUMMYFUNCTION("IF(ISBLANK(B1145),"""",IF(ISDATE(B1145),""X"",""""))"),"")</f>
        <v/>
      </c>
      <c r="L1145" s="40" t="str">
        <f>IFERROR(__xludf.DUMMYFUNCTION("IF(ISBLANK(B1145),"""",IF(Or(I1145=""Em Aberto"",ISBLANK(I1145),NOT(ISDATE(B1145))),"""",H1145))"),"")</f>
        <v/>
      </c>
      <c r="M1145" s="29" t="str">
        <f>IFERROR(__xludf.DUMMYFUNCTION("IF(ISBLANK(B1145),"""",IF(ISDATE(B1145),TEXT(B1145,""m""),""""))"),"")</f>
        <v/>
      </c>
      <c r="N1145" s="29" t="str">
        <f>IFERROR(__xludf.DUMMYFUNCTION("IF(M1145="""","""",QUERY({'Dashboard-Dados'!$Y$2:$AA$13},""Select Col2 Where Col1=""&amp;M1145))"),"")</f>
        <v/>
      </c>
      <c r="O1145" s="29" t="str">
        <f>IFERROR(__xludf.DUMMYFUNCTION("IF(ISBLANK(B1145),"""",IF(ISDATE(B1145),TEXT(B1145,""yyyy""),""""))"),"")</f>
        <v/>
      </c>
    </row>
    <row r="1146">
      <c r="B1146" s="62"/>
      <c r="C1146" s="56"/>
      <c r="D1146" s="56"/>
      <c r="E1146" s="56"/>
      <c r="F1146" s="63"/>
      <c r="G1146" s="64"/>
      <c r="H1146" s="65"/>
      <c r="I1146" s="63"/>
      <c r="K1146" s="53" t="str">
        <f>IFERROR(__xludf.DUMMYFUNCTION("IF(ISBLANK(B1146),"""",IF(ISDATE(B1146),""X"",""""))"),"")</f>
        <v/>
      </c>
      <c r="L1146" s="40" t="str">
        <f>IFERROR(__xludf.DUMMYFUNCTION("IF(ISBLANK(B1146),"""",IF(Or(I1146=""Em Aberto"",ISBLANK(I1146),NOT(ISDATE(B1146))),"""",H1146))"),"")</f>
        <v/>
      </c>
      <c r="M1146" s="29" t="str">
        <f>IFERROR(__xludf.DUMMYFUNCTION("IF(ISBLANK(B1146),"""",IF(ISDATE(B1146),TEXT(B1146,""m""),""""))"),"")</f>
        <v/>
      </c>
      <c r="N1146" s="29" t="str">
        <f>IFERROR(__xludf.DUMMYFUNCTION("IF(M1146="""","""",QUERY({'Dashboard-Dados'!$Y$2:$AA$13},""Select Col2 Where Col1=""&amp;M1146))"),"")</f>
        <v/>
      </c>
      <c r="O1146" s="29" t="str">
        <f>IFERROR(__xludf.DUMMYFUNCTION("IF(ISBLANK(B1146),"""",IF(ISDATE(B1146),TEXT(B1146,""yyyy""),""""))"),"")</f>
        <v/>
      </c>
    </row>
    <row r="1147">
      <c r="B1147" s="62"/>
      <c r="C1147" s="56"/>
      <c r="D1147" s="56"/>
      <c r="E1147" s="56"/>
      <c r="F1147" s="63"/>
      <c r="G1147" s="64"/>
      <c r="H1147" s="65"/>
      <c r="I1147" s="63"/>
      <c r="K1147" s="53" t="str">
        <f>IFERROR(__xludf.DUMMYFUNCTION("IF(ISBLANK(B1147),"""",IF(ISDATE(B1147),""X"",""""))"),"")</f>
        <v/>
      </c>
      <c r="L1147" s="40" t="str">
        <f>IFERROR(__xludf.DUMMYFUNCTION("IF(ISBLANK(B1147),"""",IF(Or(I1147=""Em Aberto"",ISBLANK(I1147),NOT(ISDATE(B1147))),"""",H1147))"),"")</f>
        <v/>
      </c>
      <c r="M1147" s="29" t="str">
        <f>IFERROR(__xludf.DUMMYFUNCTION("IF(ISBLANK(B1147),"""",IF(ISDATE(B1147),TEXT(B1147,""m""),""""))"),"")</f>
        <v/>
      </c>
      <c r="N1147" s="29" t="str">
        <f>IFERROR(__xludf.DUMMYFUNCTION("IF(M1147="""","""",QUERY({'Dashboard-Dados'!$Y$2:$AA$13},""Select Col2 Where Col1=""&amp;M1147))"),"")</f>
        <v/>
      </c>
      <c r="O1147" s="29" t="str">
        <f>IFERROR(__xludf.DUMMYFUNCTION("IF(ISBLANK(B1147),"""",IF(ISDATE(B1147),TEXT(B1147,""yyyy""),""""))"),"")</f>
        <v/>
      </c>
    </row>
    <row r="1148">
      <c r="B1148" s="62"/>
      <c r="C1148" s="56"/>
      <c r="D1148" s="56"/>
      <c r="E1148" s="56"/>
      <c r="F1148" s="63"/>
      <c r="G1148" s="64"/>
      <c r="H1148" s="65"/>
      <c r="I1148" s="63"/>
      <c r="K1148" s="53" t="str">
        <f>IFERROR(__xludf.DUMMYFUNCTION("IF(ISBLANK(B1148),"""",IF(ISDATE(B1148),""X"",""""))"),"")</f>
        <v/>
      </c>
      <c r="L1148" s="40" t="str">
        <f>IFERROR(__xludf.DUMMYFUNCTION("IF(ISBLANK(B1148),"""",IF(Or(I1148=""Em Aberto"",ISBLANK(I1148),NOT(ISDATE(B1148))),"""",H1148))"),"")</f>
        <v/>
      </c>
      <c r="M1148" s="29" t="str">
        <f>IFERROR(__xludf.DUMMYFUNCTION("IF(ISBLANK(B1148),"""",IF(ISDATE(B1148),TEXT(B1148,""m""),""""))"),"")</f>
        <v/>
      </c>
      <c r="N1148" s="29" t="str">
        <f>IFERROR(__xludf.DUMMYFUNCTION("IF(M1148="""","""",QUERY({'Dashboard-Dados'!$Y$2:$AA$13},""Select Col2 Where Col1=""&amp;M1148))"),"")</f>
        <v/>
      </c>
      <c r="O1148" s="29" t="str">
        <f>IFERROR(__xludf.DUMMYFUNCTION("IF(ISBLANK(B1148),"""",IF(ISDATE(B1148),TEXT(B1148,""yyyy""),""""))"),"")</f>
        <v/>
      </c>
    </row>
    <row r="1149">
      <c r="B1149" s="62"/>
      <c r="C1149" s="56"/>
      <c r="D1149" s="56"/>
      <c r="E1149" s="56"/>
      <c r="F1149" s="63"/>
      <c r="G1149" s="64"/>
      <c r="H1149" s="65"/>
      <c r="I1149" s="63"/>
      <c r="K1149" s="53" t="str">
        <f>IFERROR(__xludf.DUMMYFUNCTION("IF(ISBLANK(B1149),"""",IF(ISDATE(B1149),""X"",""""))"),"")</f>
        <v/>
      </c>
      <c r="L1149" s="40" t="str">
        <f>IFERROR(__xludf.DUMMYFUNCTION("IF(ISBLANK(B1149),"""",IF(Or(I1149=""Em Aberto"",ISBLANK(I1149),NOT(ISDATE(B1149))),"""",H1149))"),"")</f>
        <v/>
      </c>
      <c r="M1149" s="29" t="str">
        <f>IFERROR(__xludf.DUMMYFUNCTION("IF(ISBLANK(B1149),"""",IF(ISDATE(B1149),TEXT(B1149,""m""),""""))"),"")</f>
        <v/>
      </c>
      <c r="N1149" s="29" t="str">
        <f>IFERROR(__xludf.DUMMYFUNCTION("IF(M1149="""","""",QUERY({'Dashboard-Dados'!$Y$2:$AA$13},""Select Col2 Where Col1=""&amp;M1149))"),"")</f>
        <v/>
      </c>
      <c r="O1149" s="29" t="str">
        <f>IFERROR(__xludf.DUMMYFUNCTION("IF(ISBLANK(B1149),"""",IF(ISDATE(B1149),TEXT(B1149,""yyyy""),""""))"),"")</f>
        <v/>
      </c>
    </row>
    <row r="1150">
      <c r="B1150" s="62"/>
      <c r="C1150" s="56"/>
      <c r="D1150" s="56"/>
      <c r="E1150" s="56"/>
      <c r="F1150" s="63"/>
      <c r="G1150" s="64"/>
      <c r="H1150" s="65"/>
      <c r="I1150" s="63"/>
      <c r="K1150" s="53" t="str">
        <f>IFERROR(__xludf.DUMMYFUNCTION("IF(ISBLANK(B1150),"""",IF(ISDATE(B1150),""X"",""""))"),"")</f>
        <v/>
      </c>
      <c r="L1150" s="40" t="str">
        <f>IFERROR(__xludf.DUMMYFUNCTION("IF(ISBLANK(B1150),"""",IF(Or(I1150=""Em Aberto"",ISBLANK(I1150),NOT(ISDATE(B1150))),"""",H1150))"),"")</f>
        <v/>
      </c>
      <c r="M1150" s="29" t="str">
        <f>IFERROR(__xludf.DUMMYFUNCTION("IF(ISBLANK(B1150),"""",IF(ISDATE(B1150),TEXT(B1150,""m""),""""))"),"")</f>
        <v/>
      </c>
      <c r="N1150" s="29" t="str">
        <f>IFERROR(__xludf.DUMMYFUNCTION("IF(M1150="""","""",QUERY({'Dashboard-Dados'!$Y$2:$AA$13},""Select Col2 Where Col1=""&amp;M1150))"),"")</f>
        <v/>
      </c>
      <c r="O1150" s="29" t="str">
        <f>IFERROR(__xludf.DUMMYFUNCTION("IF(ISBLANK(B1150),"""",IF(ISDATE(B1150),TEXT(B1150,""yyyy""),""""))"),"")</f>
        <v/>
      </c>
    </row>
    <row r="1151">
      <c r="B1151" s="62"/>
      <c r="C1151" s="56"/>
      <c r="D1151" s="56"/>
      <c r="E1151" s="56"/>
      <c r="F1151" s="63"/>
      <c r="G1151" s="64"/>
      <c r="H1151" s="65"/>
      <c r="I1151" s="63"/>
      <c r="K1151" s="53" t="str">
        <f>IFERROR(__xludf.DUMMYFUNCTION("IF(ISBLANK(B1151),"""",IF(ISDATE(B1151),""X"",""""))"),"")</f>
        <v/>
      </c>
      <c r="L1151" s="40" t="str">
        <f>IFERROR(__xludf.DUMMYFUNCTION("IF(ISBLANK(B1151),"""",IF(Or(I1151=""Em Aberto"",ISBLANK(I1151),NOT(ISDATE(B1151))),"""",H1151))"),"")</f>
        <v/>
      </c>
      <c r="M1151" s="29" t="str">
        <f>IFERROR(__xludf.DUMMYFUNCTION("IF(ISBLANK(B1151),"""",IF(ISDATE(B1151),TEXT(B1151,""m""),""""))"),"")</f>
        <v/>
      </c>
      <c r="N1151" s="29" t="str">
        <f>IFERROR(__xludf.DUMMYFUNCTION("IF(M1151="""","""",QUERY({'Dashboard-Dados'!$Y$2:$AA$13},""Select Col2 Where Col1=""&amp;M1151))"),"")</f>
        <v/>
      </c>
      <c r="O1151" s="29" t="str">
        <f>IFERROR(__xludf.DUMMYFUNCTION("IF(ISBLANK(B1151),"""",IF(ISDATE(B1151),TEXT(B1151,""yyyy""),""""))"),"")</f>
        <v/>
      </c>
    </row>
    <row r="1152">
      <c r="B1152" s="62"/>
      <c r="C1152" s="56"/>
      <c r="D1152" s="56"/>
      <c r="E1152" s="56"/>
      <c r="F1152" s="63"/>
      <c r="G1152" s="64"/>
      <c r="H1152" s="65"/>
      <c r="I1152" s="63"/>
      <c r="K1152" s="53" t="str">
        <f>IFERROR(__xludf.DUMMYFUNCTION("IF(ISBLANK(B1152),"""",IF(ISDATE(B1152),""X"",""""))"),"")</f>
        <v/>
      </c>
      <c r="L1152" s="40" t="str">
        <f>IFERROR(__xludf.DUMMYFUNCTION("IF(ISBLANK(B1152),"""",IF(Or(I1152=""Em Aberto"",ISBLANK(I1152),NOT(ISDATE(B1152))),"""",H1152))"),"")</f>
        <v/>
      </c>
      <c r="M1152" s="29" t="str">
        <f>IFERROR(__xludf.DUMMYFUNCTION("IF(ISBLANK(B1152),"""",IF(ISDATE(B1152),TEXT(B1152,""m""),""""))"),"")</f>
        <v/>
      </c>
      <c r="N1152" s="29" t="str">
        <f>IFERROR(__xludf.DUMMYFUNCTION("IF(M1152="""","""",QUERY({'Dashboard-Dados'!$Y$2:$AA$13},""Select Col2 Where Col1=""&amp;M1152))"),"")</f>
        <v/>
      </c>
      <c r="O1152" s="29" t="str">
        <f>IFERROR(__xludf.DUMMYFUNCTION("IF(ISBLANK(B1152),"""",IF(ISDATE(B1152),TEXT(B1152,""yyyy""),""""))"),"")</f>
        <v/>
      </c>
    </row>
    <row r="1153">
      <c r="B1153" s="62"/>
      <c r="C1153" s="56"/>
      <c r="D1153" s="56"/>
      <c r="E1153" s="56"/>
      <c r="F1153" s="63"/>
      <c r="G1153" s="64"/>
      <c r="H1153" s="65"/>
      <c r="I1153" s="63"/>
      <c r="K1153" s="53" t="str">
        <f>IFERROR(__xludf.DUMMYFUNCTION("IF(ISBLANK(B1153),"""",IF(ISDATE(B1153),""X"",""""))"),"")</f>
        <v/>
      </c>
      <c r="L1153" s="40" t="str">
        <f>IFERROR(__xludf.DUMMYFUNCTION("IF(ISBLANK(B1153),"""",IF(Or(I1153=""Em Aberto"",ISBLANK(I1153),NOT(ISDATE(B1153))),"""",H1153))"),"")</f>
        <v/>
      </c>
      <c r="M1153" s="29" t="str">
        <f>IFERROR(__xludf.DUMMYFUNCTION("IF(ISBLANK(B1153),"""",IF(ISDATE(B1153),TEXT(B1153,""m""),""""))"),"")</f>
        <v/>
      </c>
      <c r="N1153" s="29" t="str">
        <f>IFERROR(__xludf.DUMMYFUNCTION("IF(M1153="""","""",QUERY({'Dashboard-Dados'!$Y$2:$AA$13},""Select Col2 Where Col1=""&amp;M1153))"),"")</f>
        <v/>
      </c>
      <c r="O1153" s="29" t="str">
        <f>IFERROR(__xludf.DUMMYFUNCTION("IF(ISBLANK(B1153),"""",IF(ISDATE(B1153),TEXT(B1153,""yyyy""),""""))"),"")</f>
        <v/>
      </c>
    </row>
    <row r="1154">
      <c r="B1154" s="62"/>
      <c r="C1154" s="56"/>
      <c r="D1154" s="56"/>
      <c r="E1154" s="56"/>
      <c r="F1154" s="63"/>
      <c r="G1154" s="64"/>
      <c r="H1154" s="65"/>
      <c r="I1154" s="63"/>
      <c r="K1154" s="53" t="str">
        <f>IFERROR(__xludf.DUMMYFUNCTION("IF(ISBLANK(B1154),"""",IF(ISDATE(B1154),""X"",""""))"),"")</f>
        <v/>
      </c>
      <c r="L1154" s="40" t="str">
        <f>IFERROR(__xludf.DUMMYFUNCTION("IF(ISBLANK(B1154),"""",IF(Or(I1154=""Em Aberto"",ISBLANK(I1154),NOT(ISDATE(B1154))),"""",H1154))"),"")</f>
        <v/>
      </c>
      <c r="M1154" s="29" t="str">
        <f>IFERROR(__xludf.DUMMYFUNCTION("IF(ISBLANK(B1154),"""",IF(ISDATE(B1154),TEXT(B1154,""m""),""""))"),"")</f>
        <v/>
      </c>
      <c r="N1154" s="29" t="str">
        <f>IFERROR(__xludf.DUMMYFUNCTION("IF(M1154="""","""",QUERY({'Dashboard-Dados'!$Y$2:$AA$13},""Select Col2 Where Col1=""&amp;M1154))"),"")</f>
        <v/>
      </c>
      <c r="O1154" s="29" t="str">
        <f>IFERROR(__xludf.DUMMYFUNCTION("IF(ISBLANK(B1154),"""",IF(ISDATE(B1154),TEXT(B1154,""yyyy""),""""))"),"")</f>
        <v/>
      </c>
    </row>
    <row r="1155">
      <c r="B1155" s="62"/>
      <c r="C1155" s="56"/>
      <c r="D1155" s="56"/>
      <c r="E1155" s="56"/>
      <c r="F1155" s="63"/>
      <c r="G1155" s="64"/>
      <c r="H1155" s="65"/>
      <c r="I1155" s="63"/>
      <c r="K1155" s="53" t="str">
        <f>IFERROR(__xludf.DUMMYFUNCTION("IF(ISBLANK(B1155),"""",IF(ISDATE(B1155),""X"",""""))"),"")</f>
        <v/>
      </c>
      <c r="L1155" s="40" t="str">
        <f>IFERROR(__xludf.DUMMYFUNCTION("IF(ISBLANK(B1155),"""",IF(Or(I1155=""Em Aberto"",ISBLANK(I1155),NOT(ISDATE(B1155))),"""",H1155))"),"")</f>
        <v/>
      </c>
      <c r="M1155" s="29" t="str">
        <f>IFERROR(__xludf.DUMMYFUNCTION("IF(ISBLANK(B1155),"""",IF(ISDATE(B1155),TEXT(B1155,""m""),""""))"),"")</f>
        <v/>
      </c>
      <c r="N1155" s="29" t="str">
        <f>IFERROR(__xludf.DUMMYFUNCTION("IF(M1155="""","""",QUERY({'Dashboard-Dados'!$Y$2:$AA$13},""Select Col2 Where Col1=""&amp;M1155))"),"")</f>
        <v/>
      </c>
      <c r="O1155" s="29" t="str">
        <f>IFERROR(__xludf.DUMMYFUNCTION("IF(ISBLANK(B1155),"""",IF(ISDATE(B1155),TEXT(B1155,""yyyy""),""""))"),"")</f>
        <v/>
      </c>
    </row>
    <row r="1156">
      <c r="B1156" s="62"/>
      <c r="C1156" s="56"/>
      <c r="D1156" s="56"/>
      <c r="E1156" s="56"/>
      <c r="F1156" s="63"/>
      <c r="G1156" s="64"/>
      <c r="H1156" s="65"/>
      <c r="I1156" s="63"/>
      <c r="K1156" s="53" t="str">
        <f>IFERROR(__xludf.DUMMYFUNCTION("IF(ISBLANK(B1156),"""",IF(ISDATE(B1156),""X"",""""))"),"")</f>
        <v/>
      </c>
      <c r="L1156" s="40" t="str">
        <f>IFERROR(__xludf.DUMMYFUNCTION("IF(ISBLANK(B1156),"""",IF(Or(I1156=""Em Aberto"",ISBLANK(I1156),NOT(ISDATE(B1156))),"""",H1156))"),"")</f>
        <v/>
      </c>
      <c r="M1156" s="29" t="str">
        <f>IFERROR(__xludf.DUMMYFUNCTION("IF(ISBLANK(B1156),"""",IF(ISDATE(B1156),TEXT(B1156,""m""),""""))"),"")</f>
        <v/>
      </c>
      <c r="N1156" s="29" t="str">
        <f>IFERROR(__xludf.DUMMYFUNCTION("IF(M1156="""","""",QUERY({'Dashboard-Dados'!$Y$2:$AA$13},""Select Col2 Where Col1=""&amp;M1156))"),"")</f>
        <v/>
      </c>
      <c r="O1156" s="29" t="str">
        <f>IFERROR(__xludf.DUMMYFUNCTION("IF(ISBLANK(B1156),"""",IF(ISDATE(B1156),TEXT(B1156,""yyyy""),""""))"),"")</f>
        <v/>
      </c>
    </row>
    <row r="1157">
      <c r="B1157" s="62"/>
      <c r="C1157" s="56"/>
      <c r="D1157" s="56"/>
      <c r="E1157" s="56"/>
      <c r="F1157" s="63"/>
      <c r="G1157" s="64"/>
      <c r="H1157" s="65"/>
      <c r="I1157" s="63"/>
      <c r="K1157" s="53" t="str">
        <f>IFERROR(__xludf.DUMMYFUNCTION("IF(ISBLANK(B1157),"""",IF(ISDATE(B1157),""X"",""""))"),"")</f>
        <v/>
      </c>
      <c r="L1157" s="40" t="str">
        <f>IFERROR(__xludf.DUMMYFUNCTION("IF(ISBLANK(B1157),"""",IF(Or(I1157=""Em Aberto"",ISBLANK(I1157),NOT(ISDATE(B1157))),"""",H1157))"),"")</f>
        <v/>
      </c>
      <c r="M1157" s="29" t="str">
        <f>IFERROR(__xludf.DUMMYFUNCTION("IF(ISBLANK(B1157),"""",IF(ISDATE(B1157),TEXT(B1157,""m""),""""))"),"")</f>
        <v/>
      </c>
      <c r="N1157" s="29" t="str">
        <f>IFERROR(__xludf.DUMMYFUNCTION("IF(M1157="""","""",QUERY({'Dashboard-Dados'!$Y$2:$AA$13},""Select Col2 Where Col1=""&amp;M1157))"),"")</f>
        <v/>
      </c>
      <c r="O1157" s="29" t="str">
        <f>IFERROR(__xludf.DUMMYFUNCTION("IF(ISBLANK(B1157),"""",IF(ISDATE(B1157),TEXT(B1157,""yyyy""),""""))"),"")</f>
        <v/>
      </c>
    </row>
    <row r="1158">
      <c r="B1158" s="62"/>
      <c r="C1158" s="56"/>
      <c r="D1158" s="56"/>
      <c r="E1158" s="56"/>
      <c r="F1158" s="63"/>
      <c r="G1158" s="64"/>
      <c r="H1158" s="65"/>
      <c r="I1158" s="63"/>
      <c r="K1158" s="53" t="str">
        <f>IFERROR(__xludf.DUMMYFUNCTION("IF(ISBLANK(B1158),"""",IF(ISDATE(B1158),""X"",""""))"),"")</f>
        <v/>
      </c>
      <c r="L1158" s="40" t="str">
        <f>IFERROR(__xludf.DUMMYFUNCTION("IF(ISBLANK(B1158),"""",IF(Or(I1158=""Em Aberto"",ISBLANK(I1158),NOT(ISDATE(B1158))),"""",H1158))"),"")</f>
        <v/>
      </c>
      <c r="M1158" s="29" t="str">
        <f>IFERROR(__xludf.DUMMYFUNCTION("IF(ISBLANK(B1158),"""",IF(ISDATE(B1158),TEXT(B1158,""m""),""""))"),"")</f>
        <v/>
      </c>
      <c r="N1158" s="29" t="str">
        <f>IFERROR(__xludf.DUMMYFUNCTION("IF(M1158="""","""",QUERY({'Dashboard-Dados'!$Y$2:$AA$13},""Select Col2 Where Col1=""&amp;M1158))"),"")</f>
        <v/>
      </c>
      <c r="O1158" s="29" t="str">
        <f>IFERROR(__xludf.DUMMYFUNCTION("IF(ISBLANK(B1158),"""",IF(ISDATE(B1158),TEXT(B1158,""yyyy""),""""))"),"")</f>
        <v/>
      </c>
    </row>
    <row r="1159">
      <c r="B1159" s="62"/>
      <c r="C1159" s="56"/>
      <c r="D1159" s="56"/>
      <c r="E1159" s="56"/>
      <c r="F1159" s="63"/>
      <c r="G1159" s="64"/>
      <c r="H1159" s="65"/>
      <c r="I1159" s="63"/>
      <c r="K1159" s="53" t="str">
        <f>IFERROR(__xludf.DUMMYFUNCTION("IF(ISBLANK(B1159),"""",IF(ISDATE(B1159),""X"",""""))"),"")</f>
        <v/>
      </c>
      <c r="L1159" s="40" t="str">
        <f>IFERROR(__xludf.DUMMYFUNCTION("IF(ISBLANK(B1159),"""",IF(Or(I1159=""Em Aberto"",ISBLANK(I1159),NOT(ISDATE(B1159))),"""",H1159))"),"")</f>
        <v/>
      </c>
      <c r="M1159" s="29" t="str">
        <f>IFERROR(__xludf.DUMMYFUNCTION("IF(ISBLANK(B1159),"""",IF(ISDATE(B1159),TEXT(B1159,""m""),""""))"),"")</f>
        <v/>
      </c>
      <c r="N1159" s="29" t="str">
        <f>IFERROR(__xludf.DUMMYFUNCTION("IF(M1159="""","""",QUERY({'Dashboard-Dados'!$Y$2:$AA$13},""Select Col2 Where Col1=""&amp;M1159))"),"")</f>
        <v/>
      </c>
      <c r="O1159" s="29" t="str">
        <f>IFERROR(__xludf.DUMMYFUNCTION("IF(ISBLANK(B1159),"""",IF(ISDATE(B1159),TEXT(B1159,""yyyy""),""""))"),"")</f>
        <v/>
      </c>
    </row>
    <row r="1160">
      <c r="B1160" s="62"/>
      <c r="C1160" s="56"/>
      <c r="D1160" s="56"/>
      <c r="E1160" s="56"/>
      <c r="F1160" s="63"/>
      <c r="G1160" s="64"/>
      <c r="H1160" s="65"/>
      <c r="I1160" s="63"/>
      <c r="K1160" s="53" t="str">
        <f>IFERROR(__xludf.DUMMYFUNCTION("IF(ISBLANK(B1160),"""",IF(ISDATE(B1160),""X"",""""))"),"")</f>
        <v/>
      </c>
      <c r="L1160" s="40" t="str">
        <f>IFERROR(__xludf.DUMMYFUNCTION("IF(ISBLANK(B1160),"""",IF(Or(I1160=""Em Aberto"",ISBLANK(I1160),NOT(ISDATE(B1160))),"""",H1160))"),"")</f>
        <v/>
      </c>
      <c r="M1160" s="29" t="str">
        <f>IFERROR(__xludf.DUMMYFUNCTION("IF(ISBLANK(B1160),"""",IF(ISDATE(B1160),TEXT(B1160,""m""),""""))"),"")</f>
        <v/>
      </c>
      <c r="N1160" s="29" t="str">
        <f>IFERROR(__xludf.DUMMYFUNCTION("IF(M1160="""","""",QUERY({'Dashboard-Dados'!$Y$2:$AA$13},""Select Col2 Where Col1=""&amp;M1160))"),"")</f>
        <v/>
      </c>
      <c r="O1160" s="29" t="str">
        <f>IFERROR(__xludf.DUMMYFUNCTION("IF(ISBLANK(B1160),"""",IF(ISDATE(B1160),TEXT(B1160,""yyyy""),""""))"),"")</f>
        <v/>
      </c>
    </row>
    <row r="1161">
      <c r="B1161" s="62"/>
      <c r="C1161" s="56"/>
      <c r="D1161" s="56"/>
      <c r="E1161" s="56"/>
      <c r="F1161" s="63"/>
      <c r="G1161" s="64"/>
      <c r="H1161" s="65"/>
      <c r="I1161" s="63"/>
      <c r="K1161" s="53" t="str">
        <f>IFERROR(__xludf.DUMMYFUNCTION("IF(ISBLANK(B1161),"""",IF(ISDATE(B1161),""X"",""""))"),"")</f>
        <v/>
      </c>
      <c r="L1161" s="40" t="str">
        <f>IFERROR(__xludf.DUMMYFUNCTION("IF(ISBLANK(B1161),"""",IF(Or(I1161=""Em Aberto"",ISBLANK(I1161),NOT(ISDATE(B1161))),"""",H1161))"),"")</f>
        <v/>
      </c>
      <c r="M1161" s="29" t="str">
        <f>IFERROR(__xludf.DUMMYFUNCTION("IF(ISBLANK(B1161),"""",IF(ISDATE(B1161),TEXT(B1161,""m""),""""))"),"")</f>
        <v/>
      </c>
      <c r="N1161" s="29" t="str">
        <f>IFERROR(__xludf.DUMMYFUNCTION("IF(M1161="""","""",QUERY({'Dashboard-Dados'!$Y$2:$AA$13},""Select Col2 Where Col1=""&amp;M1161))"),"")</f>
        <v/>
      </c>
      <c r="O1161" s="29" t="str">
        <f>IFERROR(__xludf.DUMMYFUNCTION("IF(ISBLANK(B1161),"""",IF(ISDATE(B1161),TEXT(B1161,""yyyy""),""""))"),"")</f>
        <v/>
      </c>
    </row>
    <row r="1162">
      <c r="B1162" s="62"/>
      <c r="C1162" s="56"/>
      <c r="D1162" s="56"/>
      <c r="E1162" s="56"/>
      <c r="F1162" s="63"/>
      <c r="G1162" s="64"/>
      <c r="H1162" s="65"/>
      <c r="I1162" s="63"/>
      <c r="K1162" s="53" t="str">
        <f>IFERROR(__xludf.DUMMYFUNCTION("IF(ISBLANK(B1162),"""",IF(ISDATE(B1162),""X"",""""))"),"")</f>
        <v/>
      </c>
      <c r="L1162" s="40" t="str">
        <f>IFERROR(__xludf.DUMMYFUNCTION("IF(ISBLANK(B1162),"""",IF(Or(I1162=""Em Aberto"",ISBLANK(I1162),NOT(ISDATE(B1162))),"""",H1162))"),"")</f>
        <v/>
      </c>
      <c r="M1162" s="29" t="str">
        <f>IFERROR(__xludf.DUMMYFUNCTION("IF(ISBLANK(B1162),"""",IF(ISDATE(B1162),TEXT(B1162,""m""),""""))"),"")</f>
        <v/>
      </c>
      <c r="N1162" s="29" t="str">
        <f>IFERROR(__xludf.DUMMYFUNCTION("IF(M1162="""","""",QUERY({'Dashboard-Dados'!$Y$2:$AA$13},""Select Col2 Where Col1=""&amp;M1162))"),"")</f>
        <v/>
      </c>
      <c r="O1162" s="29" t="str">
        <f>IFERROR(__xludf.DUMMYFUNCTION("IF(ISBLANK(B1162),"""",IF(ISDATE(B1162),TEXT(B1162,""yyyy""),""""))"),"")</f>
        <v/>
      </c>
    </row>
    <row r="1163">
      <c r="B1163" s="62"/>
      <c r="C1163" s="56"/>
      <c r="D1163" s="56"/>
      <c r="E1163" s="56"/>
      <c r="F1163" s="63"/>
      <c r="G1163" s="64"/>
      <c r="H1163" s="65"/>
      <c r="I1163" s="63"/>
      <c r="K1163" s="53" t="str">
        <f>IFERROR(__xludf.DUMMYFUNCTION("IF(ISBLANK(B1163),"""",IF(ISDATE(B1163),""X"",""""))"),"")</f>
        <v/>
      </c>
      <c r="L1163" s="40" t="str">
        <f>IFERROR(__xludf.DUMMYFUNCTION("IF(ISBLANK(B1163),"""",IF(Or(I1163=""Em Aberto"",ISBLANK(I1163),NOT(ISDATE(B1163))),"""",H1163))"),"")</f>
        <v/>
      </c>
      <c r="M1163" s="29" t="str">
        <f>IFERROR(__xludf.DUMMYFUNCTION("IF(ISBLANK(B1163),"""",IF(ISDATE(B1163),TEXT(B1163,""m""),""""))"),"")</f>
        <v/>
      </c>
      <c r="N1163" s="29" t="str">
        <f>IFERROR(__xludf.DUMMYFUNCTION("IF(M1163="""","""",QUERY({'Dashboard-Dados'!$Y$2:$AA$13},""Select Col2 Where Col1=""&amp;M1163))"),"")</f>
        <v/>
      </c>
      <c r="O1163" s="29" t="str">
        <f>IFERROR(__xludf.DUMMYFUNCTION("IF(ISBLANK(B1163),"""",IF(ISDATE(B1163),TEXT(B1163,""yyyy""),""""))"),"")</f>
        <v/>
      </c>
    </row>
    <row r="1164">
      <c r="B1164" s="62"/>
      <c r="C1164" s="56"/>
      <c r="D1164" s="56"/>
      <c r="E1164" s="56"/>
      <c r="F1164" s="63"/>
      <c r="G1164" s="64"/>
      <c r="H1164" s="65"/>
      <c r="I1164" s="63"/>
      <c r="K1164" s="53" t="str">
        <f>IFERROR(__xludf.DUMMYFUNCTION("IF(ISBLANK(B1164),"""",IF(ISDATE(B1164),""X"",""""))"),"")</f>
        <v/>
      </c>
      <c r="L1164" s="40" t="str">
        <f>IFERROR(__xludf.DUMMYFUNCTION("IF(ISBLANK(B1164),"""",IF(Or(I1164=""Em Aberto"",ISBLANK(I1164),NOT(ISDATE(B1164))),"""",H1164))"),"")</f>
        <v/>
      </c>
      <c r="M1164" s="29" t="str">
        <f>IFERROR(__xludf.DUMMYFUNCTION("IF(ISBLANK(B1164),"""",IF(ISDATE(B1164),TEXT(B1164,""m""),""""))"),"")</f>
        <v/>
      </c>
      <c r="N1164" s="29" t="str">
        <f>IFERROR(__xludf.DUMMYFUNCTION("IF(M1164="""","""",QUERY({'Dashboard-Dados'!$Y$2:$AA$13},""Select Col2 Where Col1=""&amp;M1164))"),"")</f>
        <v/>
      </c>
      <c r="O1164" s="29" t="str">
        <f>IFERROR(__xludf.DUMMYFUNCTION("IF(ISBLANK(B1164),"""",IF(ISDATE(B1164),TEXT(B1164,""yyyy""),""""))"),"")</f>
        <v/>
      </c>
    </row>
    <row r="1165">
      <c r="B1165" s="62"/>
      <c r="C1165" s="56"/>
      <c r="D1165" s="56"/>
      <c r="E1165" s="56"/>
      <c r="F1165" s="63"/>
      <c r="G1165" s="64"/>
      <c r="H1165" s="65"/>
      <c r="I1165" s="63"/>
      <c r="K1165" s="53" t="str">
        <f>IFERROR(__xludf.DUMMYFUNCTION("IF(ISBLANK(B1165),"""",IF(ISDATE(B1165),""X"",""""))"),"")</f>
        <v/>
      </c>
      <c r="L1165" s="40" t="str">
        <f>IFERROR(__xludf.DUMMYFUNCTION("IF(ISBLANK(B1165),"""",IF(Or(I1165=""Em Aberto"",ISBLANK(I1165),NOT(ISDATE(B1165))),"""",H1165))"),"")</f>
        <v/>
      </c>
      <c r="M1165" s="29" t="str">
        <f>IFERROR(__xludf.DUMMYFUNCTION("IF(ISBLANK(B1165),"""",IF(ISDATE(B1165),TEXT(B1165,""m""),""""))"),"")</f>
        <v/>
      </c>
      <c r="N1165" s="29" t="str">
        <f>IFERROR(__xludf.DUMMYFUNCTION("IF(M1165="""","""",QUERY({'Dashboard-Dados'!$Y$2:$AA$13},""Select Col2 Where Col1=""&amp;M1165))"),"")</f>
        <v/>
      </c>
      <c r="O1165" s="29" t="str">
        <f>IFERROR(__xludf.DUMMYFUNCTION("IF(ISBLANK(B1165),"""",IF(ISDATE(B1165),TEXT(B1165,""yyyy""),""""))"),"")</f>
        <v/>
      </c>
    </row>
    <row r="1166">
      <c r="B1166" s="62"/>
      <c r="C1166" s="56"/>
      <c r="D1166" s="56"/>
      <c r="E1166" s="56"/>
      <c r="F1166" s="63"/>
      <c r="G1166" s="64"/>
      <c r="H1166" s="65"/>
      <c r="I1166" s="63"/>
      <c r="K1166" s="53" t="str">
        <f>IFERROR(__xludf.DUMMYFUNCTION("IF(ISBLANK(B1166),"""",IF(ISDATE(B1166),""X"",""""))"),"")</f>
        <v/>
      </c>
      <c r="L1166" s="40" t="str">
        <f>IFERROR(__xludf.DUMMYFUNCTION("IF(ISBLANK(B1166),"""",IF(Or(I1166=""Em Aberto"",ISBLANK(I1166),NOT(ISDATE(B1166))),"""",H1166))"),"")</f>
        <v/>
      </c>
      <c r="M1166" s="29" t="str">
        <f>IFERROR(__xludf.DUMMYFUNCTION("IF(ISBLANK(B1166),"""",IF(ISDATE(B1166),TEXT(B1166,""m""),""""))"),"")</f>
        <v/>
      </c>
      <c r="N1166" s="29" t="str">
        <f>IFERROR(__xludf.DUMMYFUNCTION("IF(M1166="""","""",QUERY({'Dashboard-Dados'!$Y$2:$AA$13},""Select Col2 Where Col1=""&amp;M1166))"),"")</f>
        <v/>
      </c>
      <c r="O1166" s="29" t="str">
        <f>IFERROR(__xludf.DUMMYFUNCTION("IF(ISBLANK(B1166),"""",IF(ISDATE(B1166),TEXT(B1166,""yyyy""),""""))"),"")</f>
        <v/>
      </c>
    </row>
    <row r="1167">
      <c r="B1167" s="62"/>
      <c r="C1167" s="56"/>
      <c r="D1167" s="56"/>
      <c r="E1167" s="56"/>
      <c r="F1167" s="63"/>
      <c r="G1167" s="64"/>
      <c r="H1167" s="65"/>
      <c r="I1167" s="63"/>
      <c r="K1167" s="53" t="str">
        <f>IFERROR(__xludf.DUMMYFUNCTION("IF(ISBLANK(B1167),"""",IF(ISDATE(B1167),""X"",""""))"),"")</f>
        <v/>
      </c>
      <c r="L1167" s="40" t="str">
        <f>IFERROR(__xludf.DUMMYFUNCTION("IF(ISBLANK(B1167),"""",IF(Or(I1167=""Em Aberto"",ISBLANK(I1167),NOT(ISDATE(B1167))),"""",H1167))"),"")</f>
        <v/>
      </c>
      <c r="M1167" s="29" t="str">
        <f>IFERROR(__xludf.DUMMYFUNCTION("IF(ISBLANK(B1167),"""",IF(ISDATE(B1167),TEXT(B1167,""m""),""""))"),"")</f>
        <v/>
      </c>
      <c r="N1167" s="29" t="str">
        <f>IFERROR(__xludf.DUMMYFUNCTION("IF(M1167="""","""",QUERY({'Dashboard-Dados'!$Y$2:$AA$13},""Select Col2 Where Col1=""&amp;M1167))"),"")</f>
        <v/>
      </c>
      <c r="O1167" s="29" t="str">
        <f>IFERROR(__xludf.DUMMYFUNCTION("IF(ISBLANK(B1167),"""",IF(ISDATE(B1167),TEXT(B1167,""yyyy""),""""))"),"")</f>
        <v/>
      </c>
    </row>
    <row r="1168">
      <c r="B1168" s="62"/>
      <c r="C1168" s="56"/>
      <c r="D1168" s="56"/>
      <c r="E1168" s="56"/>
      <c r="F1168" s="63"/>
      <c r="G1168" s="64"/>
      <c r="H1168" s="65"/>
      <c r="I1168" s="63"/>
      <c r="K1168" s="53" t="str">
        <f>IFERROR(__xludf.DUMMYFUNCTION("IF(ISBLANK(B1168),"""",IF(ISDATE(B1168),""X"",""""))"),"")</f>
        <v/>
      </c>
      <c r="L1168" s="40" t="str">
        <f>IFERROR(__xludf.DUMMYFUNCTION("IF(ISBLANK(B1168),"""",IF(Or(I1168=""Em Aberto"",ISBLANK(I1168),NOT(ISDATE(B1168))),"""",H1168))"),"")</f>
        <v/>
      </c>
      <c r="M1168" s="29" t="str">
        <f>IFERROR(__xludf.DUMMYFUNCTION("IF(ISBLANK(B1168),"""",IF(ISDATE(B1168),TEXT(B1168,""m""),""""))"),"")</f>
        <v/>
      </c>
      <c r="N1168" s="29" t="str">
        <f>IFERROR(__xludf.DUMMYFUNCTION("IF(M1168="""","""",QUERY({'Dashboard-Dados'!$Y$2:$AA$13},""Select Col2 Where Col1=""&amp;M1168))"),"")</f>
        <v/>
      </c>
      <c r="O1168" s="29" t="str">
        <f>IFERROR(__xludf.DUMMYFUNCTION("IF(ISBLANK(B1168),"""",IF(ISDATE(B1168),TEXT(B1168,""yyyy""),""""))"),"")</f>
        <v/>
      </c>
    </row>
    <row r="1169">
      <c r="B1169" s="62"/>
      <c r="C1169" s="56"/>
      <c r="D1169" s="56"/>
      <c r="E1169" s="56"/>
      <c r="F1169" s="63"/>
      <c r="G1169" s="64"/>
      <c r="H1169" s="65"/>
      <c r="I1169" s="63"/>
      <c r="K1169" s="53" t="str">
        <f>IFERROR(__xludf.DUMMYFUNCTION("IF(ISBLANK(B1169),"""",IF(ISDATE(B1169),""X"",""""))"),"")</f>
        <v/>
      </c>
      <c r="L1169" s="40" t="str">
        <f>IFERROR(__xludf.DUMMYFUNCTION("IF(ISBLANK(B1169),"""",IF(Or(I1169=""Em Aberto"",ISBLANK(I1169),NOT(ISDATE(B1169))),"""",H1169))"),"")</f>
        <v/>
      </c>
      <c r="M1169" s="29" t="str">
        <f>IFERROR(__xludf.DUMMYFUNCTION("IF(ISBLANK(B1169),"""",IF(ISDATE(B1169),TEXT(B1169,""m""),""""))"),"")</f>
        <v/>
      </c>
      <c r="N1169" s="29" t="str">
        <f>IFERROR(__xludf.DUMMYFUNCTION("IF(M1169="""","""",QUERY({'Dashboard-Dados'!$Y$2:$AA$13},""Select Col2 Where Col1=""&amp;M1169))"),"")</f>
        <v/>
      </c>
      <c r="O1169" s="29" t="str">
        <f>IFERROR(__xludf.DUMMYFUNCTION("IF(ISBLANK(B1169),"""",IF(ISDATE(B1169),TEXT(B1169,""yyyy""),""""))"),"")</f>
        <v/>
      </c>
    </row>
    <row r="1170">
      <c r="B1170" s="62"/>
      <c r="C1170" s="56"/>
      <c r="D1170" s="56"/>
      <c r="E1170" s="56"/>
      <c r="F1170" s="63"/>
      <c r="G1170" s="64"/>
      <c r="H1170" s="65"/>
      <c r="I1170" s="63"/>
      <c r="K1170" s="53" t="str">
        <f>IFERROR(__xludf.DUMMYFUNCTION("IF(ISBLANK(B1170),"""",IF(ISDATE(B1170),""X"",""""))"),"")</f>
        <v/>
      </c>
      <c r="L1170" s="40" t="str">
        <f>IFERROR(__xludf.DUMMYFUNCTION("IF(ISBLANK(B1170),"""",IF(Or(I1170=""Em Aberto"",ISBLANK(I1170),NOT(ISDATE(B1170))),"""",H1170))"),"")</f>
        <v/>
      </c>
      <c r="M1170" s="29" t="str">
        <f>IFERROR(__xludf.DUMMYFUNCTION("IF(ISBLANK(B1170),"""",IF(ISDATE(B1170),TEXT(B1170,""m""),""""))"),"")</f>
        <v/>
      </c>
      <c r="N1170" s="29" t="str">
        <f>IFERROR(__xludf.DUMMYFUNCTION("IF(M1170="""","""",QUERY({'Dashboard-Dados'!$Y$2:$AA$13},""Select Col2 Where Col1=""&amp;M1170))"),"")</f>
        <v/>
      </c>
      <c r="O1170" s="29" t="str">
        <f>IFERROR(__xludf.DUMMYFUNCTION("IF(ISBLANK(B1170),"""",IF(ISDATE(B1170),TEXT(B1170,""yyyy""),""""))"),"")</f>
        <v/>
      </c>
    </row>
    <row r="1171">
      <c r="B1171" s="62"/>
      <c r="C1171" s="56"/>
      <c r="D1171" s="56"/>
      <c r="E1171" s="56"/>
      <c r="F1171" s="63"/>
      <c r="G1171" s="64"/>
      <c r="H1171" s="65"/>
      <c r="I1171" s="63"/>
      <c r="K1171" s="53" t="str">
        <f>IFERROR(__xludf.DUMMYFUNCTION("IF(ISBLANK(B1171),"""",IF(ISDATE(B1171),""X"",""""))"),"")</f>
        <v/>
      </c>
      <c r="L1171" s="40" t="str">
        <f>IFERROR(__xludf.DUMMYFUNCTION("IF(ISBLANK(B1171),"""",IF(Or(I1171=""Em Aberto"",ISBLANK(I1171),NOT(ISDATE(B1171))),"""",H1171))"),"")</f>
        <v/>
      </c>
      <c r="M1171" s="29" t="str">
        <f>IFERROR(__xludf.DUMMYFUNCTION("IF(ISBLANK(B1171),"""",IF(ISDATE(B1171),TEXT(B1171,""m""),""""))"),"")</f>
        <v/>
      </c>
      <c r="N1171" s="29" t="str">
        <f>IFERROR(__xludf.DUMMYFUNCTION("IF(M1171="""","""",QUERY({'Dashboard-Dados'!$Y$2:$AA$13},""Select Col2 Where Col1=""&amp;M1171))"),"")</f>
        <v/>
      </c>
      <c r="O1171" s="29" t="str">
        <f>IFERROR(__xludf.DUMMYFUNCTION("IF(ISBLANK(B1171),"""",IF(ISDATE(B1171),TEXT(B1171,""yyyy""),""""))"),"")</f>
        <v/>
      </c>
    </row>
    <row r="1172">
      <c r="B1172" s="62"/>
      <c r="C1172" s="56"/>
      <c r="D1172" s="56"/>
      <c r="E1172" s="56"/>
      <c r="F1172" s="63"/>
      <c r="G1172" s="64"/>
      <c r="H1172" s="65"/>
      <c r="I1172" s="63"/>
      <c r="K1172" s="53" t="str">
        <f>IFERROR(__xludf.DUMMYFUNCTION("IF(ISBLANK(B1172),"""",IF(ISDATE(B1172),""X"",""""))"),"")</f>
        <v/>
      </c>
      <c r="L1172" s="40" t="str">
        <f>IFERROR(__xludf.DUMMYFUNCTION("IF(ISBLANK(B1172),"""",IF(Or(I1172=""Em Aberto"",ISBLANK(I1172),NOT(ISDATE(B1172))),"""",H1172))"),"")</f>
        <v/>
      </c>
      <c r="M1172" s="29" t="str">
        <f>IFERROR(__xludf.DUMMYFUNCTION("IF(ISBLANK(B1172),"""",IF(ISDATE(B1172),TEXT(B1172,""m""),""""))"),"")</f>
        <v/>
      </c>
      <c r="N1172" s="29" t="str">
        <f>IFERROR(__xludf.DUMMYFUNCTION("IF(M1172="""","""",QUERY({'Dashboard-Dados'!$Y$2:$AA$13},""Select Col2 Where Col1=""&amp;M1172))"),"")</f>
        <v/>
      </c>
      <c r="O1172" s="29" t="str">
        <f>IFERROR(__xludf.DUMMYFUNCTION("IF(ISBLANK(B1172),"""",IF(ISDATE(B1172),TEXT(B1172,""yyyy""),""""))"),"")</f>
        <v/>
      </c>
    </row>
    <row r="1173">
      <c r="B1173" s="62"/>
      <c r="C1173" s="56"/>
      <c r="D1173" s="56"/>
      <c r="E1173" s="56"/>
      <c r="F1173" s="63"/>
      <c r="G1173" s="64"/>
      <c r="H1173" s="65"/>
      <c r="I1173" s="63"/>
      <c r="K1173" s="53" t="str">
        <f>IFERROR(__xludf.DUMMYFUNCTION("IF(ISBLANK(B1173),"""",IF(ISDATE(B1173),""X"",""""))"),"")</f>
        <v/>
      </c>
      <c r="L1173" s="40" t="str">
        <f>IFERROR(__xludf.DUMMYFUNCTION("IF(ISBLANK(B1173),"""",IF(Or(I1173=""Em Aberto"",ISBLANK(I1173),NOT(ISDATE(B1173))),"""",H1173))"),"")</f>
        <v/>
      </c>
      <c r="M1173" s="29" t="str">
        <f>IFERROR(__xludf.DUMMYFUNCTION("IF(ISBLANK(B1173),"""",IF(ISDATE(B1173),TEXT(B1173,""m""),""""))"),"")</f>
        <v/>
      </c>
      <c r="N1173" s="29" t="str">
        <f>IFERROR(__xludf.DUMMYFUNCTION("IF(M1173="""","""",QUERY({'Dashboard-Dados'!$Y$2:$AA$13},""Select Col2 Where Col1=""&amp;M1173))"),"")</f>
        <v/>
      </c>
      <c r="O1173" s="29" t="str">
        <f>IFERROR(__xludf.DUMMYFUNCTION("IF(ISBLANK(B1173),"""",IF(ISDATE(B1173),TEXT(B1173,""yyyy""),""""))"),"")</f>
        <v/>
      </c>
    </row>
    <row r="1174">
      <c r="B1174" s="62"/>
      <c r="C1174" s="56"/>
      <c r="D1174" s="56"/>
      <c r="E1174" s="56"/>
      <c r="F1174" s="63"/>
      <c r="G1174" s="64"/>
      <c r="H1174" s="65"/>
      <c r="I1174" s="63"/>
      <c r="K1174" s="53" t="str">
        <f>IFERROR(__xludf.DUMMYFUNCTION("IF(ISBLANK(B1174),"""",IF(ISDATE(B1174),""X"",""""))"),"")</f>
        <v/>
      </c>
      <c r="L1174" s="40" t="str">
        <f>IFERROR(__xludf.DUMMYFUNCTION("IF(ISBLANK(B1174),"""",IF(Or(I1174=""Em Aberto"",ISBLANK(I1174),NOT(ISDATE(B1174))),"""",H1174))"),"")</f>
        <v/>
      </c>
      <c r="M1174" s="29" t="str">
        <f>IFERROR(__xludf.DUMMYFUNCTION("IF(ISBLANK(B1174),"""",IF(ISDATE(B1174),TEXT(B1174,""m""),""""))"),"")</f>
        <v/>
      </c>
      <c r="N1174" s="29" t="str">
        <f>IFERROR(__xludf.DUMMYFUNCTION("IF(M1174="""","""",QUERY({'Dashboard-Dados'!$Y$2:$AA$13},""Select Col2 Where Col1=""&amp;M1174))"),"")</f>
        <v/>
      </c>
      <c r="O1174" s="29" t="str">
        <f>IFERROR(__xludf.DUMMYFUNCTION("IF(ISBLANK(B1174),"""",IF(ISDATE(B1174),TEXT(B1174,""yyyy""),""""))"),"")</f>
        <v/>
      </c>
    </row>
    <row r="1175">
      <c r="B1175" s="62"/>
      <c r="C1175" s="56"/>
      <c r="D1175" s="56"/>
      <c r="E1175" s="56"/>
      <c r="F1175" s="63"/>
      <c r="G1175" s="64"/>
      <c r="H1175" s="65"/>
      <c r="I1175" s="63"/>
      <c r="K1175" s="53" t="str">
        <f>IFERROR(__xludf.DUMMYFUNCTION("IF(ISBLANK(B1175),"""",IF(ISDATE(B1175),""X"",""""))"),"")</f>
        <v/>
      </c>
      <c r="L1175" s="40" t="str">
        <f>IFERROR(__xludf.DUMMYFUNCTION("IF(ISBLANK(B1175),"""",IF(Or(I1175=""Em Aberto"",ISBLANK(I1175),NOT(ISDATE(B1175))),"""",H1175))"),"")</f>
        <v/>
      </c>
      <c r="M1175" s="29" t="str">
        <f>IFERROR(__xludf.DUMMYFUNCTION("IF(ISBLANK(B1175),"""",IF(ISDATE(B1175),TEXT(B1175,""m""),""""))"),"")</f>
        <v/>
      </c>
      <c r="N1175" s="29" t="str">
        <f>IFERROR(__xludf.DUMMYFUNCTION("IF(M1175="""","""",QUERY({'Dashboard-Dados'!$Y$2:$AA$13},""Select Col2 Where Col1=""&amp;M1175))"),"")</f>
        <v/>
      </c>
      <c r="O1175" s="29" t="str">
        <f>IFERROR(__xludf.DUMMYFUNCTION("IF(ISBLANK(B1175),"""",IF(ISDATE(B1175),TEXT(B1175,""yyyy""),""""))"),"")</f>
        <v/>
      </c>
    </row>
    <row r="1176">
      <c r="B1176" s="62"/>
      <c r="C1176" s="56"/>
      <c r="D1176" s="56"/>
      <c r="E1176" s="56"/>
      <c r="F1176" s="63"/>
      <c r="G1176" s="64"/>
      <c r="H1176" s="65"/>
      <c r="I1176" s="63"/>
      <c r="K1176" s="53" t="str">
        <f>IFERROR(__xludf.DUMMYFUNCTION("IF(ISBLANK(B1176),"""",IF(ISDATE(B1176),""X"",""""))"),"")</f>
        <v/>
      </c>
      <c r="L1176" s="40" t="str">
        <f>IFERROR(__xludf.DUMMYFUNCTION("IF(ISBLANK(B1176),"""",IF(Or(I1176=""Em Aberto"",ISBLANK(I1176),NOT(ISDATE(B1176))),"""",H1176))"),"")</f>
        <v/>
      </c>
      <c r="M1176" s="29" t="str">
        <f>IFERROR(__xludf.DUMMYFUNCTION("IF(ISBLANK(B1176),"""",IF(ISDATE(B1176),TEXT(B1176,""m""),""""))"),"")</f>
        <v/>
      </c>
      <c r="N1176" s="29" t="str">
        <f>IFERROR(__xludf.DUMMYFUNCTION("IF(M1176="""","""",QUERY({'Dashboard-Dados'!$Y$2:$AA$13},""Select Col2 Where Col1=""&amp;M1176))"),"")</f>
        <v/>
      </c>
      <c r="O1176" s="29" t="str">
        <f>IFERROR(__xludf.DUMMYFUNCTION("IF(ISBLANK(B1176),"""",IF(ISDATE(B1176),TEXT(B1176,""yyyy""),""""))"),"")</f>
        <v/>
      </c>
    </row>
    <row r="1177">
      <c r="B1177" s="62"/>
      <c r="C1177" s="56"/>
      <c r="D1177" s="56"/>
      <c r="E1177" s="56"/>
      <c r="F1177" s="63"/>
      <c r="G1177" s="64"/>
      <c r="H1177" s="65"/>
      <c r="I1177" s="63"/>
      <c r="K1177" s="53" t="str">
        <f>IFERROR(__xludf.DUMMYFUNCTION("IF(ISBLANK(B1177),"""",IF(ISDATE(B1177),""X"",""""))"),"")</f>
        <v/>
      </c>
      <c r="L1177" s="40" t="str">
        <f>IFERROR(__xludf.DUMMYFUNCTION("IF(ISBLANK(B1177),"""",IF(Or(I1177=""Em Aberto"",ISBLANK(I1177),NOT(ISDATE(B1177))),"""",H1177))"),"")</f>
        <v/>
      </c>
      <c r="M1177" s="29" t="str">
        <f>IFERROR(__xludf.DUMMYFUNCTION("IF(ISBLANK(B1177),"""",IF(ISDATE(B1177),TEXT(B1177,""m""),""""))"),"")</f>
        <v/>
      </c>
      <c r="N1177" s="29" t="str">
        <f>IFERROR(__xludf.DUMMYFUNCTION("IF(M1177="""","""",QUERY({'Dashboard-Dados'!$Y$2:$AA$13},""Select Col2 Where Col1=""&amp;M1177))"),"")</f>
        <v/>
      </c>
      <c r="O1177" s="29" t="str">
        <f>IFERROR(__xludf.DUMMYFUNCTION("IF(ISBLANK(B1177),"""",IF(ISDATE(B1177),TEXT(B1177,""yyyy""),""""))"),"")</f>
        <v/>
      </c>
    </row>
    <row r="1178">
      <c r="B1178" s="62"/>
      <c r="C1178" s="56"/>
      <c r="D1178" s="56"/>
      <c r="E1178" s="56"/>
      <c r="F1178" s="63"/>
      <c r="G1178" s="64"/>
      <c r="H1178" s="65"/>
      <c r="I1178" s="63"/>
      <c r="K1178" s="53" t="str">
        <f>IFERROR(__xludf.DUMMYFUNCTION("IF(ISBLANK(B1178),"""",IF(ISDATE(B1178),""X"",""""))"),"")</f>
        <v/>
      </c>
      <c r="L1178" s="40" t="str">
        <f>IFERROR(__xludf.DUMMYFUNCTION("IF(ISBLANK(B1178),"""",IF(Or(I1178=""Em Aberto"",ISBLANK(I1178),NOT(ISDATE(B1178))),"""",H1178))"),"")</f>
        <v/>
      </c>
      <c r="M1178" s="29" t="str">
        <f>IFERROR(__xludf.DUMMYFUNCTION("IF(ISBLANK(B1178),"""",IF(ISDATE(B1178),TEXT(B1178,""m""),""""))"),"")</f>
        <v/>
      </c>
      <c r="N1178" s="29" t="str">
        <f>IFERROR(__xludf.DUMMYFUNCTION("IF(M1178="""","""",QUERY({'Dashboard-Dados'!$Y$2:$AA$13},""Select Col2 Where Col1=""&amp;M1178))"),"")</f>
        <v/>
      </c>
      <c r="O1178" s="29" t="str">
        <f>IFERROR(__xludf.DUMMYFUNCTION("IF(ISBLANK(B1178),"""",IF(ISDATE(B1178),TEXT(B1178,""yyyy""),""""))"),"")</f>
        <v/>
      </c>
    </row>
    <row r="1179">
      <c r="B1179" s="62"/>
      <c r="C1179" s="56"/>
      <c r="D1179" s="56"/>
      <c r="E1179" s="56"/>
      <c r="F1179" s="63"/>
      <c r="G1179" s="64"/>
      <c r="H1179" s="65"/>
      <c r="I1179" s="63"/>
      <c r="K1179" s="53" t="str">
        <f>IFERROR(__xludf.DUMMYFUNCTION("IF(ISBLANK(B1179),"""",IF(ISDATE(B1179),""X"",""""))"),"")</f>
        <v/>
      </c>
      <c r="L1179" s="40" t="str">
        <f>IFERROR(__xludf.DUMMYFUNCTION("IF(ISBLANK(B1179),"""",IF(Or(I1179=""Em Aberto"",ISBLANK(I1179),NOT(ISDATE(B1179))),"""",H1179))"),"")</f>
        <v/>
      </c>
      <c r="M1179" s="29" t="str">
        <f>IFERROR(__xludf.DUMMYFUNCTION("IF(ISBLANK(B1179),"""",IF(ISDATE(B1179),TEXT(B1179,""m""),""""))"),"")</f>
        <v/>
      </c>
      <c r="N1179" s="29" t="str">
        <f>IFERROR(__xludf.DUMMYFUNCTION("IF(M1179="""","""",QUERY({'Dashboard-Dados'!$Y$2:$AA$13},""Select Col2 Where Col1=""&amp;M1179))"),"")</f>
        <v/>
      </c>
      <c r="O1179" s="29" t="str">
        <f>IFERROR(__xludf.DUMMYFUNCTION("IF(ISBLANK(B1179),"""",IF(ISDATE(B1179),TEXT(B1179,""yyyy""),""""))"),"")</f>
        <v/>
      </c>
    </row>
    <row r="1180">
      <c r="B1180" s="62"/>
      <c r="C1180" s="56"/>
      <c r="D1180" s="56"/>
      <c r="E1180" s="56"/>
      <c r="F1180" s="63"/>
      <c r="G1180" s="64"/>
      <c r="H1180" s="65"/>
      <c r="I1180" s="63"/>
      <c r="K1180" s="53" t="str">
        <f>IFERROR(__xludf.DUMMYFUNCTION("IF(ISBLANK(B1180),"""",IF(ISDATE(B1180),""X"",""""))"),"")</f>
        <v/>
      </c>
      <c r="L1180" s="40" t="str">
        <f>IFERROR(__xludf.DUMMYFUNCTION("IF(ISBLANK(B1180),"""",IF(Or(I1180=""Em Aberto"",ISBLANK(I1180),NOT(ISDATE(B1180))),"""",H1180))"),"")</f>
        <v/>
      </c>
      <c r="M1180" s="29" t="str">
        <f>IFERROR(__xludf.DUMMYFUNCTION("IF(ISBLANK(B1180),"""",IF(ISDATE(B1180),TEXT(B1180,""m""),""""))"),"")</f>
        <v/>
      </c>
      <c r="N1180" s="29" t="str">
        <f>IFERROR(__xludf.DUMMYFUNCTION("IF(M1180="""","""",QUERY({'Dashboard-Dados'!$Y$2:$AA$13},""Select Col2 Where Col1=""&amp;M1180))"),"")</f>
        <v/>
      </c>
      <c r="O1180" s="29" t="str">
        <f>IFERROR(__xludf.DUMMYFUNCTION("IF(ISBLANK(B1180),"""",IF(ISDATE(B1180),TEXT(B1180,""yyyy""),""""))"),"")</f>
        <v/>
      </c>
    </row>
    <row r="1181">
      <c r="B1181" s="62"/>
      <c r="C1181" s="56"/>
      <c r="D1181" s="56"/>
      <c r="E1181" s="56"/>
      <c r="F1181" s="63"/>
      <c r="G1181" s="64"/>
      <c r="H1181" s="65"/>
      <c r="I1181" s="63"/>
      <c r="K1181" s="53" t="str">
        <f>IFERROR(__xludf.DUMMYFUNCTION("IF(ISBLANK(B1181),"""",IF(ISDATE(B1181),""X"",""""))"),"")</f>
        <v/>
      </c>
      <c r="L1181" s="40" t="str">
        <f>IFERROR(__xludf.DUMMYFUNCTION("IF(ISBLANK(B1181),"""",IF(Or(I1181=""Em Aberto"",ISBLANK(I1181),NOT(ISDATE(B1181))),"""",H1181))"),"")</f>
        <v/>
      </c>
      <c r="M1181" s="29" t="str">
        <f>IFERROR(__xludf.DUMMYFUNCTION("IF(ISBLANK(B1181),"""",IF(ISDATE(B1181),TEXT(B1181,""m""),""""))"),"")</f>
        <v/>
      </c>
      <c r="N1181" s="29" t="str">
        <f>IFERROR(__xludf.DUMMYFUNCTION("IF(M1181="""","""",QUERY({'Dashboard-Dados'!$Y$2:$AA$13},""Select Col2 Where Col1=""&amp;M1181))"),"")</f>
        <v/>
      </c>
      <c r="O1181" s="29" t="str">
        <f>IFERROR(__xludf.DUMMYFUNCTION("IF(ISBLANK(B1181),"""",IF(ISDATE(B1181),TEXT(B1181,""yyyy""),""""))"),"")</f>
        <v/>
      </c>
    </row>
    <row r="1182">
      <c r="B1182" s="62"/>
      <c r="C1182" s="56"/>
      <c r="D1182" s="56"/>
      <c r="E1182" s="56"/>
      <c r="F1182" s="63"/>
      <c r="G1182" s="64"/>
      <c r="H1182" s="65"/>
      <c r="I1182" s="63"/>
      <c r="K1182" s="53" t="str">
        <f>IFERROR(__xludf.DUMMYFUNCTION("IF(ISBLANK(B1182),"""",IF(ISDATE(B1182),""X"",""""))"),"")</f>
        <v/>
      </c>
      <c r="L1182" s="40" t="str">
        <f>IFERROR(__xludf.DUMMYFUNCTION("IF(ISBLANK(B1182),"""",IF(Or(I1182=""Em Aberto"",ISBLANK(I1182),NOT(ISDATE(B1182))),"""",H1182))"),"")</f>
        <v/>
      </c>
      <c r="M1182" s="29" t="str">
        <f>IFERROR(__xludf.DUMMYFUNCTION("IF(ISBLANK(B1182),"""",IF(ISDATE(B1182),TEXT(B1182,""m""),""""))"),"")</f>
        <v/>
      </c>
      <c r="N1182" s="29" t="str">
        <f>IFERROR(__xludf.DUMMYFUNCTION("IF(M1182="""","""",QUERY({'Dashboard-Dados'!$Y$2:$AA$13},""Select Col2 Where Col1=""&amp;M1182))"),"")</f>
        <v/>
      </c>
      <c r="O1182" s="29" t="str">
        <f>IFERROR(__xludf.DUMMYFUNCTION("IF(ISBLANK(B1182),"""",IF(ISDATE(B1182),TEXT(B1182,""yyyy""),""""))"),"")</f>
        <v/>
      </c>
    </row>
    <row r="1183">
      <c r="B1183" s="62"/>
      <c r="C1183" s="56"/>
      <c r="D1183" s="56"/>
      <c r="E1183" s="56"/>
      <c r="F1183" s="63"/>
      <c r="G1183" s="64"/>
      <c r="H1183" s="65"/>
      <c r="I1183" s="63"/>
      <c r="K1183" s="53" t="str">
        <f>IFERROR(__xludf.DUMMYFUNCTION("IF(ISBLANK(B1183),"""",IF(ISDATE(B1183),""X"",""""))"),"")</f>
        <v/>
      </c>
      <c r="L1183" s="40" t="str">
        <f>IFERROR(__xludf.DUMMYFUNCTION("IF(ISBLANK(B1183),"""",IF(Or(I1183=""Em Aberto"",ISBLANK(I1183),NOT(ISDATE(B1183))),"""",H1183))"),"")</f>
        <v/>
      </c>
      <c r="M1183" s="29" t="str">
        <f>IFERROR(__xludf.DUMMYFUNCTION("IF(ISBLANK(B1183),"""",IF(ISDATE(B1183),TEXT(B1183,""m""),""""))"),"")</f>
        <v/>
      </c>
      <c r="N1183" s="29" t="str">
        <f>IFERROR(__xludf.DUMMYFUNCTION("IF(M1183="""","""",QUERY({'Dashboard-Dados'!$Y$2:$AA$13},""Select Col2 Where Col1=""&amp;M1183))"),"")</f>
        <v/>
      </c>
      <c r="O1183" s="29" t="str">
        <f>IFERROR(__xludf.DUMMYFUNCTION("IF(ISBLANK(B1183),"""",IF(ISDATE(B1183),TEXT(B1183,""yyyy""),""""))"),"")</f>
        <v/>
      </c>
    </row>
    <row r="1184">
      <c r="B1184" s="62"/>
      <c r="C1184" s="56"/>
      <c r="D1184" s="56"/>
      <c r="E1184" s="56"/>
      <c r="F1184" s="63"/>
      <c r="G1184" s="64"/>
      <c r="H1184" s="65"/>
      <c r="I1184" s="63"/>
      <c r="K1184" s="53" t="str">
        <f>IFERROR(__xludf.DUMMYFUNCTION("IF(ISBLANK(B1184),"""",IF(ISDATE(B1184),""X"",""""))"),"")</f>
        <v/>
      </c>
      <c r="L1184" s="40" t="str">
        <f>IFERROR(__xludf.DUMMYFUNCTION("IF(ISBLANK(B1184),"""",IF(Or(I1184=""Em Aberto"",ISBLANK(I1184),NOT(ISDATE(B1184))),"""",H1184))"),"")</f>
        <v/>
      </c>
      <c r="M1184" s="29" t="str">
        <f>IFERROR(__xludf.DUMMYFUNCTION("IF(ISBLANK(B1184),"""",IF(ISDATE(B1184),TEXT(B1184,""m""),""""))"),"")</f>
        <v/>
      </c>
      <c r="N1184" s="29" t="str">
        <f>IFERROR(__xludf.DUMMYFUNCTION("IF(M1184="""","""",QUERY({'Dashboard-Dados'!$Y$2:$AA$13},""Select Col2 Where Col1=""&amp;M1184))"),"")</f>
        <v/>
      </c>
      <c r="O1184" s="29" t="str">
        <f>IFERROR(__xludf.DUMMYFUNCTION("IF(ISBLANK(B1184),"""",IF(ISDATE(B1184),TEXT(B1184,""yyyy""),""""))"),"")</f>
        <v/>
      </c>
    </row>
    <row r="1185">
      <c r="B1185" s="62"/>
      <c r="C1185" s="56"/>
      <c r="D1185" s="56"/>
      <c r="E1185" s="56"/>
      <c r="F1185" s="63"/>
      <c r="G1185" s="64"/>
      <c r="H1185" s="65"/>
      <c r="I1185" s="63"/>
      <c r="K1185" s="53" t="str">
        <f>IFERROR(__xludf.DUMMYFUNCTION("IF(ISBLANK(B1185),"""",IF(ISDATE(B1185),""X"",""""))"),"")</f>
        <v/>
      </c>
      <c r="L1185" s="40" t="str">
        <f>IFERROR(__xludf.DUMMYFUNCTION("IF(ISBLANK(B1185),"""",IF(Or(I1185=""Em Aberto"",ISBLANK(I1185),NOT(ISDATE(B1185))),"""",H1185))"),"")</f>
        <v/>
      </c>
      <c r="M1185" s="29" t="str">
        <f>IFERROR(__xludf.DUMMYFUNCTION("IF(ISBLANK(B1185),"""",IF(ISDATE(B1185),TEXT(B1185,""m""),""""))"),"")</f>
        <v/>
      </c>
      <c r="N1185" s="29" t="str">
        <f>IFERROR(__xludf.DUMMYFUNCTION("IF(M1185="""","""",QUERY({'Dashboard-Dados'!$Y$2:$AA$13},""Select Col2 Where Col1=""&amp;M1185))"),"")</f>
        <v/>
      </c>
      <c r="O1185" s="29" t="str">
        <f>IFERROR(__xludf.DUMMYFUNCTION("IF(ISBLANK(B1185),"""",IF(ISDATE(B1185),TEXT(B1185,""yyyy""),""""))"),"")</f>
        <v/>
      </c>
    </row>
    <row r="1186">
      <c r="B1186" s="62"/>
      <c r="C1186" s="56"/>
      <c r="D1186" s="56"/>
      <c r="E1186" s="56"/>
      <c r="F1186" s="63"/>
      <c r="G1186" s="64"/>
      <c r="H1186" s="65"/>
      <c r="I1186" s="63"/>
      <c r="K1186" s="53" t="str">
        <f>IFERROR(__xludf.DUMMYFUNCTION("IF(ISBLANK(B1186),"""",IF(ISDATE(B1186),""X"",""""))"),"")</f>
        <v/>
      </c>
      <c r="L1186" s="40" t="str">
        <f>IFERROR(__xludf.DUMMYFUNCTION("IF(ISBLANK(B1186),"""",IF(Or(I1186=""Em Aberto"",ISBLANK(I1186),NOT(ISDATE(B1186))),"""",H1186))"),"")</f>
        <v/>
      </c>
      <c r="M1186" s="29" t="str">
        <f>IFERROR(__xludf.DUMMYFUNCTION("IF(ISBLANK(B1186),"""",IF(ISDATE(B1186),TEXT(B1186,""m""),""""))"),"")</f>
        <v/>
      </c>
      <c r="N1186" s="29" t="str">
        <f>IFERROR(__xludf.DUMMYFUNCTION("IF(M1186="""","""",QUERY({'Dashboard-Dados'!$Y$2:$AA$13},""Select Col2 Where Col1=""&amp;M1186))"),"")</f>
        <v/>
      </c>
      <c r="O1186" s="29" t="str">
        <f>IFERROR(__xludf.DUMMYFUNCTION("IF(ISBLANK(B1186),"""",IF(ISDATE(B1186),TEXT(B1186,""yyyy""),""""))"),"")</f>
        <v/>
      </c>
    </row>
    <row r="1187">
      <c r="B1187" s="62"/>
      <c r="C1187" s="56"/>
      <c r="D1187" s="56"/>
      <c r="E1187" s="56"/>
      <c r="F1187" s="63"/>
      <c r="G1187" s="64"/>
      <c r="H1187" s="65"/>
      <c r="I1187" s="63"/>
      <c r="K1187" s="53" t="str">
        <f>IFERROR(__xludf.DUMMYFUNCTION("IF(ISBLANK(B1187),"""",IF(ISDATE(B1187),""X"",""""))"),"")</f>
        <v/>
      </c>
      <c r="L1187" s="40" t="str">
        <f>IFERROR(__xludf.DUMMYFUNCTION("IF(ISBLANK(B1187),"""",IF(Or(I1187=""Em Aberto"",ISBLANK(I1187),NOT(ISDATE(B1187))),"""",H1187))"),"")</f>
        <v/>
      </c>
      <c r="M1187" s="29" t="str">
        <f>IFERROR(__xludf.DUMMYFUNCTION("IF(ISBLANK(B1187),"""",IF(ISDATE(B1187),TEXT(B1187,""m""),""""))"),"")</f>
        <v/>
      </c>
      <c r="N1187" s="29" t="str">
        <f>IFERROR(__xludf.DUMMYFUNCTION("IF(M1187="""","""",QUERY({'Dashboard-Dados'!$Y$2:$AA$13},""Select Col2 Where Col1=""&amp;M1187))"),"")</f>
        <v/>
      </c>
      <c r="O1187" s="29" t="str">
        <f>IFERROR(__xludf.DUMMYFUNCTION("IF(ISBLANK(B1187),"""",IF(ISDATE(B1187),TEXT(B1187,""yyyy""),""""))"),"")</f>
        <v/>
      </c>
    </row>
    <row r="1188">
      <c r="B1188" s="62"/>
      <c r="C1188" s="56"/>
      <c r="D1188" s="56"/>
      <c r="E1188" s="56"/>
      <c r="F1188" s="63"/>
      <c r="G1188" s="64"/>
      <c r="H1188" s="65"/>
      <c r="I1188" s="63"/>
      <c r="K1188" s="53" t="str">
        <f>IFERROR(__xludf.DUMMYFUNCTION("IF(ISBLANK(B1188),"""",IF(ISDATE(B1188),""X"",""""))"),"")</f>
        <v/>
      </c>
      <c r="L1188" s="40" t="str">
        <f>IFERROR(__xludf.DUMMYFUNCTION("IF(ISBLANK(B1188),"""",IF(Or(I1188=""Em Aberto"",ISBLANK(I1188),NOT(ISDATE(B1188))),"""",H1188))"),"")</f>
        <v/>
      </c>
      <c r="M1188" s="29" t="str">
        <f>IFERROR(__xludf.DUMMYFUNCTION("IF(ISBLANK(B1188),"""",IF(ISDATE(B1188),TEXT(B1188,""m""),""""))"),"")</f>
        <v/>
      </c>
      <c r="N1188" s="29" t="str">
        <f>IFERROR(__xludf.DUMMYFUNCTION("IF(M1188="""","""",QUERY({'Dashboard-Dados'!$Y$2:$AA$13},""Select Col2 Where Col1=""&amp;M1188))"),"")</f>
        <v/>
      </c>
      <c r="O1188" s="29" t="str">
        <f>IFERROR(__xludf.DUMMYFUNCTION("IF(ISBLANK(B1188),"""",IF(ISDATE(B1188),TEXT(B1188,""yyyy""),""""))"),"")</f>
        <v/>
      </c>
    </row>
    <row r="1189">
      <c r="B1189" s="62"/>
      <c r="C1189" s="56"/>
      <c r="D1189" s="56"/>
      <c r="E1189" s="56"/>
      <c r="F1189" s="63"/>
      <c r="G1189" s="64"/>
      <c r="H1189" s="65"/>
      <c r="I1189" s="63"/>
      <c r="K1189" s="53" t="str">
        <f>IFERROR(__xludf.DUMMYFUNCTION("IF(ISBLANK(B1189),"""",IF(ISDATE(B1189),""X"",""""))"),"")</f>
        <v/>
      </c>
      <c r="L1189" s="40" t="str">
        <f>IFERROR(__xludf.DUMMYFUNCTION("IF(ISBLANK(B1189),"""",IF(Or(I1189=""Em Aberto"",ISBLANK(I1189),NOT(ISDATE(B1189))),"""",H1189))"),"")</f>
        <v/>
      </c>
      <c r="M1189" s="29" t="str">
        <f>IFERROR(__xludf.DUMMYFUNCTION("IF(ISBLANK(B1189),"""",IF(ISDATE(B1189),TEXT(B1189,""m""),""""))"),"")</f>
        <v/>
      </c>
      <c r="N1189" s="29" t="str">
        <f>IFERROR(__xludf.DUMMYFUNCTION("IF(M1189="""","""",QUERY({'Dashboard-Dados'!$Y$2:$AA$13},""Select Col2 Where Col1=""&amp;M1189))"),"")</f>
        <v/>
      </c>
      <c r="O1189" s="29" t="str">
        <f>IFERROR(__xludf.DUMMYFUNCTION("IF(ISBLANK(B1189),"""",IF(ISDATE(B1189),TEXT(B1189,""yyyy""),""""))"),"")</f>
        <v/>
      </c>
    </row>
    <row r="1190">
      <c r="B1190" s="62"/>
      <c r="C1190" s="56"/>
      <c r="D1190" s="56"/>
      <c r="E1190" s="56"/>
      <c r="F1190" s="63"/>
      <c r="G1190" s="64"/>
      <c r="H1190" s="65"/>
      <c r="I1190" s="63"/>
      <c r="K1190" s="53" t="str">
        <f>IFERROR(__xludf.DUMMYFUNCTION("IF(ISBLANK(B1190),"""",IF(ISDATE(B1190),""X"",""""))"),"")</f>
        <v/>
      </c>
      <c r="L1190" s="40" t="str">
        <f>IFERROR(__xludf.DUMMYFUNCTION("IF(ISBLANK(B1190),"""",IF(Or(I1190=""Em Aberto"",ISBLANK(I1190),NOT(ISDATE(B1190))),"""",H1190))"),"")</f>
        <v/>
      </c>
      <c r="M1190" s="29" t="str">
        <f>IFERROR(__xludf.DUMMYFUNCTION("IF(ISBLANK(B1190),"""",IF(ISDATE(B1190),TEXT(B1190,""m""),""""))"),"")</f>
        <v/>
      </c>
      <c r="N1190" s="29" t="str">
        <f>IFERROR(__xludf.DUMMYFUNCTION("IF(M1190="""","""",QUERY({'Dashboard-Dados'!$Y$2:$AA$13},""Select Col2 Where Col1=""&amp;M1190))"),"")</f>
        <v/>
      </c>
      <c r="O1190" s="29" t="str">
        <f>IFERROR(__xludf.DUMMYFUNCTION("IF(ISBLANK(B1190),"""",IF(ISDATE(B1190),TEXT(B1190,""yyyy""),""""))"),"")</f>
        <v/>
      </c>
    </row>
    <row r="1191">
      <c r="B1191" s="62"/>
      <c r="C1191" s="56"/>
      <c r="D1191" s="56"/>
      <c r="E1191" s="56"/>
      <c r="F1191" s="63"/>
      <c r="G1191" s="64"/>
      <c r="H1191" s="65"/>
      <c r="I1191" s="63"/>
      <c r="K1191" s="53" t="str">
        <f>IFERROR(__xludf.DUMMYFUNCTION("IF(ISBLANK(B1191),"""",IF(ISDATE(B1191),""X"",""""))"),"")</f>
        <v/>
      </c>
      <c r="L1191" s="40" t="str">
        <f>IFERROR(__xludf.DUMMYFUNCTION("IF(ISBLANK(B1191),"""",IF(Or(I1191=""Em Aberto"",ISBLANK(I1191),NOT(ISDATE(B1191))),"""",H1191))"),"")</f>
        <v/>
      </c>
      <c r="M1191" s="29" t="str">
        <f>IFERROR(__xludf.DUMMYFUNCTION("IF(ISBLANK(B1191),"""",IF(ISDATE(B1191),TEXT(B1191,""m""),""""))"),"")</f>
        <v/>
      </c>
      <c r="N1191" s="29" t="str">
        <f>IFERROR(__xludf.DUMMYFUNCTION("IF(M1191="""","""",QUERY({'Dashboard-Dados'!$Y$2:$AA$13},""Select Col2 Where Col1=""&amp;M1191))"),"")</f>
        <v/>
      </c>
      <c r="O1191" s="29" t="str">
        <f>IFERROR(__xludf.DUMMYFUNCTION("IF(ISBLANK(B1191),"""",IF(ISDATE(B1191),TEXT(B1191,""yyyy""),""""))"),"")</f>
        <v/>
      </c>
    </row>
    <row r="1192">
      <c r="B1192" s="62"/>
      <c r="C1192" s="56"/>
      <c r="D1192" s="56"/>
      <c r="E1192" s="56"/>
      <c r="F1192" s="63"/>
      <c r="G1192" s="64"/>
      <c r="H1192" s="65"/>
      <c r="I1192" s="63"/>
      <c r="K1192" s="53" t="str">
        <f>IFERROR(__xludf.DUMMYFUNCTION("IF(ISBLANK(B1192),"""",IF(ISDATE(B1192),""X"",""""))"),"")</f>
        <v/>
      </c>
      <c r="L1192" s="40" t="str">
        <f>IFERROR(__xludf.DUMMYFUNCTION("IF(ISBLANK(B1192),"""",IF(Or(I1192=""Em Aberto"",ISBLANK(I1192),NOT(ISDATE(B1192))),"""",H1192))"),"")</f>
        <v/>
      </c>
      <c r="M1192" s="29" t="str">
        <f>IFERROR(__xludf.DUMMYFUNCTION("IF(ISBLANK(B1192),"""",IF(ISDATE(B1192),TEXT(B1192,""m""),""""))"),"")</f>
        <v/>
      </c>
      <c r="N1192" s="29" t="str">
        <f>IFERROR(__xludf.DUMMYFUNCTION("IF(M1192="""","""",QUERY({'Dashboard-Dados'!$Y$2:$AA$13},""Select Col2 Where Col1=""&amp;M1192))"),"")</f>
        <v/>
      </c>
      <c r="O1192" s="29" t="str">
        <f>IFERROR(__xludf.DUMMYFUNCTION("IF(ISBLANK(B1192),"""",IF(ISDATE(B1192),TEXT(B1192,""yyyy""),""""))"),"")</f>
        <v/>
      </c>
    </row>
    <row r="1193">
      <c r="B1193" s="62"/>
      <c r="C1193" s="56"/>
      <c r="D1193" s="56"/>
      <c r="E1193" s="56"/>
      <c r="F1193" s="63"/>
      <c r="G1193" s="64"/>
      <c r="H1193" s="65"/>
      <c r="I1193" s="63"/>
      <c r="K1193" s="53" t="str">
        <f>IFERROR(__xludf.DUMMYFUNCTION("IF(ISBLANK(B1193),"""",IF(ISDATE(B1193),""X"",""""))"),"")</f>
        <v/>
      </c>
      <c r="L1193" s="40" t="str">
        <f>IFERROR(__xludf.DUMMYFUNCTION("IF(ISBLANK(B1193),"""",IF(Or(I1193=""Em Aberto"",ISBLANK(I1193),NOT(ISDATE(B1193))),"""",H1193))"),"")</f>
        <v/>
      </c>
      <c r="M1193" s="29" t="str">
        <f>IFERROR(__xludf.DUMMYFUNCTION("IF(ISBLANK(B1193),"""",IF(ISDATE(B1193),TEXT(B1193,""m""),""""))"),"")</f>
        <v/>
      </c>
      <c r="N1193" s="29" t="str">
        <f>IFERROR(__xludf.DUMMYFUNCTION("IF(M1193="""","""",QUERY({'Dashboard-Dados'!$Y$2:$AA$13},""Select Col2 Where Col1=""&amp;M1193))"),"")</f>
        <v/>
      </c>
      <c r="O1193" s="29" t="str">
        <f>IFERROR(__xludf.DUMMYFUNCTION("IF(ISBLANK(B1193),"""",IF(ISDATE(B1193),TEXT(B1193,""yyyy""),""""))"),"")</f>
        <v/>
      </c>
    </row>
    <row r="1194">
      <c r="B1194" s="62"/>
      <c r="C1194" s="56"/>
      <c r="D1194" s="56"/>
      <c r="E1194" s="56"/>
      <c r="F1194" s="63"/>
      <c r="G1194" s="64"/>
      <c r="H1194" s="65"/>
      <c r="I1194" s="63"/>
      <c r="K1194" s="53" t="str">
        <f>IFERROR(__xludf.DUMMYFUNCTION("IF(ISBLANK(B1194),"""",IF(ISDATE(B1194),""X"",""""))"),"")</f>
        <v/>
      </c>
      <c r="L1194" s="40" t="str">
        <f>IFERROR(__xludf.DUMMYFUNCTION("IF(ISBLANK(B1194),"""",IF(Or(I1194=""Em Aberto"",ISBLANK(I1194),NOT(ISDATE(B1194))),"""",H1194))"),"")</f>
        <v/>
      </c>
      <c r="M1194" s="29" t="str">
        <f>IFERROR(__xludf.DUMMYFUNCTION("IF(ISBLANK(B1194),"""",IF(ISDATE(B1194),TEXT(B1194,""m""),""""))"),"")</f>
        <v/>
      </c>
      <c r="N1194" s="29" t="str">
        <f>IFERROR(__xludf.DUMMYFUNCTION("IF(M1194="""","""",QUERY({'Dashboard-Dados'!$Y$2:$AA$13},""Select Col2 Where Col1=""&amp;M1194))"),"")</f>
        <v/>
      </c>
      <c r="O1194" s="29" t="str">
        <f>IFERROR(__xludf.DUMMYFUNCTION("IF(ISBLANK(B1194),"""",IF(ISDATE(B1194),TEXT(B1194,""yyyy""),""""))"),"")</f>
        <v/>
      </c>
    </row>
    <row r="1195">
      <c r="B1195" s="62"/>
      <c r="C1195" s="56"/>
      <c r="D1195" s="56"/>
      <c r="E1195" s="56"/>
      <c r="F1195" s="63"/>
      <c r="G1195" s="64"/>
      <c r="H1195" s="65"/>
      <c r="I1195" s="63"/>
      <c r="K1195" s="53" t="str">
        <f>IFERROR(__xludf.DUMMYFUNCTION("IF(ISBLANK(B1195),"""",IF(ISDATE(B1195),""X"",""""))"),"")</f>
        <v/>
      </c>
      <c r="L1195" s="40" t="str">
        <f>IFERROR(__xludf.DUMMYFUNCTION("IF(ISBLANK(B1195),"""",IF(Or(I1195=""Em Aberto"",ISBLANK(I1195),NOT(ISDATE(B1195))),"""",H1195))"),"")</f>
        <v/>
      </c>
      <c r="M1195" s="29" t="str">
        <f>IFERROR(__xludf.DUMMYFUNCTION("IF(ISBLANK(B1195),"""",IF(ISDATE(B1195),TEXT(B1195,""m""),""""))"),"")</f>
        <v/>
      </c>
      <c r="N1195" s="29" t="str">
        <f>IFERROR(__xludf.DUMMYFUNCTION("IF(M1195="""","""",QUERY({'Dashboard-Dados'!$Y$2:$AA$13},""Select Col2 Where Col1=""&amp;M1195))"),"")</f>
        <v/>
      </c>
      <c r="O1195" s="29" t="str">
        <f>IFERROR(__xludf.DUMMYFUNCTION("IF(ISBLANK(B1195),"""",IF(ISDATE(B1195),TEXT(B1195,""yyyy""),""""))"),"")</f>
        <v/>
      </c>
    </row>
    <row r="1196">
      <c r="B1196" s="62"/>
      <c r="C1196" s="56"/>
      <c r="D1196" s="56"/>
      <c r="E1196" s="56"/>
      <c r="F1196" s="63"/>
      <c r="G1196" s="64"/>
      <c r="H1196" s="65"/>
      <c r="I1196" s="63"/>
      <c r="K1196" s="53" t="str">
        <f>IFERROR(__xludf.DUMMYFUNCTION("IF(ISBLANK(B1196),"""",IF(ISDATE(B1196),""X"",""""))"),"")</f>
        <v/>
      </c>
      <c r="L1196" s="40" t="str">
        <f>IFERROR(__xludf.DUMMYFUNCTION("IF(ISBLANK(B1196),"""",IF(Or(I1196=""Em Aberto"",ISBLANK(I1196),NOT(ISDATE(B1196))),"""",H1196))"),"")</f>
        <v/>
      </c>
      <c r="M1196" s="29" t="str">
        <f>IFERROR(__xludf.DUMMYFUNCTION("IF(ISBLANK(B1196),"""",IF(ISDATE(B1196),TEXT(B1196,""m""),""""))"),"")</f>
        <v/>
      </c>
      <c r="N1196" s="29" t="str">
        <f>IFERROR(__xludf.DUMMYFUNCTION("IF(M1196="""","""",QUERY({'Dashboard-Dados'!$Y$2:$AA$13},""Select Col2 Where Col1=""&amp;M1196))"),"")</f>
        <v/>
      </c>
      <c r="O1196" s="29" t="str">
        <f>IFERROR(__xludf.DUMMYFUNCTION("IF(ISBLANK(B1196),"""",IF(ISDATE(B1196),TEXT(B1196,""yyyy""),""""))"),"")</f>
        <v/>
      </c>
    </row>
    <row r="1197">
      <c r="B1197" s="62"/>
      <c r="C1197" s="56"/>
      <c r="D1197" s="56"/>
      <c r="E1197" s="56"/>
      <c r="F1197" s="63"/>
      <c r="G1197" s="64"/>
      <c r="H1197" s="65"/>
      <c r="I1197" s="63"/>
      <c r="K1197" s="53" t="str">
        <f>IFERROR(__xludf.DUMMYFUNCTION("IF(ISBLANK(B1197),"""",IF(ISDATE(B1197),""X"",""""))"),"")</f>
        <v/>
      </c>
      <c r="L1197" s="40" t="str">
        <f>IFERROR(__xludf.DUMMYFUNCTION("IF(ISBLANK(B1197),"""",IF(Or(I1197=""Em Aberto"",ISBLANK(I1197),NOT(ISDATE(B1197))),"""",H1197))"),"")</f>
        <v/>
      </c>
      <c r="M1197" s="29" t="str">
        <f>IFERROR(__xludf.DUMMYFUNCTION("IF(ISBLANK(B1197),"""",IF(ISDATE(B1197),TEXT(B1197,""m""),""""))"),"")</f>
        <v/>
      </c>
      <c r="N1197" s="29" t="str">
        <f>IFERROR(__xludf.DUMMYFUNCTION("IF(M1197="""","""",QUERY({'Dashboard-Dados'!$Y$2:$AA$13},""Select Col2 Where Col1=""&amp;M1197))"),"")</f>
        <v/>
      </c>
      <c r="O1197" s="29" t="str">
        <f>IFERROR(__xludf.DUMMYFUNCTION("IF(ISBLANK(B1197),"""",IF(ISDATE(B1197),TEXT(B1197,""yyyy""),""""))"),"")</f>
        <v/>
      </c>
    </row>
    <row r="1198">
      <c r="B1198" s="62"/>
      <c r="C1198" s="56"/>
      <c r="D1198" s="56"/>
      <c r="E1198" s="56"/>
      <c r="F1198" s="63"/>
      <c r="G1198" s="64"/>
      <c r="H1198" s="65"/>
      <c r="I1198" s="63"/>
      <c r="K1198" s="53" t="str">
        <f>IFERROR(__xludf.DUMMYFUNCTION("IF(ISBLANK(B1198),"""",IF(ISDATE(B1198),""X"",""""))"),"")</f>
        <v/>
      </c>
      <c r="L1198" s="40" t="str">
        <f>IFERROR(__xludf.DUMMYFUNCTION("IF(ISBLANK(B1198),"""",IF(Or(I1198=""Em Aberto"",ISBLANK(I1198),NOT(ISDATE(B1198))),"""",H1198))"),"")</f>
        <v/>
      </c>
      <c r="M1198" s="29" t="str">
        <f>IFERROR(__xludf.DUMMYFUNCTION("IF(ISBLANK(B1198),"""",IF(ISDATE(B1198),TEXT(B1198,""m""),""""))"),"")</f>
        <v/>
      </c>
      <c r="N1198" s="29" t="str">
        <f>IFERROR(__xludf.DUMMYFUNCTION("IF(M1198="""","""",QUERY({'Dashboard-Dados'!$Y$2:$AA$13},""Select Col2 Where Col1=""&amp;M1198))"),"")</f>
        <v/>
      </c>
      <c r="O1198" s="29" t="str">
        <f>IFERROR(__xludf.DUMMYFUNCTION("IF(ISBLANK(B1198),"""",IF(ISDATE(B1198),TEXT(B1198,""yyyy""),""""))"),"")</f>
        <v/>
      </c>
    </row>
    <row r="1199">
      <c r="B1199" s="62"/>
      <c r="C1199" s="56"/>
      <c r="D1199" s="56"/>
      <c r="E1199" s="56"/>
      <c r="F1199" s="63"/>
      <c r="G1199" s="64"/>
      <c r="H1199" s="65"/>
      <c r="I1199" s="63"/>
      <c r="K1199" s="53" t="str">
        <f>IFERROR(__xludf.DUMMYFUNCTION("IF(ISBLANK(B1199),"""",IF(ISDATE(B1199),""X"",""""))"),"")</f>
        <v/>
      </c>
      <c r="L1199" s="40" t="str">
        <f>IFERROR(__xludf.DUMMYFUNCTION("IF(ISBLANK(B1199),"""",IF(Or(I1199=""Em Aberto"",ISBLANK(I1199),NOT(ISDATE(B1199))),"""",H1199))"),"")</f>
        <v/>
      </c>
      <c r="M1199" s="29" t="str">
        <f>IFERROR(__xludf.DUMMYFUNCTION("IF(ISBLANK(B1199),"""",IF(ISDATE(B1199),TEXT(B1199,""m""),""""))"),"")</f>
        <v/>
      </c>
      <c r="N1199" s="29" t="str">
        <f>IFERROR(__xludf.DUMMYFUNCTION("IF(M1199="""","""",QUERY({'Dashboard-Dados'!$Y$2:$AA$13},""Select Col2 Where Col1=""&amp;M1199))"),"")</f>
        <v/>
      </c>
      <c r="O1199" s="29" t="str">
        <f>IFERROR(__xludf.DUMMYFUNCTION("IF(ISBLANK(B1199),"""",IF(ISDATE(B1199),TEXT(B1199,""yyyy""),""""))"),"")</f>
        <v/>
      </c>
    </row>
    <row r="1200">
      <c r="B1200" s="62"/>
      <c r="C1200" s="56"/>
      <c r="D1200" s="56"/>
      <c r="E1200" s="56"/>
      <c r="F1200" s="63"/>
      <c r="G1200" s="64"/>
      <c r="H1200" s="65"/>
      <c r="I1200" s="63"/>
      <c r="K1200" s="53" t="str">
        <f>IFERROR(__xludf.DUMMYFUNCTION("IF(ISBLANK(B1200),"""",IF(ISDATE(B1200),""X"",""""))"),"")</f>
        <v/>
      </c>
      <c r="L1200" s="40" t="str">
        <f>IFERROR(__xludf.DUMMYFUNCTION("IF(ISBLANK(B1200),"""",IF(Or(I1200=""Em Aberto"",ISBLANK(I1200),NOT(ISDATE(B1200))),"""",H1200))"),"")</f>
        <v/>
      </c>
      <c r="M1200" s="29" t="str">
        <f>IFERROR(__xludf.DUMMYFUNCTION("IF(ISBLANK(B1200),"""",IF(ISDATE(B1200),TEXT(B1200,""m""),""""))"),"")</f>
        <v/>
      </c>
      <c r="N1200" s="29" t="str">
        <f>IFERROR(__xludf.DUMMYFUNCTION("IF(M1200="""","""",QUERY({'Dashboard-Dados'!$Y$2:$AA$13},""Select Col2 Where Col1=""&amp;M1200))"),"")</f>
        <v/>
      </c>
      <c r="O1200" s="29" t="str">
        <f>IFERROR(__xludf.DUMMYFUNCTION("IF(ISBLANK(B1200),"""",IF(ISDATE(B1200),TEXT(B1200,""yyyy""),""""))"),"")</f>
        <v/>
      </c>
    </row>
    <row r="1201">
      <c r="B1201" s="62"/>
      <c r="C1201" s="56"/>
      <c r="D1201" s="56"/>
      <c r="E1201" s="56"/>
      <c r="F1201" s="63"/>
      <c r="G1201" s="64"/>
      <c r="H1201" s="65"/>
      <c r="I1201" s="63"/>
      <c r="K1201" s="53" t="str">
        <f>IFERROR(__xludf.DUMMYFUNCTION("IF(ISBLANK(B1201),"""",IF(ISDATE(B1201),""X"",""""))"),"")</f>
        <v/>
      </c>
      <c r="L1201" s="40" t="str">
        <f>IFERROR(__xludf.DUMMYFUNCTION("IF(ISBLANK(B1201),"""",IF(Or(I1201=""Em Aberto"",ISBLANK(I1201),NOT(ISDATE(B1201))),"""",H1201))"),"")</f>
        <v/>
      </c>
      <c r="M1201" s="29" t="str">
        <f>IFERROR(__xludf.DUMMYFUNCTION("IF(ISBLANK(B1201),"""",IF(ISDATE(B1201),TEXT(B1201,""m""),""""))"),"")</f>
        <v/>
      </c>
      <c r="N1201" s="29" t="str">
        <f>IFERROR(__xludf.DUMMYFUNCTION("IF(M1201="""","""",QUERY({'Dashboard-Dados'!$Y$2:$AA$13},""Select Col2 Where Col1=""&amp;M1201))"),"")</f>
        <v/>
      </c>
      <c r="O1201" s="29" t="str">
        <f>IFERROR(__xludf.DUMMYFUNCTION("IF(ISBLANK(B1201),"""",IF(ISDATE(B1201),TEXT(B1201,""yyyy""),""""))"),"")</f>
        <v/>
      </c>
    </row>
    <row r="1202">
      <c r="B1202" s="62"/>
      <c r="C1202" s="56"/>
      <c r="D1202" s="56"/>
      <c r="E1202" s="56"/>
      <c r="F1202" s="63"/>
      <c r="G1202" s="64"/>
      <c r="H1202" s="65"/>
      <c r="I1202" s="63"/>
      <c r="K1202" s="53" t="str">
        <f>IFERROR(__xludf.DUMMYFUNCTION("IF(ISBLANK(B1202),"""",IF(ISDATE(B1202),""X"",""""))"),"")</f>
        <v/>
      </c>
      <c r="L1202" s="40" t="str">
        <f>IFERROR(__xludf.DUMMYFUNCTION("IF(ISBLANK(B1202),"""",IF(Or(I1202=""Em Aberto"",ISBLANK(I1202),NOT(ISDATE(B1202))),"""",H1202))"),"")</f>
        <v/>
      </c>
      <c r="M1202" s="29" t="str">
        <f>IFERROR(__xludf.DUMMYFUNCTION("IF(ISBLANK(B1202),"""",IF(ISDATE(B1202),TEXT(B1202,""m""),""""))"),"")</f>
        <v/>
      </c>
      <c r="N1202" s="29" t="str">
        <f>IFERROR(__xludf.DUMMYFUNCTION("IF(M1202="""","""",QUERY({'Dashboard-Dados'!$Y$2:$AA$13},""Select Col2 Where Col1=""&amp;M1202))"),"")</f>
        <v/>
      </c>
      <c r="O1202" s="29" t="str">
        <f>IFERROR(__xludf.DUMMYFUNCTION("IF(ISBLANK(B1202),"""",IF(ISDATE(B1202),TEXT(B1202,""yyyy""),""""))"),"")</f>
        <v/>
      </c>
    </row>
    <row r="1203">
      <c r="B1203" s="62"/>
      <c r="C1203" s="56"/>
      <c r="D1203" s="56"/>
      <c r="E1203" s="56"/>
      <c r="F1203" s="63"/>
      <c r="G1203" s="64"/>
      <c r="H1203" s="65"/>
      <c r="I1203" s="63"/>
      <c r="K1203" s="53" t="str">
        <f>IFERROR(__xludf.DUMMYFUNCTION("IF(ISBLANK(B1203),"""",IF(ISDATE(B1203),""X"",""""))"),"")</f>
        <v/>
      </c>
      <c r="L1203" s="40" t="str">
        <f>IFERROR(__xludf.DUMMYFUNCTION("IF(ISBLANK(B1203),"""",IF(Or(I1203=""Em Aberto"",ISBLANK(I1203),NOT(ISDATE(B1203))),"""",H1203))"),"")</f>
        <v/>
      </c>
      <c r="M1203" s="29" t="str">
        <f>IFERROR(__xludf.DUMMYFUNCTION("IF(ISBLANK(B1203),"""",IF(ISDATE(B1203),TEXT(B1203,""m""),""""))"),"")</f>
        <v/>
      </c>
      <c r="N1203" s="29" t="str">
        <f>IFERROR(__xludf.DUMMYFUNCTION("IF(M1203="""","""",QUERY({'Dashboard-Dados'!$Y$2:$AA$13},""Select Col2 Where Col1=""&amp;M1203))"),"")</f>
        <v/>
      </c>
      <c r="O1203" s="29" t="str">
        <f>IFERROR(__xludf.DUMMYFUNCTION("IF(ISBLANK(B1203),"""",IF(ISDATE(B1203),TEXT(B1203,""yyyy""),""""))"),"")</f>
        <v/>
      </c>
    </row>
    <row r="1204">
      <c r="B1204" s="62"/>
      <c r="C1204" s="56"/>
      <c r="D1204" s="56"/>
      <c r="E1204" s="56"/>
      <c r="F1204" s="63"/>
      <c r="G1204" s="64"/>
      <c r="H1204" s="65"/>
      <c r="I1204" s="63"/>
      <c r="K1204" s="53" t="str">
        <f>IFERROR(__xludf.DUMMYFUNCTION("IF(ISBLANK(B1204),"""",IF(ISDATE(B1204),""X"",""""))"),"")</f>
        <v/>
      </c>
      <c r="L1204" s="40" t="str">
        <f>IFERROR(__xludf.DUMMYFUNCTION("IF(ISBLANK(B1204),"""",IF(Or(I1204=""Em Aberto"",ISBLANK(I1204),NOT(ISDATE(B1204))),"""",H1204))"),"")</f>
        <v/>
      </c>
      <c r="M1204" s="29" t="str">
        <f>IFERROR(__xludf.DUMMYFUNCTION("IF(ISBLANK(B1204),"""",IF(ISDATE(B1204),TEXT(B1204,""m""),""""))"),"")</f>
        <v/>
      </c>
      <c r="N1204" s="29" t="str">
        <f>IFERROR(__xludf.DUMMYFUNCTION("IF(M1204="""","""",QUERY({'Dashboard-Dados'!$Y$2:$AA$13},""Select Col2 Where Col1=""&amp;M1204))"),"")</f>
        <v/>
      </c>
      <c r="O1204" s="29" t="str">
        <f>IFERROR(__xludf.DUMMYFUNCTION("IF(ISBLANK(B1204),"""",IF(ISDATE(B1204),TEXT(B1204,""yyyy""),""""))"),"")</f>
        <v/>
      </c>
    </row>
    <row r="1205">
      <c r="B1205" s="62"/>
      <c r="C1205" s="56"/>
      <c r="D1205" s="56"/>
      <c r="E1205" s="56"/>
      <c r="F1205" s="63"/>
      <c r="G1205" s="64"/>
      <c r="H1205" s="65"/>
      <c r="I1205" s="63"/>
      <c r="K1205" s="53" t="str">
        <f>IFERROR(__xludf.DUMMYFUNCTION("IF(ISBLANK(B1205),"""",IF(ISDATE(B1205),""X"",""""))"),"")</f>
        <v/>
      </c>
      <c r="L1205" s="40" t="str">
        <f>IFERROR(__xludf.DUMMYFUNCTION("IF(ISBLANK(B1205),"""",IF(Or(I1205=""Em Aberto"",ISBLANK(I1205),NOT(ISDATE(B1205))),"""",H1205))"),"")</f>
        <v/>
      </c>
      <c r="M1205" s="29" t="str">
        <f>IFERROR(__xludf.DUMMYFUNCTION("IF(ISBLANK(B1205),"""",IF(ISDATE(B1205),TEXT(B1205,""m""),""""))"),"")</f>
        <v/>
      </c>
      <c r="N1205" s="29" t="str">
        <f>IFERROR(__xludf.DUMMYFUNCTION("IF(M1205="""","""",QUERY({'Dashboard-Dados'!$Y$2:$AA$13},""Select Col2 Where Col1=""&amp;M1205))"),"")</f>
        <v/>
      </c>
      <c r="O1205" s="29" t="str">
        <f>IFERROR(__xludf.DUMMYFUNCTION("IF(ISBLANK(B1205),"""",IF(ISDATE(B1205),TEXT(B1205,""yyyy""),""""))"),"")</f>
        <v/>
      </c>
    </row>
    <row r="1206">
      <c r="B1206" s="62"/>
      <c r="C1206" s="56"/>
      <c r="D1206" s="56"/>
      <c r="E1206" s="56"/>
      <c r="F1206" s="63"/>
      <c r="G1206" s="64"/>
      <c r="H1206" s="65"/>
      <c r="I1206" s="63"/>
      <c r="K1206" s="53" t="str">
        <f>IFERROR(__xludf.DUMMYFUNCTION("IF(ISBLANK(B1206),"""",IF(ISDATE(B1206),""X"",""""))"),"")</f>
        <v/>
      </c>
      <c r="L1206" s="40" t="str">
        <f>IFERROR(__xludf.DUMMYFUNCTION("IF(ISBLANK(B1206),"""",IF(Or(I1206=""Em Aberto"",ISBLANK(I1206),NOT(ISDATE(B1206))),"""",H1206))"),"")</f>
        <v/>
      </c>
      <c r="M1206" s="29" t="str">
        <f>IFERROR(__xludf.DUMMYFUNCTION("IF(ISBLANK(B1206),"""",IF(ISDATE(B1206),TEXT(B1206,""m""),""""))"),"")</f>
        <v/>
      </c>
      <c r="N1206" s="29" t="str">
        <f>IFERROR(__xludf.DUMMYFUNCTION("IF(M1206="""","""",QUERY({'Dashboard-Dados'!$Y$2:$AA$13},""Select Col2 Where Col1=""&amp;M1206))"),"")</f>
        <v/>
      </c>
      <c r="O1206" s="29" t="str">
        <f>IFERROR(__xludf.DUMMYFUNCTION("IF(ISBLANK(B1206),"""",IF(ISDATE(B1206),TEXT(B1206,""yyyy""),""""))"),"")</f>
        <v/>
      </c>
    </row>
    <row r="1207">
      <c r="B1207" s="62"/>
      <c r="C1207" s="56"/>
      <c r="D1207" s="56"/>
      <c r="E1207" s="56"/>
      <c r="F1207" s="63"/>
      <c r="G1207" s="64"/>
      <c r="H1207" s="65"/>
      <c r="I1207" s="63"/>
      <c r="K1207" s="53" t="str">
        <f>IFERROR(__xludf.DUMMYFUNCTION("IF(ISBLANK(B1207),"""",IF(ISDATE(B1207),""X"",""""))"),"")</f>
        <v/>
      </c>
      <c r="L1207" s="40" t="str">
        <f>IFERROR(__xludf.DUMMYFUNCTION("IF(ISBLANK(B1207),"""",IF(Or(I1207=""Em Aberto"",ISBLANK(I1207),NOT(ISDATE(B1207))),"""",H1207))"),"")</f>
        <v/>
      </c>
      <c r="M1207" s="29" t="str">
        <f>IFERROR(__xludf.DUMMYFUNCTION("IF(ISBLANK(B1207),"""",IF(ISDATE(B1207),TEXT(B1207,""m""),""""))"),"")</f>
        <v/>
      </c>
      <c r="N1207" s="29" t="str">
        <f>IFERROR(__xludf.DUMMYFUNCTION("IF(M1207="""","""",QUERY({'Dashboard-Dados'!$Y$2:$AA$13},""Select Col2 Where Col1=""&amp;M1207))"),"")</f>
        <v/>
      </c>
      <c r="O1207" s="29" t="str">
        <f>IFERROR(__xludf.DUMMYFUNCTION("IF(ISBLANK(B1207),"""",IF(ISDATE(B1207),TEXT(B1207,""yyyy""),""""))"),"")</f>
        <v/>
      </c>
    </row>
    <row r="1208">
      <c r="B1208" s="62"/>
      <c r="C1208" s="56"/>
      <c r="D1208" s="56"/>
      <c r="E1208" s="56"/>
      <c r="F1208" s="63"/>
      <c r="G1208" s="64"/>
      <c r="H1208" s="65"/>
      <c r="I1208" s="63"/>
      <c r="K1208" s="53" t="str">
        <f>IFERROR(__xludf.DUMMYFUNCTION("IF(ISBLANK(B1208),"""",IF(ISDATE(B1208),""X"",""""))"),"")</f>
        <v/>
      </c>
      <c r="L1208" s="40" t="str">
        <f>IFERROR(__xludf.DUMMYFUNCTION("IF(ISBLANK(B1208),"""",IF(Or(I1208=""Em Aberto"",ISBLANK(I1208),NOT(ISDATE(B1208))),"""",H1208))"),"")</f>
        <v/>
      </c>
      <c r="M1208" s="29" t="str">
        <f>IFERROR(__xludf.DUMMYFUNCTION("IF(ISBLANK(B1208),"""",IF(ISDATE(B1208),TEXT(B1208,""m""),""""))"),"")</f>
        <v/>
      </c>
      <c r="N1208" s="29" t="str">
        <f>IFERROR(__xludf.DUMMYFUNCTION("IF(M1208="""","""",QUERY({'Dashboard-Dados'!$Y$2:$AA$13},""Select Col2 Where Col1=""&amp;M1208))"),"")</f>
        <v/>
      </c>
      <c r="O1208" s="29" t="str">
        <f>IFERROR(__xludf.DUMMYFUNCTION("IF(ISBLANK(B1208),"""",IF(ISDATE(B1208),TEXT(B1208,""yyyy""),""""))"),"")</f>
        <v/>
      </c>
    </row>
    <row r="1209">
      <c r="B1209" s="62"/>
      <c r="C1209" s="56"/>
      <c r="D1209" s="56"/>
      <c r="E1209" s="56"/>
      <c r="F1209" s="63"/>
      <c r="G1209" s="64"/>
      <c r="H1209" s="65"/>
      <c r="I1209" s="63"/>
      <c r="K1209" s="53" t="str">
        <f>IFERROR(__xludf.DUMMYFUNCTION("IF(ISBLANK(B1209),"""",IF(ISDATE(B1209),""X"",""""))"),"")</f>
        <v/>
      </c>
      <c r="L1209" s="40" t="str">
        <f>IFERROR(__xludf.DUMMYFUNCTION("IF(ISBLANK(B1209),"""",IF(Or(I1209=""Em Aberto"",ISBLANK(I1209),NOT(ISDATE(B1209))),"""",H1209))"),"")</f>
        <v/>
      </c>
      <c r="M1209" s="29" t="str">
        <f>IFERROR(__xludf.DUMMYFUNCTION("IF(ISBLANK(B1209),"""",IF(ISDATE(B1209),TEXT(B1209,""m""),""""))"),"")</f>
        <v/>
      </c>
      <c r="N1209" s="29" t="str">
        <f>IFERROR(__xludf.DUMMYFUNCTION("IF(M1209="""","""",QUERY({'Dashboard-Dados'!$Y$2:$AA$13},""Select Col2 Where Col1=""&amp;M1209))"),"")</f>
        <v/>
      </c>
      <c r="O1209" s="29" t="str">
        <f>IFERROR(__xludf.DUMMYFUNCTION("IF(ISBLANK(B1209),"""",IF(ISDATE(B1209),TEXT(B1209,""yyyy""),""""))"),"")</f>
        <v/>
      </c>
    </row>
    <row r="1210">
      <c r="B1210" s="62"/>
      <c r="C1210" s="56"/>
      <c r="D1210" s="56"/>
      <c r="E1210" s="56"/>
      <c r="F1210" s="63"/>
      <c r="G1210" s="64"/>
      <c r="H1210" s="65"/>
      <c r="I1210" s="63"/>
      <c r="K1210" s="53" t="str">
        <f>IFERROR(__xludf.DUMMYFUNCTION("IF(ISBLANK(B1210),"""",IF(ISDATE(B1210),""X"",""""))"),"")</f>
        <v/>
      </c>
      <c r="L1210" s="40" t="str">
        <f>IFERROR(__xludf.DUMMYFUNCTION("IF(ISBLANK(B1210),"""",IF(Or(I1210=""Em Aberto"",ISBLANK(I1210),NOT(ISDATE(B1210))),"""",H1210))"),"")</f>
        <v/>
      </c>
      <c r="M1210" s="29" t="str">
        <f>IFERROR(__xludf.DUMMYFUNCTION("IF(ISBLANK(B1210),"""",IF(ISDATE(B1210),TEXT(B1210,""m""),""""))"),"")</f>
        <v/>
      </c>
      <c r="N1210" s="29" t="str">
        <f>IFERROR(__xludf.DUMMYFUNCTION("IF(M1210="""","""",QUERY({'Dashboard-Dados'!$Y$2:$AA$13},""Select Col2 Where Col1=""&amp;M1210))"),"")</f>
        <v/>
      </c>
      <c r="O1210" s="29" t="str">
        <f>IFERROR(__xludf.DUMMYFUNCTION("IF(ISBLANK(B1210),"""",IF(ISDATE(B1210),TEXT(B1210,""yyyy""),""""))"),"")</f>
        <v/>
      </c>
    </row>
    <row r="1211">
      <c r="B1211" s="62"/>
      <c r="C1211" s="56"/>
      <c r="D1211" s="56"/>
      <c r="E1211" s="56"/>
      <c r="F1211" s="63"/>
      <c r="G1211" s="64"/>
      <c r="H1211" s="65"/>
      <c r="I1211" s="63"/>
      <c r="K1211" s="53" t="str">
        <f>IFERROR(__xludf.DUMMYFUNCTION("IF(ISBLANK(B1211),"""",IF(ISDATE(B1211),""X"",""""))"),"")</f>
        <v/>
      </c>
      <c r="L1211" s="40" t="str">
        <f>IFERROR(__xludf.DUMMYFUNCTION("IF(ISBLANK(B1211),"""",IF(Or(I1211=""Em Aberto"",ISBLANK(I1211),NOT(ISDATE(B1211))),"""",H1211))"),"")</f>
        <v/>
      </c>
      <c r="M1211" s="29" t="str">
        <f>IFERROR(__xludf.DUMMYFUNCTION("IF(ISBLANK(B1211),"""",IF(ISDATE(B1211),TEXT(B1211,""m""),""""))"),"")</f>
        <v/>
      </c>
      <c r="N1211" s="29" t="str">
        <f>IFERROR(__xludf.DUMMYFUNCTION("IF(M1211="""","""",QUERY({'Dashboard-Dados'!$Y$2:$AA$13},""Select Col2 Where Col1=""&amp;M1211))"),"")</f>
        <v/>
      </c>
      <c r="O1211" s="29" t="str">
        <f>IFERROR(__xludf.DUMMYFUNCTION("IF(ISBLANK(B1211),"""",IF(ISDATE(B1211),TEXT(B1211,""yyyy""),""""))"),"")</f>
        <v/>
      </c>
    </row>
    <row r="1212">
      <c r="B1212" s="62"/>
      <c r="C1212" s="56"/>
      <c r="D1212" s="56"/>
      <c r="E1212" s="56"/>
      <c r="F1212" s="63"/>
      <c r="G1212" s="64"/>
      <c r="H1212" s="65"/>
      <c r="I1212" s="63"/>
      <c r="K1212" s="53" t="str">
        <f>IFERROR(__xludf.DUMMYFUNCTION("IF(ISBLANK(B1212),"""",IF(ISDATE(B1212),""X"",""""))"),"")</f>
        <v/>
      </c>
      <c r="L1212" s="40" t="str">
        <f>IFERROR(__xludf.DUMMYFUNCTION("IF(ISBLANK(B1212),"""",IF(Or(I1212=""Em Aberto"",ISBLANK(I1212),NOT(ISDATE(B1212))),"""",H1212))"),"")</f>
        <v/>
      </c>
      <c r="M1212" s="29" t="str">
        <f>IFERROR(__xludf.DUMMYFUNCTION("IF(ISBLANK(B1212),"""",IF(ISDATE(B1212),TEXT(B1212,""m""),""""))"),"")</f>
        <v/>
      </c>
      <c r="N1212" s="29" t="str">
        <f>IFERROR(__xludf.DUMMYFUNCTION("IF(M1212="""","""",QUERY({'Dashboard-Dados'!$Y$2:$AA$13},""Select Col2 Where Col1=""&amp;M1212))"),"")</f>
        <v/>
      </c>
      <c r="O1212" s="29" t="str">
        <f>IFERROR(__xludf.DUMMYFUNCTION("IF(ISBLANK(B1212),"""",IF(ISDATE(B1212),TEXT(B1212,""yyyy""),""""))"),"")</f>
        <v/>
      </c>
    </row>
    <row r="1213">
      <c r="B1213" s="62"/>
      <c r="C1213" s="56"/>
      <c r="D1213" s="56"/>
      <c r="E1213" s="56"/>
      <c r="F1213" s="63"/>
      <c r="G1213" s="64"/>
      <c r="H1213" s="65"/>
      <c r="I1213" s="63"/>
      <c r="K1213" s="53" t="str">
        <f>IFERROR(__xludf.DUMMYFUNCTION("IF(ISBLANK(B1213),"""",IF(ISDATE(B1213),""X"",""""))"),"")</f>
        <v/>
      </c>
      <c r="L1213" s="40" t="str">
        <f>IFERROR(__xludf.DUMMYFUNCTION("IF(ISBLANK(B1213),"""",IF(Or(I1213=""Em Aberto"",ISBLANK(I1213),NOT(ISDATE(B1213))),"""",H1213))"),"")</f>
        <v/>
      </c>
      <c r="M1213" s="29" t="str">
        <f>IFERROR(__xludf.DUMMYFUNCTION("IF(ISBLANK(B1213),"""",IF(ISDATE(B1213),TEXT(B1213,""m""),""""))"),"")</f>
        <v/>
      </c>
      <c r="N1213" s="29" t="str">
        <f>IFERROR(__xludf.DUMMYFUNCTION("IF(M1213="""","""",QUERY({'Dashboard-Dados'!$Y$2:$AA$13},""Select Col2 Where Col1=""&amp;M1213))"),"")</f>
        <v/>
      </c>
      <c r="O1213" s="29" t="str">
        <f>IFERROR(__xludf.DUMMYFUNCTION("IF(ISBLANK(B1213),"""",IF(ISDATE(B1213),TEXT(B1213,""yyyy""),""""))"),"")</f>
        <v/>
      </c>
    </row>
    <row r="1214">
      <c r="B1214" s="62"/>
      <c r="C1214" s="56"/>
      <c r="D1214" s="56"/>
      <c r="E1214" s="56"/>
      <c r="F1214" s="63"/>
      <c r="G1214" s="64"/>
      <c r="H1214" s="65"/>
      <c r="I1214" s="63"/>
      <c r="K1214" s="53" t="str">
        <f>IFERROR(__xludf.DUMMYFUNCTION("IF(ISBLANK(B1214),"""",IF(ISDATE(B1214),""X"",""""))"),"")</f>
        <v/>
      </c>
      <c r="L1214" s="40" t="str">
        <f>IFERROR(__xludf.DUMMYFUNCTION("IF(ISBLANK(B1214),"""",IF(Or(I1214=""Em Aberto"",ISBLANK(I1214),NOT(ISDATE(B1214))),"""",H1214))"),"")</f>
        <v/>
      </c>
      <c r="M1214" s="29" t="str">
        <f>IFERROR(__xludf.DUMMYFUNCTION("IF(ISBLANK(B1214),"""",IF(ISDATE(B1214),TEXT(B1214,""m""),""""))"),"")</f>
        <v/>
      </c>
      <c r="N1214" s="29" t="str">
        <f>IFERROR(__xludf.DUMMYFUNCTION("IF(M1214="""","""",QUERY({'Dashboard-Dados'!$Y$2:$AA$13},""Select Col2 Where Col1=""&amp;M1214))"),"")</f>
        <v/>
      </c>
      <c r="O1214" s="29" t="str">
        <f>IFERROR(__xludf.DUMMYFUNCTION("IF(ISBLANK(B1214),"""",IF(ISDATE(B1214),TEXT(B1214,""yyyy""),""""))"),"")</f>
        <v/>
      </c>
    </row>
    <row r="1215">
      <c r="B1215" s="62"/>
      <c r="C1215" s="56"/>
      <c r="D1215" s="56"/>
      <c r="E1215" s="56"/>
      <c r="F1215" s="63"/>
      <c r="G1215" s="64"/>
      <c r="H1215" s="65"/>
      <c r="I1215" s="63"/>
      <c r="K1215" s="53" t="str">
        <f>IFERROR(__xludf.DUMMYFUNCTION("IF(ISBLANK(B1215),"""",IF(ISDATE(B1215),""X"",""""))"),"")</f>
        <v/>
      </c>
      <c r="L1215" s="40" t="str">
        <f>IFERROR(__xludf.DUMMYFUNCTION("IF(ISBLANK(B1215),"""",IF(Or(I1215=""Em Aberto"",ISBLANK(I1215),NOT(ISDATE(B1215))),"""",H1215))"),"")</f>
        <v/>
      </c>
      <c r="M1215" s="29" t="str">
        <f>IFERROR(__xludf.DUMMYFUNCTION("IF(ISBLANK(B1215),"""",IF(ISDATE(B1215),TEXT(B1215,""m""),""""))"),"")</f>
        <v/>
      </c>
      <c r="N1215" s="29" t="str">
        <f>IFERROR(__xludf.DUMMYFUNCTION("IF(M1215="""","""",QUERY({'Dashboard-Dados'!$Y$2:$AA$13},""Select Col2 Where Col1=""&amp;M1215))"),"")</f>
        <v/>
      </c>
      <c r="O1215" s="29" t="str">
        <f>IFERROR(__xludf.DUMMYFUNCTION("IF(ISBLANK(B1215),"""",IF(ISDATE(B1215),TEXT(B1215,""yyyy""),""""))"),"")</f>
        <v/>
      </c>
    </row>
    <row r="1216">
      <c r="B1216" s="62"/>
      <c r="C1216" s="56"/>
      <c r="D1216" s="56"/>
      <c r="E1216" s="56"/>
      <c r="F1216" s="63"/>
      <c r="G1216" s="64"/>
      <c r="H1216" s="65"/>
      <c r="I1216" s="63"/>
      <c r="K1216" s="53" t="str">
        <f>IFERROR(__xludf.DUMMYFUNCTION("IF(ISBLANK(B1216),"""",IF(ISDATE(B1216),""X"",""""))"),"")</f>
        <v/>
      </c>
      <c r="L1216" s="40" t="str">
        <f>IFERROR(__xludf.DUMMYFUNCTION("IF(ISBLANK(B1216),"""",IF(Or(I1216=""Em Aberto"",ISBLANK(I1216),NOT(ISDATE(B1216))),"""",H1216))"),"")</f>
        <v/>
      </c>
      <c r="M1216" s="29" t="str">
        <f>IFERROR(__xludf.DUMMYFUNCTION("IF(ISBLANK(B1216),"""",IF(ISDATE(B1216),TEXT(B1216,""m""),""""))"),"")</f>
        <v/>
      </c>
      <c r="N1216" s="29" t="str">
        <f>IFERROR(__xludf.DUMMYFUNCTION("IF(M1216="""","""",QUERY({'Dashboard-Dados'!$Y$2:$AA$13},""Select Col2 Where Col1=""&amp;M1216))"),"")</f>
        <v/>
      </c>
      <c r="O1216" s="29" t="str">
        <f>IFERROR(__xludf.DUMMYFUNCTION("IF(ISBLANK(B1216),"""",IF(ISDATE(B1216),TEXT(B1216,""yyyy""),""""))"),"")</f>
        <v/>
      </c>
    </row>
    <row r="1217">
      <c r="B1217" s="62"/>
      <c r="C1217" s="56"/>
      <c r="D1217" s="56"/>
      <c r="E1217" s="56"/>
      <c r="F1217" s="63"/>
      <c r="G1217" s="64"/>
      <c r="H1217" s="65"/>
      <c r="I1217" s="63"/>
      <c r="K1217" s="53" t="str">
        <f>IFERROR(__xludf.DUMMYFUNCTION("IF(ISBLANK(B1217),"""",IF(ISDATE(B1217),""X"",""""))"),"")</f>
        <v/>
      </c>
      <c r="L1217" s="40" t="str">
        <f>IFERROR(__xludf.DUMMYFUNCTION("IF(ISBLANK(B1217),"""",IF(Or(I1217=""Em Aberto"",ISBLANK(I1217),NOT(ISDATE(B1217))),"""",H1217))"),"")</f>
        <v/>
      </c>
      <c r="M1217" s="29" t="str">
        <f>IFERROR(__xludf.DUMMYFUNCTION("IF(ISBLANK(B1217),"""",IF(ISDATE(B1217),TEXT(B1217,""m""),""""))"),"")</f>
        <v/>
      </c>
      <c r="N1217" s="29" t="str">
        <f>IFERROR(__xludf.DUMMYFUNCTION("IF(M1217="""","""",QUERY({'Dashboard-Dados'!$Y$2:$AA$13},""Select Col2 Where Col1=""&amp;M1217))"),"")</f>
        <v/>
      </c>
      <c r="O1217" s="29" t="str">
        <f>IFERROR(__xludf.DUMMYFUNCTION("IF(ISBLANK(B1217),"""",IF(ISDATE(B1217),TEXT(B1217,""yyyy""),""""))"),"")</f>
        <v/>
      </c>
    </row>
    <row r="1218">
      <c r="B1218" s="62"/>
      <c r="C1218" s="56"/>
      <c r="D1218" s="56"/>
      <c r="E1218" s="56"/>
      <c r="F1218" s="63"/>
      <c r="G1218" s="64"/>
      <c r="H1218" s="65"/>
      <c r="I1218" s="63"/>
      <c r="K1218" s="53" t="str">
        <f>IFERROR(__xludf.DUMMYFUNCTION("IF(ISBLANK(B1218),"""",IF(ISDATE(B1218),""X"",""""))"),"")</f>
        <v/>
      </c>
      <c r="L1218" s="40" t="str">
        <f>IFERROR(__xludf.DUMMYFUNCTION("IF(ISBLANK(B1218),"""",IF(Or(I1218=""Em Aberto"",ISBLANK(I1218),NOT(ISDATE(B1218))),"""",H1218))"),"")</f>
        <v/>
      </c>
      <c r="M1218" s="29" t="str">
        <f>IFERROR(__xludf.DUMMYFUNCTION("IF(ISBLANK(B1218),"""",IF(ISDATE(B1218),TEXT(B1218,""m""),""""))"),"")</f>
        <v/>
      </c>
      <c r="N1218" s="29" t="str">
        <f>IFERROR(__xludf.DUMMYFUNCTION("IF(M1218="""","""",QUERY({'Dashboard-Dados'!$Y$2:$AA$13},""Select Col2 Where Col1=""&amp;M1218))"),"")</f>
        <v/>
      </c>
      <c r="O1218" s="29" t="str">
        <f>IFERROR(__xludf.DUMMYFUNCTION("IF(ISBLANK(B1218),"""",IF(ISDATE(B1218),TEXT(B1218,""yyyy""),""""))"),"")</f>
        <v/>
      </c>
    </row>
    <row r="1219">
      <c r="B1219" s="62"/>
      <c r="C1219" s="56"/>
      <c r="D1219" s="56"/>
      <c r="E1219" s="56"/>
      <c r="F1219" s="63"/>
      <c r="G1219" s="64"/>
      <c r="H1219" s="65"/>
      <c r="I1219" s="63"/>
      <c r="K1219" s="53" t="str">
        <f>IFERROR(__xludf.DUMMYFUNCTION("IF(ISBLANK(B1219),"""",IF(ISDATE(B1219),""X"",""""))"),"")</f>
        <v/>
      </c>
      <c r="L1219" s="40" t="str">
        <f>IFERROR(__xludf.DUMMYFUNCTION("IF(ISBLANK(B1219),"""",IF(Or(I1219=""Em Aberto"",ISBLANK(I1219),NOT(ISDATE(B1219))),"""",H1219))"),"")</f>
        <v/>
      </c>
      <c r="M1219" s="29" t="str">
        <f>IFERROR(__xludf.DUMMYFUNCTION("IF(ISBLANK(B1219),"""",IF(ISDATE(B1219),TEXT(B1219,""m""),""""))"),"")</f>
        <v/>
      </c>
      <c r="N1219" s="29" t="str">
        <f>IFERROR(__xludf.DUMMYFUNCTION("IF(M1219="""","""",QUERY({'Dashboard-Dados'!$Y$2:$AA$13},""Select Col2 Where Col1=""&amp;M1219))"),"")</f>
        <v/>
      </c>
      <c r="O1219" s="29" t="str">
        <f>IFERROR(__xludf.DUMMYFUNCTION("IF(ISBLANK(B1219),"""",IF(ISDATE(B1219),TEXT(B1219,""yyyy""),""""))"),"")</f>
        <v/>
      </c>
    </row>
    <row r="1220">
      <c r="B1220" s="62"/>
      <c r="C1220" s="56"/>
      <c r="D1220" s="56"/>
      <c r="E1220" s="56"/>
      <c r="F1220" s="63"/>
      <c r="G1220" s="64"/>
      <c r="H1220" s="65"/>
      <c r="I1220" s="63"/>
      <c r="K1220" s="53" t="str">
        <f>IFERROR(__xludf.DUMMYFUNCTION("IF(ISBLANK(B1220),"""",IF(ISDATE(B1220),""X"",""""))"),"")</f>
        <v/>
      </c>
      <c r="L1220" s="40" t="str">
        <f>IFERROR(__xludf.DUMMYFUNCTION("IF(ISBLANK(B1220),"""",IF(Or(I1220=""Em Aberto"",ISBLANK(I1220),NOT(ISDATE(B1220))),"""",H1220))"),"")</f>
        <v/>
      </c>
      <c r="M1220" s="29" t="str">
        <f>IFERROR(__xludf.DUMMYFUNCTION("IF(ISBLANK(B1220),"""",IF(ISDATE(B1220),TEXT(B1220,""m""),""""))"),"")</f>
        <v/>
      </c>
      <c r="N1220" s="29" t="str">
        <f>IFERROR(__xludf.DUMMYFUNCTION("IF(M1220="""","""",QUERY({'Dashboard-Dados'!$Y$2:$AA$13},""Select Col2 Where Col1=""&amp;M1220))"),"")</f>
        <v/>
      </c>
      <c r="O1220" s="29" t="str">
        <f>IFERROR(__xludf.DUMMYFUNCTION("IF(ISBLANK(B1220),"""",IF(ISDATE(B1220),TEXT(B1220,""yyyy""),""""))"),"")</f>
        <v/>
      </c>
    </row>
    <row r="1221">
      <c r="B1221" s="62"/>
      <c r="C1221" s="56"/>
      <c r="D1221" s="56"/>
      <c r="E1221" s="56"/>
      <c r="F1221" s="63"/>
      <c r="G1221" s="64"/>
      <c r="H1221" s="65"/>
      <c r="I1221" s="63"/>
      <c r="K1221" s="53" t="str">
        <f>IFERROR(__xludf.DUMMYFUNCTION("IF(ISBLANK(B1221),"""",IF(ISDATE(B1221),""X"",""""))"),"")</f>
        <v/>
      </c>
      <c r="L1221" s="40" t="str">
        <f>IFERROR(__xludf.DUMMYFUNCTION("IF(ISBLANK(B1221),"""",IF(Or(I1221=""Em Aberto"",ISBLANK(I1221),NOT(ISDATE(B1221))),"""",H1221))"),"")</f>
        <v/>
      </c>
      <c r="M1221" s="29" t="str">
        <f>IFERROR(__xludf.DUMMYFUNCTION("IF(ISBLANK(B1221),"""",IF(ISDATE(B1221),TEXT(B1221,""m""),""""))"),"")</f>
        <v/>
      </c>
      <c r="N1221" s="29" t="str">
        <f>IFERROR(__xludf.DUMMYFUNCTION("IF(M1221="""","""",QUERY({'Dashboard-Dados'!$Y$2:$AA$13},""Select Col2 Where Col1=""&amp;M1221))"),"")</f>
        <v/>
      </c>
      <c r="O1221" s="29" t="str">
        <f>IFERROR(__xludf.DUMMYFUNCTION("IF(ISBLANK(B1221),"""",IF(ISDATE(B1221),TEXT(B1221,""yyyy""),""""))"),"")</f>
        <v/>
      </c>
    </row>
    <row r="1222">
      <c r="B1222" s="62"/>
      <c r="C1222" s="56"/>
      <c r="D1222" s="56"/>
      <c r="E1222" s="56"/>
      <c r="F1222" s="63"/>
      <c r="G1222" s="64"/>
      <c r="H1222" s="65"/>
      <c r="I1222" s="63"/>
      <c r="K1222" s="53" t="str">
        <f>IFERROR(__xludf.DUMMYFUNCTION("IF(ISBLANK(B1222),"""",IF(ISDATE(B1222),""X"",""""))"),"")</f>
        <v/>
      </c>
      <c r="L1222" s="40" t="str">
        <f>IFERROR(__xludf.DUMMYFUNCTION("IF(ISBLANK(B1222),"""",IF(Or(I1222=""Em Aberto"",ISBLANK(I1222),NOT(ISDATE(B1222))),"""",H1222))"),"")</f>
        <v/>
      </c>
      <c r="M1222" s="29" t="str">
        <f>IFERROR(__xludf.DUMMYFUNCTION("IF(ISBLANK(B1222),"""",IF(ISDATE(B1222),TEXT(B1222,""m""),""""))"),"")</f>
        <v/>
      </c>
      <c r="N1222" s="29" t="str">
        <f>IFERROR(__xludf.DUMMYFUNCTION("IF(M1222="""","""",QUERY({'Dashboard-Dados'!$Y$2:$AA$13},""Select Col2 Where Col1=""&amp;M1222))"),"")</f>
        <v/>
      </c>
      <c r="O1222" s="29" t="str">
        <f>IFERROR(__xludf.DUMMYFUNCTION("IF(ISBLANK(B1222),"""",IF(ISDATE(B1222),TEXT(B1222,""yyyy""),""""))"),"")</f>
        <v/>
      </c>
    </row>
    <row r="1223">
      <c r="B1223" s="62"/>
      <c r="C1223" s="56"/>
      <c r="D1223" s="56"/>
      <c r="E1223" s="56"/>
      <c r="F1223" s="63"/>
      <c r="G1223" s="64"/>
      <c r="H1223" s="65"/>
      <c r="I1223" s="63"/>
      <c r="K1223" s="53" t="str">
        <f>IFERROR(__xludf.DUMMYFUNCTION("IF(ISBLANK(B1223),"""",IF(ISDATE(B1223),""X"",""""))"),"")</f>
        <v/>
      </c>
      <c r="L1223" s="40" t="str">
        <f>IFERROR(__xludf.DUMMYFUNCTION("IF(ISBLANK(B1223),"""",IF(Or(I1223=""Em Aberto"",ISBLANK(I1223),NOT(ISDATE(B1223))),"""",H1223))"),"")</f>
        <v/>
      </c>
      <c r="M1223" s="29" t="str">
        <f>IFERROR(__xludf.DUMMYFUNCTION("IF(ISBLANK(B1223),"""",IF(ISDATE(B1223),TEXT(B1223,""m""),""""))"),"")</f>
        <v/>
      </c>
      <c r="N1223" s="29" t="str">
        <f>IFERROR(__xludf.DUMMYFUNCTION("IF(M1223="""","""",QUERY({'Dashboard-Dados'!$Y$2:$AA$13},""Select Col2 Where Col1=""&amp;M1223))"),"")</f>
        <v/>
      </c>
      <c r="O1223" s="29" t="str">
        <f>IFERROR(__xludf.DUMMYFUNCTION("IF(ISBLANK(B1223),"""",IF(ISDATE(B1223),TEXT(B1223,""yyyy""),""""))"),"")</f>
        <v/>
      </c>
    </row>
    <row r="1224">
      <c r="B1224" s="62"/>
      <c r="C1224" s="56"/>
      <c r="D1224" s="56"/>
      <c r="E1224" s="56"/>
      <c r="F1224" s="63"/>
      <c r="G1224" s="64"/>
      <c r="H1224" s="65"/>
      <c r="I1224" s="63"/>
      <c r="K1224" s="53" t="str">
        <f>IFERROR(__xludf.DUMMYFUNCTION("IF(ISBLANK(B1224),"""",IF(ISDATE(B1224),""X"",""""))"),"")</f>
        <v/>
      </c>
      <c r="L1224" s="40" t="str">
        <f>IFERROR(__xludf.DUMMYFUNCTION("IF(ISBLANK(B1224),"""",IF(Or(I1224=""Em Aberto"",ISBLANK(I1224),NOT(ISDATE(B1224))),"""",H1224))"),"")</f>
        <v/>
      </c>
      <c r="M1224" s="29" t="str">
        <f>IFERROR(__xludf.DUMMYFUNCTION("IF(ISBLANK(B1224),"""",IF(ISDATE(B1224),TEXT(B1224,""m""),""""))"),"")</f>
        <v/>
      </c>
      <c r="N1224" s="29" t="str">
        <f>IFERROR(__xludf.DUMMYFUNCTION("IF(M1224="""","""",QUERY({'Dashboard-Dados'!$Y$2:$AA$13},""Select Col2 Where Col1=""&amp;M1224))"),"")</f>
        <v/>
      </c>
      <c r="O1224" s="29" t="str">
        <f>IFERROR(__xludf.DUMMYFUNCTION("IF(ISBLANK(B1224),"""",IF(ISDATE(B1224),TEXT(B1224,""yyyy""),""""))"),"")</f>
        <v/>
      </c>
    </row>
    <row r="1225">
      <c r="B1225" s="62"/>
      <c r="C1225" s="56"/>
      <c r="D1225" s="56"/>
      <c r="E1225" s="56"/>
      <c r="F1225" s="63"/>
      <c r="G1225" s="64"/>
      <c r="H1225" s="65"/>
      <c r="I1225" s="63"/>
      <c r="K1225" s="53" t="str">
        <f>IFERROR(__xludf.DUMMYFUNCTION("IF(ISBLANK(B1225),"""",IF(ISDATE(B1225),""X"",""""))"),"")</f>
        <v/>
      </c>
      <c r="L1225" s="40" t="str">
        <f>IFERROR(__xludf.DUMMYFUNCTION("IF(ISBLANK(B1225),"""",IF(Or(I1225=""Em Aberto"",ISBLANK(I1225),NOT(ISDATE(B1225))),"""",H1225))"),"")</f>
        <v/>
      </c>
      <c r="M1225" s="29" t="str">
        <f>IFERROR(__xludf.DUMMYFUNCTION("IF(ISBLANK(B1225),"""",IF(ISDATE(B1225),TEXT(B1225,""m""),""""))"),"")</f>
        <v/>
      </c>
      <c r="N1225" s="29" t="str">
        <f>IFERROR(__xludf.DUMMYFUNCTION("IF(M1225="""","""",QUERY({'Dashboard-Dados'!$Y$2:$AA$13},""Select Col2 Where Col1=""&amp;M1225))"),"")</f>
        <v/>
      </c>
      <c r="O1225" s="29" t="str">
        <f>IFERROR(__xludf.DUMMYFUNCTION("IF(ISBLANK(B1225),"""",IF(ISDATE(B1225),TEXT(B1225,""yyyy""),""""))"),"")</f>
        <v/>
      </c>
    </row>
    <row r="1226">
      <c r="B1226" s="62"/>
      <c r="C1226" s="56"/>
      <c r="D1226" s="56"/>
      <c r="E1226" s="56"/>
      <c r="F1226" s="63"/>
      <c r="G1226" s="64"/>
      <c r="H1226" s="65"/>
      <c r="I1226" s="63"/>
      <c r="K1226" s="53" t="str">
        <f>IFERROR(__xludf.DUMMYFUNCTION("IF(ISBLANK(B1226),"""",IF(ISDATE(B1226),""X"",""""))"),"")</f>
        <v/>
      </c>
      <c r="L1226" s="40" t="str">
        <f>IFERROR(__xludf.DUMMYFUNCTION("IF(ISBLANK(B1226),"""",IF(Or(I1226=""Em Aberto"",ISBLANK(I1226),NOT(ISDATE(B1226))),"""",H1226))"),"")</f>
        <v/>
      </c>
      <c r="M1226" s="29" t="str">
        <f>IFERROR(__xludf.DUMMYFUNCTION("IF(ISBLANK(B1226),"""",IF(ISDATE(B1226),TEXT(B1226,""m""),""""))"),"")</f>
        <v/>
      </c>
      <c r="N1226" s="29" t="str">
        <f>IFERROR(__xludf.DUMMYFUNCTION("IF(M1226="""","""",QUERY({'Dashboard-Dados'!$Y$2:$AA$13},""Select Col2 Where Col1=""&amp;M1226))"),"")</f>
        <v/>
      </c>
      <c r="O1226" s="29" t="str">
        <f>IFERROR(__xludf.DUMMYFUNCTION("IF(ISBLANK(B1226),"""",IF(ISDATE(B1226),TEXT(B1226,""yyyy""),""""))"),"")</f>
        <v/>
      </c>
    </row>
    <row r="1227">
      <c r="B1227" s="62"/>
      <c r="C1227" s="56"/>
      <c r="D1227" s="56"/>
      <c r="E1227" s="56"/>
      <c r="F1227" s="63"/>
      <c r="G1227" s="64"/>
      <c r="H1227" s="65"/>
      <c r="I1227" s="63"/>
      <c r="K1227" s="53" t="str">
        <f>IFERROR(__xludf.DUMMYFUNCTION("IF(ISBLANK(B1227),"""",IF(ISDATE(B1227),""X"",""""))"),"")</f>
        <v/>
      </c>
      <c r="L1227" s="40" t="str">
        <f>IFERROR(__xludf.DUMMYFUNCTION("IF(ISBLANK(B1227),"""",IF(Or(I1227=""Em Aberto"",ISBLANK(I1227),NOT(ISDATE(B1227))),"""",H1227))"),"")</f>
        <v/>
      </c>
      <c r="M1227" s="29" t="str">
        <f>IFERROR(__xludf.DUMMYFUNCTION("IF(ISBLANK(B1227),"""",IF(ISDATE(B1227),TEXT(B1227,""m""),""""))"),"")</f>
        <v/>
      </c>
      <c r="N1227" s="29" t="str">
        <f>IFERROR(__xludf.DUMMYFUNCTION("IF(M1227="""","""",QUERY({'Dashboard-Dados'!$Y$2:$AA$13},""Select Col2 Where Col1=""&amp;M1227))"),"")</f>
        <v/>
      </c>
      <c r="O1227" s="29" t="str">
        <f>IFERROR(__xludf.DUMMYFUNCTION("IF(ISBLANK(B1227),"""",IF(ISDATE(B1227),TEXT(B1227,""yyyy""),""""))"),"")</f>
        <v/>
      </c>
    </row>
    <row r="1228">
      <c r="B1228" s="62"/>
      <c r="C1228" s="56"/>
      <c r="D1228" s="56"/>
      <c r="E1228" s="56"/>
      <c r="F1228" s="63"/>
      <c r="G1228" s="64"/>
      <c r="H1228" s="65"/>
      <c r="I1228" s="63"/>
      <c r="K1228" s="53" t="str">
        <f>IFERROR(__xludf.DUMMYFUNCTION("IF(ISBLANK(B1228),"""",IF(ISDATE(B1228),""X"",""""))"),"")</f>
        <v/>
      </c>
      <c r="L1228" s="40" t="str">
        <f>IFERROR(__xludf.DUMMYFUNCTION("IF(ISBLANK(B1228),"""",IF(Or(I1228=""Em Aberto"",ISBLANK(I1228),NOT(ISDATE(B1228))),"""",H1228))"),"")</f>
        <v/>
      </c>
      <c r="M1228" s="29" t="str">
        <f>IFERROR(__xludf.DUMMYFUNCTION("IF(ISBLANK(B1228),"""",IF(ISDATE(B1228),TEXT(B1228,""m""),""""))"),"")</f>
        <v/>
      </c>
      <c r="N1228" s="29" t="str">
        <f>IFERROR(__xludf.DUMMYFUNCTION("IF(M1228="""","""",QUERY({'Dashboard-Dados'!$Y$2:$AA$13},""Select Col2 Where Col1=""&amp;M1228))"),"")</f>
        <v/>
      </c>
      <c r="O1228" s="29" t="str">
        <f>IFERROR(__xludf.DUMMYFUNCTION("IF(ISBLANK(B1228),"""",IF(ISDATE(B1228),TEXT(B1228,""yyyy""),""""))"),"")</f>
        <v/>
      </c>
    </row>
    <row r="1229">
      <c r="B1229" s="62"/>
      <c r="C1229" s="56"/>
      <c r="D1229" s="56"/>
      <c r="E1229" s="56"/>
      <c r="F1229" s="63"/>
      <c r="G1229" s="64"/>
      <c r="H1229" s="65"/>
      <c r="I1229" s="63"/>
      <c r="K1229" s="53" t="str">
        <f>IFERROR(__xludf.DUMMYFUNCTION("IF(ISBLANK(B1229),"""",IF(ISDATE(B1229),""X"",""""))"),"")</f>
        <v/>
      </c>
      <c r="L1229" s="40" t="str">
        <f>IFERROR(__xludf.DUMMYFUNCTION("IF(ISBLANK(B1229),"""",IF(Or(I1229=""Em Aberto"",ISBLANK(I1229),NOT(ISDATE(B1229))),"""",H1229))"),"")</f>
        <v/>
      </c>
      <c r="M1229" s="29" t="str">
        <f>IFERROR(__xludf.DUMMYFUNCTION("IF(ISBLANK(B1229),"""",IF(ISDATE(B1229),TEXT(B1229,""m""),""""))"),"")</f>
        <v/>
      </c>
      <c r="N1229" s="29" t="str">
        <f>IFERROR(__xludf.DUMMYFUNCTION("IF(M1229="""","""",QUERY({'Dashboard-Dados'!$Y$2:$AA$13},""Select Col2 Where Col1=""&amp;M1229))"),"")</f>
        <v/>
      </c>
      <c r="O1229" s="29" t="str">
        <f>IFERROR(__xludf.DUMMYFUNCTION("IF(ISBLANK(B1229),"""",IF(ISDATE(B1229),TEXT(B1229,""yyyy""),""""))"),"")</f>
        <v/>
      </c>
    </row>
    <row r="1230">
      <c r="B1230" s="62"/>
      <c r="C1230" s="56"/>
      <c r="D1230" s="56"/>
      <c r="E1230" s="56"/>
      <c r="F1230" s="63"/>
      <c r="G1230" s="64"/>
      <c r="H1230" s="65"/>
      <c r="I1230" s="63"/>
      <c r="K1230" s="53" t="str">
        <f>IFERROR(__xludf.DUMMYFUNCTION("IF(ISBLANK(B1230),"""",IF(ISDATE(B1230),""X"",""""))"),"")</f>
        <v/>
      </c>
      <c r="L1230" s="40" t="str">
        <f>IFERROR(__xludf.DUMMYFUNCTION("IF(ISBLANK(B1230),"""",IF(Or(I1230=""Em Aberto"",ISBLANK(I1230),NOT(ISDATE(B1230))),"""",H1230))"),"")</f>
        <v/>
      </c>
      <c r="M1230" s="29" t="str">
        <f>IFERROR(__xludf.DUMMYFUNCTION("IF(ISBLANK(B1230),"""",IF(ISDATE(B1230),TEXT(B1230,""m""),""""))"),"")</f>
        <v/>
      </c>
      <c r="N1230" s="29" t="str">
        <f>IFERROR(__xludf.DUMMYFUNCTION("IF(M1230="""","""",QUERY({'Dashboard-Dados'!$Y$2:$AA$13},""Select Col2 Where Col1=""&amp;M1230))"),"")</f>
        <v/>
      </c>
      <c r="O1230" s="29" t="str">
        <f>IFERROR(__xludf.DUMMYFUNCTION("IF(ISBLANK(B1230),"""",IF(ISDATE(B1230),TEXT(B1230,""yyyy""),""""))"),"")</f>
        <v/>
      </c>
    </row>
    <row r="1231">
      <c r="B1231" s="62"/>
      <c r="C1231" s="56"/>
      <c r="D1231" s="56"/>
      <c r="E1231" s="56"/>
      <c r="F1231" s="63"/>
      <c r="G1231" s="64"/>
      <c r="H1231" s="65"/>
      <c r="I1231" s="63"/>
      <c r="K1231" s="53" t="str">
        <f>IFERROR(__xludf.DUMMYFUNCTION("IF(ISBLANK(B1231),"""",IF(ISDATE(B1231),""X"",""""))"),"")</f>
        <v/>
      </c>
      <c r="L1231" s="40" t="str">
        <f>IFERROR(__xludf.DUMMYFUNCTION("IF(ISBLANK(B1231),"""",IF(Or(I1231=""Em Aberto"",ISBLANK(I1231),NOT(ISDATE(B1231))),"""",H1231))"),"")</f>
        <v/>
      </c>
      <c r="M1231" s="29" t="str">
        <f>IFERROR(__xludf.DUMMYFUNCTION("IF(ISBLANK(B1231),"""",IF(ISDATE(B1231),TEXT(B1231,""m""),""""))"),"")</f>
        <v/>
      </c>
      <c r="N1231" s="29" t="str">
        <f>IFERROR(__xludf.DUMMYFUNCTION("IF(M1231="""","""",QUERY({'Dashboard-Dados'!$Y$2:$AA$13},""Select Col2 Where Col1=""&amp;M1231))"),"")</f>
        <v/>
      </c>
      <c r="O1231" s="29" t="str">
        <f>IFERROR(__xludf.DUMMYFUNCTION("IF(ISBLANK(B1231),"""",IF(ISDATE(B1231),TEXT(B1231,""yyyy""),""""))"),"")</f>
        <v/>
      </c>
    </row>
    <row r="1232">
      <c r="B1232" s="62"/>
      <c r="C1232" s="56"/>
      <c r="D1232" s="56"/>
      <c r="E1232" s="56"/>
      <c r="F1232" s="63"/>
      <c r="G1232" s="64"/>
      <c r="H1232" s="65"/>
      <c r="I1232" s="63"/>
      <c r="K1232" s="53" t="str">
        <f>IFERROR(__xludf.DUMMYFUNCTION("IF(ISBLANK(B1232),"""",IF(ISDATE(B1232),""X"",""""))"),"")</f>
        <v/>
      </c>
      <c r="L1232" s="40" t="str">
        <f>IFERROR(__xludf.DUMMYFUNCTION("IF(ISBLANK(B1232),"""",IF(Or(I1232=""Em Aberto"",ISBLANK(I1232),NOT(ISDATE(B1232))),"""",H1232))"),"")</f>
        <v/>
      </c>
      <c r="M1232" s="29" t="str">
        <f>IFERROR(__xludf.DUMMYFUNCTION("IF(ISBLANK(B1232),"""",IF(ISDATE(B1232),TEXT(B1232,""m""),""""))"),"")</f>
        <v/>
      </c>
      <c r="N1232" s="29" t="str">
        <f>IFERROR(__xludf.DUMMYFUNCTION("IF(M1232="""","""",QUERY({'Dashboard-Dados'!$Y$2:$AA$13},""Select Col2 Where Col1=""&amp;M1232))"),"")</f>
        <v/>
      </c>
      <c r="O1232" s="29" t="str">
        <f>IFERROR(__xludf.DUMMYFUNCTION("IF(ISBLANK(B1232),"""",IF(ISDATE(B1232),TEXT(B1232,""yyyy""),""""))"),"")</f>
        <v/>
      </c>
    </row>
    <row r="1233">
      <c r="B1233" s="62"/>
      <c r="C1233" s="56"/>
      <c r="D1233" s="56"/>
      <c r="E1233" s="56"/>
      <c r="F1233" s="63"/>
      <c r="G1233" s="64"/>
      <c r="H1233" s="65"/>
      <c r="I1233" s="63"/>
      <c r="K1233" s="53" t="str">
        <f>IFERROR(__xludf.DUMMYFUNCTION("IF(ISBLANK(B1233),"""",IF(ISDATE(B1233),""X"",""""))"),"")</f>
        <v/>
      </c>
      <c r="L1233" s="40" t="str">
        <f>IFERROR(__xludf.DUMMYFUNCTION("IF(ISBLANK(B1233),"""",IF(Or(I1233=""Em Aberto"",ISBLANK(I1233),NOT(ISDATE(B1233))),"""",H1233))"),"")</f>
        <v/>
      </c>
      <c r="M1233" s="29" t="str">
        <f>IFERROR(__xludf.DUMMYFUNCTION("IF(ISBLANK(B1233),"""",IF(ISDATE(B1233),TEXT(B1233,""m""),""""))"),"")</f>
        <v/>
      </c>
      <c r="N1233" s="29" t="str">
        <f>IFERROR(__xludf.DUMMYFUNCTION("IF(M1233="""","""",QUERY({'Dashboard-Dados'!$Y$2:$AA$13},""Select Col2 Where Col1=""&amp;M1233))"),"")</f>
        <v/>
      </c>
      <c r="O1233" s="29" t="str">
        <f>IFERROR(__xludf.DUMMYFUNCTION("IF(ISBLANK(B1233),"""",IF(ISDATE(B1233),TEXT(B1233,""yyyy""),""""))"),"")</f>
        <v/>
      </c>
    </row>
    <row r="1234">
      <c r="B1234" s="62"/>
      <c r="C1234" s="56"/>
      <c r="D1234" s="56"/>
      <c r="E1234" s="56"/>
      <c r="F1234" s="63"/>
      <c r="G1234" s="64"/>
      <c r="H1234" s="65"/>
      <c r="I1234" s="63"/>
      <c r="K1234" s="53" t="str">
        <f>IFERROR(__xludf.DUMMYFUNCTION("IF(ISBLANK(B1234),"""",IF(ISDATE(B1234),""X"",""""))"),"")</f>
        <v/>
      </c>
      <c r="L1234" s="40" t="str">
        <f>IFERROR(__xludf.DUMMYFUNCTION("IF(ISBLANK(B1234),"""",IF(Or(I1234=""Em Aberto"",ISBLANK(I1234),NOT(ISDATE(B1234))),"""",H1234))"),"")</f>
        <v/>
      </c>
      <c r="M1234" s="29" t="str">
        <f>IFERROR(__xludf.DUMMYFUNCTION("IF(ISBLANK(B1234),"""",IF(ISDATE(B1234),TEXT(B1234,""m""),""""))"),"")</f>
        <v/>
      </c>
      <c r="N1234" s="29" t="str">
        <f>IFERROR(__xludf.DUMMYFUNCTION("IF(M1234="""","""",QUERY({'Dashboard-Dados'!$Y$2:$AA$13},""Select Col2 Where Col1=""&amp;M1234))"),"")</f>
        <v/>
      </c>
      <c r="O1234" s="29" t="str">
        <f>IFERROR(__xludf.DUMMYFUNCTION("IF(ISBLANK(B1234),"""",IF(ISDATE(B1234),TEXT(B1234,""yyyy""),""""))"),"")</f>
        <v/>
      </c>
    </row>
    <row r="1235">
      <c r="B1235" s="62"/>
      <c r="C1235" s="56"/>
      <c r="D1235" s="56"/>
      <c r="E1235" s="56"/>
      <c r="F1235" s="63"/>
      <c r="G1235" s="64"/>
      <c r="H1235" s="65"/>
      <c r="I1235" s="63"/>
      <c r="K1235" s="53" t="str">
        <f>IFERROR(__xludf.DUMMYFUNCTION("IF(ISBLANK(B1235),"""",IF(ISDATE(B1235),""X"",""""))"),"")</f>
        <v/>
      </c>
      <c r="L1235" s="40" t="str">
        <f>IFERROR(__xludf.DUMMYFUNCTION("IF(ISBLANK(B1235),"""",IF(Or(I1235=""Em Aberto"",ISBLANK(I1235),NOT(ISDATE(B1235))),"""",H1235))"),"")</f>
        <v/>
      </c>
      <c r="M1235" s="29" t="str">
        <f>IFERROR(__xludf.DUMMYFUNCTION("IF(ISBLANK(B1235),"""",IF(ISDATE(B1235),TEXT(B1235,""m""),""""))"),"")</f>
        <v/>
      </c>
      <c r="N1235" s="29" t="str">
        <f>IFERROR(__xludf.DUMMYFUNCTION("IF(M1235="""","""",QUERY({'Dashboard-Dados'!$Y$2:$AA$13},""Select Col2 Where Col1=""&amp;M1235))"),"")</f>
        <v/>
      </c>
      <c r="O1235" s="29" t="str">
        <f>IFERROR(__xludf.DUMMYFUNCTION("IF(ISBLANK(B1235),"""",IF(ISDATE(B1235),TEXT(B1235,""yyyy""),""""))"),"")</f>
        <v/>
      </c>
    </row>
    <row r="1236">
      <c r="B1236" s="62"/>
      <c r="C1236" s="56"/>
      <c r="D1236" s="56"/>
      <c r="E1236" s="56"/>
      <c r="F1236" s="63"/>
      <c r="G1236" s="64"/>
      <c r="H1236" s="65"/>
      <c r="I1236" s="63"/>
      <c r="K1236" s="53" t="str">
        <f>IFERROR(__xludf.DUMMYFUNCTION("IF(ISBLANK(B1236),"""",IF(ISDATE(B1236),""X"",""""))"),"")</f>
        <v/>
      </c>
      <c r="L1236" s="40" t="str">
        <f>IFERROR(__xludf.DUMMYFUNCTION("IF(ISBLANK(B1236),"""",IF(Or(I1236=""Em Aberto"",ISBLANK(I1236),NOT(ISDATE(B1236))),"""",H1236))"),"")</f>
        <v/>
      </c>
      <c r="M1236" s="29" t="str">
        <f>IFERROR(__xludf.DUMMYFUNCTION("IF(ISBLANK(B1236),"""",IF(ISDATE(B1236),TEXT(B1236,""m""),""""))"),"")</f>
        <v/>
      </c>
      <c r="N1236" s="29" t="str">
        <f>IFERROR(__xludf.DUMMYFUNCTION("IF(M1236="""","""",QUERY({'Dashboard-Dados'!$Y$2:$AA$13},""Select Col2 Where Col1=""&amp;M1236))"),"")</f>
        <v/>
      </c>
      <c r="O1236" s="29" t="str">
        <f>IFERROR(__xludf.DUMMYFUNCTION("IF(ISBLANK(B1236),"""",IF(ISDATE(B1236),TEXT(B1236,""yyyy""),""""))"),"")</f>
        <v/>
      </c>
    </row>
    <row r="1237">
      <c r="B1237" s="62"/>
      <c r="C1237" s="56"/>
      <c r="D1237" s="56"/>
      <c r="E1237" s="56"/>
      <c r="F1237" s="63"/>
      <c r="G1237" s="64"/>
      <c r="H1237" s="65"/>
      <c r="I1237" s="63"/>
      <c r="K1237" s="53" t="str">
        <f>IFERROR(__xludf.DUMMYFUNCTION("IF(ISBLANK(B1237),"""",IF(ISDATE(B1237),""X"",""""))"),"")</f>
        <v/>
      </c>
      <c r="L1237" s="40" t="str">
        <f>IFERROR(__xludf.DUMMYFUNCTION("IF(ISBLANK(B1237),"""",IF(Or(I1237=""Em Aberto"",ISBLANK(I1237),NOT(ISDATE(B1237))),"""",H1237))"),"")</f>
        <v/>
      </c>
      <c r="M1237" s="29" t="str">
        <f>IFERROR(__xludf.DUMMYFUNCTION("IF(ISBLANK(B1237),"""",IF(ISDATE(B1237),TEXT(B1237,""m""),""""))"),"")</f>
        <v/>
      </c>
      <c r="N1237" s="29" t="str">
        <f>IFERROR(__xludf.DUMMYFUNCTION("IF(M1237="""","""",QUERY({'Dashboard-Dados'!$Y$2:$AA$13},""Select Col2 Where Col1=""&amp;M1237))"),"")</f>
        <v/>
      </c>
      <c r="O1237" s="29" t="str">
        <f>IFERROR(__xludf.DUMMYFUNCTION("IF(ISBLANK(B1237),"""",IF(ISDATE(B1237),TEXT(B1237,""yyyy""),""""))"),"")</f>
        <v/>
      </c>
    </row>
    <row r="1238">
      <c r="B1238" s="62"/>
      <c r="C1238" s="56"/>
      <c r="D1238" s="56"/>
      <c r="E1238" s="56"/>
      <c r="F1238" s="63"/>
      <c r="G1238" s="64"/>
      <c r="H1238" s="65"/>
      <c r="I1238" s="63"/>
      <c r="K1238" s="53" t="str">
        <f>IFERROR(__xludf.DUMMYFUNCTION("IF(ISBLANK(B1238),"""",IF(ISDATE(B1238),""X"",""""))"),"")</f>
        <v/>
      </c>
      <c r="L1238" s="40" t="str">
        <f>IFERROR(__xludf.DUMMYFUNCTION("IF(ISBLANK(B1238),"""",IF(Or(I1238=""Em Aberto"",ISBLANK(I1238),NOT(ISDATE(B1238))),"""",H1238))"),"")</f>
        <v/>
      </c>
      <c r="M1238" s="29" t="str">
        <f>IFERROR(__xludf.DUMMYFUNCTION("IF(ISBLANK(B1238),"""",IF(ISDATE(B1238),TEXT(B1238,""m""),""""))"),"")</f>
        <v/>
      </c>
      <c r="N1238" s="29" t="str">
        <f>IFERROR(__xludf.DUMMYFUNCTION("IF(M1238="""","""",QUERY({'Dashboard-Dados'!$Y$2:$AA$13},""Select Col2 Where Col1=""&amp;M1238))"),"")</f>
        <v/>
      </c>
      <c r="O1238" s="29" t="str">
        <f>IFERROR(__xludf.DUMMYFUNCTION("IF(ISBLANK(B1238),"""",IF(ISDATE(B1238),TEXT(B1238,""yyyy""),""""))"),"")</f>
        <v/>
      </c>
    </row>
    <row r="1239">
      <c r="B1239" s="62"/>
      <c r="C1239" s="56"/>
      <c r="D1239" s="56"/>
      <c r="E1239" s="56"/>
      <c r="F1239" s="63"/>
      <c r="G1239" s="64"/>
      <c r="H1239" s="65"/>
      <c r="I1239" s="63"/>
      <c r="K1239" s="53" t="str">
        <f>IFERROR(__xludf.DUMMYFUNCTION("IF(ISBLANK(B1239),"""",IF(ISDATE(B1239),""X"",""""))"),"")</f>
        <v/>
      </c>
      <c r="L1239" s="40" t="str">
        <f>IFERROR(__xludf.DUMMYFUNCTION("IF(ISBLANK(B1239),"""",IF(Or(I1239=""Em Aberto"",ISBLANK(I1239),NOT(ISDATE(B1239))),"""",H1239))"),"")</f>
        <v/>
      </c>
      <c r="M1239" s="29" t="str">
        <f>IFERROR(__xludf.DUMMYFUNCTION("IF(ISBLANK(B1239),"""",IF(ISDATE(B1239),TEXT(B1239,""m""),""""))"),"")</f>
        <v/>
      </c>
      <c r="N1239" s="29" t="str">
        <f>IFERROR(__xludf.DUMMYFUNCTION("IF(M1239="""","""",QUERY({'Dashboard-Dados'!$Y$2:$AA$13},""Select Col2 Where Col1=""&amp;M1239))"),"")</f>
        <v/>
      </c>
      <c r="O1239" s="29" t="str">
        <f>IFERROR(__xludf.DUMMYFUNCTION("IF(ISBLANK(B1239),"""",IF(ISDATE(B1239),TEXT(B1239,""yyyy""),""""))"),"")</f>
        <v/>
      </c>
    </row>
    <row r="1240">
      <c r="B1240" s="62"/>
      <c r="C1240" s="56"/>
      <c r="D1240" s="56"/>
      <c r="E1240" s="56"/>
      <c r="F1240" s="63"/>
      <c r="G1240" s="64"/>
      <c r="H1240" s="65"/>
      <c r="I1240" s="63"/>
      <c r="K1240" s="53" t="str">
        <f>IFERROR(__xludf.DUMMYFUNCTION("IF(ISBLANK(B1240),"""",IF(ISDATE(B1240),""X"",""""))"),"")</f>
        <v/>
      </c>
      <c r="L1240" s="40" t="str">
        <f>IFERROR(__xludf.DUMMYFUNCTION("IF(ISBLANK(B1240),"""",IF(Or(I1240=""Em Aberto"",ISBLANK(I1240),NOT(ISDATE(B1240))),"""",H1240))"),"")</f>
        <v/>
      </c>
      <c r="M1240" s="29" t="str">
        <f>IFERROR(__xludf.DUMMYFUNCTION("IF(ISBLANK(B1240),"""",IF(ISDATE(B1240),TEXT(B1240,""m""),""""))"),"")</f>
        <v/>
      </c>
      <c r="N1240" s="29" t="str">
        <f>IFERROR(__xludf.DUMMYFUNCTION("IF(M1240="""","""",QUERY({'Dashboard-Dados'!$Y$2:$AA$13},""Select Col2 Where Col1=""&amp;M1240))"),"")</f>
        <v/>
      </c>
      <c r="O1240" s="29" t="str">
        <f>IFERROR(__xludf.DUMMYFUNCTION("IF(ISBLANK(B1240),"""",IF(ISDATE(B1240),TEXT(B1240,""yyyy""),""""))"),"")</f>
        <v/>
      </c>
    </row>
    <row r="1241">
      <c r="B1241" s="62"/>
      <c r="C1241" s="56"/>
      <c r="D1241" s="56"/>
      <c r="E1241" s="56"/>
      <c r="F1241" s="63"/>
      <c r="G1241" s="64"/>
      <c r="H1241" s="65"/>
      <c r="I1241" s="63"/>
      <c r="K1241" s="53" t="str">
        <f>IFERROR(__xludf.DUMMYFUNCTION("IF(ISBLANK(B1241),"""",IF(ISDATE(B1241),""X"",""""))"),"")</f>
        <v/>
      </c>
      <c r="L1241" s="40" t="str">
        <f>IFERROR(__xludf.DUMMYFUNCTION("IF(ISBLANK(B1241),"""",IF(Or(I1241=""Em Aberto"",ISBLANK(I1241),NOT(ISDATE(B1241))),"""",H1241))"),"")</f>
        <v/>
      </c>
      <c r="M1241" s="29" t="str">
        <f>IFERROR(__xludf.DUMMYFUNCTION("IF(ISBLANK(B1241),"""",IF(ISDATE(B1241),TEXT(B1241,""m""),""""))"),"")</f>
        <v/>
      </c>
      <c r="N1241" s="29" t="str">
        <f>IFERROR(__xludf.DUMMYFUNCTION("IF(M1241="""","""",QUERY({'Dashboard-Dados'!$Y$2:$AA$13},""Select Col2 Where Col1=""&amp;M1241))"),"")</f>
        <v/>
      </c>
      <c r="O1241" s="29" t="str">
        <f>IFERROR(__xludf.DUMMYFUNCTION("IF(ISBLANK(B1241),"""",IF(ISDATE(B1241),TEXT(B1241,""yyyy""),""""))"),"")</f>
        <v/>
      </c>
    </row>
    <row r="1242">
      <c r="B1242" s="62"/>
      <c r="C1242" s="56"/>
      <c r="D1242" s="56"/>
      <c r="E1242" s="56"/>
      <c r="F1242" s="63"/>
      <c r="G1242" s="64"/>
      <c r="H1242" s="65"/>
      <c r="I1242" s="63"/>
      <c r="K1242" s="53" t="str">
        <f>IFERROR(__xludf.DUMMYFUNCTION("IF(ISBLANK(B1242),"""",IF(ISDATE(B1242),""X"",""""))"),"")</f>
        <v/>
      </c>
      <c r="L1242" s="40" t="str">
        <f>IFERROR(__xludf.DUMMYFUNCTION("IF(ISBLANK(B1242),"""",IF(Or(I1242=""Em Aberto"",ISBLANK(I1242),NOT(ISDATE(B1242))),"""",H1242))"),"")</f>
        <v/>
      </c>
      <c r="M1242" s="29" t="str">
        <f>IFERROR(__xludf.DUMMYFUNCTION("IF(ISBLANK(B1242),"""",IF(ISDATE(B1242),TEXT(B1242,""m""),""""))"),"")</f>
        <v/>
      </c>
      <c r="N1242" s="29" t="str">
        <f>IFERROR(__xludf.DUMMYFUNCTION("IF(M1242="""","""",QUERY({'Dashboard-Dados'!$Y$2:$AA$13},""Select Col2 Where Col1=""&amp;M1242))"),"")</f>
        <v/>
      </c>
      <c r="O1242" s="29" t="str">
        <f>IFERROR(__xludf.DUMMYFUNCTION("IF(ISBLANK(B1242),"""",IF(ISDATE(B1242),TEXT(B1242,""yyyy""),""""))"),"")</f>
        <v/>
      </c>
    </row>
    <row r="1243">
      <c r="B1243" s="62"/>
      <c r="C1243" s="56"/>
      <c r="D1243" s="56"/>
      <c r="E1243" s="56"/>
      <c r="F1243" s="63"/>
      <c r="G1243" s="64"/>
      <c r="H1243" s="65"/>
      <c r="I1243" s="63"/>
      <c r="K1243" s="53" t="str">
        <f>IFERROR(__xludf.DUMMYFUNCTION("IF(ISBLANK(B1243),"""",IF(ISDATE(B1243),""X"",""""))"),"")</f>
        <v/>
      </c>
      <c r="L1243" s="40" t="str">
        <f>IFERROR(__xludf.DUMMYFUNCTION("IF(ISBLANK(B1243),"""",IF(Or(I1243=""Em Aberto"",ISBLANK(I1243),NOT(ISDATE(B1243))),"""",H1243))"),"")</f>
        <v/>
      </c>
      <c r="M1243" s="29" t="str">
        <f>IFERROR(__xludf.DUMMYFUNCTION("IF(ISBLANK(B1243),"""",IF(ISDATE(B1243),TEXT(B1243,""m""),""""))"),"")</f>
        <v/>
      </c>
      <c r="N1243" s="29" t="str">
        <f>IFERROR(__xludf.DUMMYFUNCTION("IF(M1243="""","""",QUERY({'Dashboard-Dados'!$Y$2:$AA$13},""Select Col2 Where Col1=""&amp;M1243))"),"")</f>
        <v/>
      </c>
      <c r="O1243" s="29" t="str">
        <f>IFERROR(__xludf.DUMMYFUNCTION("IF(ISBLANK(B1243),"""",IF(ISDATE(B1243),TEXT(B1243,""yyyy""),""""))"),"")</f>
        <v/>
      </c>
    </row>
    <row r="1244">
      <c r="B1244" s="62"/>
      <c r="C1244" s="56"/>
      <c r="D1244" s="56"/>
      <c r="E1244" s="56"/>
      <c r="F1244" s="63"/>
      <c r="G1244" s="64"/>
      <c r="H1244" s="65"/>
      <c r="I1244" s="63"/>
      <c r="K1244" s="53" t="str">
        <f>IFERROR(__xludf.DUMMYFUNCTION("IF(ISBLANK(B1244),"""",IF(ISDATE(B1244),""X"",""""))"),"")</f>
        <v/>
      </c>
      <c r="L1244" s="40" t="str">
        <f>IFERROR(__xludf.DUMMYFUNCTION("IF(ISBLANK(B1244),"""",IF(Or(I1244=""Em Aberto"",ISBLANK(I1244),NOT(ISDATE(B1244))),"""",H1244))"),"")</f>
        <v/>
      </c>
      <c r="M1244" s="29" t="str">
        <f>IFERROR(__xludf.DUMMYFUNCTION("IF(ISBLANK(B1244),"""",IF(ISDATE(B1244),TEXT(B1244,""m""),""""))"),"")</f>
        <v/>
      </c>
      <c r="N1244" s="29" t="str">
        <f>IFERROR(__xludf.DUMMYFUNCTION("IF(M1244="""","""",QUERY({'Dashboard-Dados'!$Y$2:$AA$13},""Select Col2 Where Col1=""&amp;M1244))"),"")</f>
        <v/>
      </c>
      <c r="O1244" s="29" t="str">
        <f>IFERROR(__xludf.DUMMYFUNCTION("IF(ISBLANK(B1244),"""",IF(ISDATE(B1244),TEXT(B1244,""yyyy""),""""))"),"")</f>
        <v/>
      </c>
    </row>
    <row r="1245">
      <c r="B1245" s="62"/>
      <c r="C1245" s="56"/>
      <c r="D1245" s="56"/>
      <c r="E1245" s="56"/>
      <c r="F1245" s="63"/>
      <c r="G1245" s="64"/>
      <c r="H1245" s="65"/>
      <c r="I1245" s="63"/>
      <c r="K1245" s="53" t="str">
        <f>IFERROR(__xludf.DUMMYFUNCTION("IF(ISBLANK(B1245),"""",IF(ISDATE(B1245),""X"",""""))"),"")</f>
        <v/>
      </c>
      <c r="L1245" s="40" t="str">
        <f>IFERROR(__xludf.DUMMYFUNCTION("IF(ISBLANK(B1245),"""",IF(Or(I1245=""Em Aberto"",ISBLANK(I1245),NOT(ISDATE(B1245))),"""",H1245))"),"")</f>
        <v/>
      </c>
      <c r="M1245" s="29" t="str">
        <f>IFERROR(__xludf.DUMMYFUNCTION("IF(ISBLANK(B1245),"""",IF(ISDATE(B1245),TEXT(B1245,""m""),""""))"),"")</f>
        <v/>
      </c>
      <c r="N1245" s="29" t="str">
        <f>IFERROR(__xludf.DUMMYFUNCTION("IF(M1245="""","""",QUERY({'Dashboard-Dados'!$Y$2:$AA$13},""Select Col2 Where Col1=""&amp;M1245))"),"")</f>
        <v/>
      </c>
      <c r="O1245" s="29" t="str">
        <f>IFERROR(__xludf.DUMMYFUNCTION("IF(ISBLANK(B1245),"""",IF(ISDATE(B1245),TEXT(B1245,""yyyy""),""""))"),"")</f>
        <v/>
      </c>
    </row>
    <row r="1246">
      <c r="B1246" s="62"/>
      <c r="C1246" s="56"/>
      <c r="D1246" s="56"/>
      <c r="E1246" s="56"/>
      <c r="F1246" s="63"/>
      <c r="G1246" s="64"/>
      <c r="H1246" s="65"/>
      <c r="I1246" s="63"/>
      <c r="K1246" s="53" t="str">
        <f>IFERROR(__xludf.DUMMYFUNCTION("IF(ISBLANK(B1246),"""",IF(ISDATE(B1246),""X"",""""))"),"")</f>
        <v/>
      </c>
      <c r="L1246" s="40" t="str">
        <f>IFERROR(__xludf.DUMMYFUNCTION("IF(ISBLANK(B1246),"""",IF(Or(I1246=""Em Aberto"",ISBLANK(I1246),NOT(ISDATE(B1246))),"""",H1246))"),"")</f>
        <v/>
      </c>
      <c r="M1246" s="29" t="str">
        <f>IFERROR(__xludf.DUMMYFUNCTION("IF(ISBLANK(B1246),"""",IF(ISDATE(B1246),TEXT(B1246,""m""),""""))"),"")</f>
        <v/>
      </c>
      <c r="N1246" s="29" t="str">
        <f>IFERROR(__xludf.DUMMYFUNCTION("IF(M1246="""","""",QUERY({'Dashboard-Dados'!$Y$2:$AA$13},""Select Col2 Where Col1=""&amp;M1246))"),"")</f>
        <v/>
      </c>
      <c r="O1246" s="29" t="str">
        <f>IFERROR(__xludf.DUMMYFUNCTION("IF(ISBLANK(B1246),"""",IF(ISDATE(B1246),TEXT(B1246,""yyyy""),""""))"),"")</f>
        <v/>
      </c>
    </row>
    <row r="1247">
      <c r="B1247" s="62"/>
      <c r="C1247" s="56"/>
      <c r="D1247" s="56"/>
      <c r="E1247" s="56"/>
      <c r="F1247" s="63"/>
      <c r="G1247" s="64"/>
      <c r="H1247" s="65"/>
      <c r="I1247" s="63"/>
      <c r="K1247" s="53" t="str">
        <f>IFERROR(__xludf.DUMMYFUNCTION("IF(ISBLANK(B1247),"""",IF(ISDATE(B1247),""X"",""""))"),"")</f>
        <v/>
      </c>
      <c r="L1247" s="40" t="str">
        <f>IFERROR(__xludf.DUMMYFUNCTION("IF(ISBLANK(B1247),"""",IF(Or(I1247=""Em Aberto"",ISBLANK(I1247),NOT(ISDATE(B1247))),"""",H1247))"),"")</f>
        <v/>
      </c>
      <c r="M1247" s="29" t="str">
        <f>IFERROR(__xludf.DUMMYFUNCTION("IF(ISBLANK(B1247),"""",IF(ISDATE(B1247),TEXT(B1247,""m""),""""))"),"")</f>
        <v/>
      </c>
      <c r="N1247" s="29" t="str">
        <f>IFERROR(__xludf.DUMMYFUNCTION("IF(M1247="""","""",QUERY({'Dashboard-Dados'!$Y$2:$AA$13},""Select Col2 Where Col1=""&amp;M1247))"),"")</f>
        <v/>
      </c>
      <c r="O1247" s="29" t="str">
        <f>IFERROR(__xludf.DUMMYFUNCTION("IF(ISBLANK(B1247),"""",IF(ISDATE(B1247),TEXT(B1247,""yyyy""),""""))"),"")</f>
        <v/>
      </c>
    </row>
    <row r="1248">
      <c r="B1248" s="62"/>
      <c r="C1248" s="56"/>
      <c r="D1248" s="56"/>
      <c r="E1248" s="56"/>
      <c r="F1248" s="63"/>
      <c r="G1248" s="64"/>
      <c r="H1248" s="65"/>
      <c r="I1248" s="63"/>
      <c r="K1248" s="53" t="str">
        <f>IFERROR(__xludf.DUMMYFUNCTION("IF(ISBLANK(B1248),"""",IF(ISDATE(B1248),""X"",""""))"),"")</f>
        <v/>
      </c>
      <c r="L1248" s="40" t="str">
        <f>IFERROR(__xludf.DUMMYFUNCTION("IF(ISBLANK(B1248),"""",IF(Or(I1248=""Em Aberto"",ISBLANK(I1248),NOT(ISDATE(B1248))),"""",H1248))"),"")</f>
        <v/>
      </c>
      <c r="M1248" s="29" t="str">
        <f>IFERROR(__xludf.DUMMYFUNCTION("IF(ISBLANK(B1248),"""",IF(ISDATE(B1248),TEXT(B1248,""m""),""""))"),"")</f>
        <v/>
      </c>
      <c r="N1248" s="29" t="str">
        <f>IFERROR(__xludf.DUMMYFUNCTION("IF(M1248="""","""",QUERY({'Dashboard-Dados'!$Y$2:$AA$13},""Select Col2 Where Col1=""&amp;M1248))"),"")</f>
        <v/>
      </c>
      <c r="O1248" s="29" t="str">
        <f>IFERROR(__xludf.DUMMYFUNCTION("IF(ISBLANK(B1248),"""",IF(ISDATE(B1248),TEXT(B1248,""yyyy""),""""))"),"")</f>
        <v/>
      </c>
    </row>
    <row r="1249">
      <c r="B1249" s="62"/>
      <c r="C1249" s="56"/>
      <c r="D1249" s="56"/>
      <c r="E1249" s="56"/>
      <c r="F1249" s="63"/>
      <c r="G1249" s="64"/>
      <c r="H1249" s="65"/>
      <c r="I1249" s="63"/>
      <c r="K1249" s="53" t="str">
        <f>IFERROR(__xludf.DUMMYFUNCTION("IF(ISBLANK(B1249),"""",IF(ISDATE(B1249),""X"",""""))"),"")</f>
        <v/>
      </c>
      <c r="L1249" s="40" t="str">
        <f>IFERROR(__xludf.DUMMYFUNCTION("IF(ISBLANK(B1249),"""",IF(Or(I1249=""Em Aberto"",ISBLANK(I1249),NOT(ISDATE(B1249))),"""",H1249))"),"")</f>
        <v/>
      </c>
      <c r="M1249" s="29" t="str">
        <f>IFERROR(__xludf.DUMMYFUNCTION("IF(ISBLANK(B1249),"""",IF(ISDATE(B1249),TEXT(B1249,""m""),""""))"),"")</f>
        <v/>
      </c>
      <c r="N1249" s="29" t="str">
        <f>IFERROR(__xludf.DUMMYFUNCTION("IF(M1249="""","""",QUERY({'Dashboard-Dados'!$Y$2:$AA$13},""Select Col2 Where Col1=""&amp;M1249))"),"")</f>
        <v/>
      </c>
      <c r="O1249" s="29" t="str">
        <f>IFERROR(__xludf.DUMMYFUNCTION("IF(ISBLANK(B1249),"""",IF(ISDATE(B1249),TEXT(B1249,""yyyy""),""""))"),"")</f>
        <v/>
      </c>
    </row>
    <row r="1250">
      <c r="B1250" s="62"/>
      <c r="C1250" s="56"/>
      <c r="D1250" s="56"/>
      <c r="E1250" s="56"/>
      <c r="F1250" s="63"/>
      <c r="G1250" s="64"/>
      <c r="H1250" s="65"/>
      <c r="I1250" s="63"/>
      <c r="K1250" s="53" t="str">
        <f>IFERROR(__xludf.DUMMYFUNCTION("IF(ISBLANK(B1250),"""",IF(ISDATE(B1250),""X"",""""))"),"")</f>
        <v/>
      </c>
      <c r="L1250" s="40" t="str">
        <f>IFERROR(__xludf.DUMMYFUNCTION("IF(ISBLANK(B1250),"""",IF(Or(I1250=""Em Aberto"",ISBLANK(I1250),NOT(ISDATE(B1250))),"""",H1250))"),"")</f>
        <v/>
      </c>
      <c r="M1250" s="29" t="str">
        <f>IFERROR(__xludf.DUMMYFUNCTION("IF(ISBLANK(B1250),"""",IF(ISDATE(B1250),TEXT(B1250,""m""),""""))"),"")</f>
        <v/>
      </c>
      <c r="N1250" s="29" t="str">
        <f>IFERROR(__xludf.DUMMYFUNCTION("IF(M1250="""","""",QUERY({'Dashboard-Dados'!$Y$2:$AA$13},""Select Col2 Where Col1=""&amp;M1250))"),"")</f>
        <v/>
      </c>
      <c r="O1250" s="29" t="str">
        <f>IFERROR(__xludf.DUMMYFUNCTION("IF(ISBLANK(B1250),"""",IF(ISDATE(B1250),TEXT(B1250,""yyyy""),""""))"),"")</f>
        <v/>
      </c>
    </row>
    <row r="1251">
      <c r="B1251" s="62"/>
      <c r="C1251" s="56"/>
      <c r="D1251" s="56"/>
      <c r="E1251" s="56"/>
      <c r="F1251" s="63"/>
      <c r="G1251" s="64"/>
      <c r="H1251" s="65"/>
      <c r="I1251" s="63"/>
      <c r="K1251" s="53" t="str">
        <f>IFERROR(__xludf.DUMMYFUNCTION("IF(ISBLANK(B1251),"""",IF(ISDATE(B1251),""X"",""""))"),"")</f>
        <v/>
      </c>
      <c r="L1251" s="40" t="str">
        <f>IFERROR(__xludf.DUMMYFUNCTION("IF(ISBLANK(B1251),"""",IF(Or(I1251=""Em Aberto"",ISBLANK(I1251),NOT(ISDATE(B1251))),"""",H1251))"),"")</f>
        <v/>
      </c>
      <c r="M1251" s="29" t="str">
        <f>IFERROR(__xludf.DUMMYFUNCTION("IF(ISBLANK(B1251),"""",IF(ISDATE(B1251),TEXT(B1251,""m""),""""))"),"")</f>
        <v/>
      </c>
      <c r="N1251" s="29" t="str">
        <f>IFERROR(__xludf.DUMMYFUNCTION("IF(M1251="""","""",QUERY({'Dashboard-Dados'!$Y$2:$AA$13},""Select Col2 Where Col1=""&amp;M1251))"),"")</f>
        <v/>
      </c>
      <c r="O1251" s="29" t="str">
        <f>IFERROR(__xludf.DUMMYFUNCTION("IF(ISBLANK(B1251),"""",IF(ISDATE(B1251),TEXT(B1251,""yyyy""),""""))"),"")</f>
        <v/>
      </c>
    </row>
    <row r="1252">
      <c r="B1252" s="62"/>
      <c r="C1252" s="56"/>
      <c r="D1252" s="56"/>
      <c r="E1252" s="56"/>
      <c r="F1252" s="63"/>
      <c r="G1252" s="64"/>
      <c r="H1252" s="65"/>
      <c r="I1252" s="63"/>
      <c r="K1252" s="53" t="str">
        <f>IFERROR(__xludf.DUMMYFUNCTION("IF(ISBLANK(B1252),"""",IF(ISDATE(B1252),""X"",""""))"),"")</f>
        <v/>
      </c>
      <c r="L1252" s="40" t="str">
        <f>IFERROR(__xludf.DUMMYFUNCTION("IF(ISBLANK(B1252),"""",IF(Or(I1252=""Em Aberto"",ISBLANK(I1252),NOT(ISDATE(B1252))),"""",H1252))"),"")</f>
        <v/>
      </c>
      <c r="M1252" s="29" t="str">
        <f>IFERROR(__xludf.DUMMYFUNCTION("IF(ISBLANK(B1252),"""",IF(ISDATE(B1252),TEXT(B1252,""m""),""""))"),"")</f>
        <v/>
      </c>
      <c r="N1252" s="29" t="str">
        <f>IFERROR(__xludf.DUMMYFUNCTION("IF(M1252="""","""",QUERY({'Dashboard-Dados'!$Y$2:$AA$13},""Select Col2 Where Col1=""&amp;M1252))"),"")</f>
        <v/>
      </c>
      <c r="O1252" s="29" t="str">
        <f>IFERROR(__xludf.DUMMYFUNCTION("IF(ISBLANK(B1252),"""",IF(ISDATE(B1252),TEXT(B1252,""yyyy""),""""))"),"")</f>
        <v/>
      </c>
    </row>
    <row r="1253">
      <c r="B1253" s="62"/>
      <c r="C1253" s="56"/>
      <c r="D1253" s="56"/>
      <c r="E1253" s="56"/>
      <c r="F1253" s="63"/>
      <c r="G1253" s="64"/>
      <c r="H1253" s="65"/>
      <c r="I1253" s="63"/>
      <c r="K1253" s="53" t="str">
        <f>IFERROR(__xludf.DUMMYFUNCTION("IF(ISBLANK(B1253),"""",IF(ISDATE(B1253),""X"",""""))"),"")</f>
        <v/>
      </c>
      <c r="L1253" s="40" t="str">
        <f>IFERROR(__xludf.DUMMYFUNCTION("IF(ISBLANK(B1253),"""",IF(Or(I1253=""Em Aberto"",ISBLANK(I1253),NOT(ISDATE(B1253))),"""",H1253))"),"")</f>
        <v/>
      </c>
      <c r="M1253" s="29" t="str">
        <f>IFERROR(__xludf.DUMMYFUNCTION("IF(ISBLANK(B1253),"""",IF(ISDATE(B1253),TEXT(B1253,""m""),""""))"),"")</f>
        <v/>
      </c>
      <c r="N1253" s="29" t="str">
        <f>IFERROR(__xludf.DUMMYFUNCTION("IF(M1253="""","""",QUERY({'Dashboard-Dados'!$Y$2:$AA$13},""Select Col2 Where Col1=""&amp;M1253))"),"")</f>
        <v/>
      </c>
      <c r="O1253" s="29" t="str">
        <f>IFERROR(__xludf.DUMMYFUNCTION("IF(ISBLANK(B1253),"""",IF(ISDATE(B1253),TEXT(B1253,""yyyy""),""""))"),"")</f>
        <v/>
      </c>
    </row>
    <row r="1254">
      <c r="B1254" s="62"/>
      <c r="C1254" s="56"/>
      <c r="D1254" s="56"/>
      <c r="E1254" s="56"/>
      <c r="F1254" s="63"/>
      <c r="G1254" s="64"/>
      <c r="H1254" s="65"/>
      <c r="I1254" s="63"/>
      <c r="K1254" s="53" t="str">
        <f>IFERROR(__xludf.DUMMYFUNCTION("IF(ISBLANK(B1254),"""",IF(ISDATE(B1254),""X"",""""))"),"")</f>
        <v/>
      </c>
      <c r="L1254" s="40" t="str">
        <f>IFERROR(__xludf.DUMMYFUNCTION("IF(ISBLANK(B1254),"""",IF(Or(I1254=""Em Aberto"",ISBLANK(I1254),NOT(ISDATE(B1254))),"""",H1254))"),"")</f>
        <v/>
      </c>
      <c r="M1254" s="29" t="str">
        <f>IFERROR(__xludf.DUMMYFUNCTION("IF(ISBLANK(B1254),"""",IF(ISDATE(B1254),TEXT(B1254,""m""),""""))"),"")</f>
        <v/>
      </c>
      <c r="N1254" s="29" t="str">
        <f>IFERROR(__xludf.DUMMYFUNCTION("IF(M1254="""","""",QUERY({'Dashboard-Dados'!$Y$2:$AA$13},""Select Col2 Where Col1=""&amp;M1254))"),"")</f>
        <v/>
      </c>
      <c r="O1254" s="29" t="str">
        <f>IFERROR(__xludf.DUMMYFUNCTION("IF(ISBLANK(B1254),"""",IF(ISDATE(B1254),TEXT(B1254,""yyyy""),""""))"),"")</f>
        <v/>
      </c>
    </row>
    <row r="1255">
      <c r="B1255" s="62"/>
      <c r="C1255" s="56"/>
      <c r="D1255" s="56"/>
      <c r="E1255" s="56"/>
      <c r="F1255" s="63"/>
      <c r="G1255" s="64"/>
      <c r="H1255" s="65"/>
      <c r="I1255" s="63"/>
      <c r="K1255" s="53" t="str">
        <f>IFERROR(__xludf.DUMMYFUNCTION("IF(ISBLANK(B1255),"""",IF(ISDATE(B1255),""X"",""""))"),"")</f>
        <v/>
      </c>
      <c r="L1255" s="40" t="str">
        <f>IFERROR(__xludf.DUMMYFUNCTION("IF(ISBLANK(B1255),"""",IF(Or(I1255=""Em Aberto"",ISBLANK(I1255),NOT(ISDATE(B1255))),"""",H1255))"),"")</f>
        <v/>
      </c>
      <c r="M1255" s="29" t="str">
        <f>IFERROR(__xludf.DUMMYFUNCTION("IF(ISBLANK(B1255),"""",IF(ISDATE(B1255),TEXT(B1255,""m""),""""))"),"")</f>
        <v/>
      </c>
      <c r="N1255" s="29" t="str">
        <f>IFERROR(__xludf.DUMMYFUNCTION("IF(M1255="""","""",QUERY({'Dashboard-Dados'!$Y$2:$AA$13},""Select Col2 Where Col1=""&amp;M1255))"),"")</f>
        <v/>
      </c>
      <c r="O1255" s="29" t="str">
        <f>IFERROR(__xludf.DUMMYFUNCTION("IF(ISBLANK(B1255),"""",IF(ISDATE(B1255),TEXT(B1255,""yyyy""),""""))"),"")</f>
        <v/>
      </c>
    </row>
    <row r="1256">
      <c r="B1256" s="62"/>
      <c r="C1256" s="56"/>
      <c r="D1256" s="56"/>
      <c r="E1256" s="56"/>
      <c r="F1256" s="63"/>
      <c r="G1256" s="64"/>
      <c r="H1256" s="65"/>
      <c r="I1256" s="63"/>
      <c r="K1256" s="53" t="str">
        <f>IFERROR(__xludf.DUMMYFUNCTION("IF(ISBLANK(B1256),"""",IF(ISDATE(B1256),""X"",""""))"),"")</f>
        <v/>
      </c>
      <c r="L1256" s="40" t="str">
        <f>IFERROR(__xludf.DUMMYFUNCTION("IF(ISBLANK(B1256),"""",IF(Or(I1256=""Em Aberto"",ISBLANK(I1256),NOT(ISDATE(B1256))),"""",H1256))"),"")</f>
        <v/>
      </c>
      <c r="M1256" s="29" t="str">
        <f>IFERROR(__xludf.DUMMYFUNCTION("IF(ISBLANK(B1256),"""",IF(ISDATE(B1256),TEXT(B1256,""m""),""""))"),"")</f>
        <v/>
      </c>
      <c r="N1256" s="29" t="str">
        <f>IFERROR(__xludf.DUMMYFUNCTION("IF(M1256="""","""",QUERY({'Dashboard-Dados'!$Y$2:$AA$13},""Select Col2 Where Col1=""&amp;M1256))"),"")</f>
        <v/>
      </c>
      <c r="O1256" s="29" t="str">
        <f>IFERROR(__xludf.DUMMYFUNCTION("IF(ISBLANK(B1256),"""",IF(ISDATE(B1256),TEXT(B1256,""yyyy""),""""))"),"")</f>
        <v/>
      </c>
    </row>
    <row r="1257">
      <c r="B1257" s="62"/>
      <c r="C1257" s="56"/>
      <c r="D1257" s="56"/>
      <c r="E1257" s="56"/>
      <c r="F1257" s="63"/>
      <c r="G1257" s="64"/>
      <c r="H1257" s="65"/>
      <c r="I1257" s="63"/>
      <c r="K1257" s="53" t="str">
        <f>IFERROR(__xludf.DUMMYFUNCTION("IF(ISBLANK(B1257),"""",IF(ISDATE(B1257),""X"",""""))"),"")</f>
        <v/>
      </c>
      <c r="L1257" s="40" t="str">
        <f>IFERROR(__xludf.DUMMYFUNCTION("IF(ISBLANK(B1257),"""",IF(Or(I1257=""Em Aberto"",ISBLANK(I1257),NOT(ISDATE(B1257))),"""",H1257))"),"")</f>
        <v/>
      </c>
      <c r="M1257" s="29" t="str">
        <f>IFERROR(__xludf.DUMMYFUNCTION("IF(ISBLANK(B1257),"""",IF(ISDATE(B1257),TEXT(B1257,""m""),""""))"),"")</f>
        <v/>
      </c>
      <c r="N1257" s="29" t="str">
        <f>IFERROR(__xludf.DUMMYFUNCTION("IF(M1257="""","""",QUERY({'Dashboard-Dados'!$Y$2:$AA$13},""Select Col2 Where Col1=""&amp;M1257))"),"")</f>
        <v/>
      </c>
      <c r="O1257" s="29" t="str">
        <f>IFERROR(__xludf.DUMMYFUNCTION("IF(ISBLANK(B1257),"""",IF(ISDATE(B1257),TEXT(B1257,""yyyy""),""""))"),"")</f>
        <v/>
      </c>
    </row>
    <row r="1258">
      <c r="B1258" s="62"/>
      <c r="C1258" s="56"/>
      <c r="D1258" s="56"/>
      <c r="E1258" s="56"/>
      <c r="F1258" s="63"/>
      <c r="G1258" s="64"/>
      <c r="H1258" s="65"/>
      <c r="I1258" s="63"/>
      <c r="K1258" s="53" t="str">
        <f>IFERROR(__xludf.DUMMYFUNCTION("IF(ISBLANK(B1258),"""",IF(ISDATE(B1258),""X"",""""))"),"")</f>
        <v/>
      </c>
      <c r="L1258" s="40" t="str">
        <f>IFERROR(__xludf.DUMMYFUNCTION("IF(ISBLANK(B1258),"""",IF(Or(I1258=""Em Aberto"",ISBLANK(I1258),NOT(ISDATE(B1258))),"""",H1258))"),"")</f>
        <v/>
      </c>
      <c r="M1258" s="29" t="str">
        <f>IFERROR(__xludf.DUMMYFUNCTION("IF(ISBLANK(B1258),"""",IF(ISDATE(B1258),TEXT(B1258,""m""),""""))"),"")</f>
        <v/>
      </c>
      <c r="N1258" s="29" t="str">
        <f>IFERROR(__xludf.DUMMYFUNCTION("IF(M1258="""","""",QUERY({'Dashboard-Dados'!$Y$2:$AA$13},""Select Col2 Where Col1=""&amp;M1258))"),"")</f>
        <v/>
      </c>
      <c r="O1258" s="29" t="str">
        <f>IFERROR(__xludf.DUMMYFUNCTION("IF(ISBLANK(B1258),"""",IF(ISDATE(B1258),TEXT(B1258,""yyyy""),""""))"),"")</f>
        <v/>
      </c>
    </row>
    <row r="1259">
      <c r="B1259" s="62"/>
      <c r="C1259" s="56"/>
      <c r="D1259" s="56"/>
      <c r="E1259" s="56"/>
      <c r="F1259" s="63"/>
      <c r="G1259" s="64"/>
      <c r="H1259" s="65"/>
      <c r="I1259" s="63"/>
      <c r="K1259" s="53" t="str">
        <f>IFERROR(__xludf.DUMMYFUNCTION("IF(ISBLANK(B1259),"""",IF(ISDATE(B1259),""X"",""""))"),"")</f>
        <v/>
      </c>
      <c r="L1259" s="40" t="str">
        <f>IFERROR(__xludf.DUMMYFUNCTION("IF(ISBLANK(B1259),"""",IF(Or(I1259=""Em Aberto"",ISBLANK(I1259),NOT(ISDATE(B1259))),"""",H1259))"),"")</f>
        <v/>
      </c>
      <c r="M1259" s="29" t="str">
        <f>IFERROR(__xludf.DUMMYFUNCTION("IF(ISBLANK(B1259),"""",IF(ISDATE(B1259),TEXT(B1259,""m""),""""))"),"")</f>
        <v/>
      </c>
      <c r="N1259" s="29" t="str">
        <f>IFERROR(__xludf.DUMMYFUNCTION("IF(M1259="""","""",QUERY({'Dashboard-Dados'!$Y$2:$AA$13},""Select Col2 Where Col1=""&amp;M1259))"),"")</f>
        <v/>
      </c>
      <c r="O1259" s="29" t="str">
        <f>IFERROR(__xludf.DUMMYFUNCTION("IF(ISBLANK(B1259),"""",IF(ISDATE(B1259),TEXT(B1259,""yyyy""),""""))"),"")</f>
        <v/>
      </c>
    </row>
    <row r="1260">
      <c r="B1260" s="62"/>
      <c r="C1260" s="56"/>
      <c r="D1260" s="56"/>
      <c r="E1260" s="56"/>
      <c r="F1260" s="63"/>
      <c r="G1260" s="64"/>
      <c r="H1260" s="65"/>
      <c r="I1260" s="63"/>
      <c r="K1260" s="53" t="str">
        <f>IFERROR(__xludf.DUMMYFUNCTION("IF(ISBLANK(B1260),"""",IF(ISDATE(B1260),""X"",""""))"),"")</f>
        <v/>
      </c>
      <c r="L1260" s="40" t="str">
        <f>IFERROR(__xludf.DUMMYFUNCTION("IF(ISBLANK(B1260),"""",IF(Or(I1260=""Em Aberto"",ISBLANK(I1260),NOT(ISDATE(B1260))),"""",H1260))"),"")</f>
        <v/>
      </c>
      <c r="M1260" s="29" t="str">
        <f>IFERROR(__xludf.DUMMYFUNCTION("IF(ISBLANK(B1260),"""",IF(ISDATE(B1260),TEXT(B1260,""m""),""""))"),"")</f>
        <v/>
      </c>
      <c r="N1260" s="29" t="str">
        <f>IFERROR(__xludf.DUMMYFUNCTION("IF(M1260="""","""",QUERY({'Dashboard-Dados'!$Y$2:$AA$13},""Select Col2 Where Col1=""&amp;M1260))"),"")</f>
        <v/>
      </c>
      <c r="O1260" s="29" t="str">
        <f>IFERROR(__xludf.DUMMYFUNCTION("IF(ISBLANK(B1260),"""",IF(ISDATE(B1260),TEXT(B1260,""yyyy""),""""))"),"")</f>
        <v/>
      </c>
    </row>
    <row r="1261">
      <c r="B1261" s="62"/>
      <c r="C1261" s="56"/>
      <c r="D1261" s="56"/>
      <c r="E1261" s="56"/>
      <c r="F1261" s="63"/>
      <c r="G1261" s="64"/>
      <c r="H1261" s="65"/>
      <c r="I1261" s="63"/>
      <c r="K1261" s="53" t="str">
        <f>IFERROR(__xludf.DUMMYFUNCTION("IF(ISBLANK(B1261),"""",IF(ISDATE(B1261),""X"",""""))"),"")</f>
        <v/>
      </c>
      <c r="L1261" s="40" t="str">
        <f>IFERROR(__xludf.DUMMYFUNCTION("IF(ISBLANK(B1261),"""",IF(Or(I1261=""Em Aberto"",ISBLANK(I1261),NOT(ISDATE(B1261))),"""",H1261))"),"")</f>
        <v/>
      </c>
      <c r="M1261" s="29" t="str">
        <f>IFERROR(__xludf.DUMMYFUNCTION("IF(ISBLANK(B1261),"""",IF(ISDATE(B1261),TEXT(B1261,""m""),""""))"),"")</f>
        <v/>
      </c>
      <c r="N1261" s="29" t="str">
        <f>IFERROR(__xludf.DUMMYFUNCTION("IF(M1261="""","""",QUERY({'Dashboard-Dados'!$Y$2:$AA$13},""Select Col2 Where Col1=""&amp;M1261))"),"")</f>
        <v/>
      </c>
      <c r="O1261" s="29" t="str">
        <f>IFERROR(__xludf.DUMMYFUNCTION("IF(ISBLANK(B1261),"""",IF(ISDATE(B1261),TEXT(B1261,""yyyy""),""""))"),"")</f>
        <v/>
      </c>
    </row>
    <row r="1262">
      <c r="B1262" s="62"/>
      <c r="C1262" s="56"/>
      <c r="D1262" s="56"/>
      <c r="E1262" s="56"/>
      <c r="F1262" s="63"/>
      <c r="G1262" s="64"/>
      <c r="H1262" s="65"/>
      <c r="I1262" s="63"/>
      <c r="K1262" s="53" t="str">
        <f>IFERROR(__xludf.DUMMYFUNCTION("IF(ISBLANK(B1262),"""",IF(ISDATE(B1262),""X"",""""))"),"")</f>
        <v/>
      </c>
      <c r="L1262" s="40" t="str">
        <f>IFERROR(__xludf.DUMMYFUNCTION("IF(ISBLANK(B1262),"""",IF(Or(I1262=""Em Aberto"",ISBLANK(I1262),NOT(ISDATE(B1262))),"""",H1262))"),"")</f>
        <v/>
      </c>
      <c r="M1262" s="29" t="str">
        <f>IFERROR(__xludf.DUMMYFUNCTION("IF(ISBLANK(B1262),"""",IF(ISDATE(B1262),TEXT(B1262,""m""),""""))"),"")</f>
        <v/>
      </c>
      <c r="N1262" s="29" t="str">
        <f>IFERROR(__xludf.DUMMYFUNCTION("IF(M1262="""","""",QUERY({'Dashboard-Dados'!$Y$2:$AA$13},""Select Col2 Where Col1=""&amp;M1262))"),"")</f>
        <v/>
      </c>
      <c r="O1262" s="29" t="str">
        <f>IFERROR(__xludf.DUMMYFUNCTION("IF(ISBLANK(B1262),"""",IF(ISDATE(B1262),TEXT(B1262,""yyyy""),""""))"),"")</f>
        <v/>
      </c>
    </row>
    <row r="1263">
      <c r="B1263" s="62"/>
      <c r="C1263" s="56"/>
      <c r="D1263" s="56"/>
      <c r="E1263" s="56"/>
      <c r="F1263" s="63"/>
      <c r="G1263" s="64"/>
      <c r="H1263" s="65"/>
      <c r="I1263" s="63"/>
      <c r="K1263" s="53" t="str">
        <f>IFERROR(__xludf.DUMMYFUNCTION("IF(ISBLANK(B1263),"""",IF(ISDATE(B1263),""X"",""""))"),"")</f>
        <v/>
      </c>
      <c r="L1263" s="40" t="str">
        <f>IFERROR(__xludf.DUMMYFUNCTION("IF(ISBLANK(B1263),"""",IF(Or(I1263=""Em Aberto"",ISBLANK(I1263),NOT(ISDATE(B1263))),"""",H1263))"),"")</f>
        <v/>
      </c>
      <c r="M1263" s="29" t="str">
        <f>IFERROR(__xludf.DUMMYFUNCTION("IF(ISBLANK(B1263),"""",IF(ISDATE(B1263),TEXT(B1263,""m""),""""))"),"")</f>
        <v/>
      </c>
      <c r="N1263" s="29" t="str">
        <f>IFERROR(__xludf.DUMMYFUNCTION("IF(M1263="""","""",QUERY({'Dashboard-Dados'!$Y$2:$AA$13},""Select Col2 Where Col1=""&amp;M1263))"),"")</f>
        <v/>
      </c>
      <c r="O1263" s="29" t="str">
        <f>IFERROR(__xludf.DUMMYFUNCTION("IF(ISBLANK(B1263),"""",IF(ISDATE(B1263),TEXT(B1263,""yyyy""),""""))"),"")</f>
        <v/>
      </c>
    </row>
    <row r="1264">
      <c r="B1264" s="62"/>
      <c r="C1264" s="56"/>
      <c r="D1264" s="56"/>
      <c r="E1264" s="56"/>
      <c r="F1264" s="63"/>
      <c r="G1264" s="64"/>
      <c r="H1264" s="65"/>
      <c r="I1264" s="63"/>
      <c r="K1264" s="53" t="str">
        <f>IFERROR(__xludf.DUMMYFUNCTION("IF(ISBLANK(B1264),"""",IF(ISDATE(B1264),""X"",""""))"),"")</f>
        <v/>
      </c>
      <c r="L1264" s="40" t="str">
        <f>IFERROR(__xludf.DUMMYFUNCTION("IF(ISBLANK(B1264),"""",IF(Or(I1264=""Em Aberto"",ISBLANK(I1264),NOT(ISDATE(B1264))),"""",H1264))"),"")</f>
        <v/>
      </c>
      <c r="M1264" s="29" t="str">
        <f>IFERROR(__xludf.DUMMYFUNCTION("IF(ISBLANK(B1264),"""",IF(ISDATE(B1264),TEXT(B1264,""m""),""""))"),"")</f>
        <v/>
      </c>
      <c r="N1264" s="29" t="str">
        <f>IFERROR(__xludf.DUMMYFUNCTION("IF(M1264="""","""",QUERY({'Dashboard-Dados'!$Y$2:$AA$13},""Select Col2 Where Col1=""&amp;M1264))"),"")</f>
        <v/>
      </c>
      <c r="O1264" s="29" t="str">
        <f>IFERROR(__xludf.DUMMYFUNCTION("IF(ISBLANK(B1264),"""",IF(ISDATE(B1264),TEXT(B1264,""yyyy""),""""))"),"")</f>
        <v/>
      </c>
    </row>
    <row r="1265">
      <c r="B1265" s="62"/>
      <c r="C1265" s="56"/>
      <c r="D1265" s="56"/>
      <c r="E1265" s="56"/>
      <c r="F1265" s="63"/>
      <c r="G1265" s="64"/>
      <c r="H1265" s="65"/>
      <c r="I1265" s="63"/>
      <c r="K1265" s="53" t="str">
        <f>IFERROR(__xludf.DUMMYFUNCTION("IF(ISBLANK(B1265),"""",IF(ISDATE(B1265),""X"",""""))"),"")</f>
        <v/>
      </c>
      <c r="L1265" s="40" t="str">
        <f>IFERROR(__xludf.DUMMYFUNCTION("IF(ISBLANK(B1265),"""",IF(Or(I1265=""Em Aberto"",ISBLANK(I1265),NOT(ISDATE(B1265))),"""",H1265))"),"")</f>
        <v/>
      </c>
      <c r="M1265" s="29" t="str">
        <f>IFERROR(__xludf.DUMMYFUNCTION("IF(ISBLANK(B1265),"""",IF(ISDATE(B1265),TEXT(B1265,""m""),""""))"),"")</f>
        <v/>
      </c>
      <c r="N1265" s="29" t="str">
        <f>IFERROR(__xludf.DUMMYFUNCTION("IF(M1265="""","""",QUERY({'Dashboard-Dados'!$Y$2:$AA$13},""Select Col2 Where Col1=""&amp;M1265))"),"")</f>
        <v/>
      </c>
      <c r="O1265" s="29" t="str">
        <f>IFERROR(__xludf.DUMMYFUNCTION("IF(ISBLANK(B1265),"""",IF(ISDATE(B1265),TEXT(B1265,""yyyy""),""""))"),"")</f>
        <v/>
      </c>
    </row>
    <row r="1266">
      <c r="B1266" s="62"/>
      <c r="C1266" s="56"/>
      <c r="D1266" s="56"/>
      <c r="E1266" s="56"/>
      <c r="F1266" s="63"/>
      <c r="G1266" s="64"/>
      <c r="H1266" s="65"/>
      <c r="I1266" s="63"/>
      <c r="K1266" s="53" t="str">
        <f>IFERROR(__xludf.DUMMYFUNCTION("IF(ISBLANK(B1266),"""",IF(ISDATE(B1266),""X"",""""))"),"")</f>
        <v/>
      </c>
      <c r="L1266" s="40" t="str">
        <f>IFERROR(__xludf.DUMMYFUNCTION("IF(ISBLANK(B1266),"""",IF(Or(I1266=""Em Aberto"",ISBLANK(I1266),NOT(ISDATE(B1266))),"""",H1266))"),"")</f>
        <v/>
      </c>
      <c r="M1266" s="29" t="str">
        <f>IFERROR(__xludf.DUMMYFUNCTION("IF(ISBLANK(B1266),"""",IF(ISDATE(B1266),TEXT(B1266,""m""),""""))"),"")</f>
        <v/>
      </c>
      <c r="N1266" s="29" t="str">
        <f>IFERROR(__xludf.DUMMYFUNCTION("IF(M1266="""","""",QUERY({'Dashboard-Dados'!$Y$2:$AA$13},""Select Col2 Where Col1=""&amp;M1266))"),"")</f>
        <v/>
      </c>
      <c r="O1266" s="29" t="str">
        <f>IFERROR(__xludf.DUMMYFUNCTION("IF(ISBLANK(B1266),"""",IF(ISDATE(B1266),TEXT(B1266,""yyyy""),""""))"),"")</f>
        <v/>
      </c>
    </row>
    <row r="1267">
      <c r="B1267" s="62"/>
      <c r="C1267" s="56"/>
      <c r="D1267" s="56"/>
      <c r="E1267" s="56"/>
      <c r="F1267" s="63"/>
      <c r="G1267" s="64"/>
      <c r="H1267" s="65"/>
      <c r="I1267" s="63"/>
      <c r="K1267" s="53" t="str">
        <f>IFERROR(__xludf.DUMMYFUNCTION("IF(ISBLANK(B1267),"""",IF(ISDATE(B1267),""X"",""""))"),"")</f>
        <v/>
      </c>
      <c r="L1267" s="40" t="str">
        <f>IFERROR(__xludf.DUMMYFUNCTION("IF(ISBLANK(B1267),"""",IF(Or(I1267=""Em Aberto"",ISBLANK(I1267),NOT(ISDATE(B1267))),"""",H1267))"),"")</f>
        <v/>
      </c>
      <c r="M1267" s="29" t="str">
        <f>IFERROR(__xludf.DUMMYFUNCTION("IF(ISBLANK(B1267),"""",IF(ISDATE(B1267),TEXT(B1267,""m""),""""))"),"")</f>
        <v/>
      </c>
      <c r="N1267" s="29" t="str">
        <f>IFERROR(__xludf.DUMMYFUNCTION("IF(M1267="""","""",QUERY({'Dashboard-Dados'!$Y$2:$AA$13},""Select Col2 Where Col1=""&amp;M1267))"),"")</f>
        <v/>
      </c>
      <c r="O1267" s="29" t="str">
        <f>IFERROR(__xludf.DUMMYFUNCTION("IF(ISBLANK(B1267),"""",IF(ISDATE(B1267),TEXT(B1267,""yyyy""),""""))"),"")</f>
        <v/>
      </c>
    </row>
    <row r="1268">
      <c r="B1268" s="62"/>
      <c r="C1268" s="56"/>
      <c r="D1268" s="56"/>
      <c r="E1268" s="56"/>
      <c r="F1268" s="63"/>
      <c r="G1268" s="64"/>
      <c r="H1268" s="65"/>
      <c r="I1268" s="63"/>
      <c r="K1268" s="53" t="str">
        <f>IFERROR(__xludf.DUMMYFUNCTION("IF(ISBLANK(B1268),"""",IF(ISDATE(B1268),""X"",""""))"),"")</f>
        <v/>
      </c>
      <c r="L1268" s="40" t="str">
        <f>IFERROR(__xludf.DUMMYFUNCTION("IF(ISBLANK(B1268),"""",IF(Or(I1268=""Em Aberto"",ISBLANK(I1268),NOT(ISDATE(B1268))),"""",H1268))"),"")</f>
        <v/>
      </c>
      <c r="M1268" s="29" t="str">
        <f>IFERROR(__xludf.DUMMYFUNCTION("IF(ISBLANK(B1268),"""",IF(ISDATE(B1268),TEXT(B1268,""m""),""""))"),"")</f>
        <v/>
      </c>
      <c r="N1268" s="29" t="str">
        <f>IFERROR(__xludf.DUMMYFUNCTION("IF(M1268="""","""",QUERY({'Dashboard-Dados'!$Y$2:$AA$13},""Select Col2 Where Col1=""&amp;M1268))"),"")</f>
        <v/>
      </c>
      <c r="O1268" s="29" t="str">
        <f>IFERROR(__xludf.DUMMYFUNCTION("IF(ISBLANK(B1268),"""",IF(ISDATE(B1268),TEXT(B1268,""yyyy""),""""))"),"")</f>
        <v/>
      </c>
    </row>
    <row r="1269">
      <c r="B1269" s="62"/>
      <c r="C1269" s="56"/>
      <c r="D1269" s="56"/>
      <c r="E1269" s="56"/>
      <c r="F1269" s="63"/>
      <c r="G1269" s="64"/>
      <c r="H1269" s="65"/>
      <c r="I1269" s="63"/>
      <c r="K1269" s="53" t="str">
        <f>IFERROR(__xludf.DUMMYFUNCTION("IF(ISBLANK(B1269),"""",IF(ISDATE(B1269),""X"",""""))"),"")</f>
        <v/>
      </c>
      <c r="L1269" s="40" t="str">
        <f>IFERROR(__xludf.DUMMYFUNCTION("IF(ISBLANK(B1269),"""",IF(Or(I1269=""Em Aberto"",ISBLANK(I1269),NOT(ISDATE(B1269))),"""",H1269))"),"")</f>
        <v/>
      </c>
      <c r="M1269" s="29" t="str">
        <f>IFERROR(__xludf.DUMMYFUNCTION("IF(ISBLANK(B1269),"""",IF(ISDATE(B1269),TEXT(B1269,""m""),""""))"),"")</f>
        <v/>
      </c>
      <c r="N1269" s="29" t="str">
        <f>IFERROR(__xludf.DUMMYFUNCTION("IF(M1269="""","""",QUERY({'Dashboard-Dados'!$Y$2:$AA$13},""Select Col2 Where Col1=""&amp;M1269))"),"")</f>
        <v/>
      </c>
      <c r="O1269" s="29" t="str">
        <f>IFERROR(__xludf.DUMMYFUNCTION("IF(ISBLANK(B1269),"""",IF(ISDATE(B1269),TEXT(B1269,""yyyy""),""""))"),"")</f>
        <v/>
      </c>
    </row>
    <row r="1270">
      <c r="B1270" s="62"/>
      <c r="C1270" s="56"/>
      <c r="D1270" s="56"/>
      <c r="E1270" s="56"/>
      <c r="F1270" s="63"/>
      <c r="G1270" s="64"/>
      <c r="H1270" s="65"/>
      <c r="I1270" s="63"/>
      <c r="K1270" s="53" t="str">
        <f>IFERROR(__xludf.DUMMYFUNCTION("IF(ISBLANK(B1270),"""",IF(ISDATE(B1270),""X"",""""))"),"")</f>
        <v/>
      </c>
      <c r="L1270" s="40" t="str">
        <f>IFERROR(__xludf.DUMMYFUNCTION("IF(ISBLANK(B1270),"""",IF(Or(I1270=""Em Aberto"",ISBLANK(I1270),NOT(ISDATE(B1270))),"""",H1270))"),"")</f>
        <v/>
      </c>
      <c r="M1270" s="29" t="str">
        <f>IFERROR(__xludf.DUMMYFUNCTION("IF(ISBLANK(B1270),"""",IF(ISDATE(B1270),TEXT(B1270,""m""),""""))"),"")</f>
        <v/>
      </c>
      <c r="N1270" s="29" t="str">
        <f>IFERROR(__xludf.DUMMYFUNCTION("IF(M1270="""","""",QUERY({'Dashboard-Dados'!$Y$2:$AA$13},""Select Col2 Where Col1=""&amp;M1270))"),"")</f>
        <v/>
      </c>
      <c r="O1270" s="29" t="str">
        <f>IFERROR(__xludf.DUMMYFUNCTION("IF(ISBLANK(B1270),"""",IF(ISDATE(B1270),TEXT(B1270,""yyyy""),""""))"),"")</f>
        <v/>
      </c>
    </row>
    <row r="1271">
      <c r="B1271" s="62"/>
      <c r="C1271" s="56"/>
      <c r="D1271" s="56"/>
      <c r="E1271" s="56"/>
      <c r="F1271" s="63"/>
      <c r="G1271" s="64"/>
      <c r="H1271" s="65"/>
      <c r="I1271" s="63"/>
      <c r="K1271" s="53" t="str">
        <f>IFERROR(__xludf.DUMMYFUNCTION("IF(ISBLANK(B1271),"""",IF(ISDATE(B1271),""X"",""""))"),"")</f>
        <v/>
      </c>
      <c r="L1271" s="40" t="str">
        <f>IFERROR(__xludf.DUMMYFUNCTION("IF(ISBLANK(B1271),"""",IF(Or(I1271=""Em Aberto"",ISBLANK(I1271),NOT(ISDATE(B1271))),"""",H1271))"),"")</f>
        <v/>
      </c>
      <c r="M1271" s="29" t="str">
        <f>IFERROR(__xludf.DUMMYFUNCTION("IF(ISBLANK(B1271),"""",IF(ISDATE(B1271),TEXT(B1271,""m""),""""))"),"")</f>
        <v/>
      </c>
      <c r="N1271" s="29" t="str">
        <f>IFERROR(__xludf.DUMMYFUNCTION("IF(M1271="""","""",QUERY({'Dashboard-Dados'!$Y$2:$AA$13},""Select Col2 Where Col1=""&amp;M1271))"),"")</f>
        <v/>
      </c>
      <c r="O1271" s="29" t="str">
        <f>IFERROR(__xludf.DUMMYFUNCTION("IF(ISBLANK(B1271),"""",IF(ISDATE(B1271),TEXT(B1271,""yyyy""),""""))"),"")</f>
        <v/>
      </c>
    </row>
    <row r="1272">
      <c r="B1272" s="62"/>
      <c r="C1272" s="56"/>
      <c r="D1272" s="56"/>
      <c r="E1272" s="56"/>
      <c r="F1272" s="63"/>
      <c r="G1272" s="64"/>
      <c r="H1272" s="65"/>
      <c r="I1272" s="63"/>
      <c r="K1272" s="53" t="str">
        <f>IFERROR(__xludf.DUMMYFUNCTION("IF(ISBLANK(B1272),"""",IF(ISDATE(B1272),""X"",""""))"),"")</f>
        <v/>
      </c>
      <c r="L1272" s="40" t="str">
        <f>IFERROR(__xludf.DUMMYFUNCTION("IF(ISBLANK(B1272),"""",IF(Or(I1272=""Em Aberto"",ISBLANK(I1272),NOT(ISDATE(B1272))),"""",H1272))"),"")</f>
        <v/>
      </c>
      <c r="M1272" s="29" t="str">
        <f>IFERROR(__xludf.DUMMYFUNCTION("IF(ISBLANK(B1272),"""",IF(ISDATE(B1272),TEXT(B1272,""m""),""""))"),"")</f>
        <v/>
      </c>
      <c r="N1272" s="29" t="str">
        <f>IFERROR(__xludf.DUMMYFUNCTION("IF(M1272="""","""",QUERY({'Dashboard-Dados'!$Y$2:$AA$13},""Select Col2 Where Col1=""&amp;M1272))"),"")</f>
        <v/>
      </c>
      <c r="O1272" s="29" t="str">
        <f>IFERROR(__xludf.DUMMYFUNCTION("IF(ISBLANK(B1272),"""",IF(ISDATE(B1272),TEXT(B1272,""yyyy""),""""))"),"")</f>
        <v/>
      </c>
    </row>
    <row r="1273">
      <c r="B1273" s="62"/>
      <c r="C1273" s="56"/>
      <c r="D1273" s="56"/>
      <c r="E1273" s="56"/>
      <c r="F1273" s="63"/>
      <c r="G1273" s="64"/>
      <c r="H1273" s="65"/>
      <c r="I1273" s="63"/>
      <c r="K1273" s="53" t="str">
        <f>IFERROR(__xludf.DUMMYFUNCTION("IF(ISBLANK(B1273),"""",IF(ISDATE(B1273),""X"",""""))"),"")</f>
        <v/>
      </c>
      <c r="L1273" s="40" t="str">
        <f>IFERROR(__xludf.DUMMYFUNCTION("IF(ISBLANK(B1273),"""",IF(Or(I1273=""Em Aberto"",ISBLANK(I1273),NOT(ISDATE(B1273))),"""",H1273))"),"")</f>
        <v/>
      </c>
      <c r="M1273" s="29" t="str">
        <f>IFERROR(__xludf.DUMMYFUNCTION("IF(ISBLANK(B1273),"""",IF(ISDATE(B1273),TEXT(B1273,""m""),""""))"),"")</f>
        <v/>
      </c>
      <c r="N1273" s="29" t="str">
        <f>IFERROR(__xludf.DUMMYFUNCTION("IF(M1273="""","""",QUERY({'Dashboard-Dados'!$Y$2:$AA$13},""Select Col2 Where Col1=""&amp;M1273))"),"")</f>
        <v/>
      </c>
      <c r="O1273" s="29" t="str">
        <f>IFERROR(__xludf.DUMMYFUNCTION("IF(ISBLANK(B1273),"""",IF(ISDATE(B1273),TEXT(B1273,""yyyy""),""""))"),"")</f>
        <v/>
      </c>
    </row>
    <row r="1274">
      <c r="B1274" s="62"/>
      <c r="C1274" s="56"/>
      <c r="D1274" s="56"/>
      <c r="E1274" s="56"/>
      <c r="F1274" s="63"/>
      <c r="G1274" s="64"/>
      <c r="H1274" s="65"/>
      <c r="I1274" s="63"/>
      <c r="K1274" s="53" t="str">
        <f>IFERROR(__xludf.DUMMYFUNCTION("IF(ISBLANK(B1274),"""",IF(ISDATE(B1274),""X"",""""))"),"")</f>
        <v/>
      </c>
      <c r="L1274" s="40" t="str">
        <f>IFERROR(__xludf.DUMMYFUNCTION("IF(ISBLANK(B1274),"""",IF(Or(I1274=""Em Aberto"",ISBLANK(I1274),NOT(ISDATE(B1274))),"""",H1274))"),"")</f>
        <v/>
      </c>
      <c r="M1274" s="29" t="str">
        <f>IFERROR(__xludf.DUMMYFUNCTION("IF(ISBLANK(B1274),"""",IF(ISDATE(B1274),TEXT(B1274,""m""),""""))"),"")</f>
        <v/>
      </c>
      <c r="N1274" s="29" t="str">
        <f>IFERROR(__xludf.DUMMYFUNCTION("IF(M1274="""","""",QUERY({'Dashboard-Dados'!$Y$2:$AA$13},""Select Col2 Where Col1=""&amp;M1274))"),"")</f>
        <v/>
      </c>
      <c r="O1274" s="29" t="str">
        <f>IFERROR(__xludf.DUMMYFUNCTION("IF(ISBLANK(B1274),"""",IF(ISDATE(B1274),TEXT(B1274,""yyyy""),""""))"),"")</f>
        <v/>
      </c>
    </row>
    <row r="1275">
      <c r="B1275" s="62"/>
      <c r="C1275" s="56"/>
      <c r="D1275" s="56"/>
      <c r="E1275" s="56"/>
      <c r="F1275" s="63"/>
      <c r="G1275" s="64"/>
      <c r="H1275" s="65"/>
      <c r="I1275" s="63"/>
      <c r="K1275" s="53" t="str">
        <f>IFERROR(__xludf.DUMMYFUNCTION("IF(ISBLANK(B1275),"""",IF(ISDATE(B1275),""X"",""""))"),"")</f>
        <v/>
      </c>
      <c r="L1275" s="40" t="str">
        <f>IFERROR(__xludf.DUMMYFUNCTION("IF(ISBLANK(B1275),"""",IF(Or(I1275=""Em Aberto"",ISBLANK(I1275),NOT(ISDATE(B1275))),"""",H1275))"),"")</f>
        <v/>
      </c>
      <c r="M1275" s="29" t="str">
        <f>IFERROR(__xludf.DUMMYFUNCTION("IF(ISBLANK(B1275),"""",IF(ISDATE(B1275),TEXT(B1275,""m""),""""))"),"")</f>
        <v/>
      </c>
      <c r="N1275" s="29" t="str">
        <f>IFERROR(__xludf.DUMMYFUNCTION("IF(M1275="""","""",QUERY({'Dashboard-Dados'!$Y$2:$AA$13},""Select Col2 Where Col1=""&amp;M1275))"),"")</f>
        <v/>
      </c>
      <c r="O1275" s="29" t="str">
        <f>IFERROR(__xludf.DUMMYFUNCTION("IF(ISBLANK(B1275),"""",IF(ISDATE(B1275),TEXT(B1275,""yyyy""),""""))"),"")</f>
        <v/>
      </c>
    </row>
    <row r="1276">
      <c r="B1276" s="62"/>
      <c r="C1276" s="56"/>
      <c r="D1276" s="56"/>
      <c r="E1276" s="56"/>
      <c r="F1276" s="63"/>
      <c r="G1276" s="64"/>
      <c r="H1276" s="65"/>
      <c r="I1276" s="63"/>
      <c r="K1276" s="53" t="str">
        <f>IFERROR(__xludf.DUMMYFUNCTION("IF(ISBLANK(B1276),"""",IF(ISDATE(B1276),""X"",""""))"),"")</f>
        <v/>
      </c>
      <c r="L1276" s="40" t="str">
        <f>IFERROR(__xludf.DUMMYFUNCTION("IF(ISBLANK(B1276),"""",IF(Or(I1276=""Em Aberto"",ISBLANK(I1276),NOT(ISDATE(B1276))),"""",H1276))"),"")</f>
        <v/>
      </c>
      <c r="M1276" s="29" t="str">
        <f>IFERROR(__xludf.DUMMYFUNCTION("IF(ISBLANK(B1276),"""",IF(ISDATE(B1276),TEXT(B1276,""m""),""""))"),"")</f>
        <v/>
      </c>
      <c r="N1276" s="29" t="str">
        <f>IFERROR(__xludf.DUMMYFUNCTION("IF(M1276="""","""",QUERY({'Dashboard-Dados'!$Y$2:$AA$13},""Select Col2 Where Col1=""&amp;M1276))"),"")</f>
        <v/>
      </c>
      <c r="O1276" s="29" t="str">
        <f>IFERROR(__xludf.DUMMYFUNCTION("IF(ISBLANK(B1276),"""",IF(ISDATE(B1276),TEXT(B1276,""yyyy""),""""))"),"")</f>
        <v/>
      </c>
    </row>
    <row r="1277">
      <c r="B1277" s="62"/>
      <c r="C1277" s="56"/>
      <c r="D1277" s="56"/>
      <c r="E1277" s="56"/>
      <c r="F1277" s="63"/>
      <c r="G1277" s="64"/>
      <c r="H1277" s="65"/>
      <c r="I1277" s="63"/>
      <c r="K1277" s="53" t="str">
        <f>IFERROR(__xludf.DUMMYFUNCTION("IF(ISBLANK(B1277),"""",IF(ISDATE(B1277),""X"",""""))"),"")</f>
        <v/>
      </c>
      <c r="L1277" s="40" t="str">
        <f>IFERROR(__xludf.DUMMYFUNCTION("IF(ISBLANK(B1277),"""",IF(Or(I1277=""Em Aberto"",ISBLANK(I1277),NOT(ISDATE(B1277))),"""",H1277))"),"")</f>
        <v/>
      </c>
      <c r="M1277" s="29" t="str">
        <f>IFERROR(__xludf.DUMMYFUNCTION("IF(ISBLANK(B1277),"""",IF(ISDATE(B1277),TEXT(B1277,""m""),""""))"),"")</f>
        <v/>
      </c>
      <c r="N1277" s="29" t="str">
        <f>IFERROR(__xludf.DUMMYFUNCTION("IF(M1277="""","""",QUERY({'Dashboard-Dados'!$Y$2:$AA$13},""Select Col2 Where Col1=""&amp;M1277))"),"")</f>
        <v/>
      </c>
      <c r="O1277" s="29" t="str">
        <f>IFERROR(__xludf.DUMMYFUNCTION("IF(ISBLANK(B1277),"""",IF(ISDATE(B1277),TEXT(B1277,""yyyy""),""""))"),"")</f>
        <v/>
      </c>
    </row>
    <row r="1278">
      <c r="B1278" s="62"/>
      <c r="C1278" s="56"/>
      <c r="D1278" s="56"/>
      <c r="E1278" s="56"/>
      <c r="F1278" s="63"/>
      <c r="G1278" s="64"/>
      <c r="H1278" s="65"/>
      <c r="I1278" s="63"/>
      <c r="K1278" s="53" t="str">
        <f>IFERROR(__xludf.DUMMYFUNCTION("IF(ISBLANK(B1278),"""",IF(ISDATE(B1278),""X"",""""))"),"")</f>
        <v/>
      </c>
      <c r="L1278" s="40" t="str">
        <f>IFERROR(__xludf.DUMMYFUNCTION("IF(ISBLANK(B1278),"""",IF(Or(I1278=""Em Aberto"",ISBLANK(I1278),NOT(ISDATE(B1278))),"""",H1278))"),"")</f>
        <v/>
      </c>
      <c r="M1278" s="29" t="str">
        <f>IFERROR(__xludf.DUMMYFUNCTION("IF(ISBLANK(B1278),"""",IF(ISDATE(B1278),TEXT(B1278,""m""),""""))"),"")</f>
        <v/>
      </c>
      <c r="N1278" s="29" t="str">
        <f>IFERROR(__xludf.DUMMYFUNCTION("IF(M1278="""","""",QUERY({'Dashboard-Dados'!$Y$2:$AA$13},""Select Col2 Where Col1=""&amp;M1278))"),"")</f>
        <v/>
      </c>
      <c r="O1278" s="29" t="str">
        <f>IFERROR(__xludf.DUMMYFUNCTION("IF(ISBLANK(B1278),"""",IF(ISDATE(B1278),TEXT(B1278,""yyyy""),""""))"),"")</f>
        <v/>
      </c>
    </row>
    <row r="1279">
      <c r="B1279" s="62"/>
      <c r="C1279" s="56"/>
      <c r="D1279" s="56"/>
      <c r="E1279" s="56"/>
      <c r="F1279" s="63"/>
      <c r="G1279" s="64"/>
      <c r="H1279" s="65"/>
      <c r="I1279" s="63"/>
      <c r="K1279" s="53" t="str">
        <f>IFERROR(__xludf.DUMMYFUNCTION("IF(ISBLANK(B1279),"""",IF(ISDATE(B1279),""X"",""""))"),"")</f>
        <v/>
      </c>
      <c r="L1279" s="40" t="str">
        <f>IFERROR(__xludf.DUMMYFUNCTION("IF(ISBLANK(B1279),"""",IF(Or(I1279=""Em Aberto"",ISBLANK(I1279),NOT(ISDATE(B1279))),"""",H1279))"),"")</f>
        <v/>
      </c>
      <c r="M1279" s="29" t="str">
        <f>IFERROR(__xludf.DUMMYFUNCTION("IF(ISBLANK(B1279),"""",IF(ISDATE(B1279),TEXT(B1279,""m""),""""))"),"")</f>
        <v/>
      </c>
      <c r="N1279" s="29" t="str">
        <f>IFERROR(__xludf.DUMMYFUNCTION("IF(M1279="""","""",QUERY({'Dashboard-Dados'!$Y$2:$AA$13},""Select Col2 Where Col1=""&amp;M1279))"),"")</f>
        <v/>
      </c>
      <c r="O1279" s="29" t="str">
        <f>IFERROR(__xludf.DUMMYFUNCTION("IF(ISBLANK(B1279),"""",IF(ISDATE(B1279),TEXT(B1279,""yyyy""),""""))"),"")</f>
        <v/>
      </c>
    </row>
    <row r="1280">
      <c r="B1280" s="62"/>
      <c r="C1280" s="56"/>
      <c r="D1280" s="56"/>
      <c r="E1280" s="56"/>
      <c r="F1280" s="63"/>
      <c r="G1280" s="64"/>
      <c r="H1280" s="65"/>
      <c r="I1280" s="63"/>
      <c r="K1280" s="53" t="str">
        <f>IFERROR(__xludf.DUMMYFUNCTION("IF(ISBLANK(B1280),"""",IF(ISDATE(B1280),""X"",""""))"),"")</f>
        <v/>
      </c>
      <c r="L1280" s="40" t="str">
        <f>IFERROR(__xludf.DUMMYFUNCTION("IF(ISBLANK(B1280),"""",IF(Or(I1280=""Em Aberto"",ISBLANK(I1280),NOT(ISDATE(B1280))),"""",H1280))"),"")</f>
        <v/>
      </c>
      <c r="M1280" s="29" t="str">
        <f>IFERROR(__xludf.DUMMYFUNCTION("IF(ISBLANK(B1280),"""",IF(ISDATE(B1280),TEXT(B1280,""m""),""""))"),"")</f>
        <v/>
      </c>
      <c r="N1280" s="29" t="str">
        <f>IFERROR(__xludf.DUMMYFUNCTION("IF(M1280="""","""",QUERY({'Dashboard-Dados'!$Y$2:$AA$13},""Select Col2 Where Col1=""&amp;M1280))"),"")</f>
        <v/>
      </c>
      <c r="O1280" s="29" t="str">
        <f>IFERROR(__xludf.DUMMYFUNCTION("IF(ISBLANK(B1280),"""",IF(ISDATE(B1280),TEXT(B1280,""yyyy""),""""))"),"")</f>
        <v/>
      </c>
    </row>
    <row r="1281">
      <c r="B1281" s="62"/>
      <c r="C1281" s="56"/>
      <c r="D1281" s="56"/>
      <c r="E1281" s="56"/>
      <c r="F1281" s="63"/>
      <c r="G1281" s="64"/>
      <c r="H1281" s="65"/>
      <c r="I1281" s="63"/>
      <c r="K1281" s="53" t="str">
        <f>IFERROR(__xludf.DUMMYFUNCTION("IF(ISBLANK(B1281),"""",IF(ISDATE(B1281),""X"",""""))"),"")</f>
        <v/>
      </c>
      <c r="L1281" s="40" t="str">
        <f>IFERROR(__xludf.DUMMYFUNCTION("IF(ISBLANK(B1281),"""",IF(Or(I1281=""Em Aberto"",ISBLANK(I1281),NOT(ISDATE(B1281))),"""",H1281))"),"")</f>
        <v/>
      </c>
      <c r="M1281" s="29" t="str">
        <f>IFERROR(__xludf.DUMMYFUNCTION("IF(ISBLANK(B1281),"""",IF(ISDATE(B1281),TEXT(B1281,""m""),""""))"),"")</f>
        <v/>
      </c>
      <c r="N1281" s="29" t="str">
        <f>IFERROR(__xludf.DUMMYFUNCTION("IF(M1281="""","""",QUERY({'Dashboard-Dados'!$Y$2:$AA$13},""Select Col2 Where Col1=""&amp;M1281))"),"")</f>
        <v/>
      </c>
      <c r="O1281" s="29" t="str">
        <f>IFERROR(__xludf.DUMMYFUNCTION("IF(ISBLANK(B1281),"""",IF(ISDATE(B1281),TEXT(B1281,""yyyy""),""""))"),"")</f>
        <v/>
      </c>
    </row>
    <row r="1282">
      <c r="B1282" s="62"/>
      <c r="C1282" s="56"/>
      <c r="D1282" s="56"/>
      <c r="E1282" s="56"/>
      <c r="F1282" s="63"/>
      <c r="G1282" s="64"/>
      <c r="H1282" s="65"/>
      <c r="I1282" s="63"/>
      <c r="K1282" s="53" t="str">
        <f>IFERROR(__xludf.DUMMYFUNCTION("IF(ISBLANK(B1282),"""",IF(ISDATE(B1282),""X"",""""))"),"")</f>
        <v/>
      </c>
      <c r="L1282" s="40" t="str">
        <f>IFERROR(__xludf.DUMMYFUNCTION("IF(ISBLANK(B1282),"""",IF(Or(I1282=""Em Aberto"",ISBLANK(I1282),NOT(ISDATE(B1282))),"""",H1282))"),"")</f>
        <v/>
      </c>
      <c r="M1282" s="29" t="str">
        <f>IFERROR(__xludf.DUMMYFUNCTION("IF(ISBLANK(B1282),"""",IF(ISDATE(B1282),TEXT(B1282,""m""),""""))"),"")</f>
        <v/>
      </c>
      <c r="N1282" s="29" t="str">
        <f>IFERROR(__xludf.DUMMYFUNCTION("IF(M1282="""","""",QUERY({'Dashboard-Dados'!$Y$2:$AA$13},""Select Col2 Where Col1=""&amp;M1282))"),"")</f>
        <v/>
      </c>
      <c r="O1282" s="29" t="str">
        <f>IFERROR(__xludf.DUMMYFUNCTION("IF(ISBLANK(B1282),"""",IF(ISDATE(B1282),TEXT(B1282,""yyyy""),""""))"),"")</f>
        <v/>
      </c>
    </row>
    <row r="1283">
      <c r="B1283" s="62"/>
      <c r="C1283" s="56"/>
      <c r="D1283" s="56"/>
      <c r="E1283" s="56"/>
      <c r="F1283" s="63"/>
      <c r="G1283" s="64"/>
      <c r="H1283" s="65"/>
      <c r="I1283" s="63"/>
      <c r="K1283" s="53" t="str">
        <f>IFERROR(__xludf.DUMMYFUNCTION("IF(ISBLANK(B1283),"""",IF(ISDATE(B1283),""X"",""""))"),"")</f>
        <v/>
      </c>
      <c r="L1283" s="40" t="str">
        <f>IFERROR(__xludf.DUMMYFUNCTION("IF(ISBLANK(B1283),"""",IF(Or(I1283=""Em Aberto"",ISBLANK(I1283),NOT(ISDATE(B1283))),"""",H1283))"),"")</f>
        <v/>
      </c>
      <c r="M1283" s="29" t="str">
        <f>IFERROR(__xludf.DUMMYFUNCTION("IF(ISBLANK(B1283),"""",IF(ISDATE(B1283),TEXT(B1283,""m""),""""))"),"")</f>
        <v/>
      </c>
      <c r="N1283" s="29" t="str">
        <f>IFERROR(__xludf.DUMMYFUNCTION("IF(M1283="""","""",QUERY({'Dashboard-Dados'!$Y$2:$AA$13},""Select Col2 Where Col1=""&amp;M1283))"),"")</f>
        <v/>
      </c>
      <c r="O1283" s="29" t="str">
        <f>IFERROR(__xludf.DUMMYFUNCTION("IF(ISBLANK(B1283),"""",IF(ISDATE(B1283),TEXT(B1283,""yyyy""),""""))"),"")</f>
        <v/>
      </c>
    </row>
    <row r="1284">
      <c r="B1284" s="62"/>
      <c r="C1284" s="56"/>
      <c r="D1284" s="56"/>
      <c r="E1284" s="56"/>
      <c r="F1284" s="63"/>
      <c r="G1284" s="64"/>
      <c r="H1284" s="65"/>
      <c r="I1284" s="63"/>
      <c r="K1284" s="53" t="str">
        <f>IFERROR(__xludf.DUMMYFUNCTION("IF(ISBLANK(B1284),"""",IF(ISDATE(B1284),""X"",""""))"),"")</f>
        <v/>
      </c>
      <c r="L1284" s="40" t="str">
        <f>IFERROR(__xludf.DUMMYFUNCTION("IF(ISBLANK(B1284),"""",IF(Or(I1284=""Em Aberto"",ISBLANK(I1284),NOT(ISDATE(B1284))),"""",H1284))"),"")</f>
        <v/>
      </c>
      <c r="M1284" s="29" t="str">
        <f>IFERROR(__xludf.DUMMYFUNCTION("IF(ISBLANK(B1284),"""",IF(ISDATE(B1284),TEXT(B1284,""m""),""""))"),"")</f>
        <v/>
      </c>
      <c r="N1284" s="29" t="str">
        <f>IFERROR(__xludf.DUMMYFUNCTION("IF(M1284="""","""",QUERY({'Dashboard-Dados'!$Y$2:$AA$13},""Select Col2 Where Col1=""&amp;M1284))"),"")</f>
        <v/>
      </c>
      <c r="O1284" s="29" t="str">
        <f>IFERROR(__xludf.DUMMYFUNCTION("IF(ISBLANK(B1284),"""",IF(ISDATE(B1284),TEXT(B1284,""yyyy""),""""))"),"")</f>
        <v/>
      </c>
    </row>
    <row r="1285">
      <c r="B1285" s="62"/>
      <c r="C1285" s="56"/>
      <c r="D1285" s="56"/>
      <c r="E1285" s="56"/>
      <c r="F1285" s="63"/>
      <c r="G1285" s="64"/>
      <c r="H1285" s="65"/>
      <c r="I1285" s="63"/>
      <c r="K1285" s="53" t="str">
        <f>IFERROR(__xludf.DUMMYFUNCTION("IF(ISBLANK(B1285),"""",IF(ISDATE(B1285),""X"",""""))"),"")</f>
        <v/>
      </c>
      <c r="L1285" s="40" t="str">
        <f>IFERROR(__xludf.DUMMYFUNCTION("IF(ISBLANK(B1285),"""",IF(Or(I1285=""Em Aberto"",ISBLANK(I1285),NOT(ISDATE(B1285))),"""",H1285))"),"")</f>
        <v/>
      </c>
      <c r="M1285" s="29" t="str">
        <f>IFERROR(__xludf.DUMMYFUNCTION("IF(ISBLANK(B1285),"""",IF(ISDATE(B1285),TEXT(B1285,""m""),""""))"),"")</f>
        <v/>
      </c>
      <c r="N1285" s="29" t="str">
        <f>IFERROR(__xludf.DUMMYFUNCTION("IF(M1285="""","""",QUERY({'Dashboard-Dados'!$Y$2:$AA$13},""Select Col2 Where Col1=""&amp;M1285))"),"")</f>
        <v/>
      </c>
      <c r="O1285" s="29" t="str">
        <f>IFERROR(__xludf.DUMMYFUNCTION("IF(ISBLANK(B1285),"""",IF(ISDATE(B1285),TEXT(B1285,""yyyy""),""""))"),"")</f>
        <v/>
      </c>
    </row>
    <row r="1286">
      <c r="B1286" s="62"/>
      <c r="C1286" s="56"/>
      <c r="D1286" s="56"/>
      <c r="E1286" s="56"/>
      <c r="F1286" s="63"/>
      <c r="G1286" s="64"/>
      <c r="H1286" s="65"/>
      <c r="I1286" s="63"/>
      <c r="K1286" s="53" t="str">
        <f>IFERROR(__xludf.DUMMYFUNCTION("IF(ISBLANK(B1286),"""",IF(ISDATE(B1286),""X"",""""))"),"")</f>
        <v/>
      </c>
      <c r="L1286" s="40" t="str">
        <f>IFERROR(__xludf.DUMMYFUNCTION("IF(ISBLANK(B1286),"""",IF(Or(I1286=""Em Aberto"",ISBLANK(I1286),NOT(ISDATE(B1286))),"""",H1286))"),"")</f>
        <v/>
      </c>
      <c r="M1286" s="29" t="str">
        <f>IFERROR(__xludf.DUMMYFUNCTION("IF(ISBLANK(B1286),"""",IF(ISDATE(B1286),TEXT(B1286,""m""),""""))"),"")</f>
        <v/>
      </c>
      <c r="N1286" s="29" t="str">
        <f>IFERROR(__xludf.DUMMYFUNCTION("IF(M1286="""","""",QUERY({'Dashboard-Dados'!$Y$2:$AA$13},""Select Col2 Where Col1=""&amp;M1286))"),"")</f>
        <v/>
      </c>
      <c r="O1286" s="29" t="str">
        <f>IFERROR(__xludf.DUMMYFUNCTION("IF(ISBLANK(B1286),"""",IF(ISDATE(B1286),TEXT(B1286,""yyyy""),""""))"),"")</f>
        <v/>
      </c>
    </row>
    <row r="1287">
      <c r="B1287" s="62"/>
      <c r="C1287" s="56"/>
      <c r="D1287" s="56"/>
      <c r="E1287" s="56"/>
      <c r="F1287" s="63"/>
      <c r="G1287" s="64"/>
      <c r="H1287" s="65"/>
      <c r="I1287" s="63"/>
      <c r="K1287" s="53" t="str">
        <f>IFERROR(__xludf.DUMMYFUNCTION("IF(ISBLANK(B1287),"""",IF(ISDATE(B1287),""X"",""""))"),"")</f>
        <v/>
      </c>
      <c r="L1287" s="40" t="str">
        <f>IFERROR(__xludf.DUMMYFUNCTION("IF(ISBLANK(B1287),"""",IF(Or(I1287=""Em Aberto"",ISBLANK(I1287),NOT(ISDATE(B1287))),"""",H1287))"),"")</f>
        <v/>
      </c>
      <c r="M1287" s="29" t="str">
        <f>IFERROR(__xludf.DUMMYFUNCTION("IF(ISBLANK(B1287),"""",IF(ISDATE(B1287),TEXT(B1287,""m""),""""))"),"")</f>
        <v/>
      </c>
      <c r="N1287" s="29" t="str">
        <f>IFERROR(__xludf.DUMMYFUNCTION("IF(M1287="""","""",QUERY({'Dashboard-Dados'!$Y$2:$AA$13},""Select Col2 Where Col1=""&amp;M1287))"),"")</f>
        <v/>
      </c>
      <c r="O1287" s="29" t="str">
        <f>IFERROR(__xludf.DUMMYFUNCTION("IF(ISBLANK(B1287),"""",IF(ISDATE(B1287),TEXT(B1287,""yyyy""),""""))"),"")</f>
        <v/>
      </c>
    </row>
    <row r="1288">
      <c r="B1288" s="62"/>
      <c r="C1288" s="56"/>
      <c r="D1288" s="56"/>
      <c r="E1288" s="56"/>
      <c r="F1288" s="63"/>
      <c r="G1288" s="64"/>
      <c r="H1288" s="65"/>
      <c r="I1288" s="63"/>
      <c r="K1288" s="53" t="str">
        <f>IFERROR(__xludf.DUMMYFUNCTION("IF(ISBLANK(B1288),"""",IF(ISDATE(B1288),""X"",""""))"),"")</f>
        <v/>
      </c>
      <c r="L1288" s="40" t="str">
        <f>IFERROR(__xludf.DUMMYFUNCTION("IF(ISBLANK(B1288),"""",IF(Or(I1288=""Em Aberto"",ISBLANK(I1288),NOT(ISDATE(B1288))),"""",H1288))"),"")</f>
        <v/>
      </c>
      <c r="M1288" s="29" t="str">
        <f>IFERROR(__xludf.DUMMYFUNCTION("IF(ISBLANK(B1288),"""",IF(ISDATE(B1288),TEXT(B1288,""m""),""""))"),"")</f>
        <v/>
      </c>
      <c r="N1288" s="29" t="str">
        <f>IFERROR(__xludf.DUMMYFUNCTION("IF(M1288="""","""",QUERY({'Dashboard-Dados'!$Y$2:$AA$13},""Select Col2 Where Col1=""&amp;M1288))"),"")</f>
        <v/>
      </c>
      <c r="O1288" s="29" t="str">
        <f>IFERROR(__xludf.DUMMYFUNCTION("IF(ISBLANK(B1288),"""",IF(ISDATE(B1288),TEXT(B1288,""yyyy""),""""))"),"")</f>
        <v/>
      </c>
    </row>
    <row r="1289">
      <c r="B1289" s="62"/>
      <c r="C1289" s="56"/>
      <c r="D1289" s="56"/>
      <c r="E1289" s="56"/>
      <c r="F1289" s="63"/>
      <c r="G1289" s="64"/>
      <c r="H1289" s="65"/>
      <c r="I1289" s="63"/>
      <c r="K1289" s="53" t="str">
        <f>IFERROR(__xludf.DUMMYFUNCTION("IF(ISBLANK(B1289),"""",IF(ISDATE(B1289),""X"",""""))"),"")</f>
        <v/>
      </c>
      <c r="L1289" s="40" t="str">
        <f>IFERROR(__xludf.DUMMYFUNCTION("IF(ISBLANK(B1289),"""",IF(Or(I1289=""Em Aberto"",ISBLANK(I1289),NOT(ISDATE(B1289))),"""",H1289))"),"")</f>
        <v/>
      </c>
      <c r="M1289" s="29" t="str">
        <f>IFERROR(__xludf.DUMMYFUNCTION("IF(ISBLANK(B1289),"""",IF(ISDATE(B1289),TEXT(B1289,""m""),""""))"),"")</f>
        <v/>
      </c>
      <c r="N1289" s="29" t="str">
        <f>IFERROR(__xludf.DUMMYFUNCTION("IF(M1289="""","""",QUERY({'Dashboard-Dados'!$Y$2:$AA$13},""Select Col2 Where Col1=""&amp;M1289))"),"")</f>
        <v/>
      </c>
      <c r="O1289" s="29" t="str">
        <f>IFERROR(__xludf.DUMMYFUNCTION("IF(ISBLANK(B1289),"""",IF(ISDATE(B1289),TEXT(B1289,""yyyy""),""""))"),"")</f>
        <v/>
      </c>
    </row>
    <row r="1290">
      <c r="B1290" s="62"/>
      <c r="C1290" s="56"/>
      <c r="D1290" s="56"/>
      <c r="E1290" s="56"/>
      <c r="F1290" s="63"/>
      <c r="G1290" s="64"/>
      <c r="H1290" s="65"/>
      <c r="I1290" s="63"/>
      <c r="K1290" s="53" t="str">
        <f>IFERROR(__xludf.DUMMYFUNCTION("IF(ISBLANK(B1290),"""",IF(ISDATE(B1290),""X"",""""))"),"")</f>
        <v/>
      </c>
      <c r="L1290" s="40" t="str">
        <f>IFERROR(__xludf.DUMMYFUNCTION("IF(ISBLANK(B1290),"""",IF(Or(I1290=""Em Aberto"",ISBLANK(I1290),NOT(ISDATE(B1290))),"""",H1290))"),"")</f>
        <v/>
      </c>
      <c r="M1290" s="29" t="str">
        <f>IFERROR(__xludf.DUMMYFUNCTION("IF(ISBLANK(B1290),"""",IF(ISDATE(B1290),TEXT(B1290,""m""),""""))"),"")</f>
        <v/>
      </c>
      <c r="N1290" s="29" t="str">
        <f>IFERROR(__xludf.DUMMYFUNCTION("IF(M1290="""","""",QUERY({'Dashboard-Dados'!$Y$2:$AA$13},""Select Col2 Where Col1=""&amp;M1290))"),"")</f>
        <v/>
      </c>
      <c r="O1290" s="29" t="str">
        <f>IFERROR(__xludf.DUMMYFUNCTION("IF(ISBLANK(B1290),"""",IF(ISDATE(B1290),TEXT(B1290,""yyyy""),""""))"),"")</f>
        <v/>
      </c>
    </row>
    <row r="1291">
      <c r="B1291" s="62"/>
      <c r="C1291" s="56"/>
      <c r="D1291" s="56"/>
      <c r="E1291" s="56"/>
      <c r="F1291" s="63"/>
      <c r="G1291" s="64"/>
      <c r="H1291" s="65"/>
      <c r="I1291" s="63"/>
      <c r="K1291" s="53" t="str">
        <f>IFERROR(__xludf.DUMMYFUNCTION("IF(ISBLANK(B1291),"""",IF(ISDATE(B1291),""X"",""""))"),"")</f>
        <v/>
      </c>
      <c r="L1291" s="40" t="str">
        <f>IFERROR(__xludf.DUMMYFUNCTION("IF(ISBLANK(B1291),"""",IF(Or(I1291=""Em Aberto"",ISBLANK(I1291),NOT(ISDATE(B1291))),"""",H1291))"),"")</f>
        <v/>
      </c>
      <c r="M1291" s="29" t="str">
        <f>IFERROR(__xludf.DUMMYFUNCTION("IF(ISBLANK(B1291),"""",IF(ISDATE(B1291),TEXT(B1291,""m""),""""))"),"")</f>
        <v/>
      </c>
      <c r="N1291" s="29" t="str">
        <f>IFERROR(__xludf.DUMMYFUNCTION("IF(M1291="""","""",QUERY({'Dashboard-Dados'!$Y$2:$AA$13},""Select Col2 Where Col1=""&amp;M1291))"),"")</f>
        <v/>
      </c>
      <c r="O1291" s="29" t="str">
        <f>IFERROR(__xludf.DUMMYFUNCTION("IF(ISBLANK(B1291),"""",IF(ISDATE(B1291),TEXT(B1291,""yyyy""),""""))"),"")</f>
        <v/>
      </c>
    </row>
    <row r="1292">
      <c r="B1292" s="62"/>
      <c r="C1292" s="56"/>
      <c r="D1292" s="56"/>
      <c r="E1292" s="56"/>
      <c r="F1292" s="63"/>
      <c r="G1292" s="64"/>
      <c r="H1292" s="65"/>
      <c r="I1292" s="63"/>
      <c r="K1292" s="53" t="str">
        <f>IFERROR(__xludf.DUMMYFUNCTION("IF(ISBLANK(B1292),"""",IF(ISDATE(B1292),""X"",""""))"),"")</f>
        <v/>
      </c>
      <c r="L1292" s="40" t="str">
        <f>IFERROR(__xludf.DUMMYFUNCTION("IF(ISBLANK(B1292),"""",IF(Or(I1292=""Em Aberto"",ISBLANK(I1292),NOT(ISDATE(B1292))),"""",H1292))"),"")</f>
        <v/>
      </c>
      <c r="M1292" s="29" t="str">
        <f>IFERROR(__xludf.DUMMYFUNCTION("IF(ISBLANK(B1292),"""",IF(ISDATE(B1292),TEXT(B1292,""m""),""""))"),"")</f>
        <v/>
      </c>
      <c r="N1292" s="29" t="str">
        <f>IFERROR(__xludf.DUMMYFUNCTION("IF(M1292="""","""",QUERY({'Dashboard-Dados'!$Y$2:$AA$13},""Select Col2 Where Col1=""&amp;M1292))"),"")</f>
        <v/>
      </c>
      <c r="O1292" s="29" t="str">
        <f>IFERROR(__xludf.DUMMYFUNCTION("IF(ISBLANK(B1292),"""",IF(ISDATE(B1292),TEXT(B1292,""yyyy""),""""))"),"")</f>
        <v/>
      </c>
    </row>
    <row r="1293">
      <c r="B1293" s="62"/>
      <c r="C1293" s="56"/>
      <c r="D1293" s="56"/>
      <c r="E1293" s="56"/>
      <c r="F1293" s="63"/>
      <c r="G1293" s="64"/>
      <c r="H1293" s="65"/>
      <c r="I1293" s="63"/>
      <c r="K1293" s="53" t="str">
        <f>IFERROR(__xludf.DUMMYFUNCTION("IF(ISBLANK(B1293),"""",IF(ISDATE(B1293),""X"",""""))"),"")</f>
        <v/>
      </c>
      <c r="L1293" s="40" t="str">
        <f>IFERROR(__xludf.DUMMYFUNCTION("IF(ISBLANK(B1293),"""",IF(Or(I1293=""Em Aberto"",ISBLANK(I1293),NOT(ISDATE(B1293))),"""",H1293))"),"")</f>
        <v/>
      </c>
      <c r="M1293" s="29" t="str">
        <f>IFERROR(__xludf.DUMMYFUNCTION("IF(ISBLANK(B1293),"""",IF(ISDATE(B1293),TEXT(B1293,""m""),""""))"),"")</f>
        <v/>
      </c>
      <c r="N1293" s="29" t="str">
        <f>IFERROR(__xludf.DUMMYFUNCTION("IF(M1293="""","""",QUERY({'Dashboard-Dados'!$Y$2:$AA$13},""Select Col2 Where Col1=""&amp;M1293))"),"")</f>
        <v/>
      </c>
      <c r="O1293" s="29" t="str">
        <f>IFERROR(__xludf.DUMMYFUNCTION("IF(ISBLANK(B1293),"""",IF(ISDATE(B1293),TEXT(B1293,""yyyy""),""""))"),"")</f>
        <v/>
      </c>
    </row>
    <row r="1294">
      <c r="B1294" s="62"/>
      <c r="C1294" s="56"/>
      <c r="D1294" s="56"/>
      <c r="E1294" s="56"/>
      <c r="F1294" s="63"/>
      <c r="G1294" s="64"/>
      <c r="H1294" s="65"/>
      <c r="I1294" s="63"/>
      <c r="K1294" s="53" t="str">
        <f>IFERROR(__xludf.DUMMYFUNCTION("IF(ISBLANK(B1294),"""",IF(ISDATE(B1294),""X"",""""))"),"")</f>
        <v/>
      </c>
      <c r="L1294" s="40" t="str">
        <f>IFERROR(__xludf.DUMMYFUNCTION("IF(ISBLANK(B1294),"""",IF(Or(I1294=""Em Aberto"",ISBLANK(I1294),NOT(ISDATE(B1294))),"""",H1294))"),"")</f>
        <v/>
      </c>
      <c r="M1294" s="29" t="str">
        <f>IFERROR(__xludf.DUMMYFUNCTION("IF(ISBLANK(B1294),"""",IF(ISDATE(B1294),TEXT(B1294,""m""),""""))"),"")</f>
        <v/>
      </c>
      <c r="N1294" s="29" t="str">
        <f>IFERROR(__xludf.DUMMYFUNCTION("IF(M1294="""","""",QUERY({'Dashboard-Dados'!$Y$2:$AA$13},""Select Col2 Where Col1=""&amp;M1294))"),"")</f>
        <v/>
      </c>
      <c r="O1294" s="29" t="str">
        <f>IFERROR(__xludf.DUMMYFUNCTION("IF(ISBLANK(B1294),"""",IF(ISDATE(B1294),TEXT(B1294,""yyyy""),""""))"),"")</f>
        <v/>
      </c>
    </row>
    <row r="1295">
      <c r="B1295" s="62"/>
      <c r="C1295" s="56"/>
      <c r="D1295" s="56"/>
      <c r="E1295" s="56"/>
      <c r="F1295" s="63"/>
      <c r="G1295" s="64"/>
      <c r="H1295" s="65"/>
      <c r="I1295" s="63"/>
      <c r="K1295" s="53" t="str">
        <f>IFERROR(__xludf.DUMMYFUNCTION("IF(ISBLANK(B1295),"""",IF(ISDATE(B1295),""X"",""""))"),"")</f>
        <v/>
      </c>
      <c r="L1295" s="40" t="str">
        <f>IFERROR(__xludf.DUMMYFUNCTION("IF(ISBLANK(B1295),"""",IF(Or(I1295=""Em Aberto"",ISBLANK(I1295),NOT(ISDATE(B1295))),"""",H1295))"),"")</f>
        <v/>
      </c>
      <c r="M1295" s="29" t="str">
        <f>IFERROR(__xludf.DUMMYFUNCTION("IF(ISBLANK(B1295),"""",IF(ISDATE(B1295),TEXT(B1295,""m""),""""))"),"")</f>
        <v/>
      </c>
      <c r="N1295" s="29" t="str">
        <f>IFERROR(__xludf.DUMMYFUNCTION("IF(M1295="""","""",QUERY({'Dashboard-Dados'!$Y$2:$AA$13},""Select Col2 Where Col1=""&amp;M1295))"),"")</f>
        <v/>
      </c>
      <c r="O1295" s="29" t="str">
        <f>IFERROR(__xludf.DUMMYFUNCTION("IF(ISBLANK(B1295),"""",IF(ISDATE(B1295),TEXT(B1295,""yyyy""),""""))"),"")</f>
        <v/>
      </c>
    </row>
    <row r="1296">
      <c r="B1296" s="62"/>
      <c r="C1296" s="56"/>
      <c r="D1296" s="56"/>
      <c r="E1296" s="56"/>
      <c r="F1296" s="63"/>
      <c r="G1296" s="64"/>
      <c r="H1296" s="65"/>
      <c r="I1296" s="63"/>
      <c r="K1296" s="53" t="str">
        <f>IFERROR(__xludf.DUMMYFUNCTION("IF(ISBLANK(B1296),"""",IF(ISDATE(B1296),""X"",""""))"),"")</f>
        <v/>
      </c>
      <c r="L1296" s="40" t="str">
        <f>IFERROR(__xludf.DUMMYFUNCTION("IF(ISBLANK(B1296),"""",IF(Or(I1296=""Em Aberto"",ISBLANK(I1296),NOT(ISDATE(B1296))),"""",H1296))"),"")</f>
        <v/>
      </c>
      <c r="M1296" s="29" t="str">
        <f>IFERROR(__xludf.DUMMYFUNCTION("IF(ISBLANK(B1296),"""",IF(ISDATE(B1296),TEXT(B1296,""m""),""""))"),"")</f>
        <v/>
      </c>
      <c r="N1296" s="29" t="str">
        <f>IFERROR(__xludf.DUMMYFUNCTION("IF(M1296="""","""",QUERY({'Dashboard-Dados'!$Y$2:$AA$13},""Select Col2 Where Col1=""&amp;M1296))"),"")</f>
        <v/>
      </c>
      <c r="O1296" s="29" t="str">
        <f>IFERROR(__xludf.DUMMYFUNCTION("IF(ISBLANK(B1296),"""",IF(ISDATE(B1296),TEXT(B1296,""yyyy""),""""))"),"")</f>
        <v/>
      </c>
    </row>
    <row r="1297">
      <c r="B1297" s="62"/>
      <c r="C1297" s="56"/>
      <c r="D1297" s="56"/>
      <c r="E1297" s="56"/>
      <c r="F1297" s="63"/>
      <c r="G1297" s="64"/>
      <c r="H1297" s="65"/>
      <c r="I1297" s="63"/>
      <c r="K1297" s="53" t="str">
        <f>IFERROR(__xludf.DUMMYFUNCTION("IF(ISBLANK(B1297),"""",IF(ISDATE(B1297),""X"",""""))"),"")</f>
        <v/>
      </c>
      <c r="L1297" s="40" t="str">
        <f>IFERROR(__xludf.DUMMYFUNCTION("IF(ISBLANK(B1297),"""",IF(Or(I1297=""Em Aberto"",ISBLANK(I1297),NOT(ISDATE(B1297))),"""",H1297))"),"")</f>
        <v/>
      </c>
      <c r="M1297" s="29" t="str">
        <f>IFERROR(__xludf.DUMMYFUNCTION("IF(ISBLANK(B1297),"""",IF(ISDATE(B1297),TEXT(B1297,""m""),""""))"),"")</f>
        <v/>
      </c>
      <c r="N1297" s="29" t="str">
        <f>IFERROR(__xludf.DUMMYFUNCTION("IF(M1297="""","""",QUERY({'Dashboard-Dados'!$Y$2:$AA$13},""Select Col2 Where Col1=""&amp;M1297))"),"")</f>
        <v/>
      </c>
      <c r="O1297" s="29" t="str">
        <f>IFERROR(__xludf.DUMMYFUNCTION("IF(ISBLANK(B1297),"""",IF(ISDATE(B1297),TEXT(B1297,""yyyy""),""""))"),"")</f>
        <v/>
      </c>
    </row>
    <row r="1298">
      <c r="B1298" s="62"/>
      <c r="C1298" s="56"/>
      <c r="D1298" s="56"/>
      <c r="E1298" s="56"/>
      <c r="F1298" s="63"/>
      <c r="G1298" s="64"/>
      <c r="H1298" s="65"/>
      <c r="I1298" s="63"/>
      <c r="K1298" s="53" t="str">
        <f>IFERROR(__xludf.DUMMYFUNCTION("IF(ISBLANK(B1298),"""",IF(ISDATE(B1298),""X"",""""))"),"")</f>
        <v/>
      </c>
      <c r="L1298" s="40" t="str">
        <f>IFERROR(__xludf.DUMMYFUNCTION("IF(ISBLANK(B1298),"""",IF(Or(I1298=""Em Aberto"",ISBLANK(I1298),NOT(ISDATE(B1298))),"""",H1298))"),"")</f>
        <v/>
      </c>
      <c r="M1298" s="29" t="str">
        <f>IFERROR(__xludf.DUMMYFUNCTION("IF(ISBLANK(B1298),"""",IF(ISDATE(B1298),TEXT(B1298,""m""),""""))"),"")</f>
        <v/>
      </c>
      <c r="N1298" s="29" t="str">
        <f>IFERROR(__xludf.DUMMYFUNCTION("IF(M1298="""","""",QUERY({'Dashboard-Dados'!$Y$2:$AA$13},""Select Col2 Where Col1=""&amp;M1298))"),"")</f>
        <v/>
      </c>
      <c r="O1298" s="29" t="str">
        <f>IFERROR(__xludf.DUMMYFUNCTION("IF(ISBLANK(B1298),"""",IF(ISDATE(B1298),TEXT(B1298,""yyyy""),""""))"),"")</f>
        <v/>
      </c>
    </row>
    <row r="1299">
      <c r="B1299" s="62"/>
      <c r="C1299" s="56"/>
      <c r="D1299" s="56"/>
      <c r="E1299" s="56"/>
      <c r="F1299" s="63"/>
      <c r="G1299" s="64"/>
      <c r="H1299" s="65"/>
      <c r="I1299" s="63"/>
      <c r="K1299" s="53" t="str">
        <f>IFERROR(__xludf.DUMMYFUNCTION("IF(ISBLANK(B1299),"""",IF(ISDATE(B1299),""X"",""""))"),"")</f>
        <v/>
      </c>
      <c r="L1299" s="40" t="str">
        <f>IFERROR(__xludf.DUMMYFUNCTION("IF(ISBLANK(B1299),"""",IF(Or(I1299=""Em Aberto"",ISBLANK(I1299),NOT(ISDATE(B1299))),"""",H1299))"),"")</f>
        <v/>
      </c>
      <c r="M1299" s="29" t="str">
        <f>IFERROR(__xludf.DUMMYFUNCTION("IF(ISBLANK(B1299),"""",IF(ISDATE(B1299),TEXT(B1299,""m""),""""))"),"")</f>
        <v/>
      </c>
      <c r="N1299" s="29" t="str">
        <f>IFERROR(__xludf.DUMMYFUNCTION("IF(M1299="""","""",QUERY({'Dashboard-Dados'!$Y$2:$AA$13},""Select Col2 Where Col1=""&amp;M1299))"),"")</f>
        <v/>
      </c>
      <c r="O1299" s="29" t="str">
        <f>IFERROR(__xludf.DUMMYFUNCTION("IF(ISBLANK(B1299),"""",IF(ISDATE(B1299),TEXT(B1299,""yyyy""),""""))"),"")</f>
        <v/>
      </c>
    </row>
    <row r="1300">
      <c r="B1300" s="62"/>
      <c r="C1300" s="56"/>
      <c r="D1300" s="56"/>
      <c r="E1300" s="56"/>
      <c r="F1300" s="63"/>
      <c r="G1300" s="64"/>
      <c r="H1300" s="65"/>
      <c r="I1300" s="63"/>
      <c r="K1300" s="53" t="str">
        <f>IFERROR(__xludf.DUMMYFUNCTION("IF(ISBLANK(B1300),"""",IF(ISDATE(B1300),""X"",""""))"),"")</f>
        <v/>
      </c>
      <c r="L1300" s="40" t="str">
        <f>IFERROR(__xludf.DUMMYFUNCTION("IF(ISBLANK(B1300),"""",IF(Or(I1300=""Em Aberto"",ISBLANK(I1300),NOT(ISDATE(B1300))),"""",H1300))"),"")</f>
        <v/>
      </c>
      <c r="M1300" s="29" t="str">
        <f>IFERROR(__xludf.DUMMYFUNCTION("IF(ISBLANK(B1300),"""",IF(ISDATE(B1300),TEXT(B1300,""m""),""""))"),"")</f>
        <v/>
      </c>
      <c r="N1300" s="29" t="str">
        <f>IFERROR(__xludf.DUMMYFUNCTION("IF(M1300="""","""",QUERY({'Dashboard-Dados'!$Y$2:$AA$13},""Select Col2 Where Col1=""&amp;M1300))"),"")</f>
        <v/>
      </c>
      <c r="O1300" s="29" t="str">
        <f>IFERROR(__xludf.DUMMYFUNCTION("IF(ISBLANK(B1300),"""",IF(ISDATE(B1300),TEXT(B1300,""yyyy""),""""))"),"")</f>
        <v/>
      </c>
    </row>
    <row r="1301">
      <c r="B1301" s="62"/>
      <c r="C1301" s="56"/>
      <c r="D1301" s="56"/>
      <c r="E1301" s="56"/>
      <c r="F1301" s="63"/>
      <c r="G1301" s="64"/>
      <c r="H1301" s="65"/>
      <c r="I1301" s="63"/>
      <c r="K1301" s="53" t="str">
        <f>IFERROR(__xludf.DUMMYFUNCTION("IF(ISBLANK(B1301),"""",IF(ISDATE(B1301),""X"",""""))"),"")</f>
        <v/>
      </c>
      <c r="L1301" s="40" t="str">
        <f>IFERROR(__xludf.DUMMYFUNCTION("IF(ISBLANK(B1301),"""",IF(Or(I1301=""Em Aberto"",ISBLANK(I1301),NOT(ISDATE(B1301))),"""",H1301))"),"")</f>
        <v/>
      </c>
      <c r="M1301" s="29" t="str">
        <f>IFERROR(__xludf.DUMMYFUNCTION("IF(ISBLANK(B1301),"""",IF(ISDATE(B1301),TEXT(B1301,""m""),""""))"),"")</f>
        <v/>
      </c>
      <c r="N1301" s="29" t="str">
        <f>IFERROR(__xludf.DUMMYFUNCTION("IF(M1301="""","""",QUERY({'Dashboard-Dados'!$Y$2:$AA$13},""Select Col2 Where Col1=""&amp;M1301))"),"")</f>
        <v/>
      </c>
      <c r="O1301" s="29" t="str">
        <f>IFERROR(__xludf.DUMMYFUNCTION("IF(ISBLANK(B1301),"""",IF(ISDATE(B1301),TEXT(B1301,""yyyy""),""""))"),"")</f>
        <v/>
      </c>
    </row>
    <row r="1302">
      <c r="B1302" s="62"/>
      <c r="C1302" s="56"/>
      <c r="D1302" s="56"/>
      <c r="E1302" s="56"/>
      <c r="F1302" s="63"/>
      <c r="G1302" s="64"/>
      <c r="H1302" s="65"/>
      <c r="I1302" s="63"/>
      <c r="K1302" s="53" t="str">
        <f>IFERROR(__xludf.DUMMYFUNCTION("IF(ISBLANK(B1302),"""",IF(ISDATE(B1302),""X"",""""))"),"")</f>
        <v/>
      </c>
      <c r="L1302" s="40" t="str">
        <f>IFERROR(__xludf.DUMMYFUNCTION("IF(ISBLANK(B1302),"""",IF(Or(I1302=""Em Aberto"",ISBLANK(I1302),NOT(ISDATE(B1302))),"""",H1302))"),"")</f>
        <v/>
      </c>
      <c r="M1302" s="29" t="str">
        <f>IFERROR(__xludf.DUMMYFUNCTION("IF(ISBLANK(B1302),"""",IF(ISDATE(B1302),TEXT(B1302,""m""),""""))"),"")</f>
        <v/>
      </c>
      <c r="N1302" s="29" t="str">
        <f>IFERROR(__xludf.DUMMYFUNCTION("IF(M1302="""","""",QUERY({'Dashboard-Dados'!$Y$2:$AA$13},""Select Col2 Where Col1=""&amp;M1302))"),"")</f>
        <v/>
      </c>
      <c r="O1302" s="29" t="str">
        <f>IFERROR(__xludf.DUMMYFUNCTION("IF(ISBLANK(B1302),"""",IF(ISDATE(B1302),TEXT(B1302,""yyyy""),""""))"),"")</f>
        <v/>
      </c>
    </row>
    <row r="1303">
      <c r="B1303" s="62"/>
      <c r="C1303" s="56"/>
      <c r="D1303" s="56"/>
      <c r="E1303" s="56"/>
      <c r="F1303" s="63"/>
      <c r="G1303" s="64"/>
      <c r="H1303" s="65"/>
      <c r="I1303" s="63"/>
      <c r="K1303" s="53" t="str">
        <f>IFERROR(__xludf.DUMMYFUNCTION("IF(ISBLANK(B1303),"""",IF(ISDATE(B1303),""X"",""""))"),"")</f>
        <v/>
      </c>
      <c r="L1303" s="40" t="str">
        <f>IFERROR(__xludf.DUMMYFUNCTION("IF(ISBLANK(B1303),"""",IF(Or(I1303=""Em Aberto"",ISBLANK(I1303),NOT(ISDATE(B1303))),"""",H1303))"),"")</f>
        <v/>
      </c>
      <c r="M1303" s="29" t="str">
        <f>IFERROR(__xludf.DUMMYFUNCTION("IF(ISBLANK(B1303),"""",IF(ISDATE(B1303),TEXT(B1303,""m""),""""))"),"")</f>
        <v/>
      </c>
      <c r="N1303" s="29" t="str">
        <f>IFERROR(__xludf.DUMMYFUNCTION("IF(M1303="""","""",QUERY({'Dashboard-Dados'!$Y$2:$AA$13},""Select Col2 Where Col1=""&amp;M1303))"),"")</f>
        <v/>
      </c>
      <c r="O1303" s="29" t="str">
        <f>IFERROR(__xludf.DUMMYFUNCTION("IF(ISBLANK(B1303),"""",IF(ISDATE(B1303),TEXT(B1303,""yyyy""),""""))"),"")</f>
        <v/>
      </c>
    </row>
    <row r="1304">
      <c r="B1304" s="62"/>
      <c r="C1304" s="56"/>
      <c r="D1304" s="56"/>
      <c r="E1304" s="56"/>
      <c r="F1304" s="63"/>
      <c r="G1304" s="64"/>
      <c r="H1304" s="65"/>
      <c r="I1304" s="63"/>
      <c r="K1304" s="53" t="str">
        <f>IFERROR(__xludf.DUMMYFUNCTION("IF(ISBLANK(B1304),"""",IF(ISDATE(B1304),""X"",""""))"),"")</f>
        <v/>
      </c>
      <c r="L1304" s="40" t="str">
        <f>IFERROR(__xludf.DUMMYFUNCTION("IF(ISBLANK(B1304),"""",IF(Or(I1304=""Em Aberto"",ISBLANK(I1304),NOT(ISDATE(B1304))),"""",H1304))"),"")</f>
        <v/>
      </c>
      <c r="M1304" s="29" t="str">
        <f>IFERROR(__xludf.DUMMYFUNCTION("IF(ISBLANK(B1304),"""",IF(ISDATE(B1304),TEXT(B1304,""m""),""""))"),"")</f>
        <v/>
      </c>
      <c r="N1304" s="29" t="str">
        <f>IFERROR(__xludf.DUMMYFUNCTION("IF(M1304="""","""",QUERY({'Dashboard-Dados'!$Y$2:$AA$13},""Select Col2 Where Col1=""&amp;M1304))"),"")</f>
        <v/>
      </c>
      <c r="O1304" s="29" t="str">
        <f>IFERROR(__xludf.DUMMYFUNCTION("IF(ISBLANK(B1304),"""",IF(ISDATE(B1304),TEXT(B1304,""yyyy""),""""))"),"")</f>
        <v/>
      </c>
    </row>
    <row r="1305">
      <c r="B1305" s="62"/>
      <c r="C1305" s="56"/>
      <c r="D1305" s="56"/>
      <c r="E1305" s="56"/>
      <c r="F1305" s="63"/>
      <c r="G1305" s="64"/>
      <c r="H1305" s="65"/>
      <c r="I1305" s="63"/>
      <c r="K1305" s="53" t="str">
        <f>IFERROR(__xludf.DUMMYFUNCTION("IF(ISBLANK(B1305),"""",IF(ISDATE(B1305),""X"",""""))"),"")</f>
        <v/>
      </c>
      <c r="L1305" s="40" t="str">
        <f>IFERROR(__xludf.DUMMYFUNCTION("IF(ISBLANK(B1305),"""",IF(Or(I1305=""Em Aberto"",ISBLANK(I1305),NOT(ISDATE(B1305))),"""",H1305))"),"")</f>
        <v/>
      </c>
      <c r="M1305" s="29" t="str">
        <f>IFERROR(__xludf.DUMMYFUNCTION("IF(ISBLANK(B1305),"""",IF(ISDATE(B1305),TEXT(B1305,""m""),""""))"),"")</f>
        <v/>
      </c>
      <c r="N1305" s="29" t="str">
        <f>IFERROR(__xludf.DUMMYFUNCTION("IF(M1305="""","""",QUERY({'Dashboard-Dados'!$Y$2:$AA$13},""Select Col2 Where Col1=""&amp;M1305))"),"")</f>
        <v/>
      </c>
      <c r="O1305" s="29" t="str">
        <f>IFERROR(__xludf.DUMMYFUNCTION("IF(ISBLANK(B1305),"""",IF(ISDATE(B1305),TEXT(B1305,""yyyy""),""""))"),"")</f>
        <v/>
      </c>
    </row>
    <row r="1306">
      <c r="B1306" s="62"/>
      <c r="C1306" s="56"/>
      <c r="D1306" s="56"/>
      <c r="E1306" s="56"/>
      <c r="F1306" s="63"/>
      <c r="G1306" s="64"/>
      <c r="H1306" s="65"/>
      <c r="I1306" s="63"/>
      <c r="K1306" s="53" t="str">
        <f>IFERROR(__xludf.DUMMYFUNCTION("IF(ISBLANK(B1306),"""",IF(ISDATE(B1306),""X"",""""))"),"")</f>
        <v/>
      </c>
      <c r="L1306" s="40" t="str">
        <f>IFERROR(__xludf.DUMMYFUNCTION("IF(ISBLANK(B1306),"""",IF(Or(I1306=""Em Aberto"",ISBLANK(I1306),NOT(ISDATE(B1306))),"""",H1306))"),"")</f>
        <v/>
      </c>
      <c r="M1306" s="29" t="str">
        <f>IFERROR(__xludf.DUMMYFUNCTION("IF(ISBLANK(B1306),"""",IF(ISDATE(B1306),TEXT(B1306,""m""),""""))"),"")</f>
        <v/>
      </c>
      <c r="N1306" s="29" t="str">
        <f>IFERROR(__xludf.DUMMYFUNCTION("IF(M1306="""","""",QUERY({'Dashboard-Dados'!$Y$2:$AA$13},""Select Col2 Where Col1=""&amp;M1306))"),"")</f>
        <v/>
      </c>
      <c r="O1306" s="29" t="str">
        <f>IFERROR(__xludf.DUMMYFUNCTION("IF(ISBLANK(B1306),"""",IF(ISDATE(B1306),TEXT(B1306,""yyyy""),""""))"),"")</f>
        <v/>
      </c>
    </row>
    <row r="1307">
      <c r="B1307" s="62"/>
      <c r="C1307" s="56"/>
      <c r="D1307" s="56"/>
      <c r="E1307" s="56"/>
      <c r="F1307" s="63"/>
      <c r="G1307" s="64"/>
      <c r="H1307" s="65"/>
      <c r="I1307" s="63"/>
      <c r="K1307" s="53" t="str">
        <f>IFERROR(__xludf.DUMMYFUNCTION("IF(ISBLANK(B1307),"""",IF(ISDATE(B1307),""X"",""""))"),"")</f>
        <v/>
      </c>
      <c r="L1307" s="40" t="str">
        <f>IFERROR(__xludf.DUMMYFUNCTION("IF(ISBLANK(B1307),"""",IF(Or(I1307=""Em Aberto"",ISBLANK(I1307),NOT(ISDATE(B1307))),"""",H1307))"),"")</f>
        <v/>
      </c>
      <c r="M1307" s="29" t="str">
        <f>IFERROR(__xludf.DUMMYFUNCTION("IF(ISBLANK(B1307),"""",IF(ISDATE(B1307),TEXT(B1307,""m""),""""))"),"")</f>
        <v/>
      </c>
      <c r="N1307" s="29" t="str">
        <f>IFERROR(__xludf.DUMMYFUNCTION("IF(M1307="""","""",QUERY({'Dashboard-Dados'!$Y$2:$AA$13},""Select Col2 Where Col1=""&amp;M1307))"),"")</f>
        <v/>
      </c>
      <c r="O1307" s="29" t="str">
        <f>IFERROR(__xludf.DUMMYFUNCTION("IF(ISBLANK(B1307),"""",IF(ISDATE(B1307),TEXT(B1307,""yyyy""),""""))"),"")</f>
        <v/>
      </c>
    </row>
    <row r="1308">
      <c r="B1308" s="62"/>
      <c r="C1308" s="56"/>
      <c r="D1308" s="56"/>
      <c r="E1308" s="56"/>
      <c r="F1308" s="63"/>
      <c r="G1308" s="64"/>
      <c r="H1308" s="65"/>
      <c r="I1308" s="63"/>
      <c r="K1308" s="53" t="str">
        <f>IFERROR(__xludf.DUMMYFUNCTION("IF(ISBLANK(B1308),"""",IF(ISDATE(B1308),""X"",""""))"),"")</f>
        <v/>
      </c>
      <c r="L1308" s="40" t="str">
        <f>IFERROR(__xludf.DUMMYFUNCTION("IF(ISBLANK(B1308),"""",IF(Or(I1308=""Em Aberto"",ISBLANK(I1308),NOT(ISDATE(B1308))),"""",H1308))"),"")</f>
        <v/>
      </c>
      <c r="M1308" s="29" t="str">
        <f>IFERROR(__xludf.DUMMYFUNCTION("IF(ISBLANK(B1308),"""",IF(ISDATE(B1308),TEXT(B1308,""m""),""""))"),"")</f>
        <v/>
      </c>
      <c r="N1308" s="29" t="str">
        <f>IFERROR(__xludf.DUMMYFUNCTION("IF(M1308="""","""",QUERY({'Dashboard-Dados'!$Y$2:$AA$13},""Select Col2 Where Col1=""&amp;M1308))"),"")</f>
        <v/>
      </c>
      <c r="O1308" s="29" t="str">
        <f>IFERROR(__xludf.DUMMYFUNCTION("IF(ISBLANK(B1308),"""",IF(ISDATE(B1308),TEXT(B1308,""yyyy""),""""))"),"")</f>
        <v/>
      </c>
    </row>
    <row r="1309">
      <c r="B1309" s="62"/>
      <c r="C1309" s="56"/>
      <c r="D1309" s="56"/>
      <c r="E1309" s="56"/>
      <c r="F1309" s="63"/>
      <c r="G1309" s="64"/>
      <c r="H1309" s="65"/>
      <c r="I1309" s="63"/>
      <c r="K1309" s="53" t="str">
        <f>IFERROR(__xludf.DUMMYFUNCTION("IF(ISBLANK(B1309),"""",IF(ISDATE(B1309),""X"",""""))"),"")</f>
        <v/>
      </c>
      <c r="L1309" s="40" t="str">
        <f>IFERROR(__xludf.DUMMYFUNCTION("IF(ISBLANK(B1309),"""",IF(Or(I1309=""Em Aberto"",ISBLANK(I1309),NOT(ISDATE(B1309))),"""",H1309))"),"")</f>
        <v/>
      </c>
      <c r="M1309" s="29" t="str">
        <f>IFERROR(__xludf.DUMMYFUNCTION("IF(ISBLANK(B1309),"""",IF(ISDATE(B1309),TEXT(B1309,""m""),""""))"),"")</f>
        <v/>
      </c>
      <c r="N1309" s="29" t="str">
        <f>IFERROR(__xludf.DUMMYFUNCTION("IF(M1309="""","""",QUERY({'Dashboard-Dados'!$Y$2:$AA$13},""Select Col2 Where Col1=""&amp;M1309))"),"")</f>
        <v/>
      </c>
      <c r="O1309" s="29" t="str">
        <f>IFERROR(__xludf.DUMMYFUNCTION("IF(ISBLANK(B1309),"""",IF(ISDATE(B1309),TEXT(B1309,""yyyy""),""""))"),"")</f>
        <v/>
      </c>
    </row>
    <row r="1310">
      <c r="B1310" s="62"/>
      <c r="C1310" s="56"/>
      <c r="D1310" s="56"/>
      <c r="E1310" s="56"/>
      <c r="F1310" s="63"/>
      <c r="G1310" s="64"/>
      <c r="H1310" s="65"/>
      <c r="I1310" s="63"/>
      <c r="K1310" s="53" t="str">
        <f>IFERROR(__xludf.DUMMYFUNCTION("IF(ISBLANK(B1310),"""",IF(ISDATE(B1310),""X"",""""))"),"")</f>
        <v/>
      </c>
      <c r="L1310" s="40" t="str">
        <f>IFERROR(__xludf.DUMMYFUNCTION("IF(ISBLANK(B1310),"""",IF(Or(I1310=""Em Aberto"",ISBLANK(I1310),NOT(ISDATE(B1310))),"""",H1310))"),"")</f>
        <v/>
      </c>
      <c r="M1310" s="29" t="str">
        <f>IFERROR(__xludf.DUMMYFUNCTION("IF(ISBLANK(B1310),"""",IF(ISDATE(B1310),TEXT(B1310,""m""),""""))"),"")</f>
        <v/>
      </c>
      <c r="N1310" s="29" t="str">
        <f>IFERROR(__xludf.DUMMYFUNCTION("IF(M1310="""","""",QUERY({'Dashboard-Dados'!$Y$2:$AA$13},""Select Col2 Where Col1=""&amp;M1310))"),"")</f>
        <v/>
      </c>
      <c r="O1310" s="29" t="str">
        <f>IFERROR(__xludf.DUMMYFUNCTION("IF(ISBLANK(B1310),"""",IF(ISDATE(B1310),TEXT(B1310,""yyyy""),""""))"),"")</f>
        <v/>
      </c>
    </row>
    <row r="1311">
      <c r="B1311" s="62"/>
      <c r="C1311" s="56"/>
      <c r="D1311" s="56"/>
      <c r="E1311" s="56"/>
      <c r="F1311" s="63"/>
      <c r="G1311" s="64"/>
      <c r="H1311" s="65"/>
      <c r="I1311" s="63"/>
      <c r="K1311" s="53" t="str">
        <f>IFERROR(__xludf.DUMMYFUNCTION("IF(ISBLANK(B1311),"""",IF(ISDATE(B1311),""X"",""""))"),"")</f>
        <v/>
      </c>
      <c r="L1311" s="40" t="str">
        <f>IFERROR(__xludf.DUMMYFUNCTION("IF(ISBLANK(B1311),"""",IF(Or(I1311=""Em Aberto"",ISBLANK(I1311),NOT(ISDATE(B1311))),"""",H1311))"),"")</f>
        <v/>
      </c>
      <c r="M1311" s="29" t="str">
        <f>IFERROR(__xludf.DUMMYFUNCTION("IF(ISBLANK(B1311),"""",IF(ISDATE(B1311),TEXT(B1311,""m""),""""))"),"")</f>
        <v/>
      </c>
      <c r="N1311" s="29" t="str">
        <f>IFERROR(__xludf.DUMMYFUNCTION("IF(M1311="""","""",QUERY({'Dashboard-Dados'!$Y$2:$AA$13},""Select Col2 Where Col1=""&amp;M1311))"),"")</f>
        <v/>
      </c>
      <c r="O1311" s="29" t="str">
        <f>IFERROR(__xludf.DUMMYFUNCTION("IF(ISBLANK(B1311),"""",IF(ISDATE(B1311),TEXT(B1311,""yyyy""),""""))"),"")</f>
        <v/>
      </c>
    </row>
    <row r="1312">
      <c r="B1312" s="62"/>
      <c r="C1312" s="56"/>
      <c r="D1312" s="56"/>
      <c r="E1312" s="56"/>
      <c r="F1312" s="63"/>
      <c r="G1312" s="64"/>
      <c r="H1312" s="65"/>
      <c r="I1312" s="63"/>
      <c r="K1312" s="53" t="str">
        <f>IFERROR(__xludf.DUMMYFUNCTION("IF(ISBLANK(B1312),"""",IF(ISDATE(B1312),""X"",""""))"),"")</f>
        <v/>
      </c>
      <c r="L1312" s="40" t="str">
        <f>IFERROR(__xludf.DUMMYFUNCTION("IF(ISBLANK(B1312),"""",IF(Or(I1312=""Em Aberto"",ISBLANK(I1312),NOT(ISDATE(B1312))),"""",H1312))"),"")</f>
        <v/>
      </c>
      <c r="M1312" s="29" t="str">
        <f>IFERROR(__xludf.DUMMYFUNCTION("IF(ISBLANK(B1312),"""",IF(ISDATE(B1312),TEXT(B1312,""m""),""""))"),"")</f>
        <v/>
      </c>
      <c r="N1312" s="29" t="str">
        <f>IFERROR(__xludf.DUMMYFUNCTION("IF(M1312="""","""",QUERY({'Dashboard-Dados'!$Y$2:$AA$13},""Select Col2 Where Col1=""&amp;M1312))"),"")</f>
        <v/>
      </c>
      <c r="O1312" s="29" t="str">
        <f>IFERROR(__xludf.DUMMYFUNCTION("IF(ISBLANK(B1312),"""",IF(ISDATE(B1312),TEXT(B1312,""yyyy""),""""))"),"")</f>
        <v/>
      </c>
    </row>
    <row r="1313">
      <c r="B1313" s="62"/>
      <c r="C1313" s="56"/>
      <c r="D1313" s="56"/>
      <c r="E1313" s="56"/>
      <c r="F1313" s="63"/>
      <c r="G1313" s="64"/>
      <c r="H1313" s="65"/>
      <c r="I1313" s="63"/>
      <c r="K1313" s="53" t="str">
        <f>IFERROR(__xludf.DUMMYFUNCTION("IF(ISBLANK(B1313),"""",IF(ISDATE(B1313),""X"",""""))"),"")</f>
        <v/>
      </c>
      <c r="L1313" s="40" t="str">
        <f>IFERROR(__xludf.DUMMYFUNCTION("IF(ISBLANK(B1313),"""",IF(Or(I1313=""Em Aberto"",ISBLANK(I1313),NOT(ISDATE(B1313))),"""",H1313))"),"")</f>
        <v/>
      </c>
      <c r="M1313" s="29" t="str">
        <f>IFERROR(__xludf.DUMMYFUNCTION("IF(ISBLANK(B1313),"""",IF(ISDATE(B1313),TEXT(B1313,""m""),""""))"),"")</f>
        <v/>
      </c>
      <c r="N1313" s="29" t="str">
        <f>IFERROR(__xludf.DUMMYFUNCTION("IF(M1313="""","""",QUERY({'Dashboard-Dados'!$Y$2:$AA$13},""Select Col2 Where Col1=""&amp;M1313))"),"")</f>
        <v/>
      </c>
      <c r="O1313" s="29" t="str">
        <f>IFERROR(__xludf.DUMMYFUNCTION("IF(ISBLANK(B1313),"""",IF(ISDATE(B1313),TEXT(B1313,""yyyy""),""""))"),"")</f>
        <v/>
      </c>
    </row>
    <row r="1314">
      <c r="B1314" s="62"/>
      <c r="C1314" s="56"/>
      <c r="D1314" s="56"/>
      <c r="E1314" s="56"/>
      <c r="F1314" s="63"/>
      <c r="G1314" s="64"/>
      <c r="H1314" s="65"/>
      <c r="I1314" s="63"/>
      <c r="K1314" s="53" t="str">
        <f>IFERROR(__xludf.DUMMYFUNCTION("IF(ISBLANK(B1314),"""",IF(ISDATE(B1314),""X"",""""))"),"")</f>
        <v/>
      </c>
      <c r="L1314" s="40" t="str">
        <f>IFERROR(__xludf.DUMMYFUNCTION("IF(ISBLANK(B1314),"""",IF(Or(I1314=""Em Aberto"",ISBLANK(I1314),NOT(ISDATE(B1314))),"""",H1314))"),"")</f>
        <v/>
      </c>
      <c r="M1314" s="29" t="str">
        <f>IFERROR(__xludf.DUMMYFUNCTION("IF(ISBLANK(B1314),"""",IF(ISDATE(B1314),TEXT(B1314,""m""),""""))"),"")</f>
        <v/>
      </c>
      <c r="N1314" s="29" t="str">
        <f>IFERROR(__xludf.DUMMYFUNCTION("IF(M1314="""","""",QUERY({'Dashboard-Dados'!$Y$2:$AA$13},""Select Col2 Where Col1=""&amp;M1314))"),"")</f>
        <v/>
      </c>
      <c r="O1314" s="29" t="str">
        <f>IFERROR(__xludf.DUMMYFUNCTION("IF(ISBLANK(B1314),"""",IF(ISDATE(B1314),TEXT(B1314,""yyyy""),""""))"),"")</f>
        <v/>
      </c>
    </row>
    <row r="1315">
      <c r="B1315" s="62"/>
      <c r="C1315" s="56"/>
      <c r="D1315" s="56"/>
      <c r="E1315" s="56"/>
      <c r="F1315" s="63"/>
      <c r="G1315" s="64"/>
      <c r="H1315" s="65"/>
      <c r="I1315" s="63"/>
      <c r="K1315" s="53" t="str">
        <f>IFERROR(__xludf.DUMMYFUNCTION("IF(ISBLANK(B1315),"""",IF(ISDATE(B1315),""X"",""""))"),"")</f>
        <v/>
      </c>
      <c r="L1315" s="40" t="str">
        <f>IFERROR(__xludf.DUMMYFUNCTION("IF(ISBLANK(B1315),"""",IF(Or(I1315=""Em Aberto"",ISBLANK(I1315),NOT(ISDATE(B1315))),"""",H1315))"),"")</f>
        <v/>
      </c>
      <c r="M1315" s="29" t="str">
        <f>IFERROR(__xludf.DUMMYFUNCTION("IF(ISBLANK(B1315),"""",IF(ISDATE(B1315),TEXT(B1315,""m""),""""))"),"")</f>
        <v/>
      </c>
      <c r="N1315" s="29" t="str">
        <f>IFERROR(__xludf.DUMMYFUNCTION("IF(M1315="""","""",QUERY({'Dashboard-Dados'!$Y$2:$AA$13},""Select Col2 Where Col1=""&amp;M1315))"),"")</f>
        <v/>
      </c>
      <c r="O1315" s="29" t="str">
        <f>IFERROR(__xludf.DUMMYFUNCTION("IF(ISBLANK(B1315),"""",IF(ISDATE(B1315),TEXT(B1315,""yyyy""),""""))"),"")</f>
        <v/>
      </c>
    </row>
    <row r="1316">
      <c r="B1316" s="62"/>
      <c r="C1316" s="56"/>
      <c r="D1316" s="56"/>
      <c r="E1316" s="56"/>
      <c r="F1316" s="63"/>
      <c r="G1316" s="64"/>
      <c r="H1316" s="65"/>
      <c r="I1316" s="63"/>
      <c r="K1316" s="53" t="str">
        <f>IFERROR(__xludf.DUMMYFUNCTION("IF(ISBLANK(B1316),"""",IF(ISDATE(B1316),""X"",""""))"),"")</f>
        <v/>
      </c>
      <c r="L1316" s="40" t="str">
        <f>IFERROR(__xludf.DUMMYFUNCTION("IF(ISBLANK(B1316),"""",IF(Or(I1316=""Em Aberto"",ISBLANK(I1316),NOT(ISDATE(B1316))),"""",H1316))"),"")</f>
        <v/>
      </c>
      <c r="M1316" s="29" t="str">
        <f>IFERROR(__xludf.DUMMYFUNCTION("IF(ISBLANK(B1316),"""",IF(ISDATE(B1316),TEXT(B1316,""m""),""""))"),"")</f>
        <v/>
      </c>
      <c r="N1316" s="29" t="str">
        <f>IFERROR(__xludf.DUMMYFUNCTION("IF(M1316="""","""",QUERY({'Dashboard-Dados'!$Y$2:$AA$13},""Select Col2 Where Col1=""&amp;M1316))"),"")</f>
        <v/>
      </c>
      <c r="O1316" s="29" t="str">
        <f>IFERROR(__xludf.DUMMYFUNCTION("IF(ISBLANK(B1316),"""",IF(ISDATE(B1316),TEXT(B1316,""yyyy""),""""))"),"")</f>
        <v/>
      </c>
    </row>
    <row r="1317">
      <c r="B1317" s="62"/>
      <c r="C1317" s="56"/>
      <c r="D1317" s="56"/>
      <c r="E1317" s="56"/>
      <c r="F1317" s="63"/>
      <c r="G1317" s="64"/>
      <c r="H1317" s="65"/>
      <c r="I1317" s="63"/>
      <c r="K1317" s="53" t="str">
        <f>IFERROR(__xludf.DUMMYFUNCTION("IF(ISBLANK(B1317),"""",IF(ISDATE(B1317),""X"",""""))"),"")</f>
        <v/>
      </c>
      <c r="L1317" s="40" t="str">
        <f>IFERROR(__xludf.DUMMYFUNCTION("IF(ISBLANK(B1317),"""",IF(Or(I1317=""Em Aberto"",ISBLANK(I1317),NOT(ISDATE(B1317))),"""",H1317))"),"")</f>
        <v/>
      </c>
      <c r="M1317" s="29" t="str">
        <f>IFERROR(__xludf.DUMMYFUNCTION("IF(ISBLANK(B1317),"""",IF(ISDATE(B1317),TEXT(B1317,""m""),""""))"),"")</f>
        <v/>
      </c>
      <c r="N1317" s="29" t="str">
        <f>IFERROR(__xludf.DUMMYFUNCTION("IF(M1317="""","""",QUERY({'Dashboard-Dados'!$Y$2:$AA$13},""Select Col2 Where Col1=""&amp;M1317))"),"")</f>
        <v/>
      </c>
      <c r="O1317" s="29" t="str">
        <f>IFERROR(__xludf.DUMMYFUNCTION("IF(ISBLANK(B1317),"""",IF(ISDATE(B1317),TEXT(B1317,""yyyy""),""""))"),"")</f>
        <v/>
      </c>
    </row>
    <row r="1318">
      <c r="B1318" s="62"/>
      <c r="C1318" s="56"/>
      <c r="D1318" s="56"/>
      <c r="E1318" s="56"/>
      <c r="F1318" s="63"/>
      <c r="G1318" s="64"/>
      <c r="H1318" s="65"/>
      <c r="I1318" s="63"/>
      <c r="K1318" s="53" t="str">
        <f>IFERROR(__xludf.DUMMYFUNCTION("IF(ISBLANK(B1318),"""",IF(ISDATE(B1318),""X"",""""))"),"")</f>
        <v/>
      </c>
      <c r="L1318" s="40" t="str">
        <f>IFERROR(__xludf.DUMMYFUNCTION("IF(ISBLANK(B1318),"""",IF(Or(I1318=""Em Aberto"",ISBLANK(I1318),NOT(ISDATE(B1318))),"""",H1318))"),"")</f>
        <v/>
      </c>
      <c r="M1318" s="29" t="str">
        <f>IFERROR(__xludf.DUMMYFUNCTION("IF(ISBLANK(B1318),"""",IF(ISDATE(B1318),TEXT(B1318,""m""),""""))"),"")</f>
        <v/>
      </c>
      <c r="N1318" s="29" t="str">
        <f>IFERROR(__xludf.DUMMYFUNCTION("IF(M1318="""","""",QUERY({'Dashboard-Dados'!$Y$2:$AA$13},""Select Col2 Where Col1=""&amp;M1318))"),"")</f>
        <v/>
      </c>
      <c r="O1318" s="29" t="str">
        <f>IFERROR(__xludf.DUMMYFUNCTION("IF(ISBLANK(B1318),"""",IF(ISDATE(B1318),TEXT(B1318,""yyyy""),""""))"),"")</f>
        <v/>
      </c>
    </row>
    <row r="1319">
      <c r="B1319" s="62"/>
      <c r="C1319" s="56"/>
      <c r="D1319" s="56"/>
      <c r="E1319" s="56"/>
      <c r="F1319" s="63"/>
      <c r="G1319" s="64"/>
      <c r="H1319" s="65"/>
      <c r="I1319" s="63"/>
      <c r="K1319" s="53" t="str">
        <f>IFERROR(__xludf.DUMMYFUNCTION("IF(ISBLANK(B1319),"""",IF(ISDATE(B1319),""X"",""""))"),"")</f>
        <v/>
      </c>
      <c r="L1319" s="40" t="str">
        <f>IFERROR(__xludf.DUMMYFUNCTION("IF(ISBLANK(B1319),"""",IF(Or(I1319=""Em Aberto"",ISBLANK(I1319),NOT(ISDATE(B1319))),"""",H1319))"),"")</f>
        <v/>
      </c>
      <c r="M1319" s="29" t="str">
        <f>IFERROR(__xludf.DUMMYFUNCTION("IF(ISBLANK(B1319),"""",IF(ISDATE(B1319),TEXT(B1319,""m""),""""))"),"")</f>
        <v/>
      </c>
      <c r="N1319" s="29" t="str">
        <f>IFERROR(__xludf.DUMMYFUNCTION("IF(M1319="""","""",QUERY({'Dashboard-Dados'!$Y$2:$AA$13},""Select Col2 Where Col1=""&amp;M1319))"),"")</f>
        <v/>
      </c>
      <c r="O1319" s="29" t="str">
        <f>IFERROR(__xludf.DUMMYFUNCTION("IF(ISBLANK(B1319),"""",IF(ISDATE(B1319),TEXT(B1319,""yyyy""),""""))"),"")</f>
        <v/>
      </c>
    </row>
    <row r="1320">
      <c r="B1320" s="62"/>
      <c r="C1320" s="56"/>
      <c r="D1320" s="56"/>
      <c r="E1320" s="56"/>
      <c r="F1320" s="63"/>
      <c r="G1320" s="64"/>
      <c r="H1320" s="65"/>
      <c r="I1320" s="63"/>
      <c r="K1320" s="53" t="str">
        <f>IFERROR(__xludf.DUMMYFUNCTION("IF(ISBLANK(B1320),"""",IF(ISDATE(B1320),""X"",""""))"),"")</f>
        <v/>
      </c>
      <c r="L1320" s="40" t="str">
        <f>IFERROR(__xludf.DUMMYFUNCTION("IF(ISBLANK(B1320),"""",IF(Or(I1320=""Em Aberto"",ISBLANK(I1320),NOT(ISDATE(B1320))),"""",H1320))"),"")</f>
        <v/>
      </c>
      <c r="M1320" s="29" t="str">
        <f>IFERROR(__xludf.DUMMYFUNCTION("IF(ISBLANK(B1320),"""",IF(ISDATE(B1320),TEXT(B1320,""m""),""""))"),"")</f>
        <v/>
      </c>
      <c r="N1320" s="29" t="str">
        <f>IFERROR(__xludf.DUMMYFUNCTION("IF(M1320="""","""",QUERY({'Dashboard-Dados'!$Y$2:$AA$13},""Select Col2 Where Col1=""&amp;M1320))"),"")</f>
        <v/>
      </c>
      <c r="O1320" s="29" t="str">
        <f>IFERROR(__xludf.DUMMYFUNCTION("IF(ISBLANK(B1320),"""",IF(ISDATE(B1320),TEXT(B1320,""yyyy""),""""))"),"")</f>
        <v/>
      </c>
    </row>
    <row r="1321">
      <c r="B1321" s="62"/>
      <c r="C1321" s="56"/>
      <c r="D1321" s="56"/>
      <c r="E1321" s="56"/>
      <c r="F1321" s="63"/>
      <c r="G1321" s="64"/>
      <c r="H1321" s="65"/>
      <c r="I1321" s="63"/>
      <c r="K1321" s="53" t="str">
        <f>IFERROR(__xludf.DUMMYFUNCTION("IF(ISBLANK(B1321),"""",IF(ISDATE(B1321),""X"",""""))"),"")</f>
        <v/>
      </c>
      <c r="L1321" s="40" t="str">
        <f>IFERROR(__xludf.DUMMYFUNCTION("IF(ISBLANK(B1321),"""",IF(Or(I1321=""Em Aberto"",ISBLANK(I1321),NOT(ISDATE(B1321))),"""",H1321))"),"")</f>
        <v/>
      </c>
      <c r="M1321" s="29" t="str">
        <f>IFERROR(__xludf.DUMMYFUNCTION("IF(ISBLANK(B1321),"""",IF(ISDATE(B1321),TEXT(B1321,""m""),""""))"),"")</f>
        <v/>
      </c>
      <c r="N1321" s="29" t="str">
        <f>IFERROR(__xludf.DUMMYFUNCTION("IF(M1321="""","""",QUERY({'Dashboard-Dados'!$Y$2:$AA$13},""Select Col2 Where Col1=""&amp;M1321))"),"")</f>
        <v/>
      </c>
      <c r="O1321" s="29" t="str">
        <f>IFERROR(__xludf.DUMMYFUNCTION("IF(ISBLANK(B1321),"""",IF(ISDATE(B1321),TEXT(B1321,""yyyy""),""""))"),"")</f>
        <v/>
      </c>
    </row>
    <row r="1322">
      <c r="B1322" s="62"/>
      <c r="C1322" s="56"/>
      <c r="D1322" s="56"/>
      <c r="E1322" s="56"/>
      <c r="F1322" s="63"/>
      <c r="G1322" s="64"/>
      <c r="H1322" s="65"/>
      <c r="I1322" s="63"/>
      <c r="K1322" s="53" t="str">
        <f>IFERROR(__xludf.DUMMYFUNCTION("IF(ISBLANK(B1322),"""",IF(ISDATE(B1322),""X"",""""))"),"")</f>
        <v/>
      </c>
      <c r="L1322" s="40" t="str">
        <f>IFERROR(__xludf.DUMMYFUNCTION("IF(ISBLANK(B1322),"""",IF(Or(I1322=""Em Aberto"",ISBLANK(I1322),NOT(ISDATE(B1322))),"""",H1322))"),"")</f>
        <v/>
      </c>
      <c r="M1322" s="29" t="str">
        <f>IFERROR(__xludf.DUMMYFUNCTION("IF(ISBLANK(B1322),"""",IF(ISDATE(B1322),TEXT(B1322,""m""),""""))"),"")</f>
        <v/>
      </c>
      <c r="N1322" s="29" t="str">
        <f>IFERROR(__xludf.DUMMYFUNCTION("IF(M1322="""","""",QUERY({'Dashboard-Dados'!$Y$2:$AA$13},""Select Col2 Where Col1=""&amp;M1322))"),"")</f>
        <v/>
      </c>
      <c r="O1322" s="29" t="str">
        <f>IFERROR(__xludf.DUMMYFUNCTION("IF(ISBLANK(B1322),"""",IF(ISDATE(B1322),TEXT(B1322,""yyyy""),""""))"),"")</f>
        <v/>
      </c>
    </row>
    <row r="1323">
      <c r="B1323" s="62"/>
      <c r="C1323" s="56"/>
      <c r="D1323" s="56"/>
      <c r="E1323" s="56"/>
      <c r="F1323" s="63"/>
      <c r="G1323" s="64"/>
      <c r="H1323" s="65"/>
      <c r="I1323" s="63"/>
      <c r="K1323" s="53" t="str">
        <f>IFERROR(__xludf.DUMMYFUNCTION("IF(ISBLANK(B1323),"""",IF(ISDATE(B1323),""X"",""""))"),"")</f>
        <v/>
      </c>
      <c r="L1323" s="40" t="str">
        <f>IFERROR(__xludf.DUMMYFUNCTION("IF(ISBLANK(B1323),"""",IF(Or(I1323=""Em Aberto"",ISBLANK(I1323),NOT(ISDATE(B1323))),"""",H1323))"),"")</f>
        <v/>
      </c>
      <c r="M1323" s="29" t="str">
        <f>IFERROR(__xludf.DUMMYFUNCTION("IF(ISBLANK(B1323),"""",IF(ISDATE(B1323),TEXT(B1323,""m""),""""))"),"")</f>
        <v/>
      </c>
      <c r="N1323" s="29" t="str">
        <f>IFERROR(__xludf.DUMMYFUNCTION("IF(M1323="""","""",QUERY({'Dashboard-Dados'!$Y$2:$AA$13},""Select Col2 Where Col1=""&amp;M1323))"),"")</f>
        <v/>
      </c>
      <c r="O1323" s="29" t="str">
        <f>IFERROR(__xludf.DUMMYFUNCTION("IF(ISBLANK(B1323),"""",IF(ISDATE(B1323),TEXT(B1323,""yyyy""),""""))"),"")</f>
        <v/>
      </c>
    </row>
    <row r="1324">
      <c r="B1324" s="62"/>
      <c r="C1324" s="56"/>
      <c r="D1324" s="56"/>
      <c r="E1324" s="56"/>
      <c r="F1324" s="63"/>
      <c r="G1324" s="64"/>
      <c r="H1324" s="65"/>
      <c r="I1324" s="63"/>
      <c r="K1324" s="53" t="str">
        <f>IFERROR(__xludf.DUMMYFUNCTION("IF(ISBLANK(B1324),"""",IF(ISDATE(B1324),""X"",""""))"),"")</f>
        <v/>
      </c>
      <c r="L1324" s="40" t="str">
        <f>IFERROR(__xludf.DUMMYFUNCTION("IF(ISBLANK(B1324),"""",IF(Or(I1324=""Em Aberto"",ISBLANK(I1324),NOT(ISDATE(B1324))),"""",H1324))"),"")</f>
        <v/>
      </c>
      <c r="M1324" s="29" t="str">
        <f>IFERROR(__xludf.DUMMYFUNCTION("IF(ISBLANK(B1324),"""",IF(ISDATE(B1324),TEXT(B1324,""m""),""""))"),"")</f>
        <v/>
      </c>
      <c r="N1324" s="29" t="str">
        <f>IFERROR(__xludf.DUMMYFUNCTION("IF(M1324="""","""",QUERY({'Dashboard-Dados'!$Y$2:$AA$13},""Select Col2 Where Col1=""&amp;M1324))"),"")</f>
        <v/>
      </c>
      <c r="O1324" s="29" t="str">
        <f>IFERROR(__xludf.DUMMYFUNCTION("IF(ISBLANK(B1324),"""",IF(ISDATE(B1324),TEXT(B1324,""yyyy""),""""))"),"")</f>
        <v/>
      </c>
    </row>
    <row r="1325">
      <c r="B1325" s="62"/>
      <c r="C1325" s="56"/>
      <c r="D1325" s="56"/>
      <c r="E1325" s="56"/>
      <c r="F1325" s="63"/>
      <c r="G1325" s="64"/>
      <c r="H1325" s="65"/>
      <c r="I1325" s="63"/>
      <c r="K1325" s="53" t="str">
        <f>IFERROR(__xludf.DUMMYFUNCTION("IF(ISBLANK(B1325),"""",IF(ISDATE(B1325),""X"",""""))"),"")</f>
        <v/>
      </c>
      <c r="L1325" s="40" t="str">
        <f>IFERROR(__xludf.DUMMYFUNCTION("IF(ISBLANK(B1325),"""",IF(Or(I1325=""Em Aberto"",ISBLANK(I1325),NOT(ISDATE(B1325))),"""",H1325))"),"")</f>
        <v/>
      </c>
      <c r="M1325" s="29" t="str">
        <f>IFERROR(__xludf.DUMMYFUNCTION("IF(ISBLANK(B1325),"""",IF(ISDATE(B1325),TEXT(B1325,""m""),""""))"),"")</f>
        <v/>
      </c>
      <c r="N1325" s="29" t="str">
        <f>IFERROR(__xludf.DUMMYFUNCTION("IF(M1325="""","""",QUERY({'Dashboard-Dados'!$Y$2:$AA$13},""Select Col2 Where Col1=""&amp;M1325))"),"")</f>
        <v/>
      </c>
      <c r="O1325" s="29" t="str">
        <f>IFERROR(__xludf.DUMMYFUNCTION("IF(ISBLANK(B1325),"""",IF(ISDATE(B1325),TEXT(B1325,""yyyy""),""""))"),"")</f>
        <v/>
      </c>
    </row>
    <row r="1326">
      <c r="B1326" s="62"/>
      <c r="C1326" s="56"/>
      <c r="D1326" s="56"/>
      <c r="E1326" s="56"/>
      <c r="F1326" s="63"/>
      <c r="G1326" s="64"/>
      <c r="H1326" s="65"/>
      <c r="I1326" s="63"/>
      <c r="K1326" s="53" t="str">
        <f>IFERROR(__xludf.DUMMYFUNCTION("IF(ISBLANK(B1326),"""",IF(ISDATE(B1326),""X"",""""))"),"")</f>
        <v/>
      </c>
      <c r="L1326" s="40" t="str">
        <f>IFERROR(__xludf.DUMMYFUNCTION("IF(ISBLANK(B1326),"""",IF(Or(I1326=""Em Aberto"",ISBLANK(I1326),NOT(ISDATE(B1326))),"""",H1326))"),"")</f>
        <v/>
      </c>
      <c r="M1326" s="29" t="str">
        <f>IFERROR(__xludf.DUMMYFUNCTION("IF(ISBLANK(B1326),"""",IF(ISDATE(B1326),TEXT(B1326,""m""),""""))"),"")</f>
        <v/>
      </c>
      <c r="N1326" s="29" t="str">
        <f>IFERROR(__xludf.DUMMYFUNCTION("IF(M1326="""","""",QUERY({'Dashboard-Dados'!$Y$2:$AA$13},""Select Col2 Where Col1=""&amp;M1326))"),"")</f>
        <v/>
      </c>
      <c r="O1326" s="29" t="str">
        <f>IFERROR(__xludf.DUMMYFUNCTION("IF(ISBLANK(B1326),"""",IF(ISDATE(B1326),TEXT(B1326,""yyyy""),""""))"),"")</f>
        <v/>
      </c>
    </row>
    <row r="1327">
      <c r="B1327" s="62"/>
      <c r="C1327" s="56"/>
      <c r="D1327" s="56"/>
      <c r="E1327" s="56"/>
      <c r="F1327" s="63"/>
      <c r="G1327" s="64"/>
      <c r="H1327" s="65"/>
      <c r="I1327" s="63"/>
      <c r="K1327" s="53" t="str">
        <f>IFERROR(__xludf.DUMMYFUNCTION("IF(ISBLANK(B1327),"""",IF(ISDATE(B1327),""X"",""""))"),"")</f>
        <v/>
      </c>
      <c r="L1327" s="40" t="str">
        <f>IFERROR(__xludf.DUMMYFUNCTION("IF(ISBLANK(B1327),"""",IF(Or(I1327=""Em Aberto"",ISBLANK(I1327),NOT(ISDATE(B1327))),"""",H1327))"),"")</f>
        <v/>
      </c>
      <c r="M1327" s="29" t="str">
        <f>IFERROR(__xludf.DUMMYFUNCTION("IF(ISBLANK(B1327),"""",IF(ISDATE(B1327),TEXT(B1327,""m""),""""))"),"")</f>
        <v/>
      </c>
      <c r="N1327" s="29" t="str">
        <f>IFERROR(__xludf.DUMMYFUNCTION("IF(M1327="""","""",QUERY({'Dashboard-Dados'!$Y$2:$AA$13},""Select Col2 Where Col1=""&amp;M1327))"),"")</f>
        <v/>
      </c>
      <c r="O1327" s="29" t="str">
        <f>IFERROR(__xludf.DUMMYFUNCTION("IF(ISBLANK(B1327),"""",IF(ISDATE(B1327),TEXT(B1327,""yyyy""),""""))"),"")</f>
        <v/>
      </c>
    </row>
    <row r="1328">
      <c r="B1328" s="62"/>
      <c r="C1328" s="56"/>
      <c r="D1328" s="56"/>
      <c r="E1328" s="56"/>
      <c r="F1328" s="63"/>
      <c r="G1328" s="64"/>
      <c r="H1328" s="65"/>
      <c r="I1328" s="63"/>
      <c r="K1328" s="53" t="str">
        <f>IFERROR(__xludf.DUMMYFUNCTION("IF(ISBLANK(B1328),"""",IF(ISDATE(B1328),""X"",""""))"),"")</f>
        <v/>
      </c>
      <c r="L1328" s="40" t="str">
        <f>IFERROR(__xludf.DUMMYFUNCTION("IF(ISBLANK(B1328),"""",IF(Or(I1328=""Em Aberto"",ISBLANK(I1328),NOT(ISDATE(B1328))),"""",H1328))"),"")</f>
        <v/>
      </c>
      <c r="M1328" s="29" t="str">
        <f>IFERROR(__xludf.DUMMYFUNCTION("IF(ISBLANK(B1328),"""",IF(ISDATE(B1328),TEXT(B1328,""m""),""""))"),"")</f>
        <v/>
      </c>
      <c r="N1328" s="29" t="str">
        <f>IFERROR(__xludf.DUMMYFUNCTION("IF(M1328="""","""",QUERY({'Dashboard-Dados'!$Y$2:$AA$13},""Select Col2 Where Col1=""&amp;M1328))"),"")</f>
        <v/>
      </c>
      <c r="O1328" s="29" t="str">
        <f>IFERROR(__xludf.DUMMYFUNCTION("IF(ISBLANK(B1328),"""",IF(ISDATE(B1328),TEXT(B1328,""yyyy""),""""))"),"")</f>
        <v/>
      </c>
    </row>
    <row r="1329">
      <c r="B1329" s="62"/>
      <c r="C1329" s="56"/>
      <c r="D1329" s="56"/>
      <c r="E1329" s="56"/>
      <c r="F1329" s="63"/>
      <c r="G1329" s="64"/>
      <c r="H1329" s="65"/>
      <c r="I1329" s="63"/>
      <c r="K1329" s="53" t="str">
        <f>IFERROR(__xludf.DUMMYFUNCTION("IF(ISBLANK(B1329),"""",IF(ISDATE(B1329),""X"",""""))"),"")</f>
        <v/>
      </c>
      <c r="L1329" s="40" t="str">
        <f>IFERROR(__xludf.DUMMYFUNCTION("IF(ISBLANK(B1329),"""",IF(Or(I1329=""Em Aberto"",ISBLANK(I1329),NOT(ISDATE(B1329))),"""",H1329))"),"")</f>
        <v/>
      </c>
      <c r="M1329" s="29" t="str">
        <f>IFERROR(__xludf.DUMMYFUNCTION("IF(ISBLANK(B1329),"""",IF(ISDATE(B1329),TEXT(B1329,""m""),""""))"),"")</f>
        <v/>
      </c>
      <c r="N1329" s="29" t="str">
        <f>IFERROR(__xludf.DUMMYFUNCTION("IF(M1329="""","""",QUERY({'Dashboard-Dados'!$Y$2:$AA$13},""Select Col2 Where Col1=""&amp;M1329))"),"")</f>
        <v/>
      </c>
      <c r="O1329" s="29" t="str">
        <f>IFERROR(__xludf.DUMMYFUNCTION("IF(ISBLANK(B1329),"""",IF(ISDATE(B1329),TEXT(B1329,""yyyy""),""""))"),"")</f>
        <v/>
      </c>
    </row>
    <row r="1330">
      <c r="B1330" s="62"/>
      <c r="C1330" s="56"/>
      <c r="D1330" s="56"/>
      <c r="E1330" s="56"/>
      <c r="F1330" s="63"/>
      <c r="G1330" s="64"/>
      <c r="H1330" s="65"/>
      <c r="I1330" s="63"/>
      <c r="K1330" s="53" t="str">
        <f>IFERROR(__xludf.DUMMYFUNCTION("IF(ISBLANK(B1330),"""",IF(ISDATE(B1330),""X"",""""))"),"")</f>
        <v/>
      </c>
      <c r="L1330" s="40" t="str">
        <f>IFERROR(__xludf.DUMMYFUNCTION("IF(ISBLANK(B1330),"""",IF(Or(I1330=""Em Aberto"",ISBLANK(I1330),NOT(ISDATE(B1330))),"""",H1330))"),"")</f>
        <v/>
      </c>
      <c r="M1330" s="29" t="str">
        <f>IFERROR(__xludf.DUMMYFUNCTION("IF(ISBLANK(B1330),"""",IF(ISDATE(B1330),TEXT(B1330,""m""),""""))"),"")</f>
        <v/>
      </c>
      <c r="N1330" s="29" t="str">
        <f>IFERROR(__xludf.DUMMYFUNCTION("IF(M1330="""","""",QUERY({'Dashboard-Dados'!$Y$2:$AA$13},""Select Col2 Where Col1=""&amp;M1330))"),"")</f>
        <v/>
      </c>
      <c r="O1330" s="29" t="str">
        <f>IFERROR(__xludf.DUMMYFUNCTION("IF(ISBLANK(B1330),"""",IF(ISDATE(B1330),TEXT(B1330,""yyyy""),""""))"),"")</f>
        <v/>
      </c>
    </row>
    <row r="1331">
      <c r="B1331" s="62"/>
      <c r="C1331" s="56"/>
      <c r="D1331" s="56"/>
      <c r="E1331" s="56"/>
      <c r="F1331" s="63"/>
      <c r="G1331" s="64"/>
      <c r="H1331" s="65"/>
      <c r="I1331" s="63"/>
      <c r="K1331" s="53" t="str">
        <f>IFERROR(__xludf.DUMMYFUNCTION("IF(ISBLANK(B1331),"""",IF(ISDATE(B1331),""X"",""""))"),"")</f>
        <v/>
      </c>
      <c r="L1331" s="40" t="str">
        <f>IFERROR(__xludf.DUMMYFUNCTION("IF(ISBLANK(B1331),"""",IF(Or(I1331=""Em Aberto"",ISBLANK(I1331),NOT(ISDATE(B1331))),"""",H1331))"),"")</f>
        <v/>
      </c>
      <c r="M1331" s="29" t="str">
        <f>IFERROR(__xludf.DUMMYFUNCTION("IF(ISBLANK(B1331),"""",IF(ISDATE(B1331),TEXT(B1331,""m""),""""))"),"")</f>
        <v/>
      </c>
      <c r="N1331" s="29" t="str">
        <f>IFERROR(__xludf.DUMMYFUNCTION("IF(M1331="""","""",QUERY({'Dashboard-Dados'!$Y$2:$AA$13},""Select Col2 Where Col1=""&amp;M1331))"),"")</f>
        <v/>
      </c>
      <c r="O1331" s="29" t="str">
        <f>IFERROR(__xludf.DUMMYFUNCTION("IF(ISBLANK(B1331),"""",IF(ISDATE(B1331),TEXT(B1331,""yyyy""),""""))"),"")</f>
        <v/>
      </c>
    </row>
    <row r="1332">
      <c r="B1332" s="62"/>
      <c r="C1332" s="56"/>
      <c r="D1332" s="56"/>
      <c r="E1332" s="56"/>
      <c r="F1332" s="63"/>
      <c r="G1332" s="64"/>
      <c r="H1332" s="65"/>
      <c r="I1332" s="63"/>
      <c r="K1332" s="53" t="str">
        <f>IFERROR(__xludf.DUMMYFUNCTION("IF(ISBLANK(B1332),"""",IF(ISDATE(B1332),""X"",""""))"),"")</f>
        <v/>
      </c>
      <c r="L1332" s="40" t="str">
        <f>IFERROR(__xludf.DUMMYFUNCTION("IF(ISBLANK(B1332),"""",IF(Or(I1332=""Em Aberto"",ISBLANK(I1332),NOT(ISDATE(B1332))),"""",H1332))"),"")</f>
        <v/>
      </c>
      <c r="M1332" s="29" t="str">
        <f>IFERROR(__xludf.DUMMYFUNCTION("IF(ISBLANK(B1332),"""",IF(ISDATE(B1332),TEXT(B1332,""m""),""""))"),"")</f>
        <v/>
      </c>
      <c r="N1332" s="29" t="str">
        <f>IFERROR(__xludf.DUMMYFUNCTION("IF(M1332="""","""",QUERY({'Dashboard-Dados'!$Y$2:$AA$13},""Select Col2 Where Col1=""&amp;M1332))"),"")</f>
        <v/>
      </c>
      <c r="O1332" s="29" t="str">
        <f>IFERROR(__xludf.DUMMYFUNCTION("IF(ISBLANK(B1332),"""",IF(ISDATE(B1332),TEXT(B1332,""yyyy""),""""))"),"")</f>
        <v/>
      </c>
    </row>
    <row r="1333">
      <c r="B1333" s="62"/>
      <c r="C1333" s="56"/>
      <c r="D1333" s="56"/>
      <c r="E1333" s="56"/>
      <c r="F1333" s="63"/>
      <c r="G1333" s="64"/>
      <c r="H1333" s="65"/>
      <c r="I1333" s="63"/>
      <c r="K1333" s="53" t="str">
        <f>IFERROR(__xludf.DUMMYFUNCTION("IF(ISBLANK(B1333),"""",IF(ISDATE(B1333),""X"",""""))"),"")</f>
        <v/>
      </c>
      <c r="L1333" s="40" t="str">
        <f>IFERROR(__xludf.DUMMYFUNCTION("IF(ISBLANK(B1333),"""",IF(Or(I1333=""Em Aberto"",ISBLANK(I1333),NOT(ISDATE(B1333))),"""",H1333))"),"")</f>
        <v/>
      </c>
      <c r="M1333" s="29" t="str">
        <f>IFERROR(__xludf.DUMMYFUNCTION("IF(ISBLANK(B1333),"""",IF(ISDATE(B1333),TEXT(B1333,""m""),""""))"),"")</f>
        <v/>
      </c>
      <c r="N1333" s="29" t="str">
        <f>IFERROR(__xludf.DUMMYFUNCTION("IF(M1333="""","""",QUERY({'Dashboard-Dados'!$Y$2:$AA$13},""Select Col2 Where Col1=""&amp;M1333))"),"")</f>
        <v/>
      </c>
      <c r="O1333" s="29" t="str">
        <f>IFERROR(__xludf.DUMMYFUNCTION("IF(ISBLANK(B1333),"""",IF(ISDATE(B1333),TEXT(B1333,""yyyy""),""""))"),"")</f>
        <v/>
      </c>
    </row>
    <row r="1334">
      <c r="B1334" s="62"/>
      <c r="C1334" s="56"/>
      <c r="D1334" s="56"/>
      <c r="E1334" s="56"/>
      <c r="F1334" s="63"/>
      <c r="G1334" s="64"/>
      <c r="H1334" s="65"/>
      <c r="I1334" s="63"/>
      <c r="K1334" s="53" t="str">
        <f>IFERROR(__xludf.DUMMYFUNCTION("IF(ISBLANK(B1334),"""",IF(ISDATE(B1334),""X"",""""))"),"")</f>
        <v/>
      </c>
      <c r="L1334" s="40" t="str">
        <f>IFERROR(__xludf.DUMMYFUNCTION("IF(ISBLANK(B1334),"""",IF(Or(I1334=""Em Aberto"",ISBLANK(I1334),NOT(ISDATE(B1334))),"""",H1334))"),"")</f>
        <v/>
      </c>
      <c r="M1334" s="29" t="str">
        <f>IFERROR(__xludf.DUMMYFUNCTION("IF(ISBLANK(B1334),"""",IF(ISDATE(B1334),TEXT(B1334,""m""),""""))"),"")</f>
        <v/>
      </c>
      <c r="N1334" s="29" t="str">
        <f>IFERROR(__xludf.DUMMYFUNCTION("IF(M1334="""","""",QUERY({'Dashboard-Dados'!$Y$2:$AA$13},""Select Col2 Where Col1=""&amp;M1334))"),"")</f>
        <v/>
      </c>
      <c r="O1334" s="29" t="str">
        <f>IFERROR(__xludf.DUMMYFUNCTION("IF(ISBLANK(B1334),"""",IF(ISDATE(B1334),TEXT(B1334,""yyyy""),""""))"),"")</f>
        <v/>
      </c>
    </row>
    <row r="1335">
      <c r="B1335" s="62"/>
      <c r="C1335" s="56"/>
      <c r="D1335" s="56"/>
      <c r="E1335" s="56"/>
      <c r="F1335" s="63"/>
      <c r="G1335" s="64"/>
      <c r="H1335" s="65"/>
      <c r="I1335" s="63"/>
      <c r="K1335" s="53" t="str">
        <f>IFERROR(__xludf.DUMMYFUNCTION("IF(ISBLANK(B1335),"""",IF(ISDATE(B1335),""X"",""""))"),"")</f>
        <v/>
      </c>
      <c r="L1335" s="40" t="str">
        <f>IFERROR(__xludf.DUMMYFUNCTION("IF(ISBLANK(B1335),"""",IF(Or(I1335=""Em Aberto"",ISBLANK(I1335),NOT(ISDATE(B1335))),"""",H1335))"),"")</f>
        <v/>
      </c>
      <c r="M1335" s="29" t="str">
        <f>IFERROR(__xludf.DUMMYFUNCTION("IF(ISBLANK(B1335),"""",IF(ISDATE(B1335),TEXT(B1335,""m""),""""))"),"")</f>
        <v/>
      </c>
      <c r="N1335" s="29" t="str">
        <f>IFERROR(__xludf.DUMMYFUNCTION("IF(M1335="""","""",QUERY({'Dashboard-Dados'!$Y$2:$AA$13},""Select Col2 Where Col1=""&amp;M1335))"),"")</f>
        <v/>
      </c>
      <c r="O1335" s="29" t="str">
        <f>IFERROR(__xludf.DUMMYFUNCTION("IF(ISBLANK(B1335),"""",IF(ISDATE(B1335),TEXT(B1335,""yyyy""),""""))"),"")</f>
        <v/>
      </c>
    </row>
    <row r="1336">
      <c r="B1336" s="62"/>
      <c r="C1336" s="56"/>
      <c r="D1336" s="56"/>
      <c r="E1336" s="56"/>
      <c r="F1336" s="63"/>
      <c r="G1336" s="64"/>
      <c r="H1336" s="65"/>
      <c r="I1336" s="63"/>
      <c r="K1336" s="53" t="str">
        <f>IFERROR(__xludf.DUMMYFUNCTION("IF(ISBLANK(B1336),"""",IF(ISDATE(B1336),""X"",""""))"),"")</f>
        <v/>
      </c>
      <c r="L1336" s="40" t="str">
        <f>IFERROR(__xludf.DUMMYFUNCTION("IF(ISBLANK(B1336),"""",IF(Or(I1336=""Em Aberto"",ISBLANK(I1336),NOT(ISDATE(B1336))),"""",H1336))"),"")</f>
        <v/>
      </c>
      <c r="M1336" s="29" t="str">
        <f>IFERROR(__xludf.DUMMYFUNCTION("IF(ISBLANK(B1336),"""",IF(ISDATE(B1336),TEXT(B1336,""m""),""""))"),"")</f>
        <v/>
      </c>
      <c r="N1336" s="29" t="str">
        <f>IFERROR(__xludf.DUMMYFUNCTION("IF(M1336="""","""",QUERY({'Dashboard-Dados'!$Y$2:$AA$13},""Select Col2 Where Col1=""&amp;M1336))"),"")</f>
        <v/>
      </c>
      <c r="O1336" s="29" t="str">
        <f>IFERROR(__xludf.DUMMYFUNCTION("IF(ISBLANK(B1336),"""",IF(ISDATE(B1336),TEXT(B1336,""yyyy""),""""))"),"")</f>
        <v/>
      </c>
    </row>
    <row r="1337">
      <c r="B1337" s="62"/>
      <c r="C1337" s="56"/>
      <c r="D1337" s="56"/>
      <c r="E1337" s="56"/>
      <c r="F1337" s="63"/>
      <c r="G1337" s="64"/>
      <c r="H1337" s="65"/>
      <c r="I1337" s="63"/>
      <c r="K1337" s="53" t="str">
        <f>IFERROR(__xludf.DUMMYFUNCTION("IF(ISBLANK(B1337),"""",IF(ISDATE(B1337),""X"",""""))"),"")</f>
        <v/>
      </c>
      <c r="L1337" s="40" t="str">
        <f>IFERROR(__xludf.DUMMYFUNCTION("IF(ISBLANK(B1337),"""",IF(Or(I1337=""Em Aberto"",ISBLANK(I1337),NOT(ISDATE(B1337))),"""",H1337))"),"")</f>
        <v/>
      </c>
      <c r="M1337" s="29" t="str">
        <f>IFERROR(__xludf.DUMMYFUNCTION("IF(ISBLANK(B1337),"""",IF(ISDATE(B1337),TEXT(B1337,""m""),""""))"),"")</f>
        <v/>
      </c>
      <c r="N1337" s="29" t="str">
        <f>IFERROR(__xludf.DUMMYFUNCTION("IF(M1337="""","""",QUERY({'Dashboard-Dados'!$Y$2:$AA$13},""Select Col2 Where Col1=""&amp;M1337))"),"")</f>
        <v/>
      </c>
      <c r="O1337" s="29" t="str">
        <f>IFERROR(__xludf.DUMMYFUNCTION("IF(ISBLANK(B1337),"""",IF(ISDATE(B1337),TEXT(B1337,""yyyy""),""""))"),"")</f>
        <v/>
      </c>
    </row>
    <row r="1338">
      <c r="B1338" s="62"/>
      <c r="C1338" s="56"/>
      <c r="D1338" s="56"/>
      <c r="E1338" s="56"/>
      <c r="F1338" s="63"/>
      <c r="G1338" s="64"/>
      <c r="H1338" s="65"/>
      <c r="I1338" s="63"/>
      <c r="K1338" s="53" t="str">
        <f>IFERROR(__xludf.DUMMYFUNCTION("IF(ISBLANK(B1338),"""",IF(ISDATE(B1338),""X"",""""))"),"")</f>
        <v/>
      </c>
      <c r="L1338" s="40" t="str">
        <f>IFERROR(__xludf.DUMMYFUNCTION("IF(ISBLANK(B1338),"""",IF(Or(I1338=""Em Aberto"",ISBLANK(I1338),NOT(ISDATE(B1338))),"""",H1338))"),"")</f>
        <v/>
      </c>
      <c r="M1338" s="29" t="str">
        <f>IFERROR(__xludf.DUMMYFUNCTION("IF(ISBLANK(B1338),"""",IF(ISDATE(B1338),TEXT(B1338,""m""),""""))"),"")</f>
        <v/>
      </c>
      <c r="N1338" s="29" t="str">
        <f>IFERROR(__xludf.DUMMYFUNCTION("IF(M1338="""","""",QUERY({'Dashboard-Dados'!$Y$2:$AA$13},""Select Col2 Where Col1=""&amp;M1338))"),"")</f>
        <v/>
      </c>
      <c r="O1338" s="29" t="str">
        <f>IFERROR(__xludf.DUMMYFUNCTION("IF(ISBLANK(B1338),"""",IF(ISDATE(B1338),TEXT(B1338,""yyyy""),""""))"),"")</f>
        <v/>
      </c>
    </row>
    <row r="1339">
      <c r="B1339" s="62"/>
      <c r="C1339" s="56"/>
      <c r="D1339" s="56"/>
      <c r="E1339" s="56"/>
      <c r="F1339" s="63"/>
      <c r="G1339" s="64"/>
      <c r="H1339" s="65"/>
      <c r="I1339" s="63"/>
      <c r="K1339" s="53" t="str">
        <f>IFERROR(__xludf.DUMMYFUNCTION("IF(ISBLANK(B1339),"""",IF(ISDATE(B1339),""X"",""""))"),"")</f>
        <v/>
      </c>
      <c r="L1339" s="40" t="str">
        <f>IFERROR(__xludf.DUMMYFUNCTION("IF(ISBLANK(B1339),"""",IF(Or(I1339=""Em Aberto"",ISBLANK(I1339),NOT(ISDATE(B1339))),"""",H1339))"),"")</f>
        <v/>
      </c>
      <c r="M1339" s="29" t="str">
        <f>IFERROR(__xludf.DUMMYFUNCTION("IF(ISBLANK(B1339),"""",IF(ISDATE(B1339),TEXT(B1339,""m""),""""))"),"")</f>
        <v/>
      </c>
      <c r="N1339" s="29" t="str">
        <f>IFERROR(__xludf.DUMMYFUNCTION("IF(M1339="""","""",QUERY({'Dashboard-Dados'!$Y$2:$AA$13},""Select Col2 Where Col1=""&amp;M1339))"),"")</f>
        <v/>
      </c>
      <c r="O1339" s="29" t="str">
        <f>IFERROR(__xludf.DUMMYFUNCTION("IF(ISBLANK(B1339),"""",IF(ISDATE(B1339),TEXT(B1339,""yyyy""),""""))"),"")</f>
        <v/>
      </c>
    </row>
    <row r="1340">
      <c r="B1340" s="62"/>
      <c r="C1340" s="56"/>
      <c r="D1340" s="56"/>
      <c r="E1340" s="56"/>
      <c r="F1340" s="63"/>
      <c r="G1340" s="64"/>
      <c r="H1340" s="65"/>
      <c r="I1340" s="63"/>
      <c r="K1340" s="53" t="str">
        <f>IFERROR(__xludf.DUMMYFUNCTION("IF(ISBLANK(B1340),"""",IF(ISDATE(B1340),""X"",""""))"),"")</f>
        <v/>
      </c>
      <c r="L1340" s="40" t="str">
        <f>IFERROR(__xludf.DUMMYFUNCTION("IF(ISBLANK(B1340),"""",IF(Or(I1340=""Em Aberto"",ISBLANK(I1340),NOT(ISDATE(B1340))),"""",H1340))"),"")</f>
        <v/>
      </c>
      <c r="M1340" s="29" t="str">
        <f>IFERROR(__xludf.DUMMYFUNCTION("IF(ISBLANK(B1340),"""",IF(ISDATE(B1340),TEXT(B1340,""m""),""""))"),"")</f>
        <v/>
      </c>
      <c r="N1340" s="29" t="str">
        <f>IFERROR(__xludf.DUMMYFUNCTION("IF(M1340="""","""",QUERY({'Dashboard-Dados'!$Y$2:$AA$13},""Select Col2 Where Col1=""&amp;M1340))"),"")</f>
        <v/>
      </c>
      <c r="O1340" s="29" t="str">
        <f>IFERROR(__xludf.DUMMYFUNCTION("IF(ISBLANK(B1340),"""",IF(ISDATE(B1340),TEXT(B1340,""yyyy""),""""))"),"")</f>
        <v/>
      </c>
    </row>
    <row r="1341">
      <c r="B1341" s="62"/>
      <c r="C1341" s="56"/>
      <c r="D1341" s="56"/>
      <c r="E1341" s="56"/>
      <c r="F1341" s="63"/>
      <c r="G1341" s="64"/>
      <c r="H1341" s="65"/>
      <c r="I1341" s="63"/>
      <c r="K1341" s="53" t="str">
        <f>IFERROR(__xludf.DUMMYFUNCTION("IF(ISBLANK(B1341),"""",IF(ISDATE(B1341),""X"",""""))"),"")</f>
        <v/>
      </c>
      <c r="L1341" s="40" t="str">
        <f>IFERROR(__xludf.DUMMYFUNCTION("IF(ISBLANK(B1341),"""",IF(Or(I1341=""Em Aberto"",ISBLANK(I1341),NOT(ISDATE(B1341))),"""",H1341))"),"")</f>
        <v/>
      </c>
      <c r="M1341" s="29" t="str">
        <f>IFERROR(__xludf.DUMMYFUNCTION("IF(ISBLANK(B1341),"""",IF(ISDATE(B1341),TEXT(B1341,""m""),""""))"),"")</f>
        <v/>
      </c>
      <c r="N1341" s="29" t="str">
        <f>IFERROR(__xludf.DUMMYFUNCTION("IF(M1341="""","""",QUERY({'Dashboard-Dados'!$Y$2:$AA$13},""Select Col2 Where Col1=""&amp;M1341))"),"")</f>
        <v/>
      </c>
      <c r="O1341" s="29" t="str">
        <f>IFERROR(__xludf.DUMMYFUNCTION("IF(ISBLANK(B1341),"""",IF(ISDATE(B1341),TEXT(B1341,""yyyy""),""""))"),"")</f>
        <v/>
      </c>
    </row>
    <row r="1342">
      <c r="B1342" s="62"/>
      <c r="C1342" s="56"/>
      <c r="D1342" s="56"/>
      <c r="E1342" s="56"/>
      <c r="F1342" s="63"/>
      <c r="G1342" s="64"/>
      <c r="H1342" s="65"/>
      <c r="I1342" s="63"/>
      <c r="K1342" s="53" t="str">
        <f>IFERROR(__xludf.DUMMYFUNCTION("IF(ISBLANK(B1342),"""",IF(ISDATE(B1342),""X"",""""))"),"")</f>
        <v/>
      </c>
      <c r="L1342" s="40" t="str">
        <f>IFERROR(__xludf.DUMMYFUNCTION("IF(ISBLANK(B1342),"""",IF(Or(I1342=""Em Aberto"",ISBLANK(I1342),NOT(ISDATE(B1342))),"""",H1342))"),"")</f>
        <v/>
      </c>
      <c r="M1342" s="29" t="str">
        <f>IFERROR(__xludf.DUMMYFUNCTION("IF(ISBLANK(B1342),"""",IF(ISDATE(B1342),TEXT(B1342,""m""),""""))"),"")</f>
        <v/>
      </c>
      <c r="N1342" s="29" t="str">
        <f>IFERROR(__xludf.DUMMYFUNCTION("IF(M1342="""","""",QUERY({'Dashboard-Dados'!$Y$2:$AA$13},""Select Col2 Where Col1=""&amp;M1342))"),"")</f>
        <v/>
      </c>
      <c r="O1342" s="29" t="str">
        <f>IFERROR(__xludf.DUMMYFUNCTION("IF(ISBLANK(B1342),"""",IF(ISDATE(B1342),TEXT(B1342,""yyyy""),""""))"),"")</f>
        <v/>
      </c>
    </row>
    <row r="1343">
      <c r="B1343" s="62"/>
      <c r="C1343" s="56"/>
      <c r="D1343" s="56"/>
      <c r="E1343" s="56"/>
      <c r="F1343" s="63"/>
      <c r="G1343" s="64"/>
      <c r="H1343" s="65"/>
      <c r="I1343" s="63"/>
      <c r="K1343" s="53" t="str">
        <f>IFERROR(__xludf.DUMMYFUNCTION("IF(ISBLANK(B1343),"""",IF(ISDATE(B1343),""X"",""""))"),"")</f>
        <v/>
      </c>
      <c r="L1343" s="40" t="str">
        <f>IFERROR(__xludf.DUMMYFUNCTION("IF(ISBLANK(B1343),"""",IF(Or(I1343=""Em Aberto"",ISBLANK(I1343),NOT(ISDATE(B1343))),"""",H1343))"),"")</f>
        <v/>
      </c>
      <c r="M1343" s="29" t="str">
        <f>IFERROR(__xludf.DUMMYFUNCTION("IF(ISBLANK(B1343),"""",IF(ISDATE(B1343),TEXT(B1343,""m""),""""))"),"")</f>
        <v/>
      </c>
      <c r="N1343" s="29" t="str">
        <f>IFERROR(__xludf.DUMMYFUNCTION("IF(M1343="""","""",QUERY({'Dashboard-Dados'!$Y$2:$AA$13},""Select Col2 Where Col1=""&amp;M1343))"),"")</f>
        <v/>
      </c>
      <c r="O1343" s="29" t="str">
        <f>IFERROR(__xludf.DUMMYFUNCTION("IF(ISBLANK(B1343),"""",IF(ISDATE(B1343),TEXT(B1343,""yyyy""),""""))"),"")</f>
        <v/>
      </c>
    </row>
    <row r="1344">
      <c r="B1344" s="62"/>
      <c r="C1344" s="56"/>
      <c r="D1344" s="56"/>
      <c r="E1344" s="56"/>
      <c r="F1344" s="63"/>
      <c r="G1344" s="64"/>
      <c r="H1344" s="65"/>
      <c r="I1344" s="63"/>
      <c r="K1344" s="53" t="str">
        <f>IFERROR(__xludf.DUMMYFUNCTION("IF(ISBLANK(B1344),"""",IF(ISDATE(B1344),""X"",""""))"),"")</f>
        <v/>
      </c>
      <c r="L1344" s="40" t="str">
        <f>IFERROR(__xludf.DUMMYFUNCTION("IF(ISBLANK(B1344),"""",IF(Or(I1344=""Em Aberto"",ISBLANK(I1344),NOT(ISDATE(B1344))),"""",H1344))"),"")</f>
        <v/>
      </c>
      <c r="M1344" s="29" t="str">
        <f>IFERROR(__xludf.DUMMYFUNCTION("IF(ISBLANK(B1344),"""",IF(ISDATE(B1344),TEXT(B1344,""m""),""""))"),"")</f>
        <v/>
      </c>
      <c r="N1344" s="29" t="str">
        <f>IFERROR(__xludf.DUMMYFUNCTION("IF(M1344="""","""",QUERY({'Dashboard-Dados'!$Y$2:$AA$13},""Select Col2 Where Col1=""&amp;M1344))"),"")</f>
        <v/>
      </c>
      <c r="O1344" s="29" t="str">
        <f>IFERROR(__xludf.DUMMYFUNCTION("IF(ISBLANK(B1344),"""",IF(ISDATE(B1344),TEXT(B1344,""yyyy""),""""))"),"")</f>
        <v/>
      </c>
    </row>
    <row r="1345">
      <c r="B1345" s="62"/>
      <c r="C1345" s="56"/>
      <c r="D1345" s="56"/>
      <c r="E1345" s="56"/>
      <c r="F1345" s="63"/>
      <c r="G1345" s="64"/>
      <c r="H1345" s="65"/>
      <c r="I1345" s="63"/>
      <c r="K1345" s="53" t="str">
        <f>IFERROR(__xludf.DUMMYFUNCTION("IF(ISBLANK(B1345),"""",IF(ISDATE(B1345),""X"",""""))"),"")</f>
        <v/>
      </c>
      <c r="L1345" s="40" t="str">
        <f>IFERROR(__xludf.DUMMYFUNCTION("IF(ISBLANK(B1345),"""",IF(Or(I1345=""Em Aberto"",ISBLANK(I1345),NOT(ISDATE(B1345))),"""",H1345))"),"")</f>
        <v/>
      </c>
      <c r="M1345" s="29" t="str">
        <f>IFERROR(__xludf.DUMMYFUNCTION("IF(ISBLANK(B1345),"""",IF(ISDATE(B1345),TEXT(B1345,""m""),""""))"),"")</f>
        <v/>
      </c>
      <c r="N1345" s="29" t="str">
        <f>IFERROR(__xludf.DUMMYFUNCTION("IF(M1345="""","""",QUERY({'Dashboard-Dados'!$Y$2:$AA$13},""Select Col2 Where Col1=""&amp;M1345))"),"")</f>
        <v/>
      </c>
      <c r="O1345" s="29" t="str">
        <f>IFERROR(__xludf.DUMMYFUNCTION("IF(ISBLANK(B1345),"""",IF(ISDATE(B1345),TEXT(B1345,""yyyy""),""""))"),"")</f>
        <v/>
      </c>
    </row>
    <row r="1346">
      <c r="B1346" s="62"/>
      <c r="C1346" s="56"/>
      <c r="D1346" s="56"/>
      <c r="E1346" s="56"/>
      <c r="F1346" s="63"/>
      <c r="G1346" s="64"/>
      <c r="H1346" s="65"/>
      <c r="I1346" s="63"/>
      <c r="K1346" s="53" t="str">
        <f>IFERROR(__xludf.DUMMYFUNCTION("IF(ISBLANK(B1346),"""",IF(ISDATE(B1346),""X"",""""))"),"")</f>
        <v/>
      </c>
      <c r="L1346" s="40" t="str">
        <f>IFERROR(__xludf.DUMMYFUNCTION("IF(ISBLANK(B1346),"""",IF(Or(I1346=""Em Aberto"",ISBLANK(I1346),NOT(ISDATE(B1346))),"""",H1346))"),"")</f>
        <v/>
      </c>
      <c r="M1346" s="29" t="str">
        <f>IFERROR(__xludf.DUMMYFUNCTION("IF(ISBLANK(B1346),"""",IF(ISDATE(B1346),TEXT(B1346,""m""),""""))"),"")</f>
        <v/>
      </c>
      <c r="N1346" s="29" t="str">
        <f>IFERROR(__xludf.DUMMYFUNCTION("IF(M1346="""","""",QUERY({'Dashboard-Dados'!$Y$2:$AA$13},""Select Col2 Where Col1=""&amp;M1346))"),"")</f>
        <v/>
      </c>
      <c r="O1346" s="29" t="str">
        <f>IFERROR(__xludf.DUMMYFUNCTION("IF(ISBLANK(B1346),"""",IF(ISDATE(B1346),TEXT(B1346,""yyyy""),""""))"),"")</f>
        <v/>
      </c>
    </row>
    <row r="1347">
      <c r="B1347" s="62"/>
      <c r="C1347" s="56"/>
      <c r="D1347" s="56"/>
      <c r="E1347" s="56"/>
      <c r="F1347" s="63"/>
      <c r="G1347" s="64"/>
      <c r="H1347" s="65"/>
      <c r="I1347" s="63"/>
      <c r="K1347" s="53" t="str">
        <f>IFERROR(__xludf.DUMMYFUNCTION("IF(ISBLANK(B1347),"""",IF(ISDATE(B1347),""X"",""""))"),"")</f>
        <v/>
      </c>
      <c r="L1347" s="40" t="str">
        <f>IFERROR(__xludf.DUMMYFUNCTION("IF(ISBLANK(B1347),"""",IF(Or(I1347=""Em Aberto"",ISBLANK(I1347),NOT(ISDATE(B1347))),"""",H1347))"),"")</f>
        <v/>
      </c>
      <c r="M1347" s="29" t="str">
        <f>IFERROR(__xludf.DUMMYFUNCTION("IF(ISBLANK(B1347),"""",IF(ISDATE(B1347),TEXT(B1347,""m""),""""))"),"")</f>
        <v/>
      </c>
      <c r="N1347" s="29" t="str">
        <f>IFERROR(__xludf.DUMMYFUNCTION("IF(M1347="""","""",QUERY({'Dashboard-Dados'!$Y$2:$AA$13},""Select Col2 Where Col1=""&amp;M1347))"),"")</f>
        <v/>
      </c>
      <c r="O1347" s="29" t="str">
        <f>IFERROR(__xludf.DUMMYFUNCTION("IF(ISBLANK(B1347),"""",IF(ISDATE(B1347),TEXT(B1347,""yyyy""),""""))"),"")</f>
        <v/>
      </c>
    </row>
    <row r="1348">
      <c r="B1348" s="62"/>
      <c r="C1348" s="56"/>
      <c r="D1348" s="56"/>
      <c r="E1348" s="56"/>
      <c r="F1348" s="63"/>
      <c r="G1348" s="64"/>
      <c r="H1348" s="65"/>
      <c r="I1348" s="63"/>
      <c r="K1348" s="53" t="str">
        <f>IFERROR(__xludf.DUMMYFUNCTION("IF(ISBLANK(B1348),"""",IF(ISDATE(B1348),""X"",""""))"),"")</f>
        <v/>
      </c>
      <c r="L1348" s="40" t="str">
        <f>IFERROR(__xludf.DUMMYFUNCTION("IF(ISBLANK(B1348),"""",IF(Or(I1348=""Em Aberto"",ISBLANK(I1348),NOT(ISDATE(B1348))),"""",H1348))"),"")</f>
        <v/>
      </c>
      <c r="M1348" s="29" t="str">
        <f>IFERROR(__xludf.DUMMYFUNCTION("IF(ISBLANK(B1348),"""",IF(ISDATE(B1348),TEXT(B1348,""m""),""""))"),"")</f>
        <v/>
      </c>
      <c r="N1348" s="29" t="str">
        <f>IFERROR(__xludf.DUMMYFUNCTION("IF(M1348="""","""",QUERY({'Dashboard-Dados'!$Y$2:$AA$13},""Select Col2 Where Col1=""&amp;M1348))"),"")</f>
        <v/>
      </c>
      <c r="O1348" s="29" t="str">
        <f>IFERROR(__xludf.DUMMYFUNCTION("IF(ISBLANK(B1348),"""",IF(ISDATE(B1348),TEXT(B1348,""yyyy""),""""))"),"")</f>
        <v/>
      </c>
    </row>
    <row r="1349">
      <c r="B1349" s="62"/>
      <c r="C1349" s="56"/>
      <c r="D1349" s="56"/>
      <c r="E1349" s="56"/>
      <c r="F1349" s="63"/>
      <c r="G1349" s="64"/>
      <c r="H1349" s="65"/>
      <c r="I1349" s="63"/>
      <c r="K1349" s="53" t="str">
        <f>IFERROR(__xludf.DUMMYFUNCTION("IF(ISBLANK(B1349),"""",IF(ISDATE(B1349),""X"",""""))"),"")</f>
        <v/>
      </c>
      <c r="L1349" s="40" t="str">
        <f>IFERROR(__xludf.DUMMYFUNCTION("IF(ISBLANK(B1349),"""",IF(Or(I1349=""Em Aberto"",ISBLANK(I1349),NOT(ISDATE(B1349))),"""",H1349))"),"")</f>
        <v/>
      </c>
      <c r="M1349" s="29" t="str">
        <f>IFERROR(__xludf.DUMMYFUNCTION("IF(ISBLANK(B1349),"""",IF(ISDATE(B1349),TEXT(B1349,""m""),""""))"),"")</f>
        <v/>
      </c>
      <c r="N1349" s="29" t="str">
        <f>IFERROR(__xludf.DUMMYFUNCTION("IF(M1349="""","""",QUERY({'Dashboard-Dados'!$Y$2:$AA$13},""Select Col2 Where Col1=""&amp;M1349))"),"")</f>
        <v/>
      </c>
      <c r="O1349" s="29" t="str">
        <f>IFERROR(__xludf.DUMMYFUNCTION("IF(ISBLANK(B1349),"""",IF(ISDATE(B1349),TEXT(B1349,""yyyy""),""""))"),"")</f>
        <v/>
      </c>
    </row>
    <row r="1350">
      <c r="B1350" s="62"/>
      <c r="C1350" s="56"/>
      <c r="D1350" s="56"/>
      <c r="E1350" s="56"/>
      <c r="F1350" s="63"/>
      <c r="G1350" s="64"/>
      <c r="H1350" s="65"/>
      <c r="I1350" s="63"/>
      <c r="K1350" s="53" t="str">
        <f>IFERROR(__xludf.DUMMYFUNCTION("IF(ISBLANK(B1350),"""",IF(ISDATE(B1350),""X"",""""))"),"")</f>
        <v/>
      </c>
      <c r="L1350" s="40" t="str">
        <f>IFERROR(__xludf.DUMMYFUNCTION("IF(ISBLANK(B1350),"""",IF(Or(I1350=""Em Aberto"",ISBLANK(I1350),NOT(ISDATE(B1350))),"""",H1350))"),"")</f>
        <v/>
      </c>
      <c r="M1350" s="29" t="str">
        <f>IFERROR(__xludf.DUMMYFUNCTION("IF(ISBLANK(B1350),"""",IF(ISDATE(B1350),TEXT(B1350,""m""),""""))"),"")</f>
        <v/>
      </c>
      <c r="N1350" s="29" t="str">
        <f>IFERROR(__xludf.DUMMYFUNCTION("IF(M1350="""","""",QUERY({'Dashboard-Dados'!$Y$2:$AA$13},""Select Col2 Where Col1=""&amp;M1350))"),"")</f>
        <v/>
      </c>
      <c r="O1350" s="29" t="str">
        <f>IFERROR(__xludf.DUMMYFUNCTION("IF(ISBLANK(B1350),"""",IF(ISDATE(B1350),TEXT(B1350,""yyyy""),""""))"),"")</f>
        <v/>
      </c>
    </row>
    <row r="1351">
      <c r="B1351" s="62"/>
      <c r="C1351" s="56"/>
      <c r="D1351" s="56"/>
      <c r="E1351" s="56"/>
      <c r="F1351" s="63"/>
      <c r="G1351" s="64"/>
      <c r="H1351" s="65"/>
      <c r="I1351" s="63"/>
      <c r="K1351" s="53" t="str">
        <f>IFERROR(__xludf.DUMMYFUNCTION("IF(ISBLANK(B1351),"""",IF(ISDATE(B1351),""X"",""""))"),"")</f>
        <v/>
      </c>
      <c r="L1351" s="40" t="str">
        <f>IFERROR(__xludf.DUMMYFUNCTION("IF(ISBLANK(B1351),"""",IF(Or(I1351=""Em Aberto"",ISBLANK(I1351),NOT(ISDATE(B1351))),"""",H1351))"),"")</f>
        <v/>
      </c>
      <c r="M1351" s="29" t="str">
        <f>IFERROR(__xludf.DUMMYFUNCTION("IF(ISBLANK(B1351),"""",IF(ISDATE(B1351),TEXT(B1351,""m""),""""))"),"")</f>
        <v/>
      </c>
      <c r="N1351" s="29" t="str">
        <f>IFERROR(__xludf.DUMMYFUNCTION("IF(M1351="""","""",QUERY({'Dashboard-Dados'!$Y$2:$AA$13},""Select Col2 Where Col1=""&amp;M1351))"),"")</f>
        <v/>
      </c>
      <c r="O1351" s="29" t="str">
        <f>IFERROR(__xludf.DUMMYFUNCTION("IF(ISBLANK(B1351),"""",IF(ISDATE(B1351),TEXT(B1351,""yyyy""),""""))"),"")</f>
        <v/>
      </c>
    </row>
    <row r="1352">
      <c r="B1352" s="62"/>
      <c r="C1352" s="56"/>
      <c r="D1352" s="56"/>
      <c r="E1352" s="56"/>
      <c r="F1352" s="63"/>
      <c r="G1352" s="64"/>
      <c r="H1352" s="65"/>
      <c r="I1352" s="63"/>
      <c r="K1352" s="53" t="str">
        <f>IFERROR(__xludf.DUMMYFUNCTION("IF(ISBLANK(B1352),"""",IF(ISDATE(B1352),""X"",""""))"),"")</f>
        <v/>
      </c>
      <c r="L1352" s="40" t="str">
        <f>IFERROR(__xludf.DUMMYFUNCTION("IF(ISBLANK(B1352),"""",IF(Or(I1352=""Em Aberto"",ISBLANK(I1352),NOT(ISDATE(B1352))),"""",H1352))"),"")</f>
        <v/>
      </c>
      <c r="M1352" s="29" t="str">
        <f>IFERROR(__xludf.DUMMYFUNCTION("IF(ISBLANK(B1352),"""",IF(ISDATE(B1352),TEXT(B1352,""m""),""""))"),"")</f>
        <v/>
      </c>
      <c r="N1352" s="29" t="str">
        <f>IFERROR(__xludf.DUMMYFUNCTION("IF(M1352="""","""",QUERY({'Dashboard-Dados'!$Y$2:$AA$13},""Select Col2 Where Col1=""&amp;M1352))"),"")</f>
        <v/>
      </c>
      <c r="O1352" s="29" t="str">
        <f>IFERROR(__xludf.DUMMYFUNCTION("IF(ISBLANK(B1352),"""",IF(ISDATE(B1352),TEXT(B1352,""yyyy""),""""))"),"")</f>
        <v/>
      </c>
    </row>
    <row r="1353">
      <c r="B1353" s="62"/>
      <c r="C1353" s="56"/>
      <c r="D1353" s="56"/>
      <c r="E1353" s="56"/>
      <c r="F1353" s="63"/>
      <c r="G1353" s="64"/>
      <c r="H1353" s="65"/>
      <c r="I1353" s="63"/>
      <c r="K1353" s="53" t="str">
        <f>IFERROR(__xludf.DUMMYFUNCTION("IF(ISBLANK(B1353),"""",IF(ISDATE(B1353),""X"",""""))"),"")</f>
        <v/>
      </c>
      <c r="L1353" s="40" t="str">
        <f>IFERROR(__xludf.DUMMYFUNCTION("IF(ISBLANK(B1353),"""",IF(Or(I1353=""Em Aberto"",ISBLANK(I1353),NOT(ISDATE(B1353))),"""",H1353))"),"")</f>
        <v/>
      </c>
      <c r="M1353" s="29" t="str">
        <f>IFERROR(__xludf.DUMMYFUNCTION("IF(ISBLANK(B1353),"""",IF(ISDATE(B1353),TEXT(B1353,""m""),""""))"),"")</f>
        <v/>
      </c>
      <c r="N1353" s="29" t="str">
        <f>IFERROR(__xludf.DUMMYFUNCTION("IF(M1353="""","""",QUERY({'Dashboard-Dados'!$Y$2:$AA$13},""Select Col2 Where Col1=""&amp;M1353))"),"")</f>
        <v/>
      </c>
      <c r="O1353" s="29" t="str">
        <f>IFERROR(__xludf.DUMMYFUNCTION("IF(ISBLANK(B1353),"""",IF(ISDATE(B1353),TEXT(B1353,""yyyy""),""""))"),"")</f>
        <v/>
      </c>
    </row>
    <row r="1354">
      <c r="B1354" s="62"/>
      <c r="C1354" s="56"/>
      <c r="D1354" s="56"/>
      <c r="E1354" s="56"/>
      <c r="F1354" s="63"/>
      <c r="G1354" s="64"/>
      <c r="H1354" s="65"/>
      <c r="I1354" s="63"/>
      <c r="K1354" s="53" t="str">
        <f>IFERROR(__xludf.DUMMYFUNCTION("IF(ISBLANK(B1354),"""",IF(ISDATE(B1354),""X"",""""))"),"")</f>
        <v/>
      </c>
      <c r="L1354" s="40" t="str">
        <f>IFERROR(__xludf.DUMMYFUNCTION("IF(ISBLANK(B1354),"""",IF(Or(I1354=""Em Aberto"",ISBLANK(I1354),NOT(ISDATE(B1354))),"""",H1354))"),"")</f>
        <v/>
      </c>
      <c r="M1354" s="29" t="str">
        <f>IFERROR(__xludf.DUMMYFUNCTION("IF(ISBLANK(B1354),"""",IF(ISDATE(B1354),TEXT(B1354,""m""),""""))"),"")</f>
        <v/>
      </c>
      <c r="N1354" s="29" t="str">
        <f>IFERROR(__xludf.DUMMYFUNCTION("IF(M1354="""","""",QUERY({'Dashboard-Dados'!$Y$2:$AA$13},""Select Col2 Where Col1=""&amp;M1354))"),"")</f>
        <v/>
      </c>
      <c r="O1354" s="29" t="str">
        <f>IFERROR(__xludf.DUMMYFUNCTION("IF(ISBLANK(B1354),"""",IF(ISDATE(B1354),TEXT(B1354,""yyyy""),""""))"),"")</f>
        <v/>
      </c>
    </row>
    <row r="1355">
      <c r="B1355" s="62"/>
      <c r="C1355" s="56"/>
      <c r="D1355" s="56"/>
      <c r="E1355" s="56"/>
      <c r="F1355" s="63"/>
      <c r="G1355" s="64"/>
      <c r="H1355" s="65"/>
      <c r="I1355" s="63"/>
      <c r="K1355" s="53" t="str">
        <f>IFERROR(__xludf.DUMMYFUNCTION("IF(ISBLANK(B1355),"""",IF(ISDATE(B1355),""X"",""""))"),"")</f>
        <v/>
      </c>
      <c r="L1355" s="40" t="str">
        <f>IFERROR(__xludf.DUMMYFUNCTION("IF(ISBLANK(B1355),"""",IF(Or(I1355=""Em Aberto"",ISBLANK(I1355),NOT(ISDATE(B1355))),"""",H1355))"),"")</f>
        <v/>
      </c>
      <c r="M1355" s="29" t="str">
        <f>IFERROR(__xludf.DUMMYFUNCTION("IF(ISBLANK(B1355),"""",IF(ISDATE(B1355),TEXT(B1355,""m""),""""))"),"")</f>
        <v/>
      </c>
      <c r="N1355" s="29" t="str">
        <f>IFERROR(__xludf.DUMMYFUNCTION("IF(M1355="""","""",QUERY({'Dashboard-Dados'!$Y$2:$AA$13},""Select Col2 Where Col1=""&amp;M1355))"),"")</f>
        <v/>
      </c>
      <c r="O1355" s="29" t="str">
        <f>IFERROR(__xludf.DUMMYFUNCTION("IF(ISBLANK(B1355),"""",IF(ISDATE(B1355),TEXT(B1355,""yyyy""),""""))"),"")</f>
        <v/>
      </c>
    </row>
    <row r="1356">
      <c r="B1356" s="62"/>
      <c r="C1356" s="56"/>
      <c r="D1356" s="56"/>
      <c r="E1356" s="56"/>
      <c r="F1356" s="63"/>
      <c r="G1356" s="64"/>
      <c r="H1356" s="65"/>
      <c r="I1356" s="63"/>
      <c r="K1356" s="53" t="str">
        <f>IFERROR(__xludf.DUMMYFUNCTION("IF(ISBLANK(B1356),"""",IF(ISDATE(B1356),""X"",""""))"),"")</f>
        <v/>
      </c>
      <c r="L1356" s="40" t="str">
        <f>IFERROR(__xludf.DUMMYFUNCTION("IF(ISBLANK(B1356),"""",IF(Or(I1356=""Em Aberto"",ISBLANK(I1356),NOT(ISDATE(B1356))),"""",H1356))"),"")</f>
        <v/>
      </c>
      <c r="M1356" s="29" t="str">
        <f>IFERROR(__xludf.DUMMYFUNCTION("IF(ISBLANK(B1356),"""",IF(ISDATE(B1356),TEXT(B1356,""m""),""""))"),"")</f>
        <v/>
      </c>
      <c r="N1356" s="29" t="str">
        <f>IFERROR(__xludf.DUMMYFUNCTION("IF(M1356="""","""",QUERY({'Dashboard-Dados'!$Y$2:$AA$13},""Select Col2 Where Col1=""&amp;M1356))"),"")</f>
        <v/>
      </c>
      <c r="O1356" s="29" t="str">
        <f>IFERROR(__xludf.DUMMYFUNCTION("IF(ISBLANK(B1356),"""",IF(ISDATE(B1356),TEXT(B1356,""yyyy""),""""))"),"")</f>
        <v/>
      </c>
    </row>
    <row r="1357">
      <c r="B1357" s="62"/>
      <c r="C1357" s="56"/>
      <c r="D1357" s="56"/>
      <c r="E1357" s="56"/>
      <c r="F1357" s="63"/>
      <c r="G1357" s="64"/>
      <c r="H1357" s="65"/>
      <c r="I1357" s="63"/>
      <c r="K1357" s="53" t="str">
        <f>IFERROR(__xludf.DUMMYFUNCTION("IF(ISBLANK(B1357),"""",IF(ISDATE(B1357),""X"",""""))"),"")</f>
        <v/>
      </c>
      <c r="L1357" s="40" t="str">
        <f>IFERROR(__xludf.DUMMYFUNCTION("IF(ISBLANK(B1357),"""",IF(Or(I1357=""Em Aberto"",ISBLANK(I1357),NOT(ISDATE(B1357))),"""",H1357))"),"")</f>
        <v/>
      </c>
      <c r="M1357" s="29" t="str">
        <f>IFERROR(__xludf.DUMMYFUNCTION("IF(ISBLANK(B1357),"""",IF(ISDATE(B1357),TEXT(B1357,""m""),""""))"),"")</f>
        <v/>
      </c>
      <c r="N1357" s="29" t="str">
        <f>IFERROR(__xludf.DUMMYFUNCTION("IF(M1357="""","""",QUERY({'Dashboard-Dados'!$Y$2:$AA$13},""Select Col2 Where Col1=""&amp;M1357))"),"")</f>
        <v/>
      </c>
      <c r="O1357" s="29" t="str">
        <f>IFERROR(__xludf.DUMMYFUNCTION("IF(ISBLANK(B1357),"""",IF(ISDATE(B1357),TEXT(B1357,""yyyy""),""""))"),"")</f>
        <v/>
      </c>
    </row>
    <row r="1358">
      <c r="B1358" s="62"/>
      <c r="C1358" s="56"/>
      <c r="D1358" s="56"/>
      <c r="E1358" s="56"/>
      <c r="F1358" s="63"/>
      <c r="G1358" s="64"/>
      <c r="H1358" s="65"/>
      <c r="I1358" s="63"/>
      <c r="K1358" s="53" t="str">
        <f>IFERROR(__xludf.DUMMYFUNCTION("IF(ISBLANK(B1358),"""",IF(ISDATE(B1358),""X"",""""))"),"")</f>
        <v/>
      </c>
      <c r="L1358" s="40" t="str">
        <f>IFERROR(__xludf.DUMMYFUNCTION("IF(ISBLANK(B1358),"""",IF(Or(I1358=""Em Aberto"",ISBLANK(I1358),NOT(ISDATE(B1358))),"""",H1358))"),"")</f>
        <v/>
      </c>
      <c r="M1358" s="29" t="str">
        <f>IFERROR(__xludf.DUMMYFUNCTION("IF(ISBLANK(B1358),"""",IF(ISDATE(B1358),TEXT(B1358,""m""),""""))"),"")</f>
        <v/>
      </c>
      <c r="N1358" s="29" t="str">
        <f>IFERROR(__xludf.DUMMYFUNCTION("IF(M1358="""","""",QUERY({'Dashboard-Dados'!$Y$2:$AA$13},""Select Col2 Where Col1=""&amp;M1358))"),"")</f>
        <v/>
      </c>
      <c r="O1358" s="29" t="str">
        <f>IFERROR(__xludf.DUMMYFUNCTION("IF(ISBLANK(B1358),"""",IF(ISDATE(B1358),TEXT(B1358,""yyyy""),""""))"),"")</f>
        <v/>
      </c>
    </row>
    <row r="1359">
      <c r="B1359" s="62"/>
      <c r="C1359" s="56"/>
      <c r="D1359" s="56"/>
      <c r="E1359" s="56"/>
      <c r="F1359" s="63"/>
      <c r="G1359" s="64"/>
      <c r="H1359" s="65"/>
      <c r="I1359" s="63"/>
      <c r="K1359" s="53" t="str">
        <f>IFERROR(__xludf.DUMMYFUNCTION("IF(ISBLANK(B1359),"""",IF(ISDATE(B1359),""X"",""""))"),"")</f>
        <v/>
      </c>
      <c r="L1359" s="40" t="str">
        <f>IFERROR(__xludf.DUMMYFUNCTION("IF(ISBLANK(B1359),"""",IF(Or(I1359=""Em Aberto"",ISBLANK(I1359),NOT(ISDATE(B1359))),"""",H1359))"),"")</f>
        <v/>
      </c>
      <c r="M1359" s="29" t="str">
        <f>IFERROR(__xludf.DUMMYFUNCTION("IF(ISBLANK(B1359),"""",IF(ISDATE(B1359),TEXT(B1359,""m""),""""))"),"")</f>
        <v/>
      </c>
      <c r="N1359" s="29" t="str">
        <f>IFERROR(__xludf.DUMMYFUNCTION("IF(M1359="""","""",QUERY({'Dashboard-Dados'!$Y$2:$AA$13},""Select Col2 Where Col1=""&amp;M1359))"),"")</f>
        <v/>
      </c>
      <c r="O1359" s="29" t="str">
        <f>IFERROR(__xludf.DUMMYFUNCTION("IF(ISBLANK(B1359),"""",IF(ISDATE(B1359),TEXT(B1359,""yyyy""),""""))"),"")</f>
        <v/>
      </c>
    </row>
    <row r="1360">
      <c r="B1360" s="62"/>
      <c r="C1360" s="56"/>
      <c r="D1360" s="56"/>
      <c r="E1360" s="56"/>
      <c r="F1360" s="63"/>
      <c r="G1360" s="64"/>
      <c r="H1360" s="65"/>
      <c r="I1360" s="63"/>
      <c r="K1360" s="53" t="str">
        <f>IFERROR(__xludf.DUMMYFUNCTION("IF(ISBLANK(B1360),"""",IF(ISDATE(B1360),""X"",""""))"),"")</f>
        <v/>
      </c>
      <c r="L1360" s="40" t="str">
        <f>IFERROR(__xludf.DUMMYFUNCTION("IF(ISBLANK(B1360),"""",IF(Or(I1360=""Em Aberto"",ISBLANK(I1360),NOT(ISDATE(B1360))),"""",H1360))"),"")</f>
        <v/>
      </c>
      <c r="M1360" s="29" t="str">
        <f>IFERROR(__xludf.DUMMYFUNCTION("IF(ISBLANK(B1360),"""",IF(ISDATE(B1360),TEXT(B1360,""m""),""""))"),"")</f>
        <v/>
      </c>
      <c r="N1360" s="29" t="str">
        <f>IFERROR(__xludf.DUMMYFUNCTION("IF(M1360="""","""",QUERY({'Dashboard-Dados'!$Y$2:$AA$13},""Select Col2 Where Col1=""&amp;M1360))"),"")</f>
        <v/>
      </c>
      <c r="O1360" s="29" t="str">
        <f>IFERROR(__xludf.DUMMYFUNCTION("IF(ISBLANK(B1360),"""",IF(ISDATE(B1360),TEXT(B1360,""yyyy""),""""))"),"")</f>
        <v/>
      </c>
    </row>
    <row r="1361">
      <c r="B1361" s="62"/>
      <c r="C1361" s="56"/>
      <c r="D1361" s="56"/>
      <c r="E1361" s="56"/>
      <c r="F1361" s="63"/>
      <c r="G1361" s="64"/>
      <c r="H1361" s="65"/>
      <c r="I1361" s="63"/>
      <c r="K1361" s="53" t="str">
        <f>IFERROR(__xludf.DUMMYFUNCTION("IF(ISBLANK(B1361),"""",IF(ISDATE(B1361),""X"",""""))"),"")</f>
        <v/>
      </c>
      <c r="L1361" s="40" t="str">
        <f>IFERROR(__xludf.DUMMYFUNCTION("IF(ISBLANK(B1361),"""",IF(Or(I1361=""Em Aberto"",ISBLANK(I1361),NOT(ISDATE(B1361))),"""",H1361))"),"")</f>
        <v/>
      </c>
      <c r="M1361" s="29" t="str">
        <f>IFERROR(__xludf.DUMMYFUNCTION("IF(ISBLANK(B1361),"""",IF(ISDATE(B1361),TEXT(B1361,""m""),""""))"),"")</f>
        <v/>
      </c>
      <c r="N1361" s="29" t="str">
        <f>IFERROR(__xludf.DUMMYFUNCTION("IF(M1361="""","""",QUERY({'Dashboard-Dados'!$Y$2:$AA$13},""Select Col2 Where Col1=""&amp;M1361))"),"")</f>
        <v/>
      </c>
      <c r="O1361" s="29" t="str">
        <f>IFERROR(__xludf.DUMMYFUNCTION("IF(ISBLANK(B1361),"""",IF(ISDATE(B1361),TEXT(B1361,""yyyy""),""""))"),"")</f>
        <v/>
      </c>
    </row>
    <row r="1362">
      <c r="B1362" s="62"/>
      <c r="C1362" s="56"/>
      <c r="D1362" s="56"/>
      <c r="E1362" s="56"/>
      <c r="F1362" s="63"/>
      <c r="G1362" s="64"/>
      <c r="H1362" s="65"/>
      <c r="I1362" s="63"/>
      <c r="K1362" s="53" t="str">
        <f>IFERROR(__xludf.DUMMYFUNCTION("IF(ISBLANK(B1362),"""",IF(ISDATE(B1362),""X"",""""))"),"")</f>
        <v/>
      </c>
      <c r="L1362" s="40" t="str">
        <f>IFERROR(__xludf.DUMMYFUNCTION("IF(ISBLANK(B1362),"""",IF(Or(I1362=""Em Aberto"",ISBLANK(I1362),NOT(ISDATE(B1362))),"""",H1362))"),"")</f>
        <v/>
      </c>
      <c r="M1362" s="29" t="str">
        <f>IFERROR(__xludf.DUMMYFUNCTION("IF(ISBLANK(B1362),"""",IF(ISDATE(B1362),TEXT(B1362,""m""),""""))"),"")</f>
        <v/>
      </c>
      <c r="N1362" s="29" t="str">
        <f>IFERROR(__xludf.DUMMYFUNCTION("IF(M1362="""","""",QUERY({'Dashboard-Dados'!$Y$2:$AA$13},""Select Col2 Where Col1=""&amp;M1362))"),"")</f>
        <v/>
      </c>
      <c r="O1362" s="29" t="str">
        <f>IFERROR(__xludf.DUMMYFUNCTION("IF(ISBLANK(B1362),"""",IF(ISDATE(B1362),TEXT(B1362,""yyyy""),""""))"),"")</f>
        <v/>
      </c>
    </row>
    <row r="1363">
      <c r="B1363" s="62"/>
      <c r="C1363" s="56"/>
      <c r="D1363" s="56"/>
      <c r="E1363" s="56"/>
      <c r="F1363" s="63"/>
      <c r="G1363" s="64"/>
      <c r="H1363" s="65"/>
      <c r="I1363" s="63"/>
      <c r="K1363" s="53" t="str">
        <f>IFERROR(__xludf.DUMMYFUNCTION("IF(ISBLANK(B1363),"""",IF(ISDATE(B1363),""X"",""""))"),"")</f>
        <v/>
      </c>
      <c r="L1363" s="40" t="str">
        <f>IFERROR(__xludf.DUMMYFUNCTION("IF(ISBLANK(B1363),"""",IF(Or(I1363=""Em Aberto"",ISBLANK(I1363),NOT(ISDATE(B1363))),"""",H1363))"),"")</f>
        <v/>
      </c>
      <c r="M1363" s="29" t="str">
        <f>IFERROR(__xludf.DUMMYFUNCTION("IF(ISBLANK(B1363),"""",IF(ISDATE(B1363),TEXT(B1363,""m""),""""))"),"")</f>
        <v/>
      </c>
      <c r="N1363" s="29" t="str">
        <f>IFERROR(__xludf.DUMMYFUNCTION("IF(M1363="""","""",QUERY({'Dashboard-Dados'!$Y$2:$AA$13},""Select Col2 Where Col1=""&amp;M1363))"),"")</f>
        <v/>
      </c>
      <c r="O1363" s="29" t="str">
        <f>IFERROR(__xludf.DUMMYFUNCTION("IF(ISBLANK(B1363),"""",IF(ISDATE(B1363),TEXT(B1363,""yyyy""),""""))"),"")</f>
        <v/>
      </c>
    </row>
    <row r="1364">
      <c r="B1364" s="62"/>
      <c r="C1364" s="56"/>
      <c r="D1364" s="56"/>
      <c r="E1364" s="56"/>
      <c r="F1364" s="63"/>
      <c r="G1364" s="64"/>
      <c r="H1364" s="65"/>
      <c r="I1364" s="63"/>
      <c r="K1364" s="53" t="str">
        <f>IFERROR(__xludf.DUMMYFUNCTION("IF(ISBLANK(B1364),"""",IF(ISDATE(B1364),""X"",""""))"),"")</f>
        <v/>
      </c>
      <c r="L1364" s="40" t="str">
        <f>IFERROR(__xludf.DUMMYFUNCTION("IF(ISBLANK(B1364),"""",IF(Or(I1364=""Em Aberto"",ISBLANK(I1364),NOT(ISDATE(B1364))),"""",H1364))"),"")</f>
        <v/>
      </c>
      <c r="M1364" s="29" t="str">
        <f>IFERROR(__xludf.DUMMYFUNCTION("IF(ISBLANK(B1364),"""",IF(ISDATE(B1364),TEXT(B1364,""m""),""""))"),"")</f>
        <v/>
      </c>
      <c r="N1364" s="29" t="str">
        <f>IFERROR(__xludf.DUMMYFUNCTION("IF(M1364="""","""",QUERY({'Dashboard-Dados'!$Y$2:$AA$13},""Select Col2 Where Col1=""&amp;M1364))"),"")</f>
        <v/>
      </c>
      <c r="O1364" s="29" t="str">
        <f>IFERROR(__xludf.DUMMYFUNCTION("IF(ISBLANK(B1364),"""",IF(ISDATE(B1364),TEXT(B1364,""yyyy""),""""))"),"")</f>
        <v/>
      </c>
    </row>
    <row r="1365">
      <c r="B1365" s="62"/>
      <c r="C1365" s="56"/>
      <c r="D1365" s="56"/>
      <c r="E1365" s="56"/>
      <c r="F1365" s="63"/>
      <c r="G1365" s="64"/>
      <c r="H1365" s="65"/>
      <c r="I1365" s="63"/>
      <c r="K1365" s="53" t="str">
        <f>IFERROR(__xludf.DUMMYFUNCTION("IF(ISBLANK(B1365),"""",IF(ISDATE(B1365),""X"",""""))"),"")</f>
        <v/>
      </c>
      <c r="L1365" s="40" t="str">
        <f>IFERROR(__xludf.DUMMYFUNCTION("IF(ISBLANK(B1365),"""",IF(Or(I1365=""Em Aberto"",ISBLANK(I1365),NOT(ISDATE(B1365))),"""",H1365))"),"")</f>
        <v/>
      </c>
      <c r="M1365" s="29" t="str">
        <f>IFERROR(__xludf.DUMMYFUNCTION("IF(ISBLANK(B1365),"""",IF(ISDATE(B1365),TEXT(B1365,""m""),""""))"),"")</f>
        <v/>
      </c>
      <c r="N1365" s="29" t="str">
        <f>IFERROR(__xludf.DUMMYFUNCTION("IF(M1365="""","""",QUERY({'Dashboard-Dados'!$Y$2:$AA$13},""Select Col2 Where Col1=""&amp;M1365))"),"")</f>
        <v/>
      </c>
      <c r="O1365" s="29" t="str">
        <f>IFERROR(__xludf.DUMMYFUNCTION("IF(ISBLANK(B1365),"""",IF(ISDATE(B1365),TEXT(B1365,""yyyy""),""""))"),"")</f>
        <v/>
      </c>
    </row>
    <row r="1366">
      <c r="B1366" s="62"/>
      <c r="C1366" s="56"/>
      <c r="D1366" s="56"/>
      <c r="E1366" s="56"/>
      <c r="F1366" s="63"/>
      <c r="G1366" s="64"/>
      <c r="H1366" s="65"/>
      <c r="I1366" s="63"/>
      <c r="K1366" s="53" t="str">
        <f>IFERROR(__xludf.DUMMYFUNCTION("IF(ISBLANK(B1366),"""",IF(ISDATE(B1366),""X"",""""))"),"")</f>
        <v/>
      </c>
      <c r="L1366" s="40" t="str">
        <f>IFERROR(__xludf.DUMMYFUNCTION("IF(ISBLANK(B1366),"""",IF(Or(I1366=""Em Aberto"",ISBLANK(I1366),NOT(ISDATE(B1366))),"""",H1366))"),"")</f>
        <v/>
      </c>
      <c r="M1366" s="29" t="str">
        <f>IFERROR(__xludf.DUMMYFUNCTION("IF(ISBLANK(B1366),"""",IF(ISDATE(B1366),TEXT(B1366,""m""),""""))"),"")</f>
        <v/>
      </c>
      <c r="N1366" s="29" t="str">
        <f>IFERROR(__xludf.DUMMYFUNCTION("IF(M1366="""","""",QUERY({'Dashboard-Dados'!$Y$2:$AA$13},""Select Col2 Where Col1=""&amp;M1366))"),"")</f>
        <v/>
      </c>
      <c r="O1366" s="29" t="str">
        <f>IFERROR(__xludf.DUMMYFUNCTION("IF(ISBLANK(B1366),"""",IF(ISDATE(B1366),TEXT(B1366,""yyyy""),""""))"),"")</f>
        <v/>
      </c>
    </row>
    <row r="1367">
      <c r="B1367" s="62"/>
      <c r="C1367" s="56"/>
      <c r="D1367" s="56"/>
      <c r="E1367" s="56"/>
      <c r="F1367" s="63"/>
      <c r="G1367" s="64"/>
      <c r="H1367" s="65"/>
      <c r="I1367" s="63"/>
      <c r="K1367" s="53" t="str">
        <f>IFERROR(__xludf.DUMMYFUNCTION("IF(ISBLANK(B1367),"""",IF(ISDATE(B1367),""X"",""""))"),"")</f>
        <v/>
      </c>
      <c r="L1367" s="40" t="str">
        <f>IFERROR(__xludf.DUMMYFUNCTION("IF(ISBLANK(B1367),"""",IF(Or(I1367=""Em Aberto"",ISBLANK(I1367),NOT(ISDATE(B1367))),"""",H1367))"),"")</f>
        <v/>
      </c>
      <c r="M1367" s="29" t="str">
        <f>IFERROR(__xludf.DUMMYFUNCTION("IF(ISBLANK(B1367),"""",IF(ISDATE(B1367),TEXT(B1367,""m""),""""))"),"")</f>
        <v/>
      </c>
      <c r="N1367" s="29" t="str">
        <f>IFERROR(__xludf.DUMMYFUNCTION("IF(M1367="""","""",QUERY({'Dashboard-Dados'!$Y$2:$AA$13},""Select Col2 Where Col1=""&amp;M1367))"),"")</f>
        <v/>
      </c>
      <c r="O1367" s="29" t="str">
        <f>IFERROR(__xludf.DUMMYFUNCTION("IF(ISBLANK(B1367),"""",IF(ISDATE(B1367),TEXT(B1367,""yyyy""),""""))"),"")</f>
        <v/>
      </c>
    </row>
    <row r="1368">
      <c r="B1368" s="62"/>
      <c r="C1368" s="56"/>
      <c r="D1368" s="56"/>
      <c r="E1368" s="56"/>
      <c r="F1368" s="63"/>
      <c r="G1368" s="64"/>
      <c r="H1368" s="65"/>
      <c r="I1368" s="63"/>
      <c r="K1368" s="53" t="str">
        <f>IFERROR(__xludf.DUMMYFUNCTION("IF(ISBLANK(B1368),"""",IF(ISDATE(B1368),""X"",""""))"),"")</f>
        <v/>
      </c>
      <c r="L1368" s="40" t="str">
        <f>IFERROR(__xludf.DUMMYFUNCTION("IF(ISBLANK(B1368),"""",IF(Or(I1368=""Em Aberto"",ISBLANK(I1368),NOT(ISDATE(B1368))),"""",H1368))"),"")</f>
        <v/>
      </c>
      <c r="M1368" s="29" t="str">
        <f>IFERROR(__xludf.DUMMYFUNCTION("IF(ISBLANK(B1368),"""",IF(ISDATE(B1368),TEXT(B1368,""m""),""""))"),"")</f>
        <v/>
      </c>
      <c r="N1368" s="29" t="str">
        <f>IFERROR(__xludf.DUMMYFUNCTION("IF(M1368="""","""",QUERY({'Dashboard-Dados'!$Y$2:$AA$13},""Select Col2 Where Col1=""&amp;M1368))"),"")</f>
        <v/>
      </c>
      <c r="O1368" s="29" t="str">
        <f>IFERROR(__xludf.DUMMYFUNCTION("IF(ISBLANK(B1368),"""",IF(ISDATE(B1368),TEXT(B1368,""yyyy""),""""))"),"")</f>
        <v/>
      </c>
    </row>
    <row r="1369">
      <c r="B1369" s="62"/>
      <c r="C1369" s="56"/>
      <c r="D1369" s="56"/>
      <c r="E1369" s="56"/>
      <c r="F1369" s="63"/>
      <c r="G1369" s="64"/>
      <c r="H1369" s="65"/>
      <c r="I1369" s="63"/>
      <c r="K1369" s="53" t="str">
        <f>IFERROR(__xludf.DUMMYFUNCTION("IF(ISBLANK(B1369),"""",IF(ISDATE(B1369),""X"",""""))"),"")</f>
        <v/>
      </c>
      <c r="L1369" s="40" t="str">
        <f>IFERROR(__xludf.DUMMYFUNCTION("IF(ISBLANK(B1369),"""",IF(Or(I1369=""Em Aberto"",ISBLANK(I1369),NOT(ISDATE(B1369))),"""",H1369))"),"")</f>
        <v/>
      </c>
      <c r="M1369" s="29" t="str">
        <f>IFERROR(__xludf.DUMMYFUNCTION("IF(ISBLANK(B1369),"""",IF(ISDATE(B1369),TEXT(B1369,""m""),""""))"),"")</f>
        <v/>
      </c>
      <c r="N1369" s="29" t="str">
        <f>IFERROR(__xludf.DUMMYFUNCTION("IF(M1369="""","""",QUERY({'Dashboard-Dados'!$Y$2:$AA$13},""Select Col2 Where Col1=""&amp;M1369))"),"")</f>
        <v/>
      </c>
      <c r="O1369" s="29" t="str">
        <f>IFERROR(__xludf.DUMMYFUNCTION("IF(ISBLANK(B1369),"""",IF(ISDATE(B1369),TEXT(B1369,""yyyy""),""""))"),"")</f>
        <v/>
      </c>
    </row>
    <row r="1370">
      <c r="B1370" s="62"/>
      <c r="C1370" s="56"/>
      <c r="D1370" s="56"/>
      <c r="E1370" s="56"/>
      <c r="F1370" s="63"/>
      <c r="G1370" s="64"/>
      <c r="H1370" s="65"/>
      <c r="I1370" s="63"/>
      <c r="K1370" s="53" t="str">
        <f>IFERROR(__xludf.DUMMYFUNCTION("IF(ISBLANK(B1370),"""",IF(ISDATE(B1370),""X"",""""))"),"")</f>
        <v/>
      </c>
      <c r="L1370" s="40" t="str">
        <f>IFERROR(__xludf.DUMMYFUNCTION("IF(ISBLANK(B1370),"""",IF(Or(I1370=""Em Aberto"",ISBLANK(I1370),NOT(ISDATE(B1370))),"""",H1370))"),"")</f>
        <v/>
      </c>
      <c r="M1370" s="29" t="str">
        <f>IFERROR(__xludf.DUMMYFUNCTION("IF(ISBLANK(B1370),"""",IF(ISDATE(B1370),TEXT(B1370,""m""),""""))"),"")</f>
        <v/>
      </c>
      <c r="N1370" s="29" t="str">
        <f>IFERROR(__xludf.DUMMYFUNCTION("IF(M1370="""","""",QUERY({'Dashboard-Dados'!$Y$2:$AA$13},""Select Col2 Where Col1=""&amp;M1370))"),"")</f>
        <v/>
      </c>
      <c r="O1370" s="29" t="str">
        <f>IFERROR(__xludf.DUMMYFUNCTION("IF(ISBLANK(B1370),"""",IF(ISDATE(B1370),TEXT(B1370,""yyyy""),""""))"),"")</f>
        <v/>
      </c>
    </row>
    <row r="1371">
      <c r="B1371" s="62"/>
      <c r="C1371" s="56"/>
      <c r="D1371" s="56"/>
      <c r="E1371" s="56"/>
      <c r="F1371" s="63"/>
      <c r="G1371" s="64"/>
      <c r="H1371" s="65"/>
      <c r="I1371" s="63"/>
      <c r="K1371" s="53" t="str">
        <f>IFERROR(__xludf.DUMMYFUNCTION("IF(ISBLANK(B1371),"""",IF(ISDATE(B1371),""X"",""""))"),"")</f>
        <v/>
      </c>
      <c r="L1371" s="40" t="str">
        <f>IFERROR(__xludf.DUMMYFUNCTION("IF(ISBLANK(B1371),"""",IF(Or(I1371=""Em Aberto"",ISBLANK(I1371),NOT(ISDATE(B1371))),"""",H1371))"),"")</f>
        <v/>
      </c>
      <c r="M1371" s="29" t="str">
        <f>IFERROR(__xludf.DUMMYFUNCTION("IF(ISBLANK(B1371),"""",IF(ISDATE(B1371),TEXT(B1371,""m""),""""))"),"")</f>
        <v/>
      </c>
      <c r="N1371" s="29" t="str">
        <f>IFERROR(__xludf.DUMMYFUNCTION("IF(M1371="""","""",QUERY({'Dashboard-Dados'!$Y$2:$AA$13},""Select Col2 Where Col1=""&amp;M1371))"),"")</f>
        <v/>
      </c>
      <c r="O1371" s="29" t="str">
        <f>IFERROR(__xludf.DUMMYFUNCTION("IF(ISBLANK(B1371),"""",IF(ISDATE(B1371),TEXT(B1371,""yyyy""),""""))"),"")</f>
        <v/>
      </c>
    </row>
    <row r="1372">
      <c r="B1372" s="62"/>
      <c r="C1372" s="56"/>
      <c r="D1372" s="56"/>
      <c r="E1372" s="56"/>
      <c r="F1372" s="63"/>
      <c r="G1372" s="64"/>
      <c r="H1372" s="65"/>
      <c r="I1372" s="63"/>
      <c r="K1372" s="53" t="str">
        <f>IFERROR(__xludf.DUMMYFUNCTION("IF(ISBLANK(B1372),"""",IF(ISDATE(B1372),""X"",""""))"),"")</f>
        <v/>
      </c>
      <c r="L1372" s="40" t="str">
        <f>IFERROR(__xludf.DUMMYFUNCTION("IF(ISBLANK(B1372),"""",IF(Or(I1372=""Em Aberto"",ISBLANK(I1372),NOT(ISDATE(B1372))),"""",H1372))"),"")</f>
        <v/>
      </c>
      <c r="M1372" s="29" t="str">
        <f>IFERROR(__xludf.DUMMYFUNCTION("IF(ISBLANK(B1372),"""",IF(ISDATE(B1372),TEXT(B1372,""m""),""""))"),"")</f>
        <v/>
      </c>
      <c r="N1372" s="29" t="str">
        <f>IFERROR(__xludf.DUMMYFUNCTION("IF(M1372="""","""",QUERY({'Dashboard-Dados'!$Y$2:$AA$13},""Select Col2 Where Col1=""&amp;M1372))"),"")</f>
        <v/>
      </c>
      <c r="O1372" s="29" t="str">
        <f>IFERROR(__xludf.DUMMYFUNCTION("IF(ISBLANK(B1372),"""",IF(ISDATE(B1372),TEXT(B1372,""yyyy""),""""))"),"")</f>
        <v/>
      </c>
    </row>
    <row r="1373">
      <c r="B1373" s="62"/>
      <c r="C1373" s="56"/>
      <c r="D1373" s="56"/>
      <c r="E1373" s="56"/>
      <c r="F1373" s="63"/>
      <c r="G1373" s="64"/>
      <c r="H1373" s="65"/>
      <c r="I1373" s="63"/>
      <c r="K1373" s="53" t="str">
        <f>IFERROR(__xludf.DUMMYFUNCTION("IF(ISBLANK(B1373),"""",IF(ISDATE(B1373),""X"",""""))"),"")</f>
        <v/>
      </c>
      <c r="L1373" s="40" t="str">
        <f>IFERROR(__xludf.DUMMYFUNCTION("IF(ISBLANK(B1373),"""",IF(Or(I1373=""Em Aberto"",ISBLANK(I1373),NOT(ISDATE(B1373))),"""",H1373))"),"")</f>
        <v/>
      </c>
      <c r="M1373" s="29" t="str">
        <f>IFERROR(__xludf.DUMMYFUNCTION("IF(ISBLANK(B1373),"""",IF(ISDATE(B1373),TEXT(B1373,""m""),""""))"),"")</f>
        <v/>
      </c>
      <c r="N1373" s="29" t="str">
        <f>IFERROR(__xludf.DUMMYFUNCTION("IF(M1373="""","""",QUERY({'Dashboard-Dados'!$Y$2:$AA$13},""Select Col2 Where Col1=""&amp;M1373))"),"")</f>
        <v/>
      </c>
      <c r="O1373" s="29" t="str">
        <f>IFERROR(__xludf.DUMMYFUNCTION("IF(ISBLANK(B1373),"""",IF(ISDATE(B1373),TEXT(B1373,""yyyy""),""""))"),"")</f>
        <v/>
      </c>
    </row>
    <row r="1374">
      <c r="B1374" s="62"/>
      <c r="C1374" s="56"/>
      <c r="D1374" s="56"/>
      <c r="E1374" s="56"/>
      <c r="F1374" s="63"/>
      <c r="G1374" s="64"/>
      <c r="H1374" s="65"/>
      <c r="I1374" s="63"/>
      <c r="K1374" s="53" t="str">
        <f>IFERROR(__xludf.DUMMYFUNCTION("IF(ISBLANK(B1374),"""",IF(ISDATE(B1374),""X"",""""))"),"")</f>
        <v/>
      </c>
      <c r="L1374" s="40" t="str">
        <f>IFERROR(__xludf.DUMMYFUNCTION("IF(ISBLANK(B1374),"""",IF(Or(I1374=""Em Aberto"",ISBLANK(I1374),NOT(ISDATE(B1374))),"""",H1374))"),"")</f>
        <v/>
      </c>
      <c r="M1374" s="29" t="str">
        <f>IFERROR(__xludf.DUMMYFUNCTION("IF(ISBLANK(B1374),"""",IF(ISDATE(B1374),TEXT(B1374,""m""),""""))"),"")</f>
        <v/>
      </c>
      <c r="N1374" s="29" t="str">
        <f>IFERROR(__xludf.DUMMYFUNCTION("IF(M1374="""","""",QUERY({'Dashboard-Dados'!$Y$2:$AA$13},""Select Col2 Where Col1=""&amp;M1374))"),"")</f>
        <v/>
      </c>
      <c r="O1374" s="29" t="str">
        <f>IFERROR(__xludf.DUMMYFUNCTION("IF(ISBLANK(B1374),"""",IF(ISDATE(B1374),TEXT(B1374,""yyyy""),""""))"),"")</f>
        <v/>
      </c>
    </row>
    <row r="1375">
      <c r="B1375" s="62"/>
      <c r="C1375" s="56"/>
      <c r="D1375" s="56"/>
      <c r="E1375" s="56"/>
      <c r="F1375" s="63"/>
      <c r="G1375" s="64"/>
      <c r="H1375" s="65"/>
      <c r="I1375" s="63"/>
      <c r="K1375" s="53" t="str">
        <f>IFERROR(__xludf.DUMMYFUNCTION("IF(ISBLANK(B1375),"""",IF(ISDATE(B1375),""X"",""""))"),"")</f>
        <v/>
      </c>
      <c r="L1375" s="40" t="str">
        <f>IFERROR(__xludf.DUMMYFUNCTION("IF(ISBLANK(B1375),"""",IF(Or(I1375=""Em Aberto"",ISBLANK(I1375),NOT(ISDATE(B1375))),"""",H1375))"),"")</f>
        <v/>
      </c>
      <c r="M1375" s="29" t="str">
        <f>IFERROR(__xludf.DUMMYFUNCTION("IF(ISBLANK(B1375),"""",IF(ISDATE(B1375),TEXT(B1375,""m""),""""))"),"")</f>
        <v/>
      </c>
      <c r="N1375" s="29" t="str">
        <f>IFERROR(__xludf.DUMMYFUNCTION("IF(M1375="""","""",QUERY({'Dashboard-Dados'!$Y$2:$AA$13},""Select Col2 Where Col1=""&amp;M1375))"),"")</f>
        <v/>
      </c>
      <c r="O1375" s="29" t="str">
        <f>IFERROR(__xludf.DUMMYFUNCTION("IF(ISBLANK(B1375),"""",IF(ISDATE(B1375),TEXT(B1375,""yyyy""),""""))"),"")</f>
        <v/>
      </c>
    </row>
    <row r="1376">
      <c r="B1376" s="62"/>
      <c r="C1376" s="56"/>
      <c r="D1376" s="56"/>
      <c r="E1376" s="56"/>
      <c r="F1376" s="63"/>
      <c r="G1376" s="64"/>
      <c r="H1376" s="65"/>
      <c r="I1376" s="63"/>
      <c r="K1376" s="53" t="str">
        <f>IFERROR(__xludf.DUMMYFUNCTION("IF(ISBLANK(B1376),"""",IF(ISDATE(B1376),""X"",""""))"),"")</f>
        <v/>
      </c>
      <c r="L1376" s="40" t="str">
        <f>IFERROR(__xludf.DUMMYFUNCTION("IF(ISBLANK(B1376),"""",IF(Or(I1376=""Em Aberto"",ISBLANK(I1376),NOT(ISDATE(B1376))),"""",H1376))"),"")</f>
        <v/>
      </c>
      <c r="M1376" s="29" t="str">
        <f>IFERROR(__xludf.DUMMYFUNCTION("IF(ISBLANK(B1376),"""",IF(ISDATE(B1376),TEXT(B1376,""m""),""""))"),"")</f>
        <v/>
      </c>
      <c r="N1376" s="29" t="str">
        <f>IFERROR(__xludf.DUMMYFUNCTION("IF(M1376="""","""",QUERY({'Dashboard-Dados'!$Y$2:$AA$13},""Select Col2 Where Col1=""&amp;M1376))"),"")</f>
        <v/>
      </c>
      <c r="O1376" s="29" t="str">
        <f>IFERROR(__xludf.DUMMYFUNCTION("IF(ISBLANK(B1376),"""",IF(ISDATE(B1376),TEXT(B1376,""yyyy""),""""))"),"")</f>
        <v/>
      </c>
    </row>
    <row r="1377">
      <c r="B1377" s="62"/>
      <c r="C1377" s="56"/>
      <c r="D1377" s="56"/>
      <c r="E1377" s="56"/>
      <c r="F1377" s="63"/>
      <c r="G1377" s="64"/>
      <c r="H1377" s="65"/>
      <c r="I1377" s="63"/>
      <c r="K1377" s="53" t="str">
        <f>IFERROR(__xludf.DUMMYFUNCTION("IF(ISBLANK(B1377),"""",IF(ISDATE(B1377),""X"",""""))"),"")</f>
        <v/>
      </c>
      <c r="L1377" s="40" t="str">
        <f>IFERROR(__xludf.DUMMYFUNCTION("IF(ISBLANK(B1377),"""",IF(Or(I1377=""Em Aberto"",ISBLANK(I1377),NOT(ISDATE(B1377))),"""",H1377))"),"")</f>
        <v/>
      </c>
      <c r="M1377" s="29" t="str">
        <f>IFERROR(__xludf.DUMMYFUNCTION("IF(ISBLANK(B1377),"""",IF(ISDATE(B1377),TEXT(B1377,""m""),""""))"),"")</f>
        <v/>
      </c>
      <c r="N1377" s="29" t="str">
        <f>IFERROR(__xludf.DUMMYFUNCTION("IF(M1377="""","""",QUERY({'Dashboard-Dados'!$Y$2:$AA$13},""Select Col2 Where Col1=""&amp;M1377))"),"")</f>
        <v/>
      </c>
      <c r="O1377" s="29" t="str">
        <f>IFERROR(__xludf.DUMMYFUNCTION("IF(ISBLANK(B1377),"""",IF(ISDATE(B1377),TEXT(B1377,""yyyy""),""""))"),"")</f>
        <v/>
      </c>
    </row>
    <row r="1378">
      <c r="B1378" s="62"/>
      <c r="C1378" s="56"/>
      <c r="D1378" s="56"/>
      <c r="E1378" s="56"/>
      <c r="F1378" s="63"/>
      <c r="G1378" s="64"/>
      <c r="H1378" s="65"/>
      <c r="I1378" s="63"/>
      <c r="K1378" s="53" t="str">
        <f>IFERROR(__xludf.DUMMYFUNCTION("IF(ISBLANK(B1378),"""",IF(ISDATE(B1378),""X"",""""))"),"")</f>
        <v/>
      </c>
      <c r="L1378" s="40" t="str">
        <f>IFERROR(__xludf.DUMMYFUNCTION("IF(ISBLANK(B1378),"""",IF(Or(I1378=""Em Aberto"",ISBLANK(I1378),NOT(ISDATE(B1378))),"""",H1378))"),"")</f>
        <v/>
      </c>
      <c r="M1378" s="29" t="str">
        <f>IFERROR(__xludf.DUMMYFUNCTION("IF(ISBLANK(B1378),"""",IF(ISDATE(B1378),TEXT(B1378,""m""),""""))"),"")</f>
        <v/>
      </c>
      <c r="N1378" s="29" t="str">
        <f>IFERROR(__xludf.DUMMYFUNCTION("IF(M1378="""","""",QUERY({'Dashboard-Dados'!$Y$2:$AA$13},""Select Col2 Where Col1=""&amp;M1378))"),"")</f>
        <v/>
      </c>
      <c r="O1378" s="29" t="str">
        <f>IFERROR(__xludf.DUMMYFUNCTION("IF(ISBLANK(B1378),"""",IF(ISDATE(B1378),TEXT(B1378,""yyyy""),""""))"),"")</f>
        <v/>
      </c>
    </row>
    <row r="1379">
      <c r="B1379" s="62"/>
      <c r="C1379" s="56"/>
      <c r="D1379" s="56"/>
      <c r="E1379" s="56"/>
      <c r="F1379" s="63"/>
      <c r="G1379" s="64"/>
      <c r="H1379" s="65"/>
      <c r="I1379" s="63"/>
      <c r="K1379" s="53" t="str">
        <f>IFERROR(__xludf.DUMMYFUNCTION("IF(ISBLANK(B1379),"""",IF(ISDATE(B1379),""X"",""""))"),"")</f>
        <v/>
      </c>
      <c r="L1379" s="40" t="str">
        <f>IFERROR(__xludf.DUMMYFUNCTION("IF(ISBLANK(B1379),"""",IF(Or(I1379=""Em Aberto"",ISBLANK(I1379),NOT(ISDATE(B1379))),"""",H1379))"),"")</f>
        <v/>
      </c>
      <c r="M1379" s="29" t="str">
        <f>IFERROR(__xludf.DUMMYFUNCTION("IF(ISBLANK(B1379),"""",IF(ISDATE(B1379),TEXT(B1379,""m""),""""))"),"")</f>
        <v/>
      </c>
      <c r="N1379" s="29" t="str">
        <f>IFERROR(__xludf.DUMMYFUNCTION("IF(M1379="""","""",QUERY({'Dashboard-Dados'!$Y$2:$AA$13},""Select Col2 Where Col1=""&amp;M1379))"),"")</f>
        <v/>
      </c>
      <c r="O1379" s="29" t="str">
        <f>IFERROR(__xludf.DUMMYFUNCTION("IF(ISBLANK(B1379),"""",IF(ISDATE(B1379),TEXT(B1379,""yyyy""),""""))"),"")</f>
        <v/>
      </c>
    </row>
    <row r="1380">
      <c r="B1380" s="62"/>
      <c r="C1380" s="56"/>
      <c r="D1380" s="56"/>
      <c r="E1380" s="56"/>
      <c r="F1380" s="63"/>
      <c r="G1380" s="64"/>
      <c r="H1380" s="65"/>
      <c r="I1380" s="63"/>
      <c r="K1380" s="53" t="str">
        <f>IFERROR(__xludf.DUMMYFUNCTION("IF(ISBLANK(B1380),"""",IF(ISDATE(B1380),""X"",""""))"),"")</f>
        <v/>
      </c>
      <c r="L1380" s="40" t="str">
        <f>IFERROR(__xludf.DUMMYFUNCTION("IF(ISBLANK(B1380),"""",IF(Or(I1380=""Em Aberto"",ISBLANK(I1380),NOT(ISDATE(B1380))),"""",H1380))"),"")</f>
        <v/>
      </c>
      <c r="M1380" s="29" t="str">
        <f>IFERROR(__xludf.DUMMYFUNCTION("IF(ISBLANK(B1380),"""",IF(ISDATE(B1380),TEXT(B1380,""m""),""""))"),"")</f>
        <v/>
      </c>
      <c r="N1380" s="29" t="str">
        <f>IFERROR(__xludf.DUMMYFUNCTION("IF(M1380="""","""",QUERY({'Dashboard-Dados'!$Y$2:$AA$13},""Select Col2 Where Col1=""&amp;M1380))"),"")</f>
        <v/>
      </c>
      <c r="O1380" s="29" t="str">
        <f>IFERROR(__xludf.DUMMYFUNCTION("IF(ISBLANK(B1380),"""",IF(ISDATE(B1380),TEXT(B1380,""yyyy""),""""))"),"")</f>
        <v/>
      </c>
    </row>
    <row r="1381">
      <c r="B1381" s="62"/>
      <c r="C1381" s="56"/>
      <c r="D1381" s="56"/>
      <c r="E1381" s="56"/>
      <c r="F1381" s="63"/>
      <c r="G1381" s="64"/>
      <c r="H1381" s="65"/>
      <c r="I1381" s="63"/>
      <c r="K1381" s="53" t="str">
        <f>IFERROR(__xludf.DUMMYFUNCTION("IF(ISBLANK(B1381),"""",IF(ISDATE(B1381),""X"",""""))"),"")</f>
        <v/>
      </c>
      <c r="L1381" s="40" t="str">
        <f>IFERROR(__xludf.DUMMYFUNCTION("IF(ISBLANK(B1381),"""",IF(Or(I1381=""Em Aberto"",ISBLANK(I1381),NOT(ISDATE(B1381))),"""",H1381))"),"")</f>
        <v/>
      </c>
      <c r="M1381" s="29" t="str">
        <f>IFERROR(__xludf.DUMMYFUNCTION("IF(ISBLANK(B1381),"""",IF(ISDATE(B1381),TEXT(B1381,""m""),""""))"),"")</f>
        <v/>
      </c>
      <c r="N1381" s="29" t="str">
        <f>IFERROR(__xludf.DUMMYFUNCTION("IF(M1381="""","""",QUERY({'Dashboard-Dados'!$Y$2:$AA$13},""Select Col2 Where Col1=""&amp;M1381))"),"")</f>
        <v/>
      </c>
      <c r="O1381" s="29" t="str">
        <f>IFERROR(__xludf.DUMMYFUNCTION("IF(ISBLANK(B1381),"""",IF(ISDATE(B1381),TEXT(B1381,""yyyy""),""""))"),"")</f>
        <v/>
      </c>
    </row>
    <row r="1382">
      <c r="B1382" s="62"/>
      <c r="C1382" s="56"/>
      <c r="D1382" s="56"/>
      <c r="E1382" s="56"/>
      <c r="F1382" s="63"/>
      <c r="G1382" s="64"/>
      <c r="H1382" s="65"/>
      <c r="I1382" s="63"/>
      <c r="K1382" s="53" t="str">
        <f>IFERROR(__xludf.DUMMYFUNCTION("IF(ISBLANK(B1382),"""",IF(ISDATE(B1382),""X"",""""))"),"")</f>
        <v/>
      </c>
      <c r="L1382" s="40" t="str">
        <f>IFERROR(__xludf.DUMMYFUNCTION("IF(ISBLANK(B1382),"""",IF(Or(I1382=""Em Aberto"",ISBLANK(I1382),NOT(ISDATE(B1382))),"""",H1382))"),"")</f>
        <v/>
      </c>
      <c r="M1382" s="29" t="str">
        <f>IFERROR(__xludf.DUMMYFUNCTION("IF(ISBLANK(B1382),"""",IF(ISDATE(B1382),TEXT(B1382,""m""),""""))"),"")</f>
        <v/>
      </c>
      <c r="N1382" s="29" t="str">
        <f>IFERROR(__xludf.DUMMYFUNCTION("IF(M1382="""","""",QUERY({'Dashboard-Dados'!$Y$2:$AA$13},""Select Col2 Where Col1=""&amp;M1382))"),"")</f>
        <v/>
      </c>
      <c r="O1382" s="29" t="str">
        <f>IFERROR(__xludf.DUMMYFUNCTION("IF(ISBLANK(B1382),"""",IF(ISDATE(B1382),TEXT(B1382,""yyyy""),""""))"),"")</f>
        <v/>
      </c>
    </row>
    <row r="1383">
      <c r="B1383" s="62"/>
      <c r="C1383" s="56"/>
      <c r="D1383" s="56"/>
      <c r="E1383" s="56"/>
      <c r="F1383" s="63"/>
      <c r="G1383" s="64"/>
      <c r="H1383" s="65"/>
      <c r="I1383" s="63"/>
      <c r="K1383" s="53" t="str">
        <f>IFERROR(__xludf.DUMMYFUNCTION("IF(ISBLANK(B1383),"""",IF(ISDATE(B1383),""X"",""""))"),"")</f>
        <v/>
      </c>
      <c r="L1383" s="40" t="str">
        <f>IFERROR(__xludf.DUMMYFUNCTION("IF(ISBLANK(B1383),"""",IF(Or(I1383=""Em Aberto"",ISBLANK(I1383),NOT(ISDATE(B1383))),"""",H1383))"),"")</f>
        <v/>
      </c>
      <c r="M1383" s="29" t="str">
        <f>IFERROR(__xludf.DUMMYFUNCTION("IF(ISBLANK(B1383),"""",IF(ISDATE(B1383),TEXT(B1383,""m""),""""))"),"")</f>
        <v/>
      </c>
      <c r="N1383" s="29" t="str">
        <f>IFERROR(__xludf.DUMMYFUNCTION("IF(M1383="""","""",QUERY({'Dashboard-Dados'!$Y$2:$AA$13},""Select Col2 Where Col1=""&amp;M1383))"),"")</f>
        <v/>
      </c>
      <c r="O1383" s="29" t="str">
        <f>IFERROR(__xludf.DUMMYFUNCTION("IF(ISBLANK(B1383),"""",IF(ISDATE(B1383),TEXT(B1383,""yyyy""),""""))"),"")</f>
        <v/>
      </c>
    </row>
    <row r="1384">
      <c r="B1384" s="62"/>
      <c r="C1384" s="56"/>
      <c r="D1384" s="56"/>
      <c r="E1384" s="56"/>
      <c r="F1384" s="63"/>
      <c r="G1384" s="64"/>
      <c r="H1384" s="65"/>
      <c r="I1384" s="63"/>
      <c r="K1384" s="53" t="str">
        <f>IFERROR(__xludf.DUMMYFUNCTION("IF(ISBLANK(B1384),"""",IF(ISDATE(B1384),""X"",""""))"),"")</f>
        <v/>
      </c>
      <c r="L1384" s="40" t="str">
        <f>IFERROR(__xludf.DUMMYFUNCTION("IF(ISBLANK(B1384),"""",IF(Or(I1384=""Em Aberto"",ISBLANK(I1384),NOT(ISDATE(B1384))),"""",H1384))"),"")</f>
        <v/>
      </c>
      <c r="M1384" s="29" t="str">
        <f>IFERROR(__xludf.DUMMYFUNCTION("IF(ISBLANK(B1384),"""",IF(ISDATE(B1384),TEXT(B1384,""m""),""""))"),"")</f>
        <v/>
      </c>
      <c r="N1384" s="29" t="str">
        <f>IFERROR(__xludf.DUMMYFUNCTION("IF(M1384="""","""",QUERY({'Dashboard-Dados'!$Y$2:$AA$13},""Select Col2 Where Col1=""&amp;M1384))"),"")</f>
        <v/>
      </c>
      <c r="O1384" s="29" t="str">
        <f>IFERROR(__xludf.DUMMYFUNCTION("IF(ISBLANK(B1384),"""",IF(ISDATE(B1384),TEXT(B1384,""yyyy""),""""))"),"")</f>
        <v/>
      </c>
    </row>
    <row r="1385">
      <c r="B1385" s="62"/>
      <c r="C1385" s="56"/>
      <c r="D1385" s="56"/>
      <c r="E1385" s="56"/>
      <c r="F1385" s="63"/>
      <c r="G1385" s="64"/>
      <c r="H1385" s="65"/>
      <c r="I1385" s="63"/>
      <c r="K1385" s="53" t="str">
        <f>IFERROR(__xludf.DUMMYFUNCTION("IF(ISBLANK(B1385),"""",IF(ISDATE(B1385),""X"",""""))"),"")</f>
        <v/>
      </c>
      <c r="L1385" s="40" t="str">
        <f>IFERROR(__xludf.DUMMYFUNCTION("IF(ISBLANK(B1385),"""",IF(Or(I1385=""Em Aberto"",ISBLANK(I1385),NOT(ISDATE(B1385))),"""",H1385))"),"")</f>
        <v/>
      </c>
      <c r="M1385" s="29" t="str">
        <f>IFERROR(__xludf.DUMMYFUNCTION("IF(ISBLANK(B1385),"""",IF(ISDATE(B1385),TEXT(B1385,""m""),""""))"),"")</f>
        <v/>
      </c>
      <c r="N1385" s="29" t="str">
        <f>IFERROR(__xludf.DUMMYFUNCTION("IF(M1385="""","""",QUERY({'Dashboard-Dados'!$Y$2:$AA$13},""Select Col2 Where Col1=""&amp;M1385))"),"")</f>
        <v/>
      </c>
      <c r="O1385" s="29" t="str">
        <f>IFERROR(__xludf.DUMMYFUNCTION("IF(ISBLANK(B1385),"""",IF(ISDATE(B1385),TEXT(B1385,""yyyy""),""""))"),"")</f>
        <v/>
      </c>
    </row>
    <row r="1386">
      <c r="B1386" s="62"/>
      <c r="C1386" s="56"/>
      <c r="D1386" s="56"/>
      <c r="E1386" s="56"/>
      <c r="F1386" s="63"/>
      <c r="G1386" s="64"/>
      <c r="H1386" s="65"/>
      <c r="I1386" s="63"/>
      <c r="K1386" s="53" t="str">
        <f>IFERROR(__xludf.DUMMYFUNCTION("IF(ISBLANK(B1386),"""",IF(ISDATE(B1386),""X"",""""))"),"")</f>
        <v/>
      </c>
      <c r="L1386" s="40" t="str">
        <f>IFERROR(__xludf.DUMMYFUNCTION("IF(ISBLANK(B1386),"""",IF(Or(I1386=""Em Aberto"",ISBLANK(I1386),NOT(ISDATE(B1386))),"""",H1386))"),"")</f>
        <v/>
      </c>
      <c r="M1386" s="29" t="str">
        <f>IFERROR(__xludf.DUMMYFUNCTION("IF(ISBLANK(B1386),"""",IF(ISDATE(B1386),TEXT(B1386,""m""),""""))"),"")</f>
        <v/>
      </c>
      <c r="N1386" s="29" t="str">
        <f>IFERROR(__xludf.DUMMYFUNCTION("IF(M1386="""","""",QUERY({'Dashboard-Dados'!$Y$2:$AA$13},""Select Col2 Where Col1=""&amp;M1386))"),"")</f>
        <v/>
      </c>
      <c r="O1386" s="29" t="str">
        <f>IFERROR(__xludf.DUMMYFUNCTION("IF(ISBLANK(B1386),"""",IF(ISDATE(B1386),TEXT(B1386,""yyyy""),""""))"),"")</f>
        <v/>
      </c>
    </row>
    <row r="1387">
      <c r="B1387" s="62"/>
      <c r="C1387" s="56"/>
      <c r="D1387" s="56"/>
      <c r="E1387" s="56"/>
      <c r="F1387" s="63"/>
      <c r="G1387" s="64"/>
      <c r="H1387" s="65"/>
      <c r="I1387" s="63"/>
      <c r="K1387" s="53" t="str">
        <f>IFERROR(__xludf.DUMMYFUNCTION("IF(ISBLANK(B1387),"""",IF(ISDATE(B1387),""X"",""""))"),"")</f>
        <v/>
      </c>
      <c r="L1387" s="40" t="str">
        <f>IFERROR(__xludf.DUMMYFUNCTION("IF(ISBLANK(B1387),"""",IF(Or(I1387=""Em Aberto"",ISBLANK(I1387),NOT(ISDATE(B1387))),"""",H1387))"),"")</f>
        <v/>
      </c>
      <c r="M1387" s="29" t="str">
        <f>IFERROR(__xludf.DUMMYFUNCTION("IF(ISBLANK(B1387),"""",IF(ISDATE(B1387),TEXT(B1387,""m""),""""))"),"")</f>
        <v/>
      </c>
      <c r="N1387" s="29" t="str">
        <f>IFERROR(__xludf.DUMMYFUNCTION("IF(M1387="""","""",QUERY({'Dashboard-Dados'!$Y$2:$AA$13},""Select Col2 Where Col1=""&amp;M1387))"),"")</f>
        <v/>
      </c>
      <c r="O1387" s="29" t="str">
        <f>IFERROR(__xludf.DUMMYFUNCTION("IF(ISBLANK(B1387),"""",IF(ISDATE(B1387),TEXT(B1387,""yyyy""),""""))"),"")</f>
        <v/>
      </c>
    </row>
    <row r="1388">
      <c r="B1388" s="62"/>
      <c r="C1388" s="56"/>
      <c r="D1388" s="56"/>
      <c r="E1388" s="56"/>
      <c r="F1388" s="63"/>
      <c r="G1388" s="64"/>
      <c r="H1388" s="65"/>
      <c r="I1388" s="63"/>
      <c r="K1388" s="53" t="str">
        <f>IFERROR(__xludf.DUMMYFUNCTION("IF(ISBLANK(B1388),"""",IF(ISDATE(B1388),""X"",""""))"),"")</f>
        <v/>
      </c>
      <c r="L1388" s="40" t="str">
        <f>IFERROR(__xludf.DUMMYFUNCTION("IF(ISBLANK(B1388),"""",IF(Or(I1388=""Em Aberto"",ISBLANK(I1388),NOT(ISDATE(B1388))),"""",H1388))"),"")</f>
        <v/>
      </c>
      <c r="M1388" s="29" t="str">
        <f>IFERROR(__xludf.DUMMYFUNCTION("IF(ISBLANK(B1388),"""",IF(ISDATE(B1388),TEXT(B1388,""m""),""""))"),"")</f>
        <v/>
      </c>
      <c r="N1388" s="29" t="str">
        <f>IFERROR(__xludf.DUMMYFUNCTION("IF(M1388="""","""",QUERY({'Dashboard-Dados'!$Y$2:$AA$13},""Select Col2 Where Col1=""&amp;M1388))"),"")</f>
        <v/>
      </c>
      <c r="O1388" s="29" t="str">
        <f>IFERROR(__xludf.DUMMYFUNCTION("IF(ISBLANK(B1388),"""",IF(ISDATE(B1388),TEXT(B1388,""yyyy""),""""))"),"")</f>
        <v/>
      </c>
    </row>
    <row r="1389">
      <c r="B1389" s="62"/>
      <c r="C1389" s="56"/>
      <c r="D1389" s="56"/>
      <c r="E1389" s="56"/>
      <c r="F1389" s="63"/>
      <c r="G1389" s="64"/>
      <c r="H1389" s="65"/>
      <c r="I1389" s="63"/>
      <c r="K1389" s="53" t="str">
        <f>IFERROR(__xludf.DUMMYFUNCTION("IF(ISBLANK(B1389),"""",IF(ISDATE(B1389),""X"",""""))"),"")</f>
        <v/>
      </c>
      <c r="L1389" s="40" t="str">
        <f>IFERROR(__xludf.DUMMYFUNCTION("IF(ISBLANK(B1389),"""",IF(Or(I1389=""Em Aberto"",ISBLANK(I1389),NOT(ISDATE(B1389))),"""",H1389))"),"")</f>
        <v/>
      </c>
      <c r="M1389" s="29" t="str">
        <f>IFERROR(__xludf.DUMMYFUNCTION("IF(ISBLANK(B1389),"""",IF(ISDATE(B1389),TEXT(B1389,""m""),""""))"),"")</f>
        <v/>
      </c>
      <c r="N1389" s="29" t="str">
        <f>IFERROR(__xludf.DUMMYFUNCTION("IF(M1389="""","""",QUERY({'Dashboard-Dados'!$Y$2:$AA$13},""Select Col2 Where Col1=""&amp;M1389))"),"")</f>
        <v/>
      </c>
      <c r="O1389" s="29" t="str">
        <f>IFERROR(__xludf.DUMMYFUNCTION("IF(ISBLANK(B1389),"""",IF(ISDATE(B1389),TEXT(B1389,""yyyy""),""""))"),"")</f>
        <v/>
      </c>
    </row>
    <row r="1390">
      <c r="B1390" s="62"/>
      <c r="C1390" s="56"/>
      <c r="D1390" s="56"/>
      <c r="E1390" s="56"/>
      <c r="F1390" s="63"/>
      <c r="G1390" s="64"/>
      <c r="H1390" s="65"/>
      <c r="I1390" s="63"/>
      <c r="K1390" s="53" t="str">
        <f>IFERROR(__xludf.DUMMYFUNCTION("IF(ISBLANK(B1390),"""",IF(ISDATE(B1390),""X"",""""))"),"")</f>
        <v/>
      </c>
      <c r="L1390" s="40" t="str">
        <f>IFERROR(__xludf.DUMMYFUNCTION("IF(ISBLANK(B1390),"""",IF(Or(I1390=""Em Aberto"",ISBLANK(I1390),NOT(ISDATE(B1390))),"""",H1390))"),"")</f>
        <v/>
      </c>
      <c r="M1390" s="29" t="str">
        <f>IFERROR(__xludf.DUMMYFUNCTION("IF(ISBLANK(B1390),"""",IF(ISDATE(B1390),TEXT(B1390,""m""),""""))"),"")</f>
        <v/>
      </c>
      <c r="N1390" s="29" t="str">
        <f>IFERROR(__xludf.DUMMYFUNCTION("IF(M1390="""","""",QUERY({'Dashboard-Dados'!$Y$2:$AA$13},""Select Col2 Where Col1=""&amp;M1390))"),"")</f>
        <v/>
      </c>
      <c r="O1390" s="29" t="str">
        <f>IFERROR(__xludf.DUMMYFUNCTION("IF(ISBLANK(B1390),"""",IF(ISDATE(B1390),TEXT(B1390,""yyyy""),""""))"),"")</f>
        <v/>
      </c>
    </row>
    <row r="1391">
      <c r="B1391" s="62"/>
      <c r="C1391" s="56"/>
      <c r="D1391" s="56"/>
      <c r="E1391" s="56"/>
      <c r="F1391" s="63"/>
      <c r="G1391" s="64"/>
      <c r="H1391" s="65"/>
      <c r="I1391" s="63"/>
      <c r="K1391" s="53" t="str">
        <f>IFERROR(__xludf.DUMMYFUNCTION("IF(ISBLANK(B1391),"""",IF(ISDATE(B1391),""X"",""""))"),"")</f>
        <v/>
      </c>
      <c r="L1391" s="40" t="str">
        <f>IFERROR(__xludf.DUMMYFUNCTION("IF(ISBLANK(B1391),"""",IF(Or(I1391=""Em Aberto"",ISBLANK(I1391),NOT(ISDATE(B1391))),"""",H1391))"),"")</f>
        <v/>
      </c>
      <c r="M1391" s="29" t="str">
        <f>IFERROR(__xludf.DUMMYFUNCTION("IF(ISBLANK(B1391),"""",IF(ISDATE(B1391),TEXT(B1391,""m""),""""))"),"")</f>
        <v/>
      </c>
      <c r="N1391" s="29" t="str">
        <f>IFERROR(__xludf.DUMMYFUNCTION("IF(M1391="""","""",QUERY({'Dashboard-Dados'!$Y$2:$AA$13},""Select Col2 Where Col1=""&amp;M1391))"),"")</f>
        <v/>
      </c>
      <c r="O1391" s="29" t="str">
        <f>IFERROR(__xludf.DUMMYFUNCTION("IF(ISBLANK(B1391),"""",IF(ISDATE(B1391),TEXT(B1391,""yyyy""),""""))"),"")</f>
        <v/>
      </c>
    </row>
    <row r="1392">
      <c r="B1392" s="62"/>
      <c r="C1392" s="56"/>
      <c r="D1392" s="56"/>
      <c r="E1392" s="56"/>
      <c r="F1392" s="63"/>
      <c r="G1392" s="64"/>
      <c r="H1392" s="65"/>
      <c r="I1392" s="63"/>
      <c r="K1392" s="53" t="str">
        <f>IFERROR(__xludf.DUMMYFUNCTION("IF(ISBLANK(B1392),"""",IF(ISDATE(B1392),""X"",""""))"),"")</f>
        <v/>
      </c>
      <c r="L1392" s="40" t="str">
        <f>IFERROR(__xludf.DUMMYFUNCTION("IF(ISBLANK(B1392),"""",IF(Or(I1392=""Em Aberto"",ISBLANK(I1392),NOT(ISDATE(B1392))),"""",H1392))"),"")</f>
        <v/>
      </c>
      <c r="M1392" s="29" t="str">
        <f>IFERROR(__xludf.DUMMYFUNCTION("IF(ISBLANK(B1392),"""",IF(ISDATE(B1392),TEXT(B1392,""m""),""""))"),"")</f>
        <v/>
      </c>
      <c r="N1392" s="29" t="str">
        <f>IFERROR(__xludf.DUMMYFUNCTION("IF(M1392="""","""",QUERY({'Dashboard-Dados'!$Y$2:$AA$13},""Select Col2 Where Col1=""&amp;M1392))"),"")</f>
        <v/>
      </c>
      <c r="O1392" s="29" t="str">
        <f>IFERROR(__xludf.DUMMYFUNCTION("IF(ISBLANK(B1392),"""",IF(ISDATE(B1392),TEXT(B1392,""yyyy""),""""))"),"")</f>
        <v/>
      </c>
    </row>
    <row r="1393">
      <c r="B1393" s="62"/>
      <c r="C1393" s="56"/>
      <c r="D1393" s="56"/>
      <c r="E1393" s="56"/>
      <c r="F1393" s="63"/>
      <c r="G1393" s="64"/>
      <c r="H1393" s="65"/>
      <c r="I1393" s="63"/>
      <c r="K1393" s="53" t="str">
        <f>IFERROR(__xludf.DUMMYFUNCTION("IF(ISBLANK(B1393),"""",IF(ISDATE(B1393),""X"",""""))"),"")</f>
        <v/>
      </c>
      <c r="L1393" s="40" t="str">
        <f>IFERROR(__xludf.DUMMYFUNCTION("IF(ISBLANK(B1393),"""",IF(Or(I1393=""Em Aberto"",ISBLANK(I1393),NOT(ISDATE(B1393))),"""",H1393))"),"")</f>
        <v/>
      </c>
      <c r="M1393" s="29" t="str">
        <f>IFERROR(__xludf.DUMMYFUNCTION("IF(ISBLANK(B1393),"""",IF(ISDATE(B1393),TEXT(B1393,""m""),""""))"),"")</f>
        <v/>
      </c>
      <c r="N1393" s="29" t="str">
        <f>IFERROR(__xludf.DUMMYFUNCTION("IF(M1393="""","""",QUERY({'Dashboard-Dados'!$Y$2:$AA$13},""Select Col2 Where Col1=""&amp;M1393))"),"")</f>
        <v/>
      </c>
      <c r="O1393" s="29" t="str">
        <f>IFERROR(__xludf.DUMMYFUNCTION("IF(ISBLANK(B1393),"""",IF(ISDATE(B1393),TEXT(B1393,""yyyy""),""""))"),"")</f>
        <v/>
      </c>
    </row>
    <row r="1394">
      <c r="B1394" s="62"/>
      <c r="C1394" s="56"/>
      <c r="D1394" s="56"/>
      <c r="E1394" s="56"/>
      <c r="F1394" s="63"/>
      <c r="G1394" s="64"/>
      <c r="H1394" s="65"/>
      <c r="I1394" s="63"/>
      <c r="K1394" s="53" t="str">
        <f>IFERROR(__xludf.DUMMYFUNCTION("IF(ISBLANK(B1394),"""",IF(ISDATE(B1394),""X"",""""))"),"")</f>
        <v/>
      </c>
      <c r="L1394" s="40" t="str">
        <f>IFERROR(__xludf.DUMMYFUNCTION("IF(ISBLANK(B1394),"""",IF(Or(I1394=""Em Aberto"",ISBLANK(I1394),NOT(ISDATE(B1394))),"""",H1394))"),"")</f>
        <v/>
      </c>
      <c r="M1394" s="29" t="str">
        <f>IFERROR(__xludf.DUMMYFUNCTION("IF(ISBLANK(B1394),"""",IF(ISDATE(B1394),TEXT(B1394,""m""),""""))"),"")</f>
        <v/>
      </c>
      <c r="N1394" s="29" t="str">
        <f>IFERROR(__xludf.DUMMYFUNCTION("IF(M1394="""","""",QUERY({'Dashboard-Dados'!$Y$2:$AA$13},""Select Col2 Where Col1=""&amp;M1394))"),"")</f>
        <v/>
      </c>
      <c r="O1394" s="29" t="str">
        <f>IFERROR(__xludf.DUMMYFUNCTION("IF(ISBLANK(B1394),"""",IF(ISDATE(B1394),TEXT(B1394,""yyyy""),""""))"),"")</f>
        <v/>
      </c>
    </row>
    <row r="1395">
      <c r="B1395" s="62"/>
      <c r="C1395" s="56"/>
      <c r="D1395" s="56"/>
      <c r="E1395" s="56"/>
      <c r="F1395" s="63"/>
      <c r="G1395" s="64"/>
      <c r="H1395" s="65"/>
      <c r="I1395" s="63"/>
      <c r="K1395" s="53" t="str">
        <f>IFERROR(__xludf.DUMMYFUNCTION("IF(ISBLANK(B1395),"""",IF(ISDATE(B1395),""X"",""""))"),"")</f>
        <v/>
      </c>
      <c r="L1395" s="40" t="str">
        <f>IFERROR(__xludf.DUMMYFUNCTION("IF(ISBLANK(B1395),"""",IF(Or(I1395=""Em Aberto"",ISBLANK(I1395),NOT(ISDATE(B1395))),"""",H1395))"),"")</f>
        <v/>
      </c>
      <c r="M1395" s="29" t="str">
        <f>IFERROR(__xludf.DUMMYFUNCTION("IF(ISBLANK(B1395),"""",IF(ISDATE(B1395),TEXT(B1395,""m""),""""))"),"")</f>
        <v/>
      </c>
      <c r="N1395" s="29" t="str">
        <f>IFERROR(__xludf.DUMMYFUNCTION("IF(M1395="""","""",QUERY({'Dashboard-Dados'!$Y$2:$AA$13},""Select Col2 Where Col1=""&amp;M1395))"),"")</f>
        <v/>
      </c>
      <c r="O1395" s="29" t="str">
        <f>IFERROR(__xludf.DUMMYFUNCTION("IF(ISBLANK(B1395),"""",IF(ISDATE(B1395),TEXT(B1395,""yyyy""),""""))"),"")</f>
        <v/>
      </c>
    </row>
    <row r="1396">
      <c r="B1396" s="62"/>
      <c r="C1396" s="56"/>
      <c r="D1396" s="56"/>
      <c r="E1396" s="56"/>
      <c r="F1396" s="63"/>
      <c r="G1396" s="64"/>
      <c r="H1396" s="65"/>
      <c r="I1396" s="63"/>
      <c r="K1396" s="53" t="str">
        <f>IFERROR(__xludf.DUMMYFUNCTION("IF(ISBLANK(B1396),"""",IF(ISDATE(B1396),""X"",""""))"),"")</f>
        <v/>
      </c>
      <c r="L1396" s="40" t="str">
        <f>IFERROR(__xludf.DUMMYFUNCTION("IF(ISBLANK(B1396),"""",IF(Or(I1396=""Em Aberto"",ISBLANK(I1396),NOT(ISDATE(B1396))),"""",H1396))"),"")</f>
        <v/>
      </c>
      <c r="M1396" s="29" t="str">
        <f>IFERROR(__xludf.DUMMYFUNCTION("IF(ISBLANK(B1396),"""",IF(ISDATE(B1396),TEXT(B1396,""m""),""""))"),"")</f>
        <v/>
      </c>
      <c r="N1396" s="29" t="str">
        <f>IFERROR(__xludf.DUMMYFUNCTION("IF(M1396="""","""",QUERY({'Dashboard-Dados'!$Y$2:$AA$13},""Select Col2 Where Col1=""&amp;M1396))"),"")</f>
        <v/>
      </c>
      <c r="O1396" s="29" t="str">
        <f>IFERROR(__xludf.DUMMYFUNCTION("IF(ISBLANK(B1396),"""",IF(ISDATE(B1396),TEXT(B1396,""yyyy""),""""))"),"")</f>
        <v/>
      </c>
    </row>
    <row r="1397">
      <c r="B1397" s="62"/>
      <c r="C1397" s="56"/>
      <c r="D1397" s="56"/>
      <c r="E1397" s="56"/>
      <c r="F1397" s="63"/>
      <c r="G1397" s="64"/>
      <c r="H1397" s="65"/>
      <c r="I1397" s="63"/>
      <c r="K1397" s="53" t="str">
        <f>IFERROR(__xludf.DUMMYFUNCTION("IF(ISBLANK(B1397),"""",IF(ISDATE(B1397),""X"",""""))"),"")</f>
        <v/>
      </c>
      <c r="L1397" s="40" t="str">
        <f>IFERROR(__xludf.DUMMYFUNCTION("IF(ISBLANK(B1397),"""",IF(Or(I1397=""Em Aberto"",ISBLANK(I1397),NOT(ISDATE(B1397))),"""",H1397))"),"")</f>
        <v/>
      </c>
      <c r="M1397" s="29" t="str">
        <f>IFERROR(__xludf.DUMMYFUNCTION("IF(ISBLANK(B1397),"""",IF(ISDATE(B1397),TEXT(B1397,""m""),""""))"),"")</f>
        <v/>
      </c>
      <c r="N1397" s="29" t="str">
        <f>IFERROR(__xludf.DUMMYFUNCTION("IF(M1397="""","""",QUERY({'Dashboard-Dados'!$Y$2:$AA$13},""Select Col2 Where Col1=""&amp;M1397))"),"")</f>
        <v/>
      </c>
      <c r="O1397" s="29" t="str">
        <f>IFERROR(__xludf.DUMMYFUNCTION("IF(ISBLANK(B1397),"""",IF(ISDATE(B1397),TEXT(B1397,""yyyy""),""""))"),"")</f>
        <v/>
      </c>
    </row>
    <row r="1398">
      <c r="B1398" s="62"/>
      <c r="C1398" s="56"/>
      <c r="D1398" s="56"/>
      <c r="E1398" s="56"/>
      <c r="F1398" s="63"/>
      <c r="G1398" s="64"/>
      <c r="H1398" s="65"/>
      <c r="I1398" s="63"/>
      <c r="K1398" s="53" t="str">
        <f>IFERROR(__xludf.DUMMYFUNCTION("IF(ISBLANK(B1398),"""",IF(ISDATE(B1398),""X"",""""))"),"")</f>
        <v/>
      </c>
      <c r="L1398" s="40" t="str">
        <f>IFERROR(__xludf.DUMMYFUNCTION("IF(ISBLANK(B1398),"""",IF(Or(I1398=""Em Aberto"",ISBLANK(I1398),NOT(ISDATE(B1398))),"""",H1398))"),"")</f>
        <v/>
      </c>
      <c r="M1398" s="29" t="str">
        <f>IFERROR(__xludf.DUMMYFUNCTION("IF(ISBLANK(B1398),"""",IF(ISDATE(B1398),TEXT(B1398,""m""),""""))"),"")</f>
        <v/>
      </c>
      <c r="N1398" s="29" t="str">
        <f>IFERROR(__xludf.DUMMYFUNCTION("IF(M1398="""","""",QUERY({'Dashboard-Dados'!$Y$2:$AA$13},""Select Col2 Where Col1=""&amp;M1398))"),"")</f>
        <v/>
      </c>
      <c r="O1398" s="29" t="str">
        <f>IFERROR(__xludf.DUMMYFUNCTION("IF(ISBLANK(B1398),"""",IF(ISDATE(B1398),TEXT(B1398,""yyyy""),""""))"),"")</f>
        <v/>
      </c>
    </row>
    <row r="1399">
      <c r="B1399" s="62"/>
      <c r="C1399" s="56"/>
      <c r="D1399" s="56"/>
      <c r="E1399" s="56"/>
      <c r="F1399" s="63"/>
      <c r="G1399" s="64"/>
      <c r="H1399" s="65"/>
      <c r="I1399" s="63"/>
      <c r="K1399" s="53" t="str">
        <f>IFERROR(__xludf.DUMMYFUNCTION("IF(ISBLANK(B1399),"""",IF(ISDATE(B1399),""X"",""""))"),"")</f>
        <v/>
      </c>
      <c r="L1399" s="40" t="str">
        <f>IFERROR(__xludf.DUMMYFUNCTION("IF(ISBLANK(B1399),"""",IF(Or(I1399=""Em Aberto"",ISBLANK(I1399),NOT(ISDATE(B1399))),"""",H1399))"),"")</f>
        <v/>
      </c>
      <c r="M1399" s="29" t="str">
        <f>IFERROR(__xludf.DUMMYFUNCTION("IF(ISBLANK(B1399),"""",IF(ISDATE(B1399),TEXT(B1399,""m""),""""))"),"")</f>
        <v/>
      </c>
      <c r="N1399" s="29" t="str">
        <f>IFERROR(__xludf.DUMMYFUNCTION("IF(M1399="""","""",QUERY({'Dashboard-Dados'!$Y$2:$AA$13},""Select Col2 Where Col1=""&amp;M1399))"),"")</f>
        <v/>
      </c>
      <c r="O1399" s="29" t="str">
        <f>IFERROR(__xludf.DUMMYFUNCTION("IF(ISBLANK(B1399),"""",IF(ISDATE(B1399),TEXT(B1399,""yyyy""),""""))"),"")</f>
        <v/>
      </c>
    </row>
    <row r="1400">
      <c r="B1400" s="62"/>
      <c r="C1400" s="56"/>
      <c r="D1400" s="56"/>
      <c r="E1400" s="56"/>
      <c r="F1400" s="63"/>
      <c r="G1400" s="64"/>
      <c r="H1400" s="65"/>
      <c r="I1400" s="63"/>
      <c r="K1400" s="53" t="str">
        <f>IFERROR(__xludf.DUMMYFUNCTION("IF(ISBLANK(B1400),"""",IF(ISDATE(B1400),""X"",""""))"),"")</f>
        <v/>
      </c>
      <c r="L1400" s="40" t="str">
        <f>IFERROR(__xludf.DUMMYFUNCTION("IF(ISBLANK(B1400),"""",IF(Or(I1400=""Em Aberto"",ISBLANK(I1400),NOT(ISDATE(B1400))),"""",H1400))"),"")</f>
        <v/>
      </c>
      <c r="M1400" s="29" t="str">
        <f>IFERROR(__xludf.DUMMYFUNCTION("IF(ISBLANK(B1400),"""",IF(ISDATE(B1400),TEXT(B1400,""m""),""""))"),"")</f>
        <v/>
      </c>
      <c r="N1400" s="29" t="str">
        <f>IFERROR(__xludf.DUMMYFUNCTION("IF(M1400="""","""",QUERY({'Dashboard-Dados'!$Y$2:$AA$13},""Select Col2 Where Col1=""&amp;M1400))"),"")</f>
        <v/>
      </c>
      <c r="O1400" s="29" t="str">
        <f>IFERROR(__xludf.DUMMYFUNCTION("IF(ISBLANK(B1400),"""",IF(ISDATE(B1400),TEXT(B1400,""yyyy""),""""))"),"")</f>
        <v/>
      </c>
    </row>
    <row r="1401">
      <c r="B1401" s="62"/>
      <c r="C1401" s="56"/>
      <c r="D1401" s="56"/>
      <c r="E1401" s="56"/>
      <c r="F1401" s="63"/>
      <c r="G1401" s="64"/>
      <c r="H1401" s="65"/>
      <c r="I1401" s="63"/>
      <c r="K1401" s="53" t="str">
        <f>IFERROR(__xludf.DUMMYFUNCTION("IF(ISBLANK(B1401),"""",IF(ISDATE(B1401),""X"",""""))"),"")</f>
        <v/>
      </c>
      <c r="L1401" s="40" t="str">
        <f>IFERROR(__xludf.DUMMYFUNCTION("IF(ISBLANK(B1401),"""",IF(Or(I1401=""Em Aberto"",ISBLANK(I1401),NOT(ISDATE(B1401))),"""",H1401))"),"")</f>
        <v/>
      </c>
      <c r="M1401" s="29" t="str">
        <f>IFERROR(__xludf.DUMMYFUNCTION("IF(ISBLANK(B1401),"""",IF(ISDATE(B1401),TEXT(B1401,""m""),""""))"),"")</f>
        <v/>
      </c>
      <c r="N1401" s="29" t="str">
        <f>IFERROR(__xludf.DUMMYFUNCTION("IF(M1401="""","""",QUERY({'Dashboard-Dados'!$Y$2:$AA$13},""Select Col2 Where Col1=""&amp;M1401))"),"")</f>
        <v/>
      </c>
      <c r="O1401" s="29" t="str">
        <f>IFERROR(__xludf.DUMMYFUNCTION("IF(ISBLANK(B1401),"""",IF(ISDATE(B1401),TEXT(B1401,""yyyy""),""""))"),"")</f>
        <v/>
      </c>
    </row>
    <row r="1402">
      <c r="B1402" s="62"/>
      <c r="C1402" s="56"/>
      <c r="D1402" s="56"/>
      <c r="E1402" s="56"/>
      <c r="F1402" s="63"/>
      <c r="G1402" s="64"/>
      <c r="H1402" s="65"/>
      <c r="I1402" s="63"/>
      <c r="K1402" s="53" t="str">
        <f>IFERROR(__xludf.DUMMYFUNCTION("IF(ISBLANK(B1402),"""",IF(ISDATE(B1402),""X"",""""))"),"")</f>
        <v/>
      </c>
      <c r="L1402" s="40" t="str">
        <f>IFERROR(__xludf.DUMMYFUNCTION("IF(ISBLANK(B1402),"""",IF(Or(I1402=""Em Aberto"",ISBLANK(I1402),NOT(ISDATE(B1402))),"""",H1402))"),"")</f>
        <v/>
      </c>
      <c r="M1402" s="29" t="str">
        <f>IFERROR(__xludf.DUMMYFUNCTION("IF(ISBLANK(B1402),"""",IF(ISDATE(B1402),TEXT(B1402,""m""),""""))"),"")</f>
        <v/>
      </c>
      <c r="N1402" s="29" t="str">
        <f>IFERROR(__xludf.DUMMYFUNCTION("IF(M1402="""","""",QUERY({'Dashboard-Dados'!$Y$2:$AA$13},""Select Col2 Where Col1=""&amp;M1402))"),"")</f>
        <v/>
      </c>
      <c r="O1402" s="29" t="str">
        <f>IFERROR(__xludf.DUMMYFUNCTION("IF(ISBLANK(B1402),"""",IF(ISDATE(B1402),TEXT(B1402,""yyyy""),""""))"),"")</f>
        <v/>
      </c>
    </row>
    <row r="1403">
      <c r="B1403" s="62"/>
      <c r="C1403" s="56"/>
      <c r="D1403" s="56"/>
      <c r="E1403" s="56"/>
      <c r="F1403" s="63"/>
      <c r="G1403" s="64"/>
      <c r="H1403" s="65"/>
      <c r="I1403" s="63"/>
      <c r="K1403" s="53" t="str">
        <f>IFERROR(__xludf.DUMMYFUNCTION("IF(ISBLANK(B1403),"""",IF(ISDATE(B1403),""X"",""""))"),"")</f>
        <v/>
      </c>
      <c r="L1403" s="40" t="str">
        <f>IFERROR(__xludf.DUMMYFUNCTION("IF(ISBLANK(B1403),"""",IF(Or(I1403=""Em Aberto"",ISBLANK(I1403),NOT(ISDATE(B1403))),"""",H1403))"),"")</f>
        <v/>
      </c>
      <c r="M1403" s="29" t="str">
        <f>IFERROR(__xludf.DUMMYFUNCTION("IF(ISBLANK(B1403),"""",IF(ISDATE(B1403),TEXT(B1403,""m""),""""))"),"")</f>
        <v/>
      </c>
      <c r="N1403" s="29" t="str">
        <f>IFERROR(__xludf.DUMMYFUNCTION("IF(M1403="""","""",QUERY({'Dashboard-Dados'!$Y$2:$AA$13},""Select Col2 Where Col1=""&amp;M1403))"),"")</f>
        <v/>
      </c>
      <c r="O1403" s="29" t="str">
        <f>IFERROR(__xludf.DUMMYFUNCTION("IF(ISBLANK(B1403),"""",IF(ISDATE(B1403),TEXT(B1403,""yyyy""),""""))"),"")</f>
        <v/>
      </c>
    </row>
    <row r="1404">
      <c r="B1404" s="62"/>
      <c r="C1404" s="56"/>
      <c r="D1404" s="56"/>
      <c r="E1404" s="56"/>
      <c r="F1404" s="63"/>
      <c r="G1404" s="64"/>
      <c r="H1404" s="65"/>
      <c r="I1404" s="63"/>
      <c r="K1404" s="53" t="str">
        <f>IFERROR(__xludf.DUMMYFUNCTION("IF(ISBLANK(B1404),"""",IF(ISDATE(B1404),""X"",""""))"),"")</f>
        <v/>
      </c>
      <c r="L1404" s="40" t="str">
        <f>IFERROR(__xludf.DUMMYFUNCTION("IF(ISBLANK(B1404),"""",IF(Or(I1404=""Em Aberto"",ISBLANK(I1404),NOT(ISDATE(B1404))),"""",H1404))"),"")</f>
        <v/>
      </c>
      <c r="M1404" s="29" t="str">
        <f>IFERROR(__xludf.DUMMYFUNCTION("IF(ISBLANK(B1404),"""",IF(ISDATE(B1404),TEXT(B1404,""m""),""""))"),"")</f>
        <v/>
      </c>
      <c r="N1404" s="29" t="str">
        <f>IFERROR(__xludf.DUMMYFUNCTION("IF(M1404="""","""",QUERY({'Dashboard-Dados'!$Y$2:$AA$13},""Select Col2 Where Col1=""&amp;M1404))"),"")</f>
        <v/>
      </c>
      <c r="O1404" s="29" t="str">
        <f>IFERROR(__xludf.DUMMYFUNCTION("IF(ISBLANK(B1404),"""",IF(ISDATE(B1404),TEXT(B1404,""yyyy""),""""))"),"")</f>
        <v/>
      </c>
    </row>
    <row r="1405">
      <c r="B1405" s="62"/>
      <c r="C1405" s="56"/>
      <c r="D1405" s="56"/>
      <c r="E1405" s="56"/>
      <c r="F1405" s="63"/>
      <c r="G1405" s="64"/>
      <c r="H1405" s="65"/>
      <c r="I1405" s="63"/>
      <c r="K1405" s="53" t="str">
        <f>IFERROR(__xludf.DUMMYFUNCTION("IF(ISBLANK(B1405),"""",IF(ISDATE(B1405),""X"",""""))"),"")</f>
        <v/>
      </c>
      <c r="L1405" s="40" t="str">
        <f>IFERROR(__xludf.DUMMYFUNCTION("IF(ISBLANK(B1405),"""",IF(Or(I1405=""Em Aberto"",ISBLANK(I1405),NOT(ISDATE(B1405))),"""",H1405))"),"")</f>
        <v/>
      </c>
      <c r="M1405" s="29" t="str">
        <f>IFERROR(__xludf.DUMMYFUNCTION("IF(ISBLANK(B1405),"""",IF(ISDATE(B1405),TEXT(B1405,""m""),""""))"),"")</f>
        <v/>
      </c>
      <c r="N1405" s="29" t="str">
        <f>IFERROR(__xludf.DUMMYFUNCTION("IF(M1405="""","""",QUERY({'Dashboard-Dados'!$Y$2:$AA$13},""Select Col2 Where Col1=""&amp;M1405))"),"")</f>
        <v/>
      </c>
      <c r="O1405" s="29" t="str">
        <f>IFERROR(__xludf.DUMMYFUNCTION("IF(ISBLANK(B1405),"""",IF(ISDATE(B1405),TEXT(B1405,""yyyy""),""""))"),"")</f>
        <v/>
      </c>
    </row>
    <row r="1406">
      <c r="B1406" s="62"/>
      <c r="C1406" s="56"/>
      <c r="D1406" s="56"/>
      <c r="E1406" s="56"/>
      <c r="F1406" s="63"/>
      <c r="G1406" s="64"/>
      <c r="H1406" s="65"/>
      <c r="I1406" s="63"/>
      <c r="K1406" s="53" t="str">
        <f>IFERROR(__xludf.DUMMYFUNCTION("IF(ISBLANK(B1406),"""",IF(ISDATE(B1406),""X"",""""))"),"")</f>
        <v/>
      </c>
      <c r="L1406" s="40" t="str">
        <f>IFERROR(__xludf.DUMMYFUNCTION("IF(ISBLANK(B1406),"""",IF(Or(I1406=""Em Aberto"",ISBLANK(I1406),NOT(ISDATE(B1406))),"""",H1406))"),"")</f>
        <v/>
      </c>
      <c r="M1406" s="29" t="str">
        <f>IFERROR(__xludf.DUMMYFUNCTION("IF(ISBLANK(B1406),"""",IF(ISDATE(B1406),TEXT(B1406,""m""),""""))"),"")</f>
        <v/>
      </c>
      <c r="N1406" s="29" t="str">
        <f>IFERROR(__xludf.DUMMYFUNCTION("IF(M1406="""","""",QUERY({'Dashboard-Dados'!$Y$2:$AA$13},""Select Col2 Where Col1=""&amp;M1406))"),"")</f>
        <v/>
      </c>
      <c r="O1406" s="29" t="str">
        <f>IFERROR(__xludf.DUMMYFUNCTION("IF(ISBLANK(B1406),"""",IF(ISDATE(B1406),TEXT(B1406,""yyyy""),""""))"),"")</f>
        <v/>
      </c>
    </row>
    <row r="1407">
      <c r="B1407" s="62"/>
      <c r="C1407" s="56"/>
      <c r="D1407" s="56"/>
      <c r="E1407" s="56"/>
      <c r="F1407" s="63"/>
      <c r="G1407" s="64"/>
      <c r="H1407" s="65"/>
      <c r="I1407" s="63"/>
      <c r="K1407" s="53" t="str">
        <f>IFERROR(__xludf.DUMMYFUNCTION("IF(ISBLANK(B1407),"""",IF(ISDATE(B1407),""X"",""""))"),"")</f>
        <v/>
      </c>
      <c r="L1407" s="40" t="str">
        <f>IFERROR(__xludf.DUMMYFUNCTION("IF(ISBLANK(B1407),"""",IF(Or(I1407=""Em Aberto"",ISBLANK(I1407),NOT(ISDATE(B1407))),"""",H1407))"),"")</f>
        <v/>
      </c>
      <c r="M1407" s="29" t="str">
        <f>IFERROR(__xludf.DUMMYFUNCTION("IF(ISBLANK(B1407),"""",IF(ISDATE(B1407),TEXT(B1407,""m""),""""))"),"")</f>
        <v/>
      </c>
      <c r="N1407" s="29" t="str">
        <f>IFERROR(__xludf.DUMMYFUNCTION("IF(M1407="""","""",QUERY({'Dashboard-Dados'!$Y$2:$AA$13},""Select Col2 Where Col1=""&amp;M1407))"),"")</f>
        <v/>
      </c>
      <c r="O1407" s="29" t="str">
        <f>IFERROR(__xludf.DUMMYFUNCTION("IF(ISBLANK(B1407),"""",IF(ISDATE(B1407),TEXT(B1407,""yyyy""),""""))"),"")</f>
        <v/>
      </c>
    </row>
    <row r="1408">
      <c r="B1408" s="62"/>
      <c r="C1408" s="56"/>
      <c r="D1408" s="56"/>
      <c r="E1408" s="56"/>
      <c r="F1408" s="63"/>
      <c r="G1408" s="64"/>
      <c r="H1408" s="65"/>
      <c r="I1408" s="63"/>
      <c r="K1408" s="53" t="str">
        <f>IFERROR(__xludf.DUMMYFUNCTION("IF(ISBLANK(B1408),"""",IF(ISDATE(B1408),""X"",""""))"),"")</f>
        <v/>
      </c>
      <c r="L1408" s="40" t="str">
        <f>IFERROR(__xludf.DUMMYFUNCTION("IF(ISBLANK(B1408),"""",IF(Or(I1408=""Em Aberto"",ISBLANK(I1408),NOT(ISDATE(B1408))),"""",H1408))"),"")</f>
        <v/>
      </c>
      <c r="M1408" s="29" t="str">
        <f>IFERROR(__xludf.DUMMYFUNCTION("IF(ISBLANK(B1408),"""",IF(ISDATE(B1408),TEXT(B1408,""m""),""""))"),"")</f>
        <v/>
      </c>
      <c r="N1408" s="29" t="str">
        <f>IFERROR(__xludf.DUMMYFUNCTION("IF(M1408="""","""",QUERY({'Dashboard-Dados'!$Y$2:$AA$13},""Select Col2 Where Col1=""&amp;M1408))"),"")</f>
        <v/>
      </c>
      <c r="O1408" s="29" t="str">
        <f>IFERROR(__xludf.DUMMYFUNCTION("IF(ISBLANK(B1408),"""",IF(ISDATE(B1408),TEXT(B1408,""yyyy""),""""))"),"")</f>
        <v/>
      </c>
    </row>
    <row r="1409">
      <c r="B1409" s="62"/>
      <c r="C1409" s="56"/>
      <c r="D1409" s="56"/>
      <c r="E1409" s="56"/>
      <c r="F1409" s="63"/>
      <c r="G1409" s="64"/>
      <c r="H1409" s="65"/>
      <c r="I1409" s="63"/>
      <c r="K1409" s="53" t="str">
        <f>IFERROR(__xludf.DUMMYFUNCTION("IF(ISBLANK(B1409),"""",IF(ISDATE(B1409),""X"",""""))"),"")</f>
        <v/>
      </c>
      <c r="L1409" s="40" t="str">
        <f>IFERROR(__xludf.DUMMYFUNCTION("IF(ISBLANK(B1409),"""",IF(Or(I1409=""Em Aberto"",ISBLANK(I1409),NOT(ISDATE(B1409))),"""",H1409))"),"")</f>
        <v/>
      </c>
      <c r="M1409" s="29" t="str">
        <f>IFERROR(__xludf.DUMMYFUNCTION("IF(ISBLANK(B1409),"""",IF(ISDATE(B1409),TEXT(B1409,""m""),""""))"),"")</f>
        <v/>
      </c>
      <c r="N1409" s="29" t="str">
        <f>IFERROR(__xludf.DUMMYFUNCTION("IF(M1409="""","""",QUERY({'Dashboard-Dados'!$Y$2:$AA$13},""Select Col2 Where Col1=""&amp;M1409))"),"")</f>
        <v/>
      </c>
      <c r="O1409" s="29" t="str">
        <f>IFERROR(__xludf.DUMMYFUNCTION("IF(ISBLANK(B1409),"""",IF(ISDATE(B1409),TEXT(B1409,""yyyy""),""""))"),"")</f>
        <v/>
      </c>
    </row>
    <row r="1410">
      <c r="B1410" s="62"/>
      <c r="C1410" s="56"/>
      <c r="D1410" s="56"/>
      <c r="E1410" s="56"/>
      <c r="F1410" s="63"/>
      <c r="G1410" s="64"/>
      <c r="H1410" s="65"/>
      <c r="I1410" s="63"/>
      <c r="K1410" s="53" t="str">
        <f>IFERROR(__xludf.DUMMYFUNCTION("IF(ISBLANK(B1410),"""",IF(ISDATE(B1410),""X"",""""))"),"")</f>
        <v/>
      </c>
      <c r="L1410" s="40" t="str">
        <f>IFERROR(__xludf.DUMMYFUNCTION("IF(ISBLANK(B1410),"""",IF(Or(I1410=""Em Aberto"",ISBLANK(I1410),NOT(ISDATE(B1410))),"""",H1410))"),"")</f>
        <v/>
      </c>
      <c r="M1410" s="29" t="str">
        <f>IFERROR(__xludf.DUMMYFUNCTION("IF(ISBLANK(B1410),"""",IF(ISDATE(B1410),TEXT(B1410,""m""),""""))"),"")</f>
        <v/>
      </c>
      <c r="N1410" s="29" t="str">
        <f>IFERROR(__xludf.DUMMYFUNCTION("IF(M1410="""","""",QUERY({'Dashboard-Dados'!$Y$2:$AA$13},""Select Col2 Where Col1=""&amp;M1410))"),"")</f>
        <v/>
      </c>
      <c r="O1410" s="29" t="str">
        <f>IFERROR(__xludf.DUMMYFUNCTION("IF(ISBLANK(B1410),"""",IF(ISDATE(B1410),TEXT(B1410,""yyyy""),""""))"),"")</f>
        <v/>
      </c>
    </row>
    <row r="1411">
      <c r="B1411" s="62"/>
      <c r="C1411" s="56"/>
      <c r="D1411" s="56"/>
      <c r="E1411" s="56"/>
      <c r="F1411" s="63"/>
      <c r="G1411" s="64"/>
      <c r="H1411" s="65"/>
      <c r="I1411" s="63"/>
      <c r="K1411" s="53" t="str">
        <f>IFERROR(__xludf.DUMMYFUNCTION("IF(ISBLANK(B1411),"""",IF(ISDATE(B1411),""X"",""""))"),"")</f>
        <v/>
      </c>
      <c r="L1411" s="40" t="str">
        <f>IFERROR(__xludf.DUMMYFUNCTION("IF(ISBLANK(B1411),"""",IF(Or(I1411=""Em Aberto"",ISBLANK(I1411),NOT(ISDATE(B1411))),"""",H1411))"),"")</f>
        <v/>
      </c>
      <c r="M1411" s="29" t="str">
        <f>IFERROR(__xludf.DUMMYFUNCTION("IF(ISBLANK(B1411),"""",IF(ISDATE(B1411),TEXT(B1411,""m""),""""))"),"")</f>
        <v/>
      </c>
      <c r="N1411" s="29" t="str">
        <f>IFERROR(__xludf.DUMMYFUNCTION("IF(M1411="""","""",QUERY({'Dashboard-Dados'!$Y$2:$AA$13},""Select Col2 Where Col1=""&amp;M1411))"),"")</f>
        <v/>
      </c>
      <c r="O1411" s="29" t="str">
        <f>IFERROR(__xludf.DUMMYFUNCTION("IF(ISBLANK(B1411),"""",IF(ISDATE(B1411),TEXT(B1411,""yyyy""),""""))"),"")</f>
        <v/>
      </c>
    </row>
    <row r="1412">
      <c r="B1412" s="62"/>
      <c r="C1412" s="56"/>
      <c r="D1412" s="56"/>
      <c r="E1412" s="56"/>
      <c r="F1412" s="63"/>
      <c r="G1412" s="64"/>
      <c r="H1412" s="65"/>
      <c r="I1412" s="63"/>
      <c r="K1412" s="53" t="str">
        <f>IFERROR(__xludf.DUMMYFUNCTION("IF(ISBLANK(B1412),"""",IF(ISDATE(B1412),""X"",""""))"),"")</f>
        <v/>
      </c>
      <c r="L1412" s="40" t="str">
        <f>IFERROR(__xludf.DUMMYFUNCTION("IF(ISBLANK(B1412),"""",IF(Or(I1412=""Em Aberto"",ISBLANK(I1412),NOT(ISDATE(B1412))),"""",H1412))"),"")</f>
        <v/>
      </c>
      <c r="M1412" s="29" t="str">
        <f>IFERROR(__xludf.DUMMYFUNCTION("IF(ISBLANK(B1412),"""",IF(ISDATE(B1412),TEXT(B1412,""m""),""""))"),"")</f>
        <v/>
      </c>
      <c r="N1412" s="29" t="str">
        <f>IFERROR(__xludf.DUMMYFUNCTION("IF(M1412="""","""",QUERY({'Dashboard-Dados'!$Y$2:$AA$13},""Select Col2 Where Col1=""&amp;M1412))"),"")</f>
        <v/>
      </c>
      <c r="O1412" s="29" t="str">
        <f>IFERROR(__xludf.DUMMYFUNCTION("IF(ISBLANK(B1412),"""",IF(ISDATE(B1412),TEXT(B1412,""yyyy""),""""))"),"")</f>
        <v/>
      </c>
    </row>
    <row r="1413">
      <c r="B1413" s="62"/>
      <c r="C1413" s="56"/>
      <c r="D1413" s="56"/>
      <c r="E1413" s="56"/>
      <c r="F1413" s="63"/>
      <c r="G1413" s="64"/>
      <c r="H1413" s="65"/>
      <c r="I1413" s="63"/>
      <c r="K1413" s="53" t="str">
        <f>IFERROR(__xludf.DUMMYFUNCTION("IF(ISBLANK(B1413),"""",IF(ISDATE(B1413),""X"",""""))"),"")</f>
        <v/>
      </c>
      <c r="L1413" s="40" t="str">
        <f>IFERROR(__xludf.DUMMYFUNCTION("IF(ISBLANK(B1413),"""",IF(Or(I1413=""Em Aberto"",ISBLANK(I1413),NOT(ISDATE(B1413))),"""",H1413))"),"")</f>
        <v/>
      </c>
      <c r="M1413" s="29" t="str">
        <f>IFERROR(__xludf.DUMMYFUNCTION("IF(ISBLANK(B1413),"""",IF(ISDATE(B1413),TEXT(B1413,""m""),""""))"),"")</f>
        <v/>
      </c>
      <c r="N1413" s="29" t="str">
        <f>IFERROR(__xludf.DUMMYFUNCTION("IF(M1413="""","""",QUERY({'Dashboard-Dados'!$Y$2:$AA$13},""Select Col2 Where Col1=""&amp;M1413))"),"")</f>
        <v/>
      </c>
      <c r="O1413" s="29" t="str">
        <f>IFERROR(__xludf.DUMMYFUNCTION("IF(ISBLANK(B1413),"""",IF(ISDATE(B1413),TEXT(B1413,""yyyy""),""""))"),"")</f>
        <v/>
      </c>
    </row>
    <row r="1414">
      <c r="B1414" s="62"/>
      <c r="C1414" s="56"/>
      <c r="D1414" s="56"/>
      <c r="E1414" s="56"/>
      <c r="F1414" s="63"/>
      <c r="G1414" s="64"/>
      <c r="H1414" s="65"/>
      <c r="I1414" s="63"/>
      <c r="K1414" s="53" t="str">
        <f>IFERROR(__xludf.DUMMYFUNCTION("IF(ISBLANK(B1414),"""",IF(ISDATE(B1414),""X"",""""))"),"")</f>
        <v/>
      </c>
      <c r="L1414" s="40" t="str">
        <f>IFERROR(__xludf.DUMMYFUNCTION("IF(ISBLANK(B1414),"""",IF(Or(I1414=""Em Aberto"",ISBLANK(I1414),NOT(ISDATE(B1414))),"""",H1414))"),"")</f>
        <v/>
      </c>
      <c r="M1414" s="29" t="str">
        <f>IFERROR(__xludf.DUMMYFUNCTION("IF(ISBLANK(B1414),"""",IF(ISDATE(B1414),TEXT(B1414,""m""),""""))"),"")</f>
        <v/>
      </c>
      <c r="N1414" s="29" t="str">
        <f>IFERROR(__xludf.DUMMYFUNCTION("IF(M1414="""","""",QUERY({'Dashboard-Dados'!$Y$2:$AA$13},""Select Col2 Where Col1=""&amp;M1414))"),"")</f>
        <v/>
      </c>
      <c r="O1414" s="29" t="str">
        <f>IFERROR(__xludf.DUMMYFUNCTION("IF(ISBLANK(B1414),"""",IF(ISDATE(B1414),TEXT(B1414,""yyyy""),""""))"),"")</f>
        <v/>
      </c>
    </row>
    <row r="1415">
      <c r="B1415" s="62"/>
      <c r="C1415" s="56"/>
      <c r="D1415" s="56"/>
      <c r="E1415" s="56"/>
      <c r="F1415" s="63"/>
      <c r="G1415" s="64"/>
      <c r="H1415" s="65"/>
      <c r="I1415" s="63"/>
      <c r="K1415" s="53" t="str">
        <f>IFERROR(__xludf.DUMMYFUNCTION("IF(ISBLANK(B1415),"""",IF(ISDATE(B1415),""X"",""""))"),"")</f>
        <v/>
      </c>
      <c r="L1415" s="40" t="str">
        <f>IFERROR(__xludf.DUMMYFUNCTION("IF(ISBLANK(B1415),"""",IF(Or(I1415=""Em Aberto"",ISBLANK(I1415),NOT(ISDATE(B1415))),"""",H1415))"),"")</f>
        <v/>
      </c>
      <c r="M1415" s="29" t="str">
        <f>IFERROR(__xludf.DUMMYFUNCTION("IF(ISBLANK(B1415),"""",IF(ISDATE(B1415),TEXT(B1415,""m""),""""))"),"")</f>
        <v/>
      </c>
      <c r="N1415" s="29" t="str">
        <f>IFERROR(__xludf.DUMMYFUNCTION("IF(M1415="""","""",QUERY({'Dashboard-Dados'!$Y$2:$AA$13},""Select Col2 Where Col1=""&amp;M1415))"),"")</f>
        <v/>
      </c>
      <c r="O1415" s="29" t="str">
        <f>IFERROR(__xludf.DUMMYFUNCTION("IF(ISBLANK(B1415),"""",IF(ISDATE(B1415),TEXT(B1415,""yyyy""),""""))"),"")</f>
        <v/>
      </c>
    </row>
    <row r="1416">
      <c r="B1416" s="62"/>
      <c r="C1416" s="56"/>
      <c r="D1416" s="56"/>
      <c r="E1416" s="56"/>
      <c r="F1416" s="63"/>
      <c r="G1416" s="64"/>
      <c r="H1416" s="65"/>
      <c r="I1416" s="63"/>
      <c r="K1416" s="53" t="str">
        <f>IFERROR(__xludf.DUMMYFUNCTION("IF(ISBLANK(B1416),"""",IF(ISDATE(B1416),""X"",""""))"),"")</f>
        <v/>
      </c>
      <c r="L1416" s="40" t="str">
        <f>IFERROR(__xludf.DUMMYFUNCTION("IF(ISBLANK(B1416),"""",IF(Or(I1416=""Em Aberto"",ISBLANK(I1416),NOT(ISDATE(B1416))),"""",H1416))"),"")</f>
        <v/>
      </c>
      <c r="M1416" s="29" t="str">
        <f>IFERROR(__xludf.DUMMYFUNCTION("IF(ISBLANK(B1416),"""",IF(ISDATE(B1416),TEXT(B1416,""m""),""""))"),"")</f>
        <v/>
      </c>
      <c r="N1416" s="29" t="str">
        <f>IFERROR(__xludf.DUMMYFUNCTION("IF(M1416="""","""",QUERY({'Dashboard-Dados'!$Y$2:$AA$13},""Select Col2 Where Col1=""&amp;M1416))"),"")</f>
        <v/>
      </c>
      <c r="O1416" s="29" t="str">
        <f>IFERROR(__xludf.DUMMYFUNCTION("IF(ISBLANK(B1416),"""",IF(ISDATE(B1416),TEXT(B1416,""yyyy""),""""))"),"")</f>
        <v/>
      </c>
    </row>
    <row r="1417">
      <c r="B1417" s="62"/>
      <c r="C1417" s="56"/>
      <c r="D1417" s="56"/>
      <c r="E1417" s="56"/>
      <c r="F1417" s="63"/>
      <c r="G1417" s="64"/>
      <c r="H1417" s="65"/>
      <c r="I1417" s="63"/>
      <c r="K1417" s="53" t="str">
        <f>IFERROR(__xludf.DUMMYFUNCTION("IF(ISBLANK(B1417),"""",IF(ISDATE(B1417),""X"",""""))"),"")</f>
        <v/>
      </c>
      <c r="L1417" s="40" t="str">
        <f>IFERROR(__xludf.DUMMYFUNCTION("IF(ISBLANK(B1417),"""",IF(Or(I1417=""Em Aberto"",ISBLANK(I1417),NOT(ISDATE(B1417))),"""",H1417))"),"")</f>
        <v/>
      </c>
      <c r="M1417" s="29" t="str">
        <f>IFERROR(__xludf.DUMMYFUNCTION("IF(ISBLANK(B1417),"""",IF(ISDATE(B1417),TEXT(B1417,""m""),""""))"),"")</f>
        <v/>
      </c>
      <c r="N1417" s="29" t="str">
        <f>IFERROR(__xludf.DUMMYFUNCTION("IF(M1417="""","""",QUERY({'Dashboard-Dados'!$Y$2:$AA$13},""Select Col2 Where Col1=""&amp;M1417))"),"")</f>
        <v/>
      </c>
      <c r="O1417" s="29" t="str">
        <f>IFERROR(__xludf.DUMMYFUNCTION("IF(ISBLANK(B1417),"""",IF(ISDATE(B1417),TEXT(B1417,""yyyy""),""""))"),"")</f>
        <v/>
      </c>
    </row>
    <row r="1418">
      <c r="B1418" s="62"/>
      <c r="C1418" s="56"/>
      <c r="D1418" s="56"/>
      <c r="E1418" s="56"/>
      <c r="F1418" s="63"/>
      <c r="G1418" s="64"/>
      <c r="H1418" s="65"/>
      <c r="I1418" s="63"/>
      <c r="K1418" s="53" t="str">
        <f>IFERROR(__xludf.DUMMYFUNCTION("IF(ISBLANK(B1418),"""",IF(ISDATE(B1418),""X"",""""))"),"")</f>
        <v/>
      </c>
      <c r="L1418" s="40" t="str">
        <f>IFERROR(__xludf.DUMMYFUNCTION("IF(ISBLANK(B1418),"""",IF(Or(I1418=""Em Aberto"",ISBLANK(I1418),NOT(ISDATE(B1418))),"""",H1418))"),"")</f>
        <v/>
      </c>
      <c r="M1418" s="29" t="str">
        <f>IFERROR(__xludf.DUMMYFUNCTION("IF(ISBLANK(B1418),"""",IF(ISDATE(B1418),TEXT(B1418,""m""),""""))"),"")</f>
        <v/>
      </c>
      <c r="N1418" s="29" t="str">
        <f>IFERROR(__xludf.DUMMYFUNCTION("IF(M1418="""","""",QUERY({'Dashboard-Dados'!$Y$2:$AA$13},""Select Col2 Where Col1=""&amp;M1418))"),"")</f>
        <v/>
      </c>
      <c r="O1418" s="29" t="str">
        <f>IFERROR(__xludf.DUMMYFUNCTION("IF(ISBLANK(B1418),"""",IF(ISDATE(B1418),TEXT(B1418,""yyyy""),""""))"),"")</f>
        <v/>
      </c>
    </row>
    <row r="1419">
      <c r="B1419" s="62"/>
      <c r="C1419" s="56"/>
      <c r="D1419" s="56"/>
      <c r="E1419" s="56"/>
      <c r="F1419" s="63"/>
      <c r="G1419" s="64"/>
      <c r="H1419" s="65"/>
      <c r="I1419" s="63"/>
      <c r="K1419" s="53" t="str">
        <f>IFERROR(__xludf.DUMMYFUNCTION("IF(ISBLANK(B1419),"""",IF(ISDATE(B1419),""X"",""""))"),"")</f>
        <v/>
      </c>
      <c r="L1419" s="40" t="str">
        <f>IFERROR(__xludf.DUMMYFUNCTION("IF(ISBLANK(B1419),"""",IF(Or(I1419=""Em Aberto"",ISBLANK(I1419),NOT(ISDATE(B1419))),"""",H1419))"),"")</f>
        <v/>
      </c>
      <c r="M1419" s="29" t="str">
        <f>IFERROR(__xludf.DUMMYFUNCTION("IF(ISBLANK(B1419),"""",IF(ISDATE(B1419),TEXT(B1419,""m""),""""))"),"")</f>
        <v/>
      </c>
      <c r="N1419" s="29" t="str">
        <f>IFERROR(__xludf.DUMMYFUNCTION("IF(M1419="""","""",QUERY({'Dashboard-Dados'!$Y$2:$AA$13},""Select Col2 Where Col1=""&amp;M1419))"),"")</f>
        <v/>
      </c>
      <c r="O1419" s="29" t="str">
        <f>IFERROR(__xludf.DUMMYFUNCTION("IF(ISBLANK(B1419),"""",IF(ISDATE(B1419),TEXT(B1419,""yyyy""),""""))"),"")</f>
        <v/>
      </c>
    </row>
    <row r="1420">
      <c r="B1420" s="62"/>
      <c r="C1420" s="56"/>
      <c r="D1420" s="56"/>
      <c r="E1420" s="56"/>
      <c r="F1420" s="63"/>
      <c r="G1420" s="64"/>
      <c r="H1420" s="65"/>
      <c r="I1420" s="63"/>
      <c r="K1420" s="53" t="str">
        <f>IFERROR(__xludf.DUMMYFUNCTION("IF(ISBLANK(B1420),"""",IF(ISDATE(B1420),""X"",""""))"),"")</f>
        <v/>
      </c>
      <c r="L1420" s="40" t="str">
        <f>IFERROR(__xludf.DUMMYFUNCTION("IF(ISBLANK(B1420),"""",IF(Or(I1420=""Em Aberto"",ISBLANK(I1420),NOT(ISDATE(B1420))),"""",H1420))"),"")</f>
        <v/>
      </c>
      <c r="M1420" s="29" t="str">
        <f>IFERROR(__xludf.DUMMYFUNCTION("IF(ISBLANK(B1420),"""",IF(ISDATE(B1420),TEXT(B1420,""m""),""""))"),"")</f>
        <v/>
      </c>
      <c r="N1420" s="29" t="str">
        <f>IFERROR(__xludf.DUMMYFUNCTION("IF(M1420="""","""",QUERY({'Dashboard-Dados'!$Y$2:$AA$13},""Select Col2 Where Col1=""&amp;M1420))"),"")</f>
        <v/>
      </c>
      <c r="O1420" s="29" t="str">
        <f>IFERROR(__xludf.DUMMYFUNCTION("IF(ISBLANK(B1420),"""",IF(ISDATE(B1420),TEXT(B1420,""yyyy""),""""))"),"")</f>
        <v/>
      </c>
    </row>
    <row r="1421">
      <c r="B1421" s="62"/>
      <c r="C1421" s="56"/>
      <c r="D1421" s="56"/>
      <c r="E1421" s="56"/>
      <c r="F1421" s="63"/>
      <c r="G1421" s="64"/>
      <c r="H1421" s="65"/>
      <c r="I1421" s="63"/>
      <c r="K1421" s="53" t="str">
        <f>IFERROR(__xludf.DUMMYFUNCTION("IF(ISBLANK(B1421),"""",IF(ISDATE(B1421),""X"",""""))"),"")</f>
        <v/>
      </c>
      <c r="L1421" s="40" t="str">
        <f>IFERROR(__xludf.DUMMYFUNCTION("IF(ISBLANK(B1421),"""",IF(Or(I1421=""Em Aberto"",ISBLANK(I1421),NOT(ISDATE(B1421))),"""",H1421))"),"")</f>
        <v/>
      </c>
      <c r="M1421" s="29" t="str">
        <f>IFERROR(__xludf.DUMMYFUNCTION("IF(ISBLANK(B1421),"""",IF(ISDATE(B1421),TEXT(B1421,""m""),""""))"),"")</f>
        <v/>
      </c>
      <c r="N1421" s="29" t="str">
        <f>IFERROR(__xludf.DUMMYFUNCTION("IF(M1421="""","""",QUERY({'Dashboard-Dados'!$Y$2:$AA$13},""Select Col2 Where Col1=""&amp;M1421))"),"")</f>
        <v/>
      </c>
      <c r="O1421" s="29" t="str">
        <f>IFERROR(__xludf.DUMMYFUNCTION("IF(ISBLANK(B1421),"""",IF(ISDATE(B1421),TEXT(B1421,""yyyy""),""""))"),"")</f>
        <v/>
      </c>
    </row>
    <row r="1422">
      <c r="B1422" s="62"/>
      <c r="C1422" s="56"/>
      <c r="D1422" s="56"/>
      <c r="E1422" s="56"/>
      <c r="F1422" s="63"/>
      <c r="G1422" s="64"/>
      <c r="H1422" s="65"/>
      <c r="I1422" s="63"/>
      <c r="K1422" s="53" t="str">
        <f>IFERROR(__xludf.DUMMYFUNCTION("IF(ISBLANK(B1422),"""",IF(ISDATE(B1422),""X"",""""))"),"")</f>
        <v/>
      </c>
      <c r="L1422" s="40" t="str">
        <f>IFERROR(__xludf.DUMMYFUNCTION("IF(ISBLANK(B1422),"""",IF(Or(I1422=""Em Aberto"",ISBLANK(I1422),NOT(ISDATE(B1422))),"""",H1422))"),"")</f>
        <v/>
      </c>
      <c r="M1422" s="29" t="str">
        <f>IFERROR(__xludf.DUMMYFUNCTION("IF(ISBLANK(B1422),"""",IF(ISDATE(B1422),TEXT(B1422,""m""),""""))"),"")</f>
        <v/>
      </c>
      <c r="N1422" s="29" t="str">
        <f>IFERROR(__xludf.DUMMYFUNCTION("IF(M1422="""","""",QUERY({'Dashboard-Dados'!$Y$2:$AA$13},""Select Col2 Where Col1=""&amp;M1422))"),"")</f>
        <v/>
      </c>
      <c r="O1422" s="29" t="str">
        <f>IFERROR(__xludf.DUMMYFUNCTION("IF(ISBLANK(B1422),"""",IF(ISDATE(B1422),TEXT(B1422,""yyyy""),""""))"),"")</f>
        <v/>
      </c>
    </row>
    <row r="1423">
      <c r="B1423" s="62"/>
      <c r="C1423" s="56"/>
      <c r="D1423" s="56"/>
      <c r="E1423" s="56"/>
      <c r="F1423" s="63"/>
      <c r="G1423" s="64"/>
      <c r="H1423" s="65"/>
      <c r="I1423" s="63"/>
      <c r="K1423" s="53" t="str">
        <f>IFERROR(__xludf.DUMMYFUNCTION("IF(ISBLANK(B1423),"""",IF(ISDATE(B1423),""X"",""""))"),"")</f>
        <v/>
      </c>
      <c r="L1423" s="40" t="str">
        <f>IFERROR(__xludf.DUMMYFUNCTION("IF(ISBLANK(B1423),"""",IF(Or(I1423=""Em Aberto"",ISBLANK(I1423),NOT(ISDATE(B1423))),"""",H1423))"),"")</f>
        <v/>
      </c>
      <c r="M1423" s="29" t="str">
        <f>IFERROR(__xludf.DUMMYFUNCTION("IF(ISBLANK(B1423),"""",IF(ISDATE(B1423),TEXT(B1423,""m""),""""))"),"")</f>
        <v/>
      </c>
      <c r="N1423" s="29" t="str">
        <f>IFERROR(__xludf.DUMMYFUNCTION("IF(M1423="""","""",QUERY({'Dashboard-Dados'!$Y$2:$AA$13},""Select Col2 Where Col1=""&amp;M1423))"),"")</f>
        <v/>
      </c>
      <c r="O1423" s="29" t="str">
        <f>IFERROR(__xludf.DUMMYFUNCTION("IF(ISBLANK(B1423),"""",IF(ISDATE(B1423),TEXT(B1423,""yyyy""),""""))"),"")</f>
        <v/>
      </c>
    </row>
    <row r="1424">
      <c r="B1424" s="62"/>
      <c r="C1424" s="56"/>
      <c r="D1424" s="56"/>
      <c r="E1424" s="56"/>
      <c r="F1424" s="63"/>
      <c r="G1424" s="64"/>
      <c r="H1424" s="65"/>
      <c r="I1424" s="63"/>
      <c r="K1424" s="53" t="str">
        <f>IFERROR(__xludf.DUMMYFUNCTION("IF(ISBLANK(B1424),"""",IF(ISDATE(B1424),""X"",""""))"),"")</f>
        <v/>
      </c>
      <c r="L1424" s="40" t="str">
        <f>IFERROR(__xludf.DUMMYFUNCTION("IF(ISBLANK(B1424),"""",IF(Or(I1424=""Em Aberto"",ISBLANK(I1424),NOT(ISDATE(B1424))),"""",H1424))"),"")</f>
        <v/>
      </c>
      <c r="M1424" s="29" t="str">
        <f>IFERROR(__xludf.DUMMYFUNCTION("IF(ISBLANK(B1424),"""",IF(ISDATE(B1424),TEXT(B1424,""m""),""""))"),"")</f>
        <v/>
      </c>
      <c r="N1424" s="29" t="str">
        <f>IFERROR(__xludf.DUMMYFUNCTION("IF(M1424="""","""",QUERY({'Dashboard-Dados'!$Y$2:$AA$13},""Select Col2 Where Col1=""&amp;M1424))"),"")</f>
        <v/>
      </c>
      <c r="O1424" s="29" t="str">
        <f>IFERROR(__xludf.DUMMYFUNCTION("IF(ISBLANK(B1424),"""",IF(ISDATE(B1424),TEXT(B1424,""yyyy""),""""))"),"")</f>
        <v/>
      </c>
    </row>
    <row r="1425">
      <c r="B1425" s="62"/>
      <c r="C1425" s="56"/>
      <c r="D1425" s="56"/>
      <c r="E1425" s="56"/>
      <c r="F1425" s="63"/>
      <c r="G1425" s="64"/>
      <c r="H1425" s="65"/>
      <c r="I1425" s="63"/>
      <c r="K1425" s="53" t="str">
        <f>IFERROR(__xludf.DUMMYFUNCTION("IF(ISBLANK(B1425),"""",IF(ISDATE(B1425),""X"",""""))"),"")</f>
        <v/>
      </c>
      <c r="L1425" s="40" t="str">
        <f>IFERROR(__xludf.DUMMYFUNCTION("IF(ISBLANK(B1425),"""",IF(Or(I1425=""Em Aberto"",ISBLANK(I1425),NOT(ISDATE(B1425))),"""",H1425))"),"")</f>
        <v/>
      </c>
      <c r="M1425" s="29" t="str">
        <f>IFERROR(__xludf.DUMMYFUNCTION("IF(ISBLANK(B1425),"""",IF(ISDATE(B1425),TEXT(B1425,""m""),""""))"),"")</f>
        <v/>
      </c>
      <c r="N1425" s="29" t="str">
        <f>IFERROR(__xludf.DUMMYFUNCTION("IF(M1425="""","""",QUERY({'Dashboard-Dados'!$Y$2:$AA$13},""Select Col2 Where Col1=""&amp;M1425))"),"")</f>
        <v/>
      </c>
      <c r="O1425" s="29" t="str">
        <f>IFERROR(__xludf.DUMMYFUNCTION("IF(ISBLANK(B1425),"""",IF(ISDATE(B1425),TEXT(B1425,""yyyy""),""""))"),"")</f>
        <v/>
      </c>
    </row>
    <row r="1426">
      <c r="B1426" s="62"/>
      <c r="C1426" s="56"/>
      <c r="D1426" s="56"/>
      <c r="E1426" s="56"/>
      <c r="F1426" s="63"/>
      <c r="G1426" s="64"/>
      <c r="H1426" s="65"/>
      <c r="I1426" s="63"/>
      <c r="K1426" s="53" t="str">
        <f>IFERROR(__xludf.DUMMYFUNCTION("IF(ISBLANK(B1426),"""",IF(ISDATE(B1426),""X"",""""))"),"")</f>
        <v/>
      </c>
      <c r="L1426" s="40" t="str">
        <f>IFERROR(__xludf.DUMMYFUNCTION("IF(ISBLANK(B1426),"""",IF(Or(I1426=""Em Aberto"",ISBLANK(I1426),NOT(ISDATE(B1426))),"""",H1426))"),"")</f>
        <v/>
      </c>
      <c r="M1426" s="29" t="str">
        <f>IFERROR(__xludf.DUMMYFUNCTION("IF(ISBLANK(B1426),"""",IF(ISDATE(B1426),TEXT(B1426,""m""),""""))"),"")</f>
        <v/>
      </c>
      <c r="N1426" s="29" t="str">
        <f>IFERROR(__xludf.DUMMYFUNCTION("IF(M1426="""","""",QUERY({'Dashboard-Dados'!$Y$2:$AA$13},""Select Col2 Where Col1=""&amp;M1426))"),"")</f>
        <v/>
      </c>
      <c r="O1426" s="29" t="str">
        <f>IFERROR(__xludf.DUMMYFUNCTION("IF(ISBLANK(B1426),"""",IF(ISDATE(B1426),TEXT(B1426,""yyyy""),""""))"),"")</f>
        <v/>
      </c>
    </row>
    <row r="1427">
      <c r="B1427" s="62"/>
      <c r="C1427" s="56"/>
      <c r="D1427" s="56"/>
      <c r="E1427" s="56"/>
      <c r="F1427" s="63"/>
      <c r="G1427" s="64"/>
      <c r="H1427" s="65"/>
      <c r="I1427" s="63"/>
      <c r="K1427" s="53" t="str">
        <f>IFERROR(__xludf.DUMMYFUNCTION("IF(ISBLANK(B1427),"""",IF(ISDATE(B1427),""X"",""""))"),"")</f>
        <v/>
      </c>
      <c r="L1427" s="40" t="str">
        <f>IFERROR(__xludf.DUMMYFUNCTION("IF(ISBLANK(B1427),"""",IF(Or(I1427=""Em Aberto"",ISBLANK(I1427),NOT(ISDATE(B1427))),"""",H1427))"),"")</f>
        <v/>
      </c>
      <c r="M1427" s="29" t="str">
        <f>IFERROR(__xludf.DUMMYFUNCTION("IF(ISBLANK(B1427),"""",IF(ISDATE(B1427),TEXT(B1427,""m""),""""))"),"")</f>
        <v/>
      </c>
      <c r="N1427" s="29" t="str">
        <f>IFERROR(__xludf.DUMMYFUNCTION("IF(M1427="""","""",QUERY({'Dashboard-Dados'!$Y$2:$AA$13},""Select Col2 Where Col1=""&amp;M1427))"),"")</f>
        <v/>
      </c>
      <c r="O1427" s="29" t="str">
        <f>IFERROR(__xludf.DUMMYFUNCTION("IF(ISBLANK(B1427),"""",IF(ISDATE(B1427),TEXT(B1427,""yyyy""),""""))"),"")</f>
        <v/>
      </c>
    </row>
    <row r="1428">
      <c r="B1428" s="62"/>
      <c r="C1428" s="56"/>
      <c r="D1428" s="56"/>
      <c r="E1428" s="56"/>
      <c r="F1428" s="63"/>
      <c r="G1428" s="64"/>
      <c r="H1428" s="65"/>
      <c r="I1428" s="63"/>
      <c r="K1428" s="53" t="str">
        <f>IFERROR(__xludf.DUMMYFUNCTION("IF(ISBLANK(B1428),"""",IF(ISDATE(B1428),""X"",""""))"),"")</f>
        <v/>
      </c>
      <c r="L1428" s="40" t="str">
        <f>IFERROR(__xludf.DUMMYFUNCTION("IF(ISBLANK(B1428),"""",IF(Or(I1428=""Em Aberto"",ISBLANK(I1428),NOT(ISDATE(B1428))),"""",H1428))"),"")</f>
        <v/>
      </c>
      <c r="M1428" s="29" t="str">
        <f>IFERROR(__xludf.DUMMYFUNCTION("IF(ISBLANK(B1428),"""",IF(ISDATE(B1428),TEXT(B1428,""m""),""""))"),"")</f>
        <v/>
      </c>
      <c r="N1428" s="29" t="str">
        <f>IFERROR(__xludf.DUMMYFUNCTION("IF(M1428="""","""",QUERY({'Dashboard-Dados'!$Y$2:$AA$13},""Select Col2 Where Col1=""&amp;M1428))"),"")</f>
        <v/>
      </c>
      <c r="O1428" s="29" t="str">
        <f>IFERROR(__xludf.DUMMYFUNCTION("IF(ISBLANK(B1428),"""",IF(ISDATE(B1428),TEXT(B1428,""yyyy""),""""))"),"")</f>
        <v/>
      </c>
    </row>
    <row r="1429">
      <c r="B1429" s="62"/>
      <c r="C1429" s="56"/>
      <c r="D1429" s="56"/>
      <c r="E1429" s="56"/>
      <c r="F1429" s="63"/>
      <c r="G1429" s="64"/>
      <c r="H1429" s="65"/>
      <c r="I1429" s="63"/>
      <c r="K1429" s="53" t="str">
        <f>IFERROR(__xludf.DUMMYFUNCTION("IF(ISBLANK(B1429),"""",IF(ISDATE(B1429),""X"",""""))"),"")</f>
        <v/>
      </c>
      <c r="L1429" s="40" t="str">
        <f>IFERROR(__xludf.DUMMYFUNCTION("IF(ISBLANK(B1429),"""",IF(Or(I1429=""Em Aberto"",ISBLANK(I1429),NOT(ISDATE(B1429))),"""",H1429))"),"")</f>
        <v/>
      </c>
      <c r="M1429" s="29" t="str">
        <f>IFERROR(__xludf.DUMMYFUNCTION("IF(ISBLANK(B1429),"""",IF(ISDATE(B1429),TEXT(B1429,""m""),""""))"),"")</f>
        <v/>
      </c>
      <c r="N1429" s="29" t="str">
        <f>IFERROR(__xludf.DUMMYFUNCTION("IF(M1429="""","""",QUERY({'Dashboard-Dados'!$Y$2:$AA$13},""Select Col2 Where Col1=""&amp;M1429))"),"")</f>
        <v/>
      </c>
      <c r="O1429" s="29" t="str">
        <f>IFERROR(__xludf.DUMMYFUNCTION("IF(ISBLANK(B1429),"""",IF(ISDATE(B1429),TEXT(B1429,""yyyy""),""""))"),"")</f>
        <v/>
      </c>
    </row>
    <row r="1430">
      <c r="B1430" s="62"/>
      <c r="C1430" s="56"/>
      <c r="D1430" s="56"/>
      <c r="E1430" s="56"/>
      <c r="F1430" s="63"/>
      <c r="G1430" s="64"/>
      <c r="H1430" s="65"/>
      <c r="I1430" s="63"/>
      <c r="K1430" s="53" t="str">
        <f>IFERROR(__xludf.DUMMYFUNCTION("IF(ISBLANK(B1430),"""",IF(ISDATE(B1430),""X"",""""))"),"")</f>
        <v/>
      </c>
      <c r="L1430" s="40" t="str">
        <f>IFERROR(__xludf.DUMMYFUNCTION("IF(ISBLANK(B1430),"""",IF(Or(I1430=""Em Aberto"",ISBLANK(I1430),NOT(ISDATE(B1430))),"""",H1430))"),"")</f>
        <v/>
      </c>
      <c r="M1430" s="29" t="str">
        <f>IFERROR(__xludf.DUMMYFUNCTION("IF(ISBLANK(B1430),"""",IF(ISDATE(B1430),TEXT(B1430,""m""),""""))"),"")</f>
        <v/>
      </c>
      <c r="N1430" s="29" t="str">
        <f>IFERROR(__xludf.DUMMYFUNCTION("IF(M1430="""","""",QUERY({'Dashboard-Dados'!$Y$2:$AA$13},""Select Col2 Where Col1=""&amp;M1430))"),"")</f>
        <v/>
      </c>
      <c r="O1430" s="29" t="str">
        <f>IFERROR(__xludf.DUMMYFUNCTION("IF(ISBLANK(B1430),"""",IF(ISDATE(B1430),TEXT(B1430,""yyyy""),""""))"),"")</f>
        <v/>
      </c>
    </row>
    <row r="1431">
      <c r="B1431" s="62"/>
      <c r="C1431" s="56"/>
      <c r="D1431" s="56"/>
      <c r="E1431" s="56"/>
      <c r="F1431" s="63"/>
      <c r="G1431" s="64"/>
      <c r="H1431" s="65"/>
      <c r="I1431" s="63"/>
      <c r="K1431" s="53" t="str">
        <f>IFERROR(__xludf.DUMMYFUNCTION("IF(ISBLANK(B1431),"""",IF(ISDATE(B1431),""X"",""""))"),"")</f>
        <v/>
      </c>
      <c r="L1431" s="40" t="str">
        <f>IFERROR(__xludf.DUMMYFUNCTION("IF(ISBLANK(B1431),"""",IF(Or(I1431=""Em Aberto"",ISBLANK(I1431),NOT(ISDATE(B1431))),"""",H1431))"),"")</f>
        <v/>
      </c>
      <c r="M1431" s="29" t="str">
        <f>IFERROR(__xludf.DUMMYFUNCTION("IF(ISBLANK(B1431),"""",IF(ISDATE(B1431),TEXT(B1431,""m""),""""))"),"")</f>
        <v/>
      </c>
      <c r="N1431" s="29" t="str">
        <f>IFERROR(__xludf.DUMMYFUNCTION("IF(M1431="""","""",QUERY({'Dashboard-Dados'!$Y$2:$AA$13},""Select Col2 Where Col1=""&amp;M1431))"),"")</f>
        <v/>
      </c>
      <c r="O1431" s="29" t="str">
        <f>IFERROR(__xludf.DUMMYFUNCTION("IF(ISBLANK(B1431),"""",IF(ISDATE(B1431),TEXT(B1431,""yyyy""),""""))"),"")</f>
        <v/>
      </c>
    </row>
    <row r="1432">
      <c r="B1432" s="62"/>
      <c r="C1432" s="56"/>
      <c r="D1432" s="56"/>
      <c r="E1432" s="56"/>
      <c r="F1432" s="63"/>
      <c r="G1432" s="64"/>
      <c r="H1432" s="65"/>
      <c r="I1432" s="63"/>
      <c r="K1432" s="53" t="str">
        <f>IFERROR(__xludf.DUMMYFUNCTION("IF(ISBLANK(B1432),"""",IF(ISDATE(B1432),""X"",""""))"),"")</f>
        <v/>
      </c>
      <c r="L1432" s="40" t="str">
        <f>IFERROR(__xludf.DUMMYFUNCTION("IF(ISBLANK(B1432),"""",IF(Or(I1432=""Em Aberto"",ISBLANK(I1432),NOT(ISDATE(B1432))),"""",H1432))"),"")</f>
        <v/>
      </c>
      <c r="M1432" s="29" t="str">
        <f>IFERROR(__xludf.DUMMYFUNCTION("IF(ISBLANK(B1432),"""",IF(ISDATE(B1432),TEXT(B1432,""m""),""""))"),"")</f>
        <v/>
      </c>
      <c r="N1432" s="29" t="str">
        <f>IFERROR(__xludf.DUMMYFUNCTION("IF(M1432="""","""",QUERY({'Dashboard-Dados'!$Y$2:$AA$13},""Select Col2 Where Col1=""&amp;M1432))"),"")</f>
        <v/>
      </c>
      <c r="O1432" s="29" t="str">
        <f>IFERROR(__xludf.DUMMYFUNCTION("IF(ISBLANK(B1432),"""",IF(ISDATE(B1432),TEXT(B1432,""yyyy""),""""))"),"")</f>
        <v/>
      </c>
    </row>
    <row r="1433">
      <c r="B1433" s="62"/>
      <c r="C1433" s="56"/>
      <c r="D1433" s="56"/>
      <c r="E1433" s="56"/>
      <c r="F1433" s="63"/>
      <c r="G1433" s="64"/>
      <c r="H1433" s="65"/>
      <c r="I1433" s="63"/>
      <c r="K1433" s="53" t="str">
        <f>IFERROR(__xludf.DUMMYFUNCTION("IF(ISBLANK(B1433),"""",IF(ISDATE(B1433),""X"",""""))"),"")</f>
        <v/>
      </c>
      <c r="L1433" s="40" t="str">
        <f>IFERROR(__xludf.DUMMYFUNCTION("IF(ISBLANK(B1433),"""",IF(Or(I1433=""Em Aberto"",ISBLANK(I1433),NOT(ISDATE(B1433))),"""",H1433))"),"")</f>
        <v/>
      </c>
      <c r="M1433" s="29" t="str">
        <f>IFERROR(__xludf.DUMMYFUNCTION("IF(ISBLANK(B1433),"""",IF(ISDATE(B1433),TEXT(B1433,""m""),""""))"),"")</f>
        <v/>
      </c>
      <c r="N1433" s="29" t="str">
        <f>IFERROR(__xludf.DUMMYFUNCTION("IF(M1433="""","""",QUERY({'Dashboard-Dados'!$Y$2:$AA$13},""Select Col2 Where Col1=""&amp;M1433))"),"")</f>
        <v/>
      </c>
      <c r="O1433" s="29" t="str">
        <f>IFERROR(__xludf.DUMMYFUNCTION("IF(ISBLANK(B1433),"""",IF(ISDATE(B1433),TEXT(B1433,""yyyy""),""""))"),"")</f>
        <v/>
      </c>
    </row>
    <row r="1434">
      <c r="B1434" s="62"/>
      <c r="C1434" s="56"/>
      <c r="D1434" s="56"/>
      <c r="E1434" s="56"/>
      <c r="F1434" s="63"/>
      <c r="G1434" s="64"/>
      <c r="H1434" s="65"/>
      <c r="I1434" s="63"/>
      <c r="K1434" s="53" t="str">
        <f>IFERROR(__xludf.DUMMYFUNCTION("IF(ISBLANK(B1434),"""",IF(ISDATE(B1434),""X"",""""))"),"")</f>
        <v/>
      </c>
      <c r="L1434" s="40" t="str">
        <f>IFERROR(__xludf.DUMMYFUNCTION("IF(ISBLANK(B1434),"""",IF(Or(I1434=""Em Aberto"",ISBLANK(I1434),NOT(ISDATE(B1434))),"""",H1434))"),"")</f>
        <v/>
      </c>
      <c r="M1434" s="29" t="str">
        <f>IFERROR(__xludf.DUMMYFUNCTION("IF(ISBLANK(B1434),"""",IF(ISDATE(B1434),TEXT(B1434,""m""),""""))"),"")</f>
        <v/>
      </c>
      <c r="N1434" s="29" t="str">
        <f>IFERROR(__xludf.DUMMYFUNCTION("IF(M1434="""","""",QUERY({'Dashboard-Dados'!$Y$2:$AA$13},""Select Col2 Where Col1=""&amp;M1434))"),"")</f>
        <v/>
      </c>
      <c r="O1434" s="29" t="str">
        <f>IFERROR(__xludf.DUMMYFUNCTION("IF(ISBLANK(B1434),"""",IF(ISDATE(B1434),TEXT(B1434,""yyyy""),""""))"),"")</f>
        <v/>
      </c>
    </row>
    <row r="1435">
      <c r="B1435" s="62"/>
      <c r="C1435" s="56"/>
      <c r="D1435" s="56"/>
      <c r="E1435" s="56"/>
      <c r="F1435" s="63"/>
      <c r="G1435" s="64"/>
      <c r="H1435" s="65"/>
      <c r="I1435" s="63"/>
      <c r="K1435" s="53" t="str">
        <f>IFERROR(__xludf.DUMMYFUNCTION("IF(ISBLANK(B1435),"""",IF(ISDATE(B1435),""X"",""""))"),"")</f>
        <v/>
      </c>
      <c r="L1435" s="40" t="str">
        <f>IFERROR(__xludf.DUMMYFUNCTION("IF(ISBLANK(B1435),"""",IF(Or(I1435=""Em Aberto"",ISBLANK(I1435),NOT(ISDATE(B1435))),"""",H1435))"),"")</f>
        <v/>
      </c>
      <c r="M1435" s="29" t="str">
        <f>IFERROR(__xludf.DUMMYFUNCTION("IF(ISBLANK(B1435),"""",IF(ISDATE(B1435),TEXT(B1435,""m""),""""))"),"")</f>
        <v/>
      </c>
      <c r="N1435" s="29" t="str">
        <f>IFERROR(__xludf.DUMMYFUNCTION("IF(M1435="""","""",QUERY({'Dashboard-Dados'!$Y$2:$AA$13},""Select Col2 Where Col1=""&amp;M1435))"),"")</f>
        <v/>
      </c>
      <c r="O1435" s="29" t="str">
        <f>IFERROR(__xludf.DUMMYFUNCTION("IF(ISBLANK(B1435),"""",IF(ISDATE(B1435),TEXT(B1435,""yyyy""),""""))"),"")</f>
        <v/>
      </c>
    </row>
    <row r="1436">
      <c r="B1436" s="62"/>
      <c r="C1436" s="56"/>
      <c r="D1436" s="56"/>
      <c r="E1436" s="56"/>
      <c r="F1436" s="63"/>
      <c r="G1436" s="64"/>
      <c r="H1436" s="65"/>
      <c r="I1436" s="63"/>
      <c r="K1436" s="53" t="str">
        <f>IFERROR(__xludf.DUMMYFUNCTION("IF(ISBLANK(B1436),"""",IF(ISDATE(B1436),""X"",""""))"),"")</f>
        <v/>
      </c>
      <c r="L1436" s="40" t="str">
        <f>IFERROR(__xludf.DUMMYFUNCTION("IF(ISBLANK(B1436),"""",IF(Or(I1436=""Em Aberto"",ISBLANK(I1436),NOT(ISDATE(B1436))),"""",H1436))"),"")</f>
        <v/>
      </c>
      <c r="M1436" s="29" t="str">
        <f>IFERROR(__xludf.DUMMYFUNCTION("IF(ISBLANK(B1436),"""",IF(ISDATE(B1436),TEXT(B1436,""m""),""""))"),"")</f>
        <v/>
      </c>
      <c r="N1436" s="29" t="str">
        <f>IFERROR(__xludf.DUMMYFUNCTION("IF(M1436="""","""",QUERY({'Dashboard-Dados'!$Y$2:$AA$13},""Select Col2 Where Col1=""&amp;M1436))"),"")</f>
        <v/>
      </c>
      <c r="O1436" s="29" t="str">
        <f>IFERROR(__xludf.DUMMYFUNCTION("IF(ISBLANK(B1436),"""",IF(ISDATE(B1436),TEXT(B1436,""yyyy""),""""))"),"")</f>
        <v/>
      </c>
    </row>
    <row r="1437">
      <c r="B1437" s="62"/>
      <c r="C1437" s="56"/>
      <c r="D1437" s="56"/>
      <c r="E1437" s="56"/>
      <c r="F1437" s="63"/>
      <c r="G1437" s="64"/>
      <c r="H1437" s="65"/>
      <c r="I1437" s="63"/>
      <c r="K1437" s="53" t="str">
        <f>IFERROR(__xludf.DUMMYFUNCTION("IF(ISBLANK(B1437),"""",IF(ISDATE(B1437),""X"",""""))"),"")</f>
        <v/>
      </c>
      <c r="L1437" s="40" t="str">
        <f>IFERROR(__xludf.DUMMYFUNCTION("IF(ISBLANK(B1437),"""",IF(Or(I1437=""Em Aberto"",ISBLANK(I1437),NOT(ISDATE(B1437))),"""",H1437))"),"")</f>
        <v/>
      </c>
      <c r="M1437" s="29" t="str">
        <f>IFERROR(__xludf.DUMMYFUNCTION("IF(ISBLANK(B1437),"""",IF(ISDATE(B1437),TEXT(B1437,""m""),""""))"),"")</f>
        <v/>
      </c>
      <c r="N1437" s="29" t="str">
        <f>IFERROR(__xludf.DUMMYFUNCTION("IF(M1437="""","""",QUERY({'Dashboard-Dados'!$Y$2:$AA$13},""Select Col2 Where Col1=""&amp;M1437))"),"")</f>
        <v/>
      </c>
      <c r="O1437" s="29" t="str">
        <f>IFERROR(__xludf.DUMMYFUNCTION("IF(ISBLANK(B1437),"""",IF(ISDATE(B1437),TEXT(B1437,""yyyy""),""""))"),"")</f>
        <v/>
      </c>
    </row>
    <row r="1438">
      <c r="B1438" s="62"/>
      <c r="C1438" s="56"/>
      <c r="D1438" s="56"/>
      <c r="E1438" s="56"/>
      <c r="F1438" s="63"/>
      <c r="G1438" s="64"/>
      <c r="H1438" s="65"/>
      <c r="I1438" s="63"/>
      <c r="K1438" s="53" t="str">
        <f>IFERROR(__xludf.DUMMYFUNCTION("IF(ISBLANK(B1438),"""",IF(ISDATE(B1438),""X"",""""))"),"")</f>
        <v/>
      </c>
      <c r="L1438" s="40" t="str">
        <f>IFERROR(__xludf.DUMMYFUNCTION("IF(ISBLANK(B1438),"""",IF(Or(I1438=""Em Aberto"",ISBLANK(I1438),NOT(ISDATE(B1438))),"""",H1438))"),"")</f>
        <v/>
      </c>
      <c r="M1438" s="29" t="str">
        <f>IFERROR(__xludf.DUMMYFUNCTION("IF(ISBLANK(B1438),"""",IF(ISDATE(B1438),TEXT(B1438,""m""),""""))"),"")</f>
        <v/>
      </c>
      <c r="N1438" s="29" t="str">
        <f>IFERROR(__xludf.DUMMYFUNCTION("IF(M1438="""","""",QUERY({'Dashboard-Dados'!$Y$2:$AA$13},""Select Col2 Where Col1=""&amp;M1438))"),"")</f>
        <v/>
      </c>
      <c r="O1438" s="29" t="str">
        <f>IFERROR(__xludf.DUMMYFUNCTION("IF(ISBLANK(B1438),"""",IF(ISDATE(B1438),TEXT(B1438,""yyyy""),""""))"),"")</f>
        <v/>
      </c>
    </row>
    <row r="1439">
      <c r="B1439" s="62"/>
      <c r="C1439" s="56"/>
      <c r="D1439" s="56"/>
      <c r="E1439" s="56"/>
      <c r="F1439" s="63"/>
      <c r="G1439" s="64"/>
      <c r="H1439" s="65"/>
      <c r="I1439" s="63"/>
      <c r="K1439" s="53" t="str">
        <f>IFERROR(__xludf.DUMMYFUNCTION("IF(ISBLANK(B1439),"""",IF(ISDATE(B1439),""X"",""""))"),"")</f>
        <v/>
      </c>
      <c r="L1439" s="40" t="str">
        <f>IFERROR(__xludf.DUMMYFUNCTION("IF(ISBLANK(B1439),"""",IF(Or(I1439=""Em Aberto"",ISBLANK(I1439),NOT(ISDATE(B1439))),"""",H1439))"),"")</f>
        <v/>
      </c>
      <c r="M1439" s="29" t="str">
        <f>IFERROR(__xludf.DUMMYFUNCTION("IF(ISBLANK(B1439),"""",IF(ISDATE(B1439),TEXT(B1439,""m""),""""))"),"")</f>
        <v/>
      </c>
      <c r="N1439" s="29" t="str">
        <f>IFERROR(__xludf.DUMMYFUNCTION("IF(M1439="""","""",QUERY({'Dashboard-Dados'!$Y$2:$AA$13},""Select Col2 Where Col1=""&amp;M1439))"),"")</f>
        <v/>
      </c>
      <c r="O1439" s="29" t="str">
        <f>IFERROR(__xludf.DUMMYFUNCTION("IF(ISBLANK(B1439),"""",IF(ISDATE(B1439),TEXT(B1439,""yyyy""),""""))"),"")</f>
        <v/>
      </c>
    </row>
    <row r="1440">
      <c r="B1440" s="62"/>
      <c r="C1440" s="56"/>
      <c r="D1440" s="56"/>
      <c r="E1440" s="56"/>
      <c r="F1440" s="63"/>
      <c r="G1440" s="64"/>
      <c r="H1440" s="65"/>
      <c r="I1440" s="63"/>
      <c r="K1440" s="53" t="str">
        <f>IFERROR(__xludf.DUMMYFUNCTION("IF(ISBLANK(B1440),"""",IF(ISDATE(B1440),""X"",""""))"),"")</f>
        <v/>
      </c>
      <c r="L1440" s="40" t="str">
        <f>IFERROR(__xludf.DUMMYFUNCTION("IF(ISBLANK(B1440),"""",IF(Or(I1440=""Em Aberto"",ISBLANK(I1440),NOT(ISDATE(B1440))),"""",H1440))"),"")</f>
        <v/>
      </c>
      <c r="M1440" s="29" t="str">
        <f>IFERROR(__xludf.DUMMYFUNCTION("IF(ISBLANK(B1440),"""",IF(ISDATE(B1440),TEXT(B1440,""m""),""""))"),"")</f>
        <v/>
      </c>
      <c r="N1440" s="29" t="str">
        <f>IFERROR(__xludf.DUMMYFUNCTION("IF(M1440="""","""",QUERY({'Dashboard-Dados'!$Y$2:$AA$13},""Select Col2 Where Col1=""&amp;M1440))"),"")</f>
        <v/>
      </c>
      <c r="O1440" s="29" t="str">
        <f>IFERROR(__xludf.DUMMYFUNCTION("IF(ISBLANK(B1440),"""",IF(ISDATE(B1440),TEXT(B1440,""yyyy""),""""))"),"")</f>
        <v/>
      </c>
    </row>
    <row r="1441">
      <c r="B1441" s="62"/>
      <c r="C1441" s="56"/>
      <c r="D1441" s="56"/>
      <c r="E1441" s="56"/>
      <c r="F1441" s="63"/>
      <c r="G1441" s="64"/>
      <c r="H1441" s="65"/>
      <c r="I1441" s="63"/>
      <c r="K1441" s="53" t="str">
        <f>IFERROR(__xludf.DUMMYFUNCTION("IF(ISBLANK(B1441),"""",IF(ISDATE(B1441),""X"",""""))"),"")</f>
        <v/>
      </c>
      <c r="L1441" s="40" t="str">
        <f>IFERROR(__xludf.DUMMYFUNCTION("IF(ISBLANK(B1441),"""",IF(Or(I1441=""Em Aberto"",ISBLANK(I1441),NOT(ISDATE(B1441))),"""",H1441))"),"")</f>
        <v/>
      </c>
      <c r="M1441" s="29" t="str">
        <f>IFERROR(__xludf.DUMMYFUNCTION("IF(ISBLANK(B1441),"""",IF(ISDATE(B1441),TEXT(B1441,""m""),""""))"),"")</f>
        <v/>
      </c>
      <c r="N1441" s="29" t="str">
        <f>IFERROR(__xludf.DUMMYFUNCTION("IF(M1441="""","""",QUERY({'Dashboard-Dados'!$Y$2:$AA$13},""Select Col2 Where Col1=""&amp;M1441))"),"")</f>
        <v/>
      </c>
      <c r="O1441" s="29" t="str">
        <f>IFERROR(__xludf.DUMMYFUNCTION("IF(ISBLANK(B1441),"""",IF(ISDATE(B1441),TEXT(B1441,""yyyy""),""""))"),"")</f>
        <v/>
      </c>
    </row>
    <row r="1442">
      <c r="B1442" s="62"/>
      <c r="C1442" s="56"/>
      <c r="D1442" s="56"/>
      <c r="E1442" s="56"/>
      <c r="F1442" s="63"/>
      <c r="G1442" s="64"/>
      <c r="H1442" s="65"/>
      <c r="I1442" s="63"/>
      <c r="K1442" s="53" t="str">
        <f>IFERROR(__xludf.DUMMYFUNCTION("IF(ISBLANK(B1442),"""",IF(ISDATE(B1442),""X"",""""))"),"")</f>
        <v/>
      </c>
      <c r="L1442" s="40" t="str">
        <f>IFERROR(__xludf.DUMMYFUNCTION("IF(ISBLANK(B1442),"""",IF(Or(I1442=""Em Aberto"",ISBLANK(I1442),NOT(ISDATE(B1442))),"""",H1442))"),"")</f>
        <v/>
      </c>
      <c r="M1442" s="29" t="str">
        <f>IFERROR(__xludf.DUMMYFUNCTION("IF(ISBLANK(B1442),"""",IF(ISDATE(B1442),TEXT(B1442,""m""),""""))"),"")</f>
        <v/>
      </c>
      <c r="N1442" s="29" t="str">
        <f>IFERROR(__xludf.DUMMYFUNCTION("IF(M1442="""","""",QUERY({'Dashboard-Dados'!$Y$2:$AA$13},""Select Col2 Where Col1=""&amp;M1442))"),"")</f>
        <v/>
      </c>
      <c r="O1442" s="29" t="str">
        <f>IFERROR(__xludf.DUMMYFUNCTION("IF(ISBLANK(B1442),"""",IF(ISDATE(B1442),TEXT(B1442,""yyyy""),""""))"),"")</f>
        <v/>
      </c>
    </row>
    <row r="1443">
      <c r="B1443" s="62"/>
      <c r="C1443" s="56"/>
      <c r="D1443" s="56"/>
      <c r="E1443" s="56"/>
      <c r="F1443" s="63"/>
      <c r="G1443" s="64"/>
      <c r="H1443" s="65"/>
      <c r="I1443" s="63"/>
      <c r="K1443" s="53" t="str">
        <f>IFERROR(__xludf.DUMMYFUNCTION("IF(ISBLANK(B1443),"""",IF(ISDATE(B1443),""X"",""""))"),"")</f>
        <v/>
      </c>
      <c r="L1443" s="40" t="str">
        <f>IFERROR(__xludf.DUMMYFUNCTION("IF(ISBLANK(B1443),"""",IF(Or(I1443=""Em Aberto"",ISBLANK(I1443),NOT(ISDATE(B1443))),"""",H1443))"),"")</f>
        <v/>
      </c>
      <c r="M1443" s="29" t="str">
        <f>IFERROR(__xludf.DUMMYFUNCTION("IF(ISBLANK(B1443),"""",IF(ISDATE(B1443),TEXT(B1443,""m""),""""))"),"")</f>
        <v/>
      </c>
      <c r="N1443" s="29" t="str">
        <f>IFERROR(__xludf.DUMMYFUNCTION("IF(M1443="""","""",QUERY({'Dashboard-Dados'!$Y$2:$AA$13},""Select Col2 Where Col1=""&amp;M1443))"),"")</f>
        <v/>
      </c>
      <c r="O1443" s="29" t="str">
        <f>IFERROR(__xludf.DUMMYFUNCTION("IF(ISBLANK(B1443),"""",IF(ISDATE(B1443),TEXT(B1443,""yyyy""),""""))"),"")</f>
        <v/>
      </c>
    </row>
    <row r="1444">
      <c r="B1444" s="62"/>
      <c r="C1444" s="56"/>
      <c r="D1444" s="56"/>
      <c r="E1444" s="56"/>
      <c r="F1444" s="63"/>
      <c r="G1444" s="64"/>
      <c r="H1444" s="65"/>
      <c r="I1444" s="63"/>
      <c r="K1444" s="53" t="str">
        <f>IFERROR(__xludf.DUMMYFUNCTION("IF(ISBLANK(B1444),"""",IF(ISDATE(B1444),""X"",""""))"),"")</f>
        <v/>
      </c>
      <c r="L1444" s="40" t="str">
        <f>IFERROR(__xludf.DUMMYFUNCTION("IF(ISBLANK(B1444),"""",IF(Or(I1444=""Em Aberto"",ISBLANK(I1444),NOT(ISDATE(B1444))),"""",H1444))"),"")</f>
        <v/>
      </c>
      <c r="M1444" s="29" t="str">
        <f>IFERROR(__xludf.DUMMYFUNCTION("IF(ISBLANK(B1444),"""",IF(ISDATE(B1444),TEXT(B1444,""m""),""""))"),"")</f>
        <v/>
      </c>
      <c r="N1444" s="29" t="str">
        <f>IFERROR(__xludf.DUMMYFUNCTION("IF(M1444="""","""",QUERY({'Dashboard-Dados'!$Y$2:$AA$13},""Select Col2 Where Col1=""&amp;M1444))"),"")</f>
        <v/>
      </c>
      <c r="O1444" s="29" t="str">
        <f>IFERROR(__xludf.DUMMYFUNCTION("IF(ISBLANK(B1444),"""",IF(ISDATE(B1444),TEXT(B1444,""yyyy""),""""))"),"")</f>
        <v/>
      </c>
    </row>
    <row r="1445">
      <c r="B1445" s="62"/>
      <c r="C1445" s="56"/>
      <c r="D1445" s="56"/>
      <c r="E1445" s="56"/>
      <c r="F1445" s="63"/>
      <c r="G1445" s="64"/>
      <c r="H1445" s="65"/>
      <c r="I1445" s="63"/>
      <c r="K1445" s="53" t="str">
        <f>IFERROR(__xludf.DUMMYFUNCTION("IF(ISBLANK(B1445),"""",IF(ISDATE(B1445),""X"",""""))"),"")</f>
        <v/>
      </c>
      <c r="L1445" s="40" t="str">
        <f>IFERROR(__xludf.DUMMYFUNCTION("IF(ISBLANK(B1445),"""",IF(Or(I1445=""Em Aberto"",ISBLANK(I1445),NOT(ISDATE(B1445))),"""",H1445))"),"")</f>
        <v/>
      </c>
      <c r="M1445" s="29" t="str">
        <f>IFERROR(__xludf.DUMMYFUNCTION("IF(ISBLANK(B1445),"""",IF(ISDATE(B1445),TEXT(B1445,""m""),""""))"),"")</f>
        <v/>
      </c>
      <c r="N1445" s="29" t="str">
        <f>IFERROR(__xludf.DUMMYFUNCTION("IF(M1445="""","""",QUERY({'Dashboard-Dados'!$Y$2:$AA$13},""Select Col2 Where Col1=""&amp;M1445))"),"")</f>
        <v/>
      </c>
      <c r="O1445" s="29" t="str">
        <f>IFERROR(__xludf.DUMMYFUNCTION("IF(ISBLANK(B1445),"""",IF(ISDATE(B1445),TEXT(B1445,""yyyy""),""""))"),"")</f>
        <v/>
      </c>
    </row>
    <row r="1446">
      <c r="B1446" s="62"/>
      <c r="C1446" s="56"/>
      <c r="D1446" s="56"/>
      <c r="E1446" s="56"/>
      <c r="F1446" s="63"/>
      <c r="G1446" s="64"/>
      <c r="H1446" s="65"/>
      <c r="I1446" s="63"/>
      <c r="K1446" s="53" t="str">
        <f>IFERROR(__xludf.DUMMYFUNCTION("IF(ISBLANK(B1446),"""",IF(ISDATE(B1446),""X"",""""))"),"")</f>
        <v/>
      </c>
      <c r="L1446" s="40" t="str">
        <f>IFERROR(__xludf.DUMMYFUNCTION("IF(ISBLANK(B1446),"""",IF(Or(I1446=""Em Aberto"",ISBLANK(I1446),NOT(ISDATE(B1446))),"""",H1446))"),"")</f>
        <v/>
      </c>
      <c r="M1446" s="29" t="str">
        <f>IFERROR(__xludf.DUMMYFUNCTION("IF(ISBLANK(B1446),"""",IF(ISDATE(B1446),TEXT(B1446,""m""),""""))"),"")</f>
        <v/>
      </c>
      <c r="N1446" s="29" t="str">
        <f>IFERROR(__xludf.DUMMYFUNCTION("IF(M1446="""","""",QUERY({'Dashboard-Dados'!$Y$2:$AA$13},""Select Col2 Where Col1=""&amp;M1446))"),"")</f>
        <v/>
      </c>
      <c r="O1446" s="29" t="str">
        <f>IFERROR(__xludf.DUMMYFUNCTION("IF(ISBLANK(B1446),"""",IF(ISDATE(B1446),TEXT(B1446,""yyyy""),""""))"),"")</f>
        <v/>
      </c>
    </row>
    <row r="1447">
      <c r="B1447" s="62"/>
      <c r="C1447" s="56"/>
      <c r="D1447" s="56"/>
      <c r="E1447" s="56"/>
      <c r="F1447" s="63"/>
      <c r="G1447" s="64"/>
      <c r="H1447" s="65"/>
      <c r="I1447" s="63"/>
      <c r="K1447" s="53" t="str">
        <f>IFERROR(__xludf.DUMMYFUNCTION("IF(ISBLANK(B1447),"""",IF(ISDATE(B1447),""X"",""""))"),"")</f>
        <v/>
      </c>
      <c r="L1447" s="40" t="str">
        <f>IFERROR(__xludf.DUMMYFUNCTION("IF(ISBLANK(B1447),"""",IF(Or(I1447=""Em Aberto"",ISBLANK(I1447),NOT(ISDATE(B1447))),"""",H1447))"),"")</f>
        <v/>
      </c>
      <c r="M1447" s="29" t="str">
        <f>IFERROR(__xludf.DUMMYFUNCTION("IF(ISBLANK(B1447),"""",IF(ISDATE(B1447),TEXT(B1447,""m""),""""))"),"")</f>
        <v/>
      </c>
      <c r="N1447" s="29" t="str">
        <f>IFERROR(__xludf.DUMMYFUNCTION("IF(M1447="""","""",QUERY({'Dashboard-Dados'!$Y$2:$AA$13},""Select Col2 Where Col1=""&amp;M1447))"),"")</f>
        <v/>
      </c>
      <c r="O1447" s="29" t="str">
        <f>IFERROR(__xludf.DUMMYFUNCTION("IF(ISBLANK(B1447),"""",IF(ISDATE(B1447),TEXT(B1447,""yyyy""),""""))"),"")</f>
        <v/>
      </c>
    </row>
    <row r="1448">
      <c r="B1448" s="62"/>
      <c r="C1448" s="56"/>
      <c r="D1448" s="56"/>
      <c r="E1448" s="56"/>
      <c r="F1448" s="63"/>
      <c r="G1448" s="64"/>
      <c r="H1448" s="65"/>
      <c r="I1448" s="63"/>
      <c r="K1448" s="53" t="str">
        <f>IFERROR(__xludf.DUMMYFUNCTION("IF(ISBLANK(B1448),"""",IF(ISDATE(B1448),""X"",""""))"),"")</f>
        <v/>
      </c>
      <c r="L1448" s="40" t="str">
        <f>IFERROR(__xludf.DUMMYFUNCTION("IF(ISBLANK(B1448),"""",IF(Or(I1448=""Em Aberto"",ISBLANK(I1448),NOT(ISDATE(B1448))),"""",H1448))"),"")</f>
        <v/>
      </c>
      <c r="M1448" s="29" t="str">
        <f>IFERROR(__xludf.DUMMYFUNCTION("IF(ISBLANK(B1448),"""",IF(ISDATE(B1448),TEXT(B1448,""m""),""""))"),"")</f>
        <v/>
      </c>
      <c r="N1448" s="29" t="str">
        <f>IFERROR(__xludf.DUMMYFUNCTION("IF(M1448="""","""",QUERY({'Dashboard-Dados'!$Y$2:$AA$13},""Select Col2 Where Col1=""&amp;M1448))"),"")</f>
        <v/>
      </c>
      <c r="O1448" s="29" t="str">
        <f>IFERROR(__xludf.DUMMYFUNCTION("IF(ISBLANK(B1448),"""",IF(ISDATE(B1448),TEXT(B1448,""yyyy""),""""))"),"")</f>
        <v/>
      </c>
    </row>
    <row r="1449">
      <c r="B1449" s="62"/>
      <c r="C1449" s="56"/>
      <c r="D1449" s="56"/>
      <c r="E1449" s="56"/>
      <c r="F1449" s="63"/>
      <c r="G1449" s="64"/>
      <c r="H1449" s="65"/>
      <c r="I1449" s="63"/>
      <c r="K1449" s="53" t="str">
        <f>IFERROR(__xludf.DUMMYFUNCTION("IF(ISBLANK(B1449),"""",IF(ISDATE(B1449),""X"",""""))"),"")</f>
        <v/>
      </c>
      <c r="L1449" s="40" t="str">
        <f>IFERROR(__xludf.DUMMYFUNCTION("IF(ISBLANK(B1449),"""",IF(Or(I1449=""Em Aberto"",ISBLANK(I1449),NOT(ISDATE(B1449))),"""",H1449))"),"")</f>
        <v/>
      </c>
      <c r="M1449" s="29" t="str">
        <f>IFERROR(__xludf.DUMMYFUNCTION("IF(ISBLANK(B1449),"""",IF(ISDATE(B1449),TEXT(B1449,""m""),""""))"),"")</f>
        <v/>
      </c>
      <c r="N1449" s="29" t="str">
        <f>IFERROR(__xludf.DUMMYFUNCTION("IF(M1449="""","""",QUERY({'Dashboard-Dados'!$Y$2:$AA$13},""Select Col2 Where Col1=""&amp;M1449))"),"")</f>
        <v/>
      </c>
      <c r="O1449" s="29" t="str">
        <f>IFERROR(__xludf.DUMMYFUNCTION("IF(ISBLANK(B1449),"""",IF(ISDATE(B1449),TEXT(B1449,""yyyy""),""""))"),"")</f>
        <v/>
      </c>
    </row>
    <row r="1450">
      <c r="B1450" s="62"/>
      <c r="C1450" s="56"/>
      <c r="D1450" s="56"/>
      <c r="E1450" s="56"/>
      <c r="F1450" s="63"/>
      <c r="G1450" s="64"/>
      <c r="H1450" s="65"/>
      <c r="I1450" s="63"/>
      <c r="K1450" s="53" t="str">
        <f>IFERROR(__xludf.DUMMYFUNCTION("IF(ISBLANK(B1450),"""",IF(ISDATE(B1450),""X"",""""))"),"")</f>
        <v/>
      </c>
      <c r="L1450" s="40" t="str">
        <f>IFERROR(__xludf.DUMMYFUNCTION("IF(ISBLANK(B1450),"""",IF(Or(I1450=""Em Aberto"",ISBLANK(I1450),NOT(ISDATE(B1450))),"""",H1450))"),"")</f>
        <v/>
      </c>
      <c r="M1450" s="29" t="str">
        <f>IFERROR(__xludf.DUMMYFUNCTION("IF(ISBLANK(B1450),"""",IF(ISDATE(B1450),TEXT(B1450,""m""),""""))"),"")</f>
        <v/>
      </c>
      <c r="N1450" s="29" t="str">
        <f>IFERROR(__xludf.DUMMYFUNCTION("IF(M1450="""","""",QUERY({'Dashboard-Dados'!$Y$2:$AA$13},""Select Col2 Where Col1=""&amp;M1450))"),"")</f>
        <v/>
      </c>
      <c r="O1450" s="29" t="str">
        <f>IFERROR(__xludf.DUMMYFUNCTION("IF(ISBLANK(B1450),"""",IF(ISDATE(B1450),TEXT(B1450,""yyyy""),""""))"),"")</f>
        <v/>
      </c>
    </row>
    <row r="1451">
      <c r="B1451" s="62"/>
      <c r="C1451" s="56"/>
      <c r="D1451" s="56"/>
      <c r="E1451" s="56"/>
      <c r="F1451" s="63"/>
      <c r="G1451" s="64"/>
      <c r="H1451" s="65"/>
      <c r="I1451" s="63"/>
      <c r="K1451" s="53" t="str">
        <f>IFERROR(__xludf.DUMMYFUNCTION("IF(ISBLANK(B1451),"""",IF(ISDATE(B1451),""X"",""""))"),"")</f>
        <v/>
      </c>
      <c r="L1451" s="40" t="str">
        <f>IFERROR(__xludf.DUMMYFUNCTION("IF(ISBLANK(B1451),"""",IF(Or(I1451=""Em Aberto"",ISBLANK(I1451),NOT(ISDATE(B1451))),"""",H1451))"),"")</f>
        <v/>
      </c>
      <c r="M1451" s="29" t="str">
        <f>IFERROR(__xludf.DUMMYFUNCTION("IF(ISBLANK(B1451),"""",IF(ISDATE(B1451),TEXT(B1451,""m""),""""))"),"")</f>
        <v/>
      </c>
      <c r="N1451" s="29" t="str">
        <f>IFERROR(__xludf.DUMMYFUNCTION("IF(M1451="""","""",QUERY({'Dashboard-Dados'!$Y$2:$AA$13},""Select Col2 Where Col1=""&amp;M1451))"),"")</f>
        <v/>
      </c>
      <c r="O1451" s="29" t="str">
        <f>IFERROR(__xludf.DUMMYFUNCTION("IF(ISBLANK(B1451),"""",IF(ISDATE(B1451),TEXT(B1451,""yyyy""),""""))"),"")</f>
        <v/>
      </c>
    </row>
    <row r="1452">
      <c r="B1452" s="62"/>
      <c r="C1452" s="56"/>
      <c r="D1452" s="56"/>
      <c r="E1452" s="56"/>
      <c r="F1452" s="63"/>
      <c r="G1452" s="64"/>
      <c r="H1452" s="65"/>
      <c r="I1452" s="63"/>
      <c r="K1452" s="53" t="str">
        <f>IFERROR(__xludf.DUMMYFUNCTION("IF(ISBLANK(B1452),"""",IF(ISDATE(B1452),""X"",""""))"),"")</f>
        <v/>
      </c>
      <c r="L1452" s="40" t="str">
        <f>IFERROR(__xludf.DUMMYFUNCTION("IF(ISBLANK(B1452),"""",IF(Or(I1452=""Em Aberto"",ISBLANK(I1452),NOT(ISDATE(B1452))),"""",H1452))"),"")</f>
        <v/>
      </c>
      <c r="M1452" s="29" t="str">
        <f>IFERROR(__xludf.DUMMYFUNCTION("IF(ISBLANK(B1452),"""",IF(ISDATE(B1452),TEXT(B1452,""m""),""""))"),"")</f>
        <v/>
      </c>
      <c r="N1452" s="29" t="str">
        <f>IFERROR(__xludf.DUMMYFUNCTION("IF(M1452="""","""",QUERY({'Dashboard-Dados'!$Y$2:$AA$13},""Select Col2 Where Col1=""&amp;M1452))"),"")</f>
        <v/>
      </c>
      <c r="O1452" s="29" t="str">
        <f>IFERROR(__xludf.DUMMYFUNCTION("IF(ISBLANK(B1452),"""",IF(ISDATE(B1452),TEXT(B1452,""yyyy""),""""))"),"")</f>
        <v/>
      </c>
    </row>
    <row r="1453">
      <c r="B1453" s="62"/>
      <c r="C1453" s="56"/>
      <c r="D1453" s="56"/>
      <c r="E1453" s="56"/>
      <c r="F1453" s="63"/>
      <c r="G1453" s="64"/>
      <c r="H1453" s="65"/>
      <c r="I1453" s="63"/>
      <c r="K1453" s="53" t="str">
        <f>IFERROR(__xludf.DUMMYFUNCTION("IF(ISBLANK(B1453),"""",IF(ISDATE(B1453),""X"",""""))"),"")</f>
        <v/>
      </c>
      <c r="L1453" s="40" t="str">
        <f>IFERROR(__xludf.DUMMYFUNCTION("IF(ISBLANK(B1453),"""",IF(Or(I1453=""Em Aberto"",ISBLANK(I1453),NOT(ISDATE(B1453))),"""",H1453))"),"")</f>
        <v/>
      </c>
      <c r="M1453" s="29" t="str">
        <f>IFERROR(__xludf.DUMMYFUNCTION("IF(ISBLANK(B1453),"""",IF(ISDATE(B1453),TEXT(B1453,""m""),""""))"),"")</f>
        <v/>
      </c>
      <c r="N1453" s="29" t="str">
        <f>IFERROR(__xludf.DUMMYFUNCTION("IF(M1453="""","""",QUERY({'Dashboard-Dados'!$Y$2:$AA$13},""Select Col2 Where Col1=""&amp;M1453))"),"")</f>
        <v/>
      </c>
      <c r="O1453" s="29" t="str">
        <f>IFERROR(__xludf.DUMMYFUNCTION("IF(ISBLANK(B1453),"""",IF(ISDATE(B1453),TEXT(B1453,""yyyy""),""""))"),"")</f>
        <v/>
      </c>
    </row>
    <row r="1454">
      <c r="B1454" s="62"/>
      <c r="C1454" s="56"/>
      <c r="D1454" s="56"/>
      <c r="E1454" s="56"/>
      <c r="F1454" s="63"/>
      <c r="G1454" s="64"/>
      <c r="H1454" s="65"/>
      <c r="I1454" s="63"/>
      <c r="K1454" s="53" t="str">
        <f>IFERROR(__xludf.DUMMYFUNCTION("IF(ISBLANK(B1454),"""",IF(ISDATE(B1454),""X"",""""))"),"")</f>
        <v/>
      </c>
      <c r="L1454" s="40" t="str">
        <f>IFERROR(__xludf.DUMMYFUNCTION("IF(ISBLANK(B1454),"""",IF(Or(I1454=""Em Aberto"",ISBLANK(I1454),NOT(ISDATE(B1454))),"""",H1454))"),"")</f>
        <v/>
      </c>
      <c r="M1454" s="29" t="str">
        <f>IFERROR(__xludf.DUMMYFUNCTION("IF(ISBLANK(B1454),"""",IF(ISDATE(B1454),TEXT(B1454,""m""),""""))"),"")</f>
        <v/>
      </c>
      <c r="N1454" s="29" t="str">
        <f>IFERROR(__xludf.DUMMYFUNCTION("IF(M1454="""","""",QUERY({'Dashboard-Dados'!$Y$2:$AA$13},""Select Col2 Where Col1=""&amp;M1454))"),"")</f>
        <v/>
      </c>
      <c r="O1454" s="29" t="str">
        <f>IFERROR(__xludf.DUMMYFUNCTION("IF(ISBLANK(B1454),"""",IF(ISDATE(B1454),TEXT(B1454,""yyyy""),""""))"),"")</f>
        <v/>
      </c>
    </row>
    <row r="1455">
      <c r="B1455" s="62"/>
      <c r="C1455" s="56"/>
      <c r="D1455" s="56"/>
      <c r="E1455" s="56"/>
      <c r="F1455" s="63"/>
      <c r="G1455" s="64"/>
      <c r="H1455" s="65"/>
      <c r="I1455" s="63"/>
      <c r="K1455" s="53" t="str">
        <f>IFERROR(__xludf.DUMMYFUNCTION("IF(ISBLANK(B1455),"""",IF(ISDATE(B1455),""X"",""""))"),"")</f>
        <v/>
      </c>
      <c r="L1455" s="40" t="str">
        <f>IFERROR(__xludf.DUMMYFUNCTION("IF(ISBLANK(B1455),"""",IF(Or(I1455=""Em Aberto"",ISBLANK(I1455),NOT(ISDATE(B1455))),"""",H1455))"),"")</f>
        <v/>
      </c>
      <c r="M1455" s="29" t="str">
        <f>IFERROR(__xludf.DUMMYFUNCTION("IF(ISBLANK(B1455),"""",IF(ISDATE(B1455),TEXT(B1455,""m""),""""))"),"")</f>
        <v/>
      </c>
      <c r="N1455" s="29" t="str">
        <f>IFERROR(__xludf.DUMMYFUNCTION("IF(M1455="""","""",QUERY({'Dashboard-Dados'!$Y$2:$AA$13},""Select Col2 Where Col1=""&amp;M1455))"),"")</f>
        <v/>
      </c>
      <c r="O1455" s="29" t="str">
        <f>IFERROR(__xludf.DUMMYFUNCTION("IF(ISBLANK(B1455),"""",IF(ISDATE(B1455),TEXT(B1455,""yyyy""),""""))"),"")</f>
        <v/>
      </c>
    </row>
    <row r="1456">
      <c r="B1456" s="62"/>
      <c r="C1456" s="56"/>
      <c r="D1456" s="56"/>
      <c r="E1456" s="56"/>
      <c r="F1456" s="63"/>
      <c r="G1456" s="64"/>
      <c r="H1456" s="65"/>
      <c r="I1456" s="63"/>
      <c r="K1456" s="53" t="str">
        <f>IFERROR(__xludf.DUMMYFUNCTION("IF(ISBLANK(B1456),"""",IF(ISDATE(B1456),""X"",""""))"),"")</f>
        <v/>
      </c>
      <c r="L1456" s="40" t="str">
        <f>IFERROR(__xludf.DUMMYFUNCTION("IF(ISBLANK(B1456),"""",IF(Or(I1456=""Em Aberto"",ISBLANK(I1456),NOT(ISDATE(B1456))),"""",H1456))"),"")</f>
        <v/>
      </c>
      <c r="M1456" s="29" t="str">
        <f>IFERROR(__xludf.DUMMYFUNCTION("IF(ISBLANK(B1456),"""",IF(ISDATE(B1456),TEXT(B1456,""m""),""""))"),"")</f>
        <v/>
      </c>
      <c r="N1456" s="29" t="str">
        <f>IFERROR(__xludf.DUMMYFUNCTION("IF(M1456="""","""",QUERY({'Dashboard-Dados'!$Y$2:$AA$13},""Select Col2 Where Col1=""&amp;M1456))"),"")</f>
        <v/>
      </c>
      <c r="O1456" s="29" t="str">
        <f>IFERROR(__xludf.DUMMYFUNCTION("IF(ISBLANK(B1456),"""",IF(ISDATE(B1456),TEXT(B1456,""yyyy""),""""))"),"")</f>
        <v/>
      </c>
    </row>
    <row r="1457">
      <c r="B1457" s="62"/>
      <c r="C1457" s="56"/>
      <c r="D1457" s="56"/>
      <c r="E1457" s="56"/>
      <c r="F1457" s="63"/>
      <c r="G1457" s="64"/>
      <c r="H1457" s="65"/>
      <c r="I1457" s="63"/>
      <c r="K1457" s="53" t="str">
        <f>IFERROR(__xludf.DUMMYFUNCTION("IF(ISBLANK(B1457),"""",IF(ISDATE(B1457),""X"",""""))"),"")</f>
        <v/>
      </c>
      <c r="L1457" s="40" t="str">
        <f>IFERROR(__xludf.DUMMYFUNCTION("IF(ISBLANK(B1457),"""",IF(Or(I1457=""Em Aberto"",ISBLANK(I1457),NOT(ISDATE(B1457))),"""",H1457))"),"")</f>
        <v/>
      </c>
      <c r="M1457" s="29" t="str">
        <f>IFERROR(__xludf.DUMMYFUNCTION("IF(ISBLANK(B1457),"""",IF(ISDATE(B1457),TEXT(B1457,""m""),""""))"),"")</f>
        <v/>
      </c>
      <c r="N1457" s="29" t="str">
        <f>IFERROR(__xludf.DUMMYFUNCTION("IF(M1457="""","""",QUERY({'Dashboard-Dados'!$Y$2:$AA$13},""Select Col2 Where Col1=""&amp;M1457))"),"")</f>
        <v/>
      </c>
      <c r="O1457" s="29" t="str">
        <f>IFERROR(__xludf.DUMMYFUNCTION("IF(ISBLANK(B1457),"""",IF(ISDATE(B1457),TEXT(B1457,""yyyy""),""""))"),"")</f>
        <v/>
      </c>
    </row>
    <row r="1458">
      <c r="B1458" s="62"/>
      <c r="C1458" s="56"/>
      <c r="D1458" s="56"/>
      <c r="E1458" s="56"/>
      <c r="F1458" s="63"/>
      <c r="G1458" s="64"/>
      <c r="H1458" s="65"/>
      <c r="I1458" s="63"/>
      <c r="K1458" s="53" t="str">
        <f>IFERROR(__xludf.DUMMYFUNCTION("IF(ISBLANK(B1458),"""",IF(ISDATE(B1458),""X"",""""))"),"")</f>
        <v/>
      </c>
      <c r="L1458" s="40" t="str">
        <f>IFERROR(__xludf.DUMMYFUNCTION("IF(ISBLANK(B1458),"""",IF(Or(I1458=""Em Aberto"",ISBLANK(I1458),NOT(ISDATE(B1458))),"""",H1458))"),"")</f>
        <v/>
      </c>
      <c r="M1458" s="29" t="str">
        <f>IFERROR(__xludf.DUMMYFUNCTION("IF(ISBLANK(B1458),"""",IF(ISDATE(B1458),TEXT(B1458,""m""),""""))"),"")</f>
        <v/>
      </c>
      <c r="N1458" s="29" t="str">
        <f>IFERROR(__xludf.DUMMYFUNCTION("IF(M1458="""","""",QUERY({'Dashboard-Dados'!$Y$2:$AA$13},""Select Col2 Where Col1=""&amp;M1458))"),"")</f>
        <v/>
      </c>
      <c r="O1458" s="29" t="str">
        <f>IFERROR(__xludf.DUMMYFUNCTION("IF(ISBLANK(B1458),"""",IF(ISDATE(B1458),TEXT(B1458,""yyyy""),""""))"),"")</f>
        <v/>
      </c>
    </row>
    <row r="1459">
      <c r="B1459" s="62"/>
      <c r="C1459" s="56"/>
      <c r="D1459" s="56"/>
      <c r="E1459" s="56"/>
      <c r="F1459" s="63"/>
      <c r="G1459" s="64"/>
      <c r="H1459" s="65"/>
      <c r="I1459" s="63"/>
      <c r="K1459" s="53" t="str">
        <f>IFERROR(__xludf.DUMMYFUNCTION("IF(ISBLANK(B1459),"""",IF(ISDATE(B1459),""X"",""""))"),"")</f>
        <v/>
      </c>
      <c r="L1459" s="40" t="str">
        <f>IFERROR(__xludf.DUMMYFUNCTION("IF(ISBLANK(B1459),"""",IF(Or(I1459=""Em Aberto"",ISBLANK(I1459),NOT(ISDATE(B1459))),"""",H1459))"),"")</f>
        <v/>
      </c>
      <c r="M1459" s="29" t="str">
        <f>IFERROR(__xludf.DUMMYFUNCTION("IF(ISBLANK(B1459),"""",IF(ISDATE(B1459),TEXT(B1459,""m""),""""))"),"")</f>
        <v/>
      </c>
      <c r="N1459" s="29" t="str">
        <f>IFERROR(__xludf.DUMMYFUNCTION("IF(M1459="""","""",QUERY({'Dashboard-Dados'!$Y$2:$AA$13},""Select Col2 Where Col1=""&amp;M1459))"),"")</f>
        <v/>
      </c>
      <c r="O1459" s="29" t="str">
        <f>IFERROR(__xludf.DUMMYFUNCTION("IF(ISBLANK(B1459),"""",IF(ISDATE(B1459),TEXT(B1459,""yyyy""),""""))"),"")</f>
        <v/>
      </c>
    </row>
    <row r="1460">
      <c r="B1460" s="62"/>
      <c r="C1460" s="56"/>
      <c r="D1460" s="56"/>
      <c r="E1460" s="56"/>
      <c r="F1460" s="63"/>
      <c r="G1460" s="64"/>
      <c r="H1460" s="65"/>
      <c r="I1460" s="63"/>
      <c r="K1460" s="53" t="str">
        <f>IFERROR(__xludf.DUMMYFUNCTION("IF(ISBLANK(B1460),"""",IF(ISDATE(B1460),""X"",""""))"),"")</f>
        <v/>
      </c>
      <c r="L1460" s="40" t="str">
        <f>IFERROR(__xludf.DUMMYFUNCTION("IF(ISBLANK(B1460),"""",IF(Or(I1460=""Em Aberto"",ISBLANK(I1460),NOT(ISDATE(B1460))),"""",H1460))"),"")</f>
        <v/>
      </c>
      <c r="M1460" s="29" t="str">
        <f>IFERROR(__xludf.DUMMYFUNCTION("IF(ISBLANK(B1460),"""",IF(ISDATE(B1460),TEXT(B1460,""m""),""""))"),"")</f>
        <v/>
      </c>
      <c r="N1460" s="29" t="str">
        <f>IFERROR(__xludf.DUMMYFUNCTION("IF(M1460="""","""",QUERY({'Dashboard-Dados'!$Y$2:$AA$13},""Select Col2 Where Col1=""&amp;M1460))"),"")</f>
        <v/>
      </c>
      <c r="O1460" s="29" t="str">
        <f>IFERROR(__xludf.DUMMYFUNCTION("IF(ISBLANK(B1460),"""",IF(ISDATE(B1460),TEXT(B1460,""yyyy""),""""))"),"")</f>
        <v/>
      </c>
    </row>
    <row r="1461">
      <c r="B1461" s="62"/>
      <c r="C1461" s="56"/>
      <c r="D1461" s="56"/>
      <c r="E1461" s="56"/>
      <c r="F1461" s="63"/>
      <c r="G1461" s="64"/>
      <c r="H1461" s="65"/>
      <c r="I1461" s="63"/>
      <c r="K1461" s="53" t="str">
        <f>IFERROR(__xludf.DUMMYFUNCTION("IF(ISBLANK(B1461),"""",IF(ISDATE(B1461),""X"",""""))"),"")</f>
        <v/>
      </c>
      <c r="L1461" s="40" t="str">
        <f>IFERROR(__xludf.DUMMYFUNCTION("IF(ISBLANK(B1461),"""",IF(Or(I1461=""Em Aberto"",ISBLANK(I1461),NOT(ISDATE(B1461))),"""",H1461))"),"")</f>
        <v/>
      </c>
      <c r="M1461" s="29" t="str">
        <f>IFERROR(__xludf.DUMMYFUNCTION("IF(ISBLANK(B1461),"""",IF(ISDATE(B1461),TEXT(B1461,""m""),""""))"),"")</f>
        <v/>
      </c>
      <c r="N1461" s="29" t="str">
        <f>IFERROR(__xludf.DUMMYFUNCTION("IF(M1461="""","""",QUERY({'Dashboard-Dados'!$Y$2:$AA$13},""Select Col2 Where Col1=""&amp;M1461))"),"")</f>
        <v/>
      </c>
      <c r="O1461" s="29" t="str">
        <f>IFERROR(__xludf.DUMMYFUNCTION("IF(ISBLANK(B1461),"""",IF(ISDATE(B1461),TEXT(B1461,""yyyy""),""""))"),"")</f>
        <v/>
      </c>
    </row>
    <row r="1462">
      <c r="B1462" s="62"/>
      <c r="C1462" s="56"/>
      <c r="D1462" s="56"/>
      <c r="E1462" s="56"/>
      <c r="F1462" s="63"/>
      <c r="G1462" s="64"/>
      <c r="H1462" s="65"/>
      <c r="I1462" s="63"/>
      <c r="K1462" s="53" t="str">
        <f>IFERROR(__xludf.DUMMYFUNCTION("IF(ISBLANK(B1462),"""",IF(ISDATE(B1462),""X"",""""))"),"")</f>
        <v/>
      </c>
      <c r="L1462" s="40" t="str">
        <f>IFERROR(__xludf.DUMMYFUNCTION("IF(ISBLANK(B1462),"""",IF(Or(I1462=""Em Aberto"",ISBLANK(I1462),NOT(ISDATE(B1462))),"""",H1462))"),"")</f>
        <v/>
      </c>
      <c r="M1462" s="29" t="str">
        <f>IFERROR(__xludf.DUMMYFUNCTION("IF(ISBLANK(B1462),"""",IF(ISDATE(B1462),TEXT(B1462,""m""),""""))"),"")</f>
        <v/>
      </c>
      <c r="N1462" s="29" t="str">
        <f>IFERROR(__xludf.DUMMYFUNCTION("IF(M1462="""","""",QUERY({'Dashboard-Dados'!$Y$2:$AA$13},""Select Col2 Where Col1=""&amp;M1462))"),"")</f>
        <v/>
      </c>
      <c r="O1462" s="29" t="str">
        <f>IFERROR(__xludf.DUMMYFUNCTION("IF(ISBLANK(B1462),"""",IF(ISDATE(B1462),TEXT(B1462,""yyyy""),""""))"),"")</f>
        <v/>
      </c>
    </row>
    <row r="1463">
      <c r="B1463" s="62"/>
      <c r="C1463" s="56"/>
      <c r="D1463" s="56"/>
      <c r="E1463" s="56"/>
      <c r="F1463" s="63"/>
      <c r="G1463" s="64"/>
      <c r="H1463" s="65"/>
      <c r="I1463" s="63"/>
      <c r="K1463" s="53" t="str">
        <f>IFERROR(__xludf.DUMMYFUNCTION("IF(ISBLANK(B1463),"""",IF(ISDATE(B1463),""X"",""""))"),"")</f>
        <v/>
      </c>
      <c r="L1463" s="40" t="str">
        <f>IFERROR(__xludf.DUMMYFUNCTION("IF(ISBLANK(B1463),"""",IF(Or(I1463=""Em Aberto"",ISBLANK(I1463),NOT(ISDATE(B1463))),"""",H1463))"),"")</f>
        <v/>
      </c>
      <c r="M1463" s="29" t="str">
        <f>IFERROR(__xludf.DUMMYFUNCTION("IF(ISBLANK(B1463),"""",IF(ISDATE(B1463),TEXT(B1463,""m""),""""))"),"")</f>
        <v/>
      </c>
      <c r="N1463" s="29" t="str">
        <f>IFERROR(__xludf.DUMMYFUNCTION("IF(M1463="""","""",QUERY({'Dashboard-Dados'!$Y$2:$AA$13},""Select Col2 Where Col1=""&amp;M1463))"),"")</f>
        <v/>
      </c>
      <c r="O1463" s="29" t="str">
        <f>IFERROR(__xludf.DUMMYFUNCTION("IF(ISBLANK(B1463),"""",IF(ISDATE(B1463),TEXT(B1463,""yyyy""),""""))"),"")</f>
        <v/>
      </c>
    </row>
    <row r="1464">
      <c r="B1464" s="62"/>
      <c r="C1464" s="56"/>
      <c r="D1464" s="56"/>
      <c r="E1464" s="56"/>
      <c r="F1464" s="63"/>
      <c r="G1464" s="64"/>
      <c r="H1464" s="65"/>
      <c r="I1464" s="63"/>
      <c r="K1464" s="53" t="str">
        <f>IFERROR(__xludf.DUMMYFUNCTION("IF(ISBLANK(B1464),"""",IF(ISDATE(B1464),""X"",""""))"),"")</f>
        <v/>
      </c>
      <c r="L1464" s="40" t="str">
        <f>IFERROR(__xludf.DUMMYFUNCTION("IF(ISBLANK(B1464),"""",IF(Or(I1464=""Em Aberto"",ISBLANK(I1464),NOT(ISDATE(B1464))),"""",H1464))"),"")</f>
        <v/>
      </c>
      <c r="M1464" s="29" t="str">
        <f>IFERROR(__xludf.DUMMYFUNCTION("IF(ISBLANK(B1464),"""",IF(ISDATE(B1464),TEXT(B1464,""m""),""""))"),"")</f>
        <v/>
      </c>
      <c r="N1464" s="29" t="str">
        <f>IFERROR(__xludf.DUMMYFUNCTION("IF(M1464="""","""",QUERY({'Dashboard-Dados'!$Y$2:$AA$13},""Select Col2 Where Col1=""&amp;M1464))"),"")</f>
        <v/>
      </c>
      <c r="O1464" s="29" t="str">
        <f>IFERROR(__xludf.DUMMYFUNCTION("IF(ISBLANK(B1464),"""",IF(ISDATE(B1464),TEXT(B1464,""yyyy""),""""))"),"")</f>
        <v/>
      </c>
    </row>
    <row r="1465">
      <c r="B1465" s="62"/>
      <c r="C1465" s="56"/>
      <c r="D1465" s="56"/>
      <c r="E1465" s="56"/>
      <c r="F1465" s="63"/>
      <c r="G1465" s="64"/>
      <c r="H1465" s="65"/>
      <c r="I1465" s="63"/>
      <c r="K1465" s="53" t="str">
        <f>IFERROR(__xludf.DUMMYFUNCTION("IF(ISBLANK(B1465),"""",IF(ISDATE(B1465),""X"",""""))"),"")</f>
        <v/>
      </c>
      <c r="L1465" s="40" t="str">
        <f>IFERROR(__xludf.DUMMYFUNCTION("IF(ISBLANK(B1465),"""",IF(Or(I1465=""Em Aberto"",ISBLANK(I1465),NOT(ISDATE(B1465))),"""",H1465))"),"")</f>
        <v/>
      </c>
      <c r="M1465" s="29" t="str">
        <f>IFERROR(__xludf.DUMMYFUNCTION("IF(ISBLANK(B1465),"""",IF(ISDATE(B1465),TEXT(B1465,""m""),""""))"),"")</f>
        <v/>
      </c>
      <c r="N1465" s="29" t="str">
        <f>IFERROR(__xludf.DUMMYFUNCTION("IF(M1465="""","""",QUERY({'Dashboard-Dados'!$Y$2:$AA$13},""Select Col2 Where Col1=""&amp;M1465))"),"")</f>
        <v/>
      </c>
      <c r="O1465" s="29" t="str">
        <f>IFERROR(__xludf.DUMMYFUNCTION("IF(ISBLANK(B1465),"""",IF(ISDATE(B1465),TEXT(B1465,""yyyy""),""""))"),"")</f>
        <v/>
      </c>
    </row>
    <row r="1466">
      <c r="B1466" s="62"/>
      <c r="C1466" s="56"/>
      <c r="D1466" s="56"/>
      <c r="E1466" s="56"/>
      <c r="F1466" s="63"/>
      <c r="G1466" s="64"/>
      <c r="H1466" s="65"/>
      <c r="I1466" s="63"/>
      <c r="K1466" s="53" t="str">
        <f>IFERROR(__xludf.DUMMYFUNCTION("IF(ISBLANK(B1466),"""",IF(ISDATE(B1466),""X"",""""))"),"")</f>
        <v/>
      </c>
      <c r="L1466" s="40" t="str">
        <f>IFERROR(__xludf.DUMMYFUNCTION("IF(ISBLANK(B1466),"""",IF(Or(I1466=""Em Aberto"",ISBLANK(I1466),NOT(ISDATE(B1466))),"""",H1466))"),"")</f>
        <v/>
      </c>
      <c r="M1466" s="29" t="str">
        <f>IFERROR(__xludf.DUMMYFUNCTION("IF(ISBLANK(B1466),"""",IF(ISDATE(B1466),TEXT(B1466,""m""),""""))"),"")</f>
        <v/>
      </c>
      <c r="N1466" s="29" t="str">
        <f>IFERROR(__xludf.DUMMYFUNCTION("IF(M1466="""","""",QUERY({'Dashboard-Dados'!$Y$2:$AA$13},""Select Col2 Where Col1=""&amp;M1466))"),"")</f>
        <v/>
      </c>
      <c r="O1466" s="29" t="str">
        <f>IFERROR(__xludf.DUMMYFUNCTION("IF(ISBLANK(B1466),"""",IF(ISDATE(B1466),TEXT(B1466,""yyyy""),""""))"),"")</f>
        <v/>
      </c>
    </row>
    <row r="1467">
      <c r="B1467" s="62"/>
      <c r="C1467" s="56"/>
      <c r="D1467" s="56"/>
      <c r="E1467" s="56"/>
      <c r="F1467" s="63"/>
      <c r="G1467" s="64"/>
      <c r="H1467" s="65"/>
      <c r="I1467" s="63"/>
      <c r="K1467" s="53" t="str">
        <f>IFERROR(__xludf.DUMMYFUNCTION("IF(ISBLANK(B1467),"""",IF(ISDATE(B1467),""X"",""""))"),"")</f>
        <v/>
      </c>
      <c r="L1467" s="40" t="str">
        <f>IFERROR(__xludf.DUMMYFUNCTION("IF(ISBLANK(B1467),"""",IF(Or(I1467=""Em Aberto"",ISBLANK(I1467),NOT(ISDATE(B1467))),"""",H1467))"),"")</f>
        <v/>
      </c>
      <c r="M1467" s="29" t="str">
        <f>IFERROR(__xludf.DUMMYFUNCTION("IF(ISBLANK(B1467),"""",IF(ISDATE(B1467),TEXT(B1467,""m""),""""))"),"")</f>
        <v/>
      </c>
      <c r="N1467" s="29" t="str">
        <f>IFERROR(__xludf.DUMMYFUNCTION("IF(M1467="""","""",QUERY({'Dashboard-Dados'!$Y$2:$AA$13},""Select Col2 Where Col1=""&amp;M1467))"),"")</f>
        <v/>
      </c>
      <c r="O1467" s="29" t="str">
        <f>IFERROR(__xludf.DUMMYFUNCTION("IF(ISBLANK(B1467),"""",IF(ISDATE(B1467),TEXT(B1467,""yyyy""),""""))"),"")</f>
        <v/>
      </c>
    </row>
    <row r="1468">
      <c r="B1468" s="62"/>
      <c r="C1468" s="56"/>
      <c r="D1468" s="56"/>
      <c r="E1468" s="56"/>
      <c r="F1468" s="63"/>
      <c r="G1468" s="64"/>
      <c r="H1468" s="65"/>
      <c r="I1468" s="63"/>
      <c r="K1468" s="53" t="str">
        <f>IFERROR(__xludf.DUMMYFUNCTION("IF(ISBLANK(B1468),"""",IF(ISDATE(B1468),""X"",""""))"),"")</f>
        <v/>
      </c>
      <c r="L1468" s="40" t="str">
        <f>IFERROR(__xludf.DUMMYFUNCTION("IF(ISBLANK(B1468),"""",IF(Or(I1468=""Em Aberto"",ISBLANK(I1468),NOT(ISDATE(B1468))),"""",H1468))"),"")</f>
        <v/>
      </c>
      <c r="M1468" s="29" t="str">
        <f>IFERROR(__xludf.DUMMYFUNCTION("IF(ISBLANK(B1468),"""",IF(ISDATE(B1468),TEXT(B1468,""m""),""""))"),"")</f>
        <v/>
      </c>
      <c r="N1468" s="29" t="str">
        <f>IFERROR(__xludf.DUMMYFUNCTION("IF(M1468="""","""",QUERY({'Dashboard-Dados'!$Y$2:$AA$13},""Select Col2 Where Col1=""&amp;M1468))"),"")</f>
        <v/>
      </c>
      <c r="O1468" s="29" t="str">
        <f>IFERROR(__xludf.DUMMYFUNCTION("IF(ISBLANK(B1468),"""",IF(ISDATE(B1468),TEXT(B1468,""yyyy""),""""))"),"")</f>
        <v/>
      </c>
    </row>
    <row r="1469">
      <c r="B1469" s="62"/>
      <c r="C1469" s="56"/>
      <c r="D1469" s="56"/>
      <c r="E1469" s="56"/>
      <c r="F1469" s="63"/>
      <c r="G1469" s="64"/>
      <c r="H1469" s="65"/>
      <c r="I1469" s="63"/>
      <c r="K1469" s="53" t="str">
        <f>IFERROR(__xludf.DUMMYFUNCTION("IF(ISBLANK(B1469),"""",IF(ISDATE(B1469),""X"",""""))"),"")</f>
        <v/>
      </c>
      <c r="L1469" s="40" t="str">
        <f>IFERROR(__xludf.DUMMYFUNCTION("IF(ISBLANK(B1469),"""",IF(Or(I1469=""Em Aberto"",ISBLANK(I1469),NOT(ISDATE(B1469))),"""",H1469))"),"")</f>
        <v/>
      </c>
      <c r="M1469" s="29" t="str">
        <f>IFERROR(__xludf.DUMMYFUNCTION("IF(ISBLANK(B1469),"""",IF(ISDATE(B1469),TEXT(B1469,""m""),""""))"),"")</f>
        <v/>
      </c>
      <c r="N1469" s="29" t="str">
        <f>IFERROR(__xludf.DUMMYFUNCTION("IF(M1469="""","""",QUERY({'Dashboard-Dados'!$Y$2:$AA$13},""Select Col2 Where Col1=""&amp;M1469))"),"")</f>
        <v/>
      </c>
      <c r="O1469" s="29" t="str">
        <f>IFERROR(__xludf.DUMMYFUNCTION("IF(ISBLANK(B1469),"""",IF(ISDATE(B1469),TEXT(B1469,""yyyy""),""""))"),"")</f>
        <v/>
      </c>
    </row>
    <row r="1470">
      <c r="B1470" s="62"/>
      <c r="C1470" s="56"/>
      <c r="D1470" s="56"/>
      <c r="E1470" s="56"/>
      <c r="F1470" s="63"/>
      <c r="G1470" s="64"/>
      <c r="H1470" s="65"/>
      <c r="I1470" s="63"/>
      <c r="K1470" s="53" t="str">
        <f>IFERROR(__xludf.DUMMYFUNCTION("IF(ISBLANK(B1470),"""",IF(ISDATE(B1470),""X"",""""))"),"")</f>
        <v/>
      </c>
      <c r="L1470" s="40" t="str">
        <f>IFERROR(__xludf.DUMMYFUNCTION("IF(ISBLANK(B1470),"""",IF(Or(I1470=""Em Aberto"",ISBLANK(I1470),NOT(ISDATE(B1470))),"""",H1470))"),"")</f>
        <v/>
      </c>
      <c r="M1470" s="29" t="str">
        <f>IFERROR(__xludf.DUMMYFUNCTION("IF(ISBLANK(B1470),"""",IF(ISDATE(B1470),TEXT(B1470,""m""),""""))"),"")</f>
        <v/>
      </c>
      <c r="N1470" s="29" t="str">
        <f>IFERROR(__xludf.DUMMYFUNCTION("IF(M1470="""","""",QUERY({'Dashboard-Dados'!$Y$2:$AA$13},""Select Col2 Where Col1=""&amp;M1470))"),"")</f>
        <v/>
      </c>
      <c r="O1470" s="29" t="str">
        <f>IFERROR(__xludf.DUMMYFUNCTION("IF(ISBLANK(B1470),"""",IF(ISDATE(B1470),TEXT(B1470,""yyyy""),""""))"),"")</f>
        <v/>
      </c>
    </row>
    <row r="1471">
      <c r="B1471" s="62"/>
      <c r="C1471" s="56"/>
      <c r="D1471" s="56"/>
      <c r="E1471" s="56"/>
      <c r="F1471" s="63"/>
      <c r="G1471" s="64"/>
      <c r="H1471" s="65"/>
      <c r="I1471" s="63"/>
      <c r="K1471" s="53" t="str">
        <f>IFERROR(__xludf.DUMMYFUNCTION("IF(ISBLANK(B1471),"""",IF(ISDATE(B1471),""X"",""""))"),"")</f>
        <v/>
      </c>
      <c r="L1471" s="40" t="str">
        <f>IFERROR(__xludf.DUMMYFUNCTION("IF(ISBLANK(B1471),"""",IF(Or(I1471=""Em Aberto"",ISBLANK(I1471),NOT(ISDATE(B1471))),"""",H1471))"),"")</f>
        <v/>
      </c>
      <c r="M1471" s="29" t="str">
        <f>IFERROR(__xludf.DUMMYFUNCTION("IF(ISBLANK(B1471),"""",IF(ISDATE(B1471),TEXT(B1471,""m""),""""))"),"")</f>
        <v/>
      </c>
      <c r="N1471" s="29" t="str">
        <f>IFERROR(__xludf.DUMMYFUNCTION("IF(M1471="""","""",QUERY({'Dashboard-Dados'!$Y$2:$AA$13},""Select Col2 Where Col1=""&amp;M1471))"),"")</f>
        <v/>
      </c>
      <c r="O1471" s="29" t="str">
        <f>IFERROR(__xludf.DUMMYFUNCTION("IF(ISBLANK(B1471),"""",IF(ISDATE(B1471),TEXT(B1471,""yyyy""),""""))"),"")</f>
        <v/>
      </c>
    </row>
    <row r="1472">
      <c r="B1472" s="62"/>
      <c r="C1472" s="56"/>
      <c r="D1472" s="56"/>
      <c r="E1472" s="56"/>
      <c r="F1472" s="63"/>
      <c r="G1472" s="64"/>
      <c r="H1472" s="65"/>
      <c r="I1472" s="63"/>
      <c r="K1472" s="53" t="str">
        <f>IFERROR(__xludf.DUMMYFUNCTION("IF(ISBLANK(B1472),"""",IF(ISDATE(B1472),""X"",""""))"),"")</f>
        <v/>
      </c>
      <c r="L1472" s="40" t="str">
        <f>IFERROR(__xludf.DUMMYFUNCTION("IF(ISBLANK(B1472),"""",IF(Or(I1472=""Em Aberto"",ISBLANK(I1472),NOT(ISDATE(B1472))),"""",H1472))"),"")</f>
        <v/>
      </c>
      <c r="M1472" s="29" t="str">
        <f>IFERROR(__xludf.DUMMYFUNCTION("IF(ISBLANK(B1472),"""",IF(ISDATE(B1472),TEXT(B1472,""m""),""""))"),"")</f>
        <v/>
      </c>
      <c r="N1472" s="29" t="str">
        <f>IFERROR(__xludf.DUMMYFUNCTION("IF(M1472="""","""",QUERY({'Dashboard-Dados'!$Y$2:$AA$13},""Select Col2 Where Col1=""&amp;M1472))"),"")</f>
        <v/>
      </c>
      <c r="O1472" s="29" t="str">
        <f>IFERROR(__xludf.DUMMYFUNCTION("IF(ISBLANK(B1472),"""",IF(ISDATE(B1472),TEXT(B1472,""yyyy""),""""))"),"")</f>
        <v/>
      </c>
    </row>
    <row r="1473">
      <c r="B1473" s="62"/>
      <c r="C1473" s="56"/>
      <c r="D1473" s="56"/>
      <c r="E1473" s="56"/>
      <c r="F1473" s="63"/>
      <c r="G1473" s="64"/>
      <c r="H1473" s="65"/>
      <c r="I1473" s="63"/>
      <c r="K1473" s="53" t="str">
        <f>IFERROR(__xludf.DUMMYFUNCTION("IF(ISBLANK(B1473),"""",IF(ISDATE(B1473),""X"",""""))"),"")</f>
        <v/>
      </c>
      <c r="L1473" s="40" t="str">
        <f>IFERROR(__xludf.DUMMYFUNCTION("IF(ISBLANK(B1473),"""",IF(Or(I1473=""Em Aberto"",ISBLANK(I1473),NOT(ISDATE(B1473))),"""",H1473))"),"")</f>
        <v/>
      </c>
      <c r="M1473" s="29" t="str">
        <f>IFERROR(__xludf.DUMMYFUNCTION("IF(ISBLANK(B1473),"""",IF(ISDATE(B1473),TEXT(B1473,""m""),""""))"),"")</f>
        <v/>
      </c>
      <c r="N1473" s="29" t="str">
        <f>IFERROR(__xludf.DUMMYFUNCTION("IF(M1473="""","""",QUERY({'Dashboard-Dados'!$Y$2:$AA$13},""Select Col2 Where Col1=""&amp;M1473))"),"")</f>
        <v/>
      </c>
      <c r="O1473" s="29" t="str">
        <f>IFERROR(__xludf.DUMMYFUNCTION("IF(ISBLANK(B1473),"""",IF(ISDATE(B1473),TEXT(B1473,""yyyy""),""""))"),"")</f>
        <v/>
      </c>
    </row>
    <row r="1474">
      <c r="B1474" s="62"/>
      <c r="C1474" s="56"/>
      <c r="D1474" s="56"/>
      <c r="E1474" s="56"/>
      <c r="F1474" s="63"/>
      <c r="G1474" s="64"/>
      <c r="H1474" s="65"/>
      <c r="I1474" s="63"/>
      <c r="K1474" s="53" t="str">
        <f>IFERROR(__xludf.DUMMYFUNCTION("IF(ISBLANK(B1474),"""",IF(ISDATE(B1474),""X"",""""))"),"")</f>
        <v/>
      </c>
      <c r="L1474" s="40" t="str">
        <f>IFERROR(__xludf.DUMMYFUNCTION("IF(ISBLANK(B1474),"""",IF(Or(I1474=""Em Aberto"",ISBLANK(I1474),NOT(ISDATE(B1474))),"""",H1474))"),"")</f>
        <v/>
      </c>
      <c r="M1474" s="29" t="str">
        <f>IFERROR(__xludf.DUMMYFUNCTION("IF(ISBLANK(B1474),"""",IF(ISDATE(B1474),TEXT(B1474,""m""),""""))"),"")</f>
        <v/>
      </c>
      <c r="N1474" s="29" t="str">
        <f>IFERROR(__xludf.DUMMYFUNCTION("IF(M1474="""","""",QUERY({'Dashboard-Dados'!$Y$2:$AA$13},""Select Col2 Where Col1=""&amp;M1474))"),"")</f>
        <v/>
      </c>
      <c r="O1474" s="29" t="str">
        <f>IFERROR(__xludf.DUMMYFUNCTION("IF(ISBLANK(B1474),"""",IF(ISDATE(B1474),TEXT(B1474,""yyyy""),""""))"),"")</f>
        <v/>
      </c>
    </row>
    <row r="1475">
      <c r="B1475" s="62"/>
      <c r="C1475" s="56"/>
      <c r="D1475" s="56"/>
      <c r="E1475" s="56"/>
      <c r="F1475" s="63"/>
      <c r="G1475" s="64"/>
      <c r="H1475" s="65"/>
      <c r="I1475" s="63"/>
      <c r="K1475" s="53" t="str">
        <f>IFERROR(__xludf.DUMMYFUNCTION("IF(ISBLANK(B1475),"""",IF(ISDATE(B1475),""X"",""""))"),"")</f>
        <v/>
      </c>
      <c r="L1475" s="40" t="str">
        <f>IFERROR(__xludf.DUMMYFUNCTION("IF(ISBLANK(B1475),"""",IF(Or(I1475=""Em Aberto"",ISBLANK(I1475),NOT(ISDATE(B1475))),"""",H1475))"),"")</f>
        <v/>
      </c>
      <c r="M1475" s="29" t="str">
        <f>IFERROR(__xludf.DUMMYFUNCTION("IF(ISBLANK(B1475),"""",IF(ISDATE(B1475),TEXT(B1475,""m""),""""))"),"")</f>
        <v/>
      </c>
      <c r="N1475" s="29" t="str">
        <f>IFERROR(__xludf.DUMMYFUNCTION("IF(M1475="""","""",QUERY({'Dashboard-Dados'!$Y$2:$AA$13},""Select Col2 Where Col1=""&amp;M1475))"),"")</f>
        <v/>
      </c>
      <c r="O1475" s="29" t="str">
        <f>IFERROR(__xludf.DUMMYFUNCTION("IF(ISBLANK(B1475),"""",IF(ISDATE(B1475),TEXT(B1475,""yyyy""),""""))"),"")</f>
        <v/>
      </c>
    </row>
    <row r="1476">
      <c r="B1476" s="62"/>
      <c r="C1476" s="56"/>
      <c r="D1476" s="56"/>
      <c r="E1476" s="56"/>
      <c r="F1476" s="63"/>
      <c r="G1476" s="64"/>
      <c r="H1476" s="65"/>
      <c r="I1476" s="63"/>
      <c r="K1476" s="53" t="str">
        <f>IFERROR(__xludf.DUMMYFUNCTION("IF(ISBLANK(B1476),"""",IF(ISDATE(B1476),""X"",""""))"),"")</f>
        <v/>
      </c>
      <c r="L1476" s="40" t="str">
        <f>IFERROR(__xludf.DUMMYFUNCTION("IF(ISBLANK(B1476),"""",IF(Or(I1476=""Em Aberto"",ISBLANK(I1476),NOT(ISDATE(B1476))),"""",H1476))"),"")</f>
        <v/>
      </c>
      <c r="M1476" s="29" t="str">
        <f>IFERROR(__xludf.DUMMYFUNCTION("IF(ISBLANK(B1476),"""",IF(ISDATE(B1476),TEXT(B1476,""m""),""""))"),"")</f>
        <v/>
      </c>
      <c r="N1476" s="29" t="str">
        <f>IFERROR(__xludf.DUMMYFUNCTION("IF(M1476="""","""",QUERY({'Dashboard-Dados'!$Y$2:$AA$13},""Select Col2 Where Col1=""&amp;M1476))"),"")</f>
        <v/>
      </c>
      <c r="O1476" s="29" t="str">
        <f>IFERROR(__xludf.DUMMYFUNCTION("IF(ISBLANK(B1476),"""",IF(ISDATE(B1476),TEXT(B1476,""yyyy""),""""))"),"")</f>
        <v/>
      </c>
    </row>
    <row r="1477">
      <c r="B1477" s="62"/>
      <c r="C1477" s="56"/>
      <c r="D1477" s="56"/>
      <c r="E1477" s="56"/>
      <c r="F1477" s="63"/>
      <c r="G1477" s="64"/>
      <c r="H1477" s="65"/>
      <c r="I1477" s="63"/>
      <c r="K1477" s="53" t="str">
        <f>IFERROR(__xludf.DUMMYFUNCTION("IF(ISBLANK(B1477),"""",IF(ISDATE(B1477),""X"",""""))"),"")</f>
        <v/>
      </c>
      <c r="L1477" s="40" t="str">
        <f>IFERROR(__xludf.DUMMYFUNCTION("IF(ISBLANK(B1477),"""",IF(Or(I1477=""Em Aberto"",ISBLANK(I1477),NOT(ISDATE(B1477))),"""",H1477))"),"")</f>
        <v/>
      </c>
      <c r="M1477" s="29" t="str">
        <f>IFERROR(__xludf.DUMMYFUNCTION("IF(ISBLANK(B1477),"""",IF(ISDATE(B1477),TEXT(B1477,""m""),""""))"),"")</f>
        <v/>
      </c>
      <c r="N1477" s="29" t="str">
        <f>IFERROR(__xludf.DUMMYFUNCTION("IF(M1477="""","""",QUERY({'Dashboard-Dados'!$Y$2:$AA$13},""Select Col2 Where Col1=""&amp;M1477))"),"")</f>
        <v/>
      </c>
      <c r="O1477" s="29" t="str">
        <f>IFERROR(__xludf.DUMMYFUNCTION("IF(ISBLANK(B1477),"""",IF(ISDATE(B1477),TEXT(B1477,""yyyy""),""""))"),"")</f>
        <v/>
      </c>
    </row>
    <row r="1478">
      <c r="B1478" s="62"/>
      <c r="C1478" s="56"/>
      <c r="D1478" s="56"/>
      <c r="E1478" s="56"/>
      <c r="F1478" s="63"/>
      <c r="G1478" s="64"/>
      <c r="H1478" s="65"/>
      <c r="I1478" s="63"/>
      <c r="K1478" s="53" t="str">
        <f>IFERROR(__xludf.DUMMYFUNCTION("IF(ISBLANK(B1478),"""",IF(ISDATE(B1478),""X"",""""))"),"")</f>
        <v/>
      </c>
      <c r="L1478" s="40" t="str">
        <f>IFERROR(__xludf.DUMMYFUNCTION("IF(ISBLANK(B1478),"""",IF(Or(I1478=""Em Aberto"",ISBLANK(I1478),NOT(ISDATE(B1478))),"""",H1478))"),"")</f>
        <v/>
      </c>
      <c r="M1478" s="29" t="str">
        <f>IFERROR(__xludf.DUMMYFUNCTION("IF(ISBLANK(B1478),"""",IF(ISDATE(B1478),TEXT(B1478,""m""),""""))"),"")</f>
        <v/>
      </c>
      <c r="N1478" s="29" t="str">
        <f>IFERROR(__xludf.DUMMYFUNCTION("IF(M1478="""","""",QUERY({'Dashboard-Dados'!$Y$2:$AA$13},""Select Col2 Where Col1=""&amp;M1478))"),"")</f>
        <v/>
      </c>
      <c r="O1478" s="29" t="str">
        <f>IFERROR(__xludf.DUMMYFUNCTION("IF(ISBLANK(B1478),"""",IF(ISDATE(B1478),TEXT(B1478,""yyyy""),""""))"),"")</f>
        <v/>
      </c>
    </row>
    <row r="1479">
      <c r="B1479" s="62"/>
      <c r="C1479" s="56"/>
      <c r="D1479" s="56"/>
      <c r="E1479" s="56"/>
      <c r="F1479" s="63"/>
      <c r="G1479" s="64"/>
      <c r="H1479" s="65"/>
      <c r="I1479" s="63"/>
      <c r="K1479" s="53" t="str">
        <f>IFERROR(__xludf.DUMMYFUNCTION("IF(ISBLANK(B1479),"""",IF(ISDATE(B1479),""X"",""""))"),"")</f>
        <v/>
      </c>
      <c r="L1479" s="40" t="str">
        <f>IFERROR(__xludf.DUMMYFUNCTION("IF(ISBLANK(B1479),"""",IF(Or(I1479=""Em Aberto"",ISBLANK(I1479),NOT(ISDATE(B1479))),"""",H1479))"),"")</f>
        <v/>
      </c>
      <c r="M1479" s="29" t="str">
        <f>IFERROR(__xludf.DUMMYFUNCTION("IF(ISBLANK(B1479),"""",IF(ISDATE(B1479),TEXT(B1479,""m""),""""))"),"")</f>
        <v/>
      </c>
      <c r="N1479" s="29" t="str">
        <f>IFERROR(__xludf.DUMMYFUNCTION("IF(M1479="""","""",QUERY({'Dashboard-Dados'!$Y$2:$AA$13},""Select Col2 Where Col1=""&amp;M1479))"),"")</f>
        <v/>
      </c>
      <c r="O1479" s="29" t="str">
        <f>IFERROR(__xludf.DUMMYFUNCTION("IF(ISBLANK(B1479),"""",IF(ISDATE(B1479),TEXT(B1479,""yyyy""),""""))"),"")</f>
        <v/>
      </c>
    </row>
    <row r="1480">
      <c r="B1480" s="62"/>
      <c r="C1480" s="56"/>
      <c r="D1480" s="56"/>
      <c r="E1480" s="56"/>
      <c r="F1480" s="63"/>
      <c r="G1480" s="64"/>
      <c r="H1480" s="65"/>
      <c r="I1480" s="63"/>
      <c r="K1480" s="53" t="str">
        <f>IFERROR(__xludf.DUMMYFUNCTION("IF(ISBLANK(B1480),"""",IF(ISDATE(B1480),""X"",""""))"),"")</f>
        <v/>
      </c>
      <c r="L1480" s="40" t="str">
        <f>IFERROR(__xludf.DUMMYFUNCTION("IF(ISBLANK(B1480),"""",IF(Or(I1480=""Em Aberto"",ISBLANK(I1480),NOT(ISDATE(B1480))),"""",H1480))"),"")</f>
        <v/>
      </c>
      <c r="M1480" s="29" t="str">
        <f>IFERROR(__xludf.DUMMYFUNCTION("IF(ISBLANK(B1480),"""",IF(ISDATE(B1480),TEXT(B1480,""m""),""""))"),"")</f>
        <v/>
      </c>
      <c r="N1480" s="29" t="str">
        <f>IFERROR(__xludf.DUMMYFUNCTION("IF(M1480="""","""",QUERY({'Dashboard-Dados'!$Y$2:$AA$13},""Select Col2 Where Col1=""&amp;M1480))"),"")</f>
        <v/>
      </c>
      <c r="O1480" s="29" t="str">
        <f>IFERROR(__xludf.DUMMYFUNCTION("IF(ISBLANK(B1480),"""",IF(ISDATE(B1480),TEXT(B1480,""yyyy""),""""))"),"")</f>
        <v/>
      </c>
    </row>
    <row r="1481">
      <c r="B1481" s="62"/>
      <c r="C1481" s="56"/>
      <c r="D1481" s="56"/>
      <c r="E1481" s="56"/>
      <c r="F1481" s="63"/>
      <c r="G1481" s="64"/>
      <c r="H1481" s="65"/>
      <c r="I1481" s="63"/>
      <c r="K1481" s="53" t="str">
        <f>IFERROR(__xludf.DUMMYFUNCTION("IF(ISBLANK(B1481),"""",IF(ISDATE(B1481),""X"",""""))"),"")</f>
        <v/>
      </c>
      <c r="L1481" s="40" t="str">
        <f>IFERROR(__xludf.DUMMYFUNCTION("IF(ISBLANK(B1481),"""",IF(Or(I1481=""Em Aberto"",ISBLANK(I1481),NOT(ISDATE(B1481))),"""",H1481))"),"")</f>
        <v/>
      </c>
      <c r="M1481" s="29" t="str">
        <f>IFERROR(__xludf.DUMMYFUNCTION("IF(ISBLANK(B1481),"""",IF(ISDATE(B1481),TEXT(B1481,""m""),""""))"),"")</f>
        <v/>
      </c>
      <c r="N1481" s="29" t="str">
        <f>IFERROR(__xludf.DUMMYFUNCTION("IF(M1481="""","""",QUERY({'Dashboard-Dados'!$Y$2:$AA$13},""Select Col2 Where Col1=""&amp;M1481))"),"")</f>
        <v/>
      </c>
      <c r="O1481" s="29" t="str">
        <f>IFERROR(__xludf.DUMMYFUNCTION("IF(ISBLANK(B1481),"""",IF(ISDATE(B1481),TEXT(B1481,""yyyy""),""""))"),"")</f>
        <v/>
      </c>
    </row>
    <row r="1482">
      <c r="B1482" s="62"/>
      <c r="C1482" s="56"/>
      <c r="D1482" s="56"/>
      <c r="E1482" s="56"/>
      <c r="F1482" s="63"/>
      <c r="G1482" s="64"/>
      <c r="H1482" s="65"/>
      <c r="I1482" s="63"/>
      <c r="K1482" s="53" t="str">
        <f>IFERROR(__xludf.DUMMYFUNCTION("IF(ISBLANK(B1482),"""",IF(ISDATE(B1482),""X"",""""))"),"")</f>
        <v/>
      </c>
      <c r="L1482" s="40" t="str">
        <f>IFERROR(__xludf.DUMMYFUNCTION("IF(ISBLANK(B1482),"""",IF(Or(I1482=""Em Aberto"",ISBLANK(I1482),NOT(ISDATE(B1482))),"""",H1482))"),"")</f>
        <v/>
      </c>
      <c r="M1482" s="29" t="str">
        <f>IFERROR(__xludf.DUMMYFUNCTION("IF(ISBLANK(B1482),"""",IF(ISDATE(B1482),TEXT(B1482,""m""),""""))"),"")</f>
        <v/>
      </c>
      <c r="N1482" s="29" t="str">
        <f>IFERROR(__xludf.DUMMYFUNCTION("IF(M1482="""","""",QUERY({'Dashboard-Dados'!$Y$2:$AA$13},""Select Col2 Where Col1=""&amp;M1482))"),"")</f>
        <v/>
      </c>
      <c r="O1482" s="29" t="str">
        <f>IFERROR(__xludf.DUMMYFUNCTION("IF(ISBLANK(B1482),"""",IF(ISDATE(B1482),TEXT(B1482,""yyyy""),""""))"),"")</f>
        <v/>
      </c>
    </row>
    <row r="1483">
      <c r="B1483" s="62"/>
      <c r="C1483" s="56"/>
      <c r="D1483" s="56"/>
      <c r="E1483" s="56"/>
      <c r="F1483" s="63"/>
      <c r="G1483" s="64"/>
      <c r="H1483" s="65"/>
      <c r="I1483" s="63"/>
      <c r="K1483" s="53" t="str">
        <f>IFERROR(__xludf.DUMMYFUNCTION("IF(ISBLANK(B1483),"""",IF(ISDATE(B1483),""X"",""""))"),"")</f>
        <v/>
      </c>
      <c r="L1483" s="40" t="str">
        <f>IFERROR(__xludf.DUMMYFUNCTION("IF(ISBLANK(B1483),"""",IF(Or(I1483=""Em Aberto"",ISBLANK(I1483),NOT(ISDATE(B1483))),"""",H1483))"),"")</f>
        <v/>
      </c>
      <c r="M1483" s="29" t="str">
        <f>IFERROR(__xludf.DUMMYFUNCTION("IF(ISBLANK(B1483),"""",IF(ISDATE(B1483),TEXT(B1483,""m""),""""))"),"")</f>
        <v/>
      </c>
      <c r="N1483" s="29" t="str">
        <f>IFERROR(__xludf.DUMMYFUNCTION("IF(M1483="""","""",QUERY({'Dashboard-Dados'!$Y$2:$AA$13},""Select Col2 Where Col1=""&amp;M1483))"),"")</f>
        <v/>
      </c>
      <c r="O1483" s="29" t="str">
        <f>IFERROR(__xludf.DUMMYFUNCTION("IF(ISBLANK(B1483),"""",IF(ISDATE(B1483),TEXT(B1483,""yyyy""),""""))"),"")</f>
        <v/>
      </c>
    </row>
    <row r="1484">
      <c r="B1484" s="62"/>
      <c r="C1484" s="56"/>
      <c r="D1484" s="56"/>
      <c r="E1484" s="56"/>
      <c r="F1484" s="63"/>
      <c r="G1484" s="64"/>
      <c r="H1484" s="65"/>
      <c r="I1484" s="63"/>
      <c r="K1484" s="53" t="str">
        <f>IFERROR(__xludf.DUMMYFUNCTION("IF(ISBLANK(B1484),"""",IF(ISDATE(B1484),""X"",""""))"),"")</f>
        <v/>
      </c>
      <c r="L1484" s="40" t="str">
        <f>IFERROR(__xludf.DUMMYFUNCTION("IF(ISBLANK(B1484),"""",IF(Or(I1484=""Em Aberto"",ISBLANK(I1484),NOT(ISDATE(B1484))),"""",H1484))"),"")</f>
        <v/>
      </c>
      <c r="M1484" s="29" t="str">
        <f>IFERROR(__xludf.DUMMYFUNCTION("IF(ISBLANK(B1484),"""",IF(ISDATE(B1484),TEXT(B1484,""m""),""""))"),"")</f>
        <v/>
      </c>
      <c r="N1484" s="29" t="str">
        <f>IFERROR(__xludf.DUMMYFUNCTION("IF(M1484="""","""",QUERY({'Dashboard-Dados'!$Y$2:$AA$13},""Select Col2 Where Col1=""&amp;M1484))"),"")</f>
        <v/>
      </c>
      <c r="O1484" s="29" t="str">
        <f>IFERROR(__xludf.DUMMYFUNCTION("IF(ISBLANK(B1484),"""",IF(ISDATE(B1484),TEXT(B1484,""yyyy""),""""))"),"")</f>
        <v/>
      </c>
    </row>
    <row r="1485">
      <c r="B1485" s="62"/>
      <c r="C1485" s="56"/>
      <c r="D1485" s="56"/>
      <c r="E1485" s="56"/>
      <c r="F1485" s="63"/>
      <c r="G1485" s="64"/>
      <c r="H1485" s="65"/>
      <c r="I1485" s="63"/>
      <c r="K1485" s="53" t="str">
        <f>IFERROR(__xludf.DUMMYFUNCTION("IF(ISBLANK(B1485),"""",IF(ISDATE(B1485),""X"",""""))"),"")</f>
        <v/>
      </c>
      <c r="L1485" s="40" t="str">
        <f>IFERROR(__xludf.DUMMYFUNCTION("IF(ISBLANK(B1485),"""",IF(Or(I1485=""Em Aberto"",ISBLANK(I1485),NOT(ISDATE(B1485))),"""",H1485))"),"")</f>
        <v/>
      </c>
      <c r="M1485" s="29" t="str">
        <f>IFERROR(__xludf.DUMMYFUNCTION("IF(ISBLANK(B1485),"""",IF(ISDATE(B1485),TEXT(B1485,""m""),""""))"),"")</f>
        <v/>
      </c>
      <c r="N1485" s="29" t="str">
        <f>IFERROR(__xludf.DUMMYFUNCTION("IF(M1485="""","""",QUERY({'Dashboard-Dados'!$Y$2:$AA$13},""Select Col2 Where Col1=""&amp;M1485))"),"")</f>
        <v/>
      </c>
      <c r="O1485" s="29" t="str">
        <f>IFERROR(__xludf.DUMMYFUNCTION("IF(ISBLANK(B1485),"""",IF(ISDATE(B1485),TEXT(B1485,""yyyy""),""""))"),"")</f>
        <v/>
      </c>
    </row>
    <row r="1486">
      <c r="B1486" s="62"/>
      <c r="C1486" s="56"/>
      <c r="D1486" s="56"/>
      <c r="E1486" s="56"/>
      <c r="F1486" s="63"/>
      <c r="G1486" s="64"/>
      <c r="H1486" s="65"/>
      <c r="I1486" s="63"/>
      <c r="K1486" s="53" t="str">
        <f>IFERROR(__xludf.DUMMYFUNCTION("IF(ISBLANK(B1486),"""",IF(ISDATE(B1486),""X"",""""))"),"")</f>
        <v/>
      </c>
      <c r="L1486" s="40" t="str">
        <f>IFERROR(__xludf.DUMMYFUNCTION("IF(ISBLANK(B1486),"""",IF(Or(I1486=""Em Aberto"",ISBLANK(I1486),NOT(ISDATE(B1486))),"""",H1486))"),"")</f>
        <v/>
      </c>
      <c r="M1486" s="29" t="str">
        <f>IFERROR(__xludf.DUMMYFUNCTION("IF(ISBLANK(B1486),"""",IF(ISDATE(B1486),TEXT(B1486,""m""),""""))"),"")</f>
        <v/>
      </c>
      <c r="N1486" s="29" t="str">
        <f>IFERROR(__xludf.DUMMYFUNCTION("IF(M1486="""","""",QUERY({'Dashboard-Dados'!$Y$2:$AA$13},""Select Col2 Where Col1=""&amp;M1486))"),"")</f>
        <v/>
      </c>
      <c r="O1486" s="29" t="str">
        <f>IFERROR(__xludf.DUMMYFUNCTION("IF(ISBLANK(B1486),"""",IF(ISDATE(B1486),TEXT(B1486,""yyyy""),""""))"),"")</f>
        <v/>
      </c>
    </row>
    <row r="1487">
      <c r="B1487" s="62"/>
      <c r="C1487" s="56"/>
      <c r="D1487" s="56"/>
      <c r="E1487" s="56"/>
      <c r="F1487" s="63"/>
      <c r="G1487" s="64"/>
      <c r="H1487" s="65"/>
      <c r="I1487" s="63"/>
      <c r="K1487" s="53" t="str">
        <f>IFERROR(__xludf.DUMMYFUNCTION("IF(ISBLANK(B1487),"""",IF(ISDATE(B1487),""X"",""""))"),"")</f>
        <v/>
      </c>
      <c r="L1487" s="40" t="str">
        <f>IFERROR(__xludf.DUMMYFUNCTION("IF(ISBLANK(B1487),"""",IF(Or(I1487=""Em Aberto"",ISBLANK(I1487),NOT(ISDATE(B1487))),"""",H1487))"),"")</f>
        <v/>
      </c>
      <c r="M1487" s="29" t="str">
        <f>IFERROR(__xludf.DUMMYFUNCTION("IF(ISBLANK(B1487),"""",IF(ISDATE(B1487),TEXT(B1487,""m""),""""))"),"")</f>
        <v/>
      </c>
      <c r="N1487" s="29" t="str">
        <f>IFERROR(__xludf.DUMMYFUNCTION("IF(M1487="""","""",QUERY({'Dashboard-Dados'!$Y$2:$AA$13},""Select Col2 Where Col1=""&amp;M1487))"),"")</f>
        <v/>
      </c>
      <c r="O1487" s="29" t="str">
        <f>IFERROR(__xludf.DUMMYFUNCTION("IF(ISBLANK(B1487),"""",IF(ISDATE(B1487),TEXT(B1487,""yyyy""),""""))"),"")</f>
        <v/>
      </c>
    </row>
    <row r="1488">
      <c r="B1488" s="62"/>
      <c r="C1488" s="56"/>
      <c r="D1488" s="56"/>
      <c r="E1488" s="56"/>
      <c r="F1488" s="63"/>
      <c r="G1488" s="64"/>
      <c r="H1488" s="65"/>
      <c r="I1488" s="63"/>
      <c r="K1488" s="53" t="str">
        <f>IFERROR(__xludf.DUMMYFUNCTION("IF(ISBLANK(B1488),"""",IF(ISDATE(B1488),""X"",""""))"),"")</f>
        <v/>
      </c>
      <c r="L1488" s="40" t="str">
        <f>IFERROR(__xludf.DUMMYFUNCTION("IF(ISBLANK(B1488),"""",IF(Or(I1488=""Em Aberto"",ISBLANK(I1488),NOT(ISDATE(B1488))),"""",H1488))"),"")</f>
        <v/>
      </c>
      <c r="M1488" s="29" t="str">
        <f>IFERROR(__xludf.DUMMYFUNCTION("IF(ISBLANK(B1488),"""",IF(ISDATE(B1488),TEXT(B1488,""m""),""""))"),"")</f>
        <v/>
      </c>
      <c r="N1488" s="29" t="str">
        <f>IFERROR(__xludf.DUMMYFUNCTION("IF(M1488="""","""",QUERY({'Dashboard-Dados'!$Y$2:$AA$13},""Select Col2 Where Col1=""&amp;M1488))"),"")</f>
        <v/>
      </c>
      <c r="O1488" s="29" t="str">
        <f>IFERROR(__xludf.DUMMYFUNCTION("IF(ISBLANK(B1488),"""",IF(ISDATE(B1488),TEXT(B1488,""yyyy""),""""))"),"")</f>
        <v/>
      </c>
    </row>
    <row r="1489">
      <c r="B1489" s="62"/>
      <c r="C1489" s="56"/>
      <c r="D1489" s="56"/>
      <c r="E1489" s="56"/>
      <c r="F1489" s="63"/>
      <c r="G1489" s="64"/>
      <c r="H1489" s="65"/>
      <c r="I1489" s="63"/>
      <c r="K1489" s="53" t="str">
        <f>IFERROR(__xludf.DUMMYFUNCTION("IF(ISBLANK(B1489),"""",IF(ISDATE(B1489),""X"",""""))"),"")</f>
        <v/>
      </c>
      <c r="L1489" s="40" t="str">
        <f>IFERROR(__xludf.DUMMYFUNCTION("IF(ISBLANK(B1489),"""",IF(Or(I1489=""Em Aberto"",ISBLANK(I1489),NOT(ISDATE(B1489))),"""",H1489))"),"")</f>
        <v/>
      </c>
      <c r="M1489" s="29" t="str">
        <f>IFERROR(__xludf.DUMMYFUNCTION("IF(ISBLANK(B1489),"""",IF(ISDATE(B1489),TEXT(B1489,""m""),""""))"),"")</f>
        <v/>
      </c>
      <c r="N1489" s="29" t="str">
        <f>IFERROR(__xludf.DUMMYFUNCTION("IF(M1489="""","""",QUERY({'Dashboard-Dados'!$Y$2:$AA$13},""Select Col2 Where Col1=""&amp;M1489))"),"")</f>
        <v/>
      </c>
      <c r="O1489" s="29" t="str">
        <f>IFERROR(__xludf.DUMMYFUNCTION("IF(ISBLANK(B1489),"""",IF(ISDATE(B1489),TEXT(B1489,""yyyy""),""""))"),"")</f>
        <v/>
      </c>
    </row>
    <row r="1490">
      <c r="B1490" s="62"/>
      <c r="C1490" s="56"/>
      <c r="D1490" s="56"/>
      <c r="E1490" s="56"/>
      <c r="F1490" s="63"/>
      <c r="G1490" s="64"/>
      <c r="H1490" s="65"/>
      <c r="I1490" s="63"/>
      <c r="K1490" s="53" t="str">
        <f>IFERROR(__xludf.DUMMYFUNCTION("IF(ISBLANK(B1490),"""",IF(ISDATE(B1490),""X"",""""))"),"")</f>
        <v/>
      </c>
      <c r="L1490" s="40" t="str">
        <f>IFERROR(__xludf.DUMMYFUNCTION("IF(ISBLANK(B1490),"""",IF(Or(I1490=""Em Aberto"",ISBLANK(I1490),NOT(ISDATE(B1490))),"""",H1490))"),"")</f>
        <v/>
      </c>
      <c r="M1490" s="29" t="str">
        <f>IFERROR(__xludf.DUMMYFUNCTION("IF(ISBLANK(B1490),"""",IF(ISDATE(B1490),TEXT(B1490,""m""),""""))"),"")</f>
        <v/>
      </c>
      <c r="N1490" s="29" t="str">
        <f>IFERROR(__xludf.DUMMYFUNCTION("IF(M1490="""","""",QUERY({'Dashboard-Dados'!$Y$2:$AA$13},""Select Col2 Where Col1=""&amp;M1490))"),"")</f>
        <v/>
      </c>
      <c r="O1490" s="29" t="str">
        <f>IFERROR(__xludf.DUMMYFUNCTION("IF(ISBLANK(B1490),"""",IF(ISDATE(B1490),TEXT(B1490,""yyyy""),""""))"),"")</f>
        <v/>
      </c>
    </row>
    <row r="1491">
      <c r="B1491" s="62"/>
      <c r="C1491" s="56"/>
      <c r="D1491" s="56"/>
      <c r="E1491" s="56"/>
      <c r="F1491" s="63"/>
      <c r="G1491" s="64"/>
      <c r="H1491" s="65"/>
      <c r="I1491" s="63"/>
      <c r="K1491" s="53" t="str">
        <f>IFERROR(__xludf.DUMMYFUNCTION("IF(ISBLANK(B1491),"""",IF(ISDATE(B1491),""X"",""""))"),"")</f>
        <v/>
      </c>
      <c r="L1491" s="40" t="str">
        <f>IFERROR(__xludf.DUMMYFUNCTION("IF(ISBLANK(B1491),"""",IF(Or(I1491=""Em Aberto"",ISBLANK(I1491),NOT(ISDATE(B1491))),"""",H1491))"),"")</f>
        <v/>
      </c>
      <c r="M1491" s="29" t="str">
        <f>IFERROR(__xludf.DUMMYFUNCTION("IF(ISBLANK(B1491),"""",IF(ISDATE(B1491),TEXT(B1491,""m""),""""))"),"")</f>
        <v/>
      </c>
      <c r="N1491" s="29" t="str">
        <f>IFERROR(__xludf.DUMMYFUNCTION("IF(M1491="""","""",QUERY({'Dashboard-Dados'!$Y$2:$AA$13},""Select Col2 Where Col1=""&amp;M1491))"),"")</f>
        <v/>
      </c>
      <c r="O1491" s="29" t="str">
        <f>IFERROR(__xludf.DUMMYFUNCTION("IF(ISBLANK(B1491),"""",IF(ISDATE(B1491),TEXT(B1491,""yyyy""),""""))"),"")</f>
        <v/>
      </c>
    </row>
    <row r="1492">
      <c r="B1492" s="62"/>
      <c r="C1492" s="56"/>
      <c r="D1492" s="56"/>
      <c r="E1492" s="56"/>
      <c r="F1492" s="63"/>
      <c r="G1492" s="64"/>
      <c r="H1492" s="65"/>
      <c r="I1492" s="63"/>
      <c r="K1492" s="53" t="str">
        <f>IFERROR(__xludf.DUMMYFUNCTION("IF(ISBLANK(B1492),"""",IF(ISDATE(B1492),""X"",""""))"),"")</f>
        <v/>
      </c>
      <c r="L1492" s="40" t="str">
        <f>IFERROR(__xludf.DUMMYFUNCTION("IF(ISBLANK(B1492),"""",IF(Or(I1492=""Em Aberto"",ISBLANK(I1492),NOT(ISDATE(B1492))),"""",H1492))"),"")</f>
        <v/>
      </c>
      <c r="M1492" s="29" t="str">
        <f>IFERROR(__xludf.DUMMYFUNCTION("IF(ISBLANK(B1492),"""",IF(ISDATE(B1492),TEXT(B1492,""m""),""""))"),"")</f>
        <v/>
      </c>
      <c r="N1492" s="29" t="str">
        <f>IFERROR(__xludf.DUMMYFUNCTION("IF(M1492="""","""",QUERY({'Dashboard-Dados'!$Y$2:$AA$13},""Select Col2 Where Col1=""&amp;M1492))"),"")</f>
        <v/>
      </c>
      <c r="O1492" s="29" t="str">
        <f>IFERROR(__xludf.DUMMYFUNCTION("IF(ISBLANK(B1492),"""",IF(ISDATE(B1492),TEXT(B1492,""yyyy""),""""))"),"")</f>
        <v/>
      </c>
    </row>
    <row r="1493">
      <c r="B1493" s="62"/>
      <c r="C1493" s="56"/>
      <c r="D1493" s="56"/>
      <c r="E1493" s="56"/>
      <c r="F1493" s="63"/>
      <c r="G1493" s="64"/>
      <c r="H1493" s="65"/>
      <c r="I1493" s="63"/>
      <c r="K1493" s="53" t="str">
        <f>IFERROR(__xludf.DUMMYFUNCTION("IF(ISBLANK(B1493),"""",IF(ISDATE(B1493),""X"",""""))"),"")</f>
        <v/>
      </c>
      <c r="L1493" s="40" t="str">
        <f>IFERROR(__xludf.DUMMYFUNCTION("IF(ISBLANK(B1493),"""",IF(Or(I1493=""Em Aberto"",ISBLANK(I1493),NOT(ISDATE(B1493))),"""",H1493))"),"")</f>
        <v/>
      </c>
      <c r="M1493" s="29" t="str">
        <f>IFERROR(__xludf.DUMMYFUNCTION("IF(ISBLANK(B1493),"""",IF(ISDATE(B1493),TEXT(B1493,""m""),""""))"),"")</f>
        <v/>
      </c>
      <c r="N1493" s="29" t="str">
        <f>IFERROR(__xludf.DUMMYFUNCTION("IF(M1493="""","""",QUERY({'Dashboard-Dados'!$Y$2:$AA$13},""Select Col2 Where Col1=""&amp;M1493))"),"")</f>
        <v/>
      </c>
      <c r="O1493" s="29" t="str">
        <f>IFERROR(__xludf.DUMMYFUNCTION("IF(ISBLANK(B1493),"""",IF(ISDATE(B1493),TEXT(B1493,""yyyy""),""""))"),"")</f>
        <v/>
      </c>
    </row>
    <row r="1494">
      <c r="B1494" s="62"/>
      <c r="C1494" s="56"/>
      <c r="D1494" s="56"/>
      <c r="E1494" s="56"/>
      <c r="F1494" s="63"/>
      <c r="G1494" s="64"/>
      <c r="H1494" s="65"/>
      <c r="I1494" s="63"/>
      <c r="K1494" s="53" t="str">
        <f>IFERROR(__xludf.DUMMYFUNCTION("IF(ISBLANK(B1494),"""",IF(ISDATE(B1494),""X"",""""))"),"")</f>
        <v/>
      </c>
      <c r="L1494" s="40" t="str">
        <f>IFERROR(__xludf.DUMMYFUNCTION("IF(ISBLANK(B1494),"""",IF(Or(I1494=""Em Aberto"",ISBLANK(I1494),NOT(ISDATE(B1494))),"""",H1494))"),"")</f>
        <v/>
      </c>
      <c r="M1494" s="29" t="str">
        <f>IFERROR(__xludf.DUMMYFUNCTION("IF(ISBLANK(B1494),"""",IF(ISDATE(B1494),TEXT(B1494,""m""),""""))"),"")</f>
        <v/>
      </c>
      <c r="N1494" s="29" t="str">
        <f>IFERROR(__xludf.DUMMYFUNCTION("IF(M1494="""","""",QUERY({'Dashboard-Dados'!$Y$2:$AA$13},""Select Col2 Where Col1=""&amp;M1494))"),"")</f>
        <v/>
      </c>
      <c r="O1494" s="29" t="str">
        <f>IFERROR(__xludf.DUMMYFUNCTION("IF(ISBLANK(B1494),"""",IF(ISDATE(B1494),TEXT(B1494,""yyyy""),""""))"),"")</f>
        <v/>
      </c>
    </row>
    <row r="1495">
      <c r="B1495" s="62"/>
      <c r="C1495" s="56"/>
      <c r="D1495" s="56"/>
      <c r="E1495" s="56"/>
      <c r="F1495" s="63"/>
      <c r="G1495" s="64"/>
      <c r="H1495" s="65"/>
      <c r="I1495" s="63"/>
      <c r="K1495" s="53" t="str">
        <f>IFERROR(__xludf.DUMMYFUNCTION("IF(ISBLANK(B1495),"""",IF(ISDATE(B1495),""X"",""""))"),"")</f>
        <v/>
      </c>
      <c r="L1495" s="40" t="str">
        <f>IFERROR(__xludf.DUMMYFUNCTION("IF(ISBLANK(B1495),"""",IF(Or(I1495=""Em Aberto"",ISBLANK(I1495),NOT(ISDATE(B1495))),"""",H1495))"),"")</f>
        <v/>
      </c>
      <c r="M1495" s="29" t="str">
        <f>IFERROR(__xludf.DUMMYFUNCTION("IF(ISBLANK(B1495),"""",IF(ISDATE(B1495),TEXT(B1495,""m""),""""))"),"")</f>
        <v/>
      </c>
      <c r="N1495" s="29" t="str">
        <f>IFERROR(__xludf.DUMMYFUNCTION("IF(M1495="""","""",QUERY({'Dashboard-Dados'!$Y$2:$AA$13},""Select Col2 Where Col1=""&amp;M1495))"),"")</f>
        <v/>
      </c>
      <c r="O1495" s="29" t="str">
        <f>IFERROR(__xludf.DUMMYFUNCTION("IF(ISBLANK(B1495),"""",IF(ISDATE(B1495),TEXT(B1495,""yyyy""),""""))"),"")</f>
        <v/>
      </c>
    </row>
    <row r="1496">
      <c r="B1496" s="62"/>
      <c r="C1496" s="56"/>
      <c r="D1496" s="56"/>
      <c r="E1496" s="56"/>
      <c r="F1496" s="63"/>
      <c r="G1496" s="64"/>
      <c r="H1496" s="65"/>
      <c r="I1496" s="63"/>
      <c r="K1496" s="53" t="str">
        <f>IFERROR(__xludf.DUMMYFUNCTION("IF(ISBLANK(B1496),"""",IF(ISDATE(B1496),""X"",""""))"),"")</f>
        <v/>
      </c>
      <c r="L1496" s="40" t="str">
        <f>IFERROR(__xludf.DUMMYFUNCTION("IF(ISBLANK(B1496),"""",IF(Or(I1496=""Em Aberto"",ISBLANK(I1496),NOT(ISDATE(B1496))),"""",H1496))"),"")</f>
        <v/>
      </c>
      <c r="M1496" s="29" t="str">
        <f>IFERROR(__xludf.DUMMYFUNCTION("IF(ISBLANK(B1496),"""",IF(ISDATE(B1496),TEXT(B1496,""m""),""""))"),"")</f>
        <v/>
      </c>
      <c r="N1496" s="29" t="str">
        <f>IFERROR(__xludf.DUMMYFUNCTION("IF(M1496="""","""",QUERY({'Dashboard-Dados'!$Y$2:$AA$13},""Select Col2 Where Col1=""&amp;M1496))"),"")</f>
        <v/>
      </c>
      <c r="O1496" s="29" t="str">
        <f>IFERROR(__xludf.DUMMYFUNCTION("IF(ISBLANK(B1496),"""",IF(ISDATE(B1496),TEXT(B1496,""yyyy""),""""))"),"")</f>
        <v/>
      </c>
    </row>
    <row r="1497">
      <c r="B1497" s="62"/>
      <c r="C1497" s="56"/>
      <c r="D1497" s="56"/>
      <c r="E1497" s="56"/>
      <c r="F1497" s="63"/>
      <c r="G1497" s="64"/>
      <c r="H1497" s="65"/>
      <c r="I1497" s="63"/>
      <c r="K1497" s="53" t="str">
        <f>IFERROR(__xludf.DUMMYFUNCTION("IF(ISBLANK(B1497),"""",IF(ISDATE(B1497),""X"",""""))"),"")</f>
        <v/>
      </c>
      <c r="L1497" s="40" t="str">
        <f>IFERROR(__xludf.DUMMYFUNCTION("IF(ISBLANK(B1497),"""",IF(Or(I1497=""Em Aberto"",ISBLANK(I1497),NOT(ISDATE(B1497))),"""",H1497))"),"")</f>
        <v/>
      </c>
      <c r="M1497" s="29" t="str">
        <f>IFERROR(__xludf.DUMMYFUNCTION("IF(ISBLANK(B1497),"""",IF(ISDATE(B1497),TEXT(B1497,""m""),""""))"),"")</f>
        <v/>
      </c>
      <c r="N1497" s="29" t="str">
        <f>IFERROR(__xludf.DUMMYFUNCTION("IF(M1497="""","""",QUERY({'Dashboard-Dados'!$Y$2:$AA$13},""Select Col2 Where Col1=""&amp;M1497))"),"")</f>
        <v/>
      </c>
      <c r="O1497" s="29" t="str">
        <f>IFERROR(__xludf.DUMMYFUNCTION("IF(ISBLANK(B1497),"""",IF(ISDATE(B1497),TEXT(B1497,""yyyy""),""""))"),"")</f>
        <v/>
      </c>
    </row>
    <row r="1498">
      <c r="B1498" s="62"/>
      <c r="C1498" s="56"/>
      <c r="D1498" s="56"/>
      <c r="E1498" s="56"/>
      <c r="F1498" s="63"/>
      <c r="G1498" s="64"/>
      <c r="H1498" s="65"/>
      <c r="I1498" s="63"/>
      <c r="K1498" s="53" t="str">
        <f>IFERROR(__xludf.DUMMYFUNCTION("IF(ISBLANK(B1498),"""",IF(ISDATE(B1498),""X"",""""))"),"")</f>
        <v/>
      </c>
      <c r="L1498" s="40" t="str">
        <f>IFERROR(__xludf.DUMMYFUNCTION("IF(ISBLANK(B1498),"""",IF(Or(I1498=""Em Aberto"",ISBLANK(I1498),NOT(ISDATE(B1498))),"""",H1498))"),"")</f>
        <v/>
      </c>
      <c r="M1498" s="29" t="str">
        <f>IFERROR(__xludf.DUMMYFUNCTION("IF(ISBLANK(B1498),"""",IF(ISDATE(B1498),TEXT(B1498,""m""),""""))"),"")</f>
        <v/>
      </c>
      <c r="N1498" s="29" t="str">
        <f>IFERROR(__xludf.DUMMYFUNCTION("IF(M1498="""","""",QUERY({'Dashboard-Dados'!$Y$2:$AA$13},""Select Col2 Where Col1=""&amp;M1498))"),"")</f>
        <v/>
      </c>
      <c r="O1498" s="29" t="str">
        <f>IFERROR(__xludf.DUMMYFUNCTION("IF(ISBLANK(B1498),"""",IF(ISDATE(B1498),TEXT(B1498,""yyyy""),""""))"),"")</f>
        <v/>
      </c>
    </row>
    <row r="1499">
      <c r="B1499" s="62"/>
      <c r="C1499" s="56"/>
      <c r="D1499" s="56"/>
      <c r="E1499" s="56"/>
      <c r="F1499" s="63"/>
      <c r="G1499" s="64"/>
      <c r="H1499" s="65"/>
      <c r="I1499" s="63"/>
      <c r="K1499" s="53" t="str">
        <f>IFERROR(__xludf.DUMMYFUNCTION("IF(ISBLANK(B1499),"""",IF(ISDATE(B1499),""X"",""""))"),"")</f>
        <v/>
      </c>
      <c r="L1499" s="40" t="str">
        <f>IFERROR(__xludf.DUMMYFUNCTION("IF(ISBLANK(B1499),"""",IF(Or(I1499=""Em Aberto"",ISBLANK(I1499),NOT(ISDATE(B1499))),"""",H1499))"),"")</f>
        <v/>
      </c>
      <c r="M1499" s="29" t="str">
        <f>IFERROR(__xludf.DUMMYFUNCTION("IF(ISBLANK(B1499),"""",IF(ISDATE(B1499),TEXT(B1499,""m""),""""))"),"")</f>
        <v/>
      </c>
      <c r="N1499" s="29" t="str">
        <f>IFERROR(__xludf.DUMMYFUNCTION("IF(M1499="""","""",QUERY({'Dashboard-Dados'!$Y$2:$AA$13},""Select Col2 Where Col1=""&amp;M1499))"),"")</f>
        <v/>
      </c>
      <c r="O1499" s="29" t="str">
        <f>IFERROR(__xludf.DUMMYFUNCTION("IF(ISBLANK(B1499),"""",IF(ISDATE(B1499),TEXT(B1499,""yyyy""),""""))"),"")</f>
        <v/>
      </c>
    </row>
    <row r="1500">
      <c r="B1500" s="62"/>
      <c r="C1500" s="56"/>
      <c r="D1500" s="56"/>
      <c r="E1500" s="56"/>
      <c r="F1500" s="63"/>
      <c r="G1500" s="64"/>
      <c r="H1500" s="65"/>
      <c r="I1500" s="63"/>
      <c r="K1500" s="53" t="str">
        <f>IFERROR(__xludf.DUMMYFUNCTION("IF(ISBLANK(B1500),"""",IF(ISDATE(B1500),""X"",""""))"),"")</f>
        <v/>
      </c>
      <c r="L1500" s="40" t="str">
        <f>IFERROR(__xludf.DUMMYFUNCTION("IF(ISBLANK(B1500),"""",IF(Or(I1500=""Em Aberto"",ISBLANK(I1500),NOT(ISDATE(B1500))),"""",H1500))"),"")</f>
        <v/>
      </c>
      <c r="M1500" s="29" t="str">
        <f>IFERROR(__xludf.DUMMYFUNCTION("IF(ISBLANK(B1500),"""",IF(ISDATE(B1500),TEXT(B1500,""m""),""""))"),"")</f>
        <v/>
      </c>
      <c r="N1500" s="29" t="str">
        <f>IFERROR(__xludf.DUMMYFUNCTION("IF(M1500="""","""",QUERY({'Dashboard-Dados'!$Y$2:$AA$13},""Select Col2 Where Col1=""&amp;M1500))"),"")</f>
        <v/>
      </c>
      <c r="O1500" s="29" t="str">
        <f>IFERROR(__xludf.DUMMYFUNCTION("IF(ISBLANK(B1500),"""",IF(ISDATE(B1500),TEXT(B1500,""yyyy""),""""))"),"")</f>
        <v/>
      </c>
    </row>
    <row r="1501">
      <c r="B1501" s="62"/>
      <c r="C1501" s="56"/>
      <c r="D1501" s="56"/>
      <c r="E1501" s="56"/>
      <c r="F1501" s="63"/>
      <c r="G1501" s="64"/>
      <c r="H1501" s="65"/>
      <c r="I1501" s="63"/>
      <c r="K1501" s="53" t="str">
        <f>IFERROR(__xludf.DUMMYFUNCTION("IF(ISBLANK(B1501),"""",IF(ISDATE(B1501),""X"",""""))"),"")</f>
        <v/>
      </c>
      <c r="L1501" s="40" t="str">
        <f>IFERROR(__xludf.DUMMYFUNCTION("IF(ISBLANK(B1501),"""",IF(Or(I1501=""Em Aberto"",ISBLANK(I1501),NOT(ISDATE(B1501))),"""",H1501))"),"")</f>
        <v/>
      </c>
      <c r="M1501" s="29" t="str">
        <f>IFERROR(__xludf.DUMMYFUNCTION("IF(ISBLANK(B1501),"""",IF(ISDATE(B1501),TEXT(B1501,""m""),""""))"),"")</f>
        <v/>
      </c>
      <c r="N1501" s="29" t="str">
        <f>IFERROR(__xludf.DUMMYFUNCTION("IF(M1501="""","""",QUERY({'Dashboard-Dados'!$Y$2:$AA$13},""Select Col2 Where Col1=""&amp;M1501))"),"")</f>
        <v/>
      </c>
      <c r="O1501" s="29" t="str">
        <f>IFERROR(__xludf.DUMMYFUNCTION("IF(ISBLANK(B1501),"""",IF(ISDATE(B1501),TEXT(B1501,""yyyy""),""""))"),"")</f>
        <v/>
      </c>
    </row>
    <row r="1502">
      <c r="B1502" s="62"/>
      <c r="C1502" s="56"/>
      <c r="D1502" s="56"/>
      <c r="E1502" s="56"/>
      <c r="F1502" s="63"/>
      <c r="G1502" s="64"/>
      <c r="H1502" s="65"/>
      <c r="I1502" s="63"/>
      <c r="K1502" s="53" t="str">
        <f>IFERROR(__xludf.DUMMYFUNCTION("IF(ISBLANK(B1502),"""",IF(ISDATE(B1502),""X"",""""))"),"")</f>
        <v/>
      </c>
      <c r="L1502" s="40" t="str">
        <f>IFERROR(__xludf.DUMMYFUNCTION("IF(ISBLANK(B1502),"""",IF(Or(I1502=""Em Aberto"",ISBLANK(I1502),NOT(ISDATE(B1502))),"""",H1502))"),"")</f>
        <v/>
      </c>
      <c r="M1502" s="29" t="str">
        <f>IFERROR(__xludf.DUMMYFUNCTION("IF(ISBLANK(B1502),"""",IF(ISDATE(B1502),TEXT(B1502,""m""),""""))"),"")</f>
        <v/>
      </c>
      <c r="N1502" s="29" t="str">
        <f>IFERROR(__xludf.DUMMYFUNCTION("IF(M1502="""","""",QUERY({'Dashboard-Dados'!$Y$2:$AA$13},""Select Col2 Where Col1=""&amp;M1502))"),"")</f>
        <v/>
      </c>
      <c r="O1502" s="29" t="str">
        <f>IFERROR(__xludf.DUMMYFUNCTION("IF(ISBLANK(B1502),"""",IF(ISDATE(B1502),TEXT(B1502,""yyyy""),""""))"),"")</f>
        <v/>
      </c>
    </row>
    <row r="1503">
      <c r="B1503" s="62"/>
      <c r="C1503" s="56"/>
      <c r="D1503" s="56"/>
      <c r="E1503" s="56"/>
      <c r="F1503" s="63"/>
      <c r="G1503" s="64"/>
      <c r="H1503" s="65"/>
      <c r="I1503" s="63"/>
      <c r="K1503" s="53" t="str">
        <f>IFERROR(__xludf.DUMMYFUNCTION("IF(ISBLANK(B1503),"""",IF(ISDATE(B1503),""X"",""""))"),"")</f>
        <v/>
      </c>
      <c r="L1503" s="40" t="str">
        <f>IFERROR(__xludf.DUMMYFUNCTION("IF(ISBLANK(B1503),"""",IF(Or(I1503=""Em Aberto"",ISBLANK(I1503),NOT(ISDATE(B1503))),"""",H1503))"),"")</f>
        <v/>
      </c>
      <c r="M1503" s="29" t="str">
        <f>IFERROR(__xludf.DUMMYFUNCTION("IF(ISBLANK(B1503),"""",IF(ISDATE(B1503),TEXT(B1503,""m""),""""))"),"")</f>
        <v/>
      </c>
      <c r="N1503" s="29" t="str">
        <f>IFERROR(__xludf.DUMMYFUNCTION("IF(M1503="""","""",QUERY({'Dashboard-Dados'!$Y$2:$AA$13},""Select Col2 Where Col1=""&amp;M1503))"),"")</f>
        <v/>
      </c>
      <c r="O1503" s="29" t="str">
        <f>IFERROR(__xludf.DUMMYFUNCTION("IF(ISBLANK(B1503),"""",IF(ISDATE(B1503),TEXT(B1503,""yyyy""),""""))"),"")</f>
        <v/>
      </c>
    </row>
    <row r="1504">
      <c r="B1504" s="62"/>
      <c r="C1504" s="56"/>
      <c r="D1504" s="56"/>
      <c r="E1504" s="56"/>
      <c r="F1504" s="63"/>
      <c r="G1504" s="64"/>
      <c r="H1504" s="65"/>
      <c r="I1504" s="63"/>
      <c r="K1504" s="53" t="str">
        <f>IFERROR(__xludf.DUMMYFUNCTION("IF(ISBLANK(B1504),"""",IF(ISDATE(B1504),""X"",""""))"),"")</f>
        <v/>
      </c>
      <c r="L1504" s="40" t="str">
        <f>IFERROR(__xludf.DUMMYFUNCTION("IF(ISBLANK(B1504),"""",IF(Or(I1504=""Em Aberto"",ISBLANK(I1504),NOT(ISDATE(B1504))),"""",H1504))"),"")</f>
        <v/>
      </c>
      <c r="M1504" s="29" t="str">
        <f>IFERROR(__xludf.DUMMYFUNCTION("IF(ISBLANK(B1504),"""",IF(ISDATE(B1504),TEXT(B1504,""m""),""""))"),"")</f>
        <v/>
      </c>
      <c r="N1504" s="29" t="str">
        <f>IFERROR(__xludf.DUMMYFUNCTION("IF(M1504="""","""",QUERY({'Dashboard-Dados'!$Y$2:$AA$13},""Select Col2 Where Col1=""&amp;M1504))"),"")</f>
        <v/>
      </c>
      <c r="O1504" s="29" t="str">
        <f>IFERROR(__xludf.DUMMYFUNCTION("IF(ISBLANK(B1504),"""",IF(ISDATE(B1504),TEXT(B1504,""yyyy""),""""))"),"")</f>
        <v/>
      </c>
    </row>
    <row r="1505">
      <c r="B1505" s="62"/>
      <c r="C1505" s="56"/>
      <c r="D1505" s="56"/>
      <c r="E1505" s="56"/>
      <c r="F1505" s="63"/>
      <c r="G1505" s="64"/>
      <c r="H1505" s="65"/>
      <c r="I1505" s="63"/>
      <c r="K1505" s="53" t="str">
        <f>IFERROR(__xludf.DUMMYFUNCTION("IF(ISBLANK(B1505),"""",IF(ISDATE(B1505),""X"",""""))"),"")</f>
        <v/>
      </c>
      <c r="L1505" s="40" t="str">
        <f>IFERROR(__xludf.DUMMYFUNCTION("IF(ISBLANK(B1505),"""",IF(Or(I1505=""Em Aberto"",ISBLANK(I1505),NOT(ISDATE(B1505))),"""",H1505))"),"")</f>
        <v/>
      </c>
      <c r="M1505" s="29" t="str">
        <f>IFERROR(__xludf.DUMMYFUNCTION("IF(ISBLANK(B1505),"""",IF(ISDATE(B1505),TEXT(B1505,""m""),""""))"),"")</f>
        <v/>
      </c>
      <c r="N1505" s="29" t="str">
        <f>IFERROR(__xludf.DUMMYFUNCTION("IF(M1505="""","""",QUERY({'Dashboard-Dados'!$Y$2:$AA$13},""Select Col2 Where Col1=""&amp;M1505))"),"")</f>
        <v/>
      </c>
      <c r="O1505" s="29" t="str">
        <f>IFERROR(__xludf.DUMMYFUNCTION("IF(ISBLANK(B1505),"""",IF(ISDATE(B1505),TEXT(B1505,""yyyy""),""""))"),"")</f>
        <v/>
      </c>
    </row>
    <row r="1506">
      <c r="B1506" s="62"/>
      <c r="C1506" s="56"/>
      <c r="D1506" s="56"/>
      <c r="E1506" s="56"/>
      <c r="F1506" s="63"/>
      <c r="G1506" s="64"/>
      <c r="H1506" s="65"/>
      <c r="I1506" s="63"/>
      <c r="K1506" s="53" t="str">
        <f>IFERROR(__xludf.DUMMYFUNCTION("IF(ISBLANK(B1506),"""",IF(ISDATE(B1506),""X"",""""))"),"")</f>
        <v/>
      </c>
      <c r="L1506" s="40" t="str">
        <f>IFERROR(__xludf.DUMMYFUNCTION("IF(ISBLANK(B1506),"""",IF(Or(I1506=""Em Aberto"",ISBLANK(I1506),NOT(ISDATE(B1506))),"""",H1506))"),"")</f>
        <v/>
      </c>
      <c r="M1506" s="29" t="str">
        <f>IFERROR(__xludf.DUMMYFUNCTION("IF(ISBLANK(B1506),"""",IF(ISDATE(B1506),TEXT(B1506,""m""),""""))"),"")</f>
        <v/>
      </c>
      <c r="N1506" s="29" t="str">
        <f>IFERROR(__xludf.DUMMYFUNCTION("IF(M1506="""","""",QUERY({'Dashboard-Dados'!$Y$2:$AA$13},""Select Col2 Where Col1=""&amp;M1506))"),"")</f>
        <v/>
      </c>
      <c r="O1506" s="29" t="str">
        <f>IFERROR(__xludf.DUMMYFUNCTION("IF(ISBLANK(B1506),"""",IF(ISDATE(B1506),TEXT(B1506,""yyyy""),""""))"),"")</f>
        <v/>
      </c>
    </row>
    <row r="1507">
      <c r="B1507" s="62"/>
      <c r="C1507" s="56"/>
      <c r="D1507" s="56"/>
      <c r="E1507" s="56"/>
      <c r="F1507" s="63"/>
      <c r="G1507" s="64"/>
      <c r="H1507" s="65"/>
      <c r="I1507" s="63"/>
      <c r="K1507" s="53" t="str">
        <f>IFERROR(__xludf.DUMMYFUNCTION("IF(ISBLANK(B1507),"""",IF(ISDATE(B1507),""X"",""""))"),"")</f>
        <v/>
      </c>
      <c r="L1507" s="40" t="str">
        <f>IFERROR(__xludf.DUMMYFUNCTION("IF(ISBLANK(B1507),"""",IF(Or(I1507=""Em Aberto"",ISBLANK(I1507),NOT(ISDATE(B1507))),"""",H1507))"),"")</f>
        <v/>
      </c>
      <c r="M1507" s="29" t="str">
        <f>IFERROR(__xludf.DUMMYFUNCTION("IF(ISBLANK(B1507),"""",IF(ISDATE(B1507),TEXT(B1507,""m""),""""))"),"")</f>
        <v/>
      </c>
      <c r="N1507" s="29" t="str">
        <f>IFERROR(__xludf.DUMMYFUNCTION("IF(M1507="""","""",QUERY({'Dashboard-Dados'!$Y$2:$AA$13},""Select Col2 Where Col1=""&amp;M1507))"),"")</f>
        <v/>
      </c>
      <c r="O1507" s="29" t="str">
        <f>IFERROR(__xludf.DUMMYFUNCTION("IF(ISBLANK(B1507),"""",IF(ISDATE(B1507),TEXT(B1507,""yyyy""),""""))"),"")</f>
        <v/>
      </c>
    </row>
    <row r="1508">
      <c r="B1508" s="62"/>
      <c r="C1508" s="56"/>
      <c r="D1508" s="56"/>
      <c r="E1508" s="56"/>
      <c r="F1508" s="63"/>
      <c r="G1508" s="64"/>
      <c r="H1508" s="65"/>
      <c r="I1508" s="63"/>
      <c r="K1508" s="53" t="str">
        <f>IFERROR(__xludf.DUMMYFUNCTION("IF(ISBLANK(B1508),"""",IF(ISDATE(B1508),""X"",""""))"),"")</f>
        <v/>
      </c>
      <c r="L1508" s="40" t="str">
        <f>IFERROR(__xludf.DUMMYFUNCTION("IF(ISBLANK(B1508),"""",IF(Or(I1508=""Em Aberto"",ISBLANK(I1508),NOT(ISDATE(B1508))),"""",H1508))"),"")</f>
        <v/>
      </c>
      <c r="M1508" s="29" t="str">
        <f>IFERROR(__xludf.DUMMYFUNCTION("IF(ISBLANK(B1508),"""",IF(ISDATE(B1508),TEXT(B1508,""m""),""""))"),"")</f>
        <v/>
      </c>
      <c r="N1508" s="29" t="str">
        <f>IFERROR(__xludf.DUMMYFUNCTION("IF(M1508="""","""",QUERY({'Dashboard-Dados'!$Y$2:$AA$13},""Select Col2 Where Col1=""&amp;M1508))"),"")</f>
        <v/>
      </c>
      <c r="O1508" s="29" t="str">
        <f>IFERROR(__xludf.DUMMYFUNCTION("IF(ISBLANK(B1508),"""",IF(ISDATE(B1508),TEXT(B1508,""yyyy""),""""))"),"")</f>
        <v/>
      </c>
    </row>
    <row r="1509">
      <c r="B1509" s="62"/>
      <c r="C1509" s="56"/>
      <c r="D1509" s="56"/>
      <c r="E1509" s="56"/>
      <c r="F1509" s="63"/>
      <c r="G1509" s="64"/>
      <c r="H1509" s="65"/>
      <c r="I1509" s="63"/>
      <c r="K1509" s="53" t="str">
        <f>IFERROR(__xludf.DUMMYFUNCTION("IF(ISBLANK(B1509),"""",IF(ISDATE(B1509),""X"",""""))"),"")</f>
        <v/>
      </c>
      <c r="L1509" s="40" t="str">
        <f>IFERROR(__xludf.DUMMYFUNCTION("IF(ISBLANK(B1509),"""",IF(Or(I1509=""Em Aberto"",ISBLANK(I1509),NOT(ISDATE(B1509))),"""",H1509))"),"")</f>
        <v/>
      </c>
      <c r="M1509" s="29" t="str">
        <f>IFERROR(__xludf.DUMMYFUNCTION("IF(ISBLANK(B1509),"""",IF(ISDATE(B1509),TEXT(B1509,""m""),""""))"),"")</f>
        <v/>
      </c>
      <c r="N1509" s="29" t="str">
        <f>IFERROR(__xludf.DUMMYFUNCTION("IF(M1509="""","""",QUERY({'Dashboard-Dados'!$Y$2:$AA$13},""Select Col2 Where Col1=""&amp;M1509))"),"")</f>
        <v/>
      </c>
      <c r="O1509" s="29" t="str">
        <f>IFERROR(__xludf.DUMMYFUNCTION("IF(ISBLANK(B1509),"""",IF(ISDATE(B1509),TEXT(B1509,""yyyy""),""""))"),"")</f>
        <v/>
      </c>
    </row>
    <row r="1510">
      <c r="B1510" s="62"/>
      <c r="C1510" s="56"/>
      <c r="D1510" s="56"/>
      <c r="E1510" s="56"/>
      <c r="F1510" s="63"/>
      <c r="G1510" s="64"/>
      <c r="H1510" s="65"/>
      <c r="I1510" s="63"/>
      <c r="K1510" s="53" t="str">
        <f>IFERROR(__xludf.DUMMYFUNCTION("IF(ISBLANK(B1510),"""",IF(ISDATE(B1510),""X"",""""))"),"")</f>
        <v/>
      </c>
      <c r="L1510" s="40" t="str">
        <f>IFERROR(__xludf.DUMMYFUNCTION("IF(ISBLANK(B1510),"""",IF(Or(I1510=""Em Aberto"",ISBLANK(I1510),NOT(ISDATE(B1510))),"""",H1510))"),"")</f>
        <v/>
      </c>
      <c r="M1510" s="29" t="str">
        <f>IFERROR(__xludf.DUMMYFUNCTION("IF(ISBLANK(B1510),"""",IF(ISDATE(B1510),TEXT(B1510,""m""),""""))"),"")</f>
        <v/>
      </c>
      <c r="N1510" s="29" t="str">
        <f>IFERROR(__xludf.DUMMYFUNCTION("IF(M1510="""","""",QUERY({'Dashboard-Dados'!$Y$2:$AA$13},""Select Col2 Where Col1=""&amp;M1510))"),"")</f>
        <v/>
      </c>
      <c r="O1510" s="29" t="str">
        <f>IFERROR(__xludf.DUMMYFUNCTION("IF(ISBLANK(B1510),"""",IF(ISDATE(B1510),TEXT(B1510,""yyyy""),""""))"),"")</f>
        <v/>
      </c>
    </row>
    <row r="1511">
      <c r="B1511" s="62"/>
      <c r="C1511" s="56"/>
      <c r="D1511" s="56"/>
      <c r="E1511" s="56"/>
      <c r="F1511" s="63"/>
      <c r="G1511" s="64"/>
      <c r="H1511" s="65"/>
      <c r="I1511" s="63"/>
      <c r="K1511" s="53" t="str">
        <f>IFERROR(__xludf.DUMMYFUNCTION("IF(ISBLANK(B1511),"""",IF(ISDATE(B1511),""X"",""""))"),"")</f>
        <v/>
      </c>
      <c r="L1511" s="40" t="str">
        <f>IFERROR(__xludf.DUMMYFUNCTION("IF(ISBLANK(B1511),"""",IF(Or(I1511=""Em Aberto"",ISBLANK(I1511),NOT(ISDATE(B1511))),"""",H1511))"),"")</f>
        <v/>
      </c>
      <c r="M1511" s="29" t="str">
        <f>IFERROR(__xludf.DUMMYFUNCTION("IF(ISBLANK(B1511),"""",IF(ISDATE(B1511),TEXT(B1511,""m""),""""))"),"")</f>
        <v/>
      </c>
      <c r="N1511" s="29" t="str">
        <f>IFERROR(__xludf.DUMMYFUNCTION("IF(M1511="""","""",QUERY({'Dashboard-Dados'!$Y$2:$AA$13},""Select Col2 Where Col1=""&amp;M1511))"),"")</f>
        <v/>
      </c>
      <c r="O1511" s="29" t="str">
        <f>IFERROR(__xludf.DUMMYFUNCTION("IF(ISBLANK(B1511),"""",IF(ISDATE(B1511),TEXT(B1511,""yyyy""),""""))"),"")</f>
        <v/>
      </c>
    </row>
    <row r="1512">
      <c r="B1512" s="62"/>
      <c r="C1512" s="56"/>
      <c r="D1512" s="56"/>
      <c r="E1512" s="56"/>
      <c r="F1512" s="63"/>
      <c r="G1512" s="64"/>
      <c r="H1512" s="65"/>
      <c r="I1512" s="63"/>
      <c r="K1512" s="53" t="str">
        <f>IFERROR(__xludf.DUMMYFUNCTION("IF(ISBLANK(B1512),"""",IF(ISDATE(B1512),""X"",""""))"),"")</f>
        <v/>
      </c>
      <c r="L1512" s="40" t="str">
        <f>IFERROR(__xludf.DUMMYFUNCTION("IF(ISBLANK(B1512),"""",IF(Or(I1512=""Em Aberto"",ISBLANK(I1512),NOT(ISDATE(B1512))),"""",H1512))"),"")</f>
        <v/>
      </c>
      <c r="M1512" s="29" t="str">
        <f>IFERROR(__xludf.DUMMYFUNCTION("IF(ISBLANK(B1512),"""",IF(ISDATE(B1512),TEXT(B1512,""m""),""""))"),"")</f>
        <v/>
      </c>
      <c r="N1512" s="29" t="str">
        <f>IFERROR(__xludf.DUMMYFUNCTION("IF(M1512="""","""",QUERY({'Dashboard-Dados'!$Y$2:$AA$13},""Select Col2 Where Col1=""&amp;M1512))"),"")</f>
        <v/>
      </c>
      <c r="O1512" s="29" t="str">
        <f>IFERROR(__xludf.DUMMYFUNCTION("IF(ISBLANK(B1512),"""",IF(ISDATE(B1512),TEXT(B1512,""yyyy""),""""))"),"")</f>
        <v/>
      </c>
    </row>
    <row r="1513">
      <c r="B1513" s="62"/>
      <c r="C1513" s="56"/>
      <c r="D1513" s="56"/>
      <c r="E1513" s="56"/>
      <c r="F1513" s="63"/>
      <c r="G1513" s="64"/>
      <c r="H1513" s="65"/>
      <c r="I1513" s="63"/>
      <c r="K1513" s="53" t="str">
        <f>IFERROR(__xludf.DUMMYFUNCTION("IF(ISBLANK(B1513),"""",IF(ISDATE(B1513),""X"",""""))"),"")</f>
        <v/>
      </c>
      <c r="L1513" s="40" t="str">
        <f>IFERROR(__xludf.DUMMYFUNCTION("IF(ISBLANK(B1513),"""",IF(Or(I1513=""Em Aberto"",ISBLANK(I1513),NOT(ISDATE(B1513))),"""",H1513))"),"")</f>
        <v/>
      </c>
      <c r="M1513" s="29" t="str">
        <f>IFERROR(__xludf.DUMMYFUNCTION("IF(ISBLANK(B1513),"""",IF(ISDATE(B1513),TEXT(B1513,""m""),""""))"),"")</f>
        <v/>
      </c>
      <c r="N1513" s="29" t="str">
        <f>IFERROR(__xludf.DUMMYFUNCTION("IF(M1513="""","""",QUERY({'Dashboard-Dados'!$Y$2:$AA$13},""Select Col2 Where Col1=""&amp;M1513))"),"")</f>
        <v/>
      </c>
      <c r="O1513" s="29" t="str">
        <f>IFERROR(__xludf.DUMMYFUNCTION("IF(ISBLANK(B1513),"""",IF(ISDATE(B1513),TEXT(B1513,""yyyy""),""""))"),"")</f>
        <v/>
      </c>
    </row>
    <row r="1514">
      <c r="B1514" s="62"/>
      <c r="C1514" s="56"/>
      <c r="D1514" s="56"/>
      <c r="E1514" s="56"/>
      <c r="F1514" s="63"/>
      <c r="G1514" s="64"/>
      <c r="H1514" s="65"/>
      <c r="I1514" s="63"/>
      <c r="K1514" s="53" t="str">
        <f>IFERROR(__xludf.DUMMYFUNCTION("IF(ISBLANK(B1514),"""",IF(ISDATE(B1514),""X"",""""))"),"")</f>
        <v/>
      </c>
      <c r="L1514" s="40" t="str">
        <f>IFERROR(__xludf.DUMMYFUNCTION("IF(ISBLANK(B1514),"""",IF(Or(I1514=""Em Aberto"",ISBLANK(I1514),NOT(ISDATE(B1514))),"""",H1514))"),"")</f>
        <v/>
      </c>
      <c r="M1514" s="29" t="str">
        <f>IFERROR(__xludf.DUMMYFUNCTION("IF(ISBLANK(B1514),"""",IF(ISDATE(B1514),TEXT(B1514,""m""),""""))"),"")</f>
        <v/>
      </c>
      <c r="N1514" s="29" t="str">
        <f>IFERROR(__xludf.DUMMYFUNCTION("IF(M1514="""","""",QUERY({'Dashboard-Dados'!$Y$2:$AA$13},""Select Col2 Where Col1=""&amp;M1514))"),"")</f>
        <v/>
      </c>
      <c r="O1514" s="29" t="str">
        <f>IFERROR(__xludf.DUMMYFUNCTION("IF(ISBLANK(B1514),"""",IF(ISDATE(B1514),TEXT(B1514,""yyyy""),""""))"),"")</f>
        <v/>
      </c>
    </row>
    <row r="1515">
      <c r="B1515" s="62"/>
      <c r="C1515" s="56"/>
      <c r="D1515" s="56"/>
      <c r="E1515" s="56"/>
      <c r="F1515" s="63"/>
      <c r="G1515" s="64"/>
      <c r="H1515" s="65"/>
      <c r="I1515" s="63"/>
      <c r="K1515" s="53" t="str">
        <f>IFERROR(__xludf.DUMMYFUNCTION("IF(ISBLANK(B1515),"""",IF(ISDATE(B1515),""X"",""""))"),"")</f>
        <v/>
      </c>
      <c r="L1515" s="40" t="str">
        <f>IFERROR(__xludf.DUMMYFUNCTION("IF(ISBLANK(B1515),"""",IF(Or(I1515=""Em Aberto"",ISBLANK(I1515),NOT(ISDATE(B1515))),"""",H1515))"),"")</f>
        <v/>
      </c>
      <c r="M1515" s="29" t="str">
        <f>IFERROR(__xludf.DUMMYFUNCTION("IF(ISBLANK(B1515),"""",IF(ISDATE(B1515),TEXT(B1515,""m""),""""))"),"")</f>
        <v/>
      </c>
      <c r="N1515" s="29" t="str">
        <f>IFERROR(__xludf.DUMMYFUNCTION("IF(M1515="""","""",QUERY({'Dashboard-Dados'!$Y$2:$AA$13},""Select Col2 Where Col1=""&amp;M1515))"),"")</f>
        <v/>
      </c>
      <c r="O1515" s="29" t="str">
        <f>IFERROR(__xludf.DUMMYFUNCTION("IF(ISBLANK(B1515),"""",IF(ISDATE(B1515),TEXT(B1515,""yyyy""),""""))"),"")</f>
        <v/>
      </c>
    </row>
    <row r="1516">
      <c r="B1516" s="62"/>
      <c r="C1516" s="56"/>
      <c r="D1516" s="56"/>
      <c r="E1516" s="56"/>
      <c r="F1516" s="63"/>
      <c r="G1516" s="64"/>
      <c r="H1516" s="65"/>
      <c r="I1516" s="63"/>
      <c r="K1516" s="53" t="str">
        <f>IFERROR(__xludf.DUMMYFUNCTION("IF(ISBLANK(B1516),"""",IF(ISDATE(B1516),""X"",""""))"),"")</f>
        <v/>
      </c>
      <c r="L1516" s="40" t="str">
        <f>IFERROR(__xludf.DUMMYFUNCTION("IF(ISBLANK(B1516),"""",IF(Or(I1516=""Em Aberto"",ISBLANK(I1516),NOT(ISDATE(B1516))),"""",H1516))"),"")</f>
        <v/>
      </c>
      <c r="M1516" s="29" t="str">
        <f>IFERROR(__xludf.DUMMYFUNCTION("IF(ISBLANK(B1516),"""",IF(ISDATE(B1516),TEXT(B1516,""m""),""""))"),"")</f>
        <v/>
      </c>
      <c r="N1516" s="29" t="str">
        <f>IFERROR(__xludf.DUMMYFUNCTION("IF(M1516="""","""",QUERY({'Dashboard-Dados'!$Y$2:$AA$13},""Select Col2 Where Col1=""&amp;M1516))"),"")</f>
        <v/>
      </c>
      <c r="O1516" s="29" t="str">
        <f>IFERROR(__xludf.DUMMYFUNCTION("IF(ISBLANK(B1516),"""",IF(ISDATE(B1516),TEXT(B1516,""yyyy""),""""))"),"")</f>
        <v/>
      </c>
    </row>
    <row r="1517">
      <c r="B1517" s="62"/>
      <c r="C1517" s="56"/>
      <c r="D1517" s="56"/>
      <c r="E1517" s="56"/>
      <c r="F1517" s="63"/>
      <c r="G1517" s="64"/>
      <c r="H1517" s="65"/>
      <c r="I1517" s="63"/>
      <c r="K1517" s="53" t="str">
        <f>IFERROR(__xludf.DUMMYFUNCTION("IF(ISBLANK(B1517),"""",IF(ISDATE(B1517),""X"",""""))"),"")</f>
        <v/>
      </c>
      <c r="L1517" s="40" t="str">
        <f>IFERROR(__xludf.DUMMYFUNCTION("IF(ISBLANK(B1517),"""",IF(Or(I1517=""Em Aberto"",ISBLANK(I1517),NOT(ISDATE(B1517))),"""",H1517))"),"")</f>
        <v/>
      </c>
      <c r="M1517" s="29" t="str">
        <f>IFERROR(__xludf.DUMMYFUNCTION("IF(ISBLANK(B1517),"""",IF(ISDATE(B1517),TEXT(B1517,""m""),""""))"),"")</f>
        <v/>
      </c>
      <c r="N1517" s="29" t="str">
        <f>IFERROR(__xludf.DUMMYFUNCTION("IF(M1517="""","""",QUERY({'Dashboard-Dados'!$Y$2:$AA$13},""Select Col2 Where Col1=""&amp;M1517))"),"")</f>
        <v/>
      </c>
      <c r="O1517" s="29" t="str">
        <f>IFERROR(__xludf.DUMMYFUNCTION("IF(ISBLANK(B1517),"""",IF(ISDATE(B1517),TEXT(B1517,""yyyy""),""""))"),"")</f>
        <v/>
      </c>
    </row>
    <row r="1518">
      <c r="B1518" s="62"/>
      <c r="C1518" s="56"/>
      <c r="D1518" s="56"/>
      <c r="E1518" s="56"/>
      <c r="F1518" s="63"/>
      <c r="G1518" s="64"/>
      <c r="H1518" s="65"/>
      <c r="I1518" s="63"/>
      <c r="K1518" s="53" t="str">
        <f>IFERROR(__xludf.DUMMYFUNCTION("IF(ISBLANK(B1518),"""",IF(ISDATE(B1518),""X"",""""))"),"")</f>
        <v/>
      </c>
      <c r="L1518" s="40" t="str">
        <f>IFERROR(__xludf.DUMMYFUNCTION("IF(ISBLANK(B1518),"""",IF(Or(I1518=""Em Aberto"",ISBLANK(I1518),NOT(ISDATE(B1518))),"""",H1518))"),"")</f>
        <v/>
      </c>
      <c r="M1518" s="29" t="str">
        <f>IFERROR(__xludf.DUMMYFUNCTION("IF(ISBLANK(B1518),"""",IF(ISDATE(B1518),TEXT(B1518,""m""),""""))"),"")</f>
        <v/>
      </c>
      <c r="N1518" s="29" t="str">
        <f>IFERROR(__xludf.DUMMYFUNCTION("IF(M1518="""","""",QUERY({'Dashboard-Dados'!$Y$2:$AA$13},""Select Col2 Where Col1=""&amp;M1518))"),"")</f>
        <v/>
      </c>
      <c r="O1518" s="29" t="str">
        <f>IFERROR(__xludf.DUMMYFUNCTION("IF(ISBLANK(B1518),"""",IF(ISDATE(B1518),TEXT(B1518,""yyyy""),""""))"),"")</f>
        <v/>
      </c>
    </row>
    <row r="1519">
      <c r="B1519" s="62"/>
      <c r="C1519" s="56"/>
      <c r="D1519" s="56"/>
      <c r="E1519" s="56"/>
      <c r="F1519" s="63"/>
      <c r="G1519" s="64"/>
      <c r="H1519" s="65"/>
      <c r="I1519" s="63"/>
      <c r="K1519" s="53" t="str">
        <f>IFERROR(__xludf.DUMMYFUNCTION("IF(ISBLANK(B1519),"""",IF(ISDATE(B1519),""X"",""""))"),"")</f>
        <v/>
      </c>
      <c r="L1519" s="40" t="str">
        <f>IFERROR(__xludf.DUMMYFUNCTION("IF(ISBLANK(B1519),"""",IF(Or(I1519=""Em Aberto"",ISBLANK(I1519),NOT(ISDATE(B1519))),"""",H1519))"),"")</f>
        <v/>
      </c>
      <c r="M1519" s="29" t="str">
        <f>IFERROR(__xludf.DUMMYFUNCTION("IF(ISBLANK(B1519),"""",IF(ISDATE(B1519),TEXT(B1519,""m""),""""))"),"")</f>
        <v/>
      </c>
      <c r="N1519" s="29" t="str">
        <f>IFERROR(__xludf.DUMMYFUNCTION("IF(M1519="""","""",QUERY({'Dashboard-Dados'!$Y$2:$AA$13},""Select Col2 Where Col1=""&amp;M1519))"),"")</f>
        <v/>
      </c>
      <c r="O1519" s="29" t="str">
        <f>IFERROR(__xludf.DUMMYFUNCTION("IF(ISBLANK(B1519),"""",IF(ISDATE(B1519),TEXT(B1519,""yyyy""),""""))"),"")</f>
        <v/>
      </c>
    </row>
    <row r="1520">
      <c r="B1520" s="62"/>
      <c r="C1520" s="56"/>
      <c r="D1520" s="56"/>
      <c r="E1520" s="56"/>
      <c r="F1520" s="63"/>
      <c r="G1520" s="64"/>
      <c r="H1520" s="65"/>
      <c r="I1520" s="63"/>
      <c r="K1520" s="53" t="str">
        <f>IFERROR(__xludf.DUMMYFUNCTION("IF(ISBLANK(B1520),"""",IF(ISDATE(B1520),""X"",""""))"),"")</f>
        <v/>
      </c>
      <c r="L1520" s="40" t="str">
        <f>IFERROR(__xludf.DUMMYFUNCTION("IF(ISBLANK(B1520),"""",IF(Or(I1520=""Em Aberto"",ISBLANK(I1520),NOT(ISDATE(B1520))),"""",H1520))"),"")</f>
        <v/>
      </c>
      <c r="M1520" s="29" t="str">
        <f>IFERROR(__xludf.DUMMYFUNCTION("IF(ISBLANK(B1520),"""",IF(ISDATE(B1520),TEXT(B1520,""m""),""""))"),"")</f>
        <v/>
      </c>
      <c r="N1520" s="29" t="str">
        <f>IFERROR(__xludf.DUMMYFUNCTION("IF(M1520="""","""",QUERY({'Dashboard-Dados'!$Y$2:$AA$13},""Select Col2 Where Col1=""&amp;M1520))"),"")</f>
        <v/>
      </c>
      <c r="O1520" s="29" t="str">
        <f>IFERROR(__xludf.DUMMYFUNCTION("IF(ISBLANK(B1520),"""",IF(ISDATE(B1520),TEXT(B1520,""yyyy""),""""))"),"")</f>
        <v/>
      </c>
    </row>
    <row r="1521">
      <c r="B1521" s="62"/>
      <c r="C1521" s="56"/>
      <c r="D1521" s="56"/>
      <c r="E1521" s="56"/>
      <c r="F1521" s="63"/>
      <c r="G1521" s="64"/>
      <c r="H1521" s="65"/>
      <c r="I1521" s="63"/>
      <c r="K1521" s="53" t="str">
        <f>IFERROR(__xludf.DUMMYFUNCTION("IF(ISBLANK(B1521),"""",IF(ISDATE(B1521),""X"",""""))"),"")</f>
        <v/>
      </c>
      <c r="L1521" s="40" t="str">
        <f>IFERROR(__xludf.DUMMYFUNCTION("IF(ISBLANK(B1521),"""",IF(Or(I1521=""Em Aberto"",ISBLANK(I1521),NOT(ISDATE(B1521))),"""",H1521))"),"")</f>
        <v/>
      </c>
      <c r="M1521" s="29" t="str">
        <f>IFERROR(__xludf.DUMMYFUNCTION("IF(ISBLANK(B1521),"""",IF(ISDATE(B1521),TEXT(B1521,""m""),""""))"),"")</f>
        <v/>
      </c>
      <c r="N1521" s="29" t="str">
        <f>IFERROR(__xludf.DUMMYFUNCTION("IF(M1521="""","""",QUERY({'Dashboard-Dados'!$Y$2:$AA$13},""Select Col2 Where Col1=""&amp;M1521))"),"")</f>
        <v/>
      </c>
      <c r="O1521" s="29" t="str">
        <f>IFERROR(__xludf.DUMMYFUNCTION("IF(ISBLANK(B1521),"""",IF(ISDATE(B1521),TEXT(B1521,""yyyy""),""""))"),"")</f>
        <v/>
      </c>
    </row>
    <row r="1522">
      <c r="B1522" s="62"/>
      <c r="C1522" s="56"/>
      <c r="D1522" s="56"/>
      <c r="E1522" s="56"/>
      <c r="F1522" s="63"/>
      <c r="G1522" s="64"/>
      <c r="H1522" s="65"/>
      <c r="I1522" s="63"/>
      <c r="K1522" s="53" t="str">
        <f>IFERROR(__xludf.DUMMYFUNCTION("IF(ISBLANK(B1522),"""",IF(ISDATE(B1522),""X"",""""))"),"")</f>
        <v/>
      </c>
      <c r="L1522" s="40" t="str">
        <f>IFERROR(__xludf.DUMMYFUNCTION("IF(ISBLANK(B1522),"""",IF(Or(I1522=""Em Aberto"",ISBLANK(I1522),NOT(ISDATE(B1522))),"""",H1522))"),"")</f>
        <v/>
      </c>
      <c r="M1522" s="29" t="str">
        <f>IFERROR(__xludf.DUMMYFUNCTION("IF(ISBLANK(B1522),"""",IF(ISDATE(B1522),TEXT(B1522,""m""),""""))"),"")</f>
        <v/>
      </c>
      <c r="N1522" s="29" t="str">
        <f>IFERROR(__xludf.DUMMYFUNCTION("IF(M1522="""","""",QUERY({'Dashboard-Dados'!$Y$2:$AA$13},""Select Col2 Where Col1=""&amp;M1522))"),"")</f>
        <v/>
      </c>
      <c r="O1522" s="29" t="str">
        <f>IFERROR(__xludf.DUMMYFUNCTION("IF(ISBLANK(B1522),"""",IF(ISDATE(B1522),TEXT(B1522,""yyyy""),""""))"),"")</f>
        <v/>
      </c>
    </row>
    <row r="1523">
      <c r="B1523" s="62"/>
      <c r="C1523" s="56"/>
      <c r="D1523" s="56"/>
      <c r="E1523" s="56"/>
      <c r="F1523" s="63"/>
      <c r="G1523" s="64"/>
      <c r="H1523" s="65"/>
      <c r="I1523" s="63"/>
      <c r="K1523" s="53" t="str">
        <f>IFERROR(__xludf.DUMMYFUNCTION("IF(ISBLANK(B1523),"""",IF(ISDATE(B1523),""X"",""""))"),"")</f>
        <v/>
      </c>
      <c r="L1523" s="40" t="str">
        <f>IFERROR(__xludf.DUMMYFUNCTION("IF(ISBLANK(B1523),"""",IF(Or(I1523=""Em Aberto"",ISBLANK(I1523),NOT(ISDATE(B1523))),"""",H1523))"),"")</f>
        <v/>
      </c>
      <c r="M1523" s="29" t="str">
        <f>IFERROR(__xludf.DUMMYFUNCTION("IF(ISBLANK(B1523),"""",IF(ISDATE(B1523),TEXT(B1523,""m""),""""))"),"")</f>
        <v/>
      </c>
      <c r="N1523" s="29" t="str">
        <f>IFERROR(__xludf.DUMMYFUNCTION("IF(M1523="""","""",QUERY({'Dashboard-Dados'!$Y$2:$AA$13},""Select Col2 Where Col1=""&amp;M1523))"),"")</f>
        <v/>
      </c>
      <c r="O1523" s="29" t="str">
        <f>IFERROR(__xludf.DUMMYFUNCTION("IF(ISBLANK(B1523),"""",IF(ISDATE(B1523),TEXT(B1523,""yyyy""),""""))"),"")</f>
        <v/>
      </c>
    </row>
    <row r="1524">
      <c r="B1524" s="62"/>
      <c r="C1524" s="56"/>
      <c r="D1524" s="56"/>
      <c r="E1524" s="56"/>
      <c r="F1524" s="63"/>
      <c r="G1524" s="64"/>
      <c r="H1524" s="65"/>
      <c r="I1524" s="63"/>
      <c r="K1524" s="53" t="str">
        <f>IFERROR(__xludf.DUMMYFUNCTION("IF(ISBLANK(B1524),"""",IF(ISDATE(B1524),""X"",""""))"),"")</f>
        <v/>
      </c>
      <c r="L1524" s="40" t="str">
        <f>IFERROR(__xludf.DUMMYFUNCTION("IF(ISBLANK(B1524),"""",IF(Or(I1524=""Em Aberto"",ISBLANK(I1524),NOT(ISDATE(B1524))),"""",H1524))"),"")</f>
        <v/>
      </c>
      <c r="M1524" s="29" t="str">
        <f>IFERROR(__xludf.DUMMYFUNCTION("IF(ISBLANK(B1524),"""",IF(ISDATE(B1524),TEXT(B1524,""m""),""""))"),"")</f>
        <v/>
      </c>
      <c r="N1524" s="29" t="str">
        <f>IFERROR(__xludf.DUMMYFUNCTION("IF(M1524="""","""",QUERY({'Dashboard-Dados'!$Y$2:$AA$13},""Select Col2 Where Col1=""&amp;M1524))"),"")</f>
        <v/>
      </c>
      <c r="O1524" s="29" t="str">
        <f>IFERROR(__xludf.DUMMYFUNCTION("IF(ISBLANK(B1524),"""",IF(ISDATE(B1524),TEXT(B1524,""yyyy""),""""))"),"")</f>
        <v/>
      </c>
    </row>
    <row r="1525">
      <c r="B1525" s="62"/>
      <c r="C1525" s="56"/>
      <c r="D1525" s="56"/>
      <c r="E1525" s="56"/>
      <c r="F1525" s="63"/>
      <c r="G1525" s="64"/>
      <c r="H1525" s="65"/>
      <c r="I1525" s="63"/>
      <c r="K1525" s="53" t="str">
        <f>IFERROR(__xludf.DUMMYFUNCTION("IF(ISBLANK(B1525),"""",IF(ISDATE(B1525),""X"",""""))"),"")</f>
        <v/>
      </c>
      <c r="L1525" s="40" t="str">
        <f>IFERROR(__xludf.DUMMYFUNCTION("IF(ISBLANK(B1525),"""",IF(Or(I1525=""Em Aberto"",ISBLANK(I1525),NOT(ISDATE(B1525))),"""",H1525))"),"")</f>
        <v/>
      </c>
      <c r="M1525" s="29" t="str">
        <f>IFERROR(__xludf.DUMMYFUNCTION("IF(ISBLANK(B1525),"""",IF(ISDATE(B1525),TEXT(B1525,""m""),""""))"),"")</f>
        <v/>
      </c>
      <c r="N1525" s="29" t="str">
        <f>IFERROR(__xludf.DUMMYFUNCTION("IF(M1525="""","""",QUERY({'Dashboard-Dados'!$Y$2:$AA$13},""Select Col2 Where Col1=""&amp;M1525))"),"")</f>
        <v/>
      </c>
      <c r="O1525" s="29" t="str">
        <f>IFERROR(__xludf.DUMMYFUNCTION("IF(ISBLANK(B1525),"""",IF(ISDATE(B1525),TEXT(B1525,""yyyy""),""""))"),"")</f>
        <v/>
      </c>
    </row>
    <row r="1526">
      <c r="B1526" s="62"/>
      <c r="C1526" s="56"/>
      <c r="D1526" s="56"/>
      <c r="E1526" s="56"/>
      <c r="F1526" s="63"/>
      <c r="G1526" s="64"/>
      <c r="H1526" s="65"/>
      <c r="I1526" s="63"/>
      <c r="K1526" s="53" t="str">
        <f>IFERROR(__xludf.DUMMYFUNCTION("IF(ISBLANK(B1526),"""",IF(ISDATE(B1526),""X"",""""))"),"")</f>
        <v/>
      </c>
      <c r="L1526" s="40" t="str">
        <f>IFERROR(__xludf.DUMMYFUNCTION("IF(ISBLANK(B1526),"""",IF(Or(I1526=""Em Aberto"",ISBLANK(I1526),NOT(ISDATE(B1526))),"""",H1526))"),"")</f>
        <v/>
      </c>
      <c r="M1526" s="29" t="str">
        <f>IFERROR(__xludf.DUMMYFUNCTION("IF(ISBLANK(B1526),"""",IF(ISDATE(B1526),TEXT(B1526,""m""),""""))"),"")</f>
        <v/>
      </c>
      <c r="N1526" s="29" t="str">
        <f>IFERROR(__xludf.DUMMYFUNCTION("IF(M1526="""","""",QUERY({'Dashboard-Dados'!$Y$2:$AA$13},""Select Col2 Where Col1=""&amp;M1526))"),"")</f>
        <v/>
      </c>
      <c r="O1526" s="29" t="str">
        <f>IFERROR(__xludf.DUMMYFUNCTION("IF(ISBLANK(B1526),"""",IF(ISDATE(B1526),TEXT(B1526,""yyyy""),""""))"),"")</f>
        <v/>
      </c>
    </row>
    <row r="1527">
      <c r="B1527" s="62"/>
      <c r="C1527" s="56"/>
      <c r="D1527" s="56"/>
      <c r="E1527" s="56"/>
      <c r="F1527" s="63"/>
      <c r="G1527" s="64"/>
      <c r="H1527" s="65"/>
      <c r="I1527" s="63"/>
      <c r="K1527" s="53" t="str">
        <f>IFERROR(__xludf.DUMMYFUNCTION("IF(ISBLANK(B1527),"""",IF(ISDATE(B1527),""X"",""""))"),"")</f>
        <v/>
      </c>
      <c r="L1527" s="40" t="str">
        <f>IFERROR(__xludf.DUMMYFUNCTION("IF(ISBLANK(B1527),"""",IF(Or(I1527=""Em Aberto"",ISBLANK(I1527),NOT(ISDATE(B1527))),"""",H1527))"),"")</f>
        <v/>
      </c>
      <c r="M1527" s="29" t="str">
        <f>IFERROR(__xludf.DUMMYFUNCTION("IF(ISBLANK(B1527),"""",IF(ISDATE(B1527),TEXT(B1527,""m""),""""))"),"")</f>
        <v/>
      </c>
      <c r="N1527" s="29" t="str">
        <f>IFERROR(__xludf.DUMMYFUNCTION("IF(M1527="""","""",QUERY({'Dashboard-Dados'!$Y$2:$AA$13},""Select Col2 Where Col1=""&amp;M1527))"),"")</f>
        <v/>
      </c>
      <c r="O1527" s="29" t="str">
        <f>IFERROR(__xludf.DUMMYFUNCTION("IF(ISBLANK(B1527),"""",IF(ISDATE(B1527),TEXT(B1527,""yyyy""),""""))"),"")</f>
        <v/>
      </c>
    </row>
    <row r="1528">
      <c r="B1528" s="62"/>
      <c r="C1528" s="56"/>
      <c r="D1528" s="56"/>
      <c r="E1528" s="56"/>
      <c r="F1528" s="63"/>
      <c r="G1528" s="64"/>
      <c r="H1528" s="65"/>
      <c r="I1528" s="63"/>
      <c r="K1528" s="53" t="str">
        <f>IFERROR(__xludf.DUMMYFUNCTION("IF(ISBLANK(B1528),"""",IF(ISDATE(B1528),""X"",""""))"),"")</f>
        <v/>
      </c>
      <c r="L1528" s="40" t="str">
        <f>IFERROR(__xludf.DUMMYFUNCTION("IF(ISBLANK(B1528),"""",IF(Or(I1528=""Em Aberto"",ISBLANK(I1528),NOT(ISDATE(B1528))),"""",H1528))"),"")</f>
        <v/>
      </c>
      <c r="M1528" s="29" t="str">
        <f>IFERROR(__xludf.DUMMYFUNCTION("IF(ISBLANK(B1528),"""",IF(ISDATE(B1528),TEXT(B1528,""m""),""""))"),"")</f>
        <v/>
      </c>
      <c r="N1528" s="29" t="str">
        <f>IFERROR(__xludf.DUMMYFUNCTION("IF(M1528="""","""",QUERY({'Dashboard-Dados'!$Y$2:$AA$13},""Select Col2 Where Col1=""&amp;M1528))"),"")</f>
        <v/>
      </c>
      <c r="O1528" s="29" t="str">
        <f>IFERROR(__xludf.DUMMYFUNCTION("IF(ISBLANK(B1528),"""",IF(ISDATE(B1528),TEXT(B1528,""yyyy""),""""))"),"")</f>
        <v/>
      </c>
    </row>
    <row r="1529">
      <c r="B1529" s="62"/>
      <c r="C1529" s="56"/>
      <c r="D1529" s="56"/>
      <c r="E1529" s="56"/>
      <c r="F1529" s="63"/>
      <c r="G1529" s="64"/>
      <c r="H1529" s="65"/>
      <c r="I1529" s="63"/>
      <c r="K1529" s="53" t="str">
        <f>IFERROR(__xludf.DUMMYFUNCTION("IF(ISBLANK(B1529),"""",IF(ISDATE(B1529),""X"",""""))"),"")</f>
        <v/>
      </c>
      <c r="L1529" s="40" t="str">
        <f>IFERROR(__xludf.DUMMYFUNCTION("IF(ISBLANK(B1529),"""",IF(Or(I1529=""Em Aberto"",ISBLANK(I1529),NOT(ISDATE(B1529))),"""",H1529))"),"")</f>
        <v/>
      </c>
      <c r="M1529" s="29" t="str">
        <f>IFERROR(__xludf.DUMMYFUNCTION("IF(ISBLANK(B1529),"""",IF(ISDATE(B1529),TEXT(B1529,""m""),""""))"),"")</f>
        <v/>
      </c>
      <c r="N1529" s="29" t="str">
        <f>IFERROR(__xludf.DUMMYFUNCTION("IF(M1529="""","""",QUERY({'Dashboard-Dados'!$Y$2:$AA$13},""Select Col2 Where Col1=""&amp;M1529))"),"")</f>
        <v/>
      </c>
      <c r="O1529" s="29" t="str">
        <f>IFERROR(__xludf.DUMMYFUNCTION("IF(ISBLANK(B1529),"""",IF(ISDATE(B1529),TEXT(B1529,""yyyy""),""""))"),"")</f>
        <v/>
      </c>
    </row>
    <row r="1530">
      <c r="B1530" s="62"/>
      <c r="C1530" s="56"/>
      <c r="D1530" s="56"/>
      <c r="E1530" s="56"/>
      <c r="F1530" s="63"/>
      <c r="G1530" s="64"/>
      <c r="H1530" s="65"/>
      <c r="I1530" s="63"/>
      <c r="K1530" s="53" t="str">
        <f>IFERROR(__xludf.DUMMYFUNCTION("IF(ISBLANK(B1530),"""",IF(ISDATE(B1530),""X"",""""))"),"")</f>
        <v/>
      </c>
      <c r="L1530" s="40" t="str">
        <f>IFERROR(__xludf.DUMMYFUNCTION("IF(ISBLANK(B1530),"""",IF(Or(I1530=""Em Aberto"",ISBLANK(I1530),NOT(ISDATE(B1530))),"""",H1530))"),"")</f>
        <v/>
      </c>
      <c r="M1530" s="29" t="str">
        <f>IFERROR(__xludf.DUMMYFUNCTION("IF(ISBLANK(B1530),"""",IF(ISDATE(B1530),TEXT(B1530,""m""),""""))"),"")</f>
        <v/>
      </c>
      <c r="N1530" s="29" t="str">
        <f>IFERROR(__xludf.DUMMYFUNCTION("IF(M1530="""","""",QUERY({'Dashboard-Dados'!$Y$2:$AA$13},""Select Col2 Where Col1=""&amp;M1530))"),"")</f>
        <v/>
      </c>
      <c r="O1530" s="29" t="str">
        <f>IFERROR(__xludf.DUMMYFUNCTION("IF(ISBLANK(B1530),"""",IF(ISDATE(B1530),TEXT(B1530,""yyyy""),""""))"),"")</f>
        <v/>
      </c>
    </row>
    <row r="1531">
      <c r="B1531" s="62"/>
      <c r="C1531" s="56"/>
      <c r="D1531" s="56"/>
      <c r="E1531" s="56"/>
      <c r="F1531" s="63"/>
      <c r="G1531" s="64"/>
      <c r="H1531" s="65"/>
      <c r="I1531" s="63"/>
      <c r="K1531" s="53" t="str">
        <f>IFERROR(__xludf.DUMMYFUNCTION("IF(ISBLANK(B1531),"""",IF(ISDATE(B1531),""X"",""""))"),"")</f>
        <v/>
      </c>
      <c r="L1531" s="40" t="str">
        <f>IFERROR(__xludf.DUMMYFUNCTION("IF(ISBLANK(B1531),"""",IF(Or(I1531=""Em Aberto"",ISBLANK(I1531),NOT(ISDATE(B1531))),"""",H1531))"),"")</f>
        <v/>
      </c>
      <c r="M1531" s="29" t="str">
        <f>IFERROR(__xludf.DUMMYFUNCTION("IF(ISBLANK(B1531),"""",IF(ISDATE(B1531),TEXT(B1531,""m""),""""))"),"")</f>
        <v/>
      </c>
      <c r="N1531" s="29" t="str">
        <f>IFERROR(__xludf.DUMMYFUNCTION("IF(M1531="""","""",QUERY({'Dashboard-Dados'!$Y$2:$AA$13},""Select Col2 Where Col1=""&amp;M1531))"),"")</f>
        <v/>
      </c>
      <c r="O1531" s="29" t="str">
        <f>IFERROR(__xludf.DUMMYFUNCTION("IF(ISBLANK(B1531),"""",IF(ISDATE(B1531),TEXT(B1531,""yyyy""),""""))"),"")</f>
        <v/>
      </c>
    </row>
    <row r="1532">
      <c r="B1532" s="62"/>
      <c r="C1532" s="56"/>
      <c r="D1532" s="56"/>
      <c r="E1532" s="56"/>
      <c r="F1532" s="63"/>
      <c r="G1532" s="64"/>
      <c r="H1532" s="65"/>
      <c r="I1532" s="63"/>
      <c r="K1532" s="53" t="str">
        <f>IFERROR(__xludf.DUMMYFUNCTION("IF(ISBLANK(B1532),"""",IF(ISDATE(B1532),""X"",""""))"),"")</f>
        <v/>
      </c>
      <c r="L1532" s="40" t="str">
        <f>IFERROR(__xludf.DUMMYFUNCTION("IF(ISBLANK(B1532),"""",IF(Or(I1532=""Em Aberto"",ISBLANK(I1532),NOT(ISDATE(B1532))),"""",H1532))"),"")</f>
        <v/>
      </c>
      <c r="M1532" s="29" t="str">
        <f>IFERROR(__xludf.DUMMYFUNCTION("IF(ISBLANK(B1532),"""",IF(ISDATE(B1532),TEXT(B1532,""m""),""""))"),"")</f>
        <v/>
      </c>
      <c r="N1532" s="29" t="str">
        <f>IFERROR(__xludf.DUMMYFUNCTION("IF(M1532="""","""",QUERY({'Dashboard-Dados'!$Y$2:$AA$13},""Select Col2 Where Col1=""&amp;M1532))"),"")</f>
        <v/>
      </c>
      <c r="O1532" s="29" t="str">
        <f>IFERROR(__xludf.DUMMYFUNCTION("IF(ISBLANK(B1532),"""",IF(ISDATE(B1532),TEXT(B1532,""yyyy""),""""))"),"")</f>
        <v/>
      </c>
    </row>
    <row r="1533">
      <c r="B1533" s="62"/>
      <c r="C1533" s="56"/>
      <c r="D1533" s="56"/>
      <c r="E1533" s="56"/>
      <c r="F1533" s="63"/>
      <c r="G1533" s="64"/>
      <c r="H1533" s="65"/>
      <c r="I1533" s="63"/>
      <c r="K1533" s="53" t="str">
        <f>IFERROR(__xludf.DUMMYFUNCTION("IF(ISBLANK(B1533),"""",IF(ISDATE(B1533),""X"",""""))"),"")</f>
        <v/>
      </c>
      <c r="L1533" s="40" t="str">
        <f>IFERROR(__xludf.DUMMYFUNCTION("IF(ISBLANK(B1533),"""",IF(Or(I1533=""Em Aberto"",ISBLANK(I1533),NOT(ISDATE(B1533))),"""",H1533))"),"")</f>
        <v/>
      </c>
      <c r="M1533" s="29" t="str">
        <f>IFERROR(__xludf.DUMMYFUNCTION("IF(ISBLANK(B1533),"""",IF(ISDATE(B1533),TEXT(B1533,""m""),""""))"),"")</f>
        <v/>
      </c>
      <c r="N1533" s="29" t="str">
        <f>IFERROR(__xludf.DUMMYFUNCTION("IF(M1533="""","""",QUERY({'Dashboard-Dados'!$Y$2:$AA$13},""Select Col2 Where Col1=""&amp;M1533))"),"")</f>
        <v/>
      </c>
      <c r="O1533" s="29" t="str">
        <f>IFERROR(__xludf.DUMMYFUNCTION("IF(ISBLANK(B1533),"""",IF(ISDATE(B1533),TEXT(B1533,""yyyy""),""""))"),"")</f>
        <v/>
      </c>
    </row>
    <row r="1534">
      <c r="B1534" s="62"/>
      <c r="C1534" s="56"/>
      <c r="D1534" s="56"/>
      <c r="E1534" s="56"/>
      <c r="F1534" s="63"/>
      <c r="G1534" s="64"/>
      <c r="H1534" s="65"/>
      <c r="I1534" s="63"/>
      <c r="K1534" s="53" t="str">
        <f>IFERROR(__xludf.DUMMYFUNCTION("IF(ISBLANK(B1534),"""",IF(ISDATE(B1534),""X"",""""))"),"")</f>
        <v/>
      </c>
      <c r="L1534" s="40" t="str">
        <f>IFERROR(__xludf.DUMMYFUNCTION("IF(ISBLANK(B1534),"""",IF(Or(I1534=""Em Aberto"",ISBLANK(I1534),NOT(ISDATE(B1534))),"""",H1534))"),"")</f>
        <v/>
      </c>
      <c r="M1534" s="29" t="str">
        <f>IFERROR(__xludf.DUMMYFUNCTION("IF(ISBLANK(B1534),"""",IF(ISDATE(B1534),TEXT(B1534,""m""),""""))"),"")</f>
        <v/>
      </c>
      <c r="N1534" s="29" t="str">
        <f>IFERROR(__xludf.DUMMYFUNCTION("IF(M1534="""","""",QUERY({'Dashboard-Dados'!$Y$2:$AA$13},""Select Col2 Where Col1=""&amp;M1534))"),"")</f>
        <v/>
      </c>
      <c r="O1534" s="29" t="str">
        <f>IFERROR(__xludf.DUMMYFUNCTION("IF(ISBLANK(B1534),"""",IF(ISDATE(B1534),TEXT(B1534,""yyyy""),""""))"),"")</f>
        <v/>
      </c>
    </row>
    <row r="1535">
      <c r="B1535" s="62"/>
      <c r="C1535" s="56"/>
      <c r="D1535" s="56"/>
      <c r="E1535" s="56"/>
      <c r="F1535" s="63"/>
      <c r="G1535" s="64"/>
      <c r="H1535" s="65"/>
      <c r="I1535" s="63"/>
      <c r="K1535" s="53" t="str">
        <f>IFERROR(__xludf.DUMMYFUNCTION("IF(ISBLANK(B1535),"""",IF(ISDATE(B1535),""X"",""""))"),"")</f>
        <v/>
      </c>
      <c r="L1535" s="40" t="str">
        <f>IFERROR(__xludf.DUMMYFUNCTION("IF(ISBLANK(B1535),"""",IF(Or(I1535=""Em Aberto"",ISBLANK(I1535),NOT(ISDATE(B1535))),"""",H1535))"),"")</f>
        <v/>
      </c>
      <c r="M1535" s="29" t="str">
        <f>IFERROR(__xludf.DUMMYFUNCTION("IF(ISBLANK(B1535),"""",IF(ISDATE(B1535),TEXT(B1535,""m""),""""))"),"")</f>
        <v/>
      </c>
      <c r="N1535" s="29" t="str">
        <f>IFERROR(__xludf.DUMMYFUNCTION("IF(M1535="""","""",QUERY({'Dashboard-Dados'!$Y$2:$AA$13},""Select Col2 Where Col1=""&amp;M1535))"),"")</f>
        <v/>
      </c>
      <c r="O1535" s="29" t="str">
        <f>IFERROR(__xludf.DUMMYFUNCTION("IF(ISBLANK(B1535),"""",IF(ISDATE(B1535),TEXT(B1535,""yyyy""),""""))"),"")</f>
        <v/>
      </c>
    </row>
    <row r="1536">
      <c r="B1536" s="62"/>
      <c r="C1536" s="56"/>
      <c r="D1536" s="56"/>
      <c r="E1536" s="56"/>
      <c r="F1536" s="63"/>
      <c r="G1536" s="64"/>
      <c r="H1536" s="65"/>
      <c r="I1536" s="63"/>
      <c r="K1536" s="53" t="str">
        <f>IFERROR(__xludf.DUMMYFUNCTION("IF(ISBLANK(B1536),"""",IF(ISDATE(B1536),""X"",""""))"),"")</f>
        <v/>
      </c>
      <c r="L1536" s="40" t="str">
        <f>IFERROR(__xludf.DUMMYFUNCTION("IF(ISBLANK(B1536),"""",IF(Or(I1536=""Em Aberto"",ISBLANK(I1536),NOT(ISDATE(B1536))),"""",H1536))"),"")</f>
        <v/>
      </c>
      <c r="M1536" s="29" t="str">
        <f>IFERROR(__xludf.DUMMYFUNCTION("IF(ISBLANK(B1536),"""",IF(ISDATE(B1536),TEXT(B1536,""m""),""""))"),"")</f>
        <v/>
      </c>
      <c r="N1536" s="29" t="str">
        <f>IFERROR(__xludf.DUMMYFUNCTION("IF(M1536="""","""",QUERY({'Dashboard-Dados'!$Y$2:$AA$13},""Select Col2 Where Col1=""&amp;M1536))"),"")</f>
        <v/>
      </c>
      <c r="O1536" s="29" t="str">
        <f>IFERROR(__xludf.DUMMYFUNCTION("IF(ISBLANK(B1536),"""",IF(ISDATE(B1536),TEXT(B1536,""yyyy""),""""))"),"")</f>
        <v/>
      </c>
    </row>
    <row r="1537">
      <c r="B1537" s="62"/>
      <c r="C1537" s="56"/>
      <c r="D1537" s="56"/>
      <c r="E1537" s="56"/>
      <c r="F1537" s="63"/>
      <c r="G1537" s="64"/>
      <c r="H1537" s="65"/>
      <c r="I1537" s="63"/>
      <c r="K1537" s="53" t="str">
        <f>IFERROR(__xludf.DUMMYFUNCTION("IF(ISBLANK(B1537),"""",IF(ISDATE(B1537),""X"",""""))"),"")</f>
        <v/>
      </c>
      <c r="L1537" s="40" t="str">
        <f>IFERROR(__xludf.DUMMYFUNCTION("IF(ISBLANK(B1537),"""",IF(Or(I1537=""Em Aberto"",ISBLANK(I1537),NOT(ISDATE(B1537))),"""",H1537))"),"")</f>
        <v/>
      </c>
      <c r="M1537" s="29" t="str">
        <f>IFERROR(__xludf.DUMMYFUNCTION("IF(ISBLANK(B1537),"""",IF(ISDATE(B1537),TEXT(B1537,""m""),""""))"),"")</f>
        <v/>
      </c>
      <c r="N1537" s="29" t="str">
        <f>IFERROR(__xludf.DUMMYFUNCTION("IF(M1537="""","""",QUERY({'Dashboard-Dados'!$Y$2:$AA$13},""Select Col2 Where Col1=""&amp;M1537))"),"")</f>
        <v/>
      </c>
      <c r="O1537" s="29" t="str">
        <f>IFERROR(__xludf.DUMMYFUNCTION("IF(ISBLANK(B1537),"""",IF(ISDATE(B1537),TEXT(B1537,""yyyy""),""""))"),"")</f>
        <v/>
      </c>
    </row>
    <row r="1538">
      <c r="B1538" s="62"/>
      <c r="C1538" s="56"/>
      <c r="D1538" s="56"/>
      <c r="E1538" s="56"/>
      <c r="F1538" s="63"/>
      <c r="G1538" s="64"/>
      <c r="H1538" s="65"/>
      <c r="I1538" s="63"/>
      <c r="K1538" s="53" t="str">
        <f>IFERROR(__xludf.DUMMYFUNCTION("IF(ISBLANK(B1538),"""",IF(ISDATE(B1538),""X"",""""))"),"")</f>
        <v/>
      </c>
      <c r="L1538" s="40" t="str">
        <f>IFERROR(__xludf.DUMMYFUNCTION("IF(ISBLANK(B1538),"""",IF(Or(I1538=""Em Aberto"",ISBLANK(I1538),NOT(ISDATE(B1538))),"""",H1538))"),"")</f>
        <v/>
      </c>
      <c r="M1538" s="29" t="str">
        <f>IFERROR(__xludf.DUMMYFUNCTION("IF(ISBLANK(B1538),"""",IF(ISDATE(B1538),TEXT(B1538,""m""),""""))"),"")</f>
        <v/>
      </c>
      <c r="N1538" s="29" t="str">
        <f>IFERROR(__xludf.DUMMYFUNCTION("IF(M1538="""","""",QUERY({'Dashboard-Dados'!$Y$2:$AA$13},""Select Col2 Where Col1=""&amp;M1538))"),"")</f>
        <v/>
      </c>
      <c r="O1538" s="29" t="str">
        <f>IFERROR(__xludf.DUMMYFUNCTION("IF(ISBLANK(B1538),"""",IF(ISDATE(B1538),TEXT(B1538,""yyyy""),""""))"),"")</f>
        <v/>
      </c>
    </row>
    <row r="1539">
      <c r="B1539" s="62"/>
      <c r="C1539" s="56"/>
      <c r="D1539" s="56"/>
      <c r="E1539" s="56"/>
      <c r="F1539" s="63"/>
      <c r="G1539" s="64"/>
      <c r="H1539" s="65"/>
      <c r="I1539" s="63"/>
      <c r="K1539" s="53" t="str">
        <f>IFERROR(__xludf.DUMMYFUNCTION("IF(ISBLANK(B1539),"""",IF(ISDATE(B1539),""X"",""""))"),"")</f>
        <v/>
      </c>
      <c r="L1539" s="40" t="str">
        <f>IFERROR(__xludf.DUMMYFUNCTION("IF(ISBLANK(B1539),"""",IF(Or(I1539=""Em Aberto"",ISBLANK(I1539),NOT(ISDATE(B1539))),"""",H1539))"),"")</f>
        <v/>
      </c>
      <c r="M1539" s="29" t="str">
        <f>IFERROR(__xludf.DUMMYFUNCTION("IF(ISBLANK(B1539),"""",IF(ISDATE(B1539),TEXT(B1539,""m""),""""))"),"")</f>
        <v/>
      </c>
      <c r="N1539" s="29" t="str">
        <f>IFERROR(__xludf.DUMMYFUNCTION("IF(M1539="""","""",QUERY({'Dashboard-Dados'!$Y$2:$AA$13},""Select Col2 Where Col1=""&amp;M1539))"),"")</f>
        <v/>
      </c>
      <c r="O1539" s="29" t="str">
        <f>IFERROR(__xludf.DUMMYFUNCTION("IF(ISBLANK(B1539),"""",IF(ISDATE(B1539),TEXT(B1539,""yyyy""),""""))"),"")</f>
        <v/>
      </c>
    </row>
    <row r="1540">
      <c r="B1540" s="62"/>
      <c r="C1540" s="56"/>
      <c r="D1540" s="56"/>
      <c r="E1540" s="56"/>
      <c r="F1540" s="63"/>
      <c r="G1540" s="64"/>
      <c r="H1540" s="65"/>
      <c r="I1540" s="63"/>
      <c r="K1540" s="53" t="str">
        <f>IFERROR(__xludf.DUMMYFUNCTION("IF(ISBLANK(B1540),"""",IF(ISDATE(B1540),""X"",""""))"),"")</f>
        <v/>
      </c>
      <c r="L1540" s="40" t="str">
        <f>IFERROR(__xludf.DUMMYFUNCTION("IF(ISBLANK(B1540),"""",IF(Or(I1540=""Em Aberto"",ISBLANK(I1540),NOT(ISDATE(B1540))),"""",H1540))"),"")</f>
        <v/>
      </c>
      <c r="M1540" s="29" t="str">
        <f>IFERROR(__xludf.DUMMYFUNCTION("IF(ISBLANK(B1540),"""",IF(ISDATE(B1540),TEXT(B1540,""m""),""""))"),"")</f>
        <v/>
      </c>
      <c r="N1540" s="29" t="str">
        <f>IFERROR(__xludf.DUMMYFUNCTION("IF(M1540="""","""",QUERY({'Dashboard-Dados'!$Y$2:$AA$13},""Select Col2 Where Col1=""&amp;M1540))"),"")</f>
        <v/>
      </c>
      <c r="O1540" s="29" t="str">
        <f>IFERROR(__xludf.DUMMYFUNCTION("IF(ISBLANK(B1540),"""",IF(ISDATE(B1540),TEXT(B1540,""yyyy""),""""))"),"")</f>
        <v/>
      </c>
    </row>
    <row r="1541">
      <c r="B1541" s="62"/>
      <c r="C1541" s="56"/>
      <c r="D1541" s="56"/>
      <c r="E1541" s="56"/>
      <c r="F1541" s="63"/>
      <c r="G1541" s="64"/>
      <c r="H1541" s="65"/>
      <c r="I1541" s="63"/>
      <c r="K1541" s="53" t="str">
        <f>IFERROR(__xludf.DUMMYFUNCTION("IF(ISBLANK(B1541),"""",IF(ISDATE(B1541),""X"",""""))"),"")</f>
        <v/>
      </c>
      <c r="L1541" s="40" t="str">
        <f>IFERROR(__xludf.DUMMYFUNCTION("IF(ISBLANK(B1541),"""",IF(Or(I1541=""Em Aberto"",ISBLANK(I1541),NOT(ISDATE(B1541))),"""",H1541))"),"")</f>
        <v/>
      </c>
      <c r="M1541" s="29" t="str">
        <f>IFERROR(__xludf.DUMMYFUNCTION("IF(ISBLANK(B1541),"""",IF(ISDATE(B1541),TEXT(B1541,""m""),""""))"),"")</f>
        <v/>
      </c>
      <c r="N1541" s="29" t="str">
        <f>IFERROR(__xludf.DUMMYFUNCTION("IF(M1541="""","""",QUERY({'Dashboard-Dados'!$Y$2:$AA$13},""Select Col2 Where Col1=""&amp;M1541))"),"")</f>
        <v/>
      </c>
      <c r="O1541" s="29" t="str">
        <f>IFERROR(__xludf.DUMMYFUNCTION("IF(ISBLANK(B1541),"""",IF(ISDATE(B1541),TEXT(B1541,""yyyy""),""""))"),"")</f>
        <v/>
      </c>
    </row>
    <row r="1542">
      <c r="B1542" s="62"/>
      <c r="C1542" s="56"/>
      <c r="D1542" s="56"/>
      <c r="E1542" s="56"/>
      <c r="F1542" s="63"/>
      <c r="G1542" s="64"/>
      <c r="H1542" s="65"/>
      <c r="I1542" s="63"/>
      <c r="K1542" s="53" t="str">
        <f>IFERROR(__xludf.DUMMYFUNCTION("IF(ISBLANK(B1542),"""",IF(ISDATE(B1542),""X"",""""))"),"")</f>
        <v/>
      </c>
      <c r="L1542" s="40" t="str">
        <f>IFERROR(__xludf.DUMMYFUNCTION("IF(ISBLANK(B1542),"""",IF(Or(I1542=""Em Aberto"",ISBLANK(I1542),NOT(ISDATE(B1542))),"""",H1542))"),"")</f>
        <v/>
      </c>
      <c r="M1542" s="29" t="str">
        <f>IFERROR(__xludf.DUMMYFUNCTION("IF(ISBLANK(B1542),"""",IF(ISDATE(B1542),TEXT(B1542,""m""),""""))"),"")</f>
        <v/>
      </c>
      <c r="N1542" s="29" t="str">
        <f>IFERROR(__xludf.DUMMYFUNCTION("IF(M1542="""","""",QUERY({'Dashboard-Dados'!$Y$2:$AA$13},""Select Col2 Where Col1=""&amp;M1542))"),"")</f>
        <v/>
      </c>
      <c r="O1542" s="29" t="str">
        <f>IFERROR(__xludf.DUMMYFUNCTION("IF(ISBLANK(B1542),"""",IF(ISDATE(B1542),TEXT(B1542,""yyyy""),""""))"),"")</f>
        <v/>
      </c>
    </row>
    <row r="1543">
      <c r="B1543" s="62"/>
      <c r="C1543" s="56"/>
      <c r="D1543" s="56"/>
      <c r="E1543" s="56"/>
      <c r="F1543" s="63"/>
      <c r="G1543" s="64"/>
      <c r="H1543" s="65"/>
      <c r="I1543" s="63"/>
      <c r="K1543" s="53" t="str">
        <f>IFERROR(__xludf.DUMMYFUNCTION("IF(ISBLANK(B1543),"""",IF(ISDATE(B1543),""X"",""""))"),"")</f>
        <v/>
      </c>
      <c r="L1543" s="40" t="str">
        <f>IFERROR(__xludf.DUMMYFUNCTION("IF(ISBLANK(B1543),"""",IF(Or(I1543=""Em Aberto"",ISBLANK(I1543),NOT(ISDATE(B1543))),"""",H1543))"),"")</f>
        <v/>
      </c>
      <c r="M1543" s="29" t="str">
        <f>IFERROR(__xludf.DUMMYFUNCTION("IF(ISBLANK(B1543),"""",IF(ISDATE(B1543),TEXT(B1543,""m""),""""))"),"")</f>
        <v/>
      </c>
      <c r="N1543" s="29" t="str">
        <f>IFERROR(__xludf.DUMMYFUNCTION("IF(M1543="""","""",QUERY({'Dashboard-Dados'!$Y$2:$AA$13},""Select Col2 Where Col1=""&amp;M1543))"),"")</f>
        <v/>
      </c>
      <c r="O1543" s="29" t="str">
        <f>IFERROR(__xludf.DUMMYFUNCTION("IF(ISBLANK(B1543),"""",IF(ISDATE(B1543),TEXT(B1543,""yyyy""),""""))"),"")</f>
        <v/>
      </c>
    </row>
    <row r="1544">
      <c r="B1544" s="62"/>
      <c r="C1544" s="56"/>
      <c r="D1544" s="56"/>
      <c r="E1544" s="56"/>
      <c r="F1544" s="63"/>
      <c r="G1544" s="64"/>
      <c r="H1544" s="65"/>
      <c r="I1544" s="63"/>
      <c r="K1544" s="53" t="str">
        <f>IFERROR(__xludf.DUMMYFUNCTION("IF(ISBLANK(B1544),"""",IF(ISDATE(B1544),""X"",""""))"),"")</f>
        <v/>
      </c>
      <c r="L1544" s="40" t="str">
        <f>IFERROR(__xludf.DUMMYFUNCTION("IF(ISBLANK(B1544),"""",IF(Or(I1544=""Em Aberto"",ISBLANK(I1544),NOT(ISDATE(B1544))),"""",H1544))"),"")</f>
        <v/>
      </c>
      <c r="M1544" s="29" t="str">
        <f>IFERROR(__xludf.DUMMYFUNCTION("IF(ISBLANK(B1544),"""",IF(ISDATE(B1544),TEXT(B1544,""m""),""""))"),"")</f>
        <v/>
      </c>
      <c r="N1544" s="29" t="str">
        <f>IFERROR(__xludf.DUMMYFUNCTION("IF(M1544="""","""",QUERY({'Dashboard-Dados'!$Y$2:$AA$13},""Select Col2 Where Col1=""&amp;M1544))"),"")</f>
        <v/>
      </c>
      <c r="O1544" s="29" t="str">
        <f>IFERROR(__xludf.DUMMYFUNCTION("IF(ISBLANK(B1544),"""",IF(ISDATE(B1544),TEXT(B1544,""yyyy""),""""))"),"")</f>
        <v/>
      </c>
    </row>
    <row r="1545">
      <c r="B1545" s="62"/>
      <c r="C1545" s="56"/>
      <c r="D1545" s="56"/>
      <c r="E1545" s="56"/>
      <c r="F1545" s="63"/>
      <c r="G1545" s="64"/>
      <c r="H1545" s="65"/>
      <c r="I1545" s="63"/>
      <c r="K1545" s="53" t="str">
        <f>IFERROR(__xludf.DUMMYFUNCTION("IF(ISBLANK(B1545),"""",IF(ISDATE(B1545),""X"",""""))"),"")</f>
        <v/>
      </c>
      <c r="L1545" s="40" t="str">
        <f>IFERROR(__xludf.DUMMYFUNCTION("IF(ISBLANK(B1545),"""",IF(Or(I1545=""Em Aberto"",ISBLANK(I1545),NOT(ISDATE(B1545))),"""",H1545))"),"")</f>
        <v/>
      </c>
      <c r="M1545" s="29" t="str">
        <f>IFERROR(__xludf.DUMMYFUNCTION("IF(ISBLANK(B1545),"""",IF(ISDATE(B1545),TEXT(B1545,""m""),""""))"),"")</f>
        <v/>
      </c>
      <c r="N1545" s="29" t="str">
        <f>IFERROR(__xludf.DUMMYFUNCTION("IF(M1545="""","""",QUERY({'Dashboard-Dados'!$Y$2:$AA$13},""Select Col2 Where Col1=""&amp;M1545))"),"")</f>
        <v/>
      </c>
      <c r="O1545" s="29" t="str">
        <f>IFERROR(__xludf.DUMMYFUNCTION("IF(ISBLANK(B1545),"""",IF(ISDATE(B1545),TEXT(B1545,""yyyy""),""""))"),"")</f>
        <v/>
      </c>
    </row>
    <row r="1546">
      <c r="B1546" s="62"/>
      <c r="C1546" s="56"/>
      <c r="D1546" s="56"/>
      <c r="E1546" s="56"/>
      <c r="F1546" s="63"/>
      <c r="G1546" s="64"/>
      <c r="H1546" s="65"/>
      <c r="I1546" s="63"/>
      <c r="K1546" s="53" t="str">
        <f>IFERROR(__xludf.DUMMYFUNCTION("IF(ISBLANK(B1546),"""",IF(ISDATE(B1546),""X"",""""))"),"")</f>
        <v/>
      </c>
      <c r="L1546" s="40" t="str">
        <f>IFERROR(__xludf.DUMMYFUNCTION("IF(ISBLANK(B1546),"""",IF(Or(I1546=""Em Aberto"",ISBLANK(I1546),NOT(ISDATE(B1546))),"""",H1546))"),"")</f>
        <v/>
      </c>
      <c r="M1546" s="29" t="str">
        <f>IFERROR(__xludf.DUMMYFUNCTION("IF(ISBLANK(B1546),"""",IF(ISDATE(B1546),TEXT(B1546,""m""),""""))"),"")</f>
        <v/>
      </c>
      <c r="N1546" s="29" t="str">
        <f>IFERROR(__xludf.DUMMYFUNCTION("IF(M1546="""","""",QUERY({'Dashboard-Dados'!$Y$2:$AA$13},""Select Col2 Where Col1=""&amp;M1546))"),"")</f>
        <v/>
      </c>
      <c r="O1546" s="29" t="str">
        <f>IFERROR(__xludf.DUMMYFUNCTION("IF(ISBLANK(B1546),"""",IF(ISDATE(B1546),TEXT(B1546,""yyyy""),""""))"),"")</f>
        <v/>
      </c>
    </row>
    <row r="1547">
      <c r="B1547" s="62"/>
      <c r="C1547" s="56"/>
      <c r="D1547" s="56"/>
      <c r="E1547" s="56"/>
      <c r="F1547" s="63"/>
      <c r="G1547" s="64"/>
      <c r="H1547" s="65"/>
      <c r="I1547" s="63"/>
      <c r="K1547" s="53" t="str">
        <f>IFERROR(__xludf.DUMMYFUNCTION("IF(ISBLANK(B1547),"""",IF(ISDATE(B1547),""X"",""""))"),"")</f>
        <v/>
      </c>
      <c r="L1547" s="40" t="str">
        <f>IFERROR(__xludf.DUMMYFUNCTION("IF(ISBLANK(B1547),"""",IF(Or(I1547=""Em Aberto"",ISBLANK(I1547),NOT(ISDATE(B1547))),"""",H1547))"),"")</f>
        <v/>
      </c>
      <c r="M1547" s="29" t="str">
        <f>IFERROR(__xludf.DUMMYFUNCTION("IF(ISBLANK(B1547),"""",IF(ISDATE(B1547),TEXT(B1547,""m""),""""))"),"")</f>
        <v/>
      </c>
      <c r="N1547" s="29" t="str">
        <f>IFERROR(__xludf.DUMMYFUNCTION("IF(M1547="""","""",QUERY({'Dashboard-Dados'!$Y$2:$AA$13},""Select Col2 Where Col1=""&amp;M1547))"),"")</f>
        <v/>
      </c>
      <c r="O1547" s="29" t="str">
        <f>IFERROR(__xludf.DUMMYFUNCTION("IF(ISBLANK(B1547),"""",IF(ISDATE(B1547),TEXT(B1547,""yyyy""),""""))"),"")</f>
        <v/>
      </c>
    </row>
    <row r="1548">
      <c r="B1548" s="62"/>
      <c r="C1548" s="56"/>
      <c r="D1548" s="56"/>
      <c r="E1548" s="56"/>
      <c r="F1548" s="63"/>
      <c r="G1548" s="64"/>
      <c r="H1548" s="65"/>
      <c r="I1548" s="63"/>
      <c r="K1548" s="53" t="str">
        <f>IFERROR(__xludf.DUMMYFUNCTION("IF(ISBLANK(B1548),"""",IF(ISDATE(B1548),""X"",""""))"),"")</f>
        <v/>
      </c>
      <c r="L1548" s="40" t="str">
        <f>IFERROR(__xludf.DUMMYFUNCTION("IF(ISBLANK(B1548),"""",IF(Or(I1548=""Em Aberto"",ISBLANK(I1548),NOT(ISDATE(B1548))),"""",H1548))"),"")</f>
        <v/>
      </c>
      <c r="M1548" s="29" t="str">
        <f>IFERROR(__xludf.DUMMYFUNCTION("IF(ISBLANK(B1548),"""",IF(ISDATE(B1548),TEXT(B1548,""m""),""""))"),"")</f>
        <v/>
      </c>
      <c r="N1548" s="29" t="str">
        <f>IFERROR(__xludf.DUMMYFUNCTION("IF(M1548="""","""",QUERY({'Dashboard-Dados'!$Y$2:$AA$13},""Select Col2 Where Col1=""&amp;M1548))"),"")</f>
        <v/>
      </c>
      <c r="O1548" s="29" t="str">
        <f>IFERROR(__xludf.DUMMYFUNCTION("IF(ISBLANK(B1548),"""",IF(ISDATE(B1548),TEXT(B1548,""yyyy""),""""))"),"")</f>
        <v/>
      </c>
    </row>
    <row r="1549">
      <c r="B1549" s="62"/>
      <c r="C1549" s="56"/>
      <c r="D1549" s="56"/>
      <c r="E1549" s="56"/>
      <c r="F1549" s="63"/>
      <c r="G1549" s="64"/>
      <c r="H1549" s="65"/>
      <c r="I1549" s="63"/>
      <c r="K1549" s="53" t="str">
        <f>IFERROR(__xludf.DUMMYFUNCTION("IF(ISBLANK(B1549),"""",IF(ISDATE(B1549),""X"",""""))"),"")</f>
        <v/>
      </c>
      <c r="L1549" s="40" t="str">
        <f>IFERROR(__xludf.DUMMYFUNCTION("IF(ISBLANK(B1549),"""",IF(Or(I1549=""Em Aberto"",ISBLANK(I1549),NOT(ISDATE(B1549))),"""",H1549))"),"")</f>
        <v/>
      </c>
      <c r="M1549" s="29" t="str">
        <f>IFERROR(__xludf.DUMMYFUNCTION("IF(ISBLANK(B1549),"""",IF(ISDATE(B1549),TEXT(B1549,""m""),""""))"),"")</f>
        <v/>
      </c>
      <c r="N1549" s="29" t="str">
        <f>IFERROR(__xludf.DUMMYFUNCTION("IF(M1549="""","""",QUERY({'Dashboard-Dados'!$Y$2:$AA$13},""Select Col2 Where Col1=""&amp;M1549))"),"")</f>
        <v/>
      </c>
      <c r="O1549" s="29" t="str">
        <f>IFERROR(__xludf.DUMMYFUNCTION("IF(ISBLANK(B1549),"""",IF(ISDATE(B1549),TEXT(B1549,""yyyy""),""""))"),"")</f>
        <v/>
      </c>
    </row>
    <row r="1550">
      <c r="B1550" s="62"/>
      <c r="C1550" s="56"/>
      <c r="D1550" s="56"/>
      <c r="E1550" s="56"/>
      <c r="F1550" s="63"/>
      <c r="G1550" s="64"/>
      <c r="H1550" s="65"/>
      <c r="I1550" s="63"/>
      <c r="K1550" s="53" t="str">
        <f>IFERROR(__xludf.DUMMYFUNCTION("IF(ISBLANK(B1550),"""",IF(ISDATE(B1550),""X"",""""))"),"")</f>
        <v/>
      </c>
      <c r="L1550" s="40" t="str">
        <f>IFERROR(__xludf.DUMMYFUNCTION("IF(ISBLANK(B1550),"""",IF(Or(I1550=""Em Aberto"",ISBLANK(I1550),NOT(ISDATE(B1550))),"""",H1550))"),"")</f>
        <v/>
      </c>
      <c r="M1550" s="29" t="str">
        <f>IFERROR(__xludf.DUMMYFUNCTION("IF(ISBLANK(B1550),"""",IF(ISDATE(B1550),TEXT(B1550,""m""),""""))"),"")</f>
        <v/>
      </c>
      <c r="N1550" s="29" t="str">
        <f>IFERROR(__xludf.DUMMYFUNCTION("IF(M1550="""","""",QUERY({'Dashboard-Dados'!$Y$2:$AA$13},""Select Col2 Where Col1=""&amp;M1550))"),"")</f>
        <v/>
      </c>
      <c r="O1550" s="29" t="str">
        <f>IFERROR(__xludf.DUMMYFUNCTION("IF(ISBLANK(B1550),"""",IF(ISDATE(B1550),TEXT(B1550,""yyyy""),""""))"),"")</f>
        <v/>
      </c>
    </row>
    <row r="1551">
      <c r="B1551" s="62"/>
      <c r="C1551" s="56"/>
      <c r="D1551" s="56"/>
      <c r="E1551" s="56"/>
      <c r="F1551" s="63"/>
      <c r="G1551" s="64"/>
      <c r="H1551" s="65"/>
      <c r="I1551" s="63"/>
      <c r="K1551" s="53" t="str">
        <f>IFERROR(__xludf.DUMMYFUNCTION("IF(ISBLANK(B1551),"""",IF(ISDATE(B1551),""X"",""""))"),"")</f>
        <v/>
      </c>
      <c r="L1551" s="40" t="str">
        <f>IFERROR(__xludf.DUMMYFUNCTION("IF(ISBLANK(B1551),"""",IF(Or(I1551=""Em Aberto"",ISBLANK(I1551),NOT(ISDATE(B1551))),"""",H1551))"),"")</f>
        <v/>
      </c>
      <c r="M1551" s="29" t="str">
        <f>IFERROR(__xludf.DUMMYFUNCTION("IF(ISBLANK(B1551),"""",IF(ISDATE(B1551),TEXT(B1551,""m""),""""))"),"")</f>
        <v/>
      </c>
      <c r="N1551" s="29" t="str">
        <f>IFERROR(__xludf.DUMMYFUNCTION("IF(M1551="""","""",QUERY({'Dashboard-Dados'!$Y$2:$AA$13},""Select Col2 Where Col1=""&amp;M1551))"),"")</f>
        <v/>
      </c>
      <c r="O1551" s="29" t="str">
        <f>IFERROR(__xludf.DUMMYFUNCTION("IF(ISBLANK(B1551),"""",IF(ISDATE(B1551),TEXT(B1551,""yyyy""),""""))"),"")</f>
        <v/>
      </c>
    </row>
    <row r="1552">
      <c r="B1552" s="62"/>
      <c r="C1552" s="56"/>
      <c r="D1552" s="56"/>
      <c r="E1552" s="56"/>
      <c r="F1552" s="63"/>
      <c r="G1552" s="64"/>
      <c r="H1552" s="65"/>
      <c r="I1552" s="63"/>
      <c r="K1552" s="53" t="str">
        <f>IFERROR(__xludf.DUMMYFUNCTION("IF(ISBLANK(B1552),"""",IF(ISDATE(B1552),""X"",""""))"),"")</f>
        <v/>
      </c>
      <c r="L1552" s="40" t="str">
        <f>IFERROR(__xludf.DUMMYFUNCTION("IF(ISBLANK(B1552),"""",IF(Or(I1552=""Em Aberto"",ISBLANK(I1552),NOT(ISDATE(B1552))),"""",H1552))"),"")</f>
        <v/>
      </c>
      <c r="M1552" s="29" t="str">
        <f>IFERROR(__xludf.DUMMYFUNCTION("IF(ISBLANK(B1552),"""",IF(ISDATE(B1552),TEXT(B1552,""m""),""""))"),"")</f>
        <v/>
      </c>
      <c r="N1552" s="29" t="str">
        <f>IFERROR(__xludf.DUMMYFUNCTION("IF(M1552="""","""",QUERY({'Dashboard-Dados'!$Y$2:$AA$13},""Select Col2 Where Col1=""&amp;M1552))"),"")</f>
        <v/>
      </c>
      <c r="O1552" s="29" t="str">
        <f>IFERROR(__xludf.DUMMYFUNCTION("IF(ISBLANK(B1552),"""",IF(ISDATE(B1552),TEXT(B1552,""yyyy""),""""))"),"")</f>
        <v/>
      </c>
    </row>
    <row r="1553">
      <c r="B1553" s="62"/>
      <c r="C1553" s="56"/>
      <c r="D1553" s="56"/>
      <c r="E1553" s="56"/>
      <c r="F1553" s="63"/>
      <c r="G1553" s="64"/>
      <c r="H1553" s="65"/>
      <c r="I1553" s="63"/>
      <c r="K1553" s="53" t="str">
        <f>IFERROR(__xludf.DUMMYFUNCTION("IF(ISBLANK(B1553),"""",IF(ISDATE(B1553),""X"",""""))"),"")</f>
        <v/>
      </c>
      <c r="L1553" s="40" t="str">
        <f>IFERROR(__xludf.DUMMYFUNCTION("IF(ISBLANK(B1553),"""",IF(Or(I1553=""Em Aberto"",ISBLANK(I1553),NOT(ISDATE(B1553))),"""",H1553))"),"")</f>
        <v/>
      </c>
      <c r="M1553" s="29" t="str">
        <f>IFERROR(__xludf.DUMMYFUNCTION("IF(ISBLANK(B1553),"""",IF(ISDATE(B1553),TEXT(B1553,""m""),""""))"),"")</f>
        <v/>
      </c>
      <c r="N1553" s="29" t="str">
        <f>IFERROR(__xludf.DUMMYFUNCTION("IF(M1553="""","""",QUERY({'Dashboard-Dados'!$Y$2:$AA$13},""Select Col2 Where Col1=""&amp;M1553))"),"")</f>
        <v/>
      </c>
      <c r="O1553" s="29" t="str">
        <f>IFERROR(__xludf.DUMMYFUNCTION("IF(ISBLANK(B1553),"""",IF(ISDATE(B1553),TEXT(B1553,""yyyy""),""""))"),"")</f>
        <v/>
      </c>
    </row>
    <row r="1554">
      <c r="B1554" s="62"/>
      <c r="C1554" s="56"/>
      <c r="D1554" s="56"/>
      <c r="E1554" s="56"/>
      <c r="F1554" s="63"/>
      <c r="G1554" s="64"/>
      <c r="H1554" s="65"/>
      <c r="I1554" s="63"/>
      <c r="K1554" s="53" t="str">
        <f>IFERROR(__xludf.DUMMYFUNCTION("IF(ISBLANK(B1554),"""",IF(ISDATE(B1554),""X"",""""))"),"")</f>
        <v/>
      </c>
      <c r="L1554" s="40" t="str">
        <f>IFERROR(__xludf.DUMMYFUNCTION("IF(ISBLANK(B1554),"""",IF(Or(I1554=""Em Aberto"",ISBLANK(I1554),NOT(ISDATE(B1554))),"""",H1554))"),"")</f>
        <v/>
      </c>
      <c r="M1554" s="29" t="str">
        <f>IFERROR(__xludf.DUMMYFUNCTION("IF(ISBLANK(B1554),"""",IF(ISDATE(B1554),TEXT(B1554,""m""),""""))"),"")</f>
        <v/>
      </c>
      <c r="N1554" s="29" t="str">
        <f>IFERROR(__xludf.DUMMYFUNCTION("IF(M1554="""","""",QUERY({'Dashboard-Dados'!$Y$2:$AA$13},""Select Col2 Where Col1=""&amp;M1554))"),"")</f>
        <v/>
      </c>
      <c r="O1554" s="29" t="str">
        <f>IFERROR(__xludf.DUMMYFUNCTION("IF(ISBLANK(B1554),"""",IF(ISDATE(B1554),TEXT(B1554,""yyyy""),""""))"),"")</f>
        <v/>
      </c>
    </row>
    <row r="1555">
      <c r="B1555" s="62"/>
      <c r="C1555" s="56"/>
      <c r="D1555" s="56"/>
      <c r="E1555" s="56"/>
      <c r="F1555" s="63"/>
      <c r="G1555" s="64"/>
      <c r="H1555" s="65"/>
      <c r="I1555" s="63"/>
      <c r="K1555" s="53" t="str">
        <f>IFERROR(__xludf.DUMMYFUNCTION("IF(ISBLANK(B1555),"""",IF(ISDATE(B1555),""X"",""""))"),"")</f>
        <v/>
      </c>
      <c r="L1555" s="40" t="str">
        <f>IFERROR(__xludf.DUMMYFUNCTION("IF(ISBLANK(B1555),"""",IF(Or(I1555=""Em Aberto"",ISBLANK(I1555),NOT(ISDATE(B1555))),"""",H1555))"),"")</f>
        <v/>
      </c>
      <c r="M1555" s="29" t="str">
        <f>IFERROR(__xludf.DUMMYFUNCTION("IF(ISBLANK(B1555),"""",IF(ISDATE(B1555),TEXT(B1555,""m""),""""))"),"")</f>
        <v/>
      </c>
      <c r="N1555" s="29" t="str">
        <f>IFERROR(__xludf.DUMMYFUNCTION("IF(M1555="""","""",QUERY({'Dashboard-Dados'!$Y$2:$AA$13},""Select Col2 Where Col1=""&amp;M1555))"),"")</f>
        <v/>
      </c>
      <c r="O1555" s="29" t="str">
        <f>IFERROR(__xludf.DUMMYFUNCTION("IF(ISBLANK(B1555),"""",IF(ISDATE(B1555),TEXT(B1555,""yyyy""),""""))"),"")</f>
        <v/>
      </c>
    </row>
    <row r="1556">
      <c r="B1556" s="62"/>
      <c r="C1556" s="56"/>
      <c r="D1556" s="56"/>
      <c r="E1556" s="56"/>
      <c r="F1556" s="63"/>
      <c r="G1556" s="64"/>
      <c r="H1556" s="65"/>
      <c r="I1556" s="63"/>
      <c r="K1556" s="53" t="str">
        <f>IFERROR(__xludf.DUMMYFUNCTION("IF(ISBLANK(B1556),"""",IF(ISDATE(B1556),""X"",""""))"),"")</f>
        <v/>
      </c>
      <c r="L1556" s="40" t="str">
        <f>IFERROR(__xludf.DUMMYFUNCTION("IF(ISBLANK(B1556),"""",IF(Or(I1556=""Em Aberto"",ISBLANK(I1556),NOT(ISDATE(B1556))),"""",H1556))"),"")</f>
        <v/>
      </c>
      <c r="M1556" s="29" t="str">
        <f>IFERROR(__xludf.DUMMYFUNCTION("IF(ISBLANK(B1556),"""",IF(ISDATE(B1556),TEXT(B1556,""m""),""""))"),"")</f>
        <v/>
      </c>
      <c r="N1556" s="29" t="str">
        <f>IFERROR(__xludf.DUMMYFUNCTION("IF(M1556="""","""",QUERY({'Dashboard-Dados'!$Y$2:$AA$13},""Select Col2 Where Col1=""&amp;M1556))"),"")</f>
        <v/>
      </c>
      <c r="O1556" s="29" t="str">
        <f>IFERROR(__xludf.DUMMYFUNCTION("IF(ISBLANK(B1556),"""",IF(ISDATE(B1556),TEXT(B1556,""yyyy""),""""))"),"")</f>
        <v/>
      </c>
    </row>
    <row r="1557">
      <c r="B1557" s="62"/>
      <c r="C1557" s="56"/>
      <c r="D1557" s="56"/>
      <c r="E1557" s="56"/>
      <c r="F1557" s="63"/>
      <c r="G1557" s="64"/>
      <c r="H1557" s="65"/>
      <c r="I1557" s="63"/>
      <c r="K1557" s="53" t="str">
        <f>IFERROR(__xludf.DUMMYFUNCTION("IF(ISBLANK(B1557),"""",IF(ISDATE(B1557),""X"",""""))"),"")</f>
        <v/>
      </c>
      <c r="L1557" s="40" t="str">
        <f>IFERROR(__xludf.DUMMYFUNCTION("IF(ISBLANK(B1557),"""",IF(Or(I1557=""Em Aberto"",ISBLANK(I1557),NOT(ISDATE(B1557))),"""",H1557))"),"")</f>
        <v/>
      </c>
      <c r="M1557" s="29" t="str">
        <f>IFERROR(__xludf.DUMMYFUNCTION("IF(ISBLANK(B1557),"""",IF(ISDATE(B1557),TEXT(B1557,""m""),""""))"),"")</f>
        <v/>
      </c>
      <c r="N1557" s="29" t="str">
        <f>IFERROR(__xludf.DUMMYFUNCTION("IF(M1557="""","""",QUERY({'Dashboard-Dados'!$Y$2:$AA$13},""Select Col2 Where Col1=""&amp;M1557))"),"")</f>
        <v/>
      </c>
      <c r="O1557" s="29" t="str">
        <f>IFERROR(__xludf.DUMMYFUNCTION("IF(ISBLANK(B1557),"""",IF(ISDATE(B1557),TEXT(B1557,""yyyy""),""""))"),"")</f>
        <v/>
      </c>
    </row>
    <row r="1558">
      <c r="B1558" s="62"/>
      <c r="C1558" s="56"/>
      <c r="D1558" s="56"/>
      <c r="E1558" s="56"/>
      <c r="F1558" s="63"/>
      <c r="G1558" s="64"/>
      <c r="H1558" s="65"/>
      <c r="I1558" s="63"/>
      <c r="K1558" s="53" t="str">
        <f>IFERROR(__xludf.DUMMYFUNCTION("IF(ISBLANK(B1558),"""",IF(ISDATE(B1558),""X"",""""))"),"")</f>
        <v/>
      </c>
      <c r="L1558" s="40" t="str">
        <f>IFERROR(__xludf.DUMMYFUNCTION("IF(ISBLANK(B1558),"""",IF(Or(I1558=""Em Aberto"",ISBLANK(I1558),NOT(ISDATE(B1558))),"""",H1558))"),"")</f>
        <v/>
      </c>
      <c r="M1558" s="29" t="str">
        <f>IFERROR(__xludf.DUMMYFUNCTION("IF(ISBLANK(B1558),"""",IF(ISDATE(B1558),TEXT(B1558,""m""),""""))"),"")</f>
        <v/>
      </c>
      <c r="N1558" s="29" t="str">
        <f>IFERROR(__xludf.DUMMYFUNCTION("IF(M1558="""","""",QUERY({'Dashboard-Dados'!$Y$2:$AA$13},""Select Col2 Where Col1=""&amp;M1558))"),"")</f>
        <v/>
      </c>
      <c r="O1558" s="29" t="str">
        <f>IFERROR(__xludf.DUMMYFUNCTION("IF(ISBLANK(B1558),"""",IF(ISDATE(B1558),TEXT(B1558,""yyyy""),""""))"),"")</f>
        <v/>
      </c>
    </row>
    <row r="1559">
      <c r="B1559" s="62"/>
      <c r="C1559" s="56"/>
      <c r="D1559" s="56"/>
      <c r="E1559" s="56"/>
      <c r="F1559" s="63"/>
      <c r="G1559" s="64"/>
      <c r="H1559" s="65"/>
      <c r="I1559" s="63"/>
      <c r="K1559" s="53" t="str">
        <f>IFERROR(__xludf.DUMMYFUNCTION("IF(ISBLANK(B1559),"""",IF(ISDATE(B1559),""X"",""""))"),"")</f>
        <v/>
      </c>
      <c r="L1559" s="40" t="str">
        <f>IFERROR(__xludf.DUMMYFUNCTION("IF(ISBLANK(B1559),"""",IF(Or(I1559=""Em Aberto"",ISBLANK(I1559),NOT(ISDATE(B1559))),"""",H1559))"),"")</f>
        <v/>
      </c>
      <c r="M1559" s="29" t="str">
        <f>IFERROR(__xludf.DUMMYFUNCTION("IF(ISBLANK(B1559),"""",IF(ISDATE(B1559),TEXT(B1559,""m""),""""))"),"")</f>
        <v/>
      </c>
      <c r="N1559" s="29" t="str">
        <f>IFERROR(__xludf.DUMMYFUNCTION("IF(M1559="""","""",QUERY({'Dashboard-Dados'!$Y$2:$AA$13},""Select Col2 Where Col1=""&amp;M1559))"),"")</f>
        <v/>
      </c>
      <c r="O1559" s="29" t="str">
        <f>IFERROR(__xludf.DUMMYFUNCTION("IF(ISBLANK(B1559),"""",IF(ISDATE(B1559),TEXT(B1559,""yyyy""),""""))"),"")</f>
        <v/>
      </c>
    </row>
    <row r="1560">
      <c r="B1560" s="62"/>
      <c r="C1560" s="56"/>
      <c r="D1560" s="56"/>
      <c r="E1560" s="56"/>
      <c r="F1560" s="63"/>
      <c r="G1560" s="64"/>
      <c r="H1560" s="65"/>
      <c r="I1560" s="63"/>
      <c r="K1560" s="53" t="str">
        <f>IFERROR(__xludf.DUMMYFUNCTION("IF(ISBLANK(B1560),"""",IF(ISDATE(B1560),""X"",""""))"),"")</f>
        <v/>
      </c>
      <c r="L1560" s="40" t="str">
        <f>IFERROR(__xludf.DUMMYFUNCTION("IF(ISBLANK(B1560),"""",IF(Or(I1560=""Em Aberto"",ISBLANK(I1560),NOT(ISDATE(B1560))),"""",H1560))"),"")</f>
        <v/>
      </c>
      <c r="M1560" s="29" t="str">
        <f>IFERROR(__xludf.DUMMYFUNCTION("IF(ISBLANK(B1560),"""",IF(ISDATE(B1560),TEXT(B1560,""m""),""""))"),"")</f>
        <v/>
      </c>
      <c r="N1560" s="29" t="str">
        <f>IFERROR(__xludf.DUMMYFUNCTION("IF(M1560="""","""",QUERY({'Dashboard-Dados'!$Y$2:$AA$13},""Select Col2 Where Col1=""&amp;M1560))"),"")</f>
        <v/>
      </c>
      <c r="O1560" s="29" t="str">
        <f>IFERROR(__xludf.DUMMYFUNCTION("IF(ISBLANK(B1560),"""",IF(ISDATE(B1560),TEXT(B1560,""yyyy""),""""))"),"")</f>
        <v/>
      </c>
    </row>
    <row r="1561">
      <c r="B1561" s="62"/>
      <c r="C1561" s="56"/>
      <c r="D1561" s="56"/>
      <c r="E1561" s="56"/>
      <c r="F1561" s="63"/>
      <c r="G1561" s="64"/>
      <c r="H1561" s="65"/>
      <c r="I1561" s="63"/>
      <c r="K1561" s="53" t="str">
        <f>IFERROR(__xludf.DUMMYFUNCTION("IF(ISBLANK(B1561),"""",IF(ISDATE(B1561),""X"",""""))"),"")</f>
        <v/>
      </c>
      <c r="L1561" s="40" t="str">
        <f>IFERROR(__xludf.DUMMYFUNCTION("IF(ISBLANK(B1561),"""",IF(Or(I1561=""Em Aberto"",ISBLANK(I1561),NOT(ISDATE(B1561))),"""",H1561))"),"")</f>
        <v/>
      </c>
      <c r="M1561" s="29" t="str">
        <f>IFERROR(__xludf.DUMMYFUNCTION("IF(ISBLANK(B1561),"""",IF(ISDATE(B1561),TEXT(B1561,""m""),""""))"),"")</f>
        <v/>
      </c>
      <c r="N1561" s="29" t="str">
        <f>IFERROR(__xludf.DUMMYFUNCTION("IF(M1561="""","""",QUERY({'Dashboard-Dados'!$Y$2:$AA$13},""Select Col2 Where Col1=""&amp;M1561))"),"")</f>
        <v/>
      </c>
      <c r="O1561" s="29" t="str">
        <f>IFERROR(__xludf.DUMMYFUNCTION("IF(ISBLANK(B1561),"""",IF(ISDATE(B1561),TEXT(B1561,""yyyy""),""""))"),"")</f>
        <v/>
      </c>
    </row>
    <row r="1562">
      <c r="B1562" s="62"/>
      <c r="C1562" s="56"/>
      <c r="D1562" s="56"/>
      <c r="E1562" s="56"/>
      <c r="F1562" s="63"/>
      <c r="G1562" s="64"/>
      <c r="H1562" s="65"/>
      <c r="I1562" s="63"/>
      <c r="K1562" s="53" t="str">
        <f>IFERROR(__xludf.DUMMYFUNCTION("IF(ISBLANK(B1562),"""",IF(ISDATE(B1562),""X"",""""))"),"")</f>
        <v/>
      </c>
      <c r="L1562" s="40" t="str">
        <f>IFERROR(__xludf.DUMMYFUNCTION("IF(ISBLANK(B1562),"""",IF(Or(I1562=""Em Aberto"",ISBLANK(I1562),NOT(ISDATE(B1562))),"""",H1562))"),"")</f>
        <v/>
      </c>
      <c r="M1562" s="29" t="str">
        <f>IFERROR(__xludf.DUMMYFUNCTION("IF(ISBLANK(B1562),"""",IF(ISDATE(B1562),TEXT(B1562,""m""),""""))"),"")</f>
        <v/>
      </c>
      <c r="N1562" s="29" t="str">
        <f>IFERROR(__xludf.DUMMYFUNCTION("IF(M1562="""","""",QUERY({'Dashboard-Dados'!$Y$2:$AA$13},""Select Col2 Where Col1=""&amp;M1562))"),"")</f>
        <v/>
      </c>
      <c r="O1562" s="29" t="str">
        <f>IFERROR(__xludf.DUMMYFUNCTION("IF(ISBLANK(B1562),"""",IF(ISDATE(B1562),TEXT(B1562,""yyyy""),""""))"),"")</f>
        <v/>
      </c>
    </row>
    <row r="1563">
      <c r="B1563" s="62"/>
      <c r="C1563" s="56"/>
      <c r="D1563" s="56"/>
      <c r="E1563" s="56"/>
      <c r="F1563" s="63"/>
      <c r="G1563" s="64"/>
      <c r="H1563" s="65"/>
      <c r="I1563" s="63"/>
      <c r="K1563" s="53" t="str">
        <f>IFERROR(__xludf.DUMMYFUNCTION("IF(ISBLANK(B1563),"""",IF(ISDATE(B1563),""X"",""""))"),"")</f>
        <v/>
      </c>
      <c r="L1563" s="40" t="str">
        <f>IFERROR(__xludf.DUMMYFUNCTION("IF(ISBLANK(B1563),"""",IF(Or(I1563=""Em Aberto"",ISBLANK(I1563),NOT(ISDATE(B1563))),"""",H1563))"),"")</f>
        <v/>
      </c>
      <c r="M1563" s="29" t="str">
        <f>IFERROR(__xludf.DUMMYFUNCTION("IF(ISBLANK(B1563),"""",IF(ISDATE(B1563),TEXT(B1563,""m""),""""))"),"")</f>
        <v/>
      </c>
      <c r="N1563" s="29" t="str">
        <f>IFERROR(__xludf.DUMMYFUNCTION("IF(M1563="""","""",QUERY({'Dashboard-Dados'!$Y$2:$AA$13},""Select Col2 Where Col1=""&amp;M1563))"),"")</f>
        <v/>
      </c>
      <c r="O1563" s="29" t="str">
        <f>IFERROR(__xludf.DUMMYFUNCTION("IF(ISBLANK(B1563),"""",IF(ISDATE(B1563),TEXT(B1563,""yyyy""),""""))"),"")</f>
        <v/>
      </c>
    </row>
    <row r="1564">
      <c r="B1564" s="62"/>
      <c r="C1564" s="56"/>
      <c r="D1564" s="56"/>
      <c r="E1564" s="56"/>
      <c r="F1564" s="63"/>
      <c r="G1564" s="64"/>
      <c r="H1564" s="65"/>
      <c r="I1564" s="63"/>
      <c r="K1564" s="53" t="str">
        <f>IFERROR(__xludf.DUMMYFUNCTION("IF(ISBLANK(B1564),"""",IF(ISDATE(B1564),""X"",""""))"),"")</f>
        <v/>
      </c>
      <c r="L1564" s="40" t="str">
        <f>IFERROR(__xludf.DUMMYFUNCTION("IF(ISBLANK(B1564),"""",IF(Or(I1564=""Em Aberto"",ISBLANK(I1564),NOT(ISDATE(B1564))),"""",H1564))"),"")</f>
        <v/>
      </c>
      <c r="M1564" s="29" t="str">
        <f>IFERROR(__xludf.DUMMYFUNCTION("IF(ISBLANK(B1564),"""",IF(ISDATE(B1564),TEXT(B1564,""m""),""""))"),"")</f>
        <v/>
      </c>
      <c r="N1564" s="29" t="str">
        <f>IFERROR(__xludf.DUMMYFUNCTION("IF(M1564="""","""",QUERY({'Dashboard-Dados'!$Y$2:$AA$13},""Select Col2 Where Col1=""&amp;M1564))"),"")</f>
        <v/>
      </c>
      <c r="O1564" s="29" t="str">
        <f>IFERROR(__xludf.DUMMYFUNCTION("IF(ISBLANK(B1564),"""",IF(ISDATE(B1564),TEXT(B1564,""yyyy""),""""))"),"")</f>
        <v/>
      </c>
    </row>
    <row r="1565">
      <c r="B1565" s="62"/>
      <c r="C1565" s="56"/>
      <c r="D1565" s="56"/>
      <c r="E1565" s="56"/>
      <c r="F1565" s="63"/>
      <c r="G1565" s="64"/>
      <c r="H1565" s="65"/>
      <c r="I1565" s="63"/>
      <c r="K1565" s="53" t="str">
        <f>IFERROR(__xludf.DUMMYFUNCTION("IF(ISBLANK(B1565),"""",IF(ISDATE(B1565),""X"",""""))"),"")</f>
        <v/>
      </c>
      <c r="L1565" s="40" t="str">
        <f>IFERROR(__xludf.DUMMYFUNCTION("IF(ISBLANK(B1565),"""",IF(Or(I1565=""Em Aberto"",ISBLANK(I1565),NOT(ISDATE(B1565))),"""",H1565))"),"")</f>
        <v/>
      </c>
      <c r="M1565" s="29" t="str">
        <f>IFERROR(__xludf.DUMMYFUNCTION("IF(ISBLANK(B1565),"""",IF(ISDATE(B1565),TEXT(B1565,""m""),""""))"),"")</f>
        <v/>
      </c>
      <c r="N1565" s="29" t="str">
        <f>IFERROR(__xludf.DUMMYFUNCTION("IF(M1565="""","""",QUERY({'Dashboard-Dados'!$Y$2:$AA$13},""Select Col2 Where Col1=""&amp;M1565))"),"")</f>
        <v/>
      </c>
      <c r="O1565" s="29" t="str">
        <f>IFERROR(__xludf.DUMMYFUNCTION("IF(ISBLANK(B1565),"""",IF(ISDATE(B1565),TEXT(B1565,""yyyy""),""""))"),"")</f>
        <v/>
      </c>
    </row>
    <row r="1566">
      <c r="B1566" s="62"/>
      <c r="C1566" s="56"/>
      <c r="D1566" s="56"/>
      <c r="E1566" s="56"/>
      <c r="F1566" s="63"/>
      <c r="G1566" s="64"/>
      <c r="H1566" s="65"/>
      <c r="I1566" s="63"/>
      <c r="K1566" s="53" t="str">
        <f>IFERROR(__xludf.DUMMYFUNCTION("IF(ISBLANK(B1566),"""",IF(ISDATE(B1566),""X"",""""))"),"")</f>
        <v/>
      </c>
      <c r="L1566" s="40" t="str">
        <f>IFERROR(__xludf.DUMMYFUNCTION("IF(ISBLANK(B1566),"""",IF(Or(I1566=""Em Aberto"",ISBLANK(I1566),NOT(ISDATE(B1566))),"""",H1566))"),"")</f>
        <v/>
      </c>
      <c r="M1566" s="29" t="str">
        <f>IFERROR(__xludf.DUMMYFUNCTION("IF(ISBLANK(B1566),"""",IF(ISDATE(B1566),TEXT(B1566,""m""),""""))"),"")</f>
        <v/>
      </c>
      <c r="N1566" s="29" t="str">
        <f>IFERROR(__xludf.DUMMYFUNCTION("IF(M1566="""","""",QUERY({'Dashboard-Dados'!$Y$2:$AA$13},""Select Col2 Where Col1=""&amp;M1566))"),"")</f>
        <v/>
      </c>
      <c r="O1566" s="29" t="str">
        <f>IFERROR(__xludf.DUMMYFUNCTION("IF(ISBLANK(B1566),"""",IF(ISDATE(B1566),TEXT(B1566,""yyyy""),""""))"),"")</f>
        <v/>
      </c>
    </row>
    <row r="1567">
      <c r="B1567" s="62"/>
      <c r="C1567" s="56"/>
      <c r="D1567" s="56"/>
      <c r="E1567" s="56"/>
      <c r="F1567" s="63"/>
      <c r="G1567" s="64"/>
      <c r="H1567" s="65"/>
      <c r="I1567" s="63"/>
      <c r="K1567" s="53" t="str">
        <f>IFERROR(__xludf.DUMMYFUNCTION("IF(ISBLANK(B1567),"""",IF(ISDATE(B1567),""X"",""""))"),"")</f>
        <v/>
      </c>
      <c r="L1567" s="40" t="str">
        <f>IFERROR(__xludf.DUMMYFUNCTION("IF(ISBLANK(B1567),"""",IF(Or(I1567=""Em Aberto"",ISBLANK(I1567),NOT(ISDATE(B1567))),"""",H1567))"),"")</f>
        <v/>
      </c>
      <c r="M1567" s="29" t="str">
        <f>IFERROR(__xludf.DUMMYFUNCTION("IF(ISBLANK(B1567),"""",IF(ISDATE(B1567),TEXT(B1567,""m""),""""))"),"")</f>
        <v/>
      </c>
      <c r="N1567" s="29" t="str">
        <f>IFERROR(__xludf.DUMMYFUNCTION("IF(M1567="""","""",QUERY({'Dashboard-Dados'!$Y$2:$AA$13},""Select Col2 Where Col1=""&amp;M1567))"),"")</f>
        <v/>
      </c>
      <c r="O1567" s="29" t="str">
        <f>IFERROR(__xludf.DUMMYFUNCTION("IF(ISBLANK(B1567),"""",IF(ISDATE(B1567),TEXT(B1567,""yyyy""),""""))"),"")</f>
        <v/>
      </c>
    </row>
    <row r="1568">
      <c r="B1568" s="62"/>
      <c r="C1568" s="56"/>
      <c r="D1568" s="56"/>
      <c r="E1568" s="56"/>
      <c r="F1568" s="63"/>
      <c r="G1568" s="64"/>
      <c r="H1568" s="65"/>
      <c r="I1568" s="63"/>
      <c r="K1568" s="53" t="str">
        <f>IFERROR(__xludf.DUMMYFUNCTION("IF(ISBLANK(B1568),"""",IF(ISDATE(B1568),""X"",""""))"),"")</f>
        <v/>
      </c>
      <c r="L1568" s="40" t="str">
        <f>IFERROR(__xludf.DUMMYFUNCTION("IF(ISBLANK(B1568),"""",IF(Or(I1568=""Em Aberto"",ISBLANK(I1568),NOT(ISDATE(B1568))),"""",H1568))"),"")</f>
        <v/>
      </c>
      <c r="M1568" s="29" t="str">
        <f>IFERROR(__xludf.DUMMYFUNCTION("IF(ISBLANK(B1568),"""",IF(ISDATE(B1568),TEXT(B1568,""m""),""""))"),"")</f>
        <v/>
      </c>
      <c r="N1568" s="29" t="str">
        <f>IFERROR(__xludf.DUMMYFUNCTION("IF(M1568="""","""",QUERY({'Dashboard-Dados'!$Y$2:$AA$13},""Select Col2 Where Col1=""&amp;M1568))"),"")</f>
        <v/>
      </c>
      <c r="O1568" s="29" t="str">
        <f>IFERROR(__xludf.DUMMYFUNCTION("IF(ISBLANK(B1568),"""",IF(ISDATE(B1568),TEXT(B1568,""yyyy""),""""))"),"")</f>
        <v/>
      </c>
    </row>
    <row r="1569">
      <c r="B1569" s="62"/>
      <c r="C1569" s="56"/>
      <c r="D1569" s="56"/>
      <c r="E1569" s="56"/>
      <c r="F1569" s="63"/>
      <c r="G1569" s="64"/>
      <c r="H1569" s="65"/>
      <c r="I1569" s="63"/>
      <c r="K1569" s="53" t="str">
        <f>IFERROR(__xludf.DUMMYFUNCTION("IF(ISBLANK(B1569),"""",IF(ISDATE(B1569),""X"",""""))"),"")</f>
        <v/>
      </c>
      <c r="L1569" s="40" t="str">
        <f>IFERROR(__xludf.DUMMYFUNCTION("IF(ISBLANK(B1569),"""",IF(Or(I1569=""Em Aberto"",ISBLANK(I1569),NOT(ISDATE(B1569))),"""",H1569))"),"")</f>
        <v/>
      </c>
      <c r="M1569" s="29" t="str">
        <f>IFERROR(__xludf.DUMMYFUNCTION("IF(ISBLANK(B1569),"""",IF(ISDATE(B1569),TEXT(B1569,""m""),""""))"),"")</f>
        <v/>
      </c>
      <c r="N1569" s="29" t="str">
        <f>IFERROR(__xludf.DUMMYFUNCTION("IF(M1569="""","""",QUERY({'Dashboard-Dados'!$Y$2:$AA$13},""Select Col2 Where Col1=""&amp;M1569))"),"")</f>
        <v/>
      </c>
      <c r="O1569" s="29" t="str">
        <f>IFERROR(__xludf.DUMMYFUNCTION("IF(ISBLANK(B1569),"""",IF(ISDATE(B1569),TEXT(B1569,""yyyy""),""""))"),"")</f>
        <v/>
      </c>
    </row>
    <row r="1570">
      <c r="B1570" s="62"/>
      <c r="C1570" s="56"/>
      <c r="D1570" s="56"/>
      <c r="E1570" s="56"/>
      <c r="F1570" s="63"/>
      <c r="G1570" s="64"/>
      <c r="H1570" s="65"/>
      <c r="I1570" s="63"/>
      <c r="K1570" s="53" t="str">
        <f>IFERROR(__xludf.DUMMYFUNCTION("IF(ISBLANK(B1570),"""",IF(ISDATE(B1570),""X"",""""))"),"")</f>
        <v/>
      </c>
      <c r="L1570" s="40" t="str">
        <f>IFERROR(__xludf.DUMMYFUNCTION("IF(ISBLANK(B1570),"""",IF(Or(I1570=""Em Aberto"",ISBLANK(I1570),NOT(ISDATE(B1570))),"""",H1570))"),"")</f>
        <v/>
      </c>
      <c r="M1570" s="29" t="str">
        <f>IFERROR(__xludf.DUMMYFUNCTION("IF(ISBLANK(B1570),"""",IF(ISDATE(B1570),TEXT(B1570,""m""),""""))"),"")</f>
        <v/>
      </c>
      <c r="N1570" s="29" t="str">
        <f>IFERROR(__xludf.DUMMYFUNCTION("IF(M1570="""","""",QUERY({'Dashboard-Dados'!$Y$2:$AA$13},""Select Col2 Where Col1=""&amp;M1570))"),"")</f>
        <v/>
      </c>
      <c r="O1570" s="29" t="str">
        <f>IFERROR(__xludf.DUMMYFUNCTION("IF(ISBLANK(B1570),"""",IF(ISDATE(B1570),TEXT(B1570,""yyyy""),""""))"),"")</f>
        <v/>
      </c>
    </row>
    <row r="1571">
      <c r="B1571" s="62"/>
      <c r="C1571" s="56"/>
      <c r="D1571" s="56"/>
      <c r="E1571" s="56"/>
      <c r="F1571" s="63"/>
      <c r="G1571" s="64"/>
      <c r="H1571" s="65"/>
      <c r="I1571" s="63"/>
      <c r="K1571" s="53" t="str">
        <f>IFERROR(__xludf.DUMMYFUNCTION("IF(ISBLANK(B1571),"""",IF(ISDATE(B1571),""X"",""""))"),"")</f>
        <v/>
      </c>
      <c r="L1571" s="40" t="str">
        <f>IFERROR(__xludf.DUMMYFUNCTION("IF(ISBLANK(B1571),"""",IF(Or(I1571=""Em Aberto"",ISBLANK(I1571),NOT(ISDATE(B1571))),"""",H1571))"),"")</f>
        <v/>
      </c>
      <c r="M1571" s="29" t="str">
        <f>IFERROR(__xludf.DUMMYFUNCTION("IF(ISBLANK(B1571),"""",IF(ISDATE(B1571),TEXT(B1571,""m""),""""))"),"")</f>
        <v/>
      </c>
      <c r="N1571" s="29" t="str">
        <f>IFERROR(__xludf.DUMMYFUNCTION("IF(M1571="""","""",QUERY({'Dashboard-Dados'!$Y$2:$AA$13},""Select Col2 Where Col1=""&amp;M1571))"),"")</f>
        <v/>
      </c>
      <c r="O1571" s="29" t="str">
        <f>IFERROR(__xludf.DUMMYFUNCTION("IF(ISBLANK(B1571),"""",IF(ISDATE(B1571),TEXT(B1571,""yyyy""),""""))"),"")</f>
        <v/>
      </c>
    </row>
    <row r="1572">
      <c r="B1572" s="62"/>
      <c r="C1572" s="56"/>
      <c r="D1572" s="56"/>
      <c r="E1572" s="56"/>
      <c r="F1572" s="63"/>
      <c r="G1572" s="64"/>
      <c r="H1572" s="65"/>
      <c r="I1572" s="63"/>
      <c r="K1572" s="53" t="str">
        <f>IFERROR(__xludf.DUMMYFUNCTION("IF(ISBLANK(B1572),"""",IF(ISDATE(B1572),""X"",""""))"),"")</f>
        <v/>
      </c>
      <c r="L1572" s="40" t="str">
        <f>IFERROR(__xludf.DUMMYFUNCTION("IF(ISBLANK(B1572),"""",IF(Or(I1572=""Em Aberto"",ISBLANK(I1572),NOT(ISDATE(B1572))),"""",H1572))"),"")</f>
        <v/>
      </c>
      <c r="M1572" s="29" t="str">
        <f>IFERROR(__xludf.DUMMYFUNCTION("IF(ISBLANK(B1572),"""",IF(ISDATE(B1572),TEXT(B1572,""m""),""""))"),"")</f>
        <v/>
      </c>
      <c r="N1572" s="29" t="str">
        <f>IFERROR(__xludf.DUMMYFUNCTION("IF(M1572="""","""",QUERY({'Dashboard-Dados'!$Y$2:$AA$13},""Select Col2 Where Col1=""&amp;M1572))"),"")</f>
        <v/>
      </c>
      <c r="O1572" s="29" t="str">
        <f>IFERROR(__xludf.DUMMYFUNCTION("IF(ISBLANK(B1572),"""",IF(ISDATE(B1572),TEXT(B1572,""yyyy""),""""))"),"")</f>
        <v/>
      </c>
    </row>
    <row r="1573">
      <c r="B1573" s="62"/>
      <c r="C1573" s="56"/>
      <c r="D1573" s="56"/>
      <c r="E1573" s="56"/>
      <c r="F1573" s="63"/>
      <c r="G1573" s="64"/>
      <c r="H1573" s="65"/>
      <c r="I1573" s="63"/>
      <c r="K1573" s="53" t="str">
        <f>IFERROR(__xludf.DUMMYFUNCTION("IF(ISBLANK(B1573),"""",IF(ISDATE(B1573),""X"",""""))"),"")</f>
        <v/>
      </c>
      <c r="L1573" s="40" t="str">
        <f>IFERROR(__xludf.DUMMYFUNCTION("IF(ISBLANK(B1573),"""",IF(Or(I1573=""Em Aberto"",ISBLANK(I1573),NOT(ISDATE(B1573))),"""",H1573))"),"")</f>
        <v/>
      </c>
      <c r="M1573" s="29" t="str">
        <f>IFERROR(__xludf.DUMMYFUNCTION("IF(ISBLANK(B1573),"""",IF(ISDATE(B1573),TEXT(B1573,""m""),""""))"),"")</f>
        <v/>
      </c>
      <c r="N1573" s="29" t="str">
        <f>IFERROR(__xludf.DUMMYFUNCTION("IF(M1573="""","""",QUERY({'Dashboard-Dados'!$Y$2:$AA$13},""Select Col2 Where Col1=""&amp;M1573))"),"")</f>
        <v/>
      </c>
      <c r="O1573" s="29" t="str">
        <f>IFERROR(__xludf.DUMMYFUNCTION("IF(ISBLANK(B1573),"""",IF(ISDATE(B1573),TEXT(B1573,""yyyy""),""""))"),"")</f>
        <v/>
      </c>
    </row>
    <row r="1574">
      <c r="B1574" s="62"/>
      <c r="C1574" s="56"/>
      <c r="D1574" s="56"/>
      <c r="E1574" s="56"/>
      <c r="F1574" s="63"/>
      <c r="G1574" s="64"/>
      <c r="H1574" s="65"/>
      <c r="I1574" s="63"/>
      <c r="K1574" s="53" t="str">
        <f>IFERROR(__xludf.DUMMYFUNCTION("IF(ISBLANK(B1574),"""",IF(ISDATE(B1574),""X"",""""))"),"")</f>
        <v/>
      </c>
      <c r="L1574" s="40" t="str">
        <f>IFERROR(__xludf.DUMMYFUNCTION("IF(ISBLANK(B1574),"""",IF(Or(I1574=""Em Aberto"",ISBLANK(I1574),NOT(ISDATE(B1574))),"""",H1574))"),"")</f>
        <v/>
      </c>
      <c r="M1574" s="29" t="str">
        <f>IFERROR(__xludf.DUMMYFUNCTION("IF(ISBLANK(B1574),"""",IF(ISDATE(B1574),TEXT(B1574,""m""),""""))"),"")</f>
        <v/>
      </c>
      <c r="N1574" s="29" t="str">
        <f>IFERROR(__xludf.DUMMYFUNCTION("IF(M1574="""","""",QUERY({'Dashboard-Dados'!$Y$2:$AA$13},""Select Col2 Where Col1=""&amp;M1574))"),"")</f>
        <v/>
      </c>
      <c r="O1574" s="29" t="str">
        <f>IFERROR(__xludf.DUMMYFUNCTION("IF(ISBLANK(B1574),"""",IF(ISDATE(B1574),TEXT(B1574,""yyyy""),""""))"),"")</f>
        <v/>
      </c>
    </row>
    <row r="1575">
      <c r="B1575" s="62"/>
      <c r="C1575" s="56"/>
      <c r="D1575" s="56"/>
      <c r="E1575" s="56"/>
      <c r="F1575" s="63"/>
      <c r="G1575" s="64"/>
      <c r="H1575" s="65"/>
      <c r="I1575" s="63"/>
      <c r="K1575" s="53" t="str">
        <f>IFERROR(__xludf.DUMMYFUNCTION("IF(ISBLANK(B1575),"""",IF(ISDATE(B1575),""X"",""""))"),"")</f>
        <v/>
      </c>
      <c r="L1575" s="40" t="str">
        <f>IFERROR(__xludf.DUMMYFUNCTION("IF(ISBLANK(B1575),"""",IF(Or(I1575=""Em Aberto"",ISBLANK(I1575),NOT(ISDATE(B1575))),"""",H1575))"),"")</f>
        <v/>
      </c>
      <c r="M1575" s="29" t="str">
        <f>IFERROR(__xludf.DUMMYFUNCTION("IF(ISBLANK(B1575),"""",IF(ISDATE(B1575),TEXT(B1575,""m""),""""))"),"")</f>
        <v/>
      </c>
      <c r="N1575" s="29" t="str">
        <f>IFERROR(__xludf.DUMMYFUNCTION("IF(M1575="""","""",QUERY({'Dashboard-Dados'!$Y$2:$AA$13},""Select Col2 Where Col1=""&amp;M1575))"),"")</f>
        <v/>
      </c>
      <c r="O1575" s="29" t="str">
        <f>IFERROR(__xludf.DUMMYFUNCTION("IF(ISBLANK(B1575),"""",IF(ISDATE(B1575),TEXT(B1575,""yyyy""),""""))"),"")</f>
        <v/>
      </c>
    </row>
    <row r="1576">
      <c r="B1576" s="62"/>
      <c r="C1576" s="56"/>
      <c r="D1576" s="56"/>
      <c r="E1576" s="56"/>
      <c r="F1576" s="63"/>
      <c r="G1576" s="64"/>
      <c r="H1576" s="65"/>
      <c r="I1576" s="63"/>
      <c r="K1576" s="53" t="str">
        <f>IFERROR(__xludf.DUMMYFUNCTION("IF(ISBLANK(B1576),"""",IF(ISDATE(B1576),""X"",""""))"),"")</f>
        <v/>
      </c>
      <c r="L1576" s="40" t="str">
        <f>IFERROR(__xludf.DUMMYFUNCTION("IF(ISBLANK(B1576),"""",IF(Or(I1576=""Em Aberto"",ISBLANK(I1576),NOT(ISDATE(B1576))),"""",H1576))"),"")</f>
        <v/>
      </c>
      <c r="M1576" s="29" t="str">
        <f>IFERROR(__xludf.DUMMYFUNCTION("IF(ISBLANK(B1576),"""",IF(ISDATE(B1576),TEXT(B1576,""m""),""""))"),"")</f>
        <v/>
      </c>
      <c r="N1576" s="29" t="str">
        <f>IFERROR(__xludf.DUMMYFUNCTION("IF(M1576="""","""",QUERY({'Dashboard-Dados'!$Y$2:$AA$13},""Select Col2 Where Col1=""&amp;M1576))"),"")</f>
        <v/>
      </c>
      <c r="O1576" s="29" t="str">
        <f>IFERROR(__xludf.DUMMYFUNCTION("IF(ISBLANK(B1576),"""",IF(ISDATE(B1576),TEXT(B1576,""yyyy""),""""))"),"")</f>
        <v/>
      </c>
    </row>
    <row r="1577">
      <c r="B1577" s="62"/>
      <c r="C1577" s="56"/>
      <c r="D1577" s="56"/>
      <c r="E1577" s="56"/>
      <c r="F1577" s="63"/>
      <c r="G1577" s="64"/>
      <c r="H1577" s="65"/>
      <c r="I1577" s="63"/>
      <c r="K1577" s="53" t="str">
        <f>IFERROR(__xludf.DUMMYFUNCTION("IF(ISBLANK(B1577),"""",IF(ISDATE(B1577),""X"",""""))"),"")</f>
        <v/>
      </c>
      <c r="L1577" s="40" t="str">
        <f>IFERROR(__xludf.DUMMYFUNCTION("IF(ISBLANK(B1577),"""",IF(Or(I1577=""Em Aberto"",ISBLANK(I1577),NOT(ISDATE(B1577))),"""",H1577))"),"")</f>
        <v/>
      </c>
      <c r="M1577" s="29" t="str">
        <f>IFERROR(__xludf.DUMMYFUNCTION("IF(ISBLANK(B1577),"""",IF(ISDATE(B1577),TEXT(B1577,""m""),""""))"),"")</f>
        <v/>
      </c>
      <c r="N1577" s="29" t="str">
        <f>IFERROR(__xludf.DUMMYFUNCTION("IF(M1577="""","""",QUERY({'Dashboard-Dados'!$Y$2:$AA$13},""Select Col2 Where Col1=""&amp;M1577))"),"")</f>
        <v/>
      </c>
      <c r="O1577" s="29" t="str">
        <f>IFERROR(__xludf.DUMMYFUNCTION("IF(ISBLANK(B1577),"""",IF(ISDATE(B1577),TEXT(B1577,""yyyy""),""""))"),"")</f>
        <v/>
      </c>
    </row>
    <row r="1578">
      <c r="B1578" s="62"/>
      <c r="C1578" s="56"/>
      <c r="D1578" s="56"/>
      <c r="E1578" s="56"/>
      <c r="F1578" s="63"/>
      <c r="G1578" s="64"/>
      <c r="H1578" s="65"/>
      <c r="I1578" s="63"/>
      <c r="K1578" s="53" t="str">
        <f>IFERROR(__xludf.DUMMYFUNCTION("IF(ISBLANK(B1578),"""",IF(ISDATE(B1578),""X"",""""))"),"")</f>
        <v/>
      </c>
      <c r="L1578" s="40" t="str">
        <f>IFERROR(__xludf.DUMMYFUNCTION("IF(ISBLANK(B1578),"""",IF(Or(I1578=""Em Aberto"",ISBLANK(I1578),NOT(ISDATE(B1578))),"""",H1578))"),"")</f>
        <v/>
      </c>
      <c r="M1578" s="29" t="str">
        <f>IFERROR(__xludf.DUMMYFUNCTION("IF(ISBLANK(B1578),"""",IF(ISDATE(B1578),TEXT(B1578,""m""),""""))"),"")</f>
        <v/>
      </c>
      <c r="N1578" s="29" t="str">
        <f>IFERROR(__xludf.DUMMYFUNCTION("IF(M1578="""","""",QUERY({'Dashboard-Dados'!$Y$2:$AA$13},""Select Col2 Where Col1=""&amp;M1578))"),"")</f>
        <v/>
      </c>
      <c r="O1578" s="29" t="str">
        <f>IFERROR(__xludf.DUMMYFUNCTION("IF(ISBLANK(B1578),"""",IF(ISDATE(B1578),TEXT(B1578,""yyyy""),""""))"),"")</f>
        <v/>
      </c>
    </row>
    <row r="1579">
      <c r="B1579" s="62"/>
      <c r="C1579" s="56"/>
      <c r="D1579" s="56"/>
      <c r="E1579" s="56"/>
      <c r="F1579" s="63"/>
      <c r="G1579" s="64"/>
      <c r="H1579" s="65"/>
      <c r="I1579" s="63"/>
      <c r="K1579" s="53" t="str">
        <f>IFERROR(__xludf.DUMMYFUNCTION("IF(ISBLANK(B1579),"""",IF(ISDATE(B1579),""X"",""""))"),"")</f>
        <v/>
      </c>
      <c r="L1579" s="40" t="str">
        <f>IFERROR(__xludf.DUMMYFUNCTION("IF(ISBLANK(B1579),"""",IF(Or(I1579=""Em Aberto"",ISBLANK(I1579),NOT(ISDATE(B1579))),"""",H1579))"),"")</f>
        <v/>
      </c>
      <c r="M1579" s="29" t="str">
        <f>IFERROR(__xludf.DUMMYFUNCTION("IF(ISBLANK(B1579),"""",IF(ISDATE(B1579),TEXT(B1579,""m""),""""))"),"")</f>
        <v/>
      </c>
      <c r="N1579" s="29" t="str">
        <f>IFERROR(__xludf.DUMMYFUNCTION("IF(M1579="""","""",QUERY({'Dashboard-Dados'!$Y$2:$AA$13},""Select Col2 Where Col1=""&amp;M1579))"),"")</f>
        <v/>
      </c>
      <c r="O1579" s="29" t="str">
        <f>IFERROR(__xludf.DUMMYFUNCTION("IF(ISBLANK(B1579),"""",IF(ISDATE(B1579),TEXT(B1579,""yyyy""),""""))"),"")</f>
        <v/>
      </c>
    </row>
    <row r="1580">
      <c r="B1580" s="62"/>
      <c r="C1580" s="56"/>
      <c r="D1580" s="56"/>
      <c r="E1580" s="56"/>
      <c r="F1580" s="63"/>
      <c r="G1580" s="64"/>
      <c r="H1580" s="65"/>
      <c r="I1580" s="63"/>
      <c r="K1580" s="53" t="str">
        <f>IFERROR(__xludf.DUMMYFUNCTION("IF(ISBLANK(B1580),"""",IF(ISDATE(B1580),""X"",""""))"),"")</f>
        <v/>
      </c>
      <c r="L1580" s="40" t="str">
        <f>IFERROR(__xludf.DUMMYFUNCTION("IF(ISBLANK(B1580),"""",IF(Or(I1580=""Em Aberto"",ISBLANK(I1580),NOT(ISDATE(B1580))),"""",H1580))"),"")</f>
        <v/>
      </c>
      <c r="M1580" s="29" t="str">
        <f>IFERROR(__xludf.DUMMYFUNCTION("IF(ISBLANK(B1580),"""",IF(ISDATE(B1580),TEXT(B1580,""m""),""""))"),"")</f>
        <v/>
      </c>
      <c r="N1580" s="29" t="str">
        <f>IFERROR(__xludf.DUMMYFUNCTION("IF(M1580="""","""",QUERY({'Dashboard-Dados'!$Y$2:$AA$13},""Select Col2 Where Col1=""&amp;M1580))"),"")</f>
        <v/>
      </c>
      <c r="O1580" s="29" t="str">
        <f>IFERROR(__xludf.DUMMYFUNCTION("IF(ISBLANK(B1580),"""",IF(ISDATE(B1580),TEXT(B1580,""yyyy""),""""))"),"")</f>
        <v/>
      </c>
    </row>
    <row r="1581">
      <c r="B1581" s="62"/>
      <c r="C1581" s="56"/>
      <c r="D1581" s="56"/>
      <c r="E1581" s="56"/>
      <c r="F1581" s="63"/>
      <c r="G1581" s="64"/>
      <c r="H1581" s="65"/>
      <c r="I1581" s="63"/>
      <c r="K1581" s="53" t="str">
        <f>IFERROR(__xludf.DUMMYFUNCTION("IF(ISBLANK(B1581),"""",IF(ISDATE(B1581),""X"",""""))"),"")</f>
        <v/>
      </c>
      <c r="L1581" s="40" t="str">
        <f>IFERROR(__xludf.DUMMYFUNCTION("IF(ISBLANK(B1581),"""",IF(Or(I1581=""Em Aberto"",ISBLANK(I1581),NOT(ISDATE(B1581))),"""",H1581))"),"")</f>
        <v/>
      </c>
      <c r="M1581" s="29" t="str">
        <f>IFERROR(__xludf.DUMMYFUNCTION("IF(ISBLANK(B1581),"""",IF(ISDATE(B1581),TEXT(B1581,""m""),""""))"),"")</f>
        <v/>
      </c>
      <c r="N1581" s="29" t="str">
        <f>IFERROR(__xludf.DUMMYFUNCTION("IF(M1581="""","""",QUERY({'Dashboard-Dados'!$Y$2:$AA$13},""Select Col2 Where Col1=""&amp;M1581))"),"")</f>
        <v/>
      </c>
      <c r="O1581" s="29" t="str">
        <f>IFERROR(__xludf.DUMMYFUNCTION("IF(ISBLANK(B1581),"""",IF(ISDATE(B1581),TEXT(B1581,""yyyy""),""""))"),"")</f>
        <v/>
      </c>
    </row>
    <row r="1582">
      <c r="B1582" s="62"/>
      <c r="C1582" s="56"/>
      <c r="D1582" s="56"/>
      <c r="E1582" s="56"/>
      <c r="F1582" s="63"/>
      <c r="G1582" s="64"/>
      <c r="H1582" s="65"/>
      <c r="I1582" s="63"/>
      <c r="K1582" s="53" t="str">
        <f>IFERROR(__xludf.DUMMYFUNCTION("IF(ISBLANK(B1582),"""",IF(ISDATE(B1582),""X"",""""))"),"")</f>
        <v/>
      </c>
      <c r="L1582" s="40" t="str">
        <f>IFERROR(__xludf.DUMMYFUNCTION("IF(ISBLANK(B1582),"""",IF(Or(I1582=""Em Aberto"",ISBLANK(I1582),NOT(ISDATE(B1582))),"""",H1582))"),"")</f>
        <v/>
      </c>
      <c r="M1582" s="29" t="str">
        <f>IFERROR(__xludf.DUMMYFUNCTION("IF(ISBLANK(B1582),"""",IF(ISDATE(B1582),TEXT(B1582,""m""),""""))"),"")</f>
        <v/>
      </c>
      <c r="N1582" s="29" t="str">
        <f>IFERROR(__xludf.DUMMYFUNCTION("IF(M1582="""","""",QUERY({'Dashboard-Dados'!$Y$2:$AA$13},""Select Col2 Where Col1=""&amp;M1582))"),"")</f>
        <v/>
      </c>
      <c r="O1582" s="29" t="str">
        <f>IFERROR(__xludf.DUMMYFUNCTION("IF(ISBLANK(B1582),"""",IF(ISDATE(B1582),TEXT(B1582,""yyyy""),""""))"),"")</f>
        <v/>
      </c>
    </row>
    <row r="1583">
      <c r="B1583" s="62"/>
      <c r="C1583" s="56"/>
      <c r="D1583" s="56"/>
      <c r="E1583" s="56"/>
      <c r="F1583" s="63"/>
      <c r="G1583" s="64"/>
      <c r="H1583" s="65"/>
      <c r="I1583" s="63"/>
      <c r="K1583" s="53" t="str">
        <f>IFERROR(__xludf.DUMMYFUNCTION("IF(ISBLANK(B1583),"""",IF(ISDATE(B1583),""X"",""""))"),"")</f>
        <v/>
      </c>
      <c r="L1583" s="40" t="str">
        <f>IFERROR(__xludf.DUMMYFUNCTION("IF(ISBLANK(B1583),"""",IF(Or(I1583=""Em Aberto"",ISBLANK(I1583),NOT(ISDATE(B1583))),"""",H1583))"),"")</f>
        <v/>
      </c>
      <c r="M1583" s="29" t="str">
        <f>IFERROR(__xludf.DUMMYFUNCTION("IF(ISBLANK(B1583),"""",IF(ISDATE(B1583),TEXT(B1583,""m""),""""))"),"")</f>
        <v/>
      </c>
      <c r="N1583" s="29" t="str">
        <f>IFERROR(__xludf.DUMMYFUNCTION("IF(M1583="""","""",QUERY({'Dashboard-Dados'!$Y$2:$AA$13},""Select Col2 Where Col1=""&amp;M1583))"),"")</f>
        <v/>
      </c>
      <c r="O1583" s="29" t="str">
        <f>IFERROR(__xludf.DUMMYFUNCTION("IF(ISBLANK(B1583),"""",IF(ISDATE(B1583),TEXT(B1583,""yyyy""),""""))"),"")</f>
        <v/>
      </c>
    </row>
    <row r="1584">
      <c r="B1584" s="62"/>
      <c r="C1584" s="56"/>
      <c r="D1584" s="56"/>
      <c r="E1584" s="56"/>
      <c r="F1584" s="63"/>
      <c r="G1584" s="64"/>
      <c r="H1584" s="65"/>
      <c r="I1584" s="63"/>
      <c r="K1584" s="53" t="str">
        <f>IFERROR(__xludf.DUMMYFUNCTION("IF(ISBLANK(B1584),"""",IF(ISDATE(B1584),""X"",""""))"),"")</f>
        <v/>
      </c>
      <c r="L1584" s="40" t="str">
        <f>IFERROR(__xludf.DUMMYFUNCTION("IF(ISBLANK(B1584),"""",IF(Or(I1584=""Em Aberto"",ISBLANK(I1584),NOT(ISDATE(B1584))),"""",H1584))"),"")</f>
        <v/>
      </c>
      <c r="M1584" s="29" t="str">
        <f>IFERROR(__xludf.DUMMYFUNCTION("IF(ISBLANK(B1584),"""",IF(ISDATE(B1584),TEXT(B1584,""m""),""""))"),"")</f>
        <v/>
      </c>
      <c r="N1584" s="29" t="str">
        <f>IFERROR(__xludf.DUMMYFUNCTION("IF(M1584="""","""",QUERY({'Dashboard-Dados'!$Y$2:$AA$13},""Select Col2 Where Col1=""&amp;M1584))"),"")</f>
        <v/>
      </c>
      <c r="O1584" s="29" t="str">
        <f>IFERROR(__xludf.DUMMYFUNCTION("IF(ISBLANK(B1584),"""",IF(ISDATE(B1584),TEXT(B1584,""yyyy""),""""))"),"")</f>
        <v/>
      </c>
    </row>
    <row r="1585">
      <c r="B1585" s="62"/>
      <c r="C1585" s="56"/>
      <c r="D1585" s="56"/>
      <c r="E1585" s="56"/>
      <c r="F1585" s="63"/>
      <c r="G1585" s="64"/>
      <c r="H1585" s="65"/>
      <c r="I1585" s="63"/>
      <c r="K1585" s="53" t="str">
        <f>IFERROR(__xludf.DUMMYFUNCTION("IF(ISBLANK(B1585),"""",IF(ISDATE(B1585),""X"",""""))"),"")</f>
        <v/>
      </c>
      <c r="L1585" s="40" t="str">
        <f>IFERROR(__xludf.DUMMYFUNCTION("IF(ISBLANK(B1585),"""",IF(Or(I1585=""Em Aberto"",ISBLANK(I1585),NOT(ISDATE(B1585))),"""",H1585))"),"")</f>
        <v/>
      </c>
      <c r="M1585" s="29" t="str">
        <f>IFERROR(__xludf.DUMMYFUNCTION("IF(ISBLANK(B1585),"""",IF(ISDATE(B1585),TEXT(B1585,""m""),""""))"),"")</f>
        <v/>
      </c>
      <c r="N1585" s="29" t="str">
        <f>IFERROR(__xludf.DUMMYFUNCTION("IF(M1585="""","""",QUERY({'Dashboard-Dados'!$Y$2:$AA$13},""Select Col2 Where Col1=""&amp;M1585))"),"")</f>
        <v/>
      </c>
      <c r="O1585" s="29" t="str">
        <f>IFERROR(__xludf.DUMMYFUNCTION("IF(ISBLANK(B1585),"""",IF(ISDATE(B1585),TEXT(B1585,""yyyy""),""""))"),"")</f>
        <v/>
      </c>
    </row>
    <row r="1586">
      <c r="B1586" s="62"/>
      <c r="C1586" s="56"/>
      <c r="D1586" s="56"/>
      <c r="E1586" s="56"/>
      <c r="F1586" s="63"/>
      <c r="G1586" s="64"/>
      <c r="H1586" s="65"/>
      <c r="I1586" s="63"/>
      <c r="K1586" s="53" t="str">
        <f>IFERROR(__xludf.DUMMYFUNCTION("IF(ISBLANK(B1586),"""",IF(ISDATE(B1586),""X"",""""))"),"")</f>
        <v/>
      </c>
      <c r="L1586" s="40" t="str">
        <f>IFERROR(__xludf.DUMMYFUNCTION("IF(ISBLANK(B1586),"""",IF(Or(I1586=""Em Aberto"",ISBLANK(I1586),NOT(ISDATE(B1586))),"""",H1586))"),"")</f>
        <v/>
      </c>
      <c r="M1586" s="29" t="str">
        <f>IFERROR(__xludf.DUMMYFUNCTION("IF(ISBLANK(B1586),"""",IF(ISDATE(B1586),TEXT(B1586,""m""),""""))"),"")</f>
        <v/>
      </c>
      <c r="N1586" s="29" t="str">
        <f>IFERROR(__xludf.DUMMYFUNCTION("IF(M1586="""","""",QUERY({'Dashboard-Dados'!$Y$2:$AA$13},""Select Col2 Where Col1=""&amp;M1586))"),"")</f>
        <v/>
      </c>
      <c r="O1586" s="29" t="str">
        <f>IFERROR(__xludf.DUMMYFUNCTION("IF(ISBLANK(B1586),"""",IF(ISDATE(B1586),TEXT(B1586,""yyyy""),""""))"),"")</f>
        <v/>
      </c>
    </row>
    <row r="1587">
      <c r="B1587" s="62"/>
      <c r="C1587" s="56"/>
      <c r="D1587" s="56"/>
      <c r="E1587" s="56"/>
      <c r="F1587" s="63"/>
      <c r="G1587" s="64"/>
      <c r="H1587" s="65"/>
      <c r="I1587" s="63"/>
      <c r="K1587" s="53" t="str">
        <f>IFERROR(__xludf.DUMMYFUNCTION("IF(ISBLANK(B1587),"""",IF(ISDATE(B1587),""X"",""""))"),"")</f>
        <v/>
      </c>
      <c r="L1587" s="40" t="str">
        <f>IFERROR(__xludf.DUMMYFUNCTION("IF(ISBLANK(B1587),"""",IF(Or(I1587=""Em Aberto"",ISBLANK(I1587),NOT(ISDATE(B1587))),"""",H1587))"),"")</f>
        <v/>
      </c>
      <c r="M1587" s="29" t="str">
        <f>IFERROR(__xludf.DUMMYFUNCTION("IF(ISBLANK(B1587),"""",IF(ISDATE(B1587),TEXT(B1587,""m""),""""))"),"")</f>
        <v/>
      </c>
      <c r="N1587" s="29" t="str">
        <f>IFERROR(__xludf.DUMMYFUNCTION("IF(M1587="""","""",QUERY({'Dashboard-Dados'!$Y$2:$AA$13},""Select Col2 Where Col1=""&amp;M1587))"),"")</f>
        <v/>
      </c>
      <c r="O1587" s="29" t="str">
        <f>IFERROR(__xludf.DUMMYFUNCTION("IF(ISBLANK(B1587),"""",IF(ISDATE(B1587),TEXT(B1587,""yyyy""),""""))"),"")</f>
        <v/>
      </c>
    </row>
    <row r="1588">
      <c r="B1588" s="62"/>
      <c r="C1588" s="56"/>
      <c r="D1588" s="56"/>
      <c r="E1588" s="56"/>
      <c r="F1588" s="63"/>
      <c r="G1588" s="64"/>
      <c r="H1588" s="65"/>
      <c r="I1588" s="63"/>
      <c r="K1588" s="53" t="str">
        <f>IFERROR(__xludf.DUMMYFUNCTION("IF(ISBLANK(B1588),"""",IF(ISDATE(B1588),""X"",""""))"),"")</f>
        <v/>
      </c>
      <c r="L1588" s="40" t="str">
        <f>IFERROR(__xludf.DUMMYFUNCTION("IF(ISBLANK(B1588),"""",IF(Or(I1588=""Em Aberto"",ISBLANK(I1588),NOT(ISDATE(B1588))),"""",H1588))"),"")</f>
        <v/>
      </c>
      <c r="M1588" s="29" t="str">
        <f>IFERROR(__xludf.DUMMYFUNCTION("IF(ISBLANK(B1588),"""",IF(ISDATE(B1588),TEXT(B1588,""m""),""""))"),"")</f>
        <v/>
      </c>
      <c r="N1588" s="29" t="str">
        <f>IFERROR(__xludf.DUMMYFUNCTION("IF(M1588="""","""",QUERY({'Dashboard-Dados'!$Y$2:$AA$13},""Select Col2 Where Col1=""&amp;M1588))"),"")</f>
        <v/>
      </c>
      <c r="O1588" s="29" t="str">
        <f>IFERROR(__xludf.DUMMYFUNCTION("IF(ISBLANK(B1588),"""",IF(ISDATE(B1588),TEXT(B1588,""yyyy""),""""))"),"")</f>
        <v/>
      </c>
    </row>
    <row r="1589">
      <c r="B1589" s="62"/>
      <c r="C1589" s="56"/>
      <c r="D1589" s="56"/>
      <c r="E1589" s="56"/>
      <c r="F1589" s="63"/>
      <c r="G1589" s="64"/>
      <c r="H1589" s="65"/>
      <c r="I1589" s="63"/>
      <c r="K1589" s="53" t="str">
        <f>IFERROR(__xludf.DUMMYFUNCTION("IF(ISBLANK(B1589),"""",IF(ISDATE(B1589),""X"",""""))"),"")</f>
        <v/>
      </c>
      <c r="L1589" s="40" t="str">
        <f>IFERROR(__xludf.DUMMYFUNCTION("IF(ISBLANK(B1589),"""",IF(Or(I1589=""Em Aberto"",ISBLANK(I1589),NOT(ISDATE(B1589))),"""",H1589))"),"")</f>
        <v/>
      </c>
      <c r="M1589" s="29" t="str">
        <f>IFERROR(__xludf.DUMMYFUNCTION("IF(ISBLANK(B1589),"""",IF(ISDATE(B1589),TEXT(B1589,""m""),""""))"),"")</f>
        <v/>
      </c>
      <c r="N1589" s="29" t="str">
        <f>IFERROR(__xludf.DUMMYFUNCTION("IF(M1589="""","""",QUERY({'Dashboard-Dados'!$Y$2:$AA$13},""Select Col2 Where Col1=""&amp;M1589))"),"")</f>
        <v/>
      </c>
      <c r="O1589" s="29" t="str">
        <f>IFERROR(__xludf.DUMMYFUNCTION("IF(ISBLANK(B1589),"""",IF(ISDATE(B1589),TEXT(B1589,""yyyy""),""""))"),"")</f>
        <v/>
      </c>
    </row>
    <row r="1590">
      <c r="B1590" s="62"/>
      <c r="C1590" s="56"/>
      <c r="D1590" s="56"/>
      <c r="E1590" s="56"/>
      <c r="F1590" s="63"/>
      <c r="G1590" s="64"/>
      <c r="H1590" s="65"/>
      <c r="I1590" s="63"/>
      <c r="K1590" s="53" t="str">
        <f>IFERROR(__xludf.DUMMYFUNCTION("IF(ISBLANK(B1590),"""",IF(ISDATE(B1590),""X"",""""))"),"")</f>
        <v/>
      </c>
      <c r="L1590" s="40" t="str">
        <f>IFERROR(__xludf.DUMMYFUNCTION("IF(ISBLANK(B1590),"""",IF(Or(I1590=""Em Aberto"",ISBLANK(I1590),NOT(ISDATE(B1590))),"""",H1590))"),"")</f>
        <v/>
      </c>
      <c r="M1590" s="29" t="str">
        <f>IFERROR(__xludf.DUMMYFUNCTION("IF(ISBLANK(B1590),"""",IF(ISDATE(B1590),TEXT(B1590,""m""),""""))"),"")</f>
        <v/>
      </c>
      <c r="N1590" s="29" t="str">
        <f>IFERROR(__xludf.DUMMYFUNCTION("IF(M1590="""","""",QUERY({'Dashboard-Dados'!$Y$2:$AA$13},""Select Col2 Where Col1=""&amp;M1590))"),"")</f>
        <v/>
      </c>
      <c r="O1590" s="29" t="str">
        <f>IFERROR(__xludf.DUMMYFUNCTION("IF(ISBLANK(B1590),"""",IF(ISDATE(B1590),TEXT(B1590,""yyyy""),""""))"),"")</f>
        <v/>
      </c>
    </row>
    <row r="1591">
      <c r="B1591" s="62"/>
      <c r="C1591" s="56"/>
      <c r="D1591" s="56"/>
      <c r="E1591" s="56"/>
      <c r="F1591" s="63"/>
      <c r="G1591" s="64"/>
      <c r="H1591" s="65"/>
      <c r="I1591" s="63"/>
      <c r="K1591" s="53" t="str">
        <f>IFERROR(__xludf.DUMMYFUNCTION("IF(ISBLANK(B1591),"""",IF(ISDATE(B1591),""X"",""""))"),"")</f>
        <v/>
      </c>
      <c r="L1591" s="40" t="str">
        <f>IFERROR(__xludf.DUMMYFUNCTION("IF(ISBLANK(B1591),"""",IF(Or(I1591=""Em Aberto"",ISBLANK(I1591),NOT(ISDATE(B1591))),"""",H1591))"),"")</f>
        <v/>
      </c>
      <c r="M1591" s="29" t="str">
        <f>IFERROR(__xludf.DUMMYFUNCTION("IF(ISBLANK(B1591),"""",IF(ISDATE(B1591),TEXT(B1591,""m""),""""))"),"")</f>
        <v/>
      </c>
      <c r="N1591" s="29" t="str">
        <f>IFERROR(__xludf.DUMMYFUNCTION("IF(M1591="""","""",QUERY({'Dashboard-Dados'!$Y$2:$AA$13},""Select Col2 Where Col1=""&amp;M1591))"),"")</f>
        <v/>
      </c>
      <c r="O1591" s="29" t="str">
        <f>IFERROR(__xludf.DUMMYFUNCTION("IF(ISBLANK(B1591),"""",IF(ISDATE(B1591),TEXT(B1591,""yyyy""),""""))"),"")</f>
        <v/>
      </c>
    </row>
    <row r="1592">
      <c r="B1592" s="62"/>
      <c r="C1592" s="56"/>
      <c r="D1592" s="56"/>
      <c r="E1592" s="56"/>
      <c r="F1592" s="63"/>
      <c r="G1592" s="64"/>
      <c r="H1592" s="65"/>
      <c r="I1592" s="63"/>
      <c r="K1592" s="53" t="str">
        <f>IFERROR(__xludf.DUMMYFUNCTION("IF(ISBLANK(B1592),"""",IF(ISDATE(B1592),""X"",""""))"),"")</f>
        <v/>
      </c>
      <c r="L1592" s="40" t="str">
        <f>IFERROR(__xludf.DUMMYFUNCTION("IF(ISBLANK(B1592),"""",IF(Or(I1592=""Em Aberto"",ISBLANK(I1592),NOT(ISDATE(B1592))),"""",H1592))"),"")</f>
        <v/>
      </c>
      <c r="M1592" s="29" t="str">
        <f>IFERROR(__xludf.DUMMYFUNCTION("IF(ISBLANK(B1592),"""",IF(ISDATE(B1592),TEXT(B1592,""m""),""""))"),"")</f>
        <v/>
      </c>
      <c r="N1592" s="29" t="str">
        <f>IFERROR(__xludf.DUMMYFUNCTION("IF(M1592="""","""",QUERY({'Dashboard-Dados'!$Y$2:$AA$13},""Select Col2 Where Col1=""&amp;M1592))"),"")</f>
        <v/>
      </c>
      <c r="O1592" s="29" t="str">
        <f>IFERROR(__xludf.DUMMYFUNCTION("IF(ISBLANK(B1592),"""",IF(ISDATE(B1592),TEXT(B1592,""yyyy""),""""))"),"")</f>
        <v/>
      </c>
    </row>
    <row r="1593">
      <c r="B1593" s="62"/>
      <c r="C1593" s="56"/>
      <c r="D1593" s="56"/>
      <c r="E1593" s="56"/>
      <c r="F1593" s="63"/>
      <c r="G1593" s="64"/>
      <c r="H1593" s="65"/>
      <c r="I1593" s="63"/>
      <c r="K1593" s="53" t="str">
        <f>IFERROR(__xludf.DUMMYFUNCTION("IF(ISBLANK(B1593),"""",IF(ISDATE(B1593),""X"",""""))"),"")</f>
        <v/>
      </c>
      <c r="L1593" s="40" t="str">
        <f>IFERROR(__xludf.DUMMYFUNCTION("IF(ISBLANK(B1593),"""",IF(Or(I1593=""Em Aberto"",ISBLANK(I1593),NOT(ISDATE(B1593))),"""",H1593))"),"")</f>
        <v/>
      </c>
      <c r="M1593" s="29" t="str">
        <f>IFERROR(__xludf.DUMMYFUNCTION("IF(ISBLANK(B1593),"""",IF(ISDATE(B1593),TEXT(B1593,""m""),""""))"),"")</f>
        <v/>
      </c>
      <c r="N1593" s="29" t="str">
        <f>IFERROR(__xludf.DUMMYFUNCTION("IF(M1593="""","""",QUERY({'Dashboard-Dados'!$Y$2:$AA$13},""Select Col2 Where Col1=""&amp;M1593))"),"")</f>
        <v/>
      </c>
      <c r="O1593" s="29" t="str">
        <f>IFERROR(__xludf.DUMMYFUNCTION("IF(ISBLANK(B1593),"""",IF(ISDATE(B1593),TEXT(B1593,""yyyy""),""""))"),"")</f>
        <v/>
      </c>
    </row>
    <row r="1594">
      <c r="B1594" s="62"/>
      <c r="C1594" s="56"/>
      <c r="D1594" s="56"/>
      <c r="E1594" s="56"/>
      <c r="F1594" s="63"/>
      <c r="G1594" s="64"/>
      <c r="H1594" s="65"/>
      <c r="I1594" s="63"/>
      <c r="K1594" s="53" t="str">
        <f>IFERROR(__xludf.DUMMYFUNCTION("IF(ISBLANK(B1594),"""",IF(ISDATE(B1594),""X"",""""))"),"")</f>
        <v/>
      </c>
      <c r="L1594" s="40" t="str">
        <f>IFERROR(__xludf.DUMMYFUNCTION("IF(ISBLANK(B1594),"""",IF(Or(I1594=""Em Aberto"",ISBLANK(I1594),NOT(ISDATE(B1594))),"""",H1594))"),"")</f>
        <v/>
      </c>
      <c r="M1594" s="29" t="str">
        <f>IFERROR(__xludf.DUMMYFUNCTION("IF(ISBLANK(B1594),"""",IF(ISDATE(B1594),TEXT(B1594,""m""),""""))"),"")</f>
        <v/>
      </c>
      <c r="N1594" s="29" t="str">
        <f>IFERROR(__xludf.DUMMYFUNCTION("IF(M1594="""","""",QUERY({'Dashboard-Dados'!$Y$2:$AA$13},""Select Col2 Where Col1=""&amp;M1594))"),"")</f>
        <v/>
      </c>
      <c r="O1594" s="29" t="str">
        <f>IFERROR(__xludf.DUMMYFUNCTION("IF(ISBLANK(B1594),"""",IF(ISDATE(B1594),TEXT(B1594,""yyyy""),""""))"),"")</f>
        <v/>
      </c>
    </row>
    <row r="1595">
      <c r="B1595" s="62"/>
      <c r="C1595" s="56"/>
      <c r="D1595" s="56"/>
      <c r="E1595" s="56"/>
      <c r="F1595" s="63"/>
      <c r="G1595" s="64"/>
      <c r="H1595" s="65"/>
      <c r="I1595" s="63"/>
      <c r="K1595" s="53" t="str">
        <f>IFERROR(__xludf.DUMMYFUNCTION("IF(ISBLANK(B1595),"""",IF(ISDATE(B1595),""X"",""""))"),"")</f>
        <v/>
      </c>
      <c r="L1595" s="40" t="str">
        <f>IFERROR(__xludf.DUMMYFUNCTION("IF(ISBLANK(B1595),"""",IF(Or(I1595=""Em Aberto"",ISBLANK(I1595),NOT(ISDATE(B1595))),"""",H1595))"),"")</f>
        <v/>
      </c>
      <c r="M1595" s="29" t="str">
        <f>IFERROR(__xludf.DUMMYFUNCTION("IF(ISBLANK(B1595),"""",IF(ISDATE(B1595),TEXT(B1595,""m""),""""))"),"")</f>
        <v/>
      </c>
      <c r="N1595" s="29" t="str">
        <f>IFERROR(__xludf.DUMMYFUNCTION("IF(M1595="""","""",QUERY({'Dashboard-Dados'!$Y$2:$AA$13},""Select Col2 Where Col1=""&amp;M1595))"),"")</f>
        <v/>
      </c>
      <c r="O1595" s="29" t="str">
        <f>IFERROR(__xludf.DUMMYFUNCTION("IF(ISBLANK(B1595),"""",IF(ISDATE(B1595),TEXT(B1595,""yyyy""),""""))"),"")</f>
        <v/>
      </c>
    </row>
    <row r="1596">
      <c r="B1596" s="62"/>
      <c r="C1596" s="56"/>
      <c r="D1596" s="56"/>
      <c r="E1596" s="56"/>
      <c r="F1596" s="63"/>
      <c r="G1596" s="64"/>
      <c r="H1596" s="65"/>
      <c r="I1596" s="63"/>
      <c r="K1596" s="53" t="str">
        <f>IFERROR(__xludf.DUMMYFUNCTION("IF(ISBLANK(B1596),"""",IF(ISDATE(B1596),""X"",""""))"),"")</f>
        <v/>
      </c>
      <c r="L1596" s="40" t="str">
        <f>IFERROR(__xludf.DUMMYFUNCTION("IF(ISBLANK(B1596),"""",IF(Or(I1596=""Em Aberto"",ISBLANK(I1596),NOT(ISDATE(B1596))),"""",H1596))"),"")</f>
        <v/>
      </c>
      <c r="M1596" s="29" t="str">
        <f>IFERROR(__xludf.DUMMYFUNCTION("IF(ISBLANK(B1596),"""",IF(ISDATE(B1596),TEXT(B1596,""m""),""""))"),"")</f>
        <v/>
      </c>
      <c r="N1596" s="29" t="str">
        <f>IFERROR(__xludf.DUMMYFUNCTION("IF(M1596="""","""",QUERY({'Dashboard-Dados'!$Y$2:$AA$13},""Select Col2 Where Col1=""&amp;M1596))"),"")</f>
        <v/>
      </c>
      <c r="O1596" s="29" t="str">
        <f>IFERROR(__xludf.DUMMYFUNCTION("IF(ISBLANK(B1596),"""",IF(ISDATE(B1596),TEXT(B1596,""yyyy""),""""))"),"")</f>
        <v/>
      </c>
    </row>
    <row r="1597">
      <c r="B1597" s="62"/>
      <c r="C1597" s="56"/>
      <c r="D1597" s="56"/>
      <c r="E1597" s="56"/>
      <c r="F1597" s="63"/>
      <c r="G1597" s="64"/>
      <c r="H1597" s="65"/>
      <c r="I1597" s="63"/>
      <c r="K1597" s="53" t="str">
        <f>IFERROR(__xludf.DUMMYFUNCTION("IF(ISBLANK(B1597),"""",IF(ISDATE(B1597),""X"",""""))"),"")</f>
        <v/>
      </c>
      <c r="L1597" s="40" t="str">
        <f>IFERROR(__xludf.DUMMYFUNCTION("IF(ISBLANK(B1597),"""",IF(Or(I1597=""Em Aberto"",ISBLANK(I1597),NOT(ISDATE(B1597))),"""",H1597))"),"")</f>
        <v/>
      </c>
      <c r="M1597" s="29" t="str">
        <f>IFERROR(__xludf.DUMMYFUNCTION("IF(ISBLANK(B1597),"""",IF(ISDATE(B1597),TEXT(B1597,""m""),""""))"),"")</f>
        <v/>
      </c>
      <c r="N1597" s="29" t="str">
        <f>IFERROR(__xludf.DUMMYFUNCTION("IF(M1597="""","""",QUERY({'Dashboard-Dados'!$Y$2:$AA$13},""Select Col2 Where Col1=""&amp;M1597))"),"")</f>
        <v/>
      </c>
      <c r="O1597" s="29" t="str">
        <f>IFERROR(__xludf.DUMMYFUNCTION("IF(ISBLANK(B1597),"""",IF(ISDATE(B1597),TEXT(B1597,""yyyy""),""""))"),"")</f>
        <v/>
      </c>
    </row>
    <row r="1598">
      <c r="B1598" s="62"/>
      <c r="C1598" s="56"/>
      <c r="D1598" s="56"/>
      <c r="E1598" s="56"/>
      <c r="F1598" s="63"/>
      <c r="G1598" s="64"/>
      <c r="H1598" s="65"/>
      <c r="I1598" s="63"/>
      <c r="K1598" s="53" t="str">
        <f>IFERROR(__xludf.DUMMYFUNCTION("IF(ISBLANK(B1598),"""",IF(ISDATE(B1598),""X"",""""))"),"")</f>
        <v/>
      </c>
      <c r="L1598" s="40" t="str">
        <f>IFERROR(__xludf.DUMMYFUNCTION("IF(ISBLANK(B1598),"""",IF(Or(I1598=""Em Aberto"",ISBLANK(I1598),NOT(ISDATE(B1598))),"""",H1598))"),"")</f>
        <v/>
      </c>
      <c r="M1598" s="29" t="str">
        <f>IFERROR(__xludf.DUMMYFUNCTION("IF(ISBLANK(B1598),"""",IF(ISDATE(B1598),TEXT(B1598,""m""),""""))"),"")</f>
        <v/>
      </c>
      <c r="N1598" s="29" t="str">
        <f>IFERROR(__xludf.DUMMYFUNCTION("IF(M1598="""","""",QUERY({'Dashboard-Dados'!$Y$2:$AA$13},""Select Col2 Where Col1=""&amp;M1598))"),"")</f>
        <v/>
      </c>
      <c r="O1598" s="29" t="str">
        <f>IFERROR(__xludf.DUMMYFUNCTION("IF(ISBLANK(B1598),"""",IF(ISDATE(B1598),TEXT(B1598,""yyyy""),""""))"),"")</f>
        <v/>
      </c>
    </row>
    <row r="1599">
      <c r="B1599" s="62"/>
      <c r="C1599" s="56"/>
      <c r="D1599" s="56"/>
      <c r="E1599" s="56"/>
      <c r="F1599" s="63"/>
      <c r="G1599" s="64"/>
      <c r="H1599" s="65"/>
      <c r="I1599" s="63"/>
      <c r="K1599" s="53" t="str">
        <f>IFERROR(__xludf.DUMMYFUNCTION("IF(ISBLANK(B1599),"""",IF(ISDATE(B1599),""X"",""""))"),"")</f>
        <v/>
      </c>
      <c r="L1599" s="40" t="str">
        <f>IFERROR(__xludf.DUMMYFUNCTION("IF(ISBLANK(B1599),"""",IF(Or(I1599=""Em Aberto"",ISBLANK(I1599),NOT(ISDATE(B1599))),"""",H1599))"),"")</f>
        <v/>
      </c>
      <c r="M1599" s="29" t="str">
        <f>IFERROR(__xludf.DUMMYFUNCTION("IF(ISBLANK(B1599),"""",IF(ISDATE(B1599),TEXT(B1599,""m""),""""))"),"")</f>
        <v/>
      </c>
      <c r="N1599" s="29" t="str">
        <f>IFERROR(__xludf.DUMMYFUNCTION("IF(M1599="""","""",QUERY({'Dashboard-Dados'!$Y$2:$AA$13},""Select Col2 Where Col1=""&amp;M1599))"),"")</f>
        <v/>
      </c>
      <c r="O1599" s="29" t="str">
        <f>IFERROR(__xludf.DUMMYFUNCTION("IF(ISBLANK(B1599),"""",IF(ISDATE(B1599),TEXT(B1599,""yyyy""),""""))"),"")</f>
        <v/>
      </c>
    </row>
    <row r="1600">
      <c r="B1600" s="62"/>
      <c r="C1600" s="56"/>
      <c r="D1600" s="56"/>
      <c r="E1600" s="56"/>
      <c r="F1600" s="63"/>
      <c r="G1600" s="64"/>
      <c r="H1600" s="65"/>
      <c r="I1600" s="63"/>
      <c r="K1600" s="53" t="str">
        <f>IFERROR(__xludf.DUMMYFUNCTION("IF(ISBLANK(B1600),"""",IF(ISDATE(B1600),""X"",""""))"),"")</f>
        <v/>
      </c>
      <c r="L1600" s="40" t="str">
        <f>IFERROR(__xludf.DUMMYFUNCTION("IF(ISBLANK(B1600),"""",IF(Or(I1600=""Em Aberto"",ISBLANK(I1600),NOT(ISDATE(B1600))),"""",H1600))"),"")</f>
        <v/>
      </c>
      <c r="M1600" s="29" t="str">
        <f>IFERROR(__xludf.DUMMYFUNCTION("IF(ISBLANK(B1600),"""",IF(ISDATE(B1600),TEXT(B1600,""m""),""""))"),"")</f>
        <v/>
      </c>
      <c r="N1600" s="29" t="str">
        <f>IFERROR(__xludf.DUMMYFUNCTION("IF(M1600="""","""",QUERY({'Dashboard-Dados'!$Y$2:$AA$13},""Select Col2 Where Col1=""&amp;M1600))"),"")</f>
        <v/>
      </c>
      <c r="O1600" s="29" t="str">
        <f>IFERROR(__xludf.DUMMYFUNCTION("IF(ISBLANK(B1600),"""",IF(ISDATE(B1600),TEXT(B1600,""yyyy""),""""))"),"")</f>
        <v/>
      </c>
    </row>
    <row r="1601">
      <c r="B1601" s="62"/>
      <c r="C1601" s="56"/>
      <c r="D1601" s="56"/>
      <c r="E1601" s="56"/>
      <c r="F1601" s="63"/>
      <c r="G1601" s="64"/>
      <c r="H1601" s="65"/>
      <c r="I1601" s="63"/>
      <c r="K1601" s="53" t="str">
        <f>IFERROR(__xludf.DUMMYFUNCTION("IF(ISBLANK(B1601),"""",IF(ISDATE(B1601),""X"",""""))"),"")</f>
        <v/>
      </c>
      <c r="L1601" s="40" t="str">
        <f>IFERROR(__xludf.DUMMYFUNCTION("IF(ISBLANK(B1601),"""",IF(Or(I1601=""Em Aberto"",ISBLANK(I1601),NOT(ISDATE(B1601))),"""",H1601))"),"")</f>
        <v/>
      </c>
      <c r="M1601" s="29" t="str">
        <f>IFERROR(__xludf.DUMMYFUNCTION("IF(ISBLANK(B1601),"""",IF(ISDATE(B1601),TEXT(B1601,""m""),""""))"),"")</f>
        <v/>
      </c>
      <c r="N1601" s="29" t="str">
        <f>IFERROR(__xludf.DUMMYFUNCTION("IF(M1601="""","""",QUERY({'Dashboard-Dados'!$Y$2:$AA$13},""Select Col2 Where Col1=""&amp;M1601))"),"")</f>
        <v/>
      </c>
      <c r="O1601" s="29" t="str">
        <f>IFERROR(__xludf.DUMMYFUNCTION("IF(ISBLANK(B1601),"""",IF(ISDATE(B1601),TEXT(B1601,""yyyy""),""""))"),"")</f>
        <v/>
      </c>
    </row>
    <row r="1602">
      <c r="B1602" s="62"/>
      <c r="C1602" s="56"/>
      <c r="D1602" s="56"/>
      <c r="E1602" s="56"/>
      <c r="F1602" s="63"/>
      <c r="G1602" s="64"/>
      <c r="H1602" s="65"/>
      <c r="I1602" s="63"/>
      <c r="K1602" s="53" t="str">
        <f>IFERROR(__xludf.DUMMYFUNCTION("IF(ISBLANK(B1602),"""",IF(ISDATE(B1602),""X"",""""))"),"")</f>
        <v/>
      </c>
      <c r="L1602" s="40" t="str">
        <f>IFERROR(__xludf.DUMMYFUNCTION("IF(ISBLANK(B1602),"""",IF(Or(I1602=""Em Aberto"",ISBLANK(I1602),NOT(ISDATE(B1602))),"""",H1602))"),"")</f>
        <v/>
      </c>
      <c r="M1602" s="29" t="str">
        <f>IFERROR(__xludf.DUMMYFUNCTION("IF(ISBLANK(B1602),"""",IF(ISDATE(B1602),TEXT(B1602,""m""),""""))"),"")</f>
        <v/>
      </c>
      <c r="N1602" s="29" t="str">
        <f>IFERROR(__xludf.DUMMYFUNCTION("IF(M1602="""","""",QUERY({'Dashboard-Dados'!$Y$2:$AA$13},""Select Col2 Where Col1=""&amp;M1602))"),"")</f>
        <v/>
      </c>
      <c r="O1602" s="29" t="str">
        <f>IFERROR(__xludf.DUMMYFUNCTION("IF(ISBLANK(B1602),"""",IF(ISDATE(B1602),TEXT(B1602,""yyyy""),""""))"),"")</f>
        <v/>
      </c>
    </row>
    <row r="1603">
      <c r="B1603" s="62"/>
      <c r="C1603" s="56"/>
      <c r="D1603" s="56"/>
      <c r="E1603" s="56"/>
      <c r="F1603" s="63"/>
      <c r="G1603" s="64"/>
      <c r="H1603" s="65"/>
      <c r="I1603" s="63"/>
      <c r="K1603" s="53" t="str">
        <f>IFERROR(__xludf.DUMMYFUNCTION("IF(ISBLANK(B1603),"""",IF(ISDATE(B1603),""X"",""""))"),"")</f>
        <v/>
      </c>
      <c r="L1603" s="40" t="str">
        <f>IFERROR(__xludf.DUMMYFUNCTION("IF(ISBLANK(B1603),"""",IF(Or(I1603=""Em Aberto"",ISBLANK(I1603),NOT(ISDATE(B1603))),"""",H1603))"),"")</f>
        <v/>
      </c>
      <c r="M1603" s="29" t="str">
        <f>IFERROR(__xludf.DUMMYFUNCTION("IF(ISBLANK(B1603),"""",IF(ISDATE(B1603),TEXT(B1603,""m""),""""))"),"")</f>
        <v/>
      </c>
      <c r="N1603" s="29" t="str">
        <f>IFERROR(__xludf.DUMMYFUNCTION("IF(M1603="""","""",QUERY({'Dashboard-Dados'!$Y$2:$AA$13},""Select Col2 Where Col1=""&amp;M1603))"),"")</f>
        <v/>
      </c>
      <c r="O1603" s="29" t="str">
        <f>IFERROR(__xludf.DUMMYFUNCTION("IF(ISBLANK(B1603),"""",IF(ISDATE(B1603),TEXT(B1603,""yyyy""),""""))"),"")</f>
        <v/>
      </c>
    </row>
    <row r="1604">
      <c r="B1604" s="62"/>
      <c r="C1604" s="56"/>
      <c r="D1604" s="56"/>
      <c r="E1604" s="56"/>
      <c r="F1604" s="63"/>
      <c r="G1604" s="64"/>
      <c r="H1604" s="65"/>
      <c r="I1604" s="63"/>
      <c r="K1604" s="53" t="str">
        <f>IFERROR(__xludf.DUMMYFUNCTION("IF(ISBLANK(B1604),"""",IF(ISDATE(B1604),""X"",""""))"),"")</f>
        <v/>
      </c>
      <c r="L1604" s="40" t="str">
        <f>IFERROR(__xludf.DUMMYFUNCTION("IF(ISBLANK(B1604),"""",IF(Or(I1604=""Em Aberto"",ISBLANK(I1604),NOT(ISDATE(B1604))),"""",H1604))"),"")</f>
        <v/>
      </c>
      <c r="M1604" s="29" t="str">
        <f>IFERROR(__xludf.DUMMYFUNCTION("IF(ISBLANK(B1604),"""",IF(ISDATE(B1604),TEXT(B1604,""m""),""""))"),"")</f>
        <v/>
      </c>
      <c r="N1604" s="29" t="str">
        <f>IFERROR(__xludf.DUMMYFUNCTION("IF(M1604="""","""",QUERY({'Dashboard-Dados'!$Y$2:$AA$13},""Select Col2 Where Col1=""&amp;M1604))"),"")</f>
        <v/>
      </c>
      <c r="O1604" s="29" t="str">
        <f>IFERROR(__xludf.DUMMYFUNCTION("IF(ISBLANK(B1604),"""",IF(ISDATE(B1604),TEXT(B1604,""yyyy""),""""))"),"")</f>
        <v/>
      </c>
    </row>
    <row r="1605">
      <c r="B1605" s="62"/>
      <c r="C1605" s="56"/>
      <c r="D1605" s="56"/>
      <c r="E1605" s="56"/>
      <c r="F1605" s="63"/>
      <c r="G1605" s="64"/>
      <c r="H1605" s="65"/>
      <c r="I1605" s="63"/>
      <c r="K1605" s="53" t="str">
        <f>IFERROR(__xludf.DUMMYFUNCTION("IF(ISBLANK(B1605),"""",IF(ISDATE(B1605),""X"",""""))"),"")</f>
        <v/>
      </c>
      <c r="L1605" s="40" t="str">
        <f>IFERROR(__xludf.DUMMYFUNCTION("IF(ISBLANK(B1605),"""",IF(Or(I1605=""Em Aberto"",ISBLANK(I1605),NOT(ISDATE(B1605))),"""",H1605))"),"")</f>
        <v/>
      </c>
      <c r="M1605" s="29" t="str">
        <f>IFERROR(__xludf.DUMMYFUNCTION("IF(ISBLANK(B1605),"""",IF(ISDATE(B1605),TEXT(B1605,""m""),""""))"),"")</f>
        <v/>
      </c>
      <c r="N1605" s="29" t="str">
        <f>IFERROR(__xludf.DUMMYFUNCTION("IF(M1605="""","""",QUERY({'Dashboard-Dados'!$Y$2:$AA$13},""Select Col2 Where Col1=""&amp;M1605))"),"")</f>
        <v/>
      </c>
      <c r="O1605" s="29" t="str">
        <f>IFERROR(__xludf.DUMMYFUNCTION("IF(ISBLANK(B1605),"""",IF(ISDATE(B1605),TEXT(B1605,""yyyy""),""""))"),"")</f>
        <v/>
      </c>
    </row>
    <row r="1606">
      <c r="B1606" s="62"/>
      <c r="C1606" s="56"/>
      <c r="D1606" s="56"/>
      <c r="E1606" s="56"/>
      <c r="F1606" s="63"/>
      <c r="G1606" s="64"/>
      <c r="H1606" s="65"/>
      <c r="I1606" s="63"/>
      <c r="K1606" s="53" t="str">
        <f>IFERROR(__xludf.DUMMYFUNCTION("IF(ISBLANK(B1606),"""",IF(ISDATE(B1606),""X"",""""))"),"")</f>
        <v/>
      </c>
      <c r="L1606" s="40" t="str">
        <f>IFERROR(__xludf.DUMMYFUNCTION("IF(ISBLANK(B1606),"""",IF(Or(I1606=""Em Aberto"",ISBLANK(I1606),NOT(ISDATE(B1606))),"""",H1606))"),"")</f>
        <v/>
      </c>
      <c r="M1606" s="29" t="str">
        <f>IFERROR(__xludf.DUMMYFUNCTION("IF(ISBLANK(B1606),"""",IF(ISDATE(B1606),TEXT(B1606,""m""),""""))"),"")</f>
        <v/>
      </c>
      <c r="N1606" s="29" t="str">
        <f>IFERROR(__xludf.DUMMYFUNCTION("IF(M1606="""","""",QUERY({'Dashboard-Dados'!$Y$2:$AA$13},""Select Col2 Where Col1=""&amp;M1606))"),"")</f>
        <v/>
      </c>
      <c r="O1606" s="29" t="str">
        <f>IFERROR(__xludf.DUMMYFUNCTION("IF(ISBLANK(B1606),"""",IF(ISDATE(B1606),TEXT(B1606,""yyyy""),""""))"),"")</f>
        <v/>
      </c>
    </row>
    <row r="1607">
      <c r="B1607" s="62"/>
      <c r="C1607" s="56"/>
      <c r="D1607" s="56"/>
      <c r="E1607" s="56"/>
      <c r="F1607" s="63"/>
      <c r="G1607" s="64"/>
      <c r="H1607" s="65"/>
      <c r="I1607" s="63"/>
      <c r="K1607" s="53" t="str">
        <f>IFERROR(__xludf.DUMMYFUNCTION("IF(ISBLANK(B1607),"""",IF(ISDATE(B1607),""X"",""""))"),"")</f>
        <v/>
      </c>
      <c r="L1607" s="40" t="str">
        <f>IFERROR(__xludf.DUMMYFUNCTION("IF(ISBLANK(B1607),"""",IF(Or(I1607=""Em Aberto"",ISBLANK(I1607),NOT(ISDATE(B1607))),"""",H1607))"),"")</f>
        <v/>
      </c>
      <c r="M1607" s="29" t="str">
        <f>IFERROR(__xludf.DUMMYFUNCTION("IF(ISBLANK(B1607),"""",IF(ISDATE(B1607),TEXT(B1607,""m""),""""))"),"")</f>
        <v/>
      </c>
      <c r="N1607" s="29" t="str">
        <f>IFERROR(__xludf.DUMMYFUNCTION("IF(M1607="""","""",QUERY({'Dashboard-Dados'!$Y$2:$AA$13},""Select Col2 Where Col1=""&amp;M1607))"),"")</f>
        <v/>
      </c>
      <c r="O1607" s="29" t="str">
        <f>IFERROR(__xludf.DUMMYFUNCTION("IF(ISBLANK(B1607),"""",IF(ISDATE(B1607),TEXT(B1607,""yyyy""),""""))"),"")</f>
        <v/>
      </c>
    </row>
    <row r="1608">
      <c r="B1608" s="62"/>
      <c r="C1608" s="56"/>
      <c r="D1608" s="56"/>
      <c r="E1608" s="56"/>
      <c r="F1608" s="63"/>
      <c r="G1608" s="64"/>
      <c r="H1608" s="65"/>
      <c r="I1608" s="63"/>
      <c r="K1608" s="53" t="str">
        <f>IFERROR(__xludf.DUMMYFUNCTION("IF(ISBLANK(B1608),"""",IF(ISDATE(B1608),""X"",""""))"),"")</f>
        <v/>
      </c>
      <c r="L1608" s="40" t="str">
        <f>IFERROR(__xludf.DUMMYFUNCTION("IF(ISBLANK(B1608),"""",IF(Or(I1608=""Em Aberto"",ISBLANK(I1608),NOT(ISDATE(B1608))),"""",H1608))"),"")</f>
        <v/>
      </c>
      <c r="M1608" s="29" t="str">
        <f>IFERROR(__xludf.DUMMYFUNCTION("IF(ISBLANK(B1608),"""",IF(ISDATE(B1608),TEXT(B1608,""m""),""""))"),"")</f>
        <v/>
      </c>
      <c r="N1608" s="29" t="str">
        <f>IFERROR(__xludf.DUMMYFUNCTION("IF(M1608="""","""",QUERY({'Dashboard-Dados'!$Y$2:$AA$13},""Select Col2 Where Col1=""&amp;M1608))"),"")</f>
        <v/>
      </c>
      <c r="O1608" s="29" t="str">
        <f>IFERROR(__xludf.DUMMYFUNCTION("IF(ISBLANK(B1608),"""",IF(ISDATE(B1608),TEXT(B1608,""yyyy""),""""))"),"")</f>
        <v/>
      </c>
    </row>
    <row r="1609">
      <c r="B1609" s="62"/>
      <c r="C1609" s="56"/>
      <c r="D1609" s="56"/>
      <c r="E1609" s="56"/>
      <c r="F1609" s="63"/>
      <c r="G1609" s="64"/>
      <c r="H1609" s="65"/>
      <c r="I1609" s="63"/>
      <c r="K1609" s="53" t="str">
        <f>IFERROR(__xludf.DUMMYFUNCTION("IF(ISBLANK(B1609),"""",IF(ISDATE(B1609),""X"",""""))"),"")</f>
        <v/>
      </c>
      <c r="L1609" s="40" t="str">
        <f>IFERROR(__xludf.DUMMYFUNCTION("IF(ISBLANK(B1609),"""",IF(Or(I1609=""Em Aberto"",ISBLANK(I1609),NOT(ISDATE(B1609))),"""",H1609))"),"")</f>
        <v/>
      </c>
      <c r="M1609" s="29" t="str">
        <f>IFERROR(__xludf.DUMMYFUNCTION("IF(ISBLANK(B1609),"""",IF(ISDATE(B1609),TEXT(B1609,""m""),""""))"),"")</f>
        <v/>
      </c>
      <c r="N1609" s="29" t="str">
        <f>IFERROR(__xludf.DUMMYFUNCTION("IF(M1609="""","""",QUERY({'Dashboard-Dados'!$Y$2:$AA$13},""Select Col2 Where Col1=""&amp;M1609))"),"")</f>
        <v/>
      </c>
      <c r="O1609" s="29" t="str">
        <f>IFERROR(__xludf.DUMMYFUNCTION("IF(ISBLANK(B1609),"""",IF(ISDATE(B1609),TEXT(B1609,""yyyy""),""""))"),"")</f>
        <v/>
      </c>
    </row>
    <row r="1610">
      <c r="B1610" s="62"/>
      <c r="C1610" s="56"/>
      <c r="D1610" s="56"/>
      <c r="E1610" s="56"/>
      <c r="F1610" s="63"/>
      <c r="G1610" s="64"/>
      <c r="H1610" s="65"/>
      <c r="I1610" s="63"/>
      <c r="K1610" s="53" t="str">
        <f>IFERROR(__xludf.DUMMYFUNCTION("IF(ISBLANK(B1610),"""",IF(ISDATE(B1610),""X"",""""))"),"")</f>
        <v/>
      </c>
      <c r="L1610" s="40" t="str">
        <f>IFERROR(__xludf.DUMMYFUNCTION("IF(ISBLANK(B1610),"""",IF(Or(I1610=""Em Aberto"",ISBLANK(I1610),NOT(ISDATE(B1610))),"""",H1610))"),"")</f>
        <v/>
      </c>
      <c r="M1610" s="29" t="str">
        <f>IFERROR(__xludf.DUMMYFUNCTION("IF(ISBLANK(B1610),"""",IF(ISDATE(B1610),TEXT(B1610,""m""),""""))"),"")</f>
        <v/>
      </c>
      <c r="N1610" s="29" t="str">
        <f>IFERROR(__xludf.DUMMYFUNCTION("IF(M1610="""","""",QUERY({'Dashboard-Dados'!$Y$2:$AA$13},""Select Col2 Where Col1=""&amp;M1610))"),"")</f>
        <v/>
      </c>
      <c r="O1610" s="29" t="str">
        <f>IFERROR(__xludf.DUMMYFUNCTION("IF(ISBLANK(B1610),"""",IF(ISDATE(B1610),TEXT(B1610,""yyyy""),""""))"),"")</f>
        <v/>
      </c>
    </row>
    <row r="1611">
      <c r="B1611" s="62"/>
      <c r="C1611" s="56"/>
      <c r="D1611" s="56"/>
      <c r="E1611" s="56"/>
      <c r="F1611" s="63"/>
      <c r="G1611" s="64"/>
      <c r="H1611" s="65"/>
      <c r="I1611" s="63"/>
      <c r="K1611" s="53" t="str">
        <f>IFERROR(__xludf.DUMMYFUNCTION("IF(ISBLANK(B1611),"""",IF(ISDATE(B1611),""X"",""""))"),"")</f>
        <v/>
      </c>
      <c r="L1611" s="40" t="str">
        <f>IFERROR(__xludf.DUMMYFUNCTION("IF(ISBLANK(B1611),"""",IF(Or(I1611=""Em Aberto"",ISBLANK(I1611),NOT(ISDATE(B1611))),"""",H1611))"),"")</f>
        <v/>
      </c>
      <c r="M1611" s="29" t="str">
        <f>IFERROR(__xludf.DUMMYFUNCTION("IF(ISBLANK(B1611),"""",IF(ISDATE(B1611),TEXT(B1611,""m""),""""))"),"")</f>
        <v/>
      </c>
      <c r="N1611" s="29" t="str">
        <f>IFERROR(__xludf.DUMMYFUNCTION("IF(M1611="""","""",QUERY({'Dashboard-Dados'!$Y$2:$AA$13},""Select Col2 Where Col1=""&amp;M1611))"),"")</f>
        <v/>
      </c>
      <c r="O1611" s="29" t="str">
        <f>IFERROR(__xludf.DUMMYFUNCTION("IF(ISBLANK(B1611),"""",IF(ISDATE(B1611),TEXT(B1611,""yyyy""),""""))"),"")</f>
        <v/>
      </c>
    </row>
    <row r="1612">
      <c r="B1612" s="62"/>
      <c r="C1612" s="56"/>
      <c r="D1612" s="56"/>
      <c r="E1612" s="56"/>
      <c r="F1612" s="63"/>
      <c r="G1612" s="64"/>
      <c r="H1612" s="65"/>
      <c r="I1612" s="63"/>
      <c r="K1612" s="53" t="str">
        <f>IFERROR(__xludf.DUMMYFUNCTION("IF(ISBLANK(B1612),"""",IF(ISDATE(B1612),""X"",""""))"),"")</f>
        <v/>
      </c>
      <c r="L1612" s="40" t="str">
        <f>IFERROR(__xludf.DUMMYFUNCTION("IF(ISBLANK(B1612),"""",IF(Or(I1612=""Em Aberto"",ISBLANK(I1612),NOT(ISDATE(B1612))),"""",H1612))"),"")</f>
        <v/>
      </c>
      <c r="M1612" s="29" t="str">
        <f>IFERROR(__xludf.DUMMYFUNCTION("IF(ISBLANK(B1612),"""",IF(ISDATE(B1612),TEXT(B1612,""m""),""""))"),"")</f>
        <v/>
      </c>
      <c r="N1612" s="29" t="str">
        <f>IFERROR(__xludf.DUMMYFUNCTION("IF(M1612="""","""",QUERY({'Dashboard-Dados'!$Y$2:$AA$13},""Select Col2 Where Col1=""&amp;M1612))"),"")</f>
        <v/>
      </c>
      <c r="O1612" s="29" t="str">
        <f>IFERROR(__xludf.DUMMYFUNCTION("IF(ISBLANK(B1612),"""",IF(ISDATE(B1612),TEXT(B1612,""yyyy""),""""))"),"")</f>
        <v/>
      </c>
    </row>
    <row r="1613">
      <c r="B1613" s="62"/>
      <c r="C1613" s="56"/>
      <c r="D1613" s="56"/>
      <c r="E1613" s="56"/>
      <c r="F1613" s="63"/>
      <c r="G1613" s="64"/>
      <c r="H1613" s="65"/>
      <c r="I1613" s="63"/>
      <c r="K1613" s="53" t="str">
        <f>IFERROR(__xludf.DUMMYFUNCTION("IF(ISBLANK(B1613),"""",IF(ISDATE(B1613),""X"",""""))"),"")</f>
        <v/>
      </c>
      <c r="L1613" s="40" t="str">
        <f>IFERROR(__xludf.DUMMYFUNCTION("IF(ISBLANK(B1613),"""",IF(Or(I1613=""Em Aberto"",ISBLANK(I1613),NOT(ISDATE(B1613))),"""",H1613))"),"")</f>
        <v/>
      </c>
      <c r="M1613" s="29" t="str">
        <f>IFERROR(__xludf.DUMMYFUNCTION("IF(ISBLANK(B1613),"""",IF(ISDATE(B1613),TEXT(B1613,""m""),""""))"),"")</f>
        <v/>
      </c>
      <c r="N1613" s="29" t="str">
        <f>IFERROR(__xludf.DUMMYFUNCTION("IF(M1613="""","""",QUERY({'Dashboard-Dados'!$Y$2:$AA$13},""Select Col2 Where Col1=""&amp;M1613))"),"")</f>
        <v/>
      </c>
      <c r="O1613" s="29" t="str">
        <f>IFERROR(__xludf.DUMMYFUNCTION("IF(ISBLANK(B1613),"""",IF(ISDATE(B1613),TEXT(B1613,""yyyy""),""""))"),"")</f>
        <v/>
      </c>
    </row>
    <row r="1614">
      <c r="B1614" s="62"/>
      <c r="C1614" s="56"/>
      <c r="D1614" s="56"/>
      <c r="E1614" s="56"/>
      <c r="F1614" s="63"/>
      <c r="G1614" s="64"/>
      <c r="H1614" s="65"/>
      <c r="I1614" s="63"/>
      <c r="K1614" s="53" t="str">
        <f>IFERROR(__xludf.DUMMYFUNCTION("IF(ISBLANK(B1614),"""",IF(ISDATE(B1614),""X"",""""))"),"")</f>
        <v/>
      </c>
      <c r="L1614" s="40" t="str">
        <f>IFERROR(__xludf.DUMMYFUNCTION("IF(ISBLANK(B1614),"""",IF(Or(I1614=""Em Aberto"",ISBLANK(I1614),NOT(ISDATE(B1614))),"""",H1614))"),"")</f>
        <v/>
      </c>
      <c r="M1614" s="29" t="str">
        <f>IFERROR(__xludf.DUMMYFUNCTION("IF(ISBLANK(B1614),"""",IF(ISDATE(B1614),TEXT(B1614,""m""),""""))"),"")</f>
        <v/>
      </c>
      <c r="N1614" s="29" t="str">
        <f>IFERROR(__xludf.DUMMYFUNCTION("IF(M1614="""","""",QUERY({'Dashboard-Dados'!$Y$2:$AA$13},""Select Col2 Where Col1=""&amp;M1614))"),"")</f>
        <v/>
      </c>
      <c r="O1614" s="29" t="str">
        <f>IFERROR(__xludf.DUMMYFUNCTION("IF(ISBLANK(B1614),"""",IF(ISDATE(B1614),TEXT(B1614,""yyyy""),""""))"),"")</f>
        <v/>
      </c>
    </row>
    <row r="1615">
      <c r="B1615" s="62"/>
      <c r="C1615" s="56"/>
      <c r="D1615" s="56"/>
      <c r="E1615" s="56"/>
      <c r="F1615" s="63"/>
      <c r="G1615" s="64"/>
      <c r="H1615" s="65"/>
      <c r="I1615" s="63"/>
      <c r="K1615" s="53" t="str">
        <f>IFERROR(__xludf.DUMMYFUNCTION("IF(ISBLANK(B1615),"""",IF(ISDATE(B1615),""X"",""""))"),"")</f>
        <v/>
      </c>
      <c r="L1615" s="40" t="str">
        <f>IFERROR(__xludf.DUMMYFUNCTION("IF(ISBLANK(B1615),"""",IF(Or(I1615=""Em Aberto"",ISBLANK(I1615),NOT(ISDATE(B1615))),"""",H1615))"),"")</f>
        <v/>
      </c>
      <c r="M1615" s="29" t="str">
        <f>IFERROR(__xludf.DUMMYFUNCTION("IF(ISBLANK(B1615),"""",IF(ISDATE(B1615),TEXT(B1615,""m""),""""))"),"")</f>
        <v/>
      </c>
      <c r="N1615" s="29" t="str">
        <f>IFERROR(__xludf.DUMMYFUNCTION("IF(M1615="""","""",QUERY({'Dashboard-Dados'!$Y$2:$AA$13},""Select Col2 Where Col1=""&amp;M1615))"),"")</f>
        <v/>
      </c>
      <c r="O1615" s="29" t="str">
        <f>IFERROR(__xludf.DUMMYFUNCTION("IF(ISBLANK(B1615),"""",IF(ISDATE(B1615),TEXT(B1615,""yyyy""),""""))"),"")</f>
        <v/>
      </c>
    </row>
    <row r="1616">
      <c r="B1616" s="62"/>
      <c r="C1616" s="56"/>
      <c r="D1616" s="56"/>
      <c r="E1616" s="56"/>
      <c r="F1616" s="63"/>
      <c r="G1616" s="64"/>
      <c r="H1616" s="65"/>
      <c r="I1616" s="63"/>
      <c r="K1616" s="53" t="str">
        <f>IFERROR(__xludf.DUMMYFUNCTION("IF(ISBLANK(B1616),"""",IF(ISDATE(B1616),""X"",""""))"),"")</f>
        <v/>
      </c>
      <c r="L1616" s="40" t="str">
        <f>IFERROR(__xludf.DUMMYFUNCTION("IF(ISBLANK(B1616),"""",IF(Or(I1616=""Em Aberto"",ISBLANK(I1616),NOT(ISDATE(B1616))),"""",H1616))"),"")</f>
        <v/>
      </c>
      <c r="M1616" s="29" t="str">
        <f>IFERROR(__xludf.DUMMYFUNCTION("IF(ISBLANK(B1616),"""",IF(ISDATE(B1616),TEXT(B1616,""m""),""""))"),"")</f>
        <v/>
      </c>
      <c r="N1616" s="29" t="str">
        <f>IFERROR(__xludf.DUMMYFUNCTION("IF(M1616="""","""",QUERY({'Dashboard-Dados'!$Y$2:$AA$13},""Select Col2 Where Col1=""&amp;M1616))"),"")</f>
        <v/>
      </c>
      <c r="O1616" s="29" t="str">
        <f>IFERROR(__xludf.DUMMYFUNCTION("IF(ISBLANK(B1616),"""",IF(ISDATE(B1616),TEXT(B1616,""yyyy""),""""))"),"")</f>
        <v/>
      </c>
    </row>
    <row r="1617">
      <c r="B1617" s="62"/>
      <c r="C1617" s="56"/>
      <c r="D1617" s="56"/>
      <c r="E1617" s="56"/>
      <c r="F1617" s="63"/>
      <c r="G1617" s="64"/>
      <c r="H1617" s="65"/>
      <c r="I1617" s="63"/>
      <c r="K1617" s="53" t="str">
        <f>IFERROR(__xludf.DUMMYFUNCTION("IF(ISBLANK(B1617),"""",IF(ISDATE(B1617),""X"",""""))"),"")</f>
        <v/>
      </c>
      <c r="L1617" s="40" t="str">
        <f>IFERROR(__xludf.DUMMYFUNCTION("IF(ISBLANK(B1617),"""",IF(Or(I1617=""Em Aberto"",ISBLANK(I1617),NOT(ISDATE(B1617))),"""",H1617))"),"")</f>
        <v/>
      </c>
      <c r="M1617" s="29" t="str">
        <f>IFERROR(__xludf.DUMMYFUNCTION("IF(ISBLANK(B1617),"""",IF(ISDATE(B1617),TEXT(B1617,""m""),""""))"),"")</f>
        <v/>
      </c>
      <c r="N1617" s="29" t="str">
        <f>IFERROR(__xludf.DUMMYFUNCTION("IF(M1617="""","""",QUERY({'Dashboard-Dados'!$Y$2:$AA$13},""Select Col2 Where Col1=""&amp;M1617))"),"")</f>
        <v/>
      </c>
      <c r="O1617" s="29" t="str">
        <f>IFERROR(__xludf.DUMMYFUNCTION("IF(ISBLANK(B1617),"""",IF(ISDATE(B1617),TEXT(B1617,""yyyy""),""""))"),"")</f>
        <v/>
      </c>
    </row>
    <row r="1618">
      <c r="B1618" s="62"/>
      <c r="C1618" s="56"/>
      <c r="D1618" s="56"/>
      <c r="E1618" s="56"/>
      <c r="F1618" s="63"/>
      <c r="G1618" s="64"/>
      <c r="H1618" s="65"/>
      <c r="I1618" s="63"/>
      <c r="K1618" s="53" t="str">
        <f>IFERROR(__xludf.DUMMYFUNCTION("IF(ISBLANK(B1618),"""",IF(ISDATE(B1618),""X"",""""))"),"")</f>
        <v/>
      </c>
      <c r="L1618" s="40" t="str">
        <f>IFERROR(__xludf.DUMMYFUNCTION("IF(ISBLANK(B1618),"""",IF(Or(I1618=""Em Aberto"",ISBLANK(I1618),NOT(ISDATE(B1618))),"""",H1618))"),"")</f>
        <v/>
      </c>
      <c r="M1618" s="29" t="str">
        <f>IFERROR(__xludf.DUMMYFUNCTION("IF(ISBLANK(B1618),"""",IF(ISDATE(B1618),TEXT(B1618,""m""),""""))"),"")</f>
        <v/>
      </c>
      <c r="N1618" s="29" t="str">
        <f>IFERROR(__xludf.DUMMYFUNCTION("IF(M1618="""","""",QUERY({'Dashboard-Dados'!$Y$2:$AA$13},""Select Col2 Where Col1=""&amp;M1618))"),"")</f>
        <v/>
      </c>
      <c r="O1618" s="29" t="str">
        <f>IFERROR(__xludf.DUMMYFUNCTION("IF(ISBLANK(B1618),"""",IF(ISDATE(B1618),TEXT(B1618,""yyyy""),""""))"),"")</f>
        <v/>
      </c>
    </row>
    <row r="1619">
      <c r="B1619" s="62"/>
      <c r="C1619" s="56"/>
      <c r="D1619" s="56"/>
      <c r="E1619" s="56"/>
      <c r="F1619" s="63"/>
      <c r="G1619" s="64"/>
      <c r="H1619" s="65"/>
      <c r="I1619" s="63"/>
      <c r="K1619" s="53" t="str">
        <f>IFERROR(__xludf.DUMMYFUNCTION("IF(ISBLANK(B1619),"""",IF(ISDATE(B1619),""X"",""""))"),"")</f>
        <v/>
      </c>
      <c r="L1619" s="40" t="str">
        <f>IFERROR(__xludf.DUMMYFUNCTION("IF(ISBLANK(B1619),"""",IF(Or(I1619=""Em Aberto"",ISBLANK(I1619),NOT(ISDATE(B1619))),"""",H1619))"),"")</f>
        <v/>
      </c>
      <c r="M1619" s="29" t="str">
        <f>IFERROR(__xludf.DUMMYFUNCTION("IF(ISBLANK(B1619),"""",IF(ISDATE(B1619),TEXT(B1619,""m""),""""))"),"")</f>
        <v/>
      </c>
      <c r="N1619" s="29" t="str">
        <f>IFERROR(__xludf.DUMMYFUNCTION("IF(M1619="""","""",QUERY({'Dashboard-Dados'!$Y$2:$AA$13},""Select Col2 Where Col1=""&amp;M1619))"),"")</f>
        <v/>
      </c>
      <c r="O1619" s="29" t="str">
        <f>IFERROR(__xludf.DUMMYFUNCTION("IF(ISBLANK(B1619),"""",IF(ISDATE(B1619),TEXT(B1619,""yyyy""),""""))"),"")</f>
        <v/>
      </c>
    </row>
    <row r="1620">
      <c r="B1620" s="62"/>
      <c r="C1620" s="56"/>
      <c r="D1620" s="56"/>
      <c r="E1620" s="56"/>
      <c r="F1620" s="63"/>
      <c r="G1620" s="64"/>
      <c r="H1620" s="65"/>
      <c r="I1620" s="63"/>
      <c r="K1620" s="53" t="str">
        <f>IFERROR(__xludf.DUMMYFUNCTION("IF(ISBLANK(B1620),"""",IF(ISDATE(B1620),""X"",""""))"),"")</f>
        <v/>
      </c>
      <c r="L1620" s="40" t="str">
        <f>IFERROR(__xludf.DUMMYFUNCTION("IF(ISBLANK(B1620),"""",IF(Or(I1620=""Em Aberto"",ISBLANK(I1620),NOT(ISDATE(B1620))),"""",H1620))"),"")</f>
        <v/>
      </c>
      <c r="M1620" s="29" t="str">
        <f>IFERROR(__xludf.DUMMYFUNCTION("IF(ISBLANK(B1620),"""",IF(ISDATE(B1620),TEXT(B1620,""m""),""""))"),"")</f>
        <v/>
      </c>
      <c r="N1620" s="29" t="str">
        <f>IFERROR(__xludf.DUMMYFUNCTION("IF(M1620="""","""",QUERY({'Dashboard-Dados'!$Y$2:$AA$13},""Select Col2 Where Col1=""&amp;M1620))"),"")</f>
        <v/>
      </c>
      <c r="O1620" s="29" t="str">
        <f>IFERROR(__xludf.DUMMYFUNCTION("IF(ISBLANK(B1620),"""",IF(ISDATE(B1620),TEXT(B1620,""yyyy""),""""))"),"")</f>
        <v/>
      </c>
    </row>
    <row r="1621">
      <c r="B1621" s="62"/>
      <c r="C1621" s="56"/>
      <c r="D1621" s="56"/>
      <c r="E1621" s="56"/>
      <c r="F1621" s="63"/>
      <c r="G1621" s="64"/>
      <c r="H1621" s="65"/>
      <c r="I1621" s="63"/>
      <c r="K1621" s="53" t="str">
        <f>IFERROR(__xludf.DUMMYFUNCTION("IF(ISBLANK(B1621),"""",IF(ISDATE(B1621),""X"",""""))"),"")</f>
        <v/>
      </c>
      <c r="L1621" s="40" t="str">
        <f>IFERROR(__xludf.DUMMYFUNCTION("IF(ISBLANK(B1621),"""",IF(Or(I1621=""Em Aberto"",ISBLANK(I1621),NOT(ISDATE(B1621))),"""",H1621))"),"")</f>
        <v/>
      </c>
      <c r="M1621" s="29" t="str">
        <f>IFERROR(__xludf.DUMMYFUNCTION("IF(ISBLANK(B1621),"""",IF(ISDATE(B1621),TEXT(B1621,""m""),""""))"),"")</f>
        <v/>
      </c>
      <c r="N1621" s="29" t="str">
        <f>IFERROR(__xludf.DUMMYFUNCTION("IF(M1621="""","""",QUERY({'Dashboard-Dados'!$Y$2:$AA$13},""Select Col2 Where Col1=""&amp;M1621))"),"")</f>
        <v/>
      </c>
      <c r="O1621" s="29" t="str">
        <f>IFERROR(__xludf.DUMMYFUNCTION("IF(ISBLANK(B1621),"""",IF(ISDATE(B1621),TEXT(B1621,""yyyy""),""""))"),"")</f>
        <v/>
      </c>
    </row>
    <row r="1622">
      <c r="B1622" s="62"/>
      <c r="C1622" s="56"/>
      <c r="D1622" s="56"/>
      <c r="E1622" s="56"/>
      <c r="F1622" s="63"/>
      <c r="G1622" s="64"/>
      <c r="H1622" s="65"/>
      <c r="I1622" s="63"/>
      <c r="K1622" s="53" t="str">
        <f>IFERROR(__xludf.DUMMYFUNCTION("IF(ISBLANK(B1622),"""",IF(ISDATE(B1622),""X"",""""))"),"")</f>
        <v/>
      </c>
      <c r="L1622" s="40" t="str">
        <f>IFERROR(__xludf.DUMMYFUNCTION("IF(ISBLANK(B1622),"""",IF(Or(I1622=""Em Aberto"",ISBLANK(I1622),NOT(ISDATE(B1622))),"""",H1622))"),"")</f>
        <v/>
      </c>
      <c r="M1622" s="29" t="str">
        <f>IFERROR(__xludf.DUMMYFUNCTION("IF(ISBLANK(B1622),"""",IF(ISDATE(B1622),TEXT(B1622,""m""),""""))"),"")</f>
        <v/>
      </c>
      <c r="N1622" s="29" t="str">
        <f>IFERROR(__xludf.DUMMYFUNCTION("IF(M1622="""","""",QUERY({'Dashboard-Dados'!$Y$2:$AA$13},""Select Col2 Where Col1=""&amp;M1622))"),"")</f>
        <v/>
      </c>
      <c r="O1622" s="29" t="str">
        <f>IFERROR(__xludf.DUMMYFUNCTION("IF(ISBLANK(B1622),"""",IF(ISDATE(B1622),TEXT(B1622,""yyyy""),""""))"),"")</f>
        <v/>
      </c>
    </row>
    <row r="1623">
      <c r="B1623" s="62"/>
      <c r="C1623" s="56"/>
      <c r="D1623" s="56"/>
      <c r="E1623" s="56"/>
      <c r="F1623" s="63"/>
      <c r="G1623" s="64"/>
      <c r="H1623" s="65"/>
      <c r="I1623" s="63"/>
      <c r="K1623" s="53" t="str">
        <f>IFERROR(__xludf.DUMMYFUNCTION("IF(ISBLANK(B1623),"""",IF(ISDATE(B1623),""X"",""""))"),"")</f>
        <v/>
      </c>
      <c r="L1623" s="40" t="str">
        <f>IFERROR(__xludf.DUMMYFUNCTION("IF(ISBLANK(B1623),"""",IF(Or(I1623=""Em Aberto"",ISBLANK(I1623),NOT(ISDATE(B1623))),"""",H1623))"),"")</f>
        <v/>
      </c>
      <c r="M1623" s="29" t="str">
        <f>IFERROR(__xludf.DUMMYFUNCTION("IF(ISBLANK(B1623),"""",IF(ISDATE(B1623),TEXT(B1623,""m""),""""))"),"")</f>
        <v/>
      </c>
      <c r="N1623" s="29" t="str">
        <f>IFERROR(__xludf.DUMMYFUNCTION("IF(M1623="""","""",QUERY({'Dashboard-Dados'!$Y$2:$AA$13},""Select Col2 Where Col1=""&amp;M1623))"),"")</f>
        <v/>
      </c>
      <c r="O1623" s="29" t="str">
        <f>IFERROR(__xludf.DUMMYFUNCTION("IF(ISBLANK(B1623),"""",IF(ISDATE(B1623),TEXT(B1623,""yyyy""),""""))"),"")</f>
        <v/>
      </c>
    </row>
    <row r="1624">
      <c r="B1624" s="62"/>
      <c r="C1624" s="56"/>
      <c r="D1624" s="56"/>
      <c r="E1624" s="56"/>
      <c r="F1624" s="63"/>
      <c r="G1624" s="64"/>
      <c r="H1624" s="65"/>
      <c r="I1624" s="63"/>
      <c r="K1624" s="53" t="str">
        <f>IFERROR(__xludf.DUMMYFUNCTION("IF(ISBLANK(B1624),"""",IF(ISDATE(B1624),""X"",""""))"),"")</f>
        <v/>
      </c>
      <c r="L1624" s="40" t="str">
        <f>IFERROR(__xludf.DUMMYFUNCTION("IF(ISBLANK(B1624),"""",IF(Or(I1624=""Em Aberto"",ISBLANK(I1624),NOT(ISDATE(B1624))),"""",H1624))"),"")</f>
        <v/>
      </c>
      <c r="M1624" s="29" t="str">
        <f>IFERROR(__xludf.DUMMYFUNCTION("IF(ISBLANK(B1624),"""",IF(ISDATE(B1624),TEXT(B1624,""m""),""""))"),"")</f>
        <v/>
      </c>
      <c r="N1624" s="29" t="str">
        <f>IFERROR(__xludf.DUMMYFUNCTION("IF(M1624="""","""",QUERY({'Dashboard-Dados'!$Y$2:$AA$13},""Select Col2 Where Col1=""&amp;M1624))"),"")</f>
        <v/>
      </c>
      <c r="O1624" s="29" t="str">
        <f>IFERROR(__xludf.DUMMYFUNCTION("IF(ISBLANK(B1624),"""",IF(ISDATE(B1624),TEXT(B1624,""yyyy""),""""))"),"")</f>
        <v/>
      </c>
    </row>
    <row r="1625">
      <c r="B1625" s="62"/>
      <c r="C1625" s="56"/>
      <c r="D1625" s="56"/>
      <c r="E1625" s="56"/>
      <c r="F1625" s="63"/>
      <c r="G1625" s="64"/>
      <c r="H1625" s="65"/>
      <c r="I1625" s="63"/>
      <c r="K1625" s="53" t="str">
        <f>IFERROR(__xludf.DUMMYFUNCTION("IF(ISBLANK(B1625),"""",IF(ISDATE(B1625),""X"",""""))"),"")</f>
        <v/>
      </c>
      <c r="L1625" s="40" t="str">
        <f>IFERROR(__xludf.DUMMYFUNCTION("IF(ISBLANK(B1625),"""",IF(Or(I1625=""Em Aberto"",ISBLANK(I1625),NOT(ISDATE(B1625))),"""",H1625))"),"")</f>
        <v/>
      </c>
      <c r="M1625" s="29" t="str">
        <f>IFERROR(__xludf.DUMMYFUNCTION("IF(ISBLANK(B1625),"""",IF(ISDATE(B1625),TEXT(B1625,""m""),""""))"),"")</f>
        <v/>
      </c>
      <c r="N1625" s="29" t="str">
        <f>IFERROR(__xludf.DUMMYFUNCTION("IF(M1625="""","""",QUERY({'Dashboard-Dados'!$Y$2:$AA$13},""Select Col2 Where Col1=""&amp;M1625))"),"")</f>
        <v/>
      </c>
      <c r="O1625" s="29" t="str">
        <f>IFERROR(__xludf.DUMMYFUNCTION("IF(ISBLANK(B1625),"""",IF(ISDATE(B1625),TEXT(B1625,""yyyy""),""""))"),"")</f>
        <v/>
      </c>
    </row>
    <row r="1626">
      <c r="B1626" s="62"/>
      <c r="C1626" s="56"/>
      <c r="D1626" s="56"/>
      <c r="E1626" s="56"/>
      <c r="F1626" s="63"/>
      <c r="G1626" s="64"/>
      <c r="H1626" s="65"/>
      <c r="I1626" s="63"/>
      <c r="K1626" s="53" t="str">
        <f>IFERROR(__xludf.DUMMYFUNCTION("IF(ISBLANK(B1626),"""",IF(ISDATE(B1626),""X"",""""))"),"")</f>
        <v/>
      </c>
      <c r="L1626" s="40" t="str">
        <f>IFERROR(__xludf.DUMMYFUNCTION("IF(ISBLANK(B1626),"""",IF(Or(I1626=""Em Aberto"",ISBLANK(I1626),NOT(ISDATE(B1626))),"""",H1626))"),"")</f>
        <v/>
      </c>
      <c r="M1626" s="29" t="str">
        <f>IFERROR(__xludf.DUMMYFUNCTION("IF(ISBLANK(B1626),"""",IF(ISDATE(B1626),TEXT(B1626,""m""),""""))"),"")</f>
        <v/>
      </c>
      <c r="N1626" s="29" t="str">
        <f>IFERROR(__xludf.DUMMYFUNCTION("IF(M1626="""","""",QUERY({'Dashboard-Dados'!$Y$2:$AA$13},""Select Col2 Where Col1=""&amp;M1626))"),"")</f>
        <v/>
      </c>
      <c r="O1626" s="29" t="str">
        <f>IFERROR(__xludf.DUMMYFUNCTION("IF(ISBLANK(B1626),"""",IF(ISDATE(B1626),TEXT(B1626,""yyyy""),""""))"),"")</f>
        <v/>
      </c>
    </row>
    <row r="1627">
      <c r="B1627" s="62"/>
      <c r="C1627" s="56"/>
      <c r="D1627" s="56"/>
      <c r="E1627" s="56"/>
      <c r="F1627" s="63"/>
      <c r="G1627" s="64"/>
      <c r="H1627" s="65"/>
      <c r="I1627" s="63"/>
      <c r="K1627" s="53" t="str">
        <f>IFERROR(__xludf.DUMMYFUNCTION("IF(ISBLANK(B1627),"""",IF(ISDATE(B1627),""X"",""""))"),"")</f>
        <v/>
      </c>
      <c r="L1627" s="40" t="str">
        <f>IFERROR(__xludf.DUMMYFUNCTION("IF(ISBLANK(B1627),"""",IF(Or(I1627=""Em Aberto"",ISBLANK(I1627),NOT(ISDATE(B1627))),"""",H1627))"),"")</f>
        <v/>
      </c>
      <c r="M1627" s="29" t="str">
        <f>IFERROR(__xludf.DUMMYFUNCTION("IF(ISBLANK(B1627),"""",IF(ISDATE(B1627),TEXT(B1627,""m""),""""))"),"")</f>
        <v/>
      </c>
      <c r="N1627" s="29" t="str">
        <f>IFERROR(__xludf.DUMMYFUNCTION("IF(M1627="""","""",QUERY({'Dashboard-Dados'!$Y$2:$AA$13},""Select Col2 Where Col1=""&amp;M1627))"),"")</f>
        <v/>
      </c>
      <c r="O1627" s="29" t="str">
        <f>IFERROR(__xludf.DUMMYFUNCTION("IF(ISBLANK(B1627),"""",IF(ISDATE(B1627),TEXT(B1627,""yyyy""),""""))"),"")</f>
        <v/>
      </c>
    </row>
    <row r="1628">
      <c r="B1628" s="62"/>
      <c r="C1628" s="56"/>
      <c r="D1628" s="56"/>
      <c r="E1628" s="56"/>
      <c r="F1628" s="63"/>
      <c r="G1628" s="64"/>
      <c r="H1628" s="65"/>
      <c r="I1628" s="63"/>
      <c r="K1628" s="53" t="str">
        <f>IFERROR(__xludf.DUMMYFUNCTION("IF(ISBLANK(B1628),"""",IF(ISDATE(B1628),""X"",""""))"),"")</f>
        <v/>
      </c>
      <c r="L1628" s="40" t="str">
        <f>IFERROR(__xludf.DUMMYFUNCTION("IF(ISBLANK(B1628),"""",IF(Or(I1628=""Em Aberto"",ISBLANK(I1628),NOT(ISDATE(B1628))),"""",H1628))"),"")</f>
        <v/>
      </c>
      <c r="M1628" s="29" t="str">
        <f>IFERROR(__xludf.DUMMYFUNCTION("IF(ISBLANK(B1628),"""",IF(ISDATE(B1628),TEXT(B1628,""m""),""""))"),"")</f>
        <v/>
      </c>
      <c r="N1628" s="29" t="str">
        <f>IFERROR(__xludf.DUMMYFUNCTION("IF(M1628="""","""",QUERY({'Dashboard-Dados'!$Y$2:$AA$13},""Select Col2 Where Col1=""&amp;M1628))"),"")</f>
        <v/>
      </c>
      <c r="O1628" s="29" t="str">
        <f>IFERROR(__xludf.DUMMYFUNCTION("IF(ISBLANK(B1628),"""",IF(ISDATE(B1628),TEXT(B1628,""yyyy""),""""))"),"")</f>
        <v/>
      </c>
    </row>
    <row r="1629">
      <c r="B1629" s="62"/>
      <c r="C1629" s="56"/>
      <c r="D1629" s="56"/>
      <c r="E1629" s="56"/>
      <c r="F1629" s="63"/>
      <c r="G1629" s="64"/>
      <c r="H1629" s="65"/>
      <c r="I1629" s="63"/>
      <c r="K1629" s="53" t="str">
        <f>IFERROR(__xludf.DUMMYFUNCTION("IF(ISBLANK(B1629),"""",IF(ISDATE(B1629),""X"",""""))"),"")</f>
        <v/>
      </c>
      <c r="L1629" s="40" t="str">
        <f>IFERROR(__xludf.DUMMYFUNCTION("IF(ISBLANK(B1629),"""",IF(Or(I1629=""Em Aberto"",ISBLANK(I1629),NOT(ISDATE(B1629))),"""",H1629))"),"")</f>
        <v/>
      </c>
      <c r="M1629" s="29" t="str">
        <f>IFERROR(__xludf.DUMMYFUNCTION("IF(ISBLANK(B1629),"""",IF(ISDATE(B1629),TEXT(B1629,""m""),""""))"),"")</f>
        <v/>
      </c>
      <c r="N1629" s="29" t="str">
        <f>IFERROR(__xludf.DUMMYFUNCTION("IF(M1629="""","""",QUERY({'Dashboard-Dados'!$Y$2:$AA$13},""Select Col2 Where Col1=""&amp;M1629))"),"")</f>
        <v/>
      </c>
      <c r="O1629" s="29" t="str">
        <f>IFERROR(__xludf.DUMMYFUNCTION("IF(ISBLANK(B1629),"""",IF(ISDATE(B1629),TEXT(B1629,""yyyy""),""""))"),"")</f>
        <v/>
      </c>
    </row>
    <row r="1630">
      <c r="B1630" s="62"/>
      <c r="C1630" s="56"/>
      <c r="D1630" s="56"/>
      <c r="E1630" s="56"/>
      <c r="F1630" s="63"/>
      <c r="G1630" s="64"/>
      <c r="H1630" s="65"/>
      <c r="I1630" s="63"/>
      <c r="K1630" s="53" t="str">
        <f>IFERROR(__xludf.DUMMYFUNCTION("IF(ISBLANK(B1630),"""",IF(ISDATE(B1630),""X"",""""))"),"")</f>
        <v/>
      </c>
      <c r="L1630" s="40" t="str">
        <f>IFERROR(__xludf.DUMMYFUNCTION("IF(ISBLANK(B1630),"""",IF(Or(I1630=""Em Aberto"",ISBLANK(I1630),NOT(ISDATE(B1630))),"""",H1630))"),"")</f>
        <v/>
      </c>
      <c r="M1630" s="29" t="str">
        <f>IFERROR(__xludf.DUMMYFUNCTION("IF(ISBLANK(B1630),"""",IF(ISDATE(B1630),TEXT(B1630,""m""),""""))"),"")</f>
        <v/>
      </c>
      <c r="N1630" s="29" t="str">
        <f>IFERROR(__xludf.DUMMYFUNCTION("IF(M1630="""","""",QUERY({'Dashboard-Dados'!$Y$2:$AA$13},""Select Col2 Where Col1=""&amp;M1630))"),"")</f>
        <v/>
      </c>
      <c r="O1630" s="29" t="str">
        <f>IFERROR(__xludf.DUMMYFUNCTION("IF(ISBLANK(B1630),"""",IF(ISDATE(B1630),TEXT(B1630,""yyyy""),""""))"),"")</f>
        <v/>
      </c>
    </row>
    <row r="1631">
      <c r="B1631" s="62"/>
      <c r="C1631" s="56"/>
      <c r="D1631" s="56"/>
      <c r="E1631" s="56"/>
      <c r="F1631" s="63"/>
      <c r="G1631" s="64"/>
      <c r="H1631" s="65"/>
      <c r="I1631" s="63"/>
      <c r="K1631" s="53" t="str">
        <f>IFERROR(__xludf.DUMMYFUNCTION("IF(ISBLANK(B1631),"""",IF(ISDATE(B1631),""X"",""""))"),"")</f>
        <v/>
      </c>
      <c r="L1631" s="40" t="str">
        <f>IFERROR(__xludf.DUMMYFUNCTION("IF(ISBLANK(B1631),"""",IF(Or(I1631=""Em Aberto"",ISBLANK(I1631),NOT(ISDATE(B1631))),"""",H1631))"),"")</f>
        <v/>
      </c>
      <c r="M1631" s="29" t="str">
        <f>IFERROR(__xludf.DUMMYFUNCTION("IF(ISBLANK(B1631),"""",IF(ISDATE(B1631),TEXT(B1631,""m""),""""))"),"")</f>
        <v/>
      </c>
      <c r="N1631" s="29" t="str">
        <f>IFERROR(__xludf.DUMMYFUNCTION("IF(M1631="""","""",QUERY({'Dashboard-Dados'!$Y$2:$AA$13},""Select Col2 Where Col1=""&amp;M1631))"),"")</f>
        <v/>
      </c>
      <c r="O1631" s="29" t="str">
        <f>IFERROR(__xludf.DUMMYFUNCTION("IF(ISBLANK(B1631),"""",IF(ISDATE(B1631),TEXT(B1631,""yyyy""),""""))"),"")</f>
        <v/>
      </c>
    </row>
    <row r="1632">
      <c r="B1632" s="62"/>
      <c r="C1632" s="56"/>
      <c r="D1632" s="56"/>
      <c r="E1632" s="56"/>
      <c r="F1632" s="63"/>
      <c r="G1632" s="64"/>
      <c r="H1632" s="65"/>
      <c r="I1632" s="63"/>
      <c r="K1632" s="53" t="str">
        <f>IFERROR(__xludf.DUMMYFUNCTION("IF(ISBLANK(B1632),"""",IF(ISDATE(B1632),""X"",""""))"),"")</f>
        <v/>
      </c>
      <c r="L1632" s="40" t="str">
        <f>IFERROR(__xludf.DUMMYFUNCTION("IF(ISBLANK(B1632),"""",IF(Or(I1632=""Em Aberto"",ISBLANK(I1632),NOT(ISDATE(B1632))),"""",H1632))"),"")</f>
        <v/>
      </c>
      <c r="M1632" s="29" t="str">
        <f>IFERROR(__xludf.DUMMYFUNCTION("IF(ISBLANK(B1632),"""",IF(ISDATE(B1632),TEXT(B1632,""m""),""""))"),"")</f>
        <v/>
      </c>
      <c r="N1632" s="29" t="str">
        <f>IFERROR(__xludf.DUMMYFUNCTION("IF(M1632="""","""",QUERY({'Dashboard-Dados'!$Y$2:$AA$13},""Select Col2 Where Col1=""&amp;M1632))"),"")</f>
        <v/>
      </c>
      <c r="O1632" s="29" t="str">
        <f>IFERROR(__xludf.DUMMYFUNCTION("IF(ISBLANK(B1632),"""",IF(ISDATE(B1632),TEXT(B1632,""yyyy""),""""))"),"")</f>
        <v/>
      </c>
    </row>
    <row r="1633">
      <c r="B1633" s="62"/>
      <c r="C1633" s="56"/>
      <c r="D1633" s="56"/>
      <c r="E1633" s="56"/>
      <c r="F1633" s="63"/>
      <c r="G1633" s="64"/>
      <c r="H1633" s="65"/>
      <c r="I1633" s="63"/>
      <c r="K1633" s="53" t="str">
        <f>IFERROR(__xludf.DUMMYFUNCTION("IF(ISBLANK(B1633),"""",IF(ISDATE(B1633),""X"",""""))"),"")</f>
        <v/>
      </c>
      <c r="L1633" s="40" t="str">
        <f>IFERROR(__xludf.DUMMYFUNCTION("IF(ISBLANK(B1633),"""",IF(Or(I1633=""Em Aberto"",ISBLANK(I1633),NOT(ISDATE(B1633))),"""",H1633))"),"")</f>
        <v/>
      </c>
      <c r="M1633" s="29" t="str">
        <f>IFERROR(__xludf.DUMMYFUNCTION("IF(ISBLANK(B1633),"""",IF(ISDATE(B1633),TEXT(B1633,""m""),""""))"),"")</f>
        <v/>
      </c>
      <c r="N1633" s="29" t="str">
        <f>IFERROR(__xludf.DUMMYFUNCTION("IF(M1633="""","""",QUERY({'Dashboard-Dados'!$Y$2:$AA$13},""Select Col2 Where Col1=""&amp;M1633))"),"")</f>
        <v/>
      </c>
      <c r="O1633" s="29" t="str">
        <f>IFERROR(__xludf.DUMMYFUNCTION("IF(ISBLANK(B1633),"""",IF(ISDATE(B1633),TEXT(B1633,""yyyy""),""""))"),"")</f>
        <v/>
      </c>
    </row>
    <row r="1634">
      <c r="B1634" s="62"/>
      <c r="C1634" s="56"/>
      <c r="D1634" s="56"/>
      <c r="E1634" s="56"/>
      <c r="F1634" s="63"/>
      <c r="G1634" s="64"/>
      <c r="H1634" s="65"/>
      <c r="I1634" s="63"/>
      <c r="K1634" s="53" t="str">
        <f>IFERROR(__xludf.DUMMYFUNCTION("IF(ISBLANK(B1634),"""",IF(ISDATE(B1634),""X"",""""))"),"")</f>
        <v/>
      </c>
      <c r="L1634" s="40" t="str">
        <f>IFERROR(__xludf.DUMMYFUNCTION("IF(ISBLANK(B1634),"""",IF(Or(I1634=""Em Aberto"",ISBLANK(I1634),NOT(ISDATE(B1634))),"""",H1634))"),"")</f>
        <v/>
      </c>
      <c r="M1634" s="29" t="str">
        <f>IFERROR(__xludf.DUMMYFUNCTION("IF(ISBLANK(B1634),"""",IF(ISDATE(B1634),TEXT(B1634,""m""),""""))"),"")</f>
        <v/>
      </c>
      <c r="N1634" s="29" t="str">
        <f>IFERROR(__xludf.DUMMYFUNCTION("IF(M1634="""","""",QUERY({'Dashboard-Dados'!$Y$2:$AA$13},""Select Col2 Where Col1=""&amp;M1634))"),"")</f>
        <v/>
      </c>
      <c r="O1634" s="29" t="str">
        <f>IFERROR(__xludf.DUMMYFUNCTION("IF(ISBLANK(B1634),"""",IF(ISDATE(B1634),TEXT(B1634,""yyyy""),""""))"),"")</f>
        <v/>
      </c>
    </row>
    <row r="1635">
      <c r="B1635" s="62"/>
      <c r="C1635" s="56"/>
      <c r="D1635" s="56"/>
      <c r="E1635" s="56"/>
      <c r="F1635" s="63"/>
      <c r="G1635" s="64"/>
      <c r="H1635" s="65"/>
      <c r="I1635" s="63"/>
      <c r="K1635" s="53" t="str">
        <f>IFERROR(__xludf.DUMMYFUNCTION("IF(ISBLANK(B1635),"""",IF(ISDATE(B1635),""X"",""""))"),"")</f>
        <v/>
      </c>
      <c r="L1635" s="40" t="str">
        <f>IFERROR(__xludf.DUMMYFUNCTION("IF(ISBLANK(B1635),"""",IF(Or(I1635=""Em Aberto"",ISBLANK(I1635),NOT(ISDATE(B1635))),"""",H1635))"),"")</f>
        <v/>
      </c>
      <c r="M1635" s="29" t="str">
        <f>IFERROR(__xludf.DUMMYFUNCTION("IF(ISBLANK(B1635),"""",IF(ISDATE(B1635),TEXT(B1635,""m""),""""))"),"")</f>
        <v/>
      </c>
      <c r="N1635" s="29" t="str">
        <f>IFERROR(__xludf.DUMMYFUNCTION("IF(M1635="""","""",QUERY({'Dashboard-Dados'!$Y$2:$AA$13},""Select Col2 Where Col1=""&amp;M1635))"),"")</f>
        <v/>
      </c>
      <c r="O1635" s="29" t="str">
        <f>IFERROR(__xludf.DUMMYFUNCTION("IF(ISBLANK(B1635),"""",IF(ISDATE(B1635),TEXT(B1635,""yyyy""),""""))"),"")</f>
        <v/>
      </c>
    </row>
    <row r="1636">
      <c r="B1636" s="62"/>
      <c r="C1636" s="56"/>
      <c r="D1636" s="56"/>
      <c r="E1636" s="56"/>
      <c r="F1636" s="63"/>
      <c r="G1636" s="64"/>
      <c r="H1636" s="65"/>
      <c r="I1636" s="63"/>
      <c r="K1636" s="53" t="str">
        <f>IFERROR(__xludf.DUMMYFUNCTION("IF(ISBLANK(B1636),"""",IF(ISDATE(B1636),""X"",""""))"),"")</f>
        <v/>
      </c>
      <c r="L1636" s="40" t="str">
        <f>IFERROR(__xludf.DUMMYFUNCTION("IF(ISBLANK(B1636),"""",IF(Or(I1636=""Em Aberto"",ISBLANK(I1636),NOT(ISDATE(B1636))),"""",H1636))"),"")</f>
        <v/>
      </c>
      <c r="M1636" s="29" t="str">
        <f>IFERROR(__xludf.DUMMYFUNCTION("IF(ISBLANK(B1636),"""",IF(ISDATE(B1636),TEXT(B1636,""m""),""""))"),"")</f>
        <v/>
      </c>
      <c r="N1636" s="29" t="str">
        <f>IFERROR(__xludf.DUMMYFUNCTION("IF(M1636="""","""",QUERY({'Dashboard-Dados'!$Y$2:$AA$13},""Select Col2 Where Col1=""&amp;M1636))"),"")</f>
        <v/>
      </c>
      <c r="O1636" s="29" t="str">
        <f>IFERROR(__xludf.DUMMYFUNCTION("IF(ISBLANK(B1636),"""",IF(ISDATE(B1636),TEXT(B1636,""yyyy""),""""))"),"")</f>
        <v/>
      </c>
    </row>
    <row r="1637">
      <c r="B1637" s="62"/>
      <c r="C1637" s="56"/>
      <c r="D1637" s="56"/>
      <c r="E1637" s="56"/>
      <c r="F1637" s="63"/>
      <c r="G1637" s="64"/>
      <c r="H1637" s="65"/>
      <c r="I1637" s="63"/>
      <c r="K1637" s="53" t="str">
        <f>IFERROR(__xludf.DUMMYFUNCTION("IF(ISBLANK(B1637),"""",IF(ISDATE(B1637),""X"",""""))"),"")</f>
        <v/>
      </c>
      <c r="L1637" s="40" t="str">
        <f>IFERROR(__xludf.DUMMYFUNCTION("IF(ISBLANK(B1637),"""",IF(Or(I1637=""Em Aberto"",ISBLANK(I1637),NOT(ISDATE(B1637))),"""",H1637))"),"")</f>
        <v/>
      </c>
      <c r="M1637" s="29" t="str">
        <f>IFERROR(__xludf.DUMMYFUNCTION("IF(ISBLANK(B1637),"""",IF(ISDATE(B1637),TEXT(B1637,""m""),""""))"),"")</f>
        <v/>
      </c>
      <c r="N1637" s="29" t="str">
        <f>IFERROR(__xludf.DUMMYFUNCTION("IF(M1637="""","""",QUERY({'Dashboard-Dados'!$Y$2:$AA$13},""Select Col2 Where Col1=""&amp;M1637))"),"")</f>
        <v/>
      </c>
      <c r="O1637" s="29" t="str">
        <f>IFERROR(__xludf.DUMMYFUNCTION("IF(ISBLANK(B1637),"""",IF(ISDATE(B1637),TEXT(B1637,""yyyy""),""""))"),"")</f>
        <v/>
      </c>
    </row>
    <row r="1638">
      <c r="B1638" s="62"/>
      <c r="C1638" s="56"/>
      <c r="D1638" s="56"/>
      <c r="E1638" s="56"/>
      <c r="F1638" s="63"/>
      <c r="G1638" s="64"/>
      <c r="H1638" s="65"/>
      <c r="I1638" s="63"/>
      <c r="K1638" s="53" t="str">
        <f>IFERROR(__xludf.DUMMYFUNCTION("IF(ISBLANK(B1638),"""",IF(ISDATE(B1638),""X"",""""))"),"")</f>
        <v/>
      </c>
      <c r="L1638" s="40" t="str">
        <f>IFERROR(__xludf.DUMMYFUNCTION("IF(ISBLANK(B1638),"""",IF(Or(I1638=""Em Aberto"",ISBLANK(I1638),NOT(ISDATE(B1638))),"""",H1638))"),"")</f>
        <v/>
      </c>
      <c r="M1638" s="29" t="str">
        <f>IFERROR(__xludf.DUMMYFUNCTION("IF(ISBLANK(B1638),"""",IF(ISDATE(B1638),TEXT(B1638,""m""),""""))"),"")</f>
        <v/>
      </c>
      <c r="N1638" s="29" t="str">
        <f>IFERROR(__xludf.DUMMYFUNCTION("IF(M1638="""","""",QUERY({'Dashboard-Dados'!$Y$2:$AA$13},""Select Col2 Where Col1=""&amp;M1638))"),"")</f>
        <v/>
      </c>
      <c r="O1638" s="29" t="str">
        <f>IFERROR(__xludf.DUMMYFUNCTION("IF(ISBLANK(B1638),"""",IF(ISDATE(B1638),TEXT(B1638,""yyyy""),""""))"),"")</f>
        <v/>
      </c>
    </row>
    <row r="1639">
      <c r="B1639" s="62"/>
      <c r="C1639" s="56"/>
      <c r="D1639" s="56"/>
      <c r="E1639" s="56"/>
      <c r="F1639" s="63"/>
      <c r="G1639" s="64"/>
      <c r="H1639" s="65"/>
      <c r="I1639" s="63"/>
      <c r="K1639" s="53" t="str">
        <f>IFERROR(__xludf.DUMMYFUNCTION("IF(ISBLANK(B1639),"""",IF(ISDATE(B1639),""X"",""""))"),"")</f>
        <v/>
      </c>
      <c r="L1639" s="40" t="str">
        <f>IFERROR(__xludf.DUMMYFUNCTION("IF(ISBLANK(B1639),"""",IF(Or(I1639=""Em Aberto"",ISBLANK(I1639),NOT(ISDATE(B1639))),"""",H1639))"),"")</f>
        <v/>
      </c>
      <c r="M1639" s="29" t="str">
        <f>IFERROR(__xludf.DUMMYFUNCTION("IF(ISBLANK(B1639),"""",IF(ISDATE(B1639),TEXT(B1639,""m""),""""))"),"")</f>
        <v/>
      </c>
      <c r="N1639" s="29" t="str">
        <f>IFERROR(__xludf.DUMMYFUNCTION("IF(M1639="""","""",QUERY({'Dashboard-Dados'!$Y$2:$AA$13},""Select Col2 Where Col1=""&amp;M1639))"),"")</f>
        <v/>
      </c>
      <c r="O1639" s="29" t="str">
        <f>IFERROR(__xludf.DUMMYFUNCTION("IF(ISBLANK(B1639),"""",IF(ISDATE(B1639),TEXT(B1639,""yyyy""),""""))"),"")</f>
        <v/>
      </c>
    </row>
    <row r="1640">
      <c r="B1640" s="62"/>
      <c r="C1640" s="56"/>
      <c r="D1640" s="56"/>
      <c r="E1640" s="56"/>
      <c r="F1640" s="63"/>
      <c r="G1640" s="64"/>
      <c r="H1640" s="65"/>
      <c r="I1640" s="63"/>
      <c r="K1640" s="53" t="str">
        <f>IFERROR(__xludf.DUMMYFUNCTION("IF(ISBLANK(B1640),"""",IF(ISDATE(B1640),""X"",""""))"),"")</f>
        <v/>
      </c>
      <c r="L1640" s="40" t="str">
        <f>IFERROR(__xludf.DUMMYFUNCTION("IF(ISBLANK(B1640),"""",IF(Or(I1640=""Em Aberto"",ISBLANK(I1640),NOT(ISDATE(B1640))),"""",H1640))"),"")</f>
        <v/>
      </c>
      <c r="M1640" s="29" t="str">
        <f>IFERROR(__xludf.DUMMYFUNCTION("IF(ISBLANK(B1640),"""",IF(ISDATE(B1640),TEXT(B1640,""m""),""""))"),"")</f>
        <v/>
      </c>
      <c r="N1640" s="29" t="str">
        <f>IFERROR(__xludf.DUMMYFUNCTION("IF(M1640="""","""",QUERY({'Dashboard-Dados'!$Y$2:$AA$13},""Select Col2 Where Col1=""&amp;M1640))"),"")</f>
        <v/>
      </c>
      <c r="O1640" s="29" t="str">
        <f>IFERROR(__xludf.DUMMYFUNCTION("IF(ISBLANK(B1640),"""",IF(ISDATE(B1640),TEXT(B1640,""yyyy""),""""))"),"")</f>
        <v/>
      </c>
    </row>
    <row r="1641">
      <c r="B1641" s="62"/>
      <c r="C1641" s="56"/>
      <c r="D1641" s="56"/>
      <c r="E1641" s="56"/>
      <c r="F1641" s="63"/>
      <c r="G1641" s="64"/>
      <c r="H1641" s="65"/>
      <c r="I1641" s="63"/>
      <c r="K1641" s="53" t="str">
        <f>IFERROR(__xludf.DUMMYFUNCTION("IF(ISBLANK(B1641),"""",IF(ISDATE(B1641),""X"",""""))"),"")</f>
        <v/>
      </c>
      <c r="L1641" s="40" t="str">
        <f>IFERROR(__xludf.DUMMYFUNCTION("IF(ISBLANK(B1641),"""",IF(Or(I1641=""Em Aberto"",ISBLANK(I1641),NOT(ISDATE(B1641))),"""",H1641))"),"")</f>
        <v/>
      </c>
      <c r="M1641" s="29" t="str">
        <f>IFERROR(__xludf.DUMMYFUNCTION("IF(ISBLANK(B1641),"""",IF(ISDATE(B1641),TEXT(B1641,""m""),""""))"),"")</f>
        <v/>
      </c>
      <c r="N1641" s="29" t="str">
        <f>IFERROR(__xludf.DUMMYFUNCTION("IF(M1641="""","""",QUERY({'Dashboard-Dados'!$Y$2:$AA$13},""Select Col2 Where Col1=""&amp;M1641))"),"")</f>
        <v/>
      </c>
      <c r="O1641" s="29" t="str">
        <f>IFERROR(__xludf.DUMMYFUNCTION("IF(ISBLANK(B1641),"""",IF(ISDATE(B1641),TEXT(B1641,""yyyy""),""""))"),"")</f>
        <v/>
      </c>
    </row>
    <row r="1642">
      <c r="B1642" s="62"/>
      <c r="C1642" s="56"/>
      <c r="D1642" s="56"/>
      <c r="E1642" s="56"/>
      <c r="F1642" s="63"/>
      <c r="G1642" s="64"/>
      <c r="H1642" s="65"/>
      <c r="I1642" s="63"/>
      <c r="K1642" s="53" t="str">
        <f>IFERROR(__xludf.DUMMYFUNCTION("IF(ISBLANK(B1642),"""",IF(ISDATE(B1642),""X"",""""))"),"")</f>
        <v/>
      </c>
      <c r="L1642" s="40" t="str">
        <f>IFERROR(__xludf.DUMMYFUNCTION("IF(ISBLANK(B1642),"""",IF(Or(I1642=""Em Aberto"",ISBLANK(I1642),NOT(ISDATE(B1642))),"""",H1642))"),"")</f>
        <v/>
      </c>
      <c r="M1642" s="29" t="str">
        <f>IFERROR(__xludf.DUMMYFUNCTION("IF(ISBLANK(B1642),"""",IF(ISDATE(B1642),TEXT(B1642,""m""),""""))"),"")</f>
        <v/>
      </c>
      <c r="N1642" s="29" t="str">
        <f>IFERROR(__xludf.DUMMYFUNCTION("IF(M1642="""","""",QUERY({'Dashboard-Dados'!$Y$2:$AA$13},""Select Col2 Where Col1=""&amp;M1642))"),"")</f>
        <v/>
      </c>
      <c r="O1642" s="29" t="str">
        <f>IFERROR(__xludf.DUMMYFUNCTION("IF(ISBLANK(B1642),"""",IF(ISDATE(B1642),TEXT(B1642,""yyyy""),""""))"),"")</f>
        <v/>
      </c>
    </row>
    <row r="1643">
      <c r="B1643" s="62"/>
      <c r="C1643" s="56"/>
      <c r="D1643" s="56"/>
      <c r="E1643" s="56"/>
      <c r="F1643" s="63"/>
      <c r="G1643" s="64"/>
      <c r="H1643" s="65"/>
      <c r="I1643" s="63"/>
      <c r="K1643" s="53" t="str">
        <f>IFERROR(__xludf.DUMMYFUNCTION("IF(ISBLANK(B1643),"""",IF(ISDATE(B1643),""X"",""""))"),"")</f>
        <v/>
      </c>
      <c r="L1643" s="40" t="str">
        <f>IFERROR(__xludf.DUMMYFUNCTION("IF(ISBLANK(B1643),"""",IF(Or(I1643=""Em Aberto"",ISBLANK(I1643),NOT(ISDATE(B1643))),"""",H1643))"),"")</f>
        <v/>
      </c>
      <c r="M1643" s="29" t="str">
        <f>IFERROR(__xludf.DUMMYFUNCTION("IF(ISBLANK(B1643),"""",IF(ISDATE(B1643),TEXT(B1643,""m""),""""))"),"")</f>
        <v/>
      </c>
      <c r="N1643" s="29" t="str">
        <f>IFERROR(__xludf.DUMMYFUNCTION("IF(M1643="""","""",QUERY({'Dashboard-Dados'!$Y$2:$AA$13},""Select Col2 Where Col1=""&amp;M1643))"),"")</f>
        <v/>
      </c>
      <c r="O1643" s="29" t="str">
        <f>IFERROR(__xludf.DUMMYFUNCTION("IF(ISBLANK(B1643),"""",IF(ISDATE(B1643),TEXT(B1643,""yyyy""),""""))"),"")</f>
        <v/>
      </c>
    </row>
    <row r="1644">
      <c r="B1644" s="62"/>
      <c r="C1644" s="56"/>
      <c r="D1644" s="56"/>
      <c r="E1644" s="56"/>
      <c r="F1644" s="63"/>
      <c r="G1644" s="64"/>
      <c r="H1644" s="65"/>
      <c r="I1644" s="63"/>
      <c r="K1644" s="53" t="str">
        <f>IFERROR(__xludf.DUMMYFUNCTION("IF(ISBLANK(B1644),"""",IF(ISDATE(B1644),""X"",""""))"),"")</f>
        <v/>
      </c>
      <c r="L1644" s="40" t="str">
        <f>IFERROR(__xludf.DUMMYFUNCTION("IF(ISBLANK(B1644),"""",IF(Or(I1644=""Em Aberto"",ISBLANK(I1644),NOT(ISDATE(B1644))),"""",H1644))"),"")</f>
        <v/>
      </c>
      <c r="M1644" s="29" t="str">
        <f>IFERROR(__xludf.DUMMYFUNCTION("IF(ISBLANK(B1644),"""",IF(ISDATE(B1644),TEXT(B1644,""m""),""""))"),"")</f>
        <v/>
      </c>
      <c r="N1644" s="29" t="str">
        <f>IFERROR(__xludf.DUMMYFUNCTION("IF(M1644="""","""",QUERY({'Dashboard-Dados'!$Y$2:$AA$13},""Select Col2 Where Col1=""&amp;M1644))"),"")</f>
        <v/>
      </c>
      <c r="O1644" s="29" t="str">
        <f>IFERROR(__xludf.DUMMYFUNCTION("IF(ISBLANK(B1644),"""",IF(ISDATE(B1644),TEXT(B1644,""yyyy""),""""))"),"")</f>
        <v/>
      </c>
    </row>
    <row r="1645">
      <c r="B1645" s="62"/>
      <c r="C1645" s="56"/>
      <c r="D1645" s="56"/>
      <c r="E1645" s="56"/>
      <c r="F1645" s="63"/>
      <c r="G1645" s="64"/>
      <c r="H1645" s="65"/>
      <c r="I1645" s="63"/>
      <c r="K1645" s="53" t="str">
        <f>IFERROR(__xludf.DUMMYFUNCTION("IF(ISBLANK(B1645),"""",IF(ISDATE(B1645),""X"",""""))"),"")</f>
        <v/>
      </c>
      <c r="L1645" s="40" t="str">
        <f>IFERROR(__xludf.DUMMYFUNCTION("IF(ISBLANK(B1645),"""",IF(Or(I1645=""Em Aberto"",ISBLANK(I1645),NOT(ISDATE(B1645))),"""",H1645))"),"")</f>
        <v/>
      </c>
      <c r="M1645" s="29" t="str">
        <f>IFERROR(__xludf.DUMMYFUNCTION("IF(ISBLANK(B1645),"""",IF(ISDATE(B1645),TEXT(B1645,""m""),""""))"),"")</f>
        <v/>
      </c>
      <c r="N1645" s="29" t="str">
        <f>IFERROR(__xludf.DUMMYFUNCTION("IF(M1645="""","""",QUERY({'Dashboard-Dados'!$Y$2:$AA$13},""Select Col2 Where Col1=""&amp;M1645))"),"")</f>
        <v/>
      </c>
      <c r="O1645" s="29" t="str">
        <f>IFERROR(__xludf.DUMMYFUNCTION("IF(ISBLANK(B1645),"""",IF(ISDATE(B1645),TEXT(B1645,""yyyy""),""""))"),"")</f>
        <v/>
      </c>
    </row>
    <row r="1646">
      <c r="B1646" s="62"/>
      <c r="C1646" s="56"/>
      <c r="D1646" s="56"/>
      <c r="E1646" s="56"/>
      <c r="F1646" s="63"/>
      <c r="G1646" s="64"/>
      <c r="H1646" s="65"/>
      <c r="I1646" s="63"/>
      <c r="K1646" s="53" t="str">
        <f>IFERROR(__xludf.DUMMYFUNCTION("IF(ISBLANK(B1646),"""",IF(ISDATE(B1646),""X"",""""))"),"")</f>
        <v/>
      </c>
      <c r="L1646" s="40" t="str">
        <f>IFERROR(__xludf.DUMMYFUNCTION("IF(ISBLANK(B1646),"""",IF(Or(I1646=""Em Aberto"",ISBLANK(I1646),NOT(ISDATE(B1646))),"""",H1646))"),"")</f>
        <v/>
      </c>
      <c r="M1646" s="29" t="str">
        <f>IFERROR(__xludf.DUMMYFUNCTION("IF(ISBLANK(B1646),"""",IF(ISDATE(B1646),TEXT(B1646,""m""),""""))"),"")</f>
        <v/>
      </c>
      <c r="N1646" s="29" t="str">
        <f>IFERROR(__xludf.DUMMYFUNCTION("IF(M1646="""","""",QUERY({'Dashboard-Dados'!$Y$2:$AA$13},""Select Col2 Where Col1=""&amp;M1646))"),"")</f>
        <v/>
      </c>
      <c r="O1646" s="29" t="str">
        <f>IFERROR(__xludf.DUMMYFUNCTION("IF(ISBLANK(B1646),"""",IF(ISDATE(B1646),TEXT(B1646,""yyyy""),""""))"),"")</f>
        <v/>
      </c>
    </row>
    <row r="1647">
      <c r="B1647" s="62"/>
      <c r="C1647" s="56"/>
      <c r="D1647" s="56"/>
      <c r="E1647" s="56"/>
      <c r="F1647" s="63"/>
      <c r="G1647" s="64"/>
      <c r="H1647" s="65"/>
      <c r="I1647" s="63"/>
      <c r="K1647" s="53" t="str">
        <f>IFERROR(__xludf.DUMMYFUNCTION("IF(ISBLANK(B1647),"""",IF(ISDATE(B1647),""X"",""""))"),"")</f>
        <v/>
      </c>
      <c r="L1647" s="40" t="str">
        <f>IFERROR(__xludf.DUMMYFUNCTION("IF(ISBLANK(B1647),"""",IF(Or(I1647=""Em Aberto"",ISBLANK(I1647),NOT(ISDATE(B1647))),"""",H1647))"),"")</f>
        <v/>
      </c>
      <c r="M1647" s="29" t="str">
        <f>IFERROR(__xludf.DUMMYFUNCTION("IF(ISBLANK(B1647),"""",IF(ISDATE(B1647),TEXT(B1647,""m""),""""))"),"")</f>
        <v/>
      </c>
      <c r="N1647" s="29" t="str">
        <f>IFERROR(__xludf.DUMMYFUNCTION("IF(M1647="""","""",QUERY({'Dashboard-Dados'!$Y$2:$AA$13},""Select Col2 Where Col1=""&amp;M1647))"),"")</f>
        <v/>
      </c>
      <c r="O1647" s="29" t="str">
        <f>IFERROR(__xludf.DUMMYFUNCTION("IF(ISBLANK(B1647),"""",IF(ISDATE(B1647),TEXT(B1647,""yyyy""),""""))"),"")</f>
        <v/>
      </c>
    </row>
    <row r="1648">
      <c r="B1648" s="62"/>
      <c r="C1648" s="56"/>
      <c r="D1648" s="56"/>
      <c r="E1648" s="56"/>
      <c r="F1648" s="63"/>
      <c r="G1648" s="64"/>
      <c r="H1648" s="65"/>
      <c r="I1648" s="63"/>
      <c r="K1648" s="53" t="str">
        <f>IFERROR(__xludf.DUMMYFUNCTION("IF(ISBLANK(B1648),"""",IF(ISDATE(B1648),""X"",""""))"),"")</f>
        <v/>
      </c>
      <c r="L1648" s="40" t="str">
        <f>IFERROR(__xludf.DUMMYFUNCTION("IF(ISBLANK(B1648),"""",IF(Or(I1648=""Em Aberto"",ISBLANK(I1648),NOT(ISDATE(B1648))),"""",H1648))"),"")</f>
        <v/>
      </c>
      <c r="M1648" s="29" t="str">
        <f>IFERROR(__xludf.DUMMYFUNCTION("IF(ISBLANK(B1648),"""",IF(ISDATE(B1648),TEXT(B1648,""m""),""""))"),"")</f>
        <v/>
      </c>
      <c r="N1648" s="29" t="str">
        <f>IFERROR(__xludf.DUMMYFUNCTION("IF(M1648="""","""",QUERY({'Dashboard-Dados'!$Y$2:$AA$13},""Select Col2 Where Col1=""&amp;M1648))"),"")</f>
        <v/>
      </c>
      <c r="O1648" s="29" t="str">
        <f>IFERROR(__xludf.DUMMYFUNCTION("IF(ISBLANK(B1648),"""",IF(ISDATE(B1648),TEXT(B1648,""yyyy""),""""))"),"")</f>
        <v/>
      </c>
    </row>
    <row r="1649">
      <c r="B1649" s="62"/>
      <c r="C1649" s="56"/>
      <c r="D1649" s="56"/>
      <c r="E1649" s="56"/>
      <c r="F1649" s="63"/>
      <c r="G1649" s="64"/>
      <c r="H1649" s="65"/>
      <c r="I1649" s="63"/>
      <c r="K1649" s="53" t="str">
        <f>IFERROR(__xludf.DUMMYFUNCTION("IF(ISBLANK(B1649),"""",IF(ISDATE(B1649),""X"",""""))"),"")</f>
        <v/>
      </c>
      <c r="L1649" s="40" t="str">
        <f>IFERROR(__xludf.DUMMYFUNCTION("IF(ISBLANK(B1649),"""",IF(Or(I1649=""Em Aberto"",ISBLANK(I1649),NOT(ISDATE(B1649))),"""",H1649))"),"")</f>
        <v/>
      </c>
      <c r="M1649" s="29" t="str">
        <f>IFERROR(__xludf.DUMMYFUNCTION("IF(ISBLANK(B1649),"""",IF(ISDATE(B1649),TEXT(B1649,""m""),""""))"),"")</f>
        <v/>
      </c>
      <c r="N1649" s="29" t="str">
        <f>IFERROR(__xludf.DUMMYFUNCTION("IF(M1649="""","""",QUERY({'Dashboard-Dados'!$Y$2:$AA$13},""Select Col2 Where Col1=""&amp;M1649))"),"")</f>
        <v/>
      </c>
      <c r="O1649" s="29" t="str">
        <f>IFERROR(__xludf.DUMMYFUNCTION("IF(ISBLANK(B1649),"""",IF(ISDATE(B1649),TEXT(B1649,""yyyy""),""""))"),"")</f>
        <v/>
      </c>
    </row>
    <row r="1650">
      <c r="B1650" s="62"/>
      <c r="C1650" s="56"/>
      <c r="D1650" s="56"/>
      <c r="E1650" s="56"/>
      <c r="F1650" s="63"/>
      <c r="G1650" s="64"/>
      <c r="H1650" s="65"/>
      <c r="I1650" s="63"/>
      <c r="K1650" s="53" t="str">
        <f>IFERROR(__xludf.DUMMYFUNCTION("IF(ISBLANK(B1650),"""",IF(ISDATE(B1650),""X"",""""))"),"")</f>
        <v/>
      </c>
      <c r="L1650" s="40" t="str">
        <f>IFERROR(__xludf.DUMMYFUNCTION("IF(ISBLANK(B1650),"""",IF(Or(I1650=""Em Aberto"",ISBLANK(I1650),NOT(ISDATE(B1650))),"""",H1650))"),"")</f>
        <v/>
      </c>
      <c r="M1650" s="29" t="str">
        <f>IFERROR(__xludf.DUMMYFUNCTION("IF(ISBLANK(B1650),"""",IF(ISDATE(B1650),TEXT(B1650,""m""),""""))"),"")</f>
        <v/>
      </c>
      <c r="N1650" s="29" t="str">
        <f>IFERROR(__xludf.DUMMYFUNCTION("IF(M1650="""","""",QUERY({'Dashboard-Dados'!$Y$2:$AA$13},""Select Col2 Where Col1=""&amp;M1650))"),"")</f>
        <v/>
      </c>
      <c r="O1650" s="29" t="str">
        <f>IFERROR(__xludf.DUMMYFUNCTION("IF(ISBLANK(B1650),"""",IF(ISDATE(B1650),TEXT(B1650,""yyyy""),""""))"),"")</f>
        <v/>
      </c>
    </row>
    <row r="1651">
      <c r="B1651" s="62"/>
      <c r="C1651" s="56"/>
      <c r="D1651" s="56"/>
      <c r="E1651" s="56"/>
      <c r="F1651" s="63"/>
      <c r="G1651" s="64"/>
      <c r="H1651" s="65"/>
      <c r="I1651" s="63"/>
      <c r="K1651" s="53" t="str">
        <f>IFERROR(__xludf.DUMMYFUNCTION("IF(ISBLANK(B1651),"""",IF(ISDATE(B1651),""X"",""""))"),"")</f>
        <v/>
      </c>
      <c r="L1651" s="40" t="str">
        <f>IFERROR(__xludf.DUMMYFUNCTION("IF(ISBLANK(B1651),"""",IF(Or(I1651=""Em Aberto"",ISBLANK(I1651),NOT(ISDATE(B1651))),"""",H1651))"),"")</f>
        <v/>
      </c>
      <c r="M1651" s="29" t="str">
        <f>IFERROR(__xludf.DUMMYFUNCTION("IF(ISBLANK(B1651),"""",IF(ISDATE(B1651),TEXT(B1651,""m""),""""))"),"")</f>
        <v/>
      </c>
      <c r="N1651" s="29" t="str">
        <f>IFERROR(__xludf.DUMMYFUNCTION("IF(M1651="""","""",QUERY({'Dashboard-Dados'!$Y$2:$AA$13},""Select Col2 Where Col1=""&amp;M1651))"),"")</f>
        <v/>
      </c>
      <c r="O1651" s="29" t="str">
        <f>IFERROR(__xludf.DUMMYFUNCTION("IF(ISBLANK(B1651),"""",IF(ISDATE(B1651),TEXT(B1651,""yyyy""),""""))"),"")</f>
        <v/>
      </c>
    </row>
    <row r="1652">
      <c r="B1652" s="62"/>
      <c r="C1652" s="56"/>
      <c r="D1652" s="56"/>
      <c r="E1652" s="56"/>
      <c r="F1652" s="63"/>
      <c r="G1652" s="64"/>
      <c r="H1652" s="65"/>
      <c r="I1652" s="63"/>
      <c r="K1652" s="53" t="str">
        <f>IFERROR(__xludf.DUMMYFUNCTION("IF(ISBLANK(B1652),"""",IF(ISDATE(B1652),""X"",""""))"),"")</f>
        <v/>
      </c>
      <c r="L1652" s="40" t="str">
        <f>IFERROR(__xludf.DUMMYFUNCTION("IF(ISBLANK(B1652),"""",IF(Or(I1652=""Em Aberto"",ISBLANK(I1652),NOT(ISDATE(B1652))),"""",H1652))"),"")</f>
        <v/>
      </c>
      <c r="M1652" s="29" t="str">
        <f>IFERROR(__xludf.DUMMYFUNCTION("IF(ISBLANK(B1652),"""",IF(ISDATE(B1652),TEXT(B1652,""m""),""""))"),"")</f>
        <v/>
      </c>
      <c r="N1652" s="29" t="str">
        <f>IFERROR(__xludf.DUMMYFUNCTION("IF(M1652="""","""",QUERY({'Dashboard-Dados'!$Y$2:$AA$13},""Select Col2 Where Col1=""&amp;M1652))"),"")</f>
        <v/>
      </c>
      <c r="O1652" s="29" t="str">
        <f>IFERROR(__xludf.DUMMYFUNCTION("IF(ISBLANK(B1652),"""",IF(ISDATE(B1652),TEXT(B1652,""yyyy""),""""))"),"")</f>
        <v/>
      </c>
    </row>
    <row r="1653">
      <c r="B1653" s="62"/>
      <c r="C1653" s="56"/>
      <c r="D1653" s="56"/>
      <c r="E1653" s="56"/>
      <c r="F1653" s="63"/>
      <c r="G1653" s="64"/>
      <c r="H1653" s="65"/>
      <c r="I1653" s="63"/>
      <c r="K1653" s="53" t="str">
        <f>IFERROR(__xludf.DUMMYFUNCTION("IF(ISBLANK(B1653),"""",IF(ISDATE(B1653),""X"",""""))"),"")</f>
        <v/>
      </c>
      <c r="L1653" s="40" t="str">
        <f>IFERROR(__xludf.DUMMYFUNCTION("IF(ISBLANK(B1653),"""",IF(Or(I1653=""Em Aberto"",ISBLANK(I1653),NOT(ISDATE(B1653))),"""",H1653))"),"")</f>
        <v/>
      </c>
      <c r="M1653" s="29" t="str">
        <f>IFERROR(__xludf.DUMMYFUNCTION("IF(ISBLANK(B1653),"""",IF(ISDATE(B1653),TEXT(B1653,""m""),""""))"),"")</f>
        <v/>
      </c>
      <c r="N1653" s="29" t="str">
        <f>IFERROR(__xludf.DUMMYFUNCTION("IF(M1653="""","""",QUERY({'Dashboard-Dados'!$Y$2:$AA$13},""Select Col2 Where Col1=""&amp;M1653))"),"")</f>
        <v/>
      </c>
      <c r="O1653" s="29" t="str">
        <f>IFERROR(__xludf.DUMMYFUNCTION("IF(ISBLANK(B1653),"""",IF(ISDATE(B1653),TEXT(B1653,""yyyy""),""""))"),"")</f>
        <v/>
      </c>
    </row>
    <row r="1654">
      <c r="B1654" s="62"/>
      <c r="C1654" s="56"/>
      <c r="D1654" s="56"/>
      <c r="E1654" s="56"/>
      <c r="F1654" s="63"/>
      <c r="G1654" s="64"/>
      <c r="H1654" s="65"/>
      <c r="I1654" s="63"/>
      <c r="K1654" s="53" t="str">
        <f>IFERROR(__xludf.DUMMYFUNCTION("IF(ISBLANK(B1654),"""",IF(ISDATE(B1654),""X"",""""))"),"")</f>
        <v/>
      </c>
      <c r="L1654" s="40" t="str">
        <f>IFERROR(__xludf.DUMMYFUNCTION("IF(ISBLANK(B1654),"""",IF(Or(I1654=""Em Aberto"",ISBLANK(I1654),NOT(ISDATE(B1654))),"""",H1654))"),"")</f>
        <v/>
      </c>
      <c r="M1654" s="29" t="str">
        <f>IFERROR(__xludf.DUMMYFUNCTION("IF(ISBLANK(B1654),"""",IF(ISDATE(B1654),TEXT(B1654,""m""),""""))"),"")</f>
        <v/>
      </c>
      <c r="N1654" s="29" t="str">
        <f>IFERROR(__xludf.DUMMYFUNCTION("IF(M1654="""","""",QUERY({'Dashboard-Dados'!$Y$2:$AA$13},""Select Col2 Where Col1=""&amp;M1654))"),"")</f>
        <v/>
      </c>
      <c r="O1654" s="29" t="str">
        <f>IFERROR(__xludf.DUMMYFUNCTION("IF(ISBLANK(B1654),"""",IF(ISDATE(B1654),TEXT(B1654,""yyyy""),""""))"),"")</f>
        <v/>
      </c>
    </row>
    <row r="1655">
      <c r="B1655" s="62"/>
      <c r="C1655" s="56"/>
      <c r="D1655" s="56"/>
      <c r="E1655" s="56"/>
      <c r="F1655" s="63"/>
      <c r="G1655" s="64"/>
      <c r="H1655" s="65"/>
      <c r="I1655" s="63"/>
      <c r="K1655" s="53" t="str">
        <f>IFERROR(__xludf.DUMMYFUNCTION("IF(ISBLANK(B1655),"""",IF(ISDATE(B1655),""X"",""""))"),"")</f>
        <v/>
      </c>
      <c r="L1655" s="40" t="str">
        <f>IFERROR(__xludf.DUMMYFUNCTION("IF(ISBLANK(B1655),"""",IF(Or(I1655=""Em Aberto"",ISBLANK(I1655),NOT(ISDATE(B1655))),"""",H1655))"),"")</f>
        <v/>
      </c>
      <c r="M1655" s="29" t="str">
        <f>IFERROR(__xludf.DUMMYFUNCTION("IF(ISBLANK(B1655),"""",IF(ISDATE(B1655),TEXT(B1655,""m""),""""))"),"")</f>
        <v/>
      </c>
      <c r="N1655" s="29" t="str">
        <f>IFERROR(__xludf.DUMMYFUNCTION("IF(M1655="""","""",QUERY({'Dashboard-Dados'!$Y$2:$AA$13},""Select Col2 Where Col1=""&amp;M1655))"),"")</f>
        <v/>
      </c>
      <c r="O1655" s="29" t="str">
        <f>IFERROR(__xludf.DUMMYFUNCTION("IF(ISBLANK(B1655),"""",IF(ISDATE(B1655),TEXT(B1655,""yyyy""),""""))"),"")</f>
        <v/>
      </c>
    </row>
    <row r="1656">
      <c r="B1656" s="62"/>
      <c r="C1656" s="56"/>
      <c r="D1656" s="56"/>
      <c r="E1656" s="56"/>
      <c r="F1656" s="63"/>
      <c r="G1656" s="64"/>
      <c r="H1656" s="65"/>
      <c r="I1656" s="63"/>
      <c r="K1656" s="53" t="str">
        <f>IFERROR(__xludf.DUMMYFUNCTION("IF(ISBLANK(B1656),"""",IF(ISDATE(B1656),""X"",""""))"),"")</f>
        <v/>
      </c>
      <c r="L1656" s="40" t="str">
        <f>IFERROR(__xludf.DUMMYFUNCTION("IF(ISBLANK(B1656),"""",IF(Or(I1656=""Em Aberto"",ISBLANK(I1656),NOT(ISDATE(B1656))),"""",H1656))"),"")</f>
        <v/>
      </c>
      <c r="M1656" s="29" t="str">
        <f>IFERROR(__xludf.DUMMYFUNCTION("IF(ISBLANK(B1656),"""",IF(ISDATE(B1656),TEXT(B1656,""m""),""""))"),"")</f>
        <v/>
      </c>
      <c r="N1656" s="29" t="str">
        <f>IFERROR(__xludf.DUMMYFUNCTION("IF(M1656="""","""",QUERY({'Dashboard-Dados'!$Y$2:$AA$13},""Select Col2 Where Col1=""&amp;M1656))"),"")</f>
        <v/>
      </c>
      <c r="O1656" s="29" t="str">
        <f>IFERROR(__xludf.DUMMYFUNCTION("IF(ISBLANK(B1656),"""",IF(ISDATE(B1656),TEXT(B1656,""yyyy""),""""))"),"")</f>
        <v/>
      </c>
    </row>
    <row r="1657">
      <c r="B1657" s="62"/>
      <c r="C1657" s="56"/>
      <c r="D1657" s="56"/>
      <c r="E1657" s="56"/>
      <c r="F1657" s="63"/>
      <c r="G1657" s="64"/>
      <c r="H1657" s="65"/>
      <c r="I1657" s="63"/>
      <c r="K1657" s="53" t="str">
        <f>IFERROR(__xludf.DUMMYFUNCTION("IF(ISBLANK(B1657),"""",IF(ISDATE(B1657),""X"",""""))"),"")</f>
        <v/>
      </c>
      <c r="L1657" s="40" t="str">
        <f>IFERROR(__xludf.DUMMYFUNCTION("IF(ISBLANK(B1657),"""",IF(Or(I1657=""Em Aberto"",ISBLANK(I1657),NOT(ISDATE(B1657))),"""",H1657))"),"")</f>
        <v/>
      </c>
      <c r="M1657" s="29" t="str">
        <f>IFERROR(__xludf.DUMMYFUNCTION("IF(ISBLANK(B1657),"""",IF(ISDATE(B1657),TEXT(B1657,""m""),""""))"),"")</f>
        <v/>
      </c>
      <c r="N1657" s="29" t="str">
        <f>IFERROR(__xludf.DUMMYFUNCTION("IF(M1657="""","""",QUERY({'Dashboard-Dados'!$Y$2:$AA$13},""Select Col2 Where Col1=""&amp;M1657))"),"")</f>
        <v/>
      </c>
      <c r="O1657" s="29" t="str">
        <f>IFERROR(__xludf.DUMMYFUNCTION("IF(ISBLANK(B1657),"""",IF(ISDATE(B1657),TEXT(B1657,""yyyy""),""""))"),"")</f>
        <v/>
      </c>
    </row>
    <row r="1658">
      <c r="B1658" s="62"/>
      <c r="C1658" s="56"/>
      <c r="D1658" s="56"/>
      <c r="E1658" s="56"/>
      <c r="F1658" s="63"/>
      <c r="G1658" s="64"/>
      <c r="H1658" s="65"/>
      <c r="I1658" s="63"/>
      <c r="K1658" s="53" t="str">
        <f>IFERROR(__xludf.DUMMYFUNCTION("IF(ISBLANK(B1658),"""",IF(ISDATE(B1658),""X"",""""))"),"")</f>
        <v/>
      </c>
      <c r="L1658" s="40" t="str">
        <f>IFERROR(__xludf.DUMMYFUNCTION("IF(ISBLANK(B1658),"""",IF(Or(I1658=""Em Aberto"",ISBLANK(I1658),NOT(ISDATE(B1658))),"""",H1658))"),"")</f>
        <v/>
      </c>
      <c r="M1658" s="29" t="str">
        <f>IFERROR(__xludf.DUMMYFUNCTION("IF(ISBLANK(B1658),"""",IF(ISDATE(B1658),TEXT(B1658,""m""),""""))"),"")</f>
        <v/>
      </c>
      <c r="N1658" s="29" t="str">
        <f>IFERROR(__xludf.DUMMYFUNCTION("IF(M1658="""","""",QUERY({'Dashboard-Dados'!$Y$2:$AA$13},""Select Col2 Where Col1=""&amp;M1658))"),"")</f>
        <v/>
      </c>
      <c r="O1658" s="29" t="str">
        <f>IFERROR(__xludf.DUMMYFUNCTION("IF(ISBLANK(B1658),"""",IF(ISDATE(B1658),TEXT(B1658,""yyyy""),""""))"),"")</f>
        <v/>
      </c>
    </row>
    <row r="1659">
      <c r="B1659" s="62"/>
      <c r="C1659" s="56"/>
      <c r="D1659" s="56"/>
      <c r="E1659" s="56"/>
      <c r="F1659" s="63"/>
      <c r="G1659" s="64"/>
      <c r="H1659" s="65"/>
      <c r="I1659" s="63"/>
      <c r="K1659" s="53" t="str">
        <f>IFERROR(__xludf.DUMMYFUNCTION("IF(ISBLANK(B1659),"""",IF(ISDATE(B1659),""X"",""""))"),"")</f>
        <v/>
      </c>
      <c r="L1659" s="40" t="str">
        <f>IFERROR(__xludf.DUMMYFUNCTION("IF(ISBLANK(B1659),"""",IF(Or(I1659=""Em Aberto"",ISBLANK(I1659),NOT(ISDATE(B1659))),"""",H1659))"),"")</f>
        <v/>
      </c>
      <c r="M1659" s="29" t="str">
        <f>IFERROR(__xludf.DUMMYFUNCTION("IF(ISBLANK(B1659),"""",IF(ISDATE(B1659),TEXT(B1659,""m""),""""))"),"")</f>
        <v/>
      </c>
      <c r="N1659" s="29" t="str">
        <f>IFERROR(__xludf.DUMMYFUNCTION("IF(M1659="""","""",QUERY({'Dashboard-Dados'!$Y$2:$AA$13},""Select Col2 Where Col1=""&amp;M1659))"),"")</f>
        <v/>
      </c>
      <c r="O1659" s="29" t="str">
        <f>IFERROR(__xludf.DUMMYFUNCTION("IF(ISBLANK(B1659),"""",IF(ISDATE(B1659),TEXT(B1659,""yyyy""),""""))"),"")</f>
        <v/>
      </c>
    </row>
    <row r="1660">
      <c r="B1660" s="62"/>
      <c r="C1660" s="56"/>
      <c r="D1660" s="56"/>
      <c r="E1660" s="56"/>
      <c r="F1660" s="63"/>
      <c r="G1660" s="64"/>
      <c r="H1660" s="65"/>
      <c r="I1660" s="63"/>
      <c r="K1660" s="53" t="str">
        <f>IFERROR(__xludf.DUMMYFUNCTION("IF(ISBLANK(B1660),"""",IF(ISDATE(B1660),""X"",""""))"),"")</f>
        <v/>
      </c>
      <c r="L1660" s="40" t="str">
        <f>IFERROR(__xludf.DUMMYFUNCTION("IF(ISBLANK(B1660),"""",IF(Or(I1660=""Em Aberto"",ISBLANK(I1660),NOT(ISDATE(B1660))),"""",H1660))"),"")</f>
        <v/>
      </c>
      <c r="M1660" s="29" t="str">
        <f>IFERROR(__xludf.DUMMYFUNCTION("IF(ISBLANK(B1660),"""",IF(ISDATE(B1660),TEXT(B1660,""m""),""""))"),"")</f>
        <v/>
      </c>
      <c r="N1660" s="29" t="str">
        <f>IFERROR(__xludf.DUMMYFUNCTION("IF(M1660="""","""",QUERY({'Dashboard-Dados'!$Y$2:$AA$13},""Select Col2 Where Col1=""&amp;M1660))"),"")</f>
        <v/>
      </c>
      <c r="O1660" s="29" t="str">
        <f>IFERROR(__xludf.DUMMYFUNCTION("IF(ISBLANK(B1660),"""",IF(ISDATE(B1660),TEXT(B1660,""yyyy""),""""))"),"")</f>
        <v/>
      </c>
    </row>
    <row r="1661">
      <c r="B1661" s="62"/>
      <c r="C1661" s="56"/>
      <c r="D1661" s="56"/>
      <c r="E1661" s="56"/>
      <c r="F1661" s="63"/>
      <c r="G1661" s="64"/>
      <c r="H1661" s="65"/>
      <c r="I1661" s="63"/>
      <c r="K1661" s="53" t="str">
        <f>IFERROR(__xludf.DUMMYFUNCTION("IF(ISBLANK(B1661),"""",IF(ISDATE(B1661),""X"",""""))"),"")</f>
        <v/>
      </c>
      <c r="L1661" s="40" t="str">
        <f>IFERROR(__xludf.DUMMYFUNCTION("IF(ISBLANK(B1661),"""",IF(Or(I1661=""Em Aberto"",ISBLANK(I1661),NOT(ISDATE(B1661))),"""",H1661))"),"")</f>
        <v/>
      </c>
      <c r="M1661" s="29" t="str">
        <f>IFERROR(__xludf.DUMMYFUNCTION("IF(ISBLANK(B1661),"""",IF(ISDATE(B1661),TEXT(B1661,""m""),""""))"),"")</f>
        <v/>
      </c>
      <c r="N1661" s="29" t="str">
        <f>IFERROR(__xludf.DUMMYFUNCTION("IF(M1661="""","""",QUERY({'Dashboard-Dados'!$Y$2:$AA$13},""Select Col2 Where Col1=""&amp;M1661))"),"")</f>
        <v/>
      </c>
      <c r="O1661" s="29" t="str">
        <f>IFERROR(__xludf.DUMMYFUNCTION("IF(ISBLANK(B1661),"""",IF(ISDATE(B1661),TEXT(B1661,""yyyy""),""""))"),"")</f>
        <v/>
      </c>
    </row>
    <row r="1662">
      <c r="B1662" s="62"/>
      <c r="C1662" s="56"/>
      <c r="D1662" s="56"/>
      <c r="E1662" s="56"/>
      <c r="F1662" s="63"/>
      <c r="G1662" s="64"/>
      <c r="H1662" s="65"/>
      <c r="I1662" s="63"/>
      <c r="K1662" s="53" t="str">
        <f>IFERROR(__xludf.DUMMYFUNCTION("IF(ISBLANK(B1662),"""",IF(ISDATE(B1662),""X"",""""))"),"")</f>
        <v/>
      </c>
      <c r="L1662" s="40" t="str">
        <f>IFERROR(__xludf.DUMMYFUNCTION("IF(ISBLANK(B1662),"""",IF(Or(I1662=""Em Aberto"",ISBLANK(I1662),NOT(ISDATE(B1662))),"""",H1662))"),"")</f>
        <v/>
      </c>
      <c r="M1662" s="29" t="str">
        <f>IFERROR(__xludf.DUMMYFUNCTION("IF(ISBLANK(B1662),"""",IF(ISDATE(B1662),TEXT(B1662,""m""),""""))"),"")</f>
        <v/>
      </c>
      <c r="N1662" s="29" t="str">
        <f>IFERROR(__xludf.DUMMYFUNCTION("IF(M1662="""","""",QUERY({'Dashboard-Dados'!$Y$2:$AA$13},""Select Col2 Where Col1=""&amp;M1662))"),"")</f>
        <v/>
      </c>
      <c r="O1662" s="29" t="str">
        <f>IFERROR(__xludf.DUMMYFUNCTION("IF(ISBLANK(B1662),"""",IF(ISDATE(B1662),TEXT(B1662,""yyyy""),""""))"),"")</f>
        <v/>
      </c>
    </row>
    <row r="1663">
      <c r="B1663" s="62"/>
      <c r="C1663" s="56"/>
      <c r="D1663" s="56"/>
      <c r="E1663" s="56"/>
      <c r="F1663" s="63"/>
      <c r="G1663" s="64"/>
      <c r="H1663" s="65"/>
      <c r="I1663" s="63"/>
      <c r="K1663" s="53" t="str">
        <f>IFERROR(__xludf.DUMMYFUNCTION("IF(ISBLANK(B1663),"""",IF(ISDATE(B1663),""X"",""""))"),"")</f>
        <v/>
      </c>
      <c r="L1663" s="40" t="str">
        <f>IFERROR(__xludf.DUMMYFUNCTION("IF(ISBLANK(B1663),"""",IF(Or(I1663=""Em Aberto"",ISBLANK(I1663),NOT(ISDATE(B1663))),"""",H1663))"),"")</f>
        <v/>
      </c>
      <c r="M1663" s="29" t="str">
        <f>IFERROR(__xludf.DUMMYFUNCTION("IF(ISBLANK(B1663),"""",IF(ISDATE(B1663),TEXT(B1663,""m""),""""))"),"")</f>
        <v/>
      </c>
      <c r="N1663" s="29" t="str">
        <f>IFERROR(__xludf.DUMMYFUNCTION("IF(M1663="""","""",QUERY({'Dashboard-Dados'!$Y$2:$AA$13},""Select Col2 Where Col1=""&amp;M1663))"),"")</f>
        <v/>
      </c>
      <c r="O1663" s="29" t="str">
        <f>IFERROR(__xludf.DUMMYFUNCTION("IF(ISBLANK(B1663),"""",IF(ISDATE(B1663),TEXT(B1663,""yyyy""),""""))"),"")</f>
        <v/>
      </c>
    </row>
    <row r="1664">
      <c r="B1664" s="62"/>
      <c r="C1664" s="56"/>
      <c r="D1664" s="56"/>
      <c r="E1664" s="56"/>
      <c r="F1664" s="63"/>
      <c r="G1664" s="64"/>
      <c r="H1664" s="65"/>
      <c r="I1664" s="63"/>
      <c r="K1664" s="53" t="str">
        <f>IFERROR(__xludf.DUMMYFUNCTION("IF(ISBLANK(B1664),"""",IF(ISDATE(B1664),""X"",""""))"),"")</f>
        <v/>
      </c>
      <c r="L1664" s="40" t="str">
        <f>IFERROR(__xludf.DUMMYFUNCTION("IF(ISBLANK(B1664),"""",IF(Or(I1664=""Em Aberto"",ISBLANK(I1664),NOT(ISDATE(B1664))),"""",H1664))"),"")</f>
        <v/>
      </c>
      <c r="M1664" s="29" t="str">
        <f>IFERROR(__xludf.DUMMYFUNCTION("IF(ISBLANK(B1664),"""",IF(ISDATE(B1664),TEXT(B1664,""m""),""""))"),"")</f>
        <v/>
      </c>
      <c r="N1664" s="29" t="str">
        <f>IFERROR(__xludf.DUMMYFUNCTION("IF(M1664="""","""",QUERY({'Dashboard-Dados'!$Y$2:$AA$13},""Select Col2 Where Col1=""&amp;M1664))"),"")</f>
        <v/>
      </c>
      <c r="O1664" s="29" t="str">
        <f>IFERROR(__xludf.DUMMYFUNCTION("IF(ISBLANK(B1664),"""",IF(ISDATE(B1664),TEXT(B1664,""yyyy""),""""))"),"")</f>
        <v/>
      </c>
    </row>
    <row r="1665">
      <c r="B1665" s="62"/>
      <c r="C1665" s="56"/>
      <c r="D1665" s="56"/>
      <c r="E1665" s="56"/>
      <c r="F1665" s="63"/>
      <c r="G1665" s="64"/>
      <c r="H1665" s="65"/>
      <c r="I1665" s="63"/>
      <c r="K1665" s="53" t="str">
        <f>IFERROR(__xludf.DUMMYFUNCTION("IF(ISBLANK(B1665),"""",IF(ISDATE(B1665),""X"",""""))"),"")</f>
        <v/>
      </c>
      <c r="L1665" s="40" t="str">
        <f>IFERROR(__xludf.DUMMYFUNCTION("IF(ISBLANK(B1665),"""",IF(Or(I1665=""Em Aberto"",ISBLANK(I1665),NOT(ISDATE(B1665))),"""",H1665))"),"")</f>
        <v/>
      </c>
      <c r="M1665" s="29" t="str">
        <f>IFERROR(__xludf.DUMMYFUNCTION("IF(ISBLANK(B1665),"""",IF(ISDATE(B1665),TEXT(B1665,""m""),""""))"),"")</f>
        <v/>
      </c>
      <c r="N1665" s="29" t="str">
        <f>IFERROR(__xludf.DUMMYFUNCTION("IF(M1665="""","""",QUERY({'Dashboard-Dados'!$Y$2:$AA$13},""Select Col2 Where Col1=""&amp;M1665))"),"")</f>
        <v/>
      </c>
      <c r="O1665" s="29" t="str">
        <f>IFERROR(__xludf.DUMMYFUNCTION("IF(ISBLANK(B1665),"""",IF(ISDATE(B1665),TEXT(B1665,""yyyy""),""""))"),"")</f>
        <v/>
      </c>
    </row>
    <row r="1666">
      <c r="B1666" s="62"/>
      <c r="C1666" s="56"/>
      <c r="D1666" s="56"/>
      <c r="E1666" s="56"/>
      <c r="F1666" s="63"/>
      <c r="G1666" s="64"/>
      <c r="H1666" s="65"/>
      <c r="I1666" s="63"/>
      <c r="K1666" s="53" t="str">
        <f>IFERROR(__xludf.DUMMYFUNCTION("IF(ISBLANK(B1666),"""",IF(ISDATE(B1666),""X"",""""))"),"")</f>
        <v/>
      </c>
      <c r="L1666" s="40" t="str">
        <f>IFERROR(__xludf.DUMMYFUNCTION("IF(ISBLANK(B1666),"""",IF(Or(I1666=""Em Aberto"",ISBLANK(I1666),NOT(ISDATE(B1666))),"""",H1666))"),"")</f>
        <v/>
      </c>
      <c r="M1666" s="29" t="str">
        <f>IFERROR(__xludf.DUMMYFUNCTION("IF(ISBLANK(B1666),"""",IF(ISDATE(B1666),TEXT(B1666,""m""),""""))"),"")</f>
        <v/>
      </c>
      <c r="N1666" s="29" t="str">
        <f>IFERROR(__xludf.DUMMYFUNCTION("IF(M1666="""","""",QUERY({'Dashboard-Dados'!$Y$2:$AA$13},""Select Col2 Where Col1=""&amp;M1666))"),"")</f>
        <v/>
      </c>
      <c r="O1666" s="29" t="str">
        <f>IFERROR(__xludf.DUMMYFUNCTION("IF(ISBLANK(B1666),"""",IF(ISDATE(B1666),TEXT(B1666,""yyyy""),""""))"),"")</f>
        <v/>
      </c>
    </row>
    <row r="1667">
      <c r="B1667" s="62"/>
      <c r="C1667" s="56"/>
      <c r="D1667" s="56"/>
      <c r="E1667" s="56"/>
      <c r="F1667" s="63"/>
      <c r="G1667" s="64"/>
      <c r="H1667" s="65"/>
      <c r="I1667" s="63"/>
      <c r="K1667" s="53" t="str">
        <f>IFERROR(__xludf.DUMMYFUNCTION("IF(ISBLANK(B1667),"""",IF(ISDATE(B1667),""X"",""""))"),"")</f>
        <v/>
      </c>
      <c r="L1667" s="40" t="str">
        <f>IFERROR(__xludf.DUMMYFUNCTION("IF(ISBLANK(B1667),"""",IF(Or(I1667=""Em Aberto"",ISBLANK(I1667),NOT(ISDATE(B1667))),"""",H1667))"),"")</f>
        <v/>
      </c>
      <c r="M1667" s="29" t="str">
        <f>IFERROR(__xludf.DUMMYFUNCTION("IF(ISBLANK(B1667),"""",IF(ISDATE(B1667),TEXT(B1667,""m""),""""))"),"")</f>
        <v/>
      </c>
      <c r="N1667" s="29" t="str">
        <f>IFERROR(__xludf.DUMMYFUNCTION("IF(M1667="""","""",QUERY({'Dashboard-Dados'!$Y$2:$AA$13},""Select Col2 Where Col1=""&amp;M1667))"),"")</f>
        <v/>
      </c>
      <c r="O1667" s="29" t="str">
        <f>IFERROR(__xludf.DUMMYFUNCTION("IF(ISBLANK(B1667),"""",IF(ISDATE(B1667),TEXT(B1667,""yyyy""),""""))"),"")</f>
        <v/>
      </c>
    </row>
    <row r="1668">
      <c r="B1668" s="62"/>
      <c r="C1668" s="56"/>
      <c r="D1668" s="56"/>
      <c r="E1668" s="56"/>
      <c r="F1668" s="63"/>
      <c r="G1668" s="64"/>
      <c r="H1668" s="65"/>
      <c r="I1668" s="63"/>
      <c r="K1668" s="53" t="str">
        <f>IFERROR(__xludf.DUMMYFUNCTION("IF(ISBLANK(B1668),"""",IF(ISDATE(B1668),""X"",""""))"),"")</f>
        <v/>
      </c>
      <c r="L1668" s="40" t="str">
        <f>IFERROR(__xludf.DUMMYFUNCTION("IF(ISBLANK(B1668),"""",IF(Or(I1668=""Em Aberto"",ISBLANK(I1668),NOT(ISDATE(B1668))),"""",H1668))"),"")</f>
        <v/>
      </c>
      <c r="M1668" s="29" t="str">
        <f>IFERROR(__xludf.DUMMYFUNCTION("IF(ISBLANK(B1668),"""",IF(ISDATE(B1668),TEXT(B1668,""m""),""""))"),"")</f>
        <v/>
      </c>
      <c r="N1668" s="29" t="str">
        <f>IFERROR(__xludf.DUMMYFUNCTION("IF(M1668="""","""",QUERY({'Dashboard-Dados'!$Y$2:$AA$13},""Select Col2 Where Col1=""&amp;M1668))"),"")</f>
        <v/>
      </c>
      <c r="O1668" s="29" t="str">
        <f>IFERROR(__xludf.DUMMYFUNCTION("IF(ISBLANK(B1668),"""",IF(ISDATE(B1668),TEXT(B1668,""yyyy""),""""))"),"")</f>
        <v/>
      </c>
    </row>
    <row r="1669">
      <c r="B1669" s="62"/>
      <c r="C1669" s="56"/>
      <c r="D1669" s="56"/>
      <c r="E1669" s="56"/>
      <c r="F1669" s="63"/>
      <c r="G1669" s="64"/>
      <c r="H1669" s="65"/>
      <c r="I1669" s="63"/>
      <c r="K1669" s="53" t="str">
        <f>IFERROR(__xludf.DUMMYFUNCTION("IF(ISBLANK(B1669),"""",IF(ISDATE(B1669),""X"",""""))"),"")</f>
        <v/>
      </c>
      <c r="L1669" s="40" t="str">
        <f>IFERROR(__xludf.DUMMYFUNCTION("IF(ISBLANK(B1669),"""",IF(Or(I1669=""Em Aberto"",ISBLANK(I1669),NOT(ISDATE(B1669))),"""",H1669))"),"")</f>
        <v/>
      </c>
      <c r="M1669" s="29" t="str">
        <f>IFERROR(__xludf.DUMMYFUNCTION("IF(ISBLANK(B1669),"""",IF(ISDATE(B1669),TEXT(B1669,""m""),""""))"),"")</f>
        <v/>
      </c>
      <c r="N1669" s="29" t="str">
        <f>IFERROR(__xludf.DUMMYFUNCTION("IF(M1669="""","""",QUERY({'Dashboard-Dados'!$Y$2:$AA$13},""Select Col2 Where Col1=""&amp;M1669))"),"")</f>
        <v/>
      </c>
      <c r="O1669" s="29" t="str">
        <f>IFERROR(__xludf.DUMMYFUNCTION("IF(ISBLANK(B1669),"""",IF(ISDATE(B1669),TEXT(B1669,""yyyy""),""""))"),"")</f>
        <v/>
      </c>
    </row>
    <row r="1670">
      <c r="B1670" s="62"/>
      <c r="C1670" s="56"/>
      <c r="D1670" s="56"/>
      <c r="E1670" s="56"/>
      <c r="F1670" s="63"/>
      <c r="G1670" s="64"/>
      <c r="H1670" s="65"/>
      <c r="I1670" s="63"/>
      <c r="K1670" s="53" t="str">
        <f>IFERROR(__xludf.DUMMYFUNCTION("IF(ISBLANK(B1670),"""",IF(ISDATE(B1670),""X"",""""))"),"")</f>
        <v/>
      </c>
      <c r="L1670" s="40" t="str">
        <f>IFERROR(__xludf.DUMMYFUNCTION("IF(ISBLANK(B1670),"""",IF(Or(I1670=""Em Aberto"",ISBLANK(I1670),NOT(ISDATE(B1670))),"""",H1670))"),"")</f>
        <v/>
      </c>
      <c r="M1670" s="29" t="str">
        <f>IFERROR(__xludf.DUMMYFUNCTION("IF(ISBLANK(B1670),"""",IF(ISDATE(B1670),TEXT(B1670,""m""),""""))"),"")</f>
        <v/>
      </c>
      <c r="N1670" s="29" t="str">
        <f>IFERROR(__xludf.DUMMYFUNCTION("IF(M1670="""","""",QUERY({'Dashboard-Dados'!$Y$2:$AA$13},""Select Col2 Where Col1=""&amp;M1670))"),"")</f>
        <v/>
      </c>
      <c r="O1670" s="29" t="str">
        <f>IFERROR(__xludf.DUMMYFUNCTION("IF(ISBLANK(B1670),"""",IF(ISDATE(B1670),TEXT(B1670,""yyyy""),""""))"),"")</f>
        <v/>
      </c>
    </row>
    <row r="1671">
      <c r="B1671" s="62"/>
      <c r="C1671" s="56"/>
      <c r="D1671" s="56"/>
      <c r="E1671" s="56"/>
      <c r="F1671" s="63"/>
      <c r="G1671" s="64"/>
      <c r="H1671" s="65"/>
      <c r="I1671" s="63"/>
      <c r="K1671" s="53" t="str">
        <f>IFERROR(__xludf.DUMMYFUNCTION("IF(ISBLANK(B1671),"""",IF(ISDATE(B1671),""X"",""""))"),"")</f>
        <v/>
      </c>
      <c r="L1671" s="40" t="str">
        <f>IFERROR(__xludf.DUMMYFUNCTION("IF(ISBLANK(B1671),"""",IF(Or(I1671=""Em Aberto"",ISBLANK(I1671),NOT(ISDATE(B1671))),"""",H1671))"),"")</f>
        <v/>
      </c>
      <c r="M1671" s="29" t="str">
        <f>IFERROR(__xludf.DUMMYFUNCTION("IF(ISBLANK(B1671),"""",IF(ISDATE(B1671),TEXT(B1671,""m""),""""))"),"")</f>
        <v/>
      </c>
      <c r="N1671" s="29" t="str">
        <f>IFERROR(__xludf.DUMMYFUNCTION("IF(M1671="""","""",QUERY({'Dashboard-Dados'!$Y$2:$AA$13},""Select Col2 Where Col1=""&amp;M1671))"),"")</f>
        <v/>
      </c>
      <c r="O1671" s="29" t="str">
        <f>IFERROR(__xludf.DUMMYFUNCTION("IF(ISBLANK(B1671),"""",IF(ISDATE(B1671),TEXT(B1671,""yyyy""),""""))"),"")</f>
        <v/>
      </c>
    </row>
    <row r="1672">
      <c r="B1672" s="62"/>
      <c r="C1672" s="56"/>
      <c r="D1672" s="56"/>
      <c r="E1672" s="56"/>
      <c r="F1672" s="63"/>
      <c r="G1672" s="64"/>
      <c r="H1672" s="65"/>
      <c r="I1672" s="63"/>
      <c r="K1672" s="53" t="str">
        <f>IFERROR(__xludf.DUMMYFUNCTION("IF(ISBLANK(B1672),"""",IF(ISDATE(B1672),""X"",""""))"),"")</f>
        <v/>
      </c>
      <c r="L1672" s="40" t="str">
        <f>IFERROR(__xludf.DUMMYFUNCTION("IF(ISBLANK(B1672),"""",IF(Or(I1672=""Em Aberto"",ISBLANK(I1672),NOT(ISDATE(B1672))),"""",H1672))"),"")</f>
        <v/>
      </c>
      <c r="M1672" s="29" t="str">
        <f>IFERROR(__xludf.DUMMYFUNCTION("IF(ISBLANK(B1672),"""",IF(ISDATE(B1672),TEXT(B1672,""m""),""""))"),"")</f>
        <v/>
      </c>
      <c r="N1672" s="29" t="str">
        <f>IFERROR(__xludf.DUMMYFUNCTION("IF(M1672="""","""",QUERY({'Dashboard-Dados'!$Y$2:$AA$13},""Select Col2 Where Col1=""&amp;M1672))"),"")</f>
        <v/>
      </c>
      <c r="O1672" s="29" t="str">
        <f>IFERROR(__xludf.DUMMYFUNCTION("IF(ISBLANK(B1672),"""",IF(ISDATE(B1672),TEXT(B1672,""yyyy""),""""))"),"")</f>
        <v/>
      </c>
    </row>
    <row r="1673">
      <c r="B1673" s="62"/>
      <c r="C1673" s="56"/>
      <c r="D1673" s="56"/>
      <c r="E1673" s="56"/>
      <c r="F1673" s="63"/>
      <c r="G1673" s="64"/>
      <c r="H1673" s="65"/>
      <c r="I1673" s="63"/>
      <c r="K1673" s="53" t="str">
        <f>IFERROR(__xludf.DUMMYFUNCTION("IF(ISBLANK(B1673),"""",IF(ISDATE(B1673),""X"",""""))"),"")</f>
        <v/>
      </c>
      <c r="L1673" s="40" t="str">
        <f>IFERROR(__xludf.DUMMYFUNCTION("IF(ISBLANK(B1673),"""",IF(Or(I1673=""Em Aberto"",ISBLANK(I1673),NOT(ISDATE(B1673))),"""",H1673))"),"")</f>
        <v/>
      </c>
      <c r="M1673" s="29" t="str">
        <f>IFERROR(__xludf.DUMMYFUNCTION("IF(ISBLANK(B1673),"""",IF(ISDATE(B1673),TEXT(B1673,""m""),""""))"),"")</f>
        <v/>
      </c>
      <c r="N1673" s="29" t="str">
        <f>IFERROR(__xludf.DUMMYFUNCTION("IF(M1673="""","""",QUERY({'Dashboard-Dados'!$Y$2:$AA$13},""Select Col2 Where Col1=""&amp;M1673))"),"")</f>
        <v/>
      </c>
      <c r="O1673" s="29" t="str">
        <f>IFERROR(__xludf.DUMMYFUNCTION("IF(ISBLANK(B1673),"""",IF(ISDATE(B1673),TEXT(B1673,""yyyy""),""""))"),"")</f>
        <v/>
      </c>
    </row>
    <row r="1674">
      <c r="B1674" s="62"/>
      <c r="C1674" s="56"/>
      <c r="D1674" s="56"/>
      <c r="E1674" s="56"/>
      <c r="F1674" s="63"/>
      <c r="G1674" s="64"/>
      <c r="H1674" s="65"/>
      <c r="I1674" s="63"/>
      <c r="K1674" s="53" t="str">
        <f>IFERROR(__xludf.DUMMYFUNCTION("IF(ISBLANK(B1674),"""",IF(ISDATE(B1674),""X"",""""))"),"")</f>
        <v/>
      </c>
      <c r="L1674" s="40" t="str">
        <f>IFERROR(__xludf.DUMMYFUNCTION("IF(ISBLANK(B1674),"""",IF(Or(I1674=""Em Aberto"",ISBLANK(I1674),NOT(ISDATE(B1674))),"""",H1674))"),"")</f>
        <v/>
      </c>
      <c r="M1674" s="29" t="str">
        <f>IFERROR(__xludf.DUMMYFUNCTION("IF(ISBLANK(B1674),"""",IF(ISDATE(B1674),TEXT(B1674,""m""),""""))"),"")</f>
        <v/>
      </c>
      <c r="N1674" s="29" t="str">
        <f>IFERROR(__xludf.DUMMYFUNCTION("IF(M1674="""","""",QUERY({'Dashboard-Dados'!$Y$2:$AA$13},""Select Col2 Where Col1=""&amp;M1674))"),"")</f>
        <v/>
      </c>
      <c r="O1674" s="29" t="str">
        <f>IFERROR(__xludf.DUMMYFUNCTION("IF(ISBLANK(B1674),"""",IF(ISDATE(B1674),TEXT(B1674,""yyyy""),""""))"),"")</f>
        <v/>
      </c>
    </row>
    <row r="1675">
      <c r="B1675" s="62"/>
      <c r="C1675" s="56"/>
      <c r="D1675" s="56"/>
      <c r="E1675" s="56"/>
      <c r="F1675" s="63"/>
      <c r="G1675" s="64"/>
      <c r="H1675" s="65"/>
      <c r="I1675" s="63"/>
      <c r="K1675" s="53" t="str">
        <f>IFERROR(__xludf.DUMMYFUNCTION("IF(ISBLANK(B1675),"""",IF(ISDATE(B1675),""X"",""""))"),"")</f>
        <v/>
      </c>
      <c r="L1675" s="40" t="str">
        <f>IFERROR(__xludf.DUMMYFUNCTION("IF(ISBLANK(B1675),"""",IF(Or(I1675=""Em Aberto"",ISBLANK(I1675),NOT(ISDATE(B1675))),"""",H1675))"),"")</f>
        <v/>
      </c>
      <c r="M1675" s="29" t="str">
        <f>IFERROR(__xludf.DUMMYFUNCTION("IF(ISBLANK(B1675),"""",IF(ISDATE(B1675),TEXT(B1675,""m""),""""))"),"")</f>
        <v/>
      </c>
      <c r="N1675" s="29" t="str">
        <f>IFERROR(__xludf.DUMMYFUNCTION("IF(M1675="""","""",QUERY({'Dashboard-Dados'!$Y$2:$AA$13},""Select Col2 Where Col1=""&amp;M1675))"),"")</f>
        <v/>
      </c>
      <c r="O1675" s="29" t="str">
        <f>IFERROR(__xludf.DUMMYFUNCTION("IF(ISBLANK(B1675),"""",IF(ISDATE(B1675),TEXT(B1675,""yyyy""),""""))"),"")</f>
        <v/>
      </c>
    </row>
    <row r="1676">
      <c r="B1676" s="62"/>
      <c r="C1676" s="56"/>
      <c r="D1676" s="56"/>
      <c r="E1676" s="56"/>
      <c r="F1676" s="63"/>
      <c r="G1676" s="64"/>
      <c r="H1676" s="65"/>
      <c r="I1676" s="63"/>
      <c r="K1676" s="53" t="str">
        <f>IFERROR(__xludf.DUMMYFUNCTION("IF(ISBLANK(B1676),"""",IF(ISDATE(B1676),""X"",""""))"),"")</f>
        <v/>
      </c>
      <c r="L1676" s="40" t="str">
        <f>IFERROR(__xludf.DUMMYFUNCTION("IF(ISBLANK(B1676),"""",IF(Or(I1676=""Em Aberto"",ISBLANK(I1676),NOT(ISDATE(B1676))),"""",H1676))"),"")</f>
        <v/>
      </c>
      <c r="M1676" s="29" t="str">
        <f>IFERROR(__xludf.DUMMYFUNCTION("IF(ISBLANK(B1676),"""",IF(ISDATE(B1676),TEXT(B1676,""m""),""""))"),"")</f>
        <v/>
      </c>
      <c r="N1676" s="29" t="str">
        <f>IFERROR(__xludf.DUMMYFUNCTION("IF(M1676="""","""",QUERY({'Dashboard-Dados'!$Y$2:$AA$13},""Select Col2 Where Col1=""&amp;M1676))"),"")</f>
        <v/>
      </c>
      <c r="O1676" s="29" t="str">
        <f>IFERROR(__xludf.DUMMYFUNCTION("IF(ISBLANK(B1676),"""",IF(ISDATE(B1676),TEXT(B1676,""yyyy""),""""))"),"")</f>
        <v/>
      </c>
    </row>
    <row r="1677">
      <c r="B1677" s="62"/>
      <c r="C1677" s="56"/>
      <c r="D1677" s="56"/>
      <c r="E1677" s="56"/>
      <c r="F1677" s="63"/>
      <c r="G1677" s="64"/>
      <c r="H1677" s="65"/>
      <c r="I1677" s="63"/>
      <c r="K1677" s="53" t="str">
        <f>IFERROR(__xludf.DUMMYFUNCTION("IF(ISBLANK(B1677),"""",IF(ISDATE(B1677),""X"",""""))"),"")</f>
        <v/>
      </c>
      <c r="L1677" s="40" t="str">
        <f>IFERROR(__xludf.DUMMYFUNCTION("IF(ISBLANK(B1677),"""",IF(Or(I1677=""Em Aberto"",ISBLANK(I1677),NOT(ISDATE(B1677))),"""",H1677))"),"")</f>
        <v/>
      </c>
      <c r="M1677" s="29" t="str">
        <f>IFERROR(__xludf.DUMMYFUNCTION("IF(ISBLANK(B1677),"""",IF(ISDATE(B1677),TEXT(B1677,""m""),""""))"),"")</f>
        <v/>
      </c>
      <c r="N1677" s="29" t="str">
        <f>IFERROR(__xludf.DUMMYFUNCTION("IF(M1677="""","""",QUERY({'Dashboard-Dados'!$Y$2:$AA$13},""Select Col2 Where Col1=""&amp;M1677))"),"")</f>
        <v/>
      </c>
      <c r="O1677" s="29" t="str">
        <f>IFERROR(__xludf.DUMMYFUNCTION("IF(ISBLANK(B1677),"""",IF(ISDATE(B1677),TEXT(B1677,""yyyy""),""""))"),"")</f>
        <v/>
      </c>
    </row>
    <row r="1678">
      <c r="B1678" s="62"/>
      <c r="C1678" s="56"/>
      <c r="D1678" s="56"/>
      <c r="E1678" s="56"/>
      <c r="F1678" s="63"/>
      <c r="G1678" s="64"/>
      <c r="H1678" s="65"/>
      <c r="I1678" s="63"/>
      <c r="K1678" s="53" t="str">
        <f>IFERROR(__xludf.DUMMYFUNCTION("IF(ISBLANK(B1678),"""",IF(ISDATE(B1678),""X"",""""))"),"")</f>
        <v/>
      </c>
      <c r="L1678" s="40" t="str">
        <f>IFERROR(__xludf.DUMMYFUNCTION("IF(ISBLANK(B1678),"""",IF(Or(I1678=""Em Aberto"",ISBLANK(I1678),NOT(ISDATE(B1678))),"""",H1678))"),"")</f>
        <v/>
      </c>
      <c r="M1678" s="29" t="str">
        <f>IFERROR(__xludf.DUMMYFUNCTION("IF(ISBLANK(B1678),"""",IF(ISDATE(B1678),TEXT(B1678,""m""),""""))"),"")</f>
        <v/>
      </c>
      <c r="N1678" s="29" t="str">
        <f>IFERROR(__xludf.DUMMYFUNCTION("IF(M1678="""","""",QUERY({'Dashboard-Dados'!$Y$2:$AA$13},""Select Col2 Where Col1=""&amp;M1678))"),"")</f>
        <v/>
      </c>
      <c r="O1678" s="29" t="str">
        <f>IFERROR(__xludf.DUMMYFUNCTION("IF(ISBLANK(B1678),"""",IF(ISDATE(B1678),TEXT(B1678,""yyyy""),""""))"),"")</f>
        <v/>
      </c>
    </row>
    <row r="1679">
      <c r="B1679" s="62"/>
      <c r="C1679" s="56"/>
      <c r="D1679" s="56"/>
      <c r="E1679" s="56"/>
      <c r="F1679" s="63"/>
      <c r="G1679" s="64"/>
      <c r="H1679" s="65"/>
      <c r="I1679" s="63"/>
      <c r="K1679" s="53" t="str">
        <f>IFERROR(__xludf.DUMMYFUNCTION("IF(ISBLANK(B1679),"""",IF(ISDATE(B1679),""X"",""""))"),"")</f>
        <v/>
      </c>
      <c r="L1679" s="40" t="str">
        <f>IFERROR(__xludf.DUMMYFUNCTION("IF(ISBLANK(B1679),"""",IF(Or(I1679=""Em Aberto"",ISBLANK(I1679),NOT(ISDATE(B1679))),"""",H1679))"),"")</f>
        <v/>
      </c>
      <c r="M1679" s="29" t="str">
        <f>IFERROR(__xludf.DUMMYFUNCTION("IF(ISBLANK(B1679),"""",IF(ISDATE(B1679),TEXT(B1679,""m""),""""))"),"")</f>
        <v/>
      </c>
      <c r="N1679" s="29" t="str">
        <f>IFERROR(__xludf.DUMMYFUNCTION("IF(M1679="""","""",QUERY({'Dashboard-Dados'!$Y$2:$AA$13},""Select Col2 Where Col1=""&amp;M1679))"),"")</f>
        <v/>
      </c>
      <c r="O1679" s="29" t="str">
        <f>IFERROR(__xludf.DUMMYFUNCTION("IF(ISBLANK(B1679),"""",IF(ISDATE(B1679),TEXT(B1679,""yyyy""),""""))"),"")</f>
        <v/>
      </c>
    </row>
    <row r="1680">
      <c r="B1680" s="62"/>
      <c r="C1680" s="56"/>
      <c r="D1680" s="56"/>
      <c r="E1680" s="56"/>
      <c r="F1680" s="63"/>
      <c r="G1680" s="64"/>
      <c r="H1680" s="65"/>
      <c r="I1680" s="63"/>
      <c r="K1680" s="53" t="str">
        <f>IFERROR(__xludf.DUMMYFUNCTION("IF(ISBLANK(B1680),"""",IF(ISDATE(B1680),""X"",""""))"),"")</f>
        <v/>
      </c>
      <c r="L1680" s="40" t="str">
        <f>IFERROR(__xludf.DUMMYFUNCTION("IF(ISBLANK(B1680),"""",IF(Or(I1680=""Em Aberto"",ISBLANK(I1680),NOT(ISDATE(B1680))),"""",H1680))"),"")</f>
        <v/>
      </c>
      <c r="M1680" s="29" t="str">
        <f>IFERROR(__xludf.DUMMYFUNCTION("IF(ISBLANK(B1680),"""",IF(ISDATE(B1680),TEXT(B1680,""m""),""""))"),"")</f>
        <v/>
      </c>
      <c r="N1680" s="29" t="str">
        <f>IFERROR(__xludf.DUMMYFUNCTION("IF(M1680="""","""",QUERY({'Dashboard-Dados'!$Y$2:$AA$13},""Select Col2 Where Col1=""&amp;M1680))"),"")</f>
        <v/>
      </c>
      <c r="O1680" s="29" t="str">
        <f>IFERROR(__xludf.DUMMYFUNCTION("IF(ISBLANK(B1680),"""",IF(ISDATE(B1680),TEXT(B1680,""yyyy""),""""))"),"")</f>
        <v/>
      </c>
    </row>
    <row r="1681">
      <c r="B1681" s="62"/>
      <c r="C1681" s="56"/>
      <c r="D1681" s="56"/>
      <c r="E1681" s="56"/>
      <c r="F1681" s="63"/>
      <c r="G1681" s="64"/>
      <c r="H1681" s="65"/>
      <c r="I1681" s="63"/>
      <c r="K1681" s="53" t="str">
        <f>IFERROR(__xludf.DUMMYFUNCTION("IF(ISBLANK(B1681),"""",IF(ISDATE(B1681),""X"",""""))"),"")</f>
        <v/>
      </c>
      <c r="L1681" s="40" t="str">
        <f>IFERROR(__xludf.DUMMYFUNCTION("IF(ISBLANK(B1681),"""",IF(Or(I1681=""Em Aberto"",ISBLANK(I1681),NOT(ISDATE(B1681))),"""",H1681))"),"")</f>
        <v/>
      </c>
      <c r="M1681" s="29" t="str">
        <f>IFERROR(__xludf.DUMMYFUNCTION("IF(ISBLANK(B1681),"""",IF(ISDATE(B1681),TEXT(B1681,""m""),""""))"),"")</f>
        <v/>
      </c>
      <c r="N1681" s="29" t="str">
        <f>IFERROR(__xludf.DUMMYFUNCTION("IF(M1681="""","""",QUERY({'Dashboard-Dados'!$Y$2:$AA$13},""Select Col2 Where Col1=""&amp;M1681))"),"")</f>
        <v/>
      </c>
      <c r="O1681" s="29" t="str">
        <f>IFERROR(__xludf.DUMMYFUNCTION("IF(ISBLANK(B1681),"""",IF(ISDATE(B1681),TEXT(B1681,""yyyy""),""""))"),"")</f>
        <v/>
      </c>
    </row>
    <row r="1682">
      <c r="B1682" s="62"/>
      <c r="C1682" s="56"/>
      <c r="D1682" s="56"/>
      <c r="E1682" s="56"/>
      <c r="F1682" s="63"/>
      <c r="G1682" s="64"/>
      <c r="H1682" s="65"/>
      <c r="I1682" s="63"/>
      <c r="K1682" s="53" t="str">
        <f>IFERROR(__xludf.DUMMYFUNCTION("IF(ISBLANK(B1682),"""",IF(ISDATE(B1682),""X"",""""))"),"")</f>
        <v/>
      </c>
      <c r="L1682" s="40" t="str">
        <f>IFERROR(__xludf.DUMMYFUNCTION("IF(ISBLANK(B1682),"""",IF(Or(I1682=""Em Aberto"",ISBLANK(I1682),NOT(ISDATE(B1682))),"""",H1682))"),"")</f>
        <v/>
      </c>
      <c r="M1682" s="29" t="str">
        <f>IFERROR(__xludf.DUMMYFUNCTION("IF(ISBLANK(B1682),"""",IF(ISDATE(B1682),TEXT(B1682,""m""),""""))"),"")</f>
        <v/>
      </c>
      <c r="N1682" s="29" t="str">
        <f>IFERROR(__xludf.DUMMYFUNCTION("IF(M1682="""","""",QUERY({'Dashboard-Dados'!$Y$2:$AA$13},""Select Col2 Where Col1=""&amp;M1682))"),"")</f>
        <v/>
      </c>
      <c r="O1682" s="29" t="str">
        <f>IFERROR(__xludf.DUMMYFUNCTION("IF(ISBLANK(B1682),"""",IF(ISDATE(B1682),TEXT(B1682,""yyyy""),""""))"),"")</f>
        <v/>
      </c>
    </row>
    <row r="1683">
      <c r="B1683" s="62"/>
      <c r="C1683" s="56"/>
      <c r="D1683" s="56"/>
      <c r="E1683" s="56"/>
      <c r="F1683" s="63"/>
      <c r="G1683" s="64"/>
      <c r="H1683" s="65"/>
      <c r="I1683" s="63"/>
      <c r="K1683" s="53" t="str">
        <f>IFERROR(__xludf.DUMMYFUNCTION("IF(ISBLANK(B1683),"""",IF(ISDATE(B1683),""X"",""""))"),"")</f>
        <v/>
      </c>
      <c r="L1683" s="40" t="str">
        <f>IFERROR(__xludf.DUMMYFUNCTION("IF(ISBLANK(B1683),"""",IF(Or(I1683=""Em Aberto"",ISBLANK(I1683),NOT(ISDATE(B1683))),"""",H1683))"),"")</f>
        <v/>
      </c>
      <c r="M1683" s="29" t="str">
        <f>IFERROR(__xludf.DUMMYFUNCTION("IF(ISBLANK(B1683),"""",IF(ISDATE(B1683),TEXT(B1683,""m""),""""))"),"")</f>
        <v/>
      </c>
      <c r="N1683" s="29" t="str">
        <f>IFERROR(__xludf.DUMMYFUNCTION("IF(M1683="""","""",QUERY({'Dashboard-Dados'!$Y$2:$AA$13},""Select Col2 Where Col1=""&amp;M1683))"),"")</f>
        <v/>
      </c>
      <c r="O1683" s="29" t="str">
        <f>IFERROR(__xludf.DUMMYFUNCTION("IF(ISBLANK(B1683),"""",IF(ISDATE(B1683),TEXT(B1683,""yyyy""),""""))"),"")</f>
        <v/>
      </c>
    </row>
    <row r="1684">
      <c r="B1684" s="62"/>
      <c r="C1684" s="56"/>
      <c r="D1684" s="56"/>
      <c r="E1684" s="56"/>
      <c r="F1684" s="63"/>
      <c r="G1684" s="64"/>
      <c r="H1684" s="65"/>
      <c r="I1684" s="63"/>
      <c r="K1684" s="53" t="str">
        <f>IFERROR(__xludf.DUMMYFUNCTION("IF(ISBLANK(B1684),"""",IF(ISDATE(B1684),""X"",""""))"),"")</f>
        <v/>
      </c>
      <c r="L1684" s="40" t="str">
        <f>IFERROR(__xludf.DUMMYFUNCTION("IF(ISBLANK(B1684),"""",IF(Or(I1684=""Em Aberto"",ISBLANK(I1684),NOT(ISDATE(B1684))),"""",H1684))"),"")</f>
        <v/>
      </c>
      <c r="M1684" s="29" t="str">
        <f>IFERROR(__xludf.DUMMYFUNCTION("IF(ISBLANK(B1684),"""",IF(ISDATE(B1684),TEXT(B1684,""m""),""""))"),"")</f>
        <v/>
      </c>
      <c r="N1684" s="29" t="str">
        <f>IFERROR(__xludf.DUMMYFUNCTION("IF(M1684="""","""",QUERY({'Dashboard-Dados'!$Y$2:$AA$13},""Select Col2 Where Col1=""&amp;M1684))"),"")</f>
        <v/>
      </c>
      <c r="O1684" s="29" t="str">
        <f>IFERROR(__xludf.DUMMYFUNCTION("IF(ISBLANK(B1684),"""",IF(ISDATE(B1684),TEXT(B1684,""yyyy""),""""))"),"")</f>
        <v/>
      </c>
    </row>
    <row r="1685">
      <c r="B1685" s="62"/>
      <c r="C1685" s="56"/>
      <c r="D1685" s="56"/>
      <c r="E1685" s="56"/>
      <c r="F1685" s="63"/>
      <c r="G1685" s="64"/>
      <c r="H1685" s="65"/>
      <c r="I1685" s="63"/>
      <c r="K1685" s="53" t="str">
        <f>IFERROR(__xludf.DUMMYFUNCTION("IF(ISBLANK(B1685),"""",IF(ISDATE(B1685),""X"",""""))"),"")</f>
        <v/>
      </c>
      <c r="L1685" s="40" t="str">
        <f>IFERROR(__xludf.DUMMYFUNCTION("IF(ISBLANK(B1685),"""",IF(Or(I1685=""Em Aberto"",ISBLANK(I1685),NOT(ISDATE(B1685))),"""",H1685))"),"")</f>
        <v/>
      </c>
      <c r="M1685" s="29" t="str">
        <f>IFERROR(__xludf.DUMMYFUNCTION("IF(ISBLANK(B1685),"""",IF(ISDATE(B1685),TEXT(B1685,""m""),""""))"),"")</f>
        <v/>
      </c>
      <c r="N1685" s="29" t="str">
        <f>IFERROR(__xludf.DUMMYFUNCTION("IF(M1685="""","""",QUERY({'Dashboard-Dados'!$Y$2:$AA$13},""Select Col2 Where Col1=""&amp;M1685))"),"")</f>
        <v/>
      </c>
      <c r="O1685" s="29" t="str">
        <f>IFERROR(__xludf.DUMMYFUNCTION("IF(ISBLANK(B1685),"""",IF(ISDATE(B1685),TEXT(B1685,""yyyy""),""""))"),"")</f>
        <v/>
      </c>
    </row>
    <row r="1686">
      <c r="B1686" s="62"/>
      <c r="C1686" s="56"/>
      <c r="D1686" s="56"/>
      <c r="E1686" s="56"/>
      <c r="F1686" s="63"/>
      <c r="G1686" s="64"/>
      <c r="H1686" s="65"/>
      <c r="I1686" s="63"/>
      <c r="K1686" s="53" t="str">
        <f>IFERROR(__xludf.DUMMYFUNCTION("IF(ISBLANK(B1686),"""",IF(ISDATE(B1686),""X"",""""))"),"")</f>
        <v/>
      </c>
      <c r="L1686" s="40" t="str">
        <f>IFERROR(__xludf.DUMMYFUNCTION("IF(ISBLANK(B1686),"""",IF(Or(I1686=""Em Aberto"",ISBLANK(I1686),NOT(ISDATE(B1686))),"""",H1686))"),"")</f>
        <v/>
      </c>
      <c r="M1686" s="29" t="str">
        <f>IFERROR(__xludf.DUMMYFUNCTION("IF(ISBLANK(B1686),"""",IF(ISDATE(B1686),TEXT(B1686,""m""),""""))"),"")</f>
        <v/>
      </c>
      <c r="N1686" s="29" t="str">
        <f>IFERROR(__xludf.DUMMYFUNCTION("IF(M1686="""","""",QUERY({'Dashboard-Dados'!$Y$2:$AA$13},""Select Col2 Where Col1=""&amp;M1686))"),"")</f>
        <v/>
      </c>
      <c r="O1686" s="29" t="str">
        <f>IFERROR(__xludf.DUMMYFUNCTION("IF(ISBLANK(B1686),"""",IF(ISDATE(B1686),TEXT(B1686,""yyyy""),""""))"),"")</f>
        <v/>
      </c>
    </row>
    <row r="1687">
      <c r="B1687" s="62"/>
      <c r="C1687" s="56"/>
      <c r="D1687" s="56"/>
      <c r="E1687" s="56"/>
      <c r="F1687" s="63"/>
      <c r="G1687" s="64"/>
      <c r="H1687" s="65"/>
      <c r="I1687" s="63"/>
      <c r="K1687" s="53" t="str">
        <f>IFERROR(__xludf.DUMMYFUNCTION("IF(ISBLANK(B1687),"""",IF(ISDATE(B1687),""X"",""""))"),"")</f>
        <v/>
      </c>
      <c r="L1687" s="40" t="str">
        <f>IFERROR(__xludf.DUMMYFUNCTION("IF(ISBLANK(B1687),"""",IF(Or(I1687=""Em Aberto"",ISBLANK(I1687),NOT(ISDATE(B1687))),"""",H1687))"),"")</f>
        <v/>
      </c>
      <c r="M1687" s="29" t="str">
        <f>IFERROR(__xludf.DUMMYFUNCTION("IF(ISBLANK(B1687),"""",IF(ISDATE(B1687),TEXT(B1687,""m""),""""))"),"")</f>
        <v/>
      </c>
      <c r="N1687" s="29" t="str">
        <f>IFERROR(__xludf.DUMMYFUNCTION("IF(M1687="""","""",QUERY({'Dashboard-Dados'!$Y$2:$AA$13},""Select Col2 Where Col1=""&amp;M1687))"),"")</f>
        <v/>
      </c>
      <c r="O1687" s="29" t="str">
        <f>IFERROR(__xludf.DUMMYFUNCTION("IF(ISBLANK(B1687),"""",IF(ISDATE(B1687),TEXT(B1687,""yyyy""),""""))"),"")</f>
        <v/>
      </c>
    </row>
    <row r="1688">
      <c r="B1688" s="62"/>
      <c r="C1688" s="56"/>
      <c r="D1688" s="56"/>
      <c r="E1688" s="56"/>
      <c r="F1688" s="63"/>
      <c r="G1688" s="64"/>
      <c r="H1688" s="65"/>
      <c r="I1688" s="63"/>
      <c r="K1688" s="53" t="str">
        <f>IFERROR(__xludf.DUMMYFUNCTION("IF(ISBLANK(B1688),"""",IF(ISDATE(B1688),""X"",""""))"),"")</f>
        <v/>
      </c>
      <c r="L1688" s="40" t="str">
        <f>IFERROR(__xludf.DUMMYFUNCTION("IF(ISBLANK(B1688),"""",IF(Or(I1688=""Em Aberto"",ISBLANK(I1688),NOT(ISDATE(B1688))),"""",H1688))"),"")</f>
        <v/>
      </c>
      <c r="M1688" s="29" t="str">
        <f>IFERROR(__xludf.DUMMYFUNCTION("IF(ISBLANK(B1688),"""",IF(ISDATE(B1688),TEXT(B1688,""m""),""""))"),"")</f>
        <v/>
      </c>
      <c r="N1688" s="29" t="str">
        <f>IFERROR(__xludf.DUMMYFUNCTION("IF(M1688="""","""",QUERY({'Dashboard-Dados'!$Y$2:$AA$13},""Select Col2 Where Col1=""&amp;M1688))"),"")</f>
        <v/>
      </c>
      <c r="O1688" s="29" t="str">
        <f>IFERROR(__xludf.DUMMYFUNCTION("IF(ISBLANK(B1688),"""",IF(ISDATE(B1688),TEXT(B1688,""yyyy""),""""))"),"")</f>
        <v/>
      </c>
    </row>
    <row r="1689">
      <c r="B1689" s="62"/>
      <c r="C1689" s="56"/>
      <c r="D1689" s="56"/>
      <c r="E1689" s="56"/>
      <c r="F1689" s="63"/>
      <c r="G1689" s="64"/>
      <c r="H1689" s="65"/>
      <c r="I1689" s="63"/>
      <c r="K1689" s="53" t="str">
        <f>IFERROR(__xludf.DUMMYFUNCTION("IF(ISBLANK(B1689),"""",IF(ISDATE(B1689),""X"",""""))"),"")</f>
        <v/>
      </c>
      <c r="L1689" s="40" t="str">
        <f>IFERROR(__xludf.DUMMYFUNCTION("IF(ISBLANK(B1689),"""",IF(Or(I1689=""Em Aberto"",ISBLANK(I1689),NOT(ISDATE(B1689))),"""",H1689))"),"")</f>
        <v/>
      </c>
      <c r="M1689" s="29" t="str">
        <f>IFERROR(__xludf.DUMMYFUNCTION("IF(ISBLANK(B1689),"""",IF(ISDATE(B1689),TEXT(B1689,""m""),""""))"),"")</f>
        <v/>
      </c>
      <c r="N1689" s="29" t="str">
        <f>IFERROR(__xludf.DUMMYFUNCTION("IF(M1689="""","""",QUERY({'Dashboard-Dados'!$Y$2:$AA$13},""Select Col2 Where Col1=""&amp;M1689))"),"")</f>
        <v/>
      </c>
      <c r="O1689" s="29" t="str">
        <f>IFERROR(__xludf.DUMMYFUNCTION("IF(ISBLANK(B1689),"""",IF(ISDATE(B1689),TEXT(B1689,""yyyy""),""""))"),"")</f>
        <v/>
      </c>
    </row>
    <row r="1690">
      <c r="B1690" s="62"/>
      <c r="C1690" s="56"/>
      <c r="D1690" s="56"/>
      <c r="E1690" s="56"/>
      <c r="F1690" s="63"/>
      <c r="G1690" s="64"/>
      <c r="H1690" s="65"/>
      <c r="I1690" s="63"/>
      <c r="K1690" s="53" t="str">
        <f>IFERROR(__xludf.DUMMYFUNCTION("IF(ISBLANK(B1690),"""",IF(ISDATE(B1690),""X"",""""))"),"")</f>
        <v/>
      </c>
      <c r="L1690" s="40" t="str">
        <f>IFERROR(__xludf.DUMMYFUNCTION("IF(ISBLANK(B1690),"""",IF(Or(I1690=""Em Aberto"",ISBLANK(I1690),NOT(ISDATE(B1690))),"""",H1690))"),"")</f>
        <v/>
      </c>
      <c r="M1690" s="29" t="str">
        <f>IFERROR(__xludf.DUMMYFUNCTION("IF(ISBLANK(B1690),"""",IF(ISDATE(B1690),TEXT(B1690,""m""),""""))"),"")</f>
        <v/>
      </c>
      <c r="N1690" s="29" t="str">
        <f>IFERROR(__xludf.DUMMYFUNCTION("IF(M1690="""","""",QUERY({'Dashboard-Dados'!$Y$2:$AA$13},""Select Col2 Where Col1=""&amp;M1690))"),"")</f>
        <v/>
      </c>
      <c r="O1690" s="29" t="str">
        <f>IFERROR(__xludf.DUMMYFUNCTION("IF(ISBLANK(B1690),"""",IF(ISDATE(B1690),TEXT(B1690,""yyyy""),""""))"),"")</f>
        <v/>
      </c>
    </row>
    <row r="1691">
      <c r="B1691" s="62"/>
      <c r="C1691" s="56"/>
      <c r="D1691" s="56"/>
      <c r="E1691" s="56"/>
      <c r="F1691" s="63"/>
      <c r="G1691" s="64"/>
      <c r="H1691" s="65"/>
      <c r="I1691" s="63"/>
      <c r="K1691" s="53" t="str">
        <f>IFERROR(__xludf.DUMMYFUNCTION("IF(ISBLANK(B1691),"""",IF(ISDATE(B1691),""X"",""""))"),"")</f>
        <v/>
      </c>
      <c r="L1691" s="40" t="str">
        <f>IFERROR(__xludf.DUMMYFUNCTION("IF(ISBLANK(B1691),"""",IF(Or(I1691=""Em Aberto"",ISBLANK(I1691),NOT(ISDATE(B1691))),"""",H1691))"),"")</f>
        <v/>
      </c>
      <c r="M1691" s="29" t="str">
        <f>IFERROR(__xludf.DUMMYFUNCTION("IF(ISBLANK(B1691),"""",IF(ISDATE(B1691),TEXT(B1691,""m""),""""))"),"")</f>
        <v/>
      </c>
      <c r="N1691" s="29" t="str">
        <f>IFERROR(__xludf.DUMMYFUNCTION("IF(M1691="""","""",QUERY({'Dashboard-Dados'!$Y$2:$AA$13},""Select Col2 Where Col1=""&amp;M1691))"),"")</f>
        <v/>
      </c>
      <c r="O1691" s="29" t="str">
        <f>IFERROR(__xludf.DUMMYFUNCTION("IF(ISBLANK(B1691),"""",IF(ISDATE(B1691),TEXT(B1691,""yyyy""),""""))"),"")</f>
        <v/>
      </c>
    </row>
    <row r="1692">
      <c r="B1692" s="62"/>
      <c r="C1692" s="56"/>
      <c r="D1692" s="56"/>
      <c r="E1692" s="56"/>
      <c r="F1692" s="63"/>
      <c r="G1692" s="64"/>
      <c r="H1692" s="65"/>
      <c r="I1692" s="63"/>
      <c r="K1692" s="53" t="str">
        <f>IFERROR(__xludf.DUMMYFUNCTION("IF(ISBLANK(B1692),"""",IF(ISDATE(B1692),""X"",""""))"),"")</f>
        <v/>
      </c>
      <c r="L1692" s="40" t="str">
        <f>IFERROR(__xludf.DUMMYFUNCTION("IF(ISBLANK(B1692),"""",IF(Or(I1692=""Em Aberto"",ISBLANK(I1692),NOT(ISDATE(B1692))),"""",H1692))"),"")</f>
        <v/>
      </c>
      <c r="M1692" s="29" t="str">
        <f>IFERROR(__xludf.DUMMYFUNCTION("IF(ISBLANK(B1692),"""",IF(ISDATE(B1692),TEXT(B1692,""m""),""""))"),"")</f>
        <v/>
      </c>
      <c r="N1692" s="29" t="str">
        <f>IFERROR(__xludf.DUMMYFUNCTION("IF(M1692="""","""",QUERY({'Dashboard-Dados'!$Y$2:$AA$13},""Select Col2 Where Col1=""&amp;M1692))"),"")</f>
        <v/>
      </c>
      <c r="O1692" s="29" t="str">
        <f>IFERROR(__xludf.DUMMYFUNCTION("IF(ISBLANK(B1692),"""",IF(ISDATE(B1692),TEXT(B1692,""yyyy""),""""))"),"")</f>
        <v/>
      </c>
    </row>
    <row r="1693">
      <c r="B1693" s="62"/>
      <c r="C1693" s="56"/>
      <c r="D1693" s="56"/>
      <c r="E1693" s="56"/>
      <c r="F1693" s="63"/>
      <c r="G1693" s="64"/>
      <c r="H1693" s="65"/>
      <c r="I1693" s="63"/>
      <c r="K1693" s="53" t="str">
        <f>IFERROR(__xludf.DUMMYFUNCTION("IF(ISBLANK(B1693),"""",IF(ISDATE(B1693),""X"",""""))"),"")</f>
        <v/>
      </c>
      <c r="L1693" s="40" t="str">
        <f>IFERROR(__xludf.DUMMYFUNCTION("IF(ISBLANK(B1693),"""",IF(Or(I1693=""Em Aberto"",ISBLANK(I1693),NOT(ISDATE(B1693))),"""",H1693))"),"")</f>
        <v/>
      </c>
      <c r="M1693" s="29" t="str">
        <f>IFERROR(__xludf.DUMMYFUNCTION("IF(ISBLANK(B1693),"""",IF(ISDATE(B1693),TEXT(B1693,""m""),""""))"),"")</f>
        <v/>
      </c>
      <c r="N1693" s="29" t="str">
        <f>IFERROR(__xludf.DUMMYFUNCTION("IF(M1693="""","""",QUERY({'Dashboard-Dados'!$Y$2:$AA$13},""Select Col2 Where Col1=""&amp;M1693))"),"")</f>
        <v/>
      </c>
      <c r="O1693" s="29" t="str">
        <f>IFERROR(__xludf.DUMMYFUNCTION("IF(ISBLANK(B1693),"""",IF(ISDATE(B1693),TEXT(B1693,""yyyy""),""""))"),"")</f>
        <v/>
      </c>
    </row>
    <row r="1694">
      <c r="B1694" s="62"/>
      <c r="C1694" s="56"/>
      <c r="D1694" s="56"/>
      <c r="E1694" s="56"/>
      <c r="F1694" s="63"/>
      <c r="G1694" s="64"/>
      <c r="H1694" s="65"/>
      <c r="I1694" s="63"/>
      <c r="K1694" s="53" t="str">
        <f>IFERROR(__xludf.DUMMYFUNCTION("IF(ISBLANK(B1694),"""",IF(ISDATE(B1694),""X"",""""))"),"")</f>
        <v/>
      </c>
      <c r="L1694" s="40" t="str">
        <f>IFERROR(__xludf.DUMMYFUNCTION("IF(ISBLANK(B1694),"""",IF(Or(I1694=""Em Aberto"",ISBLANK(I1694),NOT(ISDATE(B1694))),"""",H1694))"),"")</f>
        <v/>
      </c>
      <c r="M1694" s="29" t="str">
        <f>IFERROR(__xludf.DUMMYFUNCTION("IF(ISBLANK(B1694),"""",IF(ISDATE(B1694),TEXT(B1694,""m""),""""))"),"")</f>
        <v/>
      </c>
      <c r="N1694" s="29" t="str">
        <f>IFERROR(__xludf.DUMMYFUNCTION("IF(M1694="""","""",QUERY({'Dashboard-Dados'!$Y$2:$AA$13},""Select Col2 Where Col1=""&amp;M1694))"),"")</f>
        <v/>
      </c>
      <c r="O1694" s="29" t="str">
        <f>IFERROR(__xludf.DUMMYFUNCTION("IF(ISBLANK(B1694),"""",IF(ISDATE(B1694),TEXT(B1694,""yyyy""),""""))"),"")</f>
        <v/>
      </c>
    </row>
    <row r="1695">
      <c r="B1695" s="62"/>
      <c r="C1695" s="56"/>
      <c r="D1695" s="56"/>
      <c r="E1695" s="56"/>
      <c r="F1695" s="63"/>
      <c r="G1695" s="64"/>
      <c r="H1695" s="65"/>
      <c r="I1695" s="63"/>
      <c r="K1695" s="53" t="str">
        <f>IFERROR(__xludf.DUMMYFUNCTION("IF(ISBLANK(B1695),"""",IF(ISDATE(B1695),""X"",""""))"),"")</f>
        <v/>
      </c>
      <c r="L1695" s="40" t="str">
        <f>IFERROR(__xludf.DUMMYFUNCTION("IF(ISBLANK(B1695),"""",IF(Or(I1695=""Em Aberto"",ISBLANK(I1695),NOT(ISDATE(B1695))),"""",H1695))"),"")</f>
        <v/>
      </c>
      <c r="M1695" s="29" t="str">
        <f>IFERROR(__xludf.DUMMYFUNCTION("IF(ISBLANK(B1695),"""",IF(ISDATE(B1695),TEXT(B1695,""m""),""""))"),"")</f>
        <v/>
      </c>
      <c r="N1695" s="29" t="str">
        <f>IFERROR(__xludf.DUMMYFUNCTION("IF(M1695="""","""",QUERY({'Dashboard-Dados'!$Y$2:$AA$13},""Select Col2 Where Col1=""&amp;M1695))"),"")</f>
        <v/>
      </c>
      <c r="O1695" s="29" t="str">
        <f>IFERROR(__xludf.DUMMYFUNCTION("IF(ISBLANK(B1695),"""",IF(ISDATE(B1695),TEXT(B1695,""yyyy""),""""))"),"")</f>
        <v/>
      </c>
    </row>
    <row r="1696">
      <c r="B1696" s="62"/>
      <c r="C1696" s="56"/>
      <c r="D1696" s="56"/>
      <c r="E1696" s="56"/>
      <c r="F1696" s="63"/>
      <c r="G1696" s="64"/>
      <c r="H1696" s="65"/>
      <c r="I1696" s="63"/>
      <c r="K1696" s="53" t="str">
        <f>IFERROR(__xludf.DUMMYFUNCTION("IF(ISBLANK(B1696),"""",IF(ISDATE(B1696),""X"",""""))"),"")</f>
        <v/>
      </c>
      <c r="L1696" s="40" t="str">
        <f>IFERROR(__xludf.DUMMYFUNCTION("IF(ISBLANK(B1696),"""",IF(Or(I1696=""Em Aberto"",ISBLANK(I1696),NOT(ISDATE(B1696))),"""",H1696))"),"")</f>
        <v/>
      </c>
      <c r="M1696" s="29" t="str">
        <f>IFERROR(__xludf.DUMMYFUNCTION("IF(ISBLANK(B1696),"""",IF(ISDATE(B1696),TEXT(B1696,""m""),""""))"),"")</f>
        <v/>
      </c>
      <c r="N1696" s="29" t="str">
        <f>IFERROR(__xludf.DUMMYFUNCTION("IF(M1696="""","""",QUERY({'Dashboard-Dados'!$Y$2:$AA$13},""Select Col2 Where Col1=""&amp;M1696))"),"")</f>
        <v/>
      </c>
      <c r="O1696" s="29" t="str">
        <f>IFERROR(__xludf.DUMMYFUNCTION("IF(ISBLANK(B1696),"""",IF(ISDATE(B1696),TEXT(B1696,""yyyy""),""""))"),"")</f>
        <v/>
      </c>
    </row>
    <row r="1697">
      <c r="B1697" s="62"/>
      <c r="C1697" s="56"/>
      <c r="D1697" s="56"/>
      <c r="E1697" s="56"/>
      <c r="F1697" s="63"/>
      <c r="G1697" s="64"/>
      <c r="H1697" s="65"/>
      <c r="I1697" s="63"/>
      <c r="K1697" s="53" t="str">
        <f>IFERROR(__xludf.DUMMYFUNCTION("IF(ISBLANK(B1697),"""",IF(ISDATE(B1697),""X"",""""))"),"")</f>
        <v/>
      </c>
      <c r="L1697" s="40" t="str">
        <f>IFERROR(__xludf.DUMMYFUNCTION("IF(ISBLANK(B1697),"""",IF(Or(I1697=""Em Aberto"",ISBLANK(I1697),NOT(ISDATE(B1697))),"""",H1697))"),"")</f>
        <v/>
      </c>
      <c r="M1697" s="29" t="str">
        <f>IFERROR(__xludf.DUMMYFUNCTION("IF(ISBLANK(B1697),"""",IF(ISDATE(B1697),TEXT(B1697,""m""),""""))"),"")</f>
        <v/>
      </c>
      <c r="N1697" s="29" t="str">
        <f>IFERROR(__xludf.DUMMYFUNCTION("IF(M1697="""","""",QUERY({'Dashboard-Dados'!$Y$2:$AA$13},""Select Col2 Where Col1=""&amp;M1697))"),"")</f>
        <v/>
      </c>
      <c r="O1697" s="29" t="str">
        <f>IFERROR(__xludf.DUMMYFUNCTION("IF(ISBLANK(B1697),"""",IF(ISDATE(B1697),TEXT(B1697,""yyyy""),""""))"),"")</f>
        <v/>
      </c>
    </row>
    <row r="1698">
      <c r="B1698" s="62"/>
      <c r="C1698" s="56"/>
      <c r="D1698" s="56"/>
      <c r="E1698" s="56"/>
      <c r="F1698" s="63"/>
      <c r="G1698" s="64"/>
      <c r="H1698" s="65"/>
      <c r="I1698" s="63"/>
      <c r="K1698" s="53" t="str">
        <f>IFERROR(__xludf.DUMMYFUNCTION("IF(ISBLANK(B1698),"""",IF(ISDATE(B1698),""X"",""""))"),"")</f>
        <v/>
      </c>
      <c r="L1698" s="40" t="str">
        <f>IFERROR(__xludf.DUMMYFUNCTION("IF(ISBLANK(B1698),"""",IF(Or(I1698=""Em Aberto"",ISBLANK(I1698),NOT(ISDATE(B1698))),"""",H1698))"),"")</f>
        <v/>
      </c>
      <c r="M1698" s="29" t="str">
        <f>IFERROR(__xludf.DUMMYFUNCTION("IF(ISBLANK(B1698),"""",IF(ISDATE(B1698),TEXT(B1698,""m""),""""))"),"")</f>
        <v/>
      </c>
      <c r="N1698" s="29" t="str">
        <f>IFERROR(__xludf.DUMMYFUNCTION("IF(M1698="""","""",QUERY({'Dashboard-Dados'!$Y$2:$AA$13},""Select Col2 Where Col1=""&amp;M1698))"),"")</f>
        <v/>
      </c>
      <c r="O1698" s="29" t="str">
        <f>IFERROR(__xludf.DUMMYFUNCTION("IF(ISBLANK(B1698),"""",IF(ISDATE(B1698),TEXT(B1698,""yyyy""),""""))"),"")</f>
        <v/>
      </c>
    </row>
    <row r="1699">
      <c r="B1699" s="62"/>
      <c r="C1699" s="56"/>
      <c r="D1699" s="56"/>
      <c r="E1699" s="56"/>
      <c r="F1699" s="63"/>
      <c r="G1699" s="64"/>
      <c r="H1699" s="65"/>
      <c r="I1699" s="63"/>
      <c r="K1699" s="53" t="str">
        <f>IFERROR(__xludf.DUMMYFUNCTION("IF(ISBLANK(B1699),"""",IF(ISDATE(B1699),""X"",""""))"),"")</f>
        <v/>
      </c>
      <c r="L1699" s="40" t="str">
        <f>IFERROR(__xludf.DUMMYFUNCTION("IF(ISBLANK(B1699),"""",IF(Or(I1699=""Em Aberto"",ISBLANK(I1699),NOT(ISDATE(B1699))),"""",H1699))"),"")</f>
        <v/>
      </c>
      <c r="M1699" s="29" t="str">
        <f>IFERROR(__xludf.DUMMYFUNCTION("IF(ISBLANK(B1699),"""",IF(ISDATE(B1699),TEXT(B1699,""m""),""""))"),"")</f>
        <v/>
      </c>
      <c r="N1699" s="29" t="str">
        <f>IFERROR(__xludf.DUMMYFUNCTION("IF(M1699="""","""",QUERY({'Dashboard-Dados'!$Y$2:$AA$13},""Select Col2 Where Col1=""&amp;M1699))"),"")</f>
        <v/>
      </c>
      <c r="O1699" s="29" t="str">
        <f>IFERROR(__xludf.DUMMYFUNCTION("IF(ISBLANK(B1699),"""",IF(ISDATE(B1699),TEXT(B1699,""yyyy""),""""))"),"")</f>
        <v/>
      </c>
    </row>
    <row r="1700">
      <c r="B1700" s="62"/>
      <c r="C1700" s="56"/>
      <c r="D1700" s="56"/>
      <c r="E1700" s="56"/>
      <c r="F1700" s="63"/>
      <c r="G1700" s="64"/>
      <c r="H1700" s="65"/>
      <c r="I1700" s="63"/>
      <c r="K1700" s="53" t="str">
        <f>IFERROR(__xludf.DUMMYFUNCTION("IF(ISBLANK(B1700),"""",IF(ISDATE(B1700),""X"",""""))"),"")</f>
        <v/>
      </c>
      <c r="L1700" s="40" t="str">
        <f>IFERROR(__xludf.DUMMYFUNCTION("IF(ISBLANK(B1700),"""",IF(Or(I1700=""Em Aberto"",ISBLANK(I1700),NOT(ISDATE(B1700))),"""",H1700))"),"")</f>
        <v/>
      </c>
      <c r="M1700" s="29" t="str">
        <f>IFERROR(__xludf.DUMMYFUNCTION("IF(ISBLANK(B1700),"""",IF(ISDATE(B1700),TEXT(B1700,""m""),""""))"),"")</f>
        <v/>
      </c>
      <c r="N1700" s="29" t="str">
        <f>IFERROR(__xludf.DUMMYFUNCTION("IF(M1700="""","""",QUERY({'Dashboard-Dados'!$Y$2:$AA$13},""Select Col2 Where Col1=""&amp;M1700))"),"")</f>
        <v/>
      </c>
      <c r="O1700" s="29" t="str">
        <f>IFERROR(__xludf.DUMMYFUNCTION("IF(ISBLANK(B1700),"""",IF(ISDATE(B1700),TEXT(B1700,""yyyy""),""""))"),"")</f>
        <v/>
      </c>
    </row>
    <row r="1701">
      <c r="B1701" s="62"/>
      <c r="C1701" s="56"/>
      <c r="D1701" s="56"/>
      <c r="E1701" s="56"/>
      <c r="F1701" s="63"/>
      <c r="G1701" s="64"/>
      <c r="H1701" s="65"/>
      <c r="I1701" s="63"/>
      <c r="K1701" s="53" t="str">
        <f>IFERROR(__xludf.DUMMYFUNCTION("IF(ISBLANK(B1701),"""",IF(ISDATE(B1701),""X"",""""))"),"")</f>
        <v/>
      </c>
      <c r="L1701" s="40" t="str">
        <f>IFERROR(__xludf.DUMMYFUNCTION("IF(ISBLANK(B1701),"""",IF(Or(I1701=""Em Aberto"",ISBLANK(I1701),NOT(ISDATE(B1701))),"""",H1701))"),"")</f>
        <v/>
      </c>
      <c r="M1701" s="29" t="str">
        <f>IFERROR(__xludf.DUMMYFUNCTION("IF(ISBLANK(B1701),"""",IF(ISDATE(B1701),TEXT(B1701,""m""),""""))"),"")</f>
        <v/>
      </c>
      <c r="N1701" s="29" t="str">
        <f>IFERROR(__xludf.DUMMYFUNCTION("IF(M1701="""","""",QUERY({'Dashboard-Dados'!$Y$2:$AA$13},""Select Col2 Where Col1=""&amp;M1701))"),"")</f>
        <v/>
      </c>
      <c r="O1701" s="29" t="str">
        <f>IFERROR(__xludf.DUMMYFUNCTION("IF(ISBLANK(B1701),"""",IF(ISDATE(B1701),TEXT(B1701,""yyyy""),""""))"),"")</f>
        <v/>
      </c>
    </row>
    <row r="1702">
      <c r="B1702" s="62"/>
      <c r="C1702" s="56"/>
      <c r="D1702" s="56"/>
      <c r="E1702" s="56"/>
      <c r="F1702" s="63"/>
      <c r="G1702" s="64"/>
      <c r="H1702" s="65"/>
      <c r="I1702" s="63"/>
      <c r="K1702" s="53" t="str">
        <f>IFERROR(__xludf.DUMMYFUNCTION("IF(ISBLANK(B1702),"""",IF(ISDATE(B1702),""X"",""""))"),"")</f>
        <v/>
      </c>
      <c r="L1702" s="40" t="str">
        <f>IFERROR(__xludf.DUMMYFUNCTION("IF(ISBLANK(B1702),"""",IF(Or(I1702=""Em Aberto"",ISBLANK(I1702),NOT(ISDATE(B1702))),"""",H1702))"),"")</f>
        <v/>
      </c>
      <c r="M1702" s="29" t="str">
        <f>IFERROR(__xludf.DUMMYFUNCTION("IF(ISBLANK(B1702),"""",IF(ISDATE(B1702),TEXT(B1702,""m""),""""))"),"")</f>
        <v/>
      </c>
      <c r="N1702" s="29" t="str">
        <f>IFERROR(__xludf.DUMMYFUNCTION("IF(M1702="""","""",QUERY({'Dashboard-Dados'!$Y$2:$AA$13},""Select Col2 Where Col1=""&amp;M1702))"),"")</f>
        <v/>
      </c>
      <c r="O1702" s="29" t="str">
        <f>IFERROR(__xludf.DUMMYFUNCTION("IF(ISBLANK(B1702),"""",IF(ISDATE(B1702),TEXT(B1702,""yyyy""),""""))"),"")</f>
        <v/>
      </c>
    </row>
    <row r="1703">
      <c r="B1703" s="62"/>
      <c r="C1703" s="56"/>
      <c r="D1703" s="56"/>
      <c r="E1703" s="56"/>
      <c r="F1703" s="63"/>
      <c r="G1703" s="64"/>
      <c r="H1703" s="65"/>
      <c r="I1703" s="63"/>
      <c r="K1703" s="53" t="str">
        <f>IFERROR(__xludf.DUMMYFUNCTION("IF(ISBLANK(B1703),"""",IF(ISDATE(B1703),""X"",""""))"),"")</f>
        <v/>
      </c>
      <c r="L1703" s="40" t="str">
        <f>IFERROR(__xludf.DUMMYFUNCTION("IF(ISBLANK(B1703),"""",IF(Or(I1703=""Em Aberto"",ISBLANK(I1703),NOT(ISDATE(B1703))),"""",H1703))"),"")</f>
        <v/>
      </c>
      <c r="M1703" s="29" t="str">
        <f>IFERROR(__xludf.DUMMYFUNCTION("IF(ISBLANK(B1703),"""",IF(ISDATE(B1703),TEXT(B1703,""m""),""""))"),"")</f>
        <v/>
      </c>
      <c r="N1703" s="29" t="str">
        <f>IFERROR(__xludf.DUMMYFUNCTION("IF(M1703="""","""",QUERY({'Dashboard-Dados'!$Y$2:$AA$13},""Select Col2 Where Col1=""&amp;M1703))"),"")</f>
        <v/>
      </c>
      <c r="O1703" s="29" t="str">
        <f>IFERROR(__xludf.DUMMYFUNCTION("IF(ISBLANK(B1703),"""",IF(ISDATE(B1703),TEXT(B1703,""yyyy""),""""))"),"")</f>
        <v/>
      </c>
    </row>
    <row r="1704">
      <c r="B1704" s="62"/>
      <c r="C1704" s="56"/>
      <c r="D1704" s="56"/>
      <c r="E1704" s="56"/>
      <c r="F1704" s="63"/>
      <c r="G1704" s="64"/>
      <c r="H1704" s="65"/>
      <c r="I1704" s="63"/>
      <c r="K1704" s="53" t="str">
        <f>IFERROR(__xludf.DUMMYFUNCTION("IF(ISBLANK(B1704),"""",IF(ISDATE(B1704),""X"",""""))"),"")</f>
        <v/>
      </c>
      <c r="L1704" s="40" t="str">
        <f>IFERROR(__xludf.DUMMYFUNCTION("IF(ISBLANK(B1704),"""",IF(Or(I1704=""Em Aberto"",ISBLANK(I1704),NOT(ISDATE(B1704))),"""",H1704))"),"")</f>
        <v/>
      </c>
      <c r="M1704" s="29" t="str">
        <f>IFERROR(__xludf.DUMMYFUNCTION("IF(ISBLANK(B1704),"""",IF(ISDATE(B1704),TEXT(B1704,""m""),""""))"),"")</f>
        <v/>
      </c>
      <c r="N1704" s="29" t="str">
        <f>IFERROR(__xludf.DUMMYFUNCTION("IF(M1704="""","""",QUERY({'Dashboard-Dados'!$Y$2:$AA$13},""Select Col2 Where Col1=""&amp;M1704))"),"")</f>
        <v/>
      </c>
      <c r="O1704" s="29" t="str">
        <f>IFERROR(__xludf.DUMMYFUNCTION("IF(ISBLANK(B1704),"""",IF(ISDATE(B1704),TEXT(B1704,""yyyy""),""""))"),"")</f>
        <v/>
      </c>
    </row>
    <row r="1705">
      <c r="B1705" s="62"/>
      <c r="C1705" s="56"/>
      <c r="D1705" s="56"/>
      <c r="E1705" s="56"/>
      <c r="F1705" s="63"/>
      <c r="G1705" s="64"/>
      <c r="H1705" s="65"/>
      <c r="I1705" s="63"/>
      <c r="K1705" s="53" t="str">
        <f>IFERROR(__xludf.DUMMYFUNCTION("IF(ISBLANK(B1705),"""",IF(ISDATE(B1705),""X"",""""))"),"")</f>
        <v/>
      </c>
      <c r="L1705" s="40" t="str">
        <f>IFERROR(__xludf.DUMMYFUNCTION("IF(ISBLANK(B1705),"""",IF(Or(I1705=""Em Aberto"",ISBLANK(I1705),NOT(ISDATE(B1705))),"""",H1705))"),"")</f>
        <v/>
      </c>
      <c r="M1705" s="29" t="str">
        <f>IFERROR(__xludf.DUMMYFUNCTION("IF(ISBLANK(B1705),"""",IF(ISDATE(B1705),TEXT(B1705,""m""),""""))"),"")</f>
        <v/>
      </c>
      <c r="N1705" s="29" t="str">
        <f>IFERROR(__xludf.DUMMYFUNCTION("IF(M1705="""","""",QUERY({'Dashboard-Dados'!$Y$2:$AA$13},""Select Col2 Where Col1=""&amp;M1705))"),"")</f>
        <v/>
      </c>
      <c r="O1705" s="29" t="str">
        <f>IFERROR(__xludf.DUMMYFUNCTION("IF(ISBLANK(B1705),"""",IF(ISDATE(B1705),TEXT(B1705,""yyyy""),""""))"),"")</f>
        <v/>
      </c>
    </row>
    <row r="1706">
      <c r="B1706" s="62"/>
      <c r="C1706" s="56"/>
      <c r="D1706" s="56"/>
      <c r="E1706" s="56"/>
      <c r="F1706" s="63"/>
      <c r="G1706" s="64"/>
      <c r="H1706" s="65"/>
      <c r="I1706" s="63"/>
      <c r="K1706" s="53" t="str">
        <f>IFERROR(__xludf.DUMMYFUNCTION("IF(ISBLANK(B1706),"""",IF(ISDATE(B1706),""X"",""""))"),"")</f>
        <v/>
      </c>
      <c r="L1706" s="40" t="str">
        <f>IFERROR(__xludf.DUMMYFUNCTION("IF(ISBLANK(B1706),"""",IF(Or(I1706=""Em Aberto"",ISBLANK(I1706),NOT(ISDATE(B1706))),"""",H1706))"),"")</f>
        <v/>
      </c>
      <c r="M1706" s="29" t="str">
        <f>IFERROR(__xludf.DUMMYFUNCTION("IF(ISBLANK(B1706),"""",IF(ISDATE(B1706),TEXT(B1706,""m""),""""))"),"")</f>
        <v/>
      </c>
      <c r="N1706" s="29" t="str">
        <f>IFERROR(__xludf.DUMMYFUNCTION("IF(M1706="""","""",QUERY({'Dashboard-Dados'!$Y$2:$AA$13},""Select Col2 Where Col1=""&amp;M1706))"),"")</f>
        <v/>
      </c>
      <c r="O1706" s="29" t="str">
        <f>IFERROR(__xludf.DUMMYFUNCTION("IF(ISBLANK(B1706),"""",IF(ISDATE(B1706),TEXT(B1706,""yyyy""),""""))"),"")</f>
        <v/>
      </c>
    </row>
    <row r="1707">
      <c r="B1707" s="62"/>
      <c r="C1707" s="56"/>
      <c r="D1707" s="56"/>
      <c r="E1707" s="56"/>
      <c r="F1707" s="63"/>
      <c r="G1707" s="64"/>
      <c r="H1707" s="65"/>
      <c r="I1707" s="63"/>
      <c r="K1707" s="53" t="str">
        <f>IFERROR(__xludf.DUMMYFUNCTION("IF(ISBLANK(B1707),"""",IF(ISDATE(B1707),""X"",""""))"),"")</f>
        <v/>
      </c>
      <c r="L1707" s="40" t="str">
        <f>IFERROR(__xludf.DUMMYFUNCTION("IF(ISBLANK(B1707),"""",IF(Or(I1707=""Em Aberto"",ISBLANK(I1707),NOT(ISDATE(B1707))),"""",H1707))"),"")</f>
        <v/>
      </c>
      <c r="M1707" s="29" t="str">
        <f>IFERROR(__xludf.DUMMYFUNCTION("IF(ISBLANK(B1707),"""",IF(ISDATE(B1707),TEXT(B1707,""m""),""""))"),"")</f>
        <v/>
      </c>
      <c r="N1707" s="29" t="str">
        <f>IFERROR(__xludf.DUMMYFUNCTION("IF(M1707="""","""",QUERY({'Dashboard-Dados'!$Y$2:$AA$13},""Select Col2 Where Col1=""&amp;M1707))"),"")</f>
        <v/>
      </c>
      <c r="O1707" s="29" t="str">
        <f>IFERROR(__xludf.DUMMYFUNCTION("IF(ISBLANK(B1707),"""",IF(ISDATE(B1707),TEXT(B1707,""yyyy""),""""))"),"")</f>
        <v/>
      </c>
    </row>
    <row r="1708">
      <c r="B1708" s="62"/>
      <c r="C1708" s="56"/>
      <c r="D1708" s="56"/>
      <c r="E1708" s="56"/>
      <c r="F1708" s="63"/>
      <c r="G1708" s="64"/>
      <c r="H1708" s="65"/>
      <c r="I1708" s="63"/>
      <c r="K1708" s="53" t="str">
        <f>IFERROR(__xludf.DUMMYFUNCTION("IF(ISBLANK(B1708),"""",IF(ISDATE(B1708),""X"",""""))"),"")</f>
        <v/>
      </c>
      <c r="L1708" s="40" t="str">
        <f>IFERROR(__xludf.DUMMYFUNCTION("IF(ISBLANK(B1708),"""",IF(Or(I1708=""Em Aberto"",ISBLANK(I1708),NOT(ISDATE(B1708))),"""",H1708))"),"")</f>
        <v/>
      </c>
      <c r="M1708" s="29" t="str">
        <f>IFERROR(__xludf.DUMMYFUNCTION("IF(ISBLANK(B1708),"""",IF(ISDATE(B1708),TEXT(B1708,""m""),""""))"),"")</f>
        <v/>
      </c>
      <c r="N1708" s="29" t="str">
        <f>IFERROR(__xludf.DUMMYFUNCTION("IF(M1708="""","""",QUERY({'Dashboard-Dados'!$Y$2:$AA$13},""Select Col2 Where Col1=""&amp;M1708))"),"")</f>
        <v/>
      </c>
      <c r="O1708" s="29" t="str">
        <f>IFERROR(__xludf.DUMMYFUNCTION("IF(ISBLANK(B1708),"""",IF(ISDATE(B1708),TEXT(B1708,""yyyy""),""""))"),"")</f>
        <v/>
      </c>
    </row>
    <row r="1709">
      <c r="B1709" s="62"/>
      <c r="C1709" s="56"/>
      <c r="D1709" s="56"/>
      <c r="E1709" s="56"/>
      <c r="F1709" s="63"/>
      <c r="G1709" s="64"/>
      <c r="H1709" s="65"/>
      <c r="I1709" s="63"/>
      <c r="K1709" s="53" t="str">
        <f>IFERROR(__xludf.DUMMYFUNCTION("IF(ISBLANK(B1709),"""",IF(ISDATE(B1709),""X"",""""))"),"")</f>
        <v/>
      </c>
      <c r="L1709" s="40" t="str">
        <f>IFERROR(__xludf.DUMMYFUNCTION("IF(ISBLANK(B1709),"""",IF(Or(I1709=""Em Aberto"",ISBLANK(I1709),NOT(ISDATE(B1709))),"""",H1709))"),"")</f>
        <v/>
      </c>
      <c r="M1709" s="29" t="str">
        <f>IFERROR(__xludf.DUMMYFUNCTION("IF(ISBLANK(B1709),"""",IF(ISDATE(B1709),TEXT(B1709,""m""),""""))"),"")</f>
        <v/>
      </c>
      <c r="N1709" s="29" t="str">
        <f>IFERROR(__xludf.DUMMYFUNCTION("IF(M1709="""","""",QUERY({'Dashboard-Dados'!$Y$2:$AA$13},""Select Col2 Where Col1=""&amp;M1709))"),"")</f>
        <v/>
      </c>
      <c r="O1709" s="29" t="str">
        <f>IFERROR(__xludf.DUMMYFUNCTION("IF(ISBLANK(B1709),"""",IF(ISDATE(B1709),TEXT(B1709,""yyyy""),""""))"),"")</f>
        <v/>
      </c>
    </row>
    <row r="1710">
      <c r="B1710" s="62"/>
      <c r="C1710" s="56"/>
      <c r="D1710" s="56"/>
      <c r="E1710" s="56"/>
      <c r="F1710" s="63"/>
      <c r="G1710" s="64"/>
      <c r="H1710" s="65"/>
      <c r="I1710" s="63"/>
      <c r="K1710" s="53" t="str">
        <f>IFERROR(__xludf.DUMMYFUNCTION("IF(ISBLANK(B1710),"""",IF(ISDATE(B1710),""X"",""""))"),"")</f>
        <v/>
      </c>
      <c r="L1710" s="40" t="str">
        <f>IFERROR(__xludf.DUMMYFUNCTION("IF(ISBLANK(B1710),"""",IF(Or(I1710=""Em Aberto"",ISBLANK(I1710),NOT(ISDATE(B1710))),"""",H1710))"),"")</f>
        <v/>
      </c>
      <c r="M1710" s="29" t="str">
        <f>IFERROR(__xludf.DUMMYFUNCTION("IF(ISBLANK(B1710),"""",IF(ISDATE(B1710),TEXT(B1710,""m""),""""))"),"")</f>
        <v/>
      </c>
      <c r="N1710" s="29" t="str">
        <f>IFERROR(__xludf.DUMMYFUNCTION("IF(M1710="""","""",QUERY({'Dashboard-Dados'!$Y$2:$AA$13},""Select Col2 Where Col1=""&amp;M1710))"),"")</f>
        <v/>
      </c>
      <c r="O1710" s="29" t="str">
        <f>IFERROR(__xludf.DUMMYFUNCTION("IF(ISBLANK(B1710),"""",IF(ISDATE(B1710),TEXT(B1710,""yyyy""),""""))"),"")</f>
        <v/>
      </c>
    </row>
    <row r="1711">
      <c r="B1711" s="62"/>
      <c r="C1711" s="56"/>
      <c r="D1711" s="56"/>
      <c r="E1711" s="56"/>
      <c r="F1711" s="63"/>
      <c r="G1711" s="64"/>
      <c r="H1711" s="65"/>
      <c r="I1711" s="63"/>
      <c r="K1711" s="53" t="str">
        <f>IFERROR(__xludf.DUMMYFUNCTION("IF(ISBLANK(B1711),"""",IF(ISDATE(B1711),""X"",""""))"),"")</f>
        <v/>
      </c>
      <c r="L1711" s="40" t="str">
        <f>IFERROR(__xludf.DUMMYFUNCTION("IF(ISBLANK(B1711),"""",IF(Or(I1711=""Em Aberto"",ISBLANK(I1711),NOT(ISDATE(B1711))),"""",H1711))"),"")</f>
        <v/>
      </c>
      <c r="M1711" s="29" t="str">
        <f>IFERROR(__xludf.DUMMYFUNCTION("IF(ISBLANK(B1711),"""",IF(ISDATE(B1711),TEXT(B1711,""m""),""""))"),"")</f>
        <v/>
      </c>
      <c r="N1711" s="29" t="str">
        <f>IFERROR(__xludf.DUMMYFUNCTION("IF(M1711="""","""",QUERY({'Dashboard-Dados'!$Y$2:$AA$13},""Select Col2 Where Col1=""&amp;M1711))"),"")</f>
        <v/>
      </c>
      <c r="O1711" s="29" t="str">
        <f>IFERROR(__xludf.DUMMYFUNCTION("IF(ISBLANK(B1711),"""",IF(ISDATE(B1711),TEXT(B1711,""yyyy""),""""))"),"")</f>
        <v/>
      </c>
    </row>
    <row r="1712">
      <c r="B1712" s="62"/>
      <c r="C1712" s="56"/>
      <c r="D1712" s="56"/>
      <c r="E1712" s="56"/>
      <c r="F1712" s="63"/>
      <c r="G1712" s="64"/>
      <c r="H1712" s="65"/>
      <c r="I1712" s="63"/>
      <c r="K1712" s="53" t="str">
        <f>IFERROR(__xludf.DUMMYFUNCTION("IF(ISBLANK(B1712),"""",IF(ISDATE(B1712),""X"",""""))"),"")</f>
        <v/>
      </c>
      <c r="L1712" s="40" t="str">
        <f>IFERROR(__xludf.DUMMYFUNCTION("IF(ISBLANK(B1712),"""",IF(Or(I1712=""Em Aberto"",ISBLANK(I1712),NOT(ISDATE(B1712))),"""",H1712))"),"")</f>
        <v/>
      </c>
      <c r="M1712" s="29" t="str">
        <f>IFERROR(__xludf.DUMMYFUNCTION("IF(ISBLANK(B1712),"""",IF(ISDATE(B1712),TEXT(B1712,""m""),""""))"),"")</f>
        <v/>
      </c>
      <c r="N1712" s="29" t="str">
        <f>IFERROR(__xludf.DUMMYFUNCTION("IF(M1712="""","""",QUERY({'Dashboard-Dados'!$Y$2:$AA$13},""Select Col2 Where Col1=""&amp;M1712))"),"")</f>
        <v/>
      </c>
      <c r="O1712" s="29" t="str">
        <f>IFERROR(__xludf.DUMMYFUNCTION("IF(ISBLANK(B1712),"""",IF(ISDATE(B1712),TEXT(B1712,""yyyy""),""""))"),"")</f>
        <v/>
      </c>
    </row>
    <row r="1713">
      <c r="B1713" s="62"/>
      <c r="C1713" s="56"/>
      <c r="D1713" s="56"/>
      <c r="E1713" s="56"/>
      <c r="F1713" s="63"/>
      <c r="G1713" s="64"/>
      <c r="H1713" s="65"/>
      <c r="I1713" s="63"/>
      <c r="K1713" s="53" t="str">
        <f>IFERROR(__xludf.DUMMYFUNCTION("IF(ISBLANK(B1713),"""",IF(ISDATE(B1713),""X"",""""))"),"")</f>
        <v/>
      </c>
      <c r="L1713" s="40" t="str">
        <f>IFERROR(__xludf.DUMMYFUNCTION("IF(ISBLANK(B1713),"""",IF(Or(I1713=""Em Aberto"",ISBLANK(I1713),NOT(ISDATE(B1713))),"""",H1713))"),"")</f>
        <v/>
      </c>
      <c r="M1713" s="29" t="str">
        <f>IFERROR(__xludf.DUMMYFUNCTION("IF(ISBLANK(B1713),"""",IF(ISDATE(B1713),TEXT(B1713,""m""),""""))"),"")</f>
        <v/>
      </c>
      <c r="N1713" s="29" t="str">
        <f>IFERROR(__xludf.DUMMYFUNCTION("IF(M1713="""","""",QUERY({'Dashboard-Dados'!$Y$2:$AA$13},""Select Col2 Where Col1=""&amp;M1713))"),"")</f>
        <v/>
      </c>
      <c r="O1713" s="29" t="str">
        <f>IFERROR(__xludf.DUMMYFUNCTION("IF(ISBLANK(B1713),"""",IF(ISDATE(B1713),TEXT(B1713,""yyyy""),""""))"),"")</f>
        <v/>
      </c>
    </row>
    <row r="1714">
      <c r="B1714" s="62"/>
      <c r="C1714" s="56"/>
      <c r="D1714" s="56"/>
      <c r="E1714" s="56"/>
      <c r="F1714" s="63"/>
      <c r="G1714" s="64"/>
      <c r="H1714" s="65"/>
      <c r="I1714" s="63"/>
      <c r="K1714" s="53" t="str">
        <f>IFERROR(__xludf.DUMMYFUNCTION("IF(ISBLANK(B1714),"""",IF(ISDATE(B1714),""X"",""""))"),"")</f>
        <v/>
      </c>
      <c r="L1714" s="40" t="str">
        <f>IFERROR(__xludf.DUMMYFUNCTION("IF(ISBLANK(B1714),"""",IF(Or(I1714=""Em Aberto"",ISBLANK(I1714),NOT(ISDATE(B1714))),"""",H1714))"),"")</f>
        <v/>
      </c>
      <c r="M1714" s="29" t="str">
        <f>IFERROR(__xludf.DUMMYFUNCTION("IF(ISBLANK(B1714),"""",IF(ISDATE(B1714),TEXT(B1714,""m""),""""))"),"")</f>
        <v/>
      </c>
      <c r="N1714" s="29" t="str">
        <f>IFERROR(__xludf.DUMMYFUNCTION("IF(M1714="""","""",QUERY({'Dashboard-Dados'!$Y$2:$AA$13},""Select Col2 Where Col1=""&amp;M1714))"),"")</f>
        <v/>
      </c>
      <c r="O1714" s="29" t="str">
        <f>IFERROR(__xludf.DUMMYFUNCTION("IF(ISBLANK(B1714),"""",IF(ISDATE(B1714),TEXT(B1714,""yyyy""),""""))"),"")</f>
        <v/>
      </c>
    </row>
    <row r="1715">
      <c r="B1715" s="62"/>
      <c r="C1715" s="56"/>
      <c r="D1715" s="56"/>
      <c r="E1715" s="56"/>
      <c r="F1715" s="63"/>
      <c r="G1715" s="64"/>
      <c r="H1715" s="65"/>
      <c r="I1715" s="63"/>
      <c r="K1715" s="53" t="str">
        <f>IFERROR(__xludf.DUMMYFUNCTION("IF(ISBLANK(B1715),"""",IF(ISDATE(B1715),""X"",""""))"),"")</f>
        <v/>
      </c>
      <c r="L1715" s="40" t="str">
        <f>IFERROR(__xludf.DUMMYFUNCTION("IF(ISBLANK(B1715),"""",IF(Or(I1715=""Em Aberto"",ISBLANK(I1715),NOT(ISDATE(B1715))),"""",H1715))"),"")</f>
        <v/>
      </c>
      <c r="M1715" s="29" t="str">
        <f>IFERROR(__xludf.DUMMYFUNCTION("IF(ISBLANK(B1715),"""",IF(ISDATE(B1715),TEXT(B1715,""m""),""""))"),"")</f>
        <v/>
      </c>
      <c r="N1715" s="29" t="str">
        <f>IFERROR(__xludf.DUMMYFUNCTION("IF(M1715="""","""",QUERY({'Dashboard-Dados'!$Y$2:$AA$13},""Select Col2 Where Col1=""&amp;M1715))"),"")</f>
        <v/>
      </c>
      <c r="O1715" s="29" t="str">
        <f>IFERROR(__xludf.DUMMYFUNCTION("IF(ISBLANK(B1715),"""",IF(ISDATE(B1715),TEXT(B1715,""yyyy""),""""))"),"")</f>
        <v/>
      </c>
    </row>
    <row r="1716">
      <c r="B1716" s="62"/>
      <c r="C1716" s="56"/>
      <c r="D1716" s="56"/>
      <c r="E1716" s="56"/>
      <c r="F1716" s="63"/>
      <c r="G1716" s="64"/>
      <c r="H1716" s="65"/>
      <c r="I1716" s="63"/>
      <c r="K1716" s="53" t="str">
        <f>IFERROR(__xludf.DUMMYFUNCTION("IF(ISBLANK(B1716),"""",IF(ISDATE(B1716),""X"",""""))"),"")</f>
        <v/>
      </c>
      <c r="L1716" s="40" t="str">
        <f>IFERROR(__xludf.DUMMYFUNCTION("IF(ISBLANK(B1716),"""",IF(Or(I1716=""Em Aberto"",ISBLANK(I1716),NOT(ISDATE(B1716))),"""",H1716))"),"")</f>
        <v/>
      </c>
      <c r="M1716" s="29" t="str">
        <f>IFERROR(__xludf.DUMMYFUNCTION("IF(ISBLANK(B1716),"""",IF(ISDATE(B1716),TEXT(B1716,""m""),""""))"),"")</f>
        <v/>
      </c>
      <c r="N1716" s="29" t="str">
        <f>IFERROR(__xludf.DUMMYFUNCTION("IF(M1716="""","""",QUERY({'Dashboard-Dados'!$Y$2:$AA$13},""Select Col2 Where Col1=""&amp;M1716))"),"")</f>
        <v/>
      </c>
      <c r="O1716" s="29" t="str">
        <f>IFERROR(__xludf.DUMMYFUNCTION("IF(ISBLANK(B1716),"""",IF(ISDATE(B1716),TEXT(B1716,""yyyy""),""""))"),"")</f>
        <v/>
      </c>
    </row>
    <row r="1717">
      <c r="B1717" s="62"/>
      <c r="C1717" s="56"/>
      <c r="D1717" s="56"/>
      <c r="E1717" s="56"/>
      <c r="F1717" s="63"/>
      <c r="G1717" s="64"/>
      <c r="H1717" s="65"/>
      <c r="I1717" s="63"/>
      <c r="K1717" s="53" t="str">
        <f>IFERROR(__xludf.DUMMYFUNCTION("IF(ISBLANK(B1717),"""",IF(ISDATE(B1717),""X"",""""))"),"")</f>
        <v/>
      </c>
      <c r="L1717" s="40" t="str">
        <f>IFERROR(__xludf.DUMMYFUNCTION("IF(ISBLANK(B1717),"""",IF(Or(I1717=""Em Aberto"",ISBLANK(I1717),NOT(ISDATE(B1717))),"""",H1717))"),"")</f>
        <v/>
      </c>
      <c r="M1717" s="29" t="str">
        <f>IFERROR(__xludf.DUMMYFUNCTION("IF(ISBLANK(B1717),"""",IF(ISDATE(B1717),TEXT(B1717,""m""),""""))"),"")</f>
        <v/>
      </c>
      <c r="N1717" s="29" t="str">
        <f>IFERROR(__xludf.DUMMYFUNCTION("IF(M1717="""","""",QUERY({'Dashboard-Dados'!$Y$2:$AA$13},""Select Col2 Where Col1=""&amp;M1717))"),"")</f>
        <v/>
      </c>
      <c r="O1717" s="29" t="str">
        <f>IFERROR(__xludf.DUMMYFUNCTION("IF(ISBLANK(B1717),"""",IF(ISDATE(B1717),TEXT(B1717,""yyyy""),""""))"),"")</f>
        <v/>
      </c>
    </row>
    <row r="1718">
      <c r="B1718" s="62"/>
      <c r="C1718" s="56"/>
      <c r="D1718" s="56"/>
      <c r="E1718" s="56"/>
      <c r="F1718" s="63"/>
      <c r="G1718" s="64"/>
      <c r="H1718" s="65"/>
      <c r="I1718" s="63"/>
      <c r="K1718" s="53" t="str">
        <f>IFERROR(__xludf.DUMMYFUNCTION("IF(ISBLANK(B1718),"""",IF(ISDATE(B1718),""X"",""""))"),"")</f>
        <v/>
      </c>
      <c r="L1718" s="40" t="str">
        <f>IFERROR(__xludf.DUMMYFUNCTION("IF(ISBLANK(B1718),"""",IF(Or(I1718=""Em Aberto"",ISBLANK(I1718),NOT(ISDATE(B1718))),"""",H1718))"),"")</f>
        <v/>
      </c>
      <c r="M1718" s="29" t="str">
        <f>IFERROR(__xludf.DUMMYFUNCTION("IF(ISBLANK(B1718),"""",IF(ISDATE(B1718),TEXT(B1718,""m""),""""))"),"")</f>
        <v/>
      </c>
      <c r="N1718" s="29" t="str">
        <f>IFERROR(__xludf.DUMMYFUNCTION("IF(M1718="""","""",QUERY({'Dashboard-Dados'!$Y$2:$AA$13},""Select Col2 Where Col1=""&amp;M1718))"),"")</f>
        <v/>
      </c>
      <c r="O1718" s="29" t="str">
        <f>IFERROR(__xludf.DUMMYFUNCTION("IF(ISBLANK(B1718),"""",IF(ISDATE(B1718),TEXT(B1718,""yyyy""),""""))"),"")</f>
        <v/>
      </c>
    </row>
    <row r="1719">
      <c r="B1719" s="62"/>
      <c r="C1719" s="56"/>
      <c r="D1719" s="56"/>
      <c r="E1719" s="56"/>
      <c r="F1719" s="63"/>
      <c r="G1719" s="64"/>
      <c r="H1719" s="65"/>
      <c r="I1719" s="63"/>
      <c r="K1719" s="53" t="str">
        <f>IFERROR(__xludf.DUMMYFUNCTION("IF(ISBLANK(B1719),"""",IF(ISDATE(B1719),""X"",""""))"),"")</f>
        <v/>
      </c>
      <c r="L1719" s="40" t="str">
        <f>IFERROR(__xludf.DUMMYFUNCTION("IF(ISBLANK(B1719),"""",IF(Or(I1719=""Em Aberto"",ISBLANK(I1719),NOT(ISDATE(B1719))),"""",H1719))"),"")</f>
        <v/>
      </c>
      <c r="M1719" s="29" t="str">
        <f>IFERROR(__xludf.DUMMYFUNCTION("IF(ISBLANK(B1719),"""",IF(ISDATE(B1719),TEXT(B1719,""m""),""""))"),"")</f>
        <v/>
      </c>
      <c r="N1719" s="29" t="str">
        <f>IFERROR(__xludf.DUMMYFUNCTION("IF(M1719="""","""",QUERY({'Dashboard-Dados'!$Y$2:$AA$13},""Select Col2 Where Col1=""&amp;M1719))"),"")</f>
        <v/>
      </c>
      <c r="O1719" s="29" t="str">
        <f>IFERROR(__xludf.DUMMYFUNCTION("IF(ISBLANK(B1719),"""",IF(ISDATE(B1719),TEXT(B1719,""yyyy""),""""))"),"")</f>
        <v/>
      </c>
    </row>
    <row r="1720">
      <c r="B1720" s="62"/>
      <c r="C1720" s="56"/>
      <c r="D1720" s="56"/>
      <c r="E1720" s="56"/>
      <c r="F1720" s="63"/>
      <c r="G1720" s="64"/>
      <c r="H1720" s="65"/>
      <c r="I1720" s="63"/>
      <c r="K1720" s="53" t="str">
        <f>IFERROR(__xludf.DUMMYFUNCTION("IF(ISBLANK(B1720),"""",IF(ISDATE(B1720),""X"",""""))"),"")</f>
        <v/>
      </c>
      <c r="L1720" s="40" t="str">
        <f>IFERROR(__xludf.DUMMYFUNCTION("IF(ISBLANK(B1720),"""",IF(Or(I1720=""Em Aberto"",ISBLANK(I1720),NOT(ISDATE(B1720))),"""",H1720))"),"")</f>
        <v/>
      </c>
      <c r="M1720" s="29" t="str">
        <f>IFERROR(__xludf.DUMMYFUNCTION("IF(ISBLANK(B1720),"""",IF(ISDATE(B1720),TEXT(B1720,""m""),""""))"),"")</f>
        <v/>
      </c>
      <c r="N1720" s="29" t="str">
        <f>IFERROR(__xludf.DUMMYFUNCTION("IF(M1720="""","""",QUERY({'Dashboard-Dados'!$Y$2:$AA$13},""Select Col2 Where Col1=""&amp;M1720))"),"")</f>
        <v/>
      </c>
      <c r="O1720" s="29" t="str">
        <f>IFERROR(__xludf.DUMMYFUNCTION("IF(ISBLANK(B1720),"""",IF(ISDATE(B1720),TEXT(B1720,""yyyy""),""""))"),"")</f>
        <v/>
      </c>
    </row>
    <row r="1721">
      <c r="B1721" s="62"/>
      <c r="C1721" s="56"/>
      <c r="D1721" s="56"/>
      <c r="E1721" s="56"/>
      <c r="F1721" s="63"/>
      <c r="G1721" s="64"/>
      <c r="H1721" s="65"/>
      <c r="I1721" s="63"/>
      <c r="K1721" s="53" t="str">
        <f>IFERROR(__xludf.DUMMYFUNCTION("IF(ISBLANK(B1721),"""",IF(ISDATE(B1721),""X"",""""))"),"")</f>
        <v/>
      </c>
      <c r="L1721" s="40" t="str">
        <f>IFERROR(__xludf.DUMMYFUNCTION("IF(ISBLANK(B1721),"""",IF(Or(I1721=""Em Aberto"",ISBLANK(I1721),NOT(ISDATE(B1721))),"""",H1721))"),"")</f>
        <v/>
      </c>
      <c r="M1721" s="29" t="str">
        <f>IFERROR(__xludf.DUMMYFUNCTION("IF(ISBLANK(B1721),"""",IF(ISDATE(B1721),TEXT(B1721,""m""),""""))"),"")</f>
        <v/>
      </c>
      <c r="N1721" s="29" t="str">
        <f>IFERROR(__xludf.DUMMYFUNCTION("IF(M1721="""","""",QUERY({'Dashboard-Dados'!$Y$2:$AA$13},""Select Col2 Where Col1=""&amp;M1721))"),"")</f>
        <v/>
      </c>
      <c r="O1721" s="29" t="str">
        <f>IFERROR(__xludf.DUMMYFUNCTION("IF(ISBLANK(B1721),"""",IF(ISDATE(B1721),TEXT(B1721,""yyyy""),""""))"),"")</f>
        <v/>
      </c>
    </row>
    <row r="1722">
      <c r="B1722" s="62"/>
      <c r="C1722" s="56"/>
      <c r="D1722" s="56"/>
      <c r="E1722" s="56"/>
      <c r="F1722" s="63"/>
      <c r="G1722" s="64"/>
      <c r="H1722" s="65"/>
      <c r="I1722" s="63"/>
      <c r="K1722" s="53" t="str">
        <f>IFERROR(__xludf.DUMMYFUNCTION("IF(ISBLANK(B1722),"""",IF(ISDATE(B1722),""X"",""""))"),"")</f>
        <v/>
      </c>
      <c r="L1722" s="40" t="str">
        <f>IFERROR(__xludf.DUMMYFUNCTION("IF(ISBLANK(B1722),"""",IF(Or(I1722=""Em Aberto"",ISBLANK(I1722),NOT(ISDATE(B1722))),"""",H1722))"),"")</f>
        <v/>
      </c>
      <c r="M1722" s="29" t="str">
        <f>IFERROR(__xludf.DUMMYFUNCTION("IF(ISBLANK(B1722),"""",IF(ISDATE(B1722),TEXT(B1722,""m""),""""))"),"")</f>
        <v/>
      </c>
      <c r="N1722" s="29" t="str">
        <f>IFERROR(__xludf.DUMMYFUNCTION("IF(M1722="""","""",QUERY({'Dashboard-Dados'!$Y$2:$AA$13},""Select Col2 Where Col1=""&amp;M1722))"),"")</f>
        <v/>
      </c>
      <c r="O1722" s="29" t="str">
        <f>IFERROR(__xludf.DUMMYFUNCTION("IF(ISBLANK(B1722),"""",IF(ISDATE(B1722),TEXT(B1722,""yyyy""),""""))"),"")</f>
        <v/>
      </c>
    </row>
    <row r="1723">
      <c r="B1723" s="62"/>
      <c r="C1723" s="56"/>
      <c r="D1723" s="56"/>
      <c r="E1723" s="56"/>
      <c r="F1723" s="63"/>
      <c r="G1723" s="64"/>
      <c r="H1723" s="65"/>
      <c r="I1723" s="63"/>
      <c r="K1723" s="53" t="str">
        <f>IFERROR(__xludf.DUMMYFUNCTION("IF(ISBLANK(B1723),"""",IF(ISDATE(B1723),""X"",""""))"),"")</f>
        <v/>
      </c>
      <c r="L1723" s="40" t="str">
        <f>IFERROR(__xludf.DUMMYFUNCTION("IF(ISBLANK(B1723),"""",IF(Or(I1723=""Em Aberto"",ISBLANK(I1723),NOT(ISDATE(B1723))),"""",H1723))"),"")</f>
        <v/>
      </c>
      <c r="M1723" s="29" t="str">
        <f>IFERROR(__xludf.DUMMYFUNCTION("IF(ISBLANK(B1723),"""",IF(ISDATE(B1723),TEXT(B1723,""m""),""""))"),"")</f>
        <v/>
      </c>
      <c r="N1723" s="29" t="str">
        <f>IFERROR(__xludf.DUMMYFUNCTION("IF(M1723="""","""",QUERY({'Dashboard-Dados'!$Y$2:$AA$13},""Select Col2 Where Col1=""&amp;M1723))"),"")</f>
        <v/>
      </c>
      <c r="O1723" s="29" t="str">
        <f>IFERROR(__xludf.DUMMYFUNCTION("IF(ISBLANK(B1723),"""",IF(ISDATE(B1723),TEXT(B1723,""yyyy""),""""))"),"")</f>
        <v/>
      </c>
    </row>
    <row r="1724">
      <c r="B1724" s="62"/>
      <c r="C1724" s="56"/>
      <c r="D1724" s="56"/>
      <c r="E1724" s="56"/>
      <c r="F1724" s="63"/>
      <c r="G1724" s="64"/>
      <c r="H1724" s="65"/>
      <c r="I1724" s="63"/>
      <c r="K1724" s="53" t="str">
        <f>IFERROR(__xludf.DUMMYFUNCTION("IF(ISBLANK(B1724),"""",IF(ISDATE(B1724),""X"",""""))"),"")</f>
        <v/>
      </c>
      <c r="L1724" s="40" t="str">
        <f>IFERROR(__xludf.DUMMYFUNCTION("IF(ISBLANK(B1724),"""",IF(Or(I1724=""Em Aberto"",ISBLANK(I1724),NOT(ISDATE(B1724))),"""",H1724))"),"")</f>
        <v/>
      </c>
      <c r="M1724" s="29" t="str">
        <f>IFERROR(__xludf.DUMMYFUNCTION("IF(ISBLANK(B1724),"""",IF(ISDATE(B1724),TEXT(B1724,""m""),""""))"),"")</f>
        <v/>
      </c>
      <c r="N1724" s="29" t="str">
        <f>IFERROR(__xludf.DUMMYFUNCTION("IF(M1724="""","""",QUERY({'Dashboard-Dados'!$Y$2:$AA$13},""Select Col2 Where Col1=""&amp;M1724))"),"")</f>
        <v/>
      </c>
      <c r="O1724" s="29" t="str">
        <f>IFERROR(__xludf.DUMMYFUNCTION("IF(ISBLANK(B1724),"""",IF(ISDATE(B1724),TEXT(B1724,""yyyy""),""""))"),"")</f>
        <v/>
      </c>
    </row>
    <row r="1725">
      <c r="B1725" s="62"/>
      <c r="C1725" s="56"/>
      <c r="D1725" s="56"/>
      <c r="E1725" s="56"/>
      <c r="F1725" s="63"/>
      <c r="G1725" s="64"/>
      <c r="H1725" s="65"/>
      <c r="I1725" s="63"/>
      <c r="K1725" s="53" t="str">
        <f>IFERROR(__xludf.DUMMYFUNCTION("IF(ISBLANK(B1725),"""",IF(ISDATE(B1725),""X"",""""))"),"")</f>
        <v/>
      </c>
      <c r="L1725" s="40" t="str">
        <f>IFERROR(__xludf.DUMMYFUNCTION("IF(ISBLANK(B1725),"""",IF(Or(I1725=""Em Aberto"",ISBLANK(I1725),NOT(ISDATE(B1725))),"""",H1725))"),"")</f>
        <v/>
      </c>
      <c r="M1725" s="29" t="str">
        <f>IFERROR(__xludf.DUMMYFUNCTION("IF(ISBLANK(B1725),"""",IF(ISDATE(B1725),TEXT(B1725,""m""),""""))"),"")</f>
        <v/>
      </c>
      <c r="N1725" s="29" t="str">
        <f>IFERROR(__xludf.DUMMYFUNCTION("IF(M1725="""","""",QUERY({'Dashboard-Dados'!$Y$2:$AA$13},""Select Col2 Where Col1=""&amp;M1725))"),"")</f>
        <v/>
      </c>
      <c r="O1725" s="29" t="str">
        <f>IFERROR(__xludf.DUMMYFUNCTION("IF(ISBLANK(B1725),"""",IF(ISDATE(B1725),TEXT(B1725,""yyyy""),""""))"),"")</f>
        <v/>
      </c>
    </row>
    <row r="1726">
      <c r="B1726" s="62"/>
      <c r="C1726" s="56"/>
      <c r="D1726" s="56"/>
      <c r="E1726" s="56"/>
      <c r="F1726" s="63"/>
      <c r="G1726" s="64"/>
      <c r="H1726" s="65"/>
      <c r="I1726" s="63"/>
      <c r="K1726" s="53" t="str">
        <f>IFERROR(__xludf.DUMMYFUNCTION("IF(ISBLANK(B1726),"""",IF(ISDATE(B1726),""X"",""""))"),"")</f>
        <v/>
      </c>
      <c r="L1726" s="40" t="str">
        <f>IFERROR(__xludf.DUMMYFUNCTION("IF(ISBLANK(B1726),"""",IF(Or(I1726=""Em Aberto"",ISBLANK(I1726),NOT(ISDATE(B1726))),"""",H1726))"),"")</f>
        <v/>
      </c>
      <c r="M1726" s="29" t="str">
        <f>IFERROR(__xludf.DUMMYFUNCTION("IF(ISBLANK(B1726),"""",IF(ISDATE(B1726),TEXT(B1726,""m""),""""))"),"")</f>
        <v/>
      </c>
      <c r="N1726" s="29" t="str">
        <f>IFERROR(__xludf.DUMMYFUNCTION("IF(M1726="""","""",QUERY({'Dashboard-Dados'!$Y$2:$AA$13},""Select Col2 Where Col1=""&amp;M1726))"),"")</f>
        <v/>
      </c>
      <c r="O1726" s="29" t="str">
        <f>IFERROR(__xludf.DUMMYFUNCTION("IF(ISBLANK(B1726),"""",IF(ISDATE(B1726),TEXT(B1726,""yyyy""),""""))"),"")</f>
        <v/>
      </c>
    </row>
    <row r="1727">
      <c r="B1727" s="62"/>
      <c r="C1727" s="56"/>
      <c r="D1727" s="56"/>
      <c r="E1727" s="56"/>
      <c r="F1727" s="63"/>
      <c r="G1727" s="64"/>
      <c r="H1727" s="65"/>
      <c r="I1727" s="63"/>
      <c r="K1727" s="53" t="str">
        <f>IFERROR(__xludf.DUMMYFUNCTION("IF(ISBLANK(B1727),"""",IF(ISDATE(B1727),""X"",""""))"),"")</f>
        <v/>
      </c>
      <c r="L1727" s="40" t="str">
        <f>IFERROR(__xludf.DUMMYFUNCTION("IF(ISBLANK(B1727),"""",IF(Or(I1727=""Em Aberto"",ISBLANK(I1727),NOT(ISDATE(B1727))),"""",H1727))"),"")</f>
        <v/>
      </c>
      <c r="M1727" s="29" t="str">
        <f>IFERROR(__xludf.DUMMYFUNCTION("IF(ISBLANK(B1727),"""",IF(ISDATE(B1727),TEXT(B1727,""m""),""""))"),"")</f>
        <v/>
      </c>
      <c r="N1727" s="29" t="str">
        <f>IFERROR(__xludf.DUMMYFUNCTION("IF(M1727="""","""",QUERY({'Dashboard-Dados'!$Y$2:$AA$13},""Select Col2 Where Col1=""&amp;M1727))"),"")</f>
        <v/>
      </c>
      <c r="O1727" s="29" t="str">
        <f>IFERROR(__xludf.DUMMYFUNCTION("IF(ISBLANK(B1727),"""",IF(ISDATE(B1727),TEXT(B1727,""yyyy""),""""))"),"")</f>
        <v/>
      </c>
    </row>
    <row r="1728">
      <c r="B1728" s="62"/>
      <c r="C1728" s="56"/>
      <c r="D1728" s="56"/>
      <c r="E1728" s="56"/>
      <c r="F1728" s="63"/>
      <c r="G1728" s="64"/>
      <c r="H1728" s="65"/>
      <c r="I1728" s="63"/>
      <c r="K1728" s="53" t="str">
        <f>IFERROR(__xludf.DUMMYFUNCTION("IF(ISBLANK(B1728),"""",IF(ISDATE(B1728),""X"",""""))"),"")</f>
        <v/>
      </c>
      <c r="L1728" s="40" t="str">
        <f>IFERROR(__xludf.DUMMYFUNCTION("IF(ISBLANK(B1728),"""",IF(Or(I1728=""Em Aberto"",ISBLANK(I1728),NOT(ISDATE(B1728))),"""",H1728))"),"")</f>
        <v/>
      </c>
      <c r="M1728" s="29" t="str">
        <f>IFERROR(__xludf.DUMMYFUNCTION("IF(ISBLANK(B1728),"""",IF(ISDATE(B1728),TEXT(B1728,""m""),""""))"),"")</f>
        <v/>
      </c>
      <c r="N1728" s="29" t="str">
        <f>IFERROR(__xludf.DUMMYFUNCTION("IF(M1728="""","""",QUERY({'Dashboard-Dados'!$Y$2:$AA$13},""Select Col2 Where Col1=""&amp;M1728))"),"")</f>
        <v/>
      </c>
      <c r="O1728" s="29" t="str">
        <f>IFERROR(__xludf.DUMMYFUNCTION("IF(ISBLANK(B1728),"""",IF(ISDATE(B1728),TEXT(B1728,""yyyy""),""""))"),"")</f>
        <v/>
      </c>
    </row>
    <row r="1729">
      <c r="B1729" s="62"/>
      <c r="C1729" s="56"/>
      <c r="D1729" s="56"/>
      <c r="E1729" s="56"/>
      <c r="F1729" s="63"/>
      <c r="G1729" s="64"/>
      <c r="H1729" s="65"/>
      <c r="I1729" s="63"/>
      <c r="K1729" s="53" t="str">
        <f>IFERROR(__xludf.DUMMYFUNCTION("IF(ISBLANK(B1729),"""",IF(ISDATE(B1729),""X"",""""))"),"")</f>
        <v/>
      </c>
      <c r="L1729" s="40" t="str">
        <f>IFERROR(__xludf.DUMMYFUNCTION("IF(ISBLANK(B1729),"""",IF(Or(I1729=""Em Aberto"",ISBLANK(I1729),NOT(ISDATE(B1729))),"""",H1729))"),"")</f>
        <v/>
      </c>
      <c r="M1729" s="29" t="str">
        <f>IFERROR(__xludf.DUMMYFUNCTION("IF(ISBLANK(B1729),"""",IF(ISDATE(B1729),TEXT(B1729,""m""),""""))"),"")</f>
        <v/>
      </c>
      <c r="N1729" s="29" t="str">
        <f>IFERROR(__xludf.DUMMYFUNCTION("IF(M1729="""","""",QUERY({'Dashboard-Dados'!$Y$2:$AA$13},""Select Col2 Where Col1=""&amp;M1729))"),"")</f>
        <v/>
      </c>
      <c r="O1729" s="29" t="str">
        <f>IFERROR(__xludf.DUMMYFUNCTION("IF(ISBLANK(B1729),"""",IF(ISDATE(B1729),TEXT(B1729,""yyyy""),""""))"),"")</f>
        <v/>
      </c>
    </row>
    <row r="1730">
      <c r="B1730" s="62"/>
      <c r="C1730" s="56"/>
      <c r="D1730" s="56"/>
      <c r="E1730" s="56"/>
      <c r="F1730" s="63"/>
      <c r="G1730" s="64"/>
      <c r="H1730" s="65"/>
      <c r="I1730" s="63"/>
      <c r="K1730" s="53" t="str">
        <f>IFERROR(__xludf.DUMMYFUNCTION("IF(ISBLANK(B1730),"""",IF(ISDATE(B1730),""X"",""""))"),"")</f>
        <v/>
      </c>
      <c r="L1730" s="40" t="str">
        <f>IFERROR(__xludf.DUMMYFUNCTION("IF(ISBLANK(B1730),"""",IF(Or(I1730=""Em Aberto"",ISBLANK(I1730),NOT(ISDATE(B1730))),"""",H1730))"),"")</f>
        <v/>
      </c>
      <c r="M1730" s="29" t="str">
        <f>IFERROR(__xludf.DUMMYFUNCTION("IF(ISBLANK(B1730),"""",IF(ISDATE(B1730),TEXT(B1730,""m""),""""))"),"")</f>
        <v/>
      </c>
      <c r="N1730" s="29" t="str">
        <f>IFERROR(__xludf.DUMMYFUNCTION("IF(M1730="""","""",QUERY({'Dashboard-Dados'!$Y$2:$AA$13},""Select Col2 Where Col1=""&amp;M1730))"),"")</f>
        <v/>
      </c>
      <c r="O1730" s="29" t="str">
        <f>IFERROR(__xludf.DUMMYFUNCTION("IF(ISBLANK(B1730),"""",IF(ISDATE(B1730),TEXT(B1730,""yyyy""),""""))"),"")</f>
        <v/>
      </c>
    </row>
    <row r="1731">
      <c r="B1731" s="62"/>
      <c r="C1731" s="56"/>
      <c r="D1731" s="56"/>
      <c r="E1731" s="56"/>
      <c r="F1731" s="63"/>
      <c r="G1731" s="64"/>
      <c r="H1731" s="65"/>
      <c r="I1731" s="63"/>
      <c r="K1731" s="53" t="str">
        <f>IFERROR(__xludf.DUMMYFUNCTION("IF(ISBLANK(B1731),"""",IF(ISDATE(B1731),""X"",""""))"),"")</f>
        <v/>
      </c>
      <c r="L1731" s="40" t="str">
        <f>IFERROR(__xludf.DUMMYFUNCTION("IF(ISBLANK(B1731),"""",IF(Or(I1731=""Em Aberto"",ISBLANK(I1731),NOT(ISDATE(B1731))),"""",H1731))"),"")</f>
        <v/>
      </c>
      <c r="M1731" s="29" t="str">
        <f>IFERROR(__xludf.DUMMYFUNCTION("IF(ISBLANK(B1731),"""",IF(ISDATE(B1731),TEXT(B1731,""m""),""""))"),"")</f>
        <v/>
      </c>
      <c r="N1731" s="29" t="str">
        <f>IFERROR(__xludf.DUMMYFUNCTION("IF(M1731="""","""",QUERY({'Dashboard-Dados'!$Y$2:$AA$13},""Select Col2 Where Col1=""&amp;M1731))"),"")</f>
        <v/>
      </c>
      <c r="O1731" s="29" t="str">
        <f>IFERROR(__xludf.DUMMYFUNCTION("IF(ISBLANK(B1731),"""",IF(ISDATE(B1731),TEXT(B1731,""yyyy""),""""))"),"")</f>
        <v/>
      </c>
    </row>
    <row r="1732">
      <c r="B1732" s="62"/>
      <c r="C1732" s="56"/>
      <c r="D1732" s="56"/>
      <c r="E1732" s="56"/>
      <c r="F1732" s="63"/>
      <c r="G1732" s="64"/>
      <c r="H1732" s="65"/>
      <c r="I1732" s="63"/>
      <c r="K1732" s="53" t="str">
        <f>IFERROR(__xludf.DUMMYFUNCTION("IF(ISBLANK(B1732),"""",IF(ISDATE(B1732),""X"",""""))"),"")</f>
        <v/>
      </c>
      <c r="L1732" s="40" t="str">
        <f>IFERROR(__xludf.DUMMYFUNCTION("IF(ISBLANK(B1732),"""",IF(Or(I1732=""Em Aberto"",ISBLANK(I1732),NOT(ISDATE(B1732))),"""",H1732))"),"")</f>
        <v/>
      </c>
      <c r="M1732" s="29" t="str">
        <f>IFERROR(__xludf.DUMMYFUNCTION("IF(ISBLANK(B1732),"""",IF(ISDATE(B1732),TEXT(B1732,""m""),""""))"),"")</f>
        <v/>
      </c>
      <c r="N1732" s="29" t="str">
        <f>IFERROR(__xludf.DUMMYFUNCTION("IF(M1732="""","""",QUERY({'Dashboard-Dados'!$Y$2:$AA$13},""Select Col2 Where Col1=""&amp;M1732))"),"")</f>
        <v/>
      </c>
      <c r="O1732" s="29" t="str">
        <f>IFERROR(__xludf.DUMMYFUNCTION("IF(ISBLANK(B1732),"""",IF(ISDATE(B1732),TEXT(B1732,""yyyy""),""""))"),"")</f>
        <v/>
      </c>
    </row>
    <row r="1733">
      <c r="B1733" s="62"/>
      <c r="C1733" s="56"/>
      <c r="D1733" s="56"/>
      <c r="E1733" s="56"/>
      <c r="F1733" s="63"/>
      <c r="G1733" s="64"/>
      <c r="H1733" s="65"/>
      <c r="I1733" s="63"/>
      <c r="K1733" s="53" t="str">
        <f>IFERROR(__xludf.DUMMYFUNCTION("IF(ISBLANK(B1733),"""",IF(ISDATE(B1733),""X"",""""))"),"")</f>
        <v/>
      </c>
      <c r="L1733" s="40" t="str">
        <f>IFERROR(__xludf.DUMMYFUNCTION("IF(ISBLANK(B1733),"""",IF(Or(I1733=""Em Aberto"",ISBLANK(I1733),NOT(ISDATE(B1733))),"""",H1733))"),"")</f>
        <v/>
      </c>
      <c r="M1733" s="29" t="str">
        <f>IFERROR(__xludf.DUMMYFUNCTION("IF(ISBLANK(B1733),"""",IF(ISDATE(B1733),TEXT(B1733,""m""),""""))"),"")</f>
        <v/>
      </c>
      <c r="N1733" s="29" t="str">
        <f>IFERROR(__xludf.DUMMYFUNCTION("IF(M1733="""","""",QUERY({'Dashboard-Dados'!$Y$2:$AA$13},""Select Col2 Where Col1=""&amp;M1733))"),"")</f>
        <v/>
      </c>
      <c r="O1733" s="29" t="str">
        <f>IFERROR(__xludf.DUMMYFUNCTION("IF(ISBLANK(B1733),"""",IF(ISDATE(B1733),TEXT(B1733,""yyyy""),""""))"),"")</f>
        <v/>
      </c>
    </row>
    <row r="1734">
      <c r="B1734" s="62"/>
      <c r="C1734" s="56"/>
      <c r="D1734" s="56"/>
      <c r="E1734" s="56"/>
      <c r="F1734" s="63"/>
      <c r="G1734" s="64"/>
      <c r="H1734" s="65"/>
      <c r="I1734" s="63"/>
      <c r="K1734" s="53" t="str">
        <f>IFERROR(__xludf.DUMMYFUNCTION("IF(ISBLANK(B1734),"""",IF(ISDATE(B1734),""X"",""""))"),"")</f>
        <v/>
      </c>
      <c r="L1734" s="40" t="str">
        <f>IFERROR(__xludf.DUMMYFUNCTION("IF(ISBLANK(B1734),"""",IF(Or(I1734=""Em Aberto"",ISBLANK(I1734),NOT(ISDATE(B1734))),"""",H1734))"),"")</f>
        <v/>
      </c>
      <c r="M1734" s="29" t="str">
        <f>IFERROR(__xludf.DUMMYFUNCTION("IF(ISBLANK(B1734),"""",IF(ISDATE(B1734),TEXT(B1734,""m""),""""))"),"")</f>
        <v/>
      </c>
      <c r="N1734" s="29" t="str">
        <f>IFERROR(__xludf.DUMMYFUNCTION("IF(M1734="""","""",QUERY({'Dashboard-Dados'!$Y$2:$AA$13},""Select Col2 Where Col1=""&amp;M1734))"),"")</f>
        <v/>
      </c>
      <c r="O1734" s="29" t="str">
        <f>IFERROR(__xludf.DUMMYFUNCTION("IF(ISBLANK(B1734),"""",IF(ISDATE(B1734),TEXT(B1734,""yyyy""),""""))"),"")</f>
        <v/>
      </c>
    </row>
    <row r="1735">
      <c r="B1735" s="62"/>
      <c r="C1735" s="56"/>
      <c r="D1735" s="56"/>
      <c r="E1735" s="56"/>
      <c r="F1735" s="63"/>
      <c r="G1735" s="64"/>
      <c r="H1735" s="65"/>
      <c r="I1735" s="63"/>
      <c r="K1735" s="53" t="str">
        <f>IFERROR(__xludf.DUMMYFUNCTION("IF(ISBLANK(B1735),"""",IF(ISDATE(B1735),""X"",""""))"),"")</f>
        <v/>
      </c>
      <c r="L1735" s="40" t="str">
        <f>IFERROR(__xludf.DUMMYFUNCTION("IF(ISBLANK(B1735),"""",IF(Or(I1735=""Em Aberto"",ISBLANK(I1735),NOT(ISDATE(B1735))),"""",H1735))"),"")</f>
        <v/>
      </c>
      <c r="M1735" s="29" t="str">
        <f>IFERROR(__xludf.DUMMYFUNCTION("IF(ISBLANK(B1735),"""",IF(ISDATE(B1735),TEXT(B1735,""m""),""""))"),"")</f>
        <v/>
      </c>
      <c r="N1735" s="29" t="str">
        <f>IFERROR(__xludf.DUMMYFUNCTION("IF(M1735="""","""",QUERY({'Dashboard-Dados'!$Y$2:$AA$13},""Select Col2 Where Col1=""&amp;M1735))"),"")</f>
        <v/>
      </c>
      <c r="O1735" s="29" t="str">
        <f>IFERROR(__xludf.DUMMYFUNCTION("IF(ISBLANK(B1735),"""",IF(ISDATE(B1735),TEXT(B1735,""yyyy""),""""))"),"")</f>
        <v/>
      </c>
    </row>
    <row r="1736">
      <c r="B1736" s="62"/>
      <c r="C1736" s="56"/>
      <c r="D1736" s="56"/>
      <c r="E1736" s="56"/>
      <c r="F1736" s="63"/>
      <c r="G1736" s="64"/>
      <c r="H1736" s="65"/>
      <c r="I1736" s="63"/>
      <c r="K1736" s="53" t="str">
        <f>IFERROR(__xludf.DUMMYFUNCTION("IF(ISBLANK(B1736),"""",IF(ISDATE(B1736),""X"",""""))"),"")</f>
        <v/>
      </c>
      <c r="L1736" s="40" t="str">
        <f>IFERROR(__xludf.DUMMYFUNCTION("IF(ISBLANK(B1736),"""",IF(Or(I1736=""Em Aberto"",ISBLANK(I1736),NOT(ISDATE(B1736))),"""",H1736))"),"")</f>
        <v/>
      </c>
      <c r="M1736" s="29" t="str">
        <f>IFERROR(__xludf.DUMMYFUNCTION("IF(ISBLANK(B1736),"""",IF(ISDATE(B1736),TEXT(B1736,""m""),""""))"),"")</f>
        <v/>
      </c>
      <c r="N1736" s="29" t="str">
        <f>IFERROR(__xludf.DUMMYFUNCTION("IF(M1736="""","""",QUERY({'Dashboard-Dados'!$Y$2:$AA$13},""Select Col2 Where Col1=""&amp;M1736))"),"")</f>
        <v/>
      </c>
      <c r="O1736" s="29" t="str">
        <f>IFERROR(__xludf.DUMMYFUNCTION("IF(ISBLANK(B1736),"""",IF(ISDATE(B1736),TEXT(B1736,""yyyy""),""""))"),"")</f>
        <v/>
      </c>
    </row>
    <row r="1737">
      <c r="B1737" s="62"/>
      <c r="C1737" s="56"/>
      <c r="D1737" s="56"/>
      <c r="E1737" s="56"/>
      <c r="F1737" s="63"/>
      <c r="G1737" s="64"/>
      <c r="H1737" s="65"/>
      <c r="I1737" s="63"/>
      <c r="K1737" s="53" t="str">
        <f>IFERROR(__xludf.DUMMYFUNCTION("IF(ISBLANK(B1737),"""",IF(ISDATE(B1737),""X"",""""))"),"")</f>
        <v/>
      </c>
      <c r="L1737" s="40" t="str">
        <f>IFERROR(__xludf.DUMMYFUNCTION("IF(ISBLANK(B1737),"""",IF(Or(I1737=""Em Aberto"",ISBLANK(I1737),NOT(ISDATE(B1737))),"""",H1737))"),"")</f>
        <v/>
      </c>
      <c r="M1737" s="29" t="str">
        <f>IFERROR(__xludf.DUMMYFUNCTION("IF(ISBLANK(B1737),"""",IF(ISDATE(B1737),TEXT(B1737,""m""),""""))"),"")</f>
        <v/>
      </c>
      <c r="N1737" s="29" t="str">
        <f>IFERROR(__xludf.DUMMYFUNCTION("IF(M1737="""","""",QUERY({'Dashboard-Dados'!$Y$2:$AA$13},""Select Col2 Where Col1=""&amp;M1737))"),"")</f>
        <v/>
      </c>
      <c r="O1737" s="29" t="str">
        <f>IFERROR(__xludf.DUMMYFUNCTION("IF(ISBLANK(B1737),"""",IF(ISDATE(B1737),TEXT(B1737,""yyyy""),""""))"),"")</f>
        <v/>
      </c>
    </row>
    <row r="1738">
      <c r="B1738" s="62"/>
      <c r="C1738" s="56"/>
      <c r="D1738" s="56"/>
      <c r="E1738" s="56"/>
      <c r="F1738" s="63"/>
      <c r="G1738" s="64"/>
      <c r="H1738" s="65"/>
      <c r="I1738" s="63"/>
      <c r="K1738" s="53" t="str">
        <f>IFERROR(__xludf.DUMMYFUNCTION("IF(ISBLANK(B1738),"""",IF(ISDATE(B1738),""X"",""""))"),"")</f>
        <v/>
      </c>
      <c r="L1738" s="40" t="str">
        <f>IFERROR(__xludf.DUMMYFUNCTION("IF(ISBLANK(B1738),"""",IF(Or(I1738=""Em Aberto"",ISBLANK(I1738),NOT(ISDATE(B1738))),"""",H1738))"),"")</f>
        <v/>
      </c>
      <c r="M1738" s="29" t="str">
        <f>IFERROR(__xludf.DUMMYFUNCTION("IF(ISBLANK(B1738),"""",IF(ISDATE(B1738),TEXT(B1738,""m""),""""))"),"")</f>
        <v/>
      </c>
      <c r="N1738" s="29" t="str">
        <f>IFERROR(__xludf.DUMMYFUNCTION("IF(M1738="""","""",QUERY({'Dashboard-Dados'!$Y$2:$AA$13},""Select Col2 Where Col1=""&amp;M1738))"),"")</f>
        <v/>
      </c>
      <c r="O1738" s="29" t="str">
        <f>IFERROR(__xludf.DUMMYFUNCTION("IF(ISBLANK(B1738),"""",IF(ISDATE(B1738),TEXT(B1738,""yyyy""),""""))"),"")</f>
        <v/>
      </c>
    </row>
    <row r="1739">
      <c r="B1739" s="62"/>
      <c r="C1739" s="56"/>
      <c r="D1739" s="56"/>
      <c r="E1739" s="56"/>
      <c r="F1739" s="63"/>
      <c r="G1739" s="64"/>
      <c r="H1739" s="65"/>
      <c r="I1739" s="63"/>
      <c r="K1739" s="53" t="str">
        <f>IFERROR(__xludf.DUMMYFUNCTION("IF(ISBLANK(B1739),"""",IF(ISDATE(B1739),""X"",""""))"),"")</f>
        <v/>
      </c>
      <c r="L1739" s="40" t="str">
        <f>IFERROR(__xludf.DUMMYFUNCTION("IF(ISBLANK(B1739),"""",IF(Or(I1739=""Em Aberto"",ISBLANK(I1739),NOT(ISDATE(B1739))),"""",H1739))"),"")</f>
        <v/>
      </c>
      <c r="M1739" s="29" t="str">
        <f>IFERROR(__xludf.DUMMYFUNCTION("IF(ISBLANK(B1739),"""",IF(ISDATE(B1739),TEXT(B1739,""m""),""""))"),"")</f>
        <v/>
      </c>
      <c r="N1739" s="29" t="str">
        <f>IFERROR(__xludf.DUMMYFUNCTION("IF(M1739="""","""",QUERY({'Dashboard-Dados'!$Y$2:$AA$13},""Select Col2 Where Col1=""&amp;M1739))"),"")</f>
        <v/>
      </c>
      <c r="O1739" s="29" t="str">
        <f>IFERROR(__xludf.DUMMYFUNCTION("IF(ISBLANK(B1739),"""",IF(ISDATE(B1739),TEXT(B1739,""yyyy""),""""))"),"")</f>
        <v/>
      </c>
    </row>
    <row r="1740">
      <c r="B1740" s="62"/>
      <c r="C1740" s="56"/>
      <c r="D1740" s="56"/>
      <c r="E1740" s="56"/>
      <c r="F1740" s="63"/>
      <c r="G1740" s="64"/>
      <c r="H1740" s="65"/>
      <c r="I1740" s="63"/>
      <c r="K1740" s="53" t="str">
        <f>IFERROR(__xludf.DUMMYFUNCTION("IF(ISBLANK(B1740),"""",IF(ISDATE(B1740),""X"",""""))"),"")</f>
        <v/>
      </c>
      <c r="L1740" s="40" t="str">
        <f>IFERROR(__xludf.DUMMYFUNCTION("IF(ISBLANK(B1740),"""",IF(Or(I1740=""Em Aberto"",ISBLANK(I1740),NOT(ISDATE(B1740))),"""",H1740))"),"")</f>
        <v/>
      </c>
      <c r="M1740" s="29" t="str">
        <f>IFERROR(__xludf.DUMMYFUNCTION("IF(ISBLANK(B1740),"""",IF(ISDATE(B1740),TEXT(B1740,""m""),""""))"),"")</f>
        <v/>
      </c>
      <c r="N1740" s="29" t="str">
        <f>IFERROR(__xludf.DUMMYFUNCTION("IF(M1740="""","""",QUERY({'Dashboard-Dados'!$Y$2:$AA$13},""Select Col2 Where Col1=""&amp;M1740))"),"")</f>
        <v/>
      </c>
      <c r="O1740" s="29" t="str">
        <f>IFERROR(__xludf.DUMMYFUNCTION("IF(ISBLANK(B1740),"""",IF(ISDATE(B1740),TEXT(B1740,""yyyy""),""""))"),"")</f>
        <v/>
      </c>
    </row>
    <row r="1741">
      <c r="B1741" s="62"/>
      <c r="C1741" s="56"/>
      <c r="D1741" s="56"/>
      <c r="E1741" s="56"/>
      <c r="F1741" s="63"/>
      <c r="G1741" s="64"/>
      <c r="H1741" s="65"/>
      <c r="I1741" s="63"/>
      <c r="K1741" s="53" t="str">
        <f>IFERROR(__xludf.DUMMYFUNCTION("IF(ISBLANK(B1741),"""",IF(ISDATE(B1741),""X"",""""))"),"")</f>
        <v/>
      </c>
      <c r="L1741" s="40" t="str">
        <f>IFERROR(__xludf.DUMMYFUNCTION("IF(ISBLANK(B1741),"""",IF(Or(I1741=""Em Aberto"",ISBLANK(I1741),NOT(ISDATE(B1741))),"""",H1741))"),"")</f>
        <v/>
      </c>
      <c r="M1741" s="29" t="str">
        <f>IFERROR(__xludf.DUMMYFUNCTION("IF(ISBLANK(B1741),"""",IF(ISDATE(B1741),TEXT(B1741,""m""),""""))"),"")</f>
        <v/>
      </c>
      <c r="N1741" s="29" t="str">
        <f>IFERROR(__xludf.DUMMYFUNCTION("IF(M1741="""","""",QUERY({'Dashboard-Dados'!$Y$2:$AA$13},""Select Col2 Where Col1=""&amp;M1741))"),"")</f>
        <v/>
      </c>
      <c r="O1741" s="29" t="str">
        <f>IFERROR(__xludf.DUMMYFUNCTION("IF(ISBLANK(B1741),"""",IF(ISDATE(B1741),TEXT(B1741,""yyyy""),""""))"),"")</f>
        <v/>
      </c>
    </row>
    <row r="1742">
      <c r="B1742" s="62"/>
      <c r="C1742" s="56"/>
      <c r="D1742" s="56"/>
      <c r="E1742" s="56"/>
      <c r="F1742" s="63"/>
      <c r="G1742" s="64"/>
      <c r="H1742" s="65"/>
      <c r="I1742" s="63"/>
      <c r="K1742" s="53" t="str">
        <f>IFERROR(__xludf.DUMMYFUNCTION("IF(ISBLANK(B1742),"""",IF(ISDATE(B1742),""X"",""""))"),"")</f>
        <v/>
      </c>
      <c r="L1742" s="40" t="str">
        <f>IFERROR(__xludf.DUMMYFUNCTION("IF(ISBLANK(B1742),"""",IF(Or(I1742=""Em Aberto"",ISBLANK(I1742),NOT(ISDATE(B1742))),"""",H1742))"),"")</f>
        <v/>
      </c>
      <c r="M1742" s="29" t="str">
        <f>IFERROR(__xludf.DUMMYFUNCTION("IF(ISBLANK(B1742),"""",IF(ISDATE(B1742),TEXT(B1742,""m""),""""))"),"")</f>
        <v/>
      </c>
      <c r="N1742" s="29" t="str">
        <f>IFERROR(__xludf.DUMMYFUNCTION("IF(M1742="""","""",QUERY({'Dashboard-Dados'!$Y$2:$AA$13},""Select Col2 Where Col1=""&amp;M1742))"),"")</f>
        <v/>
      </c>
      <c r="O1742" s="29" t="str">
        <f>IFERROR(__xludf.DUMMYFUNCTION("IF(ISBLANK(B1742),"""",IF(ISDATE(B1742),TEXT(B1742,""yyyy""),""""))"),"")</f>
        <v/>
      </c>
    </row>
    <row r="1743">
      <c r="B1743" s="62"/>
      <c r="C1743" s="56"/>
      <c r="D1743" s="56"/>
      <c r="E1743" s="56"/>
      <c r="F1743" s="63"/>
      <c r="G1743" s="64"/>
      <c r="H1743" s="65"/>
      <c r="I1743" s="63"/>
      <c r="K1743" s="53" t="str">
        <f>IFERROR(__xludf.DUMMYFUNCTION("IF(ISBLANK(B1743),"""",IF(ISDATE(B1743),""X"",""""))"),"")</f>
        <v/>
      </c>
      <c r="L1743" s="40" t="str">
        <f>IFERROR(__xludf.DUMMYFUNCTION("IF(ISBLANK(B1743),"""",IF(Or(I1743=""Em Aberto"",ISBLANK(I1743),NOT(ISDATE(B1743))),"""",H1743))"),"")</f>
        <v/>
      </c>
      <c r="M1743" s="29" t="str">
        <f>IFERROR(__xludf.DUMMYFUNCTION("IF(ISBLANK(B1743),"""",IF(ISDATE(B1743),TEXT(B1743,""m""),""""))"),"")</f>
        <v/>
      </c>
      <c r="N1743" s="29" t="str">
        <f>IFERROR(__xludf.DUMMYFUNCTION("IF(M1743="""","""",QUERY({'Dashboard-Dados'!$Y$2:$AA$13},""Select Col2 Where Col1=""&amp;M1743))"),"")</f>
        <v/>
      </c>
      <c r="O1743" s="29" t="str">
        <f>IFERROR(__xludf.DUMMYFUNCTION("IF(ISBLANK(B1743),"""",IF(ISDATE(B1743),TEXT(B1743,""yyyy""),""""))"),"")</f>
        <v/>
      </c>
    </row>
    <row r="1744">
      <c r="B1744" s="62"/>
      <c r="C1744" s="56"/>
      <c r="D1744" s="56"/>
      <c r="E1744" s="56"/>
      <c r="F1744" s="63"/>
      <c r="G1744" s="64"/>
      <c r="H1744" s="65"/>
      <c r="I1744" s="63"/>
      <c r="K1744" s="53" t="str">
        <f>IFERROR(__xludf.DUMMYFUNCTION("IF(ISBLANK(B1744),"""",IF(ISDATE(B1744),""X"",""""))"),"")</f>
        <v/>
      </c>
      <c r="L1744" s="40" t="str">
        <f>IFERROR(__xludf.DUMMYFUNCTION("IF(ISBLANK(B1744),"""",IF(Or(I1744=""Em Aberto"",ISBLANK(I1744),NOT(ISDATE(B1744))),"""",H1744))"),"")</f>
        <v/>
      </c>
      <c r="M1744" s="29" t="str">
        <f>IFERROR(__xludf.DUMMYFUNCTION("IF(ISBLANK(B1744),"""",IF(ISDATE(B1744),TEXT(B1744,""m""),""""))"),"")</f>
        <v/>
      </c>
      <c r="N1744" s="29" t="str">
        <f>IFERROR(__xludf.DUMMYFUNCTION("IF(M1744="""","""",QUERY({'Dashboard-Dados'!$Y$2:$AA$13},""Select Col2 Where Col1=""&amp;M1744))"),"")</f>
        <v/>
      </c>
      <c r="O1744" s="29" t="str">
        <f>IFERROR(__xludf.DUMMYFUNCTION("IF(ISBLANK(B1744),"""",IF(ISDATE(B1744),TEXT(B1744,""yyyy""),""""))"),"")</f>
        <v/>
      </c>
    </row>
    <row r="1745">
      <c r="B1745" s="62"/>
      <c r="C1745" s="56"/>
      <c r="D1745" s="56"/>
      <c r="E1745" s="56"/>
      <c r="F1745" s="63"/>
      <c r="G1745" s="64"/>
      <c r="H1745" s="65"/>
      <c r="I1745" s="63"/>
      <c r="K1745" s="53" t="str">
        <f>IFERROR(__xludf.DUMMYFUNCTION("IF(ISBLANK(B1745),"""",IF(ISDATE(B1745),""X"",""""))"),"")</f>
        <v/>
      </c>
      <c r="L1745" s="40" t="str">
        <f>IFERROR(__xludf.DUMMYFUNCTION("IF(ISBLANK(B1745),"""",IF(Or(I1745=""Em Aberto"",ISBLANK(I1745),NOT(ISDATE(B1745))),"""",H1745))"),"")</f>
        <v/>
      </c>
      <c r="M1745" s="29" t="str">
        <f>IFERROR(__xludf.DUMMYFUNCTION("IF(ISBLANK(B1745),"""",IF(ISDATE(B1745),TEXT(B1745,""m""),""""))"),"")</f>
        <v/>
      </c>
      <c r="N1745" s="29" t="str">
        <f>IFERROR(__xludf.DUMMYFUNCTION("IF(M1745="""","""",QUERY({'Dashboard-Dados'!$Y$2:$AA$13},""Select Col2 Where Col1=""&amp;M1745))"),"")</f>
        <v/>
      </c>
      <c r="O1745" s="29" t="str">
        <f>IFERROR(__xludf.DUMMYFUNCTION("IF(ISBLANK(B1745),"""",IF(ISDATE(B1745),TEXT(B1745,""yyyy""),""""))"),"")</f>
        <v/>
      </c>
    </row>
    <row r="1746">
      <c r="B1746" s="62"/>
      <c r="C1746" s="56"/>
      <c r="D1746" s="56"/>
      <c r="E1746" s="56"/>
      <c r="F1746" s="63"/>
      <c r="G1746" s="64"/>
      <c r="H1746" s="65"/>
      <c r="I1746" s="63"/>
      <c r="K1746" s="53" t="str">
        <f>IFERROR(__xludf.DUMMYFUNCTION("IF(ISBLANK(B1746),"""",IF(ISDATE(B1746),""X"",""""))"),"")</f>
        <v/>
      </c>
      <c r="L1746" s="40" t="str">
        <f>IFERROR(__xludf.DUMMYFUNCTION("IF(ISBLANK(B1746),"""",IF(Or(I1746=""Em Aberto"",ISBLANK(I1746),NOT(ISDATE(B1746))),"""",H1746))"),"")</f>
        <v/>
      </c>
      <c r="M1746" s="29" t="str">
        <f>IFERROR(__xludf.DUMMYFUNCTION("IF(ISBLANK(B1746),"""",IF(ISDATE(B1746),TEXT(B1746,""m""),""""))"),"")</f>
        <v/>
      </c>
      <c r="N1746" s="29" t="str">
        <f>IFERROR(__xludf.DUMMYFUNCTION("IF(M1746="""","""",QUERY({'Dashboard-Dados'!$Y$2:$AA$13},""Select Col2 Where Col1=""&amp;M1746))"),"")</f>
        <v/>
      </c>
      <c r="O1746" s="29" t="str">
        <f>IFERROR(__xludf.DUMMYFUNCTION("IF(ISBLANK(B1746),"""",IF(ISDATE(B1746),TEXT(B1746,""yyyy""),""""))"),"")</f>
        <v/>
      </c>
    </row>
    <row r="1747">
      <c r="B1747" s="62"/>
      <c r="C1747" s="56"/>
      <c r="D1747" s="56"/>
      <c r="E1747" s="56"/>
      <c r="F1747" s="63"/>
      <c r="G1747" s="64"/>
      <c r="H1747" s="65"/>
      <c r="I1747" s="63"/>
      <c r="K1747" s="53" t="str">
        <f>IFERROR(__xludf.DUMMYFUNCTION("IF(ISBLANK(B1747),"""",IF(ISDATE(B1747),""X"",""""))"),"")</f>
        <v/>
      </c>
      <c r="L1747" s="40" t="str">
        <f>IFERROR(__xludf.DUMMYFUNCTION("IF(ISBLANK(B1747),"""",IF(Or(I1747=""Em Aberto"",ISBLANK(I1747),NOT(ISDATE(B1747))),"""",H1747))"),"")</f>
        <v/>
      </c>
      <c r="M1747" s="29" t="str">
        <f>IFERROR(__xludf.DUMMYFUNCTION("IF(ISBLANK(B1747),"""",IF(ISDATE(B1747),TEXT(B1747,""m""),""""))"),"")</f>
        <v/>
      </c>
      <c r="N1747" s="29" t="str">
        <f>IFERROR(__xludf.DUMMYFUNCTION("IF(M1747="""","""",QUERY({'Dashboard-Dados'!$Y$2:$AA$13},""Select Col2 Where Col1=""&amp;M1747))"),"")</f>
        <v/>
      </c>
      <c r="O1747" s="29" t="str">
        <f>IFERROR(__xludf.DUMMYFUNCTION("IF(ISBLANK(B1747),"""",IF(ISDATE(B1747),TEXT(B1747,""yyyy""),""""))"),"")</f>
        <v/>
      </c>
    </row>
    <row r="1748">
      <c r="B1748" s="62"/>
      <c r="C1748" s="56"/>
      <c r="D1748" s="56"/>
      <c r="E1748" s="56"/>
      <c r="F1748" s="63"/>
      <c r="G1748" s="64"/>
      <c r="H1748" s="65"/>
      <c r="I1748" s="63"/>
      <c r="K1748" s="53" t="str">
        <f>IFERROR(__xludf.DUMMYFUNCTION("IF(ISBLANK(B1748),"""",IF(ISDATE(B1748),""X"",""""))"),"")</f>
        <v/>
      </c>
      <c r="L1748" s="40" t="str">
        <f>IFERROR(__xludf.DUMMYFUNCTION("IF(ISBLANK(B1748),"""",IF(Or(I1748=""Em Aberto"",ISBLANK(I1748),NOT(ISDATE(B1748))),"""",H1748))"),"")</f>
        <v/>
      </c>
      <c r="M1748" s="29" t="str">
        <f>IFERROR(__xludf.DUMMYFUNCTION("IF(ISBLANK(B1748),"""",IF(ISDATE(B1748),TEXT(B1748,""m""),""""))"),"")</f>
        <v/>
      </c>
      <c r="N1748" s="29" t="str">
        <f>IFERROR(__xludf.DUMMYFUNCTION("IF(M1748="""","""",QUERY({'Dashboard-Dados'!$Y$2:$AA$13},""Select Col2 Where Col1=""&amp;M1748))"),"")</f>
        <v/>
      </c>
      <c r="O1748" s="29" t="str">
        <f>IFERROR(__xludf.DUMMYFUNCTION("IF(ISBLANK(B1748),"""",IF(ISDATE(B1748),TEXT(B1748,""yyyy""),""""))"),"")</f>
        <v/>
      </c>
    </row>
    <row r="1749">
      <c r="B1749" s="62"/>
      <c r="C1749" s="56"/>
      <c r="D1749" s="56"/>
      <c r="E1749" s="56"/>
      <c r="F1749" s="63"/>
      <c r="G1749" s="64"/>
      <c r="H1749" s="65"/>
      <c r="I1749" s="63"/>
      <c r="K1749" s="53" t="str">
        <f>IFERROR(__xludf.DUMMYFUNCTION("IF(ISBLANK(B1749),"""",IF(ISDATE(B1749),""X"",""""))"),"")</f>
        <v/>
      </c>
      <c r="L1749" s="40" t="str">
        <f>IFERROR(__xludf.DUMMYFUNCTION("IF(ISBLANK(B1749),"""",IF(Or(I1749=""Em Aberto"",ISBLANK(I1749),NOT(ISDATE(B1749))),"""",H1749))"),"")</f>
        <v/>
      </c>
      <c r="M1749" s="29" t="str">
        <f>IFERROR(__xludf.DUMMYFUNCTION("IF(ISBLANK(B1749),"""",IF(ISDATE(B1749),TEXT(B1749,""m""),""""))"),"")</f>
        <v/>
      </c>
      <c r="N1749" s="29" t="str">
        <f>IFERROR(__xludf.DUMMYFUNCTION("IF(M1749="""","""",QUERY({'Dashboard-Dados'!$Y$2:$AA$13},""Select Col2 Where Col1=""&amp;M1749))"),"")</f>
        <v/>
      </c>
      <c r="O1749" s="29" t="str">
        <f>IFERROR(__xludf.DUMMYFUNCTION("IF(ISBLANK(B1749),"""",IF(ISDATE(B1749),TEXT(B1749,""yyyy""),""""))"),"")</f>
        <v/>
      </c>
    </row>
    <row r="1750">
      <c r="B1750" s="62"/>
      <c r="C1750" s="56"/>
      <c r="D1750" s="56"/>
      <c r="E1750" s="56"/>
      <c r="F1750" s="63"/>
      <c r="G1750" s="64"/>
      <c r="H1750" s="65"/>
      <c r="I1750" s="63"/>
      <c r="K1750" s="53" t="str">
        <f>IFERROR(__xludf.DUMMYFUNCTION("IF(ISBLANK(B1750),"""",IF(ISDATE(B1750),""X"",""""))"),"")</f>
        <v/>
      </c>
      <c r="L1750" s="40" t="str">
        <f>IFERROR(__xludf.DUMMYFUNCTION("IF(ISBLANK(B1750),"""",IF(Or(I1750=""Em Aberto"",ISBLANK(I1750),NOT(ISDATE(B1750))),"""",H1750))"),"")</f>
        <v/>
      </c>
      <c r="M1750" s="29" t="str">
        <f>IFERROR(__xludf.DUMMYFUNCTION("IF(ISBLANK(B1750),"""",IF(ISDATE(B1750),TEXT(B1750,""m""),""""))"),"")</f>
        <v/>
      </c>
      <c r="N1750" s="29" t="str">
        <f>IFERROR(__xludf.DUMMYFUNCTION("IF(M1750="""","""",QUERY({'Dashboard-Dados'!$Y$2:$AA$13},""Select Col2 Where Col1=""&amp;M1750))"),"")</f>
        <v/>
      </c>
      <c r="O1750" s="29" t="str">
        <f>IFERROR(__xludf.DUMMYFUNCTION("IF(ISBLANK(B1750),"""",IF(ISDATE(B1750),TEXT(B1750,""yyyy""),""""))"),"")</f>
        <v/>
      </c>
    </row>
    <row r="1751">
      <c r="B1751" s="62"/>
      <c r="C1751" s="56"/>
      <c r="D1751" s="56"/>
      <c r="E1751" s="56"/>
      <c r="F1751" s="63"/>
      <c r="G1751" s="64"/>
      <c r="H1751" s="65"/>
      <c r="I1751" s="63"/>
      <c r="K1751" s="53" t="str">
        <f>IFERROR(__xludf.DUMMYFUNCTION("IF(ISBLANK(B1751),"""",IF(ISDATE(B1751),""X"",""""))"),"")</f>
        <v/>
      </c>
      <c r="L1751" s="40" t="str">
        <f>IFERROR(__xludf.DUMMYFUNCTION("IF(ISBLANK(B1751),"""",IF(Or(I1751=""Em Aberto"",ISBLANK(I1751),NOT(ISDATE(B1751))),"""",H1751))"),"")</f>
        <v/>
      </c>
      <c r="M1751" s="29" t="str">
        <f>IFERROR(__xludf.DUMMYFUNCTION("IF(ISBLANK(B1751),"""",IF(ISDATE(B1751),TEXT(B1751,""m""),""""))"),"")</f>
        <v/>
      </c>
      <c r="N1751" s="29" t="str">
        <f>IFERROR(__xludf.DUMMYFUNCTION("IF(M1751="""","""",QUERY({'Dashboard-Dados'!$Y$2:$AA$13},""Select Col2 Where Col1=""&amp;M1751))"),"")</f>
        <v/>
      </c>
      <c r="O1751" s="29" t="str">
        <f>IFERROR(__xludf.DUMMYFUNCTION("IF(ISBLANK(B1751),"""",IF(ISDATE(B1751),TEXT(B1751,""yyyy""),""""))"),"")</f>
        <v/>
      </c>
    </row>
    <row r="1752">
      <c r="B1752" s="62"/>
      <c r="C1752" s="56"/>
      <c r="D1752" s="56"/>
      <c r="E1752" s="56"/>
      <c r="F1752" s="63"/>
      <c r="G1752" s="64"/>
      <c r="H1752" s="65"/>
      <c r="I1752" s="63"/>
      <c r="K1752" s="53" t="str">
        <f>IFERROR(__xludf.DUMMYFUNCTION("IF(ISBLANK(B1752),"""",IF(ISDATE(B1752),""X"",""""))"),"")</f>
        <v/>
      </c>
      <c r="L1752" s="40" t="str">
        <f>IFERROR(__xludf.DUMMYFUNCTION("IF(ISBLANK(B1752),"""",IF(Or(I1752=""Em Aberto"",ISBLANK(I1752),NOT(ISDATE(B1752))),"""",H1752))"),"")</f>
        <v/>
      </c>
      <c r="M1752" s="29" t="str">
        <f>IFERROR(__xludf.DUMMYFUNCTION("IF(ISBLANK(B1752),"""",IF(ISDATE(B1752),TEXT(B1752,""m""),""""))"),"")</f>
        <v/>
      </c>
      <c r="N1752" s="29" t="str">
        <f>IFERROR(__xludf.DUMMYFUNCTION("IF(M1752="""","""",QUERY({'Dashboard-Dados'!$Y$2:$AA$13},""Select Col2 Where Col1=""&amp;M1752))"),"")</f>
        <v/>
      </c>
      <c r="O1752" s="29" t="str">
        <f>IFERROR(__xludf.DUMMYFUNCTION("IF(ISBLANK(B1752),"""",IF(ISDATE(B1752),TEXT(B1752,""yyyy""),""""))"),"")</f>
        <v/>
      </c>
    </row>
    <row r="1753">
      <c r="B1753" s="62"/>
      <c r="C1753" s="56"/>
      <c r="D1753" s="56"/>
      <c r="E1753" s="56"/>
      <c r="F1753" s="63"/>
      <c r="G1753" s="64"/>
      <c r="H1753" s="65"/>
      <c r="I1753" s="63"/>
      <c r="K1753" s="53" t="str">
        <f>IFERROR(__xludf.DUMMYFUNCTION("IF(ISBLANK(B1753),"""",IF(ISDATE(B1753),""X"",""""))"),"")</f>
        <v/>
      </c>
      <c r="L1753" s="40" t="str">
        <f>IFERROR(__xludf.DUMMYFUNCTION("IF(ISBLANK(B1753),"""",IF(Or(I1753=""Em Aberto"",ISBLANK(I1753),NOT(ISDATE(B1753))),"""",H1753))"),"")</f>
        <v/>
      </c>
      <c r="M1753" s="29" t="str">
        <f>IFERROR(__xludf.DUMMYFUNCTION("IF(ISBLANK(B1753),"""",IF(ISDATE(B1753),TEXT(B1753,""m""),""""))"),"")</f>
        <v/>
      </c>
      <c r="N1753" s="29" t="str">
        <f>IFERROR(__xludf.DUMMYFUNCTION("IF(M1753="""","""",QUERY({'Dashboard-Dados'!$Y$2:$AA$13},""Select Col2 Where Col1=""&amp;M1753))"),"")</f>
        <v/>
      </c>
      <c r="O1753" s="29" t="str">
        <f>IFERROR(__xludf.DUMMYFUNCTION("IF(ISBLANK(B1753),"""",IF(ISDATE(B1753),TEXT(B1753,""yyyy""),""""))"),"")</f>
        <v/>
      </c>
    </row>
    <row r="1754">
      <c r="B1754" s="62"/>
      <c r="C1754" s="56"/>
      <c r="D1754" s="56"/>
      <c r="E1754" s="56"/>
      <c r="F1754" s="63"/>
      <c r="G1754" s="64"/>
      <c r="H1754" s="65"/>
      <c r="I1754" s="63"/>
      <c r="K1754" s="53" t="str">
        <f>IFERROR(__xludf.DUMMYFUNCTION("IF(ISBLANK(B1754),"""",IF(ISDATE(B1754),""X"",""""))"),"")</f>
        <v/>
      </c>
      <c r="L1754" s="40" t="str">
        <f>IFERROR(__xludf.DUMMYFUNCTION("IF(ISBLANK(B1754),"""",IF(Or(I1754=""Em Aberto"",ISBLANK(I1754),NOT(ISDATE(B1754))),"""",H1754))"),"")</f>
        <v/>
      </c>
      <c r="M1754" s="29" t="str">
        <f>IFERROR(__xludf.DUMMYFUNCTION("IF(ISBLANK(B1754),"""",IF(ISDATE(B1754),TEXT(B1754,""m""),""""))"),"")</f>
        <v/>
      </c>
      <c r="N1754" s="29" t="str">
        <f>IFERROR(__xludf.DUMMYFUNCTION("IF(M1754="""","""",QUERY({'Dashboard-Dados'!$Y$2:$AA$13},""Select Col2 Where Col1=""&amp;M1754))"),"")</f>
        <v/>
      </c>
      <c r="O1754" s="29" t="str">
        <f>IFERROR(__xludf.DUMMYFUNCTION("IF(ISBLANK(B1754),"""",IF(ISDATE(B1754),TEXT(B1754,""yyyy""),""""))"),"")</f>
        <v/>
      </c>
    </row>
    <row r="1755">
      <c r="B1755" s="62"/>
      <c r="C1755" s="56"/>
      <c r="D1755" s="56"/>
      <c r="E1755" s="56"/>
      <c r="F1755" s="63"/>
      <c r="G1755" s="64"/>
      <c r="H1755" s="65"/>
      <c r="I1755" s="63"/>
      <c r="K1755" s="53" t="str">
        <f>IFERROR(__xludf.DUMMYFUNCTION("IF(ISBLANK(B1755),"""",IF(ISDATE(B1755),""X"",""""))"),"")</f>
        <v/>
      </c>
      <c r="L1755" s="40" t="str">
        <f>IFERROR(__xludf.DUMMYFUNCTION("IF(ISBLANK(B1755),"""",IF(Or(I1755=""Em Aberto"",ISBLANK(I1755),NOT(ISDATE(B1755))),"""",H1755))"),"")</f>
        <v/>
      </c>
      <c r="M1755" s="29" t="str">
        <f>IFERROR(__xludf.DUMMYFUNCTION("IF(ISBLANK(B1755),"""",IF(ISDATE(B1755),TEXT(B1755,""m""),""""))"),"")</f>
        <v/>
      </c>
      <c r="N1755" s="29" t="str">
        <f>IFERROR(__xludf.DUMMYFUNCTION("IF(M1755="""","""",QUERY({'Dashboard-Dados'!$Y$2:$AA$13},""Select Col2 Where Col1=""&amp;M1755))"),"")</f>
        <v/>
      </c>
      <c r="O1755" s="29" t="str">
        <f>IFERROR(__xludf.DUMMYFUNCTION("IF(ISBLANK(B1755),"""",IF(ISDATE(B1755),TEXT(B1755,""yyyy""),""""))"),"")</f>
        <v/>
      </c>
    </row>
    <row r="1756">
      <c r="B1756" s="62"/>
      <c r="C1756" s="56"/>
      <c r="D1756" s="56"/>
      <c r="E1756" s="56"/>
      <c r="F1756" s="63"/>
      <c r="G1756" s="64"/>
      <c r="H1756" s="65"/>
      <c r="I1756" s="63"/>
      <c r="K1756" s="53" t="str">
        <f>IFERROR(__xludf.DUMMYFUNCTION("IF(ISBLANK(B1756),"""",IF(ISDATE(B1756),""X"",""""))"),"")</f>
        <v/>
      </c>
      <c r="L1756" s="40" t="str">
        <f>IFERROR(__xludf.DUMMYFUNCTION("IF(ISBLANK(B1756),"""",IF(Or(I1756=""Em Aberto"",ISBLANK(I1756),NOT(ISDATE(B1756))),"""",H1756))"),"")</f>
        <v/>
      </c>
      <c r="M1756" s="29" t="str">
        <f>IFERROR(__xludf.DUMMYFUNCTION("IF(ISBLANK(B1756),"""",IF(ISDATE(B1756),TEXT(B1756,""m""),""""))"),"")</f>
        <v/>
      </c>
      <c r="N1756" s="29" t="str">
        <f>IFERROR(__xludf.DUMMYFUNCTION("IF(M1756="""","""",QUERY({'Dashboard-Dados'!$Y$2:$AA$13},""Select Col2 Where Col1=""&amp;M1756))"),"")</f>
        <v/>
      </c>
      <c r="O1756" s="29" t="str">
        <f>IFERROR(__xludf.DUMMYFUNCTION("IF(ISBLANK(B1756),"""",IF(ISDATE(B1756),TEXT(B1756,""yyyy""),""""))"),"")</f>
        <v/>
      </c>
    </row>
    <row r="1757">
      <c r="B1757" s="62"/>
      <c r="C1757" s="56"/>
      <c r="D1757" s="56"/>
      <c r="E1757" s="56"/>
      <c r="F1757" s="63"/>
      <c r="G1757" s="64"/>
      <c r="H1757" s="65"/>
      <c r="I1757" s="63"/>
      <c r="K1757" s="53" t="str">
        <f>IFERROR(__xludf.DUMMYFUNCTION("IF(ISBLANK(B1757),"""",IF(ISDATE(B1757),""X"",""""))"),"")</f>
        <v/>
      </c>
      <c r="L1757" s="40" t="str">
        <f>IFERROR(__xludf.DUMMYFUNCTION("IF(ISBLANK(B1757),"""",IF(Or(I1757=""Em Aberto"",ISBLANK(I1757),NOT(ISDATE(B1757))),"""",H1757))"),"")</f>
        <v/>
      </c>
      <c r="M1757" s="29" t="str">
        <f>IFERROR(__xludf.DUMMYFUNCTION("IF(ISBLANK(B1757),"""",IF(ISDATE(B1757),TEXT(B1757,""m""),""""))"),"")</f>
        <v/>
      </c>
      <c r="N1757" s="29" t="str">
        <f>IFERROR(__xludf.DUMMYFUNCTION("IF(M1757="""","""",QUERY({'Dashboard-Dados'!$Y$2:$AA$13},""Select Col2 Where Col1=""&amp;M1757))"),"")</f>
        <v/>
      </c>
      <c r="O1757" s="29" t="str">
        <f>IFERROR(__xludf.DUMMYFUNCTION("IF(ISBLANK(B1757),"""",IF(ISDATE(B1757),TEXT(B1757,""yyyy""),""""))"),"")</f>
        <v/>
      </c>
    </row>
    <row r="1758">
      <c r="B1758" s="62"/>
      <c r="C1758" s="56"/>
      <c r="D1758" s="56"/>
      <c r="E1758" s="56"/>
      <c r="F1758" s="63"/>
      <c r="G1758" s="64"/>
      <c r="H1758" s="65"/>
      <c r="I1758" s="63"/>
      <c r="K1758" s="53" t="str">
        <f>IFERROR(__xludf.DUMMYFUNCTION("IF(ISBLANK(B1758),"""",IF(ISDATE(B1758),""X"",""""))"),"")</f>
        <v/>
      </c>
      <c r="L1758" s="40" t="str">
        <f>IFERROR(__xludf.DUMMYFUNCTION("IF(ISBLANK(B1758),"""",IF(Or(I1758=""Em Aberto"",ISBLANK(I1758),NOT(ISDATE(B1758))),"""",H1758))"),"")</f>
        <v/>
      </c>
      <c r="M1758" s="29" t="str">
        <f>IFERROR(__xludf.DUMMYFUNCTION("IF(ISBLANK(B1758),"""",IF(ISDATE(B1758),TEXT(B1758,""m""),""""))"),"")</f>
        <v/>
      </c>
      <c r="N1758" s="29" t="str">
        <f>IFERROR(__xludf.DUMMYFUNCTION("IF(M1758="""","""",QUERY({'Dashboard-Dados'!$Y$2:$AA$13},""Select Col2 Where Col1=""&amp;M1758))"),"")</f>
        <v/>
      </c>
      <c r="O1758" s="29" t="str">
        <f>IFERROR(__xludf.DUMMYFUNCTION("IF(ISBLANK(B1758),"""",IF(ISDATE(B1758),TEXT(B1758,""yyyy""),""""))"),"")</f>
        <v/>
      </c>
    </row>
    <row r="1759">
      <c r="B1759" s="62"/>
      <c r="C1759" s="56"/>
      <c r="D1759" s="56"/>
      <c r="E1759" s="56"/>
      <c r="F1759" s="63"/>
      <c r="G1759" s="64"/>
      <c r="H1759" s="65"/>
      <c r="I1759" s="63"/>
      <c r="K1759" s="53" t="str">
        <f>IFERROR(__xludf.DUMMYFUNCTION("IF(ISBLANK(B1759),"""",IF(ISDATE(B1759),""X"",""""))"),"")</f>
        <v/>
      </c>
      <c r="L1759" s="40" t="str">
        <f>IFERROR(__xludf.DUMMYFUNCTION("IF(ISBLANK(B1759),"""",IF(Or(I1759=""Em Aberto"",ISBLANK(I1759),NOT(ISDATE(B1759))),"""",H1759))"),"")</f>
        <v/>
      </c>
      <c r="M1759" s="29" t="str">
        <f>IFERROR(__xludf.DUMMYFUNCTION("IF(ISBLANK(B1759),"""",IF(ISDATE(B1759),TEXT(B1759,""m""),""""))"),"")</f>
        <v/>
      </c>
      <c r="N1759" s="29" t="str">
        <f>IFERROR(__xludf.DUMMYFUNCTION("IF(M1759="""","""",QUERY({'Dashboard-Dados'!$Y$2:$AA$13},""Select Col2 Where Col1=""&amp;M1759))"),"")</f>
        <v/>
      </c>
      <c r="O1759" s="29" t="str">
        <f>IFERROR(__xludf.DUMMYFUNCTION("IF(ISBLANK(B1759),"""",IF(ISDATE(B1759),TEXT(B1759,""yyyy""),""""))"),"")</f>
        <v/>
      </c>
    </row>
    <row r="1760">
      <c r="B1760" s="62"/>
      <c r="C1760" s="56"/>
      <c r="D1760" s="56"/>
      <c r="E1760" s="56"/>
      <c r="F1760" s="63"/>
      <c r="G1760" s="64"/>
      <c r="H1760" s="65"/>
      <c r="I1760" s="63"/>
      <c r="K1760" s="53" t="str">
        <f>IFERROR(__xludf.DUMMYFUNCTION("IF(ISBLANK(B1760),"""",IF(ISDATE(B1760),""X"",""""))"),"")</f>
        <v/>
      </c>
      <c r="L1760" s="40" t="str">
        <f>IFERROR(__xludf.DUMMYFUNCTION("IF(ISBLANK(B1760),"""",IF(Or(I1760=""Em Aberto"",ISBLANK(I1760),NOT(ISDATE(B1760))),"""",H1760))"),"")</f>
        <v/>
      </c>
      <c r="M1760" s="29" t="str">
        <f>IFERROR(__xludf.DUMMYFUNCTION("IF(ISBLANK(B1760),"""",IF(ISDATE(B1760),TEXT(B1760,""m""),""""))"),"")</f>
        <v/>
      </c>
      <c r="N1760" s="29" t="str">
        <f>IFERROR(__xludf.DUMMYFUNCTION("IF(M1760="""","""",QUERY({'Dashboard-Dados'!$Y$2:$AA$13},""Select Col2 Where Col1=""&amp;M1760))"),"")</f>
        <v/>
      </c>
      <c r="O1760" s="29" t="str">
        <f>IFERROR(__xludf.DUMMYFUNCTION("IF(ISBLANK(B1760),"""",IF(ISDATE(B1760),TEXT(B1760,""yyyy""),""""))"),"")</f>
        <v/>
      </c>
    </row>
    <row r="1761">
      <c r="B1761" s="62"/>
      <c r="C1761" s="56"/>
      <c r="D1761" s="56"/>
      <c r="E1761" s="56"/>
      <c r="F1761" s="63"/>
      <c r="G1761" s="64"/>
      <c r="H1761" s="65"/>
      <c r="I1761" s="63"/>
      <c r="K1761" s="53" t="str">
        <f>IFERROR(__xludf.DUMMYFUNCTION("IF(ISBLANK(B1761),"""",IF(ISDATE(B1761),""X"",""""))"),"")</f>
        <v/>
      </c>
      <c r="L1761" s="40" t="str">
        <f>IFERROR(__xludf.DUMMYFUNCTION("IF(ISBLANK(B1761),"""",IF(Or(I1761=""Em Aberto"",ISBLANK(I1761),NOT(ISDATE(B1761))),"""",H1761))"),"")</f>
        <v/>
      </c>
      <c r="M1761" s="29" t="str">
        <f>IFERROR(__xludf.DUMMYFUNCTION("IF(ISBLANK(B1761),"""",IF(ISDATE(B1761),TEXT(B1761,""m""),""""))"),"")</f>
        <v/>
      </c>
      <c r="N1761" s="29" t="str">
        <f>IFERROR(__xludf.DUMMYFUNCTION("IF(M1761="""","""",QUERY({'Dashboard-Dados'!$Y$2:$AA$13},""Select Col2 Where Col1=""&amp;M1761))"),"")</f>
        <v/>
      </c>
      <c r="O1761" s="29" t="str">
        <f>IFERROR(__xludf.DUMMYFUNCTION("IF(ISBLANK(B1761),"""",IF(ISDATE(B1761),TEXT(B1761,""yyyy""),""""))"),"")</f>
        <v/>
      </c>
    </row>
    <row r="1762">
      <c r="B1762" s="62"/>
      <c r="C1762" s="56"/>
      <c r="D1762" s="56"/>
      <c r="E1762" s="56"/>
      <c r="F1762" s="63"/>
      <c r="G1762" s="64"/>
      <c r="H1762" s="65"/>
      <c r="I1762" s="63"/>
      <c r="K1762" s="53" t="str">
        <f>IFERROR(__xludf.DUMMYFUNCTION("IF(ISBLANK(B1762),"""",IF(ISDATE(B1762),""X"",""""))"),"")</f>
        <v/>
      </c>
      <c r="L1762" s="40" t="str">
        <f>IFERROR(__xludf.DUMMYFUNCTION("IF(ISBLANK(B1762),"""",IF(Or(I1762=""Em Aberto"",ISBLANK(I1762),NOT(ISDATE(B1762))),"""",H1762))"),"")</f>
        <v/>
      </c>
      <c r="M1762" s="29" t="str">
        <f>IFERROR(__xludf.DUMMYFUNCTION("IF(ISBLANK(B1762),"""",IF(ISDATE(B1762),TEXT(B1762,""m""),""""))"),"")</f>
        <v/>
      </c>
      <c r="N1762" s="29" t="str">
        <f>IFERROR(__xludf.DUMMYFUNCTION("IF(M1762="""","""",QUERY({'Dashboard-Dados'!$Y$2:$AA$13},""Select Col2 Where Col1=""&amp;M1762))"),"")</f>
        <v/>
      </c>
      <c r="O1762" s="29" t="str">
        <f>IFERROR(__xludf.DUMMYFUNCTION("IF(ISBLANK(B1762),"""",IF(ISDATE(B1762),TEXT(B1762,""yyyy""),""""))"),"")</f>
        <v/>
      </c>
    </row>
    <row r="1763">
      <c r="B1763" s="62"/>
      <c r="C1763" s="56"/>
      <c r="D1763" s="56"/>
      <c r="E1763" s="56"/>
      <c r="F1763" s="63"/>
      <c r="G1763" s="64"/>
      <c r="H1763" s="65"/>
      <c r="I1763" s="63"/>
      <c r="K1763" s="53" t="str">
        <f>IFERROR(__xludf.DUMMYFUNCTION("IF(ISBLANK(B1763),"""",IF(ISDATE(B1763),""X"",""""))"),"")</f>
        <v/>
      </c>
      <c r="L1763" s="40" t="str">
        <f>IFERROR(__xludf.DUMMYFUNCTION("IF(ISBLANK(B1763),"""",IF(Or(I1763=""Em Aberto"",ISBLANK(I1763),NOT(ISDATE(B1763))),"""",H1763))"),"")</f>
        <v/>
      </c>
      <c r="M1763" s="29" t="str">
        <f>IFERROR(__xludf.DUMMYFUNCTION("IF(ISBLANK(B1763),"""",IF(ISDATE(B1763),TEXT(B1763,""m""),""""))"),"")</f>
        <v/>
      </c>
      <c r="N1763" s="29" t="str">
        <f>IFERROR(__xludf.DUMMYFUNCTION("IF(M1763="""","""",QUERY({'Dashboard-Dados'!$Y$2:$AA$13},""Select Col2 Where Col1=""&amp;M1763))"),"")</f>
        <v/>
      </c>
      <c r="O1763" s="29" t="str">
        <f>IFERROR(__xludf.DUMMYFUNCTION("IF(ISBLANK(B1763),"""",IF(ISDATE(B1763),TEXT(B1763,""yyyy""),""""))"),"")</f>
        <v/>
      </c>
    </row>
    <row r="1764">
      <c r="B1764" s="62"/>
      <c r="C1764" s="56"/>
      <c r="D1764" s="56"/>
      <c r="E1764" s="56"/>
      <c r="F1764" s="63"/>
      <c r="G1764" s="64"/>
      <c r="H1764" s="65"/>
      <c r="I1764" s="63"/>
      <c r="K1764" s="53" t="str">
        <f>IFERROR(__xludf.DUMMYFUNCTION("IF(ISBLANK(B1764),"""",IF(ISDATE(B1764),""X"",""""))"),"")</f>
        <v/>
      </c>
      <c r="L1764" s="40" t="str">
        <f>IFERROR(__xludf.DUMMYFUNCTION("IF(ISBLANK(B1764),"""",IF(Or(I1764=""Em Aberto"",ISBLANK(I1764),NOT(ISDATE(B1764))),"""",H1764))"),"")</f>
        <v/>
      </c>
      <c r="M1764" s="29" t="str">
        <f>IFERROR(__xludf.DUMMYFUNCTION("IF(ISBLANK(B1764),"""",IF(ISDATE(B1764),TEXT(B1764,""m""),""""))"),"")</f>
        <v/>
      </c>
      <c r="N1764" s="29" t="str">
        <f>IFERROR(__xludf.DUMMYFUNCTION("IF(M1764="""","""",QUERY({'Dashboard-Dados'!$Y$2:$AA$13},""Select Col2 Where Col1=""&amp;M1764))"),"")</f>
        <v/>
      </c>
      <c r="O1764" s="29" t="str">
        <f>IFERROR(__xludf.DUMMYFUNCTION("IF(ISBLANK(B1764),"""",IF(ISDATE(B1764),TEXT(B1764,""yyyy""),""""))"),"")</f>
        <v/>
      </c>
    </row>
    <row r="1765">
      <c r="B1765" s="62"/>
      <c r="C1765" s="56"/>
      <c r="D1765" s="56"/>
      <c r="E1765" s="56"/>
      <c r="F1765" s="63"/>
      <c r="G1765" s="64"/>
      <c r="H1765" s="65"/>
      <c r="I1765" s="63"/>
      <c r="K1765" s="53" t="str">
        <f>IFERROR(__xludf.DUMMYFUNCTION("IF(ISBLANK(B1765),"""",IF(ISDATE(B1765),""X"",""""))"),"")</f>
        <v/>
      </c>
      <c r="L1765" s="40" t="str">
        <f>IFERROR(__xludf.DUMMYFUNCTION("IF(ISBLANK(B1765),"""",IF(Or(I1765=""Em Aberto"",ISBLANK(I1765),NOT(ISDATE(B1765))),"""",H1765))"),"")</f>
        <v/>
      </c>
      <c r="M1765" s="29" t="str">
        <f>IFERROR(__xludf.DUMMYFUNCTION("IF(ISBLANK(B1765),"""",IF(ISDATE(B1765),TEXT(B1765,""m""),""""))"),"")</f>
        <v/>
      </c>
      <c r="N1765" s="29" t="str">
        <f>IFERROR(__xludf.DUMMYFUNCTION("IF(M1765="""","""",QUERY({'Dashboard-Dados'!$Y$2:$AA$13},""Select Col2 Where Col1=""&amp;M1765))"),"")</f>
        <v/>
      </c>
      <c r="O1765" s="29" t="str">
        <f>IFERROR(__xludf.DUMMYFUNCTION("IF(ISBLANK(B1765),"""",IF(ISDATE(B1765),TEXT(B1765,""yyyy""),""""))"),"")</f>
        <v/>
      </c>
    </row>
    <row r="1766">
      <c r="B1766" s="62"/>
      <c r="C1766" s="56"/>
      <c r="D1766" s="56"/>
      <c r="E1766" s="56"/>
      <c r="F1766" s="63"/>
      <c r="G1766" s="64"/>
      <c r="H1766" s="65"/>
      <c r="I1766" s="63"/>
      <c r="K1766" s="53" t="str">
        <f>IFERROR(__xludf.DUMMYFUNCTION("IF(ISBLANK(B1766),"""",IF(ISDATE(B1766),""X"",""""))"),"")</f>
        <v/>
      </c>
      <c r="L1766" s="40" t="str">
        <f>IFERROR(__xludf.DUMMYFUNCTION("IF(ISBLANK(B1766),"""",IF(Or(I1766=""Em Aberto"",ISBLANK(I1766),NOT(ISDATE(B1766))),"""",H1766))"),"")</f>
        <v/>
      </c>
      <c r="M1766" s="29" t="str">
        <f>IFERROR(__xludf.DUMMYFUNCTION("IF(ISBLANK(B1766),"""",IF(ISDATE(B1766),TEXT(B1766,""m""),""""))"),"")</f>
        <v/>
      </c>
      <c r="N1766" s="29" t="str">
        <f>IFERROR(__xludf.DUMMYFUNCTION("IF(M1766="""","""",QUERY({'Dashboard-Dados'!$Y$2:$AA$13},""Select Col2 Where Col1=""&amp;M1766))"),"")</f>
        <v/>
      </c>
      <c r="O1766" s="29" t="str">
        <f>IFERROR(__xludf.DUMMYFUNCTION("IF(ISBLANK(B1766),"""",IF(ISDATE(B1766),TEXT(B1766,""yyyy""),""""))"),"")</f>
        <v/>
      </c>
    </row>
    <row r="1767">
      <c r="B1767" s="62"/>
      <c r="C1767" s="56"/>
      <c r="D1767" s="56"/>
      <c r="E1767" s="56"/>
      <c r="F1767" s="63"/>
      <c r="G1767" s="64"/>
      <c r="H1767" s="65"/>
      <c r="I1767" s="63"/>
      <c r="K1767" s="53" t="str">
        <f>IFERROR(__xludf.DUMMYFUNCTION("IF(ISBLANK(B1767),"""",IF(ISDATE(B1767),""X"",""""))"),"")</f>
        <v/>
      </c>
      <c r="L1767" s="40" t="str">
        <f>IFERROR(__xludf.DUMMYFUNCTION("IF(ISBLANK(B1767),"""",IF(Or(I1767=""Em Aberto"",ISBLANK(I1767),NOT(ISDATE(B1767))),"""",H1767))"),"")</f>
        <v/>
      </c>
      <c r="M1767" s="29" t="str">
        <f>IFERROR(__xludf.DUMMYFUNCTION("IF(ISBLANK(B1767),"""",IF(ISDATE(B1767),TEXT(B1767,""m""),""""))"),"")</f>
        <v/>
      </c>
      <c r="N1767" s="29" t="str">
        <f>IFERROR(__xludf.DUMMYFUNCTION("IF(M1767="""","""",QUERY({'Dashboard-Dados'!$Y$2:$AA$13},""Select Col2 Where Col1=""&amp;M1767))"),"")</f>
        <v/>
      </c>
      <c r="O1767" s="29" t="str">
        <f>IFERROR(__xludf.DUMMYFUNCTION("IF(ISBLANK(B1767),"""",IF(ISDATE(B1767),TEXT(B1767,""yyyy""),""""))"),"")</f>
        <v/>
      </c>
    </row>
    <row r="1768">
      <c r="B1768" s="62"/>
      <c r="C1768" s="56"/>
      <c r="D1768" s="56"/>
      <c r="E1768" s="56"/>
      <c r="F1768" s="63"/>
      <c r="G1768" s="64"/>
      <c r="H1768" s="65"/>
      <c r="I1768" s="63"/>
      <c r="K1768" s="53" t="str">
        <f>IFERROR(__xludf.DUMMYFUNCTION("IF(ISBLANK(B1768),"""",IF(ISDATE(B1768),""X"",""""))"),"")</f>
        <v/>
      </c>
      <c r="L1768" s="40" t="str">
        <f>IFERROR(__xludf.DUMMYFUNCTION("IF(ISBLANK(B1768),"""",IF(Or(I1768=""Em Aberto"",ISBLANK(I1768),NOT(ISDATE(B1768))),"""",H1768))"),"")</f>
        <v/>
      </c>
      <c r="M1768" s="29" t="str">
        <f>IFERROR(__xludf.DUMMYFUNCTION("IF(ISBLANK(B1768),"""",IF(ISDATE(B1768),TEXT(B1768,""m""),""""))"),"")</f>
        <v/>
      </c>
      <c r="N1768" s="29" t="str">
        <f>IFERROR(__xludf.DUMMYFUNCTION("IF(M1768="""","""",QUERY({'Dashboard-Dados'!$Y$2:$AA$13},""Select Col2 Where Col1=""&amp;M1768))"),"")</f>
        <v/>
      </c>
      <c r="O1768" s="29" t="str">
        <f>IFERROR(__xludf.DUMMYFUNCTION("IF(ISBLANK(B1768),"""",IF(ISDATE(B1768),TEXT(B1768,""yyyy""),""""))"),"")</f>
        <v/>
      </c>
    </row>
    <row r="1769">
      <c r="B1769" s="62"/>
      <c r="C1769" s="56"/>
      <c r="D1769" s="56"/>
      <c r="E1769" s="56"/>
      <c r="F1769" s="63"/>
      <c r="G1769" s="64"/>
      <c r="H1769" s="65"/>
      <c r="I1769" s="63"/>
      <c r="K1769" s="53" t="str">
        <f>IFERROR(__xludf.DUMMYFUNCTION("IF(ISBLANK(B1769),"""",IF(ISDATE(B1769),""X"",""""))"),"")</f>
        <v/>
      </c>
      <c r="L1769" s="40" t="str">
        <f>IFERROR(__xludf.DUMMYFUNCTION("IF(ISBLANK(B1769),"""",IF(Or(I1769=""Em Aberto"",ISBLANK(I1769),NOT(ISDATE(B1769))),"""",H1769))"),"")</f>
        <v/>
      </c>
      <c r="M1769" s="29" t="str">
        <f>IFERROR(__xludf.DUMMYFUNCTION("IF(ISBLANK(B1769),"""",IF(ISDATE(B1769),TEXT(B1769,""m""),""""))"),"")</f>
        <v/>
      </c>
      <c r="N1769" s="29" t="str">
        <f>IFERROR(__xludf.DUMMYFUNCTION("IF(M1769="""","""",QUERY({'Dashboard-Dados'!$Y$2:$AA$13},""Select Col2 Where Col1=""&amp;M1769))"),"")</f>
        <v/>
      </c>
      <c r="O1769" s="29" t="str">
        <f>IFERROR(__xludf.DUMMYFUNCTION("IF(ISBLANK(B1769),"""",IF(ISDATE(B1769),TEXT(B1769,""yyyy""),""""))"),"")</f>
        <v/>
      </c>
    </row>
    <row r="1770">
      <c r="B1770" s="62"/>
      <c r="C1770" s="56"/>
      <c r="D1770" s="56"/>
      <c r="E1770" s="56"/>
      <c r="F1770" s="63"/>
      <c r="G1770" s="64"/>
      <c r="H1770" s="65"/>
      <c r="I1770" s="63"/>
      <c r="K1770" s="53" t="str">
        <f>IFERROR(__xludf.DUMMYFUNCTION("IF(ISBLANK(B1770),"""",IF(ISDATE(B1770),""X"",""""))"),"")</f>
        <v/>
      </c>
      <c r="L1770" s="40" t="str">
        <f>IFERROR(__xludf.DUMMYFUNCTION("IF(ISBLANK(B1770),"""",IF(Or(I1770=""Em Aberto"",ISBLANK(I1770),NOT(ISDATE(B1770))),"""",H1770))"),"")</f>
        <v/>
      </c>
      <c r="M1770" s="29" t="str">
        <f>IFERROR(__xludf.DUMMYFUNCTION("IF(ISBLANK(B1770),"""",IF(ISDATE(B1770),TEXT(B1770,""m""),""""))"),"")</f>
        <v/>
      </c>
      <c r="N1770" s="29" t="str">
        <f>IFERROR(__xludf.DUMMYFUNCTION("IF(M1770="""","""",QUERY({'Dashboard-Dados'!$Y$2:$AA$13},""Select Col2 Where Col1=""&amp;M1770))"),"")</f>
        <v/>
      </c>
      <c r="O1770" s="29" t="str">
        <f>IFERROR(__xludf.DUMMYFUNCTION("IF(ISBLANK(B1770),"""",IF(ISDATE(B1770),TEXT(B1770,""yyyy""),""""))"),"")</f>
        <v/>
      </c>
    </row>
    <row r="1771">
      <c r="B1771" s="62"/>
      <c r="C1771" s="56"/>
      <c r="D1771" s="56"/>
      <c r="E1771" s="56"/>
      <c r="F1771" s="63"/>
      <c r="G1771" s="64"/>
      <c r="H1771" s="65"/>
      <c r="I1771" s="63"/>
      <c r="K1771" s="53" t="str">
        <f>IFERROR(__xludf.DUMMYFUNCTION("IF(ISBLANK(B1771),"""",IF(ISDATE(B1771),""X"",""""))"),"")</f>
        <v/>
      </c>
      <c r="L1771" s="40" t="str">
        <f>IFERROR(__xludf.DUMMYFUNCTION("IF(ISBLANK(B1771),"""",IF(Or(I1771=""Em Aberto"",ISBLANK(I1771),NOT(ISDATE(B1771))),"""",H1771))"),"")</f>
        <v/>
      </c>
      <c r="M1771" s="29" t="str">
        <f>IFERROR(__xludf.DUMMYFUNCTION("IF(ISBLANK(B1771),"""",IF(ISDATE(B1771),TEXT(B1771,""m""),""""))"),"")</f>
        <v/>
      </c>
      <c r="N1771" s="29" t="str">
        <f>IFERROR(__xludf.DUMMYFUNCTION("IF(M1771="""","""",QUERY({'Dashboard-Dados'!$Y$2:$AA$13},""Select Col2 Where Col1=""&amp;M1771))"),"")</f>
        <v/>
      </c>
      <c r="O1771" s="29" t="str">
        <f>IFERROR(__xludf.DUMMYFUNCTION("IF(ISBLANK(B1771),"""",IF(ISDATE(B1771),TEXT(B1771,""yyyy""),""""))"),"")</f>
        <v/>
      </c>
    </row>
    <row r="1772">
      <c r="B1772" s="62"/>
      <c r="C1772" s="56"/>
      <c r="D1772" s="56"/>
      <c r="E1772" s="56"/>
      <c r="F1772" s="63"/>
      <c r="G1772" s="64"/>
      <c r="H1772" s="65"/>
      <c r="I1772" s="63"/>
      <c r="K1772" s="53" t="str">
        <f>IFERROR(__xludf.DUMMYFUNCTION("IF(ISBLANK(B1772),"""",IF(ISDATE(B1772),""X"",""""))"),"")</f>
        <v/>
      </c>
      <c r="L1772" s="40" t="str">
        <f>IFERROR(__xludf.DUMMYFUNCTION("IF(ISBLANK(B1772),"""",IF(Or(I1772=""Em Aberto"",ISBLANK(I1772),NOT(ISDATE(B1772))),"""",H1772))"),"")</f>
        <v/>
      </c>
      <c r="M1772" s="29" t="str">
        <f>IFERROR(__xludf.DUMMYFUNCTION("IF(ISBLANK(B1772),"""",IF(ISDATE(B1772),TEXT(B1772,""m""),""""))"),"")</f>
        <v/>
      </c>
      <c r="N1772" s="29" t="str">
        <f>IFERROR(__xludf.DUMMYFUNCTION("IF(M1772="""","""",QUERY({'Dashboard-Dados'!$Y$2:$AA$13},""Select Col2 Where Col1=""&amp;M1772))"),"")</f>
        <v/>
      </c>
      <c r="O1772" s="29" t="str">
        <f>IFERROR(__xludf.DUMMYFUNCTION("IF(ISBLANK(B1772),"""",IF(ISDATE(B1772),TEXT(B1772,""yyyy""),""""))"),"")</f>
        <v/>
      </c>
    </row>
    <row r="1773">
      <c r="B1773" s="62"/>
      <c r="C1773" s="56"/>
      <c r="D1773" s="56"/>
      <c r="E1773" s="56"/>
      <c r="F1773" s="63"/>
      <c r="G1773" s="64"/>
      <c r="H1773" s="65"/>
      <c r="I1773" s="63"/>
      <c r="K1773" s="53" t="str">
        <f>IFERROR(__xludf.DUMMYFUNCTION("IF(ISBLANK(B1773),"""",IF(ISDATE(B1773),""X"",""""))"),"")</f>
        <v/>
      </c>
      <c r="L1773" s="40" t="str">
        <f>IFERROR(__xludf.DUMMYFUNCTION("IF(ISBLANK(B1773),"""",IF(Or(I1773=""Em Aberto"",ISBLANK(I1773),NOT(ISDATE(B1773))),"""",H1773))"),"")</f>
        <v/>
      </c>
      <c r="M1773" s="29" t="str">
        <f>IFERROR(__xludf.DUMMYFUNCTION("IF(ISBLANK(B1773),"""",IF(ISDATE(B1773),TEXT(B1773,""m""),""""))"),"")</f>
        <v/>
      </c>
      <c r="N1773" s="29" t="str">
        <f>IFERROR(__xludf.DUMMYFUNCTION("IF(M1773="""","""",QUERY({'Dashboard-Dados'!$Y$2:$AA$13},""Select Col2 Where Col1=""&amp;M1773))"),"")</f>
        <v/>
      </c>
      <c r="O1773" s="29" t="str">
        <f>IFERROR(__xludf.DUMMYFUNCTION("IF(ISBLANK(B1773),"""",IF(ISDATE(B1773),TEXT(B1773,""yyyy""),""""))"),"")</f>
        <v/>
      </c>
    </row>
    <row r="1774">
      <c r="B1774" s="62"/>
      <c r="C1774" s="56"/>
      <c r="D1774" s="56"/>
      <c r="E1774" s="56"/>
      <c r="F1774" s="63"/>
      <c r="G1774" s="64"/>
      <c r="H1774" s="65"/>
      <c r="I1774" s="63"/>
      <c r="K1774" s="53" t="str">
        <f>IFERROR(__xludf.DUMMYFUNCTION("IF(ISBLANK(B1774),"""",IF(ISDATE(B1774),""X"",""""))"),"")</f>
        <v/>
      </c>
      <c r="L1774" s="40" t="str">
        <f>IFERROR(__xludf.DUMMYFUNCTION("IF(ISBLANK(B1774),"""",IF(Or(I1774=""Em Aberto"",ISBLANK(I1774),NOT(ISDATE(B1774))),"""",H1774))"),"")</f>
        <v/>
      </c>
      <c r="M1774" s="29" t="str">
        <f>IFERROR(__xludf.DUMMYFUNCTION("IF(ISBLANK(B1774),"""",IF(ISDATE(B1774),TEXT(B1774,""m""),""""))"),"")</f>
        <v/>
      </c>
      <c r="N1774" s="29" t="str">
        <f>IFERROR(__xludf.DUMMYFUNCTION("IF(M1774="""","""",QUERY({'Dashboard-Dados'!$Y$2:$AA$13},""Select Col2 Where Col1=""&amp;M1774))"),"")</f>
        <v/>
      </c>
      <c r="O1774" s="29" t="str">
        <f>IFERROR(__xludf.DUMMYFUNCTION("IF(ISBLANK(B1774),"""",IF(ISDATE(B1774),TEXT(B1774,""yyyy""),""""))"),"")</f>
        <v/>
      </c>
    </row>
    <row r="1775">
      <c r="B1775" s="62"/>
      <c r="C1775" s="56"/>
      <c r="D1775" s="56"/>
      <c r="E1775" s="56"/>
      <c r="F1775" s="63"/>
      <c r="G1775" s="64"/>
      <c r="H1775" s="65"/>
      <c r="I1775" s="63"/>
      <c r="K1775" s="53" t="str">
        <f>IFERROR(__xludf.DUMMYFUNCTION("IF(ISBLANK(B1775),"""",IF(ISDATE(B1775),""X"",""""))"),"")</f>
        <v/>
      </c>
      <c r="L1775" s="40" t="str">
        <f>IFERROR(__xludf.DUMMYFUNCTION("IF(ISBLANK(B1775),"""",IF(Or(I1775=""Em Aberto"",ISBLANK(I1775),NOT(ISDATE(B1775))),"""",H1775))"),"")</f>
        <v/>
      </c>
      <c r="M1775" s="29" t="str">
        <f>IFERROR(__xludf.DUMMYFUNCTION("IF(ISBLANK(B1775),"""",IF(ISDATE(B1775),TEXT(B1775,""m""),""""))"),"")</f>
        <v/>
      </c>
      <c r="N1775" s="29" t="str">
        <f>IFERROR(__xludf.DUMMYFUNCTION("IF(M1775="""","""",QUERY({'Dashboard-Dados'!$Y$2:$AA$13},""Select Col2 Where Col1=""&amp;M1775))"),"")</f>
        <v/>
      </c>
      <c r="O1775" s="29" t="str">
        <f>IFERROR(__xludf.DUMMYFUNCTION("IF(ISBLANK(B1775),"""",IF(ISDATE(B1775),TEXT(B1775,""yyyy""),""""))"),"")</f>
        <v/>
      </c>
    </row>
    <row r="1776">
      <c r="B1776" s="62"/>
      <c r="C1776" s="56"/>
      <c r="D1776" s="56"/>
      <c r="E1776" s="56"/>
      <c r="F1776" s="63"/>
      <c r="G1776" s="64"/>
      <c r="H1776" s="65"/>
      <c r="I1776" s="63"/>
      <c r="K1776" s="53" t="str">
        <f>IFERROR(__xludf.DUMMYFUNCTION("IF(ISBLANK(B1776),"""",IF(ISDATE(B1776),""X"",""""))"),"")</f>
        <v/>
      </c>
      <c r="L1776" s="40" t="str">
        <f>IFERROR(__xludf.DUMMYFUNCTION("IF(ISBLANK(B1776),"""",IF(Or(I1776=""Em Aberto"",ISBLANK(I1776),NOT(ISDATE(B1776))),"""",H1776))"),"")</f>
        <v/>
      </c>
      <c r="M1776" s="29" t="str">
        <f>IFERROR(__xludf.DUMMYFUNCTION("IF(ISBLANK(B1776),"""",IF(ISDATE(B1776),TEXT(B1776,""m""),""""))"),"")</f>
        <v/>
      </c>
      <c r="N1776" s="29" t="str">
        <f>IFERROR(__xludf.DUMMYFUNCTION("IF(M1776="""","""",QUERY({'Dashboard-Dados'!$Y$2:$AA$13},""Select Col2 Where Col1=""&amp;M1776))"),"")</f>
        <v/>
      </c>
      <c r="O1776" s="29" t="str">
        <f>IFERROR(__xludf.DUMMYFUNCTION("IF(ISBLANK(B1776),"""",IF(ISDATE(B1776),TEXT(B1776,""yyyy""),""""))"),"")</f>
        <v/>
      </c>
    </row>
    <row r="1777">
      <c r="B1777" s="62"/>
      <c r="C1777" s="56"/>
      <c r="D1777" s="56"/>
      <c r="E1777" s="56"/>
      <c r="F1777" s="63"/>
      <c r="G1777" s="64"/>
      <c r="H1777" s="65"/>
      <c r="I1777" s="63"/>
      <c r="K1777" s="53" t="str">
        <f>IFERROR(__xludf.DUMMYFUNCTION("IF(ISBLANK(B1777),"""",IF(ISDATE(B1777),""X"",""""))"),"")</f>
        <v/>
      </c>
      <c r="L1777" s="40" t="str">
        <f>IFERROR(__xludf.DUMMYFUNCTION("IF(ISBLANK(B1777),"""",IF(Or(I1777=""Em Aberto"",ISBLANK(I1777),NOT(ISDATE(B1777))),"""",H1777))"),"")</f>
        <v/>
      </c>
      <c r="M1777" s="29" t="str">
        <f>IFERROR(__xludf.DUMMYFUNCTION("IF(ISBLANK(B1777),"""",IF(ISDATE(B1777),TEXT(B1777,""m""),""""))"),"")</f>
        <v/>
      </c>
      <c r="N1777" s="29" t="str">
        <f>IFERROR(__xludf.DUMMYFUNCTION("IF(M1777="""","""",QUERY({'Dashboard-Dados'!$Y$2:$AA$13},""Select Col2 Where Col1=""&amp;M1777))"),"")</f>
        <v/>
      </c>
      <c r="O1777" s="29" t="str">
        <f>IFERROR(__xludf.DUMMYFUNCTION("IF(ISBLANK(B1777),"""",IF(ISDATE(B1777),TEXT(B1777,""yyyy""),""""))"),"")</f>
        <v/>
      </c>
    </row>
    <row r="1778">
      <c r="B1778" s="62"/>
      <c r="C1778" s="56"/>
      <c r="D1778" s="56"/>
      <c r="E1778" s="56"/>
      <c r="F1778" s="63"/>
      <c r="G1778" s="64"/>
      <c r="H1778" s="65"/>
      <c r="I1778" s="63"/>
      <c r="K1778" s="53" t="str">
        <f>IFERROR(__xludf.DUMMYFUNCTION("IF(ISBLANK(B1778),"""",IF(ISDATE(B1778),""X"",""""))"),"")</f>
        <v/>
      </c>
      <c r="L1778" s="40" t="str">
        <f>IFERROR(__xludf.DUMMYFUNCTION("IF(ISBLANK(B1778),"""",IF(Or(I1778=""Em Aberto"",ISBLANK(I1778),NOT(ISDATE(B1778))),"""",H1778))"),"")</f>
        <v/>
      </c>
      <c r="M1778" s="29" t="str">
        <f>IFERROR(__xludf.DUMMYFUNCTION("IF(ISBLANK(B1778),"""",IF(ISDATE(B1778),TEXT(B1778,""m""),""""))"),"")</f>
        <v/>
      </c>
      <c r="N1778" s="29" t="str">
        <f>IFERROR(__xludf.DUMMYFUNCTION("IF(M1778="""","""",QUERY({'Dashboard-Dados'!$Y$2:$AA$13},""Select Col2 Where Col1=""&amp;M1778))"),"")</f>
        <v/>
      </c>
      <c r="O1778" s="29" t="str">
        <f>IFERROR(__xludf.DUMMYFUNCTION("IF(ISBLANK(B1778),"""",IF(ISDATE(B1778),TEXT(B1778,""yyyy""),""""))"),"")</f>
        <v/>
      </c>
    </row>
    <row r="1779">
      <c r="B1779" s="62"/>
      <c r="C1779" s="56"/>
      <c r="D1779" s="56"/>
      <c r="E1779" s="56"/>
      <c r="F1779" s="63"/>
      <c r="G1779" s="64"/>
      <c r="H1779" s="65"/>
      <c r="I1779" s="63"/>
      <c r="K1779" s="53" t="str">
        <f>IFERROR(__xludf.DUMMYFUNCTION("IF(ISBLANK(B1779),"""",IF(ISDATE(B1779),""X"",""""))"),"")</f>
        <v/>
      </c>
      <c r="L1779" s="40" t="str">
        <f>IFERROR(__xludf.DUMMYFUNCTION("IF(ISBLANK(B1779),"""",IF(Or(I1779=""Em Aberto"",ISBLANK(I1779),NOT(ISDATE(B1779))),"""",H1779))"),"")</f>
        <v/>
      </c>
      <c r="M1779" s="29" t="str">
        <f>IFERROR(__xludf.DUMMYFUNCTION("IF(ISBLANK(B1779),"""",IF(ISDATE(B1779),TEXT(B1779,""m""),""""))"),"")</f>
        <v/>
      </c>
      <c r="N1779" s="29" t="str">
        <f>IFERROR(__xludf.DUMMYFUNCTION("IF(M1779="""","""",QUERY({'Dashboard-Dados'!$Y$2:$AA$13},""Select Col2 Where Col1=""&amp;M1779))"),"")</f>
        <v/>
      </c>
      <c r="O1779" s="29" t="str">
        <f>IFERROR(__xludf.DUMMYFUNCTION("IF(ISBLANK(B1779),"""",IF(ISDATE(B1779),TEXT(B1779,""yyyy""),""""))"),"")</f>
        <v/>
      </c>
    </row>
    <row r="1780">
      <c r="B1780" s="62"/>
      <c r="C1780" s="56"/>
      <c r="D1780" s="56"/>
      <c r="E1780" s="56"/>
      <c r="F1780" s="63"/>
      <c r="G1780" s="64"/>
      <c r="H1780" s="65"/>
      <c r="I1780" s="63"/>
      <c r="K1780" s="53" t="str">
        <f>IFERROR(__xludf.DUMMYFUNCTION("IF(ISBLANK(B1780),"""",IF(ISDATE(B1780),""X"",""""))"),"")</f>
        <v/>
      </c>
      <c r="L1780" s="40" t="str">
        <f>IFERROR(__xludf.DUMMYFUNCTION("IF(ISBLANK(B1780),"""",IF(Or(I1780=""Em Aberto"",ISBLANK(I1780),NOT(ISDATE(B1780))),"""",H1780))"),"")</f>
        <v/>
      </c>
      <c r="M1780" s="29" t="str">
        <f>IFERROR(__xludf.DUMMYFUNCTION("IF(ISBLANK(B1780),"""",IF(ISDATE(B1780),TEXT(B1780,""m""),""""))"),"")</f>
        <v/>
      </c>
      <c r="N1780" s="29" t="str">
        <f>IFERROR(__xludf.DUMMYFUNCTION("IF(M1780="""","""",QUERY({'Dashboard-Dados'!$Y$2:$AA$13},""Select Col2 Where Col1=""&amp;M1780))"),"")</f>
        <v/>
      </c>
      <c r="O1780" s="29" t="str">
        <f>IFERROR(__xludf.DUMMYFUNCTION("IF(ISBLANK(B1780),"""",IF(ISDATE(B1780),TEXT(B1780,""yyyy""),""""))"),"")</f>
        <v/>
      </c>
    </row>
    <row r="1781">
      <c r="B1781" s="62"/>
      <c r="C1781" s="56"/>
      <c r="D1781" s="56"/>
      <c r="E1781" s="56"/>
      <c r="F1781" s="63"/>
      <c r="G1781" s="64"/>
      <c r="H1781" s="65"/>
      <c r="I1781" s="63"/>
      <c r="K1781" s="53" t="str">
        <f>IFERROR(__xludf.DUMMYFUNCTION("IF(ISBLANK(B1781),"""",IF(ISDATE(B1781),""X"",""""))"),"")</f>
        <v/>
      </c>
      <c r="L1781" s="40" t="str">
        <f>IFERROR(__xludf.DUMMYFUNCTION("IF(ISBLANK(B1781),"""",IF(Or(I1781=""Em Aberto"",ISBLANK(I1781),NOT(ISDATE(B1781))),"""",H1781))"),"")</f>
        <v/>
      </c>
      <c r="M1781" s="29" t="str">
        <f>IFERROR(__xludf.DUMMYFUNCTION("IF(ISBLANK(B1781),"""",IF(ISDATE(B1781),TEXT(B1781,""m""),""""))"),"")</f>
        <v/>
      </c>
      <c r="N1781" s="29" t="str">
        <f>IFERROR(__xludf.DUMMYFUNCTION("IF(M1781="""","""",QUERY({'Dashboard-Dados'!$Y$2:$AA$13},""Select Col2 Where Col1=""&amp;M1781))"),"")</f>
        <v/>
      </c>
      <c r="O1781" s="29" t="str">
        <f>IFERROR(__xludf.DUMMYFUNCTION("IF(ISBLANK(B1781),"""",IF(ISDATE(B1781),TEXT(B1781,""yyyy""),""""))"),"")</f>
        <v/>
      </c>
    </row>
    <row r="1782">
      <c r="B1782" s="62"/>
      <c r="C1782" s="56"/>
      <c r="D1782" s="56"/>
      <c r="E1782" s="56"/>
      <c r="F1782" s="63"/>
      <c r="G1782" s="64"/>
      <c r="H1782" s="65"/>
      <c r="I1782" s="63"/>
      <c r="K1782" s="53" t="str">
        <f>IFERROR(__xludf.DUMMYFUNCTION("IF(ISBLANK(B1782),"""",IF(ISDATE(B1782),""X"",""""))"),"")</f>
        <v/>
      </c>
      <c r="L1782" s="40" t="str">
        <f>IFERROR(__xludf.DUMMYFUNCTION("IF(ISBLANK(B1782),"""",IF(Or(I1782=""Em Aberto"",ISBLANK(I1782),NOT(ISDATE(B1782))),"""",H1782))"),"")</f>
        <v/>
      </c>
      <c r="M1782" s="29" t="str">
        <f>IFERROR(__xludf.DUMMYFUNCTION("IF(ISBLANK(B1782),"""",IF(ISDATE(B1782),TEXT(B1782,""m""),""""))"),"")</f>
        <v/>
      </c>
      <c r="N1782" s="29" t="str">
        <f>IFERROR(__xludf.DUMMYFUNCTION("IF(M1782="""","""",QUERY({'Dashboard-Dados'!$Y$2:$AA$13},""Select Col2 Where Col1=""&amp;M1782))"),"")</f>
        <v/>
      </c>
      <c r="O1782" s="29" t="str">
        <f>IFERROR(__xludf.DUMMYFUNCTION("IF(ISBLANK(B1782),"""",IF(ISDATE(B1782),TEXT(B1782,""yyyy""),""""))"),"")</f>
        <v/>
      </c>
    </row>
    <row r="1783">
      <c r="B1783" s="62"/>
      <c r="C1783" s="56"/>
      <c r="D1783" s="56"/>
      <c r="E1783" s="56"/>
      <c r="F1783" s="63"/>
      <c r="G1783" s="64"/>
      <c r="H1783" s="65"/>
      <c r="I1783" s="63"/>
      <c r="K1783" s="53" t="str">
        <f>IFERROR(__xludf.DUMMYFUNCTION("IF(ISBLANK(B1783),"""",IF(ISDATE(B1783),""X"",""""))"),"")</f>
        <v/>
      </c>
      <c r="L1783" s="40" t="str">
        <f>IFERROR(__xludf.DUMMYFUNCTION("IF(ISBLANK(B1783),"""",IF(Or(I1783=""Em Aberto"",ISBLANK(I1783),NOT(ISDATE(B1783))),"""",H1783))"),"")</f>
        <v/>
      </c>
      <c r="M1783" s="29" t="str">
        <f>IFERROR(__xludf.DUMMYFUNCTION("IF(ISBLANK(B1783),"""",IF(ISDATE(B1783),TEXT(B1783,""m""),""""))"),"")</f>
        <v/>
      </c>
      <c r="N1783" s="29" t="str">
        <f>IFERROR(__xludf.DUMMYFUNCTION("IF(M1783="""","""",QUERY({'Dashboard-Dados'!$Y$2:$AA$13},""Select Col2 Where Col1=""&amp;M1783))"),"")</f>
        <v/>
      </c>
      <c r="O1783" s="29" t="str">
        <f>IFERROR(__xludf.DUMMYFUNCTION("IF(ISBLANK(B1783),"""",IF(ISDATE(B1783),TEXT(B1783,""yyyy""),""""))"),"")</f>
        <v/>
      </c>
    </row>
    <row r="1784">
      <c r="B1784" s="62"/>
      <c r="C1784" s="56"/>
      <c r="D1784" s="56"/>
      <c r="E1784" s="56"/>
      <c r="F1784" s="63"/>
      <c r="G1784" s="64"/>
      <c r="H1784" s="65"/>
      <c r="I1784" s="63"/>
      <c r="K1784" s="53" t="str">
        <f>IFERROR(__xludf.DUMMYFUNCTION("IF(ISBLANK(B1784),"""",IF(ISDATE(B1784),""X"",""""))"),"")</f>
        <v/>
      </c>
      <c r="L1784" s="40" t="str">
        <f>IFERROR(__xludf.DUMMYFUNCTION("IF(ISBLANK(B1784),"""",IF(Or(I1784=""Em Aberto"",ISBLANK(I1784),NOT(ISDATE(B1784))),"""",H1784))"),"")</f>
        <v/>
      </c>
      <c r="M1784" s="29" t="str">
        <f>IFERROR(__xludf.DUMMYFUNCTION("IF(ISBLANK(B1784),"""",IF(ISDATE(B1784),TEXT(B1784,""m""),""""))"),"")</f>
        <v/>
      </c>
      <c r="N1784" s="29" t="str">
        <f>IFERROR(__xludf.DUMMYFUNCTION("IF(M1784="""","""",QUERY({'Dashboard-Dados'!$Y$2:$AA$13},""Select Col2 Where Col1=""&amp;M1784))"),"")</f>
        <v/>
      </c>
      <c r="O1784" s="29" t="str">
        <f>IFERROR(__xludf.DUMMYFUNCTION("IF(ISBLANK(B1784),"""",IF(ISDATE(B1784),TEXT(B1784,""yyyy""),""""))"),"")</f>
        <v/>
      </c>
    </row>
    <row r="1785">
      <c r="B1785" s="62"/>
      <c r="C1785" s="56"/>
      <c r="D1785" s="56"/>
      <c r="E1785" s="56"/>
      <c r="F1785" s="63"/>
      <c r="G1785" s="64"/>
      <c r="H1785" s="65"/>
      <c r="I1785" s="63"/>
      <c r="K1785" s="53" t="str">
        <f>IFERROR(__xludf.DUMMYFUNCTION("IF(ISBLANK(B1785),"""",IF(ISDATE(B1785),""X"",""""))"),"")</f>
        <v/>
      </c>
      <c r="L1785" s="40" t="str">
        <f>IFERROR(__xludf.DUMMYFUNCTION("IF(ISBLANK(B1785),"""",IF(Or(I1785=""Em Aberto"",ISBLANK(I1785),NOT(ISDATE(B1785))),"""",H1785))"),"")</f>
        <v/>
      </c>
      <c r="M1785" s="29" t="str">
        <f>IFERROR(__xludf.DUMMYFUNCTION("IF(ISBLANK(B1785),"""",IF(ISDATE(B1785),TEXT(B1785,""m""),""""))"),"")</f>
        <v/>
      </c>
      <c r="N1785" s="29" t="str">
        <f>IFERROR(__xludf.DUMMYFUNCTION("IF(M1785="""","""",QUERY({'Dashboard-Dados'!$Y$2:$AA$13},""Select Col2 Where Col1=""&amp;M1785))"),"")</f>
        <v/>
      </c>
      <c r="O1785" s="29" t="str">
        <f>IFERROR(__xludf.DUMMYFUNCTION("IF(ISBLANK(B1785),"""",IF(ISDATE(B1785),TEXT(B1785,""yyyy""),""""))"),"")</f>
        <v/>
      </c>
    </row>
    <row r="1786">
      <c r="B1786" s="62"/>
      <c r="C1786" s="56"/>
      <c r="D1786" s="56"/>
      <c r="E1786" s="56"/>
      <c r="F1786" s="63"/>
      <c r="G1786" s="64"/>
      <c r="H1786" s="65"/>
      <c r="I1786" s="63"/>
      <c r="K1786" s="53" t="str">
        <f>IFERROR(__xludf.DUMMYFUNCTION("IF(ISBLANK(B1786),"""",IF(ISDATE(B1786),""X"",""""))"),"")</f>
        <v/>
      </c>
      <c r="L1786" s="40" t="str">
        <f>IFERROR(__xludf.DUMMYFUNCTION("IF(ISBLANK(B1786),"""",IF(Or(I1786=""Em Aberto"",ISBLANK(I1786),NOT(ISDATE(B1786))),"""",H1786))"),"")</f>
        <v/>
      </c>
      <c r="M1786" s="29" t="str">
        <f>IFERROR(__xludf.DUMMYFUNCTION("IF(ISBLANK(B1786),"""",IF(ISDATE(B1786),TEXT(B1786,""m""),""""))"),"")</f>
        <v/>
      </c>
      <c r="N1786" s="29" t="str">
        <f>IFERROR(__xludf.DUMMYFUNCTION("IF(M1786="""","""",QUERY({'Dashboard-Dados'!$Y$2:$AA$13},""Select Col2 Where Col1=""&amp;M1786))"),"")</f>
        <v/>
      </c>
      <c r="O1786" s="29" t="str">
        <f>IFERROR(__xludf.DUMMYFUNCTION("IF(ISBLANK(B1786),"""",IF(ISDATE(B1786),TEXT(B1786,""yyyy""),""""))"),"")</f>
        <v/>
      </c>
    </row>
    <row r="1787">
      <c r="B1787" s="62"/>
      <c r="C1787" s="56"/>
      <c r="D1787" s="56"/>
      <c r="E1787" s="56"/>
      <c r="F1787" s="63"/>
      <c r="G1787" s="64"/>
      <c r="H1787" s="65"/>
      <c r="I1787" s="63"/>
      <c r="K1787" s="53" t="str">
        <f>IFERROR(__xludf.DUMMYFUNCTION("IF(ISBLANK(B1787),"""",IF(ISDATE(B1787),""X"",""""))"),"")</f>
        <v/>
      </c>
      <c r="L1787" s="40" t="str">
        <f>IFERROR(__xludf.DUMMYFUNCTION("IF(ISBLANK(B1787),"""",IF(Or(I1787=""Em Aberto"",ISBLANK(I1787),NOT(ISDATE(B1787))),"""",H1787))"),"")</f>
        <v/>
      </c>
      <c r="M1787" s="29" t="str">
        <f>IFERROR(__xludf.DUMMYFUNCTION("IF(ISBLANK(B1787),"""",IF(ISDATE(B1787),TEXT(B1787,""m""),""""))"),"")</f>
        <v/>
      </c>
      <c r="N1787" s="29" t="str">
        <f>IFERROR(__xludf.DUMMYFUNCTION("IF(M1787="""","""",QUERY({'Dashboard-Dados'!$Y$2:$AA$13},""Select Col2 Where Col1=""&amp;M1787))"),"")</f>
        <v/>
      </c>
      <c r="O1787" s="29" t="str">
        <f>IFERROR(__xludf.DUMMYFUNCTION("IF(ISBLANK(B1787),"""",IF(ISDATE(B1787),TEXT(B1787,""yyyy""),""""))"),"")</f>
        <v/>
      </c>
    </row>
    <row r="1788">
      <c r="B1788" s="62"/>
      <c r="C1788" s="56"/>
      <c r="D1788" s="56"/>
      <c r="E1788" s="56"/>
      <c r="F1788" s="63"/>
      <c r="G1788" s="64"/>
      <c r="H1788" s="65"/>
      <c r="I1788" s="63"/>
      <c r="K1788" s="53" t="str">
        <f>IFERROR(__xludf.DUMMYFUNCTION("IF(ISBLANK(B1788),"""",IF(ISDATE(B1788),""X"",""""))"),"")</f>
        <v/>
      </c>
      <c r="L1788" s="40" t="str">
        <f>IFERROR(__xludf.DUMMYFUNCTION("IF(ISBLANK(B1788),"""",IF(Or(I1788=""Em Aberto"",ISBLANK(I1788),NOT(ISDATE(B1788))),"""",H1788))"),"")</f>
        <v/>
      </c>
      <c r="M1788" s="29" t="str">
        <f>IFERROR(__xludf.DUMMYFUNCTION("IF(ISBLANK(B1788),"""",IF(ISDATE(B1788),TEXT(B1788,""m""),""""))"),"")</f>
        <v/>
      </c>
      <c r="N1788" s="29" t="str">
        <f>IFERROR(__xludf.DUMMYFUNCTION("IF(M1788="""","""",QUERY({'Dashboard-Dados'!$Y$2:$AA$13},""Select Col2 Where Col1=""&amp;M1788))"),"")</f>
        <v/>
      </c>
      <c r="O1788" s="29" t="str">
        <f>IFERROR(__xludf.DUMMYFUNCTION("IF(ISBLANK(B1788),"""",IF(ISDATE(B1788),TEXT(B1788,""yyyy""),""""))"),"")</f>
        <v/>
      </c>
    </row>
    <row r="1789">
      <c r="B1789" s="62"/>
      <c r="C1789" s="56"/>
      <c r="D1789" s="56"/>
      <c r="E1789" s="56"/>
      <c r="F1789" s="63"/>
      <c r="G1789" s="64"/>
      <c r="H1789" s="65"/>
      <c r="I1789" s="63"/>
      <c r="K1789" s="53" t="str">
        <f>IFERROR(__xludf.DUMMYFUNCTION("IF(ISBLANK(B1789),"""",IF(ISDATE(B1789),""X"",""""))"),"")</f>
        <v/>
      </c>
      <c r="L1789" s="40" t="str">
        <f>IFERROR(__xludf.DUMMYFUNCTION("IF(ISBLANK(B1789),"""",IF(Or(I1789=""Em Aberto"",ISBLANK(I1789),NOT(ISDATE(B1789))),"""",H1789))"),"")</f>
        <v/>
      </c>
      <c r="M1789" s="29" t="str">
        <f>IFERROR(__xludf.DUMMYFUNCTION("IF(ISBLANK(B1789),"""",IF(ISDATE(B1789),TEXT(B1789,""m""),""""))"),"")</f>
        <v/>
      </c>
      <c r="N1789" s="29" t="str">
        <f>IFERROR(__xludf.DUMMYFUNCTION("IF(M1789="""","""",QUERY({'Dashboard-Dados'!$Y$2:$AA$13},""Select Col2 Where Col1=""&amp;M1789))"),"")</f>
        <v/>
      </c>
      <c r="O1789" s="29" t="str">
        <f>IFERROR(__xludf.DUMMYFUNCTION("IF(ISBLANK(B1789),"""",IF(ISDATE(B1789),TEXT(B1789,""yyyy""),""""))"),"")</f>
        <v/>
      </c>
    </row>
    <row r="1790">
      <c r="B1790" s="62"/>
      <c r="C1790" s="56"/>
      <c r="D1790" s="56"/>
      <c r="E1790" s="56"/>
      <c r="F1790" s="63"/>
      <c r="G1790" s="64"/>
      <c r="H1790" s="65"/>
      <c r="I1790" s="63"/>
      <c r="K1790" s="53" t="str">
        <f>IFERROR(__xludf.DUMMYFUNCTION("IF(ISBLANK(B1790),"""",IF(ISDATE(B1790),""X"",""""))"),"")</f>
        <v/>
      </c>
      <c r="L1790" s="40" t="str">
        <f>IFERROR(__xludf.DUMMYFUNCTION("IF(ISBLANK(B1790),"""",IF(Or(I1790=""Em Aberto"",ISBLANK(I1790),NOT(ISDATE(B1790))),"""",H1790))"),"")</f>
        <v/>
      </c>
      <c r="M1790" s="29" t="str">
        <f>IFERROR(__xludf.DUMMYFUNCTION("IF(ISBLANK(B1790),"""",IF(ISDATE(B1790),TEXT(B1790,""m""),""""))"),"")</f>
        <v/>
      </c>
      <c r="N1790" s="29" t="str">
        <f>IFERROR(__xludf.DUMMYFUNCTION("IF(M1790="""","""",QUERY({'Dashboard-Dados'!$Y$2:$AA$13},""Select Col2 Where Col1=""&amp;M1790))"),"")</f>
        <v/>
      </c>
      <c r="O1790" s="29" t="str">
        <f>IFERROR(__xludf.DUMMYFUNCTION("IF(ISBLANK(B1790),"""",IF(ISDATE(B1790),TEXT(B1790,""yyyy""),""""))"),"")</f>
        <v/>
      </c>
    </row>
    <row r="1791">
      <c r="B1791" s="62"/>
      <c r="C1791" s="56"/>
      <c r="D1791" s="56"/>
      <c r="E1791" s="56"/>
      <c r="F1791" s="63"/>
      <c r="G1791" s="64"/>
      <c r="H1791" s="65"/>
      <c r="I1791" s="63"/>
      <c r="K1791" s="53" t="str">
        <f>IFERROR(__xludf.DUMMYFUNCTION("IF(ISBLANK(B1791),"""",IF(ISDATE(B1791),""X"",""""))"),"")</f>
        <v/>
      </c>
      <c r="L1791" s="40" t="str">
        <f>IFERROR(__xludf.DUMMYFUNCTION("IF(ISBLANK(B1791),"""",IF(Or(I1791=""Em Aberto"",ISBLANK(I1791),NOT(ISDATE(B1791))),"""",H1791))"),"")</f>
        <v/>
      </c>
      <c r="M1791" s="29" t="str">
        <f>IFERROR(__xludf.DUMMYFUNCTION("IF(ISBLANK(B1791),"""",IF(ISDATE(B1791),TEXT(B1791,""m""),""""))"),"")</f>
        <v/>
      </c>
      <c r="N1791" s="29" t="str">
        <f>IFERROR(__xludf.DUMMYFUNCTION("IF(M1791="""","""",QUERY({'Dashboard-Dados'!$Y$2:$AA$13},""Select Col2 Where Col1=""&amp;M1791))"),"")</f>
        <v/>
      </c>
      <c r="O1791" s="29" t="str">
        <f>IFERROR(__xludf.DUMMYFUNCTION("IF(ISBLANK(B1791),"""",IF(ISDATE(B1791),TEXT(B1791,""yyyy""),""""))"),"")</f>
        <v/>
      </c>
    </row>
    <row r="1792">
      <c r="B1792" s="62"/>
      <c r="C1792" s="56"/>
      <c r="D1792" s="56"/>
      <c r="E1792" s="56"/>
      <c r="F1792" s="63"/>
      <c r="G1792" s="64"/>
      <c r="H1792" s="65"/>
      <c r="I1792" s="63"/>
      <c r="K1792" s="53" t="str">
        <f>IFERROR(__xludf.DUMMYFUNCTION("IF(ISBLANK(B1792),"""",IF(ISDATE(B1792),""X"",""""))"),"")</f>
        <v/>
      </c>
      <c r="L1792" s="40" t="str">
        <f>IFERROR(__xludf.DUMMYFUNCTION("IF(ISBLANK(B1792),"""",IF(Or(I1792=""Em Aberto"",ISBLANK(I1792),NOT(ISDATE(B1792))),"""",H1792))"),"")</f>
        <v/>
      </c>
      <c r="M1792" s="29" t="str">
        <f>IFERROR(__xludf.DUMMYFUNCTION("IF(ISBLANK(B1792),"""",IF(ISDATE(B1792),TEXT(B1792,""m""),""""))"),"")</f>
        <v/>
      </c>
      <c r="N1792" s="29" t="str">
        <f>IFERROR(__xludf.DUMMYFUNCTION("IF(M1792="""","""",QUERY({'Dashboard-Dados'!$Y$2:$AA$13},""Select Col2 Where Col1=""&amp;M1792))"),"")</f>
        <v/>
      </c>
      <c r="O1792" s="29" t="str">
        <f>IFERROR(__xludf.DUMMYFUNCTION("IF(ISBLANK(B1792),"""",IF(ISDATE(B1792),TEXT(B1792,""yyyy""),""""))"),"")</f>
        <v/>
      </c>
    </row>
    <row r="1793">
      <c r="B1793" s="62"/>
      <c r="C1793" s="56"/>
      <c r="D1793" s="56"/>
      <c r="E1793" s="56"/>
      <c r="F1793" s="63"/>
      <c r="G1793" s="64"/>
      <c r="H1793" s="65"/>
      <c r="I1793" s="63"/>
      <c r="K1793" s="53" t="str">
        <f>IFERROR(__xludf.DUMMYFUNCTION("IF(ISBLANK(B1793),"""",IF(ISDATE(B1793),""X"",""""))"),"")</f>
        <v/>
      </c>
      <c r="L1793" s="40" t="str">
        <f>IFERROR(__xludf.DUMMYFUNCTION("IF(ISBLANK(B1793),"""",IF(Or(I1793=""Em Aberto"",ISBLANK(I1793),NOT(ISDATE(B1793))),"""",H1793))"),"")</f>
        <v/>
      </c>
      <c r="M1793" s="29" t="str">
        <f>IFERROR(__xludf.DUMMYFUNCTION("IF(ISBLANK(B1793),"""",IF(ISDATE(B1793),TEXT(B1793,""m""),""""))"),"")</f>
        <v/>
      </c>
      <c r="N1793" s="29" t="str">
        <f>IFERROR(__xludf.DUMMYFUNCTION("IF(M1793="""","""",QUERY({'Dashboard-Dados'!$Y$2:$AA$13},""Select Col2 Where Col1=""&amp;M1793))"),"")</f>
        <v/>
      </c>
      <c r="O1793" s="29" t="str">
        <f>IFERROR(__xludf.DUMMYFUNCTION("IF(ISBLANK(B1793),"""",IF(ISDATE(B1793),TEXT(B1793,""yyyy""),""""))"),"")</f>
        <v/>
      </c>
    </row>
    <row r="1794">
      <c r="B1794" s="62"/>
      <c r="C1794" s="56"/>
      <c r="D1794" s="56"/>
      <c r="E1794" s="56"/>
      <c r="F1794" s="63"/>
      <c r="G1794" s="64"/>
      <c r="H1794" s="65"/>
      <c r="I1794" s="63"/>
      <c r="K1794" s="53" t="str">
        <f>IFERROR(__xludf.DUMMYFUNCTION("IF(ISBLANK(B1794),"""",IF(ISDATE(B1794),""X"",""""))"),"")</f>
        <v/>
      </c>
      <c r="L1794" s="40" t="str">
        <f>IFERROR(__xludf.DUMMYFUNCTION("IF(ISBLANK(B1794),"""",IF(Or(I1794=""Em Aberto"",ISBLANK(I1794),NOT(ISDATE(B1794))),"""",H1794))"),"")</f>
        <v/>
      </c>
      <c r="M1794" s="29" t="str">
        <f>IFERROR(__xludf.DUMMYFUNCTION("IF(ISBLANK(B1794),"""",IF(ISDATE(B1794),TEXT(B1794,""m""),""""))"),"")</f>
        <v/>
      </c>
      <c r="N1794" s="29" t="str">
        <f>IFERROR(__xludf.DUMMYFUNCTION("IF(M1794="""","""",QUERY({'Dashboard-Dados'!$Y$2:$AA$13},""Select Col2 Where Col1=""&amp;M1794))"),"")</f>
        <v/>
      </c>
      <c r="O1794" s="29" t="str">
        <f>IFERROR(__xludf.DUMMYFUNCTION("IF(ISBLANK(B1794),"""",IF(ISDATE(B1794),TEXT(B1794,""yyyy""),""""))"),"")</f>
        <v/>
      </c>
    </row>
    <row r="1795">
      <c r="B1795" s="62"/>
      <c r="C1795" s="56"/>
      <c r="D1795" s="56"/>
      <c r="E1795" s="56"/>
      <c r="F1795" s="63"/>
      <c r="G1795" s="64"/>
      <c r="H1795" s="65"/>
      <c r="I1795" s="63"/>
      <c r="K1795" s="53" t="str">
        <f>IFERROR(__xludf.DUMMYFUNCTION("IF(ISBLANK(B1795),"""",IF(ISDATE(B1795),""X"",""""))"),"")</f>
        <v/>
      </c>
      <c r="L1795" s="40" t="str">
        <f>IFERROR(__xludf.DUMMYFUNCTION("IF(ISBLANK(B1795),"""",IF(Or(I1795=""Em Aberto"",ISBLANK(I1795),NOT(ISDATE(B1795))),"""",H1795))"),"")</f>
        <v/>
      </c>
      <c r="M1795" s="29" t="str">
        <f>IFERROR(__xludf.DUMMYFUNCTION("IF(ISBLANK(B1795),"""",IF(ISDATE(B1795),TEXT(B1795,""m""),""""))"),"")</f>
        <v/>
      </c>
      <c r="N1795" s="29" t="str">
        <f>IFERROR(__xludf.DUMMYFUNCTION("IF(M1795="""","""",QUERY({'Dashboard-Dados'!$Y$2:$AA$13},""Select Col2 Where Col1=""&amp;M1795))"),"")</f>
        <v/>
      </c>
      <c r="O1795" s="29" t="str">
        <f>IFERROR(__xludf.DUMMYFUNCTION("IF(ISBLANK(B1795),"""",IF(ISDATE(B1795),TEXT(B1795,""yyyy""),""""))"),"")</f>
        <v/>
      </c>
    </row>
    <row r="1796">
      <c r="B1796" s="62"/>
      <c r="C1796" s="56"/>
      <c r="D1796" s="56"/>
      <c r="E1796" s="56"/>
      <c r="F1796" s="63"/>
      <c r="G1796" s="64"/>
      <c r="H1796" s="65"/>
      <c r="I1796" s="63"/>
      <c r="K1796" s="53" t="str">
        <f>IFERROR(__xludf.DUMMYFUNCTION("IF(ISBLANK(B1796),"""",IF(ISDATE(B1796),""X"",""""))"),"")</f>
        <v/>
      </c>
      <c r="L1796" s="40" t="str">
        <f>IFERROR(__xludf.DUMMYFUNCTION("IF(ISBLANK(B1796),"""",IF(Or(I1796=""Em Aberto"",ISBLANK(I1796),NOT(ISDATE(B1796))),"""",H1796))"),"")</f>
        <v/>
      </c>
      <c r="M1796" s="29" t="str">
        <f>IFERROR(__xludf.DUMMYFUNCTION("IF(ISBLANK(B1796),"""",IF(ISDATE(B1796),TEXT(B1796,""m""),""""))"),"")</f>
        <v/>
      </c>
      <c r="N1796" s="29" t="str">
        <f>IFERROR(__xludf.DUMMYFUNCTION("IF(M1796="""","""",QUERY({'Dashboard-Dados'!$Y$2:$AA$13},""Select Col2 Where Col1=""&amp;M1796))"),"")</f>
        <v/>
      </c>
      <c r="O1796" s="29" t="str">
        <f>IFERROR(__xludf.DUMMYFUNCTION("IF(ISBLANK(B1796),"""",IF(ISDATE(B1796),TEXT(B1796,""yyyy""),""""))"),"")</f>
        <v/>
      </c>
    </row>
    <row r="1797">
      <c r="B1797" s="62"/>
      <c r="C1797" s="56"/>
      <c r="D1797" s="56"/>
      <c r="E1797" s="56"/>
      <c r="F1797" s="63"/>
      <c r="G1797" s="64"/>
      <c r="H1797" s="65"/>
      <c r="I1797" s="63"/>
      <c r="K1797" s="53" t="str">
        <f>IFERROR(__xludf.DUMMYFUNCTION("IF(ISBLANK(B1797),"""",IF(ISDATE(B1797),""X"",""""))"),"")</f>
        <v/>
      </c>
      <c r="L1797" s="40" t="str">
        <f>IFERROR(__xludf.DUMMYFUNCTION("IF(ISBLANK(B1797),"""",IF(Or(I1797=""Em Aberto"",ISBLANK(I1797),NOT(ISDATE(B1797))),"""",H1797))"),"")</f>
        <v/>
      </c>
      <c r="M1797" s="29" t="str">
        <f>IFERROR(__xludf.DUMMYFUNCTION("IF(ISBLANK(B1797),"""",IF(ISDATE(B1797),TEXT(B1797,""m""),""""))"),"")</f>
        <v/>
      </c>
      <c r="N1797" s="29" t="str">
        <f>IFERROR(__xludf.DUMMYFUNCTION("IF(M1797="""","""",QUERY({'Dashboard-Dados'!$Y$2:$AA$13},""Select Col2 Where Col1=""&amp;M1797))"),"")</f>
        <v/>
      </c>
      <c r="O1797" s="29" t="str">
        <f>IFERROR(__xludf.DUMMYFUNCTION("IF(ISBLANK(B1797),"""",IF(ISDATE(B1797),TEXT(B1797,""yyyy""),""""))"),"")</f>
        <v/>
      </c>
    </row>
    <row r="1798">
      <c r="B1798" s="62"/>
      <c r="C1798" s="56"/>
      <c r="D1798" s="56"/>
      <c r="E1798" s="56"/>
      <c r="F1798" s="63"/>
      <c r="G1798" s="64"/>
      <c r="H1798" s="65"/>
      <c r="I1798" s="63"/>
      <c r="K1798" s="53" t="str">
        <f>IFERROR(__xludf.DUMMYFUNCTION("IF(ISBLANK(B1798),"""",IF(ISDATE(B1798),""X"",""""))"),"")</f>
        <v/>
      </c>
      <c r="L1798" s="40" t="str">
        <f>IFERROR(__xludf.DUMMYFUNCTION("IF(ISBLANK(B1798),"""",IF(Or(I1798=""Em Aberto"",ISBLANK(I1798),NOT(ISDATE(B1798))),"""",H1798))"),"")</f>
        <v/>
      </c>
      <c r="M1798" s="29" t="str">
        <f>IFERROR(__xludf.DUMMYFUNCTION("IF(ISBLANK(B1798),"""",IF(ISDATE(B1798),TEXT(B1798,""m""),""""))"),"")</f>
        <v/>
      </c>
      <c r="N1798" s="29" t="str">
        <f>IFERROR(__xludf.DUMMYFUNCTION("IF(M1798="""","""",QUERY({'Dashboard-Dados'!$Y$2:$AA$13},""Select Col2 Where Col1=""&amp;M1798))"),"")</f>
        <v/>
      </c>
      <c r="O1798" s="29" t="str">
        <f>IFERROR(__xludf.DUMMYFUNCTION("IF(ISBLANK(B1798),"""",IF(ISDATE(B1798),TEXT(B1798,""yyyy""),""""))"),"")</f>
        <v/>
      </c>
    </row>
    <row r="1799">
      <c r="B1799" s="62"/>
      <c r="C1799" s="56"/>
      <c r="D1799" s="56"/>
      <c r="E1799" s="56"/>
      <c r="F1799" s="63"/>
      <c r="G1799" s="64"/>
      <c r="H1799" s="65"/>
      <c r="I1799" s="63"/>
      <c r="K1799" s="53" t="str">
        <f>IFERROR(__xludf.DUMMYFUNCTION("IF(ISBLANK(B1799),"""",IF(ISDATE(B1799),""X"",""""))"),"")</f>
        <v/>
      </c>
      <c r="L1799" s="40" t="str">
        <f>IFERROR(__xludf.DUMMYFUNCTION("IF(ISBLANK(B1799),"""",IF(Or(I1799=""Em Aberto"",ISBLANK(I1799),NOT(ISDATE(B1799))),"""",H1799))"),"")</f>
        <v/>
      </c>
      <c r="M1799" s="29" t="str">
        <f>IFERROR(__xludf.DUMMYFUNCTION("IF(ISBLANK(B1799),"""",IF(ISDATE(B1799),TEXT(B1799,""m""),""""))"),"")</f>
        <v/>
      </c>
      <c r="N1799" s="29" t="str">
        <f>IFERROR(__xludf.DUMMYFUNCTION("IF(M1799="""","""",QUERY({'Dashboard-Dados'!$Y$2:$AA$13},""Select Col2 Where Col1=""&amp;M1799))"),"")</f>
        <v/>
      </c>
      <c r="O1799" s="29" t="str">
        <f>IFERROR(__xludf.DUMMYFUNCTION("IF(ISBLANK(B1799),"""",IF(ISDATE(B1799),TEXT(B1799,""yyyy""),""""))"),"")</f>
        <v/>
      </c>
    </row>
    <row r="1800">
      <c r="B1800" s="62"/>
      <c r="C1800" s="56"/>
      <c r="D1800" s="56"/>
      <c r="E1800" s="56"/>
      <c r="F1800" s="63"/>
      <c r="G1800" s="64"/>
      <c r="H1800" s="65"/>
      <c r="I1800" s="63"/>
      <c r="K1800" s="53" t="str">
        <f>IFERROR(__xludf.DUMMYFUNCTION("IF(ISBLANK(B1800),"""",IF(ISDATE(B1800),""X"",""""))"),"")</f>
        <v/>
      </c>
      <c r="L1800" s="40" t="str">
        <f>IFERROR(__xludf.DUMMYFUNCTION("IF(ISBLANK(B1800),"""",IF(Or(I1800=""Em Aberto"",ISBLANK(I1800),NOT(ISDATE(B1800))),"""",H1800))"),"")</f>
        <v/>
      </c>
      <c r="M1800" s="29" t="str">
        <f>IFERROR(__xludf.DUMMYFUNCTION("IF(ISBLANK(B1800),"""",IF(ISDATE(B1800),TEXT(B1800,""m""),""""))"),"")</f>
        <v/>
      </c>
      <c r="N1800" s="29" t="str">
        <f>IFERROR(__xludf.DUMMYFUNCTION("IF(M1800="""","""",QUERY({'Dashboard-Dados'!$Y$2:$AA$13},""Select Col2 Where Col1=""&amp;M1800))"),"")</f>
        <v/>
      </c>
      <c r="O1800" s="29" t="str">
        <f>IFERROR(__xludf.DUMMYFUNCTION("IF(ISBLANK(B1800),"""",IF(ISDATE(B1800),TEXT(B1800,""yyyy""),""""))"),"")</f>
        <v/>
      </c>
    </row>
    <row r="1801">
      <c r="B1801" s="62"/>
      <c r="C1801" s="56"/>
      <c r="D1801" s="56"/>
      <c r="E1801" s="56"/>
      <c r="F1801" s="63"/>
      <c r="G1801" s="64"/>
      <c r="H1801" s="65"/>
      <c r="I1801" s="63"/>
      <c r="K1801" s="53" t="str">
        <f>IFERROR(__xludf.DUMMYFUNCTION("IF(ISBLANK(B1801),"""",IF(ISDATE(B1801),""X"",""""))"),"")</f>
        <v/>
      </c>
      <c r="L1801" s="40" t="str">
        <f>IFERROR(__xludf.DUMMYFUNCTION("IF(ISBLANK(B1801),"""",IF(Or(I1801=""Em Aberto"",ISBLANK(I1801),NOT(ISDATE(B1801))),"""",H1801))"),"")</f>
        <v/>
      </c>
      <c r="M1801" s="29" t="str">
        <f>IFERROR(__xludf.DUMMYFUNCTION("IF(ISBLANK(B1801),"""",IF(ISDATE(B1801),TEXT(B1801,""m""),""""))"),"")</f>
        <v/>
      </c>
      <c r="N1801" s="29" t="str">
        <f>IFERROR(__xludf.DUMMYFUNCTION("IF(M1801="""","""",QUERY({'Dashboard-Dados'!$Y$2:$AA$13},""Select Col2 Where Col1=""&amp;M1801))"),"")</f>
        <v/>
      </c>
      <c r="O1801" s="29" t="str">
        <f>IFERROR(__xludf.DUMMYFUNCTION("IF(ISBLANK(B1801),"""",IF(ISDATE(B1801),TEXT(B1801,""yyyy""),""""))"),"")</f>
        <v/>
      </c>
    </row>
    <row r="1802">
      <c r="B1802" s="62"/>
      <c r="C1802" s="56"/>
      <c r="D1802" s="56"/>
      <c r="E1802" s="56"/>
      <c r="F1802" s="63"/>
      <c r="G1802" s="64"/>
      <c r="H1802" s="65"/>
      <c r="I1802" s="63"/>
      <c r="K1802" s="53" t="str">
        <f>IFERROR(__xludf.DUMMYFUNCTION("IF(ISBLANK(B1802),"""",IF(ISDATE(B1802),""X"",""""))"),"")</f>
        <v/>
      </c>
      <c r="L1802" s="40" t="str">
        <f>IFERROR(__xludf.DUMMYFUNCTION("IF(ISBLANK(B1802),"""",IF(Or(I1802=""Em Aberto"",ISBLANK(I1802),NOT(ISDATE(B1802))),"""",H1802))"),"")</f>
        <v/>
      </c>
      <c r="M1802" s="29" t="str">
        <f>IFERROR(__xludf.DUMMYFUNCTION("IF(ISBLANK(B1802),"""",IF(ISDATE(B1802),TEXT(B1802,""m""),""""))"),"")</f>
        <v/>
      </c>
      <c r="N1802" s="29" t="str">
        <f>IFERROR(__xludf.DUMMYFUNCTION("IF(M1802="""","""",QUERY({'Dashboard-Dados'!$Y$2:$AA$13},""Select Col2 Where Col1=""&amp;M1802))"),"")</f>
        <v/>
      </c>
      <c r="O1802" s="29" t="str">
        <f>IFERROR(__xludf.DUMMYFUNCTION("IF(ISBLANK(B1802),"""",IF(ISDATE(B1802),TEXT(B1802,""yyyy""),""""))"),"")</f>
        <v/>
      </c>
    </row>
    <row r="1803">
      <c r="B1803" s="62"/>
      <c r="C1803" s="56"/>
      <c r="D1803" s="56"/>
      <c r="E1803" s="56"/>
      <c r="F1803" s="63"/>
      <c r="G1803" s="64"/>
      <c r="H1803" s="65"/>
      <c r="I1803" s="63"/>
      <c r="K1803" s="53" t="str">
        <f>IFERROR(__xludf.DUMMYFUNCTION("IF(ISBLANK(B1803),"""",IF(ISDATE(B1803),""X"",""""))"),"")</f>
        <v/>
      </c>
      <c r="L1803" s="40" t="str">
        <f>IFERROR(__xludf.DUMMYFUNCTION("IF(ISBLANK(B1803),"""",IF(Or(I1803=""Em Aberto"",ISBLANK(I1803),NOT(ISDATE(B1803))),"""",H1803))"),"")</f>
        <v/>
      </c>
      <c r="M1803" s="29" t="str">
        <f>IFERROR(__xludf.DUMMYFUNCTION("IF(ISBLANK(B1803),"""",IF(ISDATE(B1803),TEXT(B1803,""m""),""""))"),"")</f>
        <v/>
      </c>
      <c r="N1803" s="29" t="str">
        <f>IFERROR(__xludf.DUMMYFUNCTION("IF(M1803="""","""",QUERY({'Dashboard-Dados'!$Y$2:$AA$13},""Select Col2 Where Col1=""&amp;M1803))"),"")</f>
        <v/>
      </c>
      <c r="O1803" s="29" t="str">
        <f>IFERROR(__xludf.DUMMYFUNCTION("IF(ISBLANK(B1803),"""",IF(ISDATE(B1803),TEXT(B1803,""yyyy""),""""))"),"")</f>
        <v/>
      </c>
    </row>
    <row r="1804">
      <c r="B1804" s="62"/>
      <c r="C1804" s="56"/>
      <c r="D1804" s="56"/>
      <c r="E1804" s="56"/>
      <c r="F1804" s="63"/>
      <c r="G1804" s="64"/>
      <c r="H1804" s="65"/>
      <c r="I1804" s="63"/>
      <c r="K1804" s="53" t="str">
        <f>IFERROR(__xludf.DUMMYFUNCTION("IF(ISBLANK(B1804),"""",IF(ISDATE(B1804),""X"",""""))"),"")</f>
        <v/>
      </c>
      <c r="L1804" s="40" t="str">
        <f>IFERROR(__xludf.DUMMYFUNCTION("IF(ISBLANK(B1804),"""",IF(Or(I1804=""Em Aberto"",ISBLANK(I1804),NOT(ISDATE(B1804))),"""",H1804))"),"")</f>
        <v/>
      </c>
      <c r="M1804" s="29" t="str">
        <f>IFERROR(__xludf.DUMMYFUNCTION("IF(ISBLANK(B1804),"""",IF(ISDATE(B1804),TEXT(B1804,""m""),""""))"),"")</f>
        <v/>
      </c>
      <c r="N1804" s="29" t="str">
        <f>IFERROR(__xludf.DUMMYFUNCTION("IF(M1804="""","""",QUERY({'Dashboard-Dados'!$Y$2:$AA$13},""Select Col2 Where Col1=""&amp;M1804))"),"")</f>
        <v/>
      </c>
      <c r="O1804" s="29" t="str">
        <f>IFERROR(__xludf.DUMMYFUNCTION("IF(ISBLANK(B1804),"""",IF(ISDATE(B1804),TEXT(B1804,""yyyy""),""""))"),"")</f>
        <v/>
      </c>
    </row>
    <row r="1805">
      <c r="B1805" s="62"/>
      <c r="C1805" s="56"/>
      <c r="D1805" s="56"/>
      <c r="E1805" s="56"/>
      <c r="F1805" s="63"/>
      <c r="G1805" s="64"/>
      <c r="H1805" s="65"/>
      <c r="I1805" s="63"/>
      <c r="K1805" s="53" t="str">
        <f>IFERROR(__xludf.DUMMYFUNCTION("IF(ISBLANK(B1805),"""",IF(ISDATE(B1805),""X"",""""))"),"")</f>
        <v/>
      </c>
      <c r="L1805" s="40" t="str">
        <f>IFERROR(__xludf.DUMMYFUNCTION("IF(ISBLANK(B1805),"""",IF(Or(I1805=""Em Aberto"",ISBLANK(I1805),NOT(ISDATE(B1805))),"""",H1805))"),"")</f>
        <v/>
      </c>
      <c r="M1805" s="29" t="str">
        <f>IFERROR(__xludf.DUMMYFUNCTION("IF(ISBLANK(B1805),"""",IF(ISDATE(B1805),TEXT(B1805,""m""),""""))"),"")</f>
        <v/>
      </c>
      <c r="N1805" s="29" t="str">
        <f>IFERROR(__xludf.DUMMYFUNCTION("IF(M1805="""","""",QUERY({'Dashboard-Dados'!$Y$2:$AA$13},""Select Col2 Where Col1=""&amp;M1805))"),"")</f>
        <v/>
      </c>
      <c r="O1805" s="29" t="str">
        <f>IFERROR(__xludf.DUMMYFUNCTION("IF(ISBLANK(B1805),"""",IF(ISDATE(B1805),TEXT(B1805,""yyyy""),""""))"),"")</f>
        <v/>
      </c>
    </row>
    <row r="1806">
      <c r="B1806" s="62"/>
      <c r="C1806" s="56"/>
      <c r="D1806" s="56"/>
      <c r="E1806" s="56"/>
      <c r="F1806" s="63"/>
      <c r="G1806" s="64"/>
      <c r="H1806" s="65"/>
      <c r="I1806" s="63"/>
      <c r="K1806" s="53" t="str">
        <f>IFERROR(__xludf.DUMMYFUNCTION("IF(ISBLANK(B1806),"""",IF(ISDATE(B1806),""X"",""""))"),"")</f>
        <v/>
      </c>
      <c r="L1806" s="40" t="str">
        <f>IFERROR(__xludf.DUMMYFUNCTION("IF(ISBLANK(B1806),"""",IF(Or(I1806=""Em Aberto"",ISBLANK(I1806),NOT(ISDATE(B1806))),"""",H1806))"),"")</f>
        <v/>
      </c>
      <c r="M1806" s="29" t="str">
        <f>IFERROR(__xludf.DUMMYFUNCTION("IF(ISBLANK(B1806),"""",IF(ISDATE(B1806),TEXT(B1806,""m""),""""))"),"")</f>
        <v/>
      </c>
      <c r="N1806" s="29" t="str">
        <f>IFERROR(__xludf.DUMMYFUNCTION("IF(M1806="""","""",QUERY({'Dashboard-Dados'!$Y$2:$AA$13},""Select Col2 Where Col1=""&amp;M1806))"),"")</f>
        <v/>
      </c>
      <c r="O1806" s="29" t="str">
        <f>IFERROR(__xludf.DUMMYFUNCTION("IF(ISBLANK(B1806),"""",IF(ISDATE(B1806),TEXT(B1806,""yyyy""),""""))"),"")</f>
        <v/>
      </c>
    </row>
    <row r="1807">
      <c r="B1807" s="62"/>
      <c r="C1807" s="56"/>
      <c r="D1807" s="56"/>
      <c r="E1807" s="56"/>
      <c r="F1807" s="63"/>
      <c r="G1807" s="64"/>
      <c r="H1807" s="65"/>
      <c r="I1807" s="63"/>
      <c r="K1807" s="53" t="str">
        <f>IFERROR(__xludf.DUMMYFUNCTION("IF(ISBLANK(B1807),"""",IF(ISDATE(B1807),""X"",""""))"),"")</f>
        <v/>
      </c>
      <c r="L1807" s="40" t="str">
        <f>IFERROR(__xludf.DUMMYFUNCTION("IF(ISBLANK(B1807),"""",IF(Or(I1807=""Em Aberto"",ISBLANK(I1807),NOT(ISDATE(B1807))),"""",H1807))"),"")</f>
        <v/>
      </c>
      <c r="M1807" s="29" t="str">
        <f>IFERROR(__xludf.DUMMYFUNCTION("IF(ISBLANK(B1807),"""",IF(ISDATE(B1807),TEXT(B1807,""m""),""""))"),"")</f>
        <v/>
      </c>
      <c r="N1807" s="29" t="str">
        <f>IFERROR(__xludf.DUMMYFUNCTION("IF(M1807="""","""",QUERY({'Dashboard-Dados'!$Y$2:$AA$13},""Select Col2 Where Col1=""&amp;M1807))"),"")</f>
        <v/>
      </c>
      <c r="O1807" s="29" t="str">
        <f>IFERROR(__xludf.DUMMYFUNCTION("IF(ISBLANK(B1807),"""",IF(ISDATE(B1807),TEXT(B1807,""yyyy""),""""))"),"")</f>
        <v/>
      </c>
    </row>
    <row r="1808">
      <c r="B1808" s="62"/>
      <c r="C1808" s="56"/>
      <c r="D1808" s="56"/>
      <c r="E1808" s="56"/>
      <c r="F1808" s="63"/>
      <c r="G1808" s="64"/>
      <c r="H1808" s="65"/>
      <c r="I1808" s="63"/>
      <c r="K1808" s="53" t="str">
        <f>IFERROR(__xludf.DUMMYFUNCTION("IF(ISBLANK(B1808),"""",IF(ISDATE(B1808),""X"",""""))"),"")</f>
        <v/>
      </c>
      <c r="L1808" s="40" t="str">
        <f>IFERROR(__xludf.DUMMYFUNCTION("IF(ISBLANK(B1808),"""",IF(Or(I1808=""Em Aberto"",ISBLANK(I1808),NOT(ISDATE(B1808))),"""",H1808))"),"")</f>
        <v/>
      </c>
      <c r="M1808" s="29" t="str">
        <f>IFERROR(__xludf.DUMMYFUNCTION("IF(ISBLANK(B1808),"""",IF(ISDATE(B1808),TEXT(B1808,""m""),""""))"),"")</f>
        <v/>
      </c>
      <c r="N1808" s="29" t="str">
        <f>IFERROR(__xludf.DUMMYFUNCTION("IF(M1808="""","""",QUERY({'Dashboard-Dados'!$Y$2:$AA$13},""Select Col2 Where Col1=""&amp;M1808))"),"")</f>
        <v/>
      </c>
      <c r="O1808" s="29" t="str">
        <f>IFERROR(__xludf.DUMMYFUNCTION("IF(ISBLANK(B1808),"""",IF(ISDATE(B1808),TEXT(B1808,""yyyy""),""""))"),"")</f>
        <v/>
      </c>
    </row>
    <row r="1809">
      <c r="B1809" s="62"/>
      <c r="C1809" s="56"/>
      <c r="D1809" s="56"/>
      <c r="E1809" s="56"/>
      <c r="F1809" s="63"/>
      <c r="G1809" s="64"/>
      <c r="H1809" s="65"/>
      <c r="I1809" s="63"/>
      <c r="K1809" s="53" t="str">
        <f>IFERROR(__xludf.DUMMYFUNCTION("IF(ISBLANK(B1809),"""",IF(ISDATE(B1809),""X"",""""))"),"")</f>
        <v/>
      </c>
      <c r="L1809" s="40" t="str">
        <f>IFERROR(__xludf.DUMMYFUNCTION("IF(ISBLANK(B1809),"""",IF(Or(I1809=""Em Aberto"",ISBLANK(I1809),NOT(ISDATE(B1809))),"""",H1809))"),"")</f>
        <v/>
      </c>
      <c r="M1809" s="29" t="str">
        <f>IFERROR(__xludf.DUMMYFUNCTION("IF(ISBLANK(B1809),"""",IF(ISDATE(B1809),TEXT(B1809,""m""),""""))"),"")</f>
        <v/>
      </c>
      <c r="N1809" s="29" t="str">
        <f>IFERROR(__xludf.DUMMYFUNCTION("IF(M1809="""","""",QUERY({'Dashboard-Dados'!$Y$2:$AA$13},""Select Col2 Where Col1=""&amp;M1809))"),"")</f>
        <v/>
      </c>
      <c r="O1809" s="29" t="str">
        <f>IFERROR(__xludf.DUMMYFUNCTION("IF(ISBLANK(B1809),"""",IF(ISDATE(B1809),TEXT(B1809,""yyyy""),""""))"),"")</f>
        <v/>
      </c>
    </row>
    <row r="1810">
      <c r="B1810" s="62"/>
      <c r="C1810" s="56"/>
      <c r="D1810" s="56"/>
      <c r="E1810" s="56"/>
      <c r="F1810" s="63"/>
      <c r="G1810" s="64"/>
      <c r="H1810" s="65"/>
      <c r="I1810" s="63"/>
      <c r="K1810" s="53" t="str">
        <f>IFERROR(__xludf.DUMMYFUNCTION("IF(ISBLANK(B1810),"""",IF(ISDATE(B1810),""X"",""""))"),"")</f>
        <v/>
      </c>
      <c r="L1810" s="40" t="str">
        <f>IFERROR(__xludf.DUMMYFUNCTION("IF(ISBLANK(B1810),"""",IF(Or(I1810=""Em Aberto"",ISBLANK(I1810),NOT(ISDATE(B1810))),"""",H1810))"),"")</f>
        <v/>
      </c>
      <c r="M1810" s="29" t="str">
        <f>IFERROR(__xludf.DUMMYFUNCTION("IF(ISBLANK(B1810),"""",IF(ISDATE(B1810),TEXT(B1810,""m""),""""))"),"")</f>
        <v/>
      </c>
      <c r="N1810" s="29" t="str">
        <f>IFERROR(__xludf.DUMMYFUNCTION("IF(M1810="""","""",QUERY({'Dashboard-Dados'!$Y$2:$AA$13},""Select Col2 Where Col1=""&amp;M1810))"),"")</f>
        <v/>
      </c>
      <c r="O1810" s="29" t="str">
        <f>IFERROR(__xludf.DUMMYFUNCTION("IF(ISBLANK(B1810),"""",IF(ISDATE(B1810),TEXT(B1810,""yyyy""),""""))"),"")</f>
        <v/>
      </c>
    </row>
    <row r="1811">
      <c r="B1811" s="62"/>
      <c r="C1811" s="56"/>
      <c r="D1811" s="56"/>
      <c r="E1811" s="56"/>
      <c r="F1811" s="63"/>
      <c r="G1811" s="64"/>
      <c r="H1811" s="65"/>
      <c r="I1811" s="63"/>
      <c r="K1811" s="53" t="str">
        <f>IFERROR(__xludf.DUMMYFUNCTION("IF(ISBLANK(B1811),"""",IF(ISDATE(B1811),""X"",""""))"),"")</f>
        <v/>
      </c>
      <c r="L1811" s="40" t="str">
        <f>IFERROR(__xludf.DUMMYFUNCTION("IF(ISBLANK(B1811),"""",IF(Or(I1811=""Em Aberto"",ISBLANK(I1811),NOT(ISDATE(B1811))),"""",H1811))"),"")</f>
        <v/>
      </c>
      <c r="M1811" s="29" t="str">
        <f>IFERROR(__xludf.DUMMYFUNCTION("IF(ISBLANK(B1811),"""",IF(ISDATE(B1811),TEXT(B1811,""m""),""""))"),"")</f>
        <v/>
      </c>
      <c r="N1811" s="29" t="str">
        <f>IFERROR(__xludf.DUMMYFUNCTION("IF(M1811="""","""",QUERY({'Dashboard-Dados'!$Y$2:$AA$13},""Select Col2 Where Col1=""&amp;M1811))"),"")</f>
        <v/>
      </c>
      <c r="O1811" s="29" t="str">
        <f>IFERROR(__xludf.DUMMYFUNCTION("IF(ISBLANK(B1811),"""",IF(ISDATE(B1811),TEXT(B1811,""yyyy""),""""))"),"")</f>
        <v/>
      </c>
    </row>
    <row r="1812">
      <c r="B1812" s="62"/>
      <c r="C1812" s="56"/>
      <c r="D1812" s="56"/>
      <c r="E1812" s="56"/>
      <c r="F1812" s="63"/>
      <c r="G1812" s="64"/>
      <c r="H1812" s="65"/>
      <c r="I1812" s="63"/>
      <c r="K1812" s="53" t="str">
        <f>IFERROR(__xludf.DUMMYFUNCTION("IF(ISBLANK(B1812),"""",IF(ISDATE(B1812),""X"",""""))"),"")</f>
        <v/>
      </c>
      <c r="L1812" s="40" t="str">
        <f>IFERROR(__xludf.DUMMYFUNCTION("IF(ISBLANK(B1812),"""",IF(Or(I1812=""Em Aberto"",ISBLANK(I1812),NOT(ISDATE(B1812))),"""",H1812))"),"")</f>
        <v/>
      </c>
      <c r="M1812" s="29" t="str">
        <f>IFERROR(__xludf.DUMMYFUNCTION("IF(ISBLANK(B1812),"""",IF(ISDATE(B1812),TEXT(B1812,""m""),""""))"),"")</f>
        <v/>
      </c>
      <c r="N1812" s="29" t="str">
        <f>IFERROR(__xludf.DUMMYFUNCTION("IF(M1812="""","""",QUERY({'Dashboard-Dados'!$Y$2:$AA$13},""Select Col2 Where Col1=""&amp;M1812))"),"")</f>
        <v/>
      </c>
      <c r="O1812" s="29" t="str">
        <f>IFERROR(__xludf.DUMMYFUNCTION("IF(ISBLANK(B1812),"""",IF(ISDATE(B1812),TEXT(B1812,""yyyy""),""""))"),"")</f>
        <v/>
      </c>
    </row>
    <row r="1813">
      <c r="B1813" s="62"/>
      <c r="C1813" s="56"/>
      <c r="D1813" s="56"/>
      <c r="E1813" s="56"/>
      <c r="F1813" s="63"/>
      <c r="G1813" s="64"/>
      <c r="H1813" s="65"/>
      <c r="I1813" s="63"/>
      <c r="K1813" s="53" t="str">
        <f>IFERROR(__xludf.DUMMYFUNCTION("IF(ISBLANK(B1813),"""",IF(ISDATE(B1813),""X"",""""))"),"")</f>
        <v/>
      </c>
      <c r="L1813" s="40" t="str">
        <f>IFERROR(__xludf.DUMMYFUNCTION("IF(ISBLANK(B1813),"""",IF(Or(I1813=""Em Aberto"",ISBLANK(I1813),NOT(ISDATE(B1813))),"""",H1813))"),"")</f>
        <v/>
      </c>
      <c r="M1813" s="29" t="str">
        <f>IFERROR(__xludf.DUMMYFUNCTION("IF(ISBLANK(B1813),"""",IF(ISDATE(B1813),TEXT(B1813,""m""),""""))"),"")</f>
        <v/>
      </c>
      <c r="N1813" s="29" t="str">
        <f>IFERROR(__xludf.DUMMYFUNCTION("IF(M1813="""","""",QUERY({'Dashboard-Dados'!$Y$2:$AA$13},""Select Col2 Where Col1=""&amp;M1813))"),"")</f>
        <v/>
      </c>
      <c r="O1813" s="29" t="str">
        <f>IFERROR(__xludf.DUMMYFUNCTION("IF(ISBLANK(B1813),"""",IF(ISDATE(B1813),TEXT(B1813,""yyyy""),""""))"),"")</f>
        <v/>
      </c>
    </row>
    <row r="1814">
      <c r="B1814" s="62"/>
      <c r="C1814" s="56"/>
      <c r="D1814" s="56"/>
      <c r="E1814" s="56"/>
      <c r="F1814" s="63"/>
      <c r="G1814" s="64"/>
      <c r="H1814" s="65"/>
      <c r="I1814" s="63"/>
      <c r="K1814" s="53" t="str">
        <f>IFERROR(__xludf.DUMMYFUNCTION("IF(ISBLANK(B1814),"""",IF(ISDATE(B1814),""X"",""""))"),"")</f>
        <v/>
      </c>
      <c r="L1814" s="40" t="str">
        <f>IFERROR(__xludf.DUMMYFUNCTION("IF(ISBLANK(B1814),"""",IF(Or(I1814=""Em Aberto"",ISBLANK(I1814),NOT(ISDATE(B1814))),"""",H1814))"),"")</f>
        <v/>
      </c>
      <c r="M1814" s="29" t="str">
        <f>IFERROR(__xludf.DUMMYFUNCTION("IF(ISBLANK(B1814),"""",IF(ISDATE(B1814),TEXT(B1814,""m""),""""))"),"")</f>
        <v/>
      </c>
      <c r="N1814" s="29" t="str">
        <f>IFERROR(__xludf.DUMMYFUNCTION("IF(M1814="""","""",QUERY({'Dashboard-Dados'!$Y$2:$AA$13},""Select Col2 Where Col1=""&amp;M1814))"),"")</f>
        <v/>
      </c>
      <c r="O1814" s="29" t="str">
        <f>IFERROR(__xludf.DUMMYFUNCTION("IF(ISBLANK(B1814),"""",IF(ISDATE(B1814),TEXT(B1814,""yyyy""),""""))"),"")</f>
        <v/>
      </c>
    </row>
    <row r="1815">
      <c r="B1815" s="62"/>
      <c r="C1815" s="56"/>
      <c r="D1815" s="56"/>
      <c r="E1815" s="56"/>
      <c r="F1815" s="63"/>
      <c r="G1815" s="64"/>
      <c r="H1815" s="65"/>
      <c r="I1815" s="63"/>
      <c r="K1815" s="53" t="str">
        <f>IFERROR(__xludf.DUMMYFUNCTION("IF(ISBLANK(B1815),"""",IF(ISDATE(B1815),""X"",""""))"),"")</f>
        <v/>
      </c>
      <c r="L1815" s="40" t="str">
        <f>IFERROR(__xludf.DUMMYFUNCTION("IF(ISBLANK(B1815),"""",IF(Or(I1815=""Em Aberto"",ISBLANK(I1815),NOT(ISDATE(B1815))),"""",H1815))"),"")</f>
        <v/>
      </c>
      <c r="M1815" s="29" t="str">
        <f>IFERROR(__xludf.DUMMYFUNCTION("IF(ISBLANK(B1815),"""",IF(ISDATE(B1815),TEXT(B1815,""m""),""""))"),"")</f>
        <v/>
      </c>
      <c r="N1815" s="29" t="str">
        <f>IFERROR(__xludf.DUMMYFUNCTION("IF(M1815="""","""",QUERY({'Dashboard-Dados'!$Y$2:$AA$13},""Select Col2 Where Col1=""&amp;M1815))"),"")</f>
        <v/>
      </c>
      <c r="O1815" s="29" t="str">
        <f>IFERROR(__xludf.DUMMYFUNCTION("IF(ISBLANK(B1815),"""",IF(ISDATE(B1815),TEXT(B1815,""yyyy""),""""))"),"")</f>
        <v/>
      </c>
    </row>
    <row r="1816">
      <c r="B1816" s="62"/>
      <c r="C1816" s="56"/>
      <c r="D1816" s="56"/>
      <c r="E1816" s="56"/>
      <c r="F1816" s="63"/>
      <c r="G1816" s="64"/>
      <c r="H1816" s="65"/>
      <c r="I1816" s="63"/>
      <c r="K1816" s="53" t="str">
        <f>IFERROR(__xludf.DUMMYFUNCTION("IF(ISBLANK(B1816),"""",IF(ISDATE(B1816),""X"",""""))"),"")</f>
        <v/>
      </c>
      <c r="L1816" s="40" t="str">
        <f>IFERROR(__xludf.DUMMYFUNCTION("IF(ISBLANK(B1816),"""",IF(Or(I1816=""Em Aberto"",ISBLANK(I1816),NOT(ISDATE(B1816))),"""",H1816))"),"")</f>
        <v/>
      </c>
      <c r="M1816" s="29" t="str">
        <f>IFERROR(__xludf.DUMMYFUNCTION("IF(ISBLANK(B1816),"""",IF(ISDATE(B1816),TEXT(B1816,""m""),""""))"),"")</f>
        <v/>
      </c>
      <c r="N1816" s="29" t="str">
        <f>IFERROR(__xludf.DUMMYFUNCTION("IF(M1816="""","""",QUERY({'Dashboard-Dados'!$Y$2:$AA$13},""Select Col2 Where Col1=""&amp;M1816))"),"")</f>
        <v/>
      </c>
      <c r="O1816" s="29" t="str">
        <f>IFERROR(__xludf.DUMMYFUNCTION("IF(ISBLANK(B1816),"""",IF(ISDATE(B1816),TEXT(B1816,""yyyy""),""""))"),"")</f>
        <v/>
      </c>
    </row>
    <row r="1817">
      <c r="B1817" s="62"/>
      <c r="C1817" s="56"/>
      <c r="D1817" s="56"/>
      <c r="E1817" s="56"/>
      <c r="F1817" s="63"/>
      <c r="G1817" s="64"/>
      <c r="H1817" s="65"/>
      <c r="I1817" s="63"/>
      <c r="K1817" s="53" t="str">
        <f>IFERROR(__xludf.DUMMYFUNCTION("IF(ISBLANK(B1817),"""",IF(ISDATE(B1817),""X"",""""))"),"")</f>
        <v/>
      </c>
      <c r="L1817" s="40" t="str">
        <f>IFERROR(__xludf.DUMMYFUNCTION("IF(ISBLANK(B1817),"""",IF(Or(I1817=""Em Aberto"",ISBLANK(I1817),NOT(ISDATE(B1817))),"""",H1817))"),"")</f>
        <v/>
      </c>
      <c r="M1817" s="29" t="str">
        <f>IFERROR(__xludf.DUMMYFUNCTION("IF(ISBLANK(B1817),"""",IF(ISDATE(B1817),TEXT(B1817,""m""),""""))"),"")</f>
        <v/>
      </c>
      <c r="N1817" s="29" t="str">
        <f>IFERROR(__xludf.DUMMYFUNCTION("IF(M1817="""","""",QUERY({'Dashboard-Dados'!$Y$2:$AA$13},""Select Col2 Where Col1=""&amp;M1817))"),"")</f>
        <v/>
      </c>
      <c r="O1817" s="29" t="str">
        <f>IFERROR(__xludf.DUMMYFUNCTION("IF(ISBLANK(B1817),"""",IF(ISDATE(B1817),TEXT(B1817,""yyyy""),""""))"),"")</f>
        <v/>
      </c>
    </row>
    <row r="1818">
      <c r="B1818" s="62"/>
      <c r="C1818" s="56"/>
      <c r="D1818" s="56"/>
      <c r="E1818" s="56"/>
      <c r="F1818" s="63"/>
      <c r="G1818" s="64"/>
      <c r="H1818" s="65"/>
      <c r="I1818" s="63"/>
      <c r="K1818" s="53" t="str">
        <f>IFERROR(__xludf.DUMMYFUNCTION("IF(ISBLANK(B1818),"""",IF(ISDATE(B1818),""X"",""""))"),"")</f>
        <v/>
      </c>
      <c r="L1818" s="40" t="str">
        <f>IFERROR(__xludf.DUMMYFUNCTION("IF(ISBLANK(B1818),"""",IF(Or(I1818=""Em Aberto"",ISBLANK(I1818),NOT(ISDATE(B1818))),"""",H1818))"),"")</f>
        <v/>
      </c>
      <c r="M1818" s="29" t="str">
        <f>IFERROR(__xludf.DUMMYFUNCTION("IF(ISBLANK(B1818),"""",IF(ISDATE(B1818),TEXT(B1818,""m""),""""))"),"")</f>
        <v/>
      </c>
      <c r="N1818" s="29" t="str">
        <f>IFERROR(__xludf.DUMMYFUNCTION("IF(M1818="""","""",QUERY({'Dashboard-Dados'!$Y$2:$AA$13},""Select Col2 Where Col1=""&amp;M1818))"),"")</f>
        <v/>
      </c>
      <c r="O1818" s="29" t="str">
        <f>IFERROR(__xludf.DUMMYFUNCTION("IF(ISBLANK(B1818),"""",IF(ISDATE(B1818),TEXT(B1818,""yyyy""),""""))"),"")</f>
        <v/>
      </c>
    </row>
    <row r="1819">
      <c r="B1819" s="62"/>
      <c r="C1819" s="56"/>
      <c r="D1819" s="56"/>
      <c r="E1819" s="56"/>
      <c r="F1819" s="63"/>
      <c r="G1819" s="64"/>
      <c r="H1819" s="65"/>
      <c r="I1819" s="63"/>
      <c r="K1819" s="53" t="str">
        <f>IFERROR(__xludf.DUMMYFUNCTION("IF(ISBLANK(B1819),"""",IF(ISDATE(B1819),""X"",""""))"),"")</f>
        <v/>
      </c>
      <c r="L1819" s="40" t="str">
        <f>IFERROR(__xludf.DUMMYFUNCTION("IF(ISBLANK(B1819),"""",IF(Or(I1819=""Em Aberto"",ISBLANK(I1819),NOT(ISDATE(B1819))),"""",H1819))"),"")</f>
        <v/>
      </c>
      <c r="M1819" s="29" t="str">
        <f>IFERROR(__xludf.DUMMYFUNCTION("IF(ISBLANK(B1819),"""",IF(ISDATE(B1819),TEXT(B1819,""m""),""""))"),"")</f>
        <v/>
      </c>
      <c r="N1819" s="29" t="str">
        <f>IFERROR(__xludf.DUMMYFUNCTION("IF(M1819="""","""",QUERY({'Dashboard-Dados'!$Y$2:$AA$13},""Select Col2 Where Col1=""&amp;M1819))"),"")</f>
        <v/>
      </c>
      <c r="O1819" s="29" t="str">
        <f>IFERROR(__xludf.DUMMYFUNCTION("IF(ISBLANK(B1819),"""",IF(ISDATE(B1819),TEXT(B1819,""yyyy""),""""))"),"")</f>
        <v/>
      </c>
    </row>
    <row r="1820">
      <c r="B1820" s="62"/>
      <c r="C1820" s="56"/>
      <c r="D1820" s="56"/>
      <c r="E1820" s="56"/>
      <c r="F1820" s="63"/>
      <c r="G1820" s="64"/>
      <c r="H1820" s="65"/>
      <c r="I1820" s="63"/>
      <c r="K1820" s="53" t="str">
        <f>IFERROR(__xludf.DUMMYFUNCTION("IF(ISBLANK(B1820),"""",IF(ISDATE(B1820),""X"",""""))"),"")</f>
        <v/>
      </c>
      <c r="L1820" s="40" t="str">
        <f>IFERROR(__xludf.DUMMYFUNCTION("IF(ISBLANK(B1820),"""",IF(Or(I1820=""Em Aberto"",ISBLANK(I1820),NOT(ISDATE(B1820))),"""",H1820))"),"")</f>
        <v/>
      </c>
      <c r="M1820" s="29" t="str">
        <f>IFERROR(__xludf.DUMMYFUNCTION("IF(ISBLANK(B1820),"""",IF(ISDATE(B1820),TEXT(B1820,""m""),""""))"),"")</f>
        <v/>
      </c>
      <c r="N1820" s="29" t="str">
        <f>IFERROR(__xludf.DUMMYFUNCTION("IF(M1820="""","""",QUERY({'Dashboard-Dados'!$Y$2:$AA$13},""Select Col2 Where Col1=""&amp;M1820))"),"")</f>
        <v/>
      </c>
      <c r="O1820" s="29" t="str">
        <f>IFERROR(__xludf.DUMMYFUNCTION("IF(ISBLANK(B1820),"""",IF(ISDATE(B1820),TEXT(B1820,""yyyy""),""""))"),"")</f>
        <v/>
      </c>
    </row>
    <row r="1821">
      <c r="B1821" s="62"/>
      <c r="C1821" s="56"/>
      <c r="D1821" s="56"/>
      <c r="E1821" s="56"/>
      <c r="F1821" s="63"/>
      <c r="G1821" s="64"/>
      <c r="H1821" s="65"/>
      <c r="I1821" s="63"/>
      <c r="K1821" s="53" t="str">
        <f>IFERROR(__xludf.DUMMYFUNCTION("IF(ISBLANK(B1821),"""",IF(ISDATE(B1821),""X"",""""))"),"")</f>
        <v/>
      </c>
      <c r="L1821" s="40" t="str">
        <f>IFERROR(__xludf.DUMMYFUNCTION("IF(ISBLANK(B1821),"""",IF(Or(I1821=""Em Aberto"",ISBLANK(I1821),NOT(ISDATE(B1821))),"""",H1821))"),"")</f>
        <v/>
      </c>
      <c r="M1821" s="29" t="str">
        <f>IFERROR(__xludf.DUMMYFUNCTION("IF(ISBLANK(B1821),"""",IF(ISDATE(B1821),TEXT(B1821,""m""),""""))"),"")</f>
        <v/>
      </c>
      <c r="N1821" s="29" t="str">
        <f>IFERROR(__xludf.DUMMYFUNCTION("IF(M1821="""","""",QUERY({'Dashboard-Dados'!$Y$2:$AA$13},""Select Col2 Where Col1=""&amp;M1821))"),"")</f>
        <v/>
      </c>
      <c r="O1821" s="29" t="str">
        <f>IFERROR(__xludf.DUMMYFUNCTION("IF(ISBLANK(B1821),"""",IF(ISDATE(B1821),TEXT(B1821,""yyyy""),""""))"),"")</f>
        <v/>
      </c>
    </row>
    <row r="1822">
      <c r="B1822" s="62"/>
      <c r="C1822" s="56"/>
      <c r="D1822" s="56"/>
      <c r="E1822" s="56"/>
      <c r="F1822" s="63"/>
      <c r="G1822" s="64"/>
      <c r="H1822" s="65"/>
      <c r="I1822" s="63"/>
      <c r="K1822" s="53" t="str">
        <f>IFERROR(__xludf.DUMMYFUNCTION("IF(ISBLANK(B1822),"""",IF(ISDATE(B1822),""X"",""""))"),"")</f>
        <v/>
      </c>
      <c r="L1822" s="40" t="str">
        <f>IFERROR(__xludf.DUMMYFUNCTION("IF(ISBLANK(B1822),"""",IF(Or(I1822=""Em Aberto"",ISBLANK(I1822),NOT(ISDATE(B1822))),"""",H1822))"),"")</f>
        <v/>
      </c>
      <c r="M1822" s="29" t="str">
        <f>IFERROR(__xludf.DUMMYFUNCTION("IF(ISBLANK(B1822),"""",IF(ISDATE(B1822),TEXT(B1822,""m""),""""))"),"")</f>
        <v/>
      </c>
      <c r="N1822" s="29" t="str">
        <f>IFERROR(__xludf.DUMMYFUNCTION("IF(M1822="""","""",QUERY({'Dashboard-Dados'!$Y$2:$AA$13},""Select Col2 Where Col1=""&amp;M1822))"),"")</f>
        <v/>
      </c>
      <c r="O1822" s="29" t="str">
        <f>IFERROR(__xludf.DUMMYFUNCTION("IF(ISBLANK(B1822),"""",IF(ISDATE(B1822),TEXT(B1822,""yyyy""),""""))"),"")</f>
        <v/>
      </c>
    </row>
    <row r="1823">
      <c r="B1823" s="62"/>
      <c r="C1823" s="56"/>
      <c r="D1823" s="56"/>
      <c r="E1823" s="56"/>
      <c r="F1823" s="63"/>
      <c r="G1823" s="64"/>
      <c r="H1823" s="65"/>
      <c r="I1823" s="63"/>
      <c r="K1823" s="53" t="str">
        <f>IFERROR(__xludf.DUMMYFUNCTION("IF(ISBLANK(B1823),"""",IF(ISDATE(B1823),""X"",""""))"),"")</f>
        <v/>
      </c>
      <c r="L1823" s="40" t="str">
        <f>IFERROR(__xludf.DUMMYFUNCTION("IF(ISBLANK(B1823),"""",IF(Or(I1823=""Em Aberto"",ISBLANK(I1823),NOT(ISDATE(B1823))),"""",H1823))"),"")</f>
        <v/>
      </c>
      <c r="M1823" s="29" t="str">
        <f>IFERROR(__xludf.DUMMYFUNCTION("IF(ISBLANK(B1823),"""",IF(ISDATE(B1823),TEXT(B1823,""m""),""""))"),"")</f>
        <v/>
      </c>
      <c r="N1823" s="29" t="str">
        <f>IFERROR(__xludf.DUMMYFUNCTION("IF(M1823="""","""",QUERY({'Dashboard-Dados'!$Y$2:$AA$13},""Select Col2 Where Col1=""&amp;M1823))"),"")</f>
        <v/>
      </c>
      <c r="O1823" s="29" t="str">
        <f>IFERROR(__xludf.DUMMYFUNCTION("IF(ISBLANK(B1823),"""",IF(ISDATE(B1823),TEXT(B1823,""yyyy""),""""))"),"")</f>
        <v/>
      </c>
    </row>
    <row r="1824">
      <c r="B1824" s="62"/>
      <c r="C1824" s="56"/>
      <c r="D1824" s="56"/>
      <c r="E1824" s="56"/>
      <c r="F1824" s="63"/>
      <c r="G1824" s="64"/>
      <c r="H1824" s="65"/>
      <c r="I1824" s="63"/>
      <c r="K1824" s="53" t="str">
        <f>IFERROR(__xludf.DUMMYFUNCTION("IF(ISBLANK(B1824),"""",IF(ISDATE(B1824),""X"",""""))"),"")</f>
        <v/>
      </c>
      <c r="L1824" s="40" t="str">
        <f>IFERROR(__xludf.DUMMYFUNCTION("IF(ISBLANK(B1824),"""",IF(Or(I1824=""Em Aberto"",ISBLANK(I1824),NOT(ISDATE(B1824))),"""",H1824))"),"")</f>
        <v/>
      </c>
      <c r="M1824" s="29" t="str">
        <f>IFERROR(__xludf.DUMMYFUNCTION("IF(ISBLANK(B1824),"""",IF(ISDATE(B1824),TEXT(B1824,""m""),""""))"),"")</f>
        <v/>
      </c>
      <c r="N1824" s="29" t="str">
        <f>IFERROR(__xludf.DUMMYFUNCTION("IF(M1824="""","""",QUERY({'Dashboard-Dados'!$Y$2:$AA$13},""Select Col2 Where Col1=""&amp;M1824))"),"")</f>
        <v/>
      </c>
      <c r="O1824" s="29" t="str">
        <f>IFERROR(__xludf.DUMMYFUNCTION("IF(ISBLANK(B1824),"""",IF(ISDATE(B1824),TEXT(B1824,""yyyy""),""""))"),"")</f>
        <v/>
      </c>
    </row>
    <row r="1825">
      <c r="B1825" s="62"/>
      <c r="C1825" s="56"/>
      <c r="D1825" s="56"/>
      <c r="E1825" s="56"/>
      <c r="F1825" s="63"/>
      <c r="G1825" s="64"/>
      <c r="H1825" s="65"/>
      <c r="I1825" s="63"/>
      <c r="K1825" s="53" t="str">
        <f>IFERROR(__xludf.DUMMYFUNCTION("IF(ISBLANK(B1825),"""",IF(ISDATE(B1825),""X"",""""))"),"")</f>
        <v/>
      </c>
      <c r="L1825" s="40" t="str">
        <f>IFERROR(__xludf.DUMMYFUNCTION("IF(ISBLANK(B1825),"""",IF(Or(I1825=""Em Aberto"",ISBLANK(I1825),NOT(ISDATE(B1825))),"""",H1825))"),"")</f>
        <v/>
      </c>
      <c r="M1825" s="29" t="str">
        <f>IFERROR(__xludf.DUMMYFUNCTION("IF(ISBLANK(B1825),"""",IF(ISDATE(B1825),TEXT(B1825,""m""),""""))"),"")</f>
        <v/>
      </c>
      <c r="N1825" s="29" t="str">
        <f>IFERROR(__xludf.DUMMYFUNCTION("IF(M1825="""","""",QUERY({'Dashboard-Dados'!$Y$2:$AA$13},""Select Col2 Where Col1=""&amp;M1825))"),"")</f>
        <v/>
      </c>
      <c r="O1825" s="29" t="str">
        <f>IFERROR(__xludf.DUMMYFUNCTION("IF(ISBLANK(B1825),"""",IF(ISDATE(B1825),TEXT(B1825,""yyyy""),""""))"),"")</f>
        <v/>
      </c>
    </row>
    <row r="1826">
      <c r="B1826" s="62"/>
      <c r="C1826" s="56"/>
      <c r="D1826" s="56"/>
      <c r="E1826" s="56"/>
      <c r="F1826" s="63"/>
      <c r="G1826" s="64"/>
      <c r="H1826" s="65"/>
      <c r="I1826" s="63"/>
      <c r="K1826" s="53" t="str">
        <f>IFERROR(__xludf.DUMMYFUNCTION("IF(ISBLANK(B1826),"""",IF(ISDATE(B1826),""X"",""""))"),"")</f>
        <v/>
      </c>
      <c r="L1826" s="40" t="str">
        <f>IFERROR(__xludf.DUMMYFUNCTION("IF(ISBLANK(B1826),"""",IF(Or(I1826=""Em Aberto"",ISBLANK(I1826),NOT(ISDATE(B1826))),"""",H1826))"),"")</f>
        <v/>
      </c>
      <c r="M1826" s="29" t="str">
        <f>IFERROR(__xludf.DUMMYFUNCTION("IF(ISBLANK(B1826),"""",IF(ISDATE(B1826),TEXT(B1826,""m""),""""))"),"")</f>
        <v/>
      </c>
      <c r="N1826" s="29" t="str">
        <f>IFERROR(__xludf.DUMMYFUNCTION("IF(M1826="""","""",QUERY({'Dashboard-Dados'!$Y$2:$AA$13},""Select Col2 Where Col1=""&amp;M1826))"),"")</f>
        <v/>
      </c>
      <c r="O1826" s="29" t="str">
        <f>IFERROR(__xludf.DUMMYFUNCTION("IF(ISBLANK(B1826),"""",IF(ISDATE(B1826),TEXT(B1826,""yyyy""),""""))"),"")</f>
        <v/>
      </c>
    </row>
    <row r="1827">
      <c r="B1827" s="62"/>
      <c r="C1827" s="56"/>
      <c r="D1827" s="56"/>
      <c r="E1827" s="56"/>
      <c r="F1827" s="63"/>
      <c r="G1827" s="64"/>
      <c r="H1827" s="65"/>
      <c r="I1827" s="63"/>
      <c r="K1827" s="53" t="str">
        <f>IFERROR(__xludf.DUMMYFUNCTION("IF(ISBLANK(B1827),"""",IF(ISDATE(B1827),""X"",""""))"),"")</f>
        <v/>
      </c>
      <c r="L1827" s="40" t="str">
        <f>IFERROR(__xludf.DUMMYFUNCTION("IF(ISBLANK(B1827),"""",IF(Or(I1827=""Em Aberto"",ISBLANK(I1827),NOT(ISDATE(B1827))),"""",H1827))"),"")</f>
        <v/>
      </c>
      <c r="M1827" s="29" t="str">
        <f>IFERROR(__xludf.DUMMYFUNCTION("IF(ISBLANK(B1827),"""",IF(ISDATE(B1827),TEXT(B1827,""m""),""""))"),"")</f>
        <v/>
      </c>
      <c r="N1827" s="29" t="str">
        <f>IFERROR(__xludf.DUMMYFUNCTION("IF(M1827="""","""",QUERY({'Dashboard-Dados'!$Y$2:$AA$13},""Select Col2 Where Col1=""&amp;M1827))"),"")</f>
        <v/>
      </c>
      <c r="O1827" s="29" t="str">
        <f>IFERROR(__xludf.DUMMYFUNCTION("IF(ISBLANK(B1827),"""",IF(ISDATE(B1827),TEXT(B1827,""yyyy""),""""))"),"")</f>
        <v/>
      </c>
    </row>
    <row r="1828">
      <c r="B1828" s="62"/>
      <c r="C1828" s="56"/>
      <c r="D1828" s="56"/>
      <c r="E1828" s="56"/>
      <c r="F1828" s="63"/>
      <c r="G1828" s="64"/>
      <c r="H1828" s="65"/>
      <c r="I1828" s="63"/>
      <c r="K1828" s="53" t="str">
        <f>IFERROR(__xludf.DUMMYFUNCTION("IF(ISBLANK(B1828),"""",IF(ISDATE(B1828),""X"",""""))"),"")</f>
        <v/>
      </c>
      <c r="L1828" s="40" t="str">
        <f>IFERROR(__xludf.DUMMYFUNCTION("IF(ISBLANK(B1828),"""",IF(Or(I1828=""Em Aberto"",ISBLANK(I1828),NOT(ISDATE(B1828))),"""",H1828))"),"")</f>
        <v/>
      </c>
      <c r="M1828" s="29" t="str">
        <f>IFERROR(__xludf.DUMMYFUNCTION("IF(ISBLANK(B1828),"""",IF(ISDATE(B1828),TEXT(B1828,""m""),""""))"),"")</f>
        <v/>
      </c>
      <c r="N1828" s="29" t="str">
        <f>IFERROR(__xludf.DUMMYFUNCTION("IF(M1828="""","""",QUERY({'Dashboard-Dados'!$Y$2:$AA$13},""Select Col2 Where Col1=""&amp;M1828))"),"")</f>
        <v/>
      </c>
      <c r="O1828" s="29" t="str">
        <f>IFERROR(__xludf.DUMMYFUNCTION("IF(ISBLANK(B1828),"""",IF(ISDATE(B1828),TEXT(B1828,""yyyy""),""""))"),"")</f>
        <v/>
      </c>
    </row>
    <row r="1829">
      <c r="B1829" s="62"/>
      <c r="C1829" s="56"/>
      <c r="D1829" s="56"/>
      <c r="E1829" s="56"/>
      <c r="F1829" s="63"/>
      <c r="G1829" s="64"/>
      <c r="H1829" s="65"/>
      <c r="I1829" s="63"/>
      <c r="K1829" s="53" t="str">
        <f>IFERROR(__xludf.DUMMYFUNCTION("IF(ISBLANK(B1829),"""",IF(ISDATE(B1829),""X"",""""))"),"")</f>
        <v/>
      </c>
      <c r="L1829" s="40" t="str">
        <f>IFERROR(__xludf.DUMMYFUNCTION("IF(ISBLANK(B1829),"""",IF(Or(I1829=""Em Aberto"",ISBLANK(I1829),NOT(ISDATE(B1829))),"""",H1829))"),"")</f>
        <v/>
      </c>
      <c r="M1829" s="29" t="str">
        <f>IFERROR(__xludf.DUMMYFUNCTION("IF(ISBLANK(B1829),"""",IF(ISDATE(B1829),TEXT(B1829,""m""),""""))"),"")</f>
        <v/>
      </c>
      <c r="N1829" s="29" t="str">
        <f>IFERROR(__xludf.DUMMYFUNCTION("IF(M1829="""","""",QUERY({'Dashboard-Dados'!$Y$2:$AA$13},""Select Col2 Where Col1=""&amp;M1829))"),"")</f>
        <v/>
      </c>
      <c r="O1829" s="29" t="str">
        <f>IFERROR(__xludf.DUMMYFUNCTION("IF(ISBLANK(B1829),"""",IF(ISDATE(B1829),TEXT(B1829,""yyyy""),""""))"),"")</f>
        <v/>
      </c>
    </row>
    <row r="1830">
      <c r="B1830" s="62"/>
      <c r="C1830" s="56"/>
      <c r="D1830" s="56"/>
      <c r="E1830" s="56"/>
      <c r="F1830" s="63"/>
      <c r="G1830" s="64"/>
      <c r="H1830" s="65"/>
      <c r="I1830" s="63"/>
      <c r="K1830" s="53" t="str">
        <f>IFERROR(__xludf.DUMMYFUNCTION("IF(ISBLANK(B1830),"""",IF(ISDATE(B1830),""X"",""""))"),"")</f>
        <v/>
      </c>
      <c r="L1830" s="40" t="str">
        <f>IFERROR(__xludf.DUMMYFUNCTION("IF(ISBLANK(B1830),"""",IF(Or(I1830=""Em Aberto"",ISBLANK(I1830),NOT(ISDATE(B1830))),"""",H1830))"),"")</f>
        <v/>
      </c>
      <c r="M1830" s="29" t="str">
        <f>IFERROR(__xludf.DUMMYFUNCTION("IF(ISBLANK(B1830),"""",IF(ISDATE(B1830),TEXT(B1830,""m""),""""))"),"")</f>
        <v/>
      </c>
      <c r="N1830" s="29" t="str">
        <f>IFERROR(__xludf.DUMMYFUNCTION("IF(M1830="""","""",QUERY({'Dashboard-Dados'!$Y$2:$AA$13},""Select Col2 Where Col1=""&amp;M1830))"),"")</f>
        <v/>
      </c>
      <c r="O1830" s="29" t="str">
        <f>IFERROR(__xludf.DUMMYFUNCTION("IF(ISBLANK(B1830),"""",IF(ISDATE(B1830),TEXT(B1830,""yyyy""),""""))"),"")</f>
        <v/>
      </c>
    </row>
    <row r="1831">
      <c r="B1831" s="62"/>
      <c r="C1831" s="56"/>
      <c r="D1831" s="56"/>
      <c r="E1831" s="56"/>
      <c r="F1831" s="63"/>
      <c r="G1831" s="64"/>
      <c r="H1831" s="65"/>
      <c r="I1831" s="63"/>
      <c r="K1831" s="53" t="str">
        <f>IFERROR(__xludf.DUMMYFUNCTION("IF(ISBLANK(B1831),"""",IF(ISDATE(B1831),""X"",""""))"),"")</f>
        <v/>
      </c>
      <c r="L1831" s="40" t="str">
        <f>IFERROR(__xludf.DUMMYFUNCTION("IF(ISBLANK(B1831),"""",IF(Or(I1831=""Em Aberto"",ISBLANK(I1831),NOT(ISDATE(B1831))),"""",H1831))"),"")</f>
        <v/>
      </c>
      <c r="M1831" s="29" t="str">
        <f>IFERROR(__xludf.DUMMYFUNCTION("IF(ISBLANK(B1831),"""",IF(ISDATE(B1831),TEXT(B1831,""m""),""""))"),"")</f>
        <v/>
      </c>
      <c r="N1831" s="29" t="str">
        <f>IFERROR(__xludf.DUMMYFUNCTION("IF(M1831="""","""",QUERY({'Dashboard-Dados'!$Y$2:$AA$13},""Select Col2 Where Col1=""&amp;M1831))"),"")</f>
        <v/>
      </c>
      <c r="O1831" s="29" t="str">
        <f>IFERROR(__xludf.DUMMYFUNCTION("IF(ISBLANK(B1831),"""",IF(ISDATE(B1831),TEXT(B1831,""yyyy""),""""))"),"")</f>
        <v/>
      </c>
    </row>
    <row r="1832">
      <c r="B1832" s="62"/>
      <c r="C1832" s="56"/>
      <c r="D1832" s="56"/>
      <c r="E1832" s="56"/>
      <c r="F1832" s="63"/>
      <c r="G1832" s="64"/>
      <c r="H1832" s="65"/>
      <c r="I1832" s="63"/>
      <c r="K1832" s="53" t="str">
        <f>IFERROR(__xludf.DUMMYFUNCTION("IF(ISBLANK(B1832),"""",IF(ISDATE(B1832),""X"",""""))"),"")</f>
        <v/>
      </c>
      <c r="L1832" s="40" t="str">
        <f>IFERROR(__xludf.DUMMYFUNCTION("IF(ISBLANK(B1832),"""",IF(Or(I1832=""Em Aberto"",ISBLANK(I1832),NOT(ISDATE(B1832))),"""",H1832))"),"")</f>
        <v/>
      </c>
      <c r="M1832" s="29" t="str">
        <f>IFERROR(__xludf.DUMMYFUNCTION("IF(ISBLANK(B1832),"""",IF(ISDATE(B1832),TEXT(B1832,""m""),""""))"),"")</f>
        <v/>
      </c>
      <c r="N1832" s="29" t="str">
        <f>IFERROR(__xludf.DUMMYFUNCTION("IF(M1832="""","""",QUERY({'Dashboard-Dados'!$Y$2:$AA$13},""Select Col2 Where Col1=""&amp;M1832))"),"")</f>
        <v/>
      </c>
      <c r="O1832" s="29" t="str">
        <f>IFERROR(__xludf.DUMMYFUNCTION("IF(ISBLANK(B1832),"""",IF(ISDATE(B1832),TEXT(B1832,""yyyy""),""""))"),"")</f>
        <v/>
      </c>
    </row>
    <row r="1833">
      <c r="B1833" s="62"/>
      <c r="C1833" s="56"/>
      <c r="D1833" s="56"/>
      <c r="E1833" s="56"/>
      <c r="F1833" s="63"/>
      <c r="G1833" s="64"/>
      <c r="H1833" s="65"/>
      <c r="I1833" s="63"/>
      <c r="K1833" s="53" t="str">
        <f>IFERROR(__xludf.DUMMYFUNCTION("IF(ISBLANK(B1833),"""",IF(ISDATE(B1833),""X"",""""))"),"")</f>
        <v/>
      </c>
      <c r="L1833" s="40" t="str">
        <f>IFERROR(__xludf.DUMMYFUNCTION("IF(ISBLANK(B1833),"""",IF(Or(I1833=""Em Aberto"",ISBLANK(I1833),NOT(ISDATE(B1833))),"""",H1833))"),"")</f>
        <v/>
      </c>
      <c r="M1833" s="29" t="str">
        <f>IFERROR(__xludf.DUMMYFUNCTION("IF(ISBLANK(B1833),"""",IF(ISDATE(B1833),TEXT(B1833,""m""),""""))"),"")</f>
        <v/>
      </c>
      <c r="N1833" s="29" t="str">
        <f>IFERROR(__xludf.DUMMYFUNCTION("IF(M1833="""","""",QUERY({'Dashboard-Dados'!$Y$2:$AA$13},""Select Col2 Where Col1=""&amp;M1833))"),"")</f>
        <v/>
      </c>
      <c r="O1833" s="29" t="str">
        <f>IFERROR(__xludf.DUMMYFUNCTION("IF(ISBLANK(B1833),"""",IF(ISDATE(B1833),TEXT(B1833,""yyyy""),""""))"),"")</f>
        <v/>
      </c>
    </row>
    <row r="1834">
      <c r="B1834" s="62"/>
      <c r="C1834" s="56"/>
      <c r="D1834" s="56"/>
      <c r="E1834" s="56"/>
      <c r="F1834" s="63"/>
      <c r="G1834" s="64"/>
      <c r="H1834" s="65"/>
      <c r="I1834" s="63"/>
      <c r="K1834" s="53" t="str">
        <f>IFERROR(__xludf.DUMMYFUNCTION("IF(ISBLANK(B1834),"""",IF(ISDATE(B1834),""X"",""""))"),"")</f>
        <v/>
      </c>
      <c r="L1834" s="40" t="str">
        <f>IFERROR(__xludf.DUMMYFUNCTION("IF(ISBLANK(B1834),"""",IF(Or(I1834=""Em Aberto"",ISBLANK(I1834),NOT(ISDATE(B1834))),"""",H1834))"),"")</f>
        <v/>
      </c>
      <c r="M1834" s="29" t="str">
        <f>IFERROR(__xludf.DUMMYFUNCTION("IF(ISBLANK(B1834),"""",IF(ISDATE(B1834),TEXT(B1834,""m""),""""))"),"")</f>
        <v/>
      </c>
      <c r="N1834" s="29" t="str">
        <f>IFERROR(__xludf.DUMMYFUNCTION("IF(M1834="""","""",QUERY({'Dashboard-Dados'!$Y$2:$AA$13},""Select Col2 Where Col1=""&amp;M1834))"),"")</f>
        <v/>
      </c>
      <c r="O1834" s="29" t="str">
        <f>IFERROR(__xludf.DUMMYFUNCTION("IF(ISBLANK(B1834),"""",IF(ISDATE(B1834),TEXT(B1834,""yyyy""),""""))"),"")</f>
        <v/>
      </c>
    </row>
    <row r="1835">
      <c r="B1835" s="62"/>
      <c r="C1835" s="56"/>
      <c r="D1835" s="56"/>
      <c r="E1835" s="56"/>
      <c r="F1835" s="63"/>
      <c r="G1835" s="64"/>
      <c r="H1835" s="65"/>
      <c r="I1835" s="63"/>
      <c r="K1835" s="53" t="str">
        <f>IFERROR(__xludf.DUMMYFUNCTION("IF(ISBLANK(B1835),"""",IF(ISDATE(B1835),""X"",""""))"),"")</f>
        <v/>
      </c>
      <c r="L1835" s="40" t="str">
        <f>IFERROR(__xludf.DUMMYFUNCTION("IF(ISBLANK(B1835),"""",IF(Or(I1835=""Em Aberto"",ISBLANK(I1835),NOT(ISDATE(B1835))),"""",H1835))"),"")</f>
        <v/>
      </c>
      <c r="M1835" s="29" t="str">
        <f>IFERROR(__xludf.DUMMYFUNCTION("IF(ISBLANK(B1835),"""",IF(ISDATE(B1835),TEXT(B1835,""m""),""""))"),"")</f>
        <v/>
      </c>
      <c r="N1835" s="29" t="str">
        <f>IFERROR(__xludf.DUMMYFUNCTION("IF(M1835="""","""",QUERY({'Dashboard-Dados'!$Y$2:$AA$13},""Select Col2 Where Col1=""&amp;M1835))"),"")</f>
        <v/>
      </c>
      <c r="O1835" s="29" t="str">
        <f>IFERROR(__xludf.DUMMYFUNCTION("IF(ISBLANK(B1835),"""",IF(ISDATE(B1835),TEXT(B1835,""yyyy""),""""))"),"")</f>
        <v/>
      </c>
    </row>
    <row r="1836">
      <c r="B1836" s="62"/>
      <c r="C1836" s="56"/>
      <c r="D1836" s="56"/>
      <c r="E1836" s="56"/>
      <c r="F1836" s="63"/>
      <c r="G1836" s="64"/>
      <c r="H1836" s="65"/>
      <c r="I1836" s="63"/>
      <c r="K1836" s="53" t="str">
        <f>IFERROR(__xludf.DUMMYFUNCTION("IF(ISBLANK(B1836),"""",IF(ISDATE(B1836),""X"",""""))"),"")</f>
        <v/>
      </c>
      <c r="L1836" s="40" t="str">
        <f>IFERROR(__xludf.DUMMYFUNCTION("IF(ISBLANK(B1836),"""",IF(Or(I1836=""Em Aberto"",ISBLANK(I1836),NOT(ISDATE(B1836))),"""",H1836))"),"")</f>
        <v/>
      </c>
      <c r="M1836" s="29" t="str">
        <f>IFERROR(__xludf.DUMMYFUNCTION("IF(ISBLANK(B1836),"""",IF(ISDATE(B1836),TEXT(B1836,""m""),""""))"),"")</f>
        <v/>
      </c>
      <c r="N1836" s="29" t="str">
        <f>IFERROR(__xludf.DUMMYFUNCTION("IF(M1836="""","""",QUERY({'Dashboard-Dados'!$Y$2:$AA$13},""Select Col2 Where Col1=""&amp;M1836))"),"")</f>
        <v/>
      </c>
      <c r="O1836" s="29" t="str">
        <f>IFERROR(__xludf.DUMMYFUNCTION("IF(ISBLANK(B1836),"""",IF(ISDATE(B1836),TEXT(B1836,""yyyy""),""""))"),"")</f>
        <v/>
      </c>
    </row>
    <row r="1837">
      <c r="B1837" s="62"/>
      <c r="C1837" s="56"/>
      <c r="D1837" s="56"/>
      <c r="E1837" s="56"/>
      <c r="F1837" s="63"/>
      <c r="G1837" s="64"/>
      <c r="H1837" s="65"/>
      <c r="I1837" s="63"/>
      <c r="K1837" s="53" t="str">
        <f>IFERROR(__xludf.DUMMYFUNCTION("IF(ISBLANK(B1837),"""",IF(ISDATE(B1837),""X"",""""))"),"")</f>
        <v/>
      </c>
      <c r="L1837" s="40" t="str">
        <f>IFERROR(__xludf.DUMMYFUNCTION("IF(ISBLANK(B1837),"""",IF(Or(I1837=""Em Aberto"",ISBLANK(I1837),NOT(ISDATE(B1837))),"""",H1837))"),"")</f>
        <v/>
      </c>
      <c r="M1837" s="29" t="str">
        <f>IFERROR(__xludf.DUMMYFUNCTION("IF(ISBLANK(B1837),"""",IF(ISDATE(B1837),TEXT(B1837,""m""),""""))"),"")</f>
        <v/>
      </c>
      <c r="N1837" s="29" t="str">
        <f>IFERROR(__xludf.DUMMYFUNCTION("IF(M1837="""","""",QUERY({'Dashboard-Dados'!$Y$2:$AA$13},""Select Col2 Where Col1=""&amp;M1837))"),"")</f>
        <v/>
      </c>
      <c r="O1837" s="29" t="str">
        <f>IFERROR(__xludf.DUMMYFUNCTION("IF(ISBLANK(B1837),"""",IF(ISDATE(B1837),TEXT(B1837,""yyyy""),""""))"),"")</f>
        <v/>
      </c>
    </row>
    <row r="1838">
      <c r="B1838" s="62"/>
      <c r="C1838" s="56"/>
      <c r="D1838" s="56"/>
      <c r="E1838" s="56"/>
      <c r="F1838" s="63"/>
      <c r="G1838" s="64"/>
      <c r="H1838" s="65"/>
      <c r="I1838" s="63"/>
      <c r="K1838" s="53" t="str">
        <f>IFERROR(__xludf.DUMMYFUNCTION("IF(ISBLANK(B1838),"""",IF(ISDATE(B1838),""X"",""""))"),"")</f>
        <v/>
      </c>
      <c r="L1838" s="40" t="str">
        <f>IFERROR(__xludf.DUMMYFUNCTION("IF(ISBLANK(B1838),"""",IF(Or(I1838=""Em Aberto"",ISBLANK(I1838),NOT(ISDATE(B1838))),"""",H1838))"),"")</f>
        <v/>
      </c>
      <c r="M1838" s="29" t="str">
        <f>IFERROR(__xludf.DUMMYFUNCTION("IF(ISBLANK(B1838),"""",IF(ISDATE(B1838),TEXT(B1838,""m""),""""))"),"")</f>
        <v/>
      </c>
      <c r="N1838" s="29" t="str">
        <f>IFERROR(__xludf.DUMMYFUNCTION("IF(M1838="""","""",QUERY({'Dashboard-Dados'!$Y$2:$AA$13},""Select Col2 Where Col1=""&amp;M1838))"),"")</f>
        <v/>
      </c>
      <c r="O1838" s="29" t="str">
        <f>IFERROR(__xludf.DUMMYFUNCTION("IF(ISBLANK(B1838),"""",IF(ISDATE(B1838),TEXT(B1838,""yyyy""),""""))"),"")</f>
        <v/>
      </c>
    </row>
    <row r="1839">
      <c r="B1839" s="62"/>
      <c r="C1839" s="56"/>
      <c r="D1839" s="56"/>
      <c r="E1839" s="56"/>
      <c r="F1839" s="63"/>
      <c r="G1839" s="64"/>
      <c r="H1839" s="65"/>
      <c r="I1839" s="63"/>
      <c r="K1839" s="53" t="str">
        <f>IFERROR(__xludf.DUMMYFUNCTION("IF(ISBLANK(B1839),"""",IF(ISDATE(B1839),""X"",""""))"),"")</f>
        <v/>
      </c>
      <c r="L1839" s="40" t="str">
        <f>IFERROR(__xludf.DUMMYFUNCTION("IF(ISBLANK(B1839),"""",IF(Or(I1839=""Em Aberto"",ISBLANK(I1839),NOT(ISDATE(B1839))),"""",H1839))"),"")</f>
        <v/>
      </c>
      <c r="M1839" s="29" t="str">
        <f>IFERROR(__xludf.DUMMYFUNCTION("IF(ISBLANK(B1839),"""",IF(ISDATE(B1839),TEXT(B1839,""m""),""""))"),"")</f>
        <v/>
      </c>
      <c r="N1839" s="29" t="str">
        <f>IFERROR(__xludf.DUMMYFUNCTION("IF(M1839="""","""",QUERY({'Dashboard-Dados'!$Y$2:$AA$13},""Select Col2 Where Col1=""&amp;M1839))"),"")</f>
        <v/>
      </c>
      <c r="O1839" s="29" t="str">
        <f>IFERROR(__xludf.DUMMYFUNCTION("IF(ISBLANK(B1839),"""",IF(ISDATE(B1839),TEXT(B1839,""yyyy""),""""))"),"")</f>
        <v/>
      </c>
    </row>
    <row r="1840">
      <c r="B1840" s="62"/>
      <c r="C1840" s="56"/>
      <c r="D1840" s="56"/>
      <c r="E1840" s="56"/>
      <c r="F1840" s="63"/>
      <c r="G1840" s="64"/>
      <c r="H1840" s="65"/>
      <c r="I1840" s="63"/>
      <c r="K1840" s="53" t="str">
        <f>IFERROR(__xludf.DUMMYFUNCTION("IF(ISBLANK(B1840),"""",IF(ISDATE(B1840),""X"",""""))"),"")</f>
        <v/>
      </c>
      <c r="L1840" s="40" t="str">
        <f>IFERROR(__xludf.DUMMYFUNCTION("IF(ISBLANK(B1840),"""",IF(Or(I1840=""Em Aberto"",ISBLANK(I1840),NOT(ISDATE(B1840))),"""",H1840))"),"")</f>
        <v/>
      </c>
      <c r="M1840" s="29" t="str">
        <f>IFERROR(__xludf.DUMMYFUNCTION("IF(ISBLANK(B1840),"""",IF(ISDATE(B1840),TEXT(B1840,""m""),""""))"),"")</f>
        <v/>
      </c>
      <c r="N1840" s="29" t="str">
        <f>IFERROR(__xludf.DUMMYFUNCTION("IF(M1840="""","""",QUERY({'Dashboard-Dados'!$Y$2:$AA$13},""Select Col2 Where Col1=""&amp;M1840))"),"")</f>
        <v/>
      </c>
      <c r="O1840" s="29" t="str">
        <f>IFERROR(__xludf.DUMMYFUNCTION("IF(ISBLANK(B1840),"""",IF(ISDATE(B1840),TEXT(B1840,""yyyy""),""""))"),"")</f>
        <v/>
      </c>
    </row>
    <row r="1841">
      <c r="B1841" s="62"/>
      <c r="C1841" s="56"/>
      <c r="D1841" s="56"/>
      <c r="E1841" s="56"/>
      <c r="F1841" s="63"/>
      <c r="G1841" s="64"/>
      <c r="H1841" s="65"/>
      <c r="I1841" s="63"/>
      <c r="K1841" s="53" t="str">
        <f>IFERROR(__xludf.DUMMYFUNCTION("IF(ISBLANK(B1841),"""",IF(ISDATE(B1841),""X"",""""))"),"")</f>
        <v/>
      </c>
      <c r="L1841" s="40" t="str">
        <f>IFERROR(__xludf.DUMMYFUNCTION("IF(ISBLANK(B1841),"""",IF(Or(I1841=""Em Aberto"",ISBLANK(I1841),NOT(ISDATE(B1841))),"""",H1841))"),"")</f>
        <v/>
      </c>
      <c r="M1841" s="29" t="str">
        <f>IFERROR(__xludf.DUMMYFUNCTION("IF(ISBLANK(B1841),"""",IF(ISDATE(B1841),TEXT(B1841,""m""),""""))"),"")</f>
        <v/>
      </c>
      <c r="N1841" s="29" t="str">
        <f>IFERROR(__xludf.DUMMYFUNCTION("IF(M1841="""","""",QUERY({'Dashboard-Dados'!$Y$2:$AA$13},""Select Col2 Where Col1=""&amp;M1841))"),"")</f>
        <v/>
      </c>
      <c r="O1841" s="29" t="str">
        <f>IFERROR(__xludf.DUMMYFUNCTION("IF(ISBLANK(B1841),"""",IF(ISDATE(B1841),TEXT(B1841,""yyyy""),""""))"),"")</f>
        <v/>
      </c>
    </row>
    <row r="1842">
      <c r="B1842" s="62"/>
      <c r="C1842" s="56"/>
      <c r="D1842" s="56"/>
      <c r="E1842" s="56"/>
      <c r="F1842" s="63"/>
      <c r="G1842" s="64"/>
      <c r="H1842" s="65"/>
      <c r="I1842" s="63"/>
      <c r="K1842" s="53" t="str">
        <f>IFERROR(__xludf.DUMMYFUNCTION("IF(ISBLANK(B1842),"""",IF(ISDATE(B1842),""X"",""""))"),"")</f>
        <v/>
      </c>
      <c r="L1842" s="40" t="str">
        <f>IFERROR(__xludf.DUMMYFUNCTION("IF(ISBLANK(B1842),"""",IF(Or(I1842=""Em Aberto"",ISBLANK(I1842),NOT(ISDATE(B1842))),"""",H1842))"),"")</f>
        <v/>
      </c>
      <c r="M1842" s="29" t="str">
        <f>IFERROR(__xludf.DUMMYFUNCTION("IF(ISBLANK(B1842),"""",IF(ISDATE(B1842),TEXT(B1842,""m""),""""))"),"")</f>
        <v/>
      </c>
      <c r="N1842" s="29" t="str">
        <f>IFERROR(__xludf.DUMMYFUNCTION("IF(M1842="""","""",QUERY({'Dashboard-Dados'!$Y$2:$AA$13},""Select Col2 Where Col1=""&amp;M1842))"),"")</f>
        <v/>
      </c>
      <c r="O1842" s="29" t="str">
        <f>IFERROR(__xludf.DUMMYFUNCTION("IF(ISBLANK(B1842),"""",IF(ISDATE(B1842),TEXT(B1842,""yyyy""),""""))"),"")</f>
        <v/>
      </c>
    </row>
    <row r="1843">
      <c r="B1843" s="62"/>
      <c r="C1843" s="56"/>
      <c r="D1843" s="56"/>
      <c r="E1843" s="56"/>
      <c r="F1843" s="63"/>
      <c r="G1843" s="64"/>
      <c r="H1843" s="65"/>
      <c r="I1843" s="63"/>
      <c r="K1843" s="53" t="str">
        <f>IFERROR(__xludf.DUMMYFUNCTION("IF(ISBLANK(B1843),"""",IF(ISDATE(B1843),""X"",""""))"),"")</f>
        <v/>
      </c>
      <c r="L1843" s="40" t="str">
        <f>IFERROR(__xludf.DUMMYFUNCTION("IF(ISBLANK(B1843),"""",IF(Or(I1843=""Em Aberto"",ISBLANK(I1843),NOT(ISDATE(B1843))),"""",H1843))"),"")</f>
        <v/>
      </c>
      <c r="M1843" s="29" t="str">
        <f>IFERROR(__xludf.DUMMYFUNCTION("IF(ISBLANK(B1843),"""",IF(ISDATE(B1843),TEXT(B1843,""m""),""""))"),"")</f>
        <v/>
      </c>
      <c r="N1843" s="29" t="str">
        <f>IFERROR(__xludf.DUMMYFUNCTION("IF(M1843="""","""",QUERY({'Dashboard-Dados'!$Y$2:$AA$13},""Select Col2 Where Col1=""&amp;M1843))"),"")</f>
        <v/>
      </c>
      <c r="O1843" s="29" t="str">
        <f>IFERROR(__xludf.DUMMYFUNCTION("IF(ISBLANK(B1843),"""",IF(ISDATE(B1843),TEXT(B1843,""yyyy""),""""))"),"")</f>
        <v/>
      </c>
    </row>
    <row r="1844">
      <c r="B1844" s="62"/>
      <c r="C1844" s="56"/>
      <c r="D1844" s="56"/>
      <c r="E1844" s="56"/>
      <c r="F1844" s="63"/>
      <c r="G1844" s="64"/>
      <c r="H1844" s="65"/>
      <c r="I1844" s="63"/>
      <c r="K1844" s="53" t="str">
        <f>IFERROR(__xludf.DUMMYFUNCTION("IF(ISBLANK(B1844),"""",IF(ISDATE(B1844),""X"",""""))"),"")</f>
        <v/>
      </c>
      <c r="L1844" s="40" t="str">
        <f>IFERROR(__xludf.DUMMYFUNCTION("IF(ISBLANK(B1844),"""",IF(Or(I1844=""Em Aberto"",ISBLANK(I1844),NOT(ISDATE(B1844))),"""",H1844))"),"")</f>
        <v/>
      </c>
      <c r="M1844" s="29" t="str">
        <f>IFERROR(__xludf.DUMMYFUNCTION("IF(ISBLANK(B1844),"""",IF(ISDATE(B1844),TEXT(B1844,""m""),""""))"),"")</f>
        <v/>
      </c>
      <c r="N1844" s="29" t="str">
        <f>IFERROR(__xludf.DUMMYFUNCTION("IF(M1844="""","""",QUERY({'Dashboard-Dados'!$Y$2:$AA$13},""Select Col2 Where Col1=""&amp;M1844))"),"")</f>
        <v/>
      </c>
      <c r="O1844" s="29" t="str">
        <f>IFERROR(__xludf.DUMMYFUNCTION("IF(ISBLANK(B1844),"""",IF(ISDATE(B1844),TEXT(B1844,""yyyy""),""""))"),"")</f>
        <v/>
      </c>
    </row>
    <row r="1845">
      <c r="B1845" s="62"/>
      <c r="C1845" s="56"/>
      <c r="D1845" s="56"/>
      <c r="E1845" s="56"/>
      <c r="F1845" s="63"/>
      <c r="G1845" s="64"/>
      <c r="H1845" s="65"/>
      <c r="I1845" s="63"/>
      <c r="K1845" s="53" t="str">
        <f>IFERROR(__xludf.DUMMYFUNCTION("IF(ISBLANK(B1845),"""",IF(ISDATE(B1845),""X"",""""))"),"")</f>
        <v/>
      </c>
      <c r="L1845" s="40" t="str">
        <f>IFERROR(__xludf.DUMMYFUNCTION("IF(ISBLANK(B1845),"""",IF(Or(I1845=""Em Aberto"",ISBLANK(I1845),NOT(ISDATE(B1845))),"""",H1845))"),"")</f>
        <v/>
      </c>
      <c r="M1845" s="29" t="str">
        <f>IFERROR(__xludf.DUMMYFUNCTION("IF(ISBLANK(B1845),"""",IF(ISDATE(B1845),TEXT(B1845,""m""),""""))"),"")</f>
        <v/>
      </c>
      <c r="N1845" s="29" t="str">
        <f>IFERROR(__xludf.DUMMYFUNCTION("IF(M1845="""","""",QUERY({'Dashboard-Dados'!$Y$2:$AA$13},""Select Col2 Where Col1=""&amp;M1845))"),"")</f>
        <v/>
      </c>
      <c r="O1845" s="29" t="str">
        <f>IFERROR(__xludf.DUMMYFUNCTION("IF(ISBLANK(B1845),"""",IF(ISDATE(B1845),TEXT(B1845,""yyyy""),""""))"),"")</f>
        <v/>
      </c>
    </row>
    <row r="1846">
      <c r="B1846" s="62"/>
      <c r="C1846" s="56"/>
      <c r="D1846" s="56"/>
      <c r="E1846" s="56"/>
      <c r="F1846" s="63"/>
      <c r="G1846" s="64"/>
      <c r="H1846" s="65"/>
      <c r="I1846" s="63"/>
      <c r="K1846" s="53" t="str">
        <f>IFERROR(__xludf.DUMMYFUNCTION("IF(ISBLANK(B1846),"""",IF(ISDATE(B1846),""X"",""""))"),"")</f>
        <v/>
      </c>
      <c r="L1846" s="40" t="str">
        <f>IFERROR(__xludf.DUMMYFUNCTION("IF(ISBLANK(B1846),"""",IF(Or(I1846=""Em Aberto"",ISBLANK(I1846),NOT(ISDATE(B1846))),"""",H1846))"),"")</f>
        <v/>
      </c>
      <c r="M1846" s="29" t="str">
        <f>IFERROR(__xludf.DUMMYFUNCTION("IF(ISBLANK(B1846),"""",IF(ISDATE(B1846),TEXT(B1846,""m""),""""))"),"")</f>
        <v/>
      </c>
      <c r="N1846" s="29" t="str">
        <f>IFERROR(__xludf.DUMMYFUNCTION("IF(M1846="""","""",QUERY({'Dashboard-Dados'!$Y$2:$AA$13},""Select Col2 Where Col1=""&amp;M1846))"),"")</f>
        <v/>
      </c>
      <c r="O1846" s="29" t="str">
        <f>IFERROR(__xludf.DUMMYFUNCTION("IF(ISBLANK(B1846),"""",IF(ISDATE(B1846),TEXT(B1846,""yyyy""),""""))"),"")</f>
        <v/>
      </c>
    </row>
    <row r="1847">
      <c r="B1847" s="62"/>
      <c r="C1847" s="56"/>
      <c r="D1847" s="56"/>
      <c r="E1847" s="56"/>
      <c r="F1847" s="63"/>
      <c r="G1847" s="64"/>
      <c r="H1847" s="65"/>
      <c r="I1847" s="63"/>
      <c r="K1847" s="53" t="str">
        <f>IFERROR(__xludf.DUMMYFUNCTION("IF(ISBLANK(B1847),"""",IF(ISDATE(B1847),""X"",""""))"),"")</f>
        <v/>
      </c>
      <c r="L1847" s="40" t="str">
        <f>IFERROR(__xludf.DUMMYFUNCTION("IF(ISBLANK(B1847),"""",IF(Or(I1847=""Em Aberto"",ISBLANK(I1847),NOT(ISDATE(B1847))),"""",H1847))"),"")</f>
        <v/>
      </c>
      <c r="M1847" s="29" t="str">
        <f>IFERROR(__xludf.DUMMYFUNCTION("IF(ISBLANK(B1847),"""",IF(ISDATE(B1847),TEXT(B1847,""m""),""""))"),"")</f>
        <v/>
      </c>
      <c r="N1847" s="29" t="str">
        <f>IFERROR(__xludf.DUMMYFUNCTION("IF(M1847="""","""",QUERY({'Dashboard-Dados'!$Y$2:$AA$13},""Select Col2 Where Col1=""&amp;M1847))"),"")</f>
        <v/>
      </c>
      <c r="O1847" s="29" t="str">
        <f>IFERROR(__xludf.DUMMYFUNCTION("IF(ISBLANK(B1847),"""",IF(ISDATE(B1847),TEXT(B1847,""yyyy""),""""))"),"")</f>
        <v/>
      </c>
    </row>
    <row r="1848">
      <c r="B1848" s="62"/>
      <c r="C1848" s="56"/>
      <c r="D1848" s="56"/>
      <c r="E1848" s="56"/>
      <c r="F1848" s="63"/>
      <c r="G1848" s="64"/>
      <c r="H1848" s="65"/>
      <c r="I1848" s="63"/>
      <c r="K1848" s="53" t="str">
        <f>IFERROR(__xludf.DUMMYFUNCTION("IF(ISBLANK(B1848),"""",IF(ISDATE(B1848),""X"",""""))"),"")</f>
        <v/>
      </c>
      <c r="L1848" s="40" t="str">
        <f>IFERROR(__xludf.DUMMYFUNCTION("IF(ISBLANK(B1848),"""",IF(Or(I1848=""Em Aberto"",ISBLANK(I1848),NOT(ISDATE(B1848))),"""",H1848))"),"")</f>
        <v/>
      </c>
      <c r="M1848" s="29" t="str">
        <f>IFERROR(__xludf.DUMMYFUNCTION("IF(ISBLANK(B1848),"""",IF(ISDATE(B1848),TEXT(B1848,""m""),""""))"),"")</f>
        <v/>
      </c>
      <c r="N1848" s="29" t="str">
        <f>IFERROR(__xludf.DUMMYFUNCTION("IF(M1848="""","""",QUERY({'Dashboard-Dados'!$Y$2:$AA$13},""Select Col2 Where Col1=""&amp;M1848))"),"")</f>
        <v/>
      </c>
      <c r="O1848" s="29" t="str">
        <f>IFERROR(__xludf.DUMMYFUNCTION("IF(ISBLANK(B1848),"""",IF(ISDATE(B1848),TEXT(B1848,""yyyy""),""""))"),"")</f>
        <v/>
      </c>
    </row>
    <row r="1849">
      <c r="B1849" s="62"/>
      <c r="C1849" s="56"/>
      <c r="D1849" s="56"/>
      <c r="E1849" s="56"/>
      <c r="F1849" s="63"/>
      <c r="G1849" s="64"/>
      <c r="H1849" s="65"/>
      <c r="I1849" s="63"/>
      <c r="K1849" s="53" t="str">
        <f>IFERROR(__xludf.DUMMYFUNCTION("IF(ISBLANK(B1849),"""",IF(ISDATE(B1849),""X"",""""))"),"")</f>
        <v/>
      </c>
      <c r="L1849" s="40" t="str">
        <f>IFERROR(__xludf.DUMMYFUNCTION("IF(ISBLANK(B1849),"""",IF(Or(I1849=""Em Aberto"",ISBLANK(I1849),NOT(ISDATE(B1849))),"""",H1849))"),"")</f>
        <v/>
      </c>
      <c r="M1849" s="29" t="str">
        <f>IFERROR(__xludf.DUMMYFUNCTION("IF(ISBLANK(B1849),"""",IF(ISDATE(B1849),TEXT(B1849,""m""),""""))"),"")</f>
        <v/>
      </c>
      <c r="N1849" s="29" t="str">
        <f>IFERROR(__xludf.DUMMYFUNCTION("IF(M1849="""","""",QUERY({'Dashboard-Dados'!$Y$2:$AA$13},""Select Col2 Where Col1=""&amp;M1849))"),"")</f>
        <v/>
      </c>
      <c r="O1849" s="29" t="str">
        <f>IFERROR(__xludf.DUMMYFUNCTION("IF(ISBLANK(B1849),"""",IF(ISDATE(B1849),TEXT(B1849,""yyyy""),""""))"),"")</f>
        <v/>
      </c>
    </row>
    <row r="1850">
      <c r="B1850" s="62"/>
      <c r="C1850" s="56"/>
      <c r="D1850" s="56"/>
      <c r="E1850" s="56"/>
      <c r="F1850" s="63"/>
      <c r="G1850" s="64"/>
      <c r="H1850" s="65"/>
      <c r="I1850" s="63"/>
      <c r="K1850" s="53" t="str">
        <f>IFERROR(__xludf.DUMMYFUNCTION("IF(ISBLANK(B1850),"""",IF(ISDATE(B1850),""X"",""""))"),"")</f>
        <v/>
      </c>
      <c r="L1850" s="40" t="str">
        <f>IFERROR(__xludf.DUMMYFUNCTION("IF(ISBLANK(B1850),"""",IF(Or(I1850=""Em Aberto"",ISBLANK(I1850),NOT(ISDATE(B1850))),"""",H1850))"),"")</f>
        <v/>
      </c>
      <c r="M1850" s="29" t="str">
        <f>IFERROR(__xludf.DUMMYFUNCTION("IF(ISBLANK(B1850),"""",IF(ISDATE(B1850),TEXT(B1850,""m""),""""))"),"")</f>
        <v/>
      </c>
      <c r="N1850" s="29" t="str">
        <f>IFERROR(__xludf.DUMMYFUNCTION("IF(M1850="""","""",QUERY({'Dashboard-Dados'!$Y$2:$AA$13},""Select Col2 Where Col1=""&amp;M1850))"),"")</f>
        <v/>
      </c>
      <c r="O1850" s="29" t="str">
        <f>IFERROR(__xludf.DUMMYFUNCTION("IF(ISBLANK(B1850),"""",IF(ISDATE(B1850),TEXT(B1850,""yyyy""),""""))"),"")</f>
        <v/>
      </c>
    </row>
    <row r="1851">
      <c r="B1851" s="62"/>
      <c r="C1851" s="56"/>
      <c r="D1851" s="56"/>
      <c r="E1851" s="56"/>
      <c r="F1851" s="63"/>
      <c r="G1851" s="64"/>
      <c r="H1851" s="65"/>
      <c r="I1851" s="63"/>
      <c r="K1851" s="53" t="str">
        <f>IFERROR(__xludf.DUMMYFUNCTION("IF(ISBLANK(B1851),"""",IF(ISDATE(B1851),""X"",""""))"),"")</f>
        <v/>
      </c>
      <c r="L1851" s="40" t="str">
        <f>IFERROR(__xludf.DUMMYFUNCTION("IF(ISBLANK(B1851),"""",IF(Or(I1851=""Em Aberto"",ISBLANK(I1851),NOT(ISDATE(B1851))),"""",H1851))"),"")</f>
        <v/>
      </c>
      <c r="M1851" s="29" t="str">
        <f>IFERROR(__xludf.DUMMYFUNCTION("IF(ISBLANK(B1851),"""",IF(ISDATE(B1851),TEXT(B1851,""m""),""""))"),"")</f>
        <v/>
      </c>
      <c r="N1851" s="29" t="str">
        <f>IFERROR(__xludf.DUMMYFUNCTION("IF(M1851="""","""",QUERY({'Dashboard-Dados'!$Y$2:$AA$13},""Select Col2 Where Col1=""&amp;M1851))"),"")</f>
        <v/>
      </c>
      <c r="O1851" s="29" t="str">
        <f>IFERROR(__xludf.DUMMYFUNCTION("IF(ISBLANK(B1851),"""",IF(ISDATE(B1851),TEXT(B1851,""yyyy""),""""))"),"")</f>
        <v/>
      </c>
    </row>
    <row r="1852">
      <c r="B1852" s="62"/>
      <c r="C1852" s="56"/>
      <c r="D1852" s="56"/>
      <c r="E1852" s="56"/>
      <c r="F1852" s="63"/>
      <c r="G1852" s="64"/>
      <c r="H1852" s="65"/>
      <c r="I1852" s="63"/>
      <c r="K1852" s="53" t="str">
        <f>IFERROR(__xludf.DUMMYFUNCTION("IF(ISBLANK(B1852),"""",IF(ISDATE(B1852),""X"",""""))"),"")</f>
        <v/>
      </c>
      <c r="L1852" s="40" t="str">
        <f>IFERROR(__xludf.DUMMYFUNCTION("IF(ISBLANK(B1852),"""",IF(Or(I1852=""Em Aberto"",ISBLANK(I1852),NOT(ISDATE(B1852))),"""",H1852))"),"")</f>
        <v/>
      </c>
      <c r="M1852" s="29" t="str">
        <f>IFERROR(__xludf.DUMMYFUNCTION("IF(ISBLANK(B1852),"""",IF(ISDATE(B1852),TEXT(B1852,""m""),""""))"),"")</f>
        <v/>
      </c>
      <c r="N1852" s="29" t="str">
        <f>IFERROR(__xludf.DUMMYFUNCTION("IF(M1852="""","""",QUERY({'Dashboard-Dados'!$Y$2:$AA$13},""Select Col2 Where Col1=""&amp;M1852))"),"")</f>
        <v/>
      </c>
      <c r="O1852" s="29" t="str">
        <f>IFERROR(__xludf.DUMMYFUNCTION("IF(ISBLANK(B1852),"""",IF(ISDATE(B1852),TEXT(B1852,""yyyy""),""""))"),"")</f>
        <v/>
      </c>
    </row>
    <row r="1853">
      <c r="B1853" s="62"/>
      <c r="C1853" s="56"/>
      <c r="D1853" s="56"/>
      <c r="E1853" s="56"/>
      <c r="F1853" s="63"/>
      <c r="G1853" s="64"/>
      <c r="H1853" s="65"/>
      <c r="I1853" s="63"/>
      <c r="K1853" s="53" t="str">
        <f>IFERROR(__xludf.DUMMYFUNCTION("IF(ISBLANK(B1853),"""",IF(ISDATE(B1853),""X"",""""))"),"")</f>
        <v/>
      </c>
      <c r="L1853" s="40" t="str">
        <f>IFERROR(__xludf.DUMMYFUNCTION("IF(ISBLANK(B1853),"""",IF(Or(I1853=""Em Aberto"",ISBLANK(I1853),NOT(ISDATE(B1853))),"""",H1853))"),"")</f>
        <v/>
      </c>
      <c r="M1853" s="29" t="str">
        <f>IFERROR(__xludf.DUMMYFUNCTION("IF(ISBLANK(B1853),"""",IF(ISDATE(B1853),TEXT(B1853,""m""),""""))"),"")</f>
        <v/>
      </c>
      <c r="N1853" s="29" t="str">
        <f>IFERROR(__xludf.DUMMYFUNCTION("IF(M1853="""","""",QUERY({'Dashboard-Dados'!$Y$2:$AA$13},""Select Col2 Where Col1=""&amp;M1853))"),"")</f>
        <v/>
      </c>
      <c r="O1853" s="29" t="str">
        <f>IFERROR(__xludf.DUMMYFUNCTION("IF(ISBLANK(B1853),"""",IF(ISDATE(B1853),TEXT(B1853,""yyyy""),""""))"),"")</f>
        <v/>
      </c>
    </row>
    <row r="1854">
      <c r="B1854" s="62"/>
      <c r="C1854" s="56"/>
      <c r="D1854" s="56"/>
      <c r="E1854" s="56"/>
      <c r="F1854" s="63"/>
      <c r="G1854" s="64"/>
      <c r="H1854" s="65"/>
      <c r="I1854" s="63"/>
      <c r="K1854" s="53" t="str">
        <f>IFERROR(__xludf.DUMMYFUNCTION("IF(ISBLANK(B1854),"""",IF(ISDATE(B1854),""X"",""""))"),"")</f>
        <v/>
      </c>
      <c r="L1854" s="40" t="str">
        <f>IFERROR(__xludf.DUMMYFUNCTION("IF(ISBLANK(B1854),"""",IF(Or(I1854=""Em Aberto"",ISBLANK(I1854),NOT(ISDATE(B1854))),"""",H1854))"),"")</f>
        <v/>
      </c>
      <c r="M1854" s="29" t="str">
        <f>IFERROR(__xludf.DUMMYFUNCTION("IF(ISBLANK(B1854),"""",IF(ISDATE(B1854),TEXT(B1854,""m""),""""))"),"")</f>
        <v/>
      </c>
      <c r="N1854" s="29" t="str">
        <f>IFERROR(__xludf.DUMMYFUNCTION("IF(M1854="""","""",QUERY({'Dashboard-Dados'!$Y$2:$AA$13},""Select Col2 Where Col1=""&amp;M1854))"),"")</f>
        <v/>
      </c>
      <c r="O1854" s="29" t="str">
        <f>IFERROR(__xludf.DUMMYFUNCTION("IF(ISBLANK(B1854),"""",IF(ISDATE(B1854),TEXT(B1854,""yyyy""),""""))"),"")</f>
        <v/>
      </c>
    </row>
    <row r="1855">
      <c r="B1855" s="62"/>
      <c r="C1855" s="56"/>
      <c r="D1855" s="56"/>
      <c r="E1855" s="56"/>
      <c r="F1855" s="63"/>
      <c r="G1855" s="64"/>
      <c r="H1855" s="65"/>
      <c r="I1855" s="63"/>
      <c r="K1855" s="53" t="str">
        <f>IFERROR(__xludf.DUMMYFUNCTION("IF(ISBLANK(B1855),"""",IF(ISDATE(B1855),""X"",""""))"),"")</f>
        <v/>
      </c>
      <c r="L1855" s="40" t="str">
        <f>IFERROR(__xludf.DUMMYFUNCTION("IF(ISBLANK(B1855),"""",IF(Or(I1855=""Em Aberto"",ISBLANK(I1855),NOT(ISDATE(B1855))),"""",H1855))"),"")</f>
        <v/>
      </c>
      <c r="M1855" s="29" t="str">
        <f>IFERROR(__xludf.DUMMYFUNCTION("IF(ISBLANK(B1855),"""",IF(ISDATE(B1855),TEXT(B1855,""m""),""""))"),"")</f>
        <v/>
      </c>
      <c r="N1855" s="29" t="str">
        <f>IFERROR(__xludf.DUMMYFUNCTION("IF(M1855="""","""",QUERY({'Dashboard-Dados'!$Y$2:$AA$13},""Select Col2 Where Col1=""&amp;M1855))"),"")</f>
        <v/>
      </c>
      <c r="O1855" s="29" t="str">
        <f>IFERROR(__xludf.DUMMYFUNCTION("IF(ISBLANK(B1855),"""",IF(ISDATE(B1855),TEXT(B1855,""yyyy""),""""))"),"")</f>
        <v/>
      </c>
    </row>
    <row r="1856">
      <c r="B1856" s="62"/>
      <c r="C1856" s="56"/>
      <c r="D1856" s="56"/>
      <c r="E1856" s="56"/>
      <c r="F1856" s="63"/>
      <c r="G1856" s="64"/>
      <c r="H1856" s="65"/>
      <c r="I1856" s="63"/>
      <c r="K1856" s="53" t="str">
        <f>IFERROR(__xludf.DUMMYFUNCTION("IF(ISBLANK(B1856),"""",IF(ISDATE(B1856),""X"",""""))"),"")</f>
        <v/>
      </c>
      <c r="L1856" s="40" t="str">
        <f>IFERROR(__xludf.DUMMYFUNCTION("IF(ISBLANK(B1856),"""",IF(Or(I1856=""Em Aberto"",ISBLANK(I1856),NOT(ISDATE(B1856))),"""",H1856))"),"")</f>
        <v/>
      </c>
      <c r="M1856" s="29" t="str">
        <f>IFERROR(__xludf.DUMMYFUNCTION("IF(ISBLANK(B1856),"""",IF(ISDATE(B1856),TEXT(B1856,""m""),""""))"),"")</f>
        <v/>
      </c>
      <c r="N1856" s="29" t="str">
        <f>IFERROR(__xludf.DUMMYFUNCTION("IF(M1856="""","""",QUERY({'Dashboard-Dados'!$Y$2:$AA$13},""Select Col2 Where Col1=""&amp;M1856))"),"")</f>
        <v/>
      </c>
      <c r="O1856" s="29" t="str">
        <f>IFERROR(__xludf.DUMMYFUNCTION("IF(ISBLANK(B1856),"""",IF(ISDATE(B1856),TEXT(B1856,""yyyy""),""""))"),"")</f>
        <v/>
      </c>
    </row>
    <row r="1857">
      <c r="B1857" s="62"/>
      <c r="C1857" s="56"/>
      <c r="D1857" s="56"/>
      <c r="E1857" s="56"/>
      <c r="F1857" s="63"/>
      <c r="G1857" s="64"/>
      <c r="H1857" s="65"/>
      <c r="I1857" s="63"/>
      <c r="K1857" s="53" t="str">
        <f>IFERROR(__xludf.DUMMYFUNCTION("IF(ISBLANK(B1857),"""",IF(ISDATE(B1857),""X"",""""))"),"")</f>
        <v/>
      </c>
      <c r="L1857" s="40" t="str">
        <f>IFERROR(__xludf.DUMMYFUNCTION("IF(ISBLANK(B1857),"""",IF(Or(I1857=""Em Aberto"",ISBLANK(I1857),NOT(ISDATE(B1857))),"""",H1857))"),"")</f>
        <v/>
      </c>
      <c r="M1857" s="29" t="str">
        <f>IFERROR(__xludf.DUMMYFUNCTION("IF(ISBLANK(B1857),"""",IF(ISDATE(B1857),TEXT(B1857,""m""),""""))"),"")</f>
        <v/>
      </c>
      <c r="N1857" s="29" t="str">
        <f>IFERROR(__xludf.DUMMYFUNCTION("IF(M1857="""","""",QUERY({'Dashboard-Dados'!$Y$2:$AA$13},""Select Col2 Where Col1=""&amp;M1857))"),"")</f>
        <v/>
      </c>
      <c r="O1857" s="29" t="str">
        <f>IFERROR(__xludf.DUMMYFUNCTION("IF(ISBLANK(B1857),"""",IF(ISDATE(B1857),TEXT(B1857,""yyyy""),""""))"),"")</f>
        <v/>
      </c>
    </row>
    <row r="1858">
      <c r="B1858" s="62"/>
      <c r="C1858" s="56"/>
      <c r="D1858" s="56"/>
      <c r="E1858" s="56"/>
      <c r="F1858" s="63"/>
      <c r="G1858" s="64"/>
      <c r="H1858" s="65"/>
      <c r="I1858" s="63"/>
      <c r="K1858" s="53" t="str">
        <f>IFERROR(__xludf.DUMMYFUNCTION("IF(ISBLANK(B1858),"""",IF(ISDATE(B1858),""X"",""""))"),"")</f>
        <v/>
      </c>
      <c r="L1858" s="40" t="str">
        <f>IFERROR(__xludf.DUMMYFUNCTION("IF(ISBLANK(B1858),"""",IF(Or(I1858=""Em Aberto"",ISBLANK(I1858),NOT(ISDATE(B1858))),"""",H1858))"),"")</f>
        <v/>
      </c>
      <c r="M1858" s="29" t="str">
        <f>IFERROR(__xludf.DUMMYFUNCTION("IF(ISBLANK(B1858),"""",IF(ISDATE(B1858),TEXT(B1858,""m""),""""))"),"")</f>
        <v/>
      </c>
      <c r="N1858" s="29" t="str">
        <f>IFERROR(__xludf.DUMMYFUNCTION("IF(M1858="""","""",QUERY({'Dashboard-Dados'!$Y$2:$AA$13},""Select Col2 Where Col1=""&amp;M1858))"),"")</f>
        <v/>
      </c>
      <c r="O1858" s="29" t="str">
        <f>IFERROR(__xludf.DUMMYFUNCTION("IF(ISBLANK(B1858),"""",IF(ISDATE(B1858),TEXT(B1858,""yyyy""),""""))"),"")</f>
        <v/>
      </c>
    </row>
    <row r="1859">
      <c r="B1859" s="62"/>
      <c r="C1859" s="56"/>
      <c r="D1859" s="56"/>
      <c r="E1859" s="56"/>
      <c r="F1859" s="63"/>
      <c r="G1859" s="64"/>
      <c r="H1859" s="65"/>
      <c r="I1859" s="63"/>
      <c r="K1859" s="53" t="str">
        <f>IFERROR(__xludf.DUMMYFUNCTION("IF(ISBLANK(B1859),"""",IF(ISDATE(B1859),""X"",""""))"),"")</f>
        <v/>
      </c>
      <c r="L1859" s="40" t="str">
        <f>IFERROR(__xludf.DUMMYFUNCTION("IF(ISBLANK(B1859),"""",IF(Or(I1859=""Em Aberto"",ISBLANK(I1859),NOT(ISDATE(B1859))),"""",H1859))"),"")</f>
        <v/>
      </c>
      <c r="M1859" s="29" t="str">
        <f>IFERROR(__xludf.DUMMYFUNCTION("IF(ISBLANK(B1859),"""",IF(ISDATE(B1859),TEXT(B1859,""m""),""""))"),"")</f>
        <v/>
      </c>
      <c r="N1859" s="29" t="str">
        <f>IFERROR(__xludf.DUMMYFUNCTION("IF(M1859="""","""",QUERY({'Dashboard-Dados'!$Y$2:$AA$13},""Select Col2 Where Col1=""&amp;M1859))"),"")</f>
        <v/>
      </c>
      <c r="O1859" s="29" t="str">
        <f>IFERROR(__xludf.DUMMYFUNCTION("IF(ISBLANK(B1859),"""",IF(ISDATE(B1859),TEXT(B1859,""yyyy""),""""))"),"")</f>
        <v/>
      </c>
    </row>
    <row r="1860">
      <c r="B1860" s="62"/>
      <c r="C1860" s="56"/>
      <c r="D1860" s="56"/>
      <c r="E1860" s="56"/>
      <c r="F1860" s="63"/>
      <c r="G1860" s="64"/>
      <c r="H1860" s="65"/>
      <c r="I1860" s="63"/>
      <c r="K1860" s="53" t="str">
        <f>IFERROR(__xludf.DUMMYFUNCTION("IF(ISBLANK(B1860),"""",IF(ISDATE(B1860),""X"",""""))"),"")</f>
        <v/>
      </c>
      <c r="L1860" s="40" t="str">
        <f>IFERROR(__xludf.DUMMYFUNCTION("IF(ISBLANK(B1860),"""",IF(Or(I1860=""Em Aberto"",ISBLANK(I1860),NOT(ISDATE(B1860))),"""",H1860))"),"")</f>
        <v/>
      </c>
      <c r="M1860" s="29" t="str">
        <f>IFERROR(__xludf.DUMMYFUNCTION("IF(ISBLANK(B1860),"""",IF(ISDATE(B1860),TEXT(B1860,""m""),""""))"),"")</f>
        <v/>
      </c>
      <c r="N1860" s="29" t="str">
        <f>IFERROR(__xludf.DUMMYFUNCTION("IF(M1860="""","""",QUERY({'Dashboard-Dados'!$Y$2:$AA$13},""Select Col2 Where Col1=""&amp;M1860))"),"")</f>
        <v/>
      </c>
      <c r="O1860" s="29" t="str">
        <f>IFERROR(__xludf.DUMMYFUNCTION("IF(ISBLANK(B1860),"""",IF(ISDATE(B1860),TEXT(B1860,""yyyy""),""""))"),"")</f>
        <v/>
      </c>
    </row>
    <row r="1861">
      <c r="B1861" s="62"/>
      <c r="C1861" s="56"/>
      <c r="D1861" s="56"/>
      <c r="E1861" s="56"/>
      <c r="F1861" s="63"/>
      <c r="G1861" s="64"/>
      <c r="H1861" s="65"/>
      <c r="I1861" s="63"/>
      <c r="K1861" s="53" t="str">
        <f>IFERROR(__xludf.DUMMYFUNCTION("IF(ISBLANK(B1861),"""",IF(ISDATE(B1861),""X"",""""))"),"")</f>
        <v/>
      </c>
      <c r="L1861" s="40" t="str">
        <f>IFERROR(__xludf.DUMMYFUNCTION("IF(ISBLANK(B1861),"""",IF(Or(I1861=""Em Aberto"",ISBLANK(I1861),NOT(ISDATE(B1861))),"""",H1861))"),"")</f>
        <v/>
      </c>
      <c r="M1861" s="29" t="str">
        <f>IFERROR(__xludf.DUMMYFUNCTION("IF(ISBLANK(B1861),"""",IF(ISDATE(B1861),TEXT(B1861,""m""),""""))"),"")</f>
        <v/>
      </c>
      <c r="N1861" s="29" t="str">
        <f>IFERROR(__xludf.DUMMYFUNCTION("IF(M1861="""","""",QUERY({'Dashboard-Dados'!$Y$2:$AA$13},""Select Col2 Where Col1=""&amp;M1861))"),"")</f>
        <v/>
      </c>
      <c r="O1861" s="29" t="str">
        <f>IFERROR(__xludf.DUMMYFUNCTION("IF(ISBLANK(B1861),"""",IF(ISDATE(B1861),TEXT(B1861,""yyyy""),""""))"),"")</f>
        <v/>
      </c>
    </row>
    <row r="1862">
      <c r="B1862" s="62"/>
      <c r="C1862" s="56"/>
      <c r="D1862" s="56"/>
      <c r="E1862" s="56"/>
      <c r="F1862" s="63"/>
      <c r="G1862" s="64"/>
      <c r="H1862" s="65"/>
      <c r="I1862" s="63"/>
      <c r="K1862" s="53" t="str">
        <f>IFERROR(__xludf.DUMMYFUNCTION("IF(ISBLANK(B1862),"""",IF(ISDATE(B1862),""X"",""""))"),"")</f>
        <v/>
      </c>
      <c r="L1862" s="40" t="str">
        <f>IFERROR(__xludf.DUMMYFUNCTION("IF(ISBLANK(B1862),"""",IF(Or(I1862=""Em Aberto"",ISBLANK(I1862),NOT(ISDATE(B1862))),"""",H1862))"),"")</f>
        <v/>
      </c>
      <c r="M1862" s="29" t="str">
        <f>IFERROR(__xludf.DUMMYFUNCTION("IF(ISBLANK(B1862),"""",IF(ISDATE(B1862),TEXT(B1862,""m""),""""))"),"")</f>
        <v/>
      </c>
      <c r="N1862" s="29" t="str">
        <f>IFERROR(__xludf.DUMMYFUNCTION("IF(M1862="""","""",QUERY({'Dashboard-Dados'!$Y$2:$AA$13},""Select Col2 Where Col1=""&amp;M1862))"),"")</f>
        <v/>
      </c>
      <c r="O1862" s="29" t="str">
        <f>IFERROR(__xludf.DUMMYFUNCTION("IF(ISBLANK(B1862),"""",IF(ISDATE(B1862),TEXT(B1862,""yyyy""),""""))"),"")</f>
        <v/>
      </c>
    </row>
    <row r="1863">
      <c r="B1863" s="62"/>
      <c r="C1863" s="56"/>
      <c r="D1863" s="56"/>
      <c r="E1863" s="56"/>
      <c r="F1863" s="63"/>
      <c r="G1863" s="64"/>
      <c r="H1863" s="65"/>
      <c r="I1863" s="63"/>
      <c r="K1863" s="53" t="str">
        <f>IFERROR(__xludf.DUMMYFUNCTION("IF(ISBLANK(B1863),"""",IF(ISDATE(B1863),""X"",""""))"),"")</f>
        <v/>
      </c>
      <c r="L1863" s="40" t="str">
        <f>IFERROR(__xludf.DUMMYFUNCTION("IF(ISBLANK(B1863),"""",IF(Or(I1863=""Em Aberto"",ISBLANK(I1863),NOT(ISDATE(B1863))),"""",H1863))"),"")</f>
        <v/>
      </c>
      <c r="M1863" s="29" t="str">
        <f>IFERROR(__xludf.DUMMYFUNCTION("IF(ISBLANK(B1863),"""",IF(ISDATE(B1863),TEXT(B1863,""m""),""""))"),"")</f>
        <v/>
      </c>
      <c r="N1863" s="29" t="str">
        <f>IFERROR(__xludf.DUMMYFUNCTION("IF(M1863="""","""",QUERY({'Dashboard-Dados'!$Y$2:$AA$13},""Select Col2 Where Col1=""&amp;M1863))"),"")</f>
        <v/>
      </c>
      <c r="O1863" s="29" t="str">
        <f>IFERROR(__xludf.DUMMYFUNCTION("IF(ISBLANK(B1863),"""",IF(ISDATE(B1863),TEXT(B1863,""yyyy""),""""))"),"")</f>
        <v/>
      </c>
    </row>
    <row r="1864">
      <c r="B1864" s="62"/>
      <c r="C1864" s="56"/>
      <c r="D1864" s="56"/>
      <c r="E1864" s="56"/>
      <c r="F1864" s="63"/>
      <c r="G1864" s="64"/>
      <c r="H1864" s="65"/>
      <c r="I1864" s="63"/>
      <c r="K1864" s="53" t="str">
        <f>IFERROR(__xludf.DUMMYFUNCTION("IF(ISBLANK(B1864),"""",IF(ISDATE(B1864),""X"",""""))"),"")</f>
        <v/>
      </c>
      <c r="L1864" s="40" t="str">
        <f>IFERROR(__xludf.DUMMYFUNCTION("IF(ISBLANK(B1864),"""",IF(Or(I1864=""Em Aberto"",ISBLANK(I1864),NOT(ISDATE(B1864))),"""",H1864))"),"")</f>
        <v/>
      </c>
      <c r="M1864" s="29" t="str">
        <f>IFERROR(__xludf.DUMMYFUNCTION("IF(ISBLANK(B1864),"""",IF(ISDATE(B1864),TEXT(B1864,""m""),""""))"),"")</f>
        <v/>
      </c>
      <c r="N1864" s="29" t="str">
        <f>IFERROR(__xludf.DUMMYFUNCTION("IF(M1864="""","""",QUERY({'Dashboard-Dados'!$Y$2:$AA$13},""Select Col2 Where Col1=""&amp;M1864))"),"")</f>
        <v/>
      </c>
      <c r="O1864" s="29" t="str">
        <f>IFERROR(__xludf.DUMMYFUNCTION("IF(ISBLANK(B1864),"""",IF(ISDATE(B1864),TEXT(B1864,""yyyy""),""""))"),"")</f>
        <v/>
      </c>
    </row>
    <row r="1865">
      <c r="B1865" s="62"/>
      <c r="C1865" s="56"/>
      <c r="D1865" s="56"/>
      <c r="E1865" s="56"/>
      <c r="F1865" s="63"/>
      <c r="G1865" s="64"/>
      <c r="H1865" s="65"/>
      <c r="I1865" s="63"/>
      <c r="K1865" s="53" t="str">
        <f>IFERROR(__xludf.DUMMYFUNCTION("IF(ISBLANK(B1865),"""",IF(ISDATE(B1865),""X"",""""))"),"")</f>
        <v/>
      </c>
      <c r="L1865" s="40" t="str">
        <f>IFERROR(__xludf.DUMMYFUNCTION("IF(ISBLANK(B1865),"""",IF(Or(I1865=""Em Aberto"",ISBLANK(I1865),NOT(ISDATE(B1865))),"""",H1865))"),"")</f>
        <v/>
      </c>
      <c r="M1865" s="29" t="str">
        <f>IFERROR(__xludf.DUMMYFUNCTION("IF(ISBLANK(B1865),"""",IF(ISDATE(B1865),TEXT(B1865,""m""),""""))"),"")</f>
        <v/>
      </c>
      <c r="N1865" s="29" t="str">
        <f>IFERROR(__xludf.DUMMYFUNCTION("IF(M1865="""","""",QUERY({'Dashboard-Dados'!$Y$2:$AA$13},""Select Col2 Where Col1=""&amp;M1865))"),"")</f>
        <v/>
      </c>
      <c r="O1865" s="29" t="str">
        <f>IFERROR(__xludf.DUMMYFUNCTION("IF(ISBLANK(B1865),"""",IF(ISDATE(B1865),TEXT(B1865,""yyyy""),""""))"),"")</f>
        <v/>
      </c>
    </row>
    <row r="1866">
      <c r="B1866" s="62"/>
      <c r="C1866" s="56"/>
      <c r="D1866" s="56"/>
      <c r="E1866" s="56"/>
      <c r="F1866" s="63"/>
      <c r="G1866" s="64"/>
      <c r="H1866" s="65"/>
      <c r="I1866" s="63"/>
      <c r="K1866" s="53" t="str">
        <f>IFERROR(__xludf.DUMMYFUNCTION("IF(ISBLANK(B1866),"""",IF(ISDATE(B1866),""X"",""""))"),"")</f>
        <v/>
      </c>
      <c r="L1866" s="40" t="str">
        <f>IFERROR(__xludf.DUMMYFUNCTION("IF(ISBLANK(B1866),"""",IF(Or(I1866=""Em Aberto"",ISBLANK(I1866),NOT(ISDATE(B1866))),"""",H1866))"),"")</f>
        <v/>
      </c>
      <c r="M1866" s="29" t="str">
        <f>IFERROR(__xludf.DUMMYFUNCTION("IF(ISBLANK(B1866),"""",IF(ISDATE(B1866),TEXT(B1866,""m""),""""))"),"")</f>
        <v/>
      </c>
      <c r="N1866" s="29" t="str">
        <f>IFERROR(__xludf.DUMMYFUNCTION("IF(M1866="""","""",QUERY({'Dashboard-Dados'!$Y$2:$AA$13},""Select Col2 Where Col1=""&amp;M1866))"),"")</f>
        <v/>
      </c>
      <c r="O1866" s="29" t="str">
        <f>IFERROR(__xludf.DUMMYFUNCTION("IF(ISBLANK(B1866),"""",IF(ISDATE(B1866),TEXT(B1866,""yyyy""),""""))"),"")</f>
        <v/>
      </c>
    </row>
    <row r="1867">
      <c r="B1867" s="62"/>
      <c r="C1867" s="56"/>
      <c r="D1867" s="56"/>
      <c r="E1867" s="56"/>
      <c r="F1867" s="63"/>
      <c r="G1867" s="64"/>
      <c r="H1867" s="65"/>
      <c r="I1867" s="63"/>
      <c r="K1867" s="53" t="str">
        <f>IFERROR(__xludf.DUMMYFUNCTION("IF(ISBLANK(B1867),"""",IF(ISDATE(B1867),""X"",""""))"),"")</f>
        <v/>
      </c>
      <c r="L1867" s="40" t="str">
        <f>IFERROR(__xludf.DUMMYFUNCTION("IF(ISBLANK(B1867),"""",IF(Or(I1867=""Em Aberto"",ISBLANK(I1867),NOT(ISDATE(B1867))),"""",H1867))"),"")</f>
        <v/>
      </c>
      <c r="M1867" s="29" t="str">
        <f>IFERROR(__xludf.DUMMYFUNCTION("IF(ISBLANK(B1867),"""",IF(ISDATE(B1867),TEXT(B1867,""m""),""""))"),"")</f>
        <v/>
      </c>
      <c r="N1867" s="29" t="str">
        <f>IFERROR(__xludf.DUMMYFUNCTION("IF(M1867="""","""",QUERY({'Dashboard-Dados'!$Y$2:$AA$13},""Select Col2 Where Col1=""&amp;M1867))"),"")</f>
        <v/>
      </c>
      <c r="O1867" s="29" t="str">
        <f>IFERROR(__xludf.DUMMYFUNCTION("IF(ISBLANK(B1867),"""",IF(ISDATE(B1867),TEXT(B1867,""yyyy""),""""))"),"")</f>
        <v/>
      </c>
    </row>
    <row r="1868">
      <c r="B1868" s="62"/>
      <c r="C1868" s="56"/>
      <c r="D1868" s="56"/>
      <c r="E1868" s="56"/>
      <c r="F1868" s="63"/>
      <c r="G1868" s="64"/>
      <c r="H1868" s="65"/>
      <c r="I1868" s="63"/>
      <c r="K1868" s="53" t="str">
        <f>IFERROR(__xludf.DUMMYFUNCTION("IF(ISBLANK(B1868),"""",IF(ISDATE(B1868),""X"",""""))"),"")</f>
        <v/>
      </c>
      <c r="L1868" s="40" t="str">
        <f>IFERROR(__xludf.DUMMYFUNCTION("IF(ISBLANK(B1868),"""",IF(Or(I1868=""Em Aberto"",ISBLANK(I1868),NOT(ISDATE(B1868))),"""",H1868))"),"")</f>
        <v/>
      </c>
      <c r="M1868" s="29" t="str">
        <f>IFERROR(__xludf.DUMMYFUNCTION("IF(ISBLANK(B1868),"""",IF(ISDATE(B1868),TEXT(B1868,""m""),""""))"),"")</f>
        <v/>
      </c>
      <c r="N1868" s="29" t="str">
        <f>IFERROR(__xludf.DUMMYFUNCTION("IF(M1868="""","""",QUERY({'Dashboard-Dados'!$Y$2:$AA$13},""Select Col2 Where Col1=""&amp;M1868))"),"")</f>
        <v/>
      </c>
      <c r="O1868" s="29" t="str">
        <f>IFERROR(__xludf.DUMMYFUNCTION("IF(ISBLANK(B1868),"""",IF(ISDATE(B1868),TEXT(B1868,""yyyy""),""""))"),"")</f>
        <v/>
      </c>
    </row>
    <row r="1869">
      <c r="B1869" s="62"/>
      <c r="C1869" s="56"/>
      <c r="D1869" s="56"/>
      <c r="E1869" s="56"/>
      <c r="F1869" s="63"/>
      <c r="G1869" s="64"/>
      <c r="H1869" s="65"/>
      <c r="I1869" s="63"/>
      <c r="K1869" s="53" t="str">
        <f>IFERROR(__xludf.DUMMYFUNCTION("IF(ISBLANK(B1869),"""",IF(ISDATE(B1869),""X"",""""))"),"")</f>
        <v/>
      </c>
      <c r="L1869" s="40" t="str">
        <f>IFERROR(__xludf.DUMMYFUNCTION("IF(ISBLANK(B1869),"""",IF(Or(I1869=""Em Aberto"",ISBLANK(I1869),NOT(ISDATE(B1869))),"""",H1869))"),"")</f>
        <v/>
      </c>
      <c r="M1869" s="29" t="str">
        <f>IFERROR(__xludf.DUMMYFUNCTION("IF(ISBLANK(B1869),"""",IF(ISDATE(B1869),TEXT(B1869,""m""),""""))"),"")</f>
        <v/>
      </c>
      <c r="N1869" s="29" t="str">
        <f>IFERROR(__xludf.DUMMYFUNCTION("IF(M1869="""","""",QUERY({'Dashboard-Dados'!$Y$2:$AA$13},""Select Col2 Where Col1=""&amp;M1869))"),"")</f>
        <v/>
      </c>
      <c r="O1869" s="29" t="str">
        <f>IFERROR(__xludf.DUMMYFUNCTION("IF(ISBLANK(B1869),"""",IF(ISDATE(B1869),TEXT(B1869,""yyyy""),""""))"),"")</f>
        <v/>
      </c>
    </row>
    <row r="1870">
      <c r="B1870" s="62"/>
      <c r="C1870" s="56"/>
      <c r="D1870" s="56"/>
      <c r="E1870" s="56"/>
      <c r="F1870" s="63"/>
      <c r="G1870" s="64"/>
      <c r="H1870" s="65"/>
      <c r="I1870" s="63"/>
      <c r="K1870" s="53" t="str">
        <f>IFERROR(__xludf.DUMMYFUNCTION("IF(ISBLANK(B1870),"""",IF(ISDATE(B1870),""X"",""""))"),"")</f>
        <v/>
      </c>
      <c r="L1870" s="40" t="str">
        <f>IFERROR(__xludf.DUMMYFUNCTION("IF(ISBLANK(B1870),"""",IF(Or(I1870=""Em Aberto"",ISBLANK(I1870),NOT(ISDATE(B1870))),"""",H1870))"),"")</f>
        <v/>
      </c>
      <c r="M1870" s="29" t="str">
        <f>IFERROR(__xludf.DUMMYFUNCTION("IF(ISBLANK(B1870),"""",IF(ISDATE(B1870),TEXT(B1870,""m""),""""))"),"")</f>
        <v/>
      </c>
      <c r="N1870" s="29" t="str">
        <f>IFERROR(__xludf.DUMMYFUNCTION("IF(M1870="""","""",QUERY({'Dashboard-Dados'!$Y$2:$AA$13},""Select Col2 Where Col1=""&amp;M1870))"),"")</f>
        <v/>
      </c>
      <c r="O1870" s="29" t="str">
        <f>IFERROR(__xludf.DUMMYFUNCTION("IF(ISBLANK(B1870),"""",IF(ISDATE(B1870),TEXT(B1870,""yyyy""),""""))"),"")</f>
        <v/>
      </c>
    </row>
    <row r="1871">
      <c r="B1871" s="62"/>
      <c r="C1871" s="56"/>
      <c r="D1871" s="56"/>
      <c r="E1871" s="56"/>
      <c r="F1871" s="63"/>
      <c r="G1871" s="64"/>
      <c r="H1871" s="65"/>
      <c r="I1871" s="63"/>
      <c r="K1871" s="53" t="str">
        <f>IFERROR(__xludf.DUMMYFUNCTION("IF(ISBLANK(B1871),"""",IF(ISDATE(B1871),""X"",""""))"),"")</f>
        <v/>
      </c>
      <c r="L1871" s="40" t="str">
        <f>IFERROR(__xludf.DUMMYFUNCTION("IF(ISBLANK(B1871),"""",IF(Or(I1871=""Em Aberto"",ISBLANK(I1871),NOT(ISDATE(B1871))),"""",H1871))"),"")</f>
        <v/>
      </c>
      <c r="M1871" s="29" t="str">
        <f>IFERROR(__xludf.DUMMYFUNCTION("IF(ISBLANK(B1871),"""",IF(ISDATE(B1871),TEXT(B1871,""m""),""""))"),"")</f>
        <v/>
      </c>
      <c r="N1871" s="29" t="str">
        <f>IFERROR(__xludf.DUMMYFUNCTION("IF(M1871="""","""",QUERY({'Dashboard-Dados'!$Y$2:$AA$13},""Select Col2 Where Col1=""&amp;M1871))"),"")</f>
        <v/>
      </c>
      <c r="O1871" s="29" t="str">
        <f>IFERROR(__xludf.DUMMYFUNCTION("IF(ISBLANK(B1871),"""",IF(ISDATE(B1871),TEXT(B1871,""yyyy""),""""))"),"")</f>
        <v/>
      </c>
    </row>
    <row r="1872">
      <c r="B1872" s="62"/>
      <c r="C1872" s="56"/>
      <c r="D1872" s="56"/>
      <c r="E1872" s="56"/>
      <c r="F1872" s="63"/>
      <c r="G1872" s="64"/>
      <c r="H1872" s="65"/>
      <c r="I1872" s="63"/>
      <c r="K1872" s="53" t="str">
        <f>IFERROR(__xludf.DUMMYFUNCTION("IF(ISBLANK(B1872),"""",IF(ISDATE(B1872),""X"",""""))"),"")</f>
        <v/>
      </c>
      <c r="L1872" s="40" t="str">
        <f>IFERROR(__xludf.DUMMYFUNCTION("IF(ISBLANK(B1872),"""",IF(Or(I1872=""Em Aberto"",ISBLANK(I1872),NOT(ISDATE(B1872))),"""",H1872))"),"")</f>
        <v/>
      </c>
      <c r="M1872" s="29" t="str">
        <f>IFERROR(__xludf.DUMMYFUNCTION("IF(ISBLANK(B1872),"""",IF(ISDATE(B1872),TEXT(B1872,""m""),""""))"),"")</f>
        <v/>
      </c>
      <c r="N1872" s="29" t="str">
        <f>IFERROR(__xludf.DUMMYFUNCTION("IF(M1872="""","""",QUERY({'Dashboard-Dados'!$Y$2:$AA$13},""Select Col2 Where Col1=""&amp;M1872))"),"")</f>
        <v/>
      </c>
      <c r="O1872" s="29" t="str">
        <f>IFERROR(__xludf.DUMMYFUNCTION("IF(ISBLANK(B1872),"""",IF(ISDATE(B1872),TEXT(B1872,""yyyy""),""""))"),"")</f>
        <v/>
      </c>
    </row>
    <row r="1873">
      <c r="B1873" s="62"/>
      <c r="C1873" s="56"/>
      <c r="D1873" s="56"/>
      <c r="E1873" s="56"/>
      <c r="F1873" s="63"/>
      <c r="G1873" s="64"/>
      <c r="H1873" s="65"/>
      <c r="I1873" s="63"/>
      <c r="K1873" s="53" t="str">
        <f>IFERROR(__xludf.DUMMYFUNCTION("IF(ISBLANK(B1873),"""",IF(ISDATE(B1873),""X"",""""))"),"")</f>
        <v/>
      </c>
      <c r="L1873" s="40" t="str">
        <f>IFERROR(__xludf.DUMMYFUNCTION("IF(ISBLANK(B1873),"""",IF(Or(I1873=""Em Aberto"",ISBLANK(I1873),NOT(ISDATE(B1873))),"""",H1873))"),"")</f>
        <v/>
      </c>
      <c r="M1873" s="29" t="str">
        <f>IFERROR(__xludf.DUMMYFUNCTION("IF(ISBLANK(B1873),"""",IF(ISDATE(B1873),TEXT(B1873,""m""),""""))"),"")</f>
        <v/>
      </c>
      <c r="N1873" s="29" t="str">
        <f>IFERROR(__xludf.DUMMYFUNCTION("IF(M1873="""","""",QUERY({'Dashboard-Dados'!$Y$2:$AA$13},""Select Col2 Where Col1=""&amp;M1873))"),"")</f>
        <v/>
      </c>
      <c r="O1873" s="29" t="str">
        <f>IFERROR(__xludf.DUMMYFUNCTION("IF(ISBLANK(B1873),"""",IF(ISDATE(B1873),TEXT(B1873,""yyyy""),""""))"),"")</f>
        <v/>
      </c>
    </row>
    <row r="1874">
      <c r="B1874" s="62"/>
      <c r="C1874" s="56"/>
      <c r="D1874" s="56"/>
      <c r="E1874" s="56"/>
      <c r="F1874" s="63"/>
      <c r="G1874" s="64"/>
      <c r="H1874" s="65"/>
      <c r="I1874" s="63"/>
      <c r="K1874" s="53" t="str">
        <f>IFERROR(__xludf.DUMMYFUNCTION("IF(ISBLANK(B1874),"""",IF(ISDATE(B1874),""X"",""""))"),"")</f>
        <v/>
      </c>
      <c r="L1874" s="40" t="str">
        <f>IFERROR(__xludf.DUMMYFUNCTION("IF(ISBLANK(B1874),"""",IF(Or(I1874=""Em Aberto"",ISBLANK(I1874),NOT(ISDATE(B1874))),"""",H1874))"),"")</f>
        <v/>
      </c>
      <c r="M1874" s="29" t="str">
        <f>IFERROR(__xludf.DUMMYFUNCTION("IF(ISBLANK(B1874),"""",IF(ISDATE(B1874),TEXT(B1874,""m""),""""))"),"")</f>
        <v/>
      </c>
      <c r="N1874" s="29" t="str">
        <f>IFERROR(__xludf.DUMMYFUNCTION("IF(M1874="""","""",QUERY({'Dashboard-Dados'!$Y$2:$AA$13},""Select Col2 Where Col1=""&amp;M1874))"),"")</f>
        <v/>
      </c>
      <c r="O1874" s="29" t="str">
        <f>IFERROR(__xludf.DUMMYFUNCTION("IF(ISBLANK(B1874),"""",IF(ISDATE(B1874),TEXT(B1874,""yyyy""),""""))"),"")</f>
        <v/>
      </c>
    </row>
    <row r="1875">
      <c r="B1875" s="62"/>
      <c r="C1875" s="56"/>
      <c r="D1875" s="56"/>
      <c r="E1875" s="56"/>
      <c r="F1875" s="63"/>
      <c r="G1875" s="64"/>
      <c r="H1875" s="65"/>
      <c r="I1875" s="63"/>
      <c r="K1875" s="53" t="str">
        <f>IFERROR(__xludf.DUMMYFUNCTION("IF(ISBLANK(B1875),"""",IF(ISDATE(B1875),""X"",""""))"),"")</f>
        <v/>
      </c>
      <c r="L1875" s="40" t="str">
        <f>IFERROR(__xludf.DUMMYFUNCTION("IF(ISBLANK(B1875),"""",IF(Or(I1875=""Em Aberto"",ISBLANK(I1875),NOT(ISDATE(B1875))),"""",H1875))"),"")</f>
        <v/>
      </c>
      <c r="M1875" s="29" t="str">
        <f>IFERROR(__xludf.DUMMYFUNCTION("IF(ISBLANK(B1875),"""",IF(ISDATE(B1875),TEXT(B1875,""m""),""""))"),"")</f>
        <v/>
      </c>
      <c r="N1875" s="29" t="str">
        <f>IFERROR(__xludf.DUMMYFUNCTION("IF(M1875="""","""",QUERY({'Dashboard-Dados'!$Y$2:$AA$13},""Select Col2 Where Col1=""&amp;M1875))"),"")</f>
        <v/>
      </c>
      <c r="O1875" s="29" t="str">
        <f>IFERROR(__xludf.DUMMYFUNCTION("IF(ISBLANK(B1875),"""",IF(ISDATE(B1875),TEXT(B1875,""yyyy""),""""))"),"")</f>
        <v/>
      </c>
    </row>
    <row r="1876">
      <c r="B1876" s="62"/>
      <c r="C1876" s="56"/>
      <c r="D1876" s="56"/>
      <c r="E1876" s="56"/>
      <c r="F1876" s="63"/>
      <c r="G1876" s="64"/>
      <c r="H1876" s="65"/>
      <c r="I1876" s="63"/>
      <c r="K1876" s="53" t="str">
        <f>IFERROR(__xludf.DUMMYFUNCTION("IF(ISBLANK(B1876),"""",IF(ISDATE(B1876),""X"",""""))"),"")</f>
        <v/>
      </c>
      <c r="L1876" s="40" t="str">
        <f>IFERROR(__xludf.DUMMYFUNCTION("IF(ISBLANK(B1876),"""",IF(Or(I1876=""Em Aberto"",ISBLANK(I1876),NOT(ISDATE(B1876))),"""",H1876))"),"")</f>
        <v/>
      </c>
      <c r="M1876" s="29" t="str">
        <f>IFERROR(__xludf.DUMMYFUNCTION("IF(ISBLANK(B1876),"""",IF(ISDATE(B1876),TEXT(B1876,""m""),""""))"),"")</f>
        <v/>
      </c>
      <c r="N1876" s="29" t="str">
        <f>IFERROR(__xludf.DUMMYFUNCTION("IF(M1876="""","""",QUERY({'Dashboard-Dados'!$Y$2:$AA$13},""Select Col2 Where Col1=""&amp;M1876))"),"")</f>
        <v/>
      </c>
      <c r="O1876" s="29" t="str">
        <f>IFERROR(__xludf.DUMMYFUNCTION("IF(ISBLANK(B1876),"""",IF(ISDATE(B1876),TEXT(B1876,""yyyy""),""""))"),"")</f>
        <v/>
      </c>
    </row>
    <row r="1877">
      <c r="B1877" s="62"/>
      <c r="C1877" s="56"/>
      <c r="D1877" s="56"/>
      <c r="E1877" s="56"/>
      <c r="F1877" s="63"/>
      <c r="G1877" s="64"/>
      <c r="H1877" s="65"/>
      <c r="I1877" s="63"/>
      <c r="K1877" s="53" t="str">
        <f>IFERROR(__xludf.DUMMYFUNCTION("IF(ISBLANK(B1877),"""",IF(ISDATE(B1877),""X"",""""))"),"")</f>
        <v/>
      </c>
      <c r="L1877" s="40" t="str">
        <f>IFERROR(__xludf.DUMMYFUNCTION("IF(ISBLANK(B1877),"""",IF(Or(I1877=""Em Aberto"",ISBLANK(I1877),NOT(ISDATE(B1877))),"""",H1877))"),"")</f>
        <v/>
      </c>
      <c r="M1877" s="29" t="str">
        <f>IFERROR(__xludf.DUMMYFUNCTION("IF(ISBLANK(B1877),"""",IF(ISDATE(B1877),TEXT(B1877,""m""),""""))"),"")</f>
        <v/>
      </c>
      <c r="N1877" s="29" t="str">
        <f>IFERROR(__xludf.DUMMYFUNCTION("IF(M1877="""","""",QUERY({'Dashboard-Dados'!$Y$2:$AA$13},""Select Col2 Where Col1=""&amp;M1877))"),"")</f>
        <v/>
      </c>
      <c r="O1877" s="29" t="str">
        <f>IFERROR(__xludf.DUMMYFUNCTION("IF(ISBLANK(B1877),"""",IF(ISDATE(B1877),TEXT(B1877,""yyyy""),""""))"),"")</f>
        <v/>
      </c>
    </row>
    <row r="1878">
      <c r="B1878" s="62"/>
      <c r="C1878" s="56"/>
      <c r="D1878" s="56"/>
      <c r="E1878" s="56"/>
      <c r="F1878" s="63"/>
      <c r="G1878" s="64"/>
      <c r="H1878" s="65"/>
      <c r="I1878" s="63"/>
      <c r="K1878" s="53" t="str">
        <f>IFERROR(__xludf.DUMMYFUNCTION("IF(ISBLANK(B1878),"""",IF(ISDATE(B1878),""X"",""""))"),"")</f>
        <v/>
      </c>
      <c r="L1878" s="40" t="str">
        <f>IFERROR(__xludf.DUMMYFUNCTION("IF(ISBLANK(B1878),"""",IF(Or(I1878=""Em Aberto"",ISBLANK(I1878),NOT(ISDATE(B1878))),"""",H1878))"),"")</f>
        <v/>
      </c>
      <c r="M1878" s="29" t="str">
        <f>IFERROR(__xludf.DUMMYFUNCTION("IF(ISBLANK(B1878),"""",IF(ISDATE(B1878),TEXT(B1878,""m""),""""))"),"")</f>
        <v/>
      </c>
      <c r="N1878" s="29" t="str">
        <f>IFERROR(__xludf.DUMMYFUNCTION("IF(M1878="""","""",QUERY({'Dashboard-Dados'!$Y$2:$AA$13},""Select Col2 Where Col1=""&amp;M1878))"),"")</f>
        <v/>
      </c>
      <c r="O1878" s="29" t="str">
        <f>IFERROR(__xludf.DUMMYFUNCTION("IF(ISBLANK(B1878),"""",IF(ISDATE(B1878),TEXT(B1878,""yyyy""),""""))"),"")</f>
        <v/>
      </c>
    </row>
    <row r="1879">
      <c r="B1879" s="62"/>
      <c r="C1879" s="56"/>
      <c r="D1879" s="56"/>
      <c r="E1879" s="56"/>
      <c r="F1879" s="63"/>
      <c r="G1879" s="64"/>
      <c r="H1879" s="65"/>
      <c r="I1879" s="63"/>
      <c r="K1879" s="53" t="str">
        <f>IFERROR(__xludf.DUMMYFUNCTION("IF(ISBLANK(B1879),"""",IF(ISDATE(B1879),""X"",""""))"),"")</f>
        <v/>
      </c>
      <c r="L1879" s="40" t="str">
        <f>IFERROR(__xludf.DUMMYFUNCTION("IF(ISBLANK(B1879),"""",IF(Or(I1879=""Em Aberto"",ISBLANK(I1879),NOT(ISDATE(B1879))),"""",H1879))"),"")</f>
        <v/>
      </c>
      <c r="M1879" s="29" t="str">
        <f>IFERROR(__xludf.DUMMYFUNCTION("IF(ISBLANK(B1879),"""",IF(ISDATE(B1879),TEXT(B1879,""m""),""""))"),"")</f>
        <v/>
      </c>
      <c r="N1879" s="29" t="str">
        <f>IFERROR(__xludf.DUMMYFUNCTION("IF(M1879="""","""",QUERY({'Dashboard-Dados'!$Y$2:$AA$13},""Select Col2 Where Col1=""&amp;M1879))"),"")</f>
        <v/>
      </c>
      <c r="O1879" s="29" t="str">
        <f>IFERROR(__xludf.DUMMYFUNCTION("IF(ISBLANK(B1879),"""",IF(ISDATE(B1879),TEXT(B1879,""yyyy""),""""))"),"")</f>
        <v/>
      </c>
    </row>
    <row r="1880">
      <c r="B1880" s="62"/>
      <c r="C1880" s="56"/>
      <c r="D1880" s="56"/>
      <c r="E1880" s="56"/>
      <c r="F1880" s="63"/>
      <c r="G1880" s="64"/>
      <c r="H1880" s="65"/>
      <c r="I1880" s="63"/>
      <c r="K1880" s="53" t="str">
        <f>IFERROR(__xludf.DUMMYFUNCTION("IF(ISBLANK(B1880),"""",IF(ISDATE(B1880),""X"",""""))"),"")</f>
        <v/>
      </c>
      <c r="L1880" s="40" t="str">
        <f>IFERROR(__xludf.DUMMYFUNCTION("IF(ISBLANK(B1880),"""",IF(Or(I1880=""Em Aberto"",ISBLANK(I1880),NOT(ISDATE(B1880))),"""",H1880))"),"")</f>
        <v/>
      </c>
      <c r="M1880" s="29" t="str">
        <f>IFERROR(__xludf.DUMMYFUNCTION("IF(ISBLANK(B1880),"""",IF(ISDATE(B1880),TEXT(B1880,""m""),""""))"),"")</f>
        <v/>
      </c>
      <c r="N1880" s="29" t="str">
        <f>IFERROR(__xludf.DUMMYFUNCTION("IF(M1880="""","""",QUERY({'Dashboard-Dados'!$Y$2:$AA$13},""Select Col2 Where Col1=""&amp;M1880))"),"")</f>
        <v/>
      </c>
      <c r="O1880" s="29" t="str">
        <f>IFERROR(__xludf.DUMMYFUNCTION("IF(ISBLANK(B1880),"""",IF(ISDATE(B1880),TEXT(B1880,""yyyy""),""""))"),"")</f>
        <v/>
      </c>
    </row>
    <row r="1881">
      <c r="B1881" s="62"/>
      <c r="C1881" s="56"/>
      <c r="D1881" s="56"/>
      <c r="E1881" s="56"/>
      <c r="F1881" s="63"/>
      <c r="G1881" s="64"/>
      <c r="H1881" s="65"/>
      <c r="I1881" s="63"/>
      <c r="K1881" s="53" t="str">
        <f>IFERROR(__xludf.DUMMYFUNCTION("IF(ISBLANK(B1881),"""",IF(ISDATE(B1881),""X"",""""))"),"")</f>
        <v/>
      </c>
      <c r="L1881" s="40" t="str">
        <f>IFERROR(__xludf.DUMMYFUNCTION("IF(ISBLANK(B1881),"""",IF(Or(I1881=""Em Aberto"",ISBLANK(I1881),NOT(ISDATE(B1881))),"""",H1881))"),"")</f>
        <v/>
      </c>
      <c r="M1881" s="29" t="str">
        <f>IFERROR(__xludf.DUMMYFUNCTION("IF(ISBLANK(B1881),"""",IF(ISDATE(B1881),TEXT(B1881,""m""),""""))"),"")</f>
        <v/>
      </c>
      <c r="N1881" s="29" t="str">
        <f>IFERROR(__xludf.DUMMYFUNCTION("IF(M1881="""","""",QUERY({'Dashboard-Dados'!$Y$2:$AA$13},""Select Col2 Where Col1=""&amp;M1881))"),"")</f>
        <v/>
      </c>
      <c r="O1881" s="29" t="str">
        <f>IFERROR(__xludf.DUMMYFUNCTION("IF(ISBLANK(B1881),"""",IF(ISDATE(B1881),TEXT(B1881,""yyyy""),""""))"),"")</f>
        <v/>
      </c>
    </row>
    <row r="1882">
      <c r="B1882" s="62"/>
      <c r="C1882" s="56"/>
      <c r="D1882" s="56"/>
      <c r="E1882" s="56"/>
      <c r="F1882" s="63"/>
      <c r="G1882" s="64"/>
      <c r="H1882" s="65"/>
      <c r="I1882" s="63"/>
      <c r="K1882" s="53" t="str">
        <f>IFERROR(__xludf.DUMMYFUNCTION("IF(ISBLANK(B1882),"""",IF(ISDATE(B1882),""X"",""""))"),"")</f>
        <v/>
      </c>
      <c r="L1882" s="40" t="str">
        <f>IFERROR(__xludf.DUMMYFUNCTION("IF(ISBLANK(B1882),"""",IF(Or(I1882=""Em Aberto"",ISBLANK(I1882),NOT(ISDATE(B1882))),"""",H1882))"),"")</f>
        <v/>
      </c>
      <c r="M1882" s="29" t="str">
        <f>IFERROR(__xludf.DUMMYFUNCTION("IF(ISBLANK(B1882),"""",IF(ISDATE(B1882),TEXT(B1882,""m""),""""))"),"")</f>
        <v/>
      </c>
      <c r="N1882" s="29" t="str">
        <f>IFERROR(__xludf.DUMMYFUNCTION("IF(M1882="""","""",QUERY({'Dashboard-Dados'!$Y$2:$AA$13},""Select Col2 Where Col1=""&amp;M1882))"),"")</f>
        <v/>
      </c>
      <c r="O1882" s="29" t="str">
        <f>IFERROR(__xludf.DUMMYFUNCTION("IF(ISBLANK(B1882),"""",IF(ISDATE(B1882),TEXT(B1882,""yyyy""),""""))"),"")</f>
        <v/>
      </c>
    </row>
    <row r="1883">
      <c r="B1883" s="62"/>
      <c r="C1883" s="56"/>
      <c r="D1883" s="56"/>
      <c r="E1883" s="56"/>
      <c r="F1883" s="63"/>
      <c r="G1883" s="64"/>
      <c r="H1883" s="65"/>
      <c r="I1883" s="63"/>
      <c r="K1883" s="53" t="str">
        <f>IFERROR(__xludf.DUMMYFUNCTION("IF(ISBLANK(B1883),"""",IF(ISDATE(B1883),""X"",""""))"),"")</f>
        <v/>
      </c>
      <c r="L1883" s="40" t="str">
        <f>IFERROR(__xludf.DUMMYFUNCTION("IF(ISBLANK(B1883),"""",IF(Or(I1883=""Em Aberto"",ISBLANK(I1883),NOT(ISDATE(B1883))),"""",H1883))"),"")</f>
        <v/>
      </c>
      <c r="M1883" s="29" t="str">
        <f>IFERROR(__xludf.DUMMYFUNCTION("IF(ISBLANK(B1883),"""",IF(ISDATE(B1883),TEXT(B1883,""m""),""""))"),"")</f>
        <v/>
      </c>
      <c r="N1883" s="29" t="str">
        <f>IFERROR(__xludf.DUMMYFUNCTION("IF(M1883="""","""",QUERY({'Dashboard-Dados'!$Y$2:$AA$13},""Select Col2 Where Col1=""&amp;M1883))"),"")</f>
        <v/>
      </c>
      <c r="O1883" s="29" t="str">
        <f>IFERROR(__xludf.DUMMYFUNCTION("IF(ISBLANK(B1883),"""",IF(ISDATE(B1883),TEXT(B1883,""yyyy""),""""))"),"")</f>
        <v/>
      </c>
    </row>
    <row r="1884">
      <c r="B1884" s="62"/>
      <c r="C1884" s="56"/>
      <c r="D1884" s="56"/>
      <c r="E1884" s="56"/>
      <c r="F1884" s="63"/>
      <c r="G1884" s="64"/>
      <c r="H1884" s="65"/>
      <c r="I1884" s="63"/>
      <c r="K1884" s="53" t="str">
        <f>IFERROR(__xludf.DUMMYFUNCTION("IF(ISBLANK(B1884),"""",IF(ISDATE(B1884),""X"",""""))"),"")</f>
        <v/>
      </c>
      <c r="L1884" s="40" t="str">
        <f>IFERROR(__xludf.DUMMYFUNCTION("IF(ISBLANK(B1884),"""",IF(Or(I1884=""Em Aberto"",ISBLANK(I1884),NOT(ISDATE(B1884))),"""",H1884))"),"")</f>
        <v/>
      </c>
      <c r="M1884" s="29" t="str">
        <f>IFERROR(__xludf.DUMMYFUNCTION("IF(ISBLANK(B1884),"""",IF(ISDATE(B1884),TEXT(B1884,""m""),""""))"),"")</f>
        <v/>
      </c>
      <c r="N1884" s="29" t="str">
        <f>IFERROR(__xludf.DUMMYFUNCTION("IF(M1884="""","""",QUERY({'Dashboard-Dados'!$Y$2:$AA$13},""Select Col2 Where Col1=""&amp;M1884))"),"")</f>
        <v/>
      </c>
      <c r="O1884" s="29" t="str">
        <f>IFERROR(__xludf.DUMMYFUNCTION("IF(ISBLANK(B1884),"""",IF(ISDATE(B1884),TEXT(B1884,""yyyy""),""""))"),"")</f>
        <v/>
      </c>
    </row>
    <row r="1885">
      <c r="B1885" s="62"/>
      <c r="C1885" s="56"/>
      <c r="D1885" s="56"/>
      <c r="E1885" s="56"/>
      <c r="F1885" s="63"/>
      <c r="G1885" s="64"/>
      <c r="H1885" s="65"/>
      <c r="I1885" s="63"/>
      <c r="K1885" s="53" t="str">
        <f>IFERROR(__xludf.DUMMYFUNCTION("IF(ISBLANK(B1885),"""",IF(ISDATE(B1885),""X"",""""))"),"")</f>
        <v/>
      </c>
      <c r="L1885" s="40" t="str">
        <f>IFERROR(__xludf.DUMMYFUNCTION("IF(ISBLANK(B1885),"""",IF(Or(I1885=""Em Aberto"",ISBLANK(I1885),NOT(ISDATE(B1885))),"""",H1885))"),"")</f>
        <v/>
      </c>
      <c r="M1885" s="29" t="str">
        <f>IFERROR(__xludf.DUMMYFUNCTION("IF(ISBLANK(B1885),"""",IF(ISDATE(B1885),TEXT(B1885,""m""),""""))"),"")</f>
        <v/>
      </c>
      <c r="N1885" s="29" t="str">
        <f>IFERROR(__xludf.DUMMYFUNCTION("IF(M1885="""","""",QUERY({'Dashboard-Dados'!$Y$2:$AA$13},""Select Col2 Where Col1=""&amp;M1885))"),"")</f>
        <v/>
      </c>
      <c r="O1885" s="29" t="str">
        <f>IFERROR(__xludf.DUMMYFUNCTION("IF(ISBLANK(B1885),"""",IF(ISDATE(B1885),TEXT(B1885,""yyyy""),""""))"),"")</f>
        <v/>
      </c>
    </row>
    <row r="1886">
      <c r="B1886" s="62"/>
      <c r="C1886" s="56"/>
      <c r="D1886" s="56"/>
      <c r="E1886" s="56"/>
      <c r="F1886" s="63"/>
      <c r="G1886" s="64"/>
      <c r="H1886" s="65"/>
      <c r="I1886" s="63"/>
      <c r="K1886" s="53" t="str">
        <f>IFERROR(__xludf.DUMMYFUNCTION("IF(ISBLANK(B1886),"""",IF(ISDATE(B1886),""X"",""""))"),"")</f>
        <v/>
      </c>
      <c r="L1886" s="40" t="str">
        <f>IFERROR(__xludf.DUMMYFUNCTION("IF(ISBLANK(B1886),"""",IF(Or(I1886=""Em Aberto"",ISBLANK(I1886),NOT(ISDATE(B1886))),"""",H1886))"),"")</f>
        <v/>
      </c>
      <c r="M1886" s="29" t="str">
        <f>IFERROR(__xludf.DUMMYFUNCTION("IF(ISBLANK(B1886),"""",IF(ISDATE(B1886),TEXT(B1886,""m""),""""))"),"")</f>
        <v/>
      </c>
      <c r="N1886" s="29" t="str">
        <f>IFERROR(__xludf.DUMMYFUNCTION("IF(M1886="""","""",QUERY({'Dashboard-Dados'!$Y$2:$AA$13},""Select Col2 Where Col1=""&amp;M1886))"),"")</f>
        <v/>
      </c>
      <c r="O1886" s="29" t="str">
        <f>IFERROR(__xludf.DUMMYFUNCTION("IF(ISBLANK(B1886),"""",IF(ISDATE(B1886),TEXT(B1886,""yyyy""),""""))"),"")</f>
        <v/>
      </c>
    </row>
    <row r="1887">
      <c r="B1887" s="62"/>
      <c r="C1887" s="56"/>
      <c r="D1887" s="56"/>
      <c r="E1887" s="56"/>
      <c r="F1887" s="63"/>
      <c r="G1887" s="64"/>
      <c r="H1887" s="65"/>
      <c r="I1887" s="63"/>
      <c r="K1887" s="53" t="str">
        <f>IFERROR(__xludf.DUMMYFUNCTION("IF(ISBLANK(B1887),"""",IF(ISDATE(B1887),""X"",""""))"),"")</f>
        <v/>
      </c>
      <c r="L1887" s="40" t="str">
        <f>IFERROR(__xludf.DUMMYFUNCTION("IF(ISBLANK(B1887),"""",IF(Or(I1887=""Em Aberto"",ISBLANK(I1887),NOT(ISDATE(B1887))),"""",H1887))"),"")</f>
        <v/>
      </c>
      <c r="M1887" s="29" t="str">
        <f>IFERROR(__xludf.DUMMYFUNCTION("IF(ISBLANK(B1887),"""",IF(ISDATE(B1887),TEXT(B1887,""m""),""""))"),"")</f>
        <v/>
      </c>
      <c r="N1887" s="29" t="str">
        <f>IFERROR(__xludf.DUMMYFUNCTION("IF(M1887="""","""",QUERY({'Dashboard-Dados'!$Y$2:$AA$13},""Select Col2 Where Col1=""&amp;M1887))"),"")</f>
        <v/>
      </c>
      <c r="O1887" s="29" t="str">
        <f>IFERROR(__xludf.DUMMYFUNCTION("IF(ISBLANK(B1887),"""",IF(ISDATE(B1887),TEXT(B1887,""yyyy""),""""))"),"")</f>
        <v/>
      </c>
    </row>
    <row r="1888">
      <c r="B1888" s="62"/>
      <c r="C1888" s="56"/>
      <c r="D1888" s="56"/>
      <c r="E1888" s="56"/>
      <c r="F1888" s="63"/>
      <c r="G1888" s="64"/>
      <c r="H1888" s="65"/>
      <c r="I1888" s="63"/>
      <c r="K1888" s="53" t="str">
        <f>IFERROR(__xludf.DUMMYFUNCTION("IF(ISBLANK(B1888),"""",IF(ISDATE(B1888),""X"",""""))"),"")</f>
        <v/>
      </c>
      <c r="L1888" s="40" t="str">
        <f>IFERROR(__xludf.DUMMYFUNCTION("IF(ISBLANK(B1888),"""",IF(Or(I1888=""Em Aberto"",ISBLANK(I1888),NOT(ISDATE(B1888))),"""",H1888))"),"")</f>
        <v/>
      </c>
      <c r="M1888" s="29" t="str">
        <f>IFERROR(__xludf.DUMMYFUNCTION("IF(ISBLANK(B1888),"""",IF(ISDATE(B1888),TEXT(B1888,""m""),""""))"),"")</f>
        <v/>
      </c>
      <c r="N1888" s="29" t="str">
        <f>IFERROR(__xludf.DUMMYFUNCTION("IF(M1888="""","""",QUERY({'Dashboard-Dados'!$Y$2:$AA$13},""Select Col2 Where Col1=""&amp;M1888))"),"")</f>
        <v/>
      </c>
      <c r="O1888" s="29" t="str">
        <f>IFERROR(__xludf.DUMMYFUNCTION("IF(ISBLANK(B1888),"""",IF(ISDATE(B1888),TEXT(B1888,""yyyy""),""""))"),"")</f>
        <v/>
      </c>
    </row>
    <row r="1889">
      <c r="B1889" s="62"/>
      <c r="C1889" s="56"/>
      <c r="D1889" s="56"/>
      <c r="E1889" s="56"/>
      <c r="F1889" s="63"/>
      <c r="G1889" s="64"/>
      <c r="H1889" s="65"/>
      <c r="I1889" s="63"/>
      <c r="K1889" s="53" t="str">
        <f>IFERROR(__xludf.DUMMYFUNCTION("IF(ISBLANK(B1889),"""",IF(ISDATE(B1889),""X"",""""))"),"")</f>
        <v/>
      </c>
      <c r="L1889" s="40" t="str">
        <f>IFERROR(__xludf.DUMMYFUNCTION("IF(ISBLANK(B1889),"""",IF(Or(I1889=""Em Aberto"",ISBLANK(I1889),NOT(ISDATE(B1889))),"""",H1889))"),"")</f>
        <v/>
      </c>
      <c r="M1889" s="29" t="str">
        <f>IFERROR(__xludf.DUMMYFUNCTION("IF(ISBLANK(B1889),"""",IF(ISDATE(B1889),TEXT(B1889,""m""),""""))"),"")</f>
        <v/>
      </c>
      <c r="N1889" s="29" t="str">
        <f>IFERROR(__xludf.DUMMYFUNCTION("IF(M1889="""","""",QUERY({'Dashboard-Dados'!$Y$2:$AA$13},""Select Col2 Where Col1=""&amp;M1889))"),"")</f>
        <v/>
      </c>
      <c r="O1889" s="29" t="str">
        <f>IFERROR(__xludf.DUMMYFUNCTION("IF(ISBLANK(B1889),"""",IF(ISDATE(B1889),TEXT(B1889,""yyyy""),""""))"),"")</f>
        <v/>
      </c>
    </row>
    <row r="1890">
      <c r="B1890" s="62"/>
      <c r="C1890" s="56"/>
      <c r="D1890" s="56"/>
      <c r="E1890" s="56"/>
      <c r="F1890" s="63"/>
      <c r="G1890" s="64"/>
      <c r="H1890" s="65"/>
      <c r="I1890" s="63"/>
      <c r="K1890" s="53" t="str">
        <f>IFERROR(__xludf.DUMMYFUNCTION("IF(ISBLANK(B1890),"""",IF(ISDATE(B1890),""X"",""""))"),"")</f>
        <v/>
      </c>
      <c r="L1890" s="40" t="str">
        <f>IFERROR(__xludf.DUMMYFUNCTION("IF(ISBLANK(B1890),"""",IF(Or(I1890=""Em Aberto"",ISBLANK(I1890),NOT(ISDATE(B1890))),"""",H1890))"),"")</f>
        <v/>
      </c>
      <c r="M1890" s="29" t="str">
        <f>IFERROR(__xludf.DUMMYFUNCTION("IF(ISBLANK(B1890),"""",IF(ISDATE(B1890),TEXT(B1890,""m""),""""))"),"")</f>
        <v/>
      </c>
      <c r="N1890" s="29" t="str">
        <f>IFERROR(__xludf.DUMMYFUNCTION("IF(M1890="""","""",QUERY({'Dashboard-Dados'!$Y$2:$AA$13},""Select Col2 Where Col1=""&amp;M1890))"),"")</f>
        <v/>
      </c>
      <c r="O1890" s="29" t="str">
        <f>IFERROR(__xludf.DUMMYFUNCTION("IF(ISBLANK(B1890),"""",IF(ISDATE(B1890),TEXT(B1890,""yyyy""),""""))"),"")</f>
        <v/>
      </c>
    </row>
    <row r="1891">
      <c r="B1891" s="62"/>
      <c r="C1891" s="56"/>
      <c r="D1891" s="56"/>
      <c r="E1891" s="56"/>
      <c r="F1891" s="63"/>
      <c r="G1891" s="64"/>
      <c r="H1891" s="65"/>
      <c r="I1891" s="63"/>
      <c r="K1891" s="53" t="str">
        <f>IFERROR(__xludf.DUMMYFUNCTION("IF(ISBLANK(B1891),"""",IF(ISDATE(B1891),""X"",""""))"),"")</f>
        <v/>
      </c>
      <c r="L1891" s="40" t="str">
        <f>IFERROR(__xludf.DUMMYFUNCTION("IF(ISBLANK(B1891),"""",IF(Or(I1891=""Em Aberto"",ISBLANK(I1891),NOT(ISDATE(B1891))),"""",H1891))"),"")</f>
        <v/>
      </c>
      <c r="M1891" s="29" t="str">
        <f>IFERROR(__xludf.DUMMYFUNCTION("IF(ISBLANK(B1891),"""",IF(ISDATE(B1891),TEXT(B1891,""m""),""""))"),"")</f>
        <v/>
      </c>
      <c r="N1891" s="29" t="str">
        <f>IFERROR(__xludf.DUMMYFUNCTION("IF(M1891="""","""",QUERY({'Dashboard-Dados'!$Y$2:$AA$13},""Select Col2 Where Col1=""&amp;M1891))"),"")</f>
        <v/>
      </c>
      <c r="O1891" s="29" t="str">
        <f>IFERROR(__xludf.DUMMYFUNCTION("IF(ISBLANK(B1891),"""",IF(ISDATE(B1891),TEXT(B1891,""yyyy""),""""))"),"")</f>
        <v/>
      </c>
    </row>
    <row r="1892">
      <c r="B1892" s="62"/>
      <c r="C1892" s="56"/>
      <c r="D1892" s="56"/>
      <c r="E1892" s="56"/>
      <c r="F1892" s="63"/>
      <c r="G1892" s="64"/>
      <c r="H1892" s="65"/>
      <c r="I1892" s="63"/>
      <c r="K1892" s="53" t="str">
        <f>IFERROR(__xludf.DUMMYFUNCTION("IF(ISBLANK(B1892),"""",IF(ISDATE(B1892),""X"",""""))"),"")</f>
        <v/>
      </c>
      <c r="L1892" s="40" t="str">
        <f>IFERROR(__xludf.DUMMYFUNCTION("IF(ISBLANK(B1892),"""",IF(Or(I1892=""Em Aberto"",ISBLANK(I1892),NOT(ISDATE(B1892))),"""",H1892))"),"")</f>
        <v/>
      </c>
      <c r="M1892" s="29" t="str">
        <f>IFERROR(__xludf.DUMMYFUNCTION("IF(ISBLANK(B1892),"""",IF(ISDATE(B1892),TEXT(B1892,""m""),""""))"),"")</f>
        <v/>
      </c>
      <c r="N1892" s="29" t="str">
        <f>IFERROR(__xludf.DUMMYFUNCTION("IF(M1892="""","""",QUERY({'Dashboard-Dados'!$Y$2:$AA$13},""Select Col2 Where Col1=""&amp;M1892))"),"")</f>
        <v/>
      </c>
      <c r="O1892" s="29" t="str">
        <f>IFERROR(__xludf.DUMMYFUNCTION("IF(ISBLANK(B1892),"""",IF(ISDATE(B1892),TEXT(B1892,""yyyy""),""""))"),"")</f>
        <v/>
      </c>
    </row>
    <row r="1893">
      <c r="B1893" s="62"/>
      <c r="C1893" s="56"/>
      <c r="D1893" s="56"/>
      <c r="E1893" s="56"/>
      <c r="F1893" s="63"/>
      <c r="G1893" s="64"/>
      <c r="H1893" s="65"/>
      <c r="I1893" s="63"/>
      <c r="K1893" s="53" t="str">
        <f>IFERROR(__xludf.DUMMYFUNCTION("IF(ISBLANK(B1893),"""",IF(ISDATE(B1893),""X"",""""))"),"")</f>
        <v/>
      </c>
      <c r="L1893" s="40" t="str">
        <f>IFERROR(__xludf.DUMMYFUNCTION("IF(ISBLANK(B1893),"""",IF(Or(I1893=""Em Aberto"",ISBLANK(I1893),NOT(ISDATE(B1893))),"""",H1893))"),"")</f>
        <v/>
      </c>
      <c r="M1893" s="29" t="str">
        <f>IFERROR(__xludf.DUMMYFUNCTION("IF(ISBLANK(B1893),"""",IF(ISDATE(B1893),TEXT(B1893,""m""),""""))"),"")</f>
        <v/>
      </c>
      <c r="N1893" s="29" t="str">
        <f>IFERROR(__xludf.DUMMYFUNCTION("IF(M1893="""","""",QUERY({'Dashboard-Dados'!$Y$2:$AA$13},""Select Col2 Where Col1=""&amp;M1893))"),"")</f>
        <v/>
      </c>
      <c r="O1893" s="29" t="str">
        <f>IFERROR(__xludf.DUMMYFUNCTION("IF(ISBLANK(B1893),"""",IF(ISDATE(B1893),TEXT(B1893,""yyyy""),""""))"),"")</f>
        <v/>
      </c>
    </row>
    <row r="1894">
      <c r="B1894" s="62"/>
      <c r="C1894" s="56"/>
      <c r="D1894" s="56"/>
      <c r="E1894" s="56"/>
      <c r="F1894" s="63"/>
      <c r="G1894" s="64"/>
      <c r="H1894" s="65"/>
      <c r="I1894" s="63"/>
      <c r="K1894" s="53" t="str">
        <f>IFERROR(__xludf.DUMMYFUNCTION("IF(ISBLANK(B1894),"""",IF(ISDATE(B1894),""X"",""""))"),"")</f>
        <v/>
      </c>
      <c r="L1894" s="40" t="str">
        <f>IFERROR(__xludf.DUMMYFUNCTION("IF(ISBLANK(B1894),"""",IF(Or(I1894=""Em Aberto"",ISBLANK(I1894),NOT(ISDATE(B1894))),"""",H1894))"),"")</f>
        <v/>
      </c>
      <c r="M1894" s="29" t="str">
        <f>IFERROR(__xludf.DUMMYFUNCTION("IF(ISBLANK(B1894),"""",IF(ISDATE(B1894),TEXT(B1894,""m""),""""))"),"")</f>
        <v/>
      </c>
      <c r="N1894" s="29" t="str">
        <f>IFERROR(__xludf.DUMMYFUNCTION("IF(M1894="""","""",QUERY({'Dashboard-Dados'!$Y$2:$AA$13},""Select Col2 Where Col1=""&amp;M1894))"),"")</f>
        <v/>
      </c>
      <c r="O1894" s="29" t="str">
        <f>IFERROR(__xludf.DUMMYFUNCTION("IF(ISBLANK(B1894),"""",IF(ISDATE(B1894),TEXT(B1894,""yyyy""),""""))"),"")</f>
        <v/>
      </c>
    </row>
    <row r="1895">
      <c r="B1895" s="62"/>
      <c r="C1895" s="56"/>
      <c r="D1895" s="56"/>
      <c r="E1895" s="56"/>
      <c r="F1895" s="63"/>
      <c r="G1895" s="64"/>
      <c r="H1895" s="65"/>
      <c r="I1895" s="63"/>
      <c r="K1895" s="53" t="str">
        <f>IFERROR(__xludf.DUMMYFUNCTION("IF(ISBLANK(B1895),"""",IF(ISDATE(B1895),""X"",""""))"),"")</f>
        <v/>
      </c>
      <c r="L1895" s="40" t="str">
        <f>IFERROR(__xludf.DUMMYFUNCTION("IF(ISBLANK(B1895),"""",IF(Or(I1895=""Em Aberto"",ISBLANK(I1895),NOT(ISDATE(B1895))),"""",H1895))"),"")</f>
        <v/>
      </c>
      <c r="M1895" s="29" t="str">
        <f>IFERROR(__xludf.DUMMYFUNCTION("IF(ISBLANK(B1895),"""",IF(ISDATE(B1895),TEXT(B1895,""m""),""""))"),"")</f>
        <v/>
      </c>
      <c r="N1895" s="29" t="str">
        <f>IFERROR(__xludf.DUMMYFUNCTION("IF(M1895="""","""",QUERY({'Dashboard-Dados'!$Y$2:$AA$13},""Select Col2 Where Col1=""&amp;M1895))"),"")</f>
        <v/>
      </c>
      <c r="O1895" s="29" t="str">
        <f>IFERROR(__xludf.DUMMYFUNCTION("IF(ISBLANK(B1895),"""",IF(ISDATE(B1895),TEXT(B1895,""yyyy""),""""))"),"")</f>
        <v/>
      </c>
    </row>
    <row r="1896">
      <c r="B1896" s="62"/>
      <c r="C1896" s="56"/>
      <c r="D1896" s="56"/>
      <c r="E1896" s="56"/>
      <c r="F1896" s="63"/>
      <c r="G1896" s="64"/>
      <c r="H1896" s="65"/>
      <c r="I1896" s="63"/>
      <c r="K1896" s="53" t="str">
        <f>IFERROR(__xludf.DUMMYFUNCTION("IF(ISBLANK(B1896),"""",IF(ISDATE(B1896),""X"",""""))"),"")</f>
        <v/>
      </c>
      <c r="L1896" s="40" t="str">
        <f>IFERROR(__xludf.DUMMYFUNCTION("IF(ISBLANK(B1896),"""",IF(Or(I1896=""Em Aberto"",ISBLANK(I1896),NOT(ISDATE(B1896))),"""",H1896))"),"")</f>
        <v/>
      </c>
      <c r="M1896" s="29" t="str">
        <f>IFERROR(__xludf.DUMMYFUNCTION("IF(ISBLANK(B1896),"""",IF(ISDATE(B1896),TEXT(B1896,""m""),""""))"),"")</f>
        <v/>
      </c>
      <c r="N1896" s="29" t="str">
        <f>IFERROR(__xludf.DUMMYFUNCTION("IF(M1896="""","""",QUERY({'Dashboard-Dados'!$Y$2:$AA$13},""Select Col2 Where Col1=""&amp;M1896))"),"")</f>
        <v/>
      </c>
      <c r="O1896" s="29" t="str">
        <f>IFERROR(__xludf.DUMMYFUNCTION("IF(ISBLANK(B1896),"""",IF(ISDATE(B1896),TEXT(B1896,""yyyy""),""""))"),"")</f>
        <v/>
      </c>
    </row>
    <row r="1897">
      <c r="B1897" s="62"/>
      <c r="C1897" s="56"/>
      <c r="D1897" s="56"/>
      <c r="E1897" s="56"/>
      <c r="F1897" s="63"/>
      <c r="G1897" s="64"/>
      <c r="H1897" s="65"/>
      <c r="I1897" s="63"/>
      <c r="K1897" s="53" t="str">
        <f>IFERROR(__xludf.DUMMYFUNCTION("IF(ISBLANK(B1897),"""",IF(ISDATE(B1897),""X"",""""))"),"")</f>
        <v/>
      </c>
      <c r="L1897" s="40" t="str">
        <f>IFERROR(__xludf.DUMMYFUNCTION("IF(ISBLANK(B1897),"""",IF(Or(I1897=""Em Aberto"",ISBLANK(I1897),NOT(ISDATE(B1897))),"""",H1897))"),"")</f>
        <v/>
      </c>
      <c r="M1897" s="29" t="str">
        <f>IFERROR(__xludf.DUMMYFUNCTION("IF(ISBLANK(B1897),"""",IF(ISDATE(B1897),TEXT(B1897,""m""),""""))"),"")</f>
        <v/>
      </c>
      <c r="N1897" s="29" t="str">
        <f>IFERROR(__xludf.DUMMYFUNCTION("IF(M1897="""","""",QUERY({'Dashboard-Dados'!$Y$2:$AA$13},""Select Col2 Where Col1=""&amp;M1897))"),"")</f>
        <v/>
      </c>
      <c r="O1897" s="29" t="str">
        <f>IFERROR(__xludf.DUMMYFUNCTION("IF(ISBLANK(B1897),"""",IF(ISDATE(B1897),TEXT(B1897,""yyyy""),""""))"),"")</f>
        <v/>
      </c>
    </row>
    <row r="1898">
      <c r="B1898" s="62"/>
      <c r="C1898" s="56"/>
      <c r="D1898" s="56"/>
      <c r="E1898" s="56"/>
      <c r="F1898" s="63"/>
      <c r="G1898" s="64"/>
      <c r="H1898" s="65"/>
      <c r="I1898" s="63"/>
      <c r="K1898" s="53" t="str">
        <f>IFERROR(__xludf.DUMMYFUNCTION("IF(ISBLANK(B1898),"""",IF(ISDATE(B1898),""X"",""""))"),"")</f>
        <v/>
      </c>
      <c r="L1898" s="40" t="str">
        <f>IFERROR(__xludf.DUMMYFUNCTION("IF(ISBLANK(B1898),"""",IF(Or(I1898=""Em Aberto"",ISBLANK(I1898),NOT(ISDATE(B1898))),"""",H1898))"),"")</f>
        <v/>
      </c>
      <c r="M1898" s="29" t="str">
        <f>IFERROR(__xludf.DUMMYFUNCTION("IF(ISBLANK(B1898),"""",IF(ISDATE(B1898),TEXT(B1898,""m""),""""))"),"")</f>
        <v/>
      </c>
      <c r="N1898" s="29" t="str">
        <f>IFERROR(__xludf.DUMMYFUNCTION("IF(M1898="""","""",QUERY({'Dashboard-Dados'!$Y$2:$AA$13},""Select Col2 Where Col1=""&amp;M1898))"),"")</f>
        <v/>
      </c>
      <c r="O1898" s="29" t="str">
        <f>IFERROR(__xludf.DUMMYFUNCTION("IF(ISBLANK(B1898),"""",IF(ISDATE(B1898),TEXT(B1898,""yyyy""),""""))"),"")</f>
        <v/>
      </c>
    </row>
    <row r="1899">
      <c r="B1899" s="62"/>
      <c r="C1899" s="56"/>
      <c r="D1899" s="56"/>
      <c r="E1899" s="56"/>
      <c r="F1899" s="63"/>
      <c r="G1899" s="64"/>
      <c r="H1899" s="65"/>
      <c r="I1899" s="63"/>
      <c r="K1899" s="53" t="str">
        <f>IFERROR(__xludf.DUMMYFUNCTION("IF(ISBLANK(B1899),"""",IF(ISDATE(B1899),""X"",""""))"),"")</f>
        <v/>
      </c>
      <c r="L1899" s="40" t="str">
        <f>IFERROR(__xludf.DUMMYFUNCTION("IF(ISBLANK(B1899),"""",IF(Or(I1899=""Em Aberto"",ISBLANK(I1899),NOT(ISDATE(B1899))),"""",H1899))"),"")</f>
        <v/>
      </c>
      <c r="M1899" s="29" t="str">
        <f>IFERROR(__xludf.DUMMYFUNCTION("IF(ISBLANK(B1899),"""",IF(ISDATE(B1899),TEXT(B1899,""m""),""""))"),"")</f>
        <v/>
      </c>
      <c r="N1899" s="29" t="str">
        <f>IFERROR(__xludf.DUMMYFUNCTION("IF(M1899="""","""",QUERY({'Dashboard-Dados'!$Y$2:$AA$13},""Select Col2 Where Col1=""&amp;M1899))"),"")</f>
        <v/>
      </c>
      <c r="O1899" s="29" t="str">
        <f>IFERROR(__xludf.DUMMYFUNCTION("IF(ISBLANK(B1899),"""",IF(ISDATE(B1899),TEXT(B1899,""yyyy""),""""))"),"")</f>
        <v/>
      </c>
    </row>
    <row r="1900">
      <c r="B1900" s="62"/>
      <c r="C1900" s="56"/>
      <c r="D1900" s="56"/>
      <c r="E1900" s="56"/>
      <c r="F1900" s="63"/>
      <c r="G1900" s="64"/>
      <c r="H1900" s="65"/>
      <c r="I1900" s="63"/>
      <c r="K1900" s="53" t="str">
        <f>IFERROR(__xludf.DUMMYFUNCTION("IF(ISBLANK(B1900),"""",IF(ISDATE(B1900),""X"",""""))"),"")</f>
        <v/>
      </c>
      <c r="L1900" s="40" t="str">
        <f>IFERROR(__xludf.DUMMYFUNCTION("IF(ISBLANK(B1900),"""",IF(Or(I1900=""Em Aberto"",ISBLANK(I1900),NOT(ISDATE(B1900))),"""",H1900))"),"")</f>
        <v/>
      </c>
      <c r="M1900" s="29" t="str">
        <f>IFERROR(__xludf.DUMMYFUNCTION("IF(ISBLANK(B1900),"""",IF(ISDATE(B1900),TEXT(B1900,""m""),""""))"),"")</f>
        <v/>
      </c>
      <c r="N1900" s="29" t="str">
        <f>IFERROR(__xludf.DUMMYFUNCTION("IF(M1900="""","""",QUERY({'Dashboard-Dados'!$Y$2:$AA$13},""Select Col2 Where Col1=""&amp;M1900))"),"")</f>
        <v/>
      </c>
      <c r="O1900" s="29" t="str">
        <f>IFERROR(__xludf.DUMMYFUNCTION("IF(ISBLANK(B1900),"""",IF(ISDATE(B1900),TEXT(B1900,""yyyy""),""""))"),"")</f>
        <v/>
      </c>
    </row>
    <row r="1901">
      <c r="B1901" s="62"/>
      <c r="C1901" s="56"/>
      <c r="D1901" s="56"/>
      <c r="E1901" s="56"/>
      <c r="F1901" s="63"/>
      <c r="G1901" s="64"/>
      <c r="H1901" s="65"/>
      <c r="I1901" s="63"/>
      <c r="K1901" s="53" t="str">
        <f>IFERROR(__xludf.DUMMYFUNCTION("IF(ISBLANK(B1901),"""",IF(ISDATE(B1901),""X"",""""))"),"")</f>
        <v/>
      </c>
      <c r="L1901" s="40" t="str">
        <f>IFERROR(__xludf.DUMMYFUNCTION("IF(ISBLANK(B1901),"""",IF(Or(I1901=""Em Aberto"",ISBLANK(I1901),NOT(ISDATE(B1901))),"""",H1901))"),"")</f>
        <v/>
      </c>
      <c r="M1901" s="29" t="str">
        <f>IFERROR(__xludf.DUMMYFUNCTION("IF(ISBLANK(B1901),"""",IF(ISDATE(B1901),TEXT(B1901,""m""),""""))"),"")</f>
        <v/>
      </c>
      <c r="N1901" s="29" t="str">
        <f>IFERROR(__xludf.DUMMYFUNCTION("IF(M1901="""","""",QUERY({'Dashboard-Dados'!$Y$2:$AA$13},""Select Col2 Where Col1=""&amp;M1901))"),"")</f>
        <v/>
      </c>
      <c r="O1901" s="29" t="str">
        <f>IFERROR(__xludf.DUMMYFUNCTION("IF(ISBLANK(B1901),"""",IF(ISDATE(B1901),TEXT(B1901,""yyyy""),""""))"),"")</f>
        <v/>
      </c>
    </row>
    <row r="1902">
      <c r="B1902" s="62"/>
      <c r="C1902" s="56"/>
      <c r="D1902" s="56"/>
      <c r="E1902" s="56"/>
      <c r="F1902" s="63"/>
      <c r="G1902" s="64"/>
      <c r="H1902" s="65"/>
      <c r="I1902" s="63"/>
      <c r="K1902" s="53" t="str">
        <f>IFERROR(__xludf.DUMMYFUNCTION("IF(ISBLANK(B1902),"""",IF(ISDATE(B1902),""X"",""""))"),"")</f>
        <v/>
      </c>
      <c r="L1902" s="40" t="str">
        <f>IFERROR(__xludf.DUMMYFUNCTION("IF(ISBLANK(B1902),"""",IF(Or(I1902=""Em Aberto"",ISBLANK(I1902),NOT(ISDATE(B1902))),"""",H1902))"),"")</f>
        <v/>
      </c>
      <c r="M1902" s="29" t="str">
        <f>IFERROR(__xludf.DUMMYFUNCTION("IF(ISBLANK(B1902),"""",IF(ISDATE(B1902),TEXT(B1902,""m""),""""))"),"")</f>
        <v/>
      </c>
      <c r="N1902" s="29" t="str">
        <f>IFERROR(__xludf.DUMMYFUNCTION("IF(M1902="""","""",QUERY({'Dashboard-Dados'!$Y$2:$AA$13},""Select Col2 Where Col1=""&amp;M1902))"),"")</f>
        <v/>
      </c>
      <c r="O1902" s="29" t="str">
        <f>IFERROR(__xludf.DUMMYFUNCTION("IF(ISBLANK(B1902),"""",IF(ISDATE(B1902),TEXT(B1902,""yyyy""),""""))"),"")</f>
        <v/>
      </c>
    </row>
    <row r="1903">
      <c r="B1903" s="62"/>
      <c r="C1903" s="56"/>
      <c r="D1903" s="56"/>
      <c r="E1903" s="56"/>
      <c r="F1903" s="63"/>
      <c r="G1903" s="64"/>
      <c r="H1903" s="65"/>
      <c r="I1903" s="63"/>
      <c r="K1903" s="53" t="str">
        <f>IFERROR(__xludf.DUMMYFUNCTION("IF(ISBLANK(B1903),"""",IF(ISDATE(B1903),""X"",""""))"),"")</f>
        <v/>
      </c>
      <c r="L1903" s="40" t="str">
        <f>IFERROR(__xludf.DUMMYFUNCTION("IF(ISBLANK(B1903),"""",IF(Or(I1903=""Em Aberto"",ISBLANK(I1903),NOT(ISDATE(B1903))),"""",H1903))"),"")</f>
        <v/>
      </c>
      <c r="M1903" s="29" t="str">
        <f>IFERROR(__xludf.DUMMYFUNCTION("IF(ISBLANK(B1903),"""",IF(ISDATE(B1903),TEXT(B1903,""m""),""""))"),"")</f>
        <v/>
      </c>
      <c r="N1903" s="29" t="str">
        <f>IFERROR(__xludf.DUMMYFUNCTION("IF(M1903="""","""",QUERY({'Dashboard-Dados'!$Y$2:$AA$13},""Select Col2 Where Col1=""&amp;M1903))"),"")</f>
        <v/>
      </c>
      <c r="O1903" s="29" t="str">
        <f>IFERROR(__xludf.DUMMYFUNCTION("IF(ISBLANK(B1903),"""",IF(ISDATE(B1903),TEXT(B1903,""yyyy""),""""))"),"")</f>
        <v/>
      </c>
    </row>
    <row r="1904">
      <c r="B1904" s="62"/>
      <c r="C1904" s="56"/>
      <c r="D1904" s="56"/>
      <c r="E1904" s="56"/>
      <c r="F1904" s="63"/>
      <c r="G1904" s="64"/>
      <c r="H1904" s="65"/>
      <c r="I1904" s="63"/>
      <c r="K1904" s="53" t="str">
        <f>IFERROR(__xludf.DUMMYFUNCTION("IF(ISBLANK(B1904),"""",IF(ISDATE(B1904),""X"",""""))"),"")</f>
        <v/>
      </c>
      <c r="L1904" s="40" t="str">
        <f>IFERROR(__xludf.DUMMYFUNCTION("IF(ISBLANK(B1904),"""",IF(Or(I1904=""Em Aberto"",ISBLANK(I1904),NOT(ISDATE(B1904))),"""",H1904))"),"")</f>
        <v/>
      </c>
      <c r="M1904" s="29" t="str">
        <f>IFERROR(__xludf.DUMMYFUNCTION("IF(ISBLANK(B1904),"""",IF(ISDATE(B1904),TEXT(B1904,""m""),""""))"),"")</f>
        <v/>
      </c>
      <c r="N1904" s="29" t="str">
        <f>IFERROR(__xludf.DUMMYFUNCTION("IF(M1904="""","""",QUERY({'Dashboard-Dados'!$Y$2:$AA$13},""Select Col2 Where Col1=""&amp;M1904))"),"")</f>
        <v/>
      </c>
      <c r="O1904" s="29" t="str">
        <f>IFERROR(__xludf.DUMMYFUNCTION("IF(ISBLANK(B1904),"""",IF(ISDATE(B1904),TEXT(B1904,""yyyy""),""""))"),"")</f>
        <v/>
      </c>
    </row>
    <row r="1905">
      <c r="B1905" s="62"/>
      <c r="C1905" s="56"/>
      <c r="D1905" s="56"/>
      <c r="E1905" s="56"/>
      <c r="F1905" s="63"/>
      <c r="G1905" s="64"/>
      <c r="H1905" s="65"/>
      <c r="I1905" s="63"/>
      <c r="K1905" s="53" t="str">
        <f>IFERROR(__xludf.DUMMYFUNCTION("IF(ISBLANK(B1905),"""",IF(ISDATE(B1905),""X"",""""))"),"")</f>
        <v/>
      </c>
      <c r="L1905" s="40" t="str">
        <f>IFERROR(__xludf.DUMMYFUNCTION("IF(ISBLANK(B1905),"""",IF(Or(I1905=""Em Aberto"",ISBLANK(I1905),NOT(ISDATE(B1905))),"""",H1905))"),"")</f>
        <v/>
      </c>
      <c r="M1905" s="29" t="str">
        <f>IFERROR(__xludf.DUMMYFUNCTION("IF(ISBLANK(B1905),"""",IF(ISDATE(B1905),TEXT(B1905,""m""),""""))"),"")</f>
        <v/>
      </c>
      <c r="N1905" s="29" t="str">
        <f>IFERROR(__xludf.DUMMYFUNCTION("IF(M1905="""","""",QUERY({'Dashboard-Dados'!$Y$2:$AA$13},""Select Col2 Where Col1=""&amp;M1905))"),"")</f>
        <v/>
      </c>
      <c r="O1905" s="29" t="str">
        <f>IFERROR(__xludf.DUMMYFUNCTION("IF(ISBLANK(B1905),"""",IF(ISDATE(B1905),TEXT(B1905,""yyyy""),""""))"),"")</f>
        <v/>
      </c>
    </row>
    <row r="1906">
      <c r="B1906" s="62"/>
      <c r="C1906" s="56"/>
      <c r="D1906" s="56"/>
      <c r="E1906" s="56"/>
      <c r="F1906" s="63"/>
      <c r="G1906" s="64"/>
      <c r="H1906" s="65"/>
      <c r="I1906" s="63"/>
      <c r="K1906" s="53" t="str">
        <f>IFERROR(__xludf.DUMMYFUNCTION("IF(ISBLANK(B1906),"""",IF(ISDATE(B1906),""X"",""""))"),"")</f>
        <v/>
      </c>
      <c r="L1906" s="40" t="str">
        <f>IFERROR(__xludf.DUMMYFUNCTION("IF(ISBLANK(B1906),"""",IF(Or(I1906=""Em Aberto"",ISBLANK(I1906),NOT(ISDATE(B1906))),"""",H1906))"),"")</f>
        <v/>
      </c>
      <c r="M1906" s="29" t="str">
        <f>IFERROR(__xludf.DUMMYFUNCTION("IF(ISBLANK(B1906),"""",IF(ISDATE(B1906),TEXT(B1906,""m""),""""))"),"")</f>
        <v/>
      </c>
      <c r="N1906" s="29" t="str">
        <f>IFERROR(__xludf.DUMMYFUNCTION("IF(M1906="""","""",QUERY({'Dashboard-Dados'!$Y$2:$AA$13},""Select Col2 Where Col1=""&amp;M1906))"),"")</f>
        <v/>
      </c>
      <c r="O1906" s="29" t="str">
        <f>IFERROR(__xludf.DUMMYFUNCTION("IF(ISBLANK(B1906),"""",IF(ISDATE(B1906),TEXT(B1906,""yyyy""),""""))"),"")</f>
        <v/>
      </c>
    </row>
    <row r="1907">
      <c r="B1907" s="62"/>
      <c r="C1907" s="56"/>
      <c r="D1907" s="56"/>
      <c r="E1907" s="56"/>
      <c r="F1907" s="63"/>
      <c r="G1907" s="64"/>
      <c r="H1907" s="65"/>
      <c r="I1907" s="63"/>
      <c r="K1907" s="53" t="str">
        <f>IFERROR(__xludf.DUMMYFUNCTION("IF(ISBLANK(B1907),"""",IF(ISDATE(B1907),""X"",""""))"),"")</f>
        <v/>
      </c>
      <c r="L1907" s="40" t="str">
        <f>IFERROR(__xludf.DUMMYFUNCTION("IF(ISBLANK(B1907),"""",IF(Or(I1907=""Em Aberto"",ISBLANK(I1907),NOT(ISDATE(B1907))),"""",H1907))"),"")</f>
        <v/>
      </c>
      <c r="M1907" s="29" t="str">
        <f>IFERROR(__xludf.DUMMYFUNCTION("IF(ISBLANK(B1907),"""",IF(ISDATE(B1907),TEXT(B1907,""m""),""""))"),"")</f>
        <v/>
      </c>
      <c r="N1907" s="29" t="str">
        <f>IFERROR(__xludf.DUMMYFUNCTION("IF(M1907="""","""",QUERY({'Dashboard-Dados'!$Y$2:$AA$13},""Select Col2 Where Col1=""&amp;M1907))"),"")</f>
        <v/>
      </c>
      <c r="O1907" s="29" t="str">
        <f>IFERROR(__xludf.DUMMYFUNCTION("IF(ISBLANK(B1907),"""",IF(ISDATE(B1907),TEXT(B1907,""yyyy""),""""))"),"")</f>
        <v/>
      </c>
    </row>
    <row r="1908">
      <c r="B1908" s="62"/>
      <c r="C1908" s="56"/>
      <c r="D1908" s="56"/>
      <c r="E1908" s="56"/>
      <c r="F1908" s="63"/>
      <c r="G1908" s="64"/>
      <c r="H1908" s="65"/>
      <c r="I1908" s="63"/>
      <c r="K1908" s="53" t="str">
        <f>IFERROR(__xludf.DUMMYFUNCTION("IF(ISBLANK(B1908),"""",IF(ISDATE(B1908),""X"",""""))"),"")</f>
        <v/>
      </c>
      <c r="L1908" s="40" t="str">
        <f>IFERROR(__xludf.DUMMYFUNCTION("IF(ISBLANK(B1908),"""",IF(Or(I1908=""Em Aberto"",ISBLANK(I1908),NOT(ISDATE(B1908))),"""",H1908))"),"")</f>
        <v/>
      </c>
      <c r="M1908" s="29" t="str">
        <f>IFERROR(__xludf.DUMMYFUNCTION("IF(ISBLANK(B1908),"""",IF(ISDATE(B1908),TEXT(B1908,""m""),""""))"),"")</f>
        <v/>
      </c>
      <c r="N1908" s="29" t="str">
        <f>IFERROR(__xludf.DUMMYFUNCTION("IF(M1908="""","""",QUERY({'Dashboard-Dados'!$Y$2:$AA$13},""Select Col2 Where Col1=""&amp;M1908))"),"")</f>
        <v/>
      </c>
      <c r="O1908" s="29" t="str">
        <f>IFERROR(__xludf.DUMMYFUNCTION("IF(ISBLANK(B1908),"""",IF(ISDATE(B1908),TEXT(B1908,""yyyy""),""""))"),"")</f>
        <v/>
      </c>
    </row>
    <row r="1909">
      <c r="B1909" s="62"/>
      <c r="C1909" s="56"/>
      <c r="D1909" s="56"/>
      <c r="E1909" s="56"/>
      <c r="F1909" s="63"/>
      <c r="G1909" s="64"/>
      <c r="H1909" s="65"/>
      <c r="I1909" s="63"/>
      <c r="K1909" s="53" t="str">
        <f>IFERROR(__xludf.DUMMYFUNCTION("IF(ISBLANK(B1909),"""",IF(ISDATE(B1909),""X"",""""))"),"")</f>
        <v/>
      </c>
      <c r="L1909" s="40" t="str">
        <f>IFERROR(__xludf.DUMMYFUNCTION("IF(ISBLANK(B1909),"""",IF(Or(I1909=""Em Aberto"",ISBLANK(I1909),NOT(ISDATE(B1909))),"""",H1909))"),"")</f>
        <v/>
      </c>
      <c r="M1909" s="29" t="str">
        <f>IFERROR(__xludf.DUMMYFUNCTION("IF(ISBLANK(B1909),"""",IF(ISDATE(B1909),TEXT(B1909,""m""),""""))"),"")</f>
        <v/>
      </c>
      <c r="N1909" s="29" t="str">
        <f>IFERROR(__xludf.DUMMYFUNCTION("IF(M1909="""","""",QUERY({'Dashboard-Dados'!$Y$2:$AA$13},""Select Col2 Where Col1=""&amp;M1909))"),"")</f>
        <v/>
      </c>
      <c r="O1909" s="29" t="str">
        <f>IFERROR(__xludf.DUMMYFUNCTION("IF(ISBLANK(B1909),"""",IF(ISDATE(B1909),TEXT(B1909,""yyyy""),""""))"),"")</f>
        <v/>
      </c>
    </row>
    <row r="1910">
      <c r="B1910" s="62"/>
      <c r="C1910" s="56"/>
      <c r="D1910" s="56"/>
      <c r="E1910" s="56"/>
      <c r="F1910" s="63"/>
      <c r="G1910" s="64"/>
      <c r="H1910" s="65"/>
      <c r="I1910" s="63"/>
      <c r="K1910" s="53" t="str">
        <f>IFERROR(__xludf.DUMMYFUNCTION("IF(ISBLANK(B1910),"""",IF(ISDATE(B1910),""X"",""""))"),"")</f>
        <v/>
      </c>
      <c r="L1910" s="40" t="str">
        <f>IFERROR(__xludf.DUMMYFUNCTION("IF(ISBLANK(B1910),"""",IF(Or(I1910=""Em Aberto"",ISBLANK(I1910),NOT(ISDATE(B1910))),"""",H1910))"),"")</f>
        <v/>
      </c>
      <c r="M1910" s="29" t="str">
        <f>IFERROR(__xludf.DUMMYFUNCTION("IF(ISBLANK(B1910),"""",IF(ISDATE(B1910),TEXT(B1910,""m""),""""))"),"")</f>
        <v/>
      </c>
      <c r="N1910" s="29" t="str">
        <f>IFERROR(__xludf.DUMMYFUNCTION("IF(M1910="""","""",QUERY({'Dashboard-Dados'!$Y$2:$AA$13},""Select Col2 Where Col1=""&amp;M1910))"),"")</f>
        <v/>
      </c>
      <c r="O1910" s="29" t="str">
        <f>IFERROR(__xludf.DUMMYFUNCTION("IF(ISBLANK(B1910),"""",IF(ISDATE(B1910),TEXT(B1910,""yyyy""),""""))"),"")</f>
        <v/>
      </c>
    </row>
    <row r="1911">
      <c r="B1911" s="62"/>
      <c r="C1911" s="56"/>
      <c r="D1911" s="56"/>
      <c r="E1911" s="56"/>
      <c r="F1911" s="63"/>
      <c r="G1911" s="64"/>
      <c r="H1911" s="65"/>
      <c r="I1911" s="63"/>
      <c r="K1911" s="53" t="str">
        <f>IFERROR(__xludf.DUMMYFUNCTION("IF(ISBLANK(B1911),"""",IF(ISDATE(B1911),""X"",""""))"),"")</f>
        <v/>
      </c>
      <c r="L1911" s="40" t="str">
        <f>IFERROR(__xludf.DUMMYFUNCTION("IF(ISBLANK(B1911),"""",IF(Or(I1911=""Em Aberto"",ISBLANK(I1911),NOT(ISDATE(B1911))),"""",H1911))"),"")</f>
        <v/>
      </c>
      <c r="M1911" s="29" t="str">
        <f>IFERROR(__xludf.DUMMYFUNCTION("IF(ISBLANK(B1911),"""",IF(ISDATE(B1911),TEXT(B1911,""m""),""""))"),"")</f>
        <v/>
      </c>
      <c r="N1911" s="29" t="str">
        <f>IFERROR(__xludf.DUMMYFUNCTION("IF(M1911="""","""",QUERY({'Dashboard-Dados'!$Y$2:$AA$13},""Select Col2 Where Col1=""&amp;M1911))"),"")</f>
        <v/>
      </c>
      <c r="O1911" s="29" t="str">
        <f>IFERROR(__xludf.DUMMYFUNCTION("IF(ISBLANK(B1911),"""",IF(ISDATE(B1911),TEXT(B1911,""yyyy""),""""))"),"")</f>
        <v/>
      </c>
    </row>
    <row r="1912">
      <c r="B1912" s="62"/>
      <c r="C1912" s="56"/>
      <c r="D1912" s="56"/>
      <c r="E1912" s="56"/>
      <c r="F1912" s="63"/>
      <c r="G1912" s="64"/>
      <c r="H1912" s="65"/>
      <c r="I1912" s="63"/>
      <c r="K1912" s="53" t="str">
        <f>IFERROR(__xludf.DUMMYFUNCTION("IF(ISBLANK(B1912),"""",IF(ISDATE(B1912),""X"",""""))"),"")</f>
        <v/>
      </c>
      <c r="L1912" s="40" t="str">
        <f>IFERROR(__xludf.DUMMYFUNCTION("IF(ISBLANK(B1912),"""",IF(Or(I1912=""Em Aberto"",ISBLANK(I1912),NOT(ISDATE(B1912))),"""",H1912))"),"")</f>
        <v/>
      </c>
      <c r="M1912" s="29" t="str">
        <f>IFERROR(__xludf.DUMMYFUNCTION("IF(ISBLANK(B1912),"""",IF(ISDATE(B1912),TEXT(B1912,""m""),""""))"),"")</f>
        <v/>
      </c>
      <c r="N1912" s="29" t="str">
        <f>IFERROR(__xludf.DUMMYFUNCTION("IF(M1912="""","""",QUERY({'Dashboard-Dados'!$Y$2:$AA$13},""Select Col2 Where Col1=""&amp;M1912))"),"")</f>
        <v/>
      </c>
      <c r="O1912" s="29" t="str">
        <f>IFERROR(__xludf.DUMMYFUNCTION("IF(ISBLANK(B1912),"""",IF(ISDATE(B1912),TEXT(B1912,""yyyy""),""""))"),"")</f>
        <v/>
      </c>
    </row>
    <row r="1913">
      <c r="B1913" s="62"/>
      <c r="C1913" s="56"/>
      <c r="D1913" s="56"/>
      <c r="E1913" s="56"/>
      <c r="F1913" s="63"/>
      <c r="G1913" s="64"/>
      <c r="H1913" s="65"/>
      <c r="I1913" s="63"/>
      <c r="K1913" s="53" t="str">
        <f>IFERROR(__xludf.DUMMYFUNCTION("IF(ISBLANK(B1913),"""",IF(ISDATE(B1913),""X"",""""))"),"")</f>
        <v/>
      </c>
      <c r="L1913" s="40" t="str">
        <f>IFERROR(__xludf.DUMMYFUNCTION("IF(ISBLANK(B1913),"""",IF(Or(I1913=""Em Aberto"",ISBLANK(I1913),NOT(ISDATE(B1913))),"""",H1913))"),"")</f>
        <v/>
      </c>
      <c r="M1913" s="29" t="str">
        <f>IFERROR(__xludf.DUMMYFUNCTION("IF(ISBLANK(B1913),"""",IF(ISDATE(B1913),TEXT(B1913,""m""),""""))"),"")</f>
        <v/>
      </c>
      <c r="N1913" s="29" t="str">
        <f>IFERROR(__xludf.DUMMYFUNCTION("IF(M1913="""","""",QUERY({'Dashboard-Dados'!$Y$2:$AA$13},""Select Col2 Where Col1=""&amp;M1913))"),"")</f>
        <v/>
      </c>
      <c r="O1913" s="29" t="str">
        <f>IFERROR(__xludf.DUMMYFUNCTION("IF(ISBLANK(B1913),"""",IF(ISDATE(B1913),TEXT(B1913,""yyyy""),""""))"),"")</f>
        <v/>
      </c>
    </row>
    <row r="1914">
      <c r="B1914" s="62"/>
      <c r="C1914" s="56"/>
      <c r="D1914" s="56"/>
      <c r="E1914" s="56"/>
      <c r="F1914" s="63"/>
      <c r="G1914" s="64"/>
      <c r="H1914" s="65"/>
      <c r="I1914" s="63"/>
      <c r="K1914" s="53" t="str">
        <f>IFERROR(__xludf.DUMMYFUNCTION("IF(ISBLANK(B1914),"""",IF(ISDATE(B1914),""X"",""""))"),"")</f>
        <v/>
      </c>
      <c r="L1914" s="40" t="str">
        <f>IFERROR(__xludf.DUMMYFUNCTION("IF(ISBLANK(B1914),"""",IF(Or(I1914=""Em Aberto"",ISBLANK(I1914),NOT(ISDATE(B1914))),"""",H1914))"),"")</f>
        <v/>
      </c>
      <c r="M1914" s="29" t="str">
        <f>IFERROR(__xludf.DUMMYFUNCTION("IF(ISBLANK(B1914),"""",IF(ISDATE(B1914),TEXT(B1914,""m""),""""))"),"")</f>
        <v/>
      </c>
      <c r="N1914" s="29" t="str">
        <f>IFERROR(__xludf.DUMMYFUNCTION("IF(M1914="""","""",QUERY({'Dashboard-Dados'!$Y$2:$AA$13},""Select Col2 Where Col1=""&amp;M1914))"),"")</f>
        <v/>
      </c>
      <c r="O1914" s="29" t="str">
        <f>IFERROR(__xludf.DUMMYFUNCTION("IF(ISBLANK(B1914),"""",IF(ISDATE(B1914),TEXT(B1914,""yyyy""),""""))"),"")</f>
        <v/>
      </c>
    </row>
    <row r="1915">
      <c r="B1915" s="62"/>
      <c r="C1915" s="56"/>
      <c r="D1915" s="56"/>
      <c r="E1915" s="56"/>
      <c r="F1915" s="63"/>
      <c r="G1915" s="64"/>
      <c r="H1915" s="65"/>
      <c r="I1915" s="63"/>
      <c r="K1915" s="53" t="str">
        <f>IFERROR(__xludf.DUMMYFUNCTION("IF(ISBLANK(B1915),"""",IF(ISDATE(B1915),""X"",""""))"),"")</f>
        <v/>
      </c>
      <c r="L1915" s="40" t="str">
        <f>IFERROR(__xludf.DUMMYFUNCTION("IF(ISBLANK(B1915),"""",IF(Or(I1915=""Em Aberto"",ISBLANK(I1915),NOT(ISDATE(B1915))),"""",H1915))"),"")</f>
        <v/>
      </c>
      <c r="M1915" s="29" t="str">
        <f>IFERROR(__xludf.DUMMYFUNCTION("IF(ISBLANK(B1915),"""",IF(ISDATE(B1915),TEXT(B1915,""m""),""""))"),"")</f>
        <v/>
      </c>
      <c r="N1915" s="29" t="str">
        <f>IFERROR(__xludf.DUMMYFUNCTION("IF(M1915="""","""",QUERY({'Dashboard-Dados'!$Y$2:$AA$13},""Select Col2 Where Col1=""&amp;M1915))"),"")</f>
        <v/>
      </c>
      <c r="O1915" s="29" t="str">
        <f>IFERROR(__xludf.DUMMYFUNCTION("IF(ISBLANK(B1915),"""",IF(ISDATE(B1915),TEXT(B1915,""yyyy""),""""))"),"")</f>
        <v/>
      </c>
    </row>
    <row r="1916">
      <c r="B1916" s="62"/>
      <c r="C1916" s="56"/>
      <c r="D1916" s="56"/>
      <c r="E1916" s="56"/>
      <c r="F1916" s="63"/>
      <c r="G1916" s="64"/>
      <c r="H1916" s="65"/>
      <c r="I1916" s="63"/>
      <c r="K1916" s="53" t="str">
        <f>IFERROR(__xludf.DUMMYFUNCTION("IF(ISBLANK(B1916),"""",IF(ISDATE(B1916),""X"",""""))"),"")</f>
        <v/>
      </c>
      <c r="L1916" s="40" t="str">
        <f>IFERROR(__xludf.DUMMYFUNCTION("IF(ISBLANK(B1916),"""",IF(Or(I1916=""Em Aberto"",ISBLANK(I1916),NOT(ISDATE(B1916))),"""",H1916))"),"")</f>
        <v/>
      </c>
      <c r="M1916" s="29" t="str">
        <f>IFERROR(__xludf.DUMMYFUNCTION("IF(ISBLANK(B1916),"""",IF(ISDATE(B1916),TEXT(B1916,""m""),""""))"),"")</f>
        <v/>
      </c>
      <c r="N1916" s="29" t="str">
        <f>IFERROR(__xludf.DUMMYFUNCTION("IF(M1916="""","""",QUERY({'Dashboard-Dados'!$Y$2:$AA$13},""Select Col2 Where Col1=""&amp;M1916))"),"")</f>
        <v/>
      </c>
      <c r="O1916" s="29" t="str">
        <f>IFERROR(__xludf.DUMMYFUNCTION("IF(ISBLANK(B1916),"""",IF(ISDATE(B1916),TEXT(B1916,""yyyy""),""""))"),"")</f>
        <v/>
      </c>
    </row>
    <row r="1917">
      <c r="B1917" s="62"/>
      <c r="C1917" s="56"/>
      <c r="D1917" s="56"/>
      <c r="E1917" s="56"/>
      <c r="F1917" s="63"/>
      <c r="G1917" s="64"/>
      <c r="H1917" s="65"/>
      <c r="I1917" s="63"/>
      <c r="K1917" s="53" t="str">
        <f>IFERROR(__xludf.DUMMYFUNCTION("IF(ISBLANK(B1917),"""",IF(ISDATE(B1917),""X"",""""))"),"")</f>
        <v/>
      </c>
      <c r="L1917" s="40" t="str">
        <f>IFERROR(__xludf.DUMMYFUNCTION("IF(ISBLANK(B1917),"""",IF(Or(I1917=""Em Aberto"",ISBLANK(I1917),NOT(ISDATE(B1917))),"""",H1917))"),"")</f>
        <v/>
      </c>
      <c r="M1917" s="29" t="str">
        <f>IFERROR(__xludf.DUMMYFUNCTION("IF(ISBLANK(B1917),"""",IF(ISDATE(B1917),TEXT(B1917,""m""),""""))"),"")</f>
        <v/>
      </c>
      <c r="N1917" s="29" t="str">
        <f>IFERROR(__xludf.DUMMYFUNCTION("IF(M1917="""","""",QUERY({'Dashboard-Dados'!$Y$2:$AA$13},""Select Col2 Where Col1=""&amp;M1917))"),"")</f>
        <v/>
      </c>
      <c r="O1917" s="29" t="str">
        <f>IFERROR(__xludf.DUMMYFUNCTION("IF(ISBLANK(B1917),"""",IF(ISDATE(B1917),TEXT(B1917,""yyyy""),""""))"),"")</f>
        <v/>
      </c>
    </row>
    <row r="1918">
      <c r="B1918" s="62"/>
      <c r="C1918" s="56"/>
      <c r="D1918" s="56"/>
      <c r="E1918" s="56"/>
      <c r="F1918" s="63"/>
      <c r="G1918" s="64"/>
      <c r="H1918" s="65"/>
      <c r="I1918" s="63"/>
      <c r="K1918" s="53" t="str">
        <f>IFERROR(__xludf.DUMMYFUNCTION("IF(ISBLANK(B1918),"""",IF(ISDATE(B1918),""X"",""""))"),"")</f>
        <v/>
      </c>
      <c r="L1918" s="40" t="str">
        <f>IFERROR(__xludf.DUMMYFUNCTION("IF(ISBLANK(B1918),"""",IF(Or(I1918=""Em Aberto"",ISBLANK(I1918),NOT(ISDATE(B1918))),"""",H1918))"),"")</f>
        <v/>
      </c>
      <c r="M1918" s="29" t="str">
        <f>IFERROR(__xludf.DUMMYFUNCTION("IF(ISBLANK(B1918),"""",IF(ISDATE(B1918),TEXT(B1918,""m""),""""))"),"")</f>
        <v/>
      </c>
      <c r="N1918" s="29" t="str">
        <f>IFERROR(__xludf.DUMMYFUNCTION("IF(M1918="""","""",QUERY({'Dashboard-Dados'!$Y$2:$AA$13},""Select Col2 Where Col1=""&amp;M1918))"),"")</f>
        <v/>
      </c>
      <c r="O1918" s="29" t="str">
        <f>IFERROR(__xludf.DUMMYFUNCTION("IF(ISBLANK(B1918),"""",IF(ISDATE(B1918),TEXT(B1918,""yyyy""),""""))"),"")</f>
        <v/>
      </c>
    </row>
    <row r="1919">
      <c r="B1919" s="62"/>
      <c r="C1919" s="56"/>
      <c r="D1919" s="56"/>
      <c r="E1919" s="56"/>
      <c r="F1919" s="63"/>
      <c r="G1919" s="64"/>
      <c r="H1919" s="65"/>
      <c r="I1919" s="63"/>
      <c r="K1919" s="53" t="str">
        <f>IFERROR(__xludf.DUMMYFUNCTION("IF(ISBLANK(B1919),"""",IF(ISDATE(B1919),""X"",""""))"),"")</f>
        <v/>
      </c>
      <c r="L1919" s="40" t="str">
        <f>IFERROR(__xludf.DUMMYFUNCTION("IF(ISBLANK(B1919),"""",IF(Or(I1919=""Em Aberto"",ISBLANK(I1919),NOT(ISDATE(B1919))),"""",H1919))"),"")</f>
        <v/>
      </c>
      <c r="M1919" s="29" t="str">
        <f>IFERROR(__xludf.DUMMYFUNCTION("IF(ISBLANK(B1919),"""",IF(ISDATE(B1919),TEXT(B1919,""m""),""""))"),"")</f>
        <v/>
      </c>
      <c r="N1919" s="29" t="str">
        <f>IFERROR(__xludf.DUMMYFUNCTION("IF(M1919="""","""",QUERY({'Dashboard-Dados'!$Y$2:$AA$13},""Select Col2 Where Col1=""&amp;M1919))"),"")</f>
        <v/>
      </c>
      <c r="O1919" s="29" t="str">
        <f>IFERROR(__xludf.DUMMYFUNCTION("IF(ISBLANK(B1919),"""",IF(ISDATE(B1919),TEXT(B1919,""yyyy""),""""))"),"")</f>
        <v/>
      </c>
    </row>
    <row r="1920">
      <c r="B1920" s="62"/>
      <c r="C1920" s="56"/>
      <c r="D1920" s="56"/>
      <c r="E1920" s="56"/>
      <c r="F1920" s="63"/>
      <c r="G1920" s="64"/>
      <c r="H1920" s="65"/>
      <c r="I1920" s="63"/>
      <c r="K1920" s="53" t="str">
        <f>IFERROR(__xludf.DUMMYFUNCTION("IF(ISBLANK(B1920),"""",IF(ISDATE(B1920),""X"",""""))"),"")</f>
        <v/>
      </c>
      <c r="L1920" s="40" t="str">
        <f>IFERROR(__xludf.DUMMYFUNCTION("IF(ISBLANK(B1920),"""",IF(Or(I1920=""Em Aberto"",ISBLANK(I1920),NOT(ISDATE(B1920))),"""",H1920))"),"")</f>
        <v/>
      </c>
      <c r="M1920" s="29" t="str">
        <f>IFERROR(__xludf.DUMMYFUNCTION("IF(ISBLANK(B1920),"""",IF(ISDATE(B1920),TEXT(B1920,""m""),""""))"),"")</f>
        <v/>
      </c>
      <c r="N1920" s="29" t="str">
        <f>IFERROR(__xludf.DUMMYFUNCTION("IF(M1920="""","""",QUERY({'Dashboard-Dados'!$Y$2:$AA$13},""Select Col2 Where Col1=""&amp;M1920))"),"")</f>
        <v/>
      </c>
      <c r="O1920" s="29" t="str">
        <f>IFERROR(__xludf.DUMMYFUNCTION("IF(ISBLANK(B1920),"""",IF(ISDATE(B1920),TEXT(B1920,""yyyy""),""""))"),"")</f>
        <v/>
      </c>
    </row>
    <row r="1921">
      <c r="B1921" s="62"/>
      <c r="C1921" s="56"/>
      <c r="D1921" s="56"/>
      <c r="E1921" s="56"/>
      <c r="F1921" s="63"/>
      <c r="G1921" s="64"/>
      <c r="H1921" s="65"/>
      <c r="I1921" s="63"/>
      <c r="K1921" s="53" t="str">
        <f>IFERROR(__xludf.DUMMYFUNCTION("IF(ISBLANK(B1921),"""",IF(ISDATE(B1921),""X"",""""))"),"")</f>
        <v/>
      </c>
      <c r="L1921" s="40" t="str">
        <f>IFERROR(__xludf.DUMMYFUNCTION("IF(ISBLANK(B1921),"""",IF(Or(I1921=""Em Aberto"",ISBLANK(I1921),NOT(ISDATE(B1921))),"""",H1921))"),"")</f>
        <v/>
      </c>
      <c r="M1921" s="29" t="str">
        <f>IFERROR(__xludf.DUMMYFUNCTION("IF(ISBLANK(B1921),"""",IF(ISDATE(B1921),TEXT(B1921,""m""),""""))"),"")</f>
        <v/>
      </c>
      <c r="N1921" s="29" t="str">
        <f>IFERROR(__xludf.DUMMYFUNCTION("IF(M1921="""","""",QUERY({'Dashboard-Dados'!$Y$2:$AA$13},""Select Col2 Where Col1=""&amp;M1921))"),"")</f>
        <v/>
      </c>
      <c r="O1921" s="29" t="str">
        <f>IFERROR(__xludf.DUMMYFUNCTION("IF(ISBLANK(B1921),"""",IF(ISDATE(B1921),TEXT(B1921,""yyyy""),""""))"),"")</f>
        <v/>
      </c>
    </row>
    <row r="1922">
      <c r="B1922" s="62"/>
      <c r="C1922" s="56"/>
      <c r="D1922" s="56"/>
      <c r="E1922" s="56"/>
      <c r="F1922" s="63"/>
      <c r="G1922" s="64"/>
      <c r="H1922" s="65"/>
      <c r="I1922" s="63"/>
      <c r="K1922" s="53" t="str">
        <f>IFERROR(__xludf.DUMMYFUNCTION("IF(ISBLANK(B1922),"""",IF(ISDATE(B1922),""X"",""""))"),"")</f>
        <v/>
      </c>
      <c r="L1922" s="40" t="str">
        <f>IFERROR(__xludf.DUMMYFUNCTION("IF(ISBLANK(B1922),"""",IF(Or(I1922=""Em Aberto"",ISBLANK(I1922),NOT(ISDATE(B1922))),"""",H1922))"),"")</f>
        <v/>
      </c>
      <c r="M1922" s="29" t="str">
        <f>IFERROR(__xludf.DUMMYFUNCTION("IF(ISBLANK(B1922),"""",IF(ISDATE(B1922),TEXT(B1922,""m""),""""))"),"")</f>
        <v/>
      </c>
      <c r="N1922" s="29" t="str">
        <f>IFERROR(__xludf.DUMMYFUNCTION("IF(M1922="""","""",QUERY({'Dashboard-Dados'!$Y$2:$AA$13},""Select Col2 Where Col1=""&amp;M1922))"),"")</f>
        <v/>
      </c>
      <c r="O1922" s="29" t="str">
        <f>IFERROR(__xludf.DUMMYFUNCTION("IF(ISBLANK(B1922),"""",IF(ISDATE(B1922),TEXT(B1922,""yyyy""),""""))"),"")</f>
        <v/>
      </c>
    </row>
    <row r="1923">
      <c r="B1923" s="62"/>
      <c r="C1923" s="56"/>
      <c r="D1923" s="56"/>
      <c r="E1923" s="56"/>
      <c r="F1923" s="63"/>
      <c r="G1923" s="64"/>
      <c r="H1923" s="65"/>
      <c r="I1923" s="63"/>
      <c r="K1923" s="53" t="str">
        <f>IFERROR(__xludf.DUMMYFUNCTION("IF(ISBLANK(B1923),"""",IF(ISDATE(B1923),""X"",""""))"),"")</f>
        <v/>
      </c>
      <c r="L1923" s="40" t="str">
        <f>IFERROR(__xludf.DUMMYFUNCTION("IF(ISBLANK(B1923),"""",IF(Or(I1923=""Em Aberto"",ISBLANK(I1923),NOT(ISDATE(B1923))),"""",H1923))"),"")</f>
        <v/>
      </c>
      <c r="M1923" s="29" t="str">
        <f>IFERROR(__xludf.DUMMYFUNCTION("IF(ISBLANK(B1923),"""",IF(ISDATE(B1923),TEXT(B1923,""m""),""""))"),"")</f>
        <v/>
      </c>
      <c r="N1923" s="29" t="str">
        <f>IFERROR(__xludf.DUMMYFUNCTION("IF(M1923="""","""",QUERY({'Dashboard-Dados'!$Y$2:$AA$13},""Select Col2 Where Col1=""&amp;M1923))"),"")</f>
        <v/>
      </c>
      <c r="O1923" s="29" t="str">
        <f>IFERROR(__xludf.DUMMYFUNCTION("IF(ISBLANK(B1923),"""",IF(ISDATE(B1923),TEXT(B1923,""yyyy""),""""))"),"")</f>
        <v/>
      </c>
    </row>
    <row r="1924">
      <c r="B1924" s="62"/>
      <c r="C1924" s="56"/>
      <c r="D1924" s="56"/>
      <c r="E1924" s="56"/>
      <c r="F1924" s="63"/>
      <c r="G1924" s="64"/>
      <c r="H1924" s="65"/>
      <c r="I1924" s="63"/>
      <c r="K1924" s="53" t="str">
        <f>IFERROR(__xludf.DUMMYFUNCTION("IF(ISBLANK(B1924),"""",IF(ISDATE(B1924),""X"",""""))"),"")</f>
        <v/>
      </c>
      <c r="L1924" s="40" t="str">
        <f>IFERROR(__xludf.DUMMYFUNCTION("IF(ISBLANK(B1924),"""",IF(Or(I1924=""Em Aberto"",ISBLANK(I1924),NOT(ISDATE(B1924))),"""",H1924))"),"")</f>
        <v/>
      </c>
      <c r="M1924" s="29" t="str">
        <f>IFERROR(__xludf.DUMMYFUNCTION("IF(ISBLANK(B1924),"""",IF(ISDATE(B1924),TEXT(B1924,""m""),""""))"),"")</f>
        <v/>
      </c>
      <c r="N1924" s="29" t="str">
        <f>IFERROR(__xludf.DUMMYFUNCTION("IF(M1924="""","""",QUERY({'Dashboard-Dados'!$Y$2:$AA$13},""Select Col2 Where Col1=""&amp;M1924))"),"")</f>
        <v/>
      </c>
      <c r="O1924" s="29" t="str">
        <f>IFERROR(__xludf.DUMMYFUNCTION("IF(ISBLANK(B1924),"""",IF(ISDATE(B1924),TEXT(B1924,""yyyy""),""""))"),"")</f>
        <v/>
      </c>
    </row>
    <row r="1925">
      <c r="B1925" s="62"/>
      <c r="C1925" s="56"/>
      <c r="D1925" s="56"/>
      <c r="E1925" s="56"/>
      <c r="F1925" s="63"/>
      <c r="G1925" s="64"/>
      <c r="H1925" s="65"/>
      <c r="I1925" s="63"/>
      <c r="K1925" s="53" t="str">
        <f>IFERROR(__xludf.DUMMYFUNCTION("IF(ISBLANK(B1925),"""",IF(ISDATE(B1925),""X"",""""))"),"")</f>
        <v/>
      </c>
      <c r="L1925" s="40" t="str">
        <f>IFERROR(__xludf.DUMMYFUNCTION("IF(ISBLANK(B1925),"""",IF(Or(I1925=""Em Aberto"",ISBLANK(I1925),NOT(ISDATE(B1925))),"""",H1925))"),"")</f>
        <v/>
      </c>
      <c r="M1925" s="29" t="str">
        <f>IFERROR(__xludf.DUMMYFUNCTION("IF(ISBLANK(B1925),"""",IF(ISDATE(B1925),TEXT(B1925,""m""),""""))"),"")</f>
        <v/>
      </c>
      <c r="N1925" s="29" t="str">
        <f>IFERROR(__xludf.DUMMYFUNCTION("IF(M1925="""","""",QUERY({'Dashboard-Dados'!$Y$2:$AA$13},""Select Col2 Where Col1=""&amp;M1925))"),"")</f>
        <v/>
      </c>
      <c r="O1925" s="29" t="str">
        <f>IFERROR(__xludf.DUMMYFUNCTION("IF(ISBLANK(B1925),"""",IF(ISDATE(B1925),TEXT(B1925,""yyyy""),""""))"),"")</f>
        <v/>
      </c>
    </row>
    <row r="1926">
      <c r="B1926" s="62"/>
      <c r="C1926" s="56"/>
      <c r="D1926" s="56"/>
      <c r="E1926" s="56"/>
      <c r="F1926" s="63"/>
      <c r="G1926" s="64"/>
      <c r="H1926" s="65"/>
      <c r="I1926" s="63"/>
      <c r="K1926" s="53" t="str">
        <f>IFERROR(__xludf.DUMMYFUNCTION("IF(ISBLANK(B1926),"""",IF(ISDATE(B1926),""X"",""""))"),"")</f>
        <v/>
      </c>
      <c r="L1926" s="40" t="str">
        <f>IFERROR(__xludf.DUMMYFUNCTION("IF(ISBLANK(B1926),"""",IF(Or(I1926=""Em Aberto"",ISBLANK(I1926),NOT(ISDATE(B1926))),"""",H1926))"),"")</f>
        <v/>
      </c>
      <c r="M1926" s="29" t="str">
        <f>IFERROR(__xludf.DUMMYFUNCTION("IF(ISBLANK(B1926),"""",IF(ISDATE(B1926),TEXT(B1926,""m""),""""))"),"")</f>
        <v/>
      </c>
      <c r="N1926" s="29" t="str">
        <f>IFERROR(__xludf.DUMMYFUNCTION("IF(M1926="""","""",QUERY({'Dashboard-Dados'!$Y$2:$AA$13},""Select Col2 Where Col1=""&amp;M1926))"),"")</f>
        <v/>
      </c>
      <c r="O1926" s="29" t="str">
        <f>IFERROR(__xludf.DUMMYFUNCTION("IF(ISBLANK(B1926),"""",IF(ISDATE(B1926),TEXT(B1926,""yyyy""),""""))"),"")</f>
        <v/>
      </c>
    </row>
    <row r="1927">
      <c r="B1927" s="62"/>
      <c r="C1927" s="56"/>
      <c r="D1927" s="56"/>
      <c r="E1927" s="56"/>
      <c r="F1927" s="63"/>
      <c r="G1927" s="64"/>
      <c r="H1927" s="65"/>
      <c r="I1927" s="63"/>
      <c r="K1927" s="53" t="str">
        <f>IFERROR(__xludf.DUMMYFUNCTION("IF(ISBLANK(B1927),"""",IF(ISDATE(B1927),""X"",""""))"),"")</f>
        <v/>
      </c>
      <c r="L1927" s="40" t="str">
        <f>IFERROR(__xludf.DUMMYFUNCTION("IF(ISBLANK(B1927),"""",IF(Or(I1927=""Em Aberto"",ISBLANK(I1927),NOT(ISDATE(B1927))),"""",H1927))"),"")</f>
        <v/>
      </c>
      <c r="M1927" s="29" t="str">
        <f>IFERROR(__xludf.DUMMYFUNCTION("IF(ISBLANK(B1927),"""",IF(ISDATE(B1927),TEXT(B1927,""m""),""""))"),"")</f>
        <v/>
      </c>
      <c r="N1927" s="29" t="str">
        <f>IFERROR(__xludf.DUMMYFUNCTION("IF(M1927="""","""",QUERY({'Dashboard-Dados'!$Y$2:$AA$13},""Select Col2 Where Col1=""&amp;M1927))"),"")</f>
        <v/>
      </c>
      <c r="O1927" s="29" t="str">
        <f>IFERROR(__xludf.DUMMYFUNCTION("IF(ISBLANK(B1927),"""",IF(ISDATE(B1927),TEXT(B1927,""yyyy""),""""))"),"")</f>
        <v/>
      </c>
    </row>
    <row r="1928">
      <c r="B1928" s="62"/>
      <c r="C1928" s="56"/>
      <c r="D1928" s="56"/>
      <c r="E1928" s="56"/>
      <c r="F1928" s="63"/>
      <c r="G1928" s="64"/>
      <c r="H1928" s="65"/>
      <c r="I1928" s="63"/>
      <c r="K1928" s="53" t="str">
        <f>IFERROR(__xludf.DUMMYFUNCTION("IF(ISBLANK(B1928),"""",IF(ISDATE(B1928),""X"",""""))"),"")</f>
        <v/>
      </c>
      <c r="L1928" s="40" t="str">
        <f>IFERROR(__xludf.DUMMYFUNCTION("IF(ISBLANK(B1928),"""",IF(Or(I1928=""Em Aberto"",ISBLANK(I1928),NOT(ISDATE(B1928))),"""",H1928))"),"")</f>
        <v/>
      </c>
      <c r="M1928" s="29" t="str">
        <f>IFERROR(__xludf.DUMMYFUNCTION("IF(ISBLANK(B1928),"""",IF(ISDATE(B1928),TEXT(B1928,""m""),""""))"),"")</f>
        <v/>
      </c>
      <c r="N1928" s="29" t="str">
        <f>IFERROR(__xludf.DUMMYFUNCTION("IF(M1928="""","""",QUERY({'Dashboard-Dados'!$Y$2:$AA$13},""Select Col2 Where Col1=""&amp;M1928))"),"")</f>
        <v/>
      </c>
      <c r="O1928" s="29" t="str">
        <f>IFERROR(__xludf.DUMMYFUNCTION("IF(ISBLANK(B1928),"""",IF(ISDATE(B1928),TEXT(B1928,""yyyy""),""""))"),"")</f>
        <v/>
      </c>
    </row>
    <row r="1929">
      <c r="B1929" s="62"/>
      <c r="C1929" s="56"/>
      <c r="D1929" s="56"/>
      <c r="E1929" s="56"/>
      <c r="F1929" s="63"/>
      <c r="G1929" s="64"/>
      <c r="H1929" s="65"/>
      <c r="I1929" s="63"/>
      <c r="K1929" s="53" t="str">
        <f>IFERROR(__xludf.DUMMYFUNCTION("IF(ISBLANK(B1929),"""",IF(ISDATE(B1929),""X"",""""))"),"")</f>
        <v/>
      </c>
      <c r="L1929" s="40" t="str">
        <f>IFERROR(__xludf.DUMMYFUNCTION("IF(ISBLANK(B1929),"""",IF(Or(I1929=""Em Aberto"",ISBLANK(I1929),NOT(ISDATE(B1929))),"""",H1929))"),"")</f>
        <v/>
      </c>
      <c r="M1929" s="29" t="str">
        <f>IFERROR(__xludf.DUMMYFUNCTION("IF(ISBLANK(B1929),"""",IF(ISDATE(B1929),TEXT(B1929,""m""),""""))"),"")</f>
        <v/>
      </c>
      <c r="N1929" s="29" t="str">
        <f>IFERROR(__xludf.DUMMYFUNCTION("IF(M1929="""","""",QUERY({'Dashboard-Dados'!$Y$2:$AA$13},""Select Col2 Where Col1=""&amp;M1929))"),"")</f>
        <v/>
      </c>
      <c r="O1929" s="29" t="str">
        <f>IFERROR(__xludf.DUMMYFUNCTION("IF(ISBLANK(B1929),"""",IF(ISDATE(B1929),TEXT(B1929,""yyyy""),""""))"),"")</f>
        <v/>
      </c>
    </row>
    <row r="1930">
      <c r="B1930" s="62"/>
      <c r="C1930" s="56"/>
      <c r="D1930" s="56"/>
      <c r="E1930" s="56"/>
      <c r="F1930" s="63"/>
      <c r="G1930" s="64"/>
      <c r="H1930" s="65"/>
      <c r="I1930" s="63"/>
      <c r="K1930" s="53" t="str">
        <f>IFERROR(__xludf.DUMMYFUNCTION("IF(ISBLANK(B1930),"""",IF(ISDATE(B1930),""X"",""""))"),"")</f>
        <v/>
      </c>
      <c r="L1930" s="40" t="str">
        <f>IFERROR(__xludf.DUMMYFUNCTION("IF(ISBLANK(B1930),"""",IF(Or(I1930=""Em Aberto"",ISBLANK(I1930),NOT(ISDATE(B1930))),"""",H1930))"),"")</f>
        <v/>
      </c>
      <c r="M1930" s="29" t="str">
        <f>IFERROR(__xludf.DUMMYFUNCTION("IF(ISBLANK(B1930),"""",IF(ISDATE(B1930),TEXT(B1930,""m""),""""))"),"")</f>
        <v/>
      </c>
      <c r="N1930" s="29" t="str">
        <f>IFERROR(__xludf.DUMMYFUNCTION("IF(M1930="""","""",QUERY({'Dashboard-Dados'!$Y$2:$AA$13},""Select Col2 Where Col1=""&amp;M1930))"),"")</f>
        <v/>
      </c>
      <c r="O1930" s="29" t="str">
        <f>IFERROR(__xludf.DUMMYFUNCTION("IF(ISBLANK(B1930),"""",IF(ISDATE(B1930),TEXT(B1930,""yyyy""),""""))"),"")</f>
        <v/>
      </c>
    </row>
    <row r="1931">
      <c r="B1931" s="62"/>
      <c r="C1931" s="56"/>
      <c r="D1931" s="56"/>
      <c r="E1931" s="56"/>
      <c r="F1931" s="63"/>
      <c r="G1931" s="64"/>
      <c r="H1931" s="65"/>
      <c r="I1931" s="63"/>
      <c r="K1931" s="53" t="str">
        <f>IFERROR(__xludf.DUMMYFUNCTION("IF(ISBLANK(B1931),"""",IF(ISDATE(B1931),""X"",""""))"),"")</f>
        <v/>
      </c>
      <c r="L1931" s="40" t="str">
        <f>IFERROR(__xludf.DUMMYFUNCTION("IF(ISBLANK(B1931),"""",IF(Or(I1931=""Em Aberto"",ISBLANK(I1931),NOT(ISDATE(B1931))),"""",H1931))"),"")</f>
        <v/>
      </c>
      <c r="M1931" s="29" t="str">
        <f>IFERROR(__xludf.DUMMYFUNCTION("IF(ISBLANK(B1931),"""",IF(ISDATE(B1931),TEXT(B1931,""m""),""""))"),"")</f>
        <v/>
      </c>
      <c r="N1931" s="29" t="str">
        <f>IFERROR(__xludf.DUMMYFUNCTION("IF(M1931="""","""",QUERY({'Dashboard-Dados'!$Y$2:$AA$13},""Select Col2 Where Col1=""&amp;M1931))"),"")</f>
        <v/>
      </c>
      <c r="O1931" s="29" t="str">
        <f>IFERROR(__xludf.DUMMYFUNCTION("IF(ISBLANK(B1931),"""",IF(ISDATE(B1931),TEXT(B1931,""yyyy""),""""))"),"")</f>
        <v/>
      </c>
    </row>
    <row r="1932">
      <c r="B1932" s="62"/>
      <c r="C1932" s="56"/>
      <c r="D1932" s="56"/>
      <c r="E1932" s="56"/>
      <c r="F1932" s="63"/>
      <c r="G1932" s="64"/>
      <c r="H1932" s="65"/>
      <c r="I1932" s="63"/>
      <c r="K1932" s="53" t="str">
        <f>IFERROR(__xludf.DUMMYFUNCTION("IF(ISBLANK(B1932),"""",IF(ISDATE(B1932),""X"",""""))"),"")</f>
        <v/>
      </c>
      <c r="L1932" s="40" t="str">
        <f>IFERROR(__xludf.DUMMYFUNCTION("IF(ISBLANK(B1932),"""",IF(Or(I1932=""Em Aberto"",ISBLANK(I1932),NOT(ISDATE(B1932))),"""",H1932))"),"")</f>
        <v/>
      </c>
      <c r="M1932" s="29" t="str">
        <f>IFERROR(__xludf.DUMMYFUNCTION("IF(ISBLANK(B1932),"""",IF(ISDATE(B1932),TEXT(B1932,""m""),""""))"),"")</f>
        <v/>
      </c>
      <c r="N1932" s="29" t="str">
        <f>IFERROR(__xludf.DUMMYFUNCTION("IF(M1932="""","""",QUERY({'Dashboard-Dados'!$Y$2:$AA$13},""Select Col2 Where Col1=""&amp;M1932))"),"")</f>
        <v/>
      </c>
      <c r="O1932" s="29" t="str">
        <f>IFERROR(__xludf.DUMMYFUNCTION("IF(ISBLANK(B1932),"""",IF(ISDATE(B1932),TEXT(B1932,""yyyy""),""""))"),"")</f>
        <v/>
      </c>
    </row>
    <row r="1933">
      <c r="B1933" s="62"/>
      <c r="C1933" s="56"/>
      <c r="D1933" s="56"/>
      <c r="E1933" s="56"/>
      <c r="F1933" s="63"/>
      <c r="G1933" s="64"/>
      <c r="H1933" s="65"/>
      <c r="I1933" s="63"/>
      <c r="K1933" s="53" t="str">
        <f>IFERROR(__xludf.DUMMYFUNCTION("IF(ISBLANK(B1933),"""",IF(ISDATE(B1933),""X"",""""))"),"")</f>
        <v/>
      </c>
      <c r="L1933" s="40" t="str">
        <f>IFERROR(__xludf.DUMMYFUNCTION("IF(ISBLANK(B1933),"""",IF(Or(I1933=""Em Aberto"",ISBLANK(I1933),NOT(ISDATE(B1933))),"""",H1933))"),"")</f>
        <v/>
      </c>
      <c r="M1933" s="29" t="str">
        <f>IFERROR(__xludf.DUMMYFUNCTION("IF(ISBLANK(B1933),"""",IF(ISDATE(B1933),TEXT(B1933,""m""),""""))"),"")</f>
        <v/>
      </c>
      <c r="N1933" s="29" t="str">
        <f>IFERROR(__xludf.DUMMYFUNCTION("IF(M1933="""","""",QUERY({'Dashboard-Dados'!$Y$2:$AA$13},""Select Col2 Where Col1=""&amp;M1933))"),"")</f>
        <v/>
      </c>
      <c r="O1933" s="29" t="str">
        <f>IFERROR(__xludf.DUMMYFUNCTION("IF(ISBLANK(B1933),"""",IF(ISDATE(B1933),TEXT(B1933,""yyyy""),""""))"),"")</f>
        <v/>
      </c>
    </row>
    <row r="1934">
      <c r="B1934" s="62"/>
      <c r="C1934" s="56"/>
      <c r="D1934" s="56"/>
      <c r="E1934" s="56"/>
      <c r="F1934" s="63"/>
      <c r="G1934" s="64"/>
      <c r="H1934" s="65"/>
      <c r="I1934" s="63"/>
      <c r="K1934" s="53" t="str">
        <f>IFERROR(__xludf.DUMMYFUNCTION("IF(ISBLANK(B1934),"""",IF(ISDATE(B1934),""X"",""""))"),"")</f>
        <v/>
      </c>
      <c r="L1934" s="40" t="str">
        <f>IFERROR(__xludf.DUMMYFUNCTION("IF(ISBLANK(B1934),"""",IF(Or(I1934=""Em Aberto"",ISBLANK(I1934),NOT(ISDATE(B1934))),"""",H1934))"),"")</f>
        <v/>
      </c>
      <c r="M1934" s="29" t="str">
        <f>IFERROR(__xludf.DUMMYFUNCTION("IF(ISBLANK(B1934),"""",IF(ISDATE(B1934),TEXT(B1934,""m""),""""))"),"")</f>
        <v/>
      </c>
      <c r="N1934" s="29" t="str">
        <f>IFERROR(__xludf.DUMMYFUNCTION("IF(M1934="""","""",QUERY({'Dashboard-Dados'!$Y$2:$AA$13},""Select Col2 Where Col1=""&amp;M1934))"),"")</f>
        <v/>
      </c>
      <c r="O1934" s="29" t="str">
        <f>IFERROR(__xludf.DUMMYFUNCTION("IF(ISBLANK(B1934),"""",IF(ISDATE(B1934),TEXT(B1934,""yyyy""),""""))"),"")</f>
        <v/>
      </c>
    </row>
    <row r="1935">
      <c r="B1935" s="62"/>
      <c r="C1935" s="56"/>
      <c r="D1935" s="56"/>
      <c r="E1935" s="56"/>
      <c r="F1935" s="63"/>
      <c r="G1935" s="64"/>
      <c r="H1935" s="65"/>
      <c r="I1935" s="63"/>
      <c r="K1935" s="53" t="str">
        <f>IFERROR(__xludf.DUMMYFUNCTION("IF(ISBLANK(B1935),"""",IF(ISDATE(B1935),""X"",""""))"),"")</f>
        <v/>
      </c>
      <c r="L1935" s="40" t="str">
        <f>IFERROR(__xludf.DUMMYFUNCTION("IF(ISBLANK(B1935),"""",IF(Or(I1935=""Em Aberto"",ISBLANK(I1935),NOT(ISDATE(B1935))),"""",H1935))"),"")</f>
        <v/>
      </c>
      <c r="M1935" s="29" t="str">
        <f>IFERROR(__xludf.DUMMYFUNCTION("IF(ISBLANK(B1935),"""",IF(ISDATE(B1935),TEXT(B1935,""m""),""""))"),"")</f>
        <v/>
      </c>
      <c r="N1935" s="29" t="str">
        <f>IFERROR(__xludf.DUMMYFUNCTION("IF(M1935="""","""",QUERY({'Dashboard-Dados'!$Y$2:$AA$13},""Select Col2 Where Col1=""&amp;M1935))"),"")</f>
        <v/>
      </c>
      <c r="O1935" s="29" t="str">
        <f>IFERROR(__xludf.DUMMYFUNCTION("IF(ISBLANK(B1935),"""",IF(ISDATE(B1935),TEXT(B1935,""yyyy""),""""))"),"")</f>
        <v/>
      </c>
    </row>
    <row r="1936">
      <c r="B1936" s="62"/>
      <c r="C1936" s="56"/>
      <c r="D1936" s="56"/>
      <c r="E1936" s="56"/>
      <c r="F1936" s="63"/>
      <c r="G1936" s="64"/>
      <c r="H1936" s="65"/>
      <c r="I1936" s="63"/>
      <c r="K1936" s="53" t="str">
        <f>IFERROR(__xludf.DUMMYFUNCTION("IF(ISBLANK(B1936),"""",IF(ISDATE(B1936),""X"",""""))"),"")</f>
        <v/>
      </c>
      <c r="L1936" s="40" t="str">
        <f>IFERROR(__xludf.DUMMYFUNCTION("IF(ISBLANK(B1936),"""",IF(Or(I1936=""Em Aberto"",ISBLANK(I1936),NOT(ISDATE(B1936))),"""",H1936))"),"")</f>
        <v/>
      </c>
      <c r="M1936" s="29" t="str">
        <f>IFERROR(__xludf.DUMMYFUNCTION("IF(ISBLANK(B1936),"""",IF(ISDATE(B1936),TEXT(B1936,""m""),""""))"),"")</f>
        <v/>
      </c>
      <c r="N1936" s="29" t="str">
        <f>IFERROR(__xludf.DUMMYFUNCTION("IF(M1936="""","""",QUERY({'Dashboard-Dados'!$Y$2:$AA$13},""Select Col2 Where Col1=""&amp;M1936))"),"")</f>
        <v/>
      </c>
      <c r="O1936" s="29" t="str">
        <f>IFERROR(__xludf.DUMMYFUNCTION("IF(ISBLANK(B1936),"""",IF(ISDATE(B1936),TEXT(B1936,""yyyy""),""""))"),"")</f>
        <v/>
      </c>
    </row>
    <row r="1937">
      <c r="B1937" s="62"/>
      <c r="C1937" s="56"/>
      <c r="D1937" s="56"/>
      <c r="E1937" s="56"/>
      <c r="F1937" s="63"/>
      <c r="G1937" s="64"/>
      <c r="H1937" s="65"/>
      <c r="I1937" s="63"/>
      <c r="K1937" s="53" t="str">
        <f>IFERROR(__xludf.DUMMYFUNCTION("IF(ISBLANK(B1937),"""",IF(ISDATE(B1937),""X"",""""))"),"")</f>
        <v/>
      </c>
      <c r="L1937" s="40" t="str">
        <f>IFERROR(__xludf.DUMMYFUNCTION("IF(ISBLANK(B1937),"""",IF(Or(I1937=""Em Aberto"",ISBLANK(I1937),NOT(ISDATE(B1937))),"""",H1937))"),"")</f>
        <v/>
      </c>
      <c r="M1937" s="29" t="str">
        <f>IFERROR(__xludf.DUMMYFUNCTION("IF(ISBLANK(B1937),"""",IF(ISDATE(B1937),TEXT(B1937,""m""),""""))"),"")</f>
        <v/>
      </c>
      <c r="N1937" s="29" t="str">
        <f>IFERROR(__xludf.DUMMYFUNCTION("IF(M1937="""","""",QUERY({'Dashboard-Dados'!$Y$2:$AA$13},""Select Col2 Where Col1=""&amp;M1937))"),"")</f>
        <v/>
      </c>
      <c r="O1937" s="29" t="str">
        <f>IFERROR(__xludf.DUMMYFUNCTION("IF(ISBLANK(B1937),"""",IF(ISDATE(B1937),TEXT(B1937,""yyyy""),""""))"),"")</f>
        <v/>
      </c>
    </row>
    <row r="1938">
      <c r="B1938" s="62"/>
      <c r="C1938" s="56"/>
      <c r="D1938" s="56"/>
      <c r="E1938" s="56"/>
      <c r="F1938" s="63"/>
      <c r="G1938" s="64"/>
      <c r="H1938" s="65"/>
      <c r="I1938" s="63"/>
      <c r="K1938" s="53" t="str">
        <f>IFERROR(__xludf.DUMMYFUNCTION("IF(ISBLANK(B1938),"""",IF(ISDATE(B1938),""X"",""""))"),"")</f>
        <v/>
      </c>
      <c r="L1938" s="40" t="str">
        <f>IFERROR(__xludf.DUMMYFUNCTION("IF(ISBLANK(B1938),"""",IF(Or(I1938=""Em Aberto"",ISBLANK(I1938),NOT(ISDATE(B1938))),"""",H1938))"),"")</f>
        <v/>
      </c>
      <c r="M1938" s="29" t="str">
        <f>IFERROR(__xludf.DUMMYFUNCTION("IF(ISBLANK(B1938),"""",IF(ISDATE(B1938),TEXT(B1938,""m""),""""))"),"")</f>
        <v/>
      </c>
      <c r="N1938" s="29" t="str">
        <f>IFERROR(__xludf.DUMMYFUNCTION("IF(M1938="""","""",QUERY({'Dashboard-Dados'!$Y$2:$AA$13},""Select Col2 Where Col1=""&amp;M1938))"),"")</f>
        <v/>
      </c>
      <c r="O1938" s="29" t="str">
        <f>IFERROR(__xludf.DUMMYFUNCTION("IF(ISBLANK(B1938),"""",IF(ISDATE(B1938),TEXT(B1938,""yyyy""),""""))"),"")</f>
        <v/>
      </c>
    </row>
    <row r="1939">
      <c r="B1939" s="62"/>
      <c r="C1939" s="56"/>
      <c r="D1939" s="56"/>
      <c r="E1939" s="56"/>
      <c r="F1939" s="63"/>
      <c r="G1939" s="64"/>
      <c r="H1939" s="65"/>
      <c r="I1939" s="63"/>
      <c r="K1939" s="53" t="str">
        <f>IFERROR(__xludf.DUMMYFUNCTION("IF(ISBLANK(B1939),"""",IF(ISDATE(B1939),""X"",""""))"),"")</f>
        <v/>
      </c>
      <c r="L1939" s="40" t="str">
        <f>IFERROR(__xludf.DUMMYFUNCTION("IF(ISBLANK(B1939),"""",IF(Or(I1939=""Em Aberto"",ISBLANK(I1939),NOT(ISDATE(B1939))),"""",H1939))"),"")</f>
        <v/>
      </c>
      <c r="M1939" s="29" t="str">
        <f>IFERROR(__xludf.DUMMYFUNCTION("IF(ISBLANK(B1939),"""",IF(ISDATE(B1939),TEXT(B1939,""m""),""""))"),"")</f>
        <v/>
      </c>
      <c r="N1939" s="29" t="str">
        <f>IFERROR(__xludf.DUMMYFUNCTION("IF(M1939="""","""",QUERY({'Dashboard-Dados'!$Y$2:$AA$13},""Select Col2 Where Col1=""&amp;M1939))"),"")</f>
        <v/>
      </c>
      <c r="O1939" s="29" t="str">
        <f>IFERROR(__xludf.DUMMYFUNCTION("IF(ISBLANK(B1939),"""",IF(ISDATE(B1939),TEXT(B1939,""yyyy""),""""))"),"")</f>
        <v/>
      </c>
    </row>
    <row r="1940">
      <c r="B1940" s="62"/>
      <c r="C1940" s="56"/>
      <c r="D1940" s="56"/>
      <c r="E1940" s="56"/>
      <c r="F1940" s="63"/>
      <c r="G1940" s="64"/>
      <c r="H1940" s="65"/>
      <c r="I1940" s="63"/>
      <c r="K1940" s="53" t="str">
        <f>IFERROR(__xludf.DUMMYFUNCTION("IF(ISBLANK(B1940),"""",IF(ISDATE(B1940),""X"",""""))"),"")</f>
        <v/>
      </c>
      <c r="L1940" s="40" t="str">
        <f>IFERROR(__xludf.DUMMYFUNCTION("IF(ISBLANK(B1940),"""",IF(Or(I1940=""Em Aberto"",ISBLANK(I1940),NOT(ISDATE(B1940))),"""",H1940))"),"")</f>
        <v/>
      </c>
      <c r="M1940" s="29" t="str">
        <f>IFERROR(__xludf.DUMMYFUNCTION("IF(ISBLANK(B1940),"""",IF(ISDATE(B1940),TEXT(B1940,""m""),""""))"),"")</f>
        <v/>
      </c>
      <c r="N1940" s="29" t="str">
        <f>IFERROR(__xludf.DUMMYFUNCTION("IF(M1940="""","""",QUERY({'Dashboard-Dados'!$Y$2:$AA$13},""Select Col2 Where Col1=""&amp;M1940))"),"")</f>
        <v/>
      </c>
      <c r="O1940" s="29" t="str">
        <f>IFERROR(__xludf.DUMMYFUNCTION("IF(ISBLANK(B1940),"""",IF(ISDATE(B1940),TEXT(B1940,""yyyy""),""""))"),"")</f>
        <v/>
      </c>
    </row>
    <row r="1941">
      <c r="B1941" s="62"/>
      <c r="C1941" s="56"/>
      <c r="D1941" s="56"/>
      <c r="E1941" s="56"/>
      <c r="F1941" s="63"/>
      <c r="G1941" s="64"/>
      <c r="H1941" s="65"/>
      <c r="I1941" s="63"/>
      <c r="K1941" s="53" t="str">
        <f>IFERROR(__xludf.DUMMYFUNCTION("IF(ISBLANK(B1941),"""",IF(ISDATE(B1941),""X"",""""))"),"")</f>
        <v/>
      </c>
      <c r="L1941" s="40" t="str">
        <f>IFERROR(__xludf.DUMMYFUNCTION("IF(ISBLANK(B1941),"""",IF(Or(I1941=""Em Aberto"",ISBLANK(I1941),NOT(ISDATE(B1941))),"""",H1941))"),"")</f>
        <v/>
      </c>
      <c r="M1941" s="29" t="str">
        <f>IFERROR(__xludf.DUMMYFUNCTION("IF(ISBLANK(B1941),"""",IF(ISDATE(B1941),TEXT(B1941,""m""),""""))"),"")</f>
        <v/>
      </c>
      <c r="N1941" s="29" t="str">
        <f>IFERROR(__xludf.DUMMYFUNCTION("IF(M1941="""","""",QUERY({'Dashboard-Dados'!$Y$2:$AA$13},""Select Col2 Where Col1=""&amp;M1941))"),"")</f>
        <v/>
      </c>
      <c r="O1941" s="29" t="str">
        <f>IFERROR(__xludf.DUMMYFUNCTION("IF(ISBLANK(B1941),"""",IF(ISDATE(B1941),TEXT(B1941,""yyyy""),""""))"),"")</f>
        <v/>
      </c>
    </row>
    <row r="1942">
      <c r="B1942" s="62"/>
      <c r="C1942" s="56"/>
      <c r="D1942" s="56"/>
      <c r="E1942" s="56"/>
      <c r="F1942" s="63"/>
      <c r="G1942" s="64"/>
      <c r="H1942" s="65"/>
      <c r="I1942" s="63"/>
      <c r="K1942" s="53" t="str">
        <f>IFERROR(__xludf.DUMMYFUNCTION("IF(ISBLANK(B1942),"""",IF(ISDATE(B1942),""X"",""""))"),"")</f>
        <v/>
      </c>
      <c r="L1942" s="40" t="str">
        <f>IFERROR(__xludf.DUMMYFUNCTION("IF(ISBLANK(B1942),"""",IF(Or(I1942=""Em Aberto"",ISBLANK(I1942),NOT(ISDATE(B1942))),"""",H1942))"),"")</f>
        <v/>
      </c>
      <c r="M1942" s="29" t="str">
        <f>IFERROR(__xludf.DUMMYFUNCTION("IF(ISBLANK(B1942),"""",IF(ISDATE(B1942),TEXT(B1942,""m""),""""))"),"")</f>
        <v/>
      </c>
      <c r="N1942" s="29" t="str">
        <f>IFERROR(__xludf.DUMMYFUNCTION("IF(M1942="""","""",QUERY({'Dashboard-Dados'!$Y$2:$AA$13},""Select Col2 Where Col1=""&amp;M1942))"),"")</f>
        <v/>
      </c>
      <c r="O1942" s="29" t="str">
        <f>IFERROR(__xludf.DUMMYFUNCTION("IF(ISBLANK(B1942),"""",IF(ISDATE(B1942),TEXT(B1942,""yyyy""),""""))"),"")</f>
        <v/>
      </c>
    </row>
    <row r="1943">
      <c r="B1943" s="62"/>
      <c r="C1943" s="56"/>
      <c r="D1943" s="56"/>
      <c r="E1943" s="56"/>
      <c r="F1943" s="63"/>
      <c r="G1943" s="64"/>
      <c r="H1943" s="65"/>
      <c r="I1943" s="63"/>
      <c r="K1943" s="53" t="str">
        <f>IFERROR(__xludf.DUMMYFUNCTION("IF(ISBLANK(B1943),"""",IF(ISDATE(B1943),""X"",""""))"),"")</f>
        <v/>
      </c>
      <c r="L1943" s="40" t="str">
        <f>IFERROR(__xludf.DUMMYFUNCTION("IF(ISBLANK(B1943),"""",IF(Or(I1943=""Em Aberto"",ISBLANK(I1943),NOT(ISDATE(B1943))),"""",H1943))"),"")</f>
        <v/>
      </c>
      <c r="M1943" s="29" t="str">
        <f>IFERROR(__xludf.DUMMYFUNCTION("IF(ISBLANK(B1943),"""",IF(ISDATE(B1943),TEXT(B1943,""m""),""""))"),"")</f>
        <v/>
      </c>
      <c r="N1943" s="29" t="str">
        <f>IFERROR(__xludf.DUMMYFUNCTION("IF(M1943="""","""",QUERY({'Dashboard-Dados'!$Y$2:$AA$13},""Select Col2 Where Col1=""&amp;M1943))"),"")</f>
        <v/>
      </c>
      <c r="O1943" s="29" t="str">
        <f>IFERROR(__xludf.DUMMYFUNCTION("IF(ISBLANK(B1943),"""",IF(ISDATE(B1943),TEXT(B1943,""yyyy""),""""))"),"")</f>
        <v/>
      </c>
    </row>
    <row r="1944">
      <c r="B1944" s="62"/>
      <c r="C1944" s="56"/>
      <c r="D1944" s="56"/>
      <c r="E1944" s="56"/>
      <c r="F1944" s="63"/>
      <c r="G1944" s="64"/>
      <c r="H1944" s="65"/>
      <c r="I1944" s="63"/>
      <c r="K1944" s="53" t="str">
        <f>IFERROR(__xludf.DUMMYFUNCTION("IF(ISBLANK(B1944),"""",IF(ISDATE(B1944),""X"",""""))"),"")</f>
        <v/>
      </c>
      <c r="L1944" s="40" t="str">
        <f>IFERROR(__xludf.DUMMYFUNCTION("IF(ISBLANK(B1944),"""",IF(Or(I1944=""Em Aberto"",ISBLANK(I1944),NOT(ISDATE(B1944))),"""",H1944))"),"")</f>
        <v/>
      </c>
      <c r="M1944" s="29" t="str">
        <f>IFERROR(__xludf.DUMMYFUNCTION("IF(ISBLANK(B1944),"""",IF(ISDATE(B1944),TEXT(B1944,""m""),""""))"),"")</f>
        <v/>
      </c>
      <c r="N1944" s="29" t="str">
        <f>IFERROR(__xludf.DUMMYFUNCTION("IF(M1944="""","""",QUERY({'Dashboard-Dados'!$Y$2:$AA$13},""Select Col2 Where Col1=""&amp;M1944))"),"")</f>
        <v/>
      </c>
      <c r="O1944" s="29" t="str">
        <f>IFERROR(__xludf.DUMMYFUNCTION("IF(ISBLANK(B1944),"""",IF(ISDATE(B1944),TEXT(B1944,""yyyy""),""""))"),"")</f>
        <v/>
      </c>
    </row>
    <row r="1945">
      <c r="B1945" s="62"/>
      <c r="C1945" s="56"/>
      <c r="D1945" s="56"/>
      <c r="E1945" s="56"/>
      <c r="F1945" s="63"/>
      <c r="G1945" s="64"/>
      <c r="H1945" s="65"/>
      <c r="I1945" s="63"/>
      <c r="K1945" s="53" t="str">
        <f>IFERROR(__xludf.DUMMYFUNCTION("IF(ISBLANK(B1945),"""",IF(ISDATE(B1945),""X"",""""))"),"")</f>
        <v/>
      </c>
      <c r="L1945" s="40" t="str">
        <f>IFERROR(__xludf.DUMMYFUNCTION("IF(ISBLANK(B1945),"""",IF(Or(I1945=""Em Aberto"",ISBLANK(I1945),NOT(ISDATE(B1945))),"""",H1945))"),"")</f>
        <v/>
      </c>
      <c r="M1945" s="29" t="str">
        <f>IFERROR(__xludf.DUMMYFUNCTION("IF(ISBLANK(B1945),"""",IF(ISDATE(B1945),TEXT(B1945,""m""),""""))"),"")</f>
        <v/>
      </c>
      <c r="N1945" s="29" t="str">
        <f>IFERROR(__xludf.DUMMYFUNCTION("IF(M1945="""","""",QUERY({'Dashboard-Dados'!$Y$2:$AA$13},""Select Col2 Where Col1=""&amp;M1945))"),"")</f>
        <v/>
      </c>
      <c r="O1945" s="29" t="str">
        <f>IFERROR(__xludf.DUMMYFUNCTION("IF(ISBLANK(B1945),"""",IF(ISDATE(B1945),TEXT(B1945,""yyyy""),""""))"),"")</f>
        <v/>
      </c>
    </row>
    <row r="1946">
      <c r="B1946" s="62"/>
      <c r="C1946" s="56"/>
      <c r="D1946" s="56"/>
      <c r="E1946" s="56"/>
      <c r="F1946" s="63"/>
      <c r="G1946" s="64"/>
      <c r="H1946" s="65"/>
      <c r="I1946" s="63"/>
      <c r="K1946" s="53" t="str">
        <f>IFERROR(__xludf.DUMMYFUNCTION("IF(ISBLANK(B1946),"""",IF(ISDATE(B1946),""X"",""""))"),"")</f>
        <v/>
      </c>
      <c r="L1946" s="40" t="str">
        <f>IFERROR(__xludf.DUMMYFUNCTION("IF(ISBLANK(B1946),"""",IF(Or(I1946=""Em Aberto"",ISBLANK(I1946),NOT(ISDATE(B1946))),"""",H1946))"),"")</f>
        <v/>
      </c>
      <c r="M1946" s="29" t="str">
        <f>IFERROR(__xludf.DUMMYFUNCTION("IF(ISBLANK(B1946),"""",IF(ISDATE(B1946),TEXT(B1946,""m""),""""))"),"")</f>
        <v/>
      </c>
      <c r="N1946" s="29" t="str">
        <f>IFERROR(__xludf.DUMMYFUNCTION("IF(M1946="""","""",QUERY({'Dashboard-Dados'!$Y$2:$AA$13},""Select Col2 Where Col1=""&amp;M1946))"),"")</f>
        <v/>
      </c>
      <c r="O1946" s="29" t="str">
        <f>IFERROR(__xludf.DUMMYFUNCTION("IF(ISBLANK(B1946),"""",IF(ISDATE(B1946),TEXT(B1946,""yyyy""),""""))"),"")</f>
        <v/>
      </c>
    </row>
    <row r="1947">
      <c r="B1947" s="62"/>
      <c r="C1947" s="56"/>
      <c r="D1947" s="56"/>
      <c r="E1947" s="56"/>
      <c r="F1947" s="63"/>
      <c r="G1947" s="64"/>
      <c r="H1947" s="65"/>
      <c r="I1947" s="63"/>
      <c r="K1947" s="53" t="str">
        <f>IFERROR(__xludf.DUMMYFUNCTION("IF(ISBLANK(B1947),"""",IF(ISDATE(B1947),""X"",""""))"),"")</f>
        <v/>
      </c>
      <c r="L1947" s="40" t="str">
        <f>IFERROR(__xludf.DUMMYFUNCTION("IF(ISBLANK(B1947),"""",IF(Or(I1947=""Em Aberto"",ISBLANK(I1947),NOT(ISDATE(B1947))),"""",H1947))"),"")</f>
        <v/>
      </c>
      <c r="M1947" s="29" t="str">
        <f>IFERROR(__xludf.DUMMYFUNCTION("IF(ISBLANK(B1947),"""",IF(ISDATE(B1947),TEXT(B1947,""m""),""""))"),"")</f>
        <v/>
      </c>
      <c r="N1947" s="29" t="str">
        <f>IFERROR(__xludf.DUMMYFUNCTION("IF(M1947="""","""",QUERY({'Dashboard-Dados'!$Y$2:$AA$13},""Select Col2 Where Col1=""&amp;M1947))"),"")</f>
        <v/>
      </c>
      <c r="O1947" s="29" t="str">
        <f>IFERROR(__xludf.DUMMYFUNCTION("IF(ISBLANK(B1947),"""",IF(ISDATE(B1947),TEXT(B1947,""yyyy""),""""))"),"")</f>
        <v/>
      </c>
    </row>
    <row r="1948">
      <c r="B1948" s="62"/>
      <c r="C1948" s="56"/>
      <c r="D1948" s="56"/>
      <c r="E1948" s="56"/>
      <c r="F1948" s="63"/>
      <c r="G1948" s="64"/>
      <c r="H1948" s="65"/>
      <c r="I1948" s="63"/>
      <c r="K1948" s="53" t="str">
        <f>IFERROR(__xludf.DUMMYFUNCTION("IF(ISBLANK(B1948),"""",IF(ISDATE(B1948),""X"",""""))"),"")</f>
        <v/>
      </c>
      <c r="L1948" s="40" t="str">
        <f>IFERROR(__xludf.DUMMYFUNCTION("IF(ISBLANK(B1948),"""",IF(Or(I1948=""Em Aberto"",ISBLANK(I1948),NOT(ISDATE(B1948))),"""",H1948))"),"")</f>
        <v/>
      </c>
      <c r="M1948" s="29" t="str">
        <f>IFERROR(__xludf.DUMMYFUNCTION("IF(ISBLANK(B1948),"""",IF(ISDATE(B1948),TEXT(B1948,""m""),""""))"),"")</f>
        <v/>
      </c>
      <c r="N1948" s="29" t="str">
        <f>IFERROR(__xludf.DUMMYFUNCTION("IF(M1948="""","""",QUERY({'Dashboard-Dados'!$Y$2:$AA$13},""Select Col2 Where Col1=""&amp;M1948))"),"")</f>
        <v/>
      </c>
      <c r="O1948" s="29" t="str">
        <f>IFERROR(__xludf.DUMMYFUNCTION("IF(ISBLANK(B1948),"""",IF(ISDATE(B1948),TEXT(B1948,""yyyy""),""""))"),"")</f>
        <v/>
      </c>
    </row>
    <row r="1949">
      <c r="B1949" s="62"/>
      <c r="C1949" s="56"/>
      <c r="D1949" s="56"/>
      <c r="E1949" s="56"/>
      <c r="F1949" s="63"/>
      <c r="G1949" s="64"/>
      <c r="H1949" s="65"/>
      <c r="I1949" s="63"/>
      <c r="K1949" s="53" t="str">
        <f>IFERROR(__xludf.DUMMYFUNCTION("IF(ISBLANK(B1949),"""",IF(ISDATE(B1949),""X"",""""))"),"")</f>
        <v/>
      </c>
      <c r="L1949" s="40" t="str">
        <f>IFERROR(__xludf.DUMMYFUNCTION("IF(ISBLANK(B1949),"""",IF(Or(I1949=""Em Aberto"",ISBLANK(I1949),NOT(ISDATE(B1949))),"""",H1949))"),"")</f>
        <v/>
      </c>
      <c r="M1949" s="29" t="str">
        <f>IFERROR(__xludf.DUMMYFUNCTION("IF(ISBLANK(B1949),"""",IF(ISDATE(B1949),TEXT(B1949,""m""),""""))"),"")</f>
        <v/>
      </c>
      <c r="N1949" s="29" t="str">
        <f>IFERROR(__xludf.DUMMYFUNCTION("IF(M1949="""","""",QUERY({'Dashboard-Dados'!$Y$2:$AA$13},""Select Col2 Where Col1=""&amp;M1949))"),"")</f>
        <v/>
      </c>
      <c r="O1949" s="29" t="str">
        <f>IFERROR(__xludf.DUMMYFUNCTION("IF(ISBLANK(B1949),"""",IF(ISDATE(B1949),TEXT(B1949,""yyyy""),""""))"),"")</f>
        <v/>
      </c>
    </row>
    <row r="1950">
      <c r="B1950" s="62"/>
      <c r="C1950" s="56"/>
      <c r="D1950" s="56"/>
      <c r="E1950" s="56"/>
      <c r="F1950" s="63"/>
      <c r="G1950" s="64"/>
      <c r="H1950" s="65"/>
      <c r="I1950" s="63"/>
      <c r="K1950" s="53" t="str">
        <f>IFERROR(__xludf.DUMMYFUNCTION("IF(ISBLANK(B1950),"""",IF(ISDATE(B1950),""X"",""""))"),"")</f>
        <v/>
      </c>
      <c r="L1950" s="40" t="str">
        <f>IFERROR(__xludf.DUMMYFUNCTION("IF(ISBLANK(B1950),"""",IF(Or(I1950=""Em Aberto"",ISBLANK(I1950),NOT(ISDATE(B1950))),"""",H1950))"),"")</f>
        <v/>
      </c>
      <c r="M1950" s="29" t="str">
        <f>IFERROR(__xludf.DUMMYFUNCTION("IF(ISBLANK(B1950),"""",IF(ISDATE(B1950),TEXT(B1950,""m""),""""))"),"")</f>
        <v/>
      </c>
      <c r="N1950" s="29" t="str">
        <f>IFERROR(__xludf.DUMMYFUNCTION("IF(M1950="""","""",QUERY({'Dashboard-Dados'!$Y$2:$AA$13},""Select Col2 Where Col1=""&amp;M1950))"),"")</f>
        <v/>
      </c>
      <c r="O1950" s="29" t="str">
        <f>IFERROR(__xludf.DUMMYFUNCTION("IF(ISBLANK(B1950),"""",IF(ISDATE(B1950),TEXT(B1950,""yyyy""),""""))"),"")</f>
        <v/>
      </c>
    </row>
    <row r="1951">
      <c r="B1951" s="62"/>
      <c r="C1951" s="56"/>
      <c r="D1951" s="56"/>
      <c r="E1951" s="56"/>
      <c r="F1951" s="63"/>
      <c r="G1951" s="64"/>
      <c r="H1951" s="65"/>
      <c r="I1951" s="63"/>
      <c r="K1951" s="53" t="str">
        <f>IFERROR(__xludf.DUMMYFUNCTION("IF(ISBLANK(B1951),"""",IF(ISDATE(B1951),""X"",""""))"),"")</f>
        <v/>
      </c>
      <c r="L1951" s="40" t="str">
        <f>IFERROR(__xludf.DUMMYFUNCTION("IF(ISBLANK(B1951),"""",IF(Or(I1951=""Em Aberto"",ISBLANK(I1951),NOT(ISDATE(B1951))),"""",H1951))"),"")</f>
        <v/>
      </c>
      <c r="M1951" s="29" t="str">
        <f>IFERROR(__xludf.DUMMYFUNCTION("IF(ISBLANK(B1951),"""",IF(ISDATE(B1951),TEXT(B1951,""m""),""""))"),"")</f>
        <v/>
      </c>
      <c r="N1951" s="29" t="str">
        <f>IFERROR(__xludf.DUMMYFUNCTION("IF(M1951="""","""",QUERY({'Dashboard-Dados'!$Y$2:$AA$13},""Select Col2 Where Col1=""&amp;M1951))"),"")</f>
        <v/>
      </c>
      <c r="O1951" s="29" t="str">
        <f>IFERROR(__xludf.DUMMYFUNCTION("IF(ISBLANK(B1951),"""",IF(ISDATE(B1951),TEXT(B1951,""yyyy""),""""))"),"")</f>
        <v/>
      </c>
    </row>
    <row r="1952">
      <c r="B1952" s="62"/>
      <c r="C1952" s="56"/>
      <c r="D1952" s="56"/>
      <c r="E1952" s="56"/>
      <c r="F1952" s="63"/>
      <c r="G1952" s="64"/>
      <c r="H1952" s="65"/>
      <c r="I1952" s="63"/>
      <c r="K1952" s="53" t="str">
        <f>IFERROR(__xludf.DUMMYFUNCTION("IF(ISBLANK(B1952),"""",IF(ISDATE(B1952),""X"",""""))"),"")</f>
        <v/>
      </c>
      <c r="L1952" s="40" t="str">
        <f>IFERROR(__xludf.DUMMYFUNCTION("IF(ISBLANK(B1952),"""",IF(Or(I1952=""Em Aberto"",ISBLANK(I1952),NOT(ISDATE(B1952))),"""",H1952))"),"")</f>
        <v/>
      </c>
      <c r="M1952" s="29" t="str">
        <f>IFERROR(__xludf.DUMMYFUNCTION("IF(ISBLANK(B1952),"""",IF(ISDATE(B1952),TEXT(B1952,""m""),""""))"),"")</f>
        <v/>
      </c>
      <c r="N1952" s="29" t="str">
        <f>IFERROR(__xludf.DUMMYFUNCTION("IF(M1952="""","""",QUERY({'Dashboard-Dados'!$Y$2:$AA$13},""Select Col2 Where Col1=""&amp;M1952))"),"")</f>
        <v/>
      </c>
      <c r="O1952" s="29" t="str">
        <f>IFERROR(__xludf.DUMMYFUNCTION("IF(ISBLANK(B1952),"""",IF(ISDATE(B1952),TEXT(B1952,""yyyy""),""""))"),"")</f>
        <v/>
      </c>
    </row>
    <row r="1953">
      <c r="B1953" s="62"/>
      <c r="C1953" s="56"/>
      <c r="D1953" s="56"/>
      <c r="E1953" s="56"/>
      <c r="F1953" s="63"/>
      <c r="G1953" s="64"/>
      <c r="H1953" s="65"/>
      <c r="I1953" s="63"/>
      <c r="K1953" s="53" t="str">
        <f>IFERROR(__xludf.DUMMYFUNCTION("IF(ISBLANK(B1953),"""",IF(ISDATE(B1953),""X"",""""))"),"")</f>
        <v/>
      </c>
      <c r="L1953" s="40" t="str">
        <f>IFERROR(__xludf.DUMMYFUNCTION("IF(ISBLANK(B1953),"""",IF(Or(I1953=""Em Aberto"",ISBLANK(I1953),NOT(ISDATE(B1953))),"""",H1953))"),"")</f>
        <v/>
      </c>
      <c r="M1953" s="29" t="str">
        <f>IFERROR(__xludf.DUMMYFUNCTION("IF(ISBLANK(B1953),"""",IF(ISDATE(B1953),TEXT(B1953,""m""),""""))"),"")</f>
        <v/>
      </c>
      <c r="N1953" s="29" t="str">
        <f>IFERROR(__xludf.DUMMYFUNCTION("IF(M1953="""","""",QUERY({'Dashboard-Dados'!$Y$2:$AA$13},""Select Col2 Where Col1=""&amp;M1953))"),"")</f>
        <v/>
      </c>
      <c r="O1953" s="29" t="str">
        <f>IFERROR(__xludf.DUMMYFUNCTION("IF(ISBLANK(B1953),"""",IF(ISDATE(B1953),TEXT(B1953,""yyyy""),""""))"),"")</f>
        <v/>
      </c>
    </row>
    <row r="1954">
      <c r="B1954" s="62"/>
      <c r="C1954" s="56"/>
      <c r="D1954" s="56"/>
      <c r="E1954" s="56"/>
      <c r="F1954" s="63"/>
      <c r="G1954" s="64"/>
      <c r="H1954" s="65"/>
      <c r="I1954" s="63"/>
      <c r="K1954" s="53" t="str">
        <f>IFERROR(__xludf.DUMMYFUNCTION("IF(ISBLANK(B1954),"""",IF(ISDATE(B1954),""X"",""""))"),"")</f>
        <v/>
      </c>
      <c r="L1954" s="40" t="str">
        <f>IFERROR(__xludf.DUMMYFUNCTION("IF(ISBLANK(B1954),"""",IF(Or(I1954=""Em Aberto"",ISBLANK(I1954),NOT(ISDATE(B1954))),"""",H1954))"),"")</f>
        <v/>
      </c>
      <c r="M1954" s="29" t="str">
        <f>IFERROR(__xludf.DUMMYFUNCTION("IF(ISBLANK(B1954),"""",IF(ISDATE(B1954),TEXT(B1954,""m""),""""))"),"")</f>
        <v/>
      </c>
      <c r="N1954" s="29" t="str">
        <f>IFERROR(__xludf.DUMMYFUNCTION("IF(M1954="""","""",QUERY({'Dashboard-Dados'!$Y$2:$AA$13},""Select Col2 Where Col1=""&amp;M1954))"),"")</f>
        <v/>
      </c>
      <c r="O1954" s="29" t="str">
        <f>IFERROR(__xludf.DUMMYFUNCTION("IF(ISBLANK(B1954),"""",IF(ISDATE(B1954),TEXT(B1954,""yyyy""),""""))"),"")</f>
        <v/>
      </c>
    </row>
    <row r="1955">
      <c r="B1955" s="62"/>
      <c r="C1955" s="56"/>
      <c r="D1955" s="56"/>
      <c r="E1955" s="56"/>
      <c r="F1955" s="63"/>
      <c r="G1955" s="64"/>
      <c r="H1955" s="65"/>
      <c r="I1955" s="63"/>
      <c r="K1955" s="53" t="str">
        <f>IFERROR(__xludf.DUMMYFUNCTION("IF(ISBLANK(B1955),"""",IF(ISDATE(B1955),""X"",""""))"),"")</f>
        <v/>
      </c>
      <c r="L1955" s="40" t="str">
        <f>IFERROR(__xludf.DUMMYFUNCTION("IF(ISBLANK(B1955),"""",IF(Or(I1955=""Em Aberto"",ISBLANK(I1955),NOT(ISDATE(B1955))),"""",H1955))"),"")</f>
        <v/>
      </c>
      <c r="M1955" s="29" t="str">
        <f>IFERROR(__xludf.DUMMYFUNCTION("IF(ISBLANK(B1955),"""",IF(ISDATE(B1955),TEXT(B1955,""m""),""""))"),"")</f>
        <v/>
      </c>
      <c r="N1955" s="29" t="str">
        <f>IFERROR(__xludf.DUMMYFUNCTION("IF(M1955="""","""",QUERY({'Dashboard-Dados'!$Y$2:$AA$13},""Select Col2 Where Col1=""&amp;M1955))"),"")</f>
        <v/>
      </c>
      <c r="O1955" s="29" t="str">
        <f>IFERROR(__xludf.DUMMYFUNCTION("IF(ISBLANK(B1955),"""",IF(ISDATE(B1955),TEXT(B1955,""yyyy""),""""))"),"")</f>
        <v/>
      </c>
    </row>
    <row r="1956">
      <c r="B1956" s="62"/>
      <c r="C1956" s="56"/>
      <c r="D1956" s="56"/>
      <c r="E1956" s="56"/>
      <c r="F1956" s="63"/>
      <c r="G1956" s="64"/>
      <c r="H1956" s="65"/>
      <c r="I1956" s="63"/>
      <c r="K1956" s="53" t="str">
        <f>IFERROR(__xludf.DUMMYFUNCTION("IF(ISBLANK(B1956),"""",IF(ISDATE(B1956),""X"",""""))"),"")</f>
        <v/>
      </c>
      <c r="L1956" s="40" t="str">
        <f>IFERROR(__xludf.DUMMYFUNCTION("IF(ISBLANK(B1956),"""",IF(Or(I1956=""Em Aberto"",ISBLANK(I1956),NOT(ISDATE(B1956))),"""",H1956))"),"")</f>
        <v/>
      </c>
      <c r="M1956" s="29" t="str">
        <f>IFERROR(__xludf.DUMMYFUNCTION("IF(ISBLANK(B1956),"""",IF(ISDATE(B1956),TEXT(B1956,""m""),""""))"),"")</f>
        <v/>
      </c>
      <c r="N1956" s="29" t="str">
        <f>IFERROR(__xludf.DUMMYFUNCTION("IF(M1956="""","""",QUERY({'Dashboard-Dados'!$Y$2:$AA$13},""Select Col2 Where Col1=""&amp;M1956))"),"")</f>
        <v/>
      </c>
      <c r="O1956" s="29" t="str">
        <f>IFERROR(__xludf.DUMMYFUNCTION("IF(ISBLANK(B1956),"""",IF(ISDATE(B1956),TEXT(B1956,""yyyy""),""""))"),"")</f>
        <v/>
      </c>
    </row>
    <row r="1957">
      <c r="B1957" s="62"/>
      <c r="C1957" s="56"/>
      <c r="D1957" s="56"/>
      <c r="E1957" s="56"/>
      <c r="F1957" s="63"/>
      <c r="G1957" s="64"/>
      <c r="H1957" s="65"/>
      <c r="I1957" s="63"/>
      <c r="K1957" s="53" t="str">
        <f>IFERROR(__xludf.DUMMYFUNCTION("IF(ISBLANK(B1957),"""",IF(ISDATE(B1957),""X"",""""))"),"")</f>
        <v/>
      </c>
      <c r="L1957" s="40" t="str">
        <f>IFERROR(__xludf.DUMMYFUNCTION("IF(ISBLANK(B1957),"""",IF(Or(I1957=""Em Aberto"",ISBLANK(I1957),NOT(ISDATE(B1957))),"""",H1957))"),"")</f>
        <v/>
      </c>
      <c r="M1957" s="29" t="str">
        <f>IFERROR(__xludf.DUMMYFUNCTION("IF(ISBLANK(B1957),"""",IF(ISDATE(B1957),TEXT(B1957,""m""),""""))"),"")</f>
        <v/>
      </c>
      <c r="N1957" s="29" t="str">
        <f>IFERROR(__xludf.DUMMYFUNCTION("IF(M1957="""","""",QUERY({'Dashboard-Dados'!$Y$2:$AA$13},""Select Col2 Where Col1=""&amp;M1957))"),"")</f>
        <v/>
      </c>
      <c r="O1957" s="29" t="str">
        <f>IFERROR(__xludf.DUMMYFUNCTION("IF(ISBLANK(B1957),"""",IF(ISDATE(B1957),TEXT(B1957,""yyyy""),""""))"),"")</f>
        <v/>
      </c>
    </row>
    <row r="1958">
      <c r="B1958" s="62"/>
      <c r="C1958" s="56"/>
      <c r="D1958" s="56"/>
      <c r="E1958" s="56"/>
      <c r="F1958" s="63"/>
      <c r="G1958" s="64"/>
      <c r="H1958" s="65"/>
      <c r="I1958" s="63"/>
      <c r="K1958" s="53" t="str">
        <f>IFERROR(__xludf.DUMMYFUNCTION("IF(ISBLANK(B1958),"""",IF(ISDATE(B1958),""X"",""""))"),"")</f>
        <v/>
      </c>
      <c r="L1958" s="40" t="str">
        <f>IFERROR(__xludf.DUMMYFUNCTION("IF(ISBLANK(B1958),"""",IF(Or(I1958=""Em Aberto"",ISBLANK(I1958),NOT(ISDATE(B1958))),"""",H1958))"),"")</f>
        <v/>
      </c>
      <c r="M1958" s="29" t="str">
        <f>IFERROR(__xludf.DUMMYFUNCTION("IF(ISBLANK(B1958),"""",IF(ISDATE(B1958),TEXT(B1958,""m""),""""))"),"")</f>
        <v/>
      </c>
      <c r="N1958" s="29" t="str">
        <f>IFERROR(__xludf.DUMMYFUNCTION("IF(M1958="""","""",QUERY({'Dashboard-Dados'!$Y$2:$AA$13},""Select Col2 Where Col1=""&amp;M1958))"),"")</f>
        <v/>
      </c>
      <c r="O1958" s="29" t="str">
        <f>IFERROR(__xludf.DUMMYFUNCTION("IF(ISBLANK(B1958),"""",IF(ISDATE(B1958),TEXT(B1958,""yyyy""),""""))"),"")</f>
        <v/>
      </c>
    </row>
    <row r="1959">
      <c r="B1959" s="62"/>
      <c r="C1959" s="56"/>
      <c r="D1959" s="56"/>
      <c r="E1959" s="56"/>
      <c r="F1959" s="63"/>
      <c r="G1959" s="64"/>
      <c r="H1959" s="65"/>
      <c r="I1959" s="63"/>
      <c r="K1959" s="53" t="str">
        <f>IFERROR(__xludf.DUMMYFUNCTION("IF(ISBLANK(B1959),"""",IF(ISDATE(B1959),""X"",""""))"),"")</f>
        <v/>
      </c>
      <c r="L1959" s="40" t="str">
        <f>IFERROR(__xludf.DUMMYFUNCTION("IF(ISBLANK(B1959),"""",IF(Or(I1959=""Em Aberto"",ISBLANK(I1959),NOT(ISDATE(B1959))),"""",H1959))"),"")</f>
        <v/>
      </c>
      <c r="M1959" s="29" t="str">
        <f>IFERROR(__xludf.DUMMYFUNCTION("IF(ISBLANK(B1959),"""",IF(ISDATE(B1959),TEXT(B1959,""m""),""""))"),"")</f>
        <v/>
      </c>
      <c r="N1959" s="29" t="str">
        <f>IFERROR(__xludf.DUMMYFUNCTION("IF(M1959="""","""",QUERY({'Dashboard-Dados'!$Y$2:$AA$13},""Select Col2 Where Col1=""&amp;M1959))"),"")</f>
        <v/>
      </c>
      <c r="O1959" s="29" t="str">
        <f>IFERROR(__xludf.DUMMYFUNCTION("IF(ISBLANK(B1959),"""",IF(ISDATE(B1959),TEXT(B1959,""yyyy""),""""))"),"")</f>
        <v/>
      </c>
    </row>
    <row r="1960">
      <c r="B1960" s="62"/>
      <c r="C1960" s="56"/>
      <c r="D1960" s="56"/>
      <c r="E1960" s="56"/>
      <c r="F1960" s="63"/>
      <c r="G1960" s="64"/>
      <c r="H1960" s="65"/>
      <c r="I1960" s="63"/>
      <c r="K1960" s="53" t="str">
        <f>IFERROR(__xludf.DUMMYFUNCTION("IF(ISBLANK(B1960),"""",IF(ISDATE(B1960),""X"",""""))"),"")</f>
        <v/>
      </c>
      <c r="L1960" s="40" t="str">
        <f>IFERROR(__xludf.DUMMYFUNCTION("IF(ISBLANK(B1960),"""",IF(Or(I1960=""Em Aberto"",ISBLANK(I1960),NOT(ISDATE(B1960))),"""",H1960))"),"")</f>
        <v/>
      </c>
      <c r="M1960" s="29" t="str">
        <f>IFERROR(__xludf.DUMMYFUNCTION("IF(ISBLANK(B1960),"""",IF(ISDATE(B1960),TEXT(B1960,""m""),""""))"),"")</f>
        <v/>
      </c>
      <c r="N1960" s="29" t="str">
        <f>IFERROR(__xludf.DUMMYFUNCTION("IF(M1960="""","""",QUERY({'Dashboard-Dados'!$Y$2:$AA$13},""Select Col2 Where Col1=""&amp;M1960))"),"")</f>
        <v/>
      </c>
      <c r="O1960" s="29" t="str">
        <f>IFERROR(__xludf.DUMMYFUNCTION("IF(ISBLANK(B1960),"""",IF(ISDATE(B1960),TEXT(B1960,""yyyy""),""""))"),"")</f>
        <v/>
      </c>
    </row>
    <row r="1961">
      <c r="B1961" s="62"/>
      <c r="C1961" s="56"/>
      <c r="D1961" s="56"/>
      <c r="E1961" s="56"/>
      <c r="F1961" s="63"/>
      <c r="G1961" s="64"/>
      <c r="H1961" s="65"/>
      <c r="I1961" s="63"/>
      <c r="K1961" s="53" t="str">
        <f>IFERROR(__xludf.DUMMYFUNCTION("IF(ISBLANK(B1961),"""",IF(ISDATE(B1961),""X"",""""))"),"")</f>
        <v/>
      </c>
      <c r="L1961" s="40" t="str">
        <f>IFERROR(__xludf.DUMMYFUNCTION("IF(ISBLANK(B1961),"""",IF(Or(I1961=""Em Aberto"",ISBLANK(I1961),NOT(ISDATE(B1961))),"""",H1961))"),"")</f>
        <v/>
      </c>
      <c r="M1961" s="29" t="str">
        <f>IFERROR(__xludf.DUMMYFUNCTION("IF(ISBLANK(B1961),"""",IF(ISDATE(B1961),TEXT(B1961,""m""),""""))"),"")</f>
        <v/>
      </c>
      <c r="N1961" s="29" t="str">
        <f>IFERROR(__xludf.DUMMYFUNCTION("IF(M1961="""","""",QUERY({'Dashboard-Dados'!$Y$2:$AA$13},""Select Col2 Where Col1=""&amp;M1961))"),"")</f>
        <v/>
      </c>
      <c r="O1961" s="29" t="str">
        <f>IFERROR(__xludf.DUMMYFUNCTION("IF(ISBLANK(B1961),"""",IF(ISDATE(B1961),TEXT(B1961,""yyyy""),""""))"),"")</f>
        <v/>
      </c>
    </row>
    <row r="1962">
      <c r="B1962" s="62"/>
      <c r="C1962" s="56"/>
      <c r="D1962" s="56"/>
      <c r="E1962" s="56"/>
      <c r="F1962" s="63"/>
      <c r="G1962" s="64"/>
      <c r="H1962" s="65"/>
      <c r="I1962" s="63"/>
      <c r="K1962" s="53" t="str">
        <f>IFERROR(__xludf.DUMMYFUNCTION("IF(ISBLANK(B1962),"""",IF(ISDATE(B1962),""X"",""""))"),"")</f>
        <v/>
      </c>
      <c r="L1962" s="40" t="str">
        <f>IFERROR(__xludf.DUMMYFUNCTION("IF(ISBLANK(B1962),"""",IF(Or(I1962=""Em Aberto"",ISBLANK(I1962),NOT(ISDATE(B1962))),"""",H1962))"),"")</f>
        <v/>
      </c>
      <c r="M1962" s="29" t="str">
        <f>IFERROR(__xludf.DUMMYFUNCTION("IF(ISBLANK(B1962),"""",IF(ISDATE(B1962),TEXT(B1962,""m""),""""))"),"")</f>
        <v/>
      </c>
      <c r="N1962" s="29" t="str">
        <f>IFERROR(__xludf.DUMMYFUNCTION("IF(M1962="""","""",QUERY({'Dashboard-Dados'!$Y$2:$AA$13},""Select Col2 Where Col1=""&amp;M1962))"),"")</f>
        <v/>
      </c>
      <c r="O1962" s="29" t="str">
        <f>IFERROR(__xludf.DUMMYFUNCTION("IF(ISBLANK(B1962),"""",IF(ISDATE(B1962),TEXT(B1962,""yyyy""),""""))"),"")</f>
        <v/>
      </c>
    </row>
    <row r="1963">
      <c r="B1963" s="62"/>
      <c r="C1963" s="56"/>
      <c r="D1963" s="56"/>
      <c r="E1963" s="56"/>
      <c r="F1963" s="63"/>
      <c r="G1963" s="64"/>
      <c r="H1963" s="65"/>
      <c r="I1963" s="63"/>
      <c r="K1963" s="53" t="str">
        <f>IFERROR(__xludf.DUMMYFUNCTION("IF(ISBLANK(B1963),"""",IF(ISDATE(B1963),""X"",""""))"),"")</f>
        <v/>
      </c>
      <c r="L1963" s="40" t="str">
        <f>IFERROR(__xludf.DUMMYFUNCTION("IF(ISBLANK(B1963),"""",IF(Or(I1963=""Em Aberto"",ISBLANK(I1963),NOT(ISDATE(B1963))),"""",H1963))"),"")</f>
        <v/>
      </c>
      <c r="M1963" s="29" t="str">
        <f>IFERROR(__xludf.DUMMYFUNCTION("IF(ISBLANK(B1963),"""",IF(ISDATE(B1963),TEXT(B1963,""m""),""""))"),"")</f>
        <v/>
      </c>
      <c r="N1963" s="29" t="str">
        <f>IFERROR(__xludf.DUMMYFUNCTION("IF(M1963="""","""",QUERY({'Dashboard-Dados'!$Y$2:$AA$13},""Select Col2 Where Col1=""&amp;M1963))"),"")</f>
        <v/>
      </c>
      <c r="O1963" s="29" t="str">
        <f>IFERROR(__xludf.DUMMYFUNCTION("IF(ISBLANK(B1963),"""",IF(ISDATE(B1963),TEXT(B1963,""yyyy""),""""))"),"")</f>
        <v/>
      </c>
    </row>
    <row r="1964">
      <c r="B1964" s="62"/>
      <c r="C1964" s="56"/>
      <c r="D1964" s="56"/>
      <c r="E1964" s="56"/>
      <c r="F1964" s="63"/>
      <c r="G1964" s="64"/>
      <c r="H1964" s="65"/>
      <c r="I1964" s="63"/>
      <c r="K1964" s="53" t="str">
        <f>IFERROR(__xludf.DUMMYFUNCTION("IF(ISBLANK(B1964),"""",IF(ISDATE(B1964),""X"",""""))"),"")</f>
        <v/>
      </c>
      <c r="L1964" s="40" t="str">
        <f>IFERROR(__xludf.DUMMYFUNCTION("IF(ISBLANK(B1964),"""",IF(Or(I1964=""Em Aberto"",ISBLANK(I1964),NOT(ISDATE(B1964))),"""",H1964))"),"")</f>
        <v/>
      </c>
      <c r="M1964" s="29" t="str">
        <f>IFERROR(__xludf.DUMMYFUNCTION("IF(ISBLANK(B1964),"""",IF(ISDATE(B1964),TEXT(B1964,""m""),""""))"),"")</f>
        <v/>
      </c>
      <c r="N1964" s="29" t="str">
        <f>IFERROR(__xludf.DUMMYFUNCTION("IF(M1964="""","""",QUERY({'Dashboard-Dados'!$Y$2:$AA$13},""Select Col2 Where Col1=""&amp;M1964))"),"")</f>
        <v/>
      </c>
      <c r="O1964" s="29" t="str">
        <f>IFERROR(__xludf.DUMMYFUNCTION("IF(ISBLANK(B1964),"""",IF(ISDATE(B1964),TEXT(B1964,""yyyy""),""""))"),"")</f>
        <v/>
      </c>
    </row>
    <row r="1965">
      <c r="B1965" s="62"/>
      <c r="C1965" s="56"/>
      <c r="D1965" s="56"/>
      <c r="E1965" s="56"/>
      <c r="F1965" s="63"/>
      <c r="G1965" s="64"/>
      <c r="H1965" s="65"/>
      <c r="I1965" s="63"/>
      <c r="K1965" s="53" t="str">
        <f>IFERROR(__xludf.DUMMYFUNCTION("IF(ISBLANK(B1965),"""",IF(ISDATE(B1965),""X"",""""))"),"")</f>
        <v/>
      </c>
      <c r="L1965" s="40" t="str">
        <f>IFERROR(__xludf.DUMMYFUNCTION("IF(ISBLANK(B1965),"""",IF(Or(I1965=""Em Aberto"",ISBLANK(I1965),NOT(ISDATE(B1965))),"""",H1965))"),"")</f>
        <v/>
      </c>
      <c r="M1965" s="29" t="str">
        <f>IFERROR(__xludf.DUMMYFUNCTION("IF(ISBLANK(B1965),"""",IF(ISDATE(B1965),TEXT(B1965,""m""),""""))"),"")</f>
        <v/>
      </c>
      <c r="N1965" s="29" t="str">
        <f>IFERROR(__xludf.DUMMYFUNCTION("IF(M1965="""","""",QUERY({'Dashboard-Dados'!$Y$2:$AA$13},""Select Col2 Where Col1=""&amp;M1965))"),"")</f>
        <v/>
      </c>
      <c r="O1965" s="29" t="str">
        <f>IFERROR(__xludf.DUMMYFUNCTION("IF(ISBLANK(B1965),"""",IF(ISDATE(B1965),TEXT(B1965,""yyyy""),""""))"),"")</f>
        <v/>
      </c>
    </row>
    <row r="1966">
      <c r="B1966" s="62"/>
      <c r="C1966" s="56"/>
      <c r="D1966" s="56"/>
      <c r="E1966" s="56"/>
      <c r="F1966" s="63"/>
      <c r="G1966" s="64"/>
      <c r="H1966" s="65"/>
      <c r="I1966" s="63"/>
      <c r="K1966" s="53" t="str">
        <f>IFERROR(__xludf.DUMMYFUNCTION("IF(ISBLANK(B1966),"""",IF(ISDATE(B1966),""X"",""""))"),"")</f>
        <v/>
      </c>
      <c r="L1966" s="40" t="str">
        <f>IFERROR(__xludf.DUMMYFUNCTION("IF(ISBLANK(B1966),"""",IF(Or(I1966=""Em Aberto"",ISBLANK(I1966),NOT(ISDATE(B1966))),"""",H1966))"),"")</f>
        <v/>
      </c>
      <c r="M1966" s="29" t="str">
        <f>IFERROR(__xludf.DUMMYFUNCTION("IF(ISBLANK(B1966),"""",IF(ISDATE(B1966),TEXT(B1966,""m""),""""))"),"")</f>
        <v/>
      </c>
      <c r="N1966" s="29" t="str">
        <f>IFERROR(__xludf.DUMMYFUNCTION("IF(M1966="""","""",QUERY({'Dashboard-Dados'!$Y$2:$AA$13},""Select Col2 Where Col1=""&amp;M1966))"),"")</f>
        <v/>
      </c>
      <c r="O1966" s="29" t="str">
        <f>IFERROR(__xludf.DUMMYFUNCTION("IF(ISBLANK(B1966),"""",IF(ISDATE(B1966),TEXT(B1966,""yyyy""),""""))"),"")</f>
        <v/>
      </c>
    </row>
    <row r="1967">
      <c r="B1967" s="62"/>
      <c r="C1967" s="56"/>
      <c r="D1967" s="56"/>
      <c r="E1967" s="56"/>
      <c r="F1967" s="63"/>
      <c r="G1967" s="64"/>
      <c r="H1967" s="65"/>
      <c r="I1967" s="63"/>
      <c r="K1967" s="53" t="str">
        <f>IFERROR(__xludf.DUMMYFUNCTION("IF(ISBLANK(B1967),"""",IF(ISDATE(B1967),""X"",""""))"),"")</f>
        <v/>
      </c>
      <c r="L1967" s="40" t="str">
        <f>IFERROR(__xludf.DUMMYFUNCTION("IF(ISBLANK(B1967),"""",IF(Or(I1967=""Em Aberto"",ISBLANK(I1967),NOT(ISDATE(B1967))),"""",H1967))"),"")</f>
        <v/>
      </c>
      <c r="M1967" s="29" t="str">
        <f>IFERROR(__xludf.DUMMYFUNCTION("IF(ISBLANK(B1967),"""",IF(ISDATE(B1967),TEXT(B1967,""m""),""""))"),"")</f>
        <v/>
      </c>
      <c r="N1967" s="29" t="str">
        <f>IFERROR(__xludf.DUMMYFUNCTION("IF(M1967="""","""",QUERY({'Dashboard-Dados'!$Y$2:$AA$13},""Select Col2 Where Col1=""&amp;M1967))"),"")</f>
        <v/>
      </c>
      <c r="O1967" s="29" t="str">
        <f>IFERROR(__xludf.DUMMYFUNCTION("IF(ISBLANK(B1967),"""",IF(ISDATE(B1967),TEXT(B1967,""yyyy""),""""))"),"")</f>
        <v/>
      </c>
    </row>
    <row r="1968">
      <c r="B1968" s="62"/>
      <c r="C1968" s="56"/>
      <c r="D1968" s="56"/>
      <c r="E1968" s="56"/>
      <c r="F1968" s="63"/>
      <c r="G1968" s="64"/>
      <c r="H1968" s="65"/>
      <c r="I1968" s="63"/>
      <c r="K1968" s="53" t="str">
        <f>IFERROR(__xludf.DUMMYFUNCTION("IF(ISBLANK(B1968),"""",IF(ISDATE(B1968),""X"",""""))"),"")</f>
        <v/>
      </c>
      <c r="L1968" s="40" t="str">
        <f>IFERROR(__xludf.DUMMYFUNCTION("IF(ISBLANK(B1968),"""",IF(Or(I1968=""Em Aberto"",ISBLANK(I1968),NOT(ISDATE(B1968))),"""",H1968))"),"")</f>
        <v/>
      </c>
      <c r="M1968" s="29" t="str">
        <f>IFERROR(__xludf.DUMMYFUNCTION("IF(ISBLANK(B1968),"""",IF(ISDATE(B1968),TEXT(B1968,""m""),""""))"),"")</f>
        <v/>
      </c>
      <c r="N1968" s="29" t="str">
        <f>IFERROR(__xludf.DUMMYFUNCTION("IF(M1968="""","""",QUERY({'Dashboard-Dados'!$Y$2:$AA$13},""Select Col2 Where Col1=""&amp;M1968))"),"")</f>
        <v/>
      </c>
      <c r="O1968" s="29" t="str">
        <f>IFERROR(__xludf.DUMMYFUNCTION("IF(ISBLANK(B1968),"""",IF(ISDATE(B1968),TEXT(B1968,""yyyy""),""""))"),"")</f>
        <v/>
      </c>
    </row>
    <row r="1969">
      <c r="B1969" s="62"/>
      <c r="C1969" s="56"/>
      <c r="D1969" s="56"/>
      <c r="E1969" s="56"/>
      <c r="F1969" s="63"/>
      <c r="G1969" s="64"/>
      <c r="H1969" s="65"/>
      <c r="I1969" s="63"/>
      <c r="K1969" s="53" t="str">
        <f>IFERROR(__xludf.DUMMYFUNCTION("IF(ISBLANK(B1969),"""",IF(ISDATE(B1969),""X"",""""))"),"")</f>
        <v/>
      </c>
      <c r="L1969" s="40" t="str">
        <f>IFERROR(__xludf.DUMMYFUNCTION("IF(ISBLANK(B1969),"""",IF(Or(I1969=""Em Aberto"",ISBLANK(I1969),NOT(ISDATE(B1969))),"""",H1969))"),"")</f>
        <v/>
      </c>
      <c r="M1969" s="29" t="str">
        <f>IFERROR(__xludf.DUMMYFUNCTION("IF(ISBLANK(B1969),"""",IF(ISDATE(B1969),TEXT(B1969,""m""),""""))"),"")</f>
        <v/>
      </c>
      <c r="N1969" s="29" t="str">
        <f>IFERROR(__xludf.DUMMYFUNCTION("IF(M1969="""","""",QUERY({'Dashboard-Dados'!$Y$2:$AA$13},""Select Col2 Where Col1=""&amp;M1969))"),"")</f>
        <v/>
      </c>
      <c r="O1969" s="29" t="str">
        <f>IFERROR(__xludf.DUMMYFUNCTION("IF(ISBLANK(B1969),"""",IF(ISDATE(B1969),TEXT(B1969,""yyyy""),""""))"),"")</f>
        <v/>
      </c>
    </row>
    <row r="1970">
      <c r="B1970" s="62"/>
      <c r="C1970" s="56"/>
      <c r="D1970" s="56"/>
      <c r="E1970" s="56"/>
      <c r="F1970" s="63"/>
      <c r="G1970" s="64"/>
      <c r="H1970" s="65"/>
      <c r="I1970" s="63"/>
      <c r="K1970" s="53" t="str">
        <f>IFERROR(__xludf.DUMMYFUNCTION("IF(ISBLANK(B1970),"""",IF(ISDATE(B1970),""X"",""""))"),"")</f>
        <v/>
      </c>
      <c r="L1970" s="40" t="str">
        <f>IFERROR(__xludf.DUMMYFUNCTION("IF(ISBLANK(B1970),"""",IF(Or(I1970=""Em Aberto"",ISBLANK(I1970),NOT(ISDATE(B1970))),"""",H1970))"),"")</f>
        <v/>
      </c>
      <c r="M1970" s="29" t="str">
        <f>IFERROR(__xludf.DUMMYFUNCTION("IF(ISBLANK(B1970),"""",IF(ISDATE(B1970),TEXT(B1970,""m""),""""))"),"")</f>
        <v/>
      </c>
      <c r="N1970" s="29" t="str">
        <f>IFERROR(__xludf.DUMMYFUNCTION("IF(M1970="""","""",QUERY({'Dashboard-Dados'!$Y$2:$AA$13},""Select Col2 Where Col1=""&amp;M1970))"),"")</f>
        <v/>
      </c>
      <c r="O1970" s="29" t="str">
        <f>IFERROR(__xludf.DUMMYFUNCTION("IF(ISBLANK(B1970),"""",IF(ISDATE(B1970),TEXT(B1970,""yyyy""),""""))"),"")</f>
        <v/>
      </c>
    </row>
    <row r="1971">
      <c r="B1971" s="62"/>
      <c r="C1971" s="56"/>
      <c r="D1971" s="56"/>
      <c r="E1971" s="56"/>
      <c r="F1971" s="63"/>
      <c r="G1971" s="64"/>
      <c r="H1971" s="65"/>
      <c r="I1971" s="63"/>
      <c r="K1971" s="53" t="str">
        <f>IFERROR(__xludf.DUMMYFUNCTION("IF(ISBLANK(B1971),"""",IF(ISDATE(B1971),""X"",""""))"),"")</f>
        <v/>
      </c>
      <c r="L1971" s="40" t="str">
        <f>IFERROR(__xludf.DUMMYFUNCTION("IF(ISBLANK(B1971),"""",IF(Or(I1971=""Em Aberto"",ISBLANK(I1971),NOT(ISDATE(B1971))),"""",H1971))"),"")</f>
        <v/>
      </c>
      <c r="M1971" s="29" t="str">
        <f>IFERROR(__xludf.DUMMYFUNCTION("IF(ISBLANK(B1971),"""",IF(ISDATE(B1971),TEXT(B1971,""m""),""""))"),"")</f>
        <v/>
      </c>
      <c r="N1971" s="29" t="str">
        <f>IFERROR(__xludf.DUMMYFUNCTION("IF(M1971="""","""",QUERY({'Dashboard-Dados'!$Y$2:$AA$13},""Select Col2 Where Col1=""&amp;M1971))"),"")</f>
        <v/>
      </c>
      <c r="O1971" s="29" t="str">
        <f>IFERROR(__xludf.DUMMYFUNCTION("IF(ISBLANK(B1971),"""",IF(ISDATE(B1971),TEXT(B1971,""yyyy""),""""))"),"")</f>
        <v/>
      </c>
    </row>
    <row r="1972">
      <c r="B1972" s="62"/>
      <c r="C1972" s="56"/>
      <c r="D1972" s="56"/>
      <c r="E1972" s="56"/>
      <c r="F1972" s="63"/>
      <c r="G1972" s="64"/>
      <c r="H1972" s="65"/>
      <c r="I1972" s="63"/>
      <c r="K1972" s="53" t="str">
        <f>IFERROR(__xludf.DUMMYFUNCTION("IF(ISBLANK(B1972),"""",IF(ISDATE(B1972),""X"",""""))"),"")</f>
        <v/>
      </c>
      <c r="L1972" s="40" t="str">
        <f>IFERROR(__xludf.DUMMYFUNCTION("IF(ISBLANK(B1972),"""",IF(Or(I1972=""Em Aberto"",ISBLANK(I1972),NOT(ISDATE(B1972))),"""",H1972))"),"")</f>
        <v/>
      </c>
      <c r="M1972" s="29" t="str">
        <f>IFERROR(__xludf.DUMMYFUNCTION("IF(ISBLANK(B1972),"""",IF(ISDATE(B1972),TEXT(B1972,""m""),""""))"),"")</f>
        <v/>
      </c>
      <c r="N1972" s="29" t="str">
        <f>IFERROR(__xludf.DUMMYFUNCTION("IF(M1972="""","""",QUERY({'Dashboard-Dados'!$Y$2:$AA$13},""Select Col2 Where Col1=""&amp;M1972))"),"")</f>
        <v/>
      </c>
      <c r="O1972" s="29" t="str">
        <f>IFERROR(__xludf.DUMMYFUNCTION("IF(ISBLANK(B1972),"""",IF(ISDATE(B1972),TEXT(B1972,""yyyy""),""""))"),"")</f>
        <v/>
      </c>
    </row>
    <row r="1973">
      <c r="B1973" s="62"/>
      <c r="C1973" s="56"/>
      <c r="D1973" s="56"/>
      <c r="E1973" s="56"/>
      <c r="F1973" s="63"/>
      <c r="G1973" s="64"/>
      <c r="H1973" s="65"/>
      <c r="I1973" s="63"/>
      <c r="K1973" s="53" t="str">
        <f>IFERROR(__xludf.DUMMYFUNCTION("IF(ISBLANK(B1973),"""",IF(ISDATE(B1973),""X"",""""))"),"")</f>
        <v/>
      </c>
      <c r="L1973" s="40" t="str">
        <f>IFERROR(__xludf.DUMMYFUNCTION("IF(ISBLANK(B1973),"""",IF(Or(I1973=""Em Aberto"",ISBLANK(I1973),NOT(ISDATE(B1973))),"""",H1973))"),"")</f>
        <v/>
      </c>
      <c r="M1973" s="29" t="str">
        <f>IFERROR(__xludf.DUMMYFUNCTION("IF(ISBLANK(B1973),"""",IF(ISDATE(B1973),TEXT(B1973,""m""),""""))"),"")</f>
        <v/>
      </c>
      <c r="N1973" s="29" t="str">
        <f>IFERROR(__xludf.DUMMYFUNCTION("IF(M1973="""","""",QUERY({'Dashboard-Dados'!$Y$2:$AA$13},""Select Col2 Where Col1=""&amp;M1973))"),"")</f>
        <v/>
      </c>
      <c r="O1973" s="29" t="str">
        <f>IFERROR(__xludf.DUMMYFUNCTION("IF(ISBLANK(B1973),"""",IF(ISDATE(B1973),TEXT(B1973,""yyyy""),""""))"),"")</f>
        <v/>
      </c>
    </row>
    <row r="1974">
      <c r="B1974" s="62"/>
      <c r="C1974" s="56"/>
      <c r="D1974" s="56"/>
      <c r="E1974" s="56"/>
      <c r="F1974" s="63"/>
      <c r="G1974" s="64"/>
      <c r="H1974" s="65"/>
      <c r="I1974" s="63"/>
      <c r="K1974" s="53" t="str">
        <f>IFERROR(__xludf.DUMMYFUNCTION("IF(ISBLANK(B1974),"""",IF(ISDATE(B1974),""X"",""""))"),"")</f>
        <v/>
      </c>
      <c r="L1974" s="40" t="str">
        <f>IFERROR(__xludf.DUMMYFUNCTION("IF(ISBLANK(B1974),"""",IF(Or(I1974=""Em Aberto"",ISBLANK(I1974),NOT(ISDATE(B1974))),"""",H1974))"),"")</f>
        <v/>
      </c>
      <c r="M1974" s="29" t="str">
        <f>IFERROR(__xludf.DUMMYFUNCTION("IF(ISBLANK(B1974),"""",IF(ISDATE(B1974),TEXT(B1974,""m""),""""))"),"")</f>
        <v/>
      </c>
      <c r="N1974" s="29" t="str">
        <f>IFERROR(__xludf.DUMMYFUNCTION("IF(M1974="""","""",QUERY({'Dashboard-Dados'!$Y$2:$AA$13},""Select Col2 Where Col1=""&amp;M1974))"),"")</f>
        <v/>
      </c>
      <c r="O1974" s="29" t="str">
        <f>IFERROR(__xludf.DUMMYFUNCTION("IF(ISBLANK(B1974),"""",IF(ISDATE(B1974),TEXT(B1974,""yyyy""),""""))"),"")</f>
        <v/>
      </c>
    </row>
    <row r="1975">
      <c r="B1975" s="62"/>
      <c r="C1975" s="56"/>
      <c r="D1975" s="56"/>
      <c r="E1975" s="56"/>
      <c r="F1975" s="63"/>
      <c r="G1975" s="64"/>
      <c r="H1975" s="65"/>
      <c r="I1975" s="63"/>
      <c r="K1975" s="53" t="str">
        <f>IFERROR(__xludf.DUMMYFUNCTION("IF(ISBLANK(B1975),"""",IF(ISDATE(B1975),""X"",""""))"),"")</f>
        <v/>
      </c>
      <c r="L1975" s="40" t="str">
        <f>IFERROR(__xludf.DUMMYFUNCTION("IF(ISBLANK(B1975),"""",IF(Or(I1975=""Em Aberto"",ISBLANK(I1975),NOT(ISDATE(B1975))),"""",H1975))"),"")</f>
        <v/>
      </c>
      <c r="M1975" s="29" t="str">
        <f>IFERROR(__xludf.DUMMYFUNCTION("IF(ISBLANK(B1975),"""",IF(ISDATE(B1975),TEXT(B1975,""m""),""""))"),"")</f>
        <v/>
      </c>
      <c r="N1975" s="29" t="str">
        <f>IFERROR(__xludf.DUMMYFUNCTION("IF(M1975="""","""",QUERY({'Dashboard-Dados'!$Y$2:$AA$13},""Select Col2 Where Col1=""&amp;M1975))"),"")</f>
        <v/>
      </c>
      <c r="O1975" s="29" t="str">
        <f>IFERROR(__xludf.DUMMYFUNCTION("IF(ISBLANK(B1975),"""",IF(ISDATE(B1975),TEXT(B1975,""yyyy""),""""))"),"")</f>
        <v/>
      </c>
    </row>
    <row r="1976">
      <c r="B1976" s="62"/>
      <c r="C1976" s="56"/>
      <c r="D1976" s="56"/>
      <c r="E1976" s="56"/>
      <c r="F1976" s="63"/>
      <c r="G1976" s="64"/>
      <c r="H1976" s="65"/>
      <c r="I1976" s="63"/>
      <c r="K1976" s="53" t="str">
        <f>IFERROR(__xludf.DUMMYFUNCTION("IF(ISBLANK(B1976),"""",IF(ISDATE(B1976),""X"",""""))"),"")</f>
        <v/>
      </c>
      <c r="L1976" s="40" t="str">
        <f>IFERROR(__xludf.DUMMYFUNCTION("IF(ISBLANK(B1976),"""",IF(Or(I1976=""Em Aberto"",ISBLANK(I1976),NOT(ISDATE(B1976))),"""",H1976))"),"")</f>
        <v/>
      </c>
      <c r="M1976" s="29" t="str">
        <f>IFERROR(__xludf.DUMMYFUNCTION("IF(ISBLANK(B1976),"""",IF(ISDATE(B1976),TEXT(B1976,""m""),""""))"),"")</f>
        <v/>
      </c>
      <c r="N1976" s="29" t="str">
        <f>IFERROR(__xludf.DUMMYFUNCTION("IF(M1976="""","""",QUERY({'Dashboard-Dados'!$Y$2:$AA$13},""Select Col2 Where Col1=""&amp;M1976))"),"")</f>
        <v/>
      </c>
      <c r="O1976" s="29" t="str">
        <f>IFERROR(__xludf.DUMMYFUNCTION("IF(ISBLANK(B1976),"""",IF(ISDATE(B1976),TEXT(B1976,""yyyy""),""""))"),"")</f>
        <v/>
      </c>
    </row>
    <row r="1977">
      <c r="B1977" s="62"/>
      <c r="C1977" s="56"/>
      <c r="D1977" s="56"/>
      <c r="E1977" s="56"/>
      <c r="F1977" s="63"/>
      <c r="G1977" s="64"/>
      <c r="H1977" s="65"/>
      <c r="I1977" s="63"/>
      <c r="K1977" s="53" t="str">
        <f>IFERROR(__xludf.DUMMYFUNCTION("IF(ISBLANK(B1977),"""",IF(ISDATE(B1977),""X"",""""))"),"")</f>
        <v/>
      </c>
      <c r="L1977" s="40" t="str">
        <f>IFERROR(__xludf.DUMMYFUNCTION("IF(ISBLANK(B1977),"""",IF(Or(I1977=""Em Aberto"",ISBLANK(I1977),NOT(ISDATE(B1977))),"""",H1977))"),"")</f>
        <v/>
      </c>
      <c r="M1977" s="29" t="str">
        <f>IFERROR(__xludf.DUMMYFUNCTION("IF(ISBLANK(B1977),"""",IF(ISDATE(B1977),TEXT(B1977,""m""),""""))"),"")</f>
        <v/>
      </c>
      <c r="N1977" s="29" t="str">
        <f>IFERROR(__xludf.DUMMYFUNCTION("IF(M1977="""","""",QUERY({'Dashboard-Dados'!$Y$2:$AA$13},""Select Col2 Where Col1=""&amp;M1977))"),"")</f>
        <v/>
      </c>
      <c r="O1977" s="29" t="str">
        <f>IFERROR(__xludf.DUMMYFUNCTION("IF(ISBLANK(B1977),"""",IF(ISDATE(B1977),TEXT(B1977,""yyyy""),""""))"),"")</f>
        <v/>
      </c>
    </row>
    <row r="1978">
      <c r="B1978" s="62"/>
      <c r="C1978" s="56"/>
      <c r="D1978" s="56"/>
      <c r="E1978" s="56"/>
      <c r="F1978" s="63"/>
      <c r="G1978" s="64"/>
      <c r="H1978" s="65"/>
      <c r="I1978" s="63"/>
      <c r="K1978" s="53" t="str">
        <f>IFERROR(__xludf.DUMMYFUNCTION("IF(ISBLANK(B1978),"""",IF(ISDATE(B1978),""X"",""""))"),"")</f>
        <v/>
      </c>
      <c r="L1978" s="40" t="str">
        <f>IFERROR(__xludf.DUMMYFUNCTION("IF(ISBLANK(B1978),"""",IF(Or(I1978=""Em Aberto"",ISBLANK(I1978),NOT(ISDATE(B1978))),"""",H1978))"),"")</f>
        <v/>
      </c>
      <c r="M1978" s="29" t="str">
        <f>IFERROR(__xludf.DUMMYFUNCTION("IF(ISBLANK(B1978),"""",IF(ISDATE(B1978),TEXT(B1978,""m""),""""))"),"")</f>
        <v/>
      </c>
      <c r="N1978" s="29" t="str">
        <f>IFERROR(__xludf.DUMMYFUNCTION("IF(M1978="""","""",QUERY({'Dashboard-Dados'!$Y$2:$AA$13},""Select Col2 Where Col1=""&amp;M1978))"),"")</f>
        <v/>
      </c>
      <c r="O1978" s="29" t="str">
        <f>IFERROR(__xludf.DUMMYFUNCTION("IF(ISBLANK(B1978),"""",IF(ISDATE(B1978),TEXT(B1978,""yyyy""),""""))"),"")</f>
        <v/>
      </c>
    </row>
    <row r="1979">
      <c r="B1979" s="62"/>
      <c r="C1979" s="56"/>
      <c r="D1979" s="56"/>
      <c r="E1979" s="56"/>
      <c r="F1979" s="63"/>
      <c r="G1979" s="64"/>
      <c r="H1979" s="65"/>
      <c r="I1979" s="63"/>
      <c r="K1979" s="53" t="str">
        <f>IFERROR(__xludf.DUMMYFUNCTION("IF(ISBLANK(B1979),"""",IF(ISDATE(B1979),""X"",""""))"),"")</f>
        <v/>
      </c>
      <c r="L1979" s="40" t="str">
        <f>IFERROR(__xludf.DUMMYFUNCTION("IF(ISBLANK(B1979),"""",IF(Or(I1979=""Em Aberto"",ISBLANK(I1979),NOT(ISDATE(B1979))),"""",H1979))"),"")</f>
        <v/>
      </c>
      <c r="M1979" s="29" t="str">
        <f>IFERROR(__xludf.DUMMYFUNCTION("IF(ISBLANK(B1979),"""",IF(ISDATE(B1979),TEXT(B1979,""m""),""""))"),"")</f>
        <v/>
      </c>
      <c r="N1979" s="29" t="str">
        <f>IFERROR(__xludf.DUMMYFUNCTION("IF(M1979="""","""",QUERY({'Dashboard-Dados'!$Y$2:$AA$13},""Select Col2 Where Col1=""&amp;M1979))"),"")</f>
        <v/>
      </c>
      <c r="O1979" s="29" t="str">
        <f>IFERROR(__xludf.DUMMYFUNCTION("IF(ISBLANK(B1979),"""",IF(ISDATE(B1979),TEXT(B1979,""yyyy""),""""))"),"")</f>
        <v/>
      </c>
    </row>
    <row r="1980">
      <c r="B1980" s="62"/>
      <c r="C1980" s="56"/>
      <c r="D1980" s="56"/>
      <c r="E1980" s="56"/>
      <c r="F1980" s="63"/>
      <c r="G1980" s="64"/>
      <c r="H1980" s="65"/>
      <c r="I1980" s="63"/>
      <c r="K1980" s="53" t="str">
        <f>IFERROR(__xludf.DUMMYFUNCTION("IF(ISBLANK(B1980),"""",IF(ISDATE(B1980),""X"",""""))"),"")</f>
        <v/>
      </c>
      <c r="L1980" s="40" t="str">
        <f>IFERROR(__xludf.DUMMYFUNCTION("IF(ISBLANK(B1980),"""",IF(Or(I1980=""Em Aberto"",ISBLANK(I1980),NOT(ISDATE(B1980))),"""",H1980))"),"")</f>
        <v/>
      </c>
      <c r="M1980" s="29" t="str">
        <f>IFERROR(__xludf.DUMMYFUNCTION("IF(ISBLANK(B1980),"""",IF(ISDATE(B1980),TEXT(B1980,""m""),""""))"),"")</f>
        <v/>
      </c>
      <c r="N1980" s="29" t="str">
        <f>IFERROR(__xludf.DUMMYFUNCTION("IF(M1980="""","""",QUERY({'Dashboard-Dados'!$Y$2:$AA$13},""Select Col2 Where Col1=""&amp;M1980))"),"")</f>
        <v/>
      </c>
      <c r="O1980" s="29" t="str">
        <f>IFERROR(__xludf.DUMMYFUNCTION("IF(ISBLANK(B1980),"""",IF(ISDATE(B1980),TEXT(B1980,""yyyy""),""""))"),"")</f>
        <v/>
      </c>
    </row>
    <row r="1981">
      <c r="B1981" s="62"/>
      <c r="C1981" s="56"/>
      <c r="D1981" s="56"/>
      <c r="E1981" s="56"/>
      <c r="F1981" s="63"/>
      <c r="G1981" s="64"/>
      <c r="H1981" s="65"/>
      <c r="I1981" s="63"/>
      <c r="K1981" s="53" t="str">
        <f>IFERROR(__xludf.DUMMYFUNCTION("IF(ISBLANK(B1981),"""",IF(ISDATE(B1981),""X"",""""))"),"")</f>
        <v/>
      </c>
      <c r="L1981" s="40" t="str">
        <f>IFERROR(__xludf.DUMMYFUNCTION("IF(ISBLANK(B1981),"""",IF(Or(I1981=""Em Aberto"",ISBLANK(I1981),NOT(ISDATE(B1981))),"""",H1981))"),"")</f>
        <v/>
      </c>
      <c r="M1981" s="29" t="str">
        <f>IFERROR(__xludf.DUMMYFUNCTION("IF(ISBLANK(B1981),"""",IF(ISDATE(B1981),TEXT(B1981,""m""),""""))"),"")</f>
        <v/>
      </c>
      <c r="N1981" s="29" t="str">
        <f>IFERROR(__xludf.DUMMYFUNCTION("IF(M1981="""","""",QUERY({'Dashboard-Dados'!$Y$2:$AA$13},""Select Col2 Where Col1=""&amp;M1981))"),"")</f>
        <v/>
      </c>
      <c r="O1981" s="29" t="str">
        <f>IFERROR(__xludf.DUMMYFUNCTION("IF(ISBLANK(B1981),"""",IF(ISDATE(B1981),TEXT(B1981,""yyyy""),""""))"),"")</f>
        <v/>
      </c>
    </row>
    <row r="1982">
      <c r="B1982" s="62"/>
      <c r="C1982" s="56"/>
      <c r="D1982" s="56"/>
      <c r="E1982" s="56"/>
      <c r="F1982" s="63"/>
      <c r="G1982" s="64"/>
      <c r="H1982" s="65"/>
      <c r="I1982" s="63"/>
      <c r="K1982" s="53" t="str">
        <f>IFERROR(__xludf.DUMMYFUNCTION("IF(ISBLANK(B1982),"""",IF(ISDATE(B1982),""X"",""""))"),"")</f>
        <v/>
      </c>
      <c r="L1982" s="40" t="str">
        <f>IFERROR(__xludf.DUMMYFUNCTION("IF(ISBLANK(B1982),"""",IF(Or(I1982=""Em Aberto"",ISBLANK(I1982),NOT(ISDATE(B1982))),"""",H1982))"),"")</f>
        <v/>
      </c>
      <c r="M1982" s="29" t="str">
        <f>IFERROR(__xludf.DUMMYFUNCTION("IF(ISBLANK(B1982),"""",IF(ISDATE(B1982),TEXT(B1982,""m""),""""))"),"")</f>
        <v/>
      </c>
      <c r="N1982" s="29" t="str">
        <f>IFERROR(__xludf.DUMMYFUNCTION("IF(M1982="""","""",QUERY({'Dashboard-Dados'!$Y$2:$AA$13},""Select Col2 Where Col1=""&amp;M1982))"),"")</f>
        <v/>
      </c>
      <c r="O1982" s="29" t="str">
        <f>IFERROR(__xludf.DUMMYFUNCTION("IF(ISBLANK(B1982),"""",IF(ISDATE(B1982),TEXT(B1982,""yyyy""),""""))"),"")</f>
        <v/>
      </c>
    </row>
    <row r="1983">
      <c r="B1983" s="62"/>
      <c r="C1983" s="56"/>
      <c r="D1983" s="56"/>
      <c r="E1983" s="56"/>
      <c r="F1983" s="63"/>
      <c r="G1983" s="64"/>
      <c r="H1983" s="65"/>
      <c r="I1983" s="63"/>
      <c r="K1983" s="53" t="str">
        <f>IFERROR(__xludf.DUMMYFUNCTION("IF(ISBLANK(B1983),"""",IF(ISDATE(B1983),""X"",""""))"),"")</f>
        <v/>
      </c>
      <c r="L1983" s="40" t="str">
        <f>IFERROR(__xludf.DUMMYFUNCTION("IF(ISBLANK(B1983),"""",IF(Or(I1983=""Em Aberto"",ISBLANK(I1983),NOT(ISDATE(B1983))),"""",H1983))"),"")</f>
        <v/>
      </c>
      <c r="M1983" s="29" t="str">
        <f>IFERROR(__xludf.DUMMYFUNCTION("IF(ISBLANK(B1983),"""",IF(ISDATE(B1983),TEXT(B1983,""m""),""""))"),"")</f>
        <v/>
      </c>
      <c r="N1983" s="29" t="str">
        <f>IFERROR(__xludf.DUMMYFUNCTION("IF(M1983="""","""",QUERY({'Dashboard-Dados'!$Y$2:$AA$13},""Select Col2 Where Col1=""&amp;M1983))"),"")</f>
        <v/>
      </c>
      <c r="O1983" s="29" t="str">
        <f>IFERROR(__xludf.DUMMYFUNCTION("IF(ISBLANK(B1983),"""",IF(ISDATE(B1983),TEXT(B1983,""yyyy""),""""))"),"")</f>
        <v/>
      </c>
    </row>
    <row r="1984">
      <c r="B1984" s="62"/>
      <c r="C1984" s="56"/>
      <c r="D1984" s="56"/>
      <c r="E1984" s="56"/>
      <c r="F1984" s="63"/>
      <c r="G1984" s="64"/>
      <c r="H1984" s="65"/>
      <c r="I1984" s="63"/>
      <c r="K1984" s="53" t="str">
        <f>IFERROR(__xludf.DUMMYFUNCTION("IF(ISBLANK(B1984),"""",IF(ISDATE(B1984),""X"",""""))"),"")</f>
        <v/>
      </c>
      <c r="L1984" s="40" t="str">
        <f>IFERROR(__xludf.DUMMYFUNCTION("IF(ISBLANK(B1984),"""",IF(Or(I1984=""Em Aberto"",ISBLANK(I1984),NOT(ISDATE(B1984))),"""",H1984))"),"")</f>
        <v/>
      </c>
      <c r="M1984" s="29" t="str">
        <f>IFERROR(__xludf.DUMMYFUNCTION("IF(ISBLANK(B1984),"""",IF(ISDATE(B1984),TEXT(B1984,""m""),""""))"),"")</f>
        <v/>
      </c>
      <c r="N1984" s="29" t="str">
        <f>IFERROR(__xludf.DUMMYFUNCTION("IF(M1984="""","""",QUERY({'Dashboard-Dados'!$Y$2:$AA$13},""Select Col2 Where Col1=""&amp;M1984))"),"")</f>
        <v/>
      </c>
      <c r="O1984" s="29" t="str">
        <f>IFERROR(__xludf.DUMMYFUNCTION("IF(ISBLANK(B1984),"""",IF(ISDATE(B1984),TEXT(B1984,""yyyy""),""""))"),"")</f>
        <v/>
      </c>
    </row>
    <row r="1985">
      <c r="B1985" s="62"/>
      <c r="C1985" s="56"/>
      <c r="D1985" s="56"/>
      <c r="E1985" s="56"/>
      <c r="F1985" s="63"/>
      <c r="G1985" s="64"/>
      <c r="H1985" s="65"/>
      <c r="I1985" s="63"/>
      <c r="K1985" s="53" t="str">
        <f>IFERROR(__xludf.DUMMYFUNCTION("IF(ISBLANK(B1985),"""",IF(ISDATE(B1985),""X"",""""))"),"")</f>
        <v/>
      </c>
      <c r="L1985" s="40" t="str">
        <f>IFERROR(__xludf.DUMMYFUNCTION("IF(ISBLANK(B1985),"""",IF(Or(I1985=""Em Aberto"",ISBLANK(I1985),NOT(ISDATE(B1985))),"""",H1985))"),"")</f>
        <v/>
      </c>
      <c r="M1985" s="29" t="str">
        <f>IFERROR(__xludf.DUMMYFUNCTION("IF(ISBLANK(B1985),"""",IF(ISDATE(B1985),TEXT(B1985,""m""),""""))"),"")</f>
        <v/>
      </c>
      <c r="N1985" s="29" t="str">
        <f>IFERROR(__xludf.DUMMYFUNCTION("IF(M1985="""","""",QUERY({'Dashboard-Dados'!$Y$2:$AA$13},""Select Col2 Where Col1=""&amp;M1985))"),"")</f>
        <v/>
      </c>
      <c r="O1985" s="29" t="str">
        <f>IFERROR(__xludf.DUMMYFUNCTION("IF(ISBLANK(B1985),"""",IF(ISDATE(B1985),TEXT(B1985,""yyyy""),""""))"),"")</f>
        <v/>
      </c>
    </row>
    <row r="1986">
      <c r="B1986" s="62"/>
      <c r="C1986" s="56"/>
      <c r="D1986" s="56"/>
      <c r="E1986" s="56"/>
      <c r="F1986" s="63"/>
      <c r="G1986" s="64"/>
      <c r="H1986" s="65"/>
      <c r="I1986" s="63"/>
      <c r="K1986" s="53" t="str">
        <f>IFERROR(__xludf.DUMMYFUNCTION("IF(ISBLANK(B1986),"""",IF(ISDATE(B1986),""X"",""""))"),"")</f>
        <v/>
      </c>
      <c r="L1986" s="40" t="str">
        <f>IFERROR(__xludf.DUMMYFUNCTION("IF(ISBLANK(B1986),"""",IF(Or(I1986=""Em Aberto"",ISBLANK(I1986),NOT(ISDATE(B1986))),"""",H1986))"),"")</f>
        <v/>
      </c>
      <c r="M1986" s="29" t="str">
        <f>IFERROR(__xludf.DUMMYFUNCTION("IF(ISBLANK(B1986),"""",IF(ISDATE(B1986),TEXT(B1986,""m""),""""))"),"")</f>
        <v/>
      </c>
      <c r="N1986" s="29" t="str">
        <f>IFERROR(__xludf.DUMMYFUNCTION("IF(M1986="""","""",QUERY({'Dashboard-Dados'!$Y$2:$AA$13},""Select Col2 Where Col1=""&amp;M1986))"),"")</f>
        <v/>
      </c>
      <c r="O1986" s="29" t="str">
        <f>IFERROR(__xludf.DUMMYFUNCTION("IF(ISBLANK(B1986),"""",IF(ISDATE(B1986),TEXT(B1986,""yyyy""),""""))"),"")</f>
        <v/>
      </c>
    </row>
    <row r="1987">
      <c r="B1987" s="62"/>
      <c r="C1987" s="56"/>
      <c r="D1987" s="56"/>
      <c r="E1987" s="56"/>
      <c r="F1987" s="63"/>
      <c r="G1987" s="64"/>
      <c r="H1987" s="65"/>
      <c r="I1987" s="63"/>
      <c r="K1987" s="53" t="str">
        <f>IFERROR(__xludf.DUMMYFUNCTION("IF(ISBLANK(B1987),"""",IF(ISDATE(B1987),""X"",""""))"),"")</f>
        <v/>
      </c>
      <c r="L1987" s="40" t="str">
        <f>IFERROR(__xludf.DUMMYFUNCTION("IF(ISBLANK(B1987),"""",IF(Or(I1987=""Em Aberto"",ISBLANK(I1987),NOT(ISDATE(B1987))),"""",H1987))"),"")</f>
        <v/>
      </c>
      <c r="M1987" s="29" t="str">
        <f>IFERROR(__xludf.DUMMYFUNCTION("IF(ISBLANK(B1987),"""",IF(ISDATE(B1987),TEXT(B1987,""m""),""""))"),"")</f>
        <v/>
      </c>
      <c r="N1987" s="29" t="str">
        <f>IFERROR(__xludf.DUMMYFUNCTION("IF(M1987="""","""",QUERY({'Dashboard-Dados'!$Y$2:$AA$13},""Select Col2 Where Col1=""&amp;M1987))"),"")</f>
        <v/>
      </c>
      <c r="O1987" s="29" t="str">
        <f>IFERROR(__xludf.DUMMYFUNCTION("IF(ISBLANK(B1987),"""",IF(ISDATE(B1987),TEXT(B1987,""yyyy""),""""))"),"")</f>
        <v/>
      </c>
    </row>
    <row r="1988">
      <c r="B1988" s="62"/>
      <c r="C1988" s="56"/>
      <c r="D1988" s="56"/>
      <c r="E1988" s="56"/>
      <c r="F1988" s="63"/>
      <c r="G1988" s="64"/>
      <c r="H1988" s="65"/>
      <c r="I1988" s="63"/>
      <c r="K1988" s="53" t="str">
        <f>IFERROR(__xludf.DUMMYFUNCTION("IF(ISBLANK(B1988),"""",IF(ISDATE(B1988),""X"",""""))"),"")</f>
        <v/>
      </c>
      <c r="L1988" s="40" t="str">
        <f>IFERROR(__xludf.DUMMYFUNCTION("IF(ISBLANK(B1988),"""",IF(Or(I1988=""Em Aberto"",ISBLANK(I1988),NOT(ISDATE(B1988))),"""",H1988))"),"")</f>
        <v/>
      </c>
      <c r="M1988" s="29" t="str">
        <f>IFERROR(__xludf.DUMMYFUNCTION("IF(ISBLANK(B1988),"""",IF(ISDATE(B1988),TEXT(B1988,""m""),""""))"),"")</f>
        <v/>
      </c>
      <c r="N1988" s="29" t="str">
        <f>IFERROR(__xludf.DUMMYFUNCTION("IF(M1988="""","""",QUERY({'Dashboard-Dados'!$Y$2:$AA$13},""Select Col2 Where Col1=""&amp;M1988))"),"")</f>
        <v/>
      </c>
      <c r="O1988" s="29" t="str">
        <f>IFERROR(__xludf.DUMMYFUNCTION("IF(ISBLANK(B1988),"""",IF(ISDATE(B1988),TEXT(B1988,""yyyy""),""""))"),"")</f>
        <v/>
      </c>
    </row>
    <row r="1989">
      <c r="B1989" s="62"/>
      <c r="C1989" s="56"/>
      <c r="D1989" s="56"/>
      <c r="E1989" s="56"/>
      <c r="F1989" s="63"/>
      <c r="G1989" s="64"/>
      <c r="H1989" s="65"/>
      <c r="I1989" s="63"/>
      <c r="K1989" s="53" t="str">
        <f>IFERROR(__xludf.DUMMYFUNCTION("IF(ISBLANK(B1989),"""",IF(ISDATE(B1989),""X"",""""))"),"")</f>
        <v/>
      </c>
      <c r="L1989" s="40" t="str">
        <f>IFERROR(__xludf.DUMMYFUNCTION("IF(ISBLANK(B1989),"""",IF(Or(I1989=""Em Aberto"",ISBLANK(I1989),NOT(ISDATE(B1989))),"""",H1989))"),"")</f>
        <v/>
      </c>
      <c r="M1989" s="29" t="str">
        <f>IFERROR(__xludf.DUMMYFUNCTION("IF(ISBLANK(B1989),"""",IF(ISDATE(B1989),TEXT(B1989,""m""),""""))"),"")</f>
        <v/>
      </c>
      <c r="N1989" s="29" t="str">
        <f>IFERROR(__xludf.DUMMYFUNCTION("IF(M1989="""","""",QUERY({'Dashboard-Dados'!$Y$2:$AA$13},""Select Col2 Where Col1=""&amp;M1989))"),"")</f>
        <v/>
      </c>
      <c r="O1989" s="29" t="str">
        <f>IFERROR(__xludf.DUMMYFUNCTION("IF(ISBLANK(B1989),"""",IF(ISDATE(B1989),TEXT(B1989,""yyyy""),""""))"),"")</f>
        <v/>
      </c>
    </row>
    <row r="1990">
      <c r="B1990" s="62"/>
      <c r="C1990" s="56"/>
      <c r="D1990" s="56"/>
      <c r="E1990" s="56"/>
      <c r="F1990" s="63"/>
      <c r="G1990" s="64"/>
      <c r="H1990" s="65"/>
      <c r="I1990" s="63"/>
      <c r="K1990" s="53" t="str">
        <f>IFERROR(__xludf.DUMMYFUNCTION("IF(ISBLANK(B1990),"""",IF(ISDATE(B1990),""X"",""""))"),"")</f>
        <v/>
      </c>
      <c r="L1990" s="40" t="str">
        <f>IFERROR(__xludf.DUMMYFUNCTION("IF(ISBLANK(B1990),"""",IF(Or(I1990=""Em Aberto"",ISBLANK(I1990),NOT(ISDATE(B1990))),"""",H1990))"),"")</f>
        <v/>
      </c>
      <c r="M1990" s="29" t="str">
        <f>IFERROR(__xludf.DUMMYFUNCTION("IF(ISBLANK(B1990),"""",IF(ISDATE(B1990),TEXT(B1990,""m""),""""))"),"")</f>
        <v/>
      </c>
      <c r="N1990" s="29" t="str">
        <f>IFERROR(__xludf.DUMMYFUNCTION("IF(M1990="""","""",QUERY({'Dashboard-Dados'!$Y$2:$AA$13},""Select Col2 Where Col1=""&amp;M1990))"),"")</f>
        <v/>
      </c>
      <c r="O1990" s="29" t="str">
        <f>IFERROR(__xludf.DUMMYFUNCTION("IF(ISBLANK(B1990),"""",IF(ISDATE(B1990),TEXT(B1990,""yyyy""),""""))"),"")</f>
        <v/>
      </c>
    </row>
    <row r="1991">
      <c r="B1991" s="62"/>
      <c r="C1991" s="56"/>
      <c r="D1991" s="56"/>
      <c r="E1991" s="56"/>
      <c r="F1991" s="63"/>
      <c r="G1991" s="64"/>
      <c r="H1991" s="65"/>
      <c r="I1991" s="63"/>
      <c r="K1991" s="53" t="str">
        <f>IFERROR(__xludf.DUMMYFUNCTION("IF(ISBLANK(B1991),"""",IF(ISDATE(B1991),""X"",""""))"),"")</f>
        <v/>
      </c>
      <c r="L1991" s="40" t="str">
        <f>IFERROR(__xludf.DUMMYFUNCTION("IF(ISBLANK(B1991),"""",IF(Or(I1991=""Em Aberto"",ISBLANK(I1991),NOT(ISDATE(B1991))),"""",H1991))"),"")</f>
        <v/>
      </c>
      <c r="M1991" s="29" t="str">
        <f>IFERROR(__xludf.DUMMYFUNCTION("IF(ISBLANK(B1991),"""",IF(ISDATE(B1991),TEXT(B1991,""m""),""""))"),"")</f>
        <v/>
      </c>
      <c r="N1991" s="29" t="str">
        <f>IFERROR(__xludf.DUMMYFUNCTION("IF(M1991="""","""",QUERY({'Dashboard-Dados'!$Y$2:$AA$13},""Select Col2 Where Col1=""&amp;M1991))"),"")</f>
        <v/>
      </c>
      <c r="O1991" s="29" t="str">
        <f>IFERROR(__xludf.DUMMYFUNCTION("IF(ISBLANK(B1991),"""",IF(ISDATE(B1991),TEXT(B1991,""yyyy""),""""))"),"")</f>
        <v/>
      </c>
    </row>
    <row r="1992">
      <c r="B1992" s="62"/>
      <c r="C1992" s="56"/>
      <c r="D1992" s="56"/>
      <c r="E1992" s="56"/>
      <c r="F1992" s="63"/>
      <c r="G1992" s="64"/>
      <c r="H1992" s="65"/>
      <c r="I1992" s="63"/>
      <c r="K1992" s="53" t="str">
        <f>IFERROR(__xludf.DUMMYFUNCTION("IF(ISBLANK(B1992),"""",IF(ISDATE(B1992),""X"",""""))"),"")</f>
        <v/>
      </c>
      <c r="L1992" s="40" t="str">
        <f>IFERROR(__xludf.DUMMYFUNCTION("IF(ISBLANK(B1992),"""",IF(Or(I1992=""Em Aberto"",ISBLANK(I1992),NOT(ISDATE(B1992))),"""",H1992))"),"")</f>
        <v/>
      </c>
      <c r="M1992" s="29" t="str">
        <f>IFERROR(__xludf.DUMMYFUNCTION("IF(ISBLANK(B1992),"""",IF(ISDATE(B1992),TEXT(B1992,""m""),""""))"),"")</f>
        <v/>
      </c>
      <c r="N1992" s="29" t="str">
        <f>IFERROR(__xludf.DUMMYFUNCTION("IF(M1992="""","""",QUERY({'Dashboard-Dados'!$Y$2:$AA$13},""Select Col2 Where Col1=""&amp;M1992))"),"")</f>
        <v/>
      </c>
      <c r="O1992" s="29" t="str">
        <f>IFERROR(__xludf.DUMMYFUNCTION("IF(ISBLANK(B1992),"""",IF(ISDATE(B1992),TEXT(B1992,""yyyy""),""""))"),"")</f>
        <v/>
      </c>
    </row>
    <row r="1993">
      <c r="B1993" s="62"/>
      <c r="C1993" s="56"/>
      <c r="D1993" s="56"/>
      <c r="E1993" s="56"/>
      <c r="F1993" s="63"/>
      <c r="G1993" s="64"/>
      <c r="H1993" s="65"/>
      <c r="I1993" s="63"/>
      <c r="K1993" s="53" t="str">
        <f>IFERROR(__xludf.DUMMYFUNCTION("IF(ISBLANK(B1993),"""",IF(ISDATE(B1993),""X"",""""))"),"")</f>
        <v/>
      </c>
      <c r="L1993" s="40" t="str">
        <f>IFERROR(__xludf.DUMMYFUNCTION("IF(ISBLANK(B1993),"""",IF(Or(I1993=""Em Aberto"",ISBLANK(I1993),NOT(ISDATE(B1993))),"""",H1993))"),"")</f>
        <v/>
      </c>
      <c r="M1993" s="29" t="str">
        <f>IFERROR(__xludf.DUMMYFUNCTION("IF(ISBLANK(B1993),"""",IF(ISDATE(B1993),TEXT(B1993,""m""),""""))"),"")</f>
        <v/>
      </c>
      <c r="N1993" s="29" t="str">
        <f>IFERROR(__xludf.DUMMYFUNCTION("IF(M1993="""","""",QUERY({'Dashboard-Dados'!$Y$2:$AA$13},""Select Col2 Where Col1=""&amp;M1993))"),"")</f>
        <v/>
      </c>
      <c r="O1993" s="29" t="str">
        <f>IFERROR(__xludf.DUMMYFUNCTION("IF(ISBLANK(B1993),"""",IF(ISDATE(B1993),TEXT(B1993,""yyyy""),""""))"),"")</f>
        <v/>
      </c>
    </row>
    <row r="1994">
      <c r="B1994" s="62"/>
      <c r="C1994" s="56"/>
      <c r="D1994" s="56"/>
      <c r="E1994" s="56"/>
      <c r="F1994" s="63"/>
      <c r="G1994" s="64"/>
      <c r="H1994" s="65"/>
      <c r="I1994" s="63"/>
      <c r="K1994" s="53" t="str">
        <f>IFERROR(__xludf.DUMMYFUNCTION("IF(ISBLANK(B1994),"""",IF(ISDATE(B1994),""X"",""""))"),"")</f>
        <v/>
      </c>
      <c r="L1994" s="40" t="str">
        <f>IFERROR(__xludf.DUMMYFUNCTION("IF(ISBLANK(B1994),"""",IF(Or(I1994=""Em Aberto"",ISBLANK(I1994),NOT(ISDATE(B1994))),"""",H1994))"),"")</f>
        <v/>
      </c>
      <c r="M1994" s="29" t="str">
        <f>IFERROR(__xludf.DUMMYFUNCTION("IF(ISBLANK(B1994),"""",IF(ISDATE(B1994),TEXT(B1994,""m""),""""))"),"")</f>
        <v/>
      </c>
      <c r="N1994" s="29" t="str">
        <f>IFERROR(__xludf.DUMMYFUNCTION("IF(M1994="""","""",QUERY({'Dashboard-Dados'!$Y$2:$AA$13},""Select Col2 Where Col1=""&amp;M1994))"),"")</f>
        <v/>
      </c>
      <c r="O1994" s="29" t="str">
        <f>IFERROR(__xludf.DUMMYFUNCTION("IF(ISBLANK(B1994),"""",IF(ISDATE(B1994),TEXT(B1994,""yyyy""),""""))"),"")</f>
        <v/>
      </c>
    </row>
    <row r="1995">
      <c r="B1995" s="62"/>
      <c r="C1995" s="56"/>
      <c r="D1995" s="56"/>
      <c r="E1995" s="56"/>
      <c r="F1995" s="63"/>
      <c r="G1995" s="64"/>
      <c r="H1995" s="65"/>
      <c r="I1995" s="63"/>
      <c r="K1995" s="53" t="str">
        <f>IFERROR(__xludf.DUMMYFUNCTION("IF(ISBLANK(B1995),"""",IF(ISDATE(B1995),""X"",""""))"),"")</f>
        <v/>
      </c>
      <c r="L1995" s="40" t="str">
        <f>IFERROR(__xludf.DUMMYFUNCTION("IF(ISBLANK(B1995),"""",IF(Or(I1995=""Em Aberto"",ISBLANK(I1995),NOT(ISDATE(B1995))),"""",H1995))"),"")</f>
        <v/>
      </c>
      <c r="M1995" s="29" t="str">
        <f>IFERROR(__xludf.DUMMYFUNCTION("IF(ISBLANK(B1995),"""",IF(ISDATE(B1995),TEXT(B1995,""m""),""""))"),"")</f>
        <v/>
      </c>
      <c r="N1995" s="29" t="str">
        <f>IFERROR(__xludf.DUMMYFUNCTION("IF(M1995="""","""",QUERY({'Dashboard-Dados'!$Y$2:$AA$13},""Select Col2 Where Col1=""&amp;M1995))"),"")</f>
        <v/>
      </c>
      <c r="O1995" s="29" t="str">
        <f>IFERROR(__xludf.DUMMYFUNCTION("IF(ISBLANK(B1995),"""",IF(ISDATE(B1995),TEXT(B1995,""yyyy""),""""))"),"")</f>
        <v/>
      </c>
    </row>
    <row r="1996">
      <c r="B1996" s="62"/>
      <c r="C1996" s="56"/>
      <c r="D1996" s="56"/>
      <c r="E1996" s="56"/>
      <c r="F1996" s="63"/>
      <c r="G1996" s="64"/>
      <c r="H1996" s="65"/>
      <c r="I1996" s="63"/>
      <c r="K1996" s="53" t="str">
        <f>IFERROR(__xludf.DUMMYFUNCTION("IF(ISBLANK(B1996),"""",IF(ISDATE(B1996),""X"",""""))"),"")</f>
        <v/>
      </c>
      <c r="L1996" s="40" t="str">
        <f>IFERROR(__xludf.DUMMYFUNCTION("IF(ISBLANK(B1996),"""",IF(Or(I1996=""Em Aberto"",ISBLANK(I1996),NOT(ISDATE(B1996))),"""",H1996))"),"")</f>
        <v/>
      </c>
      <c r="M1996" s="29" t="str">
        <f>IFERROR(__xludf.DUMMYFUNCTION("IF(ISBLANK(B1996),"""",IF(ISDATE(B1996),TEXT(B1996,""m""),""""))"),"")</f>
        <v/>
      </c>
      <c r="N1996" s="29" t="str">
        <f>IFERROR(__xludf.DUMMYFUNCTION("IF(M1996="""","""",QUERY({'Dashboard-Dados'!$Y$2:$AA$13},""Select Col2 Where Col1=""&amp;M1996))"),"")</f>
        <v/>
      </c>
      <c r="O1996" s="29" t="str">
        <f>IFERROR(__xludf.DUMMYFUNCTION("IF(ISBLANK(B1996),"""",IF(ISDATE(B1996),TEXT(B1996,""yyyy""),""""))"),"")</f>
        <v/>
      </c>
    </row>
    <row r="1997">
      <c r="B1997" s="62"/>
      <c r="C1997" s="56"/>
      <c r="D1997" s="56"/>
      <c r="E1997" s="56"/>
      <c r="F1997" s="63"/>
      <c r="G1997" s="64"/>
      <c r="H1997" s="65"/>
      <c r="I1997" s="63"/>
      <c r="K1997" s="53" t="str">
        <f>IFERROR(__xludf.DUMMYFUNCTION("IF(ISBLANK(B1997),"""",IF(ISDATE(B1997),""X"",""""))"),"")</f>
        <v/>
      </c>
      <c r="L1997" s="40" t="str">
        <f>IFERROR(__xludf.DUMMYFUNCTION("IF(ISBLANK(B1997),"""",IF(Or(I1997=""Em Aberto"",ISBLANK(I1997),NOT(ISDATE(B1997))),"""",H1997))"),"")</f>
        <v/>
      </c>
      <c r="M1997" s="29" t="str">
        <f>IFERROR(__xludf.DUMMYFUNCTION("IF(ISBLANK(B1997),"""",IF(ISDATE(B1997),TEXT(B1997,""m""),""""))"),"")</f>
        <v/>
      </c>
      <c r="N1997" s="29" t="str">
        <f>IFERROR(__xludf.DUMMYFUNCTION("IF(M1997="""","""",QUERY({'Dashboard-Dados'!$Y$2:$AA$13},""Select Col2 Where Col1=""&amp;M1997))"),"")</f>
        <v/>
      </c>
      <c r="O1997" s="29" t="str">
        <f>IFERROR(__xludf.DUMMYFUNCTION("IF(ISBLANK(B1997),"""",IF(ISDATE(B1997),TEXT(B1997,""yyyy""),""""))"),"")</f>
        <v/>
      </c>
    </row>
    <row r="1998">
      <c r="B1998" s="62"/>
      <c r="C1998" s="56"/>
      <c r="D1998" s="56"/>
      <c r="E1998" s="56"/>
      <c r="F1998" s="63"/>
      <c r="G1998" s="64"/>
      <c r="H1998" s="65"/>
      <c r="I1998" s="63"/>
      <c r="K1998" s="53" t="str">
        <f>IFERROR(__xludf.DUMMYFUNCTION("IF(ISBLANK(B1998),"""",IF(ISDATE(B1998),""X"",""""))"),"")</f>
        <v/>
      </c>
      <c r="L1998" s="40" t="str">
        <f>IFERROR(__xludf.DUMMYFUNCTION("IF(ISBLANK(B1998),"""",IF(Or(I1998=""Em Aberto"",ISBLANK(I1998),NOT(ISDATE(B1998))),"""",H1998))"),"")</f>
        <v/>
      </c>
      <c r="M1998" s="29" t="str">
        <f>IFERROR(__xludf.DUMMYFUNCTION("IF(ISBLANK(B1998),"""",IF(ISDATE(B1998),TEXT(B1998,""m""),""""))"),"")</f>
        <v/>
      </c>
      <c r="N1998" s="29" t="str">
        <f>IFERROR(__xludf.DUMMYFUNCTION("IF(M1998="""","""",QUERY({'Dashboard-Dados'!$Y$2:$AA$13},""Select Col2 Where Col1=""&amp;M1998))"),"")</f>
        <v/>
      </c>
      <c r="O1998" s="29" t="str">
        <f>IFERROR(__xludf.DUMMYFUNCTION("IF(ISBLANK(B1998),"""",IF(ISDATE(B1998),TEXT(B1998,""yyyy""),""""))"),"")</f>
        <v/>
      </c>
    </row>
    <row r="1999">
      <c r="B1999" s="62"/>
      <c r="C1999" s="56"/>
      <c r="D1999" s="56"/>
      <c r="E1999" s="56"/>
      <c r="F1999" s="63"/>
      <c r="G1999" s="64"/>
      <c r="H1999" s="65"/>
      <c r="I1999" s="63"/>
      <c r="K1999" s="53" t="str">
        <f>IFERROR(__xludf.DUMMYFUNCTION("IF(ISBLANK(B1999),"""",IF(ISDATE(B1999),""X"",""""))"),"")</f>
        <v/>
      </c>
      <c r="L1999" s="40" t="str">
        <f>IFERROR(__xludf.DUMMYFUNCTION("IF(ISBLANK(B1999),"""",IF(Or(I1999=""Em Aberto"",ISBLANK(I1999),NOT(ISDATE(B1999))),"""",H1999))"),"")</f>
        <v/>
      </c>
      <c r="M1999" s="29" t="str">
        <f>IFERROR(__xludf.DUMMYFUNCTION("IF(ISBLANK(B1999),"""",IF(ISDATE(B1999),TEXT(B1999,""m""),""""))"),"")</f>
        <v/>
      </c>
      <c r="N1999" s="29" t="str">
        <f>IFERROR(__xludf.DUMMYFUNCTION("IF(M1999="""","""",QUERY({'Dashboard-Dados'!$Y$2:$AA$13},""Select Col2 Where Col1=""&amp;M1999))"),"")</f>
        <v/>
      </c>
      <c r="O1999" s="29" t="str">
        <f>IFERROR(__xludf.DUMMYFUNCTION("IF(ISBLANK(B1999),"""",IF(ISDATE(B1999),TEXT(B1999,""yyyy""),""""))"),"")</f>
        <v/>
      </c>
    </row>
    <row r="2000">
      <c r="B2000" s="62"/>
      <c r="C2000" s="56"/>
      <c r="D2000" s="56"/>
      <c r="E2000" s="56"/>
      <c r="F2000" s="63"/>
      <c r="G2000" s="64"/>
      <c r="H2000" s="65"/>
      <c r="I2000" s="63"/>
      <c r="K2000" s="53" t="str">
        <f>IFERROR(__xludf.DUMMYFUNCTION("IF(ISBLANK(B2000),"""",IF(ISDATE(B2000),""X"",""""))"),"")</f>
        <v/>
      </c>
      <c r="L2000" s="40" t="str">
        <f>IFERROR(__xludf.DUMMYFUNCTION("IF(ISBLANK(B2000),"""",IF(Or(I2000=""Em Aberto"",ISBLANK(I2000),NOT(ISDATE(B2000))),"""",H2000))"),"")</f>
        <v/>
      </c>
      <c r="M2000" s="29" t="str">
        <f>IFERROR(__xludf.DUMMYFUNCTION("IF(ISBLANK(B2000),"""",IF(ISDATE(B2000),TEXT(B2000,""m""),""""))"),"")</f>
        <v/>
      </c>
      <c r="N2000" s="29" t="str">
        <f>IFERROR(__xludf.DUMMYFUNCTION("IF(M2000="""","""",QUERY({'Dashboard-Dados'!$Y$2:$AA$13},""Select Col2 Where Col1=""&amp;M2000))"),"")</f>
        <v/>
      </c>
      <c r="O2000" s="29" t="str">
        <f>IFERROR(__xludf.DUMMYFUNCTION("IF(ISBLANK(B2000),"""",IF(ISDATE(B2000),TEXT(B2000,""yyyy""),""""))"),"")</f>
        <v/>
      </c>
    </row>
    <row r="2001">
      <c r="B2001" s="62"/>
      <c r="C2001" s="56"/>
      <c r="D2001" s="56"/>
      <c r="E2001" s="56"/>
      <c r="F2001" s="63"/>
      <c r="G2001" s="64"/>
      <c r="H2001" s="65"/>
      <c r="I2001" s="63"/>
      <c r="K2001" s="53" t="str">
        <f>IFERROR(__xludf.DUMMYFUNCTION("IF(ISBLANK(B2001),"""",IF(ISDATE(B2001),""X"",""""))"),"")</f>
        <v/>
      </c>
      <c r="L2001" s="40" t="str">
        <f>IFERROR(__xludf.DUMMYFUNCTION("IF(ISBLANK(B2001),"""",IF(Or(I2001=""Em Aberto"",ISBLANK(I2001),NOT(ISDATE(B2001))),"""",H2001))"),"")</f>
        <v/>
      </c>
      <c r="M2001" s="29" t="str">
        <f>IFERROR(__xludf.DUMMYFUNCTION("IF(ISBLANK(B2001),"""",IF(ISDATE(B2001),TEXT(B2001,""m""),""""))"),"")</f>
        <v/>
      </c>
      <c r="N2001" s="29" t="str">
        <f>IFERROR(__xludf.DUMMYFUNCTION("IF(M2001="""","""",QUERY({'Dashboard-Dados'!$Y$2:$AA$13},""Select Col2 Where Col1=""&amp;M2001))"),"")</f>
        <v/>
      </c>
      <c r="O2001" s="29" t="str">
        <f>IFERROR(__xludf.DUMMYFUNCTION("IF(ISBLANK(B2001),"""",IF(ISDATE(B2001),TEXT(B2001,""yyyy""),""""))"),"")</f>
        <v/>
      </c>
    </row>
    <row r="2002">
      <c r="B2002" s="62"/>
      <c r="C2002" s="56"/>
      <c r="D2002" s="56"/>
      <c r="E2002" s="56"/>
      <c r="F2002" s="63"/>
      <c r="G2002" s="64"/>
      <c r="H2002" s="65"/>
      <c r="I2002" s="63"/>
      <c r="K2002" s="53" t="str">
        <f>IFERROR(__xludf.DUMMYFUNCTION("IF(ISBLANK(B2002),"""",IF(ISDATE(B2002),""X"",""""))"),"")</f>
        <v/>
      </c>
      <c r="L2002" s="40" t="str">
        <f>IFERROR(__xludf.DUMMYFUNCTION("IF(ISBLANK(B2002),"""",IF(Or(I2002=""Em Aberto"",ISBLANK(I2002),NOT(ISDATE(B2002))),"""",H2002))"),"")</f>
        <v/>
      </c>
      <c r="M2002" s="29" t="str">
        <f>IFERROR(__xludf.DUMMYFUNCTION("IF(ISBLANK(B2002),"""",IF(ISDATE(B2002),TEXT(B2002,""m""),""""))"),"")</f>
        <v/>
      </c>
      <c r="N2002" s="29" t="str">
        <f>IFERROR(__xludf.DUMMYFUNCTION("IF(M2002="""","""",QUERY({'Dashboard-Dados'!$Y$2:$AA$13},""Select Col2 Where Col1=""&amp;M2002))"),"")</f>
        <v/>
      </c>
      <c r="O2002" s="29" t="str">
        <f>IFERROR(__xludf.DUMMYFUNCTION("IF(ISBLANK(B2002),"""",IF(ISDATE(B2002),TEXT(B2002,""yyyy""),""""))"),"")</f>
        <v/>
      </c>
    </row>
    <row r="2003">
      <c r="B2003" s="62"/>
      <c r="C2003" s="56"/>
      <c r="D2003" s="56"/>
      <c r="E2003" s="56"/>
      <c r="F2003" s="63"/>
      <c r="G2003" s="64"/>
      <c r="H2003" s="65"/>
      <c r="I2003" s="63"/>
      <c r="K2003" s="53" t="str">
        <f>IFERROR(__xludf.DUMMYFUNCTION("IF(ISBLANK(B2003),"""",IF(ISDATE(B2003),""X"",""""))"),"")</f>
        <v/>
      </c>
      <c r="L2003" s="40" t="str">
        <f>IFERROR(__xludf.DUMMYFUNCTION("IF(ISBLANK(B2003),"""",IF(Or(I2003=""Em Aberto"",ISBLANK(I2003),NOT(ISDATE(B2003))),"""",H2003))"),"")</f>
        <v/>
      </c>
      <c r="M2003" s="29" t="str">
        <f>IFERROR(__xludf.DUMMYFUNCTION("IF(ISBLANK(B2003),"""",IF(ISDATE(B2003),TEXT(B2003,""m""),""""))"),"")</f>
        <v/>
      </c>
      <c r="N2003" s="29" t="str">
        <f>IFERROR(__xludf.DUMMYFUNCTION("IF(M2003="""","""",QUERY({'Dashboard-Dados'!$Y$2:$AA$13},""Select Col2 Where Col1=""&amp;M2003))"),"")</f>
        <v/>
      </c>
      <c r="O2003" s="29" t="str">
        <f>IFERROR(__xludf.DUMMYFUNCTION("IF(ISBLANK(B2003),"""",IF(ISDATE(B2003),TEXT(B2003,""yyyy""),""""))"),"")</f>
        <v/>
      </c>
    </row>
    <row r="2004">
      <c r="B2004" s="62"/>
      <c r="C2004" s="56"/>
      <c r="D2004" s="56"/>
      <c r="E2004" s="56"/>
      <c r="F2004" s="63"/>
      <c r="G2004" s="64"/>
      <c r="H2004" s="65"/>
      <c r="I2004" s="63"/>
      <c r="K2004" s="53" t="str">
        <f>IFERROR(__xludf.DUMMYFUNCTION("IF(ISBLANK(B2004),"""",IF(ISDATE(B2004),""X"",""""))"),"")</f>
        <v/>
      </c>
      <c r="L2004" s="40" t="str">
        <f>IFERROR(__xludf.DUMMYFUNCTION("IF(ISBLANK(B2004),"""",IF(Or(I2004=""Em Aberto"",ISBLANK(I2004),NOT(ISDATE(B2004))),"""",H2004))"),"")</f>
        <v/>
      </c>
      <c r="M2004" s="29" t="str">
        <f>IFERROR(__xludf.DUMMYFUNCTION("IF(ISBLANK(B2004),"""",IF(ISDATE(B2004),TEXT(B2004,""m""),""""))"),"")</f>
        <v/>
      </c>
      <c r="N2004" s="29" t="str">
        <f>IFERROR(__xludf.DUMMYFUNCTION("IF(M2004="""","""",QUERY({'Dashboard-Dados'!$Y$2:$AA$13},""Select Col2 Where Col1=""&amp;M2004))"),"")</f>
        <v/>
      </c>
      <c r="O2004" s="29" t="str">
        <f>IFERROR(__xludf.DUMMYFUNCTION("IF(ISBLANK(B2004),"""",IF(ISDATE(B2004),TEXT(B2004,""yyyy""),""""))"),"")</f>
        <v/>
      </c>
    </row>
    <row r="2005">
      <c r="B2005" s="62"/>
      <c r="C2005" s="56"/>
      <c r="D2005" s="56"/>
      <c r="E2005" s="56"/>
      <c r="F2005" s="63"/>
      <c r="G2005" s="64"/>
      <c r="H2005" s="65"/>
      <c r="I2005" s="63"/>
      <c r="K2005" s="53" t="str">
        <f>IFERROR(__xludf.DUMMYFUNCTION("IF(ISBLANK(B2005),"""",IF(ISDATE(B2005),""X"",""""))"),"")</f>
        <v/>
      </c>
      <c r="L2005" s="40" t="str">
        <f>IFERROR(__xludf.DUMMYFUNCTION("IF(ISBLANK(B2005),"""",IF(Or(I2005=""Em Aberto"",ISBLANK(I2005),NOT(ISDATE(B2005))),"""",H2005))"),"")</f>
        <v/>
      </c>
      <c r="M2005" s="29" t="str">
        <f>IFERROR(__xludf.DUMMYFUNCTION("IF(ISBLANK(B2005),"""",IF(ISDATE(B2005),TEXT(B2005,""m""),""""))"),"")</f>
        <v/>
      </c>
      <c r="N2005" s="29" t="str">
        <f>IFERROR(__xludf.DUMMYFUNCTION("IF(M2005="""","""",QUERY({'Dashboard-Dados'!$Y$2:$AA$13},""Select Col2 Where Col1=""&amp;M2005))"),"")</f>
        <v/>
      </c>
      <c r="O2005" s="29" t="str">
        <f>IFERROR(__xludf.DUMMYFUNCTION("IF(ISBLANK(B2005),"""",IF(ISDATE(B2005),TEXT(B2005,""yyyy""),""""))"),"")</f>
        <v/>
      </c>
    </row>
    <row r="2006">
      <c r="B2006" s="62"/>
      <c r="C2006" s="56"/>
      <c r="D2006" s="56"/>
      <c r="E2006" s="56"/>
      <c r="F2006" s="63"/>
      <c r="G2006" s="64"/>
      <c r="H2006" s="65"/>
      <c r="I2006" s="63"/>
      <c r="K2006" s="53" t="str">
        <f>IFERROR(__xludf.DUMMYFUNCTION("IF(ISBLANK(B2006),"""",IF(ISDATE(B2006),""X"",""""))"),"")</f>
        <v/>
      </c>
      <c r="L2006" s="40" t="str">
        <f>IFERROR(__xludf.DUMMYFUNCTION("IF(ISBLANK(B2006),"""",IF(Or(I2006=""Em Aberto"",ISBLANK(I2006),NOT(ISDATE(B2006))),"""",H2006))"),"")</f>
        <v/>
      </c>
      <c r="M2006" s="29" t="str">
        <f>IFERROR(__xludf.DUMMYFUNCTION("IF(ISBLANK(B2006),"""",IF(ISDATE(B2006),TEXT(B2006,""m""),""""))"),"")</f>
        <v/>
      </c>
      <c r="N2006" s="29" t="str">
        <f>IFERROR(__xludf.DUMMYFUNCTION("IF(M2006="""","""",QUERY({'Dashboard-Dados'!$Y$2:$AA$13},""Select Col2 Where Col1=""&amp;M2006))"),"")</f>
        <v/>
      </c>
      <c r="O2006" s="29" t="str">
        <f>IFERROR(__xludf.DUMMYFUNCTION("IF(ISBLANK(B2006),"""",IF(ISDATE(B2006),TEXT(B2006,""yyyy""),""""))"),"")</f>
        <v/>
      </c>
    </row>
    <row r="2007">
      <c r="B2007" s="62"/>
      <c r="C2007" s="56"/>
      <c r="D2007" s="56"/>
      <c r="E2007" s="56"/>
      <c r="F2007" s="63"/>
      <c r="G2007" s="64"/>
      <c r="H2007" s="65"/>
      <c r="I2007" s="63"/>
      <c r="K2007" s="53" t="str">
        <f>IFERROR(__xludf.DUMMYFUNCTION("IF(ISBLANK(B2007),"""",IF(ISDATE(B2007),""X"",""""))"),"")</f>
        <v/>
      </c>
      <c r="L2007" s="40" t="str">
        <f>IFERROR(__xludf.DUMMYFUNCTION("IF(ISBLANK(B2007),"""",IF(Or(I2007=""Em Aberto"",ISBLANK(I2007),NOT(ISDATE(B2007))),"""",H2007))"),"")</f>
        <v/>
      </c>
      <c r="M2007" s="29" t="str">
        <f>IFERROR(__xludf.DUMMYFUNCTION("IF(ISBLANK(B2007),"""",IF(ISDATE(B2007),TEXT(B2007,""m""),""""))"),"")</f>
        <v/>
      </c>
      <c r="N2007" s="29" t="str">
        <f>IFERROR(__xludf.DUMMYFUNCTION("IF(M2007="""","""",QUERY({'Dashboard-Dados'!$Y$2:$AA$13},""Select Col2 Where Col1=""&amp;M2007))"),"")</f>
        <v/>
      </c>
      <c r="O2007" s="29" t="str">
        <f>IFERROR(__xludf.DUMMYFUNCTION("IF(ISBLANK(B2007),"""",IF(ISDATE(B2007),TEXT(B2007,""yyyy""),""""))"),"")</f>
        <v/>
      </c>
    </row>
    <row r="2008">
      <c r="B2008" s="62"/>
      <c r="C2008" s="56"/>
      <c r="D2008" s="56"/>
      <c r="E2008" s="56"/>
      <c r="F2008" s="63"/>
      <c r="G2008" s="64"/>
      <c r="H2008" s="65"/>
      <c r="I2008" s="63"/>
      <c r="K2008" s="53" t="str">
        <f>IFERROR(__xludf.DUMMYFUNCTION("IF(ISBLANK(B2008),"""",IF(ISDATE(B2008),""X"",""""))"),"")</f>
        <v/>
      </c>
      <c r="L2008" s="40" t="str">
        <f>IFERROR(__xludf.DUMMYFUNCTION("IF(ISBLANK(B2008),"""",IF(Or(I2008=""Em Aberto"",ISBLANK(I2008),NOT(ISDATE(B2008))),"""",H2008))"),"")</f>
        <v/>
      </c>
      <c r="M2008" s="29" t="str">
        <f>IFERROR(__xludf.DUMMYFUNCTION("IF(ISBLANK(B2008),"""",IF(ISDATE(B2008),TEXT(B2008,""m""),""""))"),"")</f>
        <v/>
      </c>
      <c r="N2008" s="29" t="str">
        <f>IFERROR(__xludf.DUMMYFUNCTION("IF(M2008="""","""",QUERY({'Dashboard-Dados'!$Y$2:$AA$13},""Select Col2 Where Col1=""&amp;M2008))"),"")</f>
        <v/>
      </c>
      <c r="O2008" s="29" t="str">
        <f>IFERROR(__xludf.DUMMYFUNCTION("IF(ISBLANK(B2008),"""",IF(ISDATE(B2008),TEXT(B2008,""yyyy""),""""))"),"")</f>
        <v/>
      </c>
    </row>
    <row r="2009">
      <c r="B2009" s="62"/>
      <c r="C2009" s="56"/>
      <c r="D2009" s="56"/>
      <c r="E2009" s="56"/>
      <c r="F2009" s="63"/>
      <c r="G2009" s="64"/>
      <c r="H2009" s="65"/>
      <c r="I2009" s="63"/>
      <c r="K2009" s="53" t="str">
        <f>IFERROR(__xludf.DUMMYFUNCTION("IF(ISBLANK(B2009),"""",IF(ISDATE(B2009),""X"",""""))"),"")</f>
        <v/>
      </c>
      <c r="L2009" s="40" t="str">
        <f>IFERROR(__xludf.DUMMYFUNCTION("IF(ISBLANK(B2009),"""",IF(Or(I2009=""Em Aberto"",ISBLANK(I2009),NOT(ISDATE(B2009))),"""",H2009))"),"")</f>
        <v/>
      </c>
      <c r="M2009" s="29" t="str">
        <f>IFERROR(__xludf.DUMMYFUNCTION("IF(ISBLANK(B2009),"""",IF(ISDATE(B2009),TEXT(B2009,""m""),""""))"),"")</f>
        <v/>
      </c>
      <c r="N2009" s="29" t="str">
        <f>IFERROR(__xludf.DUMMYFUNCTION("IF(M2009="""","""",QUERY({'Dashboard-Dados'!$Y$2:$AA$13},""Select Col2 Where Col1=""&amp;M2009))"),"")</f>
        <v/>
      </c>
      <c r="O2009" s="29" t="str">
        <f>IFERROR(__xludf.DUMMYFUNCTION("IF(ISBLANK(B2009),"""",IF(ISDATE(B2009),TEXT(B2009,""yyyy""),""""))"),"")</f>
        <v/>
      </c>
    </row>
    <row r="2010">
      <c r="B2010" s="62"/>
      <c r="C2010" s="56"/>
      <c r="D2010" s="56"/>
      <c r="E2010" s="56"/>
      <c r="F2010" s="63"/>
      <c r="G2010" s="64"/>
      <c r="H2010" s="65"/>
      <c r="I2010" s="63"/>
      <c r="K2010" s="53" t="str">
        <f>IFERROR(__xludf.DUMMYFUNCTION("IF(ISBLANK(B2010),"""",IF(ISDATE(B2010),""X"",""""))"),"")</f>
        <v/>
      </c>
      <c r="L2010" s="40" t="str">
        <f>IFERROR(__xludf.DUMMYFUNCTION("IF(ISBLANK(B2010),"""",IF(Or(I2010=""Em Aberto"",ISBLANK(I2010),NOT(ISDATE(B2010))),"""",H2010))"),"")</f>
        <v/>
      </c>
      <c r="M2010" s="29" t="str">
        <f>IFERROR(__xludf.DUMMYFUNCTION("IF(ISBLANK(B2010),"""",IF(ISDATE(B2010),TEXT(B2010,""m""),""""))"),"")</f>
        <v/>
      </c>
      <c r="N2010" s="29" t="str">
        <f>IFERROR(__xludf.DUMMYFUNCTION("IF(M2010="""","""",QUERY({'Dashboard-Dados'!$Y$2:$AA$13},""Select Col2 Where Col1=""&amp;M2010))"),"")</f>
        <v/>
      </c>
      <c r="O2010" s="29" t="str">
        <f>IFERROR(__xludf.DUMMYFUNCTION("IF(ISBLANK(B2010),"""",IF(ISDATE(B2010),TEXT(B2010,""yyyy""),""""))"),"")</f>
        <v/>
      </c>
    </row>
    <row r="2011">
      <c r="B2011" s="62"/>
      <c r="C2011" s="56"/>
      <c r="D2011" s="56"/>
      <c r="E2011" s="56"/>
      <c r="F2011" s="63"/>
      <c r="G2011" s="64"/>
      <c r="H2011" s="65"/>
      <c r="I2011" s="63"/>
      <c r="K2011" s="53" t="str">
        <f>IFERROR(__xludf.DUMMYFUNCTION("IF(ISBLANK(B2011),"""",IF(ISDATE(B2011),""X"",""""))"),"")</f>
        <v/>
      </c>
      <c r="L2011" s="40" t="str">
        <f>IFERROR(__xludf.DUMMYFUNCTION("IF(ISBLANK(B2011),"""",IF(Or(I2011=""Em Aberto"",ISBLANK(I2011),NOT(ISDATE(B2011))),"""",H2011))"),"")</f>
        <v/>
      </c>
      <c r="M2011" s="29" t="str">
        <f>IFERROR(__xludf.DUMMYFUNCTION("IF(ISBLANK(B2011),"""",IF(ISDATE(B2011),TEXT(B2011,""m""),""""))"),"")</f>
        <v/>
      </c>
      <c r="N2011" s="29" t="str">
        <f>IFERROR(__xludf.DUMMYFUNCTION("IF(M2011="""","""",QUERY({'Dashboard-Dados'!$Y$2:$AA$13},""Select Col2 Where Col1=""&amp;M2011))"),"")</f>
        <v/>
      </c>
      <c r="O2011" s="29" t="str">
        <f>IFERROR(__xludf.DUMMYFUNCTION("IF(ISBLANK(B2011),"""",IF(ISDATE(B2011),TEXT(B2011,""yyyy""),""""))"),"")</f>
        <v/>
      </c>
    </row>
    <row r="2012">
      <c r="B2012" s="62"/>
      <c r="C2012" s="56"/>
      <c r="D2012" s="56"/>
      <c r="E2012" s="56"/>
      <c r="F2012" s="63"/>
      <c r="G2012" s="64"/>
      <c r="H2012" s="65"/>
      <c r="I2012" s="63"/>
      <c r="K2012" s="53" t="str">
        <f>IFERROR(__xludf.DUMMYFUNCTION("IF(ISBLANK(B2012),"""",IF(ISDATE(B2012),""X"",""""))"),"")</f>
        <v/>
      </c>
      <c r="L2012" s="40" t="str">
        <f>IFERROR(__xludf.DUMMYFUNCTION("IF(ISBLANK(B2012),"""",IF(Or(I2012=""Em Aberto"",ISBLANK(I2012),NOT(ISDATE(B2012))),"""",H2012))"),"")</f>
        <v/>
      </c>
      <c r="M2012" s="29" t="str">
        <f>IFERROR(__xludf.DUMMYFUNCTION("IF(ISBLANK(B2012),"""",IF(ISDATE(B2012),TEXT(B2012,""m""),""""))"),"")</f>
        <v/>
      </c>
      <c r="N2012" s="29" t="str">
        <f>IFERROR(__xludf.DUMMYFUNCTION("IF(M2012="""","""",QUERY({'Dashboard-Dados'!$Y$2:$AA$13},""Select Col2 Where Col1=""&amp;M2012))"),"")</f>
        <v/>
      </c>
      <c r="O2012" s="29" t="str">
        <f>IFERROR(__xludf.DUMMYFUNCTION("IF(ISBLANK(B2012),"""",IF(ISDATE(B2012),TEXT(B2012,""yyyy""),""""))"),"")</f>
        <v/>
      </c>
    </row>
    <row r="2013">
      <c r="B2013" s="62"/>
      <c r="C2013" s="56"/>
      <c r="D2013" s="56"/>
      <c r="E2013" s="56"/>
      <c r="F2013" s="63"/>
      <c r="G2013" s="64"/>
      <c r="H2013" s="65"/>
      <c r="I2013" s="63"/>
      <c r="K2013" s="53" t="str">
        <f>IFERROR(__xludf.DUMMYFUNCTION("IF(ISBLANK(B2013),"""",IF(ISDATE(B2013),""X"",""""))"),"")</f>
        <v/>
      </c>
      <c r="L2013" s="40" t="str">
        <f>IFERROR(__xludf.DUMMYFUNCTION("IF(ISBLANK(B2013),"""",IF(Or(I2013=""Em Aberto"",ISBLANK(I2013),NOT(ISDATE(B2013))),"""",H2013))"),"")</f>
        <v/>
      </c>
      <c r="M2013" s="29" t="str">
        <f>IFERROR(__xludf.DUMMYFUNCTION("IF(ISBLANK(B2013),"""",IF(ISDATE(B2013),TEXT(B2013,""m""),""""))"),"")</f>
        <v/>
      </c>
      <c r="N2013" s="29" t="str">
        <f>IFERROR(__xludf.DUMMYFUNCTION("IF(M2013="""","""",QUERY({'Dashboard-Dados'!$Y$2:$AA$13},""Select Col2 Where Col1=""&amp;M2013))"),"")</f>
        <v/>
      </c>
      <c r="O2013" s="29" t="str">
        <f>IFERROR(__xludf.DUMMYFUNCTION("IF(ISBLANK(B2013),"""",IF(ISDATE(B2013),TEXT(B2013,""yyyy""),""""))"),"")</f>
        <v/>
      </c>
    </row>
    <row r="2014">
      <c r="B2014" s="62"/>
      <c r="C2014" s="56"/>
      <c r="D2014" s="56"/>
      <c r="E2014" s="56"/>
      <c r="F2014" s="63"/>
      <c r="G2014" s="64"/>
      <c r="H2014" s="65"/>
      <c r="I2014" s="63"/>
      <c r="K2014" s="53" t="str">
        <f>IFERROR(__xludf.DUMMYFUNCTION("IF(ISBLANK(B2014),"""",IF(ISDATE(B2014),""X"",""""))"),"")</f>
        <v/>
      </c>
      <c r="L2014" s="40" t="str">
        <f>IFERROR(__xludf.DUMMYFUNCTION("IF(ISBLANK(B2014),"""",IF(Or(I2014=""Em Aberto"",ISBLANK(I2014),NOT(ISDATE(B2014))),"""",H2014))"),"")</f>
        <v/>
      </c>
      <c r="M2014" s="29" t="str">
        <f>IFERROR(__xludf.DUMMYFUNCTION("IF(ISBLANK(B2014),"""",IF(ISDATE(B2014),TEXT(B2014,""m""),""""))"),"")</f>
        <v/>
      </c>
      <c r="N2014" s="29" t="str">
        <f>IFERROR(__xludf.DUMMYFUNCTION("IF(M2014="""","""",QUERY({'Dashboard-Dados'!$Y$2:$AA$13},""Select Col2 Where Col1=""&amp;M2014))"),"")</f>
        <v/>
      </c>
      <c r="O2014" s="29" t="str">
        <f>IFERROR(__xludf.DUMMYFUNCTION("IF(ISBLANK(B2014),"""",IF(ISDATE(B2014),TEXT(B2014,""yyyy""),""""))"),"")</f>
        <v/>
      </c>
    </row>
    <row r="2015">
      <c r="B2015" s="62"/>
      <c r="C2015" s="56"/>
      <c r="D2015" s="56"/>
      <c r="E2015" s="56"/>
      <c r="F2015" s="63"/>
      <c r="G2015" s="64"/>
      <c r="H2015" s="65"/>
      <c r="I2015" s="63"/>
      <c r="K2015" s="53" t="str">
        <f>IFERROR(__xludf.DUMMYFUNCTION("IF(ISBLANK(B2015),"""",IF(ISDATE(B2015),""X"",""""))"),"")</f>
        <v/>
      </c>
      <c r="L2015" s="40" t="str">
        <f>IFERROR(__xludf.DUMMYFUNCTION("IF(ISBLANK(B2015),"""",IF(Or(I2015=""Em Aberto"",ISBLANK(I2015),NOT(ISDATE(B2015))),"""",H2015))"),"")</f>
        <v/>
      </c>
      <c r="M2015" s="29" t="str">
        <f>IFERROR(__xludf.DUMMYFUNCTION("IF(ISBLANK(B2015),"""",IF(ISDATE(B2015),TEXT(B2015,""m""),""""))"),"")</f>
        <v/>
      </c>
      <c r="N2015" s="29" t="str">
        <f>IFERROR(__xludf.DUMMYFUNCTION("IF(M2015="""","""",QUERY({'Dashboard-Dados'!$Y$2:$AA$13},""Select Col2 Where Col1=""&amp;M2015))"),"")</f>
        <v/>
      </c>
      <c r="O2015" s="29" t="str">
        <f>IFERROR(__xludf.DUMMYFUNCTION("IF(ISBLANK(B2015),"""",IF(ISDATE(B2015),TEXT(B2015,""yyyy""),""""))"),"")</f>
        <v/>
      </c>
    </row>
    <row r="2016">
      <c r="B2016" s="62"/>
      <c r="C2016" s="56"/>
      <c r="D2016" s="56"/>
      <c r="E2016" s="56"/>
      <c r="F2016" s="63"/>
      <c r="G2016" s="64"/>
      <c r="H2016" s="65"/>
      <c r="I2016" s="63"/>
      <c r="K2016" s="53" t="str">
        <f>IFERROR(__xludf.DUMMYFUNCTION("IF(ISBLANK(B2016),"""",IF(ISDATE(B2016),""X"",""""))"),"")</f>
        <v/>
      </c>
      <c r="L2016" s="40" t="str">
        <f>IFERROR(__xludf.DUMMYFUNCTION("IF(ISBLANK(B2016),"""",IF(Or(I2016=""Em Aberto"",ISBLANK(I2016),NOT(ISDATE(B2016))),"""",H2016))"),"")</f>
        <v/>
      </c>
      <c r="M2016" s="29" t="str">
        <f>IFERROR(__xludf.DUMMYFUNCTION("IF(ISBLANK(B2016),"""",IF(ISDATE(B2016),TEXT(B2016,""m""),""""))"),"")</f>
        <v/>
      </c>
      <c r="N2016" s="29" t="str">
        <f>IFERROR(__xludf.DUMMYFUNCTION("IF(M2016="""","""",QUERY({'Dashboard-Dados'!$Y$2:$AA$13},""Select Col2 Where Col1=""&amp;M2016))"),"")</f>
        <v/>
      </c>
      <c r="O2016" s="29" t="str">
        <f>IFERROR(__xludf.DUMMYFUNCTION("IF(ISBLANK(B2016),"""",IF(ISDATE(B2016),TEXT(B2016,""yyyy""),""""))"),"")</f>
        <v/>
      </c>
    </row>
    <row r="2017">
      <c r="B2017" s="62"/>
      <c r="C2017" s="56"/>
      <c r="D2017" s="56"/>
      <c r="E2017" s="56"/>
      <c r="F2017" s="63"/>
      <c r="G2017" s="64"/>
      <c r="H2017" s="65"/>
      <c r="I2017" s="63"/>
      <c r="K2017" s="53" t="str">
        <f>IFERROR(__xludf.DUMMYFUNCTION("IF(ISBLANK(B2017),"""",IF(ISDATE(B2017),""X"",""""))"),"")</f>
        <v/>
      </c>
      <c r="L2017" s="40" t="str">
        <f>IFERROR(__xludf.DUMMYFUNCTION("IF(ISBLANK(B2017),"""",IF(Or(I2017=""Em Aberto"",ISBLANK(I2017),NOT(ISDATE(B2017))),"""",H2017))"),"")</f>
        <v/>
      </c>
      <c r="M2017" s="29" t="str">
        <f>IFERROR(__xludf.DUMMYFUNCTION("IF(ISBLANK(B2017),"""",IF(ISDATE(B2017),TEXT(B2017,""m""),""""))"),"")</f>
        <v/>
      </c>
      <c r="N2017" s="29" t="str">
        <f>IFERROR(__xludf.DUMMYFUNCTION("IF(M2017="""","""",QUERY({'Dashboard-Dados'!$Y$2:$AA$13},""Select Col2 Where Col1=""&amp;M2017))"),"")</f>
        <v/>
      </c>
      <c r="O2017" s="29" t="str">
        <f>IFERROR(__xludf.DUMMYFUNCTION("IF(ISBLANK(B2017),"""",IF(ISDATE(B2017),TEXT(B2017,""yyyy""),""""))"),"")</f>
        <v/>
      </c>
    </row>
    <row r="2018">
      <c r="B2018" s="62"/>
      <c r="C2018" s="56"/>
      <c r="D2018" s="56"/>
      <c r="E2018" s="56"/>
      <c r="F2018" s="63"/>
      <c r="G2018" s="64"/>
      <c r="H2018" s="65"/>
      <c r="I2018" s="63"/>
      <c r="K2018" s="53" t="str">
        <f>IFERROR(__xludf.DUMMYFUNCTION("IF(ISBLANK(B2018),"""",IF(ISDATE(B2018),""X"",""""))"),"")</f>
        <v/>
      </c>
      <c r="L2018" s="40" t="str">
        <f>IFERROR(__xludf.DUMMYFUNCTION("IF(ISBLANK(B2018),"""",IF(Or(I2018=""Em Aberto"",ISBLANK(I2018),NOT(ISDATE(B2018))),"""",H2018))"),"")</f>
        <v/>
      </c>
      <c r="M2018" s="29" t="str">
        <f>IFERROR(__xludf.DUMMYFUNCTION("IF(ISBLANK(B2018),"""",IF(ISDATE(B2018),TEXT(B2018,""m""),""""))"),"")</f>
        <v/>
      </c>
      <c r="N2018" s="29" t="str">
        <f>IFERROR(__xludf.DUMMYFUNCTION("IF(M2018="""","""",QUERY({'Dashboard-Dados'!$Y$2:$AA$13},""Select Col2 Where Col1=""&amp;M2018))"),"")</f>
        <v/>
      </c>
      <c r="O2018" s="29" t="str">
        <f>IFERROR(__xludf.DUMMYFUNCTION("IF(ISBLANK(B2018),"""",IF(ISDATE(B2018),TEXT(B2018,""yyyy""),""""))"),"")</f>
        <v/>
      </c>
    </row>
    <row r="2019">
      <c r="B2019" s="62"/>
      <c r="C2019" s="56"/>
      <c r="D2019" s="56"/>
      <c r="E2019" s="56"/>
      <c r="F2019" s="63"/>
      <c r="G2019" s="64"/>
      <c r="H2019" s="65"/>
      <c r="I2019" s="63"/>
      <c r="K2019" s="53" t="str">
        <f>IFERROR(__xludf.DUMMYFUNCTION("IF(ISBLANK(B2019),"""",IF(ISDATE(B2019),""X"",""""))"),"")</f>
        <v/>
      </c>
      <c r="L2019" s="40" t="str">
        <f>IFERROR(__xludf.DUMMYFUNCTION("IF(ISBLANK(B2019),"""",IF(Or(I2019=""Em Aberto"",ISBLANK(I2019),NOT(ISDATE(B2019))),"""",H2019))"),"")</f>
        <v/>
      </c>
      <c r="M2019" s="29" t="str">
        <f>IFERROR(__xludf.DUMMYFUNCTION("IF(ISBLANK(B2019),"""",IF(ISDATE(B2019),TEXT(B2019,""m""),""""))"),"")</f>
        <v/>
      </c>
      <c r="N2019" s="29" t="str">
        <f>IFERROR(__xludf.DUMMYFUNCTION("IF(M2019="""","""",QUERY({'Dashboard-Dados'!$Y$2:$AA$13},""Select Col2 Where Col1=""&amp;M2019))"),"")</f>
        <v/>
      </c>
      <c r="O2019" s="29" t="str">
        <f>IFERROR(__xludf.DUMMYFUNCTION("IF(ISBLANK(B2019),"""",IF(ISDATE(B2019),TEXT(B2019,""yyyy""),""""))"),"")</f>
        <v/>
      </c>
    </row>
    <row r="2020">
      <c r="B2020" s="62"/>
      <c r="C2020" s="56"/>
      <c r="D2020" s="56"/>
      <c r="E2020" s="56"/>
      <c r="F2020" s="63"/>
      <c r="G2020" s="64"/>
      <c r="H2020" s="65"/>
      <c r="I2020" s="63"/>
      <c r="K2020" s="53" t="str">
        <f>IFERROR(__xludf.DUMMYFUNCTION("IF(ISBLANK(B2020),"""",IF(ISDATE(B2020),""X"",""""))"),"")</f>
        <v/>
      </c>
      <c r="L2020" s="40" t="str">
        <f>IFERROR(__xludf.DUMMYFUNCTION("IF(ISBLANK(B2020),"""",IF(Or(I2020=""Em Aberto"",ISBLANK(I2020),NOT(ISDATE(B2020))),"""",H2020))"),"")</f>
        <v/>
      </c>
      <c r="M2020" s="29" t="str">
        <f>IFERROR(__xludf.DUMMYFUNCTION("IF(ISBLANK(B2020),"""",IF(ISDATE(B2020),TEXT(B2020,""m""),""""))"),"")</f>
        <v/>
      </c>
      <c r="N2020" s="29" t="str">
        <f>IFERROR(__xludf.DUMMYFUNCTION("IF(M2020="""","""",QUERY({'Dashboard-Dados'!$Y$2:$AA$13},""Select Col2 Where Col1=""&amp;M2020))"),"")</f>
        <v/>
      </c>
      <c r="O2020" s="29" t="str">
        <f>IFERROR(__xludf.DUMMYFUNCTION("IF(ISBLANK(B2020),"""",IF(ISDATE(B2020),TEXT(B2020,""yyyy""),""""))"),"")</f>
        <v/>
      </c>
    </row>
    <row r="2021">
      <c r="B2021" s="62"/>
      <c r="C2021" s="56"/>
      <c r="D2021" s="56"/>
      <c r="E2021" s="56"/>
      <c r="F2021" s="63"/>
      <c r="G2021" s="64"/>
      <c r="H2021" s="65"/>
      <c r="I2021" s="63"/>
      <c r="K2021" s="53" t="str">
        <f>IFERROR(__xludf.DUMMYFUNCTION("IF(ISBLANK(B2021),"""",IF(ISDATE(B2021),""X"",""""))"),"")</f>
        <v/>
      </c>
      <c r="L2021" s="40" t="str">
        <f>IFERROR(__xludf.DUMMYFUNCTION("IF(ISBLANK(B2021),"""",IF(Or(I2021=""Em Aberto"",ISBLANK(I2021),NOT(ISDATE(B2021))),"""",H2021))"),"")</f>
        <v/>
      </c>
      <c r="M2021" s="29" t="str">
        <f>IFERROR(__xludf.DUMMYFUNCTION("IF(ISBLANK(B2021),"""",IF(ISDATE(B2021),TEXT(B2021,""m""),""""))"),"")</f>
        <v/>
      </c>
      <c r="N2021" s="29" t="str">
        <f>IFERROR(__xludf.DUMMYFUNCTION("IF(M2021="""","""",QUERY({'Dashboard-Dados'!$Y$2:$AA$13},""Select Col2 Where Col1=""&amp;M2021))"),"")</f>
        <v/>
      </c>
      <c r="O2021" s="29" t="str">
        <f>IFERROR(__xludf.DUMMYFUNCTION("IF(ISBLANK(B2021),"""",IF(ISDATE(B2021),TEXT(B2021,""yyyy""),""""))"),"")</f>
        <v/>
      </c>
    </row>
    <row r="2022">
      <c r="B2022" s="62"/>
      <c r="C2022" s="56"/>
      <c r="D2022" s="56"/>
      <c r="E2022" s="56"/>
      <c r="F2022" s="63"/>
      <c r="G2022" s="64"/>
      <c r="H2022" s="65"/>
      <c r="I2022" s="63"/>
      <c r="K2022" s="53" t="str">
        <f>IFERROR(__xludf.DUMMYFUNCTION("IF(ISBLANK(B2022),"""",IF(ISDATE(B2022),""X"",""""))"),"")</f>
        <v/>
      </c>
      <c r="L2022" s="40" t="str">
        <f>IFERROR(__xludf.DUMMYFUNCTION("IF(ISBLANK(B2022),"""",IF(Or(I2022=""Em Aberto"",ISBLANK(I2022),NOT(ISDATE(B2022))),"""",H2022))"),"")</f>
        <v/>
      </c>
      <c r="M2022" s="29" t="str">
        <f>IFERROR(__xludf.DUMMYFUNCTION("IF(ISBLANK(B2022),"""",IF(ISDATE(B2022),TEXT(B2022,""m""),""""))"),"")</f>
        <v/>
      </c>
      <c r="N2022" s="29" t="str">
        <f>IFERROR(__xludf.DUMMYFUNCTION("IF(M2022="""","""",QUERY({'Dashboard-Dados'!$Y$2:$AA$13},""Select Col2 Where Col1=""&amp;M2022))"),"")</f>
        <v/>
      </c>
      <c r="O2022" s="29" t="str">
        <f>IFERROR(__xludf.DUMMYFUNCTION("IF(ISBLANK(B2022),"""",IF(ISDATE(B2022),TEXT(B2022,""yyyy""),""""))"),"")</f>
        <v/>
      </c>
    </row>
    <row r="2023">
      <c r="B2023" s="62"/>
      <c r="C2023" s="56"/>
      <c r="D2023" s="56"/>
      <c r="E2023" s="56"/>
      <c r="F2023" s="63"/>
      <c r="G2023" s="64"/>
      <c r="H2023" s="65"/>
      <c r="I2023" s="63"/>
      <c r="K2023" s="53" t="str">
        <f>IFERROR(__xludf.DUMMYFUNCTION("IF(ISBLANK(B2023),"""",IF(ISDATE(B2023),""X"",""""))"),"")</f>
        <v/>
      </c>
      <c r="L2023" s="40" t="str">
        <f>IFERROR(__xludf.DUMMYFUNCTION("IF(ISBLANK(B2023),"""",IF(Or(I2023=""Em Aberto"",ISBLANK(I2023),NOT(ISDATE(B2023))),"""",H2023))"),"")</f>
        <v/>
      </c>
      <c r="M2023" s="29" t="str">
        <f>IFERROR(__xludf.DUMMYFUNCTION("IF(ISBLANK(B2023),"""",IF(ISDATE(B2023),TEXT(B2023,""m""),""""))"),"")</f>
        <v/>
      </c>
      <c r="N2023" s="29" t="str">
        <f>IFERROR(__xludf.DUMMYFUNCTION("IF(M2023="""","""",QUERY({'Dashboard-Dados'!$Y$2:$AA$13},""Select Col2 Where Col1=""&amp;M2023))"),"")</f>
        <v/>
      </c>
      <c r="O2023" s="29" t="str">
        <f>IFERROR(__xludf.DUMMYFUNCTION("IF(ISBLANK(B2023),"""",IF(ISDATE(B2023),TEXT(B2023,""yyyy""),""""))"),"")</f>
        <v/>
      </c>
    </row>
    <row r="2024">
      <c r="B2024" s="62"/>
      <c r="C2024" s="56"/>
      <c r="D2024" s="56"/>
      <c r="E2024" s="56"/>
      <c r="F2024" s="63"/>
      <c r="G2024" s="64"/>
      <c r="H2024" s="65"/>
      <c r="I2024" s="63"/>
      <c r="K2024" s="53" t="str">
        <f>IFERROR(__xludf.DUMMYFUNCTION("IF(ISBLANK(B2024),"""",IF(ISDATE(B2024),""X"",""""))"),"")</f>
        <v/>
      </c>
      <c r="L2024" s="40" t="str">
        <f>IFERROR(__xludf.DUMMYFUNCTION("IF(ISBLANK(B2024),"""",IF(Or(I2024=""Em Aberto"",ISBLANK(I2024),NOT(ISDATE(B2024))),"""",H2024))"),"")</f>
        <v/>
      </c>
      <c r="M2024" s="29" t="str">
        <f>IFERROR(__xludf.DUMMYFUNCTION("IF(ISBLANK(B2024),"""",IF(ISDATE(B2024),TEXT(B2024,""m""),""""))"),"")</f>
        <v/>
      </c>
      <c r="N2024" s="29" t="str">
        <f>IFERROR(__xludf.DUMMYFUNCTION("IF(M2024="""","""",QUERY({'Dashboard-Dados'!$Y$2:$AA$13},""Select Col2 Where Col1=""&amp;M2024))"),"")</f>
        <v/>
      </c>
      <c r="O2024" s="29" t="str">
        <f>IFERROR(__xludf.DUMMYFUNCTION("IF(ISBLANK(B2024),"""",IF(ISDATE(B2024),TEXT(B2024,""yyyy""),""""))"),"")</f>
        <v/>
      </c>
    </row>
    <row r="2025">
      <c r="B2025" s="62"/>
      <c r="C2025" s="56"/>
      <c r="D2025" s="56"/>
      <c r="E2025" s="56"/>
      <c r="F2025" s="63"/>
      <c r="G2025" s="64"/>
      <c r="H2025" s="65"/>
      <c r="I2025" s="63"/>
      <c r="K2025" s="53" t="str">
        <f>IFERROR(__xludf.DUMMYFUNCTION("IF(ISBLANK(B2025),"""",IF(ISDATE(B2025),""X"",""""))"),"")</f>
        <v/>
      </c>
      <c r="L2025" s="40" t="str">
        <f>IFERROR(__xludf.DUMMYFUNCTION("IF(ISBLANK(B2025),"""",IF(Or(I2025=""Em Aberto"",ISBLANK(I2025),NOT(ISDATE(B2025))),"""",H2025))"),"")</f>
        <v/>
      </c>
      <c r="M2025" s="29" t="str">
        <f>IFERROR(__xludf.DUMMYFUNCTION("IF(ISBLANK(B2025),"""",IF(ISDATE(B2025),TEXT(B2025,""m""),""""))"),"")</f>
        <v/>
      </c>
      <c r="N2025" s="29" t="str">
        <f>IFERROR(__xludf.DUMMYFUNCTION("IF(M2025="""","""",QUERY({'Dashboard-Dados'!$Y$2:$AA$13},""Select Col2 Where Col1=""&amp;M2025))"),"")</f>
        <v/>
      </c>
      <c r="O2025" s="29" t="str">
        <f>IFERROR(__xludf.DUMMYFUNCTION("IF(ISBLANK(B2025),"""",IF(ISDATE(B2025),TEXT(B2025,""yyyy""),""""))"),"")</f>
        <v/>
      </c>
    </row>
    <row r="2026">
      <c r="B2026" s="62"/>
      <c r="C2026" s="56"/>
      <c r="D2026" s="56"/>
      <c r="E2026" s="56"/>
      <c r="F2026" s="63"/>
      <c r="G2026" s="64"/>
      <c r="H2026" s="65"/>
      <c r="I2026" s="63"/>
      <c r="K2026" s="53" t="str">
        <f>IFERROR(__xludf.DUMMYFUNCTION("IF(ISBLANK(B2026),"""",IF(ISDATE(B2026),""X"",""""))"),"")</f>
        <v/>
      </c>
      <c r="L2026" s="40" t="str">
        <f>IFERROR(__xludf.DUMMYFUNCTION("IF(ISBLANK(B2026),"""",IF(Or(I2026=""Em Aberto"",ISBLANK(I2026),NOT(ISDATE(B2026))),"""",H2026))"),"")</f>
        <v/>
      </c>
      <c r="M2026" s="29" t="str">
        <f>IFERROR(__xludf.DUMMYFUNCTION("IF(ISBLANK(B2026),"""",IF(ISDATE(B2026),TEXT(B2026,""m""),""""))"),"")</f>
        <v/>
      </c>
      <c r="N2026" s="29" t="str">
        <f>IFERROR(__xludf.DUMMYFUNCTION("IF(M2026="""","""",QUERY({'Dashboard-Dados'!$Y$2:$AA$13},""Select Col2 Where Col1=""&amp;M2026))"),"")</f>
        <v/>
      </c>
      <c r="O2026" s="29" t="str">
        <f>IFERROR(__xludf.DUMMYFUNCTION("IF(ISBLANK(B2026),"""",IF(ISDATE(B2026),TEXT(B2026,""yyyy""),""""))"),"")</f>
        <v/>
      </c>
    </row>
    <row r="2027">
      <c r="B2027" s="62"/>
      <c r="C2027" s="56"/>
      <c r="D2027" s="56"/>
      <c r="E2027" s="56"/>
      <c r="F2027" s="63"/>
      <c r="G2027" s="64"/>
      <c r="H2027" s="65"/>
      <c r="I2027" s="63"/>
      <c r="K2027" s="53" t="str">
        <f>IFERROR(__xludf.DUMMYFUNCTION("IF(ISBLANK(B2027),"""",IF(ISDATE(B2027),""X"",""""))"),"")</f>
        <v/>
      </c>
      <c r="L2027" s="40" t="str">
        <f>IFERROR(__xludf.DUMMYFUNCTION("IF(ISBLANK(B2027),"""",IF(Or(I2027=""Em Aberto"",ISBLANK(I2027),NOT(ISDATE(B2027))),"""",H2027))"),"")</f>
        <v/>
      </c>
      <c r="M2027" s="29" t="str">
        <f>IFERROR(__xludf.DUMMYFUNCTION("IF(ISBLANK(B2027),"""",IF(ISDATE(B2027),TEXT(B2027,""m""),""""))"),"")</f>
        <v/>
      </c>
      <c r="N2027" s="29" t="str">
        <f>IFERROR(__xludf.DUMMYFUNCTION("IF(M2027="""","""",QUERY({'Dashboard-Dados'!$Y$2:$AA$13},""Select Col2 Where Col1=""&amp;M2027))"),"")</f>
        <v/>
      </c>
      <c r="O2027" s="29" t="str">
        <f>IFERROR(__xludf.DUMMYFUNCTION("IF(ISBLANK(B2027),"""",IF(ISDATE(B2027),TEXT(B2027,""yyyy""),""""))"),"")</f>
        <v/>
      </c>
    </row>
    <row r="2028">
      <c r="B2028" s="62"/>
      <c r="C2028" s="56"/>
      <c r="D2028" s="56"/>
      <c r="E2028" s="56"/>
      <c r="F2028" s="63"/>
      <c r="G2028" s="64"/>
      <c r="H2028" s="65"/>
      <c r="I2028" s="63"/>
      <c r="K2028" s="53" t="str">
        <f>IFERROR(__xludf.DUMMYFUNCTION("IF(ISBLANK(B2028),"""",IF(ISDATE(B2028),""X"",""""))"),"")</f>
        <v/>
      </c>
      <c r="L2028" s="40" t="str">
        <f>IFERROR(__xludf.DUMMYFUNCTION("IF(ISBLANK(B2028),"""",IF(Or(I2028=""Em Aberto"",ISBLANK(I2028),NOT(ISDATE(B2028))),"""",H2028))"),"")</f>
        <v/>
      </c>
      <c r="M2028" s="29" t="str">
        <f>IFERROR(__xludf.DUMMYFUNCTION("IF(ISBLANK(B2028),"""",IF(ISDATE(B2028),TEXT(B2028,""m""),""""))"),"")</f>
        <v/>
      </c>
      <c r="N2028" s="29" t="str">
        <f>IFERROR(__xludf.DUMMYFUNCTION("IF(M2028="""","""",QUERY({'Dashboard-Dados'!$Y$2:$AA$13},""Select Col2 Where Col1=""&amp;M2028))"),"")</f>
        <v/>
      </c>
      <c r="O2028" s="29" t="str">
        <f>IFERROR(__xludf.DUMMYFUNCTION("IF(ISBLANK(B2028),"""",IF(ISDATE(B2028),TEXT(B2028,""yyyy""),""""))"),"")</f>
        <v/>
      </c>
    </row>
    <row r="2029">
      <c r="B2029" s="62"/>
      <c r="C2029" s="56"/>
      <c r="D2029" s="56"/>
      <c r="E2029" s="56"/>
      <c r="F2029" s="63"/>
      <c r="G2029" s="64"/>
      <c r="H2029" s="65"/>
      <c r="I2029" s="63"/>
      <c r="K2029" s="53" t="str">
        <f>IFERROR(__xludf.DUMMYFUNCTION("IF(ISBLANK(B2029),"""",IF(ISDATE(B2029),""X"",""""))"),"")</f>
        <v/>
      </c>
      <c r="L2029" s="40" t="str">
        <f>IFERROR(__xludf.DUMMYFUNCTION("IF(ISBLANK(B2029),"""",IF(Or(I2029=""Em Aberto"",ISBLANK(I2029),NOT(ISDATE(B2029))),"""",H2029))"),"")</f>
        <v/>
      </c>
      <c r="M2029" s="29" t="str">
        <f>IFERROR(__xludf.DUMMYFUNCTION("IF(ISBLANK(B2029),"""",IF(ISDATE(B2029),TEXT(B2029,""m""),""""))"),"")</f>
        <v/>
      </c>
      <c r="N2029" s="29" t="str">
        <f>IFERROR(__xludf.DUMMYFUNCTION("IF(M2029="""","""",QUERY({'Dashboard-Dados'!$Y$2:$AA$13},""Select Col2 Where Col1=""&amp;M2029))"),"")</f>
        <v/>
      </c>
      <c r="O2029" s="29" t="str">
        <f>IFERROR(__xludf.DUMMYFUNCTION("IF(ISBLANK(B2029),"""",IF(ISDATE(B2029),TEXT(B2029,""yyyy""),""""))"),"")</f>
        <v/>
      </c>
    </row>
    <row r="2030">
      <c r="B2030" s="62"/>
      <c r="C2030" s="56"/>
      <c r="D2030" s="56"/>
      <c r="E2030" s="56"/>
      <c r="F2030" s="63"/>
      <c r="G2030" s="64"/>
      <c r="H2030" s="65"/>
      <c r="I2030" s="63"/>
      <c r="K2030" s="53" t="str">
        <f>IFERROR(__xludf.DUMMYFUNCTION("IF(ISBLANK(B2030),"""",IF(ISDATE(B2030),""X"",""""))"),"")</f>
        <v/>
      </c>
      <c r="L2030" s="40" t="str">
        <f>IFERROR(__xludf.DUMMYFUNCTION("IF(ISBLANK(B2030),"""",IF(Or(I2030=""Em Aberto"",ISBLANK(I2030),NOT(ISDATE(B2030))),"""",H2030))"),"")</f>
        <v/>
      </c>
      <c r="M2030" s="29" t="str">
        <f>IFERROR(__xludf.DUMMYFUNCTION("IF(ISBLANK(B2030),"""",IF(ISDATE(B2030),TEXT(B2030,""m""),""""))"),"")</f>
        <v/>
      </c>
      <c r="N2030" s="29" t="str">
        <f>IFERROR(__xludf.DUMMYFUNCTION("IF(M2030="""","""",QUERY({'Dashboard-Dados'!$Y$2:$AA$13},""Select Col2 Where Col1=""&amp;M2030))"),"")</f>
        <v/>
      </c>
      <c r="O2030" s="29" t="str">
        <f>IFERROR(__xludf.DUMMYFUNCTION("IF(ISBLANK(B2030),"""",IF(ISDATE(B2030),TEXT(B2030,""yyyy""),""""))"),"")</f>
        <v/>
      </c>
    </row>
    <row r="2031">
      <c r="B2031" s="62"/>
      <c r="C2031" s="56"/>
      <c r="D2031" s="56"/>
      <c r="E2031" s="56"/>
      <c r="F2031" s="63"/>
      <c r="G2031" s="64"/>
      <c r="H2031" s="65"/>
      <c r="I2031" s="63"/>
      <c r="K2031" s="53" t="str">
        <f>IFERROR(__xludf.DUMMYFUNCTION("IF(ISBLANK(B2031),"""",IF(ISDATE(B2031),""X"",""""))"),"")</f>
        <v/>
      </c>
      <c r="L2031" s="40" t="str">
        <f>IFERROR(__xludf.DUMMYFUNCTION("IF(ISBLANK(B2031),"""",IF(Or(I2031=""Em Aberto"",ISBLANK(I2031),NOT(ISDATE(B2031))),"""",H2031))"),"")</f>
        <v/>
      </c>
      <c r="M2031" s="29" t="str">
        <f>IFERROR(__xludf.DUMMYFUNCTION("IF(ISBLANK(B2031),"""",IF(ISDATE(B2031),TEXT(B2031,""m""),""""))"),"")</f>
        <v/>
      </c>
      <c r="N2031" s="29" t="str">
        <f>IFERROR(__xludf.DUMMYFUNCTION("IF(M2031="""","""",QUERY({'Dashboard-Dados'!$Y$2:$AA$13},""Select Col2 Where Col1=""&amp;M2031))"),"")</f>
        <v/>
      </c>
      <c r="O2031" s="29" t="str">
        <f>IFERROR(__xludf.DUMMYFUNCTION("IF(ISBLANK(B2031),"""",IF(ISDATE(B2031),TEXT(B2031,""yyyy""),""""))"),"")</f>
        <v/>
      </c>
    </row>
    <row r="2032">
      <c r="B2032" s="62"/>
      <c r="C2032" s="56"/>
      <c r="D2032" s="56"/>
      <c r="E2032" s="56"/>
      <c r="F2032" s="63"/>
      <c r="G2032" s="64"/>
      <c r="H2032" s="65"/>
      <c r="I2032" s="63"/>
      <c r="K2032" s="53" t="str">
        <f>IFERROR(__xludf.DUMMYFUNCTION("IF(ISBLANK(B2032),"""",IF(ISDATE(B2032),""X"",""""))"),"")</f>
        <v/>
      </c>
      <c r="L2032" s="40" t="str">
        <f>IFERROR(__xludf.DUMMYFUNCTION("IF(ISBLANK(B2032),"""",IF(Or(I2032=""Em Aberto"",ISBLANK(I2032),NOT(ISDATE(B2032))),"""",H2032))"),"")</f>
        <v/>
      </c>
      <c r="M2032" s="29" t="str">
        <f>IFERROR(__xludf.DUMMYFUNCTION("IF(ISBLANK(B2032),"""",IF(ISDATE(B2032),TEXT(B2032,""m""),""""))"),"")</f>
        <v/>
      </c>
      <c r="N2032" s="29" t="str">
        <f>IFERROR(__xludf.DUMMYFUNCTION("IF(M2032="""","""",QUERY({'Dashboard-Dados'!$Y$2:$AA$13},""Select Col2 Where Col1=""&amp;M2032))"),"")</f>
        <v/>
      </c>
      <c r="O2032" s="29" t="str">
        <f>IFERROR(__xludf.DUMMYFUNCTION("IF(ISBLANK(B2032),"""",IF(ISDATE(B2032),TEXT(B2032,""yyyy""),""""))"),"")</f>
        <v/>
      </c>
    </row>
    <row r="2033">
      <c r="B2033" s="62"/>
      <c r="C2033" s="56"/>
      <c r="D2033" s="56"/>
      <c r="E2033" s="56"/>
      <c r="F2033" s="63"/>
      <c r="G2033" s="64"/>
      <c r="H2033" s="65"/>
      <c r="I2033" s="63"/>
      <c r="K2033" s="53" t="str">
        <f>IFERROR(__xludf.DUMMYFUNCTION("IF(ISBLANK(B2033),"""",IF(ISDATE(B2033),""X"",""""))"),"")</f>
        <v/>
      </c>
      <c r="L2033" s="40" t="str">
        <f>IFERROR(__xludf.DUMMYFUNCTION("IF(ISBLANK(B2033),"""",IF(Or(I2033=""Em Aberto"",ISBLANK(I2033),NOT(ISDATE(B2033))),"""",H2033))"),"")</f>
        <v/>
      </c>
      <c r="M2033" s="29" t="str">
        <f>IFERROR(__xludf.DUMMYFUNCTION("IF(ISBLANK(B2033),"""",IF(ISDATE(B2033),TEXT(B2033,""m""),""""))"),"")</f>
        <v/>
      </c>
      <c r="N2033" s="29" t="str">
        <f>IFERROR(__xludf.DUMMYFUNCTION("IF(M2033="""","""",QUERY({'Dashboard-Dados'!$Y$2:$AA$13},""Select Col2 Where Col1=""&amp;M2033))"),"")</f>
        <v/>
      </c>
      <c r="O2033" s="29" t="str">
        <f>IFERROR(__xludf.DUMMYFUNCTION("IF(ISBLANK(B2033),"""",IF(ISDATE(B2033),TEXT(B2033,""yyyy""),""""))"),"")</f>
        <v/>
      </c>
    </row>
    <row r="2034">
      <c r="B2034" s="62"/>
      <c r="C2034" s="56"/>
      <c r="D2034" s="56"/>
      <c r="E2034" s="56"/>
      <c r="F2034" s="63"/>
      <c r="G2034" s="64"/>
      <c r="H2034" s="65"/>
      <c r="I2034" s="63"/>
      <c r="K2034" s="53" t="str">
        <f>IFERROR(__xludf.DUMMYFUNCTION("IF(ISBLANK(B2034),"""",IF(ISDATE(B2034),""X"",""""))"),"")</f>
        <v/>
      </c>
      <c r="L2034" s="40" t="str">
        <f>IFERROR(__xludf.DUMMYFUNCTION("IF(ISBLANK(B2034),"""",IF(Or(I2034=""Em Aberto"",ISBLANK(I2034),NOT(ISDATE(B2034))),"""",H2034))"),"")</f>
        <v/>
      </c>
      <c r="M2034" s="29" t="str">
        <f>IFERROR(__xludf.DUMMYFUNCTION("IF(ISBLANK(B2034),"""",IF(ISDATE(B2034),TEXT(B2034,""m""),""""))"),"")</f>
        <v/>
      </c>
      <c r="N2034" s="29" t="str">
        <f>IFERROR(__xludf.DUMMYFUNCTION("IF(M2034="""","""",QUERY({'Dashboard-Dados'!$Y$2:$AA$13},""Select Col2 Where Col1=""&amp;M2034))"),"")</f>
        <v/>
      </c>
      <c r="O2034" s="29" t="str">
        <f>IFERROR(__xludf.DUMMYFUNCTION("IF(ISBLANK(B2034),"""",IF(ISDATE(B2034),TEXT(B2034,""yyyy""),""""))"),"")</f>
        <v/>
      </c>
    </row>
    <row r="2035">
      <c r="B2035" s="62"/>
      <c r="C2035" s="56"/>
      <c r="D2035" s="56"/>
      <c r="E2035" s="56"/>
      <c r="F2035" s="63"/>
      <c r="G2035" s="64"/>
      <c r="H2035" s="65"/>
      <c r="I2035" s="63"/>
      <c r="K2035" s="53" t="str">
        <f>IFERROR(__xludf.DUMMYFUNCTION("IF(ISBLANK(B2035),"""",IF(ISDATE(B2035),""X"",""""))"),"")</f>
        <v/>
      </c>
      <c r="L2035" s="40" t="str">
        <f>IFERROR(__xludf.DUMMYFUNCTION("IF(ISBLANK(B2035),"""",IF(Or(I2035=""Em Aberto"",ISBLANK(I2035),NOT(ISDATE(B2035))),"""",H2035))"),"")</f>
        <v/>
      </c>
      <c r="M2035" s="29" t="str">
        <f>IFERROR(__xludf.DUMMYFUNCTION("IF(ISBLANK(B2035),"""",IF(ISDATE(B2035),TEXT(B2035,""m""),""""))"),"")</f>
        <v/>
      </c>
      <c r="N2035" s="29" t="str">
        <f>IFERROR(__xludf.DUMMYFUNCTION("IF(M2035="""","""",QUERY({'Dashboard-Dados'!$Y$2:$AA$13},""Select Col2 Where Col1=""&amp;M2035))"),"")</f>
        <v/>
      </c>
      <c r="O2035" s="29" t="str">
        <f>IFERROR(__xludf.DUMMYFUNCTION("IF(ISBLANK(B2035),"""",IF(ISDATE(B2035),TEXT(B2035,""yyyy""),""""))"),"")</f>
        <v/>
      </c>
    </row>
    <row r="2036">
      <c r="B2036" s="62"/>
      <c r="C2036" s="56"/>
      <c r="D2036" s="56"/>
      <c r="E2036" s="56"/>
      <c r="F2036" s="63"/>
      <c r="G2036" s="64"/>
      <c r="H2036" s="65"/>
      <c r="I2036" s="63"/>
      <c r="K2036" s="53" t="str">
        <f>IFERROR(__xludf.DUMMYFUNCTION("IF(ISBLANK(B2036),"""",IF(ISDATE(B2036),""X"",""""))"),"")</f>
        <v/>
      </c>
      <c r="L2036" s="40" t="str">
        <f>IFERROR(__xludf.DUMMYFUNCTION("IF(ISBLANK(B2036),"""",IF(Or(I2036=""Em Aberto"",ISBLANK(I2036),NOT(ISDATE(B2036))),"""",H2036))"),"")</f>
        <v/>
      </c>
      <c r="M2036" s="29" t="str">
        <f>IFERROR(__xludf.DUMMYFUNCTION("IF(ISBLANK(B2036),"""",IF(ISDATE(B2036),TEXT(B2036,""m""),""""))"),"")</f>
        <v/>
      </c>
      <c r="N2036" s="29" t="str">
        <f>IFERROR(__xludf.DUMMYFUNCTION("IF(M2036="""","""",QUERY({'Dashboard-Dados'!$Y$2:$AA$13},""Select Col2 Where Col1=""&amp;M2036))"),"")</f>
        <v/>
      </c>
      <c r="O2036" s="29" t="str">
        <f>IFERROR(__xludf.DUMMYFUNCTION("IF(ISBLANK(B2036),"""",IF(ISDATE(B2036),TEXT(B2036,""yyyy""),""""))"),"")</f>
        <v/>
      </c>
    </row>
    <row r="2037">
      <c r="B2037" s="62"/>
      <c r="C2037" s="56"/>
      <c r="D2037" s="56"/>
      <c r="E2037" s="56"/>
      <c r="F2037" s="63"/>
      <c r="G2037" s="64"/>
      <c r="H2037" s="65"/>
      <c r="I2037" s="63"/>
      <c r="K2037" s="53" t="str">
        <f>IFERROR(__xludf.DUMMYFUNCTION("IF(ISBLANK(B2037),"""",IF(ISDATE(B2037),""X"",""""))"),"")</f>
        <v/>
      </c>
      <c r="L2037" s="40" t="str">
        <f>IFERROR(__xludf.DUMMYFUNCTION("IF(ISBLANK(B2037),"""",IF(Or(I2037=""Em Aberto"",ISBLANK(I2037),NOT(ISDATE(B2037))),"""",H2037))"),"")</f>
        <v/>
      </c>
      <c r="M2037" s="29" t="str">
        <f>IFERROR(__xludf.DUMMYFUNCTION("IF(ISBLANK(B2037),"""",IF(ISDATE(B2037),TEXT(B2037,""m""),""""))"),"")</f>
        <v/>
      </c>
      <c r="N2037" s="29" t="str">
        <f>IFERROR(__xludf.DUMMYFUNCTION("IF(M2037="""","""",QUERY({'Dashboard-Dados'!$Y$2:$AA$13},""Select Col2 Where Col1=""&amp;M2037))"),"")</f>
        <v/>
      </c>
      <c r="O2037" s="29" t="str">
        <f>IFERROR(__xludf.DUMMYFUNCTION("IF(ISBLANK(B2037),"""",IF(ISDATE(B2037),TEXT(B2037,""yyyy""),""""))"),"")</f>
        <v/>
      </c>
    </row>
    <row r="2038">
      <c r="B2038" s="62"/>
      <c r="C2038" s="56"/>
      <c r="D2038" s="56"/>
      <c r="E2038" s="56"/>
      <c r="F2038" s="63"/>
      <c r="G2038" s="64"/>
      <c r="H2038" s="65"/>
      <c r="I2038" s="63"/>
      <c r="K2038" s="53" t="str">
        <f>IFERROR(__xludf.DUMMYFUNCTION("IF(ISBLANK(B2038),"""",IF(ISDATE(B2038),""X"",""""))"),"")</f>
        <v/>
      </c>
      <c r="L2038" s="40" t="str">
        <f>IFERROR(__xludf.DUMMYFUNCTION("IF(ISBLANK(B2038),"""",IF(Or(I2038=""Em Aberto"",ISBLANK(I2038),NOT(ISDATE(B2038))),"""",H2038))"),"")</f>
        <v/>
      </c>
      <c r="M2038" s="29" t="str">
        <f>IFERROR(__xludf.DUMMYFUNCTION("IF(ISBLANK(B2038),"""",IF(ISDATE(B2038),TEXT(B2038,""m""),""""))"),"")</f>
        <v/>
      </c>
      <c r="N2038" s="29" t="str">
        <f>IFERROR(__xludf.DUMMYFUNCTION("IF(M2038="""","""",QUERY({'Dashboard-Dados'!$Y$2:$AA$13},""Select Col2 Where Col1=""&amp;M2038))"),"")</f>
        <v/>
      </c>
      <c r="O2038" s="29" t="str">
        <f>IFERROR(__xludf.DUMMYFUNCTION("IF(ISBLANK(B2038),"""",IF(ISDATE(B2038),TEXT(B2038,""yyyy""),""""))"),"")</f>
        <v/>
      </c>
    </row>
    <row r="2039">
      <c r="B2039" s="62"/>
      <c r="C2039" s="56"/>
      <c r="D2039" s="56"/>
      <c r="E2039" s="56"/>
      <c r="F2039" s="63"/>
      <c r="G2039" s="64"/>
      <c r="H2039" s="65"/>
      <c r="I2039" s="63"/>
      <c r="K2039" s="53" t="str">
        <f>IFERROR(__xludf.DUMMYFUNCTION("IF(ISBLANK(B2039),"""",IF(ISDATE(B2039),""X"",""""))"),"")</f>
        <v/>
      </c>
      <c r="L2039" s="40" t="str">
        <f>IFERROR(__xludf.DUMMYFUNCTION("IF(ISBLANK(B2039),"""",IF(Or(I2039=""Em Aberto"",ISBLANK(I2039),NOT(ISDATE(B2039))),"""",H2039))"),"")</f>
        <v/>
      </c>
      <c r="M2039" s="29" t="str">
        <f>IFERROR(__xludf.DUMMYFUNCTION("IF(ISBLANK(B2039),"""",IF(ISDATE(B2039),TEXT(B2039,""m""),""""))"),"")</f>
        <v/>
      </c>
      <c r="N2039" s="29" t="str">
        <f>IFERROR(__xludf.DUMMYFUNCTION("IF(M2039="""","""",QUERY({'Dashboard-Dados'!$Y$2:$AA$13},""Select Col2 Where Col1=""&amp;M2039))"),"")</f>
        <v/>
      </c>
      <c r="O2039" s="29" t="str">
        <f>IFERROR(__xludf.DUMMYFUNCTION("IF(ISBLANK(B2039),"""",IF(ISDATE(B2039),TEXT(B2039,""yyyy""),""""))"),"")</f>
        <v/>
      </c>
    </row>
    <row r="2040">
      <c r="B2040" s="62"/>
      <c r="C2040" s="56"/>
      <c r="D2040" s="56"/>
      <c r="E2040" s="56"/>
      <c r="F2040" s="63"/>
      <c r="G2040" s="64"/>
      <c r="H2040" s="65"/>
      <c r="I2040" s="63"/>
      <c r="K2040" s="53" t="str">
        <f>IFERROR(__xludf.DUMMYFUNCTION("IF(ISBLANK(B2040),"""",IF(ISDATE(B2040),""X"",""""))"),"")</f>
        <v/>
      </c>
      <c r="L2040" s="40" t="str">
        <f>IFERROR(__xludf.DUMMYFUNCTION("IF(ISBLANK(B2040),"""",IF(Or(I2040=""Em Aberto"",ISBLANK(I2040),NOT(ISDATE(B2040))),"""",H2040))"),"")</f>
        <v/>
      </c>
      <c r="M2040" s="29" t="str">
        <f>IFERROR(__xludf.DUMMYFUNCTION("IF(ISBLANK(B2040),"""",IF(ISDATE(B2040),TEXT(B2040,""m""),""""))"),"")</f>
        <v/>
      </c>
      <c r="N2040" s="29" t="str">
        <f>IFERROR(__xludf.DUMMYFUNCTION("IF(M2040="""","""",QUERY({'Dashboard-Dados'!$Y$2:$AA$13},""Select Col2 Where Col1=""&amp;M2040))"),"")</f>
        <v/>
      </c>
      <c r="O2040" s="29" t="str">
        <f>IFERROR(__xludf.DUMMYFUNCTION("IF(ISBLANK(B2040),"""",IF(ISDATE(B2040),TEXT(B2040,""yyyy""),""""))"),"")</f>
        <v/>
      </c>
    </row>
    <row r="2041">
      <c r="B2041" s="62"/>
      <c r="C2041" s="56"/>
      <c r="D2041" s="56"/>
      <c r="E2041" s="56"/>
      <c r="F2041" s="63"/>
      <c r="G2041" s="64"/>
      <c r="H2041" s="65"/>
      <c r="I2041" s="63"/>
      <c r="K2041" s="53" t="str">
        <f>IFERROR(__xludf.DUMMYFUNCTION("IF(ISBLANK(B2041),"""",IF(ISDATE(B2041),""X"",""""))"),"")</f>
        <v/>
      </c>
      <c r="L2041" s="40" t="str">
        <f>IFERROR(__xludf.DUMMYFUNCTION("IF(ISBLANK(B2041),"""",IF(Or(I2041=""Em Aberto"",ISBLANK(I2041),NOT(ISDATE(B2041))),"""",H2041))"),"")</f>
        <v/>
      </c>
      <c r="M2041" s="29" t="str">
        <f>IFERROR(__xludf.DUMMYFUNCTION("IF(ISBLANK(B2041),"""",IF(ISDATE(B2041),TEXT(B2041,""m""),""""))"),"")</f>
        <v/>
      </c>
      <c r="N2041" s="29" t="str">
        <f>IFERROR(__xludf.DUMMYFUNCTION("IF(M2041="""","""",QUERY({'Dashboard-Dados'!$Y$2:$AA$13},""Select Col2 Where Col1=""&amp;M2041))"),"")</f>
        <v/>
      </c>
      <c r="O2041" s="29" t="str">
        <f>IFERROR(__xludf.DUMMYFUNCTION("IF(ISBLANK(B2041),"""",IF(ISDATE(B2041),TEXT(B2041,""yyyy""),""""))"),"")</f>
        <v/>
      </c>
    </row>
    <row r="2042">
      <c r="B2042" s="62"/>
      <c r="C2042" s="56"/>
      <c r="D2042" s="56"/>
      <c r="E2042" s="56"/>
      <c r="F2042" s="63"/>
      <c r="G2042" s="64"/>
      <c r="H2042" s="65"/>
      <c r="I2042" s="63"/>
      <c r="K2042" s="53" t="str">
        <f>IFERROR(__xludf.DUMMYFUNCTION("IF(ISBLANK(B2042),"""",IF(ISDATE(B2042),""X"",""""))"),"")</f>
        <v/>
      </c>
      <c r="L2042" s="40" t="str">
        <f>IFERROR(__xludf.DUMMYFUNCTION("IF(ISBLANK(B2042),"""",IF(Or(I2042=""Em Aberto"",ISBLANK(I2042),NOT(ISDATE(B2042))),"""",H2042))"),"")</f>
        <v/>
      </c>
      <c r="M2042" s="29" t="str">
        <f>IFERROR(__xludf.DUMMYFUNCTION("IF(ISBLANK(B2042),"""",IF(ISDATE(B2042),TEXT(B2042,""m""),""""))"),"")</f>
        <v/>
      </c>
      <c r="N2042" s="29" t="str">
        <f>IFERROR(__xludf.DUMMYFUNCTION("IF(M2042="""","""",QUERY({'Dashboard-Dados'!$Y$2:$AA$13},""Select Col2 Where Col1=""&amp;M2042))"),"")</f>
        <v/>
      </c>
      <c r="O2042" s="29" t="str">
        <f>IFERROR(__xludf.DUMMYFUNCTION("IF(ISBLANK(B2042),"""",IF(ISDATE(B2042),TEXT(B2042,""yyyy""),""""))"),"")</f>
        <v/>
      </c>
    </row>
    <row r="2043">
      <c r="B2043" s="62"/>
      <c r="C2043" s="56"/>
      <c r="D2043" s="56"/>
      <c r="E2043" s="56"/>
      <c r="F2043" s="63"/>
      <c r="G2043" s="64"/>
      <c r="H2043" s="65"/>
      <c r="I2043" s="63"/>
      <c r="K2043" s="53" t="str">
        <f>IFERROR(__xludf.DUMMYFUNCTION("IF(ISBLANK(B2043),"""",IF(ISDATE(B2043),""X"",""""))"),"")</f>
        <v/>
      </c>
      <c r="L2043" s="40" t="str">
        <f>IFERROR(__xludf.DUMMYFUNCTION("IF(ISBLANK(B2043),"""",IF(Or(I2043=""Em Aberto"",ISBLANK(I2043),NOT(ISDATE(B2043))),"""",H2043))"),"")</f>
        <v/>
      </c>
      <c r="M2043" s="29" t="str">
        <f>IFERROR(__xludf.DUMMYFUNCTION("IF(ISBLANK(B2043),"""",IF(ISDATE(B2043),TEXT(B2043,""m""),""""))"),"")</f>
        <v/>
      </c>
      <c r="N2043" s="29" t="str">
        <f>IFERROR(__xludf.DUMMYFUNCTION("IF(M2043="""","""",QUERY({'Dashboard-Dados'!$Y$2:$AA$13},""Select Col2 Where Col1=""&amp;M2043))"),"")</f>
        <v/>
      </c>
      <c r="O2043" s="29" t="str">
        <f>IFERROR(__xludf.DUMMYFUNCTION("IF(ISBLANK(B2043),"""",IF(ISDATE(B2043),TEXT(B2043,""yyyy""),""""))"),"")</f>
        <v/>
      </c>
    </row>
    <row r="2044">
      <c r="B2044" s="62"/>
      <c r="C2044" s="56"/>
      <c r="D2044" s="56"/>
      <c r="E2044" s="56"/>
      <c r="F2044" s="63"/>
      <c r="G2044" s="64"/>
      <c r="H2044" s="65"/>
      <c r="I2044" s="63"/>
      <c r="K2044" s="53" t="str">
        <f>IFERROR(__xludf.DUMMYFUNCTION("IF(ISBLANK(B2044),"""",IF(ISDATE(B2044),""X"",""""))"),"")</f>
        <v/>
      </c>
      <c r="L2044" s="40" t="str">
        <f>IFERROR(__xludf.DUMMYFUNCTION("IF(ISBLANK(B2044),"""",IF(Or(I2044=""Em Aberto"",ISBLANK(I2044),NOT(ISDATE(B2044))),"""",H2044))"),"")</f>
        <v/>
      </c>
      <c r="M2044" s="29" t="str">
        <f>IFERROR(__xludf.DUMMYFUNCTION("IF(ISBLANK(B2044),"""",IF(ISDATE(B2044),TEXT(B2044,""m""),""""))"),"")</f>
        <v/>
      </c>
      <c r="N2044" s="29" t="str">
        <f>IFERROR(__xludf.DUMMYFUNCTION("IF(M2044="""","""",QUERY({'Dashboard-Dados'!$Y$2:$AA$13},""Select Col2 Where Col1=""&amp;M2044))"),"")</f>
        <v/>
      </c>
      <c r="O2044" s="29" t="str">
        <f>IFERROR(__xludf.DUMMYFUNCTION("IF(ISBLANK(B2044),"""",IF(ISDATE(B2044),TEXT(B2044,""yyyy""),""""))"),"")</f>
        <v/>
      </c>
    </row>
    <row r="2045">
      <c r="B2045" s="62"/>
      <c r="C2045" s="56"/>
      <c r="D2045" s="56"/>
      <c r="E2045" s="56"/>
      <c r="F2045" s="63"/>
      <c r="G2045" s="64"/>
      <c r="H2045" s="65"/>
      <c r="I2045" s="63"/>
      <c r="K2045" s="53" t="str">
        <f>IFERROR(__xludf.DUMMYFUNCTION("IF(ISBLANK(B2045),"""",IF(ISDATE(B2045),""X"",""""))"),"")</f>
        <v/>
      </c>
      <c r="L2045" s="40" t="str">
        <f>IFERROR(__xludf.DUMMYFUNCTION("IF(ISBLANK(B2045),"""",IF(Or(I2045=""Em Aberto"",ISBLANK(I2045),NOT(ISDATE(B2045))),"""",H2045))"),"")</f>
        <v/>
      </c>
      <c r="M2045" s="29" t="str">
        <f>IFERROR(__xludf.DUMMYFUNCTION("IF(ISBLANK(B2045),"""",IF(ISDATE(B2045),TEXT(B2045,""m""),""""))"),"")</f>
        <v/>
      </c>
      <c r="N2045" s="29" t="str">
        <f>IFERROR(__xludf.DUMMYFUNCTION("IF(M2045="""","""",QUERY({'Dashboard-Dados'!$Y$2:$AA$13},""Select Col2 Where Col1=""&amp;M2045))"),"")</f>
        <v/>
      </c>
      <c r="O2045" s="29" t="str">
        <f>IFERROR(__xludf.DUMMYFUNCTION("IF(ISBLANK(B2045),"""",IF(ISDATE(B2045),TEXT(B2045,""yyyy""),""""))"),"")</f>
        <v/>
      </c>
    </row>
    <row r="2046">
      <c r="B2046" s="62"/>
      <c r="C2046" s="56"/>
      <c r="D2046" s="56"/>
      <c r="E2046" s="56"/>
      <c r="F2046" s="63"/>
      <c r="G2046" s="64"/>
      <c r="H2046" s="65"/>
      <c r="I2046" s="63"/>
      <c r="K2046" s="53" t="str">
        <f>IFERROR(__xludf.DUMMYFUNCTION("IF(ISBLANK(B2046),"""",IF(ISDATE(B2046),""X"",""""))"),"")</f>
        <v/>
      </c>
      <c r="L2046" s="40" t="str">
        <f>IFERROR(__xludf.DUMMYFUNCTION("IF(ISBLANK(B2046),"""",IF(Or(I2046=""Em Aberto"",ISBLANK(I2046),NOT(ISDATE(B2046))),"""",H2046))"),"")</f>
        <v/>
      </c>
      <c r="M2046" s="29" t="str">
        <f>IFERROR(__xludf.DUMMYFUNCTION("IF(ISBLANK(B2046),"""",IF(ISDATE(B2046),TEXT(B2046,""m""),""""))"),"")</f>
        <v/>
      </c>
      <c r="N2046" s="29" t="str">
        <f>IFERROR(__xludf.DUMMYFUNCTION("IF(M2046="""","""",QUERY({'Dashboard-Dados'!$Y$2:$AA$13},""Select Col2 Where Col1=""&amp;M2046))"),"")</f>
        <v/>
      </c>
      <c r="O2046" s="29" t="str">
        <f>IFERROR(__xludf.DUMMYFUNCTION("IF(ISBLANK(B2046),"""",IF(ISDATE(B2046),TEXT(B2046,""yyyy""),""""))"),"")</f>
        <v/>
      </c>
    </row>
    <row r="2047">
      <c r="B2047" s="62"/>
      <c r="C2047" s="56"/>
      <c r="D2047" s="56"/>
      <c r="E2047" s="56"/>
      <c r="F2047" s="63"/>
      <c r="G2047" s="64"/>
      <c r="H2047" s="65"/>
      <c r="I2047" s="63"/>
      <c r="K2047" s="53" t="str">
        <f>IFERROR(__xludf.DUMMYFUNCTION("IF(ISBLANK(B2047),"""",IF(ISDATE(B2047),""X"",""""))"),"")</f>
        <v/>
      </c>
      <c r="L2047" s="40" t="str">
        <f>IFERROR(__xludf.DUMMYFUNCTION("IF(ISBLANK(B2047),"""",IF(Or(I2047=""Em Aberto"",ISBLANK(I2047),NOT(ISDATE(B2047))),"""",H2047))"),"")</f>
        <v/>
      </c>
      <c r="M2047" s="29" t="str">
        <f>IFERROR(__xludf.DUMMYFUNCTION("IF(ISBLANK(B2047),"""",IF(ISDATE(B2047),TEXT(B2047,""m""),""""))"),"")</f>
        <v/>
      </c>
      <c r="N2047" s="29" t="str">
        <f>IFERROR(__xludf.DUMMYFUNCTION("IF(M2047="""","""",QUERY({'Dashboard-Dados'!$Y$2:$AA$13},""Select Col2 Where Col1=""&amp;M2047))"),"")</f>
        <v/>
      </c>
      <c r="O2047" s="29" t="str">
        <f>IFERROR(__xludf.DUMMYFUNCTION("IF(ISBLANK(B2047),"""",IF(ISDATE(B2047),TEXT(B2047,""yyyy""),""""))"),"")</f>
        <v/>
      </c>
    </row>
    <row r="2048">
      <c r="B2048" s="62"/>
      <c r="C2048" s="56"/>
      <c r="D2048" s="56"/>
      <c r="E2048" s="56"/>
      <c r="F2048" s="63"/>
      <c r="G2048" s="64"/>
      <c r="H2048" s="65"/>
      <c r="I2048" s="63"/>
      <c r="K2048" s="53" t="str">
        <f>IFERROR(__xludf.DUMMYFUNCTION("IF(ISBLANK(B2048),"""",IF(ISDATE(B2048),""X"",""""))"),"")</f>
        <v/>
      </c>
      <c r="L2048" s="40" t="str">
        <f>IFERROR(__xludf.DUMMYFUNCTION("IF(ISBLANK(B2048),"""",IF(Or(I2048=""Em Aberto"",ISBLANK(I2048),NOT(ISDATE(B2048))),"""",H2048))"),"")</f>
        <v/>
      </c>
      <c r="M2048" s="29" t="str">
        <f>IFERROR(__xludf.DUMMYFUNCTION("IF(ISBLANK(B2048),"""",IF(ISDATE(B2048),TEXT(B2048,""m""),""""))"),"")</f>
        <v/>
      </c>
      <c r="N2048" s="29" t="str">
        <f>IFERROR(__xludf.DUMMYFUNCTION("IF(M2048="""","""",QUERY({'Dashboard-Dados'!$Y$2:$AA$13},""Select Col2 Where Col1=""&amp;M2048))"),"")</f>
        <v/>
      </c>
      <c r="O2048" s="29" t="str">
        <f>IFERROR(__xludf.DUMMYFUNCTION("IF(ISBLANK(B2048),"""",IF(ISDATE(B2048),TEXT(B2048,""yyyy""),""""))"),"")</f>
        <v/>
      </c>
    </row>
    <row r="2049">
      <c r="B2049" s="62"/>
      <c r="C2049" s="56"/>
      <c r="D2049" s="56"/>
      <c r="E2049" s="56"/>
      <c r="F2049" s="63"/>
      <c r="G2049" s="64"/>
      <c r="H2049" s="65"/>
      <c r="I2049" s="63"/>
      <c r="K2049" s="53" t="str">
        <f>IFERROR(__xludf.DUMMYFUNCTION("IF(ISBLANK(B2049),"""",IF(ISDATE(B2049),""X"",""""))"),"")</f>
        <v/>
      </c>
      <c r="L2049" s="40" t="str">
        <f>IFERROR(__xludf.DUMMYFUNCTION("IF(ISBLANK(B2049),"""",IF(Or(I2049=""Em Aberto"",ISBLANK(I2049),NOT(ISDATE(B2049))),"""",H2049))"),"")</f>
        <v/>
      </c>
      <c r="M2049" s="29" t="str">
        <f>IFERROR(__xludf.DUMMYFUNCTION("IF(ISBLANK(B2049),"""",IF(ISDATE(B2049),TEXT(B2049,""m""),""""))"),"")</f>
        <v/>
      </c>
      <c r="N2049" s="29" t="str">
        <f>IFERROR(__xludf.DUMMYFUNCTION("IF(M2049="""","""",QUERY({'Dashboard-Dados'!$Y$2:$AA$13},""Select Col2 Where Col1=""&amp;M2049))"),"")</f>
        <v/>
      </c>
      <c r="O2049" s="29" t="str">
        <f>IFERROR(__xludf.DUMMYFUNCTION("IF(ISBLANK(B2049),"""",IF(ISDATE(B2049),TEXT(B2049,""yyyy""),""""))"),"")</f>
        <v/>
      </c>
    </row>
    <row r="2050">
      <c r="B2050" s="62"/>
      <c r="C2050" s="56"/>
      <c r="D2050" s="56"/>
      <c r="E2050" s="56"/>
      <c r="F2050" s="63"/>
      <c r="G2050" s="64"/>
      <c r="H2050" s="65"/>
      <c r="I2050" s="63"/>
      <c r="K2050" s="53" t="str">
        <f>IFERROR(__xludf.DUMMYFUNCTION("IF(ISBLANK(B2050),"""",IF(ISDATE(B2050),""X"",""""))"),"")</f>
        <v/>
      </c>
      <c r="L2050" s="40" t="str">
        <f>IFERROR(__xludf.DUMMYFUNCTION("IF(ISBLANK(B2050),"""",IF(Or(I2050=""Em Aberto"",ISBLANK(I2050),NOT(ISDATE(B2050))),"""",H2050))"),"")</f>
        <v/>
      </c>
      <c r="M2050" s="29" t="str">
        <f>IFERROR(__xludf.DUMMYFUNCTION("IF(ISBLANK(B2050),"""",IF(ISDATE(B2050),TEXT(B2050,""m""),""""))"),"")</f>
        <v/>
      </c>
      <c r="N2050" s="29" t="str">
        <f>IFERROR(__xludf.DUMMYFUNCTION("IF(M2050="""","""",QUERY({'Dashboard-Dados'!$Y$2:$AA$13},""Select Col2 Where Col1=""&amp;M2050))"),"")</f>
        <v/>
      </c>
      <c r="O2050" s="29" t="str">
        <f>IFERROR(__xludf.DUMMYFUNCTION("IF(ISBLANK(B2050),"""",IF(ISDATE(B2050),TEXT(B2050,""yyyy""),""""))"),"")</f>
        <v/>
      </c>
    </row>
    <row r="2051">
      <c r="B2051" s="62"/>
      <c r="C2051" s="56"/>
      <c r="D2051" s="56"/>
      <c r="E2051" s="56"/>
      <c r="F2051" s="63"/>
      <c r="G2051" s="64"/>
      <c r="H2051" s="65"/>
      <c r="I2051" s="63"/>
      <c r="K2051" s="53" t="str">
        <f>IFERROR(__xludf.DUMMYFUNCTION("IF(ISBLANK(B2051),"""",IF(ISDATE(B2051),""X"",""""))"),"")</f>
        <v/>
      </c>
      <c r="L2051" s="40" t="str">
        <f>IFERROR(__xludf.DUMMYFUNCTION("IF(ISBLANK(B2051),"""",IF(Or(I2051=""Em Aberto"",ISBLANK(I2051),NOT(ISDATE(B2051))),"""",H2051))"),"")</f>
        <v/>
      </c>
      <c r="M2051" s="29" t="str">
        <f>IFERROR(__xludf.DUMMYFUNCTION("IF(ISBLANK(B2051),"""",IF(ISDATE(B2051),TEXT(B2051,""m""),""""))"),"")</f>
        <v/>
      </c>
      <c r="N2051" s="29" t="str">
        <f>IFERROR(__xludf.DUMMYFUNCTION("IF(M2051="""","""",QUERY({'Dashboard-Dados'!$Y$2:$AA$13},""Select Col2 Where Col1=""&amp;M2051))"),"")</f>
        <v/>
      </c>
      <c r="O2051" s="29" t="str">
        <f>IFERROR(__xludf.DUMMYFUNCTION("IF(ISBLANK(B2051),"""",IF(ISDATE(B2051),TEXT(B2051,""yyyy""),""""))"),"")</f>
        <v/>
      </c>
    </row>
    <row r="2052">
      <c r="B2052" s="62"/>
      <c r="C2052" s="56"/>
      <c r="D2052" s="56"/>
      <c r="E2052" s="56"/>
      <c r="F2052" s="63"/>
      <c r="G2052" s="64"/>
      <c r="H2052" s="65"/>
      <c r="I2052" s="63"/>
      <c r="K2052" s="53" t="str">
        <f>IFERROR(__xludf.DUMMYFUNCTION("IF(ISBLANK(B2052),"""",IF(ISDATE(B2052),""X"",""""))"),"")</f>
        <v/>
      </c>
      <c r="L2052" s="40" t="str">
        <f>IFERROR(__xludf.DUMMYFUNCTION("IF(ISBLANK(B2052),"""",IF(Or(I2052=""Em Aberto"",ISBLANK(I2052),NOT(ISDATE(B2052))),"""",H2052))"),"")</f>
        <v/>
      </c>
      <c r="M2052" s="29" t="str">
        <f>IFERROR(__xludf.DUMMYFUNCTION("IF(ISBLANK(B2052),"""",IF(ISDATE(B2052),TEXT(B2052,""m""),""""))"),"")</f>
        <v/>
      </c>
      <c r="N2052" s="29" t="str">
        <f>IFERROR(__xludf.DUMMYFUNCTION("IF(M2052="""","""",QUERY({'Dashboard-Dados'!$Y$2:$AA$13},""Select Col2 Where Col1=""&amp;M2052))"),"")</f>
        <v/>
      </c>
      <c r="O2052" s="29" t="str">
        <f>IFERROR(__xludf.DUMMYFUNCTION("IF(ISBLANK(B2052),"""",IF(ISDATE(B2052),TEXT(B2052,""yyyy""),""""))"),"")</f>
        <v/>
      </c>
    </row>
    <row r="2053">
      <c r="B2053" s="62"/>
      <c r="C2053" s="56"/>
      <c r="D2053" s="56"/>
      <c r="E2053" s="56"/>
      <c r="F2053" s="63"/>
      <c r="G2053" s="64"/>
      <c r="H2053" s="65"/>
      <c r="I2053" s="63"/>
      <c r="K2053" s="53" t="str">
        <f>IFERROR(__xludf.DUMMYFUNCTION("IF(ISBLANK(B2053),"""",IF(ISDATE(B2053),""X"",""""))"),"")</f>
        <v/>
      </c>
      <c r="L2053" s="40" t="str">
        <f>IFERROR(__xludf.DUMMYFUNCTION("IF(ISBLANK(B2053),"""",IF(Or(I2053=""Em Aberto"",ISBLANK(I2053),NOT(ISDATE(B2053))),"""",H2053))"),"")</f>
        <v/>
      </c>
      <c r="M2053" s="29" t="str">
        <f>IFERROR(__xludf.DUMMYFUNCTION("IF(ISBLANK(B2053),"""",IF(ISDATE(B2053),TEXT(B2053,""m""),""""))"),"")</f>
        <v/>
      </c>
      <c r="N2053" s="29" t="str">
        <f>IFERROR(__xludf.DUMMYFUNCTION("IF(M2053="""","""",QUERY({'Dashboard-Dados'!$Y$2:$AA$13},""Select Col2 Where Col1=""&amp;M2053))"),"")</f>
        <v/>
      </c>
      <c r="O2053" s="29" t="str">
        <f>IFERROR(__xludf.DUMMYFUNCTION("IF(ISBLANK(B2053),"""",IF(ISDATE(B2053),TEXT(B2053,""yyyy""),""""))"),"")</f>
        <v/>
      </c>
    </row>
    <row r="2054">
      <c r="B2054" s="62"/>
      <c r="C2054" s="56"/>
      <c r="D2054" s="56"/>
      <c r="E2054" s="56"/>
      <c r="F2054" s="63"/>
      <c r="G2054" s="64"/>
      <c r="H2054" s="65"/>
      <c r="I2054" s="63"/>
      <c r="K2054" s="53" t="str">
        <f>IFERROR(__xludf.DUMMYFUNCTION("IF(ISBLANK(B2054),"""",IF(ISDATE(B2054),""X"",""""))"),"")</f>
        <v/>
      </c>
      <c r="L2054" s="40" t="str">
        <f>IFERROR(__xludf.DUMMYFUNCTION("IF(ISBLANK(B2054),"""",IF(Or(I2054=""Em Aberto"",ISBLANK(I2054),NOT(ISDATE(B2054))),"""",H2054))"),"")</f>
        <v/>
      </c>
      <c r="M2054" s="29" t="str">
        <f>IFERROR(__xludf.DUMMYFUNCTION("IF(ISBLANK(B2054),"""",IF(ISDATE(B2054),TEXT(B2054,""m""),""""))"),"")</f>
        <v/>
      </c>
      <c r="N2054" s="29" t="str">
        <f>IFERROR(__xludf.DUMMYFUNCTION("IF(M2054="""","""",QUERY({'Dashboard-Dados'!$Y$2:$AA$13},""Select Col2 Where Col1=""&amp;M2054))"),"")</f>
        <v/>
      </c>
      <c r="O2054" s="29" t="str">
        <f>IFERROR(__xludf.DUMMYFUNCTION("IF(ISBLANK(B2054),"""",IF(ISDATE(B2054),TEXT(B2054,""yyyy""),""""))"),"")</f>
        <v/>
      </c>
    </row>
    <row r="2055">
      <c r="B2055" s="62"/>
      <c r="C2055" s="56"/>
      <c r="D2055" s="56"/>
      <c r="E2055" s="56"/>
      <c r="F2055" s="63"/>
      <c r="G2055" s="64"/>
      <c r="H2055" s="65"/>
      <c r="I2055" s="63"/>
      <c r="K2055" s="53" t="str">
        <f>IFERROR(__xludf.DUMMYFUNCTION("IF(ISBLANK(B2055),"""",IF(ISDATE(B2055),""X"",""""))"),"")</f>
        <v/>
      </c>
      <c r="L2055" s="40" t="str">
        <f>IFERROR(__xludf.DUMMYFUNCTION("IF(ISBLANK(B2055),"""",IF(Or(I2055=""Em Aberto"",ISBLANK(I2055),NOT(ISDATE(B2055))),"""",H2055))"),"")</f>
        <v/>
      </c>
      <c r="M2055" s="29" t="str">
        <f>IFERROR(__xludf.DUMMYFUNCTION("IF(ISBLANK(B2055),"""",IF(ISDATE(B2055),TEXT(B2055,""m""),""""))"),"")</f>
        <v/>
      </c>
      <c r="N2055" s="29" t="str">
        <f>IFERROR(__xludf.DUMMYFUNCTION("IF(M2055="""","""",QUERY({'Dashboard-Dados'!$Y$2:$AA$13},""Select Col2 Where Col1=""&amp;M2055))"),"")</f>
        <v/>
      </c>
      <c r="O2055" s="29" t="str">
        <f>IFERROR(__xludf.DUMMYFUNCTION("IF(ISBLANK(B2055),"""",IF(ISDATE(B2055),TEXT(B2055,""yyyy""),""""))"),"")</f>
        <v/>
      </c>
    </row>
    <row r="2056">
      <c r="B2056" s="62"/>
      <c r="C2056" s="56"/>
      <c r="D2056" s="56"/>
      <c r="E2056" s="56"/>
      <c r="F2056" s="63"/>
      <c r="G2056" s="64"/>
      <c r="H2056" s="65"/>
      <c r="I2056" s="63"/>
      <c r="K2056" s="53" t="str">
        <f>IFERROR(__xludf.DUMMYFUNCTION("IF(ISBLANK(B2056),"""",IF(ISDATE(B2056),""X"",""""))"),"")</f>
        <v/>
      </c>
      <c r="L2056" s="40" t="str">
        <f>IFERROR(__xludf.DUMMYFUNCTION("IF(ISBLANK(B2056),"""",IF(Or(I2056=""Em Aberto"",ISBLANK(I2056),NOT(ISDATE(B2056))),"""",H2056))"),"")</f>
        <v/>
      </c>
      <c r="M2056" s="29" t="str">
        <f>IFERROR(__xludf.DUMMYFUNCTION("IF(ISBLANK(B2056),"""",IF(ISDATE(B2056),TEXT(B2056,""m""),""""))"),"")</f>
        <v/>
      </c>
      <c r="N2056" s="29" t="str">
        <f>IFERROR(__xludf.DUMMYFUNCTION("IF(M2056="""","""",QUERY({'Dashboard-Dados'!$Y$2:$AA$13},""Select Col2 Where Col1=""&amp;M2056))"),"")</f>
        <v/>
      </c>
      <c r="O2056" s="29" t="str">
        <f>IFERROR(__xludf.DUMMYFUNCTION("IF(ISBLANK(B2056),"""",IF(ISDATE(B2056),TEXT(B2056,""yyyy""),""""))"),"")</f>
        <v/>
      </c>
    </row>
    <row r="2057">
      <c r="B2057" s="62"/>
      <c r="C2057" s="56"/>
      <c r="D2057" s="56"/>
      <c r="E2057" s="56"/>
      <c r="F2057" s="63"/>
      <c r="G2057" s="64"/>
      <c r="H2057" s="65"/>
      <c r="I2057" s="63"/>
      <c r="K2057" s="53" t="str">
        <f>IFERROR(__xludf.DUMMYFUNCTION("IF(ISBLANK(B2057),"""",IF(ISDATE(B2057),""X"",""""))"),"")</f>
        <v/>
      </c>
      <c r="L2057" s="40" t="str">
        <f>IFERROR(__xludf.DUMMYFUNCTION("IF(ISBLANK(B2057),"""",IF(Or(I2057=""Em Aberto"",ISBLANK(I2057),NOT(ISDATE(B2057))),"""",H2057))"),"")</f>
        <v/>
      </c>
      <c r="M2057" s="29" t="str">
        <f>IFERROR(__xludf.DUMMYFUNCTION("IF(ISBLANK(B2057),"""",IF(ISDATE(B2057),TEXT(B2057,""m""),""""))"),"")</f>
        <v/>
      </c>
      <c r="N2057" s="29" t="str">
        <f>IFERROR(__xludf.DUMMYFUNCTION("IF(M2057="""","""",QUERY({'Dashboard-Dados'!$Y$2:$AA$13},""Select Col2 Where Col1=""&amp;M2057))"),"")</f>
        <v/>
      </c>
      <c r="O2057" s="29" t="str">
        <f>IFERROR(__xludf.DUMMYFUNCTION("IF(ISBLANK(B2057),"""",IF(ISDATE(B2057),TEXT(B2057,""yyyy""),""""))"),"")</f>
        <v/>
      </c>
    </row>
    <row r="2058">
      <c r="B2058" s="62"/>
      <c r="C2058" s="56"/>
      <c r="D2058" s="56"/>
      <c r="E2058" s="56"/>
      <c r="F2058" s="63"/>
      <c r="G2058" s="64"/>
      <c r="H2058" s="65"/>
      <c r="I2058" s="63"/>
      <c r="K2058" s="53" t="str">
        <f>IFERROR(__xludf.DUMMYFUNCTION("IF(ISBLANK(B2058),"""",IF(ISDATE(B2058),""X"",""""))"),"")</f>
        <v/>
      </c>
      <c r="L2058" s="40" t="str">
        <f>IFERROR(__xludf.DUMMYFUNCTION("IF(ISBLANK(B2058),"""",IF(Or(I2058=""Em Aberto"",ISBLANK(I2058),NOT(ISDATE(B2058))),"""",H2058))"),"")</f>
        <v/>
      </c>
      <c r="M2058" s="29" t="str">
        <f>IFERROR(__xludf.DUMMYFUNCTION("IF(ISBLANK(B2058),"""",IF(ISDATE(B2058),TEXT(B2058,""m""),""""))"),"")</f>
        <v/>
      </c>
      <c r="N2058" s="29" t="str">
        <f>IFERROR(__xludf.DUMMYFUNCTION("IF(M2058="""","""",QUERY({'Dashboard-Dados'!$Y$2:$AA$13},""Select Col2 Where Col1=""&amp;M2058))"),"")</f>
        <v/>
      </c>
      <c r="O2058" s="29" t="str">
        <f>IFERROR(__xludf.DUMMYFUNCTION("IF(ISBLANK(B2058),"""",IF(ISDATE(B2058),TEXT(B2058,""yyyy""),""""))"),"")</f>
        <v/>
      </c>
    </row>
    <row r="2059">
      <c r="B2059" s="62"/>
      <c r="C2059" s="56"/>
      <c r="D2059" s="56"/>
      <c r="E2059" s="56"/>
      <c r="F2059" s="63"/>
      <c r="G2059" s="64"/>
      <c r="H2059" s="65"/>
      <c r="I2059" s="63"/>
      <c r="K2059" s="53" t="str">
        <f>IFERROR(__xludf.DUMMYFUNCTION("IF(ISBLANK(B2059),"""",IF(ISDATE(B2059),""X"",""""))"),"")</f>
        <v/>
      </c>
      <c r="L2059" s="40" t="str">
        <f>IFERROR(__xludf.DUMMYFUNCTION("IF(ISBLANK(B2059),"""",IF(Or(I2059=""Em Aberto"",ISBLANK(I2059),NOT(ISDATE(B2059))),"""",H2059))"),"")</f>
        <v/>
      </c>
      <c r="M2059" s="29" t="str">
        <f>IFERROR(__xludf.DUMMYFUNCTION("IF(ISBLANK(B2059),"""",IF(ISDATE(B2059),TEXT(B2059,""m""),""""))"),"")</f>
        <v/>
      </c>
      <c r="N2059" s="29" t="str">
        <f>IFERROR(__xludf.DUMMYFUNCTION("IF(M2059="""","""",QUERY({'Dashboard-Dados'!$Y$2:$AA$13},""Select Col2 Where Col1=""&amp;M2059))"),"")</f>
        <v/>
      </c>
      <c r="O2059" s="29" t="str">
        <f>IFERROR(__xludf.DUMMYFUNCTION("IF(ISBLANK(B2059),"""",IF(ISDATE(B2059),TEXT(B2059,""yyyy""),""""))"),"")</f>
        <v/>
      </c>
    </row>
    <row r="2060">
      <c r="B2060" s="62"/>
      <c r="C2060" s="56"/>
      <c r="D2060" s="56"/>
      <c r="E2060" s="56"/>
      <c r="F2060" s="63"/>
      <c r="G2060" s="64"/>
      <c r="H2060" s="65"/>
      <c r="I2060" s="63"/>
      <c r="K2060" s="53" t="str">
        <f>IFERROR(__xludf.DUMMYFUNCTION("IF(ISBLANK(B2060),"""",IF(ISDATE(B2060),""X"",""""))"),"")</f>
        <v/>
      </c>
      <c r="L2060" s="40" t="str">
        <f>IFERROR(__xludf.DUMMYFUNCTION("IF(ISBLANK(B2060),"""",IF(Or(I2060=""Em Aberto"",ISBLANK(I2060),NOT(ISDATE(B2060))),"""",H2060))"),"")</f>
        <v/>
      </c>
      <c r="M2060" s="29" t="str">
        <f>IFERROR(__xludf.DUMMYFUNCTION("IF(ISBLANK(B2060),"""",IF(ISDATE(B2060),TEXT(B2060,""m""),""""))"),"")</f>
        <v/>
      </c>
      <c r="N2060" s="29" t="str">
        <f>IFERROR(__xludf.DUMMYFUNCTION("IF(M2060="""","""",QUERY({'Dashboard-Dados'!$Y$2:$AA$13},""Select Col2 Where Col1=""&amp;M2060))"),"")</f>
        <v/>
      </c>
      <c r="O2060" s="29" t="str">
        <f>IFERROR(__xludf.DUMMYFUNCTION("IF(ISBLANK(B2060),"""",IF(ISDATE(B2060),TEXT(B2060,""yyyy""),""""))"),"")</f>
        <v/>
      </c>
    </row>
    <row r="2061">
      <c r="B2061" s="62"/>
      <c r="C2061" s="56"/>
      <c r="D2061" s="56"/>
      <c r="E2061" s="56"/>
      <c r="F2061" s="63"/>
      <c r="G2061" s="64"/>
      <c r="H2061" s="65"/>
      <c r="I2061" s="63"/>
      <c r="K2061" s="53" t="str">
        <f>IFERROR(__xludf.DUMMYFUNCTION("IF(ISBLANK(B2061),"""",IF(ISDATE(B2061),""X"",""""))"),"")</f>
        <v/>
      </c>
      <c r="L2061" s="40" t="str">
        <f>IFERROR(__xludf.DUMMYFUNCTION("IF(ISBLANK(B2061),"""",IF(Or(I2061=""Em Aberto"",ISBLANK(I2061),NOT(ISDATE(B2061))),"""",H2061))"),"")</f>
        <v/>
      </c>
      <c r="M2061" s="29" t="str">
        <f>IFERROR(__xludf.DUMMYFUNCTION("IF(ISBLANK(B2061),"""",IF(ISDATE(B2061),TEXT(B2061,""m""),""""))"),"")</f>
        <v/>
      </c>
      <c r="N2061" s="29" t="str">
        <f>IFERROR(__xludf.DUMMYFUNCTION("IF(M2061="""","""",QUERY({'Dashboard-Dados'!$Y$2:$AA$13},""Select Col2 Where Col1=""&amp;M2061))"),"")</f>
        <v/>
      </c>
      <c r="O2061" s="29" t="str">
        <f>IFERROR(__xludf.DUMMYFUNCTION("IF(ISBLANK(B2061),"""",IF(ISDATE(B2061),TEXT(B2061,""yyyy""),""""))"),"")</f>
        <v/>
      </c>
    </row>
    <row r="2062">
      <c r="B2062" s="62"/>
      <c r="C2062" s="56"/>
      <c r="D2062" s="56"/>
      <c r="E2062" s="56"/>
      <c r="F2062" s="63"/>
      <c r="G2062" s="64"/>
      <c r="H2062" s="65"/>
      <c r="I2062" s="63"/>
      <c r="K2062" s="53" t="str">
        <f>IFERROR(__xludf.DUMMYFUNCTION("IF(ISBLANK(B2062),"""",IF(ISDATE(B2062),""X"",""""))"),"")</f>
        <v/>
      </c>
      <c r="L2062" s="40" t="str">
        <f>IFERROR(__xludf.DUMMYFUNCTION("IF(ISBLANK(B2062),"""",IF(Or(I2062=""Em Aberto"",ISBLANK(I2062),NOT(ISDATE(B2062))),"""",H2062))"),"")</f>
        <v/>
      </c>
      <c r="M2062" s="29" t="str">
        <f>IFERROR(__xludf.DUMMYFUNCTION("IF(ISBLANK(B2062),"""",IF(ISDATE(B2062),TEXT(B2062,""m""),""""))"),"")</f>
        <v/>
      </c>
      <c r="N2062" s="29" t="str">
        <f>IFERROR(__xludf.DUMMYFUNCTION("IF(M2062="""","""",QUERY({'Dashboard-Dados'!$Y$2:$AA$13},""Select Col2 Where Col1=""&amp;M2062))"),"")</f>
        <v/>
      </c>
      <c r="O2062" s="29" t="str">
        <f>IFERROR(__xludf.DUMMYFUNCTION("IF(ISBLANK(B2062),"""",IF(ISDATE(B2062),TEXT(B2062,""yyyy""),""""))"),"")</f>
        <v/>
      </c>
    </row>
    <row r="2063">
      <c r="B2063" s="62"/>
      <c r="C2063" s="56"/>
      <c r="D2063" s="56"/>
      <c r="E2063" s="56"/>
      <c r="F2063" s="63"/>
      <c r="G2063" s="64"/>
      <c r="H2063" s="65"/>
      <c r="I2063" s="63"/>
      <c r="K2063" s="53" t="str">
        <f>IFERROR(__xludf.DUMMYFUNCTION("IF(ISBLANK(B2063),"""",IF(ISDATE(B2063),""X"",""""))"),"")</f>
        <v/>
      </c>
      <c r="L2063" s="40" t="str">
        <f>IFERROR(__xludf.DUMMYFUNCTION("IF(ISBLANK(B2063),"""",IF(Or(I2063=""Em Aberto"",ISBLANK(I2063),NOT(ISDATE(B2063))),"""",H2063))"),"")</f>
        <v/>
      </c>
      <c r="M2063" s="29" t="str">
        <f>IFERROR(__xludf.DUMMYFUNCTION("IF(ISBLANK(B2063),"""",IF(ISDATE(B2063),TEXT(B2063,""m""),""""))"),"")</f>
        <v/>
      </c>
      <c r="N2063" s="29" t="str">
        <f>IFERROR(__xludf.DUMMYFUNCTION("IF(M2063="""","""",QUERY({'Dashboard-Dados'!$Y$2:$AA$13},""Select Col2 Where Col1=""&amp;M2063))"),"")</f>
        <v/>
      </c>
      <c r="O2063" s="29" t="str">
        <f>IFERROR(__xludf.DUMMYFUNCTION("IF(ISBLANK(B2063),"""",IF(ISDATE(B2063),TEXT(B2063,""yyyy""),""""))"),"")</f>
        <v/>
      </c>
    </row>
    <row r="2064">
      <c r="B2064" s="62"/>
      <c r="C2064" s="56"/>
      <c r="D2064" s="56"/>
      <c r="E2064" s="56"/>
      <c r="F2064" s="63"/>
      <c r="G2064" s="64"/>
      <c r="H2064" s="65"/>
      <c r="I2064" s="63"/>
      <c r="K2064" s="53" t="str">
        <f>IFERROR(__xludf.DUMMYFUNCTION("IF(ISBLANK(B2064),"""",IF(ISDATE(B2064),""X"",""""))"),"")</f>
        <v/>
      </c>
      <c r="L2064" s="40" t="str">
        <f>IFERROR(__xludf.DUMMYFUNCTION("IF(ISBLANK(B2064),"""",IF(Or(I2064=""Em Aberto"",ISBLANK(I2064),NOT(ISDATE(B2064))),"""",H2064))"),"")</f>
        <v/>
      </c>
      <c r="M2064" s="29" t="str">
        <f>IFERROR(__xludf.DUMMYFUNCTION("IF(ISBLANK(B2064),"""",IF(ISDATE(B2064),TEXT(B2064,""m""),""""))"),"")</f>
        <v/>
      </c>
      <c r="N2064" s="29" t="str">
        <f>IFERROR(__xludf.DUMMYFUNCTION("IF(M2064="""","""",QUERY({'Dashboard-Dados'!$Y$2:$AA$13},""Select Col2 Where Col1=""&amp;M2064))"),"")</f>
        <v/>
      </c>
      <c r="O2064" s="29" t="str">
        <f>IFERROR(__xludf.DUMMYFUNCTION("IF(ISBLANK(B2064),"""",IF(ISDATE(B2064),TEXT(B2064,""yyyy""),""""))"),"")</f>
        <v/>
      </c>
    </row>
    <row r="2065">
      <c r="B2065" s="62"/>
      <c r="C2065" s="56"/>
      <c r="D2065" s="56"/>
      <c r="E2065" s="56"/>
      <c r="F2065" s="63"/>
      <c r="G2065" s="64"/>
      <c r="H2065" s="65"/>
      <c r="I2065" s="63"/>
      <c r="K2065" s="53" t="str">
        <f>IFERROR(__xludf.DUMMYFUNCTION("IF(ISBLANK(B2065),"""",IF(ISDATE(B2065),""X"",""""))"),"")</f>
        <v/>
      </c>
      <c r="L2065" s="40" t="str">
        <f>IFERROR(__xludf.DUMMYFUNCTION("IF(ISBLANK(B2065),"""",IF(Or(I2065=""Em Aberto"",ISBLANK(I2065),NOT(ISDATE(B2065))),"""",H2065))"),"")</f>
        <v/>
      </c>
      <c r="M2065" s="29" t="str">
        <f>IFERROR(__xludf.DUMMYFUNCTION("IF(ISBLANK(B2065),"""",IF(ISDATE(B2065),TEXT(B2065,""m""),""""))"),"")</f>
        <v/>
      </c>
      <c r="N2065" s="29" t="str">
        <f>IFERROR(__xludf.DUMMYFUNCTION("IF(M2065="""","""",QUERY({'Dashboard-Dados'!$Y$2:$AA$13},""Select Col2 Where Col1=""&amp;M2065))"),"")</f>
        <v/>
      </c>
      <c r="O2065" s="29" t="str">
        <f>IFERROR(__xludf.DUMMYFUNCTION("IF(ISBLANK(B2065),"""",IF(ISDATE(B2065),TEXT(B2065,""yyyy""),""""))"),"")</f>
        <v/>
      </c>
    </row>
    <row r="2066">
      <c r="B2066" s="62"/>
      <c r="C2066" s="56"/>
      <c r="D2066" s="56"/>
      <c r="E2066" s="56"/>
      <c r="F2066" s="63"/>
      <c r="G2066" s="64"/>
      <c r="H2066" s="65"/>
      <c r="I2066" s="63"/>
      <c r="K2066" s="53" t="str">
        <f>IFERROR(__xludf.DUMMYFUNCTION("IF(ISBLANK(B2066),"""",IF(ISDATE(B2066),""X"",""""))"),"")</f>
        <v/>
      </c>
      <c r="L2066" s="40" t="str">
        <f>IFERROR(__xludf.DUMMYFUNCTION("IF(ISBLANK(B2066),"""",IF(Or(I2066=""Em Aberto"",ISBLANK(I2066),NOT(ISDATE(B2066))),"""",H2066))"),"")</f>
        <v/>
      </c>
      <c r="M2066" s="29" t="str">
        <f>IFERROR(__xludf.DUMMYFUNCTION("IF(ISBLANK(B2066),"""",IF(ISDATE(B2066),TEXT(B2066,""m""),""""))"),"")</f>
        <v/>
      </c>
      <c r="N2066" s="29" t="str">
        <f>IFERROR(__xludf.DUMMYFUNCTION("IF(M2066="""","""",QUERY({'Dashboard-Dados'!$Y$2:$AA$13},""Select Col2 Where Col1=""&amp;M2066))"),"")</f>
        <v/>
      </c>
      <c r="O2066" s="29" t="str">
        <f>IFERROR(__xludf.DUMMYFUNCTION("IF(ISBLANK(B2066),"""",IF(ISDATE(B2066),TEXT(B2066,""yyyy""),""""))"),"")</f>
        <v/>
      </c>
    </row>
    <row r="2067">
      <c r="B2067" s="62"/>
      <c r="C2067" s="56"/>
      <c r="D2067" s="56"/>
      <c r="E2067" s="56"/>
      <c r="F2067" s="63"/>
      <c r="G2067" s="64"/>
      <c r="H2067" s="65"/>
      <c r="I2067" s="63"/>
      <c r="K2067" s="53" t="str">
        <f>IFERROR(__xludf.DUMMYFUNCTION("IF(ISBLANK(B2067),"""",IF(ISDATE(B2067),""X"",""""))"),"")</f>
        <v/>
      </c>
      <c r="L2067" s="40" t="str">
        <f>IFERROR(__xludf.DUMMYFUNCTION("IF(ISBLANK(B2067),"""",IF(Or(I2067=""Em Aberto"",ISBLANK(I2067),NOT(ISDATE(B2067))),"""",H2067))"),"")</f>
        <v/>
      </c>
      <c r="M2067" s="29" t="str">
        <f>IFERROR(__xludf.DUMMYFUNCTION("IF(ISBLANK(B2067),"""",IF(ISDATE(B2067),TEXT(B2067,""m""),""""))"),"")</f>
        <v/>
      </c>
      <c r="N2067" s="29" t="str">
        <f>IFERROR(__xludf.DUMMYFUNCTION("IF(M2067="""","""",QUERY({'Dashboard-Dados'!$Y$2:$AA$13},""Select Col2 Where Col1=""&amp;M2067))"),"")</f>
        <v/>
      </c>
      <c r="O2067" s="29" t="str">
        <f>IFERROR(__xludf.DUMMYFUNCTION("IF(ISBLANK(B2067),"""",IF(ISDATE(B2067),TEXT(B2067,""yyyy""),""""))"),"")</f>
        <v/>
      </c>
    </row>
    <row r="2068">
      <c r="B2068" s="62"/>
      <c r="C2068" s="56"/>
      <c r="D2068" s="56"/>
      <c r="E2068" s="56"/>
      <c r="F2068" s="63"/>
      <c r="G2068" s="64"/>
      <c r="H2068" s="65"/>
      <c r="I2068" s="63"/>
      <c r="K2068" s="53" t="str">
        <f>IFERROR(__xludf.DUMMYFUNCTION("IF(ISBLANK(B2068),"""",IF(ISDATE(B2068),""X"",""""))"),"")</f>
        <v/>
      </c>
      <c r="L2068" s="40" t="str">
        <f>IFERROR(__xludf.DUMMYFUNCTION("IF(ISBLANK(B2068),"""",IF(Or(I2068=""Em Aberto"",ISBLANK(I2068),NOT(ISDATE(B2068))),"""",H2068))"),"")</f>
        <v/>
      </c>
      <c r="M2068" s="29" t="str">
        <f>IFERROR(__xludf.DUMMYFUNCTION("IF(ISBLANK(B2068),"""",IF(ISDATE(B2068),TEXT(B2068,""m""),""""))"),"")</f>
        <v/>
      </c>
      <c r="N2068" s="29" t="str">
        <f>IFERROR(__xludf.DUMMYFUNCTION("IF(M2068="""","""",QUERY({'Dashboard-Dados'!$Y$2:$AA$13},""Select Col2 Where Col1=""&amp;M2068))"),"")</f>
        <v/>
      </c>
      <c r="O2068" s="29" t="str">
        <f>IFERROR(__xludf.DUMMYFUNCTION("IF(ISBLANK(B2068),"""",IF(ISDATE(B2068),TEXT(B2068,""yyyy""),""""))"),"")</f>
        <v/>
      </c>
    </row>
    <row r="2069">
      <c r="B2069" s="62"/>
      <c r="C2069" s="56"/>
      <c r="D2069" s="56"/>
      <c r="E2069" s="56"/>
      <c r="F2069" s="63"/>
      <c r="G2069" s="64"/>
      <c r="H2069" s="65"/>
      <c r="I2069" s="63"/>
      <c r="K2069" s="53" t="str">
        <f>IFERROR(__xludf.DUMMYFUNCTION("IF(ISBLANK(B2069),"""",IF(ISDATE(B2069),""X"",""""))"),"")</f>
        <v/>
      </c>
      <c r="L2069" s="40" t="str">
        <f>IFERROR(__xludf.DUMMYFUNCTION("IF(ISBLANK(B2069),"""",IF(Or(I2069=""Em Aberto"",ISBLANK(I2069),NOT(ISDATE(B2069))),"""",H2069))"),"")</f>
        <v/>
      </c>
      <c r="M2069" s="29" t="str">
        <f>IFERROR(__xludf.DUMMYFUNCTION("IF(ISBLANK(B2069),"""",IF(ISDATE(B2069),TEXT(B2069,""m""),""""))"),"")</f>
        <v/>
      </c>
      <c r="N2069" s="29" t="str">
        <f>IFERROR(__xludf.DUMMYFUNCTION("IF(M2069="""","""",QUERY({'Dashboard-Dados'!$Y$2:$AA$13},""Select Col2 Where Col1=""&amp;M2069))"),"")</f>
        <v/>
      </c>
      <c r="O2069" s="29" t="str">
        <f>IFERROR(__xludf.DUMMYFUNCTION("IF(ISBLANK(B2069),"""",IF(ISDATE(B2069),TEXT(B2069,""yyyy""),""""))"),"")</f>
        <v/>
      </c>
    </row>
    <row r="2070">
      <c r="B2070" s="62"/>
      <c r="C2070" s="56"/>
      <c r="D2070" s="56"/>
      <c r="E2070" s="56"/>
      <c r="F2070" s="63"/>
      <c r="G2070" s="64"/>
      <c r="H2070" s="65"/>
      <c r="I2070" s="63"/>
      <c r="K2070" s="53" t="str">
        <f>IFERROR(__xludf.DUMMYFUNCTION("IF(ISBLANK(B2070),"""",IF(ISDATE(B2070),""X"",""""))"),"")</f>
        <v/>
      </c>
      <c r="L2070" s="40" t="str">
        <f>IFERROR(__xludf.DUMMYFUNCTION("IF(ISBLANK(B2070),"""",IF(Or(I2070=""Em Aberto"",ISBLANK(I2070),NOT(ISDATE(B2070))),"""",H2070))"),"")</f>
        <v/>
      </c>
      <c r="M2070" s="29" t="str">
        <f>IFERROR(__xludf.DUMMYFUNCTION("IF(ISBLANK(B2070),"""",IF(ISDATE(B2070),TEXT(B2070,""m""),""""))"),"")</f>
        <v/>
      </c>
      <c r="N2070" s="29" t="str">
        <f>IFERROR(__xludf.DUMMYFUNCTION("IF(M2070="""","""",QUERY({'Dashboard-Dados'!$Y$2:$AA$13},""Select Col2 Where Col1=""&amp;M2070))"),"")</f>
        <v/>
      </c>
      <c r="O2070" s="29" t="str">
        <f>IFERROR(__xludf.DUMMYFUNCTION("IF(ISBLANK(B2070),"""",IF(ISDATE(B2070),TEXT(B2070,""yyyy""),""""))"),"")</f>
        <v/>
      </c>
    </row>
    <row r="2071">
      <c r="B2071" s="62"/>
      <c r="C2071" s="56"/>
      <c r="D2071" s="56"/>
      <c r="E2071" s="56"/>
      <c r="F2071" s="63"/>
      <c r="G2071" s="64"/>
      <c r="H2071" s="65"/>
      <c r="I2071" s="63"/>
      <c r="K2071" s="53" t="str">
        <f>IFERROR(__xludf.DUMMYFUNCTION("IF(ISBLANK(B2071),"""",IF(ISDATE(B2071),""X"",""""))"),"")</f>
        <v/>
      </c>
      <c r="L2071" s="40" t="str">
        <f>IFERROR(__xludf.DUMMYFUNCTION("IF(ISBLANK(B2071),"""",IF(Or(I2071=""Em Aberto"",ISBLANK(I2071),NOT(ISDATE(B2071))),"""",H2071))"),"")</f>
        <v/>
      </c>
      <c r="M2071" s="29" t="str">
        <f>IFERROR(__xludf.DUMMYFUNCTION("IF(ISBLANK(B2071),"""",IF(ISDATE(B2071),TEXT(B2071,""m""),""""))"),"")</f>
        <v/>
      </c>
      <c r="N2071" s="29" t="str">
        <f>IFERROR(__xludf.DUMMYFUNCTION("IF(M2071="""","""",QUERY({'Dashboard-Dados'!$Y$2:$AA$13},""Select Col2 Where Col1=""&amp;M2071))"),"")</f>
        <v/>
      </c>
      <c r="O2071" s="29" t="str">
        <f>IFERROR(__xludf.DUMMYFUNCTION("IF(ISBLANK(B2071),"""",IF(ISDATE(B2071),TEXT(B2071,""yyyy""),""""))"),"")</f>
        <v/>
      </c>
    </row>
    <row r="2072">
      <c r="B2072" s="62"/>
      <c r="C2072" s="56"/>
      <c r="D2072" s="56"/>
      <c r="E2072" s="56"/>
      <c r="F2072" s="63"/>
      <c r="G2072" s="64"/>
      <c r="H2072" s="65"/>
      <c r="I2072" s="63"/>
      <c r="K2072" s="53" t="str">
        <f>IFERROR(__xludf.DUMMYFUNCTION("IF(ISBLANK(B2072),"""",IF(ISDATE(B2072),""X"",""""))"),"")</f>
        <v/>
      </c>
      <c r="L2072" s="40" t="str">
        <f>IFERROR(__xludf.DUMMYFUNCTION("IF(ISBLANK(B2072),"""",IF(Or(I2072=""Em Aberto"",ISBLANK(I2072),NOT(ISDATE(B2072))),"""",H2072))"),"")</f>
        <v/>
      </c>
      <c r="M2072" s="29" t="str">
        <f>IFERROR(__xludf.DUMMYFUNCTION("IF(ISBLANK(B2072),"""",IF(ISDATE(B2072),TEXT(B2072,""m""),""""))"),"")</f>
        <v/>
      </c>
      <c r="N2072" s="29" t="str">
        <f>IFERROR(__xludf.DUMMYFUNCTION("IF(M2072="""","""",QUERY({'Dashboard-Dados'!$Y$2:$AA$13},""Select Col2 Where Col1=""&amp;M2072))"),"")</f>
        <v/>
      </c>
      <c r="O2072" s="29" t="str">
        <f>IFERROR(__xludf.DUMMYFUNCTION("IF(ISBLANK(B2072),"""",IF(ISDATE(B2072),TEXT(B2072,""yyyy""),""""))"),"")</f>
        <v/>
      </c>
    </row>
    <row r="2073">
      <c r="B2073" s="62"/>
      <c r="C2073" s="56"/>
      <c r="D2073" s="56"/>
      <c r="E2073" s="56"/>
      <c r="F2073" s="63"/>
      <c r="G2073" s="64"/>
      <c r="H2073" s="65"/>
      <c r="I2073" s="63"/>
      <c r="K2073" s="53" t="str">
        <f>IFERROR(__xludf.DUMMYFUNCTION("IF(ISBLANK(B2073),"""",IF(ISDATE(B2073),""X"",""""))"),"")</f>
        <v/>
      </c>
      <c r="L2073" s="40" t="str">
        <f>IFERROR(__xludf.DUMMYFUNCTION("IF(ISBLANK(B2073),"""",IF(Or(I2073=""Em Aberto"",ISBLANK(I2073),NOT(ISDATE(B2073))),"""",H2073))"),"")</f>
        <v/>
      </c>
      <c r="M2073" s="29" t="str">
        <f>IFERROR(__xludf.DUMMYFUNCTION("IF(ISBLANK(B2073),"""",IF(ISDATE(B2073),TEXT(B2073,""m""),""""))"),"")</f>
        <v/>
      </c>
      <c r="N2073" s="29" t="str">
        <f>IFERROR(__xludf.DUMMYFUNCTION("IF(M2073="""","""",QUERY({'Dashboard-Dados'!$Y$2:$AA$13},""Select Col2 Where Col1=""&amp;M2073))"),"")</f>
        <v/>
      </c>
      <c r="O2073" s="29" t="str">
        <f>IFERROR(__xludf.DUMMYFUNCTION("IF(ISBLANK(B2073),"""",IF(ISDATE(B2073),TEXT(B2073,""yyyy""),""""))"),"")</f>
        <v/>
      </c>
    </row>
    <row r="2074">
      <c r="B2074" s="62"/>
      <c r="C2074" s="56"/>
      <c r="D2074" s="56"/>
      <c r="E2074" s="56"/>
      <c r="F2074" s="63"/>
      <c r="G2074" s="64"/>
      <c r="H2074" s="65"/>
      <c r="I2074" s="63"/>
      <c r="K2074" s="53" t="str">
        <f>IFERROR(__xludf.DUMMYFUNCTION("IF(ISBLANK(B2074),"""",IF(ISDATE(B2074),""X"",""""))"),"")</f>
        <v/>
      </c>
      <c r="L2074" s="40" t="str">
        <f>IFERROR(__xludf.DUMMYFUNCTION("IF(ISBLANK(B2074),"""",IF(Or(I2074=""Em Aberto"",ISBLANK(I2074),NOT(ISDATE(B2074))),"""",H2074))"),"")</f>
        <v/>
      </c>
      <c r="M2074" s="29" t="str">
        <f>IFERROR(__xludf.DUMMYFUNCTION("IF(ISBLANK(B2074),"""",IF(ISDATE(B2074),TEXT(B2074,""m""),""""))"),"")</f>
        <v/>
      </c>
      <c r="N2074" s="29" t="str">
        <f>IFERROR(__xludf.DUMMYFUNCTION("IF(M2074="""","""",QUERY({'Dashboard-Dados'!$Y$2:$AA$13},""Select Col2 Where Col1=""&amp;M2074))"),"")</f>
        <v/>
      </c>
      <c r="O2074" s="29" t="str">
        <f>IFERROR(__xludf.DUMMYFUNCTION("IF(ISBLANK(B2074),"""",IF(ISDATE(B2074),TEXT(B2074,""yyyy""),""""))"),"")</f>
        <v/>
      </c>
    </row>
    <row r="2075">
      <c r="B2075" s="62"/>
      <c r="C2075" s="56"/>
      <c r="D2075" s="56"/>
      <c r="E2075" s="56"/>
      <c r="F2075" s="63"/>
      <c r="G2075" s="64"/>
      <c r="H2075" s="65"/>
      <c r="I2075" s="63"/>
      <c r="K2075" s="53" t="str">
        <f>IFERROR(__xludf.DUMMYFUNCTION("IF(ISBLANK(B2075),"""",IF(ISDATE(B2075),""X"",""""))"),"")</f>
        <v/>
      </c>
      <c r="L2075" s="40" t="str">
        <f>IFERROR(__xludf.DUMMYFUNCTION("IF(ISBLANK(B2075),"""",IF(Or(I2075=""Em Aberto"",ISBLANK(I2075),NOT(ISDATE(B2075))),"""",H2075))"),"")</f>
        <v/>
      </c>
      <c r="M2075" s="29" t="str">
        <f>IFERROR(__xludf.DUMMYFUNCTION("IF(ISBLANK(B2075),"""",IF(ISDATE(B2075),TEXT(B2075,""m""),""""))"),"")</f>
        <v/>
      </c>
      <c r="N2075" s="29" t="str">
        <f>IFERROR(__xludf.DUMMYFUNCTION("IF(M2075="""","""",QUERY({'Dashboard-Dados'!$Y$2:$AA$13},""Select Col2 Where Col1=""&amp;M2075))"),"")</f>
        <v/>
      </c>
      <c r="O2075" s="29" t="str">
        <f>IFERROR(__xludf.DUMMYFUNCTION("IF(ISBLANK(B2075),"""",IF(ISDATE(B2075),TEXT(B2075,""yyyy""),""""))"),"")</f>
        <v/>
      </c>
    </row>
    <row r="2076">
      <c r="B2076" s="62"/>
      <c r="C2076" s="56"/>
      <c r="D2076" s="56"/>
      <c r="E2076" s="56"/>
      <c r="F2076" s="63"/>
      <c r="G2076" s="64"/>
      <c r="H2076" s="65"/>
      <c r="I2076" s="63"/>
      <c r="K2076" s="53" t="str">
        <f>IFERROR(__xludf.DUMMYFUNCTION("IF(ISBLANK(B2076),"""",IF(ISDATE(B2076),""X"",""""))"),"")</f>
        <v/>
      </c>
      <c r="L2076" s="40" t="str">
        <f>IFERROR(__xludf.DUMMYFUNCTION("IF(ISBLANK(B2076),"""",IF(Or(I2076=""Em Aberto"",ISBLANK(I2076),NOT(ISDATE(B2076))),"""",H2076))"),"")</f>
        <v/>
      </c>
      <c r="M2076" s="29" t="str">
        <f>IFERROR(__xludf.DUMMYFUNCTION("IF(ISBLANK(B2076),"""",IF(ISDATE(B2076),TEXT(B2076,""m""),""""))"),"")</f>
        <v/>
      </c>
      <c r="N2076" s="29" t="str">
        <f>IFERROR(__xludf.DUMMYFUNCTION("IF(M2076="""","""",QUERY({'Dashboard-Dados'!$Y$2:$AA$13},""Select Col2 Where Col1=""&amp;M2076))"),"")</f>
        <v/>
      </c>
      <c r="O2076" s="29" t="str">
        <f>IFERROR(__xludf.DUMMYFUNCTION("IF(ISBLANK(B2076),"""",IF(ISDATE(B2076),TEXT(B2076,""yyyy""),""""))"),"")</f>
        <v/>
      </c>
    </row>
    <row r="2077">
      <c r="B2077" s="62"/>
      <c r="C2077" s="56"/>
      <c r="D2077" s="56"/>
      <c r="E2077" s="56"/>
      <c r="F2077" s="63"/>
      <c r="G2077" s="64"/>
      <c r="H2077" s="65"/>
      <c r="I2077" s="63"/>
      <c r="K2077" s="53" t="str">
        <f>IFERROR(__xludf.DUMMYFUNCTION("IF(ISBLANK(B2077),"""",IF(ISDATE(B2077),""X"",""""))"),"")</f>
        <v/>
      </c>
      <c r="L2077" s="40" t="str">
        <f>IFERROR(__xludf.DUMMYFUNCTION("IF(ISBLANK(B2077),"""",IF(Or(I2077=""Em Aberto"",ISBLANK(I2077),NOT(ISDATE(B2077))),"""",H2077))"),"")</f>
        <v/>
      </c>
      <c r="M2077" s="29" t="str">
        <f>IFERROR(__xludf.DUMMYFUNCTION("IF(ISBLANK(B2077),"""",IF(ISDATE(B2077),TEXT(B2077,""m""),""""))"),"")</f>
        <v/>
      </c>
      <c r="N2077" s="29" t="str">
        <f>IFERROR(__xludf.DUMMYFUNCTION("IF(M2077="""","""",QUERY({'Dashboard-Dados'!$Y$2:$AA$13},""Select Col2 Where Col1=""&amp;M2077))"),"")</f>
        <v/>
      </c>
      <c r="O2077" s="29" t="str">
        <f>IFERROR(__xludf.DUMMYFUNCTION("IF(ISBLANK(B2077),"""",IF(ISDATE(B2077),TEXT(B2077,""yyyy""),""""))"),"")</f>
        <v/>
      </c>
    </row>
    <row r="2078">
      <c r="B2078" s="62"/>
      <c r="C2078" s="56"/>
      <c r="D2078" s="56"/>
      <c r="E2078" s="56"/>
      <c r="F2078" s="63"/>
      <c r="G2078" s="64"/>
      <c r="H2078" s="65"/>
      <c r="I2078" s="63"/>
      <c r="K2078" s="53" t="str">
        <f>IFERROR(__xludf.DUMMYFUNCTION("IF(ISBLANK(B2078),"""",IF(ISDATE(B2078),""X"",""""))"),"")</f>
        <v/>
      </c>
      <c r="L2078" s="40" t="str">
        <f>IFERROR(__xludf.DUMMYFUNCTION("IF(ISBLANK(B2078),"""",IF(Or(I2078=""Em Aberto"",ISBLANK(I2078),NOT(ISDATE(B2078))),"""",H2078))"),"")</f>
        <v/>
      </c>
      <c r="M2078" s="29" t="str">
        <f>IFERROR(__xludf.DUMMYFUNCTION("IF(ISBLANK(B2078),"""",IF(ISDATE(B2078),TEXT(B2078,""m""),""""))"),"")</f>
        <v/>
      </c>
      <c r="N2078" s="29" t="str">
        <f>IFERROR(__xludf.DUMMYFUNCTION("IF(M2078="""","""",QUERY({'Dashboard-Dados'!$Y$2:$AA$13},""Select Col2 Where Col1=""&amp;M2078))"),"")</f>
        <v/>
      </c>
      <c r="O2078" s="29" t="str">
        <f>IFERROR(__xludf.DUMMYFUNCTION("IF(ISBLANK(B2078),"""",IF(ISDATE(B2078),TEXT(B2078,""yyyy""),""""))"),"")</f>
        <v/>
      </c>
    </row>
    <row r="2079">
      <c r="B2079" s="62"/>
      <c r="C2079" s="56"/>
      <c r="D2079" s="56"/>
      <c r="E2079" s="56"/>
      <c r="F2079" s="63"/>
      <c r="G2079" s="64"/>
      <c r="H2079" s="65"/>
      <c r="I2079" s="63"/>
      <c r="K2079" s="53" t="str">
        <f>IFERROR(__xludf.DUMMYFUNCTION("IF(ISBLANK(B2079),"""",IF(ISDATE(B2079),""X"",""""))"),"")</f>
        <v/>
      </c>
      <c r="L2079" s="40" t="str">
        <f>IFERROR(__xludf.DUMMYFUNCTION("IF(ISBLANK(B2079),"""",IF(Or(I2079=""Em Aberto"",ISBLANK(I2079),NOT(ISDATE(B2079))),"""",H2079))"),"")</f>
        <v/>
      </c>
      <c r="M2079" s="29" t="str">
        <f>IFERROR(__xludf.DUMMYFUNCTION("IF(ISBLANK(B2079),"""",IF(ISDATE(B2079),TEXT(B2079,""m""),""""))"),"")</f>
        <v/>
      </c>
      <c r="N2079" s="29" t="str">
        <f>IFERROR(__xludf.DUMMYFUNCTION("IF(M2079="""","""",QUERY({'Dashboard-Dados'!$Y$2:$AA$13},""Select Col2 Where Col1=""&amp;M2079))"),"")</f>
        <v/>
      </c>
      <c r="O2079" s="29" t="str">
        <f>IFERROR(__xludf.DUMMYFUNCTION("IF(ISBLANK(B2079),"""",IF(ISDATE(B2079),TEXT(B2079,""yyyy""),""""))"),"")</f>
        <v/>
      </c>
    </row>
    <row r="2080">
      <c r="B2080" s="62"/>
      <c r="C2080" s="56"/>
      <c r="D2080" s="56"/>
      <c r="E2080" s="56"/>
      <c r="F2080" s="63"/>
      <c r="G2080" s="64"/>
      <c r="H2080" s="65"/>
      <c r="I2080" s="63"/>
      <c r="K2080" s="53" t="str">
        <f>IFERROR(__xludf.DUMMYFUNCTION("IF(ISBLANK(B2080),"""",IF(ISDATE(B2080),""X"",""""))"),"")</f>
        <v/>
      </c>
      <c r="L2080" s="40" t="str">
        <f>IFERROR(__xludf.DUMMYFUNCTION("IF(ISBLANK(B2080),"""",IF(Or(I2080=""Em Aberto"",ISBLANK(I2080),NOT(ISDATE(B2080))),"""",H2080))"),"")</f>
        <v/>
      </c>
      <c r="M2080" s="29" t="str">
        <f>IFERROR(__xludf.DUMMYFUNCTION("IF(ISBLANK(B2080),"""",IF(ISDATE(B2080),TEXT(B2080,""m""),""""))"),"")</f>
        <v/>
      </c>
      <c r="N2080" s="29" t="str">
        <f>IFERROR(__xludf.DUMMYFUNCTION("IF(M2080="""","""",QUERY({'Dashboard-Dados'!$Y$2:$AA$13},""Select Col2 Where Col1=""&amp;M2080))"),"")</f>
        <v/>
      </c>
      <c r="O2080" s="29" t="str">
        <f>IFERROR(__xludf.DUMMYFUNCTION("IF(ISBLANK(B2080),"""",IF(ISDATE(B2080),TEXT(B2080,""yyyy""),""""))"),"")</f>
        <v/>
      </c>
    </row>
    <row r="2081">
      <c r="B2081" s="62"/>
      <c r="C2081" s="56"/>
      <c r="D2081" s="56"/>
      <c r="E2081" s="56"/>
      <c r="F2081" s="63"/>
      <c r="G2081" s="64"/>
      <c r="H2081" s="65"/>
      <c r="I2081" s="63"/>
      <c r="K2081" s="53" t="str">
        <f>IFERROR(__xludf.DUMMYFUNCTION("IF(ISBLANK(B2081),"""",IF(ISDATE(B2081),""X"",""""))"),"")</f>
        <v/>
      </c>
      <c r="L2081" s="40" t="str">
        <f>IFERROR(__xludf.DUMMYFUNCTION("IF(ISBLANK(B2081),"""",IF(Or(I2081=""Em Aberto"",ISBLANK(I2081),NOT(ISDATE(B2081))),"""",H2081))"),"")</f>
        <v/>
      </c>
      <c r="M2081" s="29" t="str">
        <f>IFERROR(__xludf.DUMMYFUNCTION("IF(ISBLANK(B2081),"""",IF(ISDATE(B2081),TEXT(B2081,""m""),""""))"),"")</f>
        <v/>
      </c>
      <c r="N2081" s="29" t="str">
        <f>IFERROR(__xludf.DUMMYFUNCTION("IF(M2081="""","""",QUERY({'Dashboard-Dados'!$Y$2:$AA$13},""Select Col2 Where Col1=""&amp;M2081))"),"")</f>
        <v/>
      </c>
      <c r="O2081" s="29" t="str">
        <f>IFERROR(__xludf.DUMMYFUNCTION("IF(ISBLANK(B2081),"""",IF(ISDATE(B2081),TEXT(B2081,""yyyy""),""""))"),"")</f>
        <v/>
      </c>
    </row>
    <row r="2082">
      <c r="B2082" s="62"/>
      <c r="C2082" s="56"/>
      <c r="D2082" s="56"/>
      <c r="E2082" s="56"/>
      <c r="F2082" s="63"/>
      <c r="G2082" s="64"/>
      <c r="H2082" s="65"/>
      <c r="I2082" s="63"/>
      <c r="K2082" s="53" t="str">
        <f>IFERROR(__xludf.DUMMYFUNCTION("IF(ISBLANK(B2082),"""",IF(ISDATE(B2082),""X"",""""))"),"")</f>
        <v/>
      </c>
      <c r="L2082" s="40" t="str">
        <f>IFERROR(__xludf.DUMMYFUNCTION("IF(ISBLANK(B2082),"""",IF(Or(I2082=""Em Aberto"",ISBLANK(I2082),NOT(ISDATE(B2082))),"""",H2082))"),"")</f>
        <v/>
      </c>
      <c r="M2082" s="29" t="str">
        <f>IFERROR(__xludf.DUMMYFUNCTION("IF(ISBLANK(B2082),"""",IF(ISDATE(B2082),TEXT(B2082,""m""),""""))"),"")</f>
        <v/>
      </c>
      <c r="N2082" s="29" t="str">
        <f>IFERROR(__xludf.DUMMYFUNCTION("IF(M2082="""","""",QUERY({'Dashboard-Dados'!$Y$2:$AA$13},""Select Col2 Where Col1=""&amp;M2082))"),"")</f>
        <v/>
      </c>
      <c r="O2082" s="29" t="str">
        <f>IFERROR(__xludf.DUMMYFUNCTION("IF(ISBLANK(B2082),"""",IF(ISDATE(B2082),TEXT(B2082,""yyyy""),""""))"),"")</f>
        <v/>
      </c>
    </row>
    <row r="2083">
      <c r="B2083" s="62"/>
      <c r="C2083" s="56"/>
      <c r="D2083" s="56"/>
      <c r="E2083" s="56"/>
      <c r="F2083" s="63"/>
      <c r="G2083" s="64"/>
      <c r="H2083" s="65"/>
      <c r="I2083" s="63"/>
      <c r="K2083" s="53" t="str">
        <f>IFERROR(__xludf.DUMMYFUNCTION("IF(ISBLANK(B2083),"""",IF(ISDATE(B2083),""X"",""""))"),"")</f>
        <v/>
      </c>
      <c r="L2083" s="40" t="str">
        <f>IFERROR(__xludf.DUMMYFUNCTION("IF(ISBLANK(B2083),"""",IF(Or(I2083=""Em Aberto"",ISBLANK(I2083),NOT(ISDATE(B2083))),"""",H2083))"),"")</f>
        <v/>
      </c>
      <c r="M2083" s="29" t="str">
        <f>IFERROR(__xludf.DUMMYFUNCTION("IF(ISBLANK(B2083),"""",IF(ISDATE(B2083),TEXT(B2083,""m""),""""))"),"")</f>
        <v/>
      </c>
      <c r="N2083" s="29" t="str">
        <f>IFERROR(__xludf.DUMMYFUNCTION("IF(M2083="""","""",QUERY({'Dashboard-Dados'!$Y$2:$AA$13},""Select Col2 Where Col1=""&amp;M2083))"),"")</f>
        <v/>
      </c>
      <c r="O2083" s="29" t="str">
        <f>IFERROR(__xludf.DUMMYFUNCTION("IF(ISBLANK(B2083),"""",IF(ISDATE(B2083),TEXT(B2083,""yyyy""),""""))"),"")</f>
        <v/>
      </c>
    </row>
    <row r="2084">
      <c r="B2084" s="62"/>
      <c r="C2084" s="56"/>
      <c r="D2084" s="56"/>
      <c r="E2084" s="56"/>
      <c r="F2084" s="63"/>
      <c r="G2084" s="64"/>
      <c r="H2084" s="65"/>
      <c r="I2084" s="63"/>
      <c r="K2084" s="53" t="str">
        <f>IFERROR(__xludf.DUMMYFUNCTION("IF(ISBLANK(B2084),"""",IF(ISDATE(B2084),""X"",""""))"),"")</f>
        <v/>
      </c>
      <c r="L2084" s="40" t="str">
        <f>IFERROR(__xludf.DUMMYFUNCTION("IF(ISBLANK(B2084),"""",IF(Or(I2084=""Em Aberto"",ISBLANK(I2084),NOT(ISDATE(B2084))),"""",H2084))"),"")</f>
        <v/>
      </c>
      <c r="M2084" s="29" t="str">
        <f>IFERROR(__xludf.DUMMYFUNCTION("IF(ISBLANK(B2084),"""",IF(ISDATE(B2084),TEXT(B2084,""m""),""""))"),"")</f>
        <v/>
      </c>
      <c r="N2084" s="29" t="str">
        <f>IFERROR(__xludf.DUMMYFUNCTION("IF(M2084="""","""",QUERY({'Dashboard-Dados'!$Y$2:$AA$13},""Select Col2 Where Col1=""&amp;M2084))"),"")</f>
        <v/>
      </c>
      <c r="O2084" s="29" t="str">
        <f>IFERROR(__xludf.DUMMYFUNCTION("IF(ISBLANK(B2084),"""",IF(ISDATE(B2084),TEXT(B2084,""yyyy""),""""))"),"")</f>
        <v/>
      </c>
    </row>
    <row r="2085">
      <c r="B2085" s="62"/>
      <c r="C2085" s="56"/>
      <c r="D2085" s="56"/>
      <c r="E2085" s="56"/>
      <c r="F2085" s="63"/>
      <c r="G2085" s="64"/>
      <c r="H2085" s="65"/>
      <c r="I2085" s="63"/>
      <c r="K2085" s="53" t="str">
        <f>IFERROR(__xludf.DUMMYFUNCTION("IF(ISBLANK(B2085),"""",IF(ISDATE(B2085),""X"",""""))"),"")</f>
        <v/>
      </c>
      <c r="L2085" s="40" t="str">
        <f>IFERROR(__xludf.DUMMYFUNCTION("IF(ISBLANK(B2085),"""",IF(Or(I2085=""Em Aberto"",ISBLANK(I2085),NOT(ISDATE(B2085))),"""",H2085))"),"")</f>
        <v/>
      </c>
      <c r="M2085" s="29" t="str">
        <f>IFERROR(__xludf.DUMMYFUNCTION("IF(ISBLANK(B2085),"""",IF(ISDATE(B2085),TEXT(B2085,""m""),""""))"),"")</f>
        <v/>
      </c>
      <c r="N2085" s="29" t="str">
        <f>IFERROR(__xludf.DUMMYFUNCTION("IF(M2085="""","""",QUERY({'Dashboard-Dados'!$Y$2:$AA$13},""Select Col2 Where Col1=""&amp;M2085))"),"")</f>
        <v/>
      </c>
      <c r="O2085" s="29" t="str">
        <f>IFERROR(__xludf.DUMMYFUNCTION("IF(ISBLANK(B2085),"""",IF(ISDATE(B2085),TEXT(B2085,""yyyy""),""""))"),"")</f>
        <v/>
      </c>
    </row>
    <row r="2086">
      <c r="B2086" s="62"/>
      <c r="C2086" s="56"/>
      <c r="D2086" s="56"/>
      <c r="E2086" s="56"/>
      <c r="F2086" s="63"/>
      <c r="G2086" s="64"/>
      <c r="H2086" s="65"/>
      <c r="I2086" s="63"/>
      <c r="K2086" s="53" t="str">
        <f>IFERROR(__xludf.DUMMYFUNCTION("IF(ISBLANK(B2086),"""",IF(ISDATE(B2086),""X"",""""))"),"")</f>
        <v/>
      </c>
      <c r="L2086" s="40" t="str">
        <f>IFERROR(__xludf.DUMMYFUNCTION("IF(ISBLANK(B2086),"""",IF(Or(I2086=""Em Aberto"",ISBLANK(I2086),NOT(ISDATE(B2086))),"""",H2086))"),"")</f>
        <v/>
      </c>
      <c r="M2086" s="29" t="str">
        <f>IFERROR(__xludf.DUMMYFUNCTION("IF(ISBLANK(B2086),"""",IF(ISDATE(B2086),TEXT(B2086,""m""),""""))"),"")</f>
        <v/>
      </c>
      <c r="N2086" s="29" t="str">
        <f>IFERROR(__xludf.DUMMYFUNCTION("IF(M2086="""","""",QUERY({'Dashboard-Dados'!$Y$2:$AA$13},""Select Col2 Where Col1=""&amp;M2086))"),"")</f>
        <v/>
      </c>
      <c r="O2086" s="29" t="str">
        <f>IFERROR(__xludf.DUMMYFUNCTION("IF(ISBLANK(B2086),"""",IF(ISDATE(B2086),TEXT(B2086,""yyyy""),""""))"),"")</f>
        <v/>
      </c>
    </row>
    <row r="2087">
      <c r="B2087" s="62"/>
      <c r="C2087" s="56"/>
      <c r="D2087" s="56"/>
      <c r="E2087" s="56"/>
      <c r="F2087" s="63"/>
      <c r="G2087" s="64"/>
      <c r="H2087" s="65"/>
      <c r="I2087" s="63"/>
      <c r="K2087" s="53" t="str">
        <f>IFERROR(__xludf.DUMMYFUNCTION("IF(ISBLANK(B2087),"""",IF(ISDATE(B2087),""X"",""""))"),"")</f>
        <v/>
      </c>
      <c r="L2087" s="40" t="str">
        <f>IFERROR(__xludf.DUMMYFUNCTION("IF(ISBLANK(B2087),"""",IF(Or(I2087=""Em Aberto"",ISBLANK(I2087),NOT(ISDATE(B2087))),"""",H2087))"),"")</f>
        <v/>
      </c>
      <c r="M2087" s="29" t="str">
        <f>IFERROR(__xludf.DUMMYFUNCTION("IF(ISBLANK(B2087),"""",IF(ISDATE(B2087),TEXT(B2087,""m""),""""))"),"")</f>
        <v/>
      </c>
      <c r="N2087" s="29" t="str">
        <f>IFERROR(__xludf.DUMMYFUNCTION("IF(M2087="""","""",QUERY({'Dashboard-Dados'!$Y$2:$AA$13},""Select Col2 Where Col1=""&amp;M2087))"),"")</f>
        <v/>
      </c>
      <c r="O2087" s="29" t="str">
        <f>IFERROR(__xludf.DUMMYFUNCTION("IF(ISBLANK(B2087),"""",IF(ISDATE(B2087),TEXT(B2087,""yyyy""),""""))"),"")</f>
        <v/>
      </c>
    </row>
    <row r="2088">
      <c r="B2088" s="62"/>
      <c r="C2088" s="56"/>
      <c r="D2088" s="56"/>
      <c r="E2088" s="56"/>
      <c r="F2088" s="63"/>
      <c r="G2088" s="64"/>
      <c r="H2088" s="65"/>
      <c r="I2088" s="63"/>
      <c r="K2088" s="53" t="str">
        <f>IFERROR(__xludf.DUMMYFUNCTION("IF(ISBLANK(B2088),"""",IF(ISDATE(B2088),""X"",""""))"),"")</f>
        <v/>
      </c>
      <c r="L2088" s="40" t="str">
        <f>IFERROR(__xludf.DUMMYFUNCTION("IF(ISBLANK(B2088),"""",IF(Or(I2088=""Em Aberto"",ISBLANK(I2088),NOT(ISDATE(B2088))),"""",H2088))"),"")</f>
        <v/>
      </c>
      <c r="M2088" s="29" t="str">
        <f>IFERROR(__xludf.DUMMYFUNCTION("IF(ISBLANK(B2088),"""",IF(ISDATE(B2088),TEXT(B2088,""m""),""""))"),"")</f>
        <v/>
      </c>
      <c r="N2088" s="29" t="str">
        <f>IFERROR(__xludf.DUMMYFUNCTION("IF(M2088="""","""",QUERY({'Dashboard-Dados'!$Y$2:$AA$13},""Select Col2 Where Col1=""&amp;M2088))"),"")</f>
        <v/>
      </c>
      <c r="O2088" s="29" t="str">
        <f>IFERROR(__xludf.DUMMYFUNCTION("IF(ISBLANK(B2088),"""",IF(ISDATE(B2088),TEXT(B2088,""yyyy""),""""))"),"")</f>
        <v/>
      </c>
    </row>
    <row r="2089">
      <c r="B2089" s="62"/>
      <c r="C2089" s="56"/>
      <c r="D2089" s="56"/>
      <c r="E2089" s="56"/>
      <c r="F2089" s="63"/>
      <c r="G2089" s="64"/>
      <c r="H2089" s="65"/>
      <c r="I2089" s="63"/>
      <c r="K2089" s="53" t="str">
        <f>IFERROR(__xludf.DUMMYFUNCTION("IF(ISBLANK(B2089),"""",IF(ISDATE(B2089),""X"",""""))"),"")</f>
        <v/>
      </c>
      <c r="L2089" s="40" t="str">
        <f>IFERROR(__xludf.DUMMYFUNCTION("IF(ISBLANK(B2089),"""",IF(Or(I2089=""Em Aberto"",ISBLANK(I2089),NOT(ISDATE(B2089))),"""",H2089))"),"")</f>
        <v/>
      </c>
      <c r="M2089" s="29" t="str">
        <f>IFERROR(__xludf.DUMMYFUNCTION("IF(ISBLANK(B2089),"""",IF(ISDATE(B2089),TEXT(B2089,""m""),""""))"),"")</f>
        <v/>
      </c>
      <c r="N2089" s="29" t="str">
        <f>IFERROR(__xludf.DUMMYFUNCTION("IF(M2089="""","""",QUERY({'Dashboard-Dados'!$Y$2:$AA$13},""Select Col2 Where Col1=""&amp;M2089))"),"")</f>
        <v/>
      </c>
      <c r="O2089" s="29" t="str">
        <f>IFERROR(__xludf.DUMMYFUNCTION("IF(ISBLANK(B2089),"""",IF(ISDATE(B2089),TEXT(B2089,""yyyy""),""""))"),"")</f>
        <v/>
      </c>
    </row>
    <row r="2090">
      <c r="B2090" s="62"/>
      <c r="C2090" s="56"/>
      <c r="D2090" s="56"/>
      <c r="E2090" s="56"/>
      <c r="F2090" s="63"/>
      <c r="G2090" s="64"/>
      <c r="H2090" s="65"/>
      <c r="I2090" s="63"/>
      <c r="K2090" s="53" t="str">
        <f>IFERROR(__xludf.DUMMYFUNCTION("IF(ISBLANK(B2090),"""",IF(ISDATE(B2090),""X"",""""))"),"")</f>
        <v/>
      </c>
      <c r="L2090" s="40" t="str">
        <f>IFERROR(__xludf.DUMMYFUNCTION("IF(ISBLANK(B2090),"""",IF(Or(I2090=""Em Aberto"",ISBLANK(I2090),NOT(ISDATE(B2090))),"""",H2090))"),"")</f>
        <v/>
      </c>
      <c r="M2090" s="29" t="str">
        <f>IFERROR(__xludf.DUMMYFUNCTION("IF(ISBLANK(B2090),"""",IF(ISDATE(B2090),TEXT(B2090,""m""),""""))"),"")</f>
        <v/>
      </c>
      <c r="N2090" s="29" t="str">
        <f>IFERROR(__xludf.DUMMYFUNCTION("IF(M2090="""","""",QUERY({'Dashboard-Dados'!$Y$2:$AA$13},""Select Col2 Where Col1=""&amp;M2090))"),"")</f>
        <v/>
      </c>
      <c r="O2090" s="29" t="str">
        <f>IFERROR(__xludf.DUMMYFUNCTION("IF(ISBLANK(B2090),"""",IF(ISDATE(B2090),TEXT(B2090,""yyyy""),""""))"),"")</f>
        <v/>
      </c>
    </row>
    <row r="2091">
      <c r="B2091" s="62"/>
      <c r="C2091" s="56"/>
      <c r="D2091" s="56"/>
      <c r="E2091" s="56"/>
      <c r="F2091" s="63"/>
      <c r="G2091" s="64"/>
      <c r="H2091" s="65"/>
      <c r="I2091" s="63"/>
      <c r="K2091" s="53" t="str">
        <f>IFERROR(__xludf.DUMMYFUNCTION("IF(ISBLANK(B2091),"""",IF(ISDATE(B2091),""X"",""""))"),"")</f>
        <v/>
      </c>
      <c r="L2091" s="40" t="str">
        <f>IFERROR(__xludf.DUMMYFUNCTION("IF(ISBLANK(B2091),"""",IF(Or(I2091=""Em Aberto"",ISBLANK(I2091),NOT(ISDATE(B2091))),"""",H2091))"),"")</f>
        <v/>
      </c>
      <c r="M2091" s="29" t="str">
        <f>IFERROR(__xludf.DUMMYFUNCTION("IF(ISBLANK(B2091),"""",IF(ISDATE(B2091),TEXT(B2091,""m""),""""))"),"")</f>
        <v/>
      </c>
      <c r="N2091" s="29" t="str">
        <f>IFERROR(__xludf.DUMMYFUNCTION("IF(M2091="""","""",QUERY({'Dashboard-Dados'!$Y$2:$AA$13},""Select Col2 Where Col1=""&amp;M2091))"),"")</f>
        <v/>
      </c>
      <c r="O2091" s="29" t="str">
        <f>IFERROR(__xludf.DUMMYFUNCTION("IF(ISBLANK(B2091),"""",IF(ISDATE(B2091),TEXT(B2091,""yyyy""),""""))"),"")</f>
        <v/>
      </c>
    </row>
    <row r="2092">
      <c r="B2092" s="62"/>
      <c r="C2092" s="56"/>
      <c r="D2092" s="56"/>
      <c r="E2092" s="56"/>
      <c r="F2092" s="63"/>
      <c r="G2092" s="64"/>
      <c r="H2092" s="65"/>
      <c r="I2092" s="63"/>
      <c r="K2092" s="53" t="str">
        <f>IFERROR(__xludf.DUMMYFUNCTION("IF(ISBLANK(B2092),"""",IF(ISDATE(B2092),""X"",""""))"),"")</f>
        <v/>
      </c>
      <c r="L2092" s="40" t="str">
        <f>IFERROR(__xludf.DUMMYFUNCTION("IF(ISBLANK(B2092),"""",IF(Or(I2092=""Em Aberto"",ISBLANK(I2092),NOT(ISDATE(B2092))),"""",H2092))"),"")</f>
        <v/>
      </c>
      <c r="M2092" s="29" t="str">
        <f>IFERROR(__xludf.DUMMYFUNCTION("IF(ISBLANK(B2092),"""",IF(ISDATE(B2092),TEXT(B2092,""m""),""""))"),"")</f>
        <v/>
      </c>
      <c r="N2092" s="29" t="str">
        <f>IFERROR(__xludf.DUMMYFUNCTION("IF(M2092="""","""",QUERY({'Dashboard-Dados'!$Y$2:$AA$13},""Select Col2 Where Col1=""&amp;M2092))"),"")</f>
        <v/>
      </c>
      <c r="O2092" s="29" t="str">
        <f>IFERROR(__xludf.DUMMYFUNCTION("IF(ISBLANK(B2092),"""",IF(ISDATE(B2092),TEXT(B2092,""yyyy""),""""))"),"")</f>
        <v/>
      </c>
    </row>
    <row r="2093">
      <c r="B2093" s="62"/>
      <c r="C2093" s="56"/>
      <c r="D2093" s="56"/>
      <c r="E2093" s="56"/>
      <c r="F2093" s="63"/>
      <c r="G2093" s="64"/>
      <c r="H2093" s="65"/>
      <c r="I2093" s="63"/>
      <c r="K2093" s="53" t="str">
        <f>IFERROR(__xludf.DUMMYFUNCTION("IF(ISBLANK(B2093),"""",IF(ISDATE(B2093),""X"",""""))"),"")</f>
        <v/>
      </c>
      <c r="L2093" s="40" t="str">
        <f>IFERROR(__xludf.DUMMYFUNCTION("IF(ISBLANK(B2093),"""",IF(Or(I2093=""Em Aberto"",ISBLANK(I2093),NOT(ISDATE(B2093))),"""",H2093))"),"")</f>
        <v/>
      </c>
      <c r="M2093" s="29" t="str">
        <f>IFERROR(__xludf.DUMMYFUNCTION("IF(ISBLANK(B2093),"""",IF(ISDATE(B2093),TEXT(B2093,""m""),""""))"),"")</f>
        <v/>
      </c>
      <c r="N2093" s="29" t="str">
        <f>IFERROR(__xludf.DUMMYFUNCTION("IF(M2093="""","""",QUERY({'Dashboard-Dados'!$Y$2:$AA$13},""Select Col2 Where Col1=""&amp;M2093))"),"")</f>
        <v/>
      </c>
      <c r="O2093" s="29" t="str">
        <f>IFERROR(__xludf.DUMMYFUNCTION("IF(ISBLANK(B2093),"""",IF(ISDATE(B2093),TEXT(B2093,""yyyy""),""""))"),"")</f>
        <v/>
      </c>
    </row>
    <row r="2094">
      <c r="B2094" s="62"/>
      <c r="C2094" s="56"/>
      <c r="D2094" s="56"/>
      <c r="E2094" s="56"/>
      <c r="F2094" s="63"/>
      <c r="G2094" s="64"/>
      <c r="H2094" s="65"/>
      <c r="I2094" s="63"/>
      <c r="K2094" s="53" t="str">
        <f>IFERROR(__xludf.DUMMYFUNCTION("IF(ISBLANK(B2094),"""",IF(ISDATE(B2094),""X"",""""))"),"")</f>
        <v/>
      </c>
      <c r="L2094" s="40" t="str">
        <f>IFERROR(__xludf.DUMMYFUNCTION("IF(ISBLANK(B2094),"""",IF(Or(I2094=""Em Aberto"",ISBLANK(I2094),NOT(ISDATE(B2094))),"""",H2094))"),"")</f>
        <v/>
      </c>
      <c r="M2094" s="29" t="str">
        <f>IFERROR(__xludf.DUMMYFUNCTION("IF(ISBLANK(B2094),"""",IF(ISDATE(B2094),TEXT(B2094,""m""),""""))"),"")</f>
        <v/>
      </c>
      <c r="N2094" s="29" t="str">
        <f>IFERROR(__xludf.DUMMYFUNCTION("IF(M2094="""","""",QUERY({'Dashboard-Dados'!$Y$2:$AA$13},""Select Col2 Where Col1=""&amp;M2094))"),"")</f>
        <v/>
      </c>
      <c r="O2094" s="29" t="str">
        <f>IFERROR(__xludf.DUMMYFUNCTION("IF(ISBLANK(B2094),"""",IF(ISDATE(B2094),TEXT(B2094,""yyyy""),""""))"),"")</f>
        <v/>
      </c>
    </row>
    <row r="2095">
      <c r="B2095" s="62"/>
      <c r="C2095" s="56"/>
      <c r="D2095" s="56"/>
      <c r="E2095" s="56"/>
      <c r="F2095" s="63"/>
      <c r="G2095" s="64"/>
      <c r="H2095" s="65"/>
      <c r="I2095" s="63"/>
      <c r="K2095" s="53" t="str">
        <f>IFERROR(__xludf.DUMMYFUNCTION("IF(ISBLANK(B2095),"""",IF(ISDATE(B2095),""X"",""""))"),"")</f>
        <v/>
      </c>
      <c r="L2095" s="40" t="str">
        <f>IFERROR(__xludf.DUMMYFUNCTION("IF(ISBLANK(B2095),"""",IF(Or(I2095=""Em Aberto"",ISBLANK(I2095),NOT(ISDATE(B2095))),"""",H2095))"),"")</f>
        <v/>
      </c>
      <c r="M2095" s="29" t="str">
        <f>IFERROR(__xludf.DUMMYFUNCTION("IF(ISBLANK(B2095),"""",IF(ISDATE(B2095),TEXT(B2095,""m""),""""))"),"")</f>
        <v/>
      </c>
      <c r="N2095" s="29" t="str">
        <f>IFERROR(__xludf.DUMMYFUNCTION("IF(M2095="""","""",QUERY({'Dashboard-Dados'!$Y$2:$AA$13},""Select Col2 Where Col1=""&amp;M2095))"),"")</f>
        <v/>
      </c>
      <c r="O2095" s="29" t="str">
        <f>IFERROR(__xludf.DUMMYFUNCTION("IF(ISBLANK(B2095),"""",IF(ISDATE(B2095),TEXT(B2095,""yyyy""),""""))"),"")</f>
        <v/>
      </c>
    </row>
    <row r="2096">
      <c r="B2096" s="62"/>
      <c r="C2096" s="56"/>
      <c r="D2096" s="56"/>
      <c r="E2096" s="56"/>
      <c r="F2096" s="63"/>
      <c r="G2096" s="64"/>
      <c r="H2096" s="65"/>
      <c r="I2096" s="63"/>
      <c r="K2096" s="53" t="str">
        <f>IFERROR(__xludf.DUMMYFUNCTION("IF(ISBLANK(B2096),"""",IF(ISDATE(B2096),""X"",""""))"),"")</f>
        <v/>
      </c>
      <c r="L2096" s="40" t="str">
        <f>IFERROR(__xludf.DUMMYFUNCTION("IF(ISBLANK(B2096),"""",IF(Or(I2096=""Em Aberto"",ISBLANK(I2096),NOT(ISDATE(B2096))),"""",H2096))"),"")</f>
        <v/>
      </c>
      <c r="M2096" s="29" t="str">
        <f>IFERROR(__xludf.DUMMYFUNCTION("IF(ISBLANK(B2096),"""",IF(ISDATE(B2096),TEXT(B2096,""m""),""""))"),"")</f>
        <v/>
      </c>
      <c r="N2096" s="29" t="str">
        <f>IFERROR(__xludf.DUMMYFUNCTION("IF(M2096="""","""",QUERY({'Dashboard-Dados'!$Y$2:$AA$13},""Select Col2 Where Col1=""&amp;M2096))"),"")</f>
        <v/>
      </c>
      <c r="O2096" s="29" t="str">
        <f>IFERROR(__xludf.DUMMYFUNCTION("IF(ISBLANK(B2096),"""",IF(ISDATE(B2096),TEXT(B2096,""yyyy""),""""))"),"")</f>
        <v/>
      </c>
    </row>
    <row r="2097">
      <c r="B2097" s="62"/>
      <c r="C2097" s="56"/>
      <c r="D2097" s="56"/>
      <c r="E2097" s="56"/>
      <c r="F2097" s="63"/>
      <c r="G2097" s="64"/>
      <c r="H2097" s="65"/>
      <c r="I2097" s="63"/>
      <c r="K2097" s="53" t="str">
        <f>IFERROR(__xludf.DUMMYFUNCTION("IF(ISBLANK(B2097),"""",IF(ISDATE(B2097),""X"",""""))"),"")</f>
        <v/>
      </c>
      <c r="L2097" s="40" t="str">
        <f>IFERROR(__xludf.DUMMYFUNCTION("IF(ISBLANK(B2097),"""",IF(Or(I2097=""Em Aberto"",ISBLANK(I2097),NOT(ISDATE(B2097))),"""",H2097))"),"")</f>
        <v/>
      </c>
      <c r="M2097" s="29" t="str">
        <f>IFERROR(__xludf.DUMMYFUNCTION("IF(ISBLANK(B2097),"""",IF(ISDATE(B2097),TEXT(B2097,""m""),""""))"),"")</f>
        <v/>
      </c>
      <c r="N2097" s="29" t="str">
        <f>IFERROR(__xludf.DUMMYFUNCTION("IF(M2097="""","""",QUERY({'Dashboard-Dados'!$Y$2:$AA$13},""Select Col2 Where Col1=""&amp;M2097))"),"")</f>
        <v/>
      </c>
      <c r="O2097" s="29" t="str">
        <f>IFERROR(__xludf.DUMMYFUNCTION("IF(ISBLANK(B2097),"""",IF(ISDATE(B2097),TEXT(B2097,""yyyy""),""""))"),"")</f>
        <v/>
      </c>
    </row>
    <row r="2098">
      <c r="B2098" s="62"/>
      <c r="C2098" s="56"/>
      <c r="D2098" s="56"/>
      <c r="E2098" s="56"/>
      <c r="F2098" s="63"/>
      <c r="G2098" s="64"/>
      <c r="H2098" s="65"/>
      <c r="I2098" s="63"/>
      <c r="K2098" s="53" t="str">
        <f>IFERROR(__xludf.DUMMYFUNCTION("IF(ISBLANK(B2098),"""",IF(ISDATE(B2098),""X"",""""))"),"")</f>
        <v/>
      </c>
      <c r="L2098" s="40" t="str">
        <f>IFERROR(__xludf.DUMMYFUNCTION("IF(ISBLANK(B2098),"""",IF(Or(I2098=""Em Aberto"",ISBLANK(I2098),NOT(ISDATE(B2098))),"""",H2098))"),"")</f>
        <v/>
      </c>
      <c r="M2098" s="29" t="str">
        <f>IFERROR(__xludf.DUMMYFUNCTION("IF(ISBLANK(B2098),"""",IF(ISDATE(B2098),TEXT(B2098,""m""),""""))"),"")</f>
        <v/>
      </c>
      <c r="N2098" s="29" t="str">
        <f>IFERROR(__xludf.DUMMYFUNCTION("IF(M2098="""","""",QUERY({'Dashboard-Dados'!$Y$2:$AA$13},""Select Col2 Where Col1=""&amp;M2098))"),"")</f>
        <v/>
      </c>
      <c r="O2098" s="29" t="str">
        <f>IFERROR(__xludf.DUMMYFUNCTION("IF(ISBLANK(B2098),"""",IF(ISDATE(B2098),TEXT(B2098,""yyyy""),""""))"),"")</f>
        <v/>
      </c>
    </row>
    <row r="2099">
      <c r="B2099" s="62"/>
      <c r="C2099" s="56"/>
      <c r="D2099" s="56"/>
      <c r="E2099" s="56"/>
      <c r="F2099" s="63"/>
      <c r="G2099" s="64"/>
      <c r="H2099" s="65"/>
      <c r="I2099" s="63"/>
      <c r="K2099" s="53" t="str">
        <f>IFERROR(__xludf.DUMMYFUNCTION("IF(ISBLANK(B2099),"""",IF(ISDATE(B2099),""X"",""""))"),"")</f>
        <v/>
      </c>
      <c r="L2099" s="40" t="str">
        <f>IFERROR(__xludf.DUMMYFUNCTION("IF(ISBLANK(B2099),"""",IF(Or(I2099=""Em Aberto"",ISBLANK(I2099),NOT(ISDATE(B2099))),"""",H2099))"),"")</f>
        <v/>
      </c>
      <c r="M2099" s="29" t="str">
        <f>IFERROR(__xludf.DUMMYFUNCTION("IF(ISBLANK(B2099),"""",IF(ISDATE(B2099),TEXT(B2099,""m""),""""))"),"")</f>
        <v/>
      </c>
      <c r="N2099" s="29" t="str">
        <f>IFERROR(__xludf.DUMMYFUNCTION("IF(M2099="""","""",QUERY({'Dashboard-Dados'!$Y$2:$AA$13},""Select Col2 Where Col1=""&amp;M2099))"),"")</f>
        <v/>
      </c>
      <c r="O2099" s="29" t="str">
        <f>IFERROR(__xludf.DUMMYFUNCTION("IF(ISBLANK(B2099),"""",IF(ISDATE(B2099),TEXT(B2099,""yyyy""),""""))"),"")</f>
        <v/>
      </c>
    </row>
    <row r="2100">
      <c r="B2100" s="62"/>
      <c r="C2100" s="56"/>
      <c r="D2100" s="56"/>
      <c r="E2100" s="56"/>
      <c r="F2100" s="63"/>
      <c r="G2100" s="64"/>
      <c r="H2100" s="65"/>
      <c r="I2100" s="63"/>
      <c r="K2100" s="53" t="str">
        <f>IFERROR(__xludf.DUMMYFUNCTION("IF(ISBLANK(B2100),"""",IF(ISDATE(B2100),""X"",""""))"),"")</f>
        <v/>
      </c>
      <c r="L2100" s="40" t="str">
        <f>IFERROR(__xludf.DUMMYFUNCTION("IF(ISBLANK(B2100),"""",IF(Or(I2100=""Em Aberto"",ISBLANK(I2100),NOT(ISDATE(B2100))),"""",H2100))"),"")</f>
        <v/>
      </c>
      <c r="M2100" s="29" t="str">
        <f>IFERROR(__xludf.DUMMYFUNCTION("IF(ISBLANK(B2100),"""",IF(ISDATE(B2100),TEXT(B2100,""m""),""""))"),"")</f>
        <v/>
      </c>
      <c r="N2100" s="29" t="str">
        <f>IFERROR(__xludf.DUMMYFUNCTION("IF(M2100="""","""",QUERY({'Dashboard-Dados'!$Y$2:$AA$13},""Select Col2 Where Col1=""&amp;M2100))"),"")</f>
        <v/>
      </c>
      <c r="O2100" s="29" t="str">
        <f>IFERROR(__xludf.DUMMYFUNCTION("IF(ISBLANK(B2100),"""",IF(ISDATE(B2100),TEXT(B2100,""yyyy""),""""))"),"")</f>
        <v/>
      </c>
    </row>
    <row r="2101">
      <c r="B2101" s="62"/>
      <c r="C2101" s="56"/>
      <c r="D2101" s="56"/>
      <c r="E2101" s="56"/>
      <c r="F2101" s="63"/>
      <c r="G2101" s="64"/>
      <c r="H2101" s="65"/>
      <c r="I2101" s="63"/>
      <c r="K2101" s="53" t="str">
        <f>IFERROR(__xludf.DUMMYFUNCTION("IF(ISBLANK(B2101),"""",IF(ISDATE(B2101),""X"",""""))"),"")</f>
        <v/>
      </c>
      <c r="L2101" s="40" t="str">
        <f>IFERROR(__xludf.DUMMYFUNCTION("IF(ISBLANK(B2101),"""",IF(Or(I2101=""Em Aberto"",ISBLANK(I2101),NOT(ISDATE(B2101))),"""",H2101))"),"")</f>
        <v/>
      </c>
      <c r="M2101" s="29" t="str">
        <f>IFERROR(__xludf.DUMMYFUNCTION("IF(ISBLANK(B2101),"""",IF(ISDATE(B2101),TEXT(B2101,""m""),""""))"),"")</f>
        <v/>
      </c>
      <c r="N2101" s="29" t="str">
        <f>IFERROR(__xludf.DUMMYFUNCTION("IF(M2101="""","""",QUERY({'Dashboard-Dados'!$Y$2:$AA$13},""Select Col2 Where Col1=""&amp;M2101))"),"")</f>
        <v/>
      </c>
      <c r="O2101" s="29" t="str">
        <f>IFERROR(__xludf.DUMMYFUNCTION("IF(ISBLANK(B2101),"""",IF(ISDATE(B2101),TEXT(B2101,""yyyy""),""""))"),"")</f>
        <v/>
      </c>
    </row>
    <row r="2102">
      <c r="B2102" s="62"/>
      <c r="C2102" s="56"/>
      <c r="D2102" s="56"/>
      <c r="E2102" s="56"/>
      <c r="F2102" s="63"/>
      <c r="G2102" s="64"/>
      <c r="H2102" s="65"/>
      <c r="I2102" s="63"/>
      <c r="K2102" s="53" t="str">
        <f>IFERROR(__xludf.DUMMYFUNCTION("IF(ISBLANK(B2102),"""",IF(ISDATE(B2102),""X"",""""))"),"")</f>
        <v/>
      </c>
      <c r="L2102" s="40" t="str">
        <f>IFERROR(__xludf.DUMMYFUNCTION("IF(ISBLANK(B2102),"""",IF(Or(I2102=""Em Aberto"",ISBLANK(I2102),NOT(ISDATE(B2102))),"""",H2102))"),"")</f>
        <v/>
      </c>
      <c r="M2102" s="29" t="str">
        <f>IFERROR(__xludf.DUMMYFUNCTION("IF(ISBLANK(B2102),"""",IF(ISDATE(B2102),TEXT(B2102,""m""),""""))"),"")</f>
        <v/>
      </c>
      <c r="N2102" s="29" t="str">
        <f>IFERROR(__xludf.DUMMYFUNCTION("IF(M2102="""","""",QUERY({'Dashboard-Dados'!$Y$2:$AA$13},""Select Col2 Where Col1=""&amp;M2102))"),"")</f>
        <v/>
      </c>
      <c r="O2102" s="29" t="str">
        <f>IFERROR(__xludf.DUMMYFUNCTION("IF(ISBLANK(B2102),"""",IF(ISDATE(B2102),TEXT(B2102,""yyyy""),""""))"),"")</f>
        <v/>
      </c>
    </row>
    <row r="2103">
      <c r="B2103" s="62"/>
      <c r="C2103" s="56"/>
      <c r="D2103" s="56"/>
      <c r="E2103" s="56"/>
      <c r="F2103" s="63"/>
      <c r="G2103" s="64"/>
      <c r="H2103" s="65"/>
      <c r="I2103" s="63"/>
      <c r="K2103" s="53" t="str">
        <f>IFERROR(__xludf.DUMMYFUNCTION("IF(ISBLANK(B2103),"""",IF(ISDATE(B2103),""X"",""""))"),"")</f>
        <v/>
      </c>
      <c r="L2103" s="40" t="str">
        <f>IFERROR(__xludf.DUMMYFUNCTION("IF(ISBLANK(B2103),"""",IF(Or(I2103=""Em Aberto"",ISBLANK(I2103),NOT(ISDATE(B2103))),"""",H2103))"),"")</f>
        <v/>
      </c>
      <c r="M2103" s="29" t="str">
        <f>IFERROR(__xludf.DUMMYFUNCTION("IF(ISBLANK(B2103),"""",IF(ISDATE(B2103),TEXT(B2103,""m""),""""))"),"")</f>
        <v/>
      </c>
      <c r="N2103" s="29" t="str">
        <f>IFERROR(__xludf.DUMMYFUNCTION("IF(M2103="""","""",QUERY({'Dashboard-Dados'!$Y$2:$AA$13},""Select Col2 Where Col1=""&amp;M2103))"),"")</f>
        <v/>
      </c>
      <c r="O2103" s="29" t="str">
        <f>IFERROR(__xludf.DUMMYFUNCTION("IF(ISBLANK(B2103),"""",IF(ISDATE(B2103),TEXT(B2103,""yyyy""),""""))"),"")</f>
        <v/>
      </c>
    </row>
    <row r="2104">
      <c r="B2104" s="62"/>
      <c r="C2104" s="56"/>
      <c r="D2104" s="56"/>
      <c r="E2104" s="56"/>
      <c r="F2104" s="63"/>
      <c r="G2104" s="64"/>
      <c r="H2104" s="65"/>
      <c r="I2104" s="63"/>
      <c r="K2104" s="53" t="str">
        <f>IFERROR(__xludf.DUMMYFUNCTION("IF(ISBLANK(B2104),"""",IF(ISDATE(B2104),""X"",""""))"),"")</f>
        <v/>
      </c>
      <c r="L2104" s="40" t="str">
        <f>IFERROR(__xludf.DUMMYFUNCTION("IF(ISBLANK(B2104),"""",IF(Or(I2104=""Em Aberto"",ISBLANK(I2104),NOT(ISDATE(B2104))),"""",H2104))"),"")</f>
        <v/>
      </c>
      <c r="M2104" s="29" t="str">
        <f>IFERROR(__xludf.DUMMYFUNCTION("IF(ISBLANK(B2104),"""",IF(ISDATE(B2104),TEXT(B2104,""m""),""""))"),"")</f>
        <v/>
      </c>
      <c r="N2104" s="29" t="str">
        <f>IFERROR(__xludf.DUMMYFUNCTION("IF(M2104="""","""",QUERY({'Dashboard-Dados'!$Y$2:$AA$13},""Select Col2 Where Col1=""&amp;M2104))"),"")</f>
        <v/>
      </c>
      <c r="O2104" s="29" t="str">
        <f>IFERROR(__xludf.DUMMYFUNCTION("IF(ISBLANK(B2104),"""",IF(ISDATE(B2104),TEXT(B2104,""yyyy""),""""))"),"")</f>
        <v/>
      </c>
    </row>
    <row r="2105">
      <c r="B2105" s="62"/>
      <c r="C2105" s="56"/>
      <c r="D2105" s="56"/>
      <c r="E2105" s="56"/>
      <c r="F2105" s="63"/>
      <c r="G2105" s="64"/>
      <c r="H2105" s="65"/>
      <c r="I2105" s="63"/>
      <c r="K2105" s="53" t="str">
        <f>IFERROR(__xludf.DUMMYFUNCTION("IF(ISBLANK(B2105),"""",IF(ISDATE(B2105),""X"",""""))"),"")</f>
        <v/>
      </c>
      <c r="L2105" s="40" t="str">
        <f>IFERROR(__xludf.DUMMYFUNCTION("IF(ISBLANK(B2105),"""",IF(Or(I2105=""Em Aberto"",ISBLANK(I2105),NOT(ISDATE(B2105))),"""",H2105))"),"")</f>
        <v/>
      </c>
      <c r="M2105" s="29" t="str">
        <f>IFERROR(__xludf.DUMMYFUNCTION("IF(ISBLANK(B2105),"""",IF(ISDATE(B2105),TEXT(B2105,""m""),""""))"),"")</f>
        <v/>
      </c>
      <c r="N2105" s="29" t="str">
        <f>IFERROR(__xludf.DUMMYFUNCTION("IF(M2105="""","""",QUERY({'Dashboard-Dados'!$Y$2:$AA$13},""Select Col2 Where Col1=""&amp;M2105))"),"")</f>
        <v/>
      </c>
      <c r="O2105" s="29" t="str">
        <f>IFERROR(__xludf.DUMMYFUNCTION("IF(ISBLANK(B2105),"""",IF(ISDATE(B2105),TEXT(B2105,""yyyy""),""""))"),"")</f>
        <v/>
      </c>
    </row>
    <row r="2106">
      <c r="B2106" s="62"/>
      <c r="C2106" s="56"/>
      <c r="D2106" s="56"/>
      <c r="E2106" s="56"/>
      <c r="F2106" s="63"/>
      <c r="G2106" s="64"/>
      <c r="H2106" s="65"/>
      <c r="I2106" s="63"/>
      <c r="K2106" s="53" t="str">
        <f>IFERROR(__xludf.DUMMYFUNCTION("IF(ISBLANK(B2106),"""",IF(ISDATE(B2106),""X"",""""))"),"")</f>
        <v/>
      </c>
      <c r="L2106" s="40" t="str">
        <f>IFERROR(__xludf.DUMMYFUNCTION("IF(ISBLANK(B2106),"""",IF(Or(I2106=""Em Aberto"",ISBLANK(I2106),NOT(ISDATE(B2106))),"""",H2106))"),"")</f>
        <v/>
      </c>
      <c r="M2106" s="29" t="str">
        <f>IFERROR(__xludf.DUMMYFUNCTION("IF(ISBLANK(B2106),"""",IF(ISDATE(B2106),TEXT(B2106,""m""),""""))"),"")</f>
        <v/>
      </c>
      <c r="N2106" s="29" t="str">
        <f>IFERROR(__xludf.DUMMYFUNCTION("IF(M2106="""","""",QUERY({'Dashboard-Dados'!$Y$2:$AA$13},""Select Col2 Where Col1=""&amp;M2106))"),"")</f>
        <v/>
      </c>
      <c r="O2106" s="29" t="str">
        <f>IFERROR(__xludf.DUMMYFUNCTION("IF(ISBLANK(B2106),"""",IF(ISDATE(B2106),TEXT(B2106,""yyyy""),""""))"),"")</f>
        <v/>
      </c>
    </row>
    <row r="2107">
      <c r="B2107" s="62"/>
      <c r="C2107" s="56"/>
      <c r="D2107" s="56"/>
      <c r="E2107" s="56"/>
      <c r="F2107" s="63"/>
      <c r="G2107" s="64"/>
      <c r="H2107" s="65"/>
      <c r="I2107" s="63"/>
      <c r="K2107" s="53" t="str">
        <f>IFERROR(__xludf.DUMMYFUNCTION("IF(ISBLANK(B2107),"""",IF(ISDATE(B2107),""X"",""""))"),"")</f>
        <v/>
      </c>
      <c r="L2107" s="40" t="str">
        <f>IFERROR(__xludf.DUMMYFUNCTION("IF(ISBLANK(B2107),"""",IF(Or(I2107=""Em Aberto"",ISBLANK(I2107),NOT(ISDATE(B2107))),"""",H2107))"),"")</f>
        <v/>
      </c>
      <c r="M2107" s="29" t="str">
        <f>IFERROR(__xludf.DUMMYFUNCTION("IF(ISBLANK(B2107),"""",IF(ISDATE(B2107),TEXT(B2107,""m""),""""))"),"")</f>
        <v/>
      </c>
      <c r="N2107" s="29" t="str">
        <f>IFERROR(__xludf.DUMMYFUNCTION("IF(M2107="""","""",QUERY({'Dashboard-Dados'!$Y$2:$AA$13},""Select Col2 Where Col1=""&amp;M2107))"),"")</f>
        <v/>
      </c>
      <c r="O2107" s="29" t="str">
        <f>IFERROR(__xludf.DUMMYFUNCTION("IF(ISBLANK(B2107),"""",IF(ISDATE(B2107),TEXT(B2107,""yyyy""),""""))"),"")</f>
        <v/>
      </c>
    </row>
    <row r="2108">
      <c r="B2108" s="62"/>
      <c r="C2108" s="56"/>
      <c r="D2108" s="56"/>
      <c r="E2108" s="56"/>
      <c r="F2108" s="63"/>
      <c r="G2108" s="64"/>
      <c r="H2108" s="65"/>
      <c r="I2108" s="63"/>
      <c r="K2108" s="53" t="str">
        <f>IFERROR(__xludf.DUMMYFUNCTION("IF(ISBLANK(B2108),"""",IF(ISDATE(B2108),""X"",""""))"),"")</f>
        <v/>
      </c>
      <c r="L2108" s="40" t="str">
        <f>IFERROR(__xludf.DUMMYFUNCTION("IF(ISBLANK(B2108),"""",IF(Or(I2108=""Em Aberto"",ISBLANK(I2108),NOT(ISDATE(B2108))),"""",H2108))"),"")</f>
        <v/>
      </c>
      <c r="M2108" s="29" t="str">
        <f>IFERROR(__xludf.DUMMYFUNCTION("IF(ISBLANK(B2108),"""",IF(ISDATE(B2108),TEXT(B2108,""m""),""""))"),"")</f>
        <v/>
      </c>
      <c r="N2108" s="29" t="str">
        <f>IFERROR(__xludf.DUMMYFUNCTION("IF(M2108="""","""",QUERY({'Dashboard-Dados'!$Y$2:$AA$13},""Select Col2 Where Col1=""&amp;M2108))"),"")</f>
        <v/>
      </c>
      <c r="O2108" s="29" t="str">
        <f>IFERROR(__xludf.DUMMYFUNCTION("IF(ISBLANK(B2108),"""",IF(ISDATE(B2108),TEXT(B2108,""yyyy""),""""))"),"")</f>
        <v/>
      </c>
    </row>
    <row r="2109">
      <c r="B2109" s="62"/>
      <c r="C2109" s="56"/>
      <c r="D2109" s="56"/>
      <c r="E2109" s="56"/>
      <c r="F2109" s="63"/>
      <c r="G2109" s="64"/>
      <c r="H2109" s="65"/>
      <c r="I2109" s="63"/>
      <c r="K2109" s="53" t="str">
        <f>IFERROR(__xludf.DUMMYFUNCTION("IF(ISBLANK(B2109),"""",IF(ISDATE(B2109),""X"",""""))"),"")</f>
        <v/>
      </c>
      <c r="L2109" s="40" t="str">
        <f>IFERROR(__xludf.DUMMYFUNCTION("IF(ISBLANK(B2109),"""",IF(Or(I2109=""Em Aberto"",ISBLANK(I2109),NOT(ISDATE(B2109))),"""",H2109))"),"")</f>
        <v/>
      </c>
      <c r="M2109" s="29" t="str">
        <f>IFERROR(__xludf.DUMMYFUNCTION("IF(ISBLANK(B2109),"""",IF(ISDATE(B2109),TEXT(B2109,""m""),""""))"),"")</f>
        <v/>
      </c>
      <c r="N2109" s="29" t="str">
        <f>IFERROR(__xludf.DUMMYFUNCTION("IF(M2109="""","""",QUERY({'Dashboard-Dados'!$Y$2:$AA$13},""Select Col2 Where Col1=""&amp;M2109))"),"")</f>
        <v/>
      </c>
      <c r="O2109" s="29" t="str">
        <f>IFERROR(__xludf.DUMMYFUNCTION("IF(ISBLANK(B2109),"""",IF(ISDATE(B2109),TEXT(B2109,""yyyy""),""""))"),"")</f>
        <v/>
      </c>
    </row>
    <row r="2110">
      <c r="B2110" s="62"/>
      <c r="C2110" s="56"/>
      <c r="D2110" s="56"/>
      <c r="E2110" s="56"/>
      <c r="F2110" s="63"/>
      <c r="G2110" s="64"/>
      <c r="H2110" s="65"/>
      <c r="I2110" s="63"/>
      <c r="K2110" s="53" t="str">
        <f>IFERROR(__xludf.DUMMYFUNCTION("IF(ISBLANK(B2110),"""",IF(ISDATE(B2110),""X"",""""))"),"")</f>
        <v/>
      </c>
      <c r="L2110" s="40" t="str">
        <f>IFERROR(__xludf.DUMMYFUNCTION("IF(ISBLANK(B2110),"""",IF(Or(I2110=""Em Aberto"",ISBLANK(I2110),NOT(ISDATE(B2110))),"""",H2110))"),"")</f>
        <v/>
      </c>
      <c r="M2110" s="29" t="str">
        <f>IFERROR(__xludf.DUMMYFUNCTION("IF(ISBLANK(B2110),"""",IF(ISDATE(B2110),TEXT(B2110,""m""),""""))"),"")</f>
        <v/>
      </c>
      <c r="N2110" s="29" t="str">
        <f>IFERROR(__xludf.DUMMYFUNCTION("IF(M2110="""","""",QUERY({'Dashboard-Dados'!$Y$2:$AA$13},""Select Col2 Where Col1=""&amp;M2110))"),"")</f>
        <v/>
      </c>
      <c r="O2110" s="29" t="str">
        <f>IFERROR(__xludf.DUMMYFUNCTION("IF(ISBLANK(B2110),"""",IF(ISDATE(B2110),TEXT(B2110,""yyyy""),""""))"),"")</f>
        <v/>
      </c>
    </row>
    <row r="2111">
      <c r="B2111" s="62"/>
      <c r="C2111" s="56"/>
      <c r="D2111" s="56"/>
      <c r="E2111" s="56"/>
      <c r="F2111" s="63"/>
      <c r="G2111" s="64"/>
      <c r="H2111" s="65"/>
      <c r="I2111" s="63"/>
      <c r="K2111" s="53" t="str">
        <f>IFERROR(__xludf.DUMMYFUNCTION("IF(ISBLANK(B2111),"""",IF(ISDATE(B2111),""X"",""""))"),"")</f>
        <v/>
      </c>
      <c r="L2111" s="40" t="str">
        <f>IFERROR(__xludf.DUMMYFUNCTION("IF(ISBLANK(B2111),"""",IF(Or(I2111=""Em Aberto"",ISBLANK(I2111),NOT(ISDATE(B2111))),"""",H2111))"),"")</f>
        <v/>
      </c>
      <c r="M2111" s="29" t="str">
        <f>IFERROR(__xludf.DUMMYFUNCTION("IF(ISBLANK(B2111),"""",IF(ISDATE(B2111),TEXT(B2111,""m""),""""))"),"")</f>
        <v/>
      </c>
      <c r="N2111" s="29" t="str">
        <f>IFERROR(__xludf.DUMMYFUNCTION("IF(M2111="""","""",QUERY({'Dashboard-Dados'!$Y$2:$AA$13},""Select Col2 Where Col1=""&amp;M2111))"),"")</f>
        <v/>
      </c>
      <c r="O2111" s="29" t="str">
        <f>IFERROR(__xludf.DUMMYFUNCTION("IF(ISBLANK(B2111),"""",IF(ISDATE(B2111),TEXT(B2111,""yyyy""),""""))"),"")</f>
        <v/>
      </c>
    </row>
    <row r="2112">
      <c r="B2112" s="62"/>
      <c r="C2112" s="56"/>
      <c r="D2112" s="56"/>
      <c r="E2112" s="56"/>
      <c r="F2112" s="63"/>
      <c r="G2112" s="64"/>
      <c r="H2112" s="65"/>
      <c r="I2112" s="63"/>
      <c r="K2112" s="53" t="str">
        <f>IFERROR(__xludf.DUMMYFUNCTION("IF(ISBLANK(B2112),"""",IF(ISDATE(B2112),""X"",""""))"),"")</f>
        <v/>
      </c>
      <c r="L2112" s="40" t="str">
        <f>IFERROR(__xludf.DUMMYFUNCTION("IF(ISBLANK(B2112),"""",IF(Or(I2112=""Em Aberto"",ISBLANK(I2112),NOT(ISDATE(B2112))),"""",H2112))"),"")</f>
        <v/>
      </c>
      <c r="M2112" s="29" t="str">
        <f>IFERROR(__xludf.DUMMYFUNCTION("IF(ISBLANK(B2112),"""",IF(ISDATE(B2112),TEXT(B2112,""m""),""""))"),"")</f>
        <v/>
      </c>
      <c r="N2112" s="29" t="str">
        <f>IFERROR(__xludf.DUMMYFUNCTION("IF(M2112="""","""",QUERY({'Dashboard-Dados'!$Y$2:$AA$13},""Select Col2 Where Col1=""&amp;M2112))"),"")</f>
        <v/>
      </c>
      <c r="O2112" s="29" t="str">
        <f>IFERROR(__xludf.DUMMYFUNCTION("IF(ISBLANK(B2112),"""",IF(ISDATE(B2112),TEXT(B2112,""yyyy""),""""))"),"")</f>
        <v/>
      </c>
    </row>
    <row r="2113">
      <c r="B2113" s="62"/>
      <c r="C2113" s="56"/>
      <c r="D2113" s="56"/>
      <c r="E2113" s="56"/>
      <c r="F2113" s="63"/>
      <c r="G2113" s="64"/>
      <c r="H2113" s="65"/>
      <c r="I2113" s="63"/>
      <c r="K2113" s="53" t="str">
        <f>IFERROR(__xludf.DUMMYFUNCTION("IF(ISBLANK(B2113),"""",IF(ISDATE(B2113),""X"",""""))"),"")</f>
        <v/>
      </c>
      <c r="L2113" s="40" t="str">
        <f>IFERROR(__xludf.DUMMYFUNCTION("IF(ISBLANK(B2113),"""",IF(Or(I2113=""Em Aberto"",ISBLANK(I2113),NOT(ISDATE(B2113))),"""",H2113))"),"")</f>
        <v/>
      </c>
      <c r="M2113" s="29" t="str">
        <f>IFERROR(__xludf.DUMMYFUNCTION("IF(ISBLANK(B2113),"""",IF(ISDATE(B2113),TEXT(B2113,""m""),""""))"),"")</f>
        <v/>
      </c>
      <c r="N2113" s="29" t="str">
        <f>IFERROR(__xludf.DUMMYFUNCTION("IF(M2113="""","""",QUERY({'Dashboard-Dados'!$Y$2:$AA$13},""Select Col2 Where Col1=""&amp;M2113))"),"")</f>
        <v/>
      </c>
      <c r="O2113" s="29" t="str">
        <f>IFERROR(__xludf.DUMMYFUNCTION("IF(ISBLANK(B2113),"""",IF(ISDATE(B2113),TEXT(B2113,""yyyy""),""""))"),"")</f>
        <v/>
      </c>
    </row>
    <row r="2114">
      <c r="B2114" s="62"/>
      <c r="C2114" s="56"/>
      <c r="D2114" s="56"/>
      <c r="E2114" s="56"/>
      <c r="F2114" s="63"/>
      <c r="G2114" s="64"/>
      <c r="H2114" s="65"/>
      <c r="I2114" s="63"/>
      <c r="K2114" s="53" t="str">
        <f>IFERROR(__xludf.DUMMYFUNCTION("IF(ISBLANK(B2114),"""",IF(ISDATE(B2114),""X"",""""))"),"")</f>
        <v/>
      </c>
      <c r="L2114" s="40" t="str">
        <f>IFERROR(__xludf.DUMMYFUNCTION("IF(ISBLANK(B2114),"""",IF(Or(I2114=""Em Aberto"",ISBLANK(I2114),NOT(ISDATE(B2114))),"""",H2114))"),"")</f>
        <v/>
      </c>
      <c r="M2114" s="29" t="str">
        <f>IFERROR(__xludf.DUMMYFUNCTION("IF(ISBLANK(B2114),"""",IF(ISDATE(B2114),TEXT(B2114,""m""),""""))"),"")</f>
        <v/>
      </c>
      <c r="N2114" s="29" t="str">
        <f>IFERROR(__xludf.DUMMYFUNCTION("IF(M2114="""","""",QUERY({'Dashboard-Dados'!$Y$2:$AA$13},""Select Col2 Where Col1=""&amp;M2114))"),"")</f>
        <v/>
      </c>
      <c r="O2114" s="29" t="str">
        <f>IFERROR(__xludf.DUMMYFUNCTION("IF(ISBLANK(B2114),"""",IF(ISDATE(B2114),TEXT(B2114,""yyyy""),""""))"),"")</f>
        <v/>
      </c>
    </row>
    <row r="2115">
      <c r="B2115" s="62"/>
      <c r="C2115" s="56"/>
      <c r="D2115" s="56"/>
      <c r="E2115" s="56"/>
      <c r="F2115" s="63"/>
      <c r="G2115" s="64"/>
      <c r="H2115" s="65"/>
      <c r="I2115" s="63"/>
      <c r="K2115" s="53" t="str">
        <f>IFERROR(__xludf.DUMMYFUNCTION("IF(ISBLANK(B2115),"""",IF(ISDATE(B2115),""X"",""""))"),"")</f>
        <v/>
      </c>
      <c r="L2115" s="40" t="str">
        <f>IFERROR(__xludf.DUMMYFUNCTION("IF(ISBLANK(B2115),"""",IF(Or(I2115=""Em Aberto"",ISBLANK(I2115),NOT(ISDATE(B2115))),"""",H2115))"),"")</f>
        <v/>
      </c>
      <c r="M2115" s="29" t="str">
        <f>IFERROR(__xludf.DUMMYFUNCTION("IF(ISBLANK(B2115),"""",IF(ISDATE(B2115),TEXT(B2115,""m""),""""))"),"")</f>
        <v/>
      </c>
      <c r="N2115" s="29" t="str">
        <f>IFERROR(__xludf.DUMMYFUNCTION("IF(M2115="""","""",QUERY({'Dashboard-Dados'!$Y$2:$AA$13},""Select Col2 Where Col1=""&amp;M2115))"),"")</f>
        <v/>
      </c>
      <c r="O2115" s="29" t="str">
        <f>IFERROR(__xludf.DUMMYFUNCTION("IF(ISBLANK(B2115),"""",IF(ISDATE(B2115),TEXT(B2115,""yyyy""),""""))"),"")</f>
        <v/>
      </c>
    </row>
    <row r="2116">
      <c r="B2116" s="62"/>
      <c r="C2116" s="56"/>
      <c r="D2116" s="56"/>
      <c r="E2116" s="56"/>
      <c r="F2116" s="63"/>
      <c r="G2116" s="64"/>
      <c r="H2116" s="65"/>
      <c r="I2116" s="63"/>
      <c r="K2116" s="53" t="str">
        <f>IFERROR(__xludf.DUMMYFUNCTION("IF(ISBLANK(B2116),"""",IF(ISDATE(B2116),""X"",""""))"),"")</f>
        <v/>
      </c>
      <c r="L2116" s="40" t="str">
        <f>IFERROR(__xludf.DUMMYFUNCTION("IF(ISBLANK(B2116),"""",IF(Or(I2116=""Em Aberto"",ISBLANK(I2116),NOT(ISDATE(B2116))),"""",H2116))"),"")</f>
        <v/>
      </c>
      <c r="M2116" s="29" t="str">
        <f>IFERROR(__xludf.DUMMYFUNCTION("IF(ISBLANK(B2116),"""",IF(ISDATE(B2116),TEXT(B2116,""m""),""""))"),"")</f>
        <v/>
      </c>
      <c r="N2116" s="29" t="str">
        <f>IFERROR(__xludf.DUMMYFUNCTION("IF(M2116="""","""",QUERY({'Dashboard-Dados'!$Y$2:$AA$13},""Select Col2 Where Col1=""&amp;M2116))"),"")</f>
        <v/>
      </c>
      <c r="O2116" s="29" t="str">
        <f>IFERROR(__xludf.DUMMYFUNCTION("IF(ISBLANK(B2116),"""",IF(ISDATE(B2116),TEXT(B2116,""yyyy""),""""))"),"")</f>
        <v/>
      </c>
    </row>
    <row r="2117">
      <c r="B2117" s="62"/>
      <c r="C2117" s="56"/>
      <c r="D2117" s="56"/>
      <c r="E2117" s="56"/>
      <c r="F2117" s="63"/>
      <c r="G2117" s="64"/>
      <c r="H2117" s="65"/>
      <c r="I2117" s="63"/>
      <c r="K2117" s="53" t="str">
        <f>IFERROR(__xludf.DUMMYFUNCTION("IF(ISBLANK(B2117),"""",IF(ISDATE(B2117),""X"",""""))"),"")</f>
        <v/>
      </c>
      <c r="L2117" s="40" t="str">
        <f>IFERROR(__xludf.DUMMYFUNCTION("IF(ISBLANK(B2117),"""",IF(Or(I2117=""Em Aberto"",ISBLANK(I2117),NOT(ISDATE(B2117))),"""",H2117))"),"")</f>
        <v/>
      </c>
      <c r="M2117" s="29" t="str">
        <f>IFERROR(__xludf.DUMMYFUNCTION("IF(ISBLANK(B2117),"""",IF(ISDATE(B2117),TEXT(B2117,""m""),""""))"),"")</f>
        <v/>
      </c>
      <c r="N2117" s="29" t="str">
        <f>IFERROR(__xludf.DUMMYFUNCTION("IF(M2117="""","""",QUERY({'Dashboard-Dados'!$Y$2:$AA$13},""Select Col2 Where Col1=""&amp;M2117))"),"")</f>
        <v/>
      </c>
      <c r="O2117" s="29" t="str">
        <f>IFERROR(__xludf.DUMMYFUNCTION("IF(ISBLANK(B2117),"""",IF(ISDATE(B2117),TEXT(B2117,""yyyy""),""""))"),"")</f>
        <v/>
      </c>
    </row>
    <row r="2118">
      <c r="B2118" s="62"/>
      <c r="C2118" s="56"/>
      <c r="D2118" s="56"/>
      <c r="E2118" s="56"/>
      <c r="F2118" s="63"/>
      <c r="G2118" s="64"/>
      <c r="H2118" s="65"/>
      <c r="I2118" s="63"/>
      <c r="K2118" s="53" t="str">
        <f>IFERROR(__xludf.DUMMYFUNCTION("IF(ISBLANK(B2118),"""",IF(ISDATE(B2118),""X"",""""))"),"")</f>
        <v/>
      </c>
      <c r="L2118" s="40" t="str">
        <f>IFERROR(__xludf.DUMMYFUNCTION("IF(ISBLANK(B2118),"""",IF(Or(I2118=""Em Aberto"",ISBLANK(I2118),NOT(ISDATE(B2118))),"""",H2118))"),"")</f>
        <v/>
      </c>
      <c r="M2118" s="29" t="str">
        <f>IFERROR(__xludf.DUMMYFUNCTION("IF(ISBLANK(B2118),"""",IF(ISDATE(B2118),TEXT(B2118,""m""),""""))"),"")</f>
        <v/>
      </c>
      <c r="N2118" s="29" t="str">
        <f>IFERROR(__xludf.DUMMYFUNCTION("IF(M2118="""","""",QUERY({'Dashboard-Dados'!$Y$2:$AA$13},""Select Col2 Where Col1=""&amp;M2118))"),"")</f>
        <v/>
      </c>
      <c r="O2118" s="29" t="str">
        <f>IFERROR(__xludf.DUMMYFUNCTION("IF(ISBLANK(B2118),"""",IF(ISDATE(B2118),TEXT(B2118,""yyyy""),""""))"),"")</f>
        <v/>
      </c>
    </row>
    <row r="2119">
      <c r="B2119" s="62"/>
      <c r="C2119" s="56"/>
      <c r="D2119" s="56"/>
      <c r="E2119" s="56"/>
      <c r="F2119" s="63"/>
      <c r="G2119" s="64"/>
      <c r="H2119" s="65"/>
      <c r="I2119" s="63"/>
      <c r="K2119" s="53" t="str">
        <f>IFERROR(__xludf.DUMMYFUNCTION("IF(ISBLANK(B2119),"""",IF(ISDATE(B2119),""X"",""""))"),"")</f>
        <v/>
      </c>
      <c r="L2119" s="40" t="str">
        <f>IFERROR(__xludf.DUMMYFUNCTION("IF(ISBLANK(B2119),"""",IF(Or(I2119=""Em Aberto"",ISBLANK(I2119),NOT(ISDATE(B2119))),"""",H2119))"),"")</f>
        <v/>
      </c>
      <c r="M2119" s="29" t="str">
        <f>IFERROR(__xludf.DUMMYFUNCTION("IF(ISBLANK(B2119),"""",IF(ISDATE(B2119),TEXT(B2119,""m""),""""))"),"")</f>
        <v/>
      </c>
      <c r="N2119" s="29" t="str">
        <f>IFERROR(__xludf.DUMMYFUNCTION("IF(M2119="""","""",QUERY({'Dashboard-Dados'!$Y$2:$AA$13},""Select Col2 Where Col1=""&amp;M2119))"),"")</f>
        <v/>
      </c>
      <c r="O2119" s="29" t="str">
        <f>IFERROR(__xludf.DUMMYFUNCTION("IF(ISBLANK(B2119),"""",IF(ISDATE(B2119),TEXT(B2119,""yyyy""),""""))"),"")</f>
        <v/>
      </c>
    </row>
    <row r="2120">
      <c r="B2120" s="62"/>
      <c r="C2120" s="56"/>
      <c r="D2120" s="56"/>
      <c r="E2120" s="56"/>
      <c r="F2120" s="63"/>
      <c r="G2120" s="64"/>
      <c r="H2120" s="65"/>
      <c r="I2120" s="63"/>
      <c r="K2120" s="53" t="str">
        <f>IFERROR(__xludf.DUMMYFUNCTION("IF(ISBLANK(B2120),"""",IF(ISDATE(B2120),""X"",""""))"),"")</f>
        <v/>
      </c>
      <c r="L2120" s="40" t="str">
        <f>IFERROR(__xludf.DUMMYFUNCTION("IF(ISBLANK(B2120),"""",IF(Or(I2120=""Em Aberto"",ISBLANK(I2120),NOT(ISDATE(B2120))),"""",H2120))"),"")</f>
        <v/>
      </c>
      <c r="M2120" s="29" t="str">
        <f>IFERROR(__xludf.DUMMYFUNCTION("IF(ISBLANK(B2120),"""",IF(ISDATE(B2120),TEXT(B2120,""m""),""""))"),"")</f>
        <v/>
      </c>
      <c r="N2120" s="29" t="str">
        <f>IFERROR(__xludf.DUMMYFUNCTION("IF(M2120="""","""",QUERY({'Dashboard-Dados'!$Y$2:$AA$13},""Select Col2 Where Col1=""&amp;M2120))"),"")</f>
        <v/>
      </c>
      <c r="O2120" s="29" t="str">
        <f>IFERROR(__xludf.DUMMYFUNCTION("IF(ISBLANK(B2120),"""",IF(ISDATE(B2120),TEXT(B2120,""yyyy""),""""))"),"")</f>
        <v/>
      </c>
    </row>
    <row r="2121">
      <c r="B2121" s="62"/>
      <c r="C2121" s="56"/>
      <c r="D2121" s="56"/>
      <c r="E2121" s="56"/>
      <c r="F2121" s="63"/>
      <c r="G2121" s="64"/>
      <c r="H2121" s="65"/>
      <c r="I2121" s="63"/>
      <c r="K2121" s="53" t="str">
        <f>IFERROR(__xludf.DUMMYFUNCTION("IF(ISBLANK(B2121),"""",IF(ISDATE(B2121),""X"",""""))"),"")</f>
        <v/>
      </c>
      <c r="L2121" s="40" t="str">
        <f>IFERROR(__xludf.DUMMYFUNCTION("IF(ISBLANK(B2121),"""",IF(Or(I2121=""Em Aberto"",ISBLANK(I2121),NOT(ISDATE(B2121))),"""",H2121))"),"")</f>
        <v/>
      </c>
      <c r="M2121" s="29" t="str">
        <f>IFERROR(__xludf.DUMMYFUNCTION("IF(ISBLANK(B2121),"""",IF(ISDATE(B2121),TEXT(B2121,""m""),""""))"),"")</f>
        <v/>
      </c>
      <c r="N2121" s="29" t="str">
        <f>IFERROR(__xludf.DUMMYFUNCTION("IF(M2121="""","""",QUERY({'Dashboard-Dados'!$Y$2:$AA$13},""Select Col2 Where Col1=""&amp;M2121))"),"")</f>
        <v/>
      </c>
      <c r="O2121" s="29" t="str">
        <f>IFERROR(__xludf.DUMMYFUNCTION("IF(ISBLANK(B2121),"""",IF(ISDATE(B2121),TEXT(B2121,""yyyy""),""""))"),"")</f>
        <v/>
      </c>
    </row>
    <row r="2122">
      <c r="B2122" s="62"/>
      <c r="C2122" s="56"/>
      <c r="D2122" s="56"/>
      <c r="E2122" s="56"/>
      <c r="F2122" s="63"/>
      <c r="G2122" s="64"/>
      <c r="H2122" s="65"/>
      <c r="I2122" s="63"/>
      <c r="K2122" s="53" t="str">
        <f>IFERROR(__xludf.DUMMYFUNCTION("IF(ISBLANK(B2122),"""",IF(ISDATE(B2122),""X"",""""))"),"")</f>
        <v/>
      </c>
      <c r="L2122" s="40" t="str">
        <f>IFERROR(__xludf.DUMMYFUNCTION("IF(ISBLANK(B2122),"""",IF(Or(I2122=""Em Aberto"",ISBLANK(I2122),NOT(ISDATE(B2122))),"""",H2122))"),"")</f>
        <v/>
      </c>
      <c r="M2122" s="29" t="str">
        <f>IFERROR(__xludf.DUMMYFUNCTION("IF(ISBLANK(B2122),"""",IF(ISDATE(B2122),TEXT(B2122,""m""),""""))"),"")</f>
        <v/>
      </c>
      <c r="N2122" s="29" t="str">
        <f>IFERROR(__xludf.DUMMYFUNCTION("IF(M2122="""","""",QUERY({'Dashboard-Dados'!$Y$2:$AA$13},""Select Col2 Where Col1=""&amp;M2122))"),"")</f>
        <v/>
      </c>
      <c r="O2122" s="29" t="str">
        <f>IFERROR(__xludf.DUMMYFUNCTION("IF(ISBLANK(B2122),"""",IF(ISDATE(B2122),TEXT(B2122,""yyyy""),""""))"),"")</f>
        <v/>
      </c>
    </row>
    <row r="2123">
      <c r="B2123" s="62"/>
      <c r="C2123" s="56"/>
      <c r="D2123" s="56"/>
      <c r="E2123" s="56"/>
      <c r="F2123" s="63"/>
      <c r="G2123" s="64"/>
      <c r="H2123" s="65"/>
      <c r="I2123" s="63"/>
      <c r="K2123" s="53" t="str">
        <f>IFERROR(__xludf.DUMMYFUNCTION("IF(ISBLANK(B2123),"""",IF(ISDATE(B2123),""X"",""""))"),"")</f>
        <v/>
      </c>
      <c r="L2123" s="40" t="str">
        <f>IFERROR(__xludf.DUMMYFUNCTION("IF(ISBLANK(B2123),"""",IF(Or(I2123=""Em Aberto"",ISBLANK(I2123),NOT(ISDATE(B2123))),"""",H2123))"),"")</f>
        <v/>
      </c>
      <c r="M2123" s="29" t="str">
        <f>IFERROR(__xludf.DUMMYFUNCTION("IF(ISBLANK(B2123),"""",IF(ISDATE(B2123),TEXT(B2123,""m""),""""))"),"")</f>
        <v/>
      </c>
      <c r="N2123" s="29" t="str">
        <f>IFERROR(__xludf.DUMMYFUNCTION("IF(M2123="""","""",QUERY({'Dashboard-Dados'!$Y$2:$AA$13},""Select Col2 Where Col1=""&amp;M2123))"),"")</f>
        <v/>
      </c>
      <c r="O2123" s="29" t="str">
        <f>IFERROR(__xludf.DUMMYFUNCTION("IF(ISBLANK(B2123),"""",IF(ISDATE(B2123),TEXT(B2123,""yyyy""),""""))"),"")</f>
        <v/>
      </c>
    </row>
    <row r="2124">
      <c r="B2124" s="62"/>
      <c r="C2124" s="56"/>
      <c r="D2124" s="56"/>
      <c r="E2124" s="56"/>
      <c r="F2124" s="63"/>
      <c r="G2124" s="64"/>
      <c r="H2124" s="65"/>
      <c r="I2124" s="63"/>
      <c r="K2124" s="53" t="str">
        <f>IFERROR(__xludf.DUMMYFUNCTION("IF(ISBLANK(B2124),"""",IF(ISDATE(B2124),""X"",""""))"),"")</f>
        <v/>
      </c>
      <c r="L2124" s="40" t="str">
        <f>IFERROR(__xludf.DUMMYFUNCTION("IF(ISBLANK(B2124),"""",IF(Or(I2124=""Em Aberto"",ISBLANK(I2124),NOT(ISDATE(B2124))),"""",H2124))"),"")</f>
        <v/>
      </c>
      <c r="M2124" s="29" t="str">
        <f>IFERROR(__xludf.DUMMYFUNCTION("IF(ISBLANK(B2124),"""",IF(ISDATE(B2124),TEXT(B2124,""m""),""""))"),"")</f>
        <v/>
      </c>
      <c r="N2124" s="29" t="str">
        <f>IFERROR(__xludf.DUMMYFUNCTION("IF(M2124="""","""",QUERY({'Dashboard-Dados'!$Y$2:$AA$13},""Select Col2 Where Col1=""&amp;M2124))"),"")</f>
        <v/>
      </c>
      <c r="O2124" s="29" t="str">
        <f>IFERROR(__xludf.DUMMYFUNCTION("IF(ISBLANK(B2124),"""",IF(ISDATE(B2124),TEXT(B2124,""yyyy""),""""))"),"")</f>
        <v/>
      </c>
    </row>
    <row r="2125">
      <c r="B2125" s="62"/>
      <c r="C2125" s="56"/>
      <c r="D2125" s="56"/>
      <c r="E2125" s="56"/>
      <c r="F2125" s="63"/>
      <c r="G2125" s="64"/>
      <c r="H2125" s="65"/>
      <c r="I2125" s="63"/>
      <c r="K2125" s="53" t="str">
        <f>IFERROR(__xludf.DUMMYFUNCTION("IF(ISBLANK(B2125),"""",IF(ISDATE(B2125),""X"",""""))"),"")</f>
        <v/>
      </c>
      <c r="L2125" s="40" t="str">
        <f>IFERROR(__xludf.DUMMYFUNCTION("IF(ISBLANK(B2125),"""",IF(Or(I2125=""Em Aberto"",ISBLANK(I2125),NOT(ISDATE(B2125))),"""",H2125))"),"")</f>
        <v/>
      </c>
      <c r="M2125" s="29" t="str">
        <f>IFERROR(__xludf.DUMMYFUNCTION("IF(ISBLANK(B2125),"""",IF(ISDATE(B2125),TEXT(B2125,""m""),""""))"),"")</f>
        <v/>
      </c>
      <c r="N2125" s="29" t="str">
        <f>IFERROR(__xludf.DUMMYFUNCTION("IF(M2125="""","""",QUERY({'Dashboard-Dados'!$Y$2:$AA$13},""Select Col2 Where Col1=""&amp;M2125))"),"")</f>
        <v/>
      </c>
      <c r="O2125" s="29" t="str">
        <f>IFERROR(__xludf.DUMMYFUNCTION("IF(ISBLANK(B2125),"""",IF(ISDATE(B2125),TEXT(B2125,""yyyy""),""""))"),"")</f>
        <v/>
      </c>
    </row>
    <row r="2126">
      <c r="B2126" s="62"/>
      <c r="C2126" s="56"/>
      <c r="D2126" s="56"/>
      <c r="E2126" s="56"/>
      <c r="F2126" s="63"/>
      <c r="G2126" s="64"/>
      <c r="H2126" s="65"/>
      <c r="I2126" s="63"/>
      <c r="K2126" s="53" t="str">
        <f>IFERROR(__xludf.DUMMYFUNCTION("IF(ISBLANK(B2126),"""",IF(ISDATE(B2126),""X"",""""))"),"")</f>
        <v/>
      </c>
      <c r="L2126" s="40" t="str">
        <f>IFERROR(__xludf.DUMMYFUNCTION("IF(ISBLANK(B2126),"""",IF(Or(I2126=""Em Aberto"",ISBLANK(I2126),NOT(ISDATE(B2126))),"""",H2126))"),"")</f>
        <v/>
      </c>
      <c r="M2126" s="29" t="str">
        <f>IFERROR(__xludf.DUMMYFUNCTION("IF(ISBLANK(B2126),"""",IF(ISDATE(B2126),TEXT(B2126,""m""),""""))"),"")</f>
        <v/>
      </c>
      <c r="N2126" s="29" t="str">
        <f>IFERROR(__xludf.DUMMYFUNCTION("IF(M2126="""","""",QUERY({'Dashboard-Dados'!$Y$2:$AA$13},""Select Col2 Where Col1=""&amp;M2126))"),"")</f>
        <v/>
      </c>
      <c r="O2126" s="29" t="str">
        <f>IFERROR(__xludf.DUMMYFUNCTION("IF(ISBLANK(B2126),"""",IF(ISDATE(B2126),TEXT(B2126,""yyyy""),""""))"),"")</f>
        <v/>
      </c>
    </row>
    <row r="2127">
      <c r="B2127" s="62"/>
      <c r="C2127" s="56"/>
      <c r="D2127" s="56"/>
      <c r="E2127" s="56"/>
      <c r="F2127" s="63"/>
      <c r="G2127" s="64"/>
      <c r="H2127" s="65"/>
      <c r="I2127" s="63"/>
      <c r="K2127" s="53" t="str">
        <f>IFERROR(__xludf.DUMMYFUNCTION("IF(ISBLANK(B2127),"""",IF(ISDATE(B2127),""X"",""""))"),"")</f>
        <v/>
      </c>
      <c r="L2127" s="40" t="str">
        <f>IFERROR(__xludf.DUMMYFUNCTION("IF(ISBLANK(B2127),"""",IF(Or(I2127=""Em Aberto"",ISBLANK(I2127),NOT(ISDATE(B2127))),"""",H2127))"),"")</f>
        <v/>
      </c>
      <c r="M2127" s="29" t="str">
        <f>IFERROR(__xludf.DUMMYFUNCTION("IF(ISBLANK(B2127),"""",IF(ISDATE(B2127),TEXT(B2127,""m""),""""))"),"")</f>
        <v/>
      </c>
      <c r="N2127" s="29" t="str">
        <f>IFERROR(__xludf.DUMMYFUNCTION("IF(M2127="""","""",QUERY({'Dashboard-Dados'!$Y$2:$AA$13},""Select Col2 Where Col1=""&amp;M2127))"),"")</f>
        <v/>
      </c>
      <c r="O2127" s="29" t="str">
        <f>IFERROR(__xludf.DUMMYFUNCTION("IF(ISBLANK(B2127),"""",IF(ISDATE(B2127),TEXT(B2127,""yyyy""),""""))"),"")</f>
        <v/>
      </c>
    </row>
    <row r="2128">
      <c r="B2128" s="62"/>
      <c r="C2128" s="56"/>
      <c r="D2128" s="56"/>
      <c r="E2128" s="56"/>
      <c r="F2128" s="63"/>
      <c r="G2128" s="64"/>
      <c r="H2128" s="65"/>
      <c r="I2128" s="63"/>
      <c r="K2128" s="53" t="str">
        <f>IFERROR(__xludf.DUMMYFUNCTION("IF(ISBLANK(B2128),"""",IF(ISDATE(B2128),""X"",""""))"),"")</f>
        <v/>
      </c>
      <c r="L2128" s="40" t="str">
        <f>IFERROR(__xludf.DUMMYFUNCTION("IF(ISBLANK(B2128),"""",IF(Or(I2128=""Em Aberto"",ISBLANK(I2128),NOT(ISDATE(B2128))),"""",H2128))"),"")</f>
        <v/>
      </c>
      <c r="M2128" s="29" t="str">
        <f>IFERROR(__xludf.DUMMYFUNCTION("IF(ISBLANK(B2128),"""",IF(ISDATE(B2128),TEXT(B2128,""m""),""""))"),"")</f>
        <v/>
      </c>
      <c r="N2128" s="29" t="str">
        <f>IFERROR(__xludf.DUMMYFUNCTION("IF(M2128="""","""",QUERY({'Dashboard-Dados'!$Y$2:$AA$13},""Select Col2 Where Col1=""&amp;M2128))"),"")</f>
        <v/>
      </c>
      <c r="O2128" s="29" t="str">
        <f>IFERROR(__xludf.DUMMYFUNCTION("IF(ISBLANK(B2128),"""",IF(ISDATE(B2128),TEXT(B2128,""yyyy""),""""))"),"")</f>
        <v/>
      </c>
    </row>
    <row r="2129">
      <c r="B2129" s="62"/>
      <c r="C2129" s="56"/>
      <c r="D2129" s="56"/>
      <c r="E2129" s="56"/>
      <c r="F2129" s="63"/>
      <c r="G2129" s="64"/>
      <c r="H2129" s="65"/>
      <c r="I2129" s="63"/>
      <c r="K2129" s="53" t="str">
        <f>IFERROR(__xludf.DUMMYFUNCTION("IF(ISBLANK(B2129),"""",IF(ISDATE(B2129),""X"",""""))"),"")</f>
        <v/>
      </c>
      <c r="L2129" s="40" t="str">
        <f>IFERROR(__xludf.DUMMYFUNCTION("IF(ISBLANK(B2129),"""",IF(Or(I2129=""Em Aberto"",ISBLANK(I2129),NOT(ISDATE(B2129))),"""",H2129))"),"")</f>
        <v/>
      </c>
      <c r="M2129" s="29" t="str">
        <f>IFERROR(__xludf.DUMMYFUNCTION("IF(ISBLANK(B2129),"""",IF(ISDATE(B2129),TEXT(B2129,""m""),""""))"),"")</f>
        <v/>
      </c>
      <c r="N2129" s="29" t="str">
        <f>IFERROR(__xludf.DUMMYFUNCTION("IF(M2129="""","""",QUERY({'Dashboard-Dados'!$Y$2:$AA$13},""Select Col2 Where Col1=""&amp;M2129))"),"")</f>
        <v/>
      </c>
      <c r="O2129" s="29" t="str">
        <f>IFERROR(__xludf.DUMMYFUNCTION("IF(ISBLANK(B2129),"""",IF(ISDATE(B2129),TEXT(B2129,""yyyy""),""""))"),"")</f>
        <v/>
      </c>
    </row>
    <row r="2130">
      <c r="B2130" s="62"/>
      <c r="C2130" s="56"/>
      <c r="D2130" s="56"/>
      <c r="E2130" s="56"/>
      <c r="F2130" s="63"/>
      <c r="G2130" s="64"/>
      <c r="H2130" s="65"/>
      <c r="I2130" s="63"/>
      <c r="K2130" s="53" t="str">
        <f>IFERROR(__xludf.DUMMYFUNCTION("IF(ISBLANK(B2130),"""",IF(ISDATE(B2130),""X"",""""))"),"")</f>
        <v/>
      </c>
      <c r="L2130" s="40" t="str">
        <f>IFERROR(__xludf.DUMMYFUNCTION("IF(ISBLANK(B2130),"""",IF(Or(I2130=""Em Aberto"",ISBLANK(I2130),NOT(ISDATE(B2130))),"""",H2130))"),"")</f>
        <v/>
      </c>
      <c r="M2130" s="29" t="str">
        <f>IFERROR(__xludf.DUMMYFUNCTION("IF(ISBLANK(B2130),"""",IF(ISDATE(B2130),TEXT(B2130,""m""),""""))"),"")</f>
        <v/>
      </c>
      <c r="N2130" s="29" t="str">
        <f>IFERROR(__xludf.DUMMYFUNCTION("IF(M2130="""","""",QUERY({'Dashboard-Dados'!$Y$2:$AA$13},""Select Col2 Where Col1=""&amp;M2130))"),"")</f>
        <v/>
      </c>
      <c r="O2130" s="29" t="str">
        <f>IFERROR(__xludf.DUMMYFUNCTION("IF(ISBLANK(B2130),"""",IF(ISDATE(B2130),TEXT(B2130,""yyyy""),""""))"),"")</f>
        <v/>
      </c>
    </row>
    <row r="2131">
      <c r="B2131" s="62"/>
      <c r="C2131" s="56"/>
      <c r="D2131" s="56"/>
      <c r="E2131" s="56"/>
      <c r="F2131" s="63"/>
      <c r="G2131" s="64"/>
      <c r="H2131" s="65"/>
      <c r="I2131" s="63"/>
      <c r="K2131" s="53" t="str">
        <f>IFERROR(__xludf.DUMMYFUNCTION("IF(ISBLANK(B2131),"""",IF(ISDATE(B2131),""X"",""""))"),"")</f>
        <v/>
      </c>
      <c r="L2131" s="40" t="str">
        <f>IFERROR(__xludf.DUMMYFUNCTION("IF(ISBLANK(B2131),"""",IF(Or(I2131=""Em Aberto"",ISBLANK(I2131),NOT(ISDATE(B2131))),"""",H2131))"),"")</f>
        <v/>
      </c>
      <c r="M2131" s="29" t="str">
        <f>IFERROR(__xludf.DUMMYFUNCTION("IF(ISBLANK(B2131),"""",IF(ISDATE(B2131),TEXT(B2131,""m""),""""))"),"")</f>
        <v/>
      </c>
      <c r="N2131" s="29" t="str">
        <f>IFERROR(__xludf.DUMMYFUNCTION("IF(M2131="""","""",QUERY({'Dashboard-Dados'!$Y$2:$AA$13},""Select Col2 Where Col1=""&amp;M2131))"),"")</f>
        <v/>
      </c>
      <c r="O2131" s="29" t="str">
        <f>IFERROR(__xludf.DUMMYFUNCTION("IF(ISBLANK(B2131),"""",IF(ISDATE(B2131),TEXT(B2131,""yyyy""),""""))"),"")</f>
        <v/>
      </c>
    </row>
    <row r="2132">
      <c r="B2132" s="62"/>
      <c r="C2132" s="56"/>
      <c r="D2132" s="56"/>
      <c r="E2132" s="56"/>
      <c r="F2132" s="63"/>
      <c r="G2132" s="64"/>
      <c r="H2132" s="65"/>
      <c r="I2132" s="63"/>
      <c r="K2132" s="53" t="str">
        <f>IFERROR(__xludf.DUMMYFUNCTION("IF(ISBLANK(B2132),"""",IF(ISDATE(B2132),""X"",""""))"),"")</f>
        <v/>
      </c>
      <c r="L2132" s="40" t="str">
        <f>IFERROR(__xludf.DUMMYFUNCTION("IF(ISBLANK(B2132),"""",IF(Or(I2132=""Em Aberto"",ISBLANK(I2132),NOT(ISDATE(B2132))),"""",H2132))"),"")</f>
        <v/>
      </c>
      <c r="M2132" s="29" t="str">
        <f>IFERROR(__xludf.DUMMYFUNCTION("IF(ISBLANK(B2132),"""",IF(ISDATE(B2132),TEXT(B2132,""m""),""""))"),"")</f>
        <v/>
      </c>
      <c r="N2132" s="29" t="str">
        <f>IFERROR(__xludf.DUMMYFUNCTION("IF(M2132="""","""",QUERY({'Dashboard-Dados'!$Y$2:$AA$13},""Select Col2 Where Col1=""&amp;M2132))"),"")</f>
        <v/>
      </c>
      <c r="O2132" s="29" t="str">
        <f>IFERROR(__xludf.DUMMYFUNCTION("IF(ISBLANK(B2132),"""",IF(ISDATE(B2132),TEXT(B2132,""yyyy""),""""))"),"")</f>
        <v/>
      </c>
    </row>
    <row r="2133">
      <c r="B2133" s="62"/>
      <c r="C2133" s="56"/>
      <c r="D2133" s="56"/>
      <c r="E2133" s="56"/>
      <c r="F2133" s="63"/>
      <c r="G2133" s="64"/>
      <c r="H2133" s="65"/>
      <c r="I2133" s="63"/>
      <c r="K2133" s="53" t="str">
        <f>IFERROR(__xludf.DUMMYFUNCTION("IF(ISBLANK(B2133),"""",IF(ISDATE(B2133),""X"",""""))"),"")</f>
        <v/>
      </c>
      <c r="L2133" s="40" t="str">
        <f>IFERROR(__xludf.DUMMYFUNCTION("IF(ISBLANK(B2133),"""",IF(Or(I2133=""Em Aberto"",ISBLANK(I2133),NOT(ISDATE(B2133))),"""",H2133))"),"")</f>
        <v/>
      </c>
      <c r="M2133" s="29" t="str">
        <f>IFERROR(__xludf.DUMMYFUNCTION("IF(ISBLANK(B2133),"""",IF(ISDATE(B2133),TEXT(B2133,""m""),""""))"),"")</f>
        <v/>
      </c>
      <c r="N2133" s="29" t="str">
        <f>IFERROR(__xludf.DUMMYFUNCTION("IF(M2133="""","""",QUERY({'Dashboard-Dados'!$Y$2:$AA$13},""Select Col2 Where Col1=""&amp;M2133))"),"")</f>
        <v/>
      </c>
      <c r="O2133" s="29" t="str">
        <f>IFERROR(__xludf.DUMMYFUNCTION("IF(ISBLANK(B2133),"""",IF(ISDATE(B2133),TEXT(B2133,""yyyy""),""""))"),"")</f>
        <v/>
      </c>
    </row>
    <row r="2134">
      <c r="B2134" s="62"/>
      <c r="C2134" s="56"/>
      <c r="D2134" s="56"/>
      <c r="E2134" s="56"/>
      <c r="F2134" s="63"/>
      <c r="G2134" s="64"/>
      <c r="H2134" s="65"/>
      <c r="I2134" s="63"/>
      <c r="K2134" s="53" t="str">
        <f>IFERROR(__xludf.DUMMYFUNCTION("IF(ISBLANK(B2134),"""",IF(ISDATE(B2134),""X"",""""))"),"")</f>
        <v/>
      </c>
      <c r="L2134" s="40" t="str">
        <f>IFERROR(__xludf.DUMMYFUNCTION("IF(ISBLANK(B2134),"""",IF(Or(I2134=""Em Aberto"",ISBLANK(I2134),NOT(ISDATE(B2134))),"""",H2134))"),"")</f>
        <v/>
      </c>
      <c r="M2134" s="29" t="str">
        <f>IFERROR(__xludf.DUMMYFUNCTION("IF(ISBLANK(B2134),"""",IF(ISDATE(B2134),TEXT(B2134,""m""),""""))"),"")</f>
        <v/>
      </c>
      <c r="N2134" s="29" t="str">
        <f>IFERROR(__xludf.DUMMYFUNCTION("IF(M2134="""","""",QUERY({'Dashboard-Dados'!$Y$2:$AA$13},""Select Col2 Where Col1=""&amp;M2134))"),"")</f>
        <v/>
      </c>
      <c r="O2134" s="29" t="str">
        <f>IFERROR(__xludf.DUMMYFUNCTION("IF(ISBLANK(B2134),"""",IF(ISDATE(B2134),TEXT(B2134,""yyyy""),""""))"),"")</f>
        <v/>
      </c>
    </row>
    <row r="2135">
      <c r="B2135" s="62"/>
      <c r="C2135" s="56"/>
      <c r="D2135" s="56"/>
      <c r="E2135" s="56"/>
      <c r="F2135" s="63"/>
      <c r="G2135" s="64"/>
      <c r="H2135" s="65"/>
      <c r="I2135" s="63"/>
      <c r="K2135" s="53" t="str">
        <f>IFERROR(__xludf.DUMMYFUNCTION("IF(ISBLANK(B2135),"""",IF(ISDATE(B2135),""X"",""""))"),"")</f>
        <v/>
      </c>
      <c r="L2135" s="40" t="str">
        <f>IFERROR(__xludf.DUMMYFUNCTION("IF(ISBLANK(B2135),"""",IF(Or(I2135=""Em Aberto"",ISBLANK(I2135),NOT(ISDATE(B2135))),"""",H2135))"),"")</f>
        <v/>
      </c>
      <c r="M2135" s="29" t="str">
        <f>IFERROR(__xludf.DUMMYFUNCTION("IF(ISBLANK(B2135),"""",IF(ISDATE(B2135),TEXT(B2135,""m""),""""))"),"")</f>
        <v/>
      </c>
      <c r="N2135" s="29" t="str">
        <f>IFERROR(__xludf.DUMMYFUNCTION("IF(M2135="""","""",QUERY({'Dashboard-Dados'!$Y$2:$AA$13},""Select Col2 Where Col1=""&amp;M2135))"),"")</f>
        <v/>
      </c>
      <c r="O2135" s="29" t="str">
        <f>IFERROR(__xludf.DUMMYFUNCTION("IF(ISBLANK(B2135),"""",IF(ISDATE(B2135),TEXT(B2135,""yyyy""),""""))"),"")</f>
        <v/>
      </c>
    </row>
    <row r="2136">
      <c r="B2136" s="62"/>
      <c r="C2136" s="56"/>
      <c r="D2136" s="56"/>
      <c r="E2136" s="56"/>
      <c r="F2136" s="63"/>
      <c r="G2136" s="64"/>
      <c r="H2136" s="65"/>
      <c r="I2136" s="63"/>
      <c r="K2136" s="53" t="str">
        <f>IFERROR(__xludf.DUMMYFUNCTION("IF(ISBLANK(B2136),"""",IF(ISDATE(B2136),""X"",""""))"),"")</f>
        <v/>
      </c>
      <c r="L2136" s="40" t="str">
        <f>IFERROR(__xludf.DUMMYFUNCTION("IF(ISBLANK(B2136),"""",IF(Or(I2136=""Em Aberto"",ISBLANK(I2136),NOT(ISDATE(B2136))),"""",H2136))"),"")</f>
        <v/>
      </c>
      <c r="M2136" s="29" t="str">
        <f>IFERROR(__xludf.DUMMYFUNCTION("IF(ISBLANK(B2136),"""",IF(ISDATE(B2136),TEXT(B2136,""m""),""""))"),"")</f>
        <v/>
      </c>
      <c r="N2136" s="29" t="str">
        <f>IFERROR(__xludf.DUMMYFUNCTION("IF(M2136="""","""",QUERY({'Dashboard-Dados'!$Y$2:$AA$13},""Select Col2 Where Col1=""&amp;M2136))"),"")</f>
        <v/>
      </c>
      <c r="O2136" s="29" t="str">
        <f>IFERROR(__xludf.DUMMYFUNCTION("IF(ISBLANK(B2136),"""",IF(ISDATE(B2136),TEXT(B2136,""yyyy""),""""))"),"")</f>
        <v/>
      </c>
    </row>
    <row r="2137">
      <c r="B2137" s="62"/>
      <c r="C2137" s="56"/>
      <c r="D2137" s="56"/>
      <c r="E2137" s="56"/>
      <c r="F2137" s="63"/>
      <c r="G2137" s="64"/>
      <c r="H2137" s="65"/>
      <c r="I2137" s="63"/>
      <c r="K2137" s="53" t="str">
        <f>IFERROR(__xludf.DUMMYFUNCTION("IF(ISBLANK(B2137),"""",IF(ISDATE(B2137),""X"",""""))"),"")</f>
        <v/>
      </c>
      <c r="L2137" s="40" t="str">
        <f>IFERROR(__xludf.DUMMYFUNCTION("IF(ISBLANK(B2137),"""",IF(Or(I2137=""Em Aberto"",ISBLANK(I2137),NOT(ISDATE(B2137))),"""",H2137))"),"")</f>
        <v/>
      </c>
      <c r="M2137" s="29" t="str">
        <f>IFERROR(__xludf.DUMMYFUNCTION("IF(ISBLANK(B2137),"""",IF(ISDATE(B2137),TEXT(B2137,""m""),""""))"),"")</f>
        <v/>
      </c>
      <c r="N2137" s="29" t="str">
        <f>IFERROR(__xludf.DUMMYFUNCTION("IF(M2137="""","""",QUERY({'Dashboard-Dados'!$Y$2:$AA$13},""Select Col2 Where Col1=""&amp;M2137))"),"")</f>
        <v/>
      </c>
      <c r="O2137" s="29" t="str">
        <f>IFERROR(__xludf.DUMMYFUNCTION("IF(ISBLANK(B2137),"""",IF(ISDATE(B2137),TEXT(B2137,""yyyy""),""""))"),"")</f>
        <v/>
      </c>
    </row>
    <row r="2138">
      <c r="B2138" s="62"/>
      <c r="C2138" s="56"/>
      <c r="D2138" s="56"/>
      <c r="E2138" s="56"/>
      <c r="F2138" s="63"/>
      <c r="G2138" s="64"/>
      <c r="H2138" s="65"/>
      <c r="I2138" s="63"/>
      <c r="K2138" s="53" t="str">
        <f>IFERROR(__xludf.DUMMYFUNCTION("IF(ISBLANK(B2138),"""",IF(ISDATE(B2138),""X"",""""))"),"")</f>
        <v/>
      </c>
      <c r="L2138" s="40" t="str">
        <f>IFERROR(__xludf.DUMMYFUNCTION("IF(ISBLANK(B2138),"""",IF(Or(I2138=""Em Aberto"",ISBLANK(I2138),NOT(ISDATE(B2138))),"""",H2138))"),"")</f>
        <v/>
      </c>
      <c r="M2138" s="29" t="str">
        <f>IFERROR(__xludf.DUMMYFUNCTION("IF(ISBLANK(B2138),"""",IF(ISDATE(B2138),TEXT(B2138,""m""),""""))"),"")</f>
        <v/>
      </c>
      <c r="N2138" s="29" t="str">
        <f>IFERROR(__xludf.DUMMYFUNCTION("IF(M2138="""","""",QUERY({'Dashboard-Dados'!$Y$2:$AA$13},""Select Col2 Where Col1=""&amp;M2138))"),"")</f>
        <v/>
      </c>
      <c r="O2138" s="29" t="str">
        <f>IFERROR(__xludf.DUMMYFUNCTION("IF(ISBLANK(B2138),"""",IF(ISDATE(B2138),TEXT(B2138,""yyyy""),""""))"),"")</f>
        <v/>
      </c>
    </row>
    <row r="2139">
      <c r="B2139" s="62"/>
      <c r="C2139" s="56"/>
      <c r="D2139" s="56"/>
      <c r="E2139" s="56"/>
      <c r="F2139" s="63"/>
      <c r="G2139" s="64"/>
      <c r="H2139" s="65"/>
      <c r="I2139" s="63"/>
      <c r="K2139" s="53" t="str">
        <f>IFERROR(__xludf.DUMMYFUNCTION("IF(ISBLANK(B2139),"""",IF(ISDATE(B2139),""X"",""""))"),"")</f>
        <v/>
      </c>
      <c r="L2139" s="40" t="str">
        <f>IFERROR(__xludf.DUMMYFUNCTION("IF(ISBLANK(B2139),"""",IF(Or(I2139=""Em Aberto"",ISBLANK(I2139),NOT(ISDATE(B2139))),"""",H2139))"),"")</f>
        <v/>
      </c>
      <c r="M2139" s="29" t="str">
        <f>IFERROR(__xludf.DUMMYFUNCTION("IF(ISBLANK(B2139),"""",IF(ISDATE(B2139),TEXT(B2139,""m""),""""))"),"")</f>
        <v/>
      </c>
      <c r="N2139" s="29" t="str">
        <f>IFERROR(__xludf.DUMMYFUNCTION("IF(M2139="""","""",QUERY({'Dashboard-Dados'!$Y$2:$AA$13},""Select Col2 Where Col1=""&amp;M2139))"),"")</f>
        <v/>
      </c>
      <c r="O2139" s="29" t="str">
        <f>IFERROR(__xludf.DUMMYFUNCTION("IF(ISBLANK(B2139),"""",IF(ISDATE(B2139),TEXT(B2139,""yyyy""),""""))"),"")</f>
        <v/>
      </c>
    </row>
    <row r="2140">
      <c r="B2140" s="62"/>
      <c r="C2140" s="56"/>
      <c r="D2140" s="56"/>
      <c r="E2140" s="56"/>
      <c r="F2140" s="63"/>
      <c r="G2140" s="64"/>
      <c r="H2140" s="65"/>
      <c r="I2140" s="63"/>
      <c r="K2140" s="53" t="str">
        <f>IFERROR(__xludf.DUMMYFUNCTION("IF(ISBLANK(B2140),"""",IF(ISDATE(B2140),""X"",""""))"),"")</f>
        <v/>
      </c>
      <c r="L2140" s="40" t="str">
        <f>IFERROR(__xludf.DUMMYFUNCTION("IF(ISBLANK(B2140),"""",IF(Or(I2140=""Em Aberto"",ISBLANK(I2140),NOT(ISDATE(B2140))),"""",H2140))"),"")</f>
        <v/>
      </c>
      <c r="M2140" s="29" t="str">
        <f>IFERROR(__xludf.DUMMYFUNCTION("IF(ISBLANK(B2140),"""",IF(ISDATE(B2140),TEXT(B2140,""m""),""""))"),"")</f>
        <v/>
      </c>
      <c r="N2140" s="29" t="str">
        <f>IFERROR(__xludf.DUMMYFUNCTION("IF(M2140="""","""",QUERY({'Dashboard-Dados'!$Y$2:$AA$13},""Select Col2 Where Col1=""&amp;M2140))"),"")</f>
        <v/>
      </c>
      <c r="O2140" s="29" t="str">
        <f>IFERROR(__xludf.DUMMYFUNCTION("IF(ISBLANK(B2140),"""",IF(ISDATE(B2140),TEXT(B2140,""yyyy""),""""))"),"")</f>
        <v/>
      </c>
    </row>
    <row r="2141">
      <c r="B2141" s="62"/>
      <c r="C2141" s="56"/>
      <c r="D2141" s="56"/>
      <c r="E2141" s="56"/>
      <c r="F2141" s="63"/>
      <c r="G2141" s="64"/>
      <c r="H2141" s="65"/>
      <c r="I2141" s="63"/>
      <c r="K2141" s="53" t="str">
        <f>IFERROR(__xludf.DUMMYFUNCTION("IF(ISBLANK(B2141),"""",IF(ISDATE(B2141),""X"",""""))"),"")</f>
        <v/>
      </c>
      <c r="L2141" s="40" t="str">
        <f>IFERROR(__xludf.DUMMYFUNCTION("IF(ISBLANK(B2141),"""",IF(Or(I2141=""Em Aberto"",ISBLANK(I2141),NOT(ISDATE(B2141))),"""",H2141))"),"")</f>
        <v/>
      </c>
      <c r="M2141" s="29" t="str">
        <f>IFERROR(__xludf.DUMMYFUNCTION("IF(ISBLANK(B2141),"""",IF(ISDATE(B2141),TEXT(B2141,""m""),""""))"),"")</f>
        <v/>
      </c>
      <c r="N2141" s="29" t="str">
        <f>IFERROR(__xludf.DUMMYFUNCTION("IF(M2141="""","""",QUERY({'Dashboard-Dados'!$Y$2:$AA$13},""Select Col2 Where Col1=""&amp;M2141))"),"")</f>
        <v/>
      </c>
      <c r="O2141" s="29" t="str">
        <f>IFERROR(__xludf.DUMMYFUNCTION("IF(ISBLANK(B2141),"""",IF(ISDATE(B2141),TEXT(B2141,""yyyy""),""""))"),"")</f>
        <v/>
      </c>
    </row>
    <row r="2142">
      <c r="B2142" s="62"/>
      <c r="C2142" s="56"/>
      <c r="D2142" s="56"/>
      <c r="E2142" s="56"/>
      <c r="F2142" s="63"/>
      <c r="G2142" s="64"/>
      <c r="H2142" s="65"/>
      <c r="I2142" s="63"/>
      <c r="K2142" s="53" t="str">
        <f>IFERROR(__xludf.DUMMYFUNCTION("IF(ISBLANK(B2142),"""",IF(ISDATE(B2142),""X"",""""))"),"")</f>
        <v/>
      </c>
      <c r="L2142" s="40" t="str">
        <f>IFERROR(__xludf.DUMMYFUNCTION("IF(ISBLANK(B2142),"""",IF(Or(I2142=""Em Aberto"",ISBLANK(I2142),NOT(ISDATE(B2142))),"""",H2142))"),"")</f>
        <v/>
      </c>
      <c r="M2142" s="29" t="str">
        <f>IFERROR(__xludf.DUMMYFUNCTION("IF(ISBLANK(B2142),"""",IF(ISDATE(B2142),TEXT(B2142,""m""),""""))"),"")</f>
        <v/>
      </c>
      <c r="N2142" s="29" t="str">
        <f>IFERROR(__xludf.DUMMYFUNCTION("IF(M2142="""","""",QUERY({'Dashboard-Dados'!$Y$2:$AA$13},""Select Col2 Where Col1=""&amp;M2142))"),"")</f>
        <v/>
      </c>
      <c r="O2142" s="29" t="str">
        <f>IFERROR(__xludf.DUMMYFUNCTION("IF(ISBLANK(B2142),"""",IF(ISDATE(B2142),TEXT(B2142,""yyyy""),""""))"),"")</f>
        <v/>
      </c>
    </row>
    <row r="2143">
      <c r="B2143" s="62"/>
      <c r="C2143" s="56"/>
      <c r="D2143" s="56"/>
      <c r="E2143" s="56"/>
      <c r="F2143" s="63"/>
      <c r="G2143" s="64"/>
      <c r="H2143" s="65"/>
      <c r="I2143" s="63"/>
      <c r="K2143" s="53" t="str">
        <f>IFERROR(__xludf.DUMMYFUNCTION("IF(ISBLANK(B2143),"""",IF(ISDATE(B2143),""X"",""""))"),"")</f>
        <v/>
      </c>
      <c r="L2143" s="40" t="str">
        <f>IFERROR(__xludf.DUMMYFUNCTION("IF(ISBLANK(B2143),"""",IF(Or(I2143=""Em Aberto"",ISBLANK(I2143),NOT(ISDATE(B2143))),"""",H2143))"),"")</f>
        <v/>
      </c>
      <c r="M2143" s="29" t="str">
        <f>IFERROR(__xludf.DUMMYFUNCTION("IF(ISBLANK(B2143),"""",IF(ISDATE(B2143),TEXT(B2143,""m""),""""))"),"")</f>
        <v/>
      </c>
      <c r="N2143" s="29" t="str">
        <f>IFERROR(__xludf.DUMMYFUNCTION("IF(M2143="""","""",QUERY({'Dashboard-Dados'!$Y$2:$AA$13},""Select Col2 Where Col1=""&amp;M2143))"),"")</f>
        <v/>
      </c>
      <c r="O2143" s="29" t="str">
        <f>IFERROR(__xludf.DUMMYFUNCTION("IF(ISBLANK(B2143),"""",IF(ISDATE(B2143),TEXT(B2143,""yyyy""),""""))"),"")</f>
        <v/>
      </c>
    </row>
    <row r="2144">
      <c r="B2144" s="62"/>
      <c r="C2144" s="56"/>
      <c r="D2144" s="56"/>
      <c r="E2144" s="56"/>
      <c r="F2144" s="63"/>
      <c r="G2144" s="64"/>
      <c r="H2144" s="65"/>
      <c r="I2144" s="63"/>
      <c r="K2144" s="53" t="str">
        <f>IFERROR(__xludf.DUMMYFUNCTION("IF(ISBLANK(B2144),"""",IF(ISDATE(B2144),""X"",""""))"),"")</f>
        <v/>
      </c>
      <c r="L2144" s="40" t="str">
        <f>IFERROR(__xludf.DUMMYFUNCTION("IF(ISBLANK(B2144),"""",IF(Or(I2144=""Em Aberto"",ISBLANK(I2144),NOT(ISDATE(B2144))),"""",H2144))"),"")</f>
        <v/>
      </c>
      <c r="M2144" s="29" t="str">
        <f>IFERROR(__xludf.DUMMYFUNCTION("IF(ISBLANK(B2144),"""",IF(ISDATE(B2144),TEXT(B2144,""m""),""""))"),"")</f>
        <v/>
      </c>
      <c r="N2144" s="29" t="str">
        <f>IFERROR(__xludf.DUMMYFUNCTION("IF(M2144="""","""",QUERY({'Dashboard-Dados'!$Y$2:$AA$13},""Select Col2 Where Col1=""&amp;M2144))"),"")</f>
        <v/>
      </c>
      <c r="O2144" s="29" t="str">
        <f>IFERROR(__xludf.DUMMYFUNCTION("IF(ISBLANK(B2144),"""",IF(ISDATE(B2144),TEXT(B2144,""yyyy""),""""))"),"")</f>
        <v/>
      </c>
    </row>
    <row r="2145">
      <c r="B2145" s="62"/>
      <c r="C2145" s="56"/>
      <c r="D2145" s="56"/>
      <c r="E2145" s="56"/>
      <c r="F2145" s="63"/>
      <c r="G2145" s="64"/>
      <c r="H2145" s="65"/>
      <c r="I2145" s="63"/>
      <c r="K2145" s="53" t="str">
        <f>IFERROR(__xludf.DUMMYFUNCTION("IF(ISBLANK(B2145),"""",IF(ISDATE(B2145),""X"",""""))"),"")</f>
        <v/>
      </c>
      <c r="L2145" s="40" t="str">
        <f>IFERROR(__xludf.DUMMYFUNCTION("IF(ISBLANK(B2145),"""",IF(Or(I2145=""Em Aberto"",ISBLANK(I2145),NOT(ISDATE(B2145))),"""",H2145))"),"")</f>
        <v/>
      </c>
      <c r="M2145" s="29" t="str">
        <f>IFERROR(__xludf.DUMMYFUNCTION("IF(ISBLANK(B2145),"""",IF(ISDATE(B2145),TEXT(B2145,""m""),""""))"),"")</f>
        <v/>
      </c>
      <c r="N2145" s="29" t="str">
        <f>IFERROR(__xludf.DUMMYFUNCTION("IF(M2145="""","""",QUERY({'Dashboard-Dados'!$Y$2:$AA$13},""Select Col2 Where Col1=""&amp;M2145))"),"")</f>
        <v/>
      </c>
      <c r="O2145" s="29" t="str">
        <f>IFERROR(__xludf.DUMMYFUNCTION("IF(ISBLANK(B2145),"""",IF(ISDATE(B2145),TEXT(B2145,""yyyy""),""""))"),"")</f>
        <v/>
      </c>
    </row>
    <row r="2146">
      <c r="B2146" s="62"/>
      <c r="C2146" s="56"/>
      <c r="D2146" s="56"/>
      <c r="E2146" s="56"/>
      <c r="F2146" s="63"/>
      <c r="G2146" s="64"/>
      <c r="H2146" s="65"/>
      <c r="I2146" s="63"/>
      <c r="K2146" s="53" t="str">
        <f>IFERROR(__xludf.DUMMYFUNCTION("IF(ISBLANK(B2146),"""",IF(ISDATE(B2146),""X"",""""))"),"")</f>
        <v/>
      </c>
      <c r="L2146" s="40" t="str">
        <f>IFERROR(__xludf.DUMMYFUNCTION("IF(ISBLANK(B2146),"""",IF(Or(I2146=""Em Aberto"",ISBLANK(I2146),NOT(ISDATE(B2146))),"""",H2146))"),"")</f>
        <v/>
      </c>
      <c r="M2146" s="29" t="str">
        <f>IFERROR(__xludf.DUMMYFUNCTION("IF(ISBLANK(B2146),"""",IF(ISDATE(B2146),TEXT(B2146,""m""),""""))"),"")</f>
        <v/>
      </c>
      <c r="N2146" s="29" t="str">
        <f>IFERROR(__xludf.DUMMYFUNCTION("IF(M2146="""","""",QUERY({'Dashboard-Dados'!$Y$2:$AA$13},""Select Col2 Where Col1=""&amp;M2146))"),"")</f>
        <v/>
      </c>
      <c r="O2146" s="29" t="str">
        <f>IFERROR(__xludf.DUMMYFUNCTION("IF(ISBLANK(B2146),"""",IF(ISDATE(B2146),TEXT(B2146,""yyyy""),""""))"),"")</f>
        <v/>
      </c>
    </row>
    <row r="2147">
      <c r="B2147" s="62"/>
      <c r="C2147" s="56"/>
      <c r="D2147" s="56"/>
      <c r="E2147" s="56"/>
      <c r="F2147" s="63"/>
      <c r="G2147" s="64"/>
      <c r="H2147" s="65"/>
      <c r="I2147" s="63"/>
      <c r="K2147" s="53" t="str">
        <f>IFERROR(__xludf.DUMMYFUNCTION("IF(ISBLANK(B2147),"""",IF(ISDATE(B2147),""X"",""""))"),"")</f>
        <v/>
      </c>
      <c r="L2147" s="40" t="str">
        <f>IFERROR(__xludf.DUMMYFUNCTION("IF(ISBLANK(B2147),"""",IF(Or(I2147=""Em Aberto"",ISBLANK(I2147),NOT(ISDATE(B2147))),"""",H2147))"),"")</f>
        <v/>
      </c>
      <c r="M2147" s="29" t="str">
        <f>IFERROR(__xludf.DUMMYFUNCTION("IF(ISBLANK(B2147),"""",IF(ISDATE(B2147),TEXT(B2147,""m""),""""))"),"")</f>
        <v/>
      </c>
      <c r="N2147" s="29" t="str">
        <f>IFERROR(__xludf.DUMMYFUNCTION("IF(M2147="""","""",QUERY({'Dashboard-Dados'!$Y$2:$AA$13},""Select Col2 Where Col1=""&amp;M2147))"),"")</f>
        <v/>
      </c>
      <c r="O2147" s="29" t="str">
        <f>IFERROR(__xludf.DUMMYFUNCTION("IF(ISBLANK(B2147),"""",IF(ISDATE(B2147),TEXT(B2147,""yyyy""),""""))"),"")</f>
        <v/>
      </c>
    </row>
    <row r="2148">
      <c r="B2148" s="62"/>
      <c r="C2148" s="56"/>
      <c r="D2148" s="56"/>
      <c r="E2148" s="56"/>
      <c r="F2148" s="63"/>
      <c r="G2148" s="64"/>
      <c r="H2148" s="65"/>
      <c r="I2148" s="63"/>
      <c r="K2148" s="53" t="str">
        <f>IFERROR(__xludf.DUMMYFUNCTION("IF(ISBLANK(B2148),"""",IF(ISDATE(B2148),""X"",""""))"),"")</f>
        <v/>
      </c>
      <c r="L2148" s="40" t="str">
        <f>IFERROR(__xludf.DUMMYFUNCTION("IF(ISBLANK(B2148),"""",IF(Or(I2148=""Em Aberto"",ISBLANK(I2148),NOT(ISDATE(B2148))),"""",H2148))"),"")</f>
        <v/>
      </c>
      <c r="M2148" s="29" t="str">
        <f>IFERROR(__xludf.DUMMYFUNCTION("IF(ISBLANK(B2148),"""",IF(ISDATE(B2148),TEXT(B2148,""m""),""""))"),"")</f>
        <v/>
      </c>
      <c r="N2148" s="29" t="str">
        <f>IFERROR(__xludf.DUMMYFUNCTION("IF(M2148="""","""",QUERY({'Dashboard-Dados'!$Y$2:$AA$13},""Select Col2 Where Col1=""&amp;M2148))"),"")</f>
        <v/>
      </c>
      <c r="O2148" s="29" t="str">
        <f>IFERROR(__xludf.DUMMYFUNCTION("IF(ISBLANK(B2148),"""",IF(ISDATE(B2148),TEXT(B2148,""yyyy""),""""))"),"")</f>
        <v/>
      </c>
    </row>
    <row r="2149">
      <c r="B2149" s="62"/>
      <c r="C2149" s="56"/>
      <c r="D2149" s="56"/>
      <c r="E2149" s="56"/>
      <c r="F2149" s="63"/>
      <c r="G2149" s="64"/>
      <c r="H2149" s="65"/>
      <c r="I2149" s="63"/>
      <c r="K2149" s="53" t="str">
        <f>IFERROR(__xludf.DUMMYFUNCTION("IF(ISBLANK(B2149),"""",IF(ISDATE(B2149),""X"",""""))"),"")</f>
        <v/>
      </c>
      <c r="L2149" s="40" t="str">
        <f>IFERROR(__xludf.DUMMYFUNCTION("IF(ISBLANK(B2149),"""",IF(Or(I2149=""Em Aberto"",ISBLANK(I2149),NOT(ISDATE(B2149))),"""",H2149))"),"")</f>
        <v/>
      </c>
      <c r="M2149" s="29" t="str">
        <f>IFERROR(__xludf.DUMMYFUNCTION("IF(ISBLANK(B2149),"""",IF(ISDATE(B2149),TEXT(B2149,""m""),""""))"),"")</f>
        <v/>
      </c>
      <c r="N2149" s="29" t="str">
        <f>IFERROR(__xludf.DUMMYFUNCTION("IF(M2149="""","""",QUERY({'Dashboard-Dados'!$Y$2:$AA$13},""Select Col2 Where Col1=""&amp;M2149))"),"")</f>
        <v/>
      </c>
      <c r="O2149" s="29" t="str">
        <f>IFERROR(__xludf.DUMMYFUNCTION("IF(ISBLANK(B2149),"""",IF(ISDATE(B2149),TEXT(B2149,""yyyy""),""""))"),"")</f>
        <v/>
      </c>
    </row>
    <row r="2150">
      <c r="B2150" s="62"/>
      <c r="C2150" s="56"/>
      <c r="D2150" s="56"/>
      <c r="E2150" s="56"/>
      <c r="F2150" s="63"/>
      <c r="G2150" s="64"/>
      <c r="H2150" s="65"/>
      <c r="I2150" s="63"/>
      <c r="K2150" s="53" t="str">
        <f>IFERROR(__xludf.DUMMYFUNCTION("IF(ISBLANK(B2150),"""",IF(ISDATE(B2150),""X"",""""))"),"")</f>
        <v/>
      </c>
      <c r="L2150" s="40" t="str">
        <f>IFERROR(__xludf.DUMMYFUNCTION("IF(ISBLANK(B2150),"""",IF(Or(I2150=""Em Aberto"",ISBLANK(I2150),NOT(ISDATE(B2150))),"""",H2150))"),"")</f>
        <v/>
      </c>
      <c r="M2150" s="29" t="str">
        <f>IFERROR(__xludf.DUMMYFUNCTION("IF(ISBLANK(B2150),"""",IF(ISDATE(B2150),TEXT(B2150,""m""),""""))"),"")</f>
        <v/>
      </c>
      <c r="N2150" s="29" t="str">
        <f>IFERROR(__xludf.DUMMYFUNCTION("IF(M2150="""","""",QUERY({'Dashboard-Dados'!$Y$2:$AA$13},""Select Col2 Where Col1=""&amp;M2150))"),"")</f>
        <v/>
      </c>
      <c r="O2150" s="29" t="str">
        <f>IFERROR(__xludf.DUMMYFUNCTION("IF(ISBLANK(B2150),"""",IF(ISDATE(B2150),TEXT(B2150,""yyyy""),""""))"),"")</f>
        <v/>
      </c>
    </row>
    <row r="2151">
      <c r="B2151" s="62"/>
      <c r="C2151" s="56"/>
      <c r="D2151" s="56"/>
      <c r="E2151" s="56"/>
      <c r="F2151" s="63"/>
      <c r="G2151" s="64"/>
      <c r="H2151" s="65"/>
      <c r="I2151" s="63"/>
      <c r="K2151" s="53" t="str">
        <f>IFERROR(__xludf.DUMMYFUNCTION("IF(ISBLANK(B2151),"""",IF(ISDATE(B2151),""X"",""""))"),"")</f>
        <v/>
      </c>
      <c r="L2151" s="40" t="str">
        <f>IFERROR(__xludf.DUMMYFUNCTION("IF(ISBLANK(B2151),"""",IF(Or(I2151=""Em Aberto"",ISBLANK(I2151),NOT(ISDATE(B2151))),"""",H2151))"),"")</f>
        <v/>
      </c>
      <c r="M2151" s="29" t="str">
        <f>IFERROR(__xludf.DUMMYFUNCTION("IF(ISBLANK(B2151),"""",IF(ISDATE(B2151),TEXT(B2151,""m""),""""))"),"")</f>
        <v/>
      </c>
      <c r="N2151" s="29" t="str">
        <f>IFERROR(__xludf.DUMMYFUNCTION("IF(M2151="""","""",QUERY({'Dashboard-Dados'!$Y$2:$AA$13},""Select Col2 Where Col1=""&amp;M2151))"),"")</f>
        <v/>
      </c>
      <c r="O2151" s="29" t="str">
        <f>IFERROR(__xludf.DUMMYFUNCTION("IF(ISBLANK(B2151),"""",IF(ISDATE(B2151),TEXT(B2151,""yyyy""),""""))"),"")</f>
        <v/>
      </c>
    </row>
    <row r="2152">
      <c r="B2152" s="62"/>
      <c r="C2152" s="56"/>
      <c r="D2152" s="56"/>
      <c r="E2152" s="56"/>
      <c r="F2152" s="63"/>
      <c r="G2152" s="64"/>
      <c r="H2152" s="65"/>
      <c r="I2152" s="63"/>
      <c r="K2152" s="53" t="str">
        <f>IFERROR(__xludf.DUMMYFUNCTION("IF(ISBLANK(B2152),"""",IF(ISDATE(B2152),""X"",""""))"),"")</f>
        <v/>
      </c>
      <c r="L2152" s="40" t="str">
        <f>IFERROR(__xludf.DUMMYFUNCTION("IF(ISBLANK(B2152),"""",IF(Or(I2152=""Em Aberto"",ISBLANK(I2152),NOT(ISDATE(B2152))),"""",H2152))"),"")</f>
        <v/>
      </c>
      <c r="M2152" s="29" t="str">
        <f>IFERROR(__xludf.DUMMYFUNCTION("IF(ISBLANK(B2152),"""",IF(ISDATE(B2152),TEXT(B2152,""m""),""""))"),"")</f>
        <v/>
      </c>
      <c r="N2152" s="29" t="str">
        <f>IFERROR(__xludf.DUMMYFUNCTION("IF(M2152="""","""",QUERY({'Dashboard-Dados'!$Y$2:$AA$13},""Select Col2 Where Col1=""&amp;M2152))"),"")</f>
        <v/>
      </c>
      <c r="O2152" s="29" t="str">
        <f>IFERROR(__xludf.DUMMYFUNCTION("IF(ISBLANK(B2152),"""",IF(ISDATE(B2152),TEXT(B2152,""yyyy""),""""))"),"")</f>
        <v/>
      </c>
    </row>
    <row r="2153">
      <c r="B2153" s="62"/>
      <c r="C2153" s="56"/>
      <c r="D2153" s="56"/>
      <c r="E2153" s="56"/>
      <c r="F2153" s="63"/>
      <c r="G2153" s="64"/>
      <c r="H2153" s="65"/>
      <c r="I2153" s="63"/>
      <c r="K2153" s="53" t="str">
        <f>IFERROR(__xludf.DUMMYFUNCTION("IF(ISBLANK(B2153),"""",IF(ISDATE(B2153),""X"",""""))"),"")</f>
        <v/>
      </c>
      <c r="L2153" s="40" t="str">
        <f>IFERROR(__xludf.DUMMYFUNCTION("IF(ISBLANK(B2153),"""",IF(Or(I2153=""Em Aberto"",ISBLANK(I2153),NOT(ISDATE(B2153))),"""",H2153))"),"")</f>
        <v/>
      </c>
      <c r="M2153" s="29" t="str">
        <f>IFERROR(__xludf.DUMMYFUNCTION("IF(ISBLANK(B2153),"""",IF(ISDATE(B2153),TEXT(B2153,""m""),""""))"),"")</f>
        <v/>
      </c>
      <c r="N2153" s="29" t="str">
        <f>IFERROR(__xludf.DUMMYFUNCTION("IF(M2153="""","""",QUERY({'Dashboard-Dados'!$Y$2:$AA$13},""Select Col2 Where Col1=""&amp;M2153))"),"")</f>
        <v/>
      </c>
      <c r="O2153" s="29" t="str">
        <f>IFERROR(__xludf.DUMMYFUNCTION("IF(ISBLANK(B2153),"""",IF(ISDATE(B2153),TEXT(B2153,""yyyy""),""""))"),"")</f>
        <v/>
      </c>
    </row>
    <row r="2154">
      <c r="B2154" s="62"/>
      <c r="C2154" s="56"/>
      <c r="D2154" s="56"/>
      <c r="E2154" s="56"/>
      <c r="F2154" s="63"/>
      <c r="G2154" s="64"/>
      <c r="H2154" s="65"/>
      <c r="I2154" s="63"/>
      <c r="K2154" s="53" t="str">
        <f>IFERROR(__xludf.DUMMYFUNCTION("IF(ISBLANK(B2154),"""",IF(ISDATE(B2154),""X"",""""))"),"")</f>
        <v/>
      </c>
      <c r="L2154" s="40" t="str">
        <f>IFERROR(__xludf.DUMMYFUNCTION("IF(ISBLANK(B2154),"""",IF(Or(I2154=""Em Aberto"",ISBLANK(I2154),NOT(ISDATE(B2154))),"""",H2154))"),"")</f>
        <v/>
      </c>
      <c r="M2154" s="29" t="str">
        <f>IFERROR(__xludf.DUMMYFUNCTION("IF(ISBLANK(B2154),"""",IF(ISDATE(B2154),TEXT(B2154,""m""),""""))"),"")</f>
        <v/>
      </c>
      <c r="N2154" s="29" t="str">
        <f>IFERROR(__xludf.DUMMYFUNCTION("IF(M2154="""","""",QUERY({'Dashboard-Dados'!$Y$2:$AA$13},""Select Col2 Where Col1=""&amp;M2154))"),"")</f>
        <v/>
      </c>
      <c r="O2154" s="29" t="str">
        <f>IFERROR(__xludf.DUMMYFUNCTION("IF(ISBLANK(B2154),"""",IF(ISDATE(B2154),TEXT(B2154,""yyyy""),""""))"),"")</f>
        <v/>
      </c>
    </row>
    <row r="2155">
      <c r="B2155" s="62"/>
      <c r="C2155" s="56"/>
      <c r="D2155" s="56"/>
      <c r="E2155" s="56"/>
      <c r="F2155" s="63"/>
      <c r="G2155" s="64"/>
      <c r="H2155" s="65"/>
      <c r="I2155" s="63"/>
      <c r="K2155" s="53" t="str">
        <f>IFERROR(__xludf.DUMMYFUNCTION("IF(ISBLANK(B2155),"""",IF(ISDATE(B2155),""X"",""""))"),"")</f>
        <v/>
      </c>
      <c r="L2155" s="40" t="str">
        <f>IFERROR(__xludf.DUMMYFUNCTION("IF(ISBLANK(B2155),"""",IF(Or(I2155=""Em Aberto"",ISBLANK(I2155),NOT(ISDATE(B2155))),"""",H2155))"),"")</f>
        <v/>
      </c>
      <c r="M2155" s="29" t="str">
        <f>IFERROR(__xludf.DUMMYFUNCTION("IF(ISBLANK(B2155),"""",IF(ISDATE(B2155),TEXT(B2155,""m""),""""))"),"")</f>
        <v/>
      </c>
      <c r="N2155" s="29" t="str">
        <f>IFERROR(__xludf.DUMMYFUNCTION("IF(M2155="""","""",QUERY({'Dashboard-Dados'!$Y$2:$AA$13},""Select Col2 Where Col1=""&amp;M2155))"),"")</f>
        <v/>
      </c>
      <c r="O2155" s="29" t="str">
        <f>IFERROR(__xludf.DUMMYFUNCTION("IF(ISBLANK(B2155),"""",IF(ISDATE(B2155),TEXT(B2155,""yyyy""),""""))"),"")</f>
        <v/>
      </c>
    </row>
    <row r="2156">
      <c r="B2156" s="62"/>
      <c r="C2156" s="56"/>
      <c r="D2156" s="56"/>
      <c r="E2156" s="56"/>
      <c r="F2156" s="63"/>
      <c r="G2156" s="64"/>
      <c r="H2156" s="65"/>
      <c r="I2156" s="63"/>
      <c r="K2156" s="53" t="str">
        <f>IFERROR(__xludf.DUMMYFUNCTION("IF(ISBLANK(B2156),"""",IF(ISDATE(B2156),""X"",""""))"),"")</f>
        <v/>
      </c>
      <c r="L2156" s="40" t="str">
        <f>IFERROR(__xludf.DUMMYFUNCTION("IF(ISBLANK(B2156),"""",IF(Or(I2156=""Em Aberto"",ISBLANK(I2156),NOT(ISDATE(B2156))),"""",H2156))"),"")</f>
        <v/>
      </c>
      <c r="M2156" s="29" t="str">
        <f>IFERROR(__xludf.DUMMYFUNCTION("IF(ISBLANK(B2156),"""",IF(ISDATE(B2156),TEXT(B2156,""m""),""""))"),"")</f>
        <v/>
      </c>
      <c r="N2156" s="29" t="str">
        <f>IFERROR(__xludf.DUMMYFUNCTION("IF(M2156="""","""",QUERY({'Dashboard-Dados'!$Y$2:$AA$13},""Select Col2 Where Col1=""&amp;M2156))"),"")</f>
        <v/>
      </c>
      <c r="O2156" s="29" t="str">
        <f>IFERROR(__xludf.DUMMYFUNCTION("IF(ISBLANK(B2156),"""",IF(ISDATE(B2156),TEXT(B2156,""yyyy""),""""))"),"")</f>
        <v/>
      </c>
    </row>
    <row r="2157">
      <c r="B2157" s="62"/>
      <c r="C2157" s="56"/>
      <c r="D2157" s="56"/>
      <c r="E2157" s="56"/>
      <c r="F2157" s="63"/>
      <c r="G2157" s="64"/>
      <c r="H2157" s="65"/>
      <c r="I2157" s="63"/>
      <c r="K2157" s="53" t="str">
        <f>IFERROR(__xludf.DUMMYFUNCTION("IF(ISBLANK(B2157),"""",IF(ISDATE(B2157),""X"",""""))"),"")</f>
        <v/>
      </c>
      <c r="L2157" s="40" t="str">
        <f>IFERROR(__xludf.DUMMYFUNCTION("IF(ISBLANK(B2157),"""",IF(Or(I2157=""Em Aberto"",ISBLANK(I2157),NOT(ISDATE(B2157))),"""",H2157))"),"")</f>
        <v/>
      </c>
      <c r="M2157" s="29" t="str">
        <f>IFERROR(__xludf.DUMMYFUNCTION("IF(ISBLANK(B2157),"""",IF(ISDATE(B2157),TEXT(B2157,""m""),""""))"),"")</f>
        <v/>
      </c>
      <c r="N2157" s="29" t="str">
        <f>IFERROR(__xludf.DUMMYFUNCTION("IF(M2157="""","""",QUERY({'Dashboard-Dados'!$Y$2:$AA$13},""Select Col2 Where Col1=""&amp;M2157))"),"")</f>
        <v/>
      </c>
      <c r="O2157" s="29" t="str">
        <f>IFERROR(__xludf.DUMMYFUNCTION("IF(ISBLANK(B2157),"""",IF(ISDATE(B2157),TEXT(B2157,""yyyy""),""""))"),"")</f>
        <v/>
      </c>
    </row>
    <row r="2158">
      <c r="B2158" s="62"/>
      <c r="C2158" s="56"/>
      <c r="D2158" s="56"/>
      <c r="E2158" s="56"/>
      <c r="F2158" s="63"/>
      <c r="G2158" s="64"/>
      <c r="H2158" s="65"/>
      <c r="I2158" s="63"/>
      <c r="K2158" s="53" t="str">
        <f>IFERROR(__xludf.DUMMYFUNCTION("IF(ISBLANK(B2158),"""",IF(ISDATE(B2158),""X"",""""))"),"")</f>
        <v/>
      </c>
      <c r="L2158" s="40" t="str">
        <f>IFERROR(__xludf.DUMMYFUNCTION("IF(ISBLANK(B2158),"""",IF(Or(I2158=""Em Aberto"",ISBLANK(I2158),NOT(ISDATE(B2158))),"""",H2158))"),"")</f>
        <v/>
      </c>
      <c r="M2158" s="29" t="str">
        <f>IFERROR(__xludf.DUMMYFUNCTION("IF(ISBLANK(B2158),"""",IF(ISDATE(B2158),TEXT(B2158,""m""),""""))"),"")</f>
        <v/>
      </c>
      <c r="N2158" s="29" t="str">
        <f>IFERROR(__xludf.DUMMYFUNCTION("IF(M2158="""","""",QUERY({'Dashboard-Dados'!$Y$2:$AA$13},""Select Col2 Where Col1=""&amp;M2158))"),"")</f>
        <v/>
      </c>
      <c r="O2158" s="29" t="str">
        <f>IFERROR(__xludf.DUMMYFUNCTION("IF(ISBLANK(B2158),"""",IF(ISDATE(B2158),TEXT(B2158,""yyyy""),""""))"),"")</f>
        <v/>
      </c>
    </row>
    <row r="2159">
      <c r="B2159" s="62"/>
      <c r="C2159" s="56"/>
      <c r="D2159" s="56"/>
      <c r="E2159" s="56"/>
      <c r="F2159" s="63"/>
      <c r="G2159" s="64"/>
      <c r="H2159" s="65"/>
      <c r="I2159" s="63"/>
      <c r="K2159" s="53" t="str">
        <f>IFERROR(__xludf.DUMMYFUNCTION("IF(ISBLANK(B2159),"""",IF(ISDATE(B2159),""X"",""""))"),"")</f>
        <v/>
      </c>
      <c r="L2159" s="40" t="str">
        <f>IFERROR(__xludf.DUMMYFUNCTION("IF(ISBLANK(B2159),"""",IF(Or(I2159=""Em Aberto"",ISBLANK(I2159),NOT(ISDATE(B2159))),"""",H2159))"),"")</f>
        <v/>
      </c>
      <c r="M2159" s="29" t="str">
        <f>IFERROR(__xludf.DUMMYFUNCTION("IF(ISBLANK(B2159),"""",IF(ISDATE(B2159),TEXT(B2159,""m""),""""))"),"")</f>
        <v/>
      </c>
      <c r="N2159" s="29" t="str">
        <f>IFERROR(__xludf.DUMMYFUNCTION("IF(M2159="""","""",QUERY({'Dashboard-Dados'!$Y$2:$AA$13},""Select Col2 Where Col1=""&amp;M2159))"),"")</f>
        <v/>
      </c>
      <c r="O2159" s="29" t="str">
        <f>IFERROR(__xludf.DUMMYFUNCTION("IF(ISBLANK(B2159),"""",IF(ISDATE(B2159),TEXT(B2159,""yyyy""),""""))"),"")</f>
        <v/>
      </c>
    </row>
    <row r="2160">
      <c r="B2160" s="62"/>
      <c r="C2160" s="56"/>
      <c r="D2160" s="56"/>
      <c r="E2160" s="56"/>
      <c r="F2160" s="63"/>
      <c r="G2160" s="64"/>
      <c r="H2160" s="65"/>
      <c r="I2160" s="63"/>
      <c r="K2160" s="53" t="str">
        <f>IFERROR(__xludf.DUMMYFUNCTION("IF(ISBLANK(B2160),"""",IF(ISDATE(B2160),""X"",""""))"),"")</f>
        <v/>
      </c>
      <c r="L2160" s="40" t="str">
        <f>IFERROR(__xludf.DUMMYFUNCTION("IF(ISBLANK(B2160),"""",IF(Or(I2160=""Em Aberto"",ISBLANK(I2160),NOT(ISDATE(B2160))),"""",H2160))"),"")</f>
        <v/>
      </c>
      <c r="M2160" s="29" t="str">
        <f>IFERROR(__xludf.DUMMYFUNCTION("IF(ISBLANK(B2160),"""",IF(ISDATE(B2160),TEXT(B2160,""m""),""""))"),"")</f>
        <v/>
      </c>
      <c r="N2160" s="29" t="str">
        <f>IFERROR(__xludf.DUMMYFUNCTION("IF(M2160="""","""",QUERY({'Dashboard-Dados'!$Y$2:$AA$13},""Select Col2 Where Col1=""&amp;M2160))"),"")</f>
        <v/>
      </c>
      <c r="O2160" s="29" t="str">
        <f>IFERROR(__xludf.DUMMYFUNCTION("IF(ISBLANK(B2160),"""",IF(ISDATE(B2160),TEXT(B2160,""yyyy""),""""))"),"")</f>
        <v/>
      </c>
    </row>
    <row r="2161">
      <c r="B2161" s="62"/>
      <c r="C2161" s="56"/>
      <c r="D2161" s="56"/>
      <c r="E2161" s="56"/>
      <c r="F2161" s="63"/>
      <c r="G2161" s="64"/>
      <c r="H2161" s="65"/>
      <c r="I2161" s="63"/>
      <c r="K2161" s="53" t="str">
        <f>IFERROR(__xludf.DUMMYFUNCTION("IF(ISBLANK(B2161),"""",IF(ISDATE(B2161),""X"",""""))"),"")</f>
        <v/>
      </c>
      <c r="L2161" s="40" t="str">
        <f>IFERROR(__xludf.DUMMYFUNCTION("IF(ISBLANK(B2161),"""",IF(Or(I2161=""Em Aberto"",ISBLANK(I2161),NOT(ISDATE(B2161))),"""",H2161))"),"")</f>
        <v/>
      </c>
      <c r="M2161" s="29" t="str">
        <f>IFERROR(__xludf.DUMMYFUNCTION("IF(ISBLANK(B2161),"""",IF(ISDATE(B2161),TEXT(B2161,""m""),""""))"),"")</f>
        <v/>
      </c>
      <c r="N2161" s="29" t="str">
        <f>IFERROR(__xludf.DUMMYFUNCTION("IF(M2161="""","""",QUERY({'Dashboard-Dados'!$Y$2:$AA$13},""Select Col2 Where Col1=""&amp;M2161))"),"")</f>
        <v/>
      </c>
      <c r="O2161" s="29" t="str">
        <f>IFERROR(__xludf.DUMMYFUNCTION("IF(ISBLANK(B2161),"""",IF(ISDATE(B2161),TEXT(B2161,""yyyy""),""""))"),"")</f>
        <v/>
      </c>
    </row>
    <row r="2162">
      <c r="B2162" s="62"/>
      <c r="C2162" s="56"/>
      <c r="D2162" s="56"/>
      <c r="E2162" s="56"/>
      <c r="F2162" s="63"/>
      <c r="G2162" s="64"/>
      <c r="H2162" s="65"/>
      <c r="I2162" s="63"/>
      <c r="K2162" s="53" t="str">
        <f>IFERROR(__xludf.DUMMYFUNCTION("IF(ISBLANK(B2162),"""",IF(ISDATE(B2162),""X"",""""))"),"")</f>
        <v/>
      </c>
      <c r="L2162" s="40" t="str">
        <f>IFERROR(__xludf.DUMMYFUNCTION("IF(ISBLANK(B2162),"""",IF(Or(I2162=""Em Aberto"",ISBLANK(I2162),NOT(ISDATE(B2162))),"""",H2162))"),"")</f>
        <v/>
      </c>
      <c r="M2162" s="29" t="str">
        <f>IFERROR(__xludf.DUMMYFUNCTION("IF(ISBLANK(B2162),"""",IF(ISDATE(B2162),TEXT(B2162,""m""),""""))"),"")</f>
        <v/>
      </c>
      <c r="N2162" s="29" t="str">
        <f>IFERROR(__xludf.DUMMYFUNCTION("IF(M2162="""","""",QUERY({'Dashboard-Dados'!$Y$2:$AA$13},""Select Col2 Where Col1=""&amp;M2162))"),"")</f>
        <v/>
      </c>
      <c r="O2162" s="29" t="str">
        <f>IFERROR(__xludf.DUMMYFUNCTION("IF(ISBLANK(B2162),"""",IF(ISDATE(B2162),TEXT(B2162,""yyyy""),""""))"),"")</f>
        <v/>
      </c>
    </row>
    <row r="2163">
      <c r="B2163" s="62"/>
      <c r="C2163" s="56"/>
      <c r="D2163" s="56"/>
      <c r="E2163" s="56"/>
      <c r="F2163" s="63"/>
      <c r="G2163" s="64"/>
      <c r="H2163" s="65"/>
      <c r="I2163" s="63"/>
      <c r="K2163" s="53" t="str">
        <f>IFERROR(__xludf.DUMMYFUNCTION("IF(ISBLANK(B2163),"""",IF(ISDATE(B2163),""X"",""""))"),"")</f>
        <v/>
      </c>
      <c r="L2163" s="40" t="str">
        <f>IFERROR(__xludf.DUMMYFUNCTION("IF(ISBLANK(B2163),"""",IF(Or(I2163=""Em Aberto"",ISBLANK(I2163),NOT(ISDATE(B2163))),"""",H2163))"),"")</f>
        <v/>
      </c>
      <c r="M2163" s="29" t="str">
        <f>IFERROR(__xludf.DUMMYFUNCTION("IF(ISBLANK(B2163),"""",IF(ISDATE(B2163),TEXT(B2163,""m""),""""))"),"")</f>
        <v/>
      </c>
      <c r="N2163" s="29" t="str">
        <f>IFERROR(__xludf.DUMMYFUNCTION("IF(M2163="""","""",QUERY({'Dashboard-Dados'!$Y$2:$AA$13},""Select Col2 Where Col1=""&amp;M2163))"),"")</f>
        <v/>
      </c>
      <c r="O2163" s="29" t="str">
        <f>IFERROR(__xludf.DUMMYFUNCTION("IF(ISBLANK(B2163),"""",IF(ISDATE(B2163),TEXT(B2163,""yyyy""),""""))"),"")</f>
        <v/>
      </c>
    </row>
    <row r="2164">
      <c r="B2164" s="62"/>
      <c r="C2164" s="56"/>
      <c r="D2164" s="56"/>
      <c r="E2164" s="56"/>
      <c r="F2164" s="63"/>
      <c r="G2164" s="64"/>
      <c r="H2164" s="65"/>
      <c r="I2164" s="63"/>
      <c r="K2164" s="53" t="str">
        <f>IFERROR(__xludf.DUMMYFUNCTION("IF(ISBLANK(B2164),"""",IF(ISDATE(B2164),""X"",""""))"),"")</f>
        <v/>
      </c>
      <c r="L2164" s="40" t="str">
        <f>IFERROR(__xludf.DUMMYFUNCTION("IF(ISBLANK(B2164),"""",IF(Or(I2164=""Em Aberto"",ISBLANK(I2164),NOT(ISDATE(B2164))),"""",H2164))"),"")</f>
        <v/>
      </c>
      <c r="M2164" s="29" t="str">
        <f>IFERROR(__xludf.DUMMYFUNCTION("IF(ISBLANK(B2164),"""",IF(ISDATE(B2164),TEXT(B2164,""m""),""""))"),"")</f>
        <v/>
      </c>
      <c r="N2164" s="29" t="str">
        <f>IFERROR(__xludf.DUMMYFUNCTION("IF(M2164="""","""",QUERY({'Dashboard-Dados'!$Y$2:$AA$13},""Select Col2 Where Col1=""&amp;M2164))"),"")</f>
        <v/>
      </c>
      <c r="O2164" s="29" t="str">
        <f>IFERROR(__xludf.DUMMYFUNCTION("IF(ISBLANK(B2164),"""",IF(ISDATE(B2164),TEXT(B2164,""yyyy""),""""))"),"")</f>
        <v/>
      </c>
    </row>
    <row r="2165">
      <c r="B2165" s="62"/>
      <c r="C2165" s="56"/>
      <c r="D2165" s="56"/>
      <c r="E2165" s="56"/>
      <c r="F2165" s="63"/>
      <c r="G2165" s="64"/>
      <c r="H2165" s="65"/>
      <c r="I2165" s="63"/>
      <c r="K2165" s="53" t="str">
        <f>IFERROR(__xludf.DUMMYFUNCTION("IF(ISBLANK(B2165),"""",IF(ISDATE(B2165),""X"",""""))"),"")</f>
        <v/>
      </c>
      <c r="L2165" s="40" t="str">
        <f>IFERROR(__xludf.DUMMYFUNCTION("IF(ISBLANK(B2165),"""",IF(Or(I2165=""Em Aberto"",ISBLANK(I2165),NOT(ISDATE(B2165))),"""",H2165))"),"")</f>
        <v/>
      </c>
      <c r="M2165" s="29" t="str">
        <f>IFERROR(__xludf.DUMMYFUNCTION("IF(ISBLANK(B2165),"""",IF(ISDATE(B2165),TEXT(B2165,""m""),""""))"),"")</f>
        <v/>
      </c>
      <c r="N2165" s="29" t="str">
        <f>IFERROR(__xludf.DUMMYFUNCTION("IF(M2165="""","""",QUERY({'Dashboard-Dados'!$Y$2:$AA$13},""Select Col2 Where Col1=""&amp;M2165))"),"")</f>
        <v/>
      </c>
      <c r="O2165" s="29" t="str">
        <f>IFERROR(__xludf.DUMMYFUNCTION("IF(ISBLANK(B2165),"""",IF(ISDATE(B2165),TEXT(B2165,""yyyy""),""""))"),"")</f>
        <v/>
      </c>
    </row>
    <row r="2166">
      <c r="B2166" s="62"/>
      <c r="C2166" s="56"/>
      <c r="D2166" s="56"/>
      <c r="E2166" s="56"/>
      <c r="F2166" s="63"/>
      <c r="G2166" s="64"/>
      <c r="H2166" s="65"/>
      <c r="I2166" s="63"/>
      <c r="K2166" s="53" t="str">
        <f>IFERROR(__xludf.DUMMYFUNCTION("IF(ISBLANK(B2166),"""",IF(ISDATE(B2166),""X"",""""))"),"")</f>
        <v/>
      </c>
      <c r="L2166" s="40" t="str">
        <f>IFERROR(__xludf.DUMMYFUNCTION("IF(ISBLANK(B2166),"""",IF(Or(I2166=""Em Aberto"",ISBLANK(I2166),NOT(ISDATE(B2166))),"""",H2166))"),"")</f>
        <v/>
      </c>
      <c r="M2166" s="29" t="str">
        <f>IFERROR(__xludf.DUMMYFUNCTION("IF(ISBLANK(B2166),"""",IF(ISDATE(B2166),TEXT(B2166,""m""),""""))"),"")</f>
        <v/>
      </c>
      <c r="N2166" s="29" t="str">
        <f>IFERROR(__xludf.DUMMYFUNCTION("IF(M2166="""","""",QUERY({'Dashboard-Dados'!$Y$2:$AA$13},""Select Col2 Where Col1=""&amp;M2166))"),"")</f>
        <v/>
      </c>
      <c r="O2166" s="29" t="str">
        <f>IFERROR(__xludf.DUMMYFUNCTION("IF(ISBLANK(B2166),"""",IF(ISDATE(B2166),TEXT(B2166,""yyyy""),""""))"),"")</f>
        <v/>
      </c>
    </row>
    <row r="2167">
      <c r="B2167" s="62"/>
      <c r="C2167" s="56"/>
      <c r="D2167" s="56"/>
      <c r="E2167" s="56"/>
      <c r="F2167" s="63"/>
      <c r="G2167" s="64"/>
      <c r="H2167" s="65"/>
      <c r="I2167" s="63"/>
      <c r="K2167" s="53" t="str">
        <f>IFERROR(__xludf.DUMMYFUNCTION("IF(ISBLANK(B2167),"""",IF(ISDATE(B2167),""X"",""""))"),"")</f>
        <v/>
      </c>
      <c r="L2167" s="40" t="str">
        <f>IFERROR(__xludf.DUMMYFUNCTION("IF(ISBLANK(B2167),"""",IF(Or(I2167=""Em Aberto"",ISBLANK(I2167),NOT(ISDATE(B2167))),"""",H2167))"),"")</f>
        <v/>
      </c>
      <c r="M2167" s="29" t="str">
        <f>IFERROR(__xludf.DUMMYFUNCTION("IF(ISBLANK(B2167),"""",IF(ISDATE(B2167),TEXT(B2167,""m""),""""))"),"")</f>
        <v/>
      </c>
      <c r="N2167" s="29" t="str">
        <f>IFERROR(__xludf.DUMMYFUNCTION("IF(M2167="""","""",QUERY({'Dashboard-Dados'!$Y$2:$AA$13},""Select Col2 Where Col1=""&amp;M2167))"),"")</f>
        <v/>
      </c>
      <c r="O2167" s="29" t="str">
        <f>IFERROR(__xludf.DUMMYFUNCTION("IF(ISBLANK(B2167),"""",IF(ISDATE(B2167),TEXT(B2167,""yyyy""),""""))"),"")</f>
        <v/>
      </c>
    </row>
    <row r="2168">
      <c r="B2168" s="62"/>
      <c r="C2168" s="56"/>
      <c r="D2168" s="56"/>
      <c r="E2168" s="56"/>
      <c r="F2168" s="63"/>
      <c r="G2168" s="64"/>
      <c r="H2168" s="65"/>
      <c r="I2168" s="63"/>
      <c r="K2168" s="53" t="str">
        <f>IFERROR(__xludf.DUMMYFUNCTION("IF(ISBLANK(B2168),"""",IF(ISDATE(B2168),""X"",""""))"),"")</f>
        <v/>
      </c>
      <c r="L2168" s="40" t="str">
        <f>IFERROR(__xludf.DUMMYFUNCTION("IF(ISBLANK(B2168),"""",IF(Or(I2168=""Em Aberto"",ISBLANK(I2168),NOT(ISDATE(B2168))),"""",H2168))"),"")</f>
        <v/>
      </c>
      <c r="M2168" s="29" t="str">
        <f>IFERROR(__xludf.DUMMYFUNCTION("IF(ISBLANK(B2168),"""",IF(ISDATE(B2168),TEXT(B2168,""m""),""""))"),"")</f>
        <v/>
      </c>
      <c r="N2168" s="29" t="str">
        <f>IFERROR(__xludf.DUMMYFUNCTION("IF(M2168="""","""",QUERY({'Dashboard-Dados'!$Y$2:$AA$13},""Select Col2 Where Col1=""&amp;M2168))"),"")</f>
        <v/>
      </c>
      <c r="O2168" s="29" t="str">
        <f>IFERROR(__xludf.DUMMYFUNCTION("IF(ISBLANK(B2168),"""",IF(ISDATE(B2168),TEXT(B2168,""yyyy""),""""))"),"")</f>
        <v/>
      </c>
    </row>
    <row r="2169">
      <c r="B2169" s="62"/>
      <c r="C2169" s="56"/>
      <c r="D2169" s="56"/>
      <c r="E2169" s="56"/>
      <c r="F2169" s="63"/>
      <c r="G2169" s="64"/>
      <c r="H2169" s="65"/>
      <c r="I2169" s="63"/>
      <c r="K2169" s="53" t="str">
        <f>IFERROR(__xludf.DUMMYFUNCTION("IF(ISBLANK(B2169),"""",IF(ISDATE(B2169),""X"",""""))"),"")</f>
        <v/>
      </c>
      <c r="L2169" s="40" t="str">
        <f>IFERROR(__xludf.DUMMYFUNCTION("IF(ISBLANK(B2169),"""",IF(Or(I2169=""Em Aberto"",ISBLANK(I2169),NOT(ISDATE(B2169))),"""",H2169))"),"")</f>
        <v/>
      </c>
      <c r="M2169" s="29" t="str">
        <f>IFERROR(__xludf.DUMMYFUNCTION("IF(ISBLANK(B2169),"""",IF(ISDATE(B2169),TEXT(B2169,""m""),""""))"),"")</f>
        <v/>
      </c>
      <c r="N2169" s="29" t="str">
        <f>IFERROR(__xludf.DUMMYFUNCTION("IF(M2169="""","""",QUERY({'Dashboard-Dados'!$Y$2:$AA$13},""Select Col2 Where Col1=""&amp;M2169))"),"")</f>
        <v/>
      </c>
      <c r="O2169" s="29" t="str">
        <f>IFERROR(__xludf.DUMMYFUNCTION("IF(ISBLANK(B2169),"""",IF(ISDATE(B2169),TEXT(B2169,""yyyy""),""""))"),"")</f>
        <v/>
      </c>
    </row>
    <row r="2170">
      <c r="B2170" s="62"/>
      <c r="C2170" s="56"/>
      <c r="D2170" s="56"/>
      <c r="E2170" s="56"/>
      <c r="F2170" s="63"/>
      <c r="G2170" s="64"/>
      <c r="H2170" s="65"/>
      <c r="I2170" s="63"/>
      <c r="K2170" s="53" t="str">
        <f>IFERROR(__xludf.DUMMYFUNCTION("IF(ISBLANK(B2170),"""",IF(ISDATE(B2170),""X"",""""))"),"")</f>
        <v/>
      </c>
      <c r="L2170" s="40" t="str">
        <f>IFERROR(__xludf.DUMMYFUNCTION("IF(ISBLANK(B2170),"""",IF(Or(I2170=""Em Aberto"",ISBLANK(I2170),NOT(ISDATE(B2170))),"""",H2170))"),"")</f>
        <v/>
      </c>
      <c r="M2170" s="29" t="str">
        <f>IFERROR(__xludf.DUMMYFUNCTION("IF(ISBLANK(B2170),"""",IF(ISDATE(B2170),TEXT(B2170,""m""),""""))"),"")</f>
        <v/>
      </c>
      <c r="N2170" s="29" t="str">
        <f>IFERROR(__xludf.DUMMYFUNCTION("IF(M2170="""","""",QUERY({'Dashboard-Dados'!$Y$2:$AA$13},""Select Col2 Where Col1=""&amp;M2170))"),"")</f>
        <v/>
      </c>
      <c r="O2170" s="29" t="str">
        <f>IFERROR(__xludf.DUMMYFUNCTION("IF(ISBLANK(B2170),"""",IF(ISDATE(B2170),TEXT(B2170,""yyyy""),""""))"),"")</f>
        <v/>
      </c>
    </row>
    <row r="2171">
      <c r="B2171" s="62"/>
      <c r="C2171" s="56"/>
      <c r="D2171" s="56"/>
      <c r="E2171" s="56"/>
      <c r="F2171" s="63"/>
      <c r="G2171" s="64"/>
      <c r="H2171" s="65"/>
      <c r="I2171" s="63"/>
      <c r="K2171" s="53" t="str">
        <f>IFERROR(__xludf.DUMMYFUNCTION("IF(ISBLANK(B2171),"""",IF(ISDATE(B2171),""X"",""""))"),"")</f>
        <v/>
      </c>
      <c r="L2171" s="40" t="str">
        <f>IFERROR(__xludf.DUMMYFUNCTION("IF(ISBLANK(B2171),"""",IF(Or(I2171=""Em Aberto"",ISBLANK(I2171),NOT(ISDATE(B2171))),"""",H2171))"),"")</f>
        <v/>
      </c>
      <c r="M2171" s="29" t="str">
        <f>IFERROR(__xludf.DUMMYFUNCTION("IF(ISBLANK(B2171),"""",IF(ISDATE(B2171),TEXT(B2171,""m""),""""))"),"")</f>
        <v/>
      </c>
      <c r="N2171" s="29" t="str">
        <f>IFERROR(__xludf.DUMMYFUNCTION("IF(M2171="""","""",QUERY({'Dashboard-Dados'!$Y$2:$AA$13},""Select Col2 Where Col1=""&amp;M2171))"),"")</f>
        <v/>
      </c>
      <c r="O2171" s="29" t="str">
        <f>IFERROR(__xludf.DUMMYFUNCTION("IF(ISBLANK(B2171),"""",IF(ISDATE(B2171),TEXT(B2171,""yyyy""),""""))"),"")</f>
        <v/>
      </c>
    </row>
    <row r="2172">
      <c r="B2172" s="62"/>
      <c r="C2172" s="56"/>
      <c r="D2172" s="56"/>
      <c r="E2172" s="56"/>
      <c r="F2172" s="63"/>
      <c r="G2172" s="64"/>
      <c r="H2172" s="65"/>
      <c r="I2172" s="63"/>
      <c r="K2172" s="53" t="str">
        <f>IFERROR(__xludf.DUMMYFUNCTION("IF(ISBLANK(B2172),"""",IF(ISDATE(B2172),""X"",""""))"),"")</f>
        <v/>
      </c>
      <c r="L2172" s="40" t="str">
        <f>IFERROR(__xludf.DUMMYFUNCTION("IF(ISBLANK(B2172),"""",IF(Or(I2172=""Em Aberto"",ISBLANK(I2172),NOT(ISDATE(B2172))),"""",H2172))"),"")</f>
        <v/>
      </c>
      <c r="M2172" s="29" t="str">
        <f>IFERROR(__xludf.DUMMYFUNCTION("IF(ISBLANK(B2172),"""",IF(ISDATE(B2172),TEXT(B2172,""m""),""""))"),"")</f>
        <v/>
      </c>
      <c r="N2172" s="29" t="str">
        <f>IFERROR(__xludf.DUMMYFUNCTION("IF(M2172="""","""",QUERY({'Dashboard-Dados'!$Y$2:$AA$13},""Select Col2 Where Col1=""&amp;M2172))"),"")</f>
        <v/>
      </c>
      <c r="O2172" s="29" t="str">
        <f>IFERROR(__xludf.DUMMYFUNCTION("IF(ISBLANK(B2172),"""",IF(ISDATE(B2172),TEXT(B2172,""yyyy""),""""))"),"")</f>
        <v/>
      </c>
    </row>
    <row r="2173">
      <c r="B2173" s="62"/>
      <c r="C2173" s="56"/>
      <c r="D2173" s="56"/>
      <c r="E2173" s="56"/>
      <c r="F2173" s="63"/>
      <c r="G2173" s="64"/>
      <c r="H2173" s="65"/>
      <c r="I2173" s="63"/>
      <c r="K2173" s="53" t="str">
        <f>IFERROR(__xludf.DUMMYFUNCTION("IF(ISBLANK(B2173),"""",IF(ISDATE(B2173),""X"",""""))"),"")</f>
        <v/>
      </c>
      <c r="L2173" s="40" t="str">
        <f>IFERROR(__xludf.DUMMYFUNCTION("IF(ISBLANK(B2173),"""",IF(Or(I2173=""Em Aberto"",ISBLANK(I2173),NOT(ISDATE(B2173))),"""",H2173))"),"")</f>
        <v/>
      </c>
      <c r="M2173" s="29" t="str">
        <f>IFERROR(__xludf.DUMMYFUNCTION("IF(ISBLANK(B2173),"""",IF(ISDATE(B2173),TEXT(B2173,""m""),""""))"),"")</f>
        <v/>
      </c>
      <c r="N2173" s="29" t="str">
        <f>IFERROR(__xludf.DUMMYFUNCTION("IF(M2173="""","""",QUERY({'Dashboard-Dados'!$Y$2:$AA$13},""Select Col2 Where Col1=""&amp;M2173))"),"")</f>
        <v/>
      </c>
      <c r="O2173" s="29" t="str">
        <f>IFERROR(__xludf.DUMMYFUNCTION("IF(ISBLANK(B2173),"""",IF(ISDATE(B2173),TEXT(B2173,""yyyy""),""""))"),"")</f>
        <v/>
      </c>
    </row>
    <row r="2174">
      <c r="B2174" s="62"/>
      <c r="C2174" s="56"/>
      <c r="D2174" s="56"/>
      <c r="E2174" s="56"/>
      <c r="F2174" s="63"/>
      <c r="G2174" s="64"/>
      <c r="H2174" s="65"/>
      <c r="I2174" s="63"/>
      <c r="K2174" s="53" t="str">
        <f>IFERROR(__xludf.DUMMYFUNCTION("IF(ISBLANK(B2174),"""",IF(ISDATE(B2174),""X"",""""))"),"")</f>
        <v/>
      </c>
      <c r="L2174" s="40" t="str">
        <f>IFERROR(__xludf.DUMMYFUNCTION("IF(ISBLANK(B2174),"""",IF(Or(I2174=""Em Aberto"",ISBLANK(I2174),NOT(ISDATE(B2174))),"""",H2174))"),"")</f>
        <v/>
      </c>
      <c r="M2174" s="29" t="str">
        <f>IFERROR(__xludf.DUMMYFUNCTION("IF(ISBLANK(B2174),"""",IF(ISDATE(B2174),TEXT(B2174,""m""),""""))"),"")</f>
        <v/>
      </c>
      <c r="N2174" s="29" t="str">
        <f>IFERROR(__xludf.DUMMYFUNCTION("IF(M2174="""","""",QUERY({'Dashboard-Dados'!$Y$2:$AA$13},""Select Col2 Where Col1=""&amp;M2174))"),"")</f>
        <v/>
      </c>
      <c r="O2174" s="29" t="str">
        <f>IFERROR(__xludf.DUMMYFUNCTION("IF(ISBLANK(B2174),"""",IF(ISDATE(B2174),TEXT(B2174,""yyyy""),""""))"),"")</f>
        <v/>
      </c>
    </row>
    <row r="2175">
      <c r="B2175" s="62"/>
      <c r="C2175" s="56"/>
      <c r="D2175" s="56"/>
      <c r="E2175" s="56"/>
      <c r="F2175" s="63"/>
      <c r="G2175" s="64"/>
      <c r="H2175" s="65"/>
      <c r="I2175" s="63"/>
      <c r="K2175" s="53" t="str">
        <f>IFERROR(__xludf.DUMMYFUNCTION("IF(ISBLANK(B2175),"""",IF(ISDATE(B2175),""X"",""""))"),"")</f>
        <v/>
      </c>
      <c r="L2175" s="40" t="str">
        <f>IFERROR(__xludf.DUMMYFUNCTION("IF(ISBLANK(B2175),"""",IF(Or(I2175=""Em Aberto"",ISBLANK(I2175),NOT(ISDATE(B2175))),"""",H2175))"),"")</f>
        <v/>
      </c>
      <c r="M2175" s="29" t="str">
        <f>IFERROR(__xludf.DUMMYFUNCTION("IF(ISBLANK(B2175),"""",IF(ISDATE(B2175),TEXT(B2175,""m""),""""))"),"")</f>
        <v/>
      </c>
      <c r="N2175" s="29" t="str">
        <f>IFERROR(__xludf.DUMMYFUNCTION("IF(M2175="""","""",QUERY({'Dashboard-Dados'!$Y$2:$AA$13},""Select Col2 Where Col1=""&amp;M2175))"),"")</f>
        <v/>
      </c>
      <c r="O2175" s="29" t="str">
        <f>IFERROR(__xludf.DUMMYFUNCTION("IF(ISBLANK(B2175),"""",IF(ISDATE(B2175),TEXT(B2175,""yyyy""),""""))"),"")</f>
        <v/>
      </c>
    </row>
    <row r="2176">
      <c r="B2176" s="62"/>
      <c r="C2176" s="56"/>
      <c r="D2176" s="56"/>
      <c r="E2176" s="56"/>
      <c r="F2176" s="63"/>
      <c r="G2176" s="64"/>
      <c r="H2176" s="65"/>
      <c r="I2176" s="63"/>
      <c r="K2176" s="53" t="str">
        <f>IFERROR(__xludf.DUMMYFUNCTION("IF(ISBLANK(B2176),"""",IF(ISDATE(B2176),""X"",""""))"),"")</f>
        <v/>
      </c>
      <c r="L2176" s="40" t="str">
        <f>IFERROR(__xludf.DUMMYFUNCTION("IF(ISBLANK(B2176),"""",IF(Or(I2176=""Em Aberto"",ISBLANK(I2176),NOT(ISDATE(B2176))),"""",H2176))"),"")</f>
        <v/>
      </c>
      <c r="M2176" s="29" t="str">
        <f>IFERROR(__xludf.DUMMYFUNCTION("IF(ISBLANK(B2176),"""",IF(ISDATE(B2176),TEXT(B2176,""m""),""""))"),"")</f>
        <v/>
      </c>
      <c r="N2176" s="29" t="str">
        <f>IFERROR(__xludf.DUMMYFUNCTION("IF(M2176="""","""",QUERY({'Dashboard-Dados'!$Y$2:$AA$13},""Select Col2 Where Col1=""&amp;M2176))"),"")</f>
        <v/>
      </c>
      <c r="O2176" s="29" t="str">
        <f>IFERROR(__xludf.DUMMYFUNCTION("IF(ISBLANK(B2176),"""",IF(ISDATE(B2176),TEXT(B2176,""yyyy""),""""))"),"")</f>
        <v/>
      </c>
    </row>
    <row r="2177">
      <c r="B2177" s="62"/>
      <c r="C2177" s="56"/>
      <c r="D2177" s="56"/>
      <c r="E2177" s="56"/>
      <c r="F2177" s="63"/>
      <c r="G2177" s="64"/>
      <c r="H2177" s="65"/>
      <c r="I2177" s="63"/>
      <c r="K2177" s="53" t="str">
        <f>IFERROR(__xludf.DUMMYFUNCTION("IF(ISBLANK(B2177),"""",IF(ISDATE(B2177),""X"",""""))"),"")</f>
        <v/>
      </c>
      <c r="L2177" s="40" t="str">
        <f>IFERROR(__xludf.DUMMYFUNCTION("IF(ISBLANK(B2177),"""",IF(Or(I2177=""Em Aberto"",ISBLANK(I2177),NOT(ISDATE(B2177))),"""",H2177))"),"")</f>
        <v/>
      </c>
      <c r="M2177" s="29" t="str">
        <f>IFERROR(__xludf.DUMMYFUNCTION("IF(ISBLANK(B2177),"""",IF(ISDATE(B2177),TEXT(B2177,""m""),""""))"),"")</f>
        <v/>
      </c>
      <c r="N2177" s="29" t="str">
        <f>IFERROR(__xludf.DUMMYFUNCTION("IF(M2177="""","""",QUERY({'Dashboard-Dados'!$Y$2:$AA$13},""Select Col2 Where Col1=""&amp;M2177))"),"")</f>
        <v/>
      </c>
      <c r="O2177" s="29" t="str">
        <f>IFERROR(__xludf.DUMMYFUNCTION("IF(ISBLANK(B2177),"""",IF(ISDATE(B2177),TEXT(B2177,""yyyy""),""""))"),"")</f>
        <v/>
      </c>
    </row>
    <row r="2178">
      <c r="B2178" s="62"/>
      <c r="C2178" s="56"/>
      <c r="D2178" s="56"/>
      <c r="E2178" s="56"/>
      <c r="F2178" s="63"/>
      <c r="G2178" s="64"/>
      <c r="H2178" s="65"/>
      <c r="I2178" s="63"/>
      <c r="K2178" s="53" t="str">
        <f>IFERROR(__xludf.DUMMYFUNCTION("IF(ISBLANK(B2178),"""",IF(ISDATE(B2178),""X"",""""))"),"")</f>
        <v/>
      </c>
      <c r="L2178" s="40" t="str">
        <f>IFERROR(__xludf.DUMMYFUNCTION("IF(ISBLANK(B2178),"""",IF(Or(I2178=""Em Aberto"",ISBLANK(I2178),NOT(ISDATE(B2178))),"""",H2178))"),"")</f>
        <v/>
      </c>
      <c r="M2178" s="29" t="str">
        <f>IFERROR(__xludf.DUMMYFUNCTION("IF(ISBLANK(B2178),"""",IF(ISDATE(B2178),TEXT(B2178,""m""),""""))"),"")</f>
        <v/>
      </c>
      <c r="N2178" s="29" t="str">
        <f>IFERROR(__xludf.DUMMYFUNCTION("IF(M2178="""","""",QUERY({'Dashboard-Dados'!$Y$2:$AA$13},""Select Col2 Where Col1=""&amp;M2178))"),"")</f>
        <v/>
      </c>
      <c r="O2178" s="29" t="str">
        <f>IFERROR(__xludf.DUMMYFUNCTION("IF(ISBLANK(B2178),"""",IF(ISDATE(B2178),TEXT(B2178,""yyyy""),""""))"),"")</f>
        <v/>
      </c>
    </row>
    <row r="2179">
      <c r="B2179" s="62"/>
      <c r="C2179" s="56"/>
      <c r="D2179" s="56"/>
      <c r="E2179" s="56"/>
      <c r="F2179" s="63"/>
      <c r="G2179" s="64"/>
      <c r="H2179" s="65"/>
      <c r="I2179" s="63"/>
      <c r="K2179" s="53" t="str">
        <f>IFERROR(__xludf.DUMMYFUNCTION("IF(ISBLANK(B2179),"""",IF(ISDATE(B2179),""X"",""""))"),"")</f>
        <v/>
      </c>
      <c r="L2179" s="40" t="str">
        <f>IFERROR(__xludf.DUMMYFUNCTION("IF(ISBLANK(B2179),"""",IF(Or(I2179=""Em Aberto"",ISBLANK(I2179),NOT(ISDATE(B2179))),"""",H2179))"),"")</f>
        <v/>
      </c>
      <c r="M2179" s="29" t="str">
        <f>IFERROR(__xludf.DUMMYFUNCTION("IF(ISBLANK(B2179),"""",IF(ISDATE(B2179),TEXT(B2179,""m""),""""))"),"")</f>
        <v/>
      </c>
      <c r="N2179" s="29" t="str">
        <f>IFERROR(__xludf.DUMMYFUNCTION("IF(M2179="""","""",QUERY({'Dashboard-Dados'!$Y$2:$AA$13},""Select Col2 Where Col1=""&amp;M2179))"),"")</f>
        <v/>
      </c>
      <c r="O2179" s="29" t="str">
        <f>IFERROR(__xludf.DUMMYFUNCTION("IF(ISBLANK(B2179),"""",IF(ISDATE(B2179),TEXT(B2179,""yyyy""),""""))"),"")</f>
        <v/>
      </c>
    </row>
    <row r="2180">
      <c r="B2180" s="62"/>
      <c r="C2180" s="56"/>
      <c r="D2180" s="56"/>
      <c r="E2180" s="56"/>
      <c r="F2180" s="63"/>
      <c r="G2180" s="64"/>
      <c r="H2180" s="65"/>
      <c r="I2180" s="63"/>
      <c r="K2180" s="53" t="str">
        <f>IFERROR(__xludf.DUMMYFUNCTION("IF(ISBLANK(B2180),"""",IF(ISDATE(B2180),""X"",""""))"),"")</f>
        <v/>
      </c>
      <c r="L2180" s="40" t="str">
        <f>IFERROR(__xludf.DUMMYFUNCTION("IF(ISBLANK(B2180),"""",IF(Or(I2180=""Em Aberto"",ISBLANK(I2180),NOT(ISDATE(B2180))),"""",H2180))"),"")</f>
        <v/>
      </c>
      <c r="M2180" s="29" t="str">
        <f>IFERROR(__xludf.DUMMYFUNCTION("IF(ISBLANK(B2180),"""",IF(ISDATE(B2180),TEXT(B2180,""m""),""""))"),"")</f>
        <v/>
      </c>
      <c r="N2180" s="29" t="str">
        <f>IFERROR(__xludf.DUMMYFUNCTION("IF(M2180="""","""",QUERY({'Dashboard-Dados'!$Y$2:$AA$13},""Select Col2 Where Col1=""&amp;M2180))"),"")</f>
        <v/>
      </c>
      <c r="O2180" s="29" t="str">
        <f>IFERROR(__xludf.DUMMYFUNCTION("IF(ISBLANK(B2180),"""",IF(ISDATE(B2180),TEXT(B2180,""yyyy""),""""))"),"")</f>
        <v/>
      </c>
    </row>
    <row r="2181">
      <c r="B2181" s="62"/>
      <c r="C2181" s="56"/>
      <c r="D2181" s="56"/>
      <c r="E2181" s="56"/>
      <c r="F2181" s="63"/>
      <c r="G2181" s="64"/>
      <c r="H2181" s="65"/>
      <c r="I2181" s="63"/>
      <c r="K2181" s="53" t="str">
        <f>IFERROR(__xludf.DUMMYFUNCTION("IF(ISBLANK(B2181),"""",IF(ISDATE(B2181),""X"",""""))"),"")</f>
        <v/>
      </c>
      <c r="L2181" s="40" t="str">
        <f>IFERROR(__xludf.DUMMYFUNCTION("IF(ISBLANK(B2181),"""",IF(Or(I2181=""Em Aberto"",ISBLANK(I2181),NOT(ISDATE(B2181))),"""",H2181))"),"")</f>
        <v/>
      </c>
      <c r="M2181" s="29" t="str">
        <f>IFERROR(__xludf.DUMMYFUNCTION("IF(ISBLANK(B2181),"""",IF(ISDATE(B2181),TEXT(B2181,""m""),""""))"),"")</f>
        <v/>
      </c>
      <c r="N2181" s="29" t="str">
        <f>IFERROR(__xludf.DUMMYFUNCTION("IF(M2181="""","""",QUERY({'Dashboard-Dados'!$Y$2:$AA$13},""Select Col2 Where Col1=""&amp;M2181))"),"")</f>
        <v/>
      </c>
      <c r="O2181" s="29" t="str">
        <f>IFERROR(__xludf.DUMMYFUNCTION("IF(ISBLANK(B2181),"""",IF(ISDATE(B2181),TEXT(B2181,""yyyy""),""""))"),"")</f>
        <v/>
      </c>
    </row>
    <row r="2182">
      <c r="B2182" s="62"/>
      <c r="C2182" s="56"/>
      <c r="D2182" s="56"/>
      <c r="E2182" s="56"/>
      <c r="F2182" s="63"/>
      <c r="G2182" s="64"/>
      <c r="H2182" s="65"/>
      <c r="I2182" s="63"/>
      <c r="K2182" s="53" t="str">
        <f>IFERROR(__xludf.DUMMYFUNCTION("IF(ISBLANK(B2182),"""",IF(ISDATE(B2182),""X"",""""))"),"")</f>
        <v/>
      </c>
      <c r="L2182" s="40" t="str">
        <f>IFERROR(__xludf.DUMMYFUNCTION("IF(ISBLANK(B2182),"""",IF(Or(I2182=""Em Aberto"",ISBLANK(I2182),NOT(ISDATE(B2182))),"""",H2182))"),"")</f>
        <v/>
      </c>
      <c r="M2182" s="29" t="str">
        <f>IFERROR(__xludf.DUMMYFUNCTION("IF(ISBLANK(B2182),"""",IF(ISDATE(B2182),TEXT(B2182,""m""),""""))"),"")</f>
        <v/>
      </c>
      <c r="N2182" s="29" t="str">
        <f>IFERROR(__xludf.DUMMYFUNCTION("IF(M2182="""","""",QUERY({'Dashboard-Dados'!$Y$2:$AA$13},""Select Col2 Where Col1=""&amp;M2182))"),"")</f>
        <v/>
      </c>
      <c r="O2182" s="29" t="str">
        <f>IFERROR(__xludf.DUMMYFUNCTION("IF(ISBLANK(B2182),"""",IF(ISDATE(B2182),TEXT(B2182,""yyyy""),""""))"),"")</f>
        <v/>
      </c>
    </row>
    <row r="2183">
      <c r="B2183" s="62"/>
      <c r="C2183" s="56"/>
      <c r="D2183" s="56"/>
      <c r="E2183" s="56"/>
      <c r="F2183" s="63"/>
      <c r="G2183" s="64"/>
      <c r="H2183" s="65"/>
      <c r="I2183" s="63"/>
      <c r="K2183" s="53" t="str">
        <f>IFERROR(__xludf.DUMMYFUNCTION("IF(ISBLANK(B2183),"""",IF(ISDATE(B2183),""X"",""""))"),"")</f>
        <v/>
      </c>
      <c r="L2183" s="40" t="str">
        <f>IFERROR(__xludf.DUMMYFUNCTION("IF(ISBLANK(B2183),"""",IF(Or(I2183=""Em Aberto"",ISBLANK(I2183),NOT(ISDATE(B2183))),"""",H2183))"),"")</f>
        <v/>
      </c>
      <c r="M2183" s="29" t="str">
        <f>IFERROR(__xludf.DUMMYFUNCTION("IF(ISBLANK(B2183),"""",IF(ISDATE(B2183),TEXT(B2183,""m""),""""))"),"")</f>
        <v/>
      </c>
      <c r="N2183" s="29" t="str">
        <f>IFERROR(__xludf.DUMMYFUNCTION("IF(M2183="""","""",QUERY({'Dashboard-Dados'!$Y$2:$AA$13},""Select Col2 Where Col1=""&amp;M2183))"),"")</f>
        <v/>
      </c>
      <c r="O2183" s="29" t="str">
        <f>IFERROR(__xludf.DUMMYFUNCTION("IF(ISBLANK(B2183),"""",IF(ISDATE(B2183),TEXT(B2183,""yyyy""),""""))"),"")</f>
        <v/>
      </c>
    </row>
    <row r="2184">
      <c r="B2184" s="62"/>
      <c r="C2184" s="56"/>
      <c r="D2184" s="56"/>
      <c r="E2184" s="56"/>
      <c r="F2184" s="63"/>
      <c r="G2184" s="64"/>
      <c r="H2184" s="65"/>
      <c r="I2184" s="63"/>
      <c r="K2184" s="53" t="str">
        <f>IFERROR(__xludf.DUMMYFUNCTION("IF(ISBLANK(B2184),"""",IF(ISDATE(B2184),""X"",""""))"),"")</f>
        <v/>
      </c>
      <c r="L2184" s="40" t="str">
        <f>IFERROR(__xludf.DUMMYFUNCTION("IF(ISBLANK(B2184),"""",IF(Or(I2184=""Em Aberto"",ISBLANK(I2184),NOT(ISDATE(B2184))),"""",H2184))"),"")</f>
        <v/>
      </c>
      <c r="M2184" s="29" t="str">
        <f>IFERROR(__xludf.DUMMYFUNCTION("IF(ISBLANK(B2184),"""",IF(ISDATE(B2184),TEXT(B2184,""m""),""""))"),"")</f>
        <v/>
      </c>
      <c r="N2184" s="29" t="str">
        <f>IFERROR(__xludf.DUMMYFUNCTION("IF(M2184="""","""",QUERY({'Dashboard-Dados'!$Y$2:$AA$13},""Select Col2 Where Col1=""&amp;M2184))"),"")</f>
        <v/>
      </c>
      <c r="O2184" s="29" t="str">
        <f>IFERROR(__xludf.DUMMYFUNCTION("IF(ISBLANK(B2184),"""",IF(ISDATE(B2184),TEXT(B2184,""yyyy""),""""))"),"")</f>
        <v/>
      </c>
    </row>
    <row r="2185">
      <c r="B2185" s="62"/>
      <c r="C2185" s="56"/>
      <c r="D2185" s="56"/>
      <c r="E2185" s="56"/>
      <c r="F2185" s="63"/>
      <c r="G2185" s="64"/>
      <c r="H2185" s="65"/>
      <c r="I2185" s="63"/>
      <c r="K2185" s="53" t="str">
        <f>IFERROR(__xludf.DUMMYFUNCTION("IF(ISBLANK(B2185),"""",IF(ISDATE(B2185),""X"",""""))"),"")</f>
        <v/>
      </c>
      <c r="L2185" s="40" t="str">
        <f>IFERROR(__xludf.DUMMYFUNCTION("IF(ISBLANK(B2185),"""",IF(Or(I2185=""Em Aberto"",ISBLANK(I2185),NOT(ISDATE(B2185))),"""",H2185))"),"")</f>
        <v/>
      </c>
      <c r="M2185" s="29" t="str">
        <f>IFERROR(__xludf.DUMMYFUNCTION("IF(ISBLANK(B2185),"""",IF(ISDATE(B2185),TEXT(B2185,""m""),""""))"),"")</f>
        <v/>
      </c>
      <c r="N2185" s="29" t="str">
        <f>IFERROR(__xludf.DUMMYFUNCTION("IF(M2185="""","""",QUERY({'Dashboard-Dados'!$Y$2:$AA$13},""Select Col2 Where Col1=""&amp;M2185))"),"")</f>
        <v/>
      </c>
      <c r="O2185" s="29" t="str">
        <f>IFERROR(__xludf.DUMMYFUNCTION("IF(ISBLANK(B2185),"""",IF(ISDATE(B2185),TEXT(B2185,""yyyy""),""""))"),"")</f>
        <v/>
      </c>
    </row>
    <row r="2186">
      <c r="B2186" s="62"/>
      <c r="C2186" s="56"/>
      <c r="D2186" s="56"/>
      <c r="E2186" s="56"/>
      <c r="F2186" s="63"/>
      <c r="G2186" s="64"/>
      <c r="H2186" s="65"/>
      <c r="I2186" s="63"/>
      <c r="K2186" s="53" t="str">
        <f>IFERROR(__xludf.DUMMYFUNCTION("IF(ISBLANK(B2186),"""",IF(ISDATE(B2186),""X"",""""))"),"")</f>
        <v/>
      </c>
      <c r="L2186" s="40" t="str">
        <f>IFERROR(__xludf.DUMMYFUNCTION("IF(ISBLANK(B2186),"""",IF(Or(I2186=""Em Aberto"",ISBLANK(I2186),NOT(ISDATE(B2186))),"""",H2186))"),"")</f>
        <v/>
      </c>
      <c r="M2186" s="29" t="str">
        <f>IFERROR(__xludf.DUMMYFUNCTION("IF(ISBLANK(B2186),"""",IF(ISDATE(B2186),TEXT(B2186,""m""),""""))"),"")</f>
        <v/>
      </c>
      <c r="N2186" s="29" t="str">
        <f>IFERROR(__xludf.DUMMYFUNCTION("IF(M2186="""","""",QUERY({'Dashboard-Dados'!$Y$2:$AA$13},""Select Col2 Where Col1=""&amp;M2186))"),"")</f>
        <v/>
      </c>
      <c r="O2186" s="29" t="str">
        <f>IFERROR(__xludf.DUMMYFUNCTION("IF(ISBLANK(B2186),"""",IF(ISDATE(B2186),TEXT(B2186,""yyyy""),""""))"),"")</f>
        <v/>
      </c>
    </row>
    <row r="2187">
      <c r="B2187" s="62"/>
      <c r="C2187" s="56"/>
      <c r="D2187" s="56"/>
      <c r="E2187" s="56"/>
      <c r="F2187" s="63"/>
      <c r="G2187" s="64"/>
      <c r="H2187" s="65"/>
      <c r="I2187" s="63"/>
      <c r="K2187" s="53" t="str">
        <f>IFERROR(__xludf.DUMMYFUNCTION("IF(ISBLANK(B2187),"""",IF(ISDATE(B2187),""X"",""""))"),"")</f>
        <v/>
      </c>
      <c r="L2187" s="40" t="str">
        <f>IFERROR(__xludf.DUMMYFUNCTION("IF(ISBLANK(B2187),"""",IF(Or(I2187=""Em Aberto"",ISBLANK(I2187),NOT(ISDATE(B2187))),"""",H2187))"),"")</f>
        <v/>
      </c>
      <c r="M2187" s="29" t="str">
        <f>IFERROR(__xludf.DUMMYFUNCTION("IF(ISBLANK(B2187),"""",IF(ISDATE(B2187),TEXT(B2187,""m""),""""))"),"")</f>
        <v/>
      </c>
      <c r="N2187" s="29" t="str">
        <f>IFERROR(__xludf.DUMMYFUNCTION("IF(M2187="""","""",QUERY({'Dashboard-Dados'!$Y$2:$AA$13},""Select Col2 Where Col1=""&amp;M2187))"),"")</f>
        <v/>
      </c>
      <c r="O2187" s="29" t="str">
        <f>IFERROR(__xludf.DUMMYFUNCTION("IF(ISBLANK(B2187),"""",IF(ISDATE(B2187),TEXT(B2187,""yyyy""),""""))"),"")</f>
        <v/>
      </c>
    </row>
    <row r="2188">
      <c r="B2188" s="62"/>
      <c r="C2188" s="56"/>
      <c r="D2188" s="56"/>
      <c r="E2188" s="56"/>
      <c r="F2188" s="63"/>
      <c r="G2188" s="64"/>
      <c r="H2188" s="65"/>
      <c r="I2188" s="63"/>
      <c r="K2188" s="53" t="str">
        <f>IFERROR(__xludf.DUMMYFUNCTION("IF(ISBLANK(B2188),"""",IF(ISDATE(B2188),""X"",""""))"),"")</f>
        <v/>
      </c>
      <c r="L2188" s="40" t="str">
        <f>IFERROR(__xludf.DUMMYFUNCTION("IF(ISBLANK(B2188),"""",IF(Or(I2188=""Em Aberto"",ISBLANK(I2188),NOT(ISDATE(B2188))),"""",H2188))"),"")</f>
        <v/>
      </c>
      <c r="M2188" s="29" t="str">
        <f>IFERROR(__xludf.DUMMYFUNCTION("IF(ISBLANK(B2188),"""",IF(ISDATE(B2188),TEXT(B2188,""m""),""""))"),"")</f>
        <v/>
      </c>
      <c r="N2188" s="29" t="str">
        <f>IFERROR(__xludf.DUMMYFUNCTION("IF(M2188="""","""",QUERY({'Dashboard-Dados'!$Y$2:$AA$13},""Select Col2 Where Col1=""&amp;M2188))"),"")</f>
        <v/>
      </c>
      <c r="O2188" s="29" t="str">
        <f>IFERROR(__xludf.DUMMYFUNCTION("IF(ISBLANK(B2188),"""",IF(ISDATE(B2188),TEXT(B2188,""yyyy""),""""))"),"")</f>
        <v/>
      </c>
    </row>
    <row r="2189">
      <c r="B2189" s="62"/>
      <c r="C2189" s="56"/>
      <c r="D2189" s="56"/>
      <c r="E2189" s="56"/>
      <c r="F2189" s="63"/>
      <c r="G2189" s="64"/>
      <c r="H2189" s="65"/>
      <c r="I2189" s="63"/>
      <c r="K2189" s="53" t="str">
        <f>IFERROR(__xludf.DUMMYFUNCTION("IF(ISBLANK(B2189),"""",IF(ISDATE(B2189),""X"",""""))"),"")</f>
        <v/>
      </c>
      <c r="L2189" s="40" t="str">
        <f>IFERROR(__xludf.DUMMYFUNCTION("IF(ISBLANK(B2189),"""",IF(Or(I2189=""Em Aberto"",ISBLANK(I2189),NOT(ISDATE(B2189))),"""",H2189))"),"")</f>
        <v/>
      </c>
      <c r="M2189" s="29" t="str">
        <f>IFERROR(__xludf.DUMMYFUNCTION("IF(ISBLANK(B2189),"""",IF(ISDATE(B2189),TEXT(B2189,""m""),""""))"),"")</f>
        <v/>
      </c>
      <c r="N2189" s="29" t="str">
        <f>IFERROR(__xludf.DUMMYFUNCTION("IF(M2189="""","""",QUERY({'Dashboard-Dados'!$Y$2:$AA$13},""Select Col2 Where Col1=""&amp;M2189))"),"")</f>
        <v/>
      </c>
      <c r="O2189" s="29" t="str">
        <f>IFERROR(__xludf.DUMMYFUNCTION("IF(ISBLANK(B2189),"""",IF(ISDATE(B2189),TEXT(B2189,""yyyy""),""""))"),"")</f>
        <v/>
      </c>
    </row>
    <row r="2190">
      <c r="B2190" s="62"/>
      <c r="C2190" s="56"/>
      <c r="D2190" s="56"/>
      <c r="E2190" s="56"/>
      <c r="F2190" s="63"/>
      <c r="G2190" s="64"/>
      <c r="H2190" s="65"/>
      <c r="I2190" s="63"/>
      <c r="K2190" s="53" t="str">
        <f>IFERROR(__xludf.DUMMYFUNCTION("IF(ISBLANK(B2190),"""",IF(ISDATE(B2190),""X"",""""))"),"")</f>
        <v/>
      </c>
      <c r="L2190" s="40" t="str">
        <f>IFERROR(__xludf.DUMMYFUNCTION("IF(ISBLANK(B2190),"""",IF(Or(I2190=""Em Aberto"",ISBLANK(I2190),NOT(ISDATE(B2190))),"""",H2190))"),"")</f>
        <v/>
      </c>
      <c r="M2190" s="29" t="str">
        <f>IFERROR(__xludf.DUMMYFUNCTION("IF(ISBLANK(B2190),"""",IF(ISDATE(B2190),TEXT(B2190,""m""),""""))"),"")</f>
        <v/>
      </c>
      <c r="N2190" s="29" t="str">
        <f>IFERROR(__xludf.DUMMYFUNCTION("IF(M2190="""","""",QUERY({'Dashboard-Dados'!$Y$2:$AA$13},""Select Col2 Where Col1=""&amp;M2190))"),"")</f>
        <v/>
      </c>
      <c r="O2190" s="29" t="str">
        <f>IFERROR(__xludf.DUMMYFUNCTION("IF(ISBLANK(B2190),"""",IF(ISDATE(B2190),TEXT(B2190,""yyyy""),""""))"),"")</f>
        <v/>
      </c>
    </row>
    <row r="2191">
      <c r="B2191" s="62"/>
      <c r="C2191" s="56"/>
      <c r="D2191" s="56"/>
      <c r="E2191" s="56"/>
      <c r="F2191" s="63"/>
      <c r="G2191" s="64"/>
      <c r="H2191" s="65"/>
      <c r="I2191" s="63"/>
      <c r="K2191" s="53" t="str">
        <f>IFERROR(__xludf.DUMMYFUNCTION("IF(ISBLANK(B2191),"""",IF(ISDATE(B2191),""X"",""""))"),"")</f>
        <v/>
      </c>
      <c r="L2191" s="40" t="str">
        <f>IFERROR(__xludf.DUMMYFUNCTION("IF(ISBLANK(B2191),"""",IF(Or(I2191=""Em Aberto"",ISBLANK(I2191),NOT(ISDATE(B2191))),"""",H2191))"),"")</f>
        <v/>
      </c>
      <c r="M2191" s="29" t="str">
        <f>IFERROR(__xludf.DUMMYFUNCTION("IF(ISBLANK(B2191),"""",IF(ISDATE(B2191),TEXT(B2191,""m""),""""))"),"")</f>
        <v/>
      </c>
      <c r="N2191" s="29" t="str">
        <f>IFERROR(__xludf.DUMMYFUNCTION("IF(M2191="""","""",QUERY({'Dashboard-Dados'!$Y$2:$AA$13},""Select Col2 Where Col1=""&amp;M2191))"),"")</f>
        <v/>
      </c>
      <c r="O2191" s="29" t="str">
        <f>IFERROR(__xludf.DUMMYFUNCTION("IF(ISBLANK(B2191),"""",IF(ISDATE(B2191),TEXT(B2191,""yyyy""),""""))"),"")</f>
        <v/>
      </c>
    </row>
    <row r="2192">
      <c r="B2192" s="62"/>
      <c r="C2192" s="56"/>
      <c r="D2192" s="56"/>
      <c r="E2192" s="56"/>
      <c r="F2192" s="63"/>
      <c r="G2192" s="64"/>
      <c r="H2192" s="65"/>
      <c r="I2192" s="63"/>
      <c r="K2192" s="53" t="str">
        <f>IFERROR(__xludf.DUMMYFUNCTION("IF(ISBLANK(B2192),"""",IF(ISDATE(B2192),""X"",""""))"),"")</f>
        <v/>
      </c>
      <c r="L2192" s="40" t="str">
        <f>IFERROR(__xludf.DUMMYFUNCTION("IF(ISBLANK(B2192),"""",IF(Or(I2192=""Em Aberto"",ISBLANK(I2192),NOT(ISDATE(B2192))),"""",H2192))"),"")</f>
        <v/>
      </c>
      <c r="M2192" s="29" t="str">
        <f>IFERROR(__xludf.DUMMYFUNCTION("IF(ISBLANK(B2192),"""",IF(ISDATE(B2192),TEXT(B2192,""m""),""""))"),"")</f>
        <v/>
      </c>
      <c r="N2192" s="29" t="str">
        <f>IFERROR(__xludf.DUMMYFUNCTION("IF(M2192="""","""",QUERY({'Dashboard-Dados'!$Y$2:$AA$13},""Select Col2 Where Col1=""&amp;M2192))"),"")</f>
        <v/>
      </c>
      <c r="O2192" s="29" t="str">
        <f>IFERROR(__xludf.DUMMYFUNCTION("IF(ISBLANK(B2192),"""",IF(ISDATE(B2192),TEXT(B2192,""yyyy""),""""))"),"")</f>
        <v/>
      </c>
    </row>
    <row r="2193">
      <c r="B2193" s="62"/>
      <c r="C2193" s="56"/>
      <c r="D2193" s="56"/>
      <c r="E2193" s="56"/>
      <c r="F2193" s="63"/>
      <c r="G2193" s="64"/>
      <c r="H2193" s="65"/>
      <c r="I2193" s="63"/>
      <c r="K2193" s="53" t="str">
        <f>IFERROR(__xludf.DUMMYFUNCTION("IF(ISBLANK(B2193),"""",IF(ISDATE(B2193),""X"",""""))"),"")</f>
        <v/>
      </c>
      <c r="L2193" s="40" t="str">
        <f>IFERROR(__xludf.DUMMYFUNCTION("IF(ISBLANK(B2193),"""",IF(Or(I2193=""Em Aberto"",ISBLANK(I2193),NOT(ISDATE(B2193))),"""",H2193))"),"")</f>
        <v/>
      </c>
      <c r="M2193" s="29" t="str">
        <f>IFERROR(__xludf.DUMMYFUNCTION("IF(ISBLANK(B2193),"""",IF(ISDATE(B2193),TEXT(B2193,""m""),""""))"),"")</f>
        <v/>
      </c>
      <c r="N2193" s="29" t="str">
        <f>IFERROR(__xludf.DUMMYFUNCTION("IF(M2193="""","""",QUERY({'Dashboard-Dados'!$Y$2:$AA$13},""Select Col2 Where Col1=""&amp;M2193))"),"")</f>
        <v/>
      </c>
      <c r="O2193" s="29" t="str">
        <f>IFERROR(__xludf.DUMMYFUNCTION("IF(ISBLANK(B2193),"""",IF(ISDATE(B2193),TEXT(B2193,""yyyy""),""""))"),"")</f>
        <v/>
      </c>
    </row>
    <row r="2194">
      <c r="B2194" s="62"/>
      <c r="C2194" s="56"/>
      <c r="D2194" s="56"/>
      <c r="E2194" s="56"/>
      <c r="F2194" s="63"/>
      <c r="G2194" s="64"/>
      <c r="H2194" s="65"/>
      <c r="I2194" s="63"/>
      <c r="K2194" s="53" t="str">
        <f>IFERROR(__xludf.DUMMYFUNCTION("IF(ISBLANK(B2194),"""",IF(ISDATE(B2194),""X"",""""))"),"")</f>
        <v/>
      </c>
      <c r="L2194" s="40" t="str">
        <f>IFERROR(__xludf.DUMMYFUNCTION("IF(ISBLANK(B2194),"""",IF(Or(I2194=""Em Aberto"",ISBLANK(I2194),NOT(ISDATE(B2194))),"""",H2194))"),"")</f>
        <v/>
      </c>
      <c r="M2194" s="29" t="str">
        <f>IFERROR(__xludf.DUMMYFUNCTION("IF(ISBLANK(B2194),"""",IF(ISDATE(B2194),TEXT(B2194,""m""),""""))"),"")</f>
        <v/>
      </c>
      <c r="N2194" s="29" t="str">
        <f>IFERROR(__xludf.DUMMYFUNCTION("IF(M2194="""","""",QUERY({'Dashboard-Dados'!$Y$2:$AA$13},""Select Col2 Where Col1=""&amp;M2194))"),"")</f>
        <v/>
      </c>
      <c r="O2194" s="29" t="str">
        <f>IFERROR(__xludf.DUMMYFUNCTION("IF(ISBLANK(B2194),"""",IF(ISDATE(B2194),TEXT(B2194,""yyyy""),""""))"),"")</f>
        <v/>
      </c>
    </row>
    <row r="2195">
      <c r="B2195" s="62"/>
      <c r="C2195" s="56"/>
      <c r="D2195" s="56"/>
      <c r="E2195" s="56"/>
      <c r="F2195" s="63"/>
      <c r="G2195" s="64"/>
      <c r="H2195" s="65"/>
      <c r="I2195" s="63"/>
      <c r="K2195" s="53" t="str">
        <f>IFERROR(__xludf.DUMMYFUNCTION("IF(ISBLANK(B2195),"""",IF(ISDATE(B2195),""X"",""""))"),"")</f>
        <v/>
      </c>
      <c r="L2195" s="40" t="str">
        <f>IFERROR(__xludf.DUMMYFUNCTION("IF(ISBLANK(B2195),"""",IF(Or(I2195=""Em Aberto"",ISBLANK(I2195),NOT(ISDATE(B2195))),"""",H2195))"),"")</f>
        <v/>
      </c>
      <c r="M2195" s="29" t="str">
        <f>IFERROR(__xludf.DUMMYFUNCTION("IF(ISBLANK(B2195),"""",IF(ISDATE(B2195),TEXT(B2195,""m""),""""))"),"")</f>
        <v/>
      </c>
      <c r="N2195" s="29" t="str">
        <f>IFERROR(__xludf.DUMMYFUNCTION("IF(M2195="""","""",QUERY({'Dashboard-Dados'!$Y$2:$AA$13},""Select Col2 Where Col1=""&amp;M2195))"),"")</f>
        <v/>
      </c>
      <c r="O2195" s="29" t="str">
        <f>IFERROR(__xludf.DUMMYFUNCTION("IF(ISBLANK(B2195),"""",IF(ISDATE(B2195),TEXT(B2195,""yyyy""),""""))"),"")</f>
        <v/>
      </c>
    </row>
    <row r="2196">
      <c r="B2196" s="62"/>
      <c r="C2196" s="56"/>
      <c r="D2196" s="56"/>
      <c r="E2196" s="56"/>
      <c r="F2196" s="63"/>
      <c r="G2196" s="64"/>
      <c r="H2196" s="65"/>
      <c r="I2196" s="63"/>
      <c r="K2196" s="53" t="str">
        <f>IFERROR(__xludf.DUMMYFUNCTION("IF(ISBLANK(B2196),"""",IF(ISDATE(B2196),""X"",""""))"),"")</f>
        <v/>
      </c>
      <c r="L2196" s="40" t="str">
        <f>IFERROR(__xludf.DUMMYFUNCTION("IF(ISBLANK(B2196),"""",IF(Or(I2196=""Em Aberto"",ISBLANK(I2196),NOT(ISDATE(B2196))),"""",H2196))"),"")</f>
        <v/>
      </c>
      <c r="M2196" s="29" t="str">
        <f>IFERROR(__xludf.DUMMYFUNCTION("IF(ISBLANK(B2196),"""",IF(ISDATE(B2196),TEXT(B2196,""m""),""""))"),"")</f>
        <v/>
      </c>
      <c r="N2196" s="29" t="str">
        <f>IFERROR(__xludf.DUMMYFUNCTION("IF(M2196="""","""",QUERY({'Dashboard-Dados'!$Y$2:$AA$13},""Select Col2 Where Col1=""&amp;M2196))"),"")</f>
        <v/>
      </c>
      <c r="O2196" s="29" t="str">
        <f>IFERROR(__xludf.DUMMYFUNCTION("IF(ISBLANK(B2196),"""",IF(ISDATE(B2196),TEXT(B2196,""yyyy""),""""))"),"")</f>
        <v/>
      </c>
    </row>
    <row r="2197">
      <c r="B2197" s="62"/>
      <c r="C2197" s="56"/>
      <c r="D2197" s="56"/>
      <c r="E2197" s="56"/>
      <c r="F2197" s="63"/>
      <c r="G2197" s="64"/>
      <c r="H2197" s="65"/>
      <c r="I2197" s="63"/>
      <c r="K2197" s="53" t="str">
        <f>IFERROR(__xludf.DUMMYFUNCTION("IF(ISBLANK(B2197),"""",IF(ISDATE(B2197),""X"",""""))"),"")</f>
        <v/>
      </c>
      <c r="L2197" s="40" t="str">
        <f>IFERROR(__xludf.DUMMYFUNCTION("IF(ISBLANK(B2197),"""",IF(Or(I2197=""Em Aberto"",ISBLANK(I2197),NOT(ISDATE(B2197))),"""",H2197))"),"")</f>
        <v/>
      </c>
      <c r="M2197" s="29" t="str">
        <f>IFERROR(__xludf.DUMMYFUNCTION("IF(ISBLANK(B2197),"""",IF(ISDATE(B2197),TEXT(B2197,""m""),""""))"),"")</f>
        <v/>
      </c>
      <c r="N2197" s="29" t="str">
        <f>IFERROR(__xludf.DUMMYFUNCTION("IF(M2197="""","""",QUERY({'Dashboard-Dados'!$Y$2:$AA$13},""Select Col2 Where Col1=""&amp;M2197))"),"")</f>
        <v/>
      </c>
      <c r="O2197" s="29" t="str">
        <f>IFERROR(__xludf.DUMMYFUNCTION("IF(ISBLANK(B2197),"""",IF(ISDATE(B2197),TEXT(B2197,""yyyy""),""""))"),"")</f>
        <v/>
      </c>
    </row>
    <row r="2198">
      <c r="B2198" s="62"/>
      <c r="C2198" s="56"/>
      <c r="D2198" s="56"/>
      <c r="E2198" s="56"/>
      <c r="F2198" s="63"/>
      <c r="G2198" s="64"/>
      <c r="H2198" s="65"/>
      <c r="I2198" s="63"/>
      <c r="K2198" s="53" t="str">
        <f>IFERROR(__xludf.DUMMYFUNCTION("IF(ISBLANK(B2198),"""",IF(ISDATE(B2198),""X"",""""))"),"")</f>
        <v/>
      </c>
      <c r="L2198" s="40" t="str">
        <f>IFERROR(__xludf.DUMMYFUNCTION("IF(ISBLANK(B2198),"""",IF(Or(I2198=""Em Aberto"",ISBLANK(I2198),NOT(ISDATE(B2198))),"""",H2198))"),"")</f>
        <v/>
      </c>
      <c r="M2198" s="29" t="str">
        <f>IFERROR(__xludf.DUMMYFUNCTION("IF(ISBLANK(B2198),"""",IF(ISDATE(B2198),TEXT(B2198,""m""),""""))"),"")</f>
        <v/>
      </c>
      <c r="N2198" s="29" t="str">
        <f>IFERROR(__xludf.DUMMYFUNCTION("IF(M2198="""","""",QUERY({'Dashboard-Dados'!$Y$2:$AA$13},""Select Col2 Where Col1=""&amp;M2198))"),"")</f>
        <v/>
      </c>
      <c r="O2198" s="29" t="str">
        <f>IFERROR(__xludf.DUMMYFUNCTION("IF(ISBLANK(B2198),"""",IF(ISDATE(B2198),TEXT(B2198,""yyyy""),""""))"),"")</f>
        <v/>
      </c>
    </row>
    <row r="2199">
      <c r="B2199" s="62"/>
      <c r="C2199" s="56"/>
      <c r="D2199" s="56"/>
      <c r="E2199" s="56"/>
      <c r="F2199" s="63"/>
      <c r="G2199" s="64"/>
      <c r="H2199" s="65"/>
      <c r="I2199" s="63"/>
      <c r="K2199" s="53" t="str">
        <f>IFERROR(__xludf.DUMMYFUNCTION("IF(ISBLANK(B2199),"""",IF(ISDATE(B2199),""X"",""""))"),"")</f>
        <v/>
      </c>
      <c r="L2199" s="40" t="str">
        <f>IFERROR(__xludf.DUMMYFUNCTION("IF(ISBLANK(B2199),"""",IF(Or(I2199=""Em Aberto"",ISBLANK(I2199),NOT(ISDATE(B2199))),"""",H2199))"),"")</f>
        <v/>
      </c>
      <c r="M2199" s="29" t="str">
        <f>IFERROR(__xludf.DUMMYFUNCTION("IF(ISBLANK(B2199),"""",IF(ISDATE(B2199),TEXT(B2199,""m""),""""))"),"")</f>
        <v/>
      </c>
      <c r="N2199" s="29" t="str">
        <f>IFERROR(__xludf.DUMMYFUNCTION("IF(M2199="""","""",QUERY({'Dashboard-Dados'!$Y$2:$AA$13},""Select Col2 Where Col1=""&amp;M2199))"),"")</f>
        <v/>
      </c>
      <c r="O2199" s="29" t="str">
        <f>IFERROR(__xludf.DUMMYFUNCTION("IF(ISBLANK(B2199),"""",IF(ISDATE(B2199),TEXT(B2199,""yyyy""),""""))"),"")</f>
        <v/>
      </c>
    </row>
    <row r="2200">
      <c r="B2200" s="62"/>
      <c r="C2200" s="56"/>
      <c r="D2200" s="56"/>
      <c r="E2200" s="56"/>
      <c r="F2200" s="63"/>
      <c r="G2200" s="64"/>
      <c r="H2200" s="65"/>
      <c r="I2200" s="63"/>
      <c r="K2200" s="53" t="str">
        <f>IFERROR(__xludf.DUMMYFUNCTION("IF(ISBLANK(B2200),"""",IF(ISDATE(B2200),""X"",""""))"),"")</f>
        <v/>
      </c>
      <c r="L2200" s="40" t="str">
        <f>IFERROR(__xludf.DUMMYFUNCTION("IF(ISBLANK(B2200),"""",IF(Or(I2200=""Em Aberto"",ISBLANK(I2200),NOT(ISDATE(B2200))),"""",H2200))"),"")</f>
        <v/>
      </c>
      <c r="M2200" s="29" t="str">
        <f>IFERROR(__xludf.DUMMYFUNCTION("IF(ISBLANK(B2200),"""",IF(ISDATE(B2200),TEXT(B2200,""m""),""""))"),"")</f>
        <v/>
      </c>
      <c r="N2200" s="29" t="str">
        <f>IFERROR(__xludf.DUMMYFUNCTION("IF(M2200="""","""",QUERY({'Dashboard-Dados'!$Y$2:$AA$13},""Select Col2 Where Col1=""&amp;M2200))"),"")</f>
        <v/>
      </c>
      <c r="O2200" s="29" t="str">
        <f>IFERROR(__xludf.DUMMYFUNCTION("IF(ISBLANK(B2200),"""",IF(ISDATE(B2200),TEXT(B2200,""yyyy""),""""))"),"")</f>
        <v/>
      </c>
    </row>
    <row r="2201">
      <c r="B2201" s="62"/>
      <c r="C2201" s="56"/>
      <c r="D2201" s="56"/>
      <c r="E2201" s="56"/>
      <c r="F2201" s="63"/>
      <c r="G2201" s="64"/>
      <c r="H2201" s="65"/>
      <c r="I2201" s="63"/>
      <c r="K2201" s="53" t="str">
        <f>IFERROR(__xludf.DUMMYFUNCTION("IF(ISBLANK(B2201),"""",IF(ISDATE(B2201),""X"",""""))"),"")</f>
        <v/>
      </c>
      <c r="L2201" s="40" t="str">
        <f>IFERROR(__xludf.DUMMYFUNCTION("IF(ISBLANK(B2201),"""",IF(Or(I2201=""Em Aberto"",ISBLANK(I2201),NOT(ISDATE(B2201))),"""",H2201))"),"")</f>
        <v/>
      </c>
      <c r="M2201" s="29" t="str">
        <f>IFERROR(__xludf.DUMMYFUNCTION("IF(ISBLANK(B2201),"""",IF(ISDATE(B2201),TEXT(B2201,""m""),""""))"),"")</f>
        <v/>
      </c>
      <c r="N2201" s="29" t="str">
        <f>IFERROR(__xludf.DUMMYFUNCTION("IF(M2201="""","""",QUERY({'Dashboard-Dados'!$Y$2:$AA$13},""Select Col2 Where Col1=""&amp;M2201))"),"")</f>
        <v/>
      </c>
      <c r="O2201" s="29" t="str">
        <f>IFERROR(__xludf.DUMMYFUNCTION("IF(ISBLANK(B2201),"""",IF(ISDATE(B2201),TEXT(B2201,""yyyy""),""""))"),"")</f>
        <v/>
      </c>
    </row>
    <row r="2202">
      <c r="B2202" s="62"/>
      <c r="C2202" s="56"/>
      <c r="D2202" s="56"/>
      <c r="E2202" s="56"/>
      <c r="F2202" s="63"/>
      <c r="G2202" s="64"/>
      <c r="H2202" s="65"/>
      <c r="I2202" s="63"/>
      <c r="K2202" s="53" t="str">
        <f>IFERROR(__xludf.DUMMYFUNCTION("IF(ISBLANK(B2202),"""",IF(ISDATE(B2202),""X"",""""))"),"")</f>
        <v/>
      </c>
      <c r="L2202" s="40" t="str">
        <f>IFERROR(__xludf.DUMMYFUNCTION("IF(ISBLANK(B2202),"""",IF(Or(I2202=""Em Aberto"",ISBLANK(I2202),NOT(ISDATE(B2202))),"""",H2202))"),"")</f>
        <v/>
      </c>
      <c r="M2202" s="29" t="str">
        <f>IFERROR(__xludf.DUMMYFUNCTION("IF(ISBLANK(B2202),"""",IF(ISDATE(B2202),TEXT(B2202,""m""),""""))"),"")</f>
        <v/>
      </c>
      <c r="N2202" s="29" t="str">
        <f>IFERROR(__xludf.DUMMYFUNCTION("IF(M2202="""","""",QUERY({'Dashboard-Dados'!$Y$2:$AA$13},""Select Col2 Where Col1=""&amp;M2202))"),"")</f>
        <v/>
      </c>
      <c r="O2202" s="29" t="str">
        <f>IFERROR(__xludf.DUMMYFUNCTION("IF(ISBLANK(B2202),"""",IF(ISDATE(B2202),TEXT(B2202,""yyyy""),""""))"),"")</f>
        <v/>
      </c>
    </row>
    <row r="2203">
      <c r="B2203" s="62"/>
      <c r="C2203" s="56"/>
      <c r="D2203" s="56"/>
      <c r="E2203" s="56"/>
      <c r="F2203" s="63"/>
      <c r="G2203" s="64"/>
      <c r="H2203" s="65"/>
      <c r="I2203" s="63"/>
      <c r="K2203" s="53" t="str">
        <f>IFERROR(__xludf.DUMMYFUNCTION("IF(ISBLANK(B2203),"""",IF(ISDATE(B2203),""X"",""""))"),"")</f>
        <v/>
      </c>
      <c r="L2203" s="40" t="str">
        <f>IFERROR(__xludf.DUMMYFUNCTION("IF(ISBLANK(B2203),"""",IF(Or(I2203=""Em Aberto"",ISBLANK(I2203),NOT(ISDATE(B2203))),"""",H2203))"),"")</f>
        <v/>
      </c>
      <c r="M2203" s="29" t="str">
        <f>IFERROR(__xludf.DUMMYFUNCTION("IF(ISBLANK(B2203),"""",IF(ISDATE(B2203),TEXT(B2203,""m""),""""))"),"")</f>
        <v/>
      </c>
      <c r="N2203" s="29" t="str">
        <f>IFERROR(__xludf.DUMMYFUNCTION("IF(M2203="""","""",QUERY({'Dashboard-Dados'!$Y$2:$AA$13},""Select Col2 Where Col1=""&amp;M2203))"),"")</f>
        <v/>
      </c>
      <c r="O2203" s="29" t="str">
        <f>IFERROR(__xludf.DUMMYFUNCTION("IF(ISBLANK(B2203),"""",IF(ISDATE(B2203),TEXT(B2203,""yyyy""),""""))"),"")</f>
        <v/>
      </c>
    </row>
    <row r="2204">
      <c r="B2204" s="62"/>
      <c r="C2204" s="56"/>
      <c r="D2204" s="56"/>
      <c r="E2204" s="56"/>
      <c r="F2204" s="63"/>
      <c r="G2204" s="64"/>
      <c r="H2204" s="65"/>
      <c r="I2204" s="63"/>
      <c r="K2204" s="53" t="str">
        <f>IFERROR(__xludf.DUMMYFUNCTION("IF(ISBLANK(B2204),"""",IF(ISDATE(B2204),""X"",""""))"),"")</f>
        <v/>
      </c>
      <c r="L2204" s="40" t="str">
        <f>IFERROR(__xludf.DUMMYFUNCTION("IF(ISBLANK(B2204),"""",IF(Or(I2204=""Em Aberto"",ISBLANK(I2204),NOT(ISDATE(B2204))),"""",H2204))"),"")</f>
        <v/>
      </c>
      <c r="M2204" s="29" t="str">
        <f>IFERROR(__xludf.DUMMYFUNCTION("IF(ISBLANK(B2204),"""",IF(ISDATE(B2204),TEXT(B2204,""m""),""""))"),"")</f>
        <v/>
      </c>
      <c r="N2204" s="29" t="str">
        <f>IFERROR(__xludf.DUMMYFUNCTION("IF(M2204="""","""",QUERY({'Dashboard-Dados'!$Y$2:$AA$13},""Select Col2 Where Col1=""&amp;M2204))"),"")</f>
        <v/>
      </c>
      <c r="O2204" s="29" t="str">
        <f>IFERROR(__xludf.DUMMYFUNCTION("IF(ISBLANK(B2204),"""",IF(ISDATE(B2204),TEXT(B2204,""yyyy""),""""))"),"")</f>
        <v/>
      </c>
    </row>
    <row r="2205">
      <c r="B2205" s="62"/>
      <c r="C2205" s="56"/>
      <c r="D2205" s="56"/>
      <c r="E2205" s="56"/>
      <c r="F2205" s="63"/>
      <c r="G2205" s="64"/>
      <c r="H2205" s="65"/>
      <c r="I2205" s="63"/>
      <c r="K2205" s="53" t="str">
        <f>IFERROR(__xludf.DUMMYFUNCTION("IF(ISBLANK(B2205),"""",IF(ISDATE(B2205),""X"",""""))"),"")</f>
        <v/>
      </c>
      <c r="L2205" s="40" t="str">
        <f>IFERROR(__xludf.DUMMYFUNCTION("IF(ISBLANK(B2205),"""",IF(Or(I2205=""Em Aberto"",ISBLANK(I2205),NOT(ISDATE(B2205))),"""",H2205))"),"")</f>
        <v/>
      </c>
      <c r="M2205" s="29" t="str">
        <f>IFERROR(__xludf.DUMMYFUNCTION("IF(ISBLANK(B2205),"""",IF(ISDATE(B2205),TEXT(B2205,""m""),""""))"),"")</f>
        <v/>
      </c>
      <c r="N2205" s="29" t="str">
        <f>IFERROR(__xludf.DUMMYFUNCTION("IF(M2205="""","""",QUERY({'Dashboard-Dados'!$Y$2:$AA$13},""Select Col2 Where Col1=""&amp;M2205))"),"")</f>
        <v/>
      </c>
      <c r="O2205" s="29" t="str">
        <f>IFERROR(__xludf.DUMMYFUNCTION("IF(ISBLANK(B2205),"""",IF(ISDATE(B2205),TEXT(B2205,""yyyy""),""""))"),"")</f>
        <v/>
      </c>
    </row>
    <row r="2206">
      <c r="B2206" s="62"/>
      <c r="C2206" s="56"/>
      <c r="D2206" s="56"/>
      <c r="E2206" s="56"/>
      <c r="F2206" s="63"/>
      <c r="G2206" s="64"/>
      <c r="H2206" s="65"/>
      <c r="I2206" s="63"/>
      <c r="K2206" s="53" t="str">
        <f>IFERROR(__xludf.DUMMYFUNCTION("IF(ISBLANK(B2206),"""",IF(ISDATE(B2206),""X"",""""))"),"")</f>
        <v/>
      </c>
      <c r="L2206" s="40" t="str">
        <f>IFERROR(__xludf.DUMMYFUNCTION("IF(ISBLANK(B2206),"""",IF(Or(I2206=""Em Aberto"",ISBLANK(I2206),NOT(ISDATE(B2206))),"""",H2206))"),"")</f>
        <v/>
      </c>
      <c r="M2206" s="29" t="str">
        <f>IFERROR(__xludf.DUMMYFUNCTION("IF(ISBLANK(B2206),"""",IF(ISDATE(B2206),TEXT(B2206,""m""),""""))"),"")</f>
        <v/>
      </c>
      <c r="N2206" s="29" t="str">
        <f>IFERROR(__xludf.DUMMYFUNCTION("IF(M2206="""","""",QUERY({'Dashboard-Dados'!$Y$2:$AA$13},""Select Col2 Where Col1=""&amp;M2206))"),"")</f>
        <v/>
      </c>
      <c r="O2206" s="29" t="str">
        <f>IFERROR(__xludf.DUMMYFUNCTION("IF(ISBLANK(B2206),"""",IF(ISDATE(B2206),TEXT(B2206,""yyyy""),""""))"),"")</f>
        <v/>
      </c>
    </row>
    <row r="2207">
      <c r="B2207" s="62"/>
      <c r="C2207" s="56"/>
      <c r="D2207" s="56"/>
      <c r="E2207" s="56"/>
      <c r="F2207" s="63"/>
      <c r="G2207" s="64"/>
      <c r="H2207" s="65"/>
      <c r="I2207" s="63"/>
      <c r="K2207" s="53" t="str">
        <f>IFERROR(__xludf.DUMMYFUNCTION("IF(ISBLANK(B2207),"""",IF(ISDATE(B2207),""X"",""""))"),"")</f>
        <v/>
      </c>
      <c r="L2207" s="40" t="str">
        <f>IFERROR(__xludf.DUMMYFUNCTION("IF(ISBLANK(B2207),"""",IF(Or(I2207=""Em Aberto"",ISBLANK(I2207),NOT(ISDATE(B2207))),"""",H2207))"),"")</f>
        <v/>
      </c>
      <c r="M2207" s="29" t="str">
        <f>IFERROR(__xludf.DUMMYFUNCTION("IF(ISBLANK(B2207),"""",IF(ISDATE(B2207),TEXT(B2207,""m""),""""))"),"")</f>
        <v/>
      </c>
      <c r="N2207" s="29" t="str">
        <f>IFERROR(__xludf.DUMMYFUNCTION("IF(M2207="""","""",QUERY({'Dashboard-Dados'!$Y$2:$AA$13},""Select Col2 Where Col1=""&amp;M2207))"),"")</f>
        <v/>
      </c>
      <c r="O2207" s="29" t="str">
        <f>IFERROR(__xludf.DUMMYFUNCTION("IF(ISBLANK(B2207),"""",IF(ISDATE(B2207),TEXT(B2207,""yyyy""),""""))"),"")</f>
        <v/>
      </c>
    </row>
    <row r="2208">
      <c r="B2208" s="62"/>
      <c r="C2208" s="56"/>
      <c r="D2208" s="56"/>
      <c r="E2208" s="56"/>
      <c r="F2208" s="63"/>
      <c r="G2208" s="64"/>
      <c r="H2208" s="65"/>
      <c r="I2208" s="63"/>
      <c r="K2208" s="53" t="str">
        <f>IFERROR(__xludf.DUMMYFUNCTION("IF(ISBLANK(B2208),"""",IF(ISDATE(B2208),""X"",""""))"),"")</f>
        <v/>
      </c>
      <c r="L2208" s="40" t="str">
        <f>IFERROR(__xludf.DUMMYFUNCTION("IF(ISBLANK(B2208),"""",IF(Or(I2208=""Em Aberto"",ISBLANK(I2208),NOT(ISDATE(B2208))),"""",H2208))"),"")</f>
        <v/>
      </c>
      <c r="M2208" s="29" t="str">
        <f>IFERROR(__xludf.DUMMYFUNCTION("IF(ISBLANK(B2208),"""",IF(ISDATE(B2208),TEXT(B2208,""m""),""""))"),"")</f>
        <v/>
      </c>
      <c r="N2208" s="29" t="str">
        <f>IFERROR(__xludf.DUMMYFUNCTION("IF(M2208="""","""",QUERY({'Dashboard-Dados'!$Y$2:$AA$13},""Select Col2 Where Col1=""&amp;M2208))"),"")</f>
        <v/>
      </c>
      <c r="O2208" s="29" t="str">
        <f>IFERROR(__xludf.DUMMYFUNCTION("IF(ISBLANK(B2208),"""",IF(ISDATE(B2208),TEXT(B2208,""yyyy""),""""))"),"")</f>
        <v/>
      </c>
    </row>
    <row r="2209">
      <c r="B2209" s="62"/>
      <c r="C2209" s="56"/>
      <c r="D2209" s="56"/>
      <c r="E2209" s="56"/>
      <c r="F2209" s="63"/>
      <c r="G2209" s="64"/>
      <c r="H2209" s="65"/>
      <c r="I2209" s="63"/>
      <c r="K2209" s="53" t="str">
        <f>IFERROR(__xludf.DUMMYFUNCTION("IF(ISBLANK(B2209),"""",IF(ISDATE(B2209),""X"",""""))"),"")</f>
        <v/>
      </c>
      <c r="L2209" s="40" t="str">
        <f>IFERROR(__xludf.DUMMYFUNCTION("IF(ISBLANK(B2209),"""",IF(Or(I2209=""Em Aberto"",ISBLANK(I2209),NOT(ISDATE(B2209))),"""",H2209))"),"")</f>
        <v/>
      </c>
      <c r="M2209" s="29" t="str">
        <f>IFERROR(__xludf.DUMMYFUNCTION("IF(ISBLANK(B2209),"""",IF(ISDATE(B2209),TEXT(B2209,""m""),""""))"),"")</f>
        <v/>
      </c>
      <c r="N2209" s="29" t="str">
        <f>IFERROR(__xludf.DUMMYFUNCTION("IF(M2209="""","""",QUERY({'Dashboard-Dados'!$Y$2:$AA$13},""Select Col2 Where Col1=""&amp;M2209))"),"")</f>
        <v/>
      </c>
      <c r="O2209" s="29" t="str">
        <f>IFERROR(__xludf.DUMMYFUNCTION("IF(ISBLANK(B2209),"""",IF(ISDATE(B2209),TEXT(B2209,""yyyy""),""""))"),"")</f>
        <v/>
      </c>
    </row>
    <row r="2210">
      <c r="B2210" s="62"/>
      <c r="C2210" s="56"/>
      <c r="D2210" s="56"/>
      <c r="E2210" s="56"/>
      <c r="F2210" s="63"/>
      <c r="G2210" s="64"/>
      <c r="H2210" s="65"/>
      <c r="I2210" s="63"/>
      <c r="K2210" s="53" t="str">
        <f>IFERROR(__xludf.DUMMYFUNCTION("IF(ISBLANK(B2210),"""",IF(ISDATE(B2210),""X"",""""))"),"")</f>
        <v/>
      </c>
      <c r="L2210" s="40" t="str">
        <f>IFERROR(__xludf.DUMMYFUNCTION("IF(ISBLANK(B2210),"""",IF(Or(I2210=""Em Aberto"",ISBLANK(I2210),NOT(ISDATE(B2210))),"""",H2210))"),"")</f>
        <v/>
      </c>
      <c r="M2210" s="29" t="str">
        <f>IFERROR(__xludf.DUMMYFUNCTION("IF(ISBLANK(B2210),"""",IF(ISDATE(B2210),TEXT(B2210,""m""),""""))"),"")</f>
        <v/>
      </c>
      <c r="N2210" s="29" t="str">
        <f>IFERROR(__xludf.DUMMYFUNCTION("IF(M2210="""","""",QUERY({'Dashboard-Dados'!$Y$2:$AA$13},""Select Col2 Where Col1=""&amp;M2210))"),"")</f>
        <v/>
      </c>
      <c r="O2210" s="29" t="str">
        <f>IFERROR(__xludf.DUMMYFUNCTION("IF(ISBLANK(B2210),"""",IF(ISDATE(B2210),TEXT(B2210,""yyyy""),""""))"),"")</f>
        <v/>
      </c>
    </row>
    <row r="2211">
      <c r="B2211" s="62"/>
      <c r="C2211" s="56"/>
      <c r="D2211" s="56"/>
      <c r="E2211" s="56"/>
      <c r="F2211" s="63"/>
      <c r="G2211" s="64"/>
      <c r="H2211" s="65"/>
      <c r="I2211" s="63"/>
      <c r="K2211" s="53" t="str">
        <f>IFERROR(__xludf.DUMMYFUNCTION("IF(ISBLANK(B2211),"""",IF(ISDATE(B2211),""X"",""""))"),"")</f>
        <v/>
      </c>
      <c r="L2211" s="40" t="str">
        <f>IFERROR(__xludf.DUMMYFUNCTION("IF(ISBLANK(B2211),"""",IF(Or(I2211=""Em Aberto"",ISBLANK(I2211),NOT(ISDATE(B2211))),"""",H2211))"),"")</f>
        <v/>
      </c>
      <c r="M2211" s="29" t="str">
        <f>IFERROR(__xludf.DUMMYFUNCTION("IF(ISBLANK(B2211),"""",IF(ISDATE(B2211),TEXT(B2211,""m""),""""))"),"")</f>
        <v/>
      </c>
      <c r="N2211" s="29" t="str">
        <f>IFERROR(__xludf.DUMMYFUNCTION("IF(M2211="""","""",QUERY({'Dashboard-Dados'!$Y$2:$AA$13},""Select Col2 Where Col1=""&amp;M2211))"),"")</f>
        <v/>
      </c>
      <c r="O2211" s="29" t="str">
        <f>IFERROR(__xludf.DUMMYFUNCTION("IF(ISBLANK(B2211),"""",IF(ISDATE(B2211),TEXT(B2211,""yyyy""),""""))"),"")</f>
        <v/>
      </c>
    </row>
    <row r="2212">
      <c r="B2212" s="62"/>
      <c r="C2212" s="56"/>
      <c r="D2212" s="56"/>
      <c r="E2212" s="56"/>
      <c r="F2212" s="63"/>
      <c r="G2212" s="64"/>
      <c r="H2212" s="65"/>
      <c r="I2212" s="63"/>
      <c r="K2212" s="53" t="str">
        <f>IFERROR(__xludf.DUMMYFUNCTION("IF(ISBLANK(B2212),"""",IF(ISDATE(B2212),""X"",""""))"),"")</f>
        <v/>
      </c>
      <c r="L2212" s="40" t="str">
        <f>IFERROR(__xludf.DUMMYFUNCTION("IF(ISBLANK(B2212),"""",IF(Or(I2212=""Em Aberto"",ISBLANK(I2212),NOT(ISDATE(B2212))),"""",H2212))"),"")</f>
        <v/>
      </c>
      <c r="M2212" s="29" t="str">
        <f>IFERROR(__xludf.DUMMYFUNCTION("IF(ISBLANK(B2212),"""",IF(ISDATE(B2212),TEXT(B2212,""m""),""""))"),"")</f>
        <v/>
      </c>
      <c r="N2212" s="29" t="str">
        <f>IFERROR(__xludf.DUMMYFUNCTION("IF(M2212="""","""",QUERY({'Dashboard-Dados'!$Y$2:$AA$13},""Select Col2 Where Col1=""&amp;M2212))"),"")</f>
        <v/>
      </c>
      <c r="O2212" s="29" t="str">
        <f>IFERROR(__xludf.DUMMYFUNCTION("IF(ISBLANK(B2212),"""",IF(ISDATE(B2212),TEXT(B2212,""yyyy""),""""))"),"")</f>
        <v/>
      </c>
    </row>
    <row r="2213">
      <c r="B2213" s="62"/>
      <c r="C2213" s="56"/>
      <c r="D2213" s="56"/>
      <c r="E2213" s="56"/>
      <c r="F2213" s="63"/>
      <c r="G2213" s="64"/>
      <c r="H2213" s="65"/>
      <c r="I2213" s="63"/>
      <c r="K2213" s="53" t="str">
        <f>IFERROR(__xludf.DUMMYFUNCTION("IF(ISBLANK(B2213),"""",IF(ISDATE(B2213),""X"",""""))"),"")</f>
        <v/>
      </c>
      <c r="L2213" s="40" t="str">
        <f>IFERROR(__xludf.DUMMYFUNCTION("IF(ISBLANK(B2213),"""",IF(Or(I2213=""Em Aberto"",ISBLANK(I2213),NOT(ISDATE(B2213))),"""",H2213))"),"")</f>
        <v/>
      </c>
      <c r="M2213" s="29" t="str">
        <f>IFERROR(__xludf.DUMMYFUNCTION("IF(ISBLANK(B2213),"""",IF(ISDATE(B2213),TEXT(B2213,""m""),""""))"),"")</f>
        <v/>
      </c>
      <c r="N2213" s="29" t="str">
        <f>IFERROR(__xludf.DUMMYFUNCTION("IF(M2213="""","""",QUERY({'Dashboard-Dados'!$Y$2:$AA$13},""Select Col2 Where Col1=""&amp;M2213))"),"")</f>
        <v/>
      </c>
      <c r="O2213" s="29" t="str">
        <f>IFERROR(__xludf.DUMMYFUNCTION("IF(ISBLANK(B2213),"""",IF(ISDATE(B2213),TEXT(B2213,""yyyy""),""""))"),"")</f>
        <v/>
      </c>
    </row>
    <row r="2214">
      <c r="B2214" s="62"/>
      <c r="C2214" s="56"/>
      <c r="D2214" s="56"/>
      <c r="E2214" s="56"/>
      <c r="F2214" s="63"/>
      <c r="G2214" s="64"/>
      <c r="H2214" s="65"/>
      <c r="I2214" s="63"/>
      <c r="K2214" s="53" t="str">
        <f>IFERROR(__xludf.DUMMYFUNCTION("IF(ISBLANK(B2214),"""",IF(ISDATE(B2214),""X"",""""))"),"")</f>
        <v/>
      </c>
      <c r="L2214" s="40" t="str">
        <f>IFERROR(__xludf.DUMMYFUNCTION("IF(ISBLANK(B2214),"""",IF(Or(I2214=""Em Aberto"",ISBLANK(I2214),NOT(ISDATE(B2214))),"""",H2214))"),"")</f>
        <v/>
      </c>
      <c r="M2214" s="29" t="str">
        <f>IFERROR(__xludf.DUMMYFUNCTION("IF(ISBLANK(B2214),"""",IF(ISDATE(B2214),TEXT(B2214,""m""),""""))"),"")</f>
        <v/>
      </c>
      <c r="N2214" s="29" t="str">
        <f>IFERROR(__xludf.DUMMYFUNCTION("IF(M2214="""","""",QUERY({'Dashboard-Dados'!$Y$2:$AA$13},""Select Col2 Where Col1=""&amp;M2214))"),"")</f>
        <v/>
      </c>
      <c r="O2214" s="29" t="str">
        <f>IFERROR(__xludf.DUMMYFUNCTION("IF(ISBLANK(B2214),"""",IF(ISDATE(B2214),TEXT(B2214,""yyyy""),""""))"),"")</f>
        <v/>
      </c>
    </row>
    <row r="2215">
      <c r="B2215" s="62"/>
      <c r="C2215" s="56"/>
      <c r="D2215" s="56"/>
      <c r="E2215" s="56"/>
      <c r="F2215" s="63"/>
      <c r="G2215" s="64"/>
      <c r="H2215" s="65"/>
      <c r="I2215" s="63"/>
      <c r="K2215" s="53" t="str">
        <f>IFERROR(__xludf.DUMMYFUNCTION("IF(ISBLANK(B2215),"""",IF(ISDATE(B2215),""X"",""""))"),"")</f>
        <v/>
      </c>
      <c r="L2215" s="40" t="str">
        <f>IFERROR(__xludf.DUMMYFUNCTION("IF(ISBLANK(B2215),"""",IF(Or(I2215=""Em Aberto"",ISBLANK(I2215),NOT(ISDATE(B2215))),"""",H2215))"),"")</f>
        <v/>
      </c>
      <c r="M2215" s="29" t="str">
        <f>IFERROR(__xludf.DUMMYFUNCTION("IF(ISBLANK(B2215),"""",IF(ISDATE(B2215),TEXT(B2215,""m""),""""))"),"")</f>
        <v/>
      </c>
      <c r="N2215" s="29" t="str">
        <f>IFERROR(__xludf.DUMMYFUNCTION("IF(M2215="""","""",QUERY({'Dashboard-Dados'!$Y$2:$AA$13},""Select Col2 Where Col1=""&amp;M2215))"),"")</f>
        <v/>
      </c>
      <c r="O2215" s="29" t="str">
        <f>IFERROR(__xludf.DUMMYFUNCTION("IF(ISBLANK(B2215),"""",IF(ISDATE(B2215),TEXT(B2215,""yyyy""),""""))"),"")</f>
        <v/>
      </c>
    </row>
    <row r="2216">
      <c r="B2216" s="62"/>
      <c r="C2216" s="56"/>
      <c r="D2216" s="56"/>
      <c r="E2216" s="56"/>
      <c r="F2216" s="63"/>
      <c r="G2216" s="64"/>
      <c r="H2216" s="65"/>
      <c r="I2216" s="63"/>
      <c r="K2216" s="53" t="str">
        <f>IFERROR(__xludf.DUMMYFUNCTION("IF(ISBLANK(B2216),"""",IF(ISDATE(B2216),""X"",""""))"),"")</f>
        <v/>
      </c>
      <c r="L2216" s="40" t="str">
        <f>IFERROR(__xludf.DUMMYFUNCTION("IF(ISBLANK(B2216),"""",IF(Or(I2216=""Em Aberto"",ISBLANK(I2216),NOT(ISDATE(B2216))),"""",H2216))"),"")</f>
        <v/>
      </c>
      <c r="M2216" s="29" t="str">
        <f>IFERROR(__xludf.DUMMYFUNCTION("IF(ISBLANK(B2216),"""",IF(ISDATE(B2216),TEXT(B2216,""m""),""""))"),"")</f>
        <v/>
      </c>
      <c r="N2216" s="29" t="str">
        <f>IFERROR(__xludf.DUMMYFUNCTION("IF(M2216="""","""",QUERY({'Dashboard-Dados'!$Y$2:$AA$13},""Select Col2 Where Col1=""&amp;M2216))"),"")</f>
        <v/>
      </c>
      <c r="O2216" s="29" t="str">
        <f>IFERROR(__xludf.DUMMYFUNCTION("IF(ISBLANK(B2216),"""",IF(ISDATE(B2216),TEXT(B2216,""yyyy""),""""))"),"")</f>
        <v/>
      </c>
    </row>
    <row r="2217">
      <c r="B2217" s="62"/>
      <c r="C2217" s="56"/>
      <c r="D2217" s="56"/>
      <c r="E2217" s="56"/>
      <c r="F2217" s="63"/>
      <c r="G2217" s="64"/>
      <c r="H2217" s="65"/>
      <c r="I2217" s="63"/>
      <c r="K2217" s="53" t="str">
        <f>IFERROR(__xludf.DUMMYFUNCTION("IF(ISBLANK(B2217),"""",IF(ISDATE(B2217),""X"",""""))"),"")</f>
        <v/>
      </c>
      <c r="L2217" s="40" t="str">
        <f>IFERROR(__xludf.DUMMYFUNCTION("IF(ISBLANK(B2217),"""",IF(Or(I2217=""Em Aberto"",ISBLANK(I2217),NOT(ISDATE(B2217))),"""",H2217))"),"")</f>
        <v/>
      </c>
      <c r="M2217" s="29" t="str">
        <f>IFERROR(__xludf.DUMMYFUNCTION("IF(ISBLANK(B2217),"""",IF(ISDATE(B2217),TEXT(B2217,""m""),""""))"),"")</f>
        <v/>
      </c>
      <c r="N2217" s="29" t="str">
        <f>IFERROR(__xludf.DUMMYFUNCTION("IF(M2217="""","""",QUERY({'Dashboard-Dados'!$Y$2:$AA$13},""Select Col2 Where Col1=""&amp;M2217))"),"")</f>
        <v/>
      </c>
      <c r="O2217" s="29" t="str">
        <f>IFERROR(__xludf.DUMMYFUNCTION("IF(ISBLANK(B2217),"""",IF(ISDATE(B2217),TEXT(B2217,""yyyy""),""""))"),"")</f>
        <v/>
      </c>
    </row>
    <row r="2218">
      <c r="B2218" s="62"/>
      <c r="C2218" s="56"/>
      <c r="D2218" s="56"/>
      <c r="E2218" s="56"/>
      <c r="F2218" s="63"/>
      <c r="G2218" s="64"/>
      <c r="H2218" s="65"/>
      <c r="I2218" s="63"/>
      <c r="K2218" s="53" t="str">
        <f>IFERROR(__xludf.DUMMYFUNCTION("IF(ISBLANK(B2218),"""",IF(ISDATE(B2218),""X"",""""))"),"")</f>
        <v/>
      </c>
      <c r="L2218" s="40" t="str">
        <f>IFERROR(__xludf.DUMMYFUNCTION("IF(ISBLANK(B2218),"""",IF(Or(I2218=""Em Aberto"",ISBLANK(I2218),NOT(ISDATE(B2218))),"""",H2218))"),"")</f>
        <v/>
      </c>
      <c r="M2218" s="29" t="str">
        <f>IFERROR(__xludf.DUMMYFUNCTION("IF(ISBLANK(B2218),"""",IF(ISDATE(B2218),TEXT(B2218,""m""),""""))"),"")</f>
        <v/>
      </c>
      <c r="N2218" s="29" t="str">
        <f>IFERROR(__xludf.DUMMYFUNCTION("IF(M2218="""","""",QUERY({'Dashboard-Dados'!$Y$2:$AA$13},""Select Col2 Where Col1=""&amp;M2218))"),"")</f>
        <v/>
      </c>
      <c r="O2218" s="29" t="str">
        <f>IFERROR(__xludf.DUMMYFUNCTION("IF(ISBLANK(B2218),"""",IF(ISDATE(B2218),TEXT(B2218,""yyyy""),""""))"),"")</f>
        <v/>
      </c>
    </row>
    <row r="2219">
      <c r="B2219" s="62"/>
      <c r="C2219" s="56"/>
      <c r="D2219" s="56"/>
      <c r="E2219" s="56"/>
      <c r="F2219" s="63"/>
      <c r="G2219" s="64"/>
      <c r="H2219" s="65"/>
      <c r="I2219" s="63"/>
      <c r="K2219" s="53" t="str">
        <f>IFERROR(__xludf.DUMMYFUNCTION("IF(ISBLANK(B2219),"""",IF(ISDATE(B2219),""X"",""""))"),"")</f>
        <v/>
      </c>
      <c r="L2219" s="40" t="str">
        <f>IFERROR(__xludf.DUMMYFUNCTION("IF(ISBLANK(B2219),"""",IF(Or(I2219=""Em Aberto"",ISBLANK(I2219),NOT(ISDATE(B2219))),"""",H2219))"),"")</f>
        <v/>
      </c>
      <c r="M2219" s="29" t="str">
        <f>IFERROR(__xludf.DUMMYFUNCTION("IF(ISBLANK(B2219),"""",IF(ISDATE(B2219),TEXT(B2219,""m""),""""))"),"")</f>
        <v/>
      </c>
      <c r="N2219" s="29" t="str">
        <f>IFERROR(__xludf.DUMMYFUNCTION("IF(M2219="""","""",QUERY({'Dashboard-Dados'!$Y$2:$AA$13},""Select Col2 Where Col1=""&amp;M2219))"),"")</f>
        <v/>
      </c>
      <c r="O2219" s="29" t="str">
        <f>IFERROR(__xludf.DUMMYFUNCTION("IF(ISBLANK(B2219),"""",IF(ISDATE(B2219),TEXT(B2219,""yyyy""),""""))"),"")</f>
        <v/>
      </c>
    </row>
    <row r="2220">
      <c r="B2220" s="62"/>
      <c r="C2220" s="56"/>
      <c r="D2220" s="56"/>
      <c r="E2220" s="56"/>
      <c r="F2220" s="63"/>
      <c r="G2220" s="64"/>
      <c r="H2220" s="65"/>
      <c r="I2220" s="63"/>
      <c r="K2220" s="53" t="str">
        <f>IFERROR(__xludf.DUMMYFUNCTION("IF(ISBLANK(B2220),"""",IF(ISDATE(B2220),""X"",""""))"),"")</f>
        <v/>
      </c>
      <c r="L2220" s="40" t="str">
        <f>IFERROR(__xludf.DUMMYFUNCTION("IF(ISBLANK(B2220),"""",IF(Or(I2220=""Em Aberto"",ISBLANK(I2220),NOT(ISDATE(B2220))),"""",H2220))"),"")</f>
        <v/>
      </c>
      <c r="M2220" s="29" t="str">
        <f>IFERROR(__xludf.DUMMYFUNCTION("IF(ISBLANK(B2220),"""",IF(ISDATE(B2220),TEXT(B2220,""m""),""""))"),"")</f>
        <v/>
      </c>
      <c r="N2220" s="29" t="str">
        <f>IFERROR(__xludf.DUMMYFUNCTION("IF(M2220="""","""",QUERY({'Dashboard-Dados'!$Y$2:$AA$13},""Select Col2 Where Col1=""&amp;M2220))"),"")</f>
        <v/>
      </c>
      <c r="O2220" s="29" t="str">
        <f>IFERROR(__xludf.DUMMYFUNCTION("IF(ISBLANK(B2220),"""",IF(ISDATE(B2220),TEXT(B2220,""yyyy""),""""))"),"")</f>
        <v/>
      </c>
    </row>
    <row r="2221">
      <c r="B2221" s="62"/>
      <c r="C2221" s="56"/>
      <c r="D2221" s="56"/>
      <c r="E2221" s="56"/>
      <c r="F2221" s="63"/>
      <c r="G2221" s="64"/>
      <c r="H2221" s="65"/>
      <c r="I2221" s="63"/>
      <c r="K2221" s="53" t="str">
        <f>IFERROR(__xludf.DUMMYFUNCTION("IF(ISBLANK(B2221),"""",IF(ISDATE(B2221),""X"",""""))"),"")</f>
        <v/>
      </c>
      <c r="L2221" s="40" t="str">
        <f>IFERROR(__xludf.DUMMYFUNCTION("IF(ISBLANK(B2221),"""",IF(Or(I2221=""Em Aberto"",ISBLANK(I2221),NOT(ISDATE(B2221))),"""",H2221))"),"")</f>
        <v/>
      </c>
      <c r="M2221" s="29" t="str">
        <f>IFERROR(__xludf.DUMMYFUNCTION("IF(ISBLANK(B2221),"""",IF(ISDATE(B2221),TEXT(B2221,""m""),""""))"),"")</f>
        <v/>
      </c>
      <c r="N2221" s="29" t="str">
        <f>IFERROR(__xludf.DUMMYFUNCTION("IF(M2221="""","""",QUERY({'Dashboard-Dados'!$Y$2:$AA$13},""Select Col2 Where Col1=""&amp;M2221))"),"")</f>
        <v/>
      </c>
      <c r="O2221" s="29" t="str">
        <f>IFERROR(__xludf.DUMMYFUNCTION("IF(ISBLANK(B2221),"""",IF(ISDATE(B2221),TEXT(B2221,""yyyy""),""""))"),"")</f>
        <v/>
      </c>
    </row>
    <row r="2222">
      <c r="B2222" s="62"/>
      <c r="C2222" s="56"/>
      <c r="D2222" s="56"/>
      <c r="E2222" s="56"/>
      <c r="F2222" s="63"/>
      <c r="G2222" s="64"/>
      <c r="H2222" s="65"/>
      <c r="I2222" s="63"/>
      <c r="K2222" s="53" t="str">
        <f>IFERROR(__xludf.DUMMYFUNCTION("IF(ISBLANK(B2222),"""",IF(ISDATE(B2222),""X"",""""))"),"")</f>
        <v/>
      </c>
      <c r="L2222" s="40" t="str">
        <f>IFERROR(__xludf.DUMMYFUNCTION("IF(ISBLANK(B2222),"""",IF(Or(I2222=""Em Aberto"",ISBLANK(I2222),NOT(ISDATE(B2222))),"""",H2222))"),"")</f>
        <v/>
      </c>
      <c r="M2222" s="29" t="str">
        <f>IFERROR(__xludf.DUMMYFUNCTION("IF(ISBLANK(B2222),"""",IF(ISDATE(B2222),TEXT(B2222,""m""),""""))"),"")</f>
        <v/>
      </c>
      <c r="N2222" s="29" t="str">
        <f>IFERROR(__xludf.DUMMYFUNCTION("IF(M2222="""","""",QUERY({'Dashboard-Dados'!$Y$2:$AA$13},""Select Col2 Where Col1=""&amp;M2222))"),"")</f>
        <v/>
      </c>
      <c r="O2222" s="29" t="str">
        <f>IFERROR(__xludf.DUMMYFUNCTION("IF(ISBLANK(B2222),"""",IF(ISDATE(B2222),TEXT(B2222,""yyyy""),""""))"),"")</f>
        <v/>
      </c>
    </row>
    <row r="2223">
      <c r="B2223" s="62"/>
      <c r="C2223" s="56"/>
      <c r="D2223" s="56"/>
      <c r="E2223" s="56"/>
      <c r="F2223" s="63"/>
      <c r="G2223" s="64"/>
      <c r="H2223" s="65"/>
      <c r="I2223" s="63"/>
      <c r="K2223" s="53" t="str">
        <f>IFERROR(__xludf.DUMMYFUNCTION("IF(ISBLANK(B2223),"""",IF(ISDATE(B2223),""X"",""""))"),"")</f>
        <v/>
      </c>
      <c r="L2223" s="40" t="str">
        <f>IFERROR(__xludf.DUMMYFUNCTION("IF(ISBLANK(B2223),"""",IF(Or(I2223=""Em Aberto"",ISBLANK(I2223),NOT(ISDATE(B2223))),"""",H2223))"),"")</f>
        <v/>
      </c>
      <c r="M2223" s="29" t="str">
        <f>IFERROR(__xludf.DUMMYFUNCTION("IF(ISBLANK(B2223),"""",IF(ISDATE(B2223),TEXT(B2223,""m""),""""))"),"")</f>
        <v/>
      </c>
      <c r="N2223" s="29" t="str">
        <f>IFERROR(__xludf.DUMMYFUNCTION("IF(M2223="""","""",QUERY({'Dashboard-Dados'!$Y$2:$AA$13},""Select Col2 Where Col1=""&amp;M2223))"),"")</f>
        <v/>
      </c>
      <c r="O2223" s="29" t="str">
        <f>IFERROR(__xludf.DUMMYFUNCTION("IF(ISBLANK(B2223),"""",IF(ISDATE(B2223),TEXT(B2223,""yyyy""),""""))"),"")</f>
        <v/>
      </c>
    </row>
    <row r="2224">
      <c r="B2224" s="62"/>
      <c r="C2224" s="56"/>
      <c r="D2224" s="56"/>
      <c r="E2224" s="56"/>
      <c r="F2224" s="63"/>
      <c r="G2224" s="64"/>
      <c r="H2224" s="65"/>
      <c r="I2224" s="63"/>
      <c r="K2224" s="53" t="str">
        <f>IFERROR(__xludf.DUMMYFUNCTION("IF(ISBLANK(B2224),"""",IF(ISDATE(B2224),""X"",""""))"),"")</f>
        <v/>
      </c>
      <c r="L2224" s="40" t="str">
        <f>IFERROR(__xludf.DUMMYFUNCTION("IF(ISBLANK(B2224),"""",IF(Or(I2224=""Em Aberto"",ISBLANK(I2224),NOT(ISDATE(B2224))),"""",H2224))"),"")</f>
        <v/>
      </c>
      <c r="M2224" s="29" t="str">
        <f>IFERROR(__xludf.DUMMYFUNCTION("IF(ISBLANK(B2224),"""",IF(ISDATE(B2224),TEXT(B2224,""m""),""""))"),"")</f>
        <v/>
      </c>
      <c r="N2224" s="29" t="str">
        <f>IFERROR(__xludf.DUMMYFUNCTION("IF(M2224="""","""",QUERY({'Dashboard-Dados'!$Y$2:$AA$13},""Select Col2 Where Col1=""&amp;M2224))"),"")</f>
        <v/>
      </c>
      <c r="O2224" s="29" t="str">
        <f>IFERROR(__xludf.DUMMYFUNCTION("IF(ISBLANK(B2224),"""",IF(ISDATE(B2224),TEXT(B2224,""yyyy""),""""))"),"")</f>
        <v/>
      </c>
    </row>
    <row r="2225">
      <c r="B2225" s="62"/>
      <c r="C2225" s="56"/>
      <c r="D2225" s="56"/>
      <c r="E2225" s="56"/>
      <c r="F2225" s="63"/>
      <c r="G2225" s="64"/>
      <c r="H2225" s="65"/>
      <c r="I2225" s="63"/>
      <c r="K2225" s="53" t="str">
        <f>IFERROR(__xludf.DUMMYFUNCTION("IF(ISBLANK(B2225),"""",IF(ISDATE(B2225),""X"",""""))"),"")</f>
        <v/>
      </c>
      <c r="L2225" s="40" t="str">
        <f>IFERROR(__xludf.DUMMYFUNCTION("IF(ISBLANK(B2225),"""",IF(Or(I2225=""Em Aberto"",ISBLANK(I2225),NOT(ISDATE(B2225))),"""",H2225))"),"")</f>
        <v/>
      </c>
      <c r="M2225" s="29" t="str">
        <f>IFERROR(__xludf.DUMMYFUNCTION("IF(ISBLANK(B2225),"""",IF(ISDATE(B2225),TEXT(B2225,""m""),""""))"),"")</f>
        <v/>
      </c>
      <c r="N2225" s="29" t="str">
        <f>IFERROR(__xludf.DUMMYFUNCTION("IF(M2225="""","""",QUERY({'Dashboard-Dados'!$Y$2:$AA$13},""Select Col2 Where Col1=""&amp;M2225))"),"")</f>
        <v/>
      </c>
      <c r="O2225" s="29" t="str">
        <f>IFERROR(__xludf.DUMMYFUNCTION("IF(ISBLANK(B2225),"""",IF(ISDATE(B2225),TEXT(B2225,""yyyy""),""""))"),"")</f>
        <v/>
      </c>
    </row>
    <row r="2226">
      <c r="B2226" s="62"/>
      <c r="C2226" s="56"/>
      <c r="D2226" s="56"/>
      <c r="E2226" s="56"/>
      <c r="F2226" s="63"/>
      <c r="G2226" s="64"/>
      <c r="H2226" s="65"/>
      <c r="I2226" s="63"/>
      <c r="K2226" s="53" t="str">
        <f>IFERROR(__xludf.DUMMYFUNCTION("IF(ISBLANK(B2226),"""",IF(ISDATE(B2226),""X"",""""))"),"")</f>
        <v/>
      </c>
      <c r="L2226" s="40" t="str">
        <f>IFERROR(__xludf.DUMMYFUNCTION("IF(ISBLANK(B2226),"""",IF(Or(I2226=""Em Aberto"",ISBLANK(I2226),NOT(ISDATE(B2226))),"""",H2226))"),"")</f>
        <v/>
      </c>
      <c r="M2226" s="29" t="str">
        <f>IFERROR(__xludf.DUMMYFUNCTION("IF(ISBLANK(B2226),"""",IF(ISDATE(B2226),TEXT(B2226,""m""),""""))"),"")</f>
        <v/>
      </c>
      <c r="N2226" s="29" t="str">
        <f>IFERROR(__xludf.DUMMYFUNCTION("IF(M2226="""","""",QUERY({'Dashboard-Dados'!$Y$2:$AA$13},""Select Col2 Where Col1=""&amp;M2226))"),"")</f>
        <v/>
      </c>
      <c r="O2226" s="29" t="str">
        <f>IFERROR(__xludf.DUMMYFUNCTION("IF(ISBLANK(B2226),"""",IF(ISDATE(B2226),TEXT(B2226,""yyyy""),""""))"),"")</f>
        <v/>
      </c>
    </row>
    <row r="2227">
      <c r="B2227" s="62"/>
      <c r="C2227" s="56"/>
      <c r="D2227" s="56"/>
      <c r="E2227" s="56"/>
      <c r="F2227" s="63"/>
      <c r="G2227" s="64"/>
      <c r="H2227" s="65"/>
      <c r="I2227" s="63"/>
      <c r="K2227" s="53" t="str">
        <f>IFERROR(__xludf.DUMMYFUNCTION("IF(ISBLANK(B2227),"""",IF(ISDATE(B2227),""X"",""""))"),"")</f>
        <v/>
      </c>
      <c r="L2227" s="40" t="str">
        <f>IFERROR(__xludf.DUMMYFUNCTION("IF(ISBLANK(B2227),"""",IF(Or(I2227=""Em Aberto"",ISBLANK(I2227),NOT(ISDATE(B2227))),"""",H2227))"),"")</f>
        <v/>
      </c>
      <c r="M2227" s="29" t="str">
        <f>IFERROR(__xludf.DUMMYFUNCTION("IF(ISBLANK(B2227),"""",IF(ISDATE(B2227),TEXT(B2227,""m""),""""))"),"")</f>
        <v/>
      </c>
      <c r="N2227" s="29" t="str">
        <f>IFERROR(__xludf.DUMMYFUNCTION("IF(M2227="""","""",QUERY({'Dashboard-Dados'!$Y$2:$AA$13},""Select Col2 Where Col1=""&amp;M2227))"),"")</f>
        <v/>
      </c>
      <c r="O2227" s="29" t="str">
        <f>IFERROR(__xludf.DUMMYFUNCTION("IF(ISBLANK(B2227),"""",IF(ISDATE(B2227),TEXT(B2227,""yyyy""),""""))"),"")</f>
        <v/>
      </c>
    </row>
    <row r="2228">
      <c r="B2228" s="62"/>
      <c r="C2228" s="56"/>
      <c r="D2228" s="56"/>
      <c r="E2228" s="56"/>
      <c r="F2228" s="63"/>
      <c r="G2228" s="64"/>
      <c r="H2228" s="65"/>
      <c r="I2228" s="63"/>
      <c r="K2228" s="53" t="str">
        <f>IFERROR(__xludf.DUMMYFUNCTION("IF(ISBLANK(B2228),"""",IF(ISDATE(B2228),""X"",""""))"),"")</f>
        <v/>
      </c>
      <c r="L2228" s="40" t="str">
        <f>IFERROR(__xludf.DUMMYFUNCTION("IF(ISBLANK(B2228),"""",IF(Or(I2228=""Em Aberto"",ISBLANK(I2228),NOT(ISDATE(B2228))),"""",H2228))"),"")</f>
        <v/>
      </c>
      <c r="M2228" s="29" t="str">
        <f>IFERROR(__xludf.DUMMYFUNCTION("IF(ISBLANK(B2228),"""",IF(ISDATE(B2228),TEXT(B2228,""m""),""""))"),"")</f>
        <v/>
      </c>
      <c r="N2228" s="29" t="str">
        <f>IFERROR(__xludf.DUMMYFUNCTION("IF(M2228="""","""",QUERY({'Dashboard-Dados'!$Y$2:$AA$13},""Select Col2 Where Col1=""&amp;M2228))"),"")</f>
        <v/>
      </c>
      <c r="O2228" s="29" t="str">
        <f>IFERROR(__xludf.DUMMYFUNCTION("IF(ISBLANK(B2228),"""",IF(ISDATE(B2228),TEXT(B2228,""yyyy""),""""))"),"")</f>
        <v/>
      </c>
    </row>
    <row r="2229">
      <c r="B2229" s="62"/>
      <c r="C2229" s="56"/>
      <c r="D2229" s="56"/>
      <c r="E2229" s="56"/>
      <c r="F2229" s="63"/>
      <c r="G2229" s="64"/>
      <c r="H2229" s="65"/>
      <c r="I2229" s="63"/>
      <c r="K2229" s="53" t="str">
        <f>IFERROR(__xludf.DUMMYFUNCTION("IF(ISBLANK(B2229),"""",IF(ISDATE(B2229),""X"",""""))"),"")</f>
        <v/>
      </c>
      <c r="L2229" s="40" t="str">
        <f>IFERROR(__xludf.DUMMYFUNCTION("IF(ISBLANK(B2229),"""",IF(Or(I2229=""Em Aberto"",ISBLANK(I2229),NOT(ISDATE(B2229))),"""",H2229))"),"")</f>
        <v/>
      </c>
      <c r="M2229" s="29" t="str">
        <f>IFERROR(__xludf.DUMMYFUNCTION("IF(ISBLANK(B2229),"""",IF(ISDATE(B2229),TEXT(B2229,""m""),""""))"),"")</f>
        <v/>
      </c>
      <c r="N2229" s="29" t="str">
        <f>IFERROR(__xludf.DUMMYFUNCTION("IF(M2229="""","""",QUERY({'Dashboard-Dados'!$Y$2:$AA$13},""Select Col2 Where Col1=""&amp;M2229))"),"")</f>
        <v/>
      </c>
      <c r="O2229" s="29" t="str">
        <f>IFERROR(__xludf.DUMMYFUNCTION("IF(ISBLANK(B2229),"""",IF(ISDATE(B2229),TEXT(B2229,""yyyy""),""""))"),"")</f>
        <v/>
      </c>
    </row>
    <row r="2230">
      <c r="B2230" s="62"/>
      <c r="C2230" s="56"/>
      <c r="D2230" s="56"/>
      <c r="E2230" s="56"/>
      <c r="F2230" s="63"/>
      <c r="G2230" s="64"/>
      <c r="H2230" s="65"/>
      <c r="I2230" s="63"/>
      <c r="K2230" s="53" t="str">
        <f>IFERROR(__xludf.DUMMYFUNCTION("IF(ISBLANK(B2230),"""",IF(ISDATE(B2230),""X"",""""))"),"")</f>
        <v/>
      </c>
      <c r="L2230" s="40" t="str">
        <f>IFERROR(__xludf.DUMMYFUNCTION("IF(ISBLANK(B2230),"""",IF(Or(I2230=""Em Aberto"",ISBLANK(I2230),NOT(ISDATE(B2230))),"""",H2230))"),"")</f>
        <v/>
      </c>
      <c r="M2230" s="29" t="str">
        <f>IFERROR(__xludf.DUMMYFUNCTION("IF(ISBLANK(B2230),"""",IF(ISDATE(B2230),TEXT(B2230,""m""),""""))"),"")</f>
        <v/>
      </c>
      <c r="N2230" s="29" t="str">
        <f>IFERROR(__xludf.DUMMYFUNCTION("IF(M2230="""","""",QUERY({'Dashboard-Dados'!$Y$2:$AA$13},""Select Col2 Where Col1=""&amp;M2230))"),"")</f>
        <v/>
      </c>
      <c r="O2230" s="29" t="str">
        <f>IFERROR(__xludf.DUMMYFUNCTION("IF(ISBLANK(B2230),"""",IF(ISDATE(B2230),TEXT(B2230,""yyyy""),""""))"),"")</f>
        <v/>
      </c>
    </row>
    <row r="2231">
      <c r="B2231" s="62"/>
      <c r="C2231" s="56"/>
      <c r="D2231" s="56"/>
      <c r="E2231" s="56"/>
      <c r="F2231" s="63"/>
      <c r="G2231" s="64"/>
      <c r="H2231" s="65"/>
      <c r="I2231" s="63"/>
      <c r="K2231" s="53" t="str">
        <f>IFERROR(__xludf.DUMMYFUNCTION("IF(ISBLANK(B2231),"""",IF(ISDATE(B2231),""X"",""""))"),"")</f>
        <v/>
      </c>
      <c r="L2231" s="40" t="str">
        <f>IFERROR(__xludf.DUMMYFUNCTION("IF(ISBLANK(B2231),"""",IF(Or(I2231=""Em Aberto"",ISBLANK(I2231),NOT(ISDATE(B2231))),"""",H2231))"),"")</f>
        <v/>
      </c>
      <c r="M2231" s="29" t="str">
        <f>IFERROR(__xludf.DUMMYFUNCTION("IF(ISBLANK(B2231),"""",IF(ISDATE(B2231),TEXT(B2231,""m""),""""))"),"")</f>
        <v/>
      </c>
      <c r="N2231" s="29" t="str">
        <f>IFERROR(__xludf.DUMMYFUNCTION("IF(M2231="""","""",QUERY({'Dashboard-Dados'!$Y$2:$AA$13},""Select Col2 Where Col1=""&amp;M2231))"),"")</f>
        <v/>
      </c>
      <c r="O2231" s="29" t="str">
        <f>IFERROR(__xludf.DUMMYFUNCTION("IF(ISBLANK(B2231),"""",IF(ISDATE(B2231),TEXT(B2231,""yyyy""),""""))"),"")</f>
        <v/>
      </c>
    </row>
    <row r="2232">
      <c r="B2232" s="62"/>
      <c r="C2232" s="56"/>
      <c r="D2232" s="56"/>
      <c r="E2232" s="56"/>
      <c r="F2232" s="63"/>
      <c r="G2232" s="64"/>
      <c r="H2232" s="65"/>
      <c r="I2232" s="63"/>
      <c r="K2232" s="53" t="str">
        <f>IFERROR(__xludf.DUMMYFUNCTION("IF(ISBLANK(B2232),"""",IF(ISDATE(B2232),""X"",""""))"),"")</f>
        <v/>
      </c>
      <c r="L2232" s="40" t="str">
        <f>IFERROR(__xludf.DUMMYFUNCTION("IF(ISBLANK(B2232),"""",IF(Or(I2232=""Em Aberto"",ISBLANK(I2232),NOT(ISDATE(B2232))),"""",H2232))"),"")</f>
        <v/>
      </c>
      <c r="M2232" s="29" t="str">
        <f>IFERROR(__xludf.DUMMYFUNCTION("IF(ISBLANK(B2232),"""",IF(ISDATE(B2232),TEXT(B2232,""m""),""""))"),"")</f>
        <v/>
      </c>
      <c r="N2232" s="29" t="str">
        <f>IFERROR(__xludf.DUMMYFUNCTION("IF(M2232="""","""",QUERY({'Dashboard-Dados'!$Y$2:$AA$13},""Select Col2 Where Col1=""&amp;M2232))"),"")</f>
        <v/>
      </c>
      <c r="O2232" s="29" t="str">
        <f>IFERROR(__xludf.DUMMYFUNCTION("IF(ISBLANK(B2232),"""",IF(ISDATE(B2232),TEXT(B2232,""yyyy""),""""))"),"")</f>
        <v/>
      </c>
    </row>
    <row r="2233">
      <c r="B2233" s="62"/>
      <c r="C2233" s="56"/>
      <c r="D2233" s="56"/>
      <c r="E2233" s="56"/>
      <c r="F2233" s="63"/>
      <c r="G2233" s="64"/>
      <c r="H2233" s="65"/>
      <c r="I2233" s="63"/>
      <c r="K2233" s="53" t="str">
        <f>IFERROR(__xludf.DUMMYFUNCTION("IF(ISBLANK(B2233),"""",IF(ISDATE(B2233),""X"",""""))"),"")</f>
        <v/>
      </c>
      <c r="L2233" s="40" t="str">
        <f>IFERROR(__xludf.DUMMYFUNCTION("IF(ISBLANK(B2233),"""",IF(Or(I2233=""Em Aberto"",ISBLANK(I2233),NOT(ISDATE(B2233))),"""",H2233))"),"")</f>
        <v/>
      </c>
      <c r="M2233" s="29" t="str">
        <f>IFERROR(__xludf.DUMMYFUNCTION("IF(ISBLANK(B2233),"""",IF(ISDATE(B2233),TEXT(B2233,""m""),""""))"),"")</f>
        <v/>
      </c>
      <c r="N2233" s="29" t="str">
        <f>IFERROR(__xludf.DUMMYFUNCTION("IF(M2233="""","""",QUERY({'Dashboard-Dados'!$Y$2:$AA$13},""Select Col2 Where Col1=""&amp;M2233))"),"")</f>
        <v/>
      </c>
      <c r="O2233" s="29" t="str">
        <f>IFERROR(__xludf.DUMMYFUNCTION("IF(ISBLANK(B2233),"""",IF(ISDATE(B2233),TEXT(B2233,""yyyy""),""""))"),"")</f>
        <v/>
      </c>
    </row>
    <row r="2234">
      <c r="B2234" s="62"/>
      <c r="C2234" s="56"/>
      <c r="D2234" s="56"/>
      <c r="E2234" s="56"/>
      <c r="F2234" s="63"/>
      <c r="G2234" s="64"/>
      <c r="H2234" s="65"/>
      <c r="I2234" s="63"/>
      <c r="K2234" s="53" t="str">
        <f>IFERROR(__xludf.DUMMYFUNCTION("IF(ISBLANK(B2234),"""",IF(ISDATE(B2234),""X"",""""))"),"")</f>
        <v/>
      </c>
      <c r="L2234" s="40" t="str">
        <f>IFERROR(__xludf.DUMMYFUNCTION("IF(ISBLANK(B2234),"""",IF(Or(I2234=""Em Aberto"",ISBLANK(I2234),NOT(ISDATE(B2234))),"""",H2234))"),"")</f>
        <v/>
      </c>
      <c r="M2234" s="29" t="str">
        <f>IFERROR(__xludf.DUMMYFUNCTION("IF(ISBLANK(B2234),"""",IF(ISDATE(B2234),TEXT(B2234,""m""),""""))"),"")</f>
        <v/>
      </c>
      <c r="N2234" s="29" t="str">
        <f>IFERROR(__xludf.DUMMYFUNCTION("IF(M2234="""","""",QUERY({'Dashboard-Dados'!$Y$2:$AA$13},""Select Col2 Where Col1=""&amp;M2234))"),"")</f>
        <v/>
      </c>
      <c r="O2234" s="29" t="str">
        <f>IFERROR(__xludf.DUMMYFUNCTION("IF(ISBLANK(B2234),"""",IF(ISDATE(B2234),TEXT(B2234,""yyyy""),""""))"),"")</f>
        <v/>
      </c>
    </row>
    <row r="2235">
      <c r="B2235" s="62"/>
      <c r="C2235" s="56"/>
      <c r="D2235" s="56"/>
      <c r="E2235" s="56"/>
      <c r="F2235" s="63"/>
      <c r="G2235" s="64"/>
      <c r="H2235" s="65"/>
      <c r="I2235" s="63"/>
      <c r="K2235" s="53" t="str">
        <f>IFERROR(__xludf.DUMMYFUNCTION("IF(ISBLANK(B2235),"""",IF(ISDATE(B2235),""X"",""""))"),"")</f>
        <v/>
      </c>
      <c r="L2235" s="40" t="str">
        <f>IFERROR(__xludf.DUMMYFUNCTION("IF(ISBLANK(B2235),"""",IF(Or(I2235=""Em Aberto"",ISBLANK(I2235),NOT(ISDATE(B2235))),"""",H2235))"),"")</f>
        <v/>
      </c>
      <c r="M2235" s="29" t="str">
        <f>IFERROR(__xludf.DUMMYFUNCTION("IF(ISBLANK(B2235),"""",IF(ISDATE(B2235),TEXT(B2235,""m""),""""))"),"")</f>
        <v/>
      </c>
      <c r="N2235" s="29" t="str">
        <f>IFERROR(__xludf.DUMMYFUNCTION("IF(M2235="""","""",QUERY({'Dashboard-Dados'!$Y$2:$AA$13},""Select Col2 Where Col1=""&amp;M2235))"),"")</f>
        <v/>
      </c>
      <c r="O2235" s="29" t="str">
        <f>IFERROR(__xludf.DUMMYFUNCTION("IF(ISBLANK(B2235),"""",IF(ISDATE(B2235),TEXT(B2235,""yyyy""),""""))"),"")</f>
        <v/>
      </c>
    </row>
    <row r="2236">
      <c r="B2236" s="62"/>
      <c r="C2236" s="56"/>
      <c r="D2236" s="56"/>
      <c r="E2236" s="56"/>
      <c r="F2236" s="63"/>
      <c r="G2236" s="64"/>
      <c r="H2236" s="65"/>
      <c r="I2236" s="63"/>
      <c r="K2236" s="53" t="str">
        <f>IFERROR(__xludf.DUMMYFUNCTION("IF(ISBLANK(B2236),"""",IF(ISDATE(B2236),""X"",""""))"),"")</f>
        <v/>
      </c>
      <c r="L2236" s="40" t="str">
        <f>IFERROR(__xludf.DUMMYFUNCTION("IF(ISBLANK(B2236),"""",IF(Or(I2236=""Em Aberto"",ISBLANK(I2236),NOT(ISDATE(B2236))),"""",H2236))"),"")</f>
        <v/>
      </c>
      <c r="M2236" s="29" t="str">
        <f>IFERROR(__xludf.DUMMYFUNCTION("IF(ISBLANK(B2236),"""",IF(ISDATE(B2236),TEXT(B2236,""m""),""""))"),"")</f>
        <v/>
      </c>
      <c r="N2236" s="29" t="str">
        <f>IFERROR(__xludf.DUMMYFUNCTION("IF(M2236="""","""",QUERY({'Dashboard-Dados'!$Y$2:$AA$13},""Select Col2 Where Col1=""&amp;M2236))"),"")</f>
        <v/>
      </c>
      <c r="O2236" s="29" t="str">
        <f>IFERROR(__xludf.DUMMYFUNCTION("IF(ISBLANK(B2236),"""",IF(ISDATE(B2236),TEXT(B2236,""yyyy""),""""))"),"")</f>
        <v/>
      </c>
    </row>
    <row r="2237">
      <c r="B2237" s="62"/>
      <c r="C2237" s="56"/>
      <c r="D2237" s="56"/>
      <c r="E2237" s="56"/>
      <c r="F2237" s="63"/>
      <c r="G2237" s="64"/>
      <c r="H2237" s="65"/>
      <c r="I2237" s="63"/>
      <c r="K2237" s="53" t="str">
        <f>IFERROR(__xludf.DUMMYFUNCTION("IF(ISBLANK(B2237),"""",IF(ISDATE(B2237),""X"",""""))"),"")</f>
        <v/>
      </c>
      <c r="L2237" s="40" t="str">
        <f>IFERROR(__xludf.DUMMYFUNCTION("IF(ISBLANK(B2237),"""",IF(Or(I2237=""Em Aberto"",ISBLANK(I2237),NOT(ISDATE(B2237))),"""",H2237))"),"")</f>
        <v/>
      </c>
      <c r="M2237" s="29" t="str">
        <f>IFERROR(__xludf.DUMMYFUNCTION("IF(ISBLANK(B2237),"""",IF(ISDATE(B2237),TEXT(B2237,""m""),""""))"),"")</f>
        <v/>
      </c>
      <c r="N2237" s="29" t="str">
        <f>IFERROR(__xludf.DUMMYFUNCTION("IF(M2237="""","""",QUERY({'Dashboard-Dados'!$Y$2:$AA$13},""Select Col2 Where Col1=""&amp;M2237))"),"")</f>
        <v/>
      </c>
      <c r="O2237" s="29" t="str">
        <f>IFERROR(__xludf.DUMMYFUNCTION("IF(ISBLANK(B2237),"""",IF(ISDATE(B2237),TEXT(B2237,""yyyy""),""""))"),"")</f>
        <v/>
      </c>
    </row>
    <row r="2238">
      <c r="B2238" s="62"/>
      <c r="C2238" s="56"/>
      <c r="D2238" s="56"/>
      <c r="E2238" s="56"/>
      <c r="F2238" s="63"/>
      <c r="G2238" s="64"/>
      <c r="H2238" s="65"/>
      <c r="I2238" s="63"/>
      <c r="K2238" s="53" t="str">
        <f>IFERROR(__xludf.DUMMYFUNCTION("IF(ISBLANK(B2238),"""",IF(ISDATE(B2238),""X"",""""))"),"")</f>
        <v/>
      </c>
      <c r="L2238" s="40" t="str">
        <f>IFERROR(__xludf.DUMMYFUNCTION("IF(ISBLANK(B2238),"""",IF(Or(I2238=""Em Aberto"",ISBLANK(I2238),NOT(ISDATE(B2238))),"""",H2238))"),"")</f>
        <v/>
      </c>
      <c r="M2238" s="29" t="str">
        <f>IFERROR(__xludf.DUMMYFUNCTION("IF(ISBLANK(B2238),"""",IF(ISDATE(B2238),TEXT(B2238,""m""),""""))"),"")</f>
        <v/>
      </c>
      <c r="N2238" s="29" t="str">
        <f>IFERROR(__xludf.DUMMYFUNCTION("IF(M2238="""","""",QUERY({'Dashboard-Dados'!$Y$2:$AA$13},""Select Col2 Where Col1=""&amp;M2238))"),"")</f>
        <v/>
      </c>
      <c r="O2238" s="29" t="str">
        <f>IFERROR(__xludf.DUMMYFUNCTION("IF(ISBLANK(B2238),"""",IF(ISDATE(B2238),TEXT(B2238,""yyyy""),""""))"),"")</f>
        <v/>
      </c>
    </row>
    <row r="2239">
      <c r="B2239" s="62"/>
      <c r="C2239" s="56"/>
      <c r="D2239" s="56"/>
      <c r="E2239" s="56"/>
      <c r="F2239" s="63"/>
      <c r="G2239" s="64"/>
      <c r="H2239" s="65"/>
      <c r="I2239" s="63"/>
      <c r="K2239" s="53" t="str">
        <f>IFERROR(__xludf.DUMMYFUNCTION("IF(ISBLANK(B2239),"""",IF(ISDATE(B2239),""X"",""""))"),"")</f>
        <v/>
      </c>
      <c r="L2239" s="40" t="str">
        <f>IFERROR(__xludf.DUMMYFUNCTION("IF(ISBLANK(B2239),"""",IF(Or(I2239=""Em Aberto"",ISBLANK(I2239),NOT(ISDATE(B2239))),"""",H2239))"),"")</f>
        <v/>
      </c>
      <c r="M2239" s="29" t="str">
        <f>IFERROR(__xludf.DUMMYFUNCTION("IF(ISBLANK(B2239),"""",IF(ISDATE(B2239),TEXT(B2239,""m""),""""))"),"")</f>
        <v/>
      </c>
      <c r="N2239" s="29" t="str">
        <f>IFERROR(__xludf.DUMMYFUNCTION("IF(M2239="""","""",QUERY({'Dashboard-Dados'!$Y$2:$AA$13},""Select Col2 Where Col1=""&amp;M2239))"),"")</f>
        <v/>
      </c>
      <c r="O2239" s="29" t="str">
        <f>IFERROR(__xludf.DUMMYFUNCTION("IF(ISBLANK(B2239),"""",IF(ISDATE(B2239),TEXT(B2239,""yyyy""),""""))"),"")</f>
        <v/>
      </c>
    </row>
    <row r="2240">
      <c r="B2240" s="62"/>
      <c r="C2240" s="56"/>
      <c r="D2240" s="56"/>
      <c r="E2240" s="56"/>
      <c r="F2240" s="63"/>
      <c r="G2240" s="64"/>
      <c r="H2240" s="65"/>
      <c r="I2240" s="63"/>
      <c r="K2240" s="53" t="str">
        <f>IFERROR(__xludf.DUMMYFUNCTION("IF(ISBLANK(B2240),"""",IF(ISDATE(B2240),""X"",""""))"),"")</f>
        <v/>
      </c>
      <c r="L2240" s="40" t="str">
        <f>IFERROR(__xludf.DUMMYFUNCTION("IF(ISBLANK(B2240),"""",IF(Or(I2240=""Em Aberto"",ISBLANK(I2240),NOT(ISDATE(B2240))),"""",H2240))"),"")</f>
        <v/>
      </c>
      <c r="M2240" s="29" t="str">
        <f>IFERROR(__xludf.DUMMYFUNCTION("IF(ISBLANK(B2240),"""",IF(ISDATE(B2240),TEXT(B2240,""m""),""""))"),"")</f>
        <v/>
      </c>
      <c r="N2240" s="29" t="str">
        <f>IFERROR(__xludf.DUMMYFUNCTION("IF(M2240="""","""",QUERY({'Dashboard-Dados'!$Y$2:$AA$13},""Select Col2 Where Col1=""&amp;M2240))"),"")</f>
        <v/>
      </c>
      <c r="O2240" s="29" t="str">
        <f>IFERROR(__xludf.DUMMYFUNCTION("IF(ISBLANK(B2240),"""",IF(ISDATE(B2240),TEXT(B2240,""yyyy""),""""))"),"")</f>
        <v/>
      </c>
    </row>
    <row r="2241">
      <c r="B2241" s="62"/>
      <c r="C2241" s="56"/>
      <c r="D2241" s="56"/>
      <c r="E2241" s="56"/>
      <c r="F2241" s="63"/>
      <c r="G2241" s="64"/>
      <c r="H2241" s="65"/>
      <c r="I2241" s="63"/>
      <c r="K2241" s="53" t="str">
        <f>IFERROR(__xludf.DUMMYFUNCTION("IF(ISBLANK(B2241),"""",IF(ISDATE(B2241),""X"",""""))"),"")</f>
        <v/>
      </c>
      <c r="L2241" s="40" t="str">
        <f>IFERROR(__xludf.DUMMYFUNCTION("IF(ISBLANK(B2241),"""",IF(Or(I2241=""Em Aberto"",ISBLANK(I2241),NOT(ISDATE(B2241))),"""",H2241))"),"")</f>
        <v/>
      </c>
      <c r="M2241" s="29" t="str">
        <f>IFERROR(__xludf.DUMMYFUNCTION("IF(ISBLANK(B2241),"""",IF(ISDATE(B2241),TEXT(B2241,""m""),""""))"),"")</f>
        <v/>
      </c>
      <c r="N2241" s="29" t="str">
        <f>IFERROR(__xludf.DUMMYFUNCTION("IF(M2241="""","""",QUERY({'Dashboard-Dados'!$Y$2:$AA$13},""Select Col2 Where Col1=""&amp;M2241))"),"")</f>
        <v/>
      </c>
      <c r="O2241" s="29" t="str">
        <f>IFERROR(__xludf.DUMMYFUNCTION("IF(ISBLANK(B2241),"""",IF(ISDATE(B2241),TEXT(B2241,""yyyy""),""""))"),"")</f>
        <v/>
      </c>
    </row>
    <row r="2242">
      <c r="B2242" s="62"/>
      <c r="C2242" s="56"/>
      <c r="D2242" s="56"/>
      <c r="E2242" s="56"/>
      <c r="F2242" s="63"/>
      <c r="G2242" s="64"/>
      <c r="H2242" s="65"/>
      <c r="I2242" s="63"/>
      <c r="K2242" s="53" t="str">
        <f>IFERROR(__xludf.DUMMYFUNCTION("IF(ISBLANK(B2242),"""",IF(ISDATE(B2242),""X"",""""))"),"")</f>
        <v/>
      </c>
      <c r="L2242" s="40" t="str">
        <f>IFERROR(__xludf.DUMMYFUNCTION("IF(ISBLANK(B2242),"""",IF(Or(I2242=""Em Aberto"",ISBLANK(I2242),NOT(ISDATE(B2242))),"""",H2242))"),"")</f>
        <v/>
      </c>
      <c r="M2242" s="29" t="str">
        <f>IFERROR(__xludf.DUMMYFUNCTION("IF(ISBLANK(B2242),"""",IF(ISDATE(B2242),TEXT(B2242,""m""),""""))"),"")</f>
        <v/>
      </c>
      <c r="N2242" s="29" t="str">
        <f>IFERROR(__xludf.DUMMYFUNCTION("IF(M2242="""","""",QUERY({'Dashboard-Dados'!$Y$2:$AA$13},""Select Col2 Where Col1=""&amp;M2242))"),"")</f>
        <v/>
      </c>
      <c r="O2242" s="29" t="str">
        <f>IFERROR(__xludf.DUMMYFUNCTION("IF(ISBLANK(B2242),"""",IF(ISDATE(B2242),TEXT(B2242,""yyyy""),""""))"),"")</f>
        <v/>
      </c>
    </row>
    <row r="2243">
      <c r="B2243" s="62"/>
      <c r="C2243" s="56"/>
      <c r="D2243" s="56"/>
      <c r="E2243" s="56"/>
      <c r="F2243" s="63"/>
      <c r="G2243" s="64"/>
      <c r="H2243" s="65"/>
      <c r="I2243" s="63"/>
      <c r="K2243" s="53" t="str">
        <f>IFERROR(__xludf.DUMMYFUNCTION("IF(ISBLANK(B2243),"""",IF(ISDATE(B2243),""X"",""""))"),"")</f>
        <v/>
      </c>
      <c r="L2243" s="40" t="str">
        <f>IFERROR(__xludf.DUMMYFUNCTION("IF(ISBLANK(B2243),"""",IF(Or(I2243=""Em Aberto"",ISBLANK(I2243),NOT(ISDATE(B2243))),"""",H2243))"),"")</f>
        <v/>
      </c>
      <c r="M2243" s="29" t="str">
        <f>IFERROR(__xludf.DUMMYFUNCTION("IF(ISBLANK(B2243),"""",IF(ISDATE(B2243),TEXT(B2243,""m""),""""))"),"")</f>
        <v/>
      </c>
      <c r="N2243" s="29" t="str">
        <f>IFERROR(__xludf.DUMMYFUNCTION("IF(M2243="""","""",QUERY({'Dashboard-Dados'!$Y$2:$AA$13},""Select Col2 Where Col1=""&amp;M2243))"),"")</f>
        <v/>
      </c>
      <c r="O2243" s="29" t="str">
        <f>IFERROR(__xludf.DUMMYFUNCTION("IF(ISBLANK(B2243),"""",IF(ISDATE(B2243),TEXT(B2243,""yyyy""),""""))"),"")</f>
        <v/>
      </c>
    </row>
    <row r="2244">
      <c r="B2244" s="62"/>
      <c r="C2244" s="56"/>
      <c r="D2244" s="56"/>
      <c r="E2244" s="56"/>
      <c r="F2244" s="63"/>
      <c r="G2244" s="64"/>
      <c r="H2244" s="65"/>
      <c r="I2244" s="63"/>
      <c r="K2244" s="53" t="str">
        <f>IFERROR(__xludf.DUMMYFUNCTION("IF(ISBLANK(B2244),"""",IF(ISDATE(B2244),""X"",""""))"),"")</f>
        <v/>
      </c>
      <c r="L2244" s="40" t="str">
        <f>IFERROR(__xludf.DUMMYFUNCTION("IF(ISBLANK(B2244),"""",IF(Or(I2244=""Em Aberto"",ISBLANK(I2244),NOT(ISDATE(B2244))),"""",H2244))"),"")</f>
        <v/>
      </c>
      <c r="M2244" s="29" t="str">
        <f>IFERROR(__xludf.DUMMYFUNCTION("IF(ISBLANK(B2244),"""",IF(ISDATE(B2244),TEXT(B2244,""m""),""""))"),"")</f>
        <v/>
      </c>
      <c r="N2244" s="29" t="str">
        <f>IFERROR(__xludf.DUMMYFUNCTION("IF(M2244="""","""",QUERY({'Dashboard-Dados'!$Y$2:$AA$13},""Select Col2 Where Col1=""&amp;M2244))"),"")</f>
        <v/>
      </c>
      <c r="O2244" s="29" t="str">
        <f>IFERROR(__xludf.DUMMYFUNCTION("IF(ISBLANK(B2244),"""",IF(ISDATE(B2244),TEXT(B2244,""yyyy""),""""))"),"")</f>
        <v/>
      </c>
    </row>
    <row r="2245">
      <c r="B2245" s="62"/>
      <c r="C2245" s="56"/>
      <c r="D2245" s="56"/>
      <c r="E2245" s="56"/>
      <c r="F2245" s="63"/>
      <c r="G2245" s="64"/>
      <c r="H2245" s="65"/>
      <c r="I2245" s="63"/>
      <c r="K2245" s="53" t="str">
        <f>IFERROR(__xludf.DUMMYFUNCTION("IF(ISBLANK(B2245),"""",IF(ISDATE(B2245),""X"",""""))"),"")</f>
        <v/>
      </c>
      <c r="L2245" s="40" t="str">
        <f>IFERROR(__xludf.DUMMYFUNCTION("IF(ISBLANK(B2245),"""",IF(Or(I2245=""Em Aberto"",ISBLANK(I2245),NOT(ISDATE(B2245))),"""",H2245))"),"")</f>
        <v/>
      </c>
      <c r="M2245" s="29" t="str">
        <f>IFERROR(__xludf.DUMMYFUNCTION("IF(ISBLANK(B2245),"""",IF(ISDATE(B2245),TEXT(B2245,""m""),""""))"),"")</f>
        <v/>
      </c>
      <c r="N2245" s="29" t="str">
        <f>IFERROR(__xludf.DUMMYFUNCTION("IF(M2245="""","""",QUERY({'Dashboard-Dados'!$Y$2:$AA$13},""Select Col2 Where Col1=""&amp;M2245))"),"")</f>
        <v/>
      </c>
      <c r="O2245" s="29" t="str">
        <f>IFERROR(__xludf.DUMMYFUNCTION("IF(ISBLANK(B2245),"""",IF(ISDATE(B2245),TEXT(B2245,""yyyy""),""""))"),"")</f>
        <v/>
      </c>
    </row>
    <row r="2246">
      <c r="B2246" s="62"/>
      <c r="C2246" s="56"/>
      <c r="D2246" s="56"/>
      <c r="E2246" s="56"/>
      <c r="F2246" s="63"/>
      <c r="G2246" s="64"/>
      <c r="H2246" s="65"/>
      <c r="I2246" s="63"/>
      <c r="K2246" s="53" t="str">
        <f>IFERROR(__xludf.DUMMYFUNCTION("IF(ISBLANK(B2246),"""",IF(ISDATE(B2246),""X"",""""))"),"")</f>
        <v/>
      </c>
      <c r="L2246" s="40" t="str">
        <f>IFERROR(__xludf.DUMMYFUNCTION("IF(ISBLANK(B2246),"""",IF(Or(I2246=""Em Aberto"",ISBLANK(I2246),NOT(ISDATE(B2246))),"""",H2246))"),"")</f>
        <v/>
      </c>
      <c r="M2246" s="29" t="str">
        <f>IFERROR(__xludf.DUMMYFUNCTION("IF(ISBLANK(B2246),"""",IF(ISDATE(B2246),TEXT(B2246,""m""),""""))"),"")</f>
        <v/>
      </c>
      <c r="N2246" s="29" t="str">
        <f>IFERROR(__xludf.DUMMYFUNCTION("IF(M2246="""","""",QUERY({'Dashboard-Dados'!$Y$2:$AA$13},""Select Col2 Where Col1=""&amp;M2246))"),"")</f>
        <v/>
      </c>
      <c r="O2246" s="29" t="str">
        <f>IFERROR(__xludf.DUMMYFUNCTION("IF(ISBLANK(B2246),"""",IF(ISDATE(B2246),TEXT(B2246,""yyyy""),""""))"),"")</f>
        <v/>
      </c>
    </row>
    <row r="2247">
      <c r="B2247" s="62"/>
      <c r="C2247" s="56"/>
      <c r="D2247" s="56"/>
      <c r="E2247" s="56"/>
      <c r="F2247" s="63"/>
      <c r="G2247" s="64"/>
      <c r="H2247" s="65"/>
      <c r="I2247" s="63"/>
      <c r="K2247" s="53" t="str">
        <f>IFERROR(__xludf.DUMMYFUNCTION("IF(ISBLANK(B2247),"""",IF(ISDATE(B2247),""X"",""""))"),"")</f>
        <v/>
      </c>
      <c r="L2247" s="40" t="str">
        <f>IFERROR(__xludf.DUMMYFUNCTION("IF(ISBLANK(B2247),"""",IF(Or(I2247=""Em Aberto"",ISBLANK(I2247),NOT(ISDATE(B2247))),"""",H2247))"),"")</f>
        <v/>
      </c>
      <c r="M2247" s="29" t="str">
        <f>IFERROR(__xludf.DUMMYFUNCTION("IF(ISBLANK(B2247),"""",IF(ISDATE(B2247),TEXT(B2247,""m""),""""))"),"")</f>
        <v/>
      </c>
      <c r="N2247" s="29" t="str">
        <f>IFERROR(__xludf.DUMMYFUNCTION("IF(M2247="""","""",QUERY({'Dashboard-Dados'!$Y$2:$AA$13},""Select Col2 Where Col1=""&amp;M2247))"),"")</f>
        <v/>
      </c>
      <c r="O2247" s="29" t="str">
        <f>IFERROR(__xludf.DUMMYFUNCTION("IF(ISBLANK(B2247),"""",IF(ISDATE(B2247),TEXT(B2247,""yyyy""),""""))"),"")</f>
        <v/>
      </c>
    </row>
    <row r="2248">
      <c r="B2248" s="62"/>
      <c r="C2248" s="56"/>
      <c r="D2248" s="56"/>
      <c r="E2248" s="56"/>
      <c r="F2248" s="63"/>
      <c r="G2248" s="64"/>
      <c r="H2248" s="65"/>
      <c r="I2248" s="63"/>
      <c r="K2248" s="53" t="str">
        <f>IFERROR(__xludf.DUMMYFUNCTION("IF(ISBLANK(B2248),"""",IF(ISDATE(B2248),""X"",""""))"),"")</f>
        <v/>
      </c>
      <c r="L2248" s="40" t="str">
        <f>IFERROR(__xludf.DUMMYFUNCTION("IF(ISBLANK(B2248),"""",IF(Or(I2248=""Em Aberto"",ISBLANK(I2248),NOT(ISDATE(B2248))),"""",H2248))"),"")</f>
        <v/>
      </c>
      <c r="M2248" s="29" t="str">
        <f>IFERROR(__xludf.DUMMYFUNCTION("IF(ISBLANK(B2248),"""",IF(ISDATE(B2248),TEXT(B2248,""m""),""""))"),"")</f>
        <v/>
      </c>
      <c r="N2248" s="29" t="str">
        <f>IFERROR(__xludf.DUMMYFUNCTION("IF(M2248="""","""",QUERY({'Dashboard-Dados'!$Y$2:$AA$13},""Select Col2 Where Col1=""&amp;M2248))"),"")</f>
        <v/>
      </c>
      <c r="O2248" s="29" t="str">
        <f>IFERROR(__xludf.DUMMYFUNCTION("IF(ISBLANK(B2248),"""",IF(ISDATE(B2248),TEXT(B2248,""yyyy""),""""))"),"")</f>
        <v/>
      </c>
    </row>
    <row r="2249">
      <c r="B2249" s="62"/>
      <c r="C2249" s="56"/>
      <c r="D2249" s="56"/>
      <c r="E2249" s="56"/>
      <c r="F2249" s="63"/>
      <c r="G2249" s="64"/>
      <c r="H2249" s="65"/>
      <c r="I2249" s="63"/>
      <c r="K2249" s="53" t="str">
        <f>IFERROR(__xludf.DUMMYFUNCTION("IF(ISBLANK(B2249),"""",IF(ISDATE(B2249),""X"",""""))"),"")</f>
        <v/>
      </c>
      <c r="L2249" s="40" t="str">
        <f>IFERROR(__xludf.DUMMYFUNCTION("IF(ISBLANK(B2249),"""",IF(Or(I2249=""Em Aberto"",ISBLANK(I2249),NOT(ISDATE(B2249))),"""",H2249))"),"")</f>
        <v/>
      </c>
      <c r="M2249" s="29" t="str">
        <f>IFERROR(__xludf.DUMMYFUNCTION("IF(ISBLANK(B2249),"""",IF(ISDATE(B2249),TEXT(B2249,""m""),""""))"),"")</f>
        <v/>
      </c>
      <c r="N2249" s="29" t="str">
        <f>IFERROR(__xludf.DUMMYFUNCTION("IF(M2249="""","""",QUERY({'Dashboard-Dados'!$Y$2:$AA$13},""Select Col2 Where Col1=""&amp;M2249))"),"")</f>
        <v/>
      </c>
      <c r="O2249" s="29" t="str">
        <f>IFERROR(__xludf.DUMMYFUNCTION("IF(ISBLANK(B2249),"""",IF(ISDATE(B2249),TEXT(B2249,""yyyy""),""""))"),"")</f>
        <v/>
      </c>
    </row>
    <row r="2250">
      <c r="B2250" s="62"/>
      <c r="C2250" s="56"/>
      <c r="D2250" s="56"/>
      <c r="E2250" s="56"/>
      <c r="F2250" s="63"/>
      <c r="G2250" s="64"/>
      <c r="H2250" s="65"/>
      <c r="I2250" s="63"/>
      <c r="K2250" s="53" t="str">
        <f>IFERROR(__xludf.DUMMYFUNCTION("IF(ISBLANK(B2250),"""",IF(ISDATE(B2250),""X"",""""))"),"")</f>
        <v/>
      </c>
      <c r="L2250" s="40" t="str">
        <f>IFERROR(__xludf.DUMMYFUNCTION("IF(ISBLANK(B2250),"""",IF(Or(I2250=""Em Aberto"",ISBLANK(I2250),NOT(ISDATE(B2250))),"""",H2250))"),"")</f>
        <v/>
      </c>
      <c r="M2250" s="29" t="str">
        <f>IFERROR(__xludf.DUMMYFUNCTION("IF(ISBLANK(B2250),"""",IF(ISDATE(B2250),TEXT(B2250,""m""),""""))"),"")</f>
        <v/>
      </c>
      <c r="N2250" s="29" t="str">
        <f>IFERROR(__xludf.DUMMYFUNCTION("IF(M2250="""","""",QUERY({'Dashboard-Dados'!$Y$2:$AA$13},""Select Col2 Where Col1=""&amp;M2250))"),"")</f>
        <v/>
      </c>
      <c r="O2250" s="29" t="str">
        <f>IFERROR(__xludf.DUMMYFUNCTION("IF(ISBLANK(B2250),"""",IF(ISDATE(B2250),TEXT(B2250,""yyyy""),""""))"),"")</f>
        <v/>
      </c>
    </row>
    <row r="2251">
      <c r="B2251" s="62"/>
      <c r="C2251" s="56"/>
      <c r="D2251" s="56"/>
      <c r="E2251" s="56"/>
      <c r="F2251" s="63"/>
      <c r="G2251" s="64"/>
      <c r="H2251" s="65"/>
      <c r="I2251" s="63"/>
      <c r="K2251" s="53" t="str">
        <f>IFERROR(__xludf.DUMMYFUNCTION("IF(ISBLANK(B2251),"""",IF(ISDATE(B2251),""X"",""""))"),"")</f>
        <v/>
      </c>
      <c r="L2251" s="40" t="str">
        <f>IFERROR(__xludf.DUMMYFUNCTION("IF(ISBLANK(B2251),"""",IF(Or(I2251=""Em Aberto"",ISBLANK(I2251),NOT(ISDATE(B2251))),"""",H2251))"),"")</f>
        <v/>
      </c>
      <c r="M2251" s="29" t="str">
        <f>IFERROR(__xludf.DUMMYFUNCTION("IF(ISBLANK(B2251),"""",IF(ISDATE(B2251),TEXT(B2251,""m""),""""))"),"")</f>
        <v/>
      </c>
      <c r="N2251" s="29" t="str">
        <f>IFERROR(__xludf.DUMMYFUNCTION("IF(M2251="""","""",QUERY({'Dashboard-Dados'!$Y$2:$AA$13},""Select Col2 Where Col1=""&amp;M2251))"),"")</f>
        <v/>
      </c>
      <c r="O2251" s="29" t="str">
        <f>IFERROR(__xludf.DUMMYFUNCTION("IF(ISBLANK(B2251),"""",IF(ISDATE(B2251),TEXT(B2251,""yyyy""),""""))"),"")</f>
        <v/>
      </c>
    </row>
    <row r="2252">
      <c r="B2252" s="62"/>
      <c r="C2252" s="56"/>
      <c r="D2252" s="56"/>
      <c r="E2252" s="56"/>
      <c r="F2252" s="63"/>
      <c r="G2252" s="64"/>
      <c r="H2252" s="65"/>
      <c r="I2252" s="63"/>
      <c r="K2252" s="53" t="str">
        <f>IFERROR(__xludf.DUMMYFUNCTION("IF(ISBLANK(B2252),"""",IF(ISDATE(B2252),""X"",""""))"),"")</f>
        <v/>
      </c>
      <c r="L2252" s="40" t="str">
        <f>IFERROR(__xludf.DUMMYFUNCTION("IF(ISBLANK(B2252),"""",IF(Or(I2252=""Em Aberto"",ISBLANK(I2252),NOT(ISDATE(B2252))),"""",H2252))"),"")</f>
        <v/>
      </c>
      <c r="M2252" s="29" t="str">
        <f>IFERROR(__xludf.DUMMYFUNCTION("IF(ISBLANK(B2252),"""",IF(ISDATE(B2252),TEXT(B2252,""m""),""""))"),"")</f>
        <v/>
      </c>
      <c r="N2252" s="29" t="str">
        <f>IFERROR(__xludf.DUMMYFUNCTION("IF(M2252="""","""",QUERY({'Dashboard-Dados'!$Y$2:$AA$13},""Select Col2 Where Col1=""&amp;M2252))"),"")</f>
        <v/>
      </c>
      <c r="O2252" s="29" t="str">
        <f>IFERROR(__xludf.DUMMYFUNCTION("IF(ISBLANK(B2252),"""",IF(ISDATE(B2252),TEXT(B2252,""yyyy""),""""))"),"")</f>
        <v/>
      </c>
    </row>
    <row r="2253">
      <c r="B2253" s="62"/>
      <c r="C2253" s="56"/>
      <c r="D2253" s="56"/>
      <c r="E2253" s="56"/>
      <c r="F2253" s="63"/>
      <c r="G2253" s="64"/>
      <c r="H2253" s="65"/>
      <c r="I2253" s="63"/>
      <c r="K2253" s="53" t="str">
        <f>IFERROR(__xludf.DUMMYFUNCTION("IF(ISBLANK(B2253),"""",IF(ISDATE(B2253),""X"",""""))"),"")</f>
        <v/>
      </c>
      <c r="L2253" s="40" t="str">
        <f>IFERROR(__xludf.DUMMYFUNCTION("IF(ISBLANK(B2253),"""",IF(Or(I2253=""Em Aberto"",ISBLANK(I2253),NOT(ISDATE(B2253))),"""",H2253))"),"")</f>
        <v/>
      </c>
      <c r="M2253" s="29" t="str">
        <f>IFERROR(__xludf.DUMMYFUNCTION("IF(ISBLANK(B2253),"""",IF(ISDATE(B2253),TEXT(B2253,""m""),""""))"),"")</f>
        <v/>
      </c>
      <c r="N2253" s="29" t="str">
        <f>IFERROR(__xludf.DUMMYFUNCTION("IF(M2253="""","""",QUERY({'Dashboard-Dados'!$Y$2:$AA$13},""Select Col2 Where Col1=""&amp;M2253))"),"")</f>
        <v/>
      </c>
      <c r="O2253" s="29" t="str">
        <f>IFERROR(__xludf.DUMMYFUNCTION("IF(ISBLANK(B2253),"""",IF(ISDATE(B2253),TEXT(B2253,""yyyy""),""""))"),"")</f>
        <v/>
      </c>
    </row>
    <row r="2254">
      <c r="B2254" s="62"/>
      <c r="C2254" s="56"/>
      <c r="D2254" s="56"/>
      <c r="E2254" s="56"/>
      <c r="F2254" s="63"/>
      <c r="G2254" s="64"/>
      <c r="H2254" s="65"/>
      <c r="I2254" s="63"/>
      <c r="K2254" s="53" t="str">
        <f>IFERROR(__xludf.DUMMYFUNCTION("IF(ISBLANK(B2254),"""",IF(ISDATE(B2254),""X"",""""))"),"")</f>
        <v/>
      </c>
      <c r="L2254" s="40" t="str">
        <f>IFERROR(__xludf.DUMMYFUNCTION("IF(ISBLANK(B2254),"""",IF(Or(I2254=""Em Aberto"",ISBLANK(I2254),NOT(ISDATE(B2254))),"""",H2254))"),"")</f>
        <v/>
      </c>
      <c r="M2254" s="29" t="str">
        <f>IFERROR(__xludf.DUMMYFUNCTION("IF(ISBLANK(B2254),"""",IF(ISDATE(B2254),TEXT(B2254,""m""),""""))"),"")</f>
        <v/>
      </c>
      <c r="N2254" s="29" t="str">
        <f>IFERROR(__xludf.DUMMYFUNCTION("IF(M2254="""","""",QUERY({'Dashboard-Dados'!$Y$2:$AA$13},""Select Col2 Where Col1=""&amp;M2254))"),"")</f>
        <v/>
      </c>
      <c r="O2254" s="29" t="str">
        <f>IFERROR(__xludf.DUMMYFUNCTION("IF(ISBLANK(B2254),"""",IF(ISDATE(B2254),TEXT(B2254,""yyyy""),""""))"),"")</f>
        <v/>
      </c>
    </row>
    <row r="2255">
      <c r="B2255" s="62"/>
      <c r="C2255" s="56"/>
      <c r="D2255" s="56"/>
      <c r="E2255" s="56"/>
      <c r="F2255" s="63"/>
      <c r="G2255" s="64"/>
      <c r="H2255" s="65"/>
      <c r="I2255" s="63"/>
      <c r="K2255" s="53" t="str">
        <f>IFERROR(__xludf.DUMMYFUNCTION("IF(ISBLANK(B2255),"""",IF(ISDATE(B2255),""X"",""""))"),"")</f>
        <v/>
      </c>
      <c r="L2255" s="40" t="str">
        <f>IFERROR(__xludf.DUMMYFUNCTION("IF(ISBLANK(B2255),"""",IF(Or(I2255=""Em Aberto"",ISBLANK(I2255),NOT(ISDATE(B2255))),"""",H2255))"),"")</f>
        <v/>
      </c>
      <c r="M2255" s="29" t="str">
        <f>IFERROR(__xludf.DUMMYFUNCTION("IF(ISBLANK(B2255),"""",IF(ISDATE(B2255),TEXT(B2255,""m""),""""))"),"")</f>
        <v/>
      </c>
      <c r="N2255" s="29" t="str">
        <f>IFERROR(__xludf.DUMMYFUNCTION("IF(M2255="""","""",QUERY({'Dashboard-Dados'!$Y$2:$AA$13},""Select Col2 Where Col1=""&amp;M2255))"),"")</f>
        <v/>
      </c>
      <c r="O2255" s="29" t="str">
        <f>IFERROR(__xludf.DUMMYFUNCTION("IF(ISBLANK(B2255),"""",IF(ISDATE(B2255),TEXT(B2255,""yyyy""),""""))"),"")</f>
        <v/>
      </c>
    </row>
    <row r="2256">
      <c r="B2256" s="62"/>
      <c r="C2256" s="56"/>
      <c r="D2256" s="56"/>
      <c r="E2256" s="56"/>
      <c r="F2256" s="63"/>
      <c r="G2256" s="64"/>
      <c r="H2256" s="65"/>
      <c r="I2256" s="63"/>
      <c r="K2256" s="53" t="str">
        <f>IFERROR(__xludf.DUMMYFUNCTION("IF(ISBLANK(B2256),"""",IF(ISDATE(B2256),""X"",""""))"),"")</f>
        <v/>
      </c>
      <c r="L2256" s="40" t="str">
        <f>IFERROR(__xludf.DUMMYFUNCTION("IF(ISBLANK(B2256),"""",IF(Or(I2256=""Em Aberto"",ISBLANK(I2256),NOT(ISDATE(B2256))),"""",H2256))"),"")</f>
        <v/>
      </c>
      <c r="M2256" s="29" t="str">
        <f>IFERROR(__xludf.DUMMYFUNCTION("IF(ISBLANK(B2256),"""",IF(ISDATE(B2256),TEXT(B2256,""m""),""""))"),"")</f>
        <v/>
      </c>
      <c r="N2256" s="29" t="str">
        <f>IFERROR(__xludf.DUMMYFUNCTION("IF(M2256="""","""",QUERY({'Dashboard-Dados'!$Y$2:$AA$13},""Select Col2 Where Col1=""&amp;M2256))"),"")</f>
        <v/>
      </c>
      <c r="O2256" s="29" t="str">
        <f>IFERROR(__xludf.DUMMYFUNCTION("IF(ISBLANK(B2256),"""",IF(ISDATE(B2256),TEXT(B2256,""yyyy""),""""))"),"")</f>
        <v/>
      </c>
    </row>
    <row r="2257">
      <c r="B2257" s="62"/>
      <c r="C2257" s="56"/>
      <c r="D2257" s="56"/>
      <c r="E2257" s="56"/>
      <c r="F2257" s="63"/>
      <c r="G2257" s="64"/>
      <c r="H2257" s="65"/>
      <c r="I2257" s="63"/>
      <c r="K2257" s="53" t="str">
        <f>IFERROR(__xludf.DUMMYFUNCTION("IF(ISBLANK(B2257),"""",IF(ISDATE(B2257),""X"",""""))"),"")</f>
        <v/>
      </c>
      <c r="L2257" s="40" t="str">
        <f>IFERROR(__xludf.DUMMYFUNCTION("IF(ISBLANK(B2257),"""",IF(Or(I2257=""Em Aberto"",ISBLANK(I2257),NOT(ISDATE(B2257))),"""",H2257))"),"")</f>
        <v/>
      </c>
      <c r="M2257" s="29" t="str">
        <f>IFERROR(__xludf.DUMMYFUNCTION("IF(ISBLANK(B2257),"""",IF(ISDATE(B2257),TEXT(B2257,""m""),""""))"),"")</f>
        <v/>
      </c>
      <c r="N2257" s="29" t="str">
        <f>IFERROR(__xludf.DUMMYFUNCTION("IF(M2257="""","""",QUERY({'Dashboard-Dados'!$Y$2:$AA$13},""Select Col2 Where Col1=""&amp;M2257))"),"")</f>
        <v/>
      </c>
      <c r="O2257" s="29" t="str">
        <f>IFERROR(__xludf.DUMMYFUNCTION("IF(ISBLANK(B2257),"""",IF(ISDATE(B2257),TEXT(B2257,""yyyy""),""""))"),"")</f>
        <v/>
      </c>
    </row>
    <row r="2258">
      <c r="B2258" s="62"/>
      <c r="C2258" s="56"/>
      <c r="D2258" s="56"/>
      <c r="E2258" s="56"/>
      <c r="F2258" s="63"/>
      <c r="G2258" s="64"/>
      <c r="H2258" s="65"/>
      <c r="I2258" s="63"/>
      <c r="K2258" s="53" t="str">
        <f>IFERROR(__xludf.DUMMYFUNCTION("IF(ISBLANK(B2258),"""",IF(ISDATE(B2258),""X"",""""))"),"")</f>
        <v/>
      </c>
      <c r="L2258" s="40" t="str">
        <f>IFERROR(__xludf.DUMMYFUNCTION("IF(ISBLANK(B2258),"""",IF(Or(I2258=""Em Aberto"",ISBLANK(I2258),NOT(ISDATE(B2258))),"""",H2258))"),"")</f>
        <v/>
      </c>
      <c r="M2258" s="29" t="str">
        <f>IFERROR(__xludf.DUMMYFUNCTION("IF(ISBLANK(B2258),"""",IF(ISDATE(B2258),TEXT(B2258,""m""),""""))"),"")</f>
        <v/>
      </c>
      <c r="N2258" s="29" t="str">
        <f>IFERROR(__xludf.DUMMYFUNCTION("IF(M2258="""","""",QUERY({'Dashboard-Dados'!$Y$2:$AA$13},""Select Col2 Where Col1=""&amp;M2258))"),"")</f>
        <v/>
      </c>
      <c r="O2258" s="29" t="str">
        <f>IFERROR(__xludf.DUMMYFUNCTION("IF(ISBLANK(B2258),"""",IF(ISDATE(B2258),TEXT(B2258,""yyyy""),""""))"),"")</f>
        <v/>
      </c>
    </row>
    <row r="2259">
      <c r="B2259" s="62"/>
      <c r="C2259" s="56"/>
      <c r="D2259" s="56"/>
      <c r="E2259" s="56"/>
      <c r="F2259" s="63"/>
      <c r="G2259" s="64"/>
      <c r="H2259" s="65"/>
      <c r="I2259" s="63"/>
      <c r="K2259" s="53" t="str">
        <f>IFERROR(__xludf.DUMMYFUNCTION("IF(ISBLANK(B2259),"""",IF(ISDATE(B2259),""X"",""""))"),"")</f>
        <v/>
      </c>
      <c r="L2259" s="40" t="str">
        <f>IFERROR(__xludf.DUMMYFUNCTION("IF(ISBLANK(B2259),"""",IF(Or(I2259=""Em Aberto"",ISBLANK(I2259),NOT(ISDATE(B2259))),"""",H2259))"),"")</f>
        <v/>
      </c>
      <c r="M2259" s="29" t="str">
        <f>IFERROR(__xludf.DUMMYFUNCTION("IF(ISBLANK(B2259),"""",IF(ISDATE(B2259),TEXT(B2259,""m""),""""))"),"")</f>
        <v/>
      </c>
      <c r="N2259" s="29" t="str">
        <f>IFERROR(__xludf.DUMMYFUNCTION("IF(M2259="""","""",QUERY({'Dashboard-Dados'!$Y$2:$AA$13},""Select Col2 Where Col1=""&amp;M2259))"),"")</f>
        <v/>
      </c>
      <c r="O2259" s="29" t="str">
        <f>IFERROR(__xludf.DUMMYFUNCTION("IF(ISBLANK(B2259),"""",IF(ISDATE(B2259),TEXT(B2259,""yyyy""),""""))"),"")</f>
        <v/>
      </c>
    </row>
    <row r="2260">
      <c r="B2260" s="62"/>
      <c r="C2260" s="56"/>
      <c r="D2260" s="56"/>
      <c r="E2260" s="56"/>
      <c r="F2260" s="63"/>
      <c r="G2260" s="64"/>
      <c r="H2260" s="65"/>
      <c r="I2260" s="63"/>
      <c r="K2260" s="53" t="str">
        <f>IFERROR(__xludf.DUMMYFUNCTION("IF(ISBLANK(B2260),"""",IF(ISDATE(B2260),""X"",""""))"),"")</f>
        <v/>
      </c>
      <c r="L2260" s="40" t="str">
        <f>IFERROR(__xludf.DUMMYFUNCTION("IF(ISBLANK(B2260),"""",IF(Or(I2260=""Em Aberto"",ISBLANK(I2260),NOT(ISDATE(B2260))),"""",H2260))"),"")</f>
        <v/>
      </c>
      <c r="M2260" s="29" t="str">
        <f>IFERROR(__xludf.DUMMYFUNCTION("IF(ISBLANK(B2260),"""",IF(ISDATE(B2260),TEXT(B2260,""m""),""""))"),"")</f>
        <v/>
      </c>
      <c r="N2260" s="29" t="str">
        <f>IFERROR(__xludf.DUMMYFUNCTION("IF(M2260="""","""",QUERY({'Dashboard-Dados'!$Y$2:$AA$13},""Select Col2 Where Col1=""&amp;M2260))"),"")</f>
        <v/>
      </c>
      <c r="O2260" s="29" t="str">
        <f>IFERROR(__xludf.DUMMYFUNCTION("IF(ISBLANK(B2260),"""",IF(ISDATE(B2260),TEXT(B2260,""yyyy""),""""))"),"")</f>
        <v/>
      </c>
    </row>
    <row r="2261">
      <c r="B2261" s="62"/>
      <c r="C2261" s="56"/>
      <c r="D2261" s="56"/>
      <c r="E2261" s="56"/>
      <c r="F2261" s="63"/>
      <c r="G2261" s="64"/>
      <c r="H2261" s="65"/>
      <c r="I2261" s="63"/>
      <c r="K2261" s="53" t="str">
        <f>IFERROR(__xludf.DUMMYFUNCTION("IF(ISBLANK(B2261),"""",IF(ISDATE(B2261),""X"",""""))"),"")</f>
        <v/>
      </c>
      <c r="L2261" s="40" t="str">
        <f>IFERROR(__xludf.DUMMYFUNCTION("IF(ISBLANK(B2261),"""",IF(Or(I2261=""Em Aberto"",ISBLANK(I2261),NOT(ISDATE(B2261))),"""",H2261))"),"")</f>
        <v/>
      </c>
      <c r="M2261" s="29" t="str">
        <f>IFERROR(__xludf.DUMMYFUNCTION("IF(ISBLANK(B2261),"""",IF(ISDATE(B2261),TEXT(B2261,""m""),""""))"),"")</f>
        <v/>
      </c>
      <c r="N2261" s="29" t="str">
        <f>IFERROR(__xludf.DUMMYFUNCTION("IF(M2261="""","""",QUERY({'Dashboard-Dados'!$Y$2:$AA$13},""Select Col2 Where Col1=""&amp;M2261))"),"")</f>
        <v/>
      </c>
      <c r="O2261" s="29" t="str">
        <f>IFERROR(__xludf.DUMMYFUNCTION("IF(ISBLANK(B2261),"""",IF(ISDATE(B2261),TEXT(B2261,""yyyy""),""""))"),"")</f>
        <v/>
      </c>
    </row>
    <row r="2262">
      <c r="B2262" s="62"/>
      <c r="C2262" s="56"/>
      <c r="D2262" s="56"/>
      <c r="E2262" s="56"/>
      <c r="F2262" s="63"/>
      <c r="G2262" s="64"/>
      <c r="H2262" s="65"/>
      <c r="I2262" s="63"/>
      <c r="K2262" s="53" t="str">
        <f>IFERROR(__xludf.DUMMYFUNCTION("IF(ISBLANK(B2262),"""",IF(ISDATE(B2262),""X"",""""))"),"")</f>
        <v/>
      </c>
      <c r="L2262" s="40" t="str">
        <f>IFERROR(__xludf.DUMMYFUNCTION("IF(ISBLANK(B2262),"""",IF(Or(I2262=""Em Aberto"",ISBLANK(I2262),NOT(ISDATE(B2262))),"""",H2262))"),"")</f>
        <v/>
      </c>
      <c r="M2262" s="29" t="str">
        <f>IFERROR(__xludf.DUMMYFUNCTION("IF(ISBLANK(B2262),"""",IF(ISDATE(B2262),TEXT(B2262,""m""),""""))"),"")</f>
        <v/>
      </c>
      <c r="N2262" s="29" t="str">
        <f>IFERROR(__xludf.DUMMYFUNCTION("IF(M2262="""","""",QUERY({'Dashboard-Dados'!$Y$2:$AA$13},""Select Col2 Where Col1=""&amp;M2262))"),"")</f>
        <v/>
      </c>
      <c r="O2262" s="29" t="str">
        <f>IFERROR(__xludf.DUMMYFUNCTION("IF(ISBLANK(B2262),"""",IF(ISDATE(B2262),TEXT(B2262,""yyyy""),""""))"),"")</f>
        <v/>
      </c>
    </row>
    <row r="2263">
      <c r="B2263" s="62"/>
      <c r="C2263" s="56"/>
      <c r="D2263" s="56"/>
      <c r="E2263" s="56"/>
      <c r="F2263" s="63"/>
      <c r="G2263" s="64"/>
      <c r="H2263" s="65"/>
      <c r="I2263" s="63"/>
      <c r="K2263" s="53" t="str">
        <f>IFERROR(__xludf.DUMMYFUNCTION("IF(ISBLANK(B2263),"""",IF(ISDATE(B2263),""X"",""""))"),"")</f>
        <v/>
      </c>
      <c r="L2263" s="40" t="str">
        <f>IFERROR(__xludf.DUMMYFUNCTION("IF(ISBLANK(B2263),"""",IF(Or(I2263=""Em Aberto"",ISBLANK(I2263),NOT(ISDATE(B2263))),"""",H2263))"),"")</f>
        <v/>
      </c>
      <c r="M2263" s="29" t="str">
        <f>IFERROR(__xludf.DUMMYFUNCTION("IF(ISBLANK(B2263),"""",IF(ISDATE(B2263),TEXT(B2263,""m""),""""))"),"")</f>
        <v/>
      </c>
      <c r="N2263" s="29" t="str">
        <f>IFERROR(__xludf.DUMMYFUNCTION("IF(M2263="""","""",QUERY({'Dashboard-Dados'!$Y$2:$AA$13},""Select Col2 Where Col1=""&amp;M2263))"),"")</f>
        <v/>
      </c>
      <c r="O2263" s="29" t="str">
        <f>IFERROR(__xludf.DUMMYFUNCTION("IF(ISBLANK(B2263),"""",IF(ISDATE(B2263),TEXT(B2263,""yyyy""),""""))"),"")</f>
        <v/>
      </c>
    </row>
    <row r="2264">
      <c r="B2264" s="62"/>
      <c r="C2264" s="56"/>
      <c r="D2264" s="56"/>
      <c r="E2264" s="56"/>
      <c r="F2264" s="63"/>
      <c r="G2264" s="64"/>
      <c r="H2264" s="65"/>
      <c r="I2264" s="63"/>
      <c r="K2264" s="53" t="str">
        <f>IFERROR(__xludf.DUMMYFUNCTION("IF(ISBLANK(B2264),"""",IF(ISDATE(B2264),""X"",""""))"),"")</f>
        <v/>
      </c>
      <c r="L2264" s="40" t="str">
        <f>IFERROR(__xludf.DUMMYFUNCTION("IF(ISBLANK(B2264),"""",IF(Or(I2264=""Em Aberto"",ISBLANK(I2264),NOT(ISDATE(B2264))),"""",H2264))"),"")</f>
        <v/>
      </c>
      <c r="M2264" s="29" t="str">
        <f>IFERROR(__xludf.DUMMYFUNCTION("IF(ISBLANK(B2264),"""",IF(ISDATE(B2264),TEXT(B2264,""m""),""""))"),"")</f>
        <v/>
      </c>
      <c r="N2264" s="29" t="str">
        <f>IFERROR(__xludf.DUMMYFUNCTION("IF(M2264="""","""",QUERY({'Dashboard-Dados'!$Y$2:$AA$13},""Select Col2 Where Col1=""&amp;M2264))"),"")</f>
        <v/>
      </c>
      <c r="O2264" s="29" t="str">
        <f>IFERROR(__xludf.DUMMYFUNCTION("IF(ISBLANK(B2264),"""",IF(ISDATE(B2264),TEXT(B2264,""yyyy""),""""))"),"")</f>
        <v/>
      </c>
    </row>
    <row r="2265">
      <c r="B2265" s="62"/>
      <c r="C2265" s="56"/>
      <c r="D2265" s="56"/>
      <c r="E2265" s="56"/>
      <c r="F2265" s="63"/>
      <c r="G2265" s="64"/>
      <c r="H2265" s="65"/>
      <c r="I2265" s="63"/>
      <c r="K2265" s="53" t="str">
        <f>IFERROR(__xludf.DUMMYFUNCTION("IF(ISBLANK(B2265),"""",IF(ISDATE(B2265),""X"",""""))"),"")</f>
        <v/>
      </c>
      <c r="L2265" s="40" t="str">
        <f>IFERROR(__xludf.DUMMYFUNCTION("IF(ISBLANK(B2265),"""",IF(Or(I2265=""Em Aberto"",ISBLANK(I2265),NOT(ISDATE(B2265))),"""",H2265))"),"")</f>
        <v/>
      </c>
      <c r="M2265" s="29" t="str">
        <f>IFERROR(__xludf.DUMMYFUNCTION("IF(ISBLANK(B2265),"""",IF(ISDATE(B2265),TEXT(B2265,""m""),""""))"),"")</f>
        <v/>
      </c>
      <c r="N2265" s="29" t="str">
        <f>IFERROR(__xludf.DUMMYFUNCTION("IF(M2265="""","""",QUERY({'Dashboard-Dados'!$Y$2:$AA$13},""Select Col2 Where Col1=""&amp;M2265))"),"")</f>
        <v/>
      </c>
      <c r="O2265" s="29" t="str">
        <f>IFERROR(__xludf.DUMMYFUNCTION("IF(ISBLANK(B2265),"""",IF(ISDATE(B2265),TEXT(B2265,""yyyy""),""""))"),"")</f>
        <v/>
      </c>
    </row>
    <row r="2266">
      <c r="B2266" s="62"/>
      <c r="C2266" s="56"/>
      <c r="D2266" s="56"/>
      <c r="E2266" s="56"/>
      <c r="F2266" s="63"/>
      <c r="G2266" s="64"/>
      <c r="H2266" s="65"/>
      <c r="I2266" s="63"/>
      <c r="K2266" s="53" t="str">
        <f>IFERROR(__xludf.DUMMYFUNCTION("IF(ISBLANK(B2266),"""",IF(ISDATE(B2266),""X"",""""))"),"")</f>
        <v/>
      </c>
      <c r="L2266" s="40" t="str">
        <f>IFERROR(__xludf.DUMMYFUNCTION("IF(ISBLANK(B2266),"""",IF(Or(I2266=""Em Aberto"",ISBLANK(I2266),NOT(ISDATE(B2266))),"""",H2266))"),"")</f>
        <v/>
      </c>
      <c r="M2266" s="29" t="str">
        <f>IFERROR(__xludf.DUMMYFUNCTION("IF(ISBLANK(B2266),"""",IF(ISDATE(B2266),TEXT(B2266,""m""),""""))"),"")</f>
        <v/>
      </c>
      <c r="N2266" s="29" t="str">
        <f>IFERROR(__xludf.DUMMYFUNCTION("IF(M2266="""","""",QUERY({'Dashboard-Dados'!$Y$2:$AA$13},""Select Col2 Where Col1=""&amp;M2266))"),"")</f>
        <v/>
      </c>
      <c r="O2266" s="29" t="str">
        <f>IFERROR(__xludf.DUMMYFUNCTION("IF(ISBLANK(B2266),"""",IF(ISDATE(B2266),TEXT(B2266,""yyyy""),""""))"),"")</f>
        <v/>
      </c>
    </row>
    <row r="2267">
      <c r="B2267" s="62"/>
      <c r="C2267" s="56"/>
      <c r="D2267" s="56"/>
      <c r="E2267" s="56"/>
      <c r="F2267" s="63"/>
      <c r="G2267" s="64"/>
      <c r="H2267" s="65"/>
      <c r="I2267" s="63"/>
      <c r="K2267" s="53" t="str">
        <f>IFERROR(__xludf.DUMMYFUNCTION("IF(ISBLANK(B2267),"""",IF(ISDATE(B2267),""X"",""""))"),"")</f>
        <v/>
      </c>
      <c r="L2267" s="40" t="str">
        <f>IFERROR(__xludf.DUMMYFUNCTION("IF(ISBLANK(B2267),"""",IF(Or(I2267=""Em Aberto"",ISBLANK(I2267),NOT(ISDATE(B2267))),"""",H2267))"),"")</f>
        <v/>
      </c>
      <c r="M2267" s="29" t="str">
        <f>IFERROR(__xludf.DUMMYFUNCTION("IF(ISBLANK(B2267),"""",IF(ISDATE(B2267),TEXT(B2267,""m""),""""))"),"")</f>
        <v/>
      </c>
      <c r="N2267" s="29" t="str">
        <f>IFERROR(__xludf.DUMMYFUNCTION("IF(M2267="""","""",QUERY({'Dashboard-Dados'!$Y$2:$AA$13},""Select Col2 Where Col1=""&amp;M2267))"),"")</f>
        <v/>
      </c>
      <c r="O2267" s="29" t="str">
        <f>IFERROR(__xludf.DUMMYFUNCTION("IF(ISBLANK(B2267),"""",IF(ISDATE(B2267),TEXT(B2267,""yyyy""),""""))"),"")</f>
        <v/>
      </c>
    </row>
    <row r="2268">
      <c r="B2268" s="62"/>
      <c r="C2268" s="56"/>
      <c r="D2268" s="56"/>
      <c r="E2268" s="56"/>
      <c r="F2268" s="63"/>
      <c r="G2268" s="64"/>
      <c r="H2268" s="65"/>
      <c r="I2268" s="63"/>
      <c r="K2268" s="53" t="str">
        <f>IFERROR(__xludf.DUMMYFUNCTION("IF(ISBLANK(B2268),"""",IF(ISDATE(B2268),""X"",""""))"),"")</f>
        <v/>
      </c>
      <c r="L2268" s="40" t="str">
        <f>IFERROR(__xludf.DUMMYFUNCTION("IF(ISBLANK(B2268),"""",IF(Or(I2268=""Em Aberto"",ISBLANK(I2268),NOT(ISDATE(B2268))),"""",H2268))"),"")</f>
        <v/>
      </c>
      <c r="M2268" s="29" t="str">
        <f>IFERROR(__xludf.DUMMYFUNCTION("IF(ISBLANK(B2268),"""",IF(ISDATE(B2268),TEXT(B2268,""m""),""""))"),"")</f>
        <v/>
      </c>
      <c r="N2268" s="29" t="str">
        <f>IFERROR(__xludf.DUMMYFUNCTION("IF(M2268="""","""",QUERY({'Dashboard-Dados'!$Y$2:$AA$13},""Select Col2 Where Col1=""&amp;M2268))"),"")</f>
        <v/>
      </c>
      <c r="O2268" s="29" t="str">
        <f>IFERROR(__xludf.DUMMYFUNCTION("IF(ISBLANK(B2268),"""",IF(ISDATE(B2268),TEXT(B2268,""yyyy""),""""))"),"")</f>
        <v/>
      </c>
    </row>
    <row r="2269">
      <c r="B2269" s="62"/>
      <c r="C2269" s="56"/>
      <c r="D2269" s="56"/>
      <c r="E2269" s="56"/>
      <c r="F2269" s="63"/>
      <c r="G2269" s="64"/>
      <c r="H2269" s="65"/>
      <c r="I2269" s="63"/>
      <c r="K2269" s="53" t="str">
        <f>IFERROR(__xludf.DUMMYFUNCTION("IF(ISBLANK(B2269),"""",IF(ISDATE(B2269),""X"",""""))"),"")</f>
        <v/>
      </c>
      <c r="L2269" s="40" t="str">
        <f>IFERROR(__xludf.DUMMYFUNCTION("IF(ISBLANK(B2269),"""",IF(Or(I2269=""Em Aberto"",ISBLANK(I2269),NOT(ISDATE(B2269))),"""",H2269))"),"")</f>
        <v/>
      </c>
      <c r="M2269" s="29" t="str">
        <f>IFERROR(__xludf.DUMMYFUNCTION("IF(ISBLANK(B2269),"""",IF(ISDATE(B2269),TEXT(B2269,""m""),""""))"),"")</f>
        <v/>
      </c>
      <c r="N2269" s="29" t="str">
        <f>IFERROR(__xludf.DUMMYFUNCTION("IF(M2269="""","""",QUERY({'Dashboard-Dados'!$Y$2:$AA$13},""Select Col2 Where Col1=""&amp;M2269))"),"")</f>
        <v/>
      </c>
      <c r="O2269" s="29" t="str">
        <f>IFERROR(__xludf.DUMMYFUNCTION("IF(ISBLANK(B2269),"""",IF(ISDATE(B2269),TEXT(B2269,""yyyy""),""""))"),"")</f>
        <v/>
      </c>
    </row>
    <row r="2270">
      <c r="B2270" s="62"/>
      <c r="C2270" s="56"/>
      <c r="D2270" s="56"/>
      <c r="E2270" s="56"/>
      <c r="F2270" s="63"/>
      <c r="G2270" s="64"/>
      <c r="H2270" s="65"/>
      <c r="I2270" s="63"/>
      <c r="K2270" s="53" t="str">
        <f>IFERROR(__xludf.DUMMYFUNCTION("IF(ISBLANK(B2270),"""",IF(ISDATE(B2270),""X"",""""))"),"")</f>
        <v/>
      </c>
      <c r="L2270" s="40" t="str">
        <f>IFERROR(__xludf.DUMMYFUNCTION("IF(ISBLANK(B2270),"""",IF(Or(I2270=""Em Aberto"",ISBLANK(I2270),NOT(ISDATE(B2270))),"""",H2270))"),"")</f>
        <v/>
      </c>
      <c r="M2270" s="29" t="str">
        <f>IFERROR(__xludf.DUMMYFUNCTION("IF(ISBLANK(B2270),"""",IF(ISDATE(B2270),TEXT(B2270,""m""),""""))"),"")</f>
        <v/>
      </c>
      <c r="N2270" s="29" t="str">
        <f>IFERROR(__xludf.DUMMYFUNCTION("IF(M2270="""","""",QUERY({'Dashboard-Dados'!$Y$2:$AA$13},""Select Col2 Where Col1=""&amp;M2270))"),"")</f>
        <v/>
      </c>
      <c r="O2270" s="29" t="str">
        <f>IFERROR(__xludf.DUMMYFUNCTION("IF(ISBLANK(B2270),"""",IF(ISDATE(B2270),TEXT(B2270,""yyyy""),""""))"),"")</f>
        <v/>
      </c>
    </row>
    <row r="2271">
      <c r="B2271" s="62"/>
      <c r="C2271" s="56"/>
      <c r="D2271" s="56"/>
      <c r="E2271" s="56"/>
      <c r="F2271" s="63"/>
      <c r="G2271" s="64"/>
      <c r="H2271" s="65"/>
      <c r="I2271" s="63"/>
      <c r="K2271" s="53" t="str">
        <f>IFERROR(__xludf.DUMMYFUNCTION("IF(ISBLANK(B2271),"""",IF(ISDATE(B2271),""X"",""""))"),"")</f>
        <v/>
      </c>
      <c r="L2271" s="40" t="str">
        <f>IFERROR(__xludf.DUMMYFUNCTION("IF(ISBLANK(B2271),"""",IF(Or(I2271=""Em Aberto"",ISBLANK(I2271),NOT(ISDATE(B2271))),"""",H2271))"),"")</f>
        <v/>
      </c>
      <c r="M2271" s="29" t="str">
        <f>IFERROR(__xludf.DUMMYFUNCTION("IF(ISBLANK(B2271),"""",IF(ISDATE(B2271),TEXT(B2271,""m""),""""))"),"")</f>
        <v/>
      </c>
      <c r="N2271" s="29" t="str">
        <f>IFERROR(__xludf.DUMMYFUNCTION("IF(M2271="""","""",QUERY({'Dashboard-Dados'!$Y$2:$AA$13},""Select Col2 Where Col1=""&amp;M2271))"),"")</f>
        <v/>
      </c>
      <c r="O2271" s="29" t="str">
        <f>IFERROR(__xludf.DUMMYFUNCTION("IF(ISBLANK(B2271),"""",IF(ISDATE(B2271),TEXT(B2271,""yyyy""),""""))"),"")</f>
        <v/>
      </c>
    </row>
    <row r="2272">
      <c r="B2272" s="62"/>
      <c r="C2272" s="56"/>
      <c r="D2272" s="56"/>
      <c r="E2272" s="56"/>
      <c r="F2272" s="63"/>
      <c r="G2272" s="64"/>
      <c r="H2272" s="65"/>
      <c r="I2272" s="63"/>
      <c r="K2272" s="53" t="str">
        <f>IFERROR(__xludf.DUMMYFUNCTION("IF(ISBLANK(B2272),"""",IF(ISDATE(B2272),""X"",""""))"),"")</f>
        <v/>
      </c>
      <c r="L2272" s="40" t="str">
        <f>IFERROR(__xludf.DUMMYFUNCTION("IF(ISBLANK(B2272),"""",IF(Or(I2272=""Em Aberto"",ISBLANK(I2272),NOT(ISDATE(B2272))),"""",H2272))"),"")</f>
        <v/>
      </c>
      <c r="M2272" s="29" t="str">
        <f>IFERROR(__xludf.DUMMYFUNCTION("IF(ISBLANK(B2272),"""",IF(ISDATE(B2272),TEXT(B2272,""m""),""""))"),"")</f>
        <v/>
      </c>
      <c r="N2272" s="29" t="str">
        <f>IFERROR(__xludf.DUMMYFUNCTION("IF(M2272="""","""",QUERY({'Dashboard-Dados'!$Y$2:$AA$13},""Select Col2 Where Col1=""&amp;M2272))"),"")</f>
        <v/>
      </c>
      <c r="O2272" s="29" t="str">
        <f>IFERROR(__xludf.DUMMYFUNCTION("IF(ISBLANK(B2272),"""",IF(ISDATE(B2272),TEXT(B2272,""yyyy""),""""))"),"")</f>
        <v/>
      </c>
    </row>
    <row r="2273">
      <c r="B2273" s="62"/>
      <c r="C2273" s="56"/>
      <c r="D2273" s="56"/>
      <c r="E2273" s="56"/>
      <c r="F2273" s="63"/>
      <c r="G2273" s="64"/>
      <c r="H2273" s="65"/>
      <c r="I2273" s="63"/>
      <c r="K2273" s="53" t="str">
        <f>IFERROR(__xludf.DUMMYFUNCTION("IF(ISBLANK(B2273),"""",IF(ISDATE(B2273),""X"",""""))"),"")</f>
        <v/>
      </c>
      <c r="L2273" s="40" t="str">
        <f>IFERROR(__xludf.DUMMYFUNCTION("IF(ISBLANK(B2273),"""",IF(Or(I2273=""Em Aberto"",ISBLANK(I2273),NOT(ISDATE(B2273))),"""",H2273))"),"")</f>
        <v/>
      </c>
      <c r="M2273" s="29" t="str">
        <f>IFERROR(__xludf.DUMMYFUNCTION("IF(ISBLANK(B2273),"""",IF(ISDATE(B2273),TEXT(B2273,""m""),""""))"),"")</f>
        <v/>
      </c>
      <c r="N2273" s="29" t="str">
        <f>IFERROR(__xludf.DUMMYFUNCTION("IF(M2273="""","""",QUERY({'Dashboard-Dados'!$Y$2:$AA$13},""Select Col2 Where Col1=""&amp;M2273))"),"")</f>
        <v/>
      </c>
      <c r="O2273" s="29" t="str">
        <f>IFERROR(__xludf.DUMMYFUNCTION("IF(ISBLANK(B2273),"""",IF(ISDATE(B2273),TEXT(B2273,""yyyy""),""""))"),"")</f>
        <v/>
      </c>
    </row>
    <row r="2274">
      <c r="B2274" s="62"/>
      <c r="C2274" s="56"/>
      <c r="D2274" s="56"/>
      <c r="E2274" s="56"/>
      <c r="F2274" s="63"/>
      <c r="G2274" s="64"/>
      <c r="H2274" s="65"/>
      <c r="I2274" s="63"/>
      <c r="K2274" s="53" t="str">
        <f>IFERROR(__xludf.DUMMYFUNCTION("IF(ISBLANK(B2274),"""",IF(ISDATE(B2274),""X"",""""))"),"")</f>
        <v/>
      </c>
      <c r="L2274" s="40" t="str">
        <f>IFERROR(__xludf.DUMMYFUNCTION("IF(ISBLANK(B2274),"""",IF(Or(I2274=""Em Aberto"",ISBLANK(I2274),NOT(ISDATE(B2274))),"""",H2274))"),"")</f>
        <v/>
      </c>
      <c r="M2274" s="29" t="str">
        <f>IFERROR(__xludf.DUMMYFUNCTION("IF(ISBLANK(B2274),"""",IF(ISDATE(B2274),TEXT(B2274,""m""),""""))"),"")</f>
        <v/>
      </c>
      <c r="N2274" s="29" t="str">
        <f>IFERROR(__xludf.DUMMYFUNCTION("IF(M2274="""","""",QUERY({'Dashboard-Dados'!$Y$2:$AA$13},""Select Col2 Where Col1=""&amp;M2274))"),"")</f>
        <v/>
      </c>
      <c r="O2274" s="29" t="str">
        <f>IFERROR(__xludf.DUMMYFUNCTION("IF(ISBLANK(B2274),"""",IF(ISDATE(B2274),TEXT(B2274,""yyyy""),""""))"),"")</f>
        <v/>
      </c>
    </row>
    <row r="2275">
      <c r="B2275" s="62"/>
      <c r="C2275" s="56"/>
      <c r="D2275" s="56"/>
      <c r="E2275" s="56"/>
      <c r="F2275" s="63"/>
      <c r="G2275" s="64"/>
      <c r="H2275" s="65"/>
      <c r="I2275" s="63"/>
      <c r="K2275" s="53" t="str">
        <f>IFERROR(__xludf.DUMMYFUNCTION("IF(ISBLANK(B2275),"""",IF(ISDATE(B2275),""X"",""""))"),"")</f>
        <v/>
      </c>
      <c r="L2275" s="40" t="str">
        <f>IFERROR(__xludf.DUMMYFUNCTION("IF(ISBLANK(B2275),"""",IF(Or(I2275=""Em Aberto"",ISBLANK(I2275),NOT(ISDATE(B2275))),"""",H2275))"),"")</f>
        <v/>
      </c>
      <c r="M2275" s="29" t="str">
        <f>IFERROR(__xludf.DUMMYFUNCTION("IF(ISBLANK(B2275),"""",IF(ISDATE(B2275),TEXT(B2275,""m""),""""))"),"")</f>
        <v/>
      </c>
      <c r="N2275" s="29" t="str">
        <f>IFERROR(__xludf.DUMMYFUNCTION("IF(M2275="""","""",QUERY({'Dashboard-Dados'!$Y$2:$AA$13},""Select Col2 Where Col1=""&amp;M2275))"),"")</f>
        <v/>
      </c>
      <c r="O2275" s="29" t="str">
        <f>IFERROR(__xludf.DUMMYFUNCTION("IF(ISBLANK(B2275),"""",IF(ISDATE(B2275),TEXT(B2275,""yyyy""),""""))"),"")</f>
        <v/>
      </c>
    </row>
    <row r="2276">
      <c r="B2276" s="62"/>
      <c r="C2276" s="56"/>
      <c r="D2276" s="56"/>
      <c r="E2276" s="56"/>
      <c r="F2276" s="63"/>
      <c r="G2276" s="64"/>
      <c r="H2276" s="65"/>
      <c r="I2276" s="63"/>
      <c r="K2276" s="53" t="str">
        <f>IFERROR(__xludf.DUMMYFUNCTION("IF(ISBLANK(B2276),"""",IF(ISDATE(B2276),""X"",""""))"),"")</f>
        <v/>
      </c>
      <c r="L2276" s="40" t="str">
        <f>IFERROR(__xludf.DUMMYFUNCTION("IF(ISBLANK(B2276),"""",IF(Or(I2276=""Em Aberto"",ISBLANK(I2276),NOT(ISDATE(B2276))),"""",H2276))"),"")</f>
        <v/>
      </c>
      <c r="M2276" s="29" t="str">
        <f>IFERROR(__xludf.DUMMYFUNCTION("IF(ISBLANK(B2276),"""",IF(ISDATE(B2276),TEXT(B2276,""m""),""""))"),"")</f>
        <v/>
      </c>
      <c r="N2276" s="29" t="str">
        <f>IFERROR(__xludf.DUMMYFUNCTION("IF(M2276="""","""",QUERY({'Dashboard-Dados'!$Y$2:$AA$13},""Select Col2 Where Col1=""&amp;M2276))"),"")</f>
        <v/>
      </c>
      <c r="O2276" s="29" t="str">
        <f>IFERROR(__xludf.DUMMYFUNCTION("IF(ISBLANK(B2276),"""",IF(ISDATE(B2276),TEXT(B2276,""yyyy""),""""))"),"")</f>
        <v/>
      </c>
    </row>
    <row r="2277">
      <c r="B2277" s="62"/>
      <c r="C2277" s="56"/>
      <c r="D2277" s="56"/>
      <c r="E2277" s="56"/>
      <c r="F2277" s="63"/>
      <c r="G2277" s="64"/>
      <c r="H2277" s="65"/>
      <c r="I2277" s="63"/>
      <c r="K2277" s="53" t="str">
        <f>IFERROR(__xludf.DUMMYFUNCTION("IF(ISBLANK(B2277),"""",IF(ISDATE(B2277),""X"",""""))"),"")</f>
        <v/>
      </c>
      <c r="L2277" s="40" t="str">
        <f>IFERROR(__xludf.DUMMYFUNCTION("IF(ISBLANK(B2277),"""",IF(Or(I2277=""Em Aberto"",ISBLANK(I2277),NOT(ISDATE(B2277))),"""",H2277))"),"")</f>
        <v/>
      </c>
      <c r="M2277" s="29" t="str">
        <f>IFERROR(__xludf.DUMMYFUNCTION("IF(ISBLANK(B2277),"""",IF(ISDATE(B2277),TEXT(B2277,""m""),""""))"),"")</f>
        <v/>
      </c>
      <c r="N2277" s="29" t="str">
        <f>IFERROR(__xludf.DUMMYFUNCTION("IF(M2277="""","""",QUERY({'Dashboard-Dados'!$Y$2:$AA$13},""Select Col2 Where Col1=""&amp;M2277))"),"")</f>
        <v/>
      </c>
      <c r="O2277" s="29" t="str">
        <f>IFERROR(__xludf.DUMMYFUNCTION("IF(ISBLANK(B2277),"""",IF(ISDATE(B2277),TEXT(B2277,""yyyy""),""""))"),"")</f>
        <v/>
      </c>
    </row>
    <row r="2278">
      <c r="B2278" s="62"/>
      <c r="C2278" s="56"/>
      <c r="D2278" s="56"/>
      <c r="E2278" s="56"/>
      <c r="F2278" s="63"/>
      <c r="G2278" s="64"/>
      <c r="H2278" s="65"/>
      <c r="I2278" s="63"/>
      <c r="K2278" s="53" t="str">
        <f>IFERROR(__xludf.DUMMYFUNCTION("IF(ISBLANK(B2278),"""",IF(ISDATE(B2278),""X"",""""))"),"")</f>
        <v/>
      </c>
      <c r="L2278" s="40" t="str">
        <f>IFERROR(__xludf.DUMMYFUNCTION("IF(ISBLANK(B2278),"""",IF(Or(I2278=""Em Aberto"",ISBLANK(I2278),NOT(ISDATE(B2278))),"""",H2278))"),"")</f>
        <v/>
      </c>
      <c r="M2278" s="29" t="str">
        <f>IFERROR(__xludf.DUMMYFUNCTION("IF(ISBLANK(B2278),"""",IF(ISDATE(B2278),TEXT(B2278,""m""),""""))"),"")</f>
        <v/>
      </c>
      <c r="N2278" s="29" t="str">
        <f>IFERROR(__xludf.DUMMYFUNCTION("IF(M2278="""","""",QUERY({'Dashboard-Dados'!$Y$2:$AA$13},""Select Col2 Where Col1=""&amp;M2278))"),"")</f>
        <v/>
      </c>
      <c r="O2278" s="29" t="str">
        <f>IFERROR(__xludf.DUMMYFUNCTION("IF(ISBLANK(B2278),"""",IF(ISDATE(B2278),TEXT(B2278,""yyyy""),""""))"),"")</f>
        <v/>
      </c>
    </row>
    <row r="2279">
      <c r="B2279" s="62"/>
      <c r="C2279" s="56"/>
      <c r="D2279" s="56"/>
      <c r="E2279" s="56"/>
      <c r="F2279" s="63"/>
      <c r="G2279" s="64"/>
      <c r="H2279" s="65"/>
      <c r="I2279" s="63"/>
      <c r="K2279" s="53" t="str">
        <f>IFERROR(__xludf.DUMMYFUNCTION("IF(ISBLANK(B2279),"""",IF(ISDATE(B2279),""X"",""""))"),"")</f>
        <v/>
      </c>
      <c r="L2279" s="40" t="str">
        <f>IFERROR(__xludf.DUMMYFUNCTION("IF(ISBLANK(B2279),"""",IF(Or(I2279=""Em Aberto"",ISBLANK(I2279),NOT(ISDATE(B2279))),"""",H2279))"),"")</f>
        <v/>
      </c>
      <c r="M2279" s="29" t="str">
        <f>IFERROR(__xludf.DUMMYFUNCTION("IF(ISBLANK(B2279),"""",IF(ISDATE(B2279),TEXT(B2279,""m""),""""))"),"")</f>
        <v/>
      </c>
      <c r="N2279" s="29" t="str">
        <f>IFERROR(__xludf.DUMMYFUNCTION("IF(M2279="""","""",QUERY({'Dashboard-Dados'!$Y$2:$AA$13},""Select Col2 Where Col1=""&amp;M2279))"),"")</f>
        <v/>
      </c>
      <c r="O2279" s="29" t="str">
        <f>IFERROR(__xludf.DUMMYFUNCTION("IF(ISBLANK(B2279),"""",IF(ISDATE(B2279),TEXT(B2279,""yyyy""),""""))"),"")</f>
        <v/>
      </c>
    </row>
    <row r="2280">
      <c r="B2280" s="62"/>
      <c r="C2280" s="56"/>
      <c r="D2280" s="56"/>
      <c r="E2280" s="56"/>
      <c r="F2280" s="63"/>
      <c r="G2280" s="64"/>
      <c r="H2280" s="65"/>
      <c r="I2280" s="63"/>
      <c r="K2280" s="53" t="str">
        <f>IFERROR(__xludf.DUMMYFUNCTION("IF(ISBLANK(B2280),"""",IF(ISDATE(B2280),""X"",""""))"),"")</f>
        <v/>
      </c>
      <c r="L2280" s="40" t="str">
        <f>IFERROR(__xludf.DUMMYFUNCTION("IF(ISBLANK(B2280),"""",IF(Or(I2280=""Em Aberto"",ISBLANK(I2280),NOT(ISDATE(B2280))),"""",H2280))"),"")</f>
        <v/>
      </c>
      <c r="M2280" s="29" t="str">
        <f>IFERROR(__xludf.DUMMYFUNCTION("IF(ISBLANK(B2280),"""",IF(ISDATE(B2280),TEXT(B2280,""m""),""""))"),"")</f>
        <v/>
      </c>
      <c r="N2280" s="29" t="str">
        <f>IFERROR(__xludf.DUMMYFUNCTION("IF(M2280="""","""",QUERY({'Dashboard-Dados'!$Y$2:$AA$13},""Select Col2 Where Col1=""&amp;M2280))"),"")</f>
        <v/>
      </c>
      <c r="O2280" s="29" t="str">
        <f>IFERROR(__xludf.DUMMYFUNCTION("IF(ISBLANK(B2280),"""",IF(ISDATE(B2280),TEXT(B2280,""yyyy""),""""))"),"")</f>
        <v/>
      </c>
    </row>
    <row r="2281">
      <c r="B2281" s="62"/>
      <c r="C2281" s="56"/>
      <c r="D2281" s="56"/>
      <c r="E2281" s="56"/>
      <c r="F2281" s="63"/>
      <c r="G2281" s="64"/>
      <c r="H2281" s="65"/>
      <c r="I2281" s="63"/>
      <c r="K2281" s="53" t="str">
        <f>IFERROR(__xludf.DUMMYFUNCTION("IF(ISBLANK(B2281),"""",IF(ISDATE(B2281),""X"",""""))"),"")</f>
        <v/>
      </c>
      <c r="L2281" s="40" t="str">
        <f>IFERROR(__xludf.DUMMYFUNCTION("IF(ISBLANK(B2281),"""",IF(Or(I2281=""Em Aberto"",ISBLANK(I2281),NOT(ISDATE(B2281))),"""",H2281))"),"")</f>
        <v/>
      </c>
      <c r="M2281" s="29" t="str">
        <f>IFERROR(__xludf.DUMMYFUNCTION("IF(ISBLANK(B2281),"""",IF(ISDATE(B2281),TEXT(B2281,""m""),""""))"),"")</f>
        <v/>
      </c>
      <c r="N2281" s="29" t="str">
        <f>IFERROR(__xludf.DUMMYFUNCTION("IF(M2281="""","""",QUERY({'Dashboard-Dados'!$Y$2:$AA$13},""Select Col2 Where Col1=""&amp;M2281))"),"")</f>
        <v/>
      </c>
      <c r="O2281" s="29" t="str">
        <f>IFERROR(__xludf.DUMMYFUNCTION("IF(ISBLANK(B2281),"""",IF(ISDATE(B2281),TEXT(B2281,""yyyy""),""""))"),"")</f>
        <v/>
      </c>
    </row>
    <row r="2282">
      <c r="B2282" s="62"/>
      <c r="C2282" s="56"/>
      <c r="D2282" s="56"/>
      <c r="E2282" s="56"/>
      <c r="F2282" s="63"/>
      <c r="G2282" s="64"/>
      <c r="H2282" s="65"/>
      <c r="I2282" s="63"/>
      <c r="K2282" s="53" t="str">
        <f>IFERROR(__xludf.DUMMYFUNCTION("IF(ISBLANK(B2282),"""",IF(ISDATE(B2282),""X"",""""))"),"")</f>
        <v/>
      </c>
      <c r="L2282" s="40" t="str">
        <f>IFERROR(__xludf.DUMMYFUNCTION("IF(ISBLANK(B2282),"""",IF(Or(I2282=""Em Aberto"",ISBLANK(I2282),NOT(ISDATE(B2282))),"""",H2282))"),"")</f>
        <v/>
      </c>
      <c r="M2282" s="29" t="str">
        <f>IFERROR(__xludf.DUMMYFUNCTION("IF(ISBLANK(B2282),"""",IF(ISDATE(B2282),TEXT(B2282,""m""),""""))"),"")</f>
        <v/>
      </c>
      <c r="N2282" s="29" t="str">
        <f>IFERROR(__xludf.DUMMYFUNCTION("IF(M2282="""","""",QUERY({'Dashboard-Dados'!$Y$2:$AA$13},""Select Col2 Where Col1=""&amp;M2282))"),"")</f>
        <v/>
      </c>
      <c r="O2282" s="29" t="str">
        <f>IFERROR(__xludf.DUMMYFUNCTION("IF(ISBLANK(B2282),"""",IF(ISDATE(B2282),TEXT(B2282,""yyyy""),""""))"),"")</f>
        <v/>
      </c>
    </row>
    <row r="2283">
      <c r="B2283" s="62"/>
      <c r="C2283" s="56"/>
      <c r="D2283" s="56"/>
      <c r="E2283" s="56"/>
      <c r="F2283" s="63"/>
      <c r="G2283" s="64"/>
      <c r="H2283" s="65"/>
      <c r="I2283" s="63"/>
      <c r="K2283" s="53" t="str">
        <f>IFERROR(__xludf.DUMMYFUNCTION("IF(ISBLANK(B2283),"""",IF(ISDATE(B2283),""X"",""""))"),"")</f>
        <v/>
      </c>
      <c r="L2283" s="40" t="str">
        <f>IFERROR(__xludf.DUMMYFUNCTION("IF(ISBLANK(B2283),"""",IF(Or(I2283=""Em Aberto"",ISBLANK(I2283),NOT(ISDATE(B2283))),"""",H2283))"),"")</f>
        <v/>
      </c>
      <c r="M2283" s="29" t="str">
        <f>IFERROR(__xludf.DUMMYFUNCTION("IF(ISBLANK(B2283),"""",IF(ISDATE(B2283),TEXT(B2283,""m""),""""))"),"")</f>
        <v/>
      </c>
      <c r="N2283" s="29" t="str">
        <f>IFERROR(__xludf.DUMMYFUNCTION("IF(M2283="""","""",QUERY({'Dashboard-Dados'!$Y$2:$AA$13},""Select Col2 Where Col1=""&amp;M2283))"),"")</f>
        <v/>
      </c>
      <c r="O2283" s="29" t="str">
        <f>IFERROR(__xludf.DUMMYFUNCTION("IF(ISBLANK(B2283),"""",IF(ISDATE(B2283),TEXT(B2283,""yyyy""),""""))"),"")</f>
        <v/>
      </c>
    </row>
    <row r="2284">
      <c r="B2284" s="62"/>
      <c r="C2284" s="56"/>
      <c r="D2284" s="56"/>
      <c r="E2284" s="56"/>
      <c r="F2284" s="63"/>
      <c r="G2284" s="64"/>
      <c r="H2284" s="65"/>
      <c r="I2284" s="63"/>
      <c r="K2284" s="53" t="str">
        <f>IFERROR(__xludf.DUMMYFUNCTION("IF(ISBLANK(B2284),"""",IF(ISDATE(B2284),""X"",""""))"),"")</f>
        <v/>
      </c>
      <c r="L2284" s="40" t="str">
        <f>IFERROR(__xludf.DUMMYFUNCTION("IF(ISBLANK(B2284),"""",IF(Or(I2284=""Em Aberto"",ISBLANK(I2284),NOT(ISDATE(B2284))),"""",H2284))"),"")</f>
        <v/>
      </c>
      <c r="M2284" s="29" t="str">
        <f>IFERROR(__xludf.DUMMYFUNCTION("IF(ISBLANK(B2284),"""",IF(ISDATE(B2284),TEXT(B2284,""m""),""""))"),"")</f>
        <v/>
      </c>
      <c r="N2284" s="29" t="str">
        <f>IFERROR(__xludf.DUMMYFUNCTION("IF(M2284="""","""",QUERY({'Dashboard-Dados'!$Y$2:$AA$13},""Select Col2 Where Col1=""&amp;M2284))"),"")</f>
        <v/>
      </c>
      <c r="O2284" s="29" t="str">
        <f>IFERROR(__xludf.DUMMYFUNCTION("IF(ISBLANK(B2284),"""",IF(ISDATE(B2284),TEXT(B2284,""yyyy""),""""))"),"")</f>
        <v/>
      </c>
    </row>
    <row r="2285">
      <c r="B2285" s="62"/>
      <c r="C2285" s="56"/>
      <c r="D2285" s="56"/>
      <c r="E2285" s="56"/>
      <c r="F2285" s="63"/>
      <c r="G2285" s="64"/>
      <c r="H2285" s="65"/>
      <c r="I2285" s="63"/>
      <c r="K2285" s="53" t="str">
        <f>IFERROR(__xludf.DUMMYFUNCTION("IF(ISBLANK(B2285),"""",IF(ISDATE(B2285),""X"",""""))"),"")</f>
        <v/>
      </c>
      <c r="L2285" s="40" t="str">
        <f>IFERROR(__xludf.DUMMYFUNCTION("IF(ISBLANK(B2285),"""",IF(Or(I2285=""Em Aberto"",ISBLANK(I2285),NOT(ISDATE(B2285))),"""",H2285))"),"")</f>
        <v/>
      </c>
      <c r="M2285" s="29" t="str">
        <f>IFERROR(__xludf.DUMMYFUNCTION("IF(ISBLANK(B2285),"""",IF(ISDATE(B2285),TEXT(B2285,""m""),""""))"),"")</f>
        <v/>
      </c>
      <c r="N2285" s="29" t="str">
        <f>IFERROR(__xludf.DUMMYFUNCTION("IF(M2285="""","""",QUERY({'Dashboard-Dados'!$Y$2:$AA$13},""Select Col2 Where Col1=""&amp;M2285))"),"")</f>
        <v/>
      </c>
      <c r="O2285" s="29" t="str">
        <f>IFERROR(__xludf.DUMMYFUNCTION("IF(ISBLANK(B2285),"""",IF(ISDATE(B2285),TEXT(B2285,""yyyy""),""""))"),"")</f>
        <v/>
      </c>
    </row>
    <row r="2286">
      <c r="B2286" s="62"/>
      <c r="C2286" s="56"/>
      <c r="D2286" s="56"/>
      <c r="E2286" s="56"/>
      <c r="F2286" s="63"/>
      <c r="G2286" s="64"/>
      <c r="H2286" s="65"/>
      <c r="I2286" s="63"/>
      <c r="K2286" s="53" t="str">
        <f>IFERROR(__xludf.DUMMYFUNCTION("IF(ISBLANK(B2286),"""",IF(ISDATE(B2286),""X"",""""))"),"")</f>
        <v/>
      </c>
      <c r="L2286" s="40" t="str">
        <f>IFERROR(__xludf.DUMMYFUNCTION("IF(ISBLANK(B2286),"""",IF(Or(I2286=""Em Aberto"",ISBLANK(I2286),NOT(ISDATE(B2286))),"""",H2286))"),"")</f>
        <v/>
      </c>
      <c r="M2286" s="29" t="str">
        <f>IFERROR(__xludf.DUMMYFUNCTION("IF(ISBLANK(B2286),"""",IF(ISDATE(B2286),TEXT(B2286,""m""),""""))"),"")</f>
        <v/>
      </c>
      <c r="N2286" s="29" t="str">
        <f>IFERROR(__xludf.DUMMYFUNCTION("IF(M2286="""","""",QUERY({'Dashboard-Dados'!$Y$2:$AA$13},""Select Col2 Where Col1=""&amp;M2286))"),"")</f>
        <v/>
      </c>
      <c r="O2286" s="29" t="str">
        <f>IFERROR(__xludf.DUMMYFUNCTION("IF(ISBLANK(B2286),"""",IF(ISDATE(B2286),TEXT(B2286,""yyyy""),""""))"),"")</f>
        <v/>
      </c>
    </row>
    <row r="2287">
      <c r="B2287" s="62"/>
      <c r="C2287" s="56"/>
      <c r="D2287" s="56"/>
      <c r="E2287" s="56"/>
      <c r="F2287" s="63"/>
      <c r="G2287" s="64"/>
      <c r="H2287" s="65"/>
      <c r="I2287" s="63"/>
      <c r="K2287" s="53" t="str">
        <f>IFERROR(__xludf.DUMMYFUNCTION("IF(ISBLANK(B2287),"""",IF(ISDATE(B2287),""X"",""""))"),"")</f>
        <v/>
      </c>
      <c r="L2287" s="40" t="str">
        <f>IFERROR(__xludf.DUMMYFUNCTION("IF(ISBLANK(B2287),"""",IF(Or(I2287=""Em Aberto"",ISBLANK(I2287),NOT(ISDATE(B2287))),"""",H2287))"),"")</f>
        <v/>
      </c>
      <c r="M2287" s="29" t="str">
        <f>IFERROR(__xludf.DUMMYFUNCTION("IF(ISBLANK(B2287),"""",IF(ISDATE(B2287),TEXT(B2287,""m""),""""))"),"")</f>
        <v/>
      </c>
      <c r="N2287" s="29" t="str">
        <f>IFERROR(__xludf.DUMMYFUNCTION("IF(M2287="""","""",QUERY({'Dashboard-Dados'!$Y$2:$AA$13},""Select Col2 Where Col1=""&amp;M2287))"),"")</f>
        <v/>
      </c>
      <c r="O2287" s="29" t="str">
        <f>IFERROR(__xludf.DUMMYFUNCTION("IF(ISBLANK(B2287),"""",IF(ISDATE(B2287),TEXT(B2287,""yyyy""),""""))"),"")</f>
        <v/>
      </c>
    </row>
    <row r="2288">
      <c r="B2288" s="62"/>
      <c r="C2288" s="56"/>
      <c r="D2288" s="56"/>
      <c r="E2288" s="56"/>
      <c r="F2288" s="63"/>
      <c r="G2288" s="64"/>
      <c r="H2288" s="65"/>
      <c r="I2288" s="63"/>
      <c r="K2288" s="53" t="str">
        <f>IFERROR(__xludf.DUMMYFUNCTION("IF(ISBLANK(B2288),"""",IF(ISDATE(B2288),""X"",""""))"),"")</f>
        <v/>
      </c>
      <c r="L2288" s="40" t="str">
        <f>IFERROR(__xludf.DUMMYFUNCTION("IF(ISBLANK(B2288),"""",IF(Or(I2288=""Em Aberto"",ISBLANK(I2288),NOT(ISDATE(B2288))),"""",H2288))"),"")</f>
        <v/>
      </c>
      <c r="M2288" s="29" t="str">
        <f>IFERROR(__xludf.DUMMYFUNCTION("IF(ISBLANK(B2288),"""",IF(ISDATE(B2288),TEXT(B2288,""m""),""""))"),"")</f>
        <v/>
      </c>
      <c r="N2288" s="29" t="str">
        <f>IFERROR(__xludf.DUMMYFUNCTION("IF(M2288="""","""",QUERY({'Dashboard-Dados'!$Y$2:$AA$13},""Select Col2 Where Col1=""&amp;M2288))"),"")</f>
        <v/>
      </c>
      <c r="O2288" s="29" t="str">
        <f>IFERROR(__xludf.DUMMYFUNCTION("IF(ISBLANK(B2288),"""",IF(ISDATE(B2288),TEXT(B2288,""yyyy""),""""))"),"")</f>
        <v/>
      </c>
    </row>
    <row r="2289">
      <c r="B2289" s="62"/>
      <c r="C2289" s="56"/>
      <c r="D2289" s="56"/>
      <c r="E2289" s="56"/>
      <c r="F2289" s="63"/>
      <c r="G2289" s="64"/>
      <c r="H2289" s="65"/>
      <c r="I2289" s="63"/>
      <c r="K2289" s="53" t="str">
        <f>IFERROR(__xludf.DUMMYFUNCTION("IF(ISBLANK(B2289),"""",IF(ISDATE(B2289),""X"",""""))"),"")</f>
        <v/>
      </c>
      <c r="L2289" s="40" t="str">
        <f>IFERROR(__xludf.DUMMYFUNCTION("IF(ISBLANK(B2289),"""",IF(Or(I2289=""Em Aberto"",ISBLANK(I2289),NOT(ISDATE(B2289))),"""",H2289))"),"")</f>
        <v/>
      </c>
      <c r="M2289" s="29" t="str">
        <f>IFERROR(__xludf.DUMMYFUNCTION("IF(ISBLANK(B2289),"""",IF(ISDATE(B2289),TEXT(B2289,""m""),""""))"),"")</f>
        <v/>
      </c>
      <c r="N2289" s="29" t="str">
        <f>IFERROR(__xludf.DUMMYFUNCTION("IF(M2289="""","""",QUERY({'Dashboard-Dados'!$Y$2:$AA$13},""Select Col2 Where Col1=""&amp;M2289))"),"")</f>
        <v/>
      </c>
      <c r="O2289" s="29" t="str">
        <f>IFERROR(__xludf.DUMMYFUNCTION("IF(ISBLANK(B2289),"""",IF(ISDATE(B2289),TEXT(B2289,""yyyy""),""""))"),"")</f>
        <v/>
      </c>
    </row>
    <row r="2290">
      <c r="B2290" s="62"/>
      <c r="C2290" s="56"/>
      <c r="D2290" s="56"/>
      <c r="E2290" s="56"/>
      <c r="F2290" s="63"/>
      <c r="G2290" s="64"/>
      <c r="H2290" s="65"/>
      <c r="I2290" s="63"/>
      <c r="K2290" s="53" t="str">
        <f>IFERROR(__xludf.DUMMYFUNCTION("IF(ISBLANK(B2290),"""",IF(ISDATE(B2290),""X"",""""))"),"")</f>
        <v/>
      </c>
      <c r="L2290" s="40" t="str">
        <f>IFERROR(__xludf.DUMMYFUNCTION("IF(ISBLANK(B2290),"""",IF(Or(I2290=""Em Aberto"",ISBLANK(I2290),NOT(ISDATE(B2290))),"""",H2290))"),"")</f>
        <v/>
      </c>
      <c r="M2290" s="29" t="str">
        <f>IFERROR(__xludf.DUMMYFUNCTION("IF(ISBLANK(B2290),"""",IF(ISDATE(B2290),TEXT(B2290,""m""),""""))"),"")</f>
        <v/>
      </c>
      <c r="N2290" s="29" t="str">
        <f>IFERROR(__xludf.DUMMYFUNCTION("IF(M2290="""","""",QUERY({'Dashboard-Dados'!$Y$2:$AA$13},""Select Col2 Where Col1=""&amp;M2290))"),"")</f>
        <v/>
      </c>
      <c r="O2290" s="29" t="str">
        <f>IFERROR(__xludf.DUMMYFUNCTION("IF(ISBLANK(B2290),"""",IF(ISDATE(B2290),TEXT(B2290,""yyyy""),""""))"),"")</f>
        <v/>
      </c>
    </row>
    <row r="2291">
      <c r="B2291" s="62"/>
      <c r="C2291" s="56"/>
      <c r="D2291" s="56"/>
      <c r="E2291" s="56"/>
      <c r="F2291" s="63"/>
      <c r="G2291" s="64"/>
      <c r="H2291" s="65"/>
      <c r="I2291" s="63"/>
      <c r="K2291" s="53" t="str">
        <f>IFERROR(__xludf.DUMMYFUNCTION("IF(ISBLANK(B2291),"""",IF(ISDATE(B2291),""X"",""""))"),"")</f>
        <v/>
      </c>
      <c r="L2291" s="40" t="str">
        <f>IFERROR(__xludf.DUMMYFUNCTION("IF(ISBLANK(B2291),"""",IF(Or(I2291=""Em Aberto"",ISBLANK(I2291),NOT(ISDATE(B2291))),"""",H2291))"),"")</f>
        <v/>
      </c>
      <c r="M2291" s="29" t="str">
        <f>IFERROR(__xludf.DUMMYFUNCTION("IF(ISBLANK(B2291),"""",IF(ISDATE(B2291),TEXT(B2291,""m""),""""))"),"")</f>
        <v/>
      </c>
      <c r="N2291" s="29" t="str">
        <f>IFERROR(__xludf.DUMMYFUNCTION("IF(M2291="""","""",QUERY({'Dashboard-Dados'!$Y$2:$AA$13},""Select Col2 Where Col1=""&amp;M2291))"),"")</f>
        <v/>
      </c>
      <c r="O2291" s="29" t="str">
        <f>IFERROR(__xludf.DUMMYFUNCTION("IF(ISBLANK(B2291),"""",IF(ISDATE(B2291),TEXT(B2291,""yyyy""),""""))"),"")</f>
        <v/>
      </c>
    </row>
    <row r="2292">
      <c r="B2292" s="62"/>
      <c r="C2292" s="56"/>
      <c r="D2292" s="56"/>
      <c r="E2292" s="56"/>
      <c r="F2292" s="63"/>
      <c r="G2292" s="64"/>
      <c r="H2292" s="65"/>
      <c r="I2292" s="63"/>
      <c r="K2292" s="53" t="str">
        <f>IFERROR(__xludf.DUMMYFUNCTION("IF(ISBLANK(B2292),"""",IF(ISDATE(B2292),""X"",""""))"),"")</f>
        <v/>
      </c>
      <c r="L2292" s="40" t="str">
        <f>IFERROR(__xludf.DUMMYFUNCTION("IF(ISBLANK(B2292),"""",IF(Or(I2292=""Em Aberto"",ISBLANK(I2292),NOT(ISDATE(B2292))),"""",H2292))"),"")</f>
        <v/>
      </c>
      <c r="M2292" s="29" t="str">
        <f>IFERROR(__xludf.DUMMYFUNCTION("IF(ISBLANK(B2292),"""",IF(ISDATE(B2292),TEXT(B2292,""m""),""""))"),"")</f>
        <v/>
      </c>
      <c r="N2292" s="29" t="str">
        <f>IFERROR(__xludf.DUMMYFUNCTION("IF(M2292="""","""",QUERY({'Dashboard-Dados'!$Y$2:$AA$13},""Select Col2 Where Col1=""&amp;M2292))"),"")</f>
        <v/>
      </c>
      <c r="O2292" s="29" t="str">
        <f>IFERROR(__xludf.DUMMYFUNCTION("IF(ISBLANK(B2292),"""",IF(ISDATE(B2292),TEXT(B2292,""yyyy""),""""))"),"")</f>
        <v/>
      </c>
    </row>
    <row r="2293">
      <c r="B2293" s="62"/>
      <c r="C2293" s="56"/>
      <c r="D2293" s="56"/>
      <c r="E2293" s="56"/>
      <c r="F2293" s="63"/>
      <c r="G2293" s="64"/>
      <c r="H2293" s="65"/>
      <c r="I2293" s="63"/>
      <c r="K2293" s="53" t="str">
        <f>IFERROR(__xludf.DUMMYFUNCTION("IF(ISBLANK(B2293),"""",IF(ISDATE(B2293),""X"",""""))"),"")</f>
        <v/>
      </c>
      <c r="L2293" s="40" t="str">
        <f>IFERROR(__xludf.DUMMYFUNCTION("IF(ISBLANK(B2293),"""",IF(Or(I2293=""Em Aberto"",ISBLANK(I2293),NOT(ISDATE(B2293))),"""",H2293))"),"")</f>
        <v/>
      </c>
      <c r="M2293" s="29" t="str">
        <f>IFERROR(__xludf.DUMMYFUNCTION("IF(ISBLANK(B2293),"""",IF(ISDATE(B2293),TEXT(B2293,""m""),""""))"),"")</f>
        <v/>
      </c>
      <c r="N2293" s="29" t="str">
        <f>IFERROR(__xludf.DUMMYFUNCTION("IF(M2293="""","""",QUERY({'Dashboard-Dados'!$Y$2:$AA$13},""Select Col2 Where Col1=""&amp;M2293))"),"")</f>
        <v/>
      </c>
      <c r="O2293" s="29" t="str">
        <f>IFERROR(__xludf.DUMMYFUNCTION("IF(ISBLANK(B2293),"""",IF(ISDATE(B2293),TEXT(B2293,""yyyy""),""""))"),"")</f>
        <v/>
      </c>
    </row>
    <row r="2294">
      <c r="B2294" s="62"/>
      <c r="C2294" s="56"/>
      <c r="D2294" s="56"/>
      <c r="E2294" s="56"/>
      <c r="F2294" s="63"/>
      <c r="G2294" s="64"/>
      <c r="H2294" s="65"/>
      <c r="I2294" s="63"/>
      <c r="K2294" s="53" t="str">
        <f>IFERROR(__xludf.DUMMYFUNCTION("IF(ISBLANK(B2294),"""",IF(ISDATE(B2294),""X"",""""))"),"")</f>
        <v/>
      </c>
      <c r="L2294" s="40" t="str">
        <f>IFERROR(__xludf.DUMMYFUNCTION("IF(ISBLANK(B2294),"""",IF(Or(I2294=""Em Aberto"",ISBLANK(I2294),NOT(ISDATE(B2294))),"""",H2294))"),"")</f>
        <v/>
      </c>
      <c r="M2294" s="29" t="str">
        <f>IFERROR(__xludf.DUMMYFUNCTION("IF(ISBLANK(B2294),"""",IF(ISDATE(B2294),TEXT(B2294,""m""),""""))"),"")</f>
        <v/>
      </c>
      <c r="N2294" s="29" t="str">
        <f>IFERROR(__xludf.DUMMYFUNCTION("IF(M2294="""","""",QUERY({'Dashboard-Dados'!$Y$2:$AA$13},""Select Col2 Where Col1=""&amp;M2294))"),"")</f>
        <v/>
      </c>
      <c r="O2294" s="29" t="str">
        <f>IFERROR(__xludf.DUMMYFUNCTION("IF(ISBLANK(B2294),"""",IF(ISDATE(B2294),TEXT(B2294,""yyyy""),""""))"),"")</f>
        <v/>
      </c>
    </row>
    <row r="2295">
      <c r="B2295" s="62"/>
      <c r="C2295" s="56"/>
      <c r="D2295" s="56"/>
      <c r="E2295" s="56"/>
      <c r="F2295" s="63"/>
      <c r="G2295" s="64"/>
      <c r="H2295" s="65"/>
      <c r="I2295" s="63"/>
      <c r="K2295" s="53" t="str">
        <f>IFERROR(__xludf.DUMMYFUNCTION("IF(ISBLANK(B2295),"""",IF(ISDATE(B2295),""X"",""""))"),"")</f>
        <v/>
      </c>
      <c r="L2295" s="40" t="str">
        <f>IFERROR(__xludf.DUMMYFUNCTION("IF(ISBLANK(B2295),"""",IF(Or(I2295=""Em Aberto"",ISBLANK(I2295),NOT(ISDATE(B2295))),"""",H2295))"),"")</f>
        <v/>
      </c>
      <c r="M2295" s="29" t="str">
        <f>IFERROR(__xludf.DUMMYFUNCTION("IF(ISBLANK(B2295),"""",IF(ISDATE(B2295),TEXT(B2295,""m""),""""))"),"")</f>
        <v/>
      </c>
      <c r="N2295" s="29" t="str">
        <f>IFERROR(__xludf.DUMMYFUNCTION("IF(M2295="""","""",QUERY({'Dashboard-Dados'!$Y$2:$AA$13},""Select Col2 Where Col1=""&amp;M2295))"),"")</f>
        <v/>
      </c>
      <c r="O2295" s="29" t="str">
        <f>IFERROR(__xludf.DUMMYFUNCTION("IF(ISBLANK(B2295),"""",IF(ISDATE(B2295),TEXT(B2295,""yyyy""),""""))"),"")</f>
        <v/>
      </c>
    </row>
    <row r="2296">
      <c r="B2296" s="62"/>
      <c r="C2296" s="56"/>
      <c r="D2296" s="56"/>
      <c r="E2296" s="56"/>
      <c r="F2296" s="63"/>
      <c r="G2296" s="64"/>
      <c r="H2296" s="65"/>
      <c r="I2296" s="63"/>
      <c r="K2296" s="53" t="str">
        <f>IFERROR(__xludf.DUMMYFUNCTION("IF(ISBLANK(B2296),"""",IF(ISDATE(B2296),""X"",""""))"),"")</f>
        <v/>
      </c>
      <c r="L2296" s="40" t="str">
        <f>IFERROR(__xludf.DUMMYFUNCTION("IF(ISBLANK(B2296),"""",IF(Or(I2296=""Em Aberto"",ISBLANK(I2296),NOT(ISDATE(B2296))),"""",H2296))"),"")</f>
        <v/>
      </c>
      <c r="M2296" s="29" t="str">
        <f>IFERROR(__xludf.DUMMYFUNCTION("IF(ISBLANK(B2296),"""",IF(ISDATE(B2296),TEXT(B2296,""m""),""""))"),"")</f>
        <v/>
      </c>
      <c r="N2296" s="29" t="str">
        <f>IFERROR(__xludf.DUMMYFUNCTION("IF(M2296="""","""",QUERY({'Dashboard-Dados'!$Y$2:$AA$13},""Select Col2 Where Col1=""&amp;M2296))"),"")</f>
        <v/>
      </c>
      <c r="O2296" s="29" t="str">
        <f>IFERROR(__xludf.DUMMYFUNCTION("IF(ISBLANK(B2296),"""",IF(ISDATE(B2296),TEXT(B2296,""yyyy""),""""))"),"")</f>
        <v/>
      </c>
    </row>
    <row r="2297">
      <c r="B2297" s="62"/>
      <c r="C2297" s="56"/>
      <c r="D2297" s="56"/>
      <c r="E2297" s="56"/>
      <c r="F2297" s="63"/>
      <c r="G2297" s="64"/>
      <c r="H2297" s="65"/>
      <c r="I2297" s="63"/>
      <c r="K2297" s="53" t="str">
        <f>IFERROR(__xludf.DUMMYFUNCTION("IF(ISBLANK(B2297),"""",IF(ISDATE(B2297),""X"",""""))"),"")</f>
        <v/>
      </c>
      <c r="L2297" s="40" t="str">
        <f>IFERROR(__xludf.DUMMYFUNCTION("IF(ISBLANK(B2297),"""",IF(Or(I2297=""Em Aberto"",ISBLANK(I2297),NOT(ISDATE(B2297))),"""",H2297))"),"")</f>
        <v/>
      </c>
      <c r="M2297" s="29" t="str">
        <f>IFERROR(__xludf.DUMMYFUNCTION("IF(ISBLANK(B2297),"""",IF(ISDATE(B2297),TEXT(B2297,""m""),""""))"),"")</f>
        <v/>
      </c>
      <c r="N2297" s="29" t="str">
        <f>IFERROR(__xludf.DUMMYFUNCTION("IF(M2297="""","""",QUERY({'Dashboard-Dados'!$Y$2:$AA$13},""Select Col2 Where Col1=""&amp;M2297))"),"")</f>
        <v/>
      </c>
      <c r="O2297" s="29" t="str">
        <f>IFERROR(__xludf.DUMMYFUNCTION("IF(ISBLANK(B2297),"""",IF(ISDATE(B2297),TEXT(B2297,""yyyy""),""""))"),"")</f>
        <v/>
      </c>
    </row>
    <row r="2298">
      <c r="B2298" s="62"/>
      <c r="C2298" s="56"/>
      <c r="D2298" s="56"/>
      <c r="E2298" s="56"/>
      <c r="F2298" s="63"/>
      <c r="G2298" s="64"/>
      <c r="H2298" s="65"/>
      <c r="I2298" s="63"/>
      <c r="K2298" s="53" t="str">
        <f>IFERROR(__xludf.DUMMYFUNCTION("IF(ISBLANK(B2298),"""",IF(ISDATE(B2298),""X"",""""))"),"")</f>
        <v/>
      </c>
      <c r="L2298" s="40" t="str">
        <f>IFERROR(__xludf.DUMMYFUNCTION("IF(ISBLANK(B2298),"""",IF(Or(I2298=""Em Aberto"",ISBLANK(I2298),NOT(ISDATE(B2298))),"""",H2298))"),"")</f>
        <v/>
      </c>
      <c r="M2298" s="29" t="str">
        <f>IFERROR(__xludf.DUMMYFUNCTION("IF(ISBLANK(B2298),"""",IF(ISDATE(B2298),TEXT(B2298,""m""),""""))"),"")</f>
        <v/>
      </c>
      <c r="N2298" s="29" t="str">
        <f>IFERROR(__xludf.DUMMYFUNCTION("IF(M2298="""","""",QUERY({'Dashboard-Dados'!$Y$2:$AA$13},""Select Col2 Where Col1=""&amp;M2298))"),"")</f>
        <v/>
      </c>
      <c r="O2298" s="29" t="str">
        <f>IFERROR(__xludf.DUMMYFUNCTION("IF(ISBLANK(B2298),"""",IF(ISDATE(B2298),TEXT(B2298,""yyyy""),""""))"),"")</f>
        <v/>
      </c>
    </row>
    <row r="2299">
      <c r="B2299" s="62"/>
      <c r="C2299" s="56"/>
      <c r="D2299" s="56"/>
      <c r="E2299" s="56"/>
      <c r="F2299" s="63"/>
      <c r="G2299" s="64"/>
      <c r="H2299" s="65"/>
      <c r="I2299" s="63"/>
      <c r="K2299" s="53" t="str">
        <f>IFERROR(__xludf.DUMMYFUNCTION("IF(ISBLANK(B2299),"""",IF(ISDATE(B2299),""X"",""""))"),"")</f>
        <v/>
      </c>
      <c r="L2299" s="40" t="str">
        <f>IFERROR(__xludf.DUMMYFUNCTION("IF(ISBLANK(B2299),"""",IF(Or(I2299=""Em Aberto"",ISBLANK(I2299),NOT(ISDATE(B2299))),"""",H2299))"),"")</f>
        <v/>
      </c>
      <c r="M2299" s="29" t="str">
        <f>IFERROR(__xludf.DUMMYFUNCTION("IF(ISBLANK(B2299),"""",IF(ISDATE(B2299),TEXT(B2299,""m""),""""))"),"")</f>
        <v/>
      </c>
      <c r="N2299" s="29" t="str">
        <f>IFERROR(__xludf.DUMMYFUNCTION("IF(M2299="""","""",QUERY({'Dashboard-Dados'!$Y$2:$AA$13},""Select Col2 Where Col1=""&amp;M2299))"),"")</f>
        <v/>
      </c>
      <c r="O2299" s="29" t="str">
        <f>IFERROR(__xludf.DUMMYFUNCTION("IF(ISBLANK(B2299),"""",IF(ISDATE(B2299),TEXT(B2299,""yyyy""),""""))"),"")</f>
        <v/>
      </c>
    </row>
    <row r="2300">
      <c r="B2300" s="62"/>
      <c r="C2300" s="56"/>
      <c r="D2300" s="56"/>
      <c r="E2300" s="56"/>
      <c r="F2300" s="63"/>
      <c r="G2300" s="64"/>
      <c r="H2300" s="65"/>
      <c r="I2300" s="63"/>
      <c r="K2300" s="53" t="str">
        <f>IFERROR(__xludf.DUMMYFUNCTION("IF(ISBLANK(B2300),"""",IF(ISDATE(B2300),""X"",""""))"),"")</f>
        <v/>
      </c>
      <c r="L2300" s="40" t="str">
        <f>IFERROR(__xludf.DUMMYFUNCTION("IF(ISBLANK(B2300),"""",IF(Or(I2300=""Em Aberto"",ISBLANK(I2300),NOT(ISDATE(B2300))),"""",H2300))"),"")</f>
        <v/>
      </c>
      <c r="M2300" s="29" t="str">
        <f>IFERROR(__xludf.DUMMYFUNCTION("IF(ISBLANK(B2300),"""",IF(ISDATE(B2300),TEXT(B2300,""m""),""""))"),"")</f>
        <v/>
      </c>
      <c r="N2300" s="29" t="str">
        <f>IFERROR(__xludf.DUMMYFUNCTION("IF(M2300="""","""",QUERY({'Dashboard-Dados'!$Y$2:$AA$13},""Select Col2 Where Col1=""&amp;M2300))"),"")</f>
        <v/>
      </c>
      <c r="O2300" s="29" t="str">
        <f>IFERROR(__xludf.DUMMYFUNCTION("IF(ISBLANK(B2300),"""",IF(ISDATE(B2300),TEXT(B2300,""yyyy""),""""))"),"")</f>
        <v/>
      </c>
    </row>
    <row r="2301">
      <c r="B2301" s="62"/>
      <c r="C2301" s="56"/>
      <c r="D2301" s="56"/>
      <c r="E2301" s="56"/>
      <c r="F2301" s="63"/>
      <c r="G2301" s="64"/>
      <c r="H2301" s="65"/>
      <c r="I2301" s="63"/>
      <c r="K2301" s="53" t="str">
        <f>IFERROR(__xludf.DUMMYFUNCTION("IF(ISBLANK(B2301),"""",IF(ISDATE(B2301),""X"",""""))"),"")</f>
        <v/>
      </c>
      <c r="L2301" s="40" t="str">
        <f>IFERROR(__xludf.DUMMYFUNCTION("IF(ISBLANK(B2301),"""",IF(Or(I2301=""Em Aberto"",ISBLANK(I2301),NOT(ISDATE(B2301))),"""",H2301))"),"")</f>
        <v/>
      </c>
      <c r="M2301" s="29" t="str">
        <f>IFERROR(__xludf.DUMMYFUNCTION("IF(ISBLANK(B2301),"""",IF(ISDATE(B2301),TEXT(B2301,""m""),""""))"),"")</f>
        <v/>
      </c>
      <c r="N2301" s="29" t="str">
        <f>IFERROR(__xludf.DUMMYFUNCTION("IF(M2301="""","""",QUERY({'Dashboard-Dados'!$Y$2:$AA$13},""Select Col2 Where Col1=""&amp;M2301))"),"")</f>
        <v/>
      </c>
      <c r="O2301" s="29" t="str">
        <f>IFERROR(__xludf.DUMMYFUNCTION("IF(ISBLANK(B2301),"""",IF(ISDATE(B2301),TEXT(B2301,""yyyy""),""""))"),"")</f>
        <v/>
      </c>
    </row>
    <row r="2302">
      <c r="B2302" s="62"/>
      <c r="C2302" s="56"/>
      <c r="D2302" s="56"/>
      <c r="E2302" s="56"/>
      <c r="F2302" s="63"/>
      <c r="G2302" s="64"/>
      <c r="H2302" s="65"/>
      <c r="I2302" s="63"/>
      <c r="K2302" s="53" t="str">
        <f>IFERROR(__xludf.DUMMYFUNCTION("IF(ISBLANK(B2302),"""",IF(ISDATE(B2302),""X"",""""))"),"")</f>
        <v/>
      </c>
      <c r="L2302" s="40" t="str">
        <f>IFERROR(__xludf.DUMMYFUNCTION("IF(ISBLANK(B2302),"""",IF(Or(I2302=""Em Aberto"",ISBLANK(I2302),NOT(ISDATE(B2302))),"""",H2302))"),"")</f>
        <v/>
      </c>
      <c r="M2302" s="29" t="str">
        <f>IFERROR(__xludf.DUMMYFUNCTION("IF(ISBLANK(B2302),"""",IF(ISDATE(B2302),TEXT(B2302,""m""),""""))"),"")</f>
        <v/>
      </c>
      <c r="N2302" s="29" t="str">
        <f>IFERROR(__xludf.DUMMYFUNCTION("IF(M2302="""","""",QUERY({'Dashboard-Dados'!$Y$2:$AA$13},""Select Col2 Where Col1=""&amp;M2302))"),"")</f>
        <v/>
      </c>
      <c r="O2302" s="29" t="str">
        <f>IFERROR(__xludf.DUMMYFUNCTION("IF(ISBLANK(B2302),"""",IF(ISDATE(B2302),TEXT(B2302,""yyyy""),""""))"),"")</f>
        <v/>
      </c>
    </row>
    <row r="2303">
      <c r="B2303" s="62"/>
      <c r="C2303" s="56"/>
      <c r="D2303" s="56"/>
      <c r="E2303" s="56"/>
      <c r="F2303" s="63"/>
      <c r="G2303" s="64"/>
      <c r="H2303" s="65"/>
      <c r="I2303" s="63"/>
      <c r="K2303" s="53" t="str">
        <f>IFERROR(__xludf.DUMMYFUNCTION("IF(ISBLANK(B2303),"""",IF(ISDATE(B2303),""X"",""""))"),"")</f>
        <v/>
      </c>
      <c r="L2303" s="40" t="str">
        <f>IFERROR(__xludf.DUMMYFUNCTION("IF(ISBLANK(B2303),"""",IF(Or(I2303=""Em Aberto"",ISBLANK(I2303),NOT(ISDATE(B2303))),"""",H2303))"),"")</f>
        <v/>
      </c>
      <c r="M2303" s="29" t="str">
        <f>IFERROR(__xludf.DUMMYFUNCTION("IF(ISBLANK(B2303),"""",IF(ISDATE(B2303),TEXT(B2303,""m""),""""))"),"")</f>
        <v/>
      </c>
      <c r="N2303" s="29" t="str">
        <f>IFERROR(__xludf.DUMMYFUNCTION("IF(M2303="""","""",QUERY({'Dashboard-Dados'!$Y$2:$AA$13},""Select Col2 Where Col1=""&amp;M2303))"),"")</f>
        <v/>
      </c>
      <c r="O2303" s="29" t="str">
        <f>IFERROR(__xludf.DUMMYFUNCTION("IF(ISBLANK(B2303),"""",IF(ISDATE(B2303),TEXT(B2303,""yyyy""),""""))"),"")</f>
        <v/>
      </c>
    </row>
    <row r="2304">
      <c r="B2304" s="62"/>
      <c r="C2304" s="56"/>
      <c r="D2304" s="56"/>
      <c r="E2304" s="56"/>
      <c r="F2304" s="63"/>
      <c r="G2304" s="64"/>
      <c r="H2304" s="65"/>
      <c r="I2304" s="63"/>
      <c r="K2304" s="53" t="str">
        <f>IFERROR(__xludf.DUMMYFUNCTION("IF(ISBLANK(B2304),"""",IF(ISDATE(B2304),""X"",""""))"),"")</f>
        <v/>
      </c>
      <c r="L2304" s="40" t="str">
        <f>IFERROR(__xludf.DUMMYFUNCTION("IF(ISBLANK(B2304),"""",IF(Or(I2304=""Em Aberto"",ISBLANK(I2304),NOT(ISDATE(B2304))),"""",H2304))"),"")</f>
        <v/>
      </c>
      <c r="M2304" s="29" t="str">
        <f>IFERROR(__xludf.DUMMYFUNCTION("IF(ISBLANK(B2304),"""",IF(ISDATE(B2304),TEXT(B2304,""m""),""""))"),"")</f>
        <v/>
      </c>
      <c r="N2304" s="29" t="str">
        <f>IFERROR(__xludf.DUMMYFUNCTION("IF(M2304="""","""",QUERY({'Dashboard-Dados'!$Y$2:$AA$13},""Select Col2 Where Col1=""&amp;M2304))"),"")</f>
        <v/>
      </c>
      <c r="O2304" s="29" t="str">
        <f>IFERROR(__xludf.DUMMYFUNCTION("IF(ISBLANK(B2304),"""",IF(ISDATE(B2304),TEXT(B2304,""yyyy""),""""))"),"")</f>
        <v/>
      </c>
    </row>
    <row r="2305">
      <c r="B2305" s="62"/>
      <c r="C2305" s="56"/>
      <c r="D2305" s="56"/>
      <c r="E2305" s="56"/>
      <c r="F2305" s="63"/>
      <c r="G2305" s="64"/>
      <c r="H2305" s="65"/>
      <c r="I2305" s="63"/>
      <c r="K2305" s="53" t="str">
        <f>IFERROR(__xludf.DUMMYFUNCTION("IF(ISBLANK(B2305),"""",IF(ISDATE(B2305),""X"",""""))"),"")</f>
        <v/>
      </c>
      <c r="L2305" s="40" t="str">
        <f>IFERROR(__xludf.DUMMYFUNCTION("IF(ISBLANK(B2305),"""",IF(Or(I2305=""Em Aberto"",ISBLANK(I2305),NOT(ISDATE(B2305))),"""",H2305))"),"")</f>
        <v/>
      </c>
      <c r="M2305" s="29" t="str">
        <f>IFERROR(__xludf.DUMMYFUNCTION("IF(ISBLANK(B2305),"""",IF(ISDATE(B2305),TEXT(B2305,""m""),""""))"),"")</f>
        <v/>
      </c>
      <c r="N2305" s="29" t="str">
        <f>IFERROR(__xludf.DUMMYFUNCTION("IF(M2305="""","""",QUERY({'Dashboard-Dados'!$Y$2:$AA$13},""Select Col2 Where Col1=""&amp;M2305))"),"")</f>
        <v/>
      </c>
      <c r="O2305" s="29" t="str">
        <f>IFERROR(__xludf.DUMMYFUNCTION("IF(ISBLANK(B2305),"""",IF(ISDATE(B2305),TEXT(B2305,""yyyy""),""""))"),"")</f>
        <v/>
      </c>
    </row>
    <row r="2306">
      <c r="B2306" s="62"/>
      <c r="C2306" s="56"/>
      <c r="D2306" s="56"/>
      <c r="E2306" s="56"/>
      <c r="F2306" s="63"/>
      <c r="G2306" s="64"/>
      <c r="H2306" s="65"/>
      <c r="I2306" s="63"/>
      <c r="K2306" s="53" t="str">
        <f>IFERROR(__xludf.DUMMYFUNCTION("IF(ISBLANK(B2306),"""",IF(ISDATE(B2306),""X"",""""))"),"")</f>
        <v/>
      </c>
      <c r="L2306" s="40" t="str">
        <f>IFERROR(__xludf.DUMMYFUNCTION("IF(ISBLANK(B2306),"""",IF(Or(I2306=""Em Aberto"",ISBLANK(I2306),NOT(ISDATE(B2306))),"""",H2306))"),"")</f>
        <v/>
      </c>
      <c r="M2306" s="29" t="str">
        <f>IFERROR(__xludf.DUMMYFUNCTION("IF(ISBLANK(B2306),"""",IF(ISDATE(B2306),TEXT(B2306,""m""),""""))"),"")</f>
        <v/>
      </c>
      <c r="N2306" s="29" t="str">
        <f>IFERROR(__xludf.DUMMYFUNCTION("IF(M2306="""","""",QUERY({'Dashboard-Dados'!$Y$2:$AA$13},""Select Col2 Where Col1=""&amp;M2306))"),"")</f>
        <v/>
      </c>
      <c r="O2306" s="29" t="str">
        <f>IFERROR(__xludf.DUMMYFUNCTION("IF(ISBLANK(B2306),"""",IF(ISDATE(B2306),TEXT(B2306,""yyyy""),""""))"),"")</f>
        <v/>
      </c>
    </row>
    <row r="2307">
      <c r="B2307" s="62"/>
      <c r="C2307" s="56"/>
      <c r="D2307" s="56"/>
      <c r="E2307" s="56"/>
      <c r="F2307" s="63"/>
      <c r="G2307" s="64"/>
      <c r="H2307" s="65"/>
      <c r="I2307" s="63"/>
      <c r="K2307" s="53" t="str">
        <f>IFERROR(__xludf.DUMMYFUNCTION("IF(ISBLANK(B2307),"""",IF(ISDATE(B2307),""X"",""""))"),"")</f>
        <v/>
      </c>
      <c r="L2307" s="40" t="str">
        <f>IFERROR(__xludf.DUMMYFUNCTION("IF(ISBLANK(B2307),"""",IF(Or(I2307=""Em Aberto"",ISBLANK(I2307),NOT(ISDATE(B2307))),"""",H2307))"),"")</f>
        <v/>
      </c>
      <c r="M2307" s="29" t="str">
        <f>IFERROR(__xludf.DUMMYFUNCTION("IF(ISBLANK(B2307),"""",IF(ISDATE(B2307),TEXT(B2307,""m""),""""))"),"")</f>
        <v/>
      </c>
      <c r="N2307" s="29" t="str">
        <f>IFERROR(__xludf.DUMMYFUNCTION("IF(M2307="""","""",QUERY({'Dashboard-Dados'!$Y$2:$AA$13},""Select Col2 Where Col1=""&amp;M2307))"),"")</f>
        <v/>
      </c>
      <c r="O2307" s="29" t="str">
        <f>IFERROR(__xludf.DUMMYFUNCTION("IF(ISBLANK(B2307),"""",IF(ISDATE(B2307),TEXT(B2307,""yyyy""),""""))"),"")</f>
        <v/>
      </c>
    </row>
    <row r="2308">
      <c r="B2308" s="62"/>
      <c r="C2308" s="56"/>
      <c r="D2308" s="56"/>
      <c r="E2308" s="56"/>
      <c r="F2308" s="63"/>
      <c r="G2308" s="64"/>
      <c r="H2308" s="65"/>
      <c r="I2308" s="63"/>
      <c r="K2308" s="53" t="str">
        <f>IFERROR(__xludf.DUMMYFUNCTION("IF(ISBLANK(B2308),"""",IF(ISDATE(B2308),""X"",""""))"),"")</f>
        <v/>
      </c>
      <c r="L2308" s="40" t="str">
        <f>IFERROR(__xludf.DUMMYFUNCTION("IF(ISBLANK(B2308),"""",IF(Or(I2308=""Em Aberto"",ISBLANK(I2308),NOT(ISDATE(B2308))),"""",H2308))"),"")</f>
        <v/>
      </c>
      <c r="M2308" s="29" t="str">
        <f>IFERROR(__xludf.DUMMYFUNCTION("IF(ISBLANK(B2308),"""",IF(ISDATE(B2308),TEXT(B2308,""m""),""""))"),"")</f>
        <v/>
      </c>
      <c r="N2308" s="29" t="str">
        <f>IFERROR(__xludf.DUMMYFUNCTION("IF(M2308="""","""",QUERY({'Dashboard-Dados'!$Y$2:$AA$13},""Select Col2 Where Col1=""&amp;M2308))"),"")</f>
        <v/>
      </c>
      <c r="O2308" s="29" t="str">
        <f>IFERROR(__xludf.DUMMYFUNCTION("IF(ISBLANK(B2308),"""",IF(ISDATE(B2308),TEXT(B2308,""yyyy""),""""))"),"")</f>
        <v/>
      </c>
    </row>
    <row r="2309">
      <c r="B2309" s="62"/>
      <c r="C2309" s="56"/>
      <c r="D2309" s="56"/>
      <c r="E2309" s="56"/>
      <c r="F2309" s="63"/>
      <c r="G2309" s="64"/>
      <c r="H2309" s="65"/>
      <c r="I2309" s="63"/>
      <c r="K2309" s="53" t="str">
        <f>IFERROR(__xludf.DUMMYFUNCTION("IF(ISBLANK(B2309),"""",IF(ISDATE(B2309),""X"",""""))"),"")</f>
        <v/>
      </c>
      <c r="L2309" s="40" t="str">
        <f>IFERROR(__xludf.DUMMYFUNCTION("IF(ISBLANK(B2309),"""",IF(Or(I2309=""Em Aberto"",ISBLANK(I2309),NOT(ISDATE(B2309))),"""",H2309))"),"")</f>
        <v/>
      </c>
      <c r="M2309" s="29" t="str">
        <f>IFERROR(__xludf.DUMMYFUNCTION("IF(ISBLANK(B2309),"""",IF(ISDATE(B2309),TEXT(B2309,""m""),""""))"),"")</f>
        <v/>
      </c>
      <c r="N2309" s="29" t="str">
        <f>IFERROR(__xludf.DUMMYFUNCTION("IF(M2309="""","""",QUERY({'Dashboard-Dados'!$Y$2:$AA$13},""Select Col2 Where Col1=""&amp;M2309))"),"")</f>
        <v/>
      </c>
      <c r="O2309" s="29" t="str">
        <f>IFERROR(__xludf.DUMMYFUNCTION("IF(ISBLANK(B2309),"""",IF(ISDATE(B2309),TEXT(B2309,""yyyy""),""""))"),"")</f>
        <v/>
      </c>
    </row>
    <row r="2310">
      <c r="B2310" s="62"/>
      <c r="C2310" s="56"/>
      <c r="D2310" s="56"/>
      <c r="E2310" s="56"/>
      <c r="F2310" s="63"/>
      <c r="G2310" s="64"/>
      <c r="H2310" s="65"/>
      <c r="I2310" s="63"/>
      <c r="K2310" s="53" t="str">
        <f>IFERROR(__xludf.DUMMYFUNCTION("IF(ISBLANK(B2310),"""",IF(ISDATE(B2310),""X"",""""))"),"")</f>
        <v/>
      </c>
      <c r="L2310" s="40" t="str">
        <f>IFERROR(__xludf.DUMMYFUNCTION("IF(ISBLANK(B2310),"""",IF(Or(I2310=""Em Aberto"",ISBLANK(I2310),NOT(ISDATE(B2310))),"""",H2310))"),"")</f>
        <v/>
      </c>
      <c r="M2310" s="29" t="str">
        <f>IFERROR(__xludf.DUMMYFUNCTION("IF(ISBLANK(B2310),"""",IF(ISDATE(B2310),TEXT(B2310,""m""),""""))"),"")</f>
        <v/>
      </c>
      <c r="N2310" s="29" t="str">
        <f>IFERROR(__xludf.DUMMYFUNCTION("IF(M2310="""","""",QUERY({'Dashboard-Dados'!$Y$2:$AA$13},""Select Col2 Where Col1=""&amp;M2310))"),"")</f>
        <v/>
      </c>
      <c r="O2310" s="29" t="str">
        <f>IFERROR(__xludf.DUMMYFUNCTION("IF(ISBLANK(B2310),"""",IF(ISDATE(B2310),TEXT(B2310,""yyyy""),""""))"),"")</f>
        <v/>
      </c>
    </row>
    <row r="2311">
      <c r="B2311" s="62"/>
      <c r="C2311" s="56"/>
      <c r="D2311" s="56"/>
      <c r="E2311" s="56"/>
      <c r="F2311" s="63"/>
      <c r="G2311" s="64"/>
      <c r="H2311" s="65"/>
      <c r="I2311" s="63"/>
      <c r="K2311" s="53" t="str">
        <f>IFERROR(__xludf.DUMMYFUNCTION("IF(ISBLANK(B2311),"""",IF(ISDATE(B2311),""X"",""""))"),"")</f>
        <v/>
      </c>
      <c r="L2311" s="40" t="str">
        <f>IFERROR(__xludf.DUMMYFUNCTION("IF(ISBLANK(B2311),"""",IF(Or(I2311=""Em Aberto"",ISBLANK(I2311),NOT(ISDATE(B2311))),"""",H2311))"),"")</f>
        <v/>
      </c>
      <c r="M2311" s="29" t="str">
        <f>IFERROR(__xludf.DUMMYFUNCTION("IF(ISBLANK(B2311),"""",IF(ISDATE(B2311),TEXT(B2311,""m""),""""))"),"")</f>
        <v/>
      </c>
      <c r="N2311" s="29" t="str">
        <f>IFERROR(__xludf.DUMMYFUNCTION("IF(M2311="""","""",QUERY({'Dashboard-Dados'!$Y$2:$AA$13},""Select Col2 Where Col1=""&amp;M2311))"),"")</f>
        <v/>
      </c>
      <c r="O2311" s="29" t="str">
        <f>IFERROR(__xludf.DUMMYFUNCTION("IF(ISBLANK(B2311),"""",IF(ISDATE(B2311),TEXT(B2311,""yyyy""),""""))"),"")</f>
        <v/>
      </c>
    </row>
    <row r="2312">
      <c r="B2312" s="62"/>
      <c r="C2312" s="56"/>
      <c r="D2312" s="56"/>
      <c r="E2312" s="56"/>
      <c r="F2312" s="63"/>
      <c r="G2312" s="64"/>
      <c r="H2312" s="65"/>
      <c r="I2312" s="63"/>
      <c r="K2312" s="53" t="str">
        <f>IFERROR(__xludf.DUMMYFUNCTION("IF(ISBLANK(B2312),"""",IF(ISDATE(B2312),""X"",""""))"),"")</f>
        <v/>
      </c>
      <c r="L2312" s="40" t="str">
        <f>IFERROR(__xludf.DUMMYFUNCTION("IF(ISBLANK(B2312),"""",IF(Or(I2312=""Em Aberto"",ISBLANK(I2312),NOT(ISDATE(B2312))),"""",H2312))"),"")</f>
        <v/>
      </c>
      <c r="M2312" s="29" t="str">
        <f>IFERROR(__xludf.DUMMYFUNCTION("IF(ISBLANK(B2312),"""",IF(ISDATE(B2312),TEXT(B2312,""m""),""""))"),"")</f>
        <v/>
      </c>
      <c r="N2312" s="29" t="str">
        <f>IFERROR(__xludf.DUMMYFUNCTION("IF(M2312="""","""",QUERY({'Dashboard-Dados'!$Y$2:$AA$13},""Select Col2 Where Col1=""&amp;M2312))"),"")</f>
        <v/>
      </c>
      <c r="O2312" s="29" t="str">
        <f>IFERROR(__xludf.DUMMYFUNCTION("IF(ISBLANK(B2312),"""",IF(ISDATE(B2312),TEXT(B2312,""yyyy""),""""))"),"")</f>
        <v/>
      </c>
    </row>
    <row r="2313">
      <c r="B2313" s="62"/>
      <c r="C2313" s="56"/>
      <c r="D2313" s="56"/>
      <c r="E2313" s="56"/>
      <c r="F2313" s="63"/>
      <c r="G2313" s="64"/>
      <c r="H2313" s="65"/>
      <c r="I2313" s="63"/>
      <c r="K2313" s="53" t="str">
        <f>IFERROR(__xludf.DUMMYFUNCTION("IF(ISBLANK(B2313),"""",IF(ISDATE(B2313),""X"",""""))"),"")</f>
        <v/>
      </c>
      <c r="L2313" s="40" t="str">
        <f>IFERROR(__xludf.DUMMYFUNCTION("IF(ISBLANK(B2313),"""",IF(Or(I2313=""Em Aberto"",ISBLANK(I2313),NOT(ISDATE(B2313))),"""",H2313))"),"")</f>
        <v/>
      </c>
      <c r="M2313" s="29" t="str">
        <f>IFERROR(__xludf.DUMMYFUNCTION("IF(ISBLANK(B2313),"""",IF(ISDATE(B2313),TEXT(B2313,""m""),""""))"),"")</f>
        <v/>
      </c>
      <c r="N2313" s="29" t="str">
        <f>IFERROR(__xludf.DUMMYFUNCTION("IF(M2313="""","""",QUERY({'Dashboard-Dados'!$Y$2:$AA$13},""Select Col2 Where Col1=""&amp;M2313))"),"")</f>
        <v/>
      </c>
      <c r="O2313" s="29" t="str">
        <f>IFERROR(__xludf.DUMMYFUNCTION("IF(ISBLANK(B2313),"""",IF(ISDATE(B2313),TEXT(B2313,""yyyy""),""""))"),"")</f>
        <v/>
      </c>
    </row>
    <row r="2314">
      <c r="B2314" s="62"/>
      <c r="C2314" s="56"/>
      <c r="D2314" s="56"/>
      <c r="E2314" s="56"/>
      <c r="F2314" s="63"/>
      <c r="G2314" s="64"/>
      <c r="H2314" s="65"/>
      <c r="I2314" s="63"/>
      <c r="K2314" s="53" t="str">
        <f>IFERROR(__xludf.DUMMYFUNCTION("IF(ISBLANK(B2314),"""",IF(ISDATE(B2314),""X"",""""))"),"")</f>
        <v/>
      </c>
      <c r="L2314" s="40" t="str">
        <f>IFERROR(__xludf.DUMMYFUNCTION("IF(ISBLANK(B2314),"""",IF(Or(I2314=""Em Aberto"",ISBLANK(I2314),NOT(ISDATE(B2314))),"""",H2314))"),"")</f>
        <v/>
      </c>
      <c r="M2314" s="29" t="str">
        <f>IFERROR(__xludf.DUMMYFUNCTION("IF(ISBLANK(B2314),"""",IF(ISDATE(B2314),TEXT(B2314,""m""),""""))"),"")</f>
        <v/>
      </c>
      <c r="N2314" s="29" t="str">
        <f>IFERROR(__xludf.DUMMYFUNCTION("IF(M2314="""","""",QUERY({'Dashboard-Dados'!$Y$2:$AA$13},""Select Col2 Where Col1=""&amp;M2314))"),"")</f>
        <v/>
      </c>
      <c r="O2314" s="29" t="str">
        <f>IFERROR(__xludf.DUMMYFUNCTION("IF(ISBLANK(B2314),"""",IF(ISDATE(B2314),TEXT(B2314,""yyyy""),""""))"),"")</f>
        <v/>
      </c>
    </row>
    <row r="2315">
      <c r="B2315" s="62"/>
      <c r="C2315" s="56"/>
      <c r="D2315" s="56"/>
      <c r="E2315" s="56"/>
      <c r="F2315" s="63"/>
      <c r="G2315" s="64"/>
      <c r="H2315" s="65"/>
      <c r="I2315" s="63"/>
      <c r="K2315" s="53" t="str">
        <f>IFERROR(__xludf.DUMMYFUNCTION("IF(ISBLANK(B2315),"""",IF(ISDATE(B2315),""X"",""""))"),"")</f>
        <v/>
      </c>
      <c r="L2315" s="40" t="str">
        <f>IFERROR(__xludf.DUMMYFUNCTION("IF(ISBLANK(B2315),"""",IF(Or(I2315=""Em Aberto"",ISBLANK(I2315),NOT(ISDATE(B2315))),"""",H2315))"),"")</f>
        <v/>
      </c>
      <c r="M2315" s="29" t="str">
        <f>IFERROR(__xludf.DUMMYFUNCTION("IF(ISBLANK(B2315),"""",IF(ISDATE(B2315),TEXT(B2315,""m""),""""))"),"")</f>
        <v/>
      </c>
      <c r="N2315" s="29" t="str">
        <f>IFERROR(__xludf.DUMMYFUNCTION("IF(M2315="""","""",QUERY({'Dashboard-Dados'!$Y$2:$AA$13},""Select Col2 Where Col1=""&amp;M2315))"),"")</f>
        <v/>
      </c>
      <c r="O2315" s="29" t="str">
        <f>IFERROR(__xludf.DUMMYFUNCTION("IF(ISBLANK(B2315),"""",IF(ISDATE(B2315),TEXT(B2315,""yyyy""),""""))"),"")</f>
        <v/>
      </c>
    </row>
    <row r="2316">
      <c r="B2316" s="62"/>
      <c r="C2316" s="56"/>
      <c r="D2316" s="56"/>
      <c r="E2316" s="56"/>
      <c r="F2316" s="63"/>
      <c r="G2316" s="64"/>
      <c r="H2316" s="65"/>
      <c r="I2316" s="63"/>
      <c r="K2316" s="53" t="str">
        <f>IFERROR(__xludf.DUMMYFUNCTION("IF(ISBLANK(B2316),"""",IF(ISDATE(B2316),""X"",""""))"),"")</f>
        <v/>
      </c>
      <c r="L2316" s="40" t="str">
        <f>IFERROR(__xludf.DUMMYFUNCTION("IF(ISBLANK(B2316),"""",IF(Or(I2316=""Em Aberto"",ISBLANK(I2316),NOT(ISDATE(B2316))),"""",H2316))"),"")</f>
        <v/>
      </c>
      <c r="M2316" s="29" t="str">
        <f>IFERROR(__xludf.DUMMYFUNCTION("IF(ISBLANK(B2316),"""",IF(ISDATE(B2316),TEXT(B2316,""m""),""""))"),"")</f>
        <v/>
      </c>
      <c r="N2316" s="29" t="str">
        <f>IFERROR(__xludf.DUMMYFUNCTION("IF(M2316="""","""",QUERY({'Dashboard-Dados'!$Y$2:$AA$13},""Select Col2 Where Col1=""&amp;M2316))"),"")</f>
        <v/>
      </c>
      <c r="O2316" s="29" t="str">
        <f>IFERROR(__xludf.DUMMYFUNCTION("IF(ISBLANK(B2316),"""",IF(ISDATE(B2316),TEXT(B2316,""yyyy""),""""))"),"")</f>
        <v/>
      </c>
    </row>
    <row r="2317">
      <c r="B2317" s="62"/>
      <c r="C2317" s="56"/>
      <c r="D2317" s="56"/>
      <c r="E2317" s="56"/>
      <c r="F2317" s="63"/>
      <c r="G2317" s="64"/>
      <c r="H2317" s="65"/>
      <c r="I2317" s="63"/>
      <c r="K2317" s="53" t="str">
        <f>IFERROR(__xludf.DUMMYFUNCTION("IF(ISBLANK(B2317),"""",IF(ISDATE(B2317),""X"",""""))"),"")</f>
        <v/>
      </c>
      <c r="L2317" s="40" t="str">
        <f>IFERROR(__xludf.DUMMYFUNCTION("IF(ISBLANK(B2317),"""",IF(Or(I2317=""Em Aberto"",ISBLANK(I2317),NOT(ISDATE(B2317))),"""",H2317))"),"")</f>
        <v/>
      </c>
      <c r="M2317" s="29" t="str">
        <f>IFERROR(__xludf.DUMMYFUNCTION("IF(ISBLANK(B2317),"""",IF(ISDATE(B2317),TEXT(B2317,""m""),""""))"),"")</f>
        <v/>
      </c>
      <c r="N2317" s="29" t="str">
        <f>IFERROR(__xludf.DUMMYFUNCTION("IF(M2317="""","""",QUERY({'Dashboard-Dados'!$Y$2:$AA$13},""Select Col2 Where Col1=""&amp;M2317))"),"")</f>
        <v/>
      </c>
      <c r="O2317" s="29" t="str">
        <f>IFERROR(__xludf.DUMMYFUNCTION("IF(ISBLANK(B2317),"""",IF(ISDATE(B2317),TEXT(B2317,""yyyy""),""""))"),"")</f>
        <v/>
      </c>
    </row>
    <row r="2318">
      <c r="B2318" s="62"/>
      <c r="C2318" s="56"/>
      <c r="D2318" s="56"/>
      <c r="E2318" s="56"/>
      <c r="F2318" s="63"/>
      <c r="G2318" s="64"/>
      <c r="H2318" s="65"/>
      <c r="I2318" s="63"/>
      <c r="K2318" s="53" t="str">
        <f>IFERROR(__xludf.DUMMYFUNCTION("IF(ISBLANK(B2318),"""",IF(ISDATE(B2318),""X"",""""))"),"")</f>
        <v/>
      </c>
      <c r="L2318" s="40" t="str">
        <f>IFERROR(__xludf.DUMMYFUNCTION("IF(ISBLANK(B2318),"""",IF(Or(I2318=""Em Aberto"",ISBLANK(I2318),NOT(ISDATE(B2318))),"""",H2318))"),"")</f>
        <v/>
      </c>
      <c r="M2318" s="29" t="str">
        <f>IFERROR(__xludf.DUMMYFUNCTION("IF(ISBLANK(B2318),"""",IF(ISDATE(B2318),TEXT(B2318,""m""),""""))"),"")</f>
        <v/>
      </c>
      <c r="N2318" s="29" t="str">
        <f>IFERROR(__xludf.DUMMYFUNCTION("IF(M2318="""","""",QUERY({'Dashboard-Dados'!$Y$2:$AA$13},""Select Col2 Where Col1=""&amp;M2318))"),"")</f>
        <v/>
      </c>
      <c r="O2318" s="29" t="str">
        <f>IFERROR(__xludf.DUMMYFUNCTION("IF(ISBLANK(B2318),"""",IF(ISDATE(B2318),TEXT(B2318,""yyyy""),""""))"),"")</f>
        <v/>
      </c>
    </row>
    <row r="2319">
      <c r="B2319" s="62"/>
      <c r="C2319" s="56"/>
      <c r="D2319" s="56"/>
      <c r="E2319" s="56"/>
      <c r="F2319" s="63"/>
      <c r="G2319" s="64"/>
      <c r="H2319" s="65"/>
      <c r="I2319" s="63"/>
      <c r="K2319" s="53" t="str">
        <f>IFERROR(__xludf.DUMMYFUNCTION("IF(ISBLANK(B2319),"""",IF(ISDATE(B2319),""X"",""""))"),"")</f>
        <v/>
      </c>
      <c r="L2319" s="40" t="str">
        <f>IFERROR(__xludf.DUMMYFUNCTION("IF(ISBLANK(B2319),"""",IF(Or(I2319=""Em Aberto"",ISBLANK(I2319),NOT(ISDATE(B2319))),"""",H2319))"),"")</f>
        <v/>
      </c>
      <c r="M2319" s="29" t="str">
        <f>IFERROR(__xludf.DUMMYFUNCTION("IF(ISBLANK(B2319),"""",IF(ISDATE(B2319),TEXT(B2319,""m""),""""))"),"")</f>
        <v/>
      </c>
      <c r="N2319" s="29" t="str">
        <f>IFERROR(__xludf.DUMMYFUNCTION("IF(M2319="""","""",QUERY({'Dashboard-Dados'!$Y$2:$AA$13},""Select Col2 Where Col1=""&amp;M2319))"),"")</f>
        <v/>
      </c>
      <c r="O2319" s="29" t="str">
        <f>IFERROR(__xludf.DUMMYFUNCTION("IF(ISBLANK(B2319),"""",IF(ISDATE(B2319),TEXT(B2319,""yyyy""),""""))"),"")</f>
        <v/>
      </c>
    </row>
    <row r="2320">
      <c r="B2320" s="62"/>
      <c r="C2320" s="56"/>
      <c r="D2320" s="56"/>
      <c r="E2320" s="56"/>
      <c r="F2320" s="63"/>
      <c r="G2320" s="64"/>
      <c r="H2320" s="65"/>
      <c r="I2320" s="63"/>
      <c r="K2320" s="53" t="str">
        <f>IFERROR(__xludf.DUMMYFUNCTION("IF(ISBLANK(B2320),"""",IF(ISDATE(B2320),""X"",""""))"),"")</f>
        <v/>
      </c>
      <c r="L2320" s="40" t="str">
        <f>IFERROR(__xludf.DUMMYFUNCTION("IF(ISBLANK(B2320),"""",IF(Or(I2320=""Em Aberto"",ISBLANK(I2320),NOT(ISDATE(B2320))),"""",H2320))"),"")</f>
        <v/>
      </c>
      <c r="M2320" s="29" t="str">
        <f>IFERROR(__xludf.DUMMYFUNCTION("IF(ISBLANK(B2320),"""",IF(ISDATE(B2320),TEXT(B2320,""m""),""""))"),"")</f>
        <v/>
      </c>
      <c r="N2320" s="29" t="str">
        <f>IFERROR(__xludf.DUMMYFUNCTION("IF(M2320="""","""",QUERY({'Dashboard-Dados'!$Y$2:$AA$13},""Select Col2 Where Col1=""&amp;M2320))"),"")</f>
        <v/>
      </c>
      <c r="O2320" s="29" t="str">
        <f>IFERROR(__xludf.DUMMYFUNCTION("IF(ISBLANK(B2320),"""",IF(ISDATE(B2320),TEXT(B2320,""yyyy""),""""))"),"")</f>
        <v/>
      </c>
    </row>
    <row r="2321">
      <c r="B2321" s="62"/>
      <c r="C2321" s="56"/>
      <c r="D2321" s="56"/>
      <c r="E2321" s="56"/>
      <c r="F2321" s="63"/>
      <c r="G2321" s="64"/>
      <c r="H2321" s="65"/>
      <c r="I2321" s="63"/>
      <c r="K2321" s="53" t="str">
        <f>IFERROR(__xludf.DUMMYFUNCTION("IF(ISBLANK(B2321),"""",IF(ISDATE(B2321),""X"",""""))"),"")</f>
        <v/>
      </c>
      <c r="L2321" s="40" t="str">
        <f>IFERROR(__xludf.DUMMYFUNCTION("IF(ISBLANK(B2321),"""",IF(Or(I2321=""Em Aberto"",ISBLANK(I2321),NOT(ISDATE(B2321))),"""",H2321))"),"")</f>
        <v/>
      </c>
      <c r="M2321" s="29" t="str">
        <f>IFERROR(__xludf.DUMMYFUNCTION("IF(ISBLANK(B2321),"""",IF(ISDATE(B2321),TEXT(B2321,""m""),""""))"),"")</f>
        <v/>
      </c>
      <c r="N2321" s="29" t="str">
        <f>IFERROR(__xludf.DUMMYFUNCTION("IF(M2321="""","""",QUERY({'Dashboard-Dados'!$Y$2:$AA$13},""Select Col2 Where Col1=""&amp;M2321))"),"")</f>
        <v/>
      </c>
      <c r="O2321" s="29" t="str">
        <f>IFERROR(__xludf.DUMMYFUNCTION("IF(ISBLANK(B2321),"""",IF(ISDATE(B2321),TEXT(B2321,""yyyy""),""""))"),"")</f>
        <v/>
      </c>
    </row>
    <row r="2322">
      <c r="B2322" s="62"/>
      <c r="C2322" s="56"/>
      <c r="D2322" s="56"/>
      <c r="E2322" s="56"/>
      <c r="F2322" s="63"/>
      <c r="G2322" s="64"/>
      <c r="H2322" s="65"/>
      <c r="I2322" s="63"/>
      <c r="K2322" s="53" t="str">
        <f>IFERROR(__xludf.DUMMYFUNCTION("IF(ISBLANK(B2322),"""",IF(ISDATE(B2322),""X"",""""))"),"")</f>
        <v/>
      </c>
      <c r="L2322" s="40" t="str">
        <f>IFERROR(__xludf.DUMMYFUNCTION("IF(ISBLANK(B2322),"""",IF(Or(I2322=""Em Aberto"",ISBLANK(I2322),NOT(ISDATE(B2322))),"""",H2322))"),"")</f>
        <v/>
      </c>
      <c r="M2322" s="29" t="str">
        <f>IFERROR(__xludf.DUMMYFUNCTION("IF(ISBLANK(B2322),"""",IF(ISDATE(B2322),TEXT(B2322,""m""),""""))"),"")</f>
        <v/>
      </c>
      <c r="N2322" s="29" t="str">
        <f>IFERROR(__xludf.DUMMYFUNCTION("IF(M2322="""","""",QUERY({'Dashboard-Dados'!$Y$2:$AA$13},""Select Col2 Where Col1=""&amp;M2322))"),"")</f>
        <v/>
      </c>
      <c r="O2322" s="29" t="str">
        <f>IFERROR(__xludf.DUMMYFUNCTION("IF(ISBLANK(B2322),"""",IF(ISDATE(B2322),TEXT(B2322,""yyyy""),""""))"),"")</f>
        <v/>
      </c>
    </row>
    <row r="2323">
      <c r="B2323" s="62"/>
      <c r="C2323" s="56"/>
      <c r="D2323" s="56"/>
      <c r="E2323" s="56"/>
      <c r="F2323" s="63"/>
      <c r="G2323" s="64"/>
      <c r="H2323" s="65"/>
      <c r="I2323" s="63"/>
      <c r="K2323" s="53" t="str">
        <f>IFERROR(__xludf.DUMMYFUNCTION("IF(ISBLANK(B2323),"""",IF(ISDATE(B2323),""X"",""""))"),"")</f>
        <v/>
      </c>
      <c r="L2323" s="40" t="str">
        <f>IFERROR(__xludf.DUMMYFUNCTION("IF(ISBLANK(B2323),"""",IF(Or(I2323=""Em Aberto"",ISBLANK(I2323),NOT(ISDATE(B2323))),"""",H2323))"),"")</f>
        <v/>
      </c>
      <c r="M2323" s="29" t="str">
        <f>IFERROR(__xludf.DUMMYFUNCTION("IF(ISBLANK(B2323),"""",IF(ISDATE(B2323),TEXT(B2323,""m""),""""))"),"")</f>
        <v/>
      </c>
      <c r="N2323" s="29" t="str">
        <f>IFERROR(__xludf.DUMMYFUNCTION("IF(M2323="""","""",QUERY({'Dashboard-Dados'!$Y$2:$AA$13},""Select Col2 Where Col1=""&amp;M2323))"),"")</f>
        <v/>
      </c>
      <c r="O2323" s="29" t="str">
        <f>IFERROR(__xludf.DUMMYFUNCTION("IF(ISBLANK(B2323),"""",IF(ISDATE(B2323),TEXT(B2323,""yyyy""),""""))"),"")</f>
        <v/>
      </c>
    </row>
    <row r="2324">
      <c r="B2324" s="62"/>
      <c r="C2324" s="56"/>
      <c r="D2324" s="56"/>
      <c r="E2324" s="56"/>
      <c r="F2324" s="63"/>
      <c r="G2324" s="64"/>
      <c r="H2324" s="65"/>
      <c r="I2324" s="63"/>
      <c r="K2324" s="53" t="str">
        <f>IFERROR(__xludf.DUMMYFUNCTION("IF(ISBLANK(B2324),"""",IF(ISDATE(B2324),""X"",""""))"),"")</f>
        <v/>
      </c>
      <c r="L2324" s="40" t="str">
        <f>IFERROR(__xludf.DUMMYFUNCTION("IF(ISBLANK(B2324),"""",IF(Or(I2324=""Em Aberto"",ISBLANK(I2324),NOT(ISDATE(B2324))),"""",H2324))"),"")</f>
        <v/>
      </c>
      <c r="M2324" s="29" t="str">
        <f>IFERROR(__xludf.DUMMYFUNCTION("IF(ISBLANK(B2324),"""",IF(ISDATE(B2324),TEXT(B2324,""m""),""""))"),"")</f>
        <v/>
      </c>
      <c r="N2324" s="29" t="str">
        <f>IFERROR(__xludf.DUMMYFUNCTION("IF(M2324="""","""",QUERY({'Dashboard-Dados'!$Y$2:$AA$13},""Select Col2 Where Col1=""&amp;M2324))"),"")</f>
        <v/>
      </c>
      <c r="O2324" s="29" t="str">
        <f>IFERROR(__xludf.DUMMYFUNCTION("IF(ISBLANK(B2324),"""",IF(ISDATE(B2324),TEXT(B2324,""yyyy""),""""))"),"")</f>
        <v/>
      </c>
    </row>
    <row r="2325">
      <c r="B2325" s="62"/>
      <c r="C2325" s="56"/>
      <c r="D2325" s="56"/>
      <c r="E2325" s="56"/>
      <c r="F2325" s="63"/>
      <c r="G2325" s="64"/>
      <c r="H2325" s="65"/>
      <c r="I2325" s="63"/>
      <c r="K2325" s="53" t="str">
        <f>IFERROR(__xludf.DUMMYFUNCTION("IF(ISBLANK(B2325),"""",IF(ISDATE(B2325),""X"",""""))"),"")</f>
        <v/>
      </c>
      <c r="L2325" s="40" t="str">
        <f>IFERROR(__xludf.DUMMYFUNCTION("IF(ISBLANK(B2325),"""",IF(Or(I2325=""Em Aberto"",ISBLANK(I2325),NOT(ISDATE(B2325))),"""",H2325))"),"")</f>
        <v/>
      </c>
      <c r="M2325" s="29" t="str">
        <f>IFERROR(__xludf.DUMMYFUNCTION("IF(ISBLANK(B2325),"""",IF(ISDATE(B2325),TEXT(B2325,""m""),""""))"),"")</f>
        <v/>
      </c>
      <c r="N2325" s="29" t="str">
        <f>IFERROR(__xludf.DUMMYFUNCTION("IF(M2325="""","""",QUERY({'Dashboard-Dados'!$Y$2:$AA$13},""Select Col2 Where Col1=""&amp;M2325))"),"")</f>
        <v/>
      </c>
      <c r="O2325" s="29" t="str">
        <f>IFERROR(__xludf.DUMMYFUNCTION("IF(ISBLANK(B2325),"""",IF(ISDATE(B2325),TEXT(B2325,""yyyy""),""""))"),"")</f>
        <v/>
      </c>
    </row>
    <row r="2326">
      <c r="B2326" s="62"/>
      <c r="C2326" s="56"/>
      <c r="D2326" s="56"/>
      <c r="E2326" s="56"/>
      <c r="F2326" s="63"/>
      <c r="G2326" s="64"/>
      <c r="H2326" s="65"/>
      <c r="I2326" s="63"/>
      <c r="K2326" s="53" t="str">
        <f>IFERROR(__xludf.DUMMYFUNCTION("IF(ISBLANK(B2326),"""",IF(ISDATE(B2326),""X"",""""))"),"")</f>
        <v/>
      </c>
      <c r="L2326" s="40" t="str">
        <f>IFERROR(__xludf.DUMMYFUNCTION("IF(ISBLANK(B2326),"""",IF(Or(I2326=""Em Aberto"",ISBLANK(I2326),NOT(ISDATE(B2326))),"""",H2326))"),"")</f>
        <v/>
      </c>
      <c r="M2326" s="29" t="str">
        <f>IFERROR(__xludf.DUMMYFUNCTION("IF(ISBLANK(B2326),"""",IF(ISDATE(B2326),TEXT(B2326,""m""),""""))"),"")</f>
        <v/>
      </c>
      <c r="N2326" s="29" t="str">
        <f>IFERROR(__xludf.DUMMYFUNCTION("IF(M2326="""","""",QUERY({'Dashboard-Dados'!$Y$2:$AA$13},""Select Col2 Where Col1=""&amp;M2326))"),"")</f>
        <v/>
      </c>
      <c r="O2326" s="29" t="str">
        <f>IFERROR(__xludf.DUMMYFUNCTION("IF(ISBLANK(B2326),"""",IF(ISDATE(B2326),TEXT(B2326,""yyyy""),""""))"),"")</f>
        <v/>
      </c>
    </row>
    <row r="2327">
      <c r="B2327" s="62"/>
      <c r="C2327" s="56"/>
      <c r="D2327" s="56"/>
      <c r="E2327" s="56"/>
      <c r="F2327" s="63"/>
      <c r="G2327" s="64"/>
      <c r="H2327" s="65"/>
      <c r="I2327" s="63"/>
      <c r="K2327" s="53" t="str">
        <f>IFERROR(__xludf.DUMMYFUNCTION("IF(ISBLANK(B2327),"""",IF(ISDATE(B2327),""X"",""""))"),"")</f>
        <v/>
      </c>
      <c r="L2327" s="40" t="str">
        <f>IFERROR(__xludf.DUMMYFUNCTION("IF(ISBLANK(B2327),"""",IF(Or(I2327=""Em Aberto"",ISBLANK(I2327),NOT(ISDATE(B2327))),"""",H2327))"),"")</f>
        <v/>
      </c>
      <c r="M2327" s="29" t="str">
        <f>IFERROR(__xludf.DUMMYFUNCTION("IF(ISBLANK(B2327),"""",IF(ISDATE(B2327),TEXT(B2327,""m""),""""))"),"")</f>
        <v/>
      </c>
      <c r="N2327" s="29" t="str">
        <f>IFERROR(__xludf.DUMMYFUNCTION("IF(M2327="""","""",QUERY({'Dashboard-Dados'!$Y$2:$AA$13},""Select Col2 Where Col1=""&amp;M2327))"),"")</f>
        <v/>
      </c>
      <c r="O2327" s="29" t="str">
        <f>IFERROR(__xludf.DUMMYFUNCTION("IF(ISBLANK(B2327),"""",IF(ISDATE(B2327),TEXT(B2327,""yyyy""),""""))"),"")</f>
        <v/>
      </c>
    </row>
    <row r="2328">
      <c r="B2328" s="62"/>
      <c r="C2328" s="56"/>
      <c r="D2328" s="56"/>
      <c r="E2328" s="56"/>
      <c r="F2328" s="63"/>
      <c r="G2328" s="64"/>
      <c r="H2328" s="65"/>
      <c r="I2328" s="63"/>
      <c r="K2328" s="53" t="str">
        <f>IFERROR(__xludf.DUMMYFUNCTION("IF(ISBLANK(B2328),"""",IF(ISDATE(B2328),""X"",""""))"),"")</f>
        <v/>
      </c>
      <c r="L2328" s="40" t="str">
        <f>IFERROR(__xludf.DUMMYFUNCTION("IF(ISBLANK(B2328),"""",IF(Or(I2328=""Em Aberto"",ISBLANK(I2328),NOT(ISDATE(B2328))),"""",H2328))"),"")</f>
        <v/>
      </c>
      <c r="M2328" s="29" t="str">
        <f>IFERROR(__xludf.DUMMYFUNCTION("IF(ISBLANK(B2328),"""",IF(ISDATE(B2328),TEXT(B2328,""m""),""""))"),"")</f>
        <v/>
      </c>
      <c r="N2328" s="29" t="str">
        <f>IFERROR(__xludf.DUMMYFUNCTION("IF(M2328="""","""",QUERY({'Dashboard-Dados'!$Y$2:$AA$13},""Select Col2 Where Col1=""&amp;M2328))"),"")</f>
        <v/>
      </c>
      <c r="O2328" s="29" t="str">
        <f>IFERROR(__xludf.DUMMYFUNCTION("IF(ISBLANK(B2328),"""",IF(ISDATE(B2328),TEXT(B2328,""yyyy""),""""))"),"")</f>
        <v/>
      </c>
    </row>
    <row r="2329">
      <c r="B2329" s="62"/>
      <c r="C2329" s="56"/>
      <c r="D2329" s="56"/>
      <c r="E2329" s="56"/>
      <c r="F2329" s="63"/>
      <c r="G2329" s="64"/>
      <c r="H2329" s="65"/>
      <c r="I2329" s="63"/>
      <c r="K2329" s="53" t="str">
        <f>IFERROR(__xludf.DUMMYFUNCTION("IF(ISBLANK(B2329),"""",IF(ISDATE(B2329),""X"",""""))"),"")</f>
        <v/>
      </c>
      <c r="L2329" s="40" t="str">
        <f>IFERROR(__xludf.DUMMYFUNCTION("IF(ISBLANK(B2329),"""",IF(Or(I2329=""Em Aberto"",ISBLANK(I2329),NOT(ISDATE(B2329))),"""",H2329))"),"")</f>
        <v/>
      </c>
      <c r="M2329" s="29" t="str">
        <f>IFERROR(__xludf.DUMMYFUNCTION("IF(ISBLANK(B2329),"""",IF(ISDATE(B2329),TEXT(B2329,""m""),""""))"),"")</f>
        <v/>
      </c>
      <c r="N2329" s="29" t="str">
        <f>IFERROR(__xludf.DUMMYFUNCTION("IF(M2329="""","""",QUERY({'Dashboard-Dados'!$Y$2:$AA$13},""Select Col2 Where Col1=""&amp;M2329))"),"")</f>
        <v/>
      </c>
      <c r="O2329" s="29" t="str">
        <f>IFERROR(__xludf.DUMMYFUNCTION("IF(ISBLANK(B2329),"""",IF(ISDATE(B2329),TEXT(B2329,""yyyy""),""""))"),"")</f>
        <v/>
      </c>
    </row>
    <row r="2330">
      <c r="B2330" s="62"/>
      <c r="C2330" s="56"/>
      <c r="D2330" s="56"/>
      <c r="E2330" s="56"/>
      <c r="F2330" s="63"/>
      <c r="G2330" s="64"/>
      <c r="H2330" s="65"/>
      <c r="I2330" s="63"/>
      <c r="K2330" s="53" t="str">
        <f>IFERROR(__xludf.DUMMYFUNCTION("IF(ISBLANK(B2330),"""",IF(ISDATE(B2330),""X"",""""))"),"")</f>
        <v/>
      </c>
      <c r="L2330" s="40" t="str">
        <f>IFERROR(__xludf.DUMMYFUNCTION("IF(ISBLANK(B2330),"""",IF(Or(I2330=""Em Aberto"",ISBLANK(I2330),NOT(ISDATE(B2330))),"""",H2330))"),"")</f>
        <v/>
      </c>
      <c r="M2330" s="29" t="str">
        <f>IFERROR(__xludf.DUMMYFUNCTION("IF(ISBLANK(B2330),"""",IF(ISDATE(B2330),TEXT(B2330,""m""),""""))"),"")</f>
        <v/>
      </c>
      <c r="N2330" s="29" t="str">
        <f>IFERROR(__xludf.DUMMYFUNCTION("IF(M2330="""","""",QUERY({'Dashboard-Dados'!$Y$2:$AA$13},""Select Col2 Where Col1=""&amp;M2330))"),"")</f>
        <v/>
      </c>
      <c r="O2330" s="29" t="str">
        <f>IFERROR(__xludf.DUMMYFUNCTION("IF(ISBLANK(B2330),"""",IF(ISDATE(B2330),TEXT(B2330,""yyyy""),""""))"),"")</f>
        <v/>
      </c>
    </row>
    <row r="2331">
      <c r="B2331" s="62"/>
      <c r="C2331" s="56"/>
      <c r="D2331" s="56"/>
      <c r="E2331" s="56"/>
      <c r="F2331" s="63"/>
      <c r="G2331" s="64"/>
      <c r="H2331" s="65"/>
      <c r="I2331" s="63"/>
      <c r="K2331" s="53" t="str">
        <f>IFERROR(__xludf.DUMMYFUNCTION("IF(ISBLANK(B2331),"""",IF(ISDATE(B2331),""X"",""""))"),"")</f>
        <v/>
      </c>
      <c r="L2331" s="40" t="str">
        <f>IFERROR(__xludf.DUMMYFUNCTION("IF(ISBLANK(B2331),"""",IF(Or(I2331=""Em Aberto"",ISBLANK(I2331),NOT(ISDATE(B2331))),"""",H2331))"),"")</f>
        <v/>
      </c>
      <c r="M2331" s="29" t="str">
        <f>IFERROR(__xludf.DUMMYFUNCTION("IF(ISBLANK(B2331),"""",IF(ISDATE(B2331),TEXT(B2331,""m""),""""))"),"")</f>
        <v/>
      </c>
      <c r="N2331" s="29" t="str">
        <f>IFERROR(__xludf.DUMMYFUNCTION("IF(M2331="""","""",QUERY({'Dashboard-Dados'!$Y$2:$AA$13},""Select Col2 Where Col1=""&amp;M2331))"),"")</f>
        <v/>
      </c>
      <c r="O2331" s="29" t="str">
        <f>IFERROR(__xludf.DUMMYFUNCTION("IF(ISBLANK(B2331),"""",IF(ISDATE(B2331),TEXT(B2331,""yyyy""),""""))"),"")</f>
        <v/>
      </c>
    </row>
    <row r="2332">
      <c r="B2332" s="62"/>
      <c r="C2332" s="56"/>
      <c r="D2332" s="56"/>
      <c r="E2332" s="56"/>
      <c r="F2332" s="63"/>
      <c r="G2332" s="64"/>
      <c r="H2332" s="65"/>
      <c r="I2332" s="63"/>
      <c r="K2332" s="53" t="str">
        <f>IFERROR(__xludf.DUMMYFUNCTION("IF(ISBLANK(B2332),"""",IF(ISDATE(B2332),""X"",""""))"),"")</f>
        <v/>
      </c>
      <c r="L2332" s="40" t="str">
        <f>IFERROR(__xludf.DUMMYFUNCTION("IF(ISBLANK(B2332),"""",IF(Or(I2332=""Em Aberto"",ISBLANK(I2332),NOT(ISDATE(B2332))),"""",H2332))"),"")</f>
        <v/>
      </c>
      <c r="M2332" s="29" t="str">
        <f>IFERROR(__xludf.DUMMYFUNCTION("IF(ISBLANK(B2332),"""",IF(ISDATE(B2332),TEXT(B2332,""m""),""""))"),"")</f>
        <v/>
      </c>
      <c r="N2332" s="29" t="str">
        <f>IFERROR(__xludf.DUMMYFUNCTION("IF(M2332="""","""",QUERY({'Dashboard-Dados'!$Y$2:$AA$13},""Select Col2 Where Col1=""&amp;M2332))"),"")</f>
        <v/>
      </c>
      <c r="O2332" s="29" t="str">
        <f>IFERROR(__xludf.DUMMYFUNCTION("IF(ISBLANK(B2332),"""",IF(ISDATE(B2332),TEXT(B2332,""yyyy""),""""))"),"")</f>
        <v/>
      </c>
    </row>
    <row r="2333">
      <c r="B2333" s="62"/>
      <c r="C2333" s="56"/>
      <c r="D2333" s="56"/>
      <c r="E2333" s="56"/>
      <c r="F2333" s="63"/>
      <c r="G2333" s="64"/>
      <c r="H2333" s="65"/>
      <c r="I2333" s="63"/>
      <c r="K2333" s="53" t="str">
        <f>IFERROR(__xludf.DUMMYFUNCTION("IF(ISBLANK(B2333),"""",IF(ISDATE(B2333),""X"",""""))"),"")</f>
        <v/>
      </c>
      <c r="L2333" s="40" t="str">
        <f>IFERROR(__xludf.DUMMYFUNCTION("IF(ISBLANK(B2333),"""",IF(Or(I2333=""Em Aberto"",ISBLANK(I2333),NOT(ISDATE(B2333))),"""",H2333))"),"")</f>
        <v/>
      </c>
      <c r="M2333" s="29" t="str">
        <f>IFERROR(__xludf.DUMMYFUNCTION("IF(ISBLANK(B2333),"""",IF(ISDATE(B2333),TEXT(B2333,""m""),""""))"),"")</f>
        <v/>
      </c>
      <c r="N2333" s="29" t="str">
        <f>IFERROR(__xludf.DUMMYFUNCTION("IF(M2333="""","""",QUERY({'Dashboard-Dados'!$Y$2:$AA$13},""Select Col2 Where Col1=""&amp;M2333))"),"")</f>
        <v/>
      </c>
      <c r="O2333" s="29" t="str">
        <f>IFERROR(__xludf.DUMMYFUNCTION("IF(ISBLANK(B2333),"""",IF(ISDATE(B2333),TEXT(B2333,""yyyy""),""""))"),"")</f>
        <v/>
      </c>
    </row>
    <row r="2334">
      <c r="B2334" s="62"/>
      <c r="C2334" s="56"/>
      <c r="D2334" s="56"/>
      <c r="E2334" s="56"/>
      <c r="F2334" s="63"/>
      <c r="G2334" s="64"/>
      <c r="H2334" s="65"/>
      <c r="I2334" s="63"/>
      <c r="K2334" s="53" t="str">
        <f>IFERROR(__xludf.DUMMYFUNCTION("IF(ISBLANK(B2334),"""",IF(ISDATE(B2334),""X"",""""))"),"")</f>
        <v/>
      </c>
      <c r="L2334" s="40" t="str">
        <f>IFERROR(__xludf.DUMMYFUNCTION("IF(ISBLANK(B2334),"""",IF(Or(I2334=""Em Aberto"",ISBLANK(I2334),NOT(ISDATE(B2334))),"""",H2334))"),"")</f>
        <v/>
      </c>
      <c r="M2334" s="29" t="str">
        <f>IFERROR(__xludf.DUMMYFUNCTION("IF(ISBLANK(B2334),"""",IF(ISDATE(B2334),TEXT(B2334,""m""),""""))"),"")</f>
        <v/>
      </c>
      <c r="N2334" s="29" t="str">
        <f>IFERROR(__xludf.DUMMYFUNCTION("IF(M2334="""","""",QUERY({'Dashboard-Dados'!$Y$2:$AA$13},""Select Col2 Where Col1=""&amp;M2334))"),"")</f>
        <v/>
      </c>
      <c r="O2334" s="29" t="str">
        <f>IFERROR(__xludf.DUMMYFUNCTION("IF(ISBLANK(B2334),"""",IF(ISDATE(B2334),TEXT(B2334,""yyyy""),""""))"),"")</f>
        <v/>
      </c>
    </row>
    <row r="2335">
      <c r="B2335" s="62"/>
      <c r="C2335" s="56"/>
      <c r="D2335" s="56"/>
      <c r="E2335" s="56"/>
      <c r="F2335" s="63"/>
      <c r="G2335" s="64"/>
      <c r="H2335" s="65"/>
      <c r="I2335" s="63"/>
      <c r="K2335" s="53" t="str">
        <f>IFERROR(__xludf.DUMMYFUNCTION("IF(ISBLANK(B2335),"""",IF(ISDATE(B2335),""X"",""""))"),"")</f>
        <v/>
      </c>
      <c r="L2335" s="40" t="str">
        <f>IFERROR(__xludf.DUMMYFUNCTION("IF(ISBLANK(B2335),"""",IF(Or(I2335=""Em Aberto"",ISBLANK(I2335),NOT(ISDATE(B2335))),"""",H2335))"),"")</f>
        <v/>
      </c>
      <c r="M2335" s="29" t="str">
        <f>IFERROR(__xludf.DUMMYFUNCTION("IF(ISBLANK(B2335),"""",IF(ISDATE(B2335),TEXT(B2335,""m""),""""))"),"")</f>
        <v/>
      </c>
      <c r="N2335" s="29" t="str">
        <f>IFERROR(__xludf.DUMMYFUNCTION("IF(M2335="""","""",QUERY({'Dashboard-Dados'!$Y$2:$AA$13},""Select Col2 Where Col1=""&amp;M2335))"),"")</f>
        <v/>
      </c>
      <c r="O2335" s="29" t="str">
        <f>IFERROR(__xludf.DUMMYFUNCTION("IF(ISBLANK(B2335),"""",IF(ISDATE(B2335),TEXT(B2335,""yyyy""),""""))"),"")</f>
        <v/>
      </c>
    </row>
    <row r="2336">
      <c r="B2336" s="62"/>
      <c r="C2336" s="56"/>
      <c r="D2336" s="56"/>
      <c r="E2336" s="56"/>
      <c r="F2336" s="63"/>
      <c r="G2336" s="64"/>
      <c r="H2336" s="65"/>
      <c r="I2336" s="63"/>
      <c r="K2336" s="53" t="str">
        <f>IFERROR(__xludf.DUMMYFUNCTION("IF(ISBLANK(B2336),"""",IF(ISDATE(B2336),""X"",""""))"),"")</f>
        <v/>
      </c>
      <c r="L2336" s="40" t="str">
        <f>IFERROR(__xludf.DUMMYFUNCTION("IF(ISBLANK(B2336),"""",IF(Or(I2336=""Em Aberto"",ISBLANK(I2336),NOT(ISDATE(B2336))),"""",H2336))"),"")</f>
        <v/>
      </c>
      <c r="M2336" s="29" t="str">
        <f>IFERROR(__xludf.DUMMYFUNCTION("IF(ISBLANK(B2336),"""",IF(ISDATE(B2336),TEXT(B2336,""m""),""""))"),"")</f>
        <v/>
      </c>
      <c r="N2336" s="29" t="str">
        <f>IFERROR(__xludf.DUMMYFUNCTION("IF(M2336="""","""",QUERY({'Dashboard-Dados'!$Y$2:$AA$13},""Select Col2 Where Col1=""&amp;M2336))"),"")</f>
        <v/>
      </c>
      <c r="O2336" s="29" t="str">
        <f>IFERROR(__xludf.DUMMYFUNCTION("IF(ISBLANK(B2336),"""",IF(ISDATE(B2336),TEXT(B2336,""yyyy""),""""))"),"")</f>
        <v/>
      </c>
    </row>
    <row r="2337">
      <c r="B2337" s="62"/>
      <c r="C2337" s="56"/>
      <c r="D2337" s="56"/>
      <c r="E2337" s="56"/>
      <c r="F2337" s="63"/>
      <c r="G2337" s="64"/>
      <c r="H2337" s="65"/>
      <c r="I2337" s="63"/>
      <c r="K2337" s="53" t="str">
        <f>IFERROR(__xludf.DUMMYFUNCTION("IF(ISBLANK(B2337),"""",IF(ISDATE(B2337),""X"",""""))"),"")</f>
        <v/>
      </c>
      <c r="L2337" s="40" t="str">
        <f>IFERROR(__xludf.DUMMYFUNCTION("IF(ISBLANK(B2337),"""",IF(Or(I2337=""Em Aberto"",ISBLANK(I2337),NOT(ISDATE(B2337))),"""",H2337))"),"")</f>
        <v/>
      </c>
      <c r="M2337" s="29" t="str">
        <f>IFERROR(__xludf.DUMMYFUNCTION("IF(ISBLANK(B2337),"""",IF(ISDATE(B2337),TEXT(B2337,""m""),""""))"),"")</f>
        <v/>
      </c>
      <c r="N2337" s="29" t="str">
        <f>IFERROR(__xludf.DUMMYFUNCTION("IF(M2337="""","""",QUERY({'Dashboard-Dados'!$Y$2:$AA$13},""Select Col2 Where Col1=""&amp;M2337))"),"")</f>
        <v/>
      </c>
      <c r="O2337" s="29" t="str">
        <f>IFERROR(__xludf.DUMMYFUNCTION("IF(ISBLANK(B2337),"""",IF(ISDATE(B2337),TEXT(B2337,""yyyy""),""""))"),"")</f>
        <v/>
      </c>
    </row>
    <row r="2338">
      <c r="B2338" s="62"/>
      <c r="C2338" s="56"/>
      <c r="D2338" s="56"/>
      <c r="E2338" s="56"/>
      <c r="F2338" s="63"/>
      <c r="G2338" s="64"/>
      <c r="H2338" s="65"/>
      <c r="I2338" s="63"/>
      <c r="K2338" s="53" t="str">
        <f>IFERROR(__xludf.DUMMYFUNCTION("IF(ISBLANK(B2338),"""",IF(ISDATE(B2338),""X"",""""))"),"")</f>
        <v/>
      </c>
      <c r="L2338" s="40" t="str">
        <f>IFERROR(__xludf.DUMMYFUNCTION("IF(ISBLANK(B2338),"""",IF(Or(I2338=""Em Aberto"",ISBLANK(I2338),NOT(ISDATE(B2338))),"""",H2338))"),"")</f>
        <v/>
      </c>
      <c r="M2338" s="29" t="str">
        <f>IFERROR(__xludf.DUMMYFUNCTION("IF(ISBLANK(B2338),"""",IF(ISDATE(B2338),TEXT(B2338,""m""),""""))"),"")</f>
        <v/>
      </c>
      <c r="N2338" s="29" t="str">
        <f>IFERROR(__xludf.DUMMYFUNCTION("IF(M2338="""","""",QUERY({'Dashboard-Dados'!$Y$2:$AA$13},""Select Col2 Where Col1=""&amp;M2338))"),"")</f>
        <v/>
      </c>
      <c r="O2338" s="29" t="str">
        <f>IFERROR(__xludf.DUMMYFUNCTION("IF(ISBLANK(B2338),"""",IF(ISDATE(B2338),TEXT(B2338,""yyyy""),""""))"),"")</f>
        <v/>
      </c>
    </row>
    <row r="2339">
      <c r="B2339" s="62"/>
      <c r="C2339" s="56"/>
      <c r="D2339" s="56"/>
      <c r="E2339" s="56"/>
      <c r="F2339" s="63"/>
      <c r="G2339" s="64"/>
      <c r="H2339" s="65"/>
      <c r="I2339" s="63"/>
      <c r="K2339" s="53" t="str">
        <f>IFERROR(__xludf.DUMMYFUNCTION("IF(ISBLANK(B2339),"""",IF(ISDATE(B2339),""X"",""""))"),"")</f>
        <v/>
      </c>
      <c r="L2339" s="40" t="str">
        <f>IFERROR(__xludf.DUMMYFUNCTION("IF(ISBLANK(B2339),"""",IF(Or(I2339=""Em Aberto"",ISBLANK(I2339),NOT(ISDATE(B2339))),"""",H2339))"),"")</f>
        <v/>
      </c>
      <c r="M2339" s="29" t="str">
        <f>IFERROR(__xludf.DUMMYFUNCTION("IF(ISBLANK(B2339),"""",IF(ISDATE(B2339),TEXT(B2339,""m""),""""))"),"")</f>
        <v/>
      </c>
      <c r="N2339" s="29" t="str">
        <f>IFERROR(__xludf.DUMMYFUNCTION("IF(M2339="""","""",QUERY({'Dashboard-Dados'!$Y$2:$AA$13},""Select Col2 Where Col1=""&amp;M2339))"),"")</f>
        <v/>
      </c>
      <c r="O2339" s="29" t="str">
        <f>IFERROR(__xludf.DUMMYFUNCTION("IF(ISBLANK(B2339),"""",IF(ISDATE(B2339),TEXT(B2339,""yyyy""),""""))"),"")</f>
        <v/>
      </c>
    </row>
    <row r="2340">
      <c r="B2340" s="62"/>
      <c r="C2340" s="56"/>
      <c r="D2340" s="56"/>
      <c r="E2340" s="56"/>
      <c r="F2340" s="63"/>
      <c r="G2340" s="64"/>
      <c r="H2340" s="65"/>
      <c r="I2340" s="63"/>
      <c r="K2340" s="53" t="str">
        <f>IFERROR(__xludf.DUMMYFUNCTION("IF(ISBLANK(B2340),"""",IF(ISDATE(B2340),""X"",""""))"),"")</f>
        <v/>
      </c>
      <c r="L2340" s="40" t="str">
        <f>IFERROR(__xludf.DUMMYFUNCTION("IF(ISBLANK(B2340),"""",IF(Or(I2340=""Em Aberto"",ISBLANK(I2340),NOT(ISDATE(B2340))),"""",H2340))"),"")</f>
        <v/>
      </c>
      <c r="M2340" s="29" t="str">
        <f>IFERROR(__xludf.DUMMYFUNCTION("IF(ISBLANK(B2340),"""",IF(ISDATE(B2340),TEXT(B2340,""m""),""""))"),"")</f>
        <v/>
      </c>
      <c r="N2340" s="29" t="str">
        <f>IFERROR(__xludf.DUMMYFUNCTION("IF(M2340="""","""",QUERY({'Dashboard-Dados'!$Y$2:$AA$13},""Select Col2 Where Col1=""&amp;M2340))"),"")</f>
        <v/>
      </c>
      <c r="O2340" s="29" t="str">
        <f>IFERROR(__xludf.DUMMYFUNCTION("IF(ISBLANK(B2340),"""",IF(ISDATE(B2340),TEXT(B2340,""yyyy""),""""))"),"")</f>
        <v/>
      </c>
    </row>
    <row r="2341">
      <c r="B2341" s="62"/>
      <c r="C2341" s="56"/>
      <c r="D2341" s="56"/>
      <c r="E2341" s="56"/>
      <c r="F2341" s="63"/>
      <c r="G2341" s="64"/>
      <c r="H2341" s="65"/>
      <c r="I2341" s="63"/>
      <c r="K2341" s="53" t="str">
        <f>IFERROR(__xludf.DUMMYFUNCTION("IF(ISBLANK(B2341),"""",IF(ISDATE(B2341),""X"",""""))"),"")</f>
        <v/>
      </c>
      <c r="L2341" s="40" t="str">
        <f>IFERROR(__xludf.DUMMYFUNCTION("IF(ISBLANK(B2341),"""",IF(Or(I2341=""Em Aberto"",ISBLANK(I2341),NOT(ISDATE(B2341))),"""",H2341))"),"")</f>
        <v/>
      </c>
      <c r="M2341" s="29" t="str">
        <f>IFERROR(__xludf.DUMMYFUNCTION("IF(ISBLANK(B2341),"""",IF(ISDATE(B2341),TEXT(B2341,""m""),""""))"),"")</f>
        <v/>
      </c>
      <c r="N2341" s="29" t="str">
        <f>IFERROR(__xludf.DUMMYFUNCTION("IF(M2341="""","""",QUERY({'Dashboard-Dados'!$Y$2:$AA$13},""Select Col2 Where Col1=""&amp;M2341))"),"")</f>
        <v/>
      </c>
      <c r="O2341" s="29" t="str">
        <f>IFERROR(__xludf.DUMMYFUNCTION("IF(ISBLANK(B2341),"""",IF(ISDATE(B2341),TEXT(B2341,""yyyy""),""""))"),"")</f>
        <v/>
      </c>
    </row>
    <row r="2342">
      <c r="B2342" s="62"/>
      <c r="C2342" s="56"/>
      <c r="D2342" s="56"/>
      <c r="E2342" s="56"/>
      <c r="F2342" s="63"/>
      <c r="G2342" s="64"/>
      <c r="H2342" s="65"/>
      <c r="I2342" s="63"/>
      <c r="K2342" s="53" t="str">
        <f>IFERROR(__xludf.DUMMYFUNCTION("IF(ISBLANK(B2342),"""",IF(ISDATE(B2342),""X"",""""))"),"")</f>
        <v/>
      </c>
      <c r="L2342" s="40" t="str">
        <f>IFERROR(__xludf.DUMMYFUNCTION("IF(ISBLANK(B2342),"""",IF(Or(I2342=""Em Aberto"",ISBLANK(I2342),NOT(ISDATE(B2342))),"""",H2342))"),"")</f>
        <v/>
      </c>
      <c r="M2342" s="29" t="str">
        <f>IFERROR(__xludf.DUMMYFUNCTION("IF(ISBLANK(B2342),"""",IF(ISDATE(B2342),TEXT(B2342,""m""),""""))"),"")</f>
        <v/>
      </c>
      <c r="N2342" s="29" t="str">
        <f>IFERROR(__xludf.DUMMYFUNCTION("IF(M2342="""","""",QUERY({'Dashboard-Dados'!$Y$2:$AA$13},""Select Col2 Where Col1=""&amp;M2342))"),"")</f>
        <v/>
      </c>
      <c r="O2342" s="29" t="str">
        <f>IFERROR(__xludf.DUMMYFUNCTION("IF(ISBLANK(B2342),"""",IF(ISDATE(B2342),TEXT(B2342,""yyyy""),""""))"),"")</f>
        <v/>
      </c>
    </row>
    <row r="2343">
      <c r="B2343" s="62"/>
      <c r="C2343" s="56"/>
      <c r="D2343" s="56"/>
      <c r="E2343" s="56"/>
      <c r="F2343" s="63"/>
      <c r="G2343" s="64"/>
      <c r="H2343" s="65"/>
      <c r="I2343" s="63"/>
      <c r="K2343" s="53" t="str">
        <f>IFERROR(__xludf.DUMMYFUNCTION("IF(ISBLANK(B2343),"""",IF(ISDATE(B2343),""X"",""""))"),"")</f>
        <v/>
      </c>
      <c r="L2343" s="40" t="str">
        <f>IFERROR(__xludf.DUMMYFUNCTION("IF(ISBLANK(B2343),"""",IF(Or(I2343=""Em Aberto"",ISBLANK(I2343),NOT(ISDATE(B2343))),"""",H2343))"),"")</f>
        <v/>
      </c>
      <c r="M2343" s="29" t="str">
        <f>IFERROR(__xludf.DUMMYFUNCTION("IF(ISBLANK(B2343),"""",IF(ISDATE(B2343),TEXT(B2343,""m""),""""))"),"")</f>
        <v/>
      </c>
      <c r="N2343" s="29" t="str">
        <f>IFERROR(__xludf.DUMMYFUNCTION("IF(M2343="""","""",QUERY({'Dashboard-Dados'!$Y$2:$AA$13},""Select Col2 Where Col1=""&amp;M2343))"),"")</f>
        <v/>
      </c>
      <c r="O2343" s="29" t="str">
        <f>IFERROR(__xludf.DUMMYFUNCTION("IF(ISBLANK(B2343),"""",IF(ISDATE(B2343),TEXT(B2343,""yyyy""),""""))"),"")</f>
        <v/>
      </c>
    </row>
    <row r="2344">
      <c r="B2344" s="62"/>
      <c r="C2344" s="56"/>
      <c r="D2344" s="56"/>
      <c r="E2344" s="56"/>
      <c r="F2344" s="63"/>
      <c r="G2344" s="64"/>
      <c r="H2344" s="65"/>
      <c r="I2344" s="63"/>
      <c r="K2344" s="53" t="str">
        <f>IFERROR(__xludf.DUMMYFUNCTION("IF(ISBLANK(B2344),"""",IF(ISDATE(B2344),""X"",""""))"),"")</f>
        <v/>
      </c>
      <c r="L2344" s="40" t="str">
        <f>IFERROR(__xludf.DUMMYFUNCTION("IF(ISBLANK(B2344),"""",IF(Or(I2344=""Em Aberto"",ISBLANK(I2344),NOT(ISDATE(B2344))),"""",H2344))"),"")</f>
        <v/>
      </c>
      <c r="M2344" s="29" t="str">
        <f>IFERROR(__xludf.DUMMYFUNCTION("IF(ISBLANK(B2344),"""",IF(ISDATE(B2344),TEXT(B2344,""m""),""""))"),"")</f>
        <v/>
      </c>
      <c r="N2344" s="29" t="str">
        <f>IFERROR(__xludf.DUMMYFUNCTION("IF(M2344="""","""",QUERY({'Dashboard-Dados'!$Y$2:$AA$13},""Select Col2 Where Col1=""&amp;M2344))"),"")</f>
        <v/>
      </c>
      <c r="O2344" s="29" t="str">
        <f>IFERROR(__xludf.DUMMYFUNCTION("IF(ISBLANK(B2344),"""",IF(ISDATE(B2344),TEXT(B2344,""yyyy""),""""))"),"")</f>
        <v/>
      </c>
    </row>
    <row r="2345">
      <c r="B2345" s="62"/>
      <c r="C2345" s="56"/>
      <c r="D2345" s="56"/>
      <c r="E2345" s="56"/>
      <c r="F2345" s="63"/>
      <c r="G2345" s="64"/>
      <c r="H2345" s="65"/>
      <c r="I2345" s="63"/>
      <c r="K2345" s="53" t="str">
        <f>IFERROR(__xludf.DUMMYFUNCTION("IF(ISBLANK(B2345),"""",IF(ISDATE(B2345),""X"",""""))"),"")</f>
        <v/>
      </c>
      <c r="L2345" s="40" t="str">
        <f>IFERROR(__xludf.DUMMYFUNCTION("IF(ISBLANK(B2345),"""",IF(Or(I2345=""Em Aberto"",ISBLANK(I2345),NOT(ISDATE(B2345))),"""",H2345))"),"")</f>
        <v/>
      </c>
      <c r="M2345" s="29" t="str">
        <f>IFERROR(__xludf.DUMMYFUNCTION("IF(ISBLANK(B2345),"""",IF(ISDATE(B2345),TEXT(B2345,""m""),""""))"),"")</f>
        <v/>
      </c>
      <c r="N2345" s="29" t="str">
        <f>IFERROR(__xludf.DUMMYFUNCTION("IF(M2345="""","""",QUERY({'Dashboard-Dados'!$Y$2:$AA$13},""Select Col2 Where Col1=""&amp;M2345))"),"")</f>
        <v/>
      </c>
      <c r="O2345" s="29" t="str">
        <f>IFERROR(__xludf.DUMMYFUNCTION("IF(ISBLANK(B2345),"""",IF(ISDATE(B2345),TEXT(B2345,""yyyy""),""""))"),"")</f>
        <v/>
      </c>
    </row>
    <row r="2346">
      <c r="B2346" s="62"/>
      <c r="C2346" s="56"/>
      <c r="D2346" s="56"/>
      <c r="E2346" s="56"/>
      <c r="F2346" s="63"/>
      <c r="G2346" s="64"/>
      <c r="H2346" s="65"/>
      <c r="I2346" s="63"/>
      <c r="K2346" s="53" t="str">
        <f>IFERROR(__xludf.DUMMYFUNCTION("IF(ISBLANK(B2346),"""",IF(ISDATE(B2346),""X"",""""))"),"")</f>
        <v/>
      </c>
      <c r="L2346" s="40" t="str">
        <f>IFERROR(__xludf.DUMMYFUNCTION("IF(ISBLANK(B2346),"""",IF(Or(I2346=""Em Aberto"",ISBLANK(I2346),NOT(ISDATE(B2346))),"""",H2346))"),"")</f>
        <v/>
      </c>
      <c r="M2346" s="29" t="str">
        <f>IFERROR(__xludf.DUMMYFUNCTION("IF(ISBLANK(B2346),"""",IF(ISDATE(B2346),TEXT(B2346,""m""),""""))"),"")</f>
        <v/>
      </c>
      <c r="N2346" s="29" t="str">
        <f>IFERROR(__xludf.DUMMYFUNCTION("IF(M2346="""","""",QUERY({'Dashboard-Dados'!$Y$2:$AA$13},""Select Col2 Where Col1=""&amp;M2346))"),"")</f>
        <v/>
      </c>
      <c r="O2346" s="29" t="str">
        <f>IFERROR(__xludf.DUMMYFUNCTION("IF(ISBLANK(B2346),"""",IF(ISDATE(B2346),TEXT(B2346,""yyyy""),""""))"),"")</f>
        <v/>
      </c>
    </row>
    <row r="2347">
      <c r="B2347" s="62"/>
      <c r="C2347" s="56"/>
      <c r="D2347" s="56"/>
      <c r="E2347" s="56"/>
      <c r="F2347" s="63"/>
      <c r="G2347" s="64"/>
      <c r="H2347" s="65"/>
      <c r="I2347" s="63"/>
      <c r="K2347" s="53" t="str">
        <f>IFERROR(__xludf.DUMMYFUNCTION("IF(ISBLANK(B2347),"""",IF(ISDATE(B2347),""X"",""""))"),"")</f>
        <v/>
      </c>
      <c r="L2347" s="40" t="str">
        <f>IFERROR(__xludf.DUMMYFUNCTION("IF(ISBLANK(B2347),"""",IF(Or(I2347=""Em Aberto"",ISBLANK(I2347),NOT(ISDATE(B2347))),"""",H2347))"),"")</f>
        <v/>
      </c>
      <c r="M2347" s="29" t="str">
        <f>IFERROR(__xludf.DUMMYFUNCTION("IF(ISBLANK(B2347),"""",IF(ISDATE(B2347),TEXT(B2347,""m""),""""))"),"")</f>
        <v/>
      </c>
      <c r="N2347" s="29" t="str">
        <f>IFERROR(__xludf.DUMMYFUNCTION("IF(M2347="""","""",QUERY({'Dashboard-Dados'!$Y$2:$AA$13},""Select Col2 Where Col1=""&amp;M2347))"),"")</f>
        <v/>
      </c>
      <c r="O2347" s="29" t="str">
        <f>IFERROR(__xludf.DUMMYFUNCTION("IF(ISBLANK(B2347),"""",IF(ISDATE(B2347),TEXT(B2347,""yyyy""),""""))"),"")</f>
        <v/>
      </c>
    </row>
    <row r="2348">
      <c r="B2348" s="62"/>
      <c r="C2348" s="56"/>
      <c r="D2348" s="56"/>
      <c r="E2348" s="56"/>
      <c r="F2348" s="63"/>
      <c r="G2348" s="64"/>
      <c r="H2348" s="65"/>
      <c r="I2348" s="63"/>
      <c r="K2348" s="53" t="str">
        <f>IFERROR(__xludf.DUMMYFUNCTION("IF(ISBLANK(B2348),"""",IF(ISDATE(B2348),""X"",""""))"),"")</f>
        <v/>
      </c>
      <c r="L2348" s="40" t="str">
        <f>IFERROR(__xludf.DUMMYFUNCTION("IF(ISBLANK(B2348),"""",IF(Or(I2348=""Em Aberto"",ISBLANK(I2348),NOT(ISDATE(B2348))),"""",H2348))"),"")</f>
        <v/>
      </c>
      <c r="M2348" s="29" t="str">
        <f>IFERROR(__xludf.DUMMYFUNCTION("IF(ISBLANK(B2348),"""",IF(ISDATE(B2348),TEXT(B2348,""m""),""""))"),"")</f>
        <v/>
      </c>
      <c r="N2348" s="29" t="str">
        <f>IFERROR(__xludf.DUMMYFUNCTION("IF(M2348="""","""",QUERY({'Dashboard-Dados'!$Y$2:$AA$13},""Select Col2 Where Col1=""&amp;M2348))"),"")</f>
        <v/>
      </c>
      <c r="O2348" s="29" t="str">
        <f>IFERROR(__xludf.DUMMYFUNCTION("IF(ISBLANK(B2348),"""",IF(ISDATE(B2348),TEXT(B2348,""yyyy""),""""))"),"")</f>
        <v/>
      </c>
    </row>
    <row r="2349">
      <c r="B2349" s="62"/>
      <c r="C2349" s="56"/>
      <c r="D2349" s="56"/>
      <c r="E2349" s="56"/>
      <c r="F2349" s="63"/>
      <c r="G2349" s="64"/>
      <c r="H2349" s="65"/>
      <c r="I2349" s="63"/>
      <c r="K2349" s="53" t="str">
        <f>IFERROR(__xludf.DUMMYFUNCTION("IF(ISBLANK(B2349),"""",IF(ISDATE(B2349),""X"",""""))"),"")</f>
        <v/>
      </c>
      <c r="L2349" s="40" t="str">
        <f>IFERROR(__xludf.DUMMYFUNCTION("IF(ISBLANK(B2349),"""",IF(Or(I2349=""Em Aberto"",ISBLANK(I2349),NOT(ISDATE(B2349))),"""",H2349))"),"")</f>
        <v/>
      </c>
      <c r="M2349" s="29" t="str">
        <f>IFERROR(__xludf.DUMMYFUNCTION("IF(ISBLANK(B2349),"""",IF(ISDATE(B2349),TEXT(B2349,""m""),""""))"),"")</f>
        <v/>
      </c>
      <c r="N2349" s="29" t="str">
        <f>IFERROR(__xludf.DUMMYFUNCTION("IF(M2349="""","""",QUERY({'Dashboard-Dados'!$Y$2:$AA$13},""Select Col2 Where Col1=""&amp;M2349))"),"")</f>
        <v/>
      </c>
      <c r="O2349" s="29" t="str">
        <f>IFERROR(__xludf.DUMMYFUNCTION("IF(ISBLANK(B2349),"""",IF(ISDATE(B2349),TEXT(B2349,""yyyy""),""""))"),"")</f>
        <v/>
      </c>
    </row>
    <row r="2350">
      <c r="B2350" s="62"/>
      <c r="C2350" s="56"/>
      <c r="D2350" s="56"/>
      <c r="E2350" s="56"/>
      <c r="F2350" s="63"/>
      <c r="G2350" s="64"/>
      <c r="H2350" s="65"/>
      <c r="I2350" s="63"/>
      <c r="K2350" s="53" t="str">
        <f>IFERROR(__xludf.DUMMYFUNCTION("IF(ISBLANK(B2350),"""",IF(ISDATE(B2350),""X"",""""))"),"")</f>
        <v/>
      </c>
      <c r="L2350" s="40" t="str">
        <f>IFERROR(__xludf.DUMMYFUNCTION("IF(ISBLANK(B2350),"""",IF(Or(I2350=""Em Aberto"",ISBLANK(I2350),NOT(ISDATE(B2350))),"""",H2350))"),"")</f>
        <v/>
      </c>
      <c r="M2350" s="29" t="str">
        <f>IFERROR(__xludf.DUMMYFUNCTION("IF(ISBLANK(B2350),"""",IF(ISDATE(B2350),TEXT(B2350,""m""),""""))"),"")</f>
        <v/>
      </c>
      <c r="N2350" s="29" t="str">
        <f>IFERROR(__xludf.DUMMYFUNCTION("IF(M2350="""","""",QUERY({'Dashboard-Dados'!$Y$2:$AA$13},""Select Col2 Where Col1=""&amp;M2350))"),"")</f>
        <v/>
      </c>
      <c r="O2350" s="29" t="str">
        <f>IFERROR(__xludf.DUMMYFUNCTION("IF(ISBLANK(B2350),"""",IF(ISDATE(B2350),TEXT(B2350,""yyyy""),""""))"),"")</f>
        <v/>
      </c>
    </row>
    <row r="2351">
      <c r="B2351" s="62"/>
      <c r="C2351" s="56"/>
      <c r="D2351" s="56"/>
      <c r="E2351" s="56"/>
      <c r="F2351" s="63"/>
      <c r="G2351" s="64"/>
      <c r="H2351" s="65"/>
      <c r="I2351" s="63"/>
      <c r="K2351" s="53" t="str">
        <f>IFERROR(__xludf.DUMMYFUNCTION("IF(ISBLANK(B2351),"""",IF(ISDATE(B2351),""X"",""""))"),"")</f>
        <v/>
      </c>
      <c r="L2351" s="40" t="str">
        <f>IFERROR(__xludf.DUMMYFUNCTION("IF(ISBLANK(B2351),"""",IF(Or(I2351=""Em Aberto"",ISBLANK(I2351),NOT(ISDATE(B2351))),"""",H2351))"),"")</f>
        <v/>
      </c>
      <c r="M2351" s="29" t="str">
        <f>IFERROR(__xludf.DUMMYFUNCTION("IF(ISBLANK(B2351),"""",IF(ISDATE(B2351),TEXT(B2351,""m""),""""))"),"")</f>
        <v/>
      </c>
      <c r="N2351" s="29" t="str">
        <f>IFERROR(__xludf.DUMMYFUNCTION("IF(M2351="""","""",QUERY({'Dashboard-Dados'!$Y$2:$AA$13},""Select Col2 Where Col1=""&amp;M2351))"),"")</f>
        <v/>
      </c>
      <c r="O2351" s="29" t="str">
        <f>IFERROR(__xludf.DUMMYFUNCTION("IF(ISBLANK(B2351),"""",IF(ISDATE(B2351),TEXT(B2351,""yyyy""),""""))"),"")</f>
        <v/>
      </c>
    </row>
    <row r="2352">
      <c r="B2352" s="62"/>
      <c r="C2352" s="56"/>
      <c r="D2352" s="56"/>
      <c r="E2352" s="56"/>
      <c r="F2352" s="63"/>
      <c r="G2352" s="64"/>
      <c r="H2352" s="65"/>
      <c r="I2352" s="63"/>
      <c r="K2352" s="53" t="str">
        <f>IFERROR(__xludf.DUMMYFUNCTION("IF(ISBLANK(B2352),"""",IF(ISDATE(B2352),""X"",""""))"),"")</f>
        <v/>
      </c>
      <c r="L2352" s="40" t="str">
        <f>IFERROR(__xludf.DUMMYFUNCTION("IF(ISBLANK(B2352),"""",IF(Or(I2352=""Em Aberto"",ISBLANK(I2352),NOT(ISDATE(B2352))),"""",H2352))"),"")</f>
        <v/>
      </c>
      <c r="M2352" s="29" t="str">
        <f>IFERROR(__xludf.DUMMYFUNCTION("IF(ISBLANK(B2352),"""",IF(ISDATE(B2352),TEXT(B2352,""m""),""""))"),"")</f>
        <v/>
      </c>
      <c r="N2352" s="29" t="str">
        <f>IFERROR(__xludf.DUMMYFUNCTION("IF(M2352="""","""",QUERY({'Dashboard-Dados'!$Y$2:$AA$13},""Select Col2 Where Col1=""&amp;M2352))"),"")</f>
        <v/>
      </c>
      <c r="O2352" s="29" t="str">
        <f>IFERROR(__xludf.DUMMYFUNCTION("IF(ISBLANK(B2352),"""",IF(ISDATE(B2352),TEXT(B2352,""yyyy""),""""))"),"")</f>
        <v/>
      </c>
    </row>
    <row r="2353">
      <c r="B2353" s="62"/>
      <c r="C2353" s="56"/>
      <c r="D2353" s="56"/>
      <c r="E2353" s="56"/>
      <c r="F2353" s="63"/>
      <c r="G2353" s="64"/>
      <c r="H2353" s="65"/>
      <c r="I2353" s="63"/>
      <c r="K2353" s="53" t="str">
        <f>IFERROR(__xludf.DUMMYFUNCTION("IF(ISBLANK(B2353),"""",IF(ISDATE(B2353),""X"",""""))"),"")</f>
        <v/>
      </c>
      <c r="L2353" s="40" t="str">
        <f>IFERROR(__xludf.DUMMYFUNCTION("IF(ISBLANK(B2353),"""",IF(Or(I2353=""Em Aberto"",ISBLANK(I2353),NOT(ISDATE(B2353))),"""",H2353))"),"")</f>
        <v/>
      </c>
      <c r="M2353" s="29" t="str">
        <f>IFERROR(__xludf.DUMMYFUNCTION("IF(ISBLANK(B2353),"""",IF(ISDATE(B2353),TEXT(B2353,""m""),""""))"),"")</f>
        <v/>
      </c>
      <c r="N2353" s="29" t="str">
        <f>IFERROR(__xludf.DUMMYFUNCTION("IF(M2353="""","""",QUERY({'Dashboard-Dados'!$Y$2:$AA$13},""Select Col2 Where Col1=""&amp;M2353))"),"")</f>
        <v/>
      </c>
      <c r="O2353" s="29" t="str">
        <f>IFERROR(__xludf.DUMMYFUNCTION("IF(ISBLANK(B2353),"""",IF(ISDATE(B2353),TEXT(B2353,""yyyy""),""""))"),"")</f>
        <v/>
      </c>
    </row>
    <row r="2354">
      <c r="B2354" s="62"/>
      <c r="C2354" s="56"/>
      <c r="D2354" s="56"/>
      <c r="E2354" s="56"/>
      <c r="F2354" s="63"/>
      <c r="G2354" s="64"/>
      <c r="H2354" s="65"/>
      <c r="I2354" s="63"/>
      <c r="K2354" s="53" t="str">
        <f>IFERROR(__xludf.DUMMYFUNCTION("IF(ISBLANK(B2354),"""",IF(ISDATE(B2354),""X"",""""))"),"")</f>
        <v/>
      </c>
      <c r="L2354" s="40" t="str">
        <f>IFERROR(__xludf.DUMMYFUNCTION("IF(ISBLANK(B2354),"""",IF(Or(I2354=""Em Aberto"",ISBLANK(I2354),NOT(ISDATE(B2354))),"""",H2354))"),"")</f>
        <v/>
      </c>
      <c r="M2354" s="29" t="str">
        <f>IFERROR(__xludf.DUMMYFUNCTION("IF(ISBLANK(B2354),"""",IF(ISDATE(B2354),TEXT(B2354,""m""),""""))"),"")</f>
        <v/>
      </c>
      <c r="N2354" s="29" t="str">
        <f>IFERROR(__xludf.DUMMYFUNCTION("IF(M2354="""","""",QUERY({'Dashboard-Dados'!$Y$2:$AA$13},""Select Col2 Where Col1=""&amp;M2354))"),"")</f>
        <v/>
      </c>
      <c r="O2354" s="29" t="str">
        <f>IFERROR(__xludf.DUMMYFUNCTION("IF(ISBLANK(B2354),"""",IF(ISDATE(B2354),TEXT(B2354,""yyyy""),""""))"),"")</f>
        <v/>
      </c>
    </row>
    <row r="2355">
      <c r="B2355" s="62"/>
      <c r="C2355" s="56"/>
      <c r="D2355" s="56"/>
      <c r="E2355" s="56"/>
      <c r="F2355" s="63"/>
      <c r="G2355" s="64"/>
      <c r="H2355" s="65"/>
      <c r="I2355" s="63"/>
      <c r="K2355" s="53" t="str">
        <f>IFERROR(__xludf.DUMMYFUNCTION("IF(ISBLANK(B2355),"""",IF(ISDATE(B2355),""X"",""""))"),"")</f>
        <v/>
      </c>
      <c r="L2355" s="40" t="str">
        <f>IFERROR(__xludf.DUMMYFUNCTION("IF(ISBLANK(B2355),"""",IF(Or(I2355=""Em Aberto"",ISBLANK(I2355),NOT(ISDATE(B2355))),"""",H2355))"),"")</f>
        <v/>
      </c>
      <c r="M2355" s="29" t="str">
        <f>IFERROR(__xludf.DUMMYFUNCTION("IF(ISBLANK(B2355),"""",IF(ISDATE(B2355),TEXT(B2355,""m""),""""))"),"")</f>
        <v/>
      </c>
      <c r="N2355" s="29" t="str">
        <f>IFERROR(__xludf.DUMMYFUNCTION("IF(M2355="""","""",QUERY({'Dashboard-Dados'!$Y$2:$AA$13},""Select Col2 Where Col1=""&amp;M2355))"),"")</f>
        <v/>
      </c>
      <c r="O2355" s="29" t="str">
        <f>IFERROR(__xludf.DUMMYFUNCTION("IF(ISBLANK(B2355),"""",IF(ISDATE(B2355),TEXT(B2355,""yyyy""),""""))"),"")</f>
        <v/>
      </c>
    </row>
    <row r="2356">
      <c r="B2356" s="62"/>
      <c r="C2356" s="56"/>
      <c r="D2356" s="56"/>
      <c r="E2356" s="56"/>
      <c r="F2356" s="63"/>
      <c r="G2356" s="64"/>
      <c r="H2356" s="65"/>
      <c r="I2356" s="63"/>
      <c r="K2356" s="53" t="str">
        <f>IFERROR(__xludf.DUMMYFUNCTION("IF(ISBLANK(B2356),"""",IF(ISDATE(B2356),""X"",""""))"),"")</f>
        <v/>
      </c>
      <c r="L2356" s="40" t="str">
        <f>IFERROR(__xludf.DUMMYFUNCTION("IF(ISBLANK(B2356),"""",IF(Or(I2356=""Em Aberto"",ISBLANK(I2356),NOT(ISDATE(B2356))),"""",H2356))"),"")</f>
        <v/>
      </c>
      <c r="M2356" s="29" t="str">
        <f>IFERROR(__xludf.DUMMYFUNCTION("IF(ISBLANK(B2356),"""",IF(ISDATE(B2356),TEXT(B2356,""m""),""""))"),"")</f>
        <v/>
      </c>
      <c r="N2356" s="29" t="str">
        <f>IFERROR(__xludf.DUMMYFUNCTION("IF(M2356="""","""",QUERY({'Dashboard-Dados'!$Y$2:$AA$13},""Select Col2 Where Col1=""&amp;M2356))"),"")</f>
        <v/>
      </c>
      <c r="O2356" s="29" t="str">
        <f>IFERROR(__xludf.DUMMYFUNCTION("IF(ISBLANK(B2356),"""",IF(ISDATE(B2356),TEXT(B2356,""yyyy""),""""))"),"")</f>
        <v/>
      </c>
    </row>
    <row r="2357">
      <c r="B2357" s="62"/>
      <c r="C2357" s="56"/>
      <c r="D2357" s="56"/>
      <c r="E2357" s="56"/>
      <c r="F2357" s="63"/>
      <c r="G2357" s="64"/>
      <c r="H2357" s="65"/>
      <c r="I2357" s="63"/>
      <c r="K2357" s="53" t="str">
        <f>IFERROR(__xludf.DUMMYFUNCTION("IF(ISBLANK(B2357),"""",IF(ISDATE(B2357),""X"",""""))"),"")</f>
        <v/>
      </c>
      <c r="L2357" s="40" t="str">
        <f>IFERROR(__xludf.DUMMYFUNCTION("IF(ISBLANK(B2357),"""",IF(Or(I2357=""Em Aberto"",ISBLANK(I2357),NOT(ISDATE(B2357))),"""",H2357))"),"")</f>
        <v/>
      </c>
      <c r="M2357" s="29" t="str">
        <f>IFERROR(__xludf.DUMMYFUNCTION("IF(ISBLANK(B2357),"""",IF(ISDATE(B2357),TEXT(B2357,""m""),""""))"),"")</f>
        <v/>
      </c>
      <c r="N2357" s="29" t="str">
        <f>IFERROR(__xludf.DUMMYFUNCTION("IF(M2357="""","""",QUERY({'Dashboard-Dados'!$Y$2:$AA$13},""Select Col2 Where Col1=""&amp;M2357))"),"")</f>
        <v/>
      </c>
      <c r="O2357" s="29" t="str">
        <f>IFERROR(__xludf.DUMMYFUNCTION("IF(ISBLANK(B2357),"""",IF(ISDATE(B2357),TEXT(B2357,""yyyy""),""""))"),"")</f>
        <v/>
      </c>
    </row>
    <row r="2358">
      <c r="B2358" s="62"/>
      <c r="C2358" s="56"/>
      <c r="D2358" s="56"/>
      <c r="E2358" s="56"/>
      <c r="F2358" s="63"/>
      <c r="G2358" s="64"/>
      <c r="H2358" s="65"/>
      <c r="I2358" s="63"/>
      <c r="K2358" s="53" t="str">
        <f>IFERROR(__xludf.DUMMYFUNCTION("IF(ISBLANK(B2358),"""",IF(ISDATE(B2358),""X"",""""))"),"")</f>
        <v/>
      </c>
      <c r="L2358" s="40" t="str">
        <f>IFERROR(__xludf.DUMMYFUNCTION("IF(ISBLANK(B2358),"""",IF(Or(I2358=""Em Aberto"",ISBLANK(I2358),NOT(ISDATE(B2358))),"""",H2358))"),"")</f>
        <v/>
      </c>
      <c r="M2358" s="29" t="str">
        <f>IFERROR(__xludf.DUMMYFUNCTION("IF(ISBLANK(B2358),"""",IF(ISDATE(B2358),TEXT(B2358,""m""),""""))"),"")</f>
        <v/>
      </c>
      <c r="N2358" s="29" t="str">
        <f>IFERROR(__xludf.DUMMYFUNCTION("IF(M2358="""","""",QUERY({'Dashboard-Dados'!$Y$2:$AA$13},""Select Col2 Where Col1=""&amp;M2358))"),"")</f>
        <v/>
      </c>
      <c r="O2358" s="29" t="str">
        <f>IFERROR(__xludf.DUMMYFUNCTION("IF(ISBLANK(B2358),"""",IF(ISDATE(B2358),TEXT(B2358,""yyyy""),""""))"),"")</f>
        <v/>
      </c>
    </row>
    <row r="2359">
      <c r="B2359" s="62"/>
      <c r="C2359" s="56"/>
      <c r="D2359" s="56"/>
      <c r="E2359" s="56"/>
      <c r="F2359" s="63"/>
      <c r="G2359" s="64"/>
      <c r="H2359" s="65"/>
      <c r="I2359" s="63"/>
      <c r="K2359" s="53" t="str">
        <f>IFERROR(__xludf.DUMMYFUNCTION("IF(ISBLANK(B2359),"""",IF(ISDATE(B2359),""X"",""""))"),"")</f>
        <v/>
      </c>
      <c r="L2359" s="40" t="str">
        <f>IFERROR(__xludf.DUMMYFUNCTION("IF(ISBLANK(B2359),"""",IF(Or(I2359=""Em Aberto"",ISBLANK(I2359),NOT(ISDATE(B2359))),"""",H2359))"),"")</f>
        <v/>
      </c>
      <c r="M2359" s="29" t="str">
        <f>IFERROR(__xludf.DUMMYFUNCTION("IF(ISBLANK(B2359),"""",IF(ISDATE(B2359),TEXT(B2359,""m""),""""))"),"")</f>
        <v/>
      </c>
      <c r="N2359" s="29" t="str">
        <f>IFERROR(__xludf.DUMMYFUNCTION("IF(M2359="""","""",QUERY({'Dashboard-Dados'!$Y$2:$AA$13},""Select Col2 Where Col1=""&amp;M2359))"),"")</f>
        <v/>
      </c>
      <c r="O2359" s="29" t="str">
        <f>IFERROR(__xludf.DUMMYFUNCTION("IF(ISBLANK(B2359),"""",IF(ISDATE(B2359),TEXT(B2359,""yyyy""),""""))"),"")</f>
        <v/>
      </c>
    </row>
    <row r="2360">
      <c r="B2360" s="62"/>
      <c r="C2360" s="56"/>
      <c r="D2360" s="56"/>
      <c r="E2360" s="56"/>
      <c r="F2360" s="63"/>
      <c r="G2360" s="64"/>
      <c r="H2360" s="65"/>
      <c r="I2360" s="63"/>
      <c r="K2360" s="53" t="str">
        <f>IFERROR(__xludf.DUMMYFUNCTION("IF(ISBLANK(B2360),"""",IF(ISDATE(B2360),""X"",""""))"),"")</f>
        <v/>
      </c>
      <c r="L2360" s="40" t="str">
        <f>IFERROR(__xludf.DUMMYFUNCTION("IF(ISBLANK(B2360),"""",IF(Or(I2360=""Em Aberto"",ISBLANK(I2360),NOT(ISDATE(B2360))),"""",H2360))"),"")</f>
        <v/>
      </c>
      <c r="M2360" s="29" t="str">
        <f>IFERROR(__xludf.DUMMYFUNCTION("IF(ISBLANK(B2360),"""",IF(ISDATE(B2360),TEXT(B2360,""m""),""""))"),"")</f>
        <v/>
      </c>
      <c r="N2360" s="29" t="str">
        <f>IFERROR(__xludf.DUMMYFUNCTION("IF(M2360="""","""",QUERY({'Dashboard-Dados'!$Y$2:$AA$13},""Select Col2 Where Col1=""&amp;M2360))"),"")</f>
        <v/>
      </c>
      <c r="O2360" s="29" t="str">
        <f>IFERROR(__xludf.DUMMYFUNCTION("IF(ISBLANK(B2360),"""",IF(ISDATE(B2360),TEXT(B2360,""yyyy""),""""))"),"")</f>
        <v/>
      </c>
    </row>
    <row r="2361">
      <c r="B2361" s="62"/>
      <c r="C2361" s="56"/>
      <c r="D2361" s="56"/>
      <c r="E2361" s="56"/>
      <c r="F2361" s="63"/>
      <c r="G2361" s="64"/>
      <c r="H2361" s="65"/>
      <c r="I2361" s="63"/>
      <c r="K2361" s="53" t="str">
        <f>IFERROR(__xludf.DUMMYFUNCTION("IF(ISBLANK(B2361),"""",IF(ISDATE(B2361),""X"",""""))"),"")</f>
        <v/>
      </c>
      <c r="L2361" s="40" t="str">
        <f>IFERROR(__xludf.DUMMYFUNCTION("IF(ISBLANK(B2361),"""",IF(Or(I2361=""Em Aberto"",ISBLANK(I2361),NOT(ISDATE(B2361))),"""",H2361))"),"")</f>
        <v/>
      </c>
      <c r="M2361" s="29" t="str">
        <f>IFERROR(__xludf.DUMMYFUNCTION("IF(ISBLANK(B2361),"""",IF(ISDATE(B2361),TEXT(B2361,""m""),""""))"),"")</f>
        <v/>
      </c>
      <c r="N2361" s="29" t="str">
        <f>IFERROR(__xludf.DUMMYFUNCTION("IF(M2361="""","""",QUERY({'Dashboard-Dados'!$Y$2:$AA$13},""Select Col2 Where Col1=""&amp;M2361))"),"")</f>
        <v/>
      </c>
      <c r="O2361" s="29" t="str">
        <f>IFERROR(__xludf.DUMMYFUNCTION("IF(ISBLANK(B2361),"""",IF(ISDATE(B2361),TEXT(B2361,""yyyy""),""""))"),"")</f>
        <v/>
      </c>
    </row>
    <row r="2362">
      <c r="B2362" s="62"/>
      <c r="C2362" s="56"/>
      <c r="D2362" s="56"/>
      <c r="E2362" s="56"/>
      <c r="F2362" s="63"/>
      <c r="G2362" s="64"/>
      <c r="H2362" s="65"/>
      <c r="I2362" s="63"/>
      <c r="K2362" s="53" t="str">
        <f>IFERROR(__xludf.DUMMYFUNCTION("IF(ISBLANK(B2362),"""",IF(ISDATE(B2362),""X"",""""))"),"")</f>
        <v/>
      </c>
      <c r="L2362" s="40" t="str">
        <f>IFERROR(__xludf.DUMMYFUNCTION("IF(ISBLANK(B2362),"""",IF(Or(I2362=""Em Aberto"",ISBLANK(I2362),NOT(ISDATE(B2362))),"""",H2362))"),"")</f>
        <v/>
      </c>
      <c r="M2362" s="29" t="str">
        <f>IFERROR(__xludf.DUMMYFUNCTION("IF(ISBLANK(B2362),"""",IF(ISDATE(B2362),TEXT(B2362,""m""),""""))"),"")</f>
        <v/>
      </c>
      <c r="N2362" s="29" t="str">
        <f>IFERROR(__xludf.DUMMYFUNCTION("IF(M2362="""","""",QUERY({'Dashboard-Dados'!$Y$2:$AA$13},""Select Col2 Where Col1=""&amp;M2362))"),"")</f>
        <v/>
      </c>
      <c r="O2362" s="29" t="str">
        <f>IFERROR(__xludf.DUMMYFUNCTION("IF(ISBLANK(B2362),"""",IF(ISDATE(B2362),TEXT(B2362,""yyyy""),""""))"),"")</f>
        <v/>
      </c>
    </row>
    <row r="2363">
      <c r="B2363" s="62"/>
      <c r="C2363" s="56"/>
      <c r="D2363" s="56"/>
      <c r="E2363" s="56"/>
      <c r="F2363" s="63"/>
      <c r="G2363" s="64"/>
      <c r="H2363" s="65"/>
      <c r="I2363" s="63"/>
      <c r="K2363" s="53" t="str">
        <f>IFERROR(__xludf.DUMMYFUNCTION("IF(ISBLANK(B2363),"""",IF(ISDATE(B2363),""X"",""""))"),"")</f>
        <v/>
      </c>
      <c r="L2363" s="40" t="str">
        <f>IFERROR(__xludf.DUMMYFUNCTION("IF(ISBLANK(B2363),"""",IF(Or(I2363=""Em Aberto"",ISBLANK(I2363),NOT(ISDATE(B2363))),"""",H2363))"),"")</f>
        <v/>
      </c>
      <c r="M2363" s="29" t="str">
        <f>IFERROR(__xludf.DUMMYFUNCTION("IF(ISBLANK(B2363),"""",IF(ISDATE(B2363),TEXT(B2363,""m""),""""))"),"")</f>
        <v/>
      </c>
      <c r="N2363" s="29" t="str">
        <f>IFERROR(__xludf.DUMMYFUNCTION("IF(M2363="""","""",QUERY({'Dashboard-Dados'!$Y$2:$AA$13},""Select Col2 Where Col1=""&amp;M2363))"),"")</f>
        <v/>
      </c>
      <c r="O2363" s="29" t="str">
        <f>IFERROR(__xludf.DUMMYFUNCTION("IF(ISBLANK(B2363),"""",IF(ISDATE(B2363),TEXT(B2363,""yyyy""),""""))"),"")</f>
        <v/>
      </c>
    </row>
    <row r="2364">
      <c r="B2364" s="62"/>
      <c r="C2364" s="56"/>
      <c r="D2364" s="56"/>
      <c r="E2364" s="56"/>
      <c r="F2364" s="63"/>
      <c r="G2364" s="64"/>
      <c r="H2364" s="65"/>
      <c r="I2364" s="63"/>
      <c r="K2364" s="53" t="str">
        <f>IFERROR(__xludf.DUMMYFUNCTION("IF(ISBLANK(B2364),"""",IF(ISDATE(B2364),""X"",""""))"),"")</f>
        <v/>
      </c>
      <c r="L2364" s="40" t="str">
        <f>IFERROR(__xludf.DUMMYFUNCTION("IF(ISBLANK(B2364),"""",IF(Or(I2364=""Em Aberto"",ISBLANK(I2364),NOT(ISDATE(B2364))),"""",H2364))"),"")</f>
        <v/>
      </c>
      <c r="M2364" s="29" t="str">
        <f>IFERROR(__xludf.DUMMYFUNCTION("IF(ISBLANK(B2364),"""",IF(ISDATE(B2364),TEXT(B2364,""m""),""""))"),"")</f>
        <v/>
      </c>
      <c r="N2364" s="29" t="str">
        <f>IFERROR(__xludf.DUMMYFUNCTION("IF(M2364="""","""",QUERY({'Dashboard-Dados'!$Y$2:$AA$13},""Select Col2 Where Col1=""&amp;M2364))"),"")</f>
        <v/>
      </c>
      <c r="O2364" s="29" t="str">
        <f>IFERROR(__xludf.DUMMYFUNCTION("IF(ISBLANK(B2364),"""",IF(ISDATE(B2364),TEXT(B2364,""yyyy""),""""))"),"")</f>
        <v/>
      </c>
    </row>
    <row r="2365">
      <c r="B2365" s="62"/>
      <c r="C2365" s="56"/>
      <c r="D2365" s="56"/>
      <c r="E2365" s="56"/>
      <c r="F2365" s="63"/>
      <c r="G2365" s="64"/>
      <c r="H2365" s="65"/>
      <c r="I2365" s="63"/>
      <c r="K2365" s="53" t="str">
        <f>IFERROR(__xludf.DUMMYFUNCTION("IF(ISBLANK(B2365),"""",IF(ISDATE(B2365),""X"",""""))"),"")</f>
        <v/>
      </c>
      <c r="L2365" s="40" t="str">
        <f>IFERROR(__xludf.DUMMYFUNCTION("IF(ISBLANK(B2365),"""",IF(Or(I2365=""Em Aberto"",ISBLANK(I2365),NOT(ISDATE(B2365))),"""",H2365))"),"")</f>
        <v/>
      </c>
      <c r="M2365" s="29" t="str">
        <f>IFERROR(__xludf.DUMMYFUNCTION("IF(ISBLANK(B2365),"""",IF(ISDATE(B2365),TEXT(B2365,""m""),""""))"),"")</f>
        <v/>
      </c>
      <c r="N2365" s="29" t="str">
        <f>IFERROR(__xludf.DUMMYFUNCTION("IF(M2365="""","""",QUERY({'Dashboard-Dados'!$Y$2:$AA$13},""Select Col2 Where Col1=""&amp;M2365))"),"")</f>
        <v/>
      </c>
      <c r="O2365" s="29" t="str">
        <f>IFERROR(__xludf.DUMMYFUNCTION("IF(ISBLANK(B2365),"""",IF(ISDATE(B2365),TEXT(B2365,""yyyy""),""""))"),"")</f>
        <v/>
      </c>
    </row>
    <row r="2366">
      <c r="B2366" s="62"/>
      <c r="C2366" s="56"/>
      <c r="D2366" s="56"/>
      <c r="E2366" s="56"/>
      <c r="F2366" s="63"/>
      <c r="G2366" s="64"/>
      <c r="H2366" s="65"/>
      <c r="I2366" s="63"/>
      <c r="K2366" s="53" t="str">
        <f>IFERROR(__xludf.DUMMYFUNCTION("IF(ISBLANK(B2366),"""",IF(ISDATE(B2366),""X"",""""))"),"")</f>
        <v/>
      </c>
      <c r="L2366" s="40" t="str">
        <f>IFERROR(__xludf.DUMMYFUNCTION("IF(ISBLANK(B2366),"""",IF(Or(I2366=""Em Aberto"",ISBLANK(I2366),NOT(ISDATE(B2366))),"""",H2366))"),"")</f>
        <v/>
      </c>
      <c r="M2366" s="29" t="str">
        <f>IFERROR(__xludf.DUMMYFUNCTION("IF(ISBLANK(B2366),"""",IF(ISDATE(B2366),TEXT(B2366,""m""),""""))"),"")</f>
        <v/>
      </c>
      <c r="N2366" s="29" t="str">
        <f>IFERROR(__xludf.DUMMYFUNCTION("IF(M2366="""","""",QUERY({'Dashboard-Dados'!$Y$2:$AA$13},""Select Col2 Where Col1=""&amp;M2366))"),"")</f>
        <v/>
      </c>
      <c r="O2366" s="29" t="str">
        <f>IFERROR(__xludf.DUMMYFUNCTION("IF(ISBLANK(B2366),"""",IF(ISDATE(B2366),TEXT(B2366,""yyyy""),""""))"),"")</f>
        <v/>
      </c>
    </row>
    <row r="2367">
      <c r="B2367" s="62"/>
      <c r="C2367" s="56"/>
      <c r="D2367" s="56"/>
      <c r="E2367" s="56"/>
      <c r="F2367" s="63"/>
      <c r="G2367" s="64"/>
      <c r="H2367" s="65"/>
      <c r="I2367" s="63"/>
      <c r="K2367" s="53" t="str">
        <f>IFERROR(__xludf.DUMMYFUNCTION("IF(ISBLANK(B2367),"""",IF(ISDATE(B2367),""X"",""""))"),"")</f>
        <v/>
      </c>
      <c r="L2367" s="40" t="str">
        <f>IFERROR(__xludf.DUMMYFUNCTION("IF(ISBLANK(B2367),"""",IF(Or(I2367=""Em Aberto"",ISBLANK(I2367),NOT(ISDATE(B2367))),"""",H2367))"),"")</f>
        <v/>
      </c>
      <c r="M2367" s="29" t="str">
        <f>IFERROR(__xludf.DUMMYFUNCTION("IF(ISBLANK(B2367),"""",IF(ISDATE(B2367),TEXT(B2367,""m""),""""))"),"")</f>
        <v/>
      </c>
      <c r="N2367" s="29" t="str">
        <f>IFERROR(__xludf.DUMMYFUNCTION("IF(M2367="""","""",QUERY({'Dashboard-Dados'!$Y$2:$AA$13},""Select Col2 Where Col1=""&amp;M2367))"),"")</f>
        <v/>
      </c>
      <c r="O2367" s="29" t="str">
        <f>IFERROR(__xludf.DUMMYFUNCTION("IF(ISBLANK(B2367),"""",IF(ISDATE(B2367),TEXT(B2367,""yyyy""),""""))"),"")</f>
        <v/>
      </c>
    </row>
    <row r="2368">
      <c r="B2368" s="62"/>
      <c r="C2368" s="56"/>
      <c r="D2368" s="56"/>
      <c r="E2368" s="56"/>
      <c r="F2368" s="63"/>
      <c r="G2368" s="64"/>
      <c r="H2368" s="65"/>
      <c r="I2368" s="63"/>
      <c r="K2368" s="53" t="str">
        <f>IFERROR(__xludf.DUMMYFUNCTION("IF(ISBLANK(B2368),"""",IF(ISDATE(B2368),""X"",""""))"),"")</f>
        <v/>
      </c>
      <c r="L2368" s="40" t="str">
        <f>IFERROR(__xludf.DUMMYFUNCTION("IF(ISBLANK(B2368),"""",IF(Or(I2368=""Em Aberto"",ISBLANK(I2368),NOT(ISDATE(B2368))),"""",H2368))"),"")</f>
        <v/>
      </c>
      <c r="M2368" s="29" t="str">
        <f>IFERROR(__xludf.DUMMYFUNCTION("IF(ISBLANK(B2368),"""",IF(ISDATE(B2368),TEXT(B2368,""m""),""""))"),"")</f>
        <v/>
      </c>
      <c r="N2368" s="29" t="str">
        <f>IFERROR(__xludf.DUMMYFUNCTION("IF(M2368="""","""",QUERY({'Dashboard-Dados'!$Y$2:$AA$13},""Select Col2 Where Col1=""&amp;M2368))"),"")</f>
        <v/>
      </c>
      <c r="O2368" s="29" t="str">
        <f>IFERROR(__xludf.DUMMYFUNCTION("IF(ISBLANK(B2368),"""",IF(ISDATE(B2368),TEXT(B2368,""yyyy""),""""))"),"")</f>
        <v/>
      </c>
    </row>
    <row r="2369">
      <c r="B2369" s="62"/>
      <c r="C2369" s="56"/>
      <c r="D2369" s="56"/>
      <c r="E2369" s="56"/>
      <c r="F2369" s="63"/>
      <c r="G2369" s="64"/>
      <c r="H2369" s="65"/>
      <c r="I2369" s="63"/>
      <c r="K2369" s="53" t="str">
        <f>IFERROR(__xludf.DUMMYFUNCTION("IF(ISBLANK(B2369),"""",IF(ISDATE(B2369),""X"",""""))"),"")</f>
        <v/>
      </c>
      <c r="L2369" s="40" t="str">
        <f>IFERROR(__xludf.DUMMYFUNCTION("IF(ISBLANK(B2369),"""",IF(Or(I2369=""Em Aberto"",ISBLANK(I2369),NOT(ISDATE(B2369))),"""",H2369))"),"")</f>
        <v/>
      </c>
      <c r="M2369" s="29" t="str">
        <f>IFERROR(__xludf.DUMMYFUNCTION("IF(ISBLANK(B2369),"""",IF(ISDATE(B2369),TEXT(B2369,""m""),""""))"),"")</f>
        <v/>
      </c>
      <c r="N2369" s="29" t="str">
        <f>IFERROR(__xludf.DUMMYFUNCTION("IF(M2369="""","""",QUERY({'Dashboard-Dados'!$Y$2:$AA$13},""Select Col2 Where Col1=""&amp;M2369))"),"")</f>
        <v/>
      </c>
      <c r="O2369" s="29" t="str">
        <f>IFERROR(__xludf.DUMMYFUNCTION("IF(ISBLANK(B2369),"""",IF(ISDATE(B2369),TEXT(B2369,""yyyy""),""""))"),"")</f>
        <v/>
      </c>
    </row>
    <row r="2370">
      <c r="B2370" s="62"/>
      <c r="C2370" s="56"/>
      <c r="D2370" s="56"/>
      <c r="E2370" s="56"/>
      <c r="F2370" s="63"/>
      <c r="G2370" s="64"/>
      <c r="H2370" s="65"/>
      <c r="I2370" s="63"/>
      <c r="K2370" s="53" t="str">
        <f>IFERROR(__xludf.DUMMYFUNCTION("IF(ISBLANK(B2370),"""",IF(ISDATE(B2370),""X"",""""))"),"")</f>
        <v/>
      </c>
      <c r="L2370" s="40" t="str">
        <f>IFERROR(__xludf.DUMMYFUNCTION("IF(ISBLANK(B2370),"""",IF(Or(I2370=""Em Aberto"",ISBLANK(I2370),NOT(ISDATE(B2370))),"""",H2370))"),"")</f>
        <v/>
      </c>
      <c r="M2370" s="29" t="str">
        <f>IFERROR(__xludf.DUMMYFUNCTION("IF(ISBLANK(B2370),"""",IF(ISDATE(B2370),TEXT(B2370,""m""),""""))"),"")</f>
        <v/>
      </c>
      <c r="N2370" s="29" t="str">
        <f>IFERROR(__xludf.DUMMYFUNCTION("IF(M2370="""","""",QUERY({'Dashboard-Dados'!$Y$2:$AA$13},""Select Col2 Where Col1=""&amp;M2370))"),"")</f>
        <v/>
      </c>
      <c r="O2370" s="29" t="str">
        <f>IFERROR(__xludf.DUMMYFUNCTION("IF(ISBLANK(B2370),"""",IF(ISDATE(B2370),TEXT(B2370,""yyyy""),""""))"),"")</f>
        <v/>
      </c>
    </row>
    <row r="2371">
      <c r="B2371" s="62"/>
      <c r="C2371" s="56"/>
      <c r="D2371" s="56"/>
      <c r="E2371" s="56"/>
      <c r="F2371" s="63"/>
      <c r="G2371" s="64"/>
      <c r="H2371" s="65"/>
      <c r="I2371" s="63"/>
      <c r="K2371" s="53" t="str">
        <f>IFERROR(__xludf.DUMMYFUNCTION("IF(ISBLANK(B2371),"""",IF(ISDATE(B2371),""X"",""""))"),"")</f>
        <v/>
      </c>
      <c r="L2371" s="40" t="str">
        <f>IFERROR(__xludf.DUMMYFUNCTION("IF(ISBLANK(B2371),"""",IF(Or(I2371=""Em Aberto"",ISBLANK(I2371),NOT(ISDATE(B2371))),"""",H2371))"),"")</f>
        <v/>
      </c>
      <c r="M2371" s="29" t="str">
        <f>IFERROR(__xludf.DUMMYFUNCTION("IF(ISBLANK(B2371),"""",IF(ISDATE(B2371),TEXT(B2371,""m""),""""))"),"")</f>
        <v/>
      </c>
      <c r="N2371" s="29" t="str">
        <f>IFERROR(__xludf.DUMMYFUNCTION("IF(M2371="""","""",QUERY({'Dashboard-Dados'!$Y$2:$AA$13},""Select Col2 Where Col1=""&amp;M2371))"),"")</f>
        <v/>
      </c>
      <c r="O2371" s="29" t="str">
        <f>IFERROR(__xludf.DUMMYFUNCTION("IF(ISBLANK(B2371),"""",IF(ISDATE(B2371),TEXT(B2371,""yyyy""),""""))"),"")</f>
        <v/>
      </c>
    </row>
    <row r="2372">
      <c r="B2372" s="62"/>
      <c r="C2372" s="56"/>
      <c r="D2372" s="56"/>
      <c r="E2372" s="56"/>
      <c r="F2372" s="63"/>
      <c r="G2372" s="64"/>
      <c r="H2372" s="65"/>
      <c r="I2372" s="63"/>
      <c r="K2372" s="53" t="str">
        <f>IFERROR(__xludf.DUMMYFUNCTION("IF(ISBLANK(B2372),"""",IF(ISDATE(B2372),""X"",""""))"),"")</f>
        <v/>
      </c>
      <c r="L2372" s="40" t="str">
        <f>IFERROR(__xludf.DUMMYFUNCTION("IF(ISBLANK(B2372),"""",IF(Or(I2372=""Em Aberto"",ISBLANK(I2372),NOT(ISDATE(B2372))),"""",H2372))"),"")</f>
        <v/>
      </c>
      <c r="M2372" s="29" t="str">
        <f>IFERROR(__xludf.DUMMYFUNCTION("IF(ISBLANK(B2372),"""",IF(ISDATE(B2372),TEXT(B2372,""m""),""""))"),"")</f>
        <v/>
      </c>
      <c r="N2372" s="29" t="str">
        <f>IFERROR(__xludf.DUMMYFUNCTION("IF(M2372="""","""",QUERY({'Dashboard-Dados'!$Y$2:$AA$13},""Select Col2 Where Col1=""&amp;M2372))"),"")</f>
        <v/>
      </c>
      <c r="O2372" s="29" t="str">
        <f>IFERROR(__xludf.DUMMYFUNCTION("IF(ISBLANK(B2372),"""",IF(ISDATE(B2372),TEXT(B2372,""yyyy""),""""))"),"")</f>
        <v/>
      </c>
    </row>
    <row r="2373">
      <c r="B2373" s="62"/>
      <c r="C2373" s="56"/>
      <c r="D2373" s="56"/>
      <c r="E2373" s="56"/>
      <c r="F2373" s="63"/>
      <c r="G2373" s="64"/>
      <c r="H2373" s="65"/>
      <c r="I2373" s="63"/>
      <c r="K2373" s="53" t="str">
        <f>IFERROR(__xludf.DUMMYFUNCTION("IF(ISBLANK(B2373),"""",IF(ISDATE(B2373),""X"",""""))"),"")</f>
        <v/>
      </c>
      <c r="L2373" s="40" t="str">
        <f>IFERROR(__xludf.DUMMYFUNCTION("IF(ISBLANK(B2373),"""",IF(Or(I2373=""Em Aberto"",ISBLANK(I2373),NOT(ISDATE(B2373))),"""",H2373))"),"")</f>
        <v/>
      </c>
      <c r="M2373" s="29" t="str">
        <f>IFERROR(__xludf.DUMMYFUNCTION("IF(ISBLANK(B2373),"""",IF(ISDATE(B2373),TEXT(B2373,""m""),""""))"),"")</f>
        <v/>
      </c>
      <c r="N2373" s="29" t="str">
        <f>IFERROR(__xludf.DUMMYFUNCTION("IF(M2373="""","""",QUERY({'Dashboard-Dados'!$Y$2:$AA$13},""Select Col2 Where Col1=""&amp;M2373))"),"")</f>
        <v/>
      </c>
      <c r="O2373" s="29" t="str">
        <f>IFERROR(__xludf.DUMMYFUNCTION("IF(ISBLANK(B2373),"""",IF(ISDATE(B2373),TEXT(B2373,""yyyy""),""""))"),"")</f>
        <v/>
      </c>
    </row>
    <row r="2374">
      <c r="B2374" s="62"/>
      <c r="C2374" s="56"/>
      <c r="D2374" s="56"/>
      <c r="E2374" s="56"/>
      <c r="F2374" s="63"/>
      <c r="G2374" s="64"/>
      <c r="H2374" s="65"/>
      <c r="I2374" s="63"/>
      <c r="K2374" s="53" t="str">
        <f>IFERROR(__xludf.DUMMYFUNCTION("IF(ISBLANK(B2374),"""",IF(ISDATE(B2374),""X"",""""))"),"")</f>
        <v/>
      </c>
      <c r="L2374" s="40" t="str">
        <f>IFERROR(__xludf.DUMMYFUNCTION("IF(ISBLANK(B2374),"""",IF(Or(I2374=""Em Aberto"",ISBLANK(I2374),NOT(ISDATE(B2374))),"""",H2374))"),"")</f>
        <v/>
      </c>
      <c r="M2374" s="29" t="str">
        <f>IFERROR(__xludf.DUMMYFUNCTION("IF(ISBLANK(B2374),"""",IF(ISDATE(B2374),TEXT(B2374,""m""),""""))"),"")</f>
        <v/>
      </c>
      <c r="N2374" s="29" t="str">
        <f>IFERROR(__xludf.DUMMYFUNCTION("IF(M2374="""","""",QUERY({'Dashboard-Dados'!$Y$2:$AA$13},""Select Col2 Where Col1=""&amp;M2374))"),"")</f>
        <v/>
      </c>
      <c r="O2374" s="29" t="str">
        <f>IFERROR(__xludf.DUMMYFUNCTION("IF(ISBLANK(B2374),"""",IF(ISDATE(B2374),TEXT(B2374,""yyyy""),""""))"),"")</f>
        <v/>
      </c>
    </row>
    <row r="2375">
      <c r="B2375" s="62"/>
      <c r="C2375" s="56"/>
      <c r="D2375" s="56"/>
      <c r="E2375" s="56"/>
      <c r="F2375" s="63"/>
      <c r="G2375" s="64"/>
      <c r="H2375" s="65"/>
      <c r="I2375" s="63"/>
      <c r="K2375" s="53" t="str">
        <f>IFERROR(__xludf.DUMMYFUNCTION("IF(ISBLANK(B2375),"""",IF(ISDATE(B2375),""X"",""""))"),"")</f>
        <v/>
      </c>
      <c r="L2375" s="40" t="str">
        <f>IFERROR(__xludf.DUMMYFUNCTION("IF(ISBLANK(B2375),"""",IF(Or(I2375=""Em Aberto"",ISBLANK(I2375),NOT(ISDATE(B2375))),"""",H2375))"),"")</f>
        <v/>
      </c>
      <c r="M2375" s="29" t="str">
        <f>IFERROR(__xludf.DUMMYFUNCTION("IF(ISBLANK(B2375),"""",IF(ISDATE(B2375),TEXT(B2375,""m""),""""))"),"")</f>
        <v/>
      </c>
      <c r="N2375" s="29" t="str">
        <f>IFERROR(__xludf.DUMMYFUNCTION("IF(M2375="""","""",QUERY({'Dashboard-Dados'!$Y$2:$AA$13},""Select Col2 Where Col1=""&amp;M2375))"),"")</f>
        <v/>
      </c>
      <c r="O2375" s="29" t="str">
        <f>IFERROR(__xludf.DUMMYFUNCTION("IF(ISBLANK(B2375),"""",IF(ISDATE(B2375),TEXT(B2375,""yyyy""),""""))"),"")</f>
        <v/>
      </c>
    </row>
    <row r="2376">
      <c r="B2376" s="62"/>
      <c r="C2376" s="56"/>
      <c r="D2376" s="56"/>
      <c r="E2376" s="56"/>
      <c r="F2376" s="63"/>
      <c r="G2376" s="64"/>
      <c r="H2376" s="65"/>
      <c r="I2376" s="63"/>
      <c r="K2376" s="53" t="str">
        <f>IFERROR(__xludf.DUMMYFUNCTION("IF(ISBLANK(B2376),"""",IF(ISDATE(B2376),""X"",""""))"),"")</f>
        <v/>
      </c>
      <c r="L2376" s="40" t="str">
        <f>IFERROR(__xludf.DUMMYFUNCTION("IF(ISBLANK(B2376),"""",IF(Or(I2376=""Em Aberto"",ISBLANK(I2376),NOT(ISDATE(B2376))),"""",H2376))"),"")</f>
        <v/>
      </c>
      <c r="M2376" s="29" t="str">
        <f>IFERROR(__xludf.DUMMYFUNCTION("IF(ISBLANK(B2376),"""",IF(ISDATE(B2376),TEXT(B2376,""m""),""""))"),"")</f>
        <v/>
      </c>
      <c r="N2376" s="29" t="str">
        <f>IFERROR(__xludf.DUMMYFUNCTION("IF(M2376="""","""",QUERY({'Dashboard-Dados'!$Y$2:$AA$13},""Select Col2 Where Col1=""&amp;M2376))"),"")</f>
        <v/>
      </c>
      <c r="O2376" s="29" t="str">
        <f>IFERROR(__xludf.DUMMYFUNCTION("IF(ISBLANK(B2376),"""",IF(ISDATE(B2376),TEXT(B2376,""yyyy""),""""))"),"")</f>
        <v/>
      </c>
    </row>
    <row r="2377">
      <c r="B2377" s="62"/>
      <c r="C2377" s="56"/>
      <c r="D2377" s="56"/>
      <c r="E2377" s="56"/>
      <c r="F2377" s="63"/>
      <c r="G2377" s="64"/>
      <c r="H2377" s="65"/>
      <c r="I2377" s="63"/>
      <c r="K2377" s="53" t="str">
        <f>IFERROR(__xludf.DUMMYFUNCTION("IF(ISBLANK(B2377),"""",IF(ISDATE(B2377),""X"",""""))"),"")</f>
        <v/>
      </c>
      <c r="L2377" s="40" t="str">
        <f>IFERROR(__xludf.DUMMYFUNCTION("IF(ISBLANK(B2377),"""",IF(Or(I2377=""Em Aberto"",ISBLANK(I2377),NOT(ISDATE(B2377))),"""",H2377))"),"")</f>
        <v/>
      </c>
      <c r="M2377" s="29" t="str">
        <f>IFERROR(__xludf.DUMMYFUNCTION("IF(ISBLANK(B2377),"""",IF(ISDATE(B2377),TEXT(B2377,""m""),""""))"),"")</f>
        <v/>
      </c>
      <c r="N2377" s="29" t="str">
        <f>IFERROR(__xludf.DUMMYFUNCTION("IF(M2377="""","""",QUERY({'Dashboard-Dados'!$Y$2:$AA$13},""Select Col2 Where Col1=""&amp;M2377))"),"")</f>
        <v/>
      </c>
      <c r="O2377" s="29" t="str">
        <f>IFERROR(__xludf.DUMMYFUNCTION("IF(ISBLANK(B2377),"""",IF(ISDATE(B2377),TEXT(B2377,""yyyy""),""""))"),"")</f>
        <v/>
      </c>
    </row>
    <row r="2378">
      <c r="B2378" s="62"/>
      <c r="C2378" s="56"/>
      <c r="D2378" s="56"/>
      <c r="E2378" s="56"/>
      <c r="F2378" s="63"/>
      <c r="G2378" s="64"/>
      <c r="H2378" s="65"/>
      <c r="I2378" s="63"/>
      <c r="K2378" s="53" t="str">
        <f>IFERROR(__xludf.DUMMYFUNCTION("IF(ISBLANK(B2378),"""",IF(ISDATE(B2378),""X"",""""))"),"")</f>
        <v/>
      </c>
      <c r="L2378" s="40" t="str">
        <f>IFERROR(__xludf.DUMMYFUNCTION("IF(ISBLANK(B2378),"""",IF(Or(I2378=""Em Aberto"",ISBLANK(I2378),NOT(ISDATE(B2378))),"""",H2378))"),"")</f>
        <v/>
      </c>
      <c r="M2378" s="29" t="str">
        <f>IFERROR(__xludf.DUMMYFUNCTION("IF(ISBLANK(B2378),"""",IF(ISDATE(B2378),TEXT(B2378,""m""),""""))"),"")</f>
        <v/>
      </c>
      <c r="N2378" s="29" t="str">
        <f>IFERROR(__xludf.DUMMYFUNCTION("IF(M2378="""","""",QUERY({'Dashboard-Dados'!$Y$2:$AA$13},""Select Col2 Where Col1=""&amp;M2378))"),"")</f>
        <v/>
      </c>
      <c r="O2378" s="29" t="str">
        <f>IFERROR(__xludf.DUMMYFUNCTION("IF(ISBLANK(B2378),"""",IF(ISDATE(B2378),TEXT(B2378,""yyyy""),""""))"),"")</f>
        <v/>
      </c>
    </row>
    <row r="2379">
      <c r="B2379" s="62"/>
      <c r="C2379" s="56"/>
      <c r="D2379" s="56"/>
      <c r="E2379" s="56"/>
      <c r="F2379" s="63"/>
      <c r="G2379" s="64"/>
      <c r="H2379" s="65"/>
      <c r="I2379" s="63"/>
      <c r="K2379" s="53" t="str">
        <f>IFERROR(__xludf.DUMMYFUNCTION("IF(ISBLANK(B2379),"""",IF(ISDATE(B2379),""X"",""""))"),"")</f>
        <v/>
      </c>
      <c r="L2379" s="40" t="str">
        <f>IFERROR(__xludf.DUMMYFUNCTION("IF(ISBLANK(B2379),"""",IF(Or(I2379=""Em Aberto"",ISBLANK(I2379),NOT(ISDATE(B2379))),"""",H2379))"),"")</f>
        <v/>
      </c>
      <c r="M2379" s="29" t="str">
        <f>IFERROR(__xludf.DUMMYFUNCTION("IF(ISBLANK(B2379),"""",IF(ISDATE(B2379),TEXT(B2379,""m""),""""))"),"")</f>
        <v/>
      </c>
      <c r="N2379" s="29" t="str">
        <f>IFERROR(__xludf.DUMMYFUNCTION("IF(M2379="""","""",QUERY({'Dashboard-Dados'!$Y$2:$AA$13},""Select Col2 Where Col1=""&amp;M2379))"),"")</f>
        <v/>
      </c>
      <c r="O2379" s="29" t="str">
        <f>IFERROR(__xludf.DUMMYFUNCTION("IF(ISBLANK(B2379),"""",IF(ISDATE(B2379),TEXT(B2379,""yyyy""),""""))"),"")</f>
        <v/>
      </c>
    </row>
    <row r="2380">
      <c r="B2380" s="62"/>
      <c r="C2380" s="56"/>
      <c r="D2380" s="56"/>
      <c r="E2380" s="56"/>
      <c r="F2380" s="63"/>
      <c r="G2380" s="64"/>
      <c r="H2380" s="65"/>
      <c r="I2380" s="63"/>
      <c r="K2380" s="53" t="str">
        <f>IFERROR(__xludf.DUMMYFUNCTION("IF(ISBLANK(B2380),"""",IF(ISDATE(B2380),""X"",""""))"),"")</f>
        <v/>
      </c>
      <c r="L2380" s="40" t="str">
        <f>IFERROR(__xludf.DUMMYFUNCTION("IF(ISBLANK(B2380),"""",IF(Or(I2380=""Em Aberto"",ISBLANK(I2380),NOT(ISDATE(B2380))),"""",H2380))"),"")</f>
        <v/>
      </c>
      <c r="M2380" s="29" t="str">
        <f>IFERROR(__xludf.DUMMYFUNCTION("IF(ISBLANK(B2380),"""",IF(ISDATE(B2380),TEXT(B2380,""m""),""""))"),"")</f>
        <v/>
      </c>
      <c r="N2380" s="29" t="str">
        <f>IFERROR(__xludf.DUMMYFUNCTION("IF(M2380="""","""",QUERY({'Dashboard-Dados'!$Y$2:$AA$13},""Select Col2 Where Col1=""&amp;M2380))"),"")</f>
        <v/>
      </c>
      <c r="O2380" s="29" t="str">
        <f>IFERROR(__xludf.DUMMYFUNCTION("IF(ISBLANK(B2380),"""",IF(ISDATE(B2380),TEXT(B2380,""yyyy""),""""))"),"")</f>
        <v/>
      </c>
    </row>
    <row r="2381">
      <c r="B2381" s="62"/>
      <c r="C2381" s="56"/>
      <c r="D2381" s="56"/>
      <c r="E2381" s="56"/>
      <c r="F2381" s="63"/>
      <c r="G2381" s="64"/>
      <c r="H2381" s="65"/>
      <c r="I2381" s="63"/>
      <c r="K2381" s="53" t="str">
        <f>IFERROR(__xludf.DUMMYFUNCTION("IF(ISBLANK(B2381),"""",IF(ISDATE(B2381),""X"",""""))"),"")</f>
        <v/>
      </c>
      <c r="L2381" s="40" t="str">
        <f>IFERROR(__xludf.DUMMYFUNCTION("IF(ISBLANK(B2381),"""",IF(Or(I2381=""Em Aberto"",ISBLANK(I2381),NOT(ISDATE(B2381))),"""",H2381))"),"")</f>
        <v/>
      </c>
      <c r="M2381" s="29" t="str">
        <f>IFERROR(__xludf.DUMMYFUNCTION("IF(ISBLANK(B2381),"""",IF(ISDATE(B2381),TEXT(B2381,""m""),""""))"),"")</f>
        <v/>
      </c>
      <c r="N2381" s="29" t="str">
        <f>IFERROR(__xludf.DUMMYFUNCTION("IF(M2381="""","""",QUERY({'Dashboard-Dados'!$Y$2:$AA$13},""Select Col2 Where Col1=""&amp;M2381))"),"")</f>
        <v/>
      </c>
      <c r="O2381" s="29" t="str">
        <f>IFERROR(__xludf.DUMMYFUNCTION("IF(ISBLANK(B2381),"""",IF(ISDATE(B2381),TEXT(B2381,""yyyy""),""""))"),"")</f>
        <v/>
      </c>
    </row>
    <row r="2382">
      <c r="B2382" s="62"/>
      <c r="C2382" s="56"/>
      <c r="D2382" s="56"/>
      <c r="E2382" s="56"/>
      <c r="F2382" s="63"/>
      <c r="G2382" s="64"/>
      <c r="H2382" s="65"/>
      <c r="I2382" s="63"/>
      <c r="K2382" s="53" t="str">
        <f>IFERROR(__xludf.DUMMYFUNCTION("IF(ISBLANK(B2382),"""",IF(ISDATE(B2382),""X"",""""))"),"")</f>
        <v/>
      </c>
      <c r="L2382" s="40" t="str">
        <f>IFERROR(__xludf.DUMMYFUNCTION("IF(ISBLANK(B2382),"""",IF(Or(I2382=""Em Aberto"",ISBLANK(I2382),NOT(ISDATE(B2382))),"""",H2382))"),"")</f>
        <v/>
      </c>
      <c r="M2382" s="29" t="str">
        <f>IFERROR(__xludf.DUMMYFUNCTION("IF(ISBLANK(B2382),"""",IF(ISDATE(B2382),TEXT(B2382,""m""),""""))"),"")</f>
        <v/>
      </c>
      <c r="N2382" s="29" t="str">
        <f>IFERROR(__xludf.DUMMYFUNCTION("IF(M2382="""","""",QUERY({'Dashboard-Dados'!$Y$2:$AA$13},""Select Col2 Where Col1=""&amp;M2382))"),"")</f>
        <v/>
      </c>
      <c r="O2382" s="29" t="str">
        <f>IFERROR(__xludf.DUMMYFUNCTION("IF(ISBLANK(B2382),"""",IF(ISDATE(B2382),TEXT(B2382,""yyyy""),""""))"),"")</f>
        <v/>
      </c>
    </row>
    <row r="2383">
      <c r="B2383" s="62"/>
      <c r="C2383" s="56"/>
      <c r="D2383" s="56"/>
      <c r="E2383" s="56"/>
      <c r="F2383" s="63"/>
      <c r="G2383" s="64"/>
      <c r="H2383" s="65"/>
      <c r="I2383" s="63"/>
      <c r="K2383" s="53" t="str">
        <f>IFERROR(__xludf.DUMMYFUNCTION("IF(ISBLANK(B2383),"""",IF(ISDATE(B2383),""X"",""""))"),"")</f>
        <v/>
      </c>
      <c r="L2383" s="40" t="str">
        <f>IFERROR(__xludf.DUMMYFUNCTION("IF(ISBLANK(B2383),"""",IF(Or(I2383=""Em Aberto"",ISBLANK(I2383),NOT(ISDATE(B2383))),"""",H2383))"),"")</f>
        <v/>
      </c>
      <c r="M2383" s="29" t="str">
        <f>IFERROR(__xludf.DUMMYFUNCTION("IF(ISBLANK(B2383),"""",IF(ISDATE(B2383),TEXT(B2383,""m""),""""))"),"")</f>
        <v/>
      </c>
      <c r="N2383" s="29" t="str">
        <f>IFERROR(__xludf.DUMMYFUNCTION("IF(M2383="""","""",QUERY({'Dashboard-Dados'!$Y$2:$AA$13},""Select Col2 Where Col1=""&amp;M2383))"),"")</f>
        <v/>
      </c>
      <c r="O2383" s="29" t="str">
        <f>IFERROR(__xludf.DUMMYFUNCTION("IF(ISBLANK(B2383),"""",IF(ISDATE(B2383),TEXT(B2383,""yyyy""),""""))"),"")</f>
        <v/>
      </c>
    </row>
    <row r="2384">
      <c r="B2384" s="62"/>
      <c r="C2384" s="56"/>
      <c r="D2384" s="56"/>
      <c r="E2384" s="56"/>
      <c r="F2384" s="63"/>
      <c r="G2384" s="64"/>
      <c r="H2384" s="65"/>
      <c r="I2384" s="63"/>
      <c r="K2384" s="53" t="str">
        <f>IFERROR(__xludf.DUMMYFUNCTION("IF(ISBLANK(B2384),"""",IF(ISDATE(B2384),""X"",""""))"),"")</f>
        <v/>
      </c>
      <c r="L2384" s="40" t="str">
        <f>IFERROR(__xludf.DUMMYFUNCTION("IF(ISBLANK(B2384),"""",IF(Or(I2384=""Em Aberto"",ISBLANK(I2384),NOT(ISDATE(B2384))),"""",H2384))"),"")</f>
        <v/>
      </c>
      <c r="M2384" s="29" t="str">
        <f>IFERROR(__xludf.DUMMYFUNCTION("IF(ISBLANK(B2384),"""",IF(ISDATE(B2384),TEXT(B2384,""m""),""""))"),"")</f>
        <v/>
      </c>
      <c r="N2384" s="29" t="str">
        <f>IFERROR(__xludf.DUMMYFUNCTION("IF(M2384="""","""",QUERY({'Dashboard-Dados'!$Y$2:$AA$13},""Select Col2 Where Col1=""&amp;M2384))"),"")</f>
        <v/>
      </c>
      <c r="O2384" s="29" t="str">
        <f>IFERROR(__xludf.DUMMYFUNCTION("IF(ISBLANK(B2384),"""",IF(ISDATE(B2384),TEXT(B2384,""yyyy""),""""))"),"")</f>
        <v/>
      </c>
    </row>
    <row r="2385">
      <c r="B2385" s="62"/>
      <c r="C2385" s="56"/>
      <c r="D2385" s="56"/>
      <c r="E2385" s="56"/>
      <c r="F2385" s="63"/>
      <c r="G2385" s="64"/>
      <c r="H2385" s="65"/>
      <c r="I2385" s="63"/>
      <c r="K2385" s="53" t="str">
        <f>IFERROR(__xludf.DUMMYFUNCTION("IF(ISBLANK(B2385),"""",IF(ISDATE(B2385),""X"",""""))"),"")</f>
        <v/>
      </c>
      <c r="L2385" s="40" t="str">
        <f>IFERROR(__xludf.DUMMYFUNCTION("IF(ISBLANK(B2385),"""",IF(Or(I2385=""Em Aberto"",ISBLANK(I2385),NOT(ISDATE(B2385))),"""",H2385))"),"")</f>
        <v/>
      </c>
      <c r="M2385" s="29" t="str">
        <f>IFERROR(__xludf.DUMMYFUNCTION("IF(ISBLANK(B2385),"""",IF(ISDATE(B2385),TEXT(B2385,""m""),""""))"),"")</f>
        <v/>
      </c>
      <c r="N2385" s="29" t="str">
        <f>IFERROR(__xludf.DUMMYFUNCTION("IF(M2385="""","""",QUERY({'Dashboard-Dados'!$Y$2:$AA$13},""Select Col2 Where Col1=""&amp;M2385))"),"")</f>
        <v/>
      </c>
      <c r="O2385" s="29" t="str">
        <f>IFERROR(__xludf.DUMMYFUNCTION("IF(ISBLANK(B2385),"""",IF(ISDATE(B2385),TEXT(B2385,""yyyy""),""""))"),"")</f>
        <v/>
      </c>
    </row>
    <row r="2386">
      <c r="B2386" s="62"/>
      <c r="C2386" s="56"/>
      <c r="D2386" s="56"/>
      <c r="E2386" s="56"/>
      <c r="F2386" s="63"/>
      <c r="G2386" s="64"/>
      <c r="H2386" s="65"/>
      <c r="I2386" s="63"/>
      <c r="K2386" s="53" t="str">
        <f>IFERROR(__xludf.DUMMYFUNCTION("IF(ISBLANK(B2386),"""",IF(ISDATE(B2386),""X"",""""))"),"")</f>
        <v/>
      </c>
      <c r="L2386" s="40" t="str">
        <f>IFERROR(__xludf.DUMMYFUNCTION("IF(ISBLANK(B2386),"""",IF(Or(I2386=""Em Aberto"",ISBLANK(I2386),NOT(ISDATE(B2386))),"""",H2386))"),"")</f>
        <v/>
      </c>
      <c r="M2386" s="29" t="str">
        <f>IFERROR(__xludf.DUMMYFUNCTION("IF(ISBLANK(B2386),"""",IF(ISDATE(B2386),TEXT(B2386,""m""),""""))"),"")</f>
        <v/>
      </c>
      <c r="N2386" s="29" t="str">
        <f>IFERROR(__xludf.DUMMYFUNCTION("IF(M2386="""","""",QUERY({'Dashboard-Dados'!$Y$2:$AA$13},""Select Col2 Where Col1=""&amp;M2386))"),"")</f>
        <v/>
      </c>
      <c r="O2386" s="29" t="str">
        <f>IFERROR(__xludf.DUMMYFUNCTION("IF(ISBLANK(B2386),"""",IF(ISDATE(B2386),TEXT(B2386,""yyyy""),""""))"),"")</f>
        <v/>
      </c>
    </row>
    <row r="2387">
      <c r="B2387" s="62"/>
      <c r="C2387" s="56"/>
      <c r="D2387" s="56"/>
      <c r="E2387" s="56"/>
      <c r="F2387" s="63"/>
      <c r="G2387" s="64"/>
      <c r="H2387" s="65"/>
      <c r="I2387" s="63"/>
      <c r="K2387" s="53" t="str">
        <f>IFERROR(__xludf.DUMMYFUNCTION("IF(ISBLANK(B2387),"""",IF(ISDATE(B2387),""X"",""""))"),"")</f>
        <v/>
      </c>
      <c r="L2387" s="40" t="str">
        <f>IFERROR(__xludf.DUMMYFUNCTION("IF(ISBLANK(B2387),"""",IF(Or(I2387=""Em Aberto"",ISBLANK(I2387),NOT(ISDATE(B2387))),"""",H2387))"),"")</f>
        <v/>
      </c>
      <c r="M2387" s="29" t="str">
        <f>IFERROR(__xludf.DUMMYFUNCTION("IF(ISBLANK(B2387),"""",IF(ISDATE(B2387),TEXT(B2387,""m""),""""))"),"")</f>
        <v/>
      </c>
      <c r="N2387" s="29" t="str">
        <f>IFERROR(__xludf.DUMMYFUNCTION("IF(M2387="""","""",QUERY({'Dashboard-Dados'!$Y$2:$AA$13},""Select Col2 Where Col1=""&amp;M2387))"),"")</f>
        <v/>
      </c>
      <c r="O2387" s="29" t="str">
        <f>IFERROR(__xludf.DUMMYFUNCTION("IF(ISBLANK(B2387),"""",IF(ISDATE(B2387),TEXT(B2387,""yyyy""),""""))"),"")</f>
        <v/>
      </c>
    </row>
    <row r="2388">
      <c r="B2388" s="62"/>
      <c r="C2388" s="56"/>
      <c r="D2388" s="56"/>
      <c r="E2388" s="56"/>
      <c r="F2388" s="63"/>
      <c r="G2388" s="64"/>
      <c r="H2388" s="65"/>
      <c r="I2388" s="63"/>
      <c r="K2388" s="53" t="str">
        <f>IFERROR(__xludf.DUMMYFUNCTION("IF(ISBLANK(B2388),"""",IF(ISDATE(B2388),""X"",""""))"),"")</f>
        <v/>
      </c>
      <c r="L2388" s="40" t="str">
        <f>IFERROR(__xludf.DUMMYFUNCTION("IF(ISBLANK(B2388),"""",IF(Or(I2388=""Em Aberto"",ISBLANK(I2388),NOT(ISDATE(B2388))),"""",H2388))"),"")</f>
        <v/>
      </c>
      <c r="M2388" s="29" t="str">
        <f>IFERROR(__xludf.DUMMYFUNCTION("IF(ISBLANK(B2388),"""",IF(ISDATE(B2388),TEXT(B2388,""m""),""""))"),"")</f>
        <v/>
      </c>
      <c r="N2388" s="29" t="str">
        <f>IFERROR(__xludf.DUMMYFUNCTION("IF(M2388="""","""",QUERY({'Dashboard-Dados'!$Y$2:$AA$13},""Select Col2 Where Col1=""&amp;M2388))"),"")</f>
        <v/>
      </c>
      <c r="O2388" s="29" t="str">
        <f>IFERROR(__xludf.DUMMYFUNCTION("IF(ISBLANK(B2388),"""",IF(ISDATE(B2388),TEXT(B2388,""yyyy""),""""))"),"")</f>
        <v/>
      </c>
    </row>
    <row r="2389">
      <c r="B2389" s="62"/>
      <c r="C2389" s="56"/>
      <c r="D2389" s="56"/>
      <c r="E2389" s="56"/>
      <c r="F2389" s="63"/>
      <c r="G2389" s="64"/>
      <c r="H2389" s="65"/>
      <c r="I2389" s="63"/>
      <c r="K2389" s="53" t="str">
        <f>IFERROR(__xludf.DUMMYFUNCTION("IF(ISBLANK(B2389),"""",IF(ISDATE(B2389),""X"",""""))"),"")</f>
        <v/>
      </c>
      <c r="L2389" s="40" t="str">
        <f>IFERROR(__xludf.DUMMYFUNCTION("IF(ISBLANK(B2389),"""",IF(Or(I2389=""Em Aberto"",ISBLANK(I2389),NOT(ISDATE(B2389))),"""",H2389))"),"")</f>
        <v/>
      </c>
      <c r="M2389" s="29" t="str">
        <f>IFERROR(__xludf.DUMMYFUNCTION("IF(ISBLANK(B2389),"""",IF(ISDATE(B2389),TEXT(B2389,""m""),""""))"),"")</f>
        <v/>
      </c>
      <c r="N2389" s="29" t="str">
        <f>IFERROR(__xludf.DUMMYFUNCTION("IF(M2389="""","""",QUERY({'Dashboard-Dados'!$Y$2:$AA$13},""Select Col2 Where Col1=""&amp;M2389))"),"")</f>
        <v/>
      </c>
      <c r="O2389" s="29" t="str">
        <f>IFERROR(__xludf.DUMMYFUNCTION("IF(ISBLANK(B2389),"""",IF(ISDATE(B2389),TEXT(B2389,""yyyy""),""""))"),"")</f>
        <v/>
      </c>
    </row>
    <row r="2390">
      <c r="B2390" s="62"/>
      <c r="C2390" s="56"/>
      <c r="D2390" s="56"/>
      <c r="E2390" s="56"/>
      <c r="F2390" s="63"/>
      <c r="G2390" s="64"/>
      <c r="H2390" s="65"/>
      <c r="I2390" s="63"/>
      <c r="K2390" s="53" t="str">
        <f>IFERROR(__xludf.DUMMYFUNCTION("IF(ISBLANK(B2390),"""",IF(ISDATE(B2390),""X"",""""))"),"")</f>
        <v/>
      </c>
      <c r="L2390" s="40" t="str">
        <f>IFERROR(__xludf.DUMMYFUNCTION("IF(ISBLANK(B2390),"""",IF(Or(I2390=""Em Aberto"",ISBLANK(I2390),NOT(ISDATE(B2390))),"""",H2390))"),"")</f>
        <v/>
      </c>
      <c r="M2390" s="29" t="str">
        <f>IFERROR(__xludf.DUMMYFUNCTION("IF(ISBLANK(B2390),"""",IF(ISDATE(B2390),TEXT(B2390,""m""),""""))"),"")</f>
        <v/>
      </c>
      <c r="N2390" s="29" t="str">
        <f>IFERROR(__xludf.DUMMYFUNCTION("IF(M2390="""","""",QUERY({'Dashboard-Dados'!$Y$2:$AA$13},""Select Col2 Where Col1=""&amp;M2390))"),"")</f>
        <v/>
      </c>
      <c r="O2390" s="29" t="str">
        <f>IFERROR(__xludf.DUMMYFUNCTION("IF(ISBLANK(B2390),"""",IF(ISDATE(B2390),TEXT(B2390,""yyyy""),""""))"),"")</f>
        <v/>
      </c>
    </row>
    <row r="2391">
      <c r="B2391" s="62"/>
      <c r="C2391" s="56"/>
      <c r="D2391" s="56"/>
      <c r="E2391" s="56"/>
      <c r="F2391" s="63"/>
      <c r="G2391" s="64"/>
      <c r="H2391" s="65"/>
      <c r="I2391" s="63"/>
      <c r="K2391" s="53" t="str">
        <f>IFERROR(__xludf.DUMMYFUNCTION("IF(ISBLANK(B2391),"""",IF(ISDATE(B2391),""X"",""""))"),"")</f>
        <v/>
      </c>
      <c r="L2391" s="40" t="str">
        <f>IFERROR(__xludf.DUMMYFUNCTION("IF(ISBLANK(B2391),"""",IF(Or(I2391=""Em Aberto"",ISBLANK(I2391),NOT(ISDATE(B2391))),"""",H2391))"),"")</f>
        <v/>
      </c>
      <c r="M2391" s="29" t="str">
        <f>IFERROR(__xludf.DUMMYFUNCTION("IF(ISBLANK(B2391),"""",IF(ISDATE(B2391),TEXT(B2391,""m""),""""))"),"")</f>
        <v/>
      </c>
      <c r="N2391" s="29" t="str">
        <f>IFERROR(__xludf.DUMMYFUNCTION("IF(M2391="""","""",QUERY({'Dashboard-Dados'!$Y$2:$AA$13},""Select Col2 Where Col1=""&amp;M2391))"),"")</f>
        <v/>
      </c>
      <c r="O2391" s="29" t="str">
        <f>IFERROR(__xludf.DUMMYFUNCTION("IF(ISBLANK(B2391),"""",IF(ISDATE(B2391),TEXT(B2391,""yyyy""),""""))"),"")</f>
        <v/>
      </c>
    </row>
    <row r="2392">
      <c r="B2392" s="62"/>
      <c r="C2392" s="56"/>
      <c r="D2392" s="56"/>
      <c r="E2392" s="56"/>
      <c r="F2392" s="63"/>
      <c r="G2392" s="64"/>
      <c r="H2392" s="65"/>
      <c r="I2392" s="63"/>
      <c r="K2392" s="53" t="str">
        <f>IFERROR(__xludf.DUMMYFUNCTION("IF(ISBLANK(B2392),"""",IF(ISDATE(B2392),""X"",""""))"),"")</f>
        <v/>
      </c>
      <c r="L2392" s="40" t="str">
        <f>IFERROR(__xludf.DUMMYFUNCTION("IF(ISBLANK(B2392),"""",IF(Or(I2392=""Em Aberto"",ISBLANK(I2392),NOT(ISDATE(B2392))),"""",H2392))"),"")</f>
        <v/>
      </c>
      <c r="M2392" s="29" t="str">
        <f>IFERROR(__xludf.DUMMYFUNCTION("IF(ISBLANK(B2392),"""",IF(ISDATE(B2392),TEXT(B2392,""m""),""""))"),"")</f>
        <v/>
      </c>
      <c r="N2392" s="29" t="str">
        <f>IFERROR(__xludf.DUMMYFUNCTION("IF(M2392="""","""",QUERY({'Dashboard-Dados'!$Y$2:$AA$13},""Select Col2 Where Col1=""&amp;M2392))"),"")</f>
        <v/>
      </c>
      <c r="O2392" s="29" t="str">
        <f>IFERROR(__xludf.DUMMYFUNCTION("IF(ISBLANK(B2392),"""",IF(ISDATE(B2392),TEXT(B2392,""yyyy""),""""))"),"")</f>
        <v/>
      </c>
    </row>
    <row r="2393">
      <c r="B2393" s="62"/>
      <c r="C2393" s="56"/>
      <c r="D2393" s="56"/>
      <c r="E2393" s="56"/>
      <c r="F2393" s="63"/>
      <c r="G2393" s="64"/>
      <c r="H2393" s="65"/>
      <c r="I2393" s="63"/>
      <c r="K2393" s="53" t="str">
        <f>IFERROR(__xludf.DUMMYFUNCTION("IF(ISBLANK(B2393),"""",IF(ISDATE(B2393),""X"",""""))"),"")</f>
        <v/>
      </c>
      <c r="L2393" s="40" t="str">
        <f>IFERROR(__xludf.DUMMYFUNCTION("IF(ISBLANK(B2393),"""",IF(Or(I2393=""Em Aberto"",ISBLANK(I2393),NOT(ISDATE(B2393))),"""",H2393))"),"")</f>
        <v/>
      </c>
      <c r="M2393" s="29" t="str">
        <f>IFERROR(__xludf.DUMMYFUNCTION("IF(ISBLANK(B2393),"""",IF(ISDATE(B2393),TEXT(B2393,""m""),""""))"),"")</f>
        <v/>
      </c>
      <c r="N2393" s="29" t="str">
        <f>IFERROR(__xludf.DUMMYFUNCTION("IF(M2393="""","""",QUERY({'Dashboard-Dados'!$Y$2:$AA$13},""Select Col2 Where Col1=""&amp;M2393))"),"")</f>
        <v/>
      </c>
      <c r="O2393" s="29" t="str">
        <f>IFERROR(__xludf.DUMMYFUNCTION("IF(ISBLANK(B2393),"""",IF(ISDATE(B2393),TEXT(B2393,""yyyy""),""""))"),"")</f>
        <v/>
      </c>
    </row>
    <row r="2394">
      <c r="B2394" s="62"/>
      <c r="C2394" s="56"/>
      <c r="D2394" s="56"/>
      <c r="E2394" s="56"/>
      <c r="F2394" s="63"/>
      <c r="G2394" s="64"/>
      <c r="H2394" s="65"/>
      <c r="I2394" s="63"/>
      <c r="K2394" s="53" t="str">
        <f>IFERROR(__xludf.DUMMYFUNCTION("IF(ISBLANK(B2394),"""",IF(ISDATE(B2394),""X"",""""))"),"")</f>
        <v/>
      </c>
      <c r="L2394" s="40" t="str">
        <f>IFERROR(__xludf.DUMMYFUNCTION("IF(ISBLANK(B2394),"""",IF(Or(I2394=""Em Aberto"",ISBLANK(I2394),NOT(ISDATE(B2394))),"""",H2394))"),"")</f>
        <v/>
      </c>
      <c r="M2394" s="29" t="str">
        <f>IFERROR(__xludf.DUMMYFUNCTION("IF(ISBLANK(B2394),"""",IF(ISDATE(B2394),TEXT(B2394,""m""),""""))"),"")</f>
        <v/>
      </c>
      <c r="N2394" s="29" t="str">
        <f>IFERROR(__xludf.DUMMYFUNCTION("IF(M2394="""","""",QUERY({'Dashboard-Dados'!$Y$2:$AA$13},""Select Col2 Where Col1=""&amp;M2394))"),"")</f>
        <v/>
      </c>
      <c r="O2394" s="29" t="str">
        <f>IFERROR(__xludf.DUMMYFUNCTION("IF(ISBLANK(B2394),"""",IF(ISDATE(B2394),TEXT(B2394,""yyyy""),""""))"),"")</f>
        <v/>
      </c>
    </row>
    <row r="2395">
      <c r="B2395" s="62"/>
      <c r="C2395" s="56"/>
      <c r="D2395" s="56"/>
      <c r="E2395" s="56"/>
      <c r="F2395" s="63"/>
      <c r="G2395" s="64"/>
      <c r="H2395" s="65"/>
      <c r="I2395" s="63"/>
      <c r="K2395" s="53" t="str">
        <f>IFERROR(__xludf.DUMMYFUNCTION("IF(ISBLANK(B2395),"""",IF(ISDATE(B2395),""X"",""""))"),"")</f>
        <v/>
      </c>
      <c r="L2395" s="40" t="str">
        <f>IFERROR(__xludf.DUMMYFUNCTION("IF(ISBLANK(B2395),"""",IF(Or(I2395=""Em Aberto"",ISBLANK(I2395),NOT(ISDATE(B2395))),"""",H2395))"),"")</f>
        <v/>
      </c>
      <c r="M2395" s="29" t="str">
        <f>IFERROR(__xludf.DUMMYFUNCTION("IF(ISBLANK(B2395),"""",IF(ISDATE(B2395),TEXT(B2395,""m""),""""))"),"")</f>
        <v/>
      </c>
      <c r="N2395" s="29" t="str">
        <f>IFERROR(__xludf.DUMMYFUNCTION("IF(M2395="""","""",QUERY({'Dashboard-Dados'!$Y$2:$AA$13},""Select Col2 Where Col1=""&amp;M2395))"),"")</f>
        <v/>
      </c>
      <c r="O2395" s="29" t="str">
        <f>IFERROR(__xludf.DUMMYFUNCTION("IF(ISBLANK(B2395),"""",IF(ISDATE(B2395),TEXT(B2395,""yyyy""),""""))"),"")</f>
        <v/>
      </c>
    </row>
    <row r="2396">
      <c r="B2396" s="62"/>
      <c r="C2396" s="56"/>
      <c r="D2396" s="56"/>
      <c r="E2396" s="56"/>
      <c r="F2396" s="63"/>
      <c r="G2396" s="64"/>
      <c r="H2396" s="65"/>
      <c r="I2396" s="63"/>
      <c r="K2396" s="53" t="str">
        <f>IFERROR(__xludf.DUMMYFUNCTION("IF(ISBLANK(B2396),"""",IF(ISDATE(B2396),""X"",""""))"),"")</f>
        <v/>
      </c>
      <c r="L2396" s="40" t="str">
        <f>IFERROR(__xludf.DUMMYFUNCTION("IF(ISBLANK(B2396),"""",IF(Or(I2396=""Em Aberto"",ISBLANK(I2396),NOT(ISDATE(B2396))),"""",H2396))"),"")</f>
        <v/>
      </c>
      <c r="M2396" s="29" t="str">
        <f>IFERROR(__xludf.DUMMYFUNCTION("IF(ISBLANK(B2396),"""",IF(ISDATE(B2396),TEXT(B2396,""m""),""""))"),"")</f>
        <v/>
      </c>
      <c r="N2396" s="29" t="str">
        <f>IFERROR(__xludf.DUMMYFUNCTION("IF(M2396="""","""",QUERY({'Dashboard-Dados'!$Y$2:$AA$13},""Select Col2 Where Col1=""&amp;M2396))"),"")</f>
        <v/>
      </c>
      <c r="O2396" s="29" t="str">
        <f>IFERROR(__xludf.DUMMYFUNCTION("IF(ISBLANK(B2396),"""",IF(ISDATE(B2396),TEXT(B2396,""yyyy""),""""))"),"")</f>
        <v/>
      </c>
    </row>
    <row r="2397">
      <c r="B2397" s="62"/>
      <c r="C2397" s="56"/>
      <c r="D2397" s="56"/>
      <c r="E2397" s="56"/>
      <c r="F2397" s="63"/>
      <c r="G2397" s="64"/>
      <c r="H2397" s="65"/>
      <c r="I2397" s="63"/>
      <c r="K2397" s="53" t="str">
        <f>IFERROR(__xludf.DUMMYFUNCTION("IF(ISBLANK(B2397),"""",IF(ISDATE(B2397),""X"",""""))"),"")</f>
        <v/>
      </c>
      <c r="L2397" s="40" t="str">
        <f>IFERROR(__xludf.DUMMYFUNCTION("IF(ISBLANK(B2397),"""",IF(Or(I2397=""Em Aberto"",ISBLANK(I2397),NOT(ISDATE(B2397))),"""",H2397))"),"")</f>
        <v/>
      </c>
      <c r="M2397" s="29" t="str">
        <f>IFERROR(__xludf.DUMMYFUNCTION("IF(ISBLANK(B2397),"""",IF(ISDATE(B2397),TEXT(B2397,""m""),""""))"),"")</f>
        <v/>
      </c>
      <c r="N2397" s="29" t="str">
        <f>IFERROR(__xludf.DUMMYFUNCTION("IF(M2397="""","""",QUERY({'Dashboard-Dados'!$Y$2:$AA$13},""Select Col2 Where Col1=""&amp;M2397))"),"")</f>
        <v/>
      </c>
      <c r="O2397" s="29" t="str">
        <f>IFERROR(__xludf.DUMMYFUNCTION("IF(ISBLANK(B2397),"""",IF(ISDATE(B2397),TEXT(B2397,""yyyy""),""""))"),"")</f>
        <v/>
      </c>
    </row>
    <row r="2398">
      <c r="B2398" s="62"/>
      <c r="C2398" s="56"/>
      <c r="D2398" s="56"/>
      <c r="E2398" s="56"/>
      <c r="F2398" s="63"/>
      <c r="G2398" s="64"/>
      <c r="H2398" s="65"/>
      <c r="I2398" s="63"/>
      <c r="K2398" s="53" t="str">
        <f>IFERROR(__xludf.DUMMYFUNCTION("IF(ISBLANK(B2398),"""",IF(ISDATE(B2398),""X"",""""))"),"")</f>
        <v/>
      </c>
      <c r="L2398" s="40" t="str">
        <f>IFERROR(__xludf.DUMMYFUNCTION("IF(ISBLANK(B2398),"""",IF(Or(I2398=""Em Aberto"",ISBLANK(I2398),NOT(ISDATE(B2398))),"""",H2398))"),"")</f>
        <v/>
      </c>
      <c r="M2398" s="29" t="str">
        <f>IFERROR(__xludf.DUMMYFUNCTION("IF(ISBLANK(B2398),"""",IF(ISDATE(B2398),TEXT(B2398,""m""),""""))"),"")</f>
        <v/>
      </c>
      <c r="N2398" s="29" t="str">
        <f>IFERROR(__xludf.DUMMYFUNCTION("IF(M2398="""","""",QUERY({'Dashboard-Dados'!$Y$2:$AA$13},""Select Col2 Where Col1=""&amp;M2398))"),"")</f>
        <v/>
      </c>
      <c r="O2398" s="29" t="str">
        <f>IFERROR(__xludf.DUMMYFUNCTION("IF(ISBLANK(B2398),"""",IF(ISDATE(B2398),TEXT(B2398,""yyyy""),""""))"),"")</f>
        <v/>
      </c>
    </row>
    <row r="2399">
      <c r="B2399" s="62"/>
      <c r="C2399" s="56"/>
      <c r="D2399" s="56"/>
      <c r="E2399" s="56"/>
      <c r="F2399" s="63"/>
      <c r="G2399" s="64"/>
      <c r="H2399" s="65"/>
      <c r="I2399" s="63"/>
      <c r="K2399" s="53" t="str">
        <f>IFERROR(__xludf.DUMMYFUNCTION("IF(ISBLANK(B2399),"""",IF(ISDATE(B2399),""X"",""""))"),"")</f>
        <v/>
      </c>
      <c r="L2399" s="40" t="str">
        <f>IFERROR(__xludf.DUMMYFUNCTION("IF(ISBLANK(B2399),"""",IF(Or(I2399=""Em Aberto"",ISBLANK(I2399),NOT(ISDATE(B2399))),"""",H2399))"),"")</f>
        <v/>
      </c>
      <c r="M2399" s="29" t="str">
        <f>IFERROR(__xludf.DUMMYFUNCTION("IF(ISBLANK(B2399),"""",IF(ISDATE(B2399),TEXT(B2399,""m""),""""))"),"")</f>
        <v/>
      </c>
      <c r="N2399" s="29" t="str">
        <f>IFERROR(__xludf.DUMMYFUNCTION("IF(M2399="""","""",QUERY({'Dashboard-Dados'!$Y$2:$AA$13},""Select Col2 Where Col1=""&amp;M2399))"),"")</f>
        <v/>
      </c>
      <c r="O2399" s="29" t="str">
        <f>IFERROR(__xludf.DUMMYFUNCTION("IF(ISBLANK(B2399),"""",IF(ISDATE(B2399),TEXT(B2399,""yyyy""),""""))"),"")</f>
        <v/>
      </c>
    </row>
    <row r="2400">
      <c r="B2400" s="62"/>
      <c r="C2400" s="56"/>
      <c r="D2400" s="56"/>
      <c r="E2400" s="56"/>
      <c r="F2400" s="63"/>
      <c r="G2400" s="64"/>
      <c r="H2400" s="65"/>
      <c r="I2400" s="63"/>
      <c r="K2400" s="53" t="str">
        <f>IFERROR(__xludf.DUMMYFUNCTION("IF(ISBLANK(B2400),"""",IF(ISDATE(B2400),""X"",""""))"),"")</f>
        <v/>
      </c>
      <c r="L2400" s="40" t="str">
        <f>IFERROR(__xludf.DUMMYFUNCTION("IF(ISBLANK(B2400),"""",IF(Or(I2400=""Em Aberto"",ISBLANK(I2400),NOT(ISDATE(B2400))),"""",H2400))"),"")</f>
        <v/>
      </c>
      <c r="M2400" s="29" t="str">
        <f>IFERROR(__xludf.DUMMYFUNCTION("IF(ISBLANK(B2400),"""",IF(ISDATE(B2400),TEXT(B2400,""m""),""""))"),"")</f>
        <v/>
      </c>
      <c r="N2400" s="29" t="str">
        <f>IFERROR(__xludf.DUMMYFUNCTION("IF(M2400="""","""",QUERY({'Dashboard-Dados'!$Y$2:$AA$13},""Select Col2 Where Col1=""&amp;M2400))"),"")</f>
        <v/>
      </c>
      <c r="O2400" s="29" t="str">
        <f>IFERROR(__xludf.DUMMYFUNCTION("IF(ISBLANK(B2400),"""",IF(ISDATE(B2400),TEXT(B2400,""yyyy""),""""))"),"")</f>
        <v/>
      </c>
    </row>
    <row r="2401">
      <c r="B2401" s="62"/>
      <c r="C2401" s="56"/>
      <c r="D2401" s="56"/>
      <c r="E2401" s="56"/>
      <c r="F2401" s="63"/>
      <c r="G2401" s="64"/>
      <c r="H2401" s="65"/>
      <c r="I2401" s="63"/>
      <c r="K2401" s="53" t="str">
        <f>IFERROR(__xludf.DUMMYFUNCTION("IF(ISBLANK(B2401),"""",IF(ISDATE(B2401),""X"",""""))"),"")</f>
        <v/>
      </c>
      <c r="L2401" s="40" t="str">
        <f>IFERROR(__xludf.DUMMYFUNCTION("IF(ISBLANK(B2401),"""",IF(Or(I2401=""Em Aberto"",ISBLANK(I2401),NOT(ISDATE(B2401))),"""",H2401))"),"")</f>
        <v/>
      </c>
      <c r="M2401" s="29" t="str">
        <f>IFERROR(__xludf.DUMMYFUNCTION("IF(ISBLANK(B2401),"""",IF(ISDATE(B2401),TEXT(B2401,""m""),""""))"),"")</f>
        <v/>
      </c>
      <c r="N2401" s="29" t="str">
        <f>IFERROR(__xludf.DUMMYFUNCTION("IF(M2401="""","""",QUERY({'Dashboard-Dados'!$Y$2:$AA$13},""Select Col2 Where Col1=""&amp;M2401))"),"")</f>
        <v/>
      </c>
      <c r="O2401" s="29" t="str">
        <f>IFERROR(__xludf.DUMMYFUNCTION("IF(ISBLANK(B2401),"""",IF(ISDATE(B2401),TEXT(B2401,""yyyy""),""""))"),"")</f>
        <v/>
      </c>
    </row>
    <row r="2402">
      <c r="B2402" s="62"/>
      <c r="C2402" s="56"/>
      <c r="D2402" s="56"/>
      <c r="E2402" s="56"/>
      <c r="F2402" s="63"/>
      <c r="G2402" s="64"/>
      <c r="H2402" s="65"/>
      <c r="I2402" s="63"/>
      <c r="K2402" s="53" t="str">
        <f>IFERROR(__xludf.DUMMYFUNCTION("IF(ISBLANK(B2402),"""",IF(ISDATE(B2402),""X"",""""))"),"")</f>
        <v/>
      </c>
      <c r="L2402" s="40" t="str">
        <f>IFERROR(__xludf.DUMMYFUNCTION("IF(ISBLANK(B2402),"""",IF(Or(I2402=""Em Aberto"",ISBLANK(I2402),NOT(ISDATE(B2402))),"""",H2402))"),"")</f>
        <v/>
      </c>
      <c r="M2402" s="29" t="str">
        <f>IFERROR(__xludf.DUMMYFUNCTION("IF(ISBLANK(B2402),"""",IF(ISDATE(B2402),TEXT(B2402,""m""),""""))"),"")</f>
        <v/>
      </c>
      <c r="N2402" s="29" t="str">
        <f>IFERROR(__xludf.DUMMYFUNCTION("IF(M2402="""","""",QUERY({'Dashboard-Dados'!$Y$2:$AA$13},""Select Col2 Where Col1=""&amp;M2402))"),"")</f>
        <v/>
      </c>
      <c r="O2402" s="29" t="str">
        <f>IFERROR(__xludf.DUMMYFUNCTION("IF(ISBLANK(B2402),"""",IF(ISDATE(B2402),TEXT(B2402,""yyyy""),""""))"),"")</f>
        <v/>
      </c>
    </row>
    <row r="2403">
      <c r="B2403" s="62"/>
      <c r="C2403" s="56"/>
      <c r="D2403" s="56"/>
      <c r="E2403" s="56"/>
      <c r="F2403" s="63"/>
      <c r="G2403" s="64"/>
      <c r="H2403" s="65"/>
      <c r="I2403" s="63"/>
      <c r="K2403" s="53" t="str">
        <f>IFERROR(__xludf.DUMMYFUNCTION("IF(ISBLANK(B2403),"""",IF(ISDATE(B2403),""X"",""""))"),"")</f>
        <v/>
      </c>
      <c r="L2403" s="40" t="str">
        <f>IFERROR(__xludf.DUMMYFUNCTION("IF(ISBLANK(B2403),"""",IF(Or(I2403=""Em Aberto"",ISBLANK(I2403),NOT(ISDATE(B2403))),"""",H2403))"),"")</f>
        <v/>
      </c>
      <c r="M2403" s="29" t="str">
        <f>IFERROR(__xludf.DUMMYFUNCTION("IF(ISBLANK(B2403),"""",IF(ISDATE(B2403),TEXT(B2403,""m""),""""))"),"")</f>
        <v/>
      </c>
      <c r="N2403" s="29" t="str">
        <f>IFERROR(__xludf.DUMMYFUNCTION("IF(M2403="""","""",QUERY({'Dashboard-Dados'!$Y$2:$AA$13},""Select Col2 Where Col1=""&amp;M2403))"),"")</f>
        <v/>
      </c>
      <c r="O2403" s="29" t="str">
        <f>IFERROR(__xludf.DUMMYFUNCTION("IF(ISBLANK(B2403),"""",IF(ISDATE(B2403),TEXT(B2403,""yyyy""),""""))"),"")</f>
        <v/>
      </c>
    </row>
    <row r="2404">
      <c r="B2404" s="62"/>
      <c r="C2404" s="56"/>
      <c r="D2404" s="56"/>
      <c r="E2404" s="56"/>
      <c r="F2404" s="63"/>
      <c r="G2404" s="64"/>
      <c r="H2404" s="65"/>
      <c r="I2404" s="63"/>
      <c r="K2404" s="53" t="str">
        <f>IFERROR(__xludf.DUMMYFUNCTION("IF(ISBLANK(B2404),"""",IF(ISDATE(B2404),""X"",""""))"),"")</f>
        <v/>
      </c>
      <c r="L2404" s="40" t="str">
        <f>IFERROR(__xludf.DUMMYFUNCTION("IF(ISBLANK(B2404),"""",IF(Or(I2404=""Em Aberto"",ISBLANK(I2404),NOT(ISDATE(B2404))),"""",H2404))"),"")</f>
        <v/>
      </c>
      <c r="M2404" s="29" t="str">
        <f>IFERROR(__xludf.DUMMYFUNCTION("IF(ISBLANK(B2404),"""",IF(ISDATE(B2404),TEXT(B2404,""m""),""""))"),"")</f>
        <v/>
      </c>
      <c r="N2404" s="29" t="str">
        <f>IFERROR(__xludf.DUMMYFUNCTION("IF(M2404="""","""",QUERY({'Dashboard-Dados'!$Y$2:$AA$13},""Select Col2 Where Col1=""&amp;M2404))"),"")</f>
        <v/>
      </c>
      <c r="O2404" s="29" t="str">
        <f>IFERROR(__xludf.DUMMYFUNCTION("IF(ISBLANK(B2404),"""",IF(ISDATE(B2404),TEXT(B2404,""yyyy""),""""))"),"")</f>
        <v/>
      </c>
    </row>
    <row r="2405">
      <c r="B2405" s="62"/>
      <c r="C2405" s="56"/>
      <c r="D2405" s="56"/>
      <c r="E2405" s="56"/>
      <c r="F2405" s="63"/>
      <c r="G2405" s="64"/>
      <c r="H2405" s="65"/>
      <c r="I2405" s="63"/>
      <c r="K2405" s="53" t="str">
        <f>IFERROR(__xludf.DUMMYFUNCTION("IF(ISBLANK(B2405),"""",IF(ISDATE(B2405),""X"",""""))"),"")</f>
        <v/>
      </c>
      <c r="L2405" s="40" t="str">
        <f>IFERROR(__xludf.DUMMYFUNCTION("IF(ISBLANK(B2405),"""",IF(Or(I2405=""Em Aberto"",ISBLANK(I2405),NOT(ISDATE(B2405))),"""",H2405))"),"")</f>
        <v/>
      </c>
      <c r="M2405" s="29" t="str">
        <f>IFERROR(__xludf.DUMMYFUNCTION("IF(ISBLANK(B2405),"""",IF(ISDATE(B2405),TEXT(B2405,""m""),""""))"),"")</f>
        <v/>
      </c>
      <c r="N2405" s="29" t="str">
        <f>IFERROR(__xludf.DUMMYFUNCTION("IF(M2405="""","""",QUERY({'Dashboard-Dados'!$Y$2:$AA$13},""Select Col2 Where Col1=""&amp;M2405))"),"")</f>
        <v/>
      </c>
      <c r="O2405" s="29" t="str">
        <f>IFERROR(__xludf.DUMMYFUNCTION("IF(ISBLANK(B2405),"""",IF(ISDATE(B2405),TEXT(B2405,""yyyy""),""""))"),"")</f>
        <v/>
      </c>
    </row>
    <row r="2406">
      <c r="B2406" s="62"/>
      <c r="C2406" s="56"/>
      <c r="D2406" s="56"/>
      <c r="E2406" s="56"/>
      <c r="F2406" s="63"/>
      <c r="G2406" s="64"/>
      <c r="H2406" s="65"/>
      <c r="I2406" s="63"/>
      <c r="K2406" s="53" t="str">
        <f>IFERROR(__xludf.DUMMYFUNCTION("IF(ISBLANK(B2406),"""",IF(ISDATE(B2406),""X"",""""))"),"")</f>
        <v/>
      </c>
      <c r="L2406" s="40" t="str">
        <f>IFERROR(__xludf.DUMMYFUNCTION("IF(ISBLANK(B2406),"""",IF(Or(I2406=""Em Aberto"",ISBLANK(I2406),NOT(ISDATE(B2406))),"""",H2406))"),"")</f>
        <v/>
      </c>
      <c r="M2406" s="29" t="str">
        <f>IFERROR(__xludf.DUMMYFUNCTION("IF(ISBLANK(B2406),"""",IF(ISDATE(B2406),TEXT(B2406,""m""),""""))"),"")</f>
        <v/>
      </c>
      <c r="N2406" s="29" t="str">
        <f>IFERROR(__xludf.DUMMYFUNCTION("IF(M2406="""","""",QUERY({'Dashboard-Dados'!$Y$2:$AA$13},""Select Col2 Where Col1=""&amp;M2406))"),"")</f>
        <v/>
      </c>
      <c r="O2406" s="29" t="str">
        <f>IFERROR(__xludf.DUMMYFUNCTION("IF(ISBLANK(B2406),"""",IF(ISDATE(B2406),TEXT(B2406,""yyyy""),""""))"),"")</f>
        <v/>
      </c>
    </row>
    <row r="2407">
      <c r="B2407" s="62"/>
      <c r="C2407" s="56"/>
      <c r="D2407" s="56"/>
      <c r="E2407" s="56"/>
      <c r="F2407" s="63"/>
      <c r="G2407" s="64"/>
      <c r="H2407" s="65"/>
      <c r="I2407" s="63"/>
      <c r="K2407" s="53" t="str">
        <f>IFERROR(__xludf.DUMMYFUNCTION("IF(ISBLANK(B2407),"""",IF(ISDATE(B2407),""X"",""""))"),"")</f>
        <v/>
      </c>
      <c r="L2407" s="40" t="str">
        <f>IFERROR(__xludf.DUMMYFUNCTION("IF(ISBLANK(B2407),"""",IF(Or(I2407=""Em Aberto"",ISBLANK(I2407),NOT(ISDATE(B2407))),"""",H2407))"),"")</f>
        <v/>
      </c>
      <c r="M2407" s="29" t="str">
        <f>IFERROR(__xludf.DUMMYFUNCTION("IF(ISBLANK(B2407),"""",IF(ISDATE(B2407),TEXT(B2407,""m""),""""))"),"")</f>
        <v/>
      </c>
      <c r="N2407" s="29" t="str">
        <f>IFERROR(__xludf.DUMMYFUNCTION("IF(M2407="""","""",QUERY({'Dashboard-Dados'!$Y$2:$AA$13},""Select Col2 Where Col1=""&amp;M2407))"),"")</f>
        <v/>
      </c>
      <c r="O2407" s="29" t="str">
        <f>IFERROR(__xludf.DUMMYFUNCTION("IF(ISBLANK(B2407),"""",IF(ISDATE(B2407),TEXT(B2407,""yyyy""),""""))"),"")</f>
        <v/>
      </c>
    </row>
    <row r="2408">
      <c r="B2408" s="62"/>
      <c r="C2408" s="56"/>
      <c r="D2408" s="56"/>
      <c r="E2408" s="56"/>
      <c r="F2408" s="63"/>
      <c r="G2408" s="64"/>
      <c r="H2408" s="65"/>
      <c r="I2408" s="63"/>
      <c r="K2408" s="53" t="str">
        <f>IFERROR(__xludf.DUMMYFUNCTION("IF(ISBLANK(B2408),"""",IF(ISDATE(B2408),""X"",""""))"),"")</f>
        <v/>
      </c>
      <c r="L2408" s="40" t="str">
        <f>IFERROR(__xludf.DUMMYFUNCTION("IF(ISBLANK(B2408),"""",IF(Or(I2408=""Em Aberto"",ISBLANK(I2408),NOT(ISDATE(B2408))),"""",H2408))"),"")</f>
        <v/>
      </c>
      <c r="M2408" s="29" t="str">
        <f>IFERROR(__xludf.DUMMYFUNCTION("IF(ISBLANK(B2408),"""",IF(ISDATE(B2408),TEXT(B2408,""m""),""""))"),"")</f>
        <v/>
      </c>
      <c r="N2408" s="29" t="str">
        <f>IFERROR(__xludf.DUMMYFUNCTION("IF(M2408="""","""",QUERY({'Dashboard-Dados'!$Y$2:$AA$13},""Select Col2 Where Col1=""&amp;M2408))"),"")</f>
        <v/>
      </c>
      <c r="O2408" s="29" t="str">
        <f>IFERROR(__xludf.DUMMYFUNCTION("IF(ISBLANK(B2408),"""",IF(ISDATE(B2408),TEXT(B2408,""yyyy""),""""))"),"")</f>
        <v/>
      </c>
    </row>
    <row r="2409">
      <c r="B2409" s="62"/>
      <c r="C2409" s="56"/>
      <c r="D2409" s="56"/>
      <c r="E2409" s="56"/>
      <c r="F2409" s="63"/>
      <c r="G2409" s="64"/>
      <c r="H2409" s="65"/>
      <c r="I2409" s="63"/>
      <c r="K2409" s="53" t="str">
        <f>IFERROR(__xludf.DUMMYFUNCTION("IF(ISBLANK(B2409),"""",IF(ISDATE(B2409),""X"",""""))"),"")</f>
        <v/>
      </c>
      <c r="L2409" s="40" t="str">
        <f>IFERROR(__xludf.DUMMYFUNCTION("IF(ISBLANK(B2409),"""",IF(Or(I2409=""Em Aberto"",ISBLANK(I2409),NOT(ISDATE(B2409))),"""",H2409))"),"")</f>
        <v/>
      </c>
      <c r="M2409" s="29" t="str">
        <f>IFERROR(__xludf.DUMMYFUNCTION("IF(ISBLANK(B2409),"""",IF(ISDATE(B2409),TEXT(B2409,""m""),""""))"),"")</f>
        <v/>
      </c>
      <c r="N2409" s="29" t="str">
        <f>IFERROR(__xludf.DUMMYFUNCTION("IF(M2409="""","""",QUERY({'Dashboard-Dados'!$Y$2:$AA$13},""Select Col2 Where Col1=""&amp;M2409))"),"")</f>
        <v/>
      </c>
      <c r="O2409" s="29" t="str">
        <f>IFERROR(__xludf.DUMMYFUNCTION("IF(ISBLANK(B2409),"""",IF(ISDATE(B2409),TEXT(B2409,""yyyy""),""""))"),"")</f>
        <v/>
      </c>
    </row>
    <row r="2410">
      <c r="B2410" s="62"/>
      <c r="C2410" s="56"/>
      <c r="D2410" s="56"/>
      <c r="E2410" s="56"/>
      <c r="F2410" s="63"/>
      <c r="G2410" s="64"/>
      <c r="H2410" s="65"/>
      <c r="I2410" s="63"/>
      <c r="K2410" s="53" t="str">
        <f>IFERROR(__xludf.DUMMYFUNCTION("IF(ISBLANK(B2410),"""",IF(ISDATE(B2410),""X"",""""))"),"")</f>
        <v/>
      </c>
      <c r="L2410" s="40" t="str">
        <f>IFERROR(__xludf.DUMMYFUNCTION("IF(ISBLANK(B2410),"""",IF(Or(I2410=""Em Aberto"",ISBLANK(I2410),NOT(ISDATE(B2410))),"""",H2410))"),"")</f>
        <v/>
      </c>
      <c r="M2410" s="29" t="str">
        <f>IFERROR(__xludf.DUMMYFUNCTION("IF(ISBLANK(B2410),"""",IF(ISDATE(B2410),TEXT(B2410,""m""),""""))"),"")</f>
        <v/>
      </c>
      <c r="N2410" s="29" t="str">
        <f>IFERROR(__xludf.DUMMYFUNCTION("IF(M2410="""","""",QUERY({'Dashboard-Dados'!$Y$2:$AA$13},""Select Col2 Where Col1=""&amp;M2410))"),"")</f>
        <v/>
      </c>
      <c r="O2410" s="29" t="str">
        <f>IFERROR(__xludf.DUMMYFUNCTION("IF(ISBLANK(B2410),"""",IF(ISDATE(B2410),TEXT(B2410,""yyyy""),""""))"),"")</f>
        <v/>
      </c>
    </row>
    <row r="2411">
      <c r="B2411" s="62"/>
      <c r="C2411" s="56"/>
      <c r="D2411" s="56"/>
      <c r="E2411" s="56"/>
      <c r="F2411" s="63"/>
      <c r="G2411" s="64"/>
      <c r="H2411" s="65"/>
      <c r="I2411" s="63"/>
      <c r="K2411" s="53" t="str">
        <f>IFERROR(__xludf.DUMMYFUNCTION("IF(ISBLANK(B2411),"""",IF(ISDATE(B2411),""X"",""""))"),"")</f>
        <v/>
      </c>
      <c r="L2411" s="40" t="str">
        <f>IFERROR(__xludf.DUMMYFUNCTION("IF(ISBLANK(B2411),"""",IF(Or(I2411=""Em Aberto"",ISBLANK(I2411),NOT(ISDATE(B2411))),"""",H2411))"),"")</f>
        <v/>
      </c>
      <c r="M2411" s="29" t="str">
        <f>IFERROR(__xludf.DUMMYFUNCTION("IF(ISBLANK(B2411),"""",IF(ISDATE(B2411),TEXT(B2411,""m""),""""))"),"")</f>
        <v/>
      </c>
      <c r="N2411" s="29" t="str">
        <f>IFERROR(__xludf.DUMMYFUNCTION("IF(M2411="""","""",QUERY({'Dashboard-Dados'!$Y$2:$AA$13},""Select Col2 Where Col1=""&amp;M2411))"),"")</f>
        <v/>
      </c>
      <c r="O2411" s="29" t="str">
        <f>IFERROR(__xludf.DUMMYFUNCTION("IF(ISBLANK(B2411),"""",IF(ISDATE(B2411),TEXT(B2411,""yyyy""),""""))"),"")</f>
        <v/>
      </c>
    </row>
    <row r="2412">
      <c r="B2412" s="62"/>
      <c r="C2412" s="56"/>
      <c r="D2412" s="56"/>
      <c r="E2412" s="56"/>
      <c r="F2412" s="63"/>
      <c r="G2412" s="64"/>
      <c r="H2412" s="65"/>
      <c r="I2412" s="63"/>
      <c r="K2412" s="53" t="str">
        <f>IFERROR(__xludf.DUMMYFUNCTION("IF(ISBLANK(B2412),"""",IF(ISDATE(B2412),""X"",""""))"),"")</f>
        <v/>
      </c>
      <c r="L2412" s="40" t="str">
        <f>IFERROR(__xludf.DUMMYFUNCTION("IF(ISBLANK(B2412),"""",IF(Or(I2412=""Em Aberto"",ISBLANK(I2412),NOT(ISDATE(B2412))),"""",H2412))"),"")</f>
        <v/>
      </c>
      <c r="M2412" s="29" t="str">
        <f>IFERROR(__xludf.DUMMYFUNCTION("IF(ISBLANK(B2412),"""",IF(ISDATE(B2412),TEXT(B2412,""m""),""""))"),"")</f>
        <v/>
      </c>
      <c r="N2412" s="29" t="str">
        <f>IFERROR(__xludf.DUMMYFUNCTION("IF(M2412="""","""",QUERY({'Dashboard-Dados'!$Y$2:$AA$13},""Select Col2 Where Col1=""&amp;M2412))"),"")</f>
        <v/>
      </c>
      <c r="O2412" s="29" t="str">
        <f>IFERROR(__xludf.DUMMYFUNCTION("IF(ISBLANK(B2412),"""",IF(ISDATE(B2412),TEXT(B2412,""yyyy""),""""))"),"")</f>
        <v/>
      </c>
    </row>
    <row r="2413">
      <c r="B2413" s="62"/>
      <c r="C2413" s="56"/>
      <c r="D2413" s="56"/>
      <c r="E2413" s="56"/>
      <c r="F2413" s="63"/>
      <c r="G2413" s="64"/>
      <c r="H2413" s="65"/>
      <c r="I2413" s="63"/>
      <c r="K2413" s="53" t="str">
        <f>IFERROR(__xludf.DUMMYFUNCTION("IF(ISBLANK(B2413),"""",IF(ISDATE(B2413),""X"",""""))"),"")</f>
        <v/>
      </c>
      <c r="L2413" s="40" t="str">
        <f>IFERROR(__xludf.DUMMYFUNCTION("IF(ISBLANK(B2413),"""",IF(Or(I2413=""Em Aberto"",ISBLANK(I2413),NOT(ISDATE(B2413))),"""",H2413))"),"")</f>
        <v/>
      </c>
      <c r="M2413" s="29" t="str">
        <f>IFERROR(__xludf.DUMMYFUNCTION("IF(ISBLANK(B2413),"""",IF(ISDATE(B2413),TEXT(B2413,""m""),""""))"),"")</f>
        <v/>
      </c>
      <c r="N2413" s="29" t="str">
        <f>IFERROR(__xludf.DUMMYFUNCTION("IF(M2413="""","""",QUERY({'Dashboard-Dados'!$Y$2:$AA$13},""Select Col2 Where Col1=""&amp;M2413))"),"")</f>
        <v/>
      </c>
      <c r="O2413" s="29" t="str">
        <f>IFERROR(__xludf.DUMMYFUNCTION("IF(ISBLANK(B2413),"""",IF(ISDATE(B2413),TEXT(B2413,""yyyy""),""""))"),"")</f>
        <v/>
      </c>
    </row>
    <row r="2414">
      <c r="B2414" s="62"/>
      <c r="C2414" s="56"/>
      <c r="D2414" s="56"/>
      <c r="E2414" s="56"/>
      <c r="F2414" s="63"/>
      <c r="G2414" s="64"/>
      <c r="H2414" s="65"/>
      <c r="I2414" s="63"/>
      <c r="K2414" s="53" t="str">
        <f>IFERROR(__xludf.DUMMYFUNCTION("IF(ISBLANK(B2414),"""",IF(ISDATE(B2414),""X"",""""))"),"")</f>
        <v/>
      </c>
      <c r="L2414" s="40" t="str">
        <f>IFERROR(__xludf.DUMMYFUNCTION("IF(ISBLANK(B2414),"""",IF(Or(I2414=""Em Aberto"",ISBLANK(I2414),NOT(ISDATE(B2414))),"""",H2414))"),"")</f>
        <v/>
      </c>
      <c r="M2414" s="29" t="str">
        <f>IFERROR(__xludf.DUMMYFUNCTION("IF(ISBLANK(B2414),"""",IF(ISDATE(B2414),TEXT(B2414,""m""),""""))"),"")</f>
        <v/>
      </c>
      <c r="N2414" s="29" t="str">
        <f>IFERROR(__xludf.DUMMYFUNCTION("IF(M2414="""","""",QUERY({'Dashboard-Dados'!$Y$2:$AA$13},""Select Col2 Where Col1=""&amp;M2414))"),"")</f>
        <v/>
      </c>
      <c r="O2414" s="29" t="str">
        <f>IFERROR(__xludf.DUMMYFUNCTION("IF(ISBLANK(B2414),"""",IF(ISDATE(B2414),TEXT(B2414,""yyyy""),""""))"),"")</f>
        <v/>
      </c>
    </row>
    <row r="2415">
      <c r="B2415" s="62"/>
      <c r="C2415" s="56"/>
      <c r="D2415" s="56"/>
      <c r="E2415" s="56"/>
      <c r="F2415" s="63"/>
      <c r="G2415" s="64"/>
      <c r="H2415" s="65"/>
      <c r="I2415" s="63"/>
      <c r="K2415" s="53" t="str">
        <f>IFERROR(__xludf.DUMMYFUNCTION("IF(ISBLANK(B2415),"""",IF(ISDATE(B2415),""X"",""""))"),"")</f>
        <v/>
      </c>
      <c r="L2415" s="40" t="str">
        <f>IFERROR(__xludf.DUMMYFUNCTION("IF(ISBLANK(B2415),"""",IF(Or(I2415=""Em Aberto"",ISBLANK(I2415),NOT(ISDATE(B2415))),"""",H2415))"),"")</f>
        <v/>
      </c>
      <c r="M2415" s="29" t="str">
        <f>IFERROR(__xludf.DUMMYFUNCTION("IF(ISBLANK(B2415),"""",IF(ISDATE(B2415),TEXT(B2415,""m""),""""))"),"")</f>
        <v/>
      </c>
      <c r="N2415" s="29" t="str">
        <f>IFERROR(__xludf.DUMMYFUNCTION("IF(M2415="""","""",QUERY({'Dashboard-Dados'!$Y$2:$AA$13},""Select Col2 Where Col1=""&amp;M2415))"),"")</f>
        <v/>
      </c>
      <c r="O2415" s="29" t="str">
        <f>IFERROR(__xludf.DUMMYFUNCTION("IF(ISBLANK(B2415),"""",IF(ISDATE(B2415),TEXT(B2415,""yyyy""),""""))"),"")</f>
        <v/>
      </c>
    </row>
    <row r="2416">
      <c r="B2416" s="62"/>
      <c r="C2416" s="56"/>
      <c r="D2416" s="56"/>
      <c r="E2416" s="56"/>
      <c r="F2416" s="63"/>
      <c r="G2416" s="64"/>
      <c r="H2416" s="65"/>
      <c r="I2416" s="63"/>
      <c r="K2416" s="53" t="str">
        <f>IFERROR(__xludf.DUMMYFUNCTION("IF(ISBLANK(B2416),"""",IF(ISDATE(B2416),""X"",""""))"),"")</f>
        <v/>
      </c>
      <c r="L2416" s="40" t="str">
        <f>IFERROR(__xludf.DUMMYFUNCTION("IF(ISBLANK(B2416),"""",IF(Or(I2416=""Em Aberto"",ISBLANK(I2416),NOT(ISDATE(B2416))),"""",H2416))"),"")</f>
        <v/>
      </c>
      <c r="M2416" s="29" t="str">
        <f>IFERROR(__xludf.DUMMYFUNCTION("IF(ISBLANK(B2416),"""",IF(ISDATE(B2416),TEXT(B2416,""m""),""""))"),"")</f>
        <v/>
      </c>
      <c r="N2416" s="29" t="str">
        <f>IFERROR(__xludf.DUMMYFUNCTION("IF(M2416="""","""",QUERY({'Dashboard-Dados'!$Y$2:$AA$13},""Select Col2 Where Col1=""&amp;M2416))"),"")</f>
        <v/>
      </c>
      <c r="O2416" s="29" t="str">
        <f>IFERROR(__xludf.DUMMYFUNCTION("IF(ISBLANK(B2416),"""",IF(ISDATE(B2416),TEXT(B2416,""yyyy""),""""))"),"")</f>
        <v/>
      </c>
    </row>
    <row r="2417">
      <c r="B2417" s="62"/>
      <c r="C2417" s="56"/>
      <c r="D2417" s="56"/>
      <c r="E2417" s="56"/>
      <c r="F2417" s="63"/>
      <c r="G2417" s="64"/>
      <c r="H2417" s="65"/>
      <c r="I2417" s="63"/>
      <c r="K2417" s="53" t="str">
        <f>IFERROR(__xludf.DUMMYFUNCTION("IF(ISBLANK(B2417),"""",IF(ISDATE(B2417),""X"",""""))"),"")</f>
        <v/>
      </c>
      <c r="L2417" s="40" t="str">
        <f>IFERROR(__xludf.DUMMYFUNCTION("IF(ISBLANK(B2417),"""",IF(Or(I2417=""Em Aberto"",ISBLANK(I2417),NOT(ISDATE(B2417))),"""",H2417))"),"")</f>
        <v/>
      </c>
      <c r="M2417" s="29" t="str">
        <f>IFERROR(__xludf.DUMMYFUNCTION("IF(ISBLANK(B2417),"""",IF(ISDATE(B2417),TEXT(B2417,""m""),""""))"),"")</f>
        <v/>
      </c>
      <c r="N2417" s="29" t="str">
        <f>IFERROR(__xludf.DUMMYFUNCTION("IF(M2417="""","""",QUERY({'Dashboard-Dados'!$Y$2:$AA$13},""Select Col2 Where Col1=""&amp;M2417))"),"")</f>
        <v/>
      </c>
      <c r="O2417" s="29" t="str">
        <f>IFERROR(__xludf.DUMMYFUNCTION("IF(ISBLANK(B2417),"""",IF(ISDATE(B2417),TEXT(B2417,""yyyy""),""""))"),"")</f>
        <v/>
      </c>
    </row>
    <row r="2418">
      <c r="B2418" s="62"/>
      <c r="C2418" s="56"/>
      <c r="D2418" s="56"/>
      <c r="E2418" s="56"/>
      <c r="F2418" s="63"/>
      <c r="G2418" s="64"/>
      <c r="H2418" s="65"/>
      <c r="I2418" s="63"/>
      <c r="K2418" s="53" t="str">
        <f>IFERROR(__xludf.DUMMYFUNCTION("IF(ISBLANK(B2418),"""",IF(ISDATE(B2418),""X"",""""))"),"")</f>
        <v/>
      </c>
      <c r="L2418" s="40" t="str">
        <f>IFERROR(__xludf.DUMMYFUNCTION("IF(ISBLANK(B2418),"""",IF(Or(I2418=""Em Aberto"",ISBLANK(I2418),NOT(ISDATE(B2418))),"""",H2418))"),"")</f>
        <v/>
      </c>
      <c r="M2418" s="29" t="str">
        <f>IFERROR(__xludf.DUMMYFUNCTION("IF(ISBLANK(B2418),"""",IF(ISDATE(B2418),TEXT(B2418,""m""),""""))"),"")</f>
        <v/>
      </c>
      <c r="N2418" s="29" t="str">
        <f>IFERROR(__xludf.DUMMYFUNCTION("IF(M2418="""","""",QUERY({'Dashboard-Dados'!$Y$2:$AA$13},""Select Col2 Where Col1=""&amp;M2418))"),"")</f>
        <v/>
      </c>
      <c r="O2418" s="29" t="str">
        <f>IFERROR(__xludf.DUMMYFUNCTION("IF(ISBLANK(B2418),"""",IF(ISDATE(B2418),TEXT(B2418,""yyyy""),""""))"),"")</f>
        <v/>
      </c>
    </row>
    <row r="2419">
      <c r="B2419" s="62"/>
      <c r="C2419" s="56"/>
      <c r="D2419" s="56"/>
      <c r="E2419" s="56"/>
      <c r="F2419" s="63"/>
      <c r="G2419" s="64"/>
      <c r="H2419" s="65"/>
      <c r="I2419" s="63"/>
      <c r="K2419" s="53" t="str">
        <f>IFERROR(__xludf.DUMMYFUNCTION("IF(ISBLANK(B2419),"""",IF(ISDATE(B2419),""X"",""""))"),"")</f>
        <v/>
      </c>
      <c r="L2419" s="40" t="str">
        <f>IFERROR(__xludf.DUMMYFUNCTION("IF(ISBLANK(B2419),"""",IF(Or(I2419=""Em Aberto"",ISBLANK(I2419),NOT(ISDATE(B2419))),"""",H2419))"),"")</f>
        <v/>
      </c>
      <c r="M2419" s="29" t="str">
        <f>IFERROR(__xludf.DUMMYFUNCTION("IF(ISBLANK(B2419),"""",IF(ISDATE(B2419),TEXT(B2419,""m""),""""))"),"")</f>
        <v/>
      </c>
      <c r="N2419" s="29" t="str">
        <f>IFERROR(__xludf.DUMMYFUNCTION("IF(M2419="""","""",QUERY({'Dashboard-Dados'!$Y$2:$AA$13},""Select Col2 Where Col1=""&amp;M2419))"),"")</f>
        <v/>
      </c>
      <c r="O2419" s="29" t="str">
        <f>IFERROR(__xludf.DUMMYFUNCTION("IF(ISBLANK(B2419),"""",IF(ISDATE(B2419),TEXT(B2419,""yyyy""),""""))"),"")</f>
        <v/>
      </c>
    </row>
    <row r="2420">
      <c r="B2420" s="62"/>
      <c r="C2420" s="56"/>
      <c r="D2420" s="56"/>
      <c r="E2420" s="56"/>
      <c r="F2420" s="63"/>
      <c r="G2420" s="64"/>
      <c r="H2420" s="65"/>
      <c r="I2420" s="63"/>
      <c r="K2420" s="53" t="str">
        <f>IFERROR(__xludf.DUMMYFUNCTION("IF(ISBLANK(B2420),"""",IF(ISDATE(B2420),""X"",""""))"),"")</f>
        <v/>
      </c>
      <c r="L2420" s="40" t="str">
        <f>IFERROR(__xludf.DUMMYFUNCTION("IF(ISBLANK(B2420),"""",IF(Or(I2420=""Em Aberto"",ISBLANK(I2420),NOT(ISDATE(B2420))),"""",H2420))"),"")</f>
        <v/>
      </c>
      <c r="M2420" s="29" t="str">
        <f>IFERROR(__xludf.DUMMYFUNCTION("IF(ISBLANK(B2420),"""",IF(ISDATE(B2420),TEXT(B2420,""m""),""""))"),"")</f>
        <v/>
      </c>
      <c r="N2420" s="29" t="str">
        <f>IFERROR(__xludf.DUMMYFUNCTION("IF(M2420="""","""",QUERY({'Dashboard-Dados'!$Y$2:$AA$13},""Select Col2 Where Col1=""&amp;M2420))"),"")</f>
        <v/>
      </c>
      <c r="O2420" s="29" t="str">
        <f>IFERROR(__xludf.DUMMYFUNCTION("IF(ISBLANK(B2420),"""",IF(ISDATE(B2420),TEXT(B2420,""yyyy""),""""))"),"")</f>
        <v/>
      </c>
    </row>
    <row r="2421">
      <c r="B2421" s="62"/>
      <c r="C2421" s="56"/>
      <c r="D2421" s="56"/>
      <c r="E2421" s="56"/>
      <c r="F2421" s="63"/>
      <c r="G2421" s="64"/>
      <c r="H2421" s="65"/>
      <c r="I2421" s="63"/>
      <c r="K2421" s="53" t="str">
        <f>IFERROR(__xludf.DUMMYFUNCTION("IF(ISBLANK(B2421),"""",IF(ISDATE(B2421),""X"",""""))"),"")</f>
        <v/>
      </c>
      <c r="L2421" s="40" t="str">
        <f>IFERROR(__xludf.DUMMYFUNCTION("IF(ISBLANK(B2421),"""",IF(Or(I2421=""Em Aberto"",ISBLANK(I2421),NOT(ISDATE(B2421))),"""",H2421))"),"")</f>
        <v/>
      </c>
      <c r="M2421" s="29" t="str">
        <f>IFERROR(__xludf.DUMMYFUNCTION("IF(ISBLANK(B2421),"""",IF(ISDATE(B2421),TEXT(B2421,""m""),""""))"),"")</f>
        <v/>
      </c>
      <c r="N2421" s="29" t="str">
        <f>IFERROR(__xludf.DUMMYFUNCTION("IF(M2421="""","""",QUERY({'Dashboard-Dados'!$Y$2:$AA$13},""Select Col2 Where Col1=""&amp;M2421))"),"")</f>
        <v/>
      </c>
      <c r="O2421" s="29" t="str">
        <f>IFERROR(__xludf.DUMMYFUNCTION("IF(ISBLANK(B2421),"""",IF(ISDATE(B2421),TEXT(B2421,""yyyy""),""""))"),"")</f>
        <v/>
      </c>
    </row>
    <row r="2422">
      <c r="B2422" s="62"/>
      <c r="C2422" s="56"/>
      <c r="D2422" s="56"/>
      <c r="E2422" s="56"/>
      <c r="F2422" s="63"/>
      <c r="G2422" s="64"/>
      <c r="H2422" s="65"/>
      <c r="I2422" s="63"/>
      <c r="K2422" s="53" t="str">
        <f>IFERROR(__xludf.DUMMYFUNCTION("IF(ISBLANK(B2422),"""",IF(ISDATE(B2422),""X"",""""))"),"")</f>
        <v/>
      </c>
      <c r="L2422" s="40" t="str">
        <f>IFERROR(__xludf.DUMMYFUNCTION("IF(ISBLANK(B2422),"""",IF(Or(I2422=""Em Aberto"",ISBLANK(I2422),NOT(ISDATE(B2422))),"""",H2422))"),"")</f>
        <v/>
      </c>
      <c r="M2422" s="29" t="str">
        <f>IFERROR(__xludf.DUMMYFUNCTION("IF(ISBLANK(B2422),"""",IF(ISDATE(B2422),TEXT(B2422,""m""),""""))"),"")</f>
        <v/>
      </c>
      <c r="N2422" s="29" t="str">
        <f>IFERROR(__xludf.DUMMYFUNCTION("IF(M2422="""","""",QUERY({'Dashboard-Dados'!$Y$2:$AA$13},""Select Col2 Where Col1=""&amp;M2422))"),"")</f>
        <v/>
      </c>
      <c r="O2422" s="29" t="str">
        <f>IFERROR(__xludf.DUMMYFUNCTION("IF(ISBLANK(B2422),"""",IF(ISDATE(B2422),TEXT(B2422,""yyyy""),""""))"),"")</f>
        <v/>
      </c>
    </row>
    <row r="2423">
      <c r="B2423" s="62"/>
      <c r="C2423" s="56"/>
      <c r="D2423" s="56"/>
      <c r="E2423" s="56"/>
      <c r="F2423" s="63"/>
      <c r="G2423" s="64"/>
      <c r="H2423" s="65"/>
      <c r="I2423" s="63"/>
      <c r="K2423" s="53" t="str">
        <f>IFERROR(__xludf.DUMMYFUNCTION("IF(ISBLANK(B2423),"""",IF(ISDATE(B2423),""X"",""""))"),"")</f>
        <v/>
      </c>
      <c r="L2423" s="40" t="str">
        <f>IFERROR(__xludf.DUMMYFUNCTION("IF(ISBLANK(B2423),"""",IF(Or(I2423=""Em Aberto"",ISBLANK(I2423),NOT(ISDATE(B2423))),"""",H2423))"),"")</f>
        <v/>
      </c>
      <c r="M2423" s="29" t="str">
        <f>IFERROR(__xludf.DUMMYFUNCTION("IF(ISBLANK(B2423),"""",IF(ISDATE(B2423),TEXT(B2423,""m""),""""))"),"")</f>
        <v/>
      </c>
      <c r="N2423" s="29" t="str">
        <f>IFERROR(__xludf.DUMMYFUNCTION("IF(M2423="""","""",QUERY({'Dashboard-Dados'!$Y$2:$AA$13},""Select Col2 Where Col1=""&amp;M2423))"),"")</f>
        <v/>
      </c>
      <c r="O2423" s="29" t="str">
        <f>IFERROR(__xludf.DUMMYFUNCTION("IF(ISBLANK(B2423),"""",IF(ISDATE(B2423),TEXT(B2423,""yyyy""),""""))"),"")</f>
        <v/>
      </c>
    </row>
    <row r="2424">
      <c r="B2424" s="62"/>
      <c r="C2424" s="56"/>
      <c r="D2424" s="56"/>
      <c r="E2424" s="56"/>
      <c r="F2424" s="63"/>
      <c r="G2424" s="64"/>
      <c r="H2424" s="65"/>
      <c r="I2424" s="63"/>
      <c r="K2424" s="53" t="str">
        <f>IFERROR(__xludf.DUMMYFUNCTION("IF(ISBLANK(B2424),"""",IF(ISDATE(B2424),""X"",""""))"),"")</f>
        <v/>
      </c>
      <c r="L2424" s="40" t="str">
        <f>IFERROR(__xludf.DUMMYFUNCTION("IF(ISBLANK(B2424),"""",IF(Or(I2424=""Em Aberto"",ISBLANK(I2424),NOT(ISDATE(B2424))),"""",H2424))"),"")</f>
        <v/>
      </c>
      <c r="M2424" s="29" t="str">
        <f>IFERROR(__xludf.DUMMYFUNCTION("IF(ISBLANK(B2424),"""",IF(ISDATE(B2424),TEXT(B2424,""m""),""""))"),"")</f>
        <v/>
      </c>
      <c r="N2424" s="29" t="str">
        <f>IFERROR(__xludf.DUMMYFUNCTION("IF(M2424="""","""",QUERY({'Dashboard-Dados'!$Y$2:$AA$13},""Select Col2 Where Col1=""&amp;M2424))"),"")</f>
        <v/>
      </c>
      <c r="O2424" s="29" t="str">
        <f>IFERROR(__xludf.DUMMYFUNCTION("IF(ISBLANK(B2424),"""",IF(ISDATE(B2424),TEXT(B2424,""yyyy""),""""))"),"")</f>
        <v/>
      </c>
    </row>
    <row r="2425">
      <c r="B2425" s="62"/>
      <c r="C2425" s="56"/>
      <c r="D2425" s="56"/>
      <c r="E2425" s="56"/>
      <c r="F2425" s="63"/>
      <c r="G2425" s="64"/>
      <c r="H2425" s="65"/>
      <c r="I2425" s="63"/>
      <c r="K2425" s="53" t="str">
        <f>IFERROR(__xludf.DUMMYFUNCTION("IF(ISBLANK(B2425),"""",IF(ISDATE(B2425),""X"",""""))"),"")</f>
        <v/>
      </c>
      <c r="L2425" s="40" t="str">
        <f>IFERROR(__xludf.DUMMYFUNCTION("IF(ISBLANK(B2425),"""",IF(Or(I2425=""Em Aberto"",ISBLANK(I2425),NOT(ISDATE(B2425))),"""",H2425))"),"")</f>
        <v/>
      </c>
      <c r="M2425" s="29" t="str">
        <f>IFERROR(__xludf.DUMMYFUNCTION("IF(ISBLANK(B2425),"""",IF(ISDATE(B2425),TEXT(B2425,""m""),""""))"),"")</f>
        <v/>
      </c>
      <c r="N2425" s="29" t="str">
        <f>IFERROR(__xludf.DUMMYFUNCTION("IF(M2425="""","""",QUERY({'Dashboard-Dados'!$Y$2:$AA$13},""Select Col2 Where Col1=""&amp;M2425))"),"")</f>
        <v/>
      </c>
      <c r="O2425" s="29" t="str">
        <f>IFERROR(__xludf.DUMMYFUNCTION("IF(ISBLANK(B2425),"""",IF(ISDATE(B2425),TEXT(B2425,""yyyy""),""""))"),"")</f>
        <v/>
      </c>
    </row>
    <row r="2426">
      <c r="B2426" s="62"/>
      <c r="C2426" s="56"/>
      <c r="D2426" s="56"/>
      <c r="E2426" s="56"/>
      <c r="F2426" s="63"/>
      <c r="G2426" s="64"/>
      <c r="H2426" s="65"/>
      <c r="I2426" s="63"/>
      <c r="K2426" s="53" t="str">
        <f>IFERROR(__xludf.DUMMYFUNCTION("IF(ISBLANK(B2426),"""",IF(ISDATE(B2426),""X"",""""))"),"")</f>
        <v/>
      </c>
      <c r="L2426" s="40" t="str">
        <f>IFERROR(__xludf.DUMMYFUNCTION("IF(ISBLANK(B2426),"""",IF(Or(I2426=""Em Aberto"",ISBLANK(I2426),NOT(ISDATE(B2426))),"""",H2426))"),"")</f>
        <v/>
      </c>
      <c r="M2426" s="29" t="str">
        <f>IFERROR(__xludf.DUMMYFUNCTION("IF(ISBLANK(B2426),"""",IF(ISDATE(B2426),TEXT(B2426,""m""),""""))"),"")</f>
        <v/>
      </c>
      <c r="N2426" s="29" t="str">
        <f>IFERROR(__xludf.DUMMYFUNCTION("IF(M2426="""","""",QUERY({'Dashboard-Dados'!$Y$2:$AA$13},""Select Col2 Where Col1=""&amp;M2426))"),"")</f>
        <v/>
      </c>
      <c r="O2426" s="29" t="str">
        <f>IFERROR(__xludf.DUMMYFUNCTION("IF(ISBLANK(B2426),"""",IF(ISDATE(B2426),TEXT(B2426,""yyyy""),""""))"),"")</f>
        <v/>
      </c>
    </row>
    <row r="2427">
      <c r="B2427" s="62"/>
      <c r="C2427" s="56"/>
      <c r="D2427" s="56"/>
      <c r="E2427" s="56"/>
      <c r="F2427" s="63"/>
      <c r="G2427" s="64"/>
      <c r="H2427" s="65"/>
      <c r="I2427" s="63"/>
      <c r="K2427" s="53" t="str">
        <f>IFERROR(__xludf.DUMMYFUNCTION("IF(ISBLANK(B2427),"""",IF(ISDATE(B2427),""X"",""""))"),"")</f>
        <v/>
      </c>
      <c r="L2427" s="40" t="str">
        <f>IFERROR(__xludf.DUMMYFUNCTION("IF(ISBLANK(B2427),"""",IF(Or(I2427=""Em Aberto"",ISBLANK(I2427),NOT(ISDATE(B2427))),"""",H2427))"),"")</f>
        <v/>
      </c>
      <c r="M2427" s="29" t="str">
        <f>IFERROR(__xludf.DUMMYFUNCTION("IF(ISBLANK(B2427),"""",IF(ISDATE(B2427),TEXT(B2427,""m""),""""))"),"")</f>
        <v/>
      </c>
      <c r="N2427" s="29" t="str">
        <f>IFERROR(__xludf.DUMMYFUNCTION("IF(M2427="""","""",QUERY({'Dashboard-Dados'!$Y$2:$AA$13},""Select Col2 Where Col1=""&amp;M2427))"),"")</f>
        <v/>
      </c>
      <c r="O2427" s="29" t="str">
        <f>IFERROR(__xludf.DUMMYFUNCTION("IF(ISBLANK(B2427),"""",IF(ISDATE(B2427),TEXT(B2427,""yyyy""),""""))"),"")</f>
        <v/>
      </c>
    </row>
    <row r="2428">
      <c r="B2428" s="62"/>
      <c r="C2428" s="56"/>
      <c r="D2428" s="56"/>
      <c r="E2428" s="56"/>
      <c r="F2428" s="63"/>
      <c r="G2428" s="64"/>
      <c r="H2428" s="65"/>
      <c r="I2428" s="63"/>
      <c r="K2428" s="53" t="str">
        <f>IFERROR(__xludf.DUMMYFUNCTION("IF(ISBLANK(B2428),"""",IF(ISDATE(B2428),""X"",""""))"),"")</f>
        <v/>
      </c>
      <c r="L2428" s="40" t="str">
        <f>IFERROR(__xludf.DUMMYFUNCTION("IF(ISBLANK(B2428),"""",IF(Or(I2428=""Em Aberto"",ISBLANK(I2428),NOT(ISDATE(B2428))),"""",H2428))"),"")</f>
        <v/>
      </c>
      <c r="M2428" s="29" t="str">
        <f>IFERROR(__xludf.DUMMYFUNCTION("IF(ISBLANK(B2428),"""",IF(ISDATE(B2428),TEXT(B2428,""m""),""""))"),"")</f>
        <v/>
      </c>
      <c r="N2428" s="29" t="str">
        <f>IFERROR(__xludf.DUMMYFUNCTION("IF(M2428="""","""",QUERY({'Dashboard-Dados'!$Y$2:$AA$13},""Select Col2 Where Col1=""&amp;M2428))"),"")</f>
        <v/>
      </c>
      <c r="O2428" s="29" t="str">
        <f>IFERROR(__xludf.DUMMYFUNCTION("IF(ISBLANK(B2428),"""",IF(ISDATE(B2428),TEXT(B2428,""yyyy""),""""))"),"")</f>
        <v/>
      </c>
    </row>
    <row r="2429">
      <c r="B2429" s="62"/>
      <c r="C2429" s="56"/>
      <c r="D2429" s="56"/>
      <c r="E2429" s="56"/>
      <c r="F2429" s="63"/>
      <c r="G2429" s="64"/>
      <c r="H2429" s="65"/>
      <c r="I2429" s="63"/>
      <c r="K2429" s="53" t="str">
        <f>IFERROR(__xludf.DUMMYFUNCTION("IF(ISBLANK(B2429),"""",IF(ISDATE(B2429),""X"",""""))"),"")</f>
        <v/>
      </c>
      <c r="L2429" s="40" t="str">
        <f>IFERROR(__xludf.DUMMYFUNCTION("IF(ISBLANK(B2429),"""",IF(Or(I2429=""Em Aberto"",ISBLANK(I2429),NOT(ISDATE(B2429))),"""",H2429))"),"")</f>
        <v/>
      </c>
      <c r="M2429" s="29" t="str">
        <f>IFERROR(__xludf.DUMMYFUNCTION("IF(ISBLANK(B2429),"""",IF(ISDATE(B2429),TEXT(B2429,""m""),""""))"),"")</f>
        <v/>
      </c>
      <c r="N2429" s="29" t="str">
        <f>IFERROR(__xludf.DUMMYFUNCTION("IF(M2429="""","""",QUERY({'Dashboard-Dados'!$Y$2:$AA$13},""Select Col2 Where Col1=""&amp;M2429))"),"")</f>
        <v/>
      </c>
      <c r="O2429" s="29" t="str">
        <f>IFERROR(__xludf.DUMMYFUNCTION("IF(ISBLANK(B2429),"""",IF(ISDATE(B2429),TEXT(B2429,""yyyy""),""""))"),"")</f>
        <v/>
      </c>
    </row>
    <row r="2430">
      <c r="B2430" s="62"/>
      <c r="C2430" s="56"/>
      <c r="D2430" s="56"/>
      <c r="E2430" s="56"/>
      <c r="F2430" s="63"/>
      <c r="G2430" s="64"/>
      <c r="H2430" s="65"/>
      <c r="I2430" s="63"/>
      <c r="K2430" s="53" t="str">
        <f>IFERROR(__xludf.DUMMYFUNCTION("IF(ISBLANK(B2430),"""",IF(ISDATE(B2430),""X"",""""))"),"")</f>
        <v/>
      </c>
      <c r="L2430" s="40" t="str">
        <f>IFERROR(__xludf.DUMMYFUNCTION("IF(ISBLANK(B2430),"""",IF(Or(I2430=""Em Aberto"",ISBLANK(I2430),NOT(ISDATE(B2430))),"""",H2430))"),"")</f>
        <v/>
      </c>
      <c r="M2430" s="29" t="str">
        <f>IFERROR(__xludf.DUMMYFUNCTION("IF(ISBLANK(B2430),"""",IF(ISDATE(B2430),TEXT(B2430,""m""),""""))"),"")</f>
        <v/>
      </c>
      <c r="N2430" s="29" t="str">
        <f>IFERROR(__xludf.DUMMYFUNCTION("IF(M2430="""","""",QUERY({'Dashboard-Dados'!$Y$2:$AA$13},""Select Col2 Where Col1=""&amp;M2430))"),"")</f>
        <v/>
      </c>
      <c r="O2430" s="29" t="str">
        <f>IFERROR(__xludf.DUMMYFUNCTION("IF(ISBLANK(B2430),"""",IF(ISDATE(B2430),TEXT(B2430,""yyyy""),""""))"),"")</f>
        <v/>
      </c>
    </row>
    <row r="2431">
      <c r="B2431" s="62"/>
      <c r="C2431" s="56"/>
      <c r="D2431" s="56"/>
      <c r="E2431" s="56"/>
      <c r="F2431" s="63"/>
      <c r="G2431" s="64"/>
      <c r="H2431" s="65"/>
      <c r="I2431" s="63"/>
      <c r="K2431" s="53" t="str">
        <f>IFERROR(__xludf.DUMMYFUNCTION("IF(ISBLANK(B2431),"""",IF(ISDATE(B2431),""X"",""""))"),"")</f>
        <v/>
      </c>
      <c r="L2431" s="40" t="str">
        <f>IFERROR(__xludf.DUMMYFUNCTION("IF(ISBLANK(B2431),"""",IF(Or(I2431=""Em Aberto"",ISBLANK(I2431),NOT(ISDATE(B2431))),"""",H2431))"),"")</f>
        <v/>
      </c>
      <c r="M2431" s="29" t="str">
        <f>IFERROR(__xludf.DUMMYFUNCTION("IF(ISBLANK(B2431),"""",IF(ISDATE(B2431),TEXT(B2431,""m""),""""))"),"")</f>
        <v/>
      </c>
      <c r="N2431" s="29" t="str">
        <f>IFERROR(__xludf.DUMMYFUNCTION("IF(M2431="""","""",QUERY({'Dashboard-Dados'!$Y$2:$AA$13},""Select Col2 Where Col1=""&amp;M2431))"),"")</f>
        <v/>
      </c>
      <c r="O2431" s="29" t="str">
        <f>IFERROR(__xludf.DUMMYFUNCTION("IF(ISBLANK(B2431),"""",IF(ISDATE(B2431),TEXT(B2431,""yyyy""),""""))"),"")</f>
        <v/>
      </c>
    </row>
    <row r="2432">
      <c r="B2432" s="62"/>
      <c r="C2432" s="56"/>
      <c r="D2432" s="56"/>
      <c r="E2432" s="56"/>
      <c r="F2432" s="63"/>
      <c r="G2432" s="64"/>
      <c r="H2432" s="65"/>
      <c r="I2432" s="63"/>
      <c r="K2432" s="53" t="str">
        <f>IFERROR(__xludf.DUMMYFUNCTION("IF(ISBLANK(B2432),"""",IF(ISDATE(B2432),""X"",""""))"),"")</f>
        <v/>
      </c>
      <c r="L2432" s="40" t="str">
        <f>IFERROR(__xludf.DUMMYFUNCTION("IF(ISBLANK(B2432),"""",IF(Or(I2432=""Em Aberto"",ISBLANK(I2432),NOT(ISDATE(B2432))),"""",H2432))"),"")</f>
        <v/>
      </c>
      <c r="M2432" s="29" t="str">
        <f>IFERROR(__xludf.DUMMYFUNCTION("IF(ISBLANK(B2432),"""",IF(ISDATE(B2432),TEXT(B2432,""m""),""""))"),"")</f>
        <v/>
      </c>
      <c r="N2432" s="29" t="str">
        <f>IFERROR(__xludf.DUMMYFUNCTION("IF(M2432="""","""",QUERY({'Dashboard-Dados'!$Y$2:$AA$13},""Select Col2 Where Col1=""&amp;M2432))"),"")</f>
        <v/>
      </c>
      <c r="O2432" s="29" t="str">
        <f>IFERROR(__xludf.DUMMYFUNCTION("IF(ISBLANK(B2432),"""",IF(ISDATE(B2432),TEXT(B2432,""yyyy""),""""))"),"")</f>
        <v/>
      </c>
    </row>
    <row r="2433">
      <c r="B2433" s="62"/>
      <c r="C2433" s="56"/>
      <c r="D2433" s="56"/>
      <c r="E2433" s="56"/>
      <c r="F2433" s="63"/>
      <c r="G2433" s="64"/>
      <c r="H2433" s="65"/>
      <c r="I2433" s="63"/>
      <c r="K2433" s="53" t="str">
        <f>IFERROR(__xludf.DUMMYFUNCTION("IF(ISBLANK(B2433),"""",IF(ISDATE(B2433),""X"",""""))"),"")</f>
        <v/>
      </c>
      <c r="L2433" s="40" t="str">
        <f>IFERROR(__xludf.DUMMYFUNCTION("IF(ISBLANK(B2433),"""",IF(Or(I2433=""Em Aberto"",ISBLANK(I2433),NOT(ISDATE(B2433))),"""",H2433))"),"")</f>
        <v/>
      </c>
      <c r="M2433" s="29" t="str">
        <f>IFERROR(__xludf.DUMMYFUNCTION("IF(ISBLANK(B2433),"""",IF(ISDATE(B2433),TEXT(B2433,""m""),""""))"),"")</f>
        <v/>
      </c>
      <c r="N2433" s="29" t="str">
        <f>IFERROR(__xludf.DUMMYFUNCTION("IF(M2433="""","""",QUERY({'Dashboard-Dados'!$Y$2:$AA$13},""Select Col2 Where Col1=""&amp;M2433))"),"")</f>
        <v/>
      </c>
      <c r="O2433" s="29" t="str">
        <f>IFERROR(__xludf.DUMMYFUNCTION("IF(ISBLANK(B2433),"""",IF(ISDATE(B2433),TEXT(B2433,""yyyy""),""""))"),"")</f>
        <v/>
      </c>
    </row>
    <row r="2434">
      <c r="B2434" s="62"/>
      <c r="C2434" s="56"/>
      <c r="D2434" s="56"/>
      <c r="E2434" s="56"/>
      <c r="F2434" s="63"/>
      <c r="G2434" s="64"/>
      <c r="H2434" s="65"/>
      <c r="I2434" s="63"/>
      <c r="K2434" s="53" t="str">
        <f>IFERROR(__xludf.DUMMYFUNCTION("IF(ISBLANK(B2434),"""",IF(ISDATE(B2434),""X"",""""))"),"")</f>
        <v/>
      </c>
      <c r="L2434" s="40" t="str">
        <f>IFERROR(__xludf.DUMMYFUNCTION("IF(ISBLANK(B2434),"""",IF(Or(I2434=""Em Aberto"",ISBLANK(I2434),NOT(ISDATE(B2434))),"""",H2434))"),"")</f>
        <v/>
      </c>
      <c r="M2434" s="29" t="str">
        <f>IFERROR(__xludf.DUMMYFUNCTION("IF(ISBLANK(B2434),"""",IF(ISDATE(B2434),TEXT(B2434,""m""),""""))"),"")</f>
        <v/>
      </c>
      <c r="N2434" s="29" t="str">
        <f>IFERROR(__xludf.DUMMYFUNCTION("IF(M2434="""","""",QUERY({'Dashboard-Dados'!$Y$2:$AA$13},""Select Col2 Where Col1=""&amp;M2434))"),"")</f>
        <v/>
      </c>
      <c r="O2434" s="29" t="str">
        <f>IFERROR(__xludf.DUMMYFUNCTION("IF(ISBLANK(B2434),"""",IF(ISDATE(B2434),TEXT(B2434,""yyyy""),""""))"),"")</f>
        <v/>
      </c>
    </row>
    <row r="2435">
      <c r="B2435" s="62"/>
      <c r="C2435" s="56"/>
      <c r="D2435" s="56"/>
      <c r="E2435" s="56"/>
      <c r="F2435" s="63"/>
      <c r="G2435" s="64"/>
      <c r="H2435" s="65"/>
      <c r="I2435" s="63"/>
      <c r="K2435" s="53" t="str">
        <f>IFERROR(__xludf.DUMMYFUNCTION("IF(ISBLANK(B2435),"""",IF(ISDATE(B2435),""X"",""""))"),"")</f>
        <v/>
      </c>
      <c r="L2435" s="40" t="str">
        <f>IFERROR(__xludf.DUMMYFUNCTION("IF(ISBLANK(B2435),"""",IF(Or(I2435=""Em Aberto"",ISBLANK(I2435),NOT(ISDATE(B2435))),"""",H2435))"),"")</f>
        <v/>
      </c>
      <c r="M2435" s="29" t="str">
        <f>IFERROR(__xludf.DUMMYFUNCTION("IF(ISBLANK(B2435),"""",IF(ISDATE(B2435),TEXT(B2435,""m""),""""))"),"")</f>
        <v/>
      </c>
      <c r="N2435" s="29" t="str">
        <f>IFERROR(__xludf.DUMMYFUNCTION("IF(M2435="""","""",QUERY({'Dashboard-Dados'!$Y$2:$AA$13},""Select Col2 Where Col1=""&amp;M2435))"),"")</f>
        <v/>
      </c>
      <c r="O2435" s="29" t="str">
        <f>IFERROR(__xludf.DUMMYFUNCTION("IF(ISBLANK(B2435),"""",IF(ISDATE(B2435),TEXT(B2435,""yyyy""),""""))"),"")</f>
        <v/>
      </c>
    </row>
    <row r="2436">
      <c r="B2436" s="62"/>
      <c r="C2436" s="56"/>
      <c r="D2436" s="56"/>
      <c r="E2436" s="56"/>
      <c r="F2436" s="63"/>
      <c r="G2436" s="64"/>
      <c r="H2436" s="65"/>
      <c r="I2436" s="63"/>
      <c r="K2436" s="53" t="str">
        <f>IFERROR(__xludf.DUMMYFUNCTION("IF(ISBLANK(B2436),"""",IF(ISDATE(B2436),""X"",""""))"),"")</f>
        <v/>
      </c>
      <c r="L2436" s="40" t="str">
        <f>IFERROR(__xludf.DUMMYFUNCTION("IF(ISBLANK(B2436),"""",IF(Or(I2436=""Em Aberto"",ISBLANK(I2436),NOT(ISDATE(B2436))),"""",H2436))"),"")</f>
        <v/>
      </c>
      <c r="M2436" s="29" t="str">
        <f>IFERROR(__xludf.DUMMYFUNCTION("IF(ISBLANK(B2436),"""",IF(ISDATE(B2436),TEXT(B2436,""m""),""""))"),"")</f>
        <v/>
      </c>
      <c r="N2436" s="29" t="str">
        <f>IFERROR(__xludf.DUMMYFUNCTION("IF(M2436="""","""",QUERY({'Dashboard-Dados'!$Y$2:$AA$13},""Select Col2 Where Col1=""&amp;M2436))"),"")</f>
        <v/>
      </c>
      <c r="O2436" s="29" t="str">
        <f>IFERROR(__xludf.DUMMYFUNCTION("IF(ISBLANK(B2436),"""",IF(ISDATE(B2436),TEXT(B2436,""yyyy""),""""))"),"")</f>
        <v/>
      </c>
    </row>
    <row r="2437">
      <c r="B2437" s="62"/>
      <c r="C2437" s="56"/>
      <c r="D2437" s="56"/>
      <c r="E2437" s="56"/>
      <c r="F2437" s="63"/>
      <c r="G2437" s="64"/>
      <c r="H2437" s="65"/>
      <c r="I2437" s="63"/>
      <c r="K2437" s="53" t="str">
        <f>IFERROR(__xludf.DUMMYFUNCTION("IF(ISBLANK(B2437),"""",IF(ISDATE(B2437),""X"",""""))"),"")</f>
        <v/>
      </c>
      <c r="L2437" s="40" t="str">
        <f>IFERROR(__xludf.DUMMYFUNCTION("IF(ISBLANK(B2437),"""",IF(Or(I2437=""Em Aberto"",ISBLANK(I2437),NOT(ISDATE(B2437))),"""",H2437))"),"")</f>
        <v/>
      </c>
      <c r="M2437" s="29" t="str">
        <f>IFERROR(__xludf.DUMMYFUNCTION("IF(ISBLANK(B2437),"""",IF(ISDATE(B2437),TEXT(B2437,""m""),""""))"),"")</f>
        <v/>
      </c>
      <c r="N2437" s="29" t="str">
        <f>IFERROR(__xludf.DUMMYFUNCTION("IF(M2437="""","""",QUERY({'Dashboard-Dados'!$Y$2:$AA$13},""Select Col2 Where Col1=""&amp;M2437))"),"")</f>
        <v/>
      </c>
      <c r="O2437" s="29" t="str">
        <f>IFERROR(__xludf.DUMMYFUNCTION("IF(ISBLANK(B2437),"""",IF(ISDATE(B2437),TEXT(B2437,""yyyy""),""""))"),"")</f>
        <v/>
      </c>
    </row>
    <row r="2438">
      <c r="B2438" s="62"/>
      <c r="C2438" s="56"/>
      <c r="D2438" s="56"/>
      <c r="E2438" s="56"/>
      <c r="F2438" s="63"/>
      <c r="G2438" s="64"/>
      <c r="H2438" s="65"/>
      <c r="I2438" s="63"/>
      <c r="K2438" s="53" t="str">
        <f>IFERROR(__xludf.DUMMYFUNCTION("IF(ISBLANK(B2438),"""",IF(ISDATE(B2438),""X"",""""))"),"")</f>
        <v/>
      </c>
      <c r="L2438" s="40" t="str">
        <f>IFERROR(__xludf.DUMMYFUNCTION("IF(ISBLANK(B2438),"""",IF(Or(I2438=""Em Aberto"",ISBLANK(I2438),NOT(ISDATE(B2438))),"""",H2438))"),"")</f>
        <v/>
      </c>
      <c r="M2438" s="29" t="str">
        <f>IFERROR(__xludf.DUMMYFUNCTION("IF(ISBLANK(B2438),"""",IF(ISDATE(B2438),TEXT(B2438,""m""),""""))"),"")</f>
        <v/>
      </c>
      <c r="N2438" s="29" t="str">
        <f>IFERROR(__xludf.DUMMYFUNCTION("IF(M2438="""","""",QUERY({'Dashboard-Dados'!$Y$2:$AA$13},""Select Col2 Where Col1=""&amp;M2438))"),"")</f>
        <v/>
      </c>
      <c r="O2438" s="29" t="str">
        <f>IFERROR(__xludf.DUMMYFUNCTION("IF(ISBLANK(B2438),"""",IF(ISDATE(B2438),TEXT(B2438,""yyyy""),""""))"),"")</f>
        <v/>
      </c>
    </row>
    <row r="2439">
      <c r="B2439" s="62"/>
      <c r="C2439" s="56"/>
      <c r="D2439" s="56"/>
      <c r="E2439" s="56"/>
      <c r="F2439" s="63"/>
      <c r="G2439" s="64"/>
      <c r="H2439" s="65"/>
      <c r="I2439" s="63"/>
      <c r="K2439" s="53" t="str">
        <f>IFERROR(__xludf.DUMMYFUNCTION("IF(ISBLANK(B2439),"""",IF(ISDATE(B2439),""X"",""""))"),"")</f>
        <v/>
      </c>
      <c r="L2439" s="40" t="str">
        <f>IFERROR(__xludf.DUMMYFUNCTION("IF(ISBLANK(B2439),"""",IF(Or(I2439=""Em Aberto"",ISBLANK(I2439),NOT(ISDATE(B2439))),"""",H2439))"),"")</f>
        <v/>
      </c>
      <c r="M2439" s="29" t="str">
        <f>IFERROR(__xludf.DUMMYFUNCTION("IF(ISBLANK(B2439),"""",IF(ISDATE(B2439),TEXT(B2439,""m""),""""))"),"")</f>
        <v/>
      </c>
      <c r="N2439" s="29" t="str">
        <f>IFERROR(__xludf.DUMMYFUNCTION("IF(M2439="""","""",QUERY({'Dashboard-Dados'!$Y$2:$AA$13},""Select Col2 Where Col1=""&amp;M2439))"),"")</f>
        <v/>
      </c>
      <c r="O2439" s="29" t="str">
        <f>IFERROR(__xludf.DUMMYFUNCTION("IF(ISBLANK(B2439),"""",IF(ISDATE(B2439),TEXT(B2439,""yyyy""),""""))"),"")</f>
        <v/>
      </c>
    </row>
    <row r="2440">
      <c r="B2440" s="62"/>
      <c r="C2440" s="56"/>
      <c r="D2440" s="56"/>
      <c r="E2440" s="56"/>
      <c r="F2440" s="63"/>
      <c r="G2440" s="64"/>
      <c r="H2440" s="65"/>
      <c r="I2440" s="63"/>
      <c r="K2440" s="53" t="str">
        <f>IFERROR(__xludf.DUMMYFUNCTION("IF(ISBLANK(B2440),"""",IF(ISDATE(B2440),""X"",""""))"),"")</f>
        <v/>
      </c>
      <c r="L2440" s="40" t="str">
        <f>IFERROR(__xludf.DUMMYFUNCTION("IF(ISBLANK(B2440),"""",IF(Or(I2440=""Em Aberto"",ISBLANK(I2440),NOT(ISDATE(B2440))),"""",H2440))"),"")</f>
        <v/>
      </c>
      <c r="M2440" s="29" t="str">
        <f>IFERROR(__xludf.DUMMYFUNCTION("IF(ISBLANK(B2440),"""",IF(ISDATE(B2440),TEXT(B2440,""m""),""""))"),"")</f>
        <v/>
      </c>
      <c r="N2440" s="29" t="str">
        <f>IFERROR(__xludf.DUMMYFUNCTION("IF(M2440="""","""",QUERY({'Dashboard-Dados'!$Y$2:$AA$13},""Select Col2 Where Col1=""&amp;M2440))"),"")</f>
        <v/>
      </c>
      <c r="O2440" s="29" t="str">
        <f>IFERROR(__xludf.DUMMYFUNCTION("IF(ISBLANK(B2440),"""",IF(ISDATE(B2440),TEXT(B2440,""yyyy""),""""))"),"")</f>
        <v/>
      </c>
    </row>
    <row r="2441">
      <c r="B2441" s="62"/>
      <c r="C2441" s="56"/>
      <c r="D2441" s="56"/>
      <c r="E2441" s="56"/>
      <c r="F2441" s="63"/>
      <c r="G2441" s="64"/>
      <c r="H2441" s="65"/>
      <c r="I2441" s="63"/>
      <c r="K2441" s="53" t="str">
        <f>IFERROR(__xludf.DUMMYFUNCTION("IF(ISBLANK(B2441),"""",IF(ISDATE(B2441),""X"",""""))"),"")</f>
        <v/>
      </c>
      <c r="L2441" s="40" t="str">
        <f>IFERROR(__xludf.DUMMYFUNCTION("IF(ISBLANK(B2441),"""",IF(Or(I2441=""Em Aberto"",ISBLANK(I2441),NOT(ISDATE(B2441))),"""",H2441))"),"")</f>
        <v/>
      </c>
      <c r="M2441" s="29" t="str">
        <f>IFERROR(__xludf.DUMMYFUNCTION("IF(ISBLANK(B2441),"""",IF(ISDATE(B2441),TEXT(B2441,""m""),""""))"),"")</f>
        <v/>
      </c>
      <c r="N2441" s="29" t="str">
        <f>IFERROR(__xludf.DUMMYFUNCTION("IF(M2441="""","""",QUERY({'Dashboard-Dados'!$Y$2:$AA$13},""Select Col2 Where Col1=""&amp;M2441))"),"")</f>
        <v/>
      </c>
      <c r="O2441" s="29" t="str">
        <f>IFERROR(__xludf.DUMMYFUNCTION("IF(ISBLANK(B2441),"""",IF(ISDATE(B2441),TEXT(B2441,""yyyy""),""""))"),"")</f>
        <v/>
      </c>
    </row>
    <row r="2442">
      <c r="B2442" s="62"/>
      <c r="C2442" s="56"/>
      <c r="D2442" s="56"/>
      <c r="E2442" s="56"/>
      <c r="F2442" s="63"/>
      <c r="G2442" s="64"/>
      <c r="H2442" s="65"/>
      <c r="I2442" s="63"/>
      <c r="K2442" s="53" t="str">
        <f>IFERROR(__xludf.DUMMYFUNCTION("IF(ISBLANK(B2442),"""",IF(ISDATE(B2442),""X"",""""))"),"")</f>
        <v/>
      </c>
      <c r="L2442" s="40" t="str">
        <f>IFERROR(__xludf.DUMMYFUNCTION("IF(ISBLANK(B2442),"""",IF(Or(I2442=""Em Aberto"",ISBLANK(I2442),NOT(ISDATE(B2442))),"""",H2442))"),"")</f>
        <v/>
      </c>
      <c r="M2442" s="29" t="str">
        <f>IFERROR(__xludf.DUMMYFUNCTION("IF(ISBLANK(B2442),"""",IF(ISDATE(B2442),TEXT(B2442,""m""),""""))"),"")</f>
        <v/>
      </c>
      <c r="N2442" s="29" t="str">
        <f>IFERROR(__xludf.DUMMYFUNCTION("IF(M2442="""","""",QUERY({'Dashboard-Dados'!$Y$2:$AA$13},""Select Col2 Where Col1=""&amp;M2442))"),"")</f>
        <v/>
      </c>
      <c r="O2442" s="29" t="str">
        <f>IFERROR(__xludf.DUMMYFUNCTION("IF(ISBLANK(B2442),"""",IF(ISDATE(B2442),TEXT(B2442,""yyyy""),""""))"),"")</f>
        <v/>
      </c>
    </row>
    <row r="2443">
      <c r="B2443" s="62"/>
      <c r="C2443" s="56"/>
      <c r="D2443" s="56"/>
      <c r="E2443" s="56"/>
      <c r="F2443" s="63"/>
      <c r="G2443" s="64"/>
      <c r="H2443" s="65"/>
      <c r="I2443" s="63"/>
      <c r="K2443" s="53" t="str">
        <f>IFERROR(__xludf.DUMMYFUNCTION("IF(ISBLANK(B2443),"""",IF(ISDATE(B2443),""X"",""""))"),"")</f>
        <v/>
      </c>
      <c r="L2443" s="40" t="str">
        <f>IFERROR(__xludf.DUMMYFUNCTION("IF(ISBLANK(B2443),"""",IF(Or(I2443=""Em Aberto"",ISBLANK(I2443),NOT(ISDATE(B2443))),"""",H2443))"),"")</f>
        <v/>
      </c>
      <c r="M2443" s="29" t="str">
        <f>IFERROR(__xludf.DUMMYFUNCTION("IF(ISBLANK(B2443),"""",IF(ISDATE(B2443),TEXT(B2443,""m""),""""))"),"")</f>
        <v/>
      </c>
      <c r="N2443" s="29" t="str">
        <f>IFERROR(__xludf.DUMMYFUNCTION("IF(M2443="""","""",QUERY({'Dashboard-Dados'!$Y$2:$AA$13},""Select Col2 Where Col1=""&amp;M2443))"),"")</f>
        <v/>
      </c>
      <c r="O2443" s="29" t="str">
        <f>IFERROR(__xludf.DUMMYFUNCTION("IF(ISBLANK(B2443),"""",IF(ISDATE(B2443),TEXT(B2443,""yyyy""),""""))"),"")</f>
        <v/>
      </c>
    </row>
    <row r="2444">
      <c r="B2444" s="62"/>
      <c r="C2444" s="56"/>
      <c r="D2444" s="56"/>
      <c r="E2444" s="56"/>
      <c r="F2444" s="63"/>
      <c r="G2444" s="64"/>
      <c r="H2444" s="65"/>
      <c r="I2444" s="63"/>
      <c r="K2444" s="53" t="str">
        <f>IFERROR(__xludf.DUMMYFUNCTION("IF(ISBLANK(B2444),"""",IF(ISDATE(B2444),""X"",""""))"),"")</f>
        <v/>
      </c>
      <c r="L2444" s="40" t="str">
        <f>IFERROR(__xludf.DUMMYFUNCTION("IF(ISBLANK(B2444),"""",IF(Or(I2444=""Em Aberto"",ISBLANK(I2444),NOT(ISDATE(B2444))),"""",H2444))"),"")</f>
        <v/>
      </c>
      <c r="M2444" s="29" t="str">
        <f>IFERROR(__xludf.DUMMYFUNCTION("IF(ISBLANK(B2444),"""",IF(ISDATE(B2444),TEXT(B2444,""m""),""""))"),"")</f>
        <v/>
      </c>
      <c r="N2444" s="29" t="str">
        <f>IFERROR(__xludf.DUMMYFUNCTION("IF(M2444="""","""",QUERY({'Dashboard-Dados'!$Y$2:$AA$13},""Select Col2 Where Col1=""&amp;M2444))"),"")</f>
        <v/>
      </c>
      <c r="O2444" s="29" t="str">
        <f>IFERROR(__xludf.DUMMYFUNCTION("IF(ISBLANK(B2444),"""",IF(ISDATE(B2444),TEXT(B2444,""yyyy""),""""))"),"")</f>
        <v/>
      </c>
    </row>
    <row r="2445">
      <c r="B2445" s="62"/>
      <c r="C2445" s="56"/>
      <c r="D2445" s="56"/>
      <c r="E2445" s="56"/>
      <c r="F2445" s="63"/>
      <c r="G2445" s="64"/>
      <c r="H2445" s="65"/>
      <c r="I2445" s="63"/>
      <c r="K2445" s="53" t="str">
        <f>IFERROR(__xludf.DUMMYFUNCTION("IF(ISBLANK(B2445),"""",IF(ISDATE(B2445),""X"",""""))"),"")</f>
        <v/>
      </c>
      <c r="L2445" s="40" t="str">
        <f>IFERROR(__xludf.DUMMYFUNCTION("IF(ISBLANK(B2445),"""",IF(Or(I2445=""Em Aberto"",ISBLANK(I2445),NOT(ISDATE(B2445))),"""",H2445))"),"")</f>
        <v/>
      </c>
      <c r="M2445" s="29" t="str">
        <f>IFERROR(__xludf.DUMMYFUNCTION("IF(ISBLANK(B2445),"""",IF(ISDATE(B2445),TEXT(B2445,""m""),""""))"),"")</f>
        <v/>
      </c>
      <c r="N2445" s="29" t="str">
        <f>IFERROR(__xludf.DUMMYFUNCTION("IF(M2445="""","""",QUERY({'Dashboard-Dados'!$Y$2:$AA$13},""Select Col2 Where Col1=""&amp;M2445))"),"")</f>
        <v/>
      </c>
      <c r="O2445" s="29" t="str">
        <f>IFERROR(__xludf.DUMMYFUNCTION("IF(ISBLANK(B2445),"""",IF(ISDATE(B2445),TEXT(B2445,""yyyy""),""""))"),"")</f>
        <v/>
      </c>
    </row>
    <row r="2446">
      <c r="B2446" s="62"/>
      <c r="C2446" s="56"/>
      <c r="D2446" s="56"/>
      <c r="E2446" s="56"/>
      <c r="F2446" s="63"/>
      <c r="G2446" s="64"/>
      <c r="H2446" s="65"/>
      <c r="I2446" s="63"/>
      <c r="K2446" s="53" t="str">
        <f>IFERROR(__xludf.DUMMYFUNCTION("IF(ISBLANK(B2446),"""",IF(ISDATE(B2446),""X"",""""))"),"")</f>
        <v/>
      </c>
      <c r="L2446" s="40" t="str">
        <f>IFERROR(__xludf.DUMMYFUNCTION("IF(ISBLANK(B2446),"""",IF(Or(I2446=""Em Aberto"",ISBLANK(I2446),NOT(ISDATE(B2446))),"""",H2446))"),"")</f>
        <v/>
      </c>
      <c r="M2446" s="29" t="str">
        <f>IFERROR(__xludf.DUMMYFUNCTION("IF(ISBLANK(B2446),"""",IF(ISDATE(B2446),TEXT(B2446,""m""),""""))"),"")</f>
        <v/>
      </c>
      <c r="N2446" s="29" t="str">
        <f>IFERROR(__xludf.DUMMYFUNCTION("IF(M2446="""","""",QUERY({'Dashboard-Dados'!$Y$2:$AA$13},""Select Col2 Where Col1=""&amp;M2446))"),"")</f>
        <v/>
      </c>
      <c r="O2446" s="29" t="str">
        <f>IFERROR(__xludf.DUMMYFUNCTION("IF(ISBLANK(B2446),"""",IF(ISDATE(B2446),TEXT(B2446,""yyyy""),""""))"),"")</f>
        <v/>
      </c>
    </row>
    <row r="2447">
      <c r="B2447" s="62"/>
      <c r="C2447" s="56"/>
      <c r="D2447" s="56"/>
      <c r="E2447" s="56"/>
      <c r="F2447" s="63"/>
      <c r="G2447" s="64"/>
      <c r="H2447" s="65"/>
      <c r="I2447" s="63"/>
      <c r="K2447" s="53" t="str">
        <f>IFERROR(__xludf.DUMMYFUNCTION("IF(ISBLANK(B2447),"""",IF(ISDATE(B2447),""X"",""""))"),"")</f>
        <v/>
      </c>
      <c r="L2447" s="40" t="str">
        <f>IFERROR(__xludf.DUMMYFUNCTION("IF(ISBLANK(B2447),"""",IF(Or(I2447=""Em Aberto"",ISBLANK(I2447),NOT(ISDATE(B2447))),"""",H2447))"),"")</f>
        <v/>
      </c>
      <c r="M2447" s="29" t="str">
        <f>IFERROR(__xludf.DUMMYFUNCTION("IF(ISBLANK(B2447),"""",IF(ISDATE(B2447),TEXT(B2447,""m""),""""))"),"")</f>
        <v/>
      </c>
      <c r="N2447" s="29" t="str">
        <f>IFERROR(__xludf.DUMMYFUNCTION("IF(M2447="""","""",QUERY({'Dashboard-Dados'!$Y$2:$AA$13},""Select Col2 Where Col1=""&amp;M2447))"),"")</f>
        <v/>
      </c>
      <c r="O2447" s="29" t="str">
        <f>IFERROR(__xludf.DUMMYFUNCTION("IF(ISBLANK(B2447),"""",IF(ISDATE(B2447),TEXT(B2447,""yyyy""),""""))"),"")</f>
        <v/>
      </c>
    </row>
    <row r="2448">
      <c r="B2448" s="62"/>
      <c r="C2448" s="56"/>
      <c r="D2448" s="56"/>
      <c r="E2448" s="56"/>
      <c r="F2448" s="63"/>
      <c r="G2448" s="64"/>
      <c r="H2448" s="65"/>
      <c r="I2448" s="63"/>
      <c r="K2448" s="53" t="str">
        <f>IFERROR(__xludf.DUMMYFUNCTION("IF(ISBLANK(B2448),"""",IF(ISDATE(B2448),""X"",""""))"),"")</f>
        <v/>
      </c>
      <c r="L2448" s="40" t="str">
        <f>IFERROR(__xludf.DUMMYFUNCTION("IF(ISBLANK(B2448),"""",IF(Or(I2448=""Em Aberto"",ISBLANK(I2448),NOT(ISDATE(B2448))),"""",H2448))"),"")</f>
        <v/>
      </c>
      <c r="M2448" s="29" t="str">
        <f>IFERROR(__xludf.DUMMYFUNCTION("IF(ISBLANK(B2448),"""",IF(ISDATE(B2448),TEXT(B2448,""m""),""""))"),"")</f>
        <v/>
      </c>
      <c r="N2448" s="29" t="str">
        <f>IFERROR(__xludf.DUMMYFUNCTION("IF(M2448="""","""",QUERY({'Dashboard-Dados'!$Y$2:$AA$13},""Select Col2 Where Col1=""&amp;M2448))"),"")</f>
        <v/>
      </c>
      <c r="O2448" s="29" t="str">
        <f>IFERROR(__xludf.DUMMYFUNCTION("IF(ISBLANK(B2448),"""",IF(ISDATE(B2448),TEXT(B2448,""yyyy""),""""))"),"")</f>
        <v/>
      </c>
    </row>
    <row r="2449">
      <c r="B2449" s="62"/>
      <c r="C2449" s="56"/>
      <c r="D2449" s="56"/>
      <c r="E2449" s="56"/>
      <c r="F2449" s="63"/>
      <c r="G2449" s="64"/>
      <c r="H2449" s="65"/>
      <c r="I2449" s="63"/>
      <c r="K2449" s="53" t="str">
        <f>IFERROR(__xludf.DUMMYFUNCTION("IF(ISBLANK(B2449),"""",IF(ISDATE(B2449),""X"",""""))"),"")</f>
        <v/>
      </c>
      <c r="L2449" s="40" t="str">
        <f>IFERROR(__xludf.DUMMYFUNCTION("IF(ISBLANK(B2449),"""",IF(Or(I2449=""Em Aberto"",ISBLANK(I2449),NOT(ISDATE(B2449))),"""",H2449))"),"")</f>
        <v/>
      </c>
      <c r="M2449" s="29" t="str">
        <f>IFERROR(__xludf.DUMMYFUNCTION("IF(ISBLANK(B2449),"""",IF(ISDATE(B2449),TEXT(B2449,""m""),""""))"),"")</f>
        <v/>
      </c>
      <c r="N2449" s="29" t="str">
        <f>IFERROR(__xludf.DUMMYFUNCTION("IF(M2449="""","""",QUERY({'Dashboard-Dados'!$Y$2:$AA$13},""Select Col2 Where Col1=""&amp;M2449))"),"")</f>
        <v/>
      </c>
      <c r="O2449" s="29" t="str">
        <f>IFERROR(__xludf.DUMMYFUNCTION("IF(ISBLANK(B2449),"""",IF(ISDATE(B2449),TEXT(B2449,""yyyy""),""""))"),"")</f>
        <v/>
      </c>
    </row>
    <row r="2450">
      <c r="B2450" s="62"/>
      <c r="C2450" s="56"/>
      <c r="D2450" s="56"/>
      <c r="E2450" s="56"/>
      <c r="F2450" s="63"/>
      <c r="G2450" s="64"/>
      <c r="H2450" s="65"/>
      <c r="I2450" s="63"/>
      <c r="K2450" s="53" t="str">
        <f>IFERROR(__xludf.DUMMYFUNCTION("IF(ISBLANK(B2450),"""",IF(ISDATE(B2450),""X"",""""))"),"")</f>
        <v/>
      </c>
      <c r="L2450" s="40" t="str">
        <f>IFERROR(__xludf.DUMMYFUNCTION("IF(ISBLANK(B2450),"""",IF(Or(I2450=""Em Aberto"",ISBLANK(I2450),NOT(ISDATE(B2450))),"""",H2450))"),"")</f>
        <v/>
      </c>
      <c r="M2450" s="29" t="str">
        <f>IFERROR(__xludf.DUMMYFUNCTION("IF(ISBLANK(B2450),"""",IF(ISDATE(B2450),TEXT(B2450,""m""),""""))"),"")</f>
        <v/>
      </c>
      <c r="N2450" s="29" t="str">
        <f>IFERROR(__xludf.DUMMYFUNCTION("IF(M2450="""","""",QUERY({'Dashboard-Dados'!$Y$2:$AA$13},""Select Col2 Where Col1=""&amp;M2450))"),"")</f>
        <v/>
      </c>
      <c r="O2450" s="29" t="str">
        <f>IFERROR(__xludf.DUMMYFUNCTION("IF(ISBLANK(B2450),"""",IF(ISDATE(B2450),TEXT(B2450,""yyyy""),""""))"),"")</f>
        <v/>
      </c>
    </row>
    <row r="2451">
      <c r="B2451" s="62"/>
      <c r="C2451" s="56"/>
      <c r="D2451" s="56"/>
      <c r="E2451" s="56"/>
      <c r="F2451" s="63"/>
      <c r="G2451" s="64"/>
      <c r="H2451" s="65"/>
      <c r="I2451" s="63"/>
      <c r="K2451" s="53" t="str">
        <f>IFERROR(__xludf.DUMMYFUNCTION("IF(ISBLANK(B2451),"""",IF(ISDATE(B2451),""X"",""""))"),"")</f>
        <v/>
      </c>
      <c r="L2451" s="40" t="str">
        <f>IFERROR(__xludf.DUMMYFUNCTION("IF(ISBLANK(B2451),"""",IF(Or(I2451=""Em Aberto"",ISBLANK(I2451),NOT(ISDATE(B2451))),"""",H2451))"),"")</f>
        <v/>
      </c>
      <c r="M2451" s="29" t="str">
        <f>IFERROR(__xludf.DUMMYFUNCTION("IF(ISBLANK(B2451),"""",IF(ISDATE(B2451),TEXT(B2451,""m""),""""))"),"")</f>
        <v/>
      </c>
      <c r="N2451" s="29" t="str">
        <f>IFERROR(__xludf.DUMMYFUNCTION("IF(M2451="""","""",QUERY({'Dashboard-Dados'!$Y$2:$AA$13},""Select Col2 Where Col1=""&amp;M2451))"),"")</f>
        <v/>
      </c>
      <c r="O2451" s="29" t="str">
        <f>IFERROR(__xludf.DUMMYFUNCTION("IF(ISBLANK(B2451),"""",IF(ISDATE(B2451),TEXT(B2451,""yyyy""),""""))"),"")</f>
        <v/>
      </c>
    </row>
    <row r="2452">
      <c r="B2452" s="62"/>
      <c r="C2452" s="56"/>
      <c r="D2452" s="56"/>
      <c r="E2452" s="56"/>
      <c r="F2452" s="63"/>
      <c r="G2452" s="64"/>
      <c r="H2452" s="65"/>
      <c r="I2452" s="63"/>
      <c r="K2452" s="53" t="str">
        <f>IFERROR(__xludf.DUMMYFUNCTION("IF(ISBLANK(B2452),"""",IF(ISDATE(B2452),""X"",""""))"),"")</f>
        <v/>
      </c>
      <c r="L2452" s="40" t="str">
        <f>IFERROR(__xludf.DUMMYFUNCTION("IF(ISBLANK(B2452),"""",IF(Or(I2452=""Em Aberto"",ISBLANK(I2452),NOT(ISDATE(B2452))),"""",H2452))"),"")</f>
        <v/>
      </c>
      <c r="M2452" s="29" t="str">
        <f>IFERROR(__xludf.DUMMYFUNCTION("IF(ISBLANK(B2452),"""",IF(ISDATE(B2452),TEXT(B2452,""m""),""""))"),"")</f>
        <v/>
      </c>
      <c r="N2452" s="29" t="str">
        <f>IFERROR(__xludf.DUMMYFUNCTION("IF(M2452="""","""",QUERY({'Dashboard-Dados'!$Y$2:$AA$13},""Select Col2 Where Col1=""&amp;M2452))"),"")</f>
        <v/>
      </c>
      <c r="O2452" s="29" t="str">
        <f>IFERROR(__xludf.DUMMYFUNCTION("IF(ISBLANK(B2452),"""",IF(ISDATE(B2452),TEXT(B2452,""yyyy""),""""))"),"")</f>
        <v/>
      </c>
    </row>
    <row r="2453">
      <c r="B2453" s="62"/>
      <c r="C2453" s="56"/>
      <c r="D2453" s="56"/>
      <c r="E2453" s="56"/>
      <c r="F2453" s="63"/>
      <c r="G2453" s="64"/>
      <c r="H2453" s="65"/>
      <c r="I2453" s="63"/>
      <c r="K2453" s="53" t="str">
        <f>IFERROR(__xludf.DUMMYFUNCTION("IF(ISBLANK(B2453),"""",IF(ISDATE(B2453),""X"",""""))"),"")</f>
        <v/>
      </c>
      <c r="L2453" s="40" t="str">
        <f>IFERROR(__xludf.DUMMYFUNCTION("IF(ISBLANK(B2453),"""",IF(Or(I2453=""Em Aberto"",ISBLANK(I2453),NOT(ISDATE(B2453))),"""",H2453))"),"")</f>
        <v/>
      </c>
      <c r="M2453" s="29" t="str">
        <f>IFERROR(__xludf.DUMMYFUNCTION("IF(ISBLANK(B2453),"""",IF(ISDATE(B2453),TEXT(B2453,""m""),""""))"),"")</f>
        <v/>
      </c>
      <c r="N2453" s="29" t="str">
        <f>IFERROR(__xludf.DUMMYFUNCTION("IF(M2453="""","""",QUERY({'Dashboard-Dados'!$Y$2:$AA$13},""Select Col2 Where Col1=""&amp;M2453))"),"")</f>
        <v/>
      </c>
      <c r="O2453" s="29" t="str">
        <f>IFERROR(__xludf.DUMMYFUNCTION("IF(ISBLANK(B2453),"""",IF(ISDATE(B2453),TEXT(B2453,""yyyy""),""""))"),"")</f>
        <v/>
      </c>
    </row>
    <row r="2454">
      <c r="B2454" s="62"/>
      <c r="C2454" s="56"/>
      <c r="D2454" s="56"/>
      <c r="E2454" s="56"/>
      <c r="F2454" s="63"/>
      <c r="G2454" s="64"/>
      <c r="H2454" s="65"/>
      <c r="I2454" s="63"/>
      <c r="K2454" s="53" t="str">
        <f>IFERROR(__xludf.DUMMYFUNCTION("IF(ISBLANK(B2454),"""",IF(ISDATE(B2454),""X"",""""))"),"")</f>
        <v/>
      </c>
      <c r="L2454" s="40" t="str">
        <f>IFERROR(__xludf.DUMMYFUNCTION("IF(ISBLANK(B2454),"""",IF(Or(I2454=""Em Aberto"",ISBLANK(I2454),NOT(ISDATE(B2454))),"""",H2454))"),"")</f>
        <v/>
      </c>
      <c r="M2454" s="29" t="str">
        <f>IFERROR(__xludf.DUMMYFUNCTION("IF(ISBLANK(B2454),"""",IF(ISDATE(B2454),TEXT(B2454,""m""),""""))"),"")</f>
        <v/>
      </c>
      <c r="N2454" s="29" t="str">
        <f>IFERROR(__xludf.DUMMYFUNCTION("IF(M2454="""","""",QUERY({'Dashboard-Dados'!$Y$2:$AA$13},""Select Col2 Where Col1=""&amp;M2454))"),"")</f>
        <v/>
      </c>
      <c r="O2454" s="29" t="str">
        <f>IFERROR(__xludf.DUMMYFUNCTION("IF(ISBLANK(B2454),"""",IF(ISDATE(B2454),TEXT(B2454,""yyyy""),""""))"),"")</f>
        <v/>
      </c>
    </row>
    <row r="2455">
      <c r="B2455" s="62"/>
      <c r="C2455" s="56"/>
      <c r="D2455" s="56"/>
      <c r="E2455" s="56"/>
      <c r="F2455" s="63"/>
      <c r="G2455" s="64"/>
      <c r="H2455" s="65"/>
      <c r="I2455" s="63"/>
      <c r="K2455" s="53" t="str">
        <f>IFERROR(__xludf.DUMMYFUNCTION("IF(ISBLANK(B2455),"""",IF(ISDATE(B2455),""X"",""""))"),"")</f>
        <v/>
      </c>
      <c r="L2455" s="40" t="str">
        <f>IFERROR(__xludf.DUMMYFUNCTION("IF(ISBLANK(B2455),"""",IF(Or(I2455=""Em Aberto"",ISBLANK(I2455),NOT(ISDATE(B2455))),"""",H2455))"),"")</f>
        <v/>
      </c>
      <c r="M2455" s="29" t="str">
        <f>IFERROR(__xludf.DUMMYFUNCTION("IF(ISBLANK(B2455),"""",IF(ISDATE(B2455),TEXT(B2455,""m""),""""))"),"")</f>
        <v/>
      </c>
      <c r="N2455" s="29" t="str">
        <f>IFERROR(__xludf.DUMMYFUNCTION("IF(M2455="""","""",QUERY({'Dashboard-Dados'!$Y$2:$AA$13},""Select Col2 Where Col1=""&amp;M2455))"),"")</f>
        <v/>
      </c>
      <c r="O2455" s="29" t="str">
        <f>IFERROR(__xludf.DUMMYFUNCTION("IF(ISBLANK(B2455),"""",IF(ISDATE(B2455),TEXT(B2455,""yyyy""),""""))"),"")</f>
        <v/>
      </c>
    </row>
    <row r="2456">
      <c r="B2456" s="62"/>
      <c r="C2456" s="56"/>
      <c r="D2456" s="56"/>
      <c r="E2456" s="56"/>
      <c r="F2456" s="63"/>
      <c r="G2456" s="64"/>
      <c r="H2456" s="65"/>
      <c r="I2456" s="63"/>
      <c r="K2456" s="53" t="str">
        <f>IFERROR(__xludf.DUMMYFUNCTION("IF(ISBLANK(B2456),"""",IF(ISDATE(B2456),""X"",""""))"),"")</f>
        <v/>
      </c>
      <c r="L2456" s="40" t="str">
        <f>IFERROR(__xludf.DUMMYFUNCTION("IF(ISBLANK(B2456),"""",IF(Or(I2456=""Em Aberto"",ISBLANK(I2456),NOT(ISDATE(B2456))),"""",H2456))"),"")</f>
        <v/>
      </c>
      <c r="M2456" s="29" t="str">
        <f>IFERROR(__xludf.DUMMYFUNCTION("IF(ISBLANK(B2456),"""",IF(ISDATE(B2456),TEXT(B2456,""m""),""""))"),"")</f>
        <v/>
      </c>
      <c r="N2456" s="29" t="str">
        <f>IFERROR(__xludf.DUMMYFUNCTION("IF(M2456="""","""",QUERY({'Dashboard-Dados'!$Y$2:$AA$13},""Select Col2 Where Col1=""&amp;M2456))"),"")</f>
        <v/>
      </c>
      <c r="O2456" s="29" t="str">
        <f>IFERROR(__xludf.DUMMYFUNCTION("IF(ISBLANK(B2456),"""",IF(ISDATE(B2456),TEXT(B2456,""yyyy""),""""))"),"")</f>
        <v/>
      </c>
    </row>
    <row r="2457">
      <c r="B2457" s="62"/>
      <c r="C2457" s="56"/>
      <c r="D2457" s="56"/>
      <c r="E2457" s="56"/>
      <c r="F2457" s="63"/>
      <c r="G2457" s="64"/>
      <c r="H2457" s="65"/>
      <c r="I2457" s="63"/>
      <c r="K2457" s="53" t="str">
        <f>IFERROR(__xludf.DUMMYFUNCTION("IF(ISBLANK(B2457),"""",IF(ISDATE(B2457),""X"",""""))"),"")</f>
        <v/>
      </c>
      <c r="L2457" s="40" t="str">
        <f>IFERROR(__xludf.DUMMYFUNCTION("IF(ISBLANK(B2457),"""",IF(Or(I2457=""Em Aberto"",ISBLANK(I2457),NOT(ISDATE(B2457))),"""",H2457))"),"")</f>
        <v/>
      </c>
      <c r="M2457" s="29" t="str">
        <f>IFERROR(__xludf.DUMMYFUNCTION("IF(ISBLANK(B2457),"""",IF(ISDATE(B2457),TEXT(B2457,""m""),""""))"),"")</f>
        <v/>
      </c>
      <c r="N2457" s="29" t="str">
        <f>IFERROR(__xludf.DUMMYFUNCTION("IF(M2457="""","""",QUERY({'Dashboard-Dados'!$Y$2:$AA$13},""Select Col2 Where Col1=""&amp;M2457))"),"")</f>
        <v/>
      </c>
      <c r="O2457" s="29" t="str">
        <f>IFERROR(__xludf.DUMMYFUNCTION("IF(ISBLANK(B2457),"""",IF(ISDATE(B2457),TEXT(B2457,""yyyy""),""""))"),"")</f>
        <v/>
      </c>
    </row>
    <row r="2458">
      <c r="B2458" s="62"/>
      <c r="C2458" s="56"/>
      <c r="D2458" s="56"/>
      <c r="E2458" s="56"/>
      <c r="F2458" s="63"/>
      <c r="G2458" s="64"/>
      <c r="H2458" s="65"/>
      <c r="I2458" s="63"/>
      <c r="K2458" s="53" t="str">
        <f>IFERROR(__xludf.DUMMYFUNCTION("IF(ISBLANK(B2458),"""",IF(ISDATE(B2458),""X"",""""))"),"")</f>
        <v/>
      </c>
      <c r="L2458" s="40" t="str">
        <f>IFERROR(__xludf.DUMMYFUNCTION("IF(ISBLANK(B2458),"""",IF(Or(I2458=""Em Aberto"",ISBLANK(I2458),NOT(ISDATE(B2458))),"""",H2458))"),"")</f>
        <v/>
      </c>
      <c r="M2458" s="29" t="str">
        <f>IFERROR(__xludf.DUMMYFUNCTION("IF(ISBLANK(B2458),"""",IF(ISDATE(B2458),TEXT(B2458,""m""),""""))"),"")</f>
        <v/>
      </c>
      <c r="N2458" s="29" t="str">
        <f>IFERROR(__xludf.DUMMYFUNCTION("IF(M2458="""","""",QUERY({'Dashboard-Dados'!$Y$2:$AA$13},""Select Col2 Where Col1=""&amp;M2458))"),"")</f>
        <v/>
      </c>
      <c r="O2458" s="29" t="str">
        <f>IFERROR(__xludf.DUMMYFUNCTION("IF(ISBLANK(B2458),"""",IF(ISDATE(B2458),TEXT(B2458,""yyyy""),""""))"),"")</f>
        <v/>
      </c>
    </row>
    <row r="2459">
      <c r="B2459" s="62"/>
      <c r="C2459" s="56"/>
      <c r="D2459" s="56"/>
      <c r="E2459" s="56"/>
      <c r="F2459" s="63"/>
      <c r="G2459" s="64"/>
      <c r="H2459" s="65"/>
      <c r="I2459" s="63"/>
      <c r="K2459" s="53" t="str">
        <f>IFERROR(__xludf.DUMMYFUNCTION("IF(ISBLANK(B2459),"""",IF(ISDATE(B2459),""X"",""""))"),"")</f>
        <v/>
      </c>
      <c r="L2459" s="40" t="str">
        <f>IFERROR(__xludf.DUMMYFUNCTION("IF(ISBLANK(B2459),"""",IF(Or(I2459=""Em Aberto"",ISBLANK(I2459),NOT(ISDATE(B2459))),"""",H2459))"),"")</f>
        <v/>
      </c>
      <c r="M2459" s="29" t="str">
        <f>IFERROR(__xludf.DUMMYFUNCTION("IF(ISBLANK(B2459),"""",IF(ISDATE(B2459),TEXT(B2459,""m""),""""))"),"")</f>
        <v/>
      </c>
      <c r="N2459" s="29" t="str">
        <f>IFERROR(__xludf.DUMMYFUNCTION("IF(M2459="""","""",QUERY({'Dashboard-Dados'!$Y$2:$AA$13},""Select Col2 Where Col1=""&amp;M2459))"),"")</f>
        <v/>
      </c>
      <c r="O2459" s="29" t="str">
        <f>IFERROR(__xludf.DUMMYFUNCTION("IF(ISBLANK(B2459),"""",IF(ISDATE(B2459),TEXT(B2459,""yyyy""),""""))"),"")</f>
        <v/>
      </c>
    </row>
    <row r="2460">
      <c r="B2460" s="62"/>
      <c r="C2460" s="56"/>
      <c r="D2460" s="56"/>
      <c r="E2460" s="56"/>
      <c r="F2460" s="63"/>
      <c r="G2460" s="64"/>
      <c r="H2460" s="65"/>
      <c r="I2460" s="63"/>
      <c r="K2460" s="53" t="str">
        <f>IFERROR(__xludf.DUMMYFUNCTION("IF(ISBLANK(B2460),"""",IF(ISDATE(B2460),""X"",""""))"),"")</f>
        <v/>
      </c>
      <c r="L2460" s="40" t="str">
        <f>IFERROR(__xludf.DUMMYFUNCTION("IF(ISBLANK(B2460),"""",IF(Or(I2460=""Em Aberto"",ISBLANK(I2460),NOT(ISDATE(B2460))),"""",H2460))"),"")</f>
        <v/>
      </c>
      <c r="M2460" s="29" t="str">
        <f>IFERROR(__xludf.DUMMYFUNCTION("IF(ISBLANK(B2460),"""",IF(ISDATE(B2460),TEXT(B2460,""m""),""""))"),"")</f>
        <v/>
      </c>
      <c r="N2460" s="29" t="str">
        <f>IFERROR(__xludf.DUMMYFUNCTION("IF(M2460="""","""",QUERY({'Dashboard-Dados'!$Y$2:$AA$13},""Select Col2 Where Col1=""&amp;M2460))"),"")</f>
        <v/>
      </c>
      <c r="O2460" s="29" t="str">
        <f>IFERROR(__xludf.DUMMYFUNCTION("IF(ISBLANK(B2460),"""",IF(ISDATE(B2460),TEXT(B2460,""yyyy""),""""))"),"")</f>
        <v/>
      </c>
    </row>
    <row r="2461">
      <c r="B2461" s="62"/>
      <c r="C2461" s="56"/>
      <c r="D2461" s="56"/>
      <c r="E2461" s="56"/>
      <c r="F2461" s="63"/>
      <c r="G2461" s="64"/>
      <c r="H2461" s="65"/>
      <c r="I2461" s="63"/>
      <c r="K2461" s="53" t="str">
        <f>IFERROR(__xludf.DUMMYFUNCTION("IF(ISBLANK(B2461),"""",IF(ISDATE(B2461),""X"",""""))"),"")</f>
        <v/>
      </c>
      <c r="L2461" s="40" t="str">
        <f>IFERROR(__xludf.DUMMYFUNCTION("IF(ISBLANK(B2461),"""",IF(Or(I2461=""Em Aberto"",ISBLANK(I2461),NOT(ISDATE(B2461))),"""",H2461))"),"")</f>
        <v/>
      </c>
      <c r="M2461" s="29" t="str">
        <f>IFERROR(__xludf.DUMMYFUNCTION("IF(ISBLANK(B2461),"""",IF(ISDATE(B2461),TEXT(B2461,""m""),""""))"),"")</f>
        <v/>
      </c>
      <c r="N2461" s="29" t="str">
        <f>IFERROR(__xludf.DUMMYFUNCTION("IF(M2461="""","""",QUERY({'Dashboard-Dados'!$Y$2:$AA$13},""Select Col2 Where Col1=""&amp;M2461))"),"")</f>
        <v/>
      </c>
      <c r="O2461" s="29" t="str">
        <f>IFERROR(__xludf.DUMMYFUNCTION("IF(ISBLANK(B2461),"""",IF(ISDATE(B2461),TEXT(B2461,""yyyy""),""""))"),"")</f>
        <v/>
      </c>
    </row>
    <row r="2462">
      <c r="B2462" s="62"/>
      <c r="C2462" s="56"/>
      <c r="D2462" s="56"/>
      <c r="E2462" s="56"/>
      <c r="F2462" s="63"/>
      <c r="G2462" s="64"/>
      <c r="H2462" s="65"/>
      <c r="I2462" s="63"/>
      <c r="K2462" s="53" t="str">
        <f>IFERROR(__xludf.DUMMYFUNCTION("IF(ISBLANK(B2462),"""",IF(ISDATE(B2462),""X"",""""))"),"")</f>
        <v/>
      </c>
      <c r="L2462" s="40" t="str">
        <f>IFERROR(__xludf.DUMMYFUNCTION("IF(ISBLANK(B2462),"""",IF(Or(I2462=""Em Aberto"",ISBLANK(I2462),NOT(ISDATE(B2462))),"""",H2462))"),"")</f>
        <v/>
      </c>
      <c r="M2462" s="29" t="str">
        <f>IFERROR(__xludf.DUMMYFUNCTION("IF(ISBLANK(B2462),"""",IF(ISDATE(B2462),TEXT(B2462,""m""),""""))"),"")</f>
        <v/>
      </c>
      <c r="N2462" s="29" t="str">
        <f>IFERROR(__xludf.DUMMYFUNCTION("IF(M2462="""","""",QUERY({'Dashboard-Dados'!$Y$2:$AA$13},""Select Col2 Where Col1=""&amp;M2462))"),"")</f>
        <v/>
      </c>
      <c r="O2462" s="29" t="str">
        <f>IFERROR(__xludf.DUMMYFUNCTION("IF(ISBLANK(B2462),"""",IF(ISDATE(B2462),TEXT(B2462,""yyyy""),""""))"),"")</f>
        <v/>
      </c>
    </row>
    <row r="2463">
      <c r="B2463" s="62"/>
      <c r="C2463" s="56"/>
      <c r="D2463" s="56"/>
      <c r="E2463" s="56"/>
      <c r="F2463" s="63"/>
      <c r="G2463" s="64"/>
      <c r="H2463" s="65"/>
      <c r="I2463" s="63"/>
      <c r="K2463" s="53" t="str">
        <f>IFERROR(__xludf.DUMMYFUNCTION("IF(ISBLANK(B2463),"""",IF(ISDATE(B2463),""X"",""""))"),"")</f>
        <v/>
      </c>
      <c r="L2463" s="40" t="str">
        <f>IFERROR(__xludf.DUMMYFUNCTION("IF(ISBLANK(B2463),"""",IF(Or(I2463=""Em Aberto"",ISBLANK(I2463),NOT(ISDATE(B2463))),"""",H2463))"),"")</f>
        <v/>
      </c>
      <c r="M2463" s="29" t="str">
        <f>IFERROR(__xludf.DUMMYFUNCTION("IF(ISBLANK(B2463),"""",IF(ISDATE(B2463),TEXT(B2463,""m""),""""))"),"")</f>
        <v/>
      </c>
      <c r="N2463" s="29" t="str">
        <f>IFERROR(__xludf.DUMMYFUNCTION("IF(M2463="""","""",QUERY({'Dashboard-Dados'!$Y$2:$AA$13},""Select Col2 Where Col1=""&amp;M2463))"),"")</f>
        <v/>
      </c>
      <c r="O2463" s="29" t="str">
        <f>IFERROR(__xludf.DUMMYFUNCTION("IF(ISBLANK(B2463),"""",IF(ISDATE(B2463),TEXT(B2463,""yyyy""),""""))"),"")</f>
        <v/>
      </c>
    </row>
    <row r="2464">
      <c r="B2464" s="62"/>
      <c r="C2464" s="56"/>
      <c r="D2464" s="56"/>
      <c r="E2464" s="56"/>
      <c r="F2464" s="63"/>
      <c r="G2464" s="64"/>
      <c r="H2464" s="65"/>
      <c r="I2464" s="63"/>
      <c r="K2464" s="53" t="str">
        <f>IFERROR(__xludf.DUMMYFUNCTION("IF(ISBLANK(B2464),"""",IF(ISDATE(B2464),""X"",""""))"),"")</f>
        <v/>
      </c>
      <c r="L2464" s="40" t="str">
        <f>IFERROR(__xludf.DUMMYFUNCTION("IF(ISBLANK(B2464),"""",IF(Or(I2464=""Em Aberto"",ISBLANK(I2464),NOT(ISDATE(B2464))),"""",H2464))"),"")</f>
        <v/>
      </c>
      <c r="M2464" s="29" t="str">
        <f>IFERROR(__xludf.DUMMYFUNCTION("IF(ISBLANK(B2464),"""",IF(ISDATE(B2464),TEXT(B2464,""m""),""""))"),"")</f>
        <v/>
      </c>
      <c r="N2464" s="29" t="str">
        <f>IFERROR(__xludf.DUMMYFUNCTION("IF(M2464="""","""",QUERY({'Dashboard-Dados'!$Y$2:$AA$13},""Select Col2 Where Col1=""&amp;M2464))"),"")</f>
        <v/>
      </c>
      <c r="O2464" s="29" t="str">
        <f>IFERROR(__xludf.DUMMYFUNCTION("IF(ISBLANK(B2464),"""",IF(ISDATE(B2464),TEXT(B2464,""yyyy""),""""))"),"")</f>
        <v/>
      </c>
    </row>
    <row r="2465">
      <c r="B2465" s="62"/>
      <c r="C2465" s="56"/>
      <c r="D2465" s="56"/>
      <c r="E2465" s="56"/>
      <c r="F2465" s="63"/>
      <c r="G2465" s="64"/>
      <c r="H2465" s="65"/>
      <c r="I2465" s="63"/>
      <c r="K2465" s="53" t="str">
        <f>IFERROR(__xludf.DUMMYFUNCTION("IF(ISBLANK(B2465),"""",IF(ISDATE(B2465),""X"",""""))"),"")</f>
        <v/>
      </c>
      <c r="L2465" s="40" t="str">
        <f>IFERROR(__xludf.DUMMYFUNCTION("IF(ISBLANK(B2465),"""",IF(Or(I2465=""Em Aberto"",ISBLANK(I2465),NOT(ISDATE(B2465))),"""",H2465))"),"")</f>
        <v/>
      </c>
      <c r="M2465" s="29" t="str">
        <f>IFERROR(__xludf.DUMMYFUNCTION("IF(ISBLANK(B2465),"""",IF(ISDATE(B2465),TEXT(B2465,""m""),""""))"),"")</f>
        <v/>
      </c>
      <c r="N2465" s="29" t="str">
        <f>IFERROR(__xludf.DUMMYFUNCTION("IF(M2465="""","""",QUERY({'Dashboard-Dados'!$Y$2:$AA$13},""Select Col2 Where Col1=""&amp;M2465))"),"")</f>
        <v/>
      </c>
      <c r="O2465" s="29" t="str">
        <f>IFERROR(__xludf.DUMMYFUNCTION("IF(ISBLANK(B2465),"""",IF(ISDATE(B2465),TEXT(B2465,""yyyy""),""""))"),"")</f>
        <v/>
      </c>
    </row>
    <row r="2466">
      <c r="B2466" s="62"/>
      <c r="C2466" s="56"/>
      <c r="D2466" s="56"/>
      <c r="E2466" s="56"/>
      <c r="F2466" s="63"/>
      <c r="G2466" s="64"/>
      <c r="H2466" s="65"/>
      <c r="I2466" s="63"/>
      <c r="K2466" s="53" t="str">
        <f>IFERROR(__xludf.DUMMYFUNCTION("IF(ISBLANK(B2466),"""",IF(ISDATE(B2466),""X"",""""))"),"")</f>
        <v/>
      </c>
      <c r="L2466" s="40" t="str">
        <f>IFERROR(__xludf.DUMMYFUNCTION("IF(ISBLANK(B2466),"""",IF(Or(I2466=""Em Aberto"",ISBLANK(I2466),NOT(ISDATE(B2466))),"""",H2466))"),"")</f>
        <v/>
      </c>
      <c r="M2466" s="29" t="str">
        <f>IFERROR(__xludf.DUMMYFUNCTION("IF(ISBLANK(B2466),"""",IF(ISDATE(B2466),TEXT(B2466,""m""),""""))"),"")</f>
        <v/>
      </c>
      <c r="N2466" s="29" t="str">
        <f>IFERROR(__xludf.DUMMYFUNCTION("IF(M2466="""","""",QUERY({'Dashboard-Dados'!$Y$2:$AA$13},""Select Col2 Where Col1=""&amp;M2466))"),"")</f>
        <v/>
      </c>
      <c r="O2466" s="29" t="str">
        <f>IFERROR(__xludf.DUMMYFUNCTION("IF(ISBLANK(B2466),"""",IF(ISDATE(B2466),TEXT(B2466,""yyyy""),""""))"),"")</f>
        <v/>
      </c>
    </row>
    <row r="2467">
      <c r="B2467" s="62"/>
      <c r="C2467" s="56"/>
      <c r="D2467" s="56"/>
      <c r="E2467" s="56"/>
      <c r="F2467" s="63"/>
      <c r="G2467" s="64"/>
      <c r="H2467" s="65"/>
      <c r="I2467" s="63"/>
      <c r="K2467" s="53" t="str">
        <f>IFERROR(__xludf.DUMMYFUNCTION("IF(ISBLANK(B2467),"""",IF(ISDATE(B2467),""X"",""""))"),"")</f>
        <v/>
      </c>
      <c r="L2467" s="40" t="str">
        <f>IFERROR(__xludf.DUMMYFUNCTION("IF(ISBLANK(B2467),"""",IF(Or(I2467=""Em Aberto"",ISBLANK(I2467),NOT(ISDATE(B2467))),"""",H2467))"),"")</f>
        <v/>
      </c>
      <c r="M2467" s="29" t="str">
        <f>IFERROR(__xludf.DUMMYFUNCTION("IF(ISBLANK(B2467),"""",IF(ISDATE(B2467),TEXT(B2467,""m""),""""))"),"")</f>
        <v/>
      </c>
      <c r="N2467" s="29" t="str">
        <f>IFERROR(__xludf.DUMMYFUNCTION("IF(M2467="""","""",QUERY({'Dashboard-Dados'!$Y$2:$AA$13},""Select Col2 Where Col1=""&amp;M2467))"),"")</f>
        <v/>
      </c>
      <c r="O2467" s="29" t="str">
        <f>IFERROR(__xludf.DUMMYFUNCTION("IF(ISBLANK(B2467),"""",IF(ISDATE(B2467),TEXT(B2467,""yyyy""),""""))"),"")</f>
        <v/>
      </c>
    </row>
    <row r="2468">
      <c r="B2468" s="62"/>
      <c r="C2468" s="56"/>
      <c r="D2468" s="56"/>
      <c r="E2468" s="56"/>
      <c r="F2468" s="63"/>
      <c r="G2468" s="64"/>
      <c r="H2468" s="65"/>
      <c r="I2468" s="63"/>
      <c r="K2468" s="53" t="str">
        <f>IFERROR(__xludf.DUMMYFUNCTION("IF(ISBLANK(B2468),"""",IF(ISDATE(B2468),""X"",""""))"),"")</f>
        <v/>
      </c>
      <c r="L2468" s="40" t="str">
        <f>IFERROR(__xludf.DUMMYFUNCTION("IF(ISBLANK(B2468),"""",IF(Or(I2468=""Em Aberto"",ISBLANK(I2468),NOT(ISDATE(B2468))),"""",H2468))"),"")</f>
        <v/>
      </c>
      <c r="M2468" s="29" t="str">
        <f>IFERROR(__xludf.DUMMYFUNCTION("IF(ISBLANK(B2468),"""",IF(ISDATE(B2468),TEXT(B2468,""m""),""""))"),"")</f>
        <v/>
      </c>
      <c r="N2468" s="29" t="str">
        <f>IFERROR(__xludf.DUMMYFUNCTION("IF(M2468="""","""",QUERY({'Dashboard-Dados'!$Y$2:$AA$13},""Select Col2 Where Col1=""&amp;M2468))"),"")</f>
        <v/>
      </c>
      <c r="O2468" s="29" t="str">
        <f>IFERROR(__xludf.DUMMYFUNCTION("IF(ISBLANK(B2468),"""",IF(ISDATE(B2468),TEXT(B2468,""yyyy""),""""))"),"")</f>
        <v/>
      </c>
    </row>
    <row r="2469">
      <c r="B2469" s="62"/>
      <c r="C2469" s="56"/>
      <c r="D2469" s="56"/>
      <c r="E2469" s="56"/>
      <c r="F2469" s="63"/>
      <c r="G2469" s="64"/>
      <c r="H2469" s="65"/>
      <c r="I2469" s="63"/>
      <c r="K2469" s="53" t="str">
        <f>IFERROR(__xludf.DUMMYFUNCTION("IF(ISBLANK(B2469),"""",IF(ISDATE(B2469),""X"",""""))"),"")</f>
        <v/>
      </c>
      <c r="L2469" s="40" t="str">
        <f>IFERROR(__xludf.DUMMYFUNCTION("IF(ISBLANK(B2469),"""",IF(Or(I2469=""Em Aberto"",ISBLANK(I2469),NOT(ISDATE(B2469))),"""",H2469))"),"")</f>
        <v/>
      </c>
      <c r="M2469" s="29" t="str">
        <f>IFERROR(__xludf.DUMMYFUNCTION("IF(ISBLANK(B2469),"""",IF(ISDATE(B2469),TEXT(B2469,""m""),""""))"),"")</f>
        <v/>
      </c>
      <c r="N2469" s="29" t="str">
        <f>IFERROR(__xludf.DUMMYFUNCTION("IF(M2469="""","""",QUERY({'Dashboard-Dados'!$Y$2:$AA$13},""Select Col2 Where Col1=""&amp;M2469))"),"")</f>
        <v/>
      </c>
      <c r="O2469" s="29" t="str">
        <f>IFERROR(__xludf.DUMMYFUNCTION("IF(ISBLANK(B2469),"""",IF(ISDATE(B2469),TEXT(B2469,""yyyy""),""""))"),"")</f>
        <v/>
      </c>
    </row>
    <row r="2470">
      <c r="B2470" s="62"/>
      <c r="C2470" s="56"/>
      <c r="D2470" s="56"/>
      <c r="E2470" s="56"/>
      <c r="F2470" s="63"/>
      <c r="G2470" s="64"/>
      <c r="H2470" s="65"/>
      <c r="I2470" s="63"/>
      <c r="K2470" s="53" t="str">
        <f>IFERROR(__xludf.DUMMYFUNCTION("IF(ISBLANK(B2470),"""",IF(ISDATE(B2470),""X"",""""))"),"")</f>
        <v/>
      </c>
      <c r="L2470" s="40" t="str">
        <f>IFERROR(__xludf.DUMMYFUNCTION("IF(ISBLANK(B2470),"""",IF(Or(I2470=""Em Aberto"",ISBLANK(I2470),NOT(ISDATE(B2470))),"""",H2470))"),"")</f>
        <v/>
      </c>
      <c r="M2470" s="29" t="str">
        <f>IFERROR(__xludf.DUMMYFUNCTION("IF(ISBLANK(B2470),"""",IF(ISDATE(B2470),TEXT(B2470,""m""),""""))"),"")</f>
        <v/>
      </c>
      <c r="N2470" s="29" t="str">
        <f>IFERROR(__xludf.DUMMYFUNCTION("IF(M2470="""","""",QUERY({'Dashboard-Dados'!$Y$2:$AA$13},""Select Col2 Where Col1=""&amp;M2470))"),"")</f>
        <v/>
      </c>
      <c r="O2470" s="29" t="str">
        <f>IFERROR(__xludf.DUMMYFUNCTION("IF(ISBLANK(B2470),"""",IF(ISDATE(B2470),TEXT(B2470,""yyyy""),""""))"),"")</f>
        <v/>
      </c>
    </row>
    <row r="2471">
      <c r="B2471" s="62"/>
      <c r="C2471" s="56"/>
      <c r="D2471" s="56"/>
      <c r="E2471" s="56"/>
      <c r="F2471" s="63"/>
      <c r="G2471" s="64"/>
      <c r="H2471" s="65"/>
      <c r="I2471" s="63"/>
      <c r="K2471" s="53" t="str">
        <f>IFERROR(__xludf.DUMMYFUNCTION("IF(ISBLANK(B2471),"""",IF(ISDATE(B2471),""X"",""""))"),"")</f>
        <v/>
      </c>
      <c r="L2471" s="40" t="str">
        <f>IFERROR(__xludf.DUMMYFUNCTION("IF(ISBLANK(B2471),"""",IF(Or(I2471=""Em Aberto"",ISBLANK(I2471),NOT(ISDATE(B2471))),"""",H2471))"),"")</f>
        <v/>
      </c>
      <c r="M2471" s="29" t="str">
        <f>IFERROR(__xludf.DUMMYFUNCTION("IF(ISBLANK(B2471),"""",IF(ISDATE(B2471),TEXT(B2471,""m""),""""))"),"")</f>
        <v/>
      </c>
      <c r="N2471" s="29" t="str">
        <f>IFERROR(__xludf.DUMMYFUNCTION("IF(M2471="""","""",QUERY({'Dashboard-Dados'!$Y$2:$AA$13},""Select Col2 Where Col1=""&amp;M2471))"),"")</f>
        <v/>
      </c>
      <c r="O2471" s="29" t="str">
        <f>IFERROR(__xludf.DUMMYFUNCTION("IF(ISBLANK(B2471),"""",IF(ISDATE(B2471),TEXT(B2471,""yyyy""),""""))"),"")</f>
        <v/>
      </c>
    </row>
    <row r="2472">
      <c r="B2472" s="62"/>
      <c r="C2472" s="56"/>
      <c r="D2472" s="56"/>
      <c r="E2472" s="56"/>
      <c r="F2472" s="63"/>
      <c r="G2472" s="64"/>
      <c r="H2472" s="65"/>
      <c r="I2472" s="63"/>
      <c r="K2472" s="53" t="str">
        <f>IFERROR(__xludf.DUMMYFUNCTION("IF(ISBLANK(B2472),"""",IF(ISDATE(B2472),""X"",""""))"),"")</f>
        <v/>
      </c>
      <c r="L2472" s="40" t="str">
        <f>IFERROR(__xludf.DUMMYFUNCTION("IF(ISBLANK(B2472),"""",IF(Or(I2472=""Em Aberto"",ISBLANK(I2472),NOT(ISDATE(B2472))),"""",H2472))"),"")</f>
        <v/>
      </c>
      <c r="M2472" s="29" t="str">
        <f>IFERROR(__xludf.DUMMYFUNCTION("IF(ISBLANK(B2472),"""",IF(ISDATE(B2472),TEXT(B2472,""m""),""""))"),"")</f>
        <v/>
      </c>
      <c r="N2472" s="29" t="str">
        <f>IFERROR(__xludf.DUMMYFUNCTION("IF(M2472="""","""",QUERY({'Dashboard-Dados'!$Y$2:$AA$13},""Select Col2 Where Col1=""&amp;M2472))"),"")</f>
        <v/>
      </c>
      <c r="O2472" s="29" t="str">
        <f>IFERROR(__xludf.DUMMYFUNCTION("IF(ISBLANK(B2472),"""",IF(ISDATE(B2472),TEXT(B2472,""yyyy""),""""))"),"")</f>
        <v/>
      </c>
    </row>
    <row r="2473">
      <c r="B2473" s="62"/>
      <c r="C2473" s="56"/>
      <c r="D2473" s="56"/>
      <c r="E2473" s="56"/>
      <c r="F2473" s="63"/>
      <c r="G2473" s="64"/>
      <c r="H2473" s="65"/>
      <c r="I2473" s="63"/>
      <c r="K2473" s="53" t="str">
        <f>IFERROR(__xludf.DUMMYFUNCTION("IF(ISBLANK(B2473),"""",IF(ISDATE(B2473),""X"",""""))"),"")</f>
        <v/>
      </c>
      <c r="L2473" s="40" t="str">
        <f>IFERROR(__xludf.DUMMYFUNCTION("IF(ISBLANK(B2473),"""",IF(Or(I2473=""Em Aberto"",ISBLANK(I2473),NOT(ISDATE(B2473))),"""",H2473))"),"")</f>
        <v/>
      </c>
      <c r="M2473" s="29" t="str">
        <f>IFERROR(__xludf.DUMMYFUNCTION("IF(ISBLANK(B2473),"""",IF(ISDATE(B2473),TEXT(B2473,""m""),""""))"),"")</f>
        <v/>
      </c>
      <c r="N2473" s="29" t="str">
        <f>IFERROR(__xludf.DUMMYFUNCTION("IF(M2473="""","""",QUERY({'Dashboard-Dados'!$Y$2:$AA$13},""Select Col2 Where Col1=""&amp;M2473))"),"")</f>
        <v/>
      </c>
      <c r="O2473" s="29" t="str">
        <f>IFERROR(__xludf.DUMMYFUNCTION("IF(ISBLANK(B2473),"""",IF(ISDATE(B2473),TEXT(B2473,""yyyy""),""""))"),"")</f>
        <v/>
      </c>
    </row>
    <row r="2474">
      <c r="B2474" s="62"/>
      <c r="C2474" s="56"/>
      <c r="D2474" s="56"/>
      <c r="E2474" s="56"/>
      <c r="F2474" s="63"/>
      <c r="G2474" s="64"/>
      <c r="H2474" s="65"/>
      <c r="I2474" s="63"/>
      <c r="K2474" s="53" t="str">
        <f>IFERROR(__xludf.DUMMYFUNCTION("IF(ISBLANK(B2474),"""",IF(ISDATE(B2474),""X"",""""))"),"")</f>
        <v/>
      </c>
      <c r="L2474" s="40" t="str">
        <f>IFERROR(__xludf.DUMMYFUNCTION("IF(ISBLANK(B2474),"""",IF(Or(I2474=""Em Aberto"",ISBLANK(I2474),NOT(ISDATE(B2474))),"""",H2474))"),"")</f>
        <v/>
      </c>
      <c r="M2474" s="29" t="str">
        <f>IFERROR(__xludf.DUMMYFUNCTION("IF(ISBLANK(B2474),"""",IF(ISDATE(B2474),TEXT(B2474,""m""),""""))"),"")</f>
        <v/>
      </c>
      <c r="N2474" s="29" t="str">
        <f>IFERROR(__xludf.DUMMYFUNCTION("IF(M2474="""","""",QUERY({'Dashboard-Dados'!$Y$2:$AA$13},""Select Col2 Where Col1=""&amp;M2474))"),"")</f>
        <v/>
      </c>
      <c r="O2474" s="29" t="str">
        <f>IFERROR(__xludf.DUMMYFUNCTION("IF(ISBLANK(B2474),"""",IF(ISDATE(B2474),TEXT(B2474,""yyyy""),""""))"),"")</f>
        <v/>
      </c>
    </row>
    <row r="2475">
      <c r="B2475" s="62"/>
      <c r="C2475" s="56"/>
      <c r="D2475" s="56"/>
      <c r="E2475" s="56"/>
      <c r="F2475" s="63"/>
      <c r="G2475" s="64"/>
      <c r="H2475" s="65"/>
      <c r="I2475" s="63"/>
      <c r="K2475" s="53" t="str">
        <f>IFERROR(__xludf.DUMMYFUNCTION("IF(ISBLANK(B2475),"""",IF(ISDATE(B2475),""X"",""""))"),"")</f>
        <v/>
      </c>
      <c r="L2475" s="40" t="str">
        <f>IFERROR(__xludf.DUMMYFUNCTION("IF(ISBLANK(B2475),"""",IF(Or(I2475=""Em Aberto"",ISBLANK(I2475),NOT(ISDATE(B2475))),"""",H2475))"),"")</f>
        <v/>
      </c>
      <c r="M2475" s="29" t="str">
        <f>IFERROR(__xludf.DUMMYFUNCTION("IF(ISBLANK(B2475),"""",IF(ISDATE(B2475),TEXT(B2475,""m""),""""))"),"")</f>
        <v/>
      </c>
      <c r="N2475" s="29" t="str">
        <f>IFERROR(__xludf.DUMMYFUNCTION("IF(M2475="""","""",QUERY({'Dashboard-Dados'!$Y$2:$AA$13},""Select Col2 Where Col1=""&amp;M2475))"),"")</f>
        <v/>
      </c>
      <c r="O2475" s="29" t="str">
        <f>IFERROR(__xludf.DUMMYFUNCTION("IF(ISBLANK(B2475),"""",IF(ISDATE(B2475),TEXT(B2475,""yyyy""),""""))"),"")</f>
        <v/>
      </c>
    </row>
    <row r="2476">
      <c r="B2476" s="62"/>
      <c r="C2476" s="56"/>
      <c r="D2476" s="56"/>
      <c r="E2476" s="56"/>
      <c r="F2476" s="63"/>
      <c r="G2476" s="64"/>
      <c r="H2476" s="65"/>
      <c r="I2476" s="63"/>
      <c r="K2476" s="53" t="str">
        <f>IFERROR(__xludf.DUMMYFUNCTION("IF(ISBLANK(B2476),"""",IF(ISDATE(B2476),""X"",""""))"),"")</f>
        <v/>
      </c>
      <c r="L2476" s="40" t="str">
        <f>IFERROR(__xludf.DUMMYFUNCTION("IF(ISBLANK(B2476),"""",IF(Or(I2476=""Em Aberto"",ISBLANK(I2476),NOT(ISDATE(B2476))),"""",H2476))"),"")</f>
        <v/>
      </c>
      <c r="M2476" s="29" t="str">
        <f>IFERROR(__xludf.DUMMYFUNCTION("IF(ISBLANK(B2476),"""",IF(ISDATE(B2476),TEXT(B2476,""m""),""""))"),"")</f>
        <v/>
      </c>
      <c r="N2476" s="29" t="str">
        <f>IFERROR(__xludf.DUMMYFUNCTION("IF(M2476="""","""",QUERY({'Dashboard-Dados'!$Y$2:$AA$13},""Select Col2 Where Col1=""&amp;M2476))"),"")</f>
        <v/>
      </c>
      <c r="O2476" s="29" t="str">
        <f>IFERROR(__xludf.DUMMYFUNCTION("IF(ISBLANK(B2476),"""",IF(ISDATE(B2476),TEXT(B2476,""yyyy""),""""))"),"")</f>
        <v/>
      </c>
    </row>
    <row r="2477">
      <c r="B2477" s="62"/>
      <c r="C2477" s="56"/>
      <c r="D2477" s="56"/>
      <c r="E2477" s="56"/>
      <c r="F2477" s="63"/>
      <c r="G2477" s="64"/>
      <c r="H2477" s="65"/>
      <c r="I2477" s="63"/>
      <c r="K2477" s="53" t="str">
        <f>IFERROR(__xludf.DUMMYFUNCTION("IF(ISBLANK(B2477),"""",IF(ISDATE(B2477),""X"",""""))"),"")</f>
        <v/>
      </c>
      <c r="L2477" s="40" t="str">
        <f>IFERROR(__xludf.DUMMYFUNCTION("IF(ISBLANK(B2477),"""",IF(Or(I2477=""Em Aberto"",ISBLANK(I2477),NOT(ISDATE(B2477))),"""",H2477))"),"")</f>
        <v/>
      </c>
      <c r="M2477" s="29" t="str">
        <f>IFERROR(__xludf.DUMMYFUNCTION("IF(ISBLANK(B2477),"""",IF(ISDATE(B2477),TEXT(B2477,""m""),""""))"),"")</f>
        <v/>
      </c>
      <c r="N2477" s="29" t="str">
        <f>IFERROR(__xludf.DUMMYFUNCTION("IF(M2477="""","""",QUERY({'Dashboard-Dados'!$Y$2:$AA$13},""Select Col2 Where Col1=""&amp;M2477))"),"")</f>
        <v/>
      </c>
      <c r="O2477" s="29" t="str">
        <f>IFERROR(__xludf.DUMMYFUNCTION("IF(ISBLANK(B2477),"""",IF(ISDATE(B2477),TEXT(B2477,""yyyy""),""""))"),"")</f>
        <v/>
      </c>
    </row>
    <row r="2478">
      <c r="B2478" s="62"/>
      <c r="C2478" s="56"/>
      <c r="D2478" s="56"/>
      <c r="E2478" s="56"/>
      <c r="F2478" s="63"/>
      <c r="G2478" s="64"/>
      <c r="H2478" s="65"/>
      <c r="I2478" s="63"/>
      <c r="K2478" s="53" t="str">
        <f>IFERROR(__xludf.DUMMYFUNCTION("IF(ISBLANK(B2478),"""",IF(ISDATE(B2478),""X"",""""))"),"")</f>
        <v/>
      </c>
      <c r="L2478" s="40" t="str">
        <f>IFERROR(__xludf.DUMMYFUNCTION("IF(ISBLANK(B2478),"""",IF(Or(I2478=""Em Aberto"",ISBLANK(I2478),NOT(ISDATE(B2478))),"""",H2478))"),"")</f>
        <v/>
      </c>
      <c r="M2478" s="29" t="str">
        <f>IFERROR(__xludf.DUMMYFUNCTION("IF(ISBLANK(B2478),"""",IF(ISDATE(B2478),TEXT(B2478,""m""),""""))"),"")</f>
        <v/>
      </c>
      <c r="N2478" s="29" t="str">
        <f>IFERROR(__xludf.DUMMYFUNCTION("IF(M2478="""","""",QUERY({'Dashboard-Dados'!$Y$2:$AA$13},""Select Col2 Where Col1=""&amp;M2478))"),"")</f>
        <v/>
      </c>
      <c r="O2478" s="29" t="str">
        <f>IFERROR(__xludf.DUMMYFUNCTION("IF(ISBLANK(B2478),"""",IF(ISDATE(B2478),TEXT(B2478,""yyyy""),""""))"),"")</f>
        <v/>
      </c>
    </row>
    <row r="2479">
      <c r="B2479" s="62"/>
      <c r="C2479" s="56"/>
      <c r="D2479" s="56"/>
      <c r="E2479" s="56"/>
      <c r="F2479" s="63"/>
      <c r="G2479" s="64"/>
      <c r="H2479" s="65"/>
      <c r="I2479" s="63"/>
      <c r="K2479" s="53" t="str">
        <f>IFERROR(__xludf.DUMMYFUNCTION("IF(ISBLANK(B2479),"""",IF(ISDATE(B2479),""X"",""""))"),"")</f>
        <v/>
      </c>
      <c r="L2479" s="40" t="str">
        <f>IFERROR(__xludf.DUMMYFUNCTION("IF(ISBLANK(B2479),"""",IF(Or(I2479=""Em Aberto"",ISBLANK(I2479),NOT(ISDATE(B2479))),"""",H2479))"),"")</f>
        <v/>
      </c>
      <c r="M2479" s="29" t="str">
        <f>IFERROR(__xludf.DUMMYFUNCTION("IF(ISBLANK(B2479),"""",IF(ISDATE(B2479),TEXT(B2479,""m""),""""))"),"")</f>
        <v/>
      </c>
      <c r="N2479" s="29" t="str">
        <f>IFERROR(__xludf.DUMMYFUNCTION("IF(M2479="""","""",QUERY({'Dashboard-Dados'!$Y$2:$AA$13},""Select Col2 Where Col1=""&amp;M2479))"),"")</f>
        <v/>
      </c>
      <c r="O2479" s="29" t="str">
        <f>IFERROR(__xludf.DUMMYFUNCTION("IF(ISBLANK(B2479),"""",IF(ISDATE(B2479),TEXT(B2479,""yyyy""),""""))"),"")</f>
        <v/>
      </c>
    </row>
    <row r="2480">
      <c r="B2480" s="62"/>
      <c r="C2480" s="56"/>
      <c r="D2480" s="56"/>
      <c r="E2480" s="56"/>
      <c r="F2480" s="63"/>
      <c r="G2480" s="64"/>
      <c r="H2480" s="65"/>
      <c r="I2480" s="63"/>
      <c r="K2480" s="53" t="str">
        <f>IFERROR(__xludf.DUMMYFUNCTION("IF(ISBLANK(B2480),"""",IF(ISDATE(B2480),""X"",""""))"),"")</f>
        <v/>
      </c>
      <c r="L2480" s="40" t="str">
        <f>IFERROR(__xludf.DUMMYFUNCTION("IF(ISBLANK(B2480),"""",IF(Or(I2480=""Em Aberto"",ISBLANK(I2480),NOT(ISDATE(B2480))),"""",H2480))"),"")</f>
        <v/>
      </c>
      <c r="M2480" s="29" t="str">
        <f>IFERROR(__xludf.DUMMYFUNCTION("IF(ISBLANK(B2480),"""",IF(ISDATE(B2480),TEXT(B2480,""m""),""""))"),"")</f>
        <v/>
      </c>
      <c r="N2480" s="29" t="str">
        <f>IFERROR(__xludf.DUMMYFUNCTION("IF(M2480="""","""",QUERY({'Dashboard-Dados'!$Y$2:$AA$13},""Select Col2 Where Col1=""&amp;M2480))"),"")</f>
        <v/>
      </c>
      <c r="O2480" s="29" t="str">
        <f>IFERROR(__xludf.DUMMYFUNCTION("IF(ISBLANK(B2480),"""",IF(ISDATE(B2480),TEXT(B2480,""yyyy""),""""))"),"")</f>
        <v/>
      </c>
    </row>
    <row r="2481">
      <c r="B2481" s="62"/>
      <c r="C2481" s="56"/>
      <c r="D2481" s="56"/>
      <c r="E2481" s="56"/>
      <c r="F2481" s="63"/>
      <c r="G2481" s="64"/>
      <c r="H2481" s="65"/>
      <c r="I2481" s="63"/>
      <c r="K2481" s="53" t="str">
        <f>IFERROR(__xludf.DUMMYFUNCTION("IF(ISBLANK(B2481),"""",IF(ISDATE(B2481),""X"",""""))"),"")</f>
        <v/>
      </c>
      <c r="L2481" s="40" t="str">
        <f>IFERROR(__xludf.DUMMYFUNCTION("IF(ISBLANK(B2481),"""",IF(Or(I2481=""Em Aberto"",ISBLANK(I2481),NOT(ISDATE(B2481))),"""",H2481))"),"")</f>
        <v/>
      </c>
      <c r="M2481" s="29" t="str">
        <f>IFERROR(__xludf.DUMMYFUNCTION("IF(ISBLANK(B2481),"""",IF(ISDATE(B2481),TEXT(B2481,""m""),""""))"),"")</f>
        <v/>
      </c>
      <c r="N2481" s="29" t="str">
        <f>IFERROR(__xludf.DUMMYFUNCTION("IF(M2481="""","""",QUERY({'Dashboard-Dados'!$Y$2:$AA$13},""Select Col2 Where Col1=""&amp;M2481))"),"")</f>
        <v/>
      </c>
      <c r="O2481" s="29" t="str">
        <f>IFERROR(__xludf.DUMMYFUNCTION("IF(ISBLANK(B2481),"""",IF(ISDATE(B2481),TEXT(B2481,""yyyy""),""""))"),"")</f>
        <v/>
      </c>
    </row>
    <row r="2482">
      <c r="B2482" s="62"/>
      <c r="C2482" s="56"/>
      <c r="D2482" s="56"/>
      <c r="E2482" s="56"/>
      <c r="F2482" s="63"/>
      <c r="G2482" s="64"/>
      <c r="H2482" s="65"/>
      <c r="I2482" s="63"/>
      <c r="K2482" s="53" t="str">
        <f>IFERROR(__xludf.DUMMYFUNCTION("IF(ISBLANK(B2482),"""",IF(ISDATE(B2482),""X"",""""))"),"")</f>
        <v/>
      </c>
      <c r="L2482" s="40" t="str">
        <f>IFERROR(__xludf.DUMMYFUNCTION("IF(ISBLANK(B2482),"""",IF(Or(I2482=""Em Aberto"",ISBLANK(I2482),NOT(ISDATE(B2482))),"""",H2482))"),"")</f>
        <v/>
      </c>
      <c r="M2482" s="29" t="str">
        <f>IFERROR(__xludf.DUMMYFUNCTION("IF(ISBLANK(B2482),"""",IF(ISDATE(B2482),TEXT(B2482,""m""),""""))"),"")</f>
        <v/>
      </c>
      <c r="N2482" s="29" t="str">
        <f>IFERROR(__xludf.DUMMYFUNCTION("IF(M2482="""","""",QUERY({'Dashboard-Dados'!$Y$2:$AA$13},""Select Col2 Where Col1=""&amp;M2482))"),"")</f>
        <v/>
      </c>
      <c r="O2482" s="29" t="str">
        <f>IFERROR(__xludf.DUMMYFUNCTION("IF(ISBLANK(B2482),"""",IF(ISDATE(B2482),TEXT(B2482,""yyyy""),""""))"),"")</f>
        <v/>
      </c>
    </row>
    <row r="2483">
      <c r="B2483" s="62"/>
      <c r="C2483" s="56"/>
      <c r="D2483" s="56"/>
      <c r="E2483" s="56"/>
      <c r="F2483" s="63"/>
      <c r="G2483" s="64"/>
      <c r="H2483" s="65"/>
      <c r="I2483" s="63"/>
      <c r="K2483" s="53" t="str">
        <f>IFERROR(__xludf.DUMMYFUNCTION("IF(ISBLANK(B2483),"""",IF(ISDATE(B2483),""X"",""""))"),"")</f>
        <v/>
      </c>
      <c r="L2483" s="40" t="str">
        <f>IFERROR(__xludf.DUMMYFUNCTION("IF(ISBLANK(B2483),"""",IF(Or(I2483=""Em Aberto"",ISBLANK(I2483),NOT(ISDATE(B2483))),"""",H2483))"),"")</f>
        <v/>
      </c>
      <c r="M2483" s="29" t="str">
        <f>IFERROR(__xludf.DUMMYFUNCTION("IF(ISBLANK(B2483),"""",IF(ISDATE(B2483),TEXT(B2483,""m""),""""))"),"")</f>
        <v/>
      </c>
      <c r="N2483" s="29" t="str">
        <f>IFERROR(__xludf.DUMMYFUNCTION("IF(M2483="""","""",QUERY({'Dashboard-Dados'!$Y$2:$AA$13},""Select Col2 Where Col1=""&amp;M2483))"),"")</f>
        <v/>
      </c>
      <c r="O2483" s="29" t="str">
        <f>IFERROR(__xludf.DUMMYFUNCTION("IF(ISBLANK(B2483),"""",IF(ISDATE(B2483),TEXT(B2483,""yyyy""),""""))"),"")</f>
        <v/>
      </c>
    </row>
    <row r="2484">
      <c r="B2484" s="62"/>
      <c r="C2484" s="56"/>
      <c r="D2484" s="56"/>
      <c r="E2484" s="56"/>
      <c r="F2484" s="63"/>
      <c r="G2484" s="64"/>
      <c r="H2484" s="65"/>
      <c r="I2484" s="63"/>
      <c r="K2484" s="53" t="str">
        <f>IFERROR(__xludf.DUMMYFUNCTION("IF(ISBLANK(B2484),"""",IF(ISDATE(B2484),""X"",""""))"),"")</f>
        <v/>
      </c>
      <c r="L2484" s="40" t="str">
        <f>IFERROR(__xludf.DUMMYFUNCTION("IF(ISBLANK(B2484),"""",IF(Or(I2484=""Em Aberto"",ISBLANK(I2484),NOT(ISDATE(B2484))),"""",H2484))"),"")</f>
        <v/>
      </c>
      <c r="M2484" s="29" t="str">
        <f>IFERROR(__xludf.DUMMYFUNCTION("IF(ISBLANK(B2484),"""",IF(ISDATE(B2484),TEXT(B2484,""m""),""""))"),"")</f>
        <v/>
      </c>
      <c r="N2484" s="29" t="str">
        <f>IFERROR(__xludf.DUMMYFUNCTION("IF(M2484="""","""",QUERY({'Dashboard-Dados'!$Y$2:$AA$13},""Select Col2 Where Col1=""&amp;M2484))"),"")</f>
        <v/>
      </c>
      <c r="O2484" s="29" t="str">
        <f>IFERROR(__xludf.DUMMYFUNCTION("IF(ISBLANK(B2484),"""",IF(ISDATE(B2484),TEXT(B2484,""yyyy""),""""))"),"")</f>
        <v/>
      </c>
    </row>
    <row r="2485">
      <c r="B2485" s="62"/>
      <c r="C2485" s="56"/>
      <c r="D2485" s="56"/>
      <c r="E2485" s="56"/>
      <c r="F2485" s="63"/>
      <c r="G2485" s="64"/>
      <c r="H2485" s="65"/>
      <c r="I2485" s="63"/>
      <c r="K2485" s="53" t="str">
        <f>IFERROR(__xludf.DUMMYFUNCTION("IF(ISBLANK(B2485),"""",IF(ISDATE(B2485),""X"",""""))"),"")</f>
        <v/>
      </c>
      <c r="L2485" s="40" t="str">
        <f>IFERROR(__xludf.DUMMYFUNCTION("IF(ISBLANK(B2485),"""",IF(Or(I2485=""Em Aberto"",ISBLANK(I2485),NOT(ISDATE(B2485))),"""",H2485))"),"")</f>
        <v/>
      </c>
      <c r="M2485" s="29" t="str">
        <f>IFERROR(__xludf.DUMMYFUNCTION("IF(ISBLANK(B2485),"""",IF(ISDATE(B2485),TEXT(B2485,""m""),""""))"),"")</f>
        <v/>
      </c>
      <c r="N2485" s="29" t="str">
        <f>IFERROR(__xludf.DUMMYFUNCTION("IF(M2485="""","""",QUERY({'Dashboard-Dados'!$Y$2:$AA$13},""Select Col2 Where Col1=""&amp;M2485))"),"")</f>
        <v/>
      </c>
      <c r="O2485" s="29" t="str">
        <f>IFERROR(__xludf.DUMMYFUNCTION("IF(ISBLANK(B2485),"""",IF(ISDATE(B2485),TEXT(B2485,""yyyy""),""""))"),"")</f>
        <v/>
      </c>
    </row>
    <row r="2486">
      <c r="B2486" s="62"/>
      <c r="C2486" s="56"/>
      <c r="D2486" s="56"/>
      <c r="E2486" s="56"/>
      <c r="F2486" s="63"/>
      <c r="G2486" s="64"/>
      <c r="H2486" s="65"/>
      <c r="I2486" s="63"/>
      <c r="K2486" s="53" t="str">
        <f>IFERROR(__xludf.DUMMYFUNCTION("IF(ISBLANK(B2486),"""",IF(ISDATE(B2486),""X"",""""))"),"")</f>
        <v/>
      </c>
      <c r="L2486" s="40" t="str">
        <f>IFERROR(__xludf.DUMMYFUNCTION("IF(ISBLANK(B2486),"""",IF(Or(I2486=""Em Aberto"",ISBLANK(I2486),NOT(ISDATE(B2486))),"""",H2486))"),"")</f>
        <v/>
      </c>
      <c r="M2486" s="29" t="str">
        <f>IFERROR(__xludf.DUMMYFUNCTION("IF(ISBLANK(B2486),"""",IF(ISDATE(B2486),TEXT(B2486,""m""),""""))"),"")</f>
        <v/>
      </c>
      <c r="N2486" s="29" t="str">
        <f>IFERROR(__xludf.DUMMYFUNCTION("IF(M2486="""","""",QUERY({'Dashboard-Dados'!$Y$2:$AA$13},""Select Col2 Where Col1=""&amp;M2486))"),"")</f>
        <v/>
      </c>
      <c r="O2486" s="29" t="str">
        <f>IFERROR(__xludf.DUMMYFUNCTION("IF(ISBLANK(B2486),"""",IF(ISDATE(B2486),TEXT(B2486,""yyyy""),""""))"),"")</f>
        <v/>
      </c>
    </row>
    <row r="2487">
      <c r="B2487" s="62"/>
      <c r="C2487" s="56"/>
      <c r="D2487" s="56"/>
      <c r="E2487" s="56"/>
      <c r="F2487" s="63"/>
      <c r="G2487" s="64"/>
      <c r="H2487" s="65"/>
      <c r="I2487" s="63"/>
      <c r="K2487" s="53" t="str">
        <f>IFERROR(__xludf.DUMMYFUNCTION("IF(ISBLANK(B2487),"""",IF(ISDATE(B2487),""X"",""""))"),"")</f>
        <v/>
      </c>
      <c r="L2487" s="40" t="str">
        <f>IFERROR(__xludf.DUMMYFUNCTION("IF(ISBLANK(B2487),"""",IF(Or(I2487=""Em Aberto"",ISBLANK(I2487),NOT(ISDATE(B2487))),"""",H2487))"),"")</f>
        <v/>
      </c>
      <c r="M2487" s="29" t="str">
        <f>IFERROR(__xludf.DUMMYFUNCTION("IF(ISBLANK(B2487),"""",IF(ISDATE(B2487),TEXT(B2487,""m""),""""))"),"")</f>
        <v/>
      </c>
      <c r="N2487" s="29" t="str">
        <f>IFERROR(__xludf.DUMMYFUNCTION("IF(M2487="""","""",QUERY({'Dashboard-Dados'!$Y$2:$AA$13},""Select Col2 Where Col1=""&amp;M2487))"),"")</f>
        <v/>
      </c>
      <c r="O2487" s="29" t="str">
        <f>IFERROR(__xludf.DUMMYFUNCTION("IF(ISBLANK(B2487),"""",IF(ISDATE(B2487),TEXT(B2487,""yyyy""),""""))"),"")</f>
        <v/>
      </c>
    </row>
    <row r="2488">
      <c r="B2488" s="62"/>
      <c r="C2488" s="56"/>
      <c r="D2488" s="56"/>
      <c r="E2488" s="56"/>
      <c r="F2488" s="63"/>
      <c r="G2488" s="64"/>
      <c r="H2488" s="65"/>
      <c r="I2488" s="63"/>
      <c r="K2488" s="53" t="str">
        <f>IFERROR(__xludf.DUMMYFUNCTION("IF(ISBLANK(B2488),"""",IF(ISDATE(B2488),""X"",""""))"),"")</f>
        <v/>
      </c>
      <c r="L2488" s="40" t="str">
        <f>IFERROR(__xludf.DUMMYFUNCTION("IF(ISBLANK(B2488),"""",IF(Or(I2488=""Em Aberto"",ISBLANK(I2488),NOT(ISDATE(B2488))),"""",H2488))"),"")</f>
        <v/>
      </c>
      <c r="M2488" s="29" t="str">
        <f>IFERROR(__xludf.DUMMYFUNCTION("IF(ISBLANK(B2488),"""",IF(ISDATE(B2488),TEXT(B2488,""m""),""""))"),"")</f>
        <v/>
      </c>
      <c r="N2488" s="29" t="str">
        <f>IFERROR(__xludf.DUMMYFUNCTION("IF(M2488="""","""",QUERY({'Dashboard-Dados'!$Y$2:$AA$13},""Select Col2 Where Col1=""&amp;M2488))"),"")</f>
        <v/>
      </c>
      <c r="O2488" s="29" t="str">
        <f>IFERROR(__xludf.DUMMYFUNCTION("IF(ISBLANK(B2488),"""",IF(ISDATE(B2488),TEXT(B2488,""yyyy""),""""))"),"")</f>
        <v/>
      </c>
    </row>
    <row r="2489">
      <c r="B2489" s="62"/>
      <c r="C2489" s="56"/>
      <c r="D2489" s="56"/>
      <c r="E2489" s="56"/>
      <c r="F2489" s="63"/>
      <c r="G2489" s="64"/>
      <c r="H2489" s="65"/>
      <c r="I2489" s="63"/>
      <c r="K2489" s="53" t="str">
        <f>IFERROR(__xludf.DUMMYFUNCTION("IF(ISBLANK(B2489),"""",IF(ISDATE(B2489),""X"",""""))"),"")</f>
        <v/>
      </c>
      <c r="L2489" s="40" t="str">
        <f>IFERROR(__xludf.DUMMYFUNCTION("IF(ISBLANK(B2489),"""",IF(Or(I2489=""Em Aberto"",ISBLANK(I2489),NOT(ISDATE(B2489))),"""",H2489))"),"")</f>
        <v/>
      </c>
      <c r="M2489" s="29" t="str">
        <f>IFERROR(__xludf.DUMMYFUNCTION("IF(ISBLANK(B2489),"""",IF(ISDATE(B2489),TEXT(B2489,""m""),""""))"),"")</f>
        <v/>
      </c>
      <c r="N2489" s="29" t="str">
        <f>IFERROR(__xludf.DUMMYFUNCTION("IF(M2489="""","""",QUERY({'Dashboard-Dados'!$Y$2:$AA$13},""Select Col2 Where Col1=""&amp;M2489))"),"")</f>
        <v/>
      </c>
      <c r="O2489" s="29" t="str">
        <f>IFERROR(__xludf.DUMMYFUNCTION("IF(ISBLANK(B2489),"""",IF(ISDATE(B2489),TEXT(B2489,""yyyy""),""""))"),"")</f>
        <v/>
      </c>
    </row>
    <row r="2490">
      <c r="B2490" s="62"/>
      <c r="C2490" s="56"/>
      <c r="D2490" s="56"/>
      <c r="E2490" s="56"/>
      <c r="F2490" s="63"/>
      <c r="G2490" s="64"/>
      <c r="H2490" s="65"/>
      <c r="I2490" s="63"/>
      <c r="K2490" s="53" t="str">
        <f>IFERROR(__xludf.DUMMYFUNCTION("IF(ISBLANK(B2490),"""",IF(ISDATE(B2490),""X"",""""))"),"")</f>
        <v/>
      </c>
      <c r="L2490" s="40" t="str">
        <f>IFERROR(__xludf.DUMMYFUNCTION("IF(ISBLANK(B2490),"""",IF(Or(I2490=""Em Aberto"",ISBLANK(I2490),NOT(ISDATE(B2490))),"""",H2490))"),"")</f>
        <v/>
      </c>
      <c r="M2490" s="29" t="str">
        <f>IFERROR(__xludf.DUMMYFUNCTION("IF(ISBLANK(B2490),"""",IF(ISDATE(B2490),TEXT(B2490,""m""),""""))"),"")</f>
        <v/>
      </c>
      <c r="N2490" s="29" t="str">
        <f>IFERROR(__xludf.DUMMYFUNCTION("IF(M2490="""","""",QUERY({'Dashboard-Dados'!$Y$2:$AA$13},""Select Col2 Where Col1=""&amp;M2490))"),"")</f>
        <v/>
      </c>
      <c r="O2490" s="29" t="str">
        <f>IFERROR(__xludf.DUMMYFUNCTION("IF(ISBLANK(B2490),"""",IF(ISDATE(B2490),TEXT(B2490,""yyyy""),""""))"),"")</f>
        <v/>
      </c>
    </row>
    <row r="2491">
      <c r="B2491" s="62"/>
      <c r="C2491" s="56"/>
      <c r="D2491" s="56"/>
      <c r="E2491" s="56"/>
      <c r="F2491" s="63"/>
      <c r="G2491" s="64"/>
      <c r="H2491" s="65"/>
      <c r="I2491" s="63"/>
      <c r="K2491" s="53" t="str">
        <f>IFERROR(__xludf.DUMMYFUNCTION("IF(ISBLANK(B2491),"""",IF(ISDATE(B2491),""X"",""""))"),"")</f>
        <v/>
      </c>
      <c r="L2491" s="40" t="str">
        <f>IFERROR(__xludf.DUMMYFUNCTION("IF(ISBLANK(B2491),"""",IF(Or(I2491=""Em Aberto"",ISBLANK(I2491),NOT(ISDATE(B2491))),"""",H2491))"),"")</f>
        <v/>
      </c>
      <c r="M2491" s="29" t="str">
        <f>IFERROR(__xludf.DUMMYFUNCTION("IF(ISBLANK(B2491),"""",IF(ISDATE(B2491),TEXT(B2491,""m""),""""))"),"")</f>
        <v/>
      </c>
      <c r="N2491" s="29" t="str">
        <f>IFERROR(__xludf.DUMMYFUNCTION("IF(M2491="""","""",QUERY({'Dashboard-Dados'!$Y$2:$AA$13},""Select Col2 Where Col1=""&amp;M2491))"),"")</f>
        <v/>
      </c>
      <c r="O2491" s="29" t="str">
        <f>IFERROR(__xludf.DUMMYFUNCTION("IF(ISBLANK(B2491),"""",IF(ISDATE(B2491),TEXT(B2491,""yyyy""),""""))"),"")</f>
        <v/>
      </c>
    </row>
    <row r="2492">
      <c r="B2492" s="62"/>
      <c r="C2492" s="56"/>
      <c r="D2492" s="56"/>
      <c r="E2492" s="56"/>
      <c r="F2492" s="63"/>
      <c r="G2492" s="64"/>
      <c r="H2492" s="65"/>
      <c r="I2492" s="63"/>
      <c r="K2492" s="53" t="str">
        <f>IFERROR(__xludf.DUMMYFUNCTION("IF(ISBLANK(B2492),"""",IF(ISDATE(B2492),""X"",""""))"),"")</f>
        <v/>
      </c>
      <c r="L2492" s="40" t="str">
        <f>IFERROR(__xludf.DUMMYFUNCTION("IF(ISBLANK(B2492),"""",IF(Or(I2492=""Em Aberto"",ISBLANK(I2492),NOT(ISDATE(B2492))),"""",H2492))"),"")</f>
        <v/>
      </c>
      <c r="M2492" s="29" t="str">
        <f>IFERROR(__xludf.DUMMYFUNCTION("IF(ISBLANK(B2492),"""",IF(ISDATE(B2492),TEXT(B2492,""m""),""""))"),"")</f>
        <v/>
      </c>
      <c r="N2492" s="29" t="str">
        <f>IFERROR(__xludf.DUMMYFUNCTION("IF(M2492="""","""",QUERY({'Dashboard-Dados'!$Y$2:$AA$13},""Select Col2 Where Col1=""&amp;M2492))"),"")</f>
        <v/>
      </c>
      <c r="O2492" s="29" t="str">
        <f>IFERROR(__xludf.DUMMYFUNCTION("IF(ISBLANK(B2492),"""",IF(ISDATE(B2492),TEXT(B2492,""yyyy""),""""))"),"")</f>
        <v/>
      </c>
    </row>
    <row r="2493">
      <c r="B2493" s="62"/>
      <c r="C2493" s="56"/>
      <c r="D2493" s="56"/>
      <c r="E2493" s="56"/>
      <c r="F2493" s="63"/>
      <c r="G2493" s="64"/>
      <c r="H2493" s="65"/>
      <c r="I2493" s="63"/>
      <c r="K2493" s="53" t="str">
        <f>IFERROR(__xludf.DUMMYFUNCTION("IF(ISBLANK(B2493),"""",IF(ISDATE(B2493),""X"",""""))"),"")</f>
        <v/>
      </c>
      <c r="L2493" s="40" t="str">
        <f>IFERROR(__xludf.DUMMYFUNCTION("IF(ISBLANK(B2493),"""",IF(Or(I2493=""Em Aberto"",ISBLANK(I2493),NOT(ISDATE(B2493))),"""",H2493))"),"")</f>
        <v/>
      </c>
      <c r="M2493" s="29" t="str">
        <f>IFERROR(__xludf.DUMMYFUNCTION("IF(ISBLANK(B2493),"""",IF(ISDATE(B2493),TEXT(B2493,""m""),""""))"),"")</f>
        <v/>
      </c>
      <c r="N2493" s="29" t="str">
        <f>IFERROR(__xludf.DUMMYFUNCTION("IF(M2493="""","""",QUERY({'Dashboard-Dados'!$Y$2:$AA$13},""Select Col2 Where Col1=""&amp;M2493))"),"")</f>
        <v/>
      </c>
      <c r="O2493" s="29" t="str">
        <f>IFERROR(__xludf.DUMMYFUNCTION("IF(ISBLANK(B2493),"""",IF(ISDATE(B2493),TEXT(B2493,""yyyy""),""""))"),"")</f>
        <v/>
      </c>
    </row>
    <row r="2494">
      <c r="B2494" s="62"/>
      <c r="C2494" s="56"/>
      <c r="D2494" s="56"/>
      <c r="E2494" s="56"/>
      <c r="F2494" s="63"/>
      <c r="G2494" s="64"/>
      <c r="H2494" s="65"/>
      <c r="I2494" s="63"/>
      <c r="K2494" s="53" t="str">
        <f>IFERROR(__xludf.DUMMYFUNCTION("IF(ISBLANK(B2494),"""",IF(ISDATE(B2494),""X"",""""))"),"")</f>
        <v/>
      </c>
      <c r="L2494" s="40" t="str">
        <f>IFERROR(__xludf.DUMMYFUNCTION("IF(ISBLANK(B2494),"""",IF(Or(I2494=""Em Aberto"",ISBLANK(I2494),NOT(ISDATE(B2494))),"""",H2494))"),"")</f>
        <v/>
      </c>
      <c r="M2494" s="29" t="str">
        <f>IFERROR(__xludf.DUMMYFUNCTION("IF(ISBLANK(B2494),"""",IF(ISDATE(B2494),TEXT(B2494,""m""),""""))"),"")</f>
        <v/>
      </c>
      <c r="N2494" s="29" t="str">
        <f>IFERROR(__xludf.DUMMYFUNCTION("IF(M2494="""","""",QUERY({'Dashboard-Dados'!$Y$2:$AA$13},""Select Col2 Where Col1=""&amp;M2494))"),"")</f>
        <v/>
      </c>
      <c r="O2494" s="29" t="str">
        <f>IFERROR(__xludf.DUMMYFUNCTION("IF(ISBLANK(B2494),"""",IF(ISDATE(B2494),TEXT(B2494,""yyyy""),""""))"),"")</f>
        <v/>
      </c>
    </row>
    <row r="2495">
      <c r="B2495" s="62"/>
      <c r="C2495" s="56"/>
      <c r="D2495" s="56"/>
      <c r="E2495" s="56"/>
      <c r="F2495" s="63"/>
      <c r="G2495" s="64"/>
      <c r="H2495" s="65"/>
      <c r="I2495" s="63"/>
      <c r="K2495" s="53" t="str">
        <f>IFERROR(__xludf.DUMMYFUNCTION("IF(ISBLANK(B2495),"""",IF(ISDATE(B2495),""X"",""""))"),"")</f>
        <v/>
      </c>
      <c r="L2495" s="40" t="str">
        <f>IFERROR(__xludf.DUMMYFUNCTION("IF(ISBLANK(B2495),"""",IF(Or(I2495=""Em Aberto"",ISBLANK(I2495),NOT(ISDATE(B2495))),"""",H2495))"),"")</f>
        <v/>
      </c>
      <c r="M2495" s="29" t="str">
        <f>IFERROR(__xludf.DUMMYFUNCTION("IF(ISBLANK(B2495),"""",IF(ISDATE(B2495),TEXT(B2495,""m""),""""))"),"")</f>
        <v/>
      </c>
      <c r="N2495" s="29" t="str">
        <f>IFERROR(__xludf.DUMMYFUNCTION("IF(M2495="""","""",QUERY({'Dashboard-Dados'!$Y$2:$AA$13},""Select Col2 Where Col1=""&amp;M2495))"),"")</f>
        <v/>
      </c>
      <c r="O2495" s="29" t="str">
        <f>IFERROR(__xludf.DUMMYFUNCTION("IF(ISBLANK(B2495),"""",IF(ISDATE(B2495),TEXT(B2495,""yyyy""),""""))"),"")</f>
        <v/>
      </c>
    </row>
    <row r="2496">
      <c r="B2496" s="62"/>
      <c r="C2496" s="56"/>
      <c r="D2496" s="56"/>
      <c r="E2496" s="56"/>
      <c r="F2496" s="63"/>
      <c r="G2496" s="64"/>
      <c r="H2496" s="65"/>
      <c r="I2496" s="63"/>
      <c r="K2496" s="53" t="str">
        <f>IFERROR(__xludf.DUMMYFUNCTION("IF(ISBLANK(B2496),"""",IF(ISDATE(B2496),""X"",""""))"),"")</f>
        <v/>
      </c>
      <c r="L2496" s="40" t="str">
        <f>IFERROR(__xludf.DUMMYFUNCTION("IF(ISBLANK(B2496),"""",IF(Or(I2496=""Em Aberto"",ISBLANK(I2496),NOT(ISDATE(B2496))),"""",H2496))"),"")</f>
        <v/>
      </c>
      <c r="M2496" s="29" t="str">
        <f>IFERROR(__xludf.DUMMYFUNCTION("IF(ISBLANK(B2496),"""",IF(ISDATE(B2496),TEXT(B2496,""m""),""""))"),"")</f>
        <v/>
      </c>
      <c r="N2496" s="29" t="str">
        <f>IFERROR(__xludf.DUMMYFUNCTION("IF(M2496="""","""",QUERY({'Dashboard-Dados'!$Y$2:$AA$13},""Select Col2 Where Col1=""&amp;M2496))"),"")</f>
        <v/>
      </c>
      <c r="O2496" s="29" t="str">
        <f>IFERROR(__xludf.DUMMYFUNCTION("IF(ISBLANK(B2496),"""",IF(ISDATE(B2496),TEXT(B2496,""yyyy""),""""))"),"")</f>
        <v/>
      </c>
    </row>
    <row r="2497">
      <c r="B2497" s="62"/>
      <c r="C2497" s="56"/>
      <c r="D2497" s="56"/>
      <c r="E2497" s="56"/>
      <c r="F2497" s="63"/>
      <c r="G2497" s="64"/>
      <c r="H2497" s="65"/>
      <c r="I2497" s="63"/>
      <c r="K2497" s="53" t="str">
        <f>IFERROR(__xludf.DUMMYFUNCTION("IF(ISBLANK(B2497),"""",IF(ISDATE(B2497),""X"",""""))"),"")</f>
        <v/>
      </c>
      <c r="L2497" s="40" t="str">
        <f>IFERROR(__xludf.DUMMYFUNCTION("IF(ISBLANK(B2497),"""",IF(Or(I2497=""Em Aberto"",ISBLANK(I2497),NOT(ISDATE(B2497))),"""",H2497))"),"")</f>
        <v/>
      </c>
      <c r="M2497" s="29" t="str">
        <f>IFERROR(__xludf.DUMMYFUNCTION("IF(ISBLANK(B2497),"""",IF(ISDATE(B2497),TEXT(B2497,""m""),""""))"),"")</f>
        <v/>
      </c>
      <c r="N2497" s="29" t="str">
        <f>IFERROR(__xludf.DUMMYFUNCTION("IF(M2497="""","""",QUERY({'Dashboard-Dados'!$Y$2:$AA$13},""Select Col2 Where Col1=""&amp;M2497))"),"")</f>
        <v/>
      </c>
      <c r="O2497" s="29" t="str">
        <f>IFERROR(__xludf.DUMMYFUNCTION("IF(ISBLANK(B2497),"""",IF(ISDATE(B2497),TEXT(B2497,""yyyy""),""""))"),"")</f>
        <v/>
      </c>
    </row>
    <row r="2498">
      <c r="B2498" s="62"/>
      <c r="C2498" s="56"/>
      <c r="D2498" s="56"/>
      <c r="E2498" s="56"/>
      <c r="F2498" s="63"/>
      <c r="G2498" s="64"/>
      <c r="H2498" s="65"/>
      <c r="I2498" s="63"/>
      <c r="K2498" s="53" t="str">
        <f>IFERROR(__xludf.DUMMYFUNCTION("IF(ISBLANK(B2498),"""",IF(ISDATE(B2498),""X"",""""))"),"")</f>
        <v/>
      </c>
      <c r="L2498" s="40" t="str">
        <f>IFERROR(__xludf.DUMMYFUNCTION("IF(ISBLANK(B2498),"""",IF(Or(I2498=""Em Aberto"",ISBLANK(I2498),NOT(ISDATE(B2498))),"""",H2498))"),"")</f>
        <v/>
      </c>
      <c r="M2498" s="29" t="str">
        <f>IFERROR(__xludf.DUMMYFUNCTION("IF(ISBLANK(B2498),"""",IF(ISDATE(B2498),TEXT(B2498,""m""),""""))"),"")</f>
        <v/>
      </c>
      <c r="N2498" s="29" t="str">
        <f>IFERROR(__xludf.DUMMYFUNCTION("IF(M2498="""","""",QUERY({'Dashboard-Dados'!$Y$2:$AA$13},""Select Col2 Where Col1=""&amp;M2498))"),"")</f>
        <v/>
      </c>
      <c r="O2498" s="29" t="str">
        <f>IFERROR(__xludf.DUMMYFUNCTION("IF(ISBLANK(B2498),"""",IF(ISDATE(B2498),TEXT(B2498,""yyyy""),""""))"),"")</f>
        <v/>
      </c>
    </row>
    <row r="2499">
      <c r="B2499" s="62"/>
      <c r="C2499" s="56"/>
      <c r="D2499" s="56"/>
      <c r="E2499" s="56"/>
      <c r="F2499" s="63"/>
      <c r="G2499" s="64"/>
      <c r="H2499" s="65"/>
      <c r="I2499" s="63"/>
      <c r="K2499" s="53" t="str">
        <f>IFERROR(__xludf.DUMMYFUNCTION("IF(ISBLANK(B2499),"""",IF(ISDATE(B2499),""X"",""""))"),"")</f>
        <v/>
      </c>
      <c r="L2499" s="40" t="str">
        <f>IFERROR(__xludf.DUMMYFUNCTION("IF(ISBLANK(B2499),"""",IF(Or(I2499=""Em Aberto"",ISBLANK(I2499),NOT(ISDATE(B2499))),"""",H2499))"),"")</f>
        <v/>
      </c>
      <c r="M2499" s="29" t="str">
        <f>IFERROR(__xludf.DUMMYFUNCTION("IF(ISBLANK(B2499),"""",IF(ISDATE(B2499),TEXT(B2499,""m""),""""))"),"")</f>
        <v/>
      </c>
      <c r="N2499" s="29" t="str">
        <f>IFERROR(__xludf.DUMMYFUNCTION("IF(M2499="""","""",QUERY({'Dashboard-Dados'!$Y$2:$AA$13},""Select Col2 Where Col1=""&amp;M2499))"),"")</f>
        <v/>
      </c>
      <c r="O2499" s="29" t="str">
        <f>IFERROR(__xludf.DUMMYFUNCTION("IF(ISBLANK(B2499),"""",IF(ISDATE(B2499),TEXT(B2499,""yyyy""),""""))"),"")</f>
        <v/>
      </c>
    </row>
    <row r="2500">
      <c r="B2500" s="62"/>
      <c r="C2500" s="56"/>
      <c r="D2500" s="56"/>
      <c r="E2500" s="56"/>
      <c r="F2500" s="63"/>
      <c r="G2500" s="64"/>
      <c r="H2500" s="65"/>
      <c r="I2500" s="63"/>
      <c r="K2500" s="53" t="str">
        <f>IFERROR(__xludf.DUMMYFUNCTION("IF(ISBLANK(B2500),"""",IF(ISDATE(B2500),""X"",""""))"),"")</f>
        <v/>
      </c>
      <c r="L2500" s="40" t="str">
        <f>IFERROR(__xludf.DUMMYFUNCTION("IF(ISBLANK(B2500),"""",IF(Or(I2500=""Em Aberto"",ISBLANK(I2500),NOT(ISDATE(B2500))),"""",H2500))"),"")</f>
        <v/>
      </c>
      <c r="M2500" s="29" t="str">
        <f>IFERROR(__xludf.DUMMYFUNCTION("IF(ISBLANK(B2500),"""",IF(ISDATE(B2500),TEXT(B2500,""m""),""""))"),"")</f>
        <v/>
      </c>
      <c r="N2500" s="29" t="str">
        <f>IFERROR(__xludf.DUMMYFUNCTION("IF(M2500="""","""",QUERY({'Dashboard-Dados'!$Y$2:$AA$13},""Select Col2 Where Col1=""&amp;M2500))"),"")</f>
        <v/>
      </c>
      <c r="O2500" s="29" t="str">
        <f>IFERROR(__xludf.DUMMYFUNCTION("IF(ISBLANK(B2500),"""",IF(ISDATE(B2500),TEXT(B2500,""yyyy""),""""))"),"")</f>
        <v/>
      </c>
    </row>
    <row r="2501">
      <c r="B2501" s="62"/>
      <c r="C2501" s="56"/>
      <c r="D2501" s="56"/>
      <c r="E2501" s="56"/>
      <c r="F2501" s="63"/>
      <c r="G2501" s="64"/>
      <c r="H2501" s="65"/>
      <c r="I2501" s="63"/>
      <c r="K2501" s="53" t="str">
        <f>IFERROR(__xludf.DUMMYFUNCTION("IF(ISBLANK(B2501),"""",IF(ISDATE(B2501),""X"",""""))"),"")</f>
        <v/>
      </c>
      <c r="L2501" s="40" t="str">
        <f>IFERROR(__xludf.DUMMYFUNCTION("IF(ISBLANK(B2501),"""",IF(Or(I2501=""Em Aberto"",ISBLANK(I2501),NOT(ISDATE(B2501))),"""",H2501))"),"")</f>
        <v/>
      </c>
      <c r="M2501" s="29" t="str">
        <f>IFERROR(__xludf.DUMMYFUNCTION("IF(ISBLANK(B2501),"""",IF(ISDATE(B2501),TEXT(B2501,""m""),""""))"),"")</f>
        <v/>
      </c>
      <c r="N2501" s="29" t="str">
        <f>IFERROR(__xludf.DUMMYFUNCTION("IF(M2501="""","""",QUERY({'Dashboard-Dados'!$Y$2:$AA$13},""Select Col2 Where Col1=""&amp;M2501))"),"")</f>
        <v/>
      </c>
      <c r="O2501" s="29" t="str">
        <f>IFERROR(__xludf.DUMMYFUNCTION("IF(ISBLANK(B2501),"""",IF(ISDATE(B2501),TEXT(B2501,""yyyy""),""""))"),"")</f>
        <v/>
      </c>
    </row>
    <row r="2502">
      <c r="B2502" s="62"/>
      <c r="C2502" s="56"/>
      <c r="D2502" s="56"/>
      <c r="E2502" s="56"/>
      <c r="F2502" s="63"/>
      <c r="G2502" s="64"/>
      <c r="H2502" s="65"/>
      <c r="I2502" s="63"/>
      <c r="K2502" s="53" t="str">
        <f>IFERROR(__xludf.DUMMYFUNCTION("IF(ISBLANK(B2502),"""",IF(ISDATE(B2502),""X"",""""))"),"")</f>
        <v/>
      </c>
      <c r="L2502" s="40" t="str">
        <f>IFERROR(__xludf.DUMMYFUNCTION("IF(ISBLANK(B2502),"""",IF(Or(I2502=""Em Aberto"",ISBLANK(I2502),NOT(ISDATE(B2502))),"""",H2502))"),"")</f>
        <v/>
      </c>
      <c r="M2502" s="29" t="str">
        <f>IFERROR(__xludf.DUMMYFUNCTION("IF(ISBLANK(B2502),"""",IF(ISDATE(B2502),TEXT(B2502,""m""),""""))"),"")</f>
        <v/>
      </c>
      <c r="N2502" s="29" t="str">
        <f>IFERROR(__xludf.DUMMYFUNCTION("IF(M2502="""","""",QUERY({'Dashboard-Dados'!$Y$2:$AA$13},""Select Col2 Where Col1=""&amp;M2502))"),"")</f>
        <v/>
      </c>
      <c r="O2502" s="29" t="str">
        <f>IFERROR(__xludf.DUMMYFUNCTION("IF(ISBLANK(B2502),"""",IF(ISDATE(B2502),TEXT(B2502,""yyyy""),""""))"),"")</f>
        <v/>
      </c>
    </row>
    <row r="2503">
      <c r="B2503" s="62"/>
      <c r="C2503" s="56"/>
      <c r="D2503" s="56"/>
      <c r="E2503" s="56"/>
      <c r="F2503" s="63"/>
      <c r="G2503" s="64"/>
      <c r="H2503" s="65"/>
      <c r="I2503" s="63"/>
      <c r="K2503" s="53" t="str">
        <f>IFERROR(__xludf.DUMMYFUNCTION("IF(ISBLANK(B2503),"""",IF(ISDATE(B2503),""X"",""""))"),"")</f>
        <v/>
      </c>
      <c r="L2503" s="40" t="str">
        <f>IFERROR(__xludf.DUMMYFUNCTION("IF(ISBLANK(B2503),"""",IF(Or(I2503=""Em Aberto"",ISBLANK(I2503),NOT(ISDATE(B2503))),"""",H2503))"),"")</f>
        <v/>
      </c>
      <c r="M2503" s="29" t="str">
        <f>IFERROR(__xludf.DUMMYFUNCTION("IF(ISBLANK(B2503),"""",IF(ISDATE(B2503),TEXT(B2503,""m""),""""))"),"")</f>
        <v/>
      </c>
      <c r="N2503" s="29" t="str">
        <f>IFERROR(__xludf.DUMMYFUNCTION("IF(M2503="""","""",QUERY({'Dashboard-Dados'!$Y$2:$AA$13},""Select Col2 Where Col1=""&amp;M2503))"),"")</f>
        <v/>
      </c>
      <c r="O2503" s="29" t="str">
        <f>IFERROR(__xludf.DUMMYFUNCTION("IF(ISBLANK(B2503),"""",IF(ISDATE(B2503),TEXT(B2503,""yyyy""),""""))"),"")</f>
        <v/>
      </c>
    </row>
    <row r="2504">
      <c r="B2504" s="62"/>
      <c r="C2504" s="56"/>
      <c r="D2504" s="56"/>
      <c r="E2504" s="56"/>
      <c r="F2504" s="63"/>
      <c r="G2504" s="64"/>
      <c r="H2504" s="65"/>
      <c r="I2504" s="63"/>
      <c r="K2504" s="53" t="str">
        <f>IFERROR(__xludf.DUMMYFUNCTION("IF(ISBLANK(B2504),"""",IF(ISDATE(B2504),""X"",""""))"),"")</f>
        <v/>
      </c>
      <c r="L2504" s="40" t="str">
        <f>IFERROR(__xludf.DUMMYFUNCTION("IF(ISBLANK(B2504),"""",IF(Or(I2504=""Em Aberto"",ISBLANK(I2504),NOT(ISDATE(B2504))),"""",H2504))"),"")</f>
        <v/>
      </c>
      <c r="M2504" s="29" t="str">
        <f>IFERROR(__xludf.DUMMYFUNCTION("IF(ISBLANK(B2504),"""",IF(ISDATE(B2504),TEXT(B2504,""m""),""""))"),"")</f>
        <v/>
      </c>
      <c r="N2504" s="29" t="str">
        <f>IFERROR(__xludf.DUMMYFUNCTION("IF(M2504="""","""",QUERY({'Dashboard-Dados'!$Y$2:$AA$13},""Select Col2 Where Col1=""&amp;M2504))"),"")</f>
        <v/>
      </c>
      <c r="O2504" s="29" t="str">
        <f>IFERROR(__xludf.DUMMYFUNCTION("IF(ISBLANK(B2504),"""",IF(ISDATE(B2504),TEXT(B2504,""yyyy""),""""))"),"")</f>
        <v/>
      </c>
    </row>
    <row r="2505">
      <c r="B2505" s="62"/>
      <c r="C2505" s="56"/>
      <c r="D2505" s="56"/>
      <c r="E2505" s="56"/>
      <c r="F2505" s="63"/>
      <c r="G2505" s="64"/>
      <c r="H2505" s="65"/>
      <c r="I2505" s="63"/>
      <c r="K2505" s="53" t="str">
        <f>IFERROR(__xludf.DUMMYFUNCTION("IF(ISBLANK(B2505),"""",IF(ISDATE(B2505),""X"",""""))"),"")</f>
        <v/>
      </c>
      <c r="L2505" s="40" t="str">
        <f>IFERROR(__xludf.DUMMYFUNCTION("IF(ISBLANK(B2505),"""",IF(Or(I2505=""Em Aberto"",ISBLANK(I2505),NOT(ISDATE(B2505))),"""",H2505))"),"")</f>
        <v/>
      </c>
      <c r="M2505" s="29" t="str">
        <f>IFERROR(__xludf.DUMMYFUNCTION("IF(ISBLANK(B2505),"""",IF(ISDATE(B2505),TEXT(B2505,""m""),""""))"),"")</f>
        <v/>
      </c>
      <c r="N2505" s="29" t="str">
        <f>IFERROR(__xludf.DUMMYFUNCTION("IF(M2505="""","""",QUERY({'Dashboard-Dados'!$Y$2:$AA$13},""Select Col2 Where Col1=""&amp;M2505))"),"")</f>
        <v/>
      </c>
      <c r="O2505" s="29" t="str">
        <f>IFERROR(__xludf.DUMMYFUNCTION("IF(ISBLANK(B2505),"""",IF(ISDATE(B2505),TEXT(B2505,""yyyy""),""""))"),"")</f>
        <v/>
      </c>
    </row>
    <row r="2506">
      <c r="B2506" s="62"/>
      <c r="C2506" s="56"/>
      <c r="D2506" s="56"/>
      <c r="E2506" s="56"/>
      <c r="F2506" s="63"/>
      <c r="G2506" s="64"/>
      <c r="H2506" s="65"/>
      <c r="I2506" s="63"/>
      <c r="K2506" s="53" t="str">
        <f>IFERROR(__xludf.DUMMYFUNCTION("IF(ISBLANK(B2506),"""",IF(ISDATE(B2506),""X"",""""))"),"")</f>
        <v/>
      </c>
      <c r="L2506" s="40" t="str">
        <f>IFERROR(__xludf.DUMMYFUNCTION("IF(ISBLANK(B2506),"""",IF(Or(I2506=""Em Aberto"",ISBLANK(I2506),NOT(ISDATE(B2506))),"""",H2506))"),"")</f>
        <v/>
      </c>
      <c r="M2506" s="29" t="str">
        <f>IFERROR(__xludf.DUMMYFUNCTION("IF(ISBLANK(B2506),"""",IF(ISDATE(B2506),TEXT(B2506,""m""),""""))"),"")</f>
        <v/>
      </c>
      <c r="N2506" s="29" t="str">
        <f>IFERROR(__xludf.DUMMYFUNCTION("IF(M2506="""","""",QUERY({'Dashboard-Dados'!$Y$2:$AA$13},""Select Col2 Where Col1=""&amp;M2506))"),"")</f>
        <v/>
      </c>
      <c r="O2506" s="29" t="str">
        <f>IFERROR(__xludf.DUMMYFUNCTION("IF(ISBLANK(B2506),"""",IF(ISDATE(B2506),TEXT(B2506,""yyyy""),""""))"),"")</f>
        <v/>
      </c>
    </row>
    <row r="2507">
      <c r="B2507" s="62"/>
      <c r="C2507" s="56"/>
      <c r="D2507" s="56"/>
      <c r="E2507" s="56"/>
      <c r="F2507" s="63"/>
      <c r="G2507" s="64"/>
      <c r="H2507" s="65"/>
      <c r="I2507" s="63"/>
      <c r="K2507" s="53" t="str">
        <f>IFERROR(__xludf.DUMMYFUNCTION("IF(ISBLANK(B2507),"""",IF(ISDATE(B2507),""X"",""""))"),"")</f>
        <v/>
      </c>
      <c r="L2507" s="40" t="str">
        <f>IFERROR(__xludf.DUMMYFUNCTION("IF(ISBLANK(B2507),"""",IF(Or(I2507=""Em Aberto"",ISBLANK(I2507),NOT(ISDATE(B2507))),"""",H2507))"),"")</f>
        <v/>
      </c>
      <c r="M2507" s="29" t="str">
        <f>IFERROR(__xludf.DUMMYFUNCTION("IF(ISBLANK(B2507),"""",IF(ISDATE(B2507),TEXT(B2507,""m""),""""))"),"")</f>
        <v/>
      </c>
      <c r="N2507" s="29" t="str">
        <f>IFERROR(__xludf.DUMMYFUNCTION("IF(M2507="""","""",QUERY({'Dashboard-Dados'!$Y$2:$AA$13},""Select Col2 Where Col1=""&amp;M2507))"),"")</f>
        <v/>
      </c>
      <c r="O2507" s="29" t="str">
        <f>IFERROR(__xludf.DUMMYFUNCTION("IF(ISBLANK(B2507),"""",IF(ISDATE(B2507),TEXT(B2507,""yyyy""),""""))"),"")</f>
        <v/>
      </c>
    </row>
    <row r="2508">
      <c r="B2508" s="62"/>
      <c r="C2508" s="56"/>
      <c r="D2508" s="56"/>
      <c r="E2508" s="56"/>
      <c r="F2508" s="63"/>
      <c r="G2508" s="64"/>
      <c r="H2508" s="65"/>
      <c r="I2508" s="63"/>
      <c r="K2508" s="53" t="str">
        <f>IFERROR(__xludf.DUMMYFUNCTION("IF(ISBLANK(B2508),"""",IF(ISDATE(B2508),""X"",""""))"),"")</f>
        <v/>
      </c>
      <c r="L2508" s="40" t="str">
        <f>IFERROR(__xludf.DUMMYFUNCTION("IF(ISBLANK(B2508),"""",IF(Or(I2508=""Em Aberto"",ISBLANK(I2508),NOT(ISDATE(B2508))),"""",H2508))"),"")</f>
        <v/>
      </c>
      <c r="M2508" s="29" t="str">
        <f>IFERROR(__xludf.DUMMYFUNCTION("IF(ISBLANK(B2508),"""",IF(ISDATE(B2508),TEXT(B2508,""m""),""""))"),"")</f>
        <v/>
      </c>
      <c r="N2508" s="29" t="str">
        <f>IFERROR(__xludf.DUMMYFUNCTION("IF(M2508="""","""",QUERY({'Dashboard-Dados'!$Y$2:$AA$13},""Select Col2 Where Col1=""&amp;M2508))"),"")</f>
        <v/>
      </c>
      <c r="O2508" s="29" t="str">
        <f>IFERROR(__xludf.DUMMYFUNCTION("IF(ISBLANK(B2508),"""",IF(ISDATE(B2508),TEXT(B2508,""yyyy""),""""))"),"")</f>
        <v/>
      </c>
    </row>
    <row r="2509">
      <c r="B2509" s="62"/>
      <c r="C2509" s="56"/>
      <c r="D2509" s="56"/>
      <c r="E2509" s="56"/>
      <c r="F2509" s="63"/>
      <c r="G2509" s="64"/>
      <c r="H2509" s="65"/>
      <c r="I2509" s="63"/>
      <c r="K2509" s="53" t="str">
        <f>IFERROR(__xludf.DUMMYFUNCTION("IF(ISBLANK(B2509),"""",IF(ISDATE(B2509),""X"",""""))"),"")</f>
        <v/>
      </c>
      <c r="L2509" s="40" t="str">
        <f>IFERROR(__xludf.DUMMYFUNCTION("IF(ISBLANK(B2509),"""",IF(Or(I2509=""Em Aberto"",ISBLANK(I2509),NOT(ISDATE(B2509))),"""",H2509))"),"")</f>
        <v/>
      </c>
      <c r="M2509" s="29" t="str">
        <f>IFERROR(__xludf.DUMMYFUNCTION("IF(ISBLANK(B2509),"""",IF(ISDATE(B2509),TEXT(B2509,""m""),""""))"),"")</f>
        <v/>
      </c>
      <c r="N2509" s="29" t="str">
        <f>IFERROR(__xludf.DUMMYFUNCTION("IF(M2509="""","""",QUERY({'Dashboard-Dados'!$Y$2:$AA$13},""Select Col2 Where Col1=""&amp;M2509))"),"")</f>
        <v/>
      </c>
      <c r="O2509" s="29" t="str">
        <f>IFERROR(__xludf.DUMMYFUNCTION("IF(ISBLANK(B2509),"""",IF(ISDATE(B2509),TEXT(B2509,""yyyy""),""""))"),"")</f>
        <v/>
      </c>
    </row>
    <row r="2510">
      <c r="B2510" s="62"/>
      <c r="C2510" s="56"/>
      <c r="D2510" s="56"/>
      <c r="E2510" s="56"/>
      <c r="F2510" s="63"/>
      <c r="G2510" s="64"/>
      <c r="H2510" s="65"/>
      <c r="I2510" s="63"/>
      <c r="K2510" s="53" t="str">
        <f>IFERROR(__xludf.DUMMYFUNCTION("IF(ISBLANK(B2510),"""",IF(ISDATE(B2510),""X"",""""))"),"")</f>
        <v/>
      </c>
      <c r="L2510" s="40" t="str">
        <f>IFERROR(__xludf.DUMMYFUNCTION("IF(ISBLANK(B2510),"""",IF(Or(I2510=""Em Aberto"",ISBLANK(I2510),NOT(ISDATE(B2510))),"""",H2510))"),"")</f>
        <v/>
      </c>
      <c r="M2510" s="29" t="str">
        <f>IFERROR(__xludf.DUMMYFUNCTION("IF(ISBLANK(B2510),"""",IF(ISDATE(B2510),TEXT(B2510,""m""),""""))"),"")</f>
        <v/>
      </c>
      <c r="N2510" s="29" t="str">
        <f>IFERROR(__xludf.DUMMYFUNCTION("IF(M2510="""","""",QUERY({'Dashboard-Dados'!$Y$2:$AA$13},""Select Col2 Where Col1=""&amp;M2510))"),"")</f>
        <v/>
      </c>
      <c r="O2510" s="29" t="str">
        <f>IFERROR(__xludf.DUMMYFUNCTION("IF(ISBLANK(B2510),"""",IF(ISDATE(B2510),TEXT(B2510,""yyyy""),""""))"),"")</f>
        <v/>
      </c>
    </row>
    <row r="2511">
      <c r="B2511" s="62"/>
      <c r="C2511" s="56"/>
      <c r="D2511" s="56"/>
      <c r="E2511" s="56"/>
      <c r="F2511" s="63"/>
      <c r="G2511" s="64"/>
      <c r="H2511" s="65"/>
      <c r="I2511" s="63"/>
      <c r="K2511" s="53" t="str">
        <f>IFERROR(__xludf.DUMMYFUNCTION("IF(ISBLANK(B2511),"""",IF(ISDATE(B2511),""X"",""""))"),"")</f>
        <v/>
      </c>
      <c r="L2511" s="40" t="str">
        <f>IFERROR(__xludf.DUMMYFUNCTION("IF(ISBLANK(B2511),"""",IF(Or(I2511=""Em Aberto"",ISBLANK(I2511),NOT(ISDATE(B2511))),"""",H2511))"),"")</f>
        <v/>
      </c>
      <c r="M2511" s="29" t="str">
        <f>IFERROR(__xludf.DUMMYFUNCTION("IF(ISBLANK(B2511),"""",IF(ISDATE(B2511),TEXT(B2511,""m""),""""))"),"")</f>
        <v/>
      </c>
      <c r="N2511" s="29" t="str">
        <f>IFERROR(__xludf.DUMMYFUNCTION("IF(M2511="""","""",QUERY({'Dashboard-Dados'!$Y$2:$AA$13},""Select Col2 Where Col1=""&amp;M2511))"),"")</f>
        <v/>
      </c>
      <c r="O2511" s="29" t="str">
        <f>IFERROR(__xludf.DUMMYFUNCTION("IF(ISBLANK(B2511),"""",IF(ISDATE(B2511),TEXT(B2511,""yyyy""),""""))"),"")</f>
        <v/>
      </c>
    </row>
    <row r="2512">
      <c r="B2512" s="62"/>
      <c r="C2512" s="56"/>
      <c r="D2512" s="56"/>
      <c r="E2512" s="56"/>
      <c r="F2512" s="63"/>
      <c r="G2512" s="64"/>
      <c r="H2512" s="65"/>
      <c r="I2512" s="63"/>
      <c r="K2512" s="53" t="str">
        <f>IFERROR(__xludf.DUMMYFUNCTION("IF(ISBLANK(B2512),"""",IF(ISDATE(B2512),""X"",""""))"),"")</f>
        <v/>
      </c>
      <c r="L2512" s="40" t="str">
        <f>IFERROR(__xludf.DUMMYFUNCTION("IF(ISBLANK(B2512),"""",IF(Or(I2512=""Em Aberto"",ISBLANK(I2512),NOT(ISDATE(B2512))),"""",H2512))"),"")</f>
        <v/>
      </c>
      <c r="M2512" s="29" t="str">
        <f>IFERROR(__xludf.DUMMYFUNCTION("IF(ISBLANK(B2512),"""",IF(ISDATE(B2512),TEXT(B2512,""m""),""""))"),"")</f>
        <v/>
      </c>
      <c r="N2512" s="29" t="str">
        <f>IFERROR(__xludf.DUMMYFUNCTION("IF(M2512="""","""",QUERY({'Dashboard-Dados'!$Y$2:$AA$13},""Select Col2 Where Col1=""&amp;M2512))"),"")</f>
        <v/>
      </c>
      <c r="O2512" s="29" t="str">
        <f>IFERROR(__xludf.DUMMYFUNCTION("IF(ISBLANK(B2512),"""",IF(ISDATE(B2512),TEXT(B2512,""yyyy""),""""))"),"")</f>
        <v/>
      </c>
    </row>
    <row r="2513">
      <c r="B2513" s="62"/>
      <c r="C2513" s="56"/>
      <c r="D2513" s="56"/>
      <c r="E2513" s="56"/>
      <c r="F2513" s="63"/>
      <c r="G2513" s="64"/>
      <c r="H2513" s="65"/>
      <c r="I2513" s="63"/>
      <c r="K2513" s="53" t="str">
        <f>IFERROR(__xludf.DUMMYFUNCTION("IF(ISBLANK(B2513),"""",IF(ISDATE(B2513),""X"",""""))"),"")</f>
        <v/>
      </c>
      <c r="L2513" s="40" t="str">
        <f>IFERROR(__xludf.DUMMYFUNCTION("IF(ISBLANK(B2513),"""",IF(Or(I2513=""Em Aberto"",ISBLANK(I2513),NOT(ISDATE(B2513))),"""",H2513))"),"")</f>
        <v/>
      </c>
      <c r="M2513" s="29" t="str">
        <f>IFERROR(__xludf.DUMMYFUNCTION("IF(ISBLANK(B2513),"""",IF(ISDATE(B2513),TEXT(B2513,""m""),""""))"),"")</f>
        <v/>
      </c>
      <c r="N2513" s="29" t="str">
        <f>IFERROR(__xludf.DUMMYFUNCTION("IF(M2513="""","""",QUERY({'Dashboard-Dados'!$Y$2:$AA$13},""Select Col2 Where Col1=""&amp;M2513))"),"")</f>
        <v/>
      </c>
      <c r="O2513" s="29" t="str">
        <f>IFERROR(__xludf.DUMMYFUNCTION("IF(ISBLANK(B2513),"""",IF(ISDATE(B2513),TEXT(B2513,""yyyy""),""""))"),"")</f>
        <v/>
      </c>
    </row>
    <row r="2514">
      <c r="B2514" s="62"/>
      <c r="C2514" s="56"/>
      <c r="D2514" s="56"/>
      <c r="E2514" s="56"/>
      <c r="F2514" s="63"/>
      <c r="G2514" s="64"/>
      <c r="H2514" s="65"/>
      <c r="I2514" s="63"/>
      <c r="K2514" s="53" t="str">
        <f>IFERROR(__xludf.DUMMYFUNCTION("IF(ISBLANK(B2514),"""",IF(ISDATE(B2514),""X"",""""))"),"")</f>
        <v/>
      </c>
      <c r="L2514" s="40" t="str">
        <f>IFERROR(__xludf.DUMMYFUNCTION("IF(ISBLANK(B2514),"""",IF(Or(I2514=""Em Aberto"",ISBLANK(I2514),NOT(ISDATE(B2514))),"""",H2514))"),"")</f>
        <v/>
      </c>
      <c r="M2514" s="29" t="str">
        <f>IFERROR(__xludf.DUMMYFUNCTION("IF(ISBLANK(B2514),"""",IF(ISDATE(B2514),TEXT(B2514,""m""),""""))"),"")</f>
        <v/>
      </c>
      <c r="N2514" s="29" t="str">
        <f>IFERROR(__xludf.DUMMYFUNCTION("IF(M2514="""","""",QUERY({'Dashboard-Dados'!$Y$2:$AA$13},""Select Col2 Where Col1=""&amp;M2514))"),"")</f>
        <v/>
      </c>
      <c r="O2514" s="29" t="str">
        <f>IFERROR(__xludf.DUMMYFUNCTION("IF(ISBLANK(B2514),"""",IF(ISDATE(B2514),TEXT(B2514,""yyyy""),""""))"),"")</f>
        <v/>
      </c>
    </row>
    <row r="2515">
      <c r="B2515" s="62"/>
      <c r="C2515" s="56"/>
      <c r="D2515" s="56"/>
      <c r="E2515" s="56"/>
      <c r="F2515" s="63"/>
      <c r="G2515" s="64"/>
      <c r="H2515" s="65"/>
      <c r="I2515" s="63"/>
      <c r="K2515" s="53" t="str">
        <f>IFERROR(__xludf.DUMMYFUNCTION("IF(ISBLANK(B2515),"""",IF(ISDATE(B2515),""X"",""""))"),"")</f>
        <v/>
      </c>
      <c r="L2515" s="40" t="str">
        <f>IFERROR(__xludf.DUMMYFUNCTION("IF(ISBLANK(B2515),"""",IF(Or(I2515=""Em Aberto"",ISBLANK(I2515),NOT(ISDATE(B2515))),"""",H2515))"),"")</f>
        <v/>
      </c>
      <c r="M2515" s="29" t="str">
        <f>IFERROR(__xludf.DUMMYFUNCTION("IF(ISBLANK(B2515),"""",IF(ISDATE(B2515),TEXT(B2515,""m""),""""))"),"")</f>
        <v/>
      </c>
      <c r="N2515" s="29" t="str">
        <f>IFERROR(__xludf.DUMMYFUNCTION("IF(M2515="""","""",QUERY({'Dashboard-Dados'!$Y$2:$AA$13},""Select Col2 Where Col1=""&amp;M2515))"),"")</f>
        <v/>
      </c>
      <c r="O2515" s="29" t="str">
        <f>IFERROR(__xludf.DUMMYFUNCTION("IF(ISBLANK(B2515),"""",IF(ISDATE(B2515),TEXT(B2515,""yyyy""),""""))"),"")</f>
        <v/>
      </c>
    </row>
    <row r="2516">
      <c r="B2516" s="62"/>
      <c r="C2516" s="56"/>
      <c r="D2516" s="56"/>
      <c r="E2516" s="56"/>
      <c r="F2516" s="63"/>
      <c r="G2516" s="64"/>
      <c r="H2516" s="65"/>
      <c r="I2516" s="63"/>
      <c r="K2516" s="53" t="str">
        <f>IFERROR(__xludf.DUMMYFUNCTION("IF(ISBLANK(B2516),"""",IF(ISDATE(B2516),""X"",""""))"),"")</f>
        <v/>
      </c>
      <c r="L2516" s="40" t="str">
        <f>IFERROR(__xludf.DUMMYFUNCTION("IF(ISBLANK(B2516),"""",IF(Or(I2516=""Em Aberto"",ISBLANK(I2516),NOT(ISDATE(B2516))),"""",H2516))"),"")</f>
        <v/>
      </c>
      <c r="M2516" s="29" t="str">
        <f>IFERROR(__xludf.DUMMYFUNCTION("IF(ISBLANK(B2516),"""",IF(ISDATE(B2516),TEXT(B2516,""m""),""""))"),"")</f>
        <v/>
      </c>
      <c r="N2516" s="29" t="str">
        <f>IFERROR(__xludf.DUMMYFUNCTION("IF(M2516="""","""",QUERY({'Dashboard-Dados'!$Y$2:$AA$13},""Select Col2 Where Col1=""&amp;M2516))"),"")</f>
        <v/>
      </c>
      <c r="O2516" s="29" t="str">
        <f>IFERROR(__xludf.DUMMYFUNCTION("IF(ISBLANK(B2516),"""",IF(ISDATE(B2516),TEXT(B2516,""yyyy""),""""))"),"")</f>
        <v/>
      </c>
    </row>
    <row r="2517">
      <c r="B2517" s="62"/>
      <c r="C2517" s="56"/>
      <c r="D2517" s="56"/>
      <c r="E2517" s="56"/>
      <c r="F2517" s="63"/>
      <c r="G2517" s="64"/>
      <c r="H2517" s="65"/>
      <c r="I2517" s="63"/>
      <c r="K2517" s="53" t="str">
        <f>IFERROR(__xludf.DUMMYFUNCTION("IF(ISBLANK(B2517),"""",IF(ISDATE(B2517),""X"",""""))"),"")</f>
        <v/>
      </c>
      <c r="L2517" s="40" t="str">
        <f>IFERROR(__xludf.DUMMYFUNCTION("IF(ISBLANK(B2517),"""",IF(Or(I2517=""Em Aberto"",ISBLANK(I2517),NOT(ISDATE(B2517))),"""",H2517))"),"")</f>
        <v/>
      </c>
      <c r="M2517" s="29" t="str">
        <f>IFERROR(__xludf.DUMMYFUNCTION("IF(ISBLANK(B2517),"""",IF(ISDATE(B2517),TEXT(B2517,""m""),""""))"),"")</f>
        <v/>
      </c>
      <c r="N2517" s="29" t="str">
        <f>IFERROR(__xludf.DUMMYFUNCTION("IF(M2517="""","""",QUERY({'Dashboard-Dados'!$Y$2:$AA$13},""Select Col2 Where Col1=""&amp;M2517))"),"")</f>
        <v/>
      </c>
      <c r="O2517" s="29" t="str">
        <f>IFERROR(__xludf.DUMMYFUNCTION("IF(ISBLANK(B2517),"""",IF(ISDATE(B2517),TEXT(B2517,""yyyy""),""""))"),"")</f>
        <v/>
      </c>
    </row>
    <row r="2518">
      <c r="B2518" s="62"/>
      <c r="C2518" s="56"/>
      <c r="D2518" s="56"/>
      <c r="E2518" s="56"/>
      <c r="F2518" s="63"/>
      <c r="G2518" s="64"/>
      <c r="H2518" s="65"/>
      <c r="I2518" s="63"/>
      <c r="K2518" s="53" t="str">
        <f>IFERROR(__xludf.DUMMYFUNCTION("IF(ISBLANK(B2518),"""",IF(ISDATE(B2518),""X"",""""))"),"")</f>
        <v/>
      </c>
      <c r="L2518" s="40" t="str">
        <f>IFERROR(__xludf.DUMMYFUNCTION("IF(ISBLANK(B2518),"""",IF(Or(I2518=""Em Aberto"",ISBLANK(I2518),NOT(ISDATE(B2518))),"""",H2518))"),"")</f>
        <v/>
      </c>
      <c r="M2518" s="29" t="str">
        <f>IFERROR(__xludf.DUMMYFUNCTION("IF(ISBLANK(B2518),"""",IF(ISDATE(B2518),TEXT(B2518,""m""),""""))"),"")</f>
        <v/>
      </c>
      <c r="N2518" s="29" t="str">
        <f>IFERROR(__xludf.DUMMYFUNCTION("IF(M2518="""","""",QUERY({'Dashboard-Dados'!$Y$2:$AA$13},""Select Col2 Where Col1=""&amp;M2518))"),"")</f>
        <v/>
      </c>
      <c r="O2518" s="29" t="str">
        <f>IFERROR(__xludf.DUMMYFUNCTION("IF(ISBLANK(B2518),"""",IF(ISDATE(B2518),TEXT(B2518,""yyyy""),""""))"),"")</f>
        <v/>
      </c>
    </row>
    <row r="2519">
      <c r="B2519" s="62"/>
      <c r="C2519" s="56"/>
      <c r="D2519" s="56"/>
      <c r="E2519" s="56"/>
      <c r="F2519" s="63"/>
      <c r="G2519" s="64"/>
      <c r="H2519" s="65"/>
      <c r="I2519" s="63"/>
      <c r="K2519" s="53" t="str">
        <f>IFERROR(__xludf.DUMMYFUNCTION("IF(ISBLANK(B2519),"""",IF(ISDATE(B2519),""X"",""""))"),"")</f>
        <v/>
      </c>
      <c r="L2519" s="40" t="str">
        <f>IFERROR(__xludf.DUMMYFUNCTION("IF(ISBLANK(B2519),"""",IF(Or(I2519=""Em Aberto"",ISBLANK(I2519),NOT(ISDATE(B2519))),"""",H2519))"),"")</f>
        <v/>
      </c>
      <c r="M2519" s="29" t="str">
        <f>IFERROR(__xludf.DUMMYFUNCTION("IF(ISBLANK(B2519),"""",IF(ISDATE(B2519),TEXT(B2519,""m""),""""))"),"")</f>
        <v/>
      </c>
      <c r="N2519" s="29" t="str">
        <f>IFERROR(__xludf.DUMMYFUNCTION("IF(M2519="""","""",QUERY({'Dashboard-Dados'!$Y$2:$AA$13},""Select Col2 Where Col1=""&amp;M2519))"),"")</f>
        <v/>
      </c>
      <c r="O2519" s="29" t="str">
        <f>IFERROR(__xludf.DUMMYFUNCTION("IF(ISBLANK(B2519),"""",IF(ISDATE(B2519),TEXT(B2519,""yyyy""),""""))"),"")</f>
        <v/>
      </c>
    </row>
    <row r="2520">
      <c r="B2520" s="62"/>
      <c r="C2520" s="56"/>
      <c r="D2520" s="56"/>
      <c r="E2520" s="56"/>
      <c r="F2520" s="63"/>
      <c r="G2520" s="64"/>
      <c r="H2520" s="65"/>
      <c r="I2520" s="63"/>
      <c r="K2520" s="53" t="str">
        <f>IFERROR(__xludf.DUMMYFUNCTION("IF(ISBLANK(B2520),"""",IF(ISDATE(B2520),""X"",""""))"),"")</f>
        <v/>
      </c>
      <c r="L2520" s="40" t="str">
        <f>IFERROR(__xludf.DUMMYFUNCTION("IF(ISBLANK(B2520),"""",IF(Or(I2520=""Em Aberto"",ISBLANK(I2520),NOT(ISDATE(B2520))),"""",H2520))"),"")</f>
        <v/>
      </c>
      <c r="M2520" s="29" t="str">
        <f>IFERROR(__xludf.DUMMYFUNCTION("IF(ISBLANK(B2520),"""",IF(ISDATE(B2520),TEXT(B2520,""m""),""""))"),"")</f>
        <v/>
      </c>
      <c r="N2520" s="29" t="str">
        <f>IFERROR(__xludf.DUMMYFUNCTION("IF(M2520="""","""",QUERY({'Dashboard-Dados'!$Y$2:$AA$13},""Select Col2 Where Col1=""&amp;M2520))"),"")</f>
        <v/>
      </c>
      <c r="O2520" s="29" t="str">
        <f>IFERROR(__xludf.DUMMYFUNCTION("IF(ISBLANK(B2520),"""",IF(ISDATE(B2520),TEXT(B2520,""yyyy""),""""))"),"")</f>
        <v/>
      </c>
    </row>
    <row r="2521">
      <c r="B2521" s="62"/>
      <c r="C2521" s="56"/>
      <c r="D2521" s="56"/>
      <c r="E2521" s="56"/>
      <c r="F2521" s="63"/>
      <c r="G2521" s="64"/>
      <c r="H2521" s="65"/>
      <c r="I2521" s="63"/>
      <c r="K2521" s="53" t="str">
        <f>IFERROR(__xludf.DUMMYFUNCTION("IF(ISBLANK(B2521),"""",IF(ISDATE(B2521),""X"",""""))"),"")</f>
        <v/>
      </c>
      <c r="L2521" s="40" t="str">
        <f>IFERROR(__xludf.DUMMYFUNCTION("IF(ISBLANK(B2521),"""",IF(Or(I2521=""Em Aberto"",ISBLANK(I2521),NOT(ISDATE(B2521))),"""",H2521))"),"")</f>
        <v/>
      </c>
      <c r="M2521" s="29" t="str">
        <f>IFERROR(__xludf.DUMMYFUNCTION("IF(ISBLANK(B2521),"""",IF(ISDATE(B2521),TEXT(B2521,""m""),""""))"),"")</f>
        <v/>
      </c>
      <c r="N2521" s="29" t="str">
        <f>IFERROR(__xludf.DUMMYFUNCTION("IF(M2521="""","""",QUERY({'Dashboard-Dados'!$Y$2:$AA$13},""Select Col2 Where Col1=""&amp;M2521))"),"")</f>
        <v/>
      </c>
      <c r="O2521" s="29" t="str">
        <f>IFERROR(__xludf.DUMMYFUNCTION("IF(ISBLANK(B2521),"""",IF(ISDATE(B2521),TEXT(B2521,""yyyy""),""""))"),"")</f>
        <v/>
      </c>
    </row>
    <row r="2522">
      <c r="B2522" s="62"/>
      <c r="C2522" s="56"/>
      <c r="D2522" s="56"/>
      <c r="E2522" s="56"/>
      <c r="F2522" s="63"/>
      <c r="G2522" s="64"/>
      <c r="H2522" s="65"/>
      <c r="I2522" s="63"/>
      <c r="K2522" s="53" t="str">
        <f>IFERROR(__xludf.DUMMYFUNCTION("IF(ISBLANK(B2522),"""",IF(ISDATE(B2522),""X"",""""))"),"")</f>
        <v/>
      </c>
      <c r="L2522" s="40" t="str">
        <f>IFERROR(__xludf.DUMMYFUNCTION("IF(ISBLANK(B2522),"""",IF(Or(I2522=""Em Aberto"",ISBLANK(I2522),NOT(ISDATE(B2522))),"""",H2522))"),"")</f>
        <v/>
      </c>
      <c r="M2522" s="29" t="str">
        <f>IFERROR(__xludf.DUMMYFUNCTION("IF(ISBLANK(B2522),"""",IF(ISDATE(B2522),TEXT(B2522,""m""),""""))"),"")</f>
        <v/>
      </c>
      <c r="N2522" s="29" t="str">
        <f>IFERROR(__xludf.DUMMYFUNCTION("IF(M2522="""","""",QUERY({'Dashboard-Dados'!$Y$2:$AA$13},""Select Col2 Where Col1=""&amp;M2522))"),"")</f>
        <v/>
      </c>
      <c r="O2522" s="29" t="str">
        <f>IFERROR(__xludf.DUMMYFUNCTION("IF(ISBLANK(B2522),"""",IF(ISDATE(B2522),TEXT(B2522,""yyyy""),""""))"),"")</f>
        <v/>
      </c>
    </row>
    <row r="2523">
      <c r="B2523" s="62"/>
      <c r="C2523" s="56"/>
      <c r="D2523" s="56"/>
      <c r="E2523" s="56"/>
      <c r="F2523" s="63"/>
      <c r="G2523" s="64"/>
      <c r="H2523" s="65"/>
      <c r="I2523" s="63"/>
      <c r="K2523" s="53" t="str">
        <f>IFERROR(__xludf.DUMMYFUNCTION("IF(ISBLANK(B2523),"""",IF(ISDATE(B2523),""X"",""""))"),"")</f>
        <v/>
      </c>
      <c r="L2523" s="40" t="str">
        <f>IFERROR(__xludf.DUMMYFUNCTION("IF(ISBLANK(B2523),"""",IF(Or(I2523=""Em Aberto"",ISBLANK(I2523),NOT(ISDATE(B2523))),"""",H2523))"),"")</f>
        <v/>
      </c>
      <c r="M2523" s="29" t="str">
        <f>IFERROR(__xludf.DUMMYFUNCTION("IF(ISBLANK(B2523),"""",IF(ISDATE(B2523),TEXT(B2523,""m""),""""))"),"")</f>
        <v/>
      </c>
      <c r="N2523" s="29" t="str">
        <f>IFERROR(__xludf.DUMMYFUNCTION("IF(M2523="""","""",QUERY({'Dashboard-Dados'!$Y$2:$AA$13},""Select Col2 Where Col1=""&amp;M2523))"),"")</f>
        <v/>
      </c>
      <c r="O2523" s="29" t="str">
        <f>IFERROR(__xludf.DUMMYFUNCTION("IF(ISBLANK(B2523),"""",IF(ISDATE(B2523),TEXT(B2523,""yyyy""),""""))"),"")</f>
        <v/>
      </c>
    </row>
    <row r="2524">
      <c r="B2524" s="62"/>
      <c r="C2524" s="56"/>
      <c r="D2524" s="56"/>
      <c r="E2524" s="56"/>
      <c r="F2524" s="63"/>
      <c r="G2524" s="64"/>
      <c r="H2524" s="65"/>
      <c r="I2524" s="63"/>
      <c r="K2524" s="53" t="str">
        <f>IFERROR(__xludf.DUMMYFUNCTION("IF(ISBLANK(B2524),"""",IF(ISDATE(B2524),""X"",""""))"),"")</f>
        <v/>
      </c>
      <c r="L2524" s="40" t="str">
        <f>IFERROR(__xludf.DUMMYFUNCTION("IF(ISBLANK(B2524),"""",IF(Or(I2524=""Em Aberto"",ISBLANK(I2524),NOT(ISDATE(B2524))),"""",H2524))"),"")</f>
        <v/>
      </c>
      <c r="M2524" s="29" t="str">
        <f>IFERROR(__xludf.DUMMYFUNCTION("IF(ISBLANK(B2524),"""",IF(ISDATE(B2524),TEXT(B2524,""m""),""""))"),"")</f>
        <v/>
      </c>
      <c r="N2524" s="29" t="str">
        <f>IFERROR(__xludf.DUMMYFUNCTION("IF(M2524="""","""",QUERY({'Dashboard-Dados'!$Y$2:$AA$13},""Select Col2 Where Col1=""&amp;M2524))"),"")</f>
        <v/>
      </c>
      <c r="O2524" s="29" t="str">
        <f>IFERROR(__xludf.DUMMYFUNCTION("IF(ISBLANK(B2524),"""",IF(ISDATE(B2524),TEXT(B2524,""yyyy""),""""))"),"")</f>
        <v/>
      </c>
    </row>
    <row r="2525">
      <c r="B2525" s="62"/>
      <c r="C2525" s="56"/>
      <c r="D2525" s="56"/>
      <c r="E2525" s="56"/>
      <c r="F2525" s="63"/>
      <c r="G2525" s="64"/>
      <c r="H2525" s="65"/>
      <c r="I2525" s="63"/>
      <c r="K2525" s="53" t="str">
        <f>IFERROR(__xludf.DUMMYFUNCTION("IF(ISBLANK(B2525),"""",IF(ISDATE(B2525),""X"",""""))"),"")</f>
        <v/>
      </c>
      <c r="L2525" s="40" t="str">
        <f>IFERROR(__xludf.DUMMYFUNCTION("IF(ISBLANK(B2525),"""",IF(Or(I2525=""Em Aberto"",ISBLANK(I2525),NOT(ISDATE(B2525))),"""",H2525))"),"")</f>
        <v/>
      </c>
      <c r="M2525" s="29" t="str">
        <f>IFERROR(__xludf.DUMMYFUNCTION("IF(ISBLANK(B2525),"""",IF(ISDATE(B2525),TEXT(B2525,""m""),""""))"),"")</f>
        <v/>
      </c>
      <c r="N2525" s="29" t="str">
        <f>IFERROR(__xludf.DUMMYFUNCTION("IF(M2525="""","""",QUERY({'Dashboard-Dados'!$Y$2:$AA$13},""Select Col2 Where Col1=""&amp;M2525))"),"")</f>
        <v/>
      </c>
      <c r="O2525" s="29" t="str">
        <f>IFERROR(__xludf.DUMMYFUNCTION("IF(ISBLANK(B2525),"""",IF(ISDATE(B2525),TEXT(B2525,""yyyy""),""""))"),"")</f>
        <v/>
      </c>
    </row>
    <row r="2526">
      <c r="B2526" s="62"/>
      <c r="C2526" s="56"/>
      <c r="D2526" s="56"/>
      <c r="E2526" s="56"/>
      <c r="F2526" s="63"/>
      <c r="G2526" s="64"/>
      <c r="H2526" s="65"/>
      <c r="I2526" s="63"/>
      <c r="K2526" s="53" t="str">
        <f>IFERROR(__xludf.DUMMYFUNCTION("IF(ISBLANK(B2526),"""",IF(ISDATE(B2526),""X"",""""))"),"")</f>
        <v/>
      </c>
      <c r="L2526" s="40" t="str">
        <f>IFERROR(__xludf.DUMMYFUNCTION("IF(ISBLANK(B2526),"""",IF(Or(I2526=""Em Aberto"",ISBLANK(I2526),NOT(ISDATE(B2526))),"""",H2526))"),"")</f>
        <v/>
      </c>
      <c r="M2526" s="29" t="str">
        <f>IFERROR(__xludf.DUMMYFUNCTION("IF(ISBLANK(B2526),"""",IF(ISDATE(B2526),TEXT(B2526,""m""),""""))"),"")</f>
        <v/>
      </c>
      <c r="N2526" s="29" t="str">
        <f>IFERROR(__xludf.DUMMYFUNCTION("IF(M2526="""","""",QUERY({'Dashboard-Dados'!$Y$2:$AA$13},""Select Col2 Where Col1=""&amp;M2526))"),"")</f>
        <v/>
      </c>
      <c r="O2526" s="29" t="str">
        <f>IFERROR(__xludf.DUMMYFUNCTION("IF(ISBLANK(B2526),"""",IF(ISDATE(B2526),TEXT(B2526,""yyyy""),""""))"),"")</f>
        <v/>
      </c>
    </row>
    <row r="2527">
      <c r="B2527" s="62"/>
      <c r="C2527" s="56"/>
      <c r="D2527" s="56"/>
      <c r="E2527" s="56"/>
      <c r="F2527" s="63"/>
      <c r="G2527" s="64"/>
      <c r="H2527" s="65"/>
      <c r="I2527" s="63"/>
      <c r="K2527" s="53" t="str">
        <f>IFERROR(__xludf.DUMMYFUNCTION("IF(ISBLANK(B2527),"""",IF(ISDATE(B2527),""X"",""""))"),"")</f>
        <v/>
      </c>
      <c r="L2527" s="40" t="str">
        <f>IFERROR(__xludf.DUMMYFUNCTION("IF(ISBLANK(B2527),"""",IF(Or(I2527=""Em Aberto"",ISBLANK(I2527),NOT(ISDATE(B2527))),"""",H2527))"),"")</f>
        <v/>
      </c>
      <c r="M2527" s="29" t="str">
        <f>IFERROR(__xludf.DUMMYFUNCTION("IF(ISBLANK(B2527),"""",IF(ISDATE(B2527),TEXT(B2527,""m""),""""))"),"")</f>
        <v/>
      </c>
      <c r="N2527" s="29" t="str">
        <f>IFERROR(__xludf.DUMMYFUNCTION("IF(M2527="""","""",QUERY({'Dashboard-Dados'!$Y$2:$AA$13},""Select Col2 Where Col1=""&amp;M2527))"),"")</f>
        <v/>
      </c>
      <c r="O2527" s="29" t="str">
        <f>IFERROR(__xludf.DUMMYFUNCTION("IF(ISBLANK(B2527),"""",IF(ISDATE(B2527),TEXT(B2527,""yyyy""),""""))"),"")</f>
        <v/>
      </c>
    </row>
    <row r="2528">
      <c r="B2528" s="62"/>
      <c r="C2528" s="56"/>
      <c r="D2528" s="56"/>
      <c r="E2528" s="56"/>
      <c r="F2528" s="63"/>
      <c r="G2528" s="64"/>
      <c r="H2528" s="65"/>
      <c r="I2528" s="63"/>
      <c r="K2528" s="53" t="str">
        <f>IFERROR(__xludf.DUMMYFUNCTION("IF(ISBLANK(B2528),"""",IF(ISDATE(B2528),""X"",""""))"),"")</f>
        <v/>
      </c>
      <c r="L2528" s="40" t="str">
        <f>IFERROR(__xludf.DUMMYFUNCTION("IF(ISBLANK(B2528),"""",IF(Or(I2528=""Em Aberto"",ISBLANK(I2528),NOT(ISDATE(B2528))),"""",H2528))"),"")</f>
        <v/>
      </c>
      <c r="M2528" s="29" t="str">
        <f>IFERROR(__xludf.DUMMYFUNCTION("IF(ISBLANK(B2528),"""",IF(ISDATE(B2528),TEXT(B2528,""m""),""""))"),"")</f>
        <v/>
      </c>
      <c r="N2528" s="29" t="str">
        <f>IFERROR(__xludf.DUMMYFUNCTION("IF(M2528="""","""",QUERY({'Dashboard-Dados'!$Y$2:$AA$13},""Select Col2 Where Col1=""&amp;M2528))"),"")</f>
        <v/>
      </c>
      <c r="O2528" s="29" t="str">
        <f>IFERROR(__xludf.DUMMYFUNCTION("IF(ISBLANK(B2528),"""",IF(ISDATE(B2528),TEXT(B2528,""yyyy""),""""))"),"")</f>
        <v/>
      </c>
    </row>
    <row r="2529">
      <c r="B2529" s="62"/>
      <c r="C2529" s="56"/>
      <c r="D2529" s="56"/>
      <c r="E2529" s="56"/>
      <c r="F2529" s="63"/>
      <c r="G2529" s="64"/>
      <c r="H2529" s="65"/>
      <c r="I2529" s="63"/>
      <c r="K2529" s="53" t="str">
        <f>IFERROR(__xludf.DUMMYFUNCTION("IF(ISBLANK(B2529),"""",IF(ISDATE(B2529),""X"",""""))"),"")</f>
        <v/>
      </c>
      <c r="L2529" s="40" t="str">
        <f>IFERROR(__xludf.DUMMYFUNCTION("IF(ISBLANK(B2529),"""",IF(Or(I2529=""Em Aberto"",ISBLANK(I2529),NOT(ISDATE(B2529))),"""",H2529))"),"")</f>
        <v/>
      </c>
      <c r="M2529" s="29" t="str">
        <f>IFERROR(__xludf.DUMMYFUNCTION("IF(ISBLANK(B2529),"""",IF(ISDATE(B2529),TEXT(B2529,""m""),""""))"),"")</f>
        <v/>
      </c>
      <c r="N2529" s="29" t="str">
        <f>IFERROR(__xludf.DUMMYFUNCTION("IF(M2529="""","""",QUERY({'Dashboard-Dados'!$Y$2:$AA$13},""Select Col2 Where Col1=""&amp;M2529))"),"")</f>
        <v/>
      </c>
      <c r="O2529" s="29" t="str">
        <f>IFERROR(__xludf.DUMMYFUNCTION("IF(ISBLANK(B2529),"""",IF(ISDATE(B2529),TEXT(B2529,""yyyy""),""""))"),"")</f>
        <v/>
      </c>
    </row>
    <row r="2530">
      <c r="B2530" s="62"/>
      <c r="C2530" s="56"/>
      <c r="D2530" s="56"/>
      <c r="E2530" s="56"/>
      <c r="F2530" s="63"/>
      <c r="G2530" s="64"/>
      <c r="H2530" s="65"/>
      <c r="I2530" s="63"/>
      <c r="K2530" s="53" t="str">
        <f>IFERROR(__xludf.DUMMYFUNCTION("IF(ISBLANK(B2530),"""",IF(ISDATE(B2530),""X"",""""))"),"")</f>
        <v/>
      </c>
      <c r="L2530" s="40" t="str">
        <f>IFERROR(__xludf.DUMMYFUNCTION("IF(ISBLANK(B2530),"""",IF(Or(I2530=""Em Aberto"",ISBLANK(I2530),NOT(ISDATE(B2530))),"""",H2530))"),"")</f>
        <v/>
      </c>
      <c r="M2530" s="29" t="str">
        <f>IFERROR(__xludf.DUMMYFUNCTION("IF(ISBLANK(B2530),"""",IF(ISDATE(B2530),TEXT(B2530,""m""),""""))"),"")</f>
        <v/>
      </c>
      <c r="N2530" s="29" t="str">
        <f>IFERROR(__xludf.DUMMYFUNCTION("IF(M2530="""","""",QUERY({'Dashboard-Dados'!$Y$2:$AA$13},""Select Col2 Where Col1=""&amp;M2530))"),"")</f>
        <v/>
      </c>
      <c r="O2530" s="29" t="str">
        <f>IFERROR(__xludf.DUMMYFUNCTION("IF(ISBLANK(B2530),"""",IF(ISDATE(B2530),TEXT(B2530,""yyyy""),""""))"),"")</f>
        <v/>
      </c>
    </row>
    <row r="2531">
      <c r="B2531" s="62"/>
      <c r="C2531" s="56"/>
      <c r="D2531" s="56"/>
      <c r="E2531" s="56"/>
      <c r="F2531" s="63"/>
      <c r="G2531" s="64"/>
      <c r="H2531" s="65"/>
      <c r="I2531" s="63"/>
      <c r="K2531" s="53" t="str">
        <f>IFERROR(__xludf.DUMMYFUNCTION("IF(ISBLANK(B2531),"""",IF(ISDATE(B2531),""X"",""""))"),"")</f>
        <v/>
      </c>
      <c r="L2531" s="40" t="str">
        <f>IFERROR(__xludf.DUMMYFUNCTION("IF(ISBLANK(B2531),"""",IF(Or(I2531=""Em Aberto"",ISBLANK(I2531),NOT(ISDATE(B2531))),"""",H2531))"),"")</f>
        <v/>
      </c>
      <c r="M2531" s="29" t="str">
        <f>IFERROR(__xludf.DUMMYFUNCTION("IF(ISBLANK(B2531),"""",IF(ISDATE(B2531),TEXT(B2531,""m""),""""))"),"")</f>
        <v/>
      </c>
      <c r="N2531" s="29" t="str">
        <f>IFERROR(__xludf.DUMMYFUNCTION("IF(M2531="""","""",QUERY({'Dashboard-Dados'!$Y$2:$AA$13},""Select Col2 Where Col1=""&amp;M2531))"),"")</f>
        <v/>
      </c>
      <c r="O2531" s="29" t="str">
        <f>IFERROR(__xludf.DUMMYFUNCTION("IF(ISBLANK(B2531),"""",IF(ISDATE(B2531),TEXT(B2531,""yyyy""),""""))"),"")</f>
        <v/>
      </c>
    </row>
    <row r="2532">
      <c r="B2532" s="62"/>
      <c r="C2532" s="56"/>
      <c r="D2532" s="56"/>
      <c r="E2532" s="56"/>
      <c r="F2532" s="63"/>
      <c r="G2532" s="64"/>
      <c r="H2532" s="65"/>
      <c r="I2532" s="63"/>
      <c r="K2532" s="53" t="str">
        <f>IFERROR(__xludf.DUMMYFUNCTION("IF(ISBLANK(B2532),"""",IF(ISDATE(B2532),""X"",""""))"),"")</f>
        <v/>
      </c>
      <c r="L2532" s="40" t="str">
        <f>IFERROR(__xludf.DUMMYFUNCTION("IF(ISBLANK(B2532),"""",IF(Or(I2532=""Em Aberto"",ISBLANK(I2532),NOT(ISDATE(B2532))),"""",H2532))"),"")</f>
        <v/>
      </c>
      <c r="M2532" s="29" t="str">
        <f>IFERROR(__xludf.DUMMYFUNCTION("IF(ISBLANK(B2532),"""",IF(ISDATE(B2532),TEXT(B2532,""m""),""""))"),"")</f>
        <v/>
      </c>
      <c r="N2532" s="29" t="str">
        <f>IFERROR(__xludf.DUMMYFUNCTION("IF(M2532="""","""",QUERY({'Dashboard-Dados'!$Y$2:$AA$13},""Select Col2 Where Col1=""&amp;M2532))"),"")</f>
        <v/>
      </c>
      <c r="O2532" s="29" t="str">
        <f>IFERROR(__xludf.DUMMYFUNCTION("IF(ISBLANK(B2532),"""",IF(ISDATE(B2532),TEXT(B2532,""yyyy""),""""))"),"")</f>
        <v/>
      </c>
    </row>
    <row r="2533">
      <c r="B2533" s="62"/>
      <c r="C2533" s="56"/>
      <c r="D2533" s="56"/>
      <c r="E2533" s="56"/>
      <c r="F2533" s="63"/>
      <c r="G2533" s="64"/>
      <c r="H2533" s="65"/>
      <c r="I2533" s="63"/>
      <c r="K2533" s="53" t="str">
        <f>IFERROR(__xludf.DUMMYFUNCTION("IF(ISBLANK(B2533),"""",IF(ISDATE(B2533),""X"",""""))"),"")</f>
        <v/>
      </c>
      <c r="L2533" s="40" t="str">
        <f>IFERROR(__xludf.DUMMYFUNCTION("IF(ISBLANK(B2533),"""",IF(Or(I2533=""Em Aberto"",ISBLANK(I2533),NOT(ISDATE(B2533))),"""",H2533))"),"")</f>
        <v/>
      </c>
      <c r="M2533" s="29" t="str">
        <f>IFERROR(__xludf.DUMMYFUNCTION("IF(ISBLANK(B2533),"""",IF(ISDATE(B2533),TEXT(B2533,""m""),""""))"),"")</f>
        <v/>
      </c>
      <c r="N2533" s="29" t="str">
        <f>IFERROR(__xludf.DUMMYFUNCTION("IF(M2533="""","""",QUERY({'Dashboard-Dados'!$Y$2:$AA$13},""Select Col2 Where Col1=""&amp;M2533))"),"")</f>
        <v/>
      </c>
      <c r="O2533" s="29" t="str">
        <f>IFERROR(__xludf.DUMMYFUNCTION("IF(ISBLANK(B2533),"""",IF(ISDATE(B2533),TEXT(B2533,""yyyy""),""""))"),"")</f>
        <v/>
      </c>
    </row>
    <row r="2534">
      <c r="B2534" s="62"/>
      <c r="C2534" s="56"/>
      <c r="D2534" s="56"/>
      <c r="E2534" s="56"/>
      <c r="F2534" s="63"/>
      <c r="G2534" s="64"/>
      <c r="H2534" s="65"/>
      <c r="I2534" s="63"/>
      <c r="K2534" s="53" t="str">
        <f>IFERROR(__xludf.DUMMYFUNCTION("IF(ISBLANK(B2534),"""",IF(ISDATE(B2534),""X"",""""))"),"")</f>
        <v/>
      </c>
      <c r="L2534" s="40" t="str">
        <f>IFERROR(__xludf.DUMMYFUNCTION("IF(ISBLANK(B2534),"""",IF(Or(I2534=""Em Aberto"",ISBLANK(I2534),NOT(ISDATE(B2534))),"""",H2534))"),"")</f>
        <v/>
      </c>
      <c r="M2534" s="29" t="str">
        <f>IFERROR(__xludf.DUMMYFUNCTION("IF(ISBLANK(B2534),"""",IF(ISDATE(B2534),TEXT(B2534,""m""),""""))"),"")</f>
        <v/>
      </c>
      <c r="N2534" s="29" t="str">
        <f>IFERROR(__xludf.DUMMYFUNCTION("IF(M2534="""","""",QUERY({'Dashboard-Dados'!$Y$2:$AA$13},""Select Col2 Where Col1=""&amp;M2534))"),"")</f>
        <v/>
      </c>
      <c r="O2534" s="29" t="str">
        <f>IFERROR(__xludf.DUMMYFUNCTION("IF(ISBLANK(B2534),"""",IF(ISDATE(B2534),TEXT(B2534,""yyyy""),""""))"),"")</f>
        <v/>
      </c>
    </row>
    <row r="2535">
      <c r="B2535" s="62"/>
      <c r="C2535" s="56"/>
      <c r="D2535" s="56"/>
      <c r="E2535" s="56"/>
      <c r="F2535" s="63"/>
      <c r="G2535" s="64"/>
      <c r="H2535" s="65"/>
      <c r="I2535" s="63"/>
      <c r="K2535" s="53" t="str">
        <f>IFERROR(__xludf.DUMMYFUNCTION("IF(ISBLANK(B2535),"""",IF(ISDATE(B2535),""X"",""""))"),"")</f>
        <v/>
      </c>
      <c r="L2535" s="40" t="str">
        <f>IFERROR(__xludf.DUMMYFUNCTION("IF(ISBLANK(B2535),"""",IF(Or(I2535=""Em Aberto"",ISBLANK(I2535),NOT(ISDATE(B2535))),"""",H2535))"),"")</f>
        <v/>
      </c>
      <c r="M2535" s="29" t="str">
        <f>IFERROR(__xludf.DUMMYFUNCTION("IF(ISBLANK(B2535),"""",IF(ISDATE(B2535),TEXT(B2535,""m""),""""))"),"")</f>
        <v/>
      </c>
      <c r="N2535" s="29" t="str">
        <f>IFERROR(__xludf.DUMMYFUNCTION("IF(M2535="""","""",QUERY({'Dashboard-Dados'!$Y$2:$AA$13},""Select Col2 Where Col1=""&amp;M2535))"),"")</f>
        <v/>
      </c>
      <c r="O2535" s="29" t="str">
        <f>IFERROR(__xludf.DUMMYFUNCTION("IF(ISBLANK(B2535),"""",IF(ISDATE(B2535),TEXT(B2535,""yyyy""),""""))"),"")</f>
        <v/>
      </c>
    </row>
    <row r="2536">
      <c r="B2536" s="62"/>
      <c r="C2536" s="56"/>
      <c r="D2536" s="56"/>
      <c r="E2536" s="56"/>
      <c r="F2536" s="63"/>
      <c r="G2536" s="64"/>
      <c r="H2536" s="65"/>
      <c r="I2536" s="63"/>
      <c r="K2536" s="53" t="str">
        <f>IFERROR(__xludf.DUMMYFUNCTION("IF(ISBLANK(B2536),"""",IF(ISDATE(B2536),""X"",""""))"),"")</f>
        <v/>
      </c>
      <c r="L2536" s="40" t="str">
        <f>IFERROR(__xludf.DUMMYFUNCTION("IF(ISBLANK(B2536),"""",IF(Or(I2536=""Em Aberto"",ISBLANK(I2536),NOT(ISDATE(B2536))),"""",H2536))"),"")</f>
        <v/>
      </c>
      <c r="M2536" s="29" t="str">
        <f>IFERROR(__xludf.DUMMYFUNCTION("IF(ISBLANK(B2536),"""",IF(ISDATE(B2536),TEXT(B2536,""m""),""""))"),"")</f>
        <v/>
      </c>
      <c r="N2536" s="29" t="str">
        <f>IFERROR(__xludf.DUMMYFUNCTION("IF(M2536="""","""",QUERY({'Dashboard-Dados'!$Y$2:$AA$13},""Select Col2 Where Col1=""&amp;M2536))"),"")</f>
        <v/>
      </c>
      <c r="O2536" s="29" t="str">
        <f>IFERROR(__xludf.DUMMYFUNCTION("IF(ISBLANK(B2536),"""",IF(ISDATE(B2536),TEXT(B2536,""yyyy""),""""))"),"")</f>
        <v/>
      </c>
    </row>
    <row r="2537">
      <c r="B2537" s="62"/>
      <c r="C2537" s="56"/>
      <c r="D2537" s="56"/>
      <c r="E2537" s="56"/>
      <c r="F2537" s="63"/>
      <c r="G2537" s="64"/>
      <c r="H2537" s="65"/>
      <c r="I2537" s="63"/>
      <c r="K2537" s="53" t="str">
        <f>IFERROR(__xludf.DUMMYFUNCTION("IF(ISBLANK(B2537),"""",IF(ISDATE(B2537),""X"",""""))"),"")</f>
        <v/>
      </c>
      <c r="L2537" s="40" t="str">
        <f>IFERROR(__xludf.DUMMYFUNCTION("IF(ISBLANK(B2537),"""",IF(Or(I2537=""Em Aberto"",ISBLANK(I2537),NOT(ISDATE(B2537))),"""",H2537))"),"")</f>
        <v/>
      </c>
      <c r="M2537" s="29" t="str">
        <f>IFERROR(__xludf.DUMMYFUNCTION("IF(ISBLANK(B2537),"""",IF(ISDATE(B2537),TEXT(B2537,""m""),""""))"),"")</f>
        <v/>
      </c>
      <c r="N2537" s="29" t="str">
        <f>IFERROR(__xludf.DUMMYFUNCTION("IF(M2537="""","""",QUERY({'Dashboard-Dados'!$Y$2:$AA$13},""Select Col2 Where Col1=""&amp;M2537))"),"")</f>
        <v/>
      </c>
      <c r="O2537" s="29" t="str">
        <f>IFERROR(__xludf.DUMMYFUNCTION("IF(ISBLANK(B2537),"""",IF(ISDATE(B2537),TEXT(B2537,""yyyy""),""""))"),"")</f>
        <v/>
      </c>
    </row>
    <row r="2538">
      <c r="B2538" s="62"/>
      <c r="C2538" s="56"/>
      <c r="D2538" s="56"/>
      <c r="E2538" s="56"/>
      <c r="F2538" s="63"/>
      <c r="G2538" s="64"/>
      <c r="H2538" s="65"/>
      <c r="I2538" s="63"/>
      <c r="K2538" s="53" t="str">
        <f>IFERROR(__xludf.DUMMYFUNCTION("IF(ISBLANK(B2538),"""",IF(ISDATE(B2538),""X"",""""))"),"")</f>
        <v/>
      </c>
      <c r="L2538" s="40" t="str">
        <f>IFERROR(__xludf.DUMMYFUNCTION("IF(ISBLANK(B2538),"""",IF(Or(I2538=""Em Aberto"",ISBLANK(I2538),NOT(ISDATE(B2538))),"""",H2538))"),"")</f>
        <v/>
      </c>
      <c r="M2538" s="29" t="str">
        <f>IFERROR(__xludf.DUMMYFUNCTION("IF(ISBLANK(B2538),"""",IF(ISDATE(B2538),TEXT(B2538,""m""),""""))"),"")</f>
        <v/>
      </c>
      <c r="N2538" s="29" t="str">
        <f>IFERROR(__xludf.DUMMYFUNCTION("IF(M2538="""","""",QUERY({'Dashboard-Dados'!$Y$2:$AA$13},""Select Col2 Where Col1=""&amp;M2538))"),"")</f>
        <v/>
      </c>
      <c r="O2538" s="29" t="str">
        <f>IFERROR(__xludf.DUMMYFUNCTION("IF(ISBLANK(B2538),"""",IF(ISDATE(B2538),TEXT(B2538,""yyyy""),""""))"),"")</f>
        <v/>
      </c>
    </row>
    <row r="2539">
      <c r="B2539" s="62"/>
      <c r="C2539" s="56"/>
      <c r="D2539" s="56"/>
      <c r="E2539" s="56"/>
      <c r="F2539" s="63"/>
      <c r="G2539" s="64"/>
      <c r="H2539" s="65"/>
      <c r="I2539" s="63"/>
      <c r="K2539" s="53" t="str">
        <f>IFERROR(__xludf.DUMMYFUNCTION("IF(ISBLANK(B2539),"""",IF(ISDATE(B2539),""X"",""""))"),"")</f>
        <v/>
      </c>
      <c r="L2539" s="40" t="str">
        <f>IFERROR(__xludf.DUMMYFUNCTION("IF(ISBLANK(B2539),"""",IF(Or(I2539=""Em Aberto"",ISBLANK(I2539),NOT(ISDATE(B2539))),"""",H2539))"),"")</f>
        <v/>
      </c>
      <c r="M2539" s="29" t="str">
        <f>IFERROR(__xludf.DUMMYFUNCTION("IF(ISBLANK(B2539),"""",IF(ISDATE(B2539),TEXT(B2539,""m""),""""))"),"")</f>
        <v/>
      </c>
      <c r="N2539" s="29" t="str">
        <f>IFERROR(__xludf.DUMMYFUNCTION("IF(M2539="""","""",QUERY({'Dashboard-Dados'!$Y$2:$AA$13},""Select Col2 Where Col1=""&amp;M2539))"),"")</f>
        <v/>
      </c>
      <c r="O2539" s="29" t="str">
        <f>IFERROR(__xludf.DUMMYFUNCTION("IF(ISBLANK(B2539),"""",IF(ISDATE(B2539),TEXT(B2539,""yyyy""),""""))"),"")</f>
        <v/>
      </c>
    </row>
    <row r="2540">
      <c r="B2540" s="62"/>
      <c r="C2540" s="56"/>
      <c r="D2540" s="56"/>
      <c r="E2540" s="56"/>
      <c r="F2540" s="63"/>
      <c r="G2540" s="64"/>
      <c r="H2540" s="65"/>
      <c r="I2540" s="63"/>
      <c r="K2540" s="53" t="str">
        <f>IFERROR(__xludf.DUMMYFUNCTION("IF(ISBLANK(B2540),"""",IF(ISDATE(B2540),""X"",""""))"),"")</f>
        <v/>
      </c>
      <c r="L2540" s="40" t="str">
        <f>IFERROR(__xludf.DUMMYFUNCTION("IF(ISBLANK(B2540),"""",IF(Or(I2540=""Em Aberto"",ISBLANK(I2540),NOT(ISDATE(B2540))),"""",H2540))"),"")</f>
        <v/>
      </c>
      <c r="M2540" s="29" t="str">
        <f>IFERROR(__xludf.DUMMYFUNCTION("IF(ISBLANK(B2540),"""",IF(ISDATE(B2540),TEXT(B2540,""m""),""""))"),"")</f>
        <v/>
      </c>
      <c r="N2540" s="29" t="str">
        <f>IFERROR(__xludf.DUMMYFUNCTION("IF(M2540="""","""",QUERY({'Dashboard-Dados'!$Y$2:$AA$13},""Select Col2 Where Col1=""&amp;M2540))"),"")</f>
        <v/>
      </c>
      <c r="O2540" s="29" t="str">
        <f>IFERROR(__xludf.DUMMYFUNCTION("IF(ISBLANK(B2540),"""",IF(ISDATE(B2540),TEXT(B2540,""yyyy""),""""))"),"")</f>
        <v/>
      </c>
    </row>
    <row r="2541">
      <c r="B2541" s="62"/>
      <c r="C2541" s="56"/>
      <c r="D2541" s="56"/>
      <c r="E2541" s="56"/>
      <c r="F2541" s="63"/>
      <c r="G2541" s="64"/>
      <c r="H2541" s="65"/>
      <c r="I2541" s="63"/>
      <c r="K2541" s="53" t="str">
        <f>IFERROR(__xludf.DUMMYFUNCTION("IF(ISBLANK(B2541),"""",IF(ISDATE(B2541),""X"",""""))"),"")</f>
        <v/>
      </c>
      <c r="L2541" s="40" t="str">
        <f>IFERROR(__xludf.DUMMYFUNCTION("IF(ISBLANK(B2541),"""",IF(Or(I2541=""Em Aberto"",ISBLANK(I2541),NOT(ISDATE(B2541))),"""",H2541))"),"")</f>
        <v/>
      </c>
      <c r="M2541" s="29" t="str">
        <f>IFERROR(__xludf.DUMMYFUNCTION("IF(ISBLANK(B2541),"""",IF(ISDATE(B2541),TEXT(B2541,""m""),""""))"),"")</f>
        <v/>
      </c>
      <c r="N2541" s="29" t="str">
        <f>IFERROR(__xludf.DUMMYFUNCTION("IF(M2541="""","""",QUERY({'Dashboard-Dados'!$Y$2:$AA$13},""Select Col2 Where Col1=""&amp;M2541))"),"")</f>
        <v/>
      </c>
      <c r="O2541" s="29" t="str">
        <f>IFERROR(__xludf.DUMMYFUNCTION("IF(ISBLANK(B2541),"""",IF(ISDATE(B2541),TEXT(B2541,""yyyy""),""""))"),"")</f>
        <v/>
      </c>
    </row>
    <row r="2542">
      <c r="B2542" s="62"/>
      <c r="C2542" s="56"/>
      <c r="D2542" s="56"/>
      <c r="E2542" s="56"/>
      <c r="F2542" s="63"/>
      <c r="G2542" s="64"/>
      <c r="H2542" s="65"/>
      <c r="I2542" s="63"/>
      <c r="K2542" s="53" t="str">
        <f>IFERROR(__xludf.DUMMYFUNCTION("IF(ISBLANK(B2542),"""",IF(ISDATE(B2542),""X"",""""))"),"")</f>
        <v/>
      </c>
      <c r="L2542" s="40" t="str">
        <f>IFERROR(__xludf.DUMMYFUNCTION("IF(ISBLANK(B2542),"""",IF(Or(I2542=""Em Aberto"",ISBLANK(I2542),NOT(ISDATE(B2542))),"""",H2542))"),"")</f>
        <v/>
      </c>
      <c r="M2542" s="29" t="str">
        <f>IFERROR(__xludf.DUMMYFUNCTION("IF(ISBLANK(B2542),"""",IF(ISDATE(B2542),TEXT(B2542,""m""),""""))"),"")</f>
        <v/>
      </c>
      <c r="N2542" s="29" t="str">
        <f>IFERROR(__xludf.DUMMYFUNCTION("IF(M2542="""","""",QUERY({'Dashboard-Dados'!$Y$2:$AA$13},""Select Col2 Where Col1=""&amp;M2542))"),"")</f>
        <v/>
      </c>
      <c r="O2542" s="29" t="str">
        <f>IFERROR(__xludf.DUMMYFUNCTION("IF(ISBLANK(B2542),"""",IF(ISDATE(B2542),TEXT(B2542,""yyyy""),""""))"),"")</f>
        <v/>
      </c>
    </row>
    <row r="2543">
      <c r="B2543" s="62"/>
      <c r="C2543" s="56"/>
      <c r="D2543" s="56"/>
      <c r="E2543" s="56"/>
      <c r="F2543" s="63"/>
      <c r="G2543" s="64"/>
      <c r="H2543" s="65"/>
      <c r="I2543" s="63"/>
      <c r="K2543" s="53" t="str">
        <f>IFERROR(__xludf.DUMMYFUNCTION("IF(ISBLANK(B2543),"""",IF(ISDATE(B2543),""X"",""""))"),"")</f>
        <v/>
      </c>
      <c r="L2543" s="40" t="str">
        <f>IFERROR(__xludf.DUMMYFUNCTION("IF(ISBLANK(B2543),"""",IF(Or(I2543=""Em Aberto"",ISBLANK(I2543),NOT(ISDATE(B2543))),"""",H2543))"),"")</f>
        <v/>
      </c>
      <c r="M2543" s="29" t="str">
        <f>IFERROR(__xludf.DUMMYFUNCTION("IF(ISBLANK(B2543),"""",IF(ISDATE(B2543),TEXT(B2543,""m""),""""))"),"")</f>
        <v/>
      </c>
      <c r="N2543" s="29" t="str">
        <f>IFERROR(__xludf.DUMMYFUNCTION("IF(M2543="""","""",QUERY({'Dashboard-Dados'!$Y$2:$AA$13},""Select Col2 Where Col1=""&amp;M2543))"),"")</f>
        <v/>
      </c>
      <c r="O2543" s="29" t="str">
        <f>IFERROR(__xludf.DUMMYFUNCTION("IF(ISBLANK(B2543),"""",IF(ISDATE(B2543),TEXT(B2543,""yyyy""),""""))"),"")</f>
        <v/>
      </c>
    </row>
    <row r="2544">
      <c r="B2544" s="62"/>
      <c r="C2544" s="56"/>
      <c r="D2544" s="56"/>
      <c r="E2544" s="56"/>
      <c r="F2544" s="63"/>
      <c r="G2544" s="64"/>
      <c r="H2544" s="65"/>
      <c r="I2544" s="63"/>
      <c r="K2544" s="53" t="str">
        <f>IFERROR(__xludf.DUMMYFUNCTION("IF(ISBLANK(B2544),"""",IF(ISDATE(B2544),""X"",""""))"),"")</f>
        <v/>
      </c>
      <c r="L2544" s="40" t="str">
        <f>IFERROR(__xludf.DUMMYFUNCTION("IF(ISBLANK(B2544),"""",IF(Or(I2544=""Em Aberto"",ISBLANK(I2544),NOT(ISDATE(B2544))),"""",H2544))"),"")</f>
        <v/>
      </c>
      <c r="M2544" s="29" t="str">
        <f>IFERROR(__xludf.DUMMYFUNCTION("IF(ISBLANK(B2544),"""",IF(ISDATE(B2544),TEXT(B2544,""m""),""""))"),"")</f>
        <v/>
      </c>
      <c r="N2544" s="29" t="str">
        <f>IFERROR(__xludf.DUMMYFUNCTION("IF(M2544="""","""",QUERY({'Dashboard-Dados'!$Y$2:$AA$13},""Select Col2 Where Col1=""&amp;M2544))"),"")</f>
        <v/>
      </c>
      <c r="O2544" s="29" t="str">
        <f>IFERROR(__xludf.DUMMYFUNCTION("IF(ISBLANK(B2544),"""",IF(ISDATE(B2544),TEXT(B2544,""yyyy""),""""))"),"")</f>
        <v/>
      </c>
    </row>
    <row r="2545">
      <c r="B2545" s="62"/>
      <c r="C2545" s="56"/>
      <c r="D2545" s="56"/>
      <c r="E2545" s="56"/>
      <c r="F2545" s="63"/>
      <c r="G2545" s="64"/>
      <c r="H2545" s="65"/>
      <c r="I2545" s="63"/>
      <c r="K2545" s="53" t="str">
        <f>IFERROR(__xludf.DUMMYFUNCTION("IF(ISBLANK(B2545),"""",IF(ISDATE(B2545),""X"",""""))"),"")</f>
        <v/>
      </c>
      <c r="L2545" s="40" t="str">
        <f>IFERROR(__xludf.DUMMYFUNCTION("IF(ISBLANK(B2545),"""",IF(Or(I2545=""Em Aberto"",ISBLANK(I2545),NOT(ISDATE(B2545))),"""",H2545))"),"")</f>
        <v/>
      </c>
      <c r="M2545" s="29" t="str">
        <f>IFERROR(__xludf.DUMMYFUNCTION("IF(ISBLANK(B2545),"""",IF(ISDATE(B2545),TEXT(B2545,""m""),""""))"),"")</f>
        <v/>
      </c>
      <c r="N2545" s="29" t="str">
        <f>IFERROR(__xludf.DUMMYFUNCTION("IF(M2545="""","""",QUERY({'Dashboard-Dados'!$Y$2:$AA$13},""Select Col2 Where Col1=""&amp;M2545))"),"")</f>
        <v/>
      </c>
      <c r="O2545" s="29" t="str">
        <f>IFERROR(__xludf.DUMMYFUNCTION("IF(ISBLANK(B2545),"""",IF(ISDATE(B2545),TEXT(B2545,""yyyy""),""""))"),"")</f>
        <v/>
      </c>
    </row>
    <row r="2546">
      <c r="B2546" s="62"/>
      <c r="C2546" s="56"/>
      <c r="D2546" s="56"/>
      <c r="E2546" s="56"/>
      <c r="F2546" s="63"/>
      <c r="G2546" s="64"/>
      <c r="H2546" s="65"/>
      <c r="I2546" s="63"/>
      <c r="K2546" s="53" t="str">
        <f>IFERROR(__xludf.DUMMYFUNCTION("IF(ISBLANK(B2546),"""",IF(ISDATE(B2546),""X"",""""))"),"")</f>
        <v/>
      </c>
      <c r="L2546" s="40" t="str">
        <f>IFERROR(__xludf.DUMMYFUNCTION("IF(ISBLANK(B2546),"""",IF(Or(I2546=""Em Aberto"",ISBLANK(I2546),NOT(ISDATE(B2546))),"""",H2546))"),"")</f>
        <v/>
      </c>
      <c r="M2546" s="29" t="str">
        <f>IFERROR(__xludf.DUMMYFUNCTION("IF(ISBLANK(B2546),"""",IF(ISDATE(B2546),TEXT(B2546,""m""),""""))"),"")</f>
        <v/>
      </c>
      <c r="N2546" s="29" t="str">
        <f>IFERROR(__xludf.DUMMYFUNCTION("IF(M2546="""","""",QUERY({'Dashboard-Dados'!$Y$2:$AA$13},""Select Col2 Where Col1=""&amp;M2546))"),"")</f>
        <v/>
      </c>
      <c r="O2546" s="29" t="str">
        <f>IFERROR(__xludf.DUMMYFUNCTION("IF(ISBLANK(B2546),"""",IF(ISDATE(B2546),TEXT(B2546,""yyyy""),""""))"),"")</f>
        <v/>
      </c>
    </row>
    <row r="2547">
      <c r="B2547" s="62"/>
      <c r="C2547" s="56"/>
      <c r="D2547" s="56"/>
      <c r="E2547" s="56"/>
      <c r="F2547" s="63"/>
      <c r="G2547" s="64"/>
      <c r="H2547" s="65"/>
      <c r="I2547" s="63"/>
      <c r="K2547" s="53" t="str">
        <f>IFERROR(__xludf.DUMMYFUNCTION("IF(ISBLANK(B2547),"""",IF(ISDATE(B2547),""X"",""""))"),"")</f>
        <v/>
      </c>
      <c r="L2547" s="40" t="str">
        <f>IFERROR(__xludf.DUMMYFUNCTION("IF(ISBLANK(B2547),"""",IF(Or(I2547=""Em Aberto"",ISBLANK(I2547),NOT(ISDATE(B2547))),"""",H2547))"),"")</f>
        <v/>
      </c>
      <c r="M2547" s="29" t="str">
        <f>IFERROR(__xludf.DUMMYFUNCTION("IF(ISBLANK(B2547),"""",IF(ISDATE(B2547),TEXT(B2547,""m""),""""))"),"")</f>
        <v/>
      </c>
      <c r="N2547" s="29" t="str">
        <f>IFERROR(__xludf.DUMMYFUNCTION("IF(M2547="""","""",QUERY({'Dashboard-Dados'!$Y$2:$AA$13},""Select Col2 Where Col1=""&amp;M2547))"),"")</f>
        <v/>
      </c>
      <c r="O2547" s="29" t="str">
        <f>IFERROR(__xludf.DUMMYFUNCTION("IF(ISBLANK(B2547),"""",IF(ISDATE(B2547),TEXT(B2547,""yyyy""),""""))"),"")</f>
        <v/>
      </c>
    </row>
    <row r="2548">
      <c r="B2548" s="62"/>
      <c r="C2548" s="56"/>
      <c r="D2548" s="56"/>
      <c r="E2548" s="56"/>
      <c r="F2548" s="63"/>
      <c r="G2548" s="64"/>
      <c r="H2548" s="65"/>
      <c r="I2548" s="63"/>
      <c r="K2548" s="53" t="str">
        <f>IFERROR(__xludf.DUMMYFUNCTION("IF(ISBLANK(B2548),"""",IF(ISDATE(B2548),""X"",""""))"),"")</f>
        <v/>
      </c>
      <c r="L2548" s="40" t="str">
        <f>IFERROR(__xludf.DUMMYFUNCTION("IF(ISBLANK(B2548),"""",IF(Or(I2548=""Em Aberto"",ISBLANK(I2548),NOT(ISDATE(B2548))),"""",H2548))"),"")</f>
        <v/>
      </c>
      <c r="M2548" s="29" t="str">
        <f>IFERROR(__xludf.DUMMYFUNCTION("IF(ISBLANK(B2548),"""",IF(ISDATE(B2548),TEXT(B2548,""m""),""""))"),"")</f>
        <v/>
      </c>
      <c r="N2548" s="29" t="str">
        <f>IFERROR(__xludf.DUMMYFUNCTION("IF(M2548="""","""",QUERY({'Dashboard-Dados'!$Y$2:$AA$13},""Select Col2 Where Col1=""&amp;M2548))"),"")</f>
        <v/>
      </c>
      <c r="O2548" s="29" t="str">
        <f>IFERROR(__xludf.DUMMYFUNCTION("IF(ISBLANK(B2548),"""",IF(ISDATE(B2548),TEXT(B2548,""yyyy""),""""))"),"")</f>
        <v/>
      </c>
    </row>
    <row r="2549">
      <c r="B2549" s="62"/>
      <c r="C2549" s="56"/>
      <c r="D2549" s="56"/>
      <c r="E2549" s="56"/>
      <c r="F2549" s="63"/>
      <c r="G2549" s="64"/>
      <c r="H2549" s="65"/>
      <c r="I2549" s="63"/>
      <c r="K2549" s="53" t="str">
        <f>IFERROR(__xludf.DUMMYFUNCTION("IF(ISBLANK(B2549),"""",IF(ISDATE(B2549),""X"",""""))"),"")</f>
        <v/>
      </c>
      <c r="L2549" s="40" t="str">
        <f>IFERROR(__xludf.DUMMYFUNCTION("IF(ISBLANK(B2549),"""",IF(Or(I2549=""Em Aberto"",ISBLANK(I2549),NOT(ISDATE(B2549))),"""",H2549))"),"")</f>
        <v/>
      </c>
      <c r="M2549" s="29" t="str">
        <f>IFERROR(__xludf.DUMMYFUNCTION("IF(ISBLANK(B2549),"""",IF(ISDATE(B2549),TEXT(B2549,""m""),""""))"),"")</f>
        <v/>
      </c>
      <c r="N2549" s="29" t="str">
        <f>IFERROR(__xludf.DUMMYFUNCTION("IF(M2549="""","""",QUERY({'Dashboard-Dados'!$Y$2:$AA$13},""Select Col2 Where Col1=""&amp;M2549))"),"")</f>
        <v/>
      </c>
      <c r="O2549" s="29" t="str">
        <f>IFERROR(__xludf.DUMMYFUNCTION("IF(ISBLANK(B2549),"""",IF(ISDATE(B2549),TEXT(B2549,""yyyy""),""""))"),"")</f>
        <v/>
      </c>
    </row>
    <row r="2550">
      <c r="B2550" s="62"/>
      <c r="C2550" s="56"/>
      <c r="D2550" s="56"/>
      <c r="E2550" s="56"/>
      <c r="F2550" s="63"/>
      <c r="G2550" s="64"/>
      <c r="H2550" s="65"/>
      <c r="I2550" s="63"/>
      <c r="K2550" s="53" t="str">
        <f>IFERROR(__xludf.DUMMYFUNCTION("IF(ISBLANK(B2550),"""",IF(ISDATE(B2550),""X"",""""))"),"")</f>
        <v/>
      </c>
      <c r="L2550" s="40" t="str">
        <f>IFERROR(__xludf.DUMMYFUNCTION("IF(ISBLANK(B2550),"""",IF(Or(I2550=""Em Aberto"",ISBLANK(I2550),NOT(ISDATE(B2550))),"""",H2550))"),"")</f>
        <v/>
      </c>
      <c r="M2550" s="29" t="str">
        <f>IFERROR(__xludf.DUMMYFUNCTION("IF(ISBLANK(B2550),"""",IF(ISDATE(B2550),TEXT(B2550,""m""),""""))"),"")</f>
        <v/>
      </c>
      <c r="N2550" s="29" t="str">
        <f>IFERROR(__xludf.DUMMYFUNCTION("IF(M2550="""","""",QUERY({'Dashboard-Dados'!$Y$2:$AA$13},""Select Col2 Where Col1=""&amp;M2550))"),"")</f>
        <v/>
      </c>
      <c r="O2550" s="29" t="str">
        <f>IFERROR(__xludf.DUMMYFUNCTION("IF(ISBLANK(B2550),"""",IF(ISDATE(B2550),TEXT(B2550,""yyyy""),""""))"),"")</f>
        <v/>
      </c>
    </row>
    <row r="2551">
      <c r="B2551" s="62"/>
      <c r="C2551" s="56"/>
      <c r="D2551" s="56"/>
      <c r="E2551" s="56"/>
      <c r="F2551" s="63"/>
      <c r="G2551" s="64"/>
      <c r="H2551" s="65"/>
      <c r="I2551" s="63"/>
      <c r="K2551" s="53" t="str">
        <f>IFERROR(__xludf.DUMMYFUNCTION("IF(ISBLANK(B2551),"""",IF(ISDATE(B2551),""X"",""""))"),"")</f>
        <v/>
      </c>
      <c r="L2551" s="40" t="str">
        <f>IFERROR(__xludf.DUMMYFUNCTION("IF(ISBLANK(B2551),"""",IF(Or(I2551=""Em Aberto"",ISBLANK(I2551),NOT(ISDATE(B2551))),"""",H2551))"),"")</f>
        <v/>
      </c>
      <c r="M2551" s="29" t="str">
        <f>IFERROR(__xludf.DUMMYFUNCTION("IF(ISBLANK(B2551),"""",IF(ISDATE(B2551),TEXT(B2551,""m""),""""))"),"")</f>
        <v/>
      </c>
      <c r="N2551" s="29" t="str">
        <f>IFERROR(__xludf.DUMMYFUNCTION("IF(M2551="""","""",QUERY({'Dashboard-Dados'!$Y$2:$AA$13},""Select Col2 Where Col1=""&amp;M2551))"),"")</f>
        <v/>
      </c>
      <c r="O2551" s="29" t="str">
        <f>IFERROR(__xludf.DUMMYFUNCTION("IF(ISBLANK(B2551),"""",IF(ISDATE(B2551),TEXT(B2551,""yyyy""),""""))"),"")</f>
        <v/>
      </c>
    </row>
    <row r="2552">
      <c r="B2552" s="62"/>
      <c r="C2552" s="56"/>
      <c r="D2552" s="56"/>
      <c r="E2552" s="56"/>
      <c r="F2552" s="63"/>
      <c r="G2552" s="64"/>
      <c r="H2552" s="65"/>
      <c r="I2552" s="63"/>
      <c r="K2552" s="53" t="str">
        <f>IFERROR(__xludf.DUMMYFUNCTION("IF(ISBLANK(B2552),"""",IF(ISDATE(B2552),""X"",""""))"),"")</f>
        <v/>
      </c>
      <c r="L2552" s="40" t="str">
        <f>IFERROR(__xludf.DUMMYFUNCTION("IF(ISBLANK(B2552),"""",IF(Or(I2552=""Em Aberto"",ISBLANK(I2552),NOT(ISDATE(B2552))),"""",H2552))"),"")</f>
        <v/>
      </c>
      <c r="M2552" s="29" t="str">
        <f>IFERROR(__xludf.DUMMYFUNCTION("IF(ISBLANK(B2552),"""",IF(ISDATE(B2552),TEXT(B2552,""m""),""""))"),"")</f>
        <v/>
      </c>
      <c r="N2552" s="29" t="str">
        <f>IFERROR(__xludf.DUMMYFUNCTION("IF(M2552="""","""",QUERY({'Dashboard-Dados'!$Y$2:$AA$13},""Select Col2 Where Col1=""&amp;M2552))"),"")</f>
        <v/>
      </c>
      <c r="O2552" s="29" t="str">
        <f>IFERROR(__xludf.DUMMYFUNCTION("IF(ISBLANK(B2552),"""",IF(ISDATE(B2552),TEXT(B2552,""yyyy""),""""))"),"")</f>
        <v/>
      </c>
    </row>
    <row r="2553">
      <c r="B2553" s="62"/>
      <c r="C2553" s="56"/>
      <c r="D2553" s="56"/>
      <c r="E2553" s="56"/>
      <c r="F2553" s="63"/>
      <c r="G2553" s="64"/>
      <c r="H2553" s="65"/>
      <c r="I2553" s="63"/>
      <c r="K2553" s="53" t="str">
        <f>IFERROR(__xludf.DUMMYFUNCTION("IF(ISBLANK(B2553),"""",IF(ISDATE(B2553),""X"",""""))"),"")</f>
        <v/>
      </c>
      <c r="L2553" s="40" t="str">
        <f>IFERROR(__xludf.DUMMYFUNCTION("IF(ISBLANK(B2553),"""",IF(Or(I2553=""Em Aberto"",ISBLANK(I2553),NOT(ISDATE(B2553))),"""",H2553))"),"")</f>
        <v/>
      </c>
      <c r="M2553" s="29" t="str">
        <f>IFERROR(__xludf.DUMMYFUNCTION("IF(ISBLANK(B2553),"""",IF(ISDATE(B2553),TEXT(B2553,""m""),""""))"),"")</f>
        <v/>
      </c>
      <c r="N2553" s="29" t="str">
        <f>IFERROR(__xludf.DUMMYFUNCTION("IF(M2553="""","""",QUERY({'Dashboard-Dados'!$Y$2:$AA$13},""Select Col2 Where Col1=""&amp;M2553))"),"")</f>
        <v/>
      </c>
      <c r="O2553" s="29" t="str">
        <f>IFERROR(__xludf.DUMMYFUNCTION("IF(ISBLANK(B2553),"""",IF(ISDATE(B2553),TEXT(B2553,""yyyy""),""""))"),"")</f>
        <v/>
      </c>
    </row>
    <row r="2554">
      <c r="B2554" s="62"/>
      <c r="C2554" s="56"/>
      <c r="D2554" s="56"/>
      <c r="E2554" s="56"/>
      <c r="F2554" s="63"/>
      <c r="G2554" s="64"/>
      <c r="H2554" s="65"/>
      <c r="I2554" s="63"/>
      <c r="K2554" s="53" t="str">
        <f>IFERROR(__xludf.DUMMYFUNCTION("IF(ISBLANK(B2554),"""",IF(ISDATE(B2554),""X"",""""))"),"")</f>
        <v/>
      </c>
      <c r="L2554" s="40" t="str">
        <f>IFERROR(__xludf.DUMMYFUNCTION("IF(ISBLANK(B2554),"""",IF(Or(I2554=""Em Aberto"",ISBLANK(I2554),NOT(ISDATE(B2554))),"""",H2554))"),"")</f>
        <v/>
      </c>
      <c r="M2554" s="29" t="str">
        <f>IFERROR(__xludf.DUMMYFUNCTION("IF(ISBLANK(B2554),"""",IF(ISDATE(B2554),TEXT(B2554,""m""),""""))"),"")</f>
        <v/>
      </c>
      <c r="N2554" s="29" t="str">
        <f>IFERROR(__xludf.DUMMYFUNCTION("IF(M2554="""","""",QUERY({'Dashboard-Dados'!$Y$2:$AA$13},""Select Col2 Where Col1=""&amp;M2554))"),"")</f>
        <v/>
      </c>
      <c r="O2554" s="29" t="str">
        <f>IFERROR(__xludf.DUMMYFUNCTION("IF(ISBLANK(B2554),"""",IF(ISDATE(B2554),TEXT(B2554,""yyyy""),""""))"),"")</f>
        <v/>
      </c>
    </row>
    <row r="2555">
      <c r="B2555" s="62"/>
      <c r="C2555" s="56"/>
      <c r="D2555" s="56"/>
      <c r="E2555" s="56"/>
      <c r="F2555" s="63"/>
      <c r="G2555" s="64"/>
      <c r="H2555" s="65"/>
      <c r="I2555" s="63"/>
      <c r="K2555" s="53" t="str">
        <f>IFERROR(__xludf.DUMMYFUNCTION("IF(ISBLANK(B2555),"""",IF(ISDATE(B2555),""X"",""""))"),"")</f>
        <v/>
      </c>
      <c r="L2555" s="40" t="str">
        <f>IFERROR(__xludf.DUMMYFUNCTION("IF(ISBLANK(B2555),"""",IF(Or(I2555=""Em Aberto"",ISBLANK(I2555),NOT(ISDATE(B2555))),"""",H2555))"),"")</f>
        <v/>
      </c>
      <c r="M2555" s="29" t="str">
        <f>IFERROR(__xludf.DUMMYFUNCTION("IF(ISBLANK(B2555),"""",IF(ISDATE(B2555),TEXT(B2555,""m""),""""))"),"")</f>
        <v/>
      </c>
      <c r="N2555" s="29" t="str">
        <f>IFERROR(__xludf.DUMMYFUNCTION("IF(M2555="""","""",QUERY({'Dashboard-Dados'!$Y$2:$AA$13},""Select Col2 Where Col1=""&amp;M2555))"),"")</f>
        <v/>
      </c>
      <c r="O2555" s="29" t="str">
        <f>IFERROR(__xludf.DUMMYFUNCTION("IF(ISBLANK(B2555),"""",IF(ISDATE(B2555),TEXT(B2555,""yyyy""),""""))"),"")</f>
        <v/>
      </c>
    </row>
    <row r="2556">
      <c r="B2556" s="62"/>
      <c r="C2556" s="56"/>
      <c r="D2556" s="56"/>
      <c r="E2556" s="56"/>
      <c r="F2556" s="63"/>
      <c r="G2556" s="64"/>
      <c r="H2556" s="65"/>
      <c r="I2556" s="63"/>
      <c r="K2556" s="53" t="str">
        <f>IFERROR(__xludf.DUMMYFUNCTION("IF(ISBLANK(B2556),"""",IF(ISDATE(B2556),""X"",""""))"),"")</f>
        <v/>
      </c>
      <c r="L2556" s="40" t="str">
        <f>IFERROR(__xludf.DUMMYFUNCTION("IF(ISBLANK(B2556),"""",IF(Or(I2556=""Em Aberto"",ISBLANK(I2556),NOT(ISDATE(B2556))),"""",H2556))"),"")</f>
        <v/>
      </c>
      <c r="M2556" s="29" t="str">
        <f>IFERROR(__xludf.DUMMYFUNCTION("IF(ISBLANK(B2556),"""",IF(ISDATE(B2556),TEXT(B2556,""m""),""""))"),"")</f>
        <v/>
      </c>
      <c r="N2556" s="29" t="str">
        <f>IFERROR(__xludf.DUMMYFUNCTION("IF(M2556="""","""",QUERY({'Dashboard-Dados'!$Y$2:$AA$13},""Select Col2 Where Col1=""&amp;M2556))"),"")</f>
        <v/>
      </c>
      <c r="O2556" s="29" t="str">
        <f>IFERROR(__xludf.DUMMYFUNCTION("IF(ISBLANK(B2556),"""",IF(ISDATE(B2556),TEXT(B2556,""yyyy""),""""))"),"")</f>
        <v/>
      </c>
    </row>
    <row r="2557">
      <c r="B2557" s="62"/>
      <c r="C2557" s="56"/>
      <c r="D2557" s="56"/>
      <c r="E2557" s="56"/>
      <c r="F2557" s="63"/>
      <c r="G2557" s="64"/>
      <c r="H2557" s="65"/>
      <c r="I2557" s="63"/>
      <c r="K2557" s="53" t="str">
        <f>IFERROR(__xludf.DUMMYFUNCTION("IF(ISBLANK(B2557),"""",IF(ISDATE(B2557),""X"",""""))"),"")</f>
        <v/>
      </c>
      <c r="L2557" s="40" t="str">
        <f>IFERROR(__xludf.DUMMYFUNCTION("IF(ISBLANK(B2557),"""",IF(Or(I2557=""Em Aberto"",ISBLANK(I2557),NOT(ISDATE(B2557))),"""",H2557))"),"")</f>
        <v/>
      </c>
      <c r="M2557" s="29" t="str">
        <f>IFERROR(__xludf.DUMMYFUNCTION("IF(ISBLANK(B2557),"""",IF(ISDATE(B2557),TEXT(B2557,""m""),""""))"),"")</f>
        <v/>
      </c>
      <c r="N2557" s="29" t="str">
        <f>IFERROR(__xludf.DUMMYFUNCTION("IF(M2557="""","""",QUERY({'Dashboard-Dados'!$Y$2:$AA$13},""Select Col2 Where Col1=""&amp;M2557))"),"")</f>
        <v/>
      </c>
      <c r="O2557" s="29" t="str">
        <f>IFERROR(__xludf.DUMMYFUNCTION("IF(ISBLANK(B2557),"""",IF(ISDATE(B2557),TEXT(B2557,""yyyy""),""""))"),"")</f>
        <v/>
      </c>
    </row>
    <row r="2558">
      <c r="B2558" s="62"/>
      <c r="C2558" s="56"/>
      <c r="D2558" s="56"/>
      <c r="E2558" s="56"/>
      <c r="F2558" s="63"/>
      <c r="G2558" s="64"/>
      <c r="H2558" s="65"/>
      <c r="I2558" s="63"/>
      <c r="K2558" s="53" t="str">
        <f>IFERROR(__xludf.DUMMYFUNCTION("IF(ISBLANK(B2558),"""",IF(ISDATE(B2558),""X"",""""))"),"")</f>
        <v/>
      </c>
      <c r="L2558" s="40" t="str">
        <f>IFERROR(__xludf.DUMMYFUNCTION("IF(ISBLANK(B2558),"""",IF(Or(I2558=""Em Aberto"",ISBLANK(I2558),NOT(ISDATE(B2558))),"""",H2558))"),"")</f>
        <v/>
      </c>
      <c r="M2558" s="29" t="str">
        <f>IFERROR(__xludf.DUMMYFUNCTION("IF(ISBLANK(B2558),"""",IF(ISDATE(B2558),TEXT(B2558,""m""),""""))"),"")</f>
        <v/>
      </c>
      <c r="N2558" s="29" t="str">
        <f>IFERROR(__xludf.DUMMYFUNCTION("IF(M2558="""","""",QUERY({'Dashboard-Dados'!$Y$2:$AA$13},""Select Col2 Where Col1=""&amp;M2558))"),"")</f>
        <v/>
      </c>
      <c r="O2558" s="29" t="str">
        <f>IFERROR(__xludf.DUMMYFUNCTION("IF(ISBLANK(B2558),"""",IF(ISDATE(B2558),TEXT(B2558,""yyyy""),""""))"),"")</f>
        <v/>
      </c>
    </row>
    <row r="2559">
      <c r="B2559" s="62"/>
      <c r="C2559" s="56"/>
      <c r="D2559" s="56"/>
      <c r="E2559" s="56"/>
      <c r="F2559" s="63"/>
      <c r="G2559" s="64"/>
      <c r="H2559" s="65"/>
      <c r="I2559" s="63"/>
      <c r="K2559" s="53" t="str">
        <f>IFERROR(__xludf.DUMMYFUNCTION("IF(ISBLANK(B2559),"""",IF(ISDATE(B2559),""X"",""""))"),"")</f>
        <v/>
      </c>
      <c r="L2559" s="40" t="str">
        <f>IFERROR(__xludf.DUMMYFUNCTION("IF(ISBLANK(B2559),"""",IF(Or(I2559=""Em Aberto"",ISBLANK(I2559),NOT(ISDATE(B2559))),"""",H2559))"),"")</f>
        <v/>
      </c>
      <c r="M2559" s="29" t="str">
        <f>IFERROR(__xludf.DUMMYFUNCTION("IF(ISBLANK(B2559),"""",IF(ISDATE(B2559),TEXT(B2559,""m""),""""))"),"")</f>
        <v/>
      </c>
      <c r="N2559" s="29" t="str">
        <f>IFERROR(__xludf.DUMMYFUNCTION("IF(M2559="""","""",QUERY({'Dashboard-Dados'!$Y$2:$AA$13},""Select Col2 Where Col1=""&amp;M2559))"),"")</f>
        <v/>
      </c>
      <c r="O2559" s="29" t="str">
        <f>IFERROR(__xludf.DUMMYFUNCTION("IF(ISBLANK(B2559),"""",IF(ISDATE(B2559),TEXT(B2559,""yyyy""),""""))"),"")</f>
        <v/>
      </c>
    </row>
    <row r="2560">
      <c r="B2560" s="62"/>
      <c r="C2560" s="56"/>
      <c r="D2560" s="56"/>
      <c r="E2560" s="56"/>
      <c r="F2560" s="63"/>
      <c r="G2560" s="64"/>
      <c r="H2560" s="65"/>
      <c r="I2560" s="63"/>
      <c r="K2560" s="53" t="str">
        <f>IFERROR(__xludf.DUMMYFUNCTION("IF(ISBLANK(B2560),"""",IF(ISDATE(B2560),""X"",""""))"),"")</f>
        <v/>
      </c>
      <c r="L2560" s="40" t="str">
        <f>IFERROR(__xludf.DUMMYFUNCTION("IF(ISBLANK(B2560),"""",IF(Or(I2560=""Em Aberto"",ISBLANK(I2560),NOT(ISDATE(B2560))),"""",H2560))"),"")</f>
        <v/>
      </c>
      <c r="M2560" s="29" t="str">
        <f>IFERROR(__xludf.DUMMYFUNCTION("IF(ISBLANK(B2560),"""",IF(ISDATE(B2560),TEXT(B2560,""m""),""""))"),"")</f>
        <v/>
      </c>
      <c r="N2560" s="29" t="str">
        <f>IFERROR(__xludf.DUMMYFUNCTION("IF(M2560="""","""",QUERY({'Dashboard-Dados'!$Y$2:$AA$13},""Select Col2 Where Col1=""&amp;M2560))"),"")</f>
        <v/>
      </c>
      <c r="O2560" s="29" t="str">
        <f>IFERROR(__xludf.DUMMYFUNCTION("IF(ISBLANK(B2560),"""",IF(ISDATE(B2560),TEXT(B2560,""yyyy""),""""))"),"")</f>
        <v/>
      </c>
    </row>
    <row r="2561">
      <c r="B2561" s="62"/>
      <c r="C2561" s="56"/>
      <c r="D2561" s="56"/>
      <c r="E2561" s="56"/>
      <c r="F2561" s="63"/>
      <c r="G2561" s="64"/>
      <c r="H2561" s="65"/>
      <c r="I2561" s="63"/>
      <c r="K2561" s="53" t="str">
        <f>IFERROR(__xludf.DUMMYFUNCTION("IF(ISBLANK(B2561),"""",IF(ISDATE(B2561),""X"",""""))"),"")</f>
        <v/>
      </c>
      <c r="L2561" s="40" t="str">
        <f>IFERROR(__xludf.DUMMYFUNCTION("IF(ISBLANK(B2561),"""",IF(Or(I2561=""Em Aberto"",ISBLANK(I2561),NOT(ISDATE(B2561))),"""",H2561))"),"")</f>
        <v/>
      </c>
      <c r="M2561" s="29" t="str">
        <f>IFERROR(__xludf.DUMMYFUNCTION("IF(ISBLANK(B2561),"""",IF(ISDATE(B2561),TEXT(B2561,""m""),""""))"),"")</f>
        <v/>
      </c>
      <c r="N2561" s="29" t="str">
        <f>IFERROR(__xludf.DUMMYFUNCTION("IF(M2561="""","""",QUERY({'Dashboard-Dados'!$Y$2:$AA$13},""Select Col2 Where Col1=""&amp;M2561))"),"")</f>
        <v/>
      </c>
      <c r="O2561" s="29" t="str">
        <f>IFERROR(__xludf.DUMMYFUNCTION("IF(ISBLANK(B2561),"""",IF(ISDATE(B2561),TEXT(B2561,""yyyy""),""""))"),"")</f>
        <v/>
      </c>
    </row>
    <row r="2562">
      <c r="B2562" s="62"/>
      <c r="C2562" s="56"/>
      <c r="D2562" s="56"/>
      <c r="E2562" s="56"/>
      <c r="F2562" s="63"/>
      <c r="G2562" s="64"/>
      <c r="H2562" s="65"/>
      <c r="I2562" s="63"/>
      <c r="K2562" s="53" t="str">
        <f>IFERROR(__xludf.DUMMYFUNCTION("IF(ISBLANK(B2562),"""",IF(ISDATE(B2562),""X"",""""))"),"")</f>
        <v/>
      </c>
      <c r="L2562" s="40" t="str">
        <f>IFERROR(__xludf.DUMMYFUNCTION("IF(ISBLANK(B2562),"""",IF(Or(I2562=""Em Aberto"",ISBLANK(I2562),NOT(ISDATE(B2562))),"""",H2562))"),"")</f>
        <v/>
      </c>
      <c r="M2562" s="29" t="str">
        <f>IFERROR(__xludf.DUMMYFUNCTION("IF(ISBLANK(B2562),"""",IF(ISDATE(B2562),TEXT(B2562,""m""),""""))"),"")</f>
        <v/>
      </c>
      <c r="N2562" s="29" t="str">
        <f>IFERROR(__xludf.DUMMYFUNCTION("IF(M2562="""","""",QUERY({'Dashboard-Dados'!$Y$2:$AA$13},""Select Col2 Where Col1=""&amp;M2562))"),"")</f>
        <v/>
      </c>
      <c r="O2562" s="29" t="str">
        <f>IFERROR(__xludf.DUMMYFUNCTION("IF(ISBLANK(B2562),"""",IF(ISDATE(B2562),TEXT(B2562,""yyyy""),""""))"),"")</f>
        <v/>
      </c>
    </row>
    <row r="2563">
      <c r="B2563" s="62"/>
      <c r="C2563" s="56"/>
      <c r="D2563" s="56"/>
      <c r="E2563" s="56"/>
      <c r="F2563" s="63"/>
      <c r="G2563" s="64"/>
      <c r="H2563" s="65"/>
      <c r="I2563" s="63"/>
      <c r="K2563" s="53" t="str">
        <f>IFERROR(__xludf.DUMMYFUNCTION("IF(ISBLANK(B2563),"""",IF(ISDATE(B2563),""X"",""""))"),"")</f>
        <v/>
      </c>
      <c r="L2563" s="40" t="str">
        <f>IFERROR(__xludf.DUMMYFUNCTION("IF(ISBLANK(B2563),"""",IF(Or(I2563=""Em Aberto"",ISBLANK(I2563),NOT(ISDATE(B2563))),"""",H2563))"),"")</f>
        <v/>
      </c>
      <c r="M2563" s="29" t="str">
        <f>IFERROR(__xludf.DUMMYFUNCTION("IF(ISBLANK(B2563),"""",IF(ISDATE(B2563),TEXT(B2563,""m""),""""))"),"")</f>
        <v/>
      </c>
      <c r="N2563" s="29" t="str">
        <f>IFERROR(__xludf.DUMMYFUNCTION("IF(M2563="""","""",QUERY({'Dashboard-Dados'!$Y$2:$AA$13},""Select Col2 Where Col1=""&amp;M2563))"),"")</f>
        <v/>
      </c>
      <c r="O2563" s="29" t="str">
        <f>IFERROR(__xludf.DUMMYFUNCTION("IF(ISBLANK(B2563),"""",IF(ISDATE(B2563),TEXT(B2563,""yyyy""),""""))"),"")</f>
        <v/>
      </c>
    </row>
    <row r="2564">
      <c r="B2564" s="62"/>
      <c r="C2564" s="56"/>
      <c r="D2564" s="56"/>
      <c r="E2564" s="56"/>
      <c r="F2564" s="63"/>
      <c r="G2564" s="64"/>
      <c r="H2564" s="65"/>
      <c r="I2564" s="63"/>
      <c r="K2564" s="53" t="str">
        <f>IFERROR(__xludf.DUMMYFUNCTION("IF(ISBLANK(B2564),"""",IF(ISDATE(B2564),""X"",""""))"),"")</f>
        <v/>
      </c>
      <c r="L2564" s="40" t="str">
        <f>IFERROR(__xludf.DUMMYFUNCTION("IF(ISBLANK(B2564),"""",IF(Or(I2564=""Em Aberto"",ISBLANK(I2564),NOT(ISDATE(B2564))),"""",H2564))"),"")</f>
        <v/>
      </c>
      <c r="M2564" s="29" t="str">
        <f>IFERROR(__xludf.DUMMYFUNCTION("IF(ISBLANK(B2564),"""",IF(ISDATE(B2564),TEXT(B2564,""m""),""""))"),"")</f>
        <v/>
      </c>
      <c r="N2564" s="29" t="str">
        <f>IFERROR(__xludf.DUMMYFUNCTION("IF(M2564="""","""",QUERY({'Dashboard-Dados'!$Y$2:$AA$13},""Select Col2 Where Col1=""&amp;M2564))"),"")</f>
        <v/>
      </c>
      <c r="O2564" s="29" t="str">
        <f>IFERROR(__xludf.DUMMYFUNCTION("IF(ISBLANK(B2564),"""",IF(ISDATE(B2564),TEXT(B2564,""yyyy""),""""))"),"")</f>
        <v/>
      </c>
    </row>
    <row r="2565">
      <c r="B2565" s="62"/>
      <c r="C2565" s="56"/>
      <c r="D2565" s="56"/>
      <c r="E2565" s="56"/>
      <c r="F2565" s="63"/>
      <c r="G2565" s="64"/>
      <c r="H2565" s="65"/>
      <c r="I2565" s="63"/>
      <c r="K2565" s="53" t="str">
        <f>IFERROR(__xludf.DUMMYFUNCTION("IF(ISBLANK(B2565),"""",IF(ISDATE(B2565),""X"",""""))"),"")</f>
        <v/>
      </c>
      <c r="L2565" s="40" t="str">
        <f>IFERROR(__xludf.DUMMYFUNCTION("IF(ISBLANK(B2565),"""",IF(Or(I2565=""Em Aberto"",ISBLANK(I2565),NOT(ISDATE(B2565))),"""",H2565))"),"")</f>
        <v/>
      </c>
      <c r="M2565" s="29" t="str">
        <f>IFERROR(__xludf.DUMMYFUNCTION("IF(ISBLANK(B2565),"""",IF(ISDATE(B2565),TEXT(B2565,""m""),""""))"),"")</f>
        <v/>
      </c>
      <c r="N2565" s="29" t="str">
        <f>IFERROR(__xludf.DUMMYFUNCTION("IF(M2565="""","""",QUERY({'Dashboard-Dados'!$Y$2:$AA$13},""Select Col2 Where Col1=""&amp;M2565))"),"")</f>
        <v/>
      </c>
      <c r="O2565" s="29" t="str">
        <f>IFERROR(__xludf.DUMMYFUNCTION("IF(ISBLANK(B2565),"""",IF(ISDATE(B2565),TEXT(B2565,""yyyy""),""""))"),"")</f>
        <v/>
      </c>
    </row>
    <row r="2566">
      <c r="B2566" s="62"/>
      <c r="C2566" s="56"/>
      <c r="D2566" s="56"/>
      <c r="E2566" s="56"/>
      <c r="F2566" s="63"/>
      <c r="G2566" s="64"/>
      <c r="H2566" s="65"/>
      <c r="I2566" s="63"/>
      <c r="K2566" s="53" t="str">
        <f>IFERROR(__xludf.DUMMYFUNCTION("IF(ISBLANK(B2566),"""",IF(ISDATE(B2566),""X"",""""))"),"")</f>
        <v/>
      </c>
      <c r="L2566" s="40" t="str">
        <f>IFERROR(__xludf.DUMMYFUNCTION("IF(ISBLANK(B2566),"""",IF(Or(I2566=""Em Aberto"",ISBLANK(I2566),NOT(ISDATE(B2566))),"""",H2566))"),"")</f>
        <v/>
      </c>
      <c r="M2566" s="29" t="str">
        <f>IFERROR(__xludf.DUMMYFUNCTION("IF(ISBLANK(B2566),"""",IF(ISDATE(B2566),TEXT(B2566,""m""),""""))"),"")</f>
        <v/>
      </c>
      <c r="N2566" s="29" t="str">
        <f>IFERROR(__xludf.DUMMYFUNCTION("IF(M2566="""","""",QUERY({'Dashboard-Dados'!$Y$2:$AA$13},""Select Col2 Where Col1=""&amp;M2566))"),"")</f>
        <v/>
      </c>
      <c r="O2566" s="29" t="str">
        <f>IFERROR(__xludf.DUMMYFUNCTION("IF(ISBLANK(B2566),"""",IF(ISDATE(B2566),TEXT(B2566,""yyyy""),""""))"),"")</f>
        <v/>
      </c>
    </row>
    <row r="2567">
      <c r="B2567" s="62"/>
      <c r="C2567" s="56"/>
      <c r="D2567" s="56"/>
      <c r="E2567" s="56"/>
      <c r="F2567" s="63"/>
      <c r="G2567" s="64"/>
      <c r="H2567" s="65"/>
      <c r="I2567" s="63"/>
      <c r="K2567" s="53" t="str">
        <f>IFERROR(__xludf.DUMMYFUNCTION("IF(ISBLANK(B2567),"""",IF(ISDATE(B2567),""X"",""""))"),"")</f>
        <v/>
      </c>
      <c r="L2567" s="40" t="str">
        <f>IFERROR(__xludf.DUMMYFUNCTION("IF(ISBLANK(B2567),"""",IF(Or(I2567=""Em Aberto"",ISBLANK(I2567),NOT(ISDATE(B2567))),"""",H2567))"),"")</f>
        <v/>
      </c>
      <c r="M2567" s="29" t="str">
        <f>IFERROR(__xludf.DUMMYFUNCTION("IF(ISBLANK(B2567),"""",IF(ISDATE(B2567),TEXT(B2567,""m""),""""))"),"")</f>
        <v/>
      </c>
      <c r="N2567" s="29" t="str">
        <f>IFERROR(__xludf.DUMMYFUNCTION("IF(M2567="""","""",QUERY({'Dashboard-Dados'!$Y$2:$AA$13},""Select Col2 Where Col1=""&amp;M2567))"),"")</f>
        <v/>
      </c>
      <c r="O2567" s="29" t="str">
        <f>IFERROR(__xludf.DUMMYFUNCTION("IF(ISBLANK(B2567),"""",IF(ISDATE(B2567),TEXT(B2567,""yyyy""),""""))"),"")</f>
        <v/>
      </c>
    </row>
    <row r="2568">
      <c r="B2568" s="62"/>
      <c r="C2568" s="56"/>
      <c r="D2568" s="56"/>
      <c r="E2568" s="56"/>
      <c r="F2568" s="63"/>
      <c r="G2568" s="64"/>
      <c r="H2568" s="65"/>
      <c r="I2568" s="63"/>
      <c r="K2568" s="53" t="str">
        <f>IFERROR(__xludf.DUMMYFUNCTION("IF(ISBLANK(B2568),"""",IF(ISDATE(B2568),""X"",""""))"),"")</f>
        <v/>
      </c>
      <c r="L2568" s="40" t="str">
        <f>IFERROR(__xludf.DUMMYFUNCTION("IF(ISBLANK(B2568),"""",IF(Or(I2568=""Em Aberto"",ISBLANK(I2568),NOT(ISDATE(B2568))),"""",H2568))"),"")</f>
        <v/>
      </c>
      <c r="M2568" s="29" t="str">
        <f>IFERROR(__xludf.DUMMYFUNCTION("IF(ISBLANK(B2568),"""",IF(ISDATE(B2568),TEXT(B2568,""m""),""""))"),"")</f>
        <v/>
      </c>
      <c r="N2568" s="29" t="str">
        <f>IFERROR(__xludf.DUMMYFUNCTION("IF(M2568="""","""",QUERY({'Dashboard-Dados'!$Y$2:$AA$13},""Select Col2 Where Col1=""&amp;M2568))"),"")</f>
        <v/>
      </c>
      <c r="O2568" s="29" t="str">
        <f>IFERROR(__xludf.DUMMYFUNCTION("IF(ISBLANK(B2568),"""",IF(ISDATE(B2568),TEXT(B2568,""yyyy""),""""))"),"")</f>
        <v/>
      </c>
    </row>
    <row r="2569">
      <c r="B2569" s="62"/>
      <c r="C2569" s="56"/>
      <c r="D2569" s="56"/>
      <c r="E2569" s="56"/>
      <c r="F2569" s="63"/>
      <c r="G2569" s="64"/>
      <c r="H2569" s="65"/>
      <c r="I2569" s="63"/>
      <c r="K2569" s="53" t="str">
        <f>IFERROR(__xludf.DUMMYFUNCTION("IF(ISBLANK(B2569),"""",IF(ISDATE(B2569),""X"",""""))"),"")</f>
        <v/>
      </c>
      <c r="L2569" s="40" t="str">
        <f>IFERROR(__xludf.DUMMYFUNCTION("IF(ISBLANK(B2569),"""",IF(Or(I2569=""Em Aberto"",ISBLANK(I2569),NOT(ISDATE(B2569))),"""",H2569))"),"")</f>
        <v/>
      </c>
      <c r="M2569" s="29" t="str">
        <f>IFERROR(__xludf.DUMMYFUNCTION("IF(ISBLANK(B2569),"""",IF(ISDATE(B2569),TEXT(B2569,""m""),""""))"),"")</f>
        <v/>
      </c>
      <c r="N2569" s="29" t="str">
        <f>IFERROR(__xludf.DUMMYFUNCTION("IF(M2569="""","""",QUERY({'Dashboard-Dados'!$Y$2:$AA$13},""Select Col2 Where Col1=""&amp;M2569))"),"")</f>
        <v/>
      </c>
      <c r="O2569" s="29" t="str">
        <f>IFERROR(__xludf.DUMMYFUNCTION("IF(ISBLANK(B2569),"""",IF(ISDATE(B2569),TEXT(B2569,""yyyy""),""""))"),"")</f>
        <v/>
      </c>
    </row>
    <row r="2570">
      <c r="B2570" s="62"/>
      <c r="C2570" s="56"/>
      <c r="D2570" s="56"/>
      <c r="E2570" s="56"/>
      <c r="F2570" s="63"/>
      <c r="G2570" s="64"/>
      <c r="H2570" s="65"/>
      <c r="I2570" s="63"/>
      <c r="K2570" s="53" t="str">
        <f>IFERROR(__xludf.DUMMYFUNCTION("IF(ISBLANK(B2570),"""",IF(ISDATE(B2570),""X"",""""))"),"")</f>
        <v/>
      </c>
      <c r="L2570" s="40" t="str">
        <f>IFERROR(__xludf.DUMMYFUNCTION("IF(ISBLANK(B2570),"""",IF(Or(I2570=""Em Aberto"",ISBLANK(I2570),NOT(ISDATE(B2570))),"""",H2570))"),"")</f>
        <v/>
      </c>
      <c r="M2570" s="29" t="str">
        <f>IFERROR(__xludf.DUMMYFUNCTION("IF(ISBLANK(B2570),"""",IF(ISDATE(B2570),TEXT(B2570,""m""),""""))"),"")</f>
        <v/>
      </c>
      <c r="N2570" s="29" t="str">
        <f>IFERROR(__xludf.DUMMYFUNCTION("IF(M2570="""","""",QUERY({'Dashboard-Dados'!$Y$2:$AA$13},""Select Col2 Where Col1=""&amp;M2570))"),"")</f>
        <v/>
      </c>
      <c r="O2570" s="29" t="str">
        <f>IFERROR(__xludf.DUMMYFUNCTION("IF(ISBLANK(B2570),"""",IF(ISDATE(B2570),TEXT(B2570,""yyyy""),""""))"),"")</f>
        <v/>
      </c>
    </row>
    <row r="2571">
      <c r="B2571" s="62"/>
      <c r="C2571" s="56"/>
      <c r="D2571" s="56"/>
      <c r="E2571" s="56"/>
      <c r="F2571" s="63"/>
      <c r="G2571" s="64"/>
      <c r="H2571" s="65"/>
      <c r="I2571" s="63"/>
      <c r="K2571" s="53" t="str">
        <f>IFERROR(__xludf.DUMMYFUNCTION("IF(ISBLANK(B2571),"""",IF(ISDATE(B2571),""X"",""""))"),"")</f>
        <v/>
      </c>
      <c r="L2571" s="40" t="str">
        <f>IFERROR(__xludf.DUMMYFUNCTION("IF(ISBLANK(B2571),"""",IF(Or(I2571=""Em Aberto"",ISBLANK(I2571),NOT(ISDATE(B2571))),"""",H2571))"),"")</f>
        <v/>
      </c>
      <c r="M2571" s="29" t="str">
        <f>IFERROR(__xludf.DUMMYFUNCTION("IF(ISBLANK(B2571),"""",IF(ISDATE(B2571),TEXT(B2571,""m""),""""))"),"")</f>
        <v/>
      </c>
      <c r="N2571" s="29" t="str">
        <f>IFERROR(__xludf.DUMMYFUNCTION("IF(M2571="""","""",QUERY({'Dashboard-Dados'!$Y$2:$AA$13},""Select Col2 Where Col1=""&amp;M2571))"),"")</f>
        <v/>
      </c>
      <c r="O2571" s="29" t="str">
        <f>IFERROR(__xludf.DUMMYFUNCTION("IF(ISBLANK(B2571),"""",IF(ISDATE(B2571),TEXT(B2571,""yyyy""),""""))"),"")</f>
        <v/>
      </c>
    </row>
    <row r="2572">
      <c r="B2572" s="62"/>
      <c r="C2572" s="56"/>
      <c r="D2572" s="56"/>
      <c r="E2572" s="56"/>
      <c r="F2572" s="63"/>
      <c r="G2572" s="64"/>
      <c r="H2572" s="65"/>
      <c r="I2572" s="63"/>
      <c r="K2572" s="53" t="str">
        <f>IFERROR(__xludf.DUMMYFUNCTION("IF(ISBLANK(B2572),"""",IF(ISDATE(B2572),""X"",""""))"),"")</f>
        <v/>
      </c>
      <c r="L2572" s="40" t="str">
        <f>IFERROR(__xludf.DUMMYFUNCTION("IF(ISBLANK(B2572),"""",IF(Or(I2572=""Em Aberto"",ISBLANK(I2572),NOT(ISDATE(B2572))),"""",H2572))"),"")</f>
        <v/>
      </c>
      <c r="M2572" s="29" t="str">
        <f>IFERROR(__xludf.DUMMYFUNCTION("IF(ISBLANK(B2572),"""",IF(ISDATE(B2572),TEXT(B2572,""m""),""""))"),"")</f>
        <v/>
      </c>
      <c r="N2572" s="29" t="str">
        <f>IFERROR(__xludf.DUMMYFUNCTION("IF(M2572="""","""",QUERY({'Dashboard-Dados'!$Y$2:$AA$13},""Select Col2 Where Col1=""&amp;M2572))"),"")</f>
        <v/>
      </c>
      <c r="O2572" s="29" t="str">
        <f>IFERROR(__xludf.DUMMYFUNCTION("IF(ISBLANK(B2572),"""",IF(ISDATE(B2572),TEXT(B2572,""yyyy""),""""))"),"")</f>
        <v/>
      </c>
    </row>
    <row r="2573">
      <c r="B2573" s="62"/>
      <c r="C2573" s="56"/>
      <c r="D2573" s="56"/>
      <c r="E2573" s="56"/>
      <c r="F2573" s="63"/>
      <c r="G2573" s="64"/>
      <c r="H2573" s="65"/>
      <c r="I2573" s="63"/>
      <c r="K2573" s="53" t="str">
        <f>IFERROR(__xludf.DUMMYFUNCTION("IF(ISBLANK(B2573),"""",IF(ISDATE(B2573),""X"",""""))"),"")</f>
        <v/>
      </c>
      <c r="L2573" s="40" t="str">
        <f>IFERROR(__xludf.DUMMYFUNCTION("IF(ISBLANK(B2573),"""",IF(Or(I2573=""Em Aberto"",ISBLANK(I2573),NOT(ISDATE(B2573))),"""",H2573))"),"")</f>
        <v/>
      </c>
      <c r="M2573" s="29" t="str">
        <f>IFERROR(__xludf.DUMMYFUNCTION("IF(ISBLANK(B2573),"""",IF(ISDATE(B2573),TEXT(B2573,""m""),""""))"),"")</f>
        <v/>
      </c>
      <c r="N2573" s="29" t="str">
        <f>IFERROR(__xludf.DUMMYFUNCTION("IF(M2573="""","""",QUERY({'Dashboard-Dados'!$Y$2:$AA$13},""Select Col2 Where Col1=""&amp;M2573))"),"")</f>
        <v/>
      </c>
      <c r="O2573" s="29" t="str">
        <f>IFERROR(__xludf.DUMMYFUNCTION("IF(ISBLANK(B2573),"""",IF(ISDATE(B2573),TEXT(B2573,""yyyy""),""""))"),"")</f>
        <v/>
      </c>
    </row>
    <row r="2574">
      <c r="B2574" s="62"/>
      <c r="C2574" s="56"/>
      <c r="D2574" s="56"/>
      <c r="E2574" s="56"/>
      <c r="F2574" s="63"/>
      <c r="G2574" s="64"/>
      <c r="H2574" s="65"/>
      <c r="I2574" s="63"/>
      <c r="K2574" s="53" t="str">
        <f>IFERROR(__xludf.DUMMYFUNCTION("IF(ISBLANK(B2574),"""",IF(ISDATE(B2574),""X"",""""))"),"")</f>
        <v/>
      </c>
      <c r="L2574" s="40" t="str">
        <f>IFERROR(__xludf.DUMMYFUNCTION("IF(ISBLANK(B2574),"""",IF(Or(I2574=""Em Aberto"",ISBLANK(I2574),NOT(ISDATE(B2574))),"""",H2574))"),"")</f>
        <v/>
      </c>
      <c r="M2574" s="29" t="str">
        <f>IFERROR(__xludf.DUMMYFUNCTION("IF(ISBLANK(B2574),"""",IF(ISDATE(B2574),TEXT(B2574,""m""),""""))"),"")</f>
        <v/>
      </c>
      <c r="N2574" s="29" t="str">
        <f>IFERROR(__xludf.DUMMYFUNCTION("IF(M2574="""","""",QUERY({'Dashboard-Dados'!$Y$2:$AA$13},""Select Col2 Where Col1=""&amp;M2574))"),"")</f>
        <v/>
      </c>
      <c r="O2574" s="29" t="str">
        <f>IFERROR(__xludf.DUMMYFUNCTION("IF(ISBLANK(B2574),"""",IF(ISDATE(B2574),TEXT(B2574,""yyyy""),""""))"),"")</f>
        <v/>
      </c>
    </row>
    <row r="2575">
      <c r="B2575" s="62"/>
      <c r="C2575" s="56"/>
      <c r="D2575" s="56"/>
      <c r="E2575" s="56"/>
      <c r="F2575" s="63"/>
      <c r="G2575" s="64"/>
      <c r="H2575" s="65"/>
      <c r="I2575" s="63"/>
      <c r="K2575" s="53" t="str">
        <f>IFERROR(__xludf.DUMMYFUNCTION("IF(ISBLANK(B2575),"""",IF(ISDATE(B2575),""X"",""""))"),"")</f>
        <v/>
      </c>
      <c r="L2575" s="40" t="str">
        <f>IFERROR(__xludf.DUMMYFUNCTION("IF(ISBLANK(B2575),"""",IF(Or(I2575=""Em Aberto"",ISBLANK(I2575),NOT(ISDATE(B2575))),"""",H2575))"),"")</f>
        <v/>
      </c>
      <c r="M2575" s="29" t="str">
        <f>IFERROR(__xludf.DUMMYFUNCTION("IF(ISBLANK(B2575),"""",IF(ISDATE(B2575),TEXT(B2575,""m""),""""))"),"")</f>
        <v/>
      </c>
      <c r="N2575" s="29" t="str">
        <f>IFERROR(__xludf.DUMMYFUNCTION("IF(M2575="""","""",QUERY({'Dashboard-Dados'!$Y$2:$AA$13},""Select Col2 Where Col1=""&amp;M2575))"),"")</f>
        <v/>
      </c>
      <c r="O2575" s="29" t="str">
        <f>IFERROR(__xludf.DUMMYFUNCTION("IF(ISBLANK(B2575),"""",IF(ISDATE(B2575),TEXT(B2575,""yyyy""),""""))"),"")</f>
        <v/>
      </c>
    </row>
    <row r="2576">
      <c r="B2576" s="62"/>
      <c r="C2576" s="56"/>
      <c r="D2576" s="56"/>
      <c r="E2576" s="56"/>
      <c r="F2576" s="63"/>
      <c r="G2576" s="64"/>
      <c r="H2576" s="65"/>
      <c r="I2576" s="63"/>
      <c r="K2576" s="53" t="str">
        <f>IFERROR(__xludf.DUMMYFUNCTION("IF(ISBLANK(B2576),"""",IF(ISDATE(B2576),""X"",""""))"),"")</f>
        <v/>
      </c>
      <c r="L2576" s="40" t="str">
        <f>IFERROR(__xludf.DUMMYFUNCTION("IF(ISBLANK(B2576),"""",IF(Or(I2576=""Em Aberto"",ISBLANK(I2576),NOT(ISDATE(B2576))),"""",H2576))"),"")</f>
        <v/>
      </c>
      <c r="M2576" s="29" t="str">
        <f>IFERROR(__xludf.DUMMYFUNCTION("IF(ISBLANK(B2576),"""",IF(ISDATE(B2576),TEXT(B2576,""m""),""""))"),"")</f>
        <v/>
      </c>
      <c r="N2576" s="29" t="str">
        <f>IFERROR(__xludf.DUMMYFUNCTION("IF(M2576="""","""",QUERY({'Dashboard-Dados'!$Y$2:$AA$13},""Select Col2 Where Col1=""&amp;M2576))"),"")</f>
        <v/>
      </c>
      <c r="O2576" s="29" t="str">
        <f>IFERROR(__xludf.DUMMYFUNCTION("IF(ISBLANK(B2576),"""",IF(ISDATE(B2576),TEXT(B2576,""yyyy""),""""))"),"")</f>
        <v/>
      </c>
    </row>
    <row r="2577">
      <c r="B2577" s="62"/>
      <c r="C2577" s="56"/>
      <c r="D2577" s="56"/>
      <c r="E2577" s="56"/>
      <c r="F2577" s="63"/>
      <c r="G2577" s="64"/>
      <c r="H2577" s="65"/>
      <c r="I2577" s="63"/>
      <c r="K2577" s="53" t="str">
        <f>IFERROR(__xludf.DUMMYFUNCTION("IF(ISBLANK(B2577),"""",IF(ISDATE(B2577),""X"",""""))"),"")</f>
        <v/>
      </c>
      <c r="L2577" s="40" t="str">
        <f>IFERROR(__xludf.DUMMYFUNCTION("IF(ISBLANK(B2577),"""",IF(Or(I2577=""Em Aberto"",ISBLANK(I2577),NOT(ISDATE(B2577))),"""",H2577))"),"")</f>
        <v/>
      </c>
      <c r="M2577" s="29" t="str">
        <f>IFERROR(__xludf.DUMMYFUNCTION("IF(ISBLANK(B2577),"""",IF(ISDATE(B2577),TEXT(B2577,""m""),""""))"),"")</f>
        <v/>
      </c>
      <c r="N2577" s="29" t="str">
        <f>IFERROR(__xludf.DUMMYFUNCTION("IF(M2577="""","""",QUERY({'Dashboard-Dados'!$Y$2:$AA$13},""Select Col2 Where Col1=""&amp;M2577))"),"")</f>
        <v/>
      </c>
      <c r="O2577" s="29" t="str">
        <f>IFERROR(__xludf.DUMMYFUNCTION("IF(ISBLANK(B2577),"""",IF(ISDATE(B2577),TEXT(B2577,""yyyy""),""""))"),"")</f>
        <v/>
      </c>
    </row>
    <row r="2578">
      <c r="B2578" s="62"/>
      <c r="C2578" s="56"/>
      <c r="D2578" s="56"/>
      <c r="E2578" s="56"/>
      <c r="F2578" s="63"/>
      <c r="G2578" s="64"/>
      <c r="H2578" s="65"/>
      <c r="I2578" s="63"/>
      <c r="K2578" s="53" t="str">
        <f>IFERROR(__xludf.DUMMYFUNCTION("IF(ISBLANK(B2578),"""",IF(ISDATE(B2578),""X"",""""))"),"")</f>
        <v/>
      </c>
      <c r="L2578" s="40" t="str">
        <f>IFERROR(__xludf.DUMMYFUNCTION("IF(ISBLANK(B2578),"""",IF(Or(I2578=""Em Aberto"",ISBLANK(I2578),NOT(ISDATE(B2578))),"""",H2578))"),"")</f>
        <v/>
      </c>
      <c r="M2578" s="29" t="str">
        <f>IFERROR(__xludf.DUMMYFUNCTION("IF(ISBLANK(B2578),"""",IF(ISDATE(B2578),TEXT(B2578,""m""),""""))"),"")</f>
        <v/>
      </c>
      <c r="N2578" s="29" t="str">
        <f>IFERROR(__xludf.DUMMYFUNCTION("IF(M2578="""","""",QUERY({'Dashboard-Dados'!$Y$2:$AA$13},""Select Col2 Where Col1=""&amp;M2578))"),"")</f>
        <v/>
      </c>
      <c r="O2578" s="29" t="str">
        <f>IFERROR(__xludf.DUMMYFUNCTION("IF(ISBLANK(B2578),"""",IF(ISDATE(B2578),TEXT(B2578,""yyyy""),""""))"),"")</f>
        <v/>
      </c>
    </row>
    <row r="2579">
      <c r="B2579" s="62"/>
      <c r="C2579" s="56"/>
      <c r="D2579" s="56"/>
      <c r="E2579" s="56"/>
      <c r="F2579" s="63"/>
      <c r="G2579" s="64"/>
      <c r="H2579" s="65"/>
      <c r="I2579" s="63"/>
      <c r="K2579" s="53" t="str">
        <f>IFERROR(__xludf.DUMMYFUNCTION("IF(ISBLANK(B2579),"""",IF(ISDATE(B2579),""X"",""""))"),"")</f>
        <v/>
      </c>
      <c r="L2579" s="40" t="str">
        <f>IFERROR(__xludf.DUMMYFUNCTION("IF(ISBLANK(B2579),"""",IF(Or(I2579=""Em Aberto"",ISBLANK(I2579),NOT(ISDATE(B2579))),"""",H2579))"),"")</f>
        <v/>
      </c>
      <c r="M2579" s="29" t="str">
        <f>IFERROR(__xludf.DUMMYFUNCTION("IF(ISBLANK(B2579),"""",IF(ISDATE(B2579),TEXT(B2579,""m""),""""))"),"")</f>
        <v/>
      </c>
      <c r="N2579" s="29" t="str">
        <f>IFERROR(__xludf.DUMMYFUNCTION("IF(M2579="""","""",QUERY({'Dashboard-Dados'!$Y$2:$AA$13},""Select Col2 Where Col1=""&amp;M2579))"),"")</f>
        <v/>
      </c>
      <c r="O2579" s="29" t="str">
        <f>IFERROR(__xludf.DUMMYFUNCTION("IF(ISBLANK(B2579),"""",IF(ISDATE(B2579),TEXT(B2579,""yyyy""),""""))"),"")</f>
        <v/>
      </c>
    </row>
    <row r="2580">
      <c r="B2580" s="62"/>
      <c r="C2580" s="56"/>
      <c r="D2580" s="56"/>
      <c r="E2580" s="56"/>
      <c r="F2580" s="63"/>
      <c r="G2580" s="64"/>
      <c r="H2580" s="65"/>
      <c r="I2580" s="63"/>
      <c r="K2580" s="53" t="str">
        <f>IFERROR(__xludf.DUMMYFUNCTION("IF(ISBLANK(B2580),"""",IF(ISDATE(B2580),""X"",""""))"),"")</f>
        <v/>
      </c>
      <c r="L2580" s="40" t="str">
        <f>IFERROR(__xludf.DUMMYFUNCTION("IF(ISBLANK(B2580),"""",IF(Or(I2580=""Em Aberto"",ISBLANK(I2580),NOT(ISDATE(B2580))),"""",H2580))"),"")</f>
        <v/>
      </c>
      <c r="M2580" s="29" t="str">
        <f>IFERROR(__xludf.DUMMYFUNCTION("IF(ISBLANK(B2580),"""",IF(ISDATE(B2580),TEXT(B2580,""m""),""""))"),"")</f>
        <v/>
      </c>
      <c r="N2580" s="29" t="str">
        <f>IFERROR(__xludf.DUMMYFUNCTION("IF(M2580="""","""",QUERY({'Dashboard-Dados'!$Y$2:$AA$13},""Select Col2 Where Col1=""&amp;M2580))"),"")</f>
        <v/>
      </c>
      <c r="O2580" s="29" t="str">
        <f>IFERROR(__xludf.DUMMYFUNCTION("IF(ISBLANK(B2580),"""",IF(ISDATE(B2580),TEXT(B2580,""yyyy""),""""))"),"")</f>
        <v/>
      </c>
    </row>
    <row r="2581">
      <c r="B2581" s="62"/>
      <c r="C2581" s="56"/>
      <c r="D2581" s="56"/>
      <c r="E2581" s="56"/>
      <c r="F2581" s="63"/>
      <c r="G2581" s="64"/>
      <c r="H2581" s="65"/>
      <c r="I2581" s="63"/>
      <c r="K2581" s="53" t="str">
        <f>IFERROR(__xludf.DUMMYFUNCTION("IF(ISBLANK(B2581),"""",IF(ISDATE(B2581),""X"",""""))"),"")</f>
        <v/>
      </c>
      <c r="L2581" s="40" t="str">
        <f>IFERROR(__xludf.DUMMYFUNCTION("IF(ISBLANK(B2581),"""",IF(Or(I2581=""Em Aberto"",ISBLANK(I2581),NOT(ISDATE(B2581))),"""",H2581))"),"")</f>
        <v/>
      </c>
      <c r="M2581" s="29" t="str">
        <f>IFERROR(__xludf.DUMMYFUNCTION("IF(ISBLANK(B2581),"""",IF(ISDATE(B2581),TEXT(B2581,""m""),""""))"),"")</f>
        <v/>
      </c>
      <c r="N2581" s="29" t="str">
        <f>IFERROR(__xludf.DUMMYFUNCTION("IF(M2581="""","""",QUERY({'Dashboard-Dados'!$Y$2:$AA$13},""Select Col2 Where Col1=""&amp;M2581))"),"")</f>
        <v/>
      </c>
      <c r="O2581" s="29" t="str">
        <f>IFERROR(__xludf.DUMMYFUNCTION("IF(ISBLANK(B2581),"""",IF(ISDATE(B2581),TEXT(B2581,""yyyy""),""""))"),"")</f>
        <v/>
      </c>
    </row>
    <row r="2582">
      <c r="B2582" s="62"/>
      <c r="C2582" s="56"/>
      <c r="D2582" s="56"/>
      <c r="E2582" s="56"/>
      <c r="F2582" s="63"/>
      <c r="G2582" s="64"/>
      <c r="H2582" s="65"/>
      <c r="I2582" s="63"/>
      <c r="K2582" s="53" t="str">
        <f>IFERROR(__xludf.DUMMYFUNCTION("IF(ISBLANK(B2582),"""",IF(ISDATE(B2582),""X"",""""))"),"")</f>
        <v/>
      </c>
      <c r="L2582" s="40" t="str">
        <f>IFERROR(__xludf.DUMMYFUNCTION("IF(ISBLANK(B2582),"""",IF(Or(I2582=""Em Aberto"",ISBLANK(I2582),NOT(ISDATE(B2582))),"""",H2582))"),"")</f>
        <v/>
      </c>
      <c r="M2582" s="29" t="str">
        <f>IFERROR(__xludf.DUMMYFUNCTION("IF(ISBLANK(B2582),"""",IF(ISDATE(B2582),TEXT(B2582,""m""),""""))"),"")</f>
        <v/>
      </c>
      <c r="N2582" s="29" t="str">
        <f>IFERROR(__xludf.DUMMYFUNCTION("IF(M2582="""","""",QUERY({'Dashboard-Dados'!$Y$2:$AA$13},""Select Col2 Where Col1=""&amp;M2582))"),"")</f>
        <v/>
      </c>
      <c r="O2582" s="29" t="str">
        <f>IFERROR(__xludf.DUMMYFUNCTION("IF(ISBLANK(B2582),"""",IF(ISDATE(B2582),TEXT(B2582,""yyyy""),""""))"),"")</f>
        <v/>
      </c>
    </row>
    <row r="2583">
      <c r="B2583" s="62"/>
      <c r="C2583" s="56"/>
      <c r="D2583" s="56"/>
      <c r="E2583" s="56"/>
      <c r="F2583" s="63"/>
      <c r="G2583" s="64"/>
      <c r="H2583" s="65"/>
      <c r="I2583" s="63"/>
      <c r="K2583" s="53" t="str">
        <f>IFERROR(__xludf.DUMMYFUNCTION("IF(ISBLANK(B2583),"""",IF(ISDATE(B2583),""X"",""""))"),"")</f>
        <v/>
      </c>
      <c r="L2583" s="40" t="str">
        <f>IFERROR(__xludf.DUMMYFUNCTION("IF(ISBLANK(B2583),"""",IF(Or(I2583=""Em Aberto"",ISBLANK(I2583),NOT(ISDATE(B2583))),"""",H2583))"),"")</f>
        <v/>
      </c>
      <c r="M2583" s="29" t="str">
        <f>IFERROR(__xludf.DUMMYFUNCTION("IF(ISBLANK(B2583),"""",IF(ISDATE(B2583),TEXT(B2583,""m""),""""))"),"")</f>
        <v/>
      </c>
      <c r="N2583" s="29" t="str">
        <f>IFERROR(__xludf.DUMMYFUNCTION("IF(M2583="""","""",QUERY({'Dashboard-Dados'!$Y$2:$AA$13},""Select Col2 Where Col1=""&amp;M2583))"),"")</f>
        <v/>
      </c>
      <c r="O2583" s="29" t="str">
        <f>IFERROR(__xludf.DUMMYFUNCTION("IF(ISBLANK(B2583),"""",IF(ISDATE(B2583),TEXT(B2583,""yyyy""),""""))"),"")</f>
        <v/>
      </c>
    </row>
    <row r="2584">
      <c r="B2584" s="62"/>
      <c r="C2584" s="56"/>
      <c r="D2584" s="56"/>
      <c r="E2584" s="56"/>
      <c r="F2584" s="63"/>
      <c r="G2584" s="64"/>
      <c r="H2584" s="65"/>
      <c r="I2584" s="63"/>
      <c r="K2584" s="53" t="str">
        <f>IFERROR(__xludf.DUMMYFUNCTION("IF(ISBLANK(B2584),"""",IF(ISDATE(B2584),""X"",""""))"),"")</f>
        <v/>
      </c>
      <c r="L2584" s="40" t="str">
        <f>IFERROR(__xludf.DUMMYFUNCTION("IF(ISBLANK(B2584),"""",IF(Or(I2584=""Em Aberto"",ISBLANK(I2584),NOT(ISDATE(B2584))),"""",H2584))"),"")</f>
        <v/>
      </c>
      <c r="M2584" s="29" t="str">
        <f>IFERROR(__xludf.DUMMYFUNCTION("IF(ISBLANK(B2584),"""",IF(ISDATE(B2584),TEXT(B2584,""m""),""""))"),"")</f>
        <v/>
      </c>
      <c r="N2584" s="29" t="str">
        <f>IFERROR(__xludf.DUMMYFUNCTION("IF(M2584="""","""",QUERY({'Dashboard-Dados'!$Y$2:$AA$13},""Select Col2 Where Col1=""&amp;M2584))"),"")</f>
        <v/>
      </c>
      <c r="O2584" s="29" t="str">
        <f>IFERROR(__xludf.DUMMYFUNCTION("IF(ISBLANK(B2584),"""",IF(ISDATE(B2584),TEXT(B2584,""yyyy""),""""))"),"")</f>
        <v/>
      </c>
    </row>
    <row r="2585">
      <c r="B2585" s="62"/>
      <c r="C2585" s="56"/>
      <c r="D2585" s="56"/>
      <c r="E2585" s="56"/>
      <c r="F2585" s="63"/>
      <c r="G2585" s="64"/>
      <c r="H2585" s="65"/>
      <c r="I2585" s="63"/>
      <c r="K2585" s="53" t="str">
        <f>IFERROR(__xludf.DUMMYFUNCTION("IF(ISBLANK(B2585),"""",IF(ISDATE(B2585),""X"",""""))"),"")</f>
        <v/>
      </c>
      <c r="L2585" s="40" t="str">
        <f>IFERROR(__xludf.DUMMYFUNCTION("IF(ISBLANK(B2585),"""",IF(Or(I2585=""Em Aberto"",ISBLANK(I2585),NOT(ISDATE(B2585))),"""",H2585))"),"")</f>
        <v/>
      </c>
      <c r="M2585" s="29" t="str">
        <f>IFERROR(__xludf.DUMMYFUNCTION("IF(ISBLANK(B2585),"""",IF(ISDATE(B2585),TEXT(B2585,""m""),""""))"),"")</f>
        <v/>
      </c>
      <c r="N2585" s="29" t="str">
        <f>IFERROR(__xludf.DUMMYFUNCTION("IF(M2585="""","""",QUERY({'Dashboard-Dados'!$Y$2:$AA$13},""Select Col2 Where Col1=""&amp;M2585))"),"")</f>
        <v/>
      </c>
      <c r="O2585" s="29" t="str">
        <f>IFERROR(__xludf.DUMMYFUNCTION("IF(ISBLANK(B2585),"""",IF(ISDATE(B2585),TEXT(B2585,""yyyy""),""""))"),"")</f>
        <v/>
      </c>
    </row>
    <row r="2586">
      <c r="B2586" s="62"/>
      <c r="C2586" s="56"/>
      <c r="D2586" s="56"/>
      <c r="E2586" s="56"/>
      <c r="F2586" s="63"/>
      <c r="G2586" s="64"/>
      <c r="H2586" s="65"/>
      <c r="I2586" s="63"/>
      <c r="K2586" s="53" t="str">
        <f>IFERROR(__xludf.DUMMYFUNCTION("IF(ISBLANK(B2586),"""",IF(ISDATE(B2586),""X"",""""))"),"")</f>
        <v/>
      </c>
      <c r="L2586" s="40" t="str">
        <f>IFERROR(__xludf.DUMMYFUNCTION("IF(ISBLANK(B2586),"""",IF(Or(I2586=""Em Aberto"",ISBLANK(I2586),NOT(ISDATE(B2586))),"""",H2586))"),"")</f>
        <v/>
      </c>
      <c r="M2586" s="29" t="str">
        <f>IFERROR(__xludf.DUMMYFUNCTION("IF(ISBLANK(B2586),"""",IF(ISDATE(B2586),TEXT(B2586,""m""),""""))"),"")</f>
        <v/>
      </c>
      <c r="N2586" s="29" t="str">
        <f>IFERROR(__xludf.DUMMYFUNCTION("IF(M2586="""","""",QUERY({'Dashboard-Dados'!$Y$2:$AA$13},""Select Col2 Where Col1=""&amp;M2586))"),"")</f>
        <v/>
      </c>
      <c r="O2586" s="29" t="str">
        <f>IFERROR(__xludf.DUMMYFUNCTION("IF(ISBLANK(B2586),"""",IF(ISDATE(B2586),TEXT(B2586,""yyyy""),""""))"),"")</f>
        <v/>
      </c>
    </row>
    <row r="2587">
      <c r="B2587" s="62"/>
      <c r="C2587" s="56"/>
      <c r="D2587" s="56"/>
      <c r="E2587" s="56"/>
      <c r="F2587" s="63"/>
      <c r="G2587" s="64"/>
      <c r="H2587" s="65"/>
      <c r="I2587" s="63"/>
      <c r="K2587" s="53" t="str">
        <f>IFERROR(__xludf.DUMMYFUNCTION("IF(ISBLANK(B2587),"""",IF(ISDATE(B2587),""X"",""""))"),"")</f>
        <v/>
      </c>
      <c r="L2587" s="40" t="str">
        <f>IFERROR(__xludf.DUMMYFUNCTION("IF(ISBLANK(B2587),"""",IF(Or(I2587=""Em Aberto"",ISBLANK(I2587),NOT(ISDATE(B2587))),"""",H2587))"),"")</f>
        <v/>
      </c>
      <c r="M2587" s="29" t="str">
        <f>IFERROR(__xludf.DUMMYFUNCTION("IF(ISBLANK(B2587),"""",IF(ISDATE(B2587),TEXT(B2587,""m""),""""))"),"")</f>
        <v/>
      </c>
      <c r="N2587" s="29" t="str">
        <f>IFERROR(__xludf.DUMMYFUNCTION("IF(M2587="""","""",QUERY({'Dashboard-Dados'!$Y$2:$AA$13},""Select Col2 Where Col1=""&amp;M2587))"),"")</f>
        <v/>
      </c>
      <c r="O2587" s="29" t="str">
        <f>IFERROR(__xludf.DUMMYFUNCTION("IF(ISBLANK(B2587),"""",IF(ISDATE(B2587),TEXT(B2587,""yyyy""),""""))"),"")</f>
        <v/>
      </c>
    </row>
    <row r="2588">
      <c r="B2588" s="62"/>
      <c r="C2588" s="56"/>
      <c r="D2588" s="56"/>
      <c r="E2588" s="56"/>
      <c r="F2588" s="63"/>
      <c r="G2588" s="64"/>
      <c r="H2588" s="65"/>
      <c r="I2588" s="63"/>
      <c r="K2588" s="53" t="str">
        <f>IFERROR(__xludf.DUMMYFUNCTION("IF(ISBLANK(B2588),"""",IF(ISDATE(B2588),""X"",""""))"),"")</f>
        <v/>
      </c>
      <c r="L2588" s="40" t="str">
        <f>IFERROR(__xludf.DUMMYFUNCTION("IF(ISBLANK(B2588),"""",IF(Or(I2588=""Em Aberto"",ISBLANK(I2588),NOT(ISDATE(B2588))),"""",H2588))"),"")</f>
        <v/>
      </c>
      <c r="M2588" s="29" t="str">
        <f>IFERROR(__xludf.DUMMYFUNCTION("IF(ISBLANK(B2588),"""",IF(ISDATE(B2588),TEXT(B2588,""m""),""""))"),"")</f>
        <v/>
      </c>
      <c r="N2588" s="29" t="str">
        <f>IFERROR(__xludf.DUMMYFUNCTION("IF(M2588="""","""",QUERY({'Dashboard-Dados'!$Y$2:$AA$13},""Select Col2 Where Col1=""&amp;M2588))"),"")</f>
        <v/>
      </c>
      <c r="O2588" s="29" t="str">
        <f>IFERROR(__xludf.DUMMYFUNCTION("IF(ISBLANK(B2588),"""",IF(ISDATE(B2588),TEXT(B2588,""yyyy""),""""))"),"")</f>
        <v/>
      </c>
    </row>
    <row r="2589">
      <c r="B2589" s="62"/>
      <c r="C2589" s="56"/>
      <c r="D2589" s="56"/>
      <c r="E2589" s="56"/>
      <c r="F2589" s="63"/>
      <c r="G2589" s="64"/>
      <c r="H2589" s="65"/>
      <c r="I2589" s="63"/>
      <c r="K2589" s="53" t="str">
        <f>IFERROR(__xludf.DUMMYFUNCTION("IF(ISBLANK(B2589),"""",IF(ISDATE(B2589),""X"",""""))"),"")</f>
        <v/>
      </c>
      <c r="L2589" s="40" t="str">
        <f>IFERROR(__xludf.DUMMYFUNCTION("IF(ISBLANK(B2589),"""",IF(Or(I2589=""Em Aberto"",ISBLANK(I2589),NOT(ISDATE(B2589))),"""",H2589))"),"")</f>
        <v/>
      </c>
      <c r="M2589" s="29" t="str">
        <f>IFERROR(__xludf.DUMMYFUNCTION("IF(ISBLANK(B2589),"""",IF(ISDATE(B2589),TEXT(B2589,""m""),""""))"),"")</f>
        <v/>
      </c>
      <c r="N2589" s="29" t="str">
        <f>IFERROR(__xludf.DUMMYFUNCTION("IF(M2589="""","""",QUERY({'Dashboard-Dados'!$Y$2:$AA$13},""Select Col2 Where Col1=""&amp;M2589))"),"")</f>
        <v/>
      </c>
      <c r="O2589" s="29" t="str">
        <f>IFERROR(__xludf.DUMMYFUNCTION("IF(ISBLANK(B2589),"""",IF(ISDATE(B2589),TEXT(B2589,""yyyy""),""""))"),"")</f>
        <v/>
      </c>
    </row>
    <row r="2590">
      <c r="B2590" s="62"/>
      <c r="C2590" s="56"/>
      <c r="D2590" s="56"/>
      <c r="E2590" s="56"/>
      <c r="F2590" s="63"/>
      <c r="G2590" s="64"/>
      <c r="H2590" s="65"/>
      <c r="I2590" s="63"/>
      <c r="K2590" s="53" t="str">
        <f>IFERROR(__xludf.DUMMYFUNCTION("IF(ISBLANK(B2590),"""",IF(ISDATE(B2590),""X"",""""))"),"")</f>
        <v/>
      </c>
      <c r="L2590" s="40" t="str">
        <f>IFERROR(__xludf.DUMMYFUNCTION("IF(ISBLANK(B2590),"""",IF(Or(I2590=""Em Aberto"",ISBLANK(I2590),NOT(ISDATE(B2590))),"""",H2590))"),"")</f>
        <v/>
      </c>
      <c r="M2590" s="29" t="str">
        <f>IFERROR(__xludf.DUMMYFUNCTION("IF(ISBLANK(B2590),"""",IF(ISDATE(B2590),TEXT(B2590,""m""),""""))"),"")</f>
        <v/>
      </c>
      <c r="N2590" s="29" t="str">
        <f>IFERROR(__xludf.DUMMYFUNCTION("IF(M2590="""","""",QUERY({'Dashboard-Dados'!$Y$2:$AA$13},""Select Col2 Where Col1=""&amp;M2590))"),"")</f>
        <v/>
      </c>
      <c r="O2590" s="29" t="str">
        <f>IFERROR(__xludf.DUMMYFUNCTION("IF(ISBLANK(B2590),"""",IF(ISDATE(B2590),TEXT(B2590,""yyyy""),""""))"),"")</f>
        <v/>
      </c>
    </row>
    <row r="2591">
      <c r="B2591" s="62"/>
      <c r="C2591" s="56"/>
      <c r="D2591" s="56"/>
      <c r="E2591" s="56"/>
      <c r="F2591" s="63"/>
      <c r="G2591" s="64"/>
      <c r="H2591" s="65"/>
      <c r="I2591" s="63"/>
      <c r="K2591" s="53" t="str">
        <f>IFERROR(__xludf.DUMMYFUNCTION("IF(ISBLANK(B2591),"""",IF(ISDATE(B2591),""X"",""""))"),"")</f>
        <v/>
      </c>
      <c r="L2591" s="40" t="str">
        <f>IFERROR(__xludf.DUMMYFUNCTION("IF(ISBLANK(B2591),"""",IF(Or(I2591=""Em Aberto"",ISBLANK(I2591),NOT(ISDATE(B2591))),"""",H2591))"),"")</f>
        <v/>
      </c>
      <c r="M2591" s="29" t="str">
        <f>IFERROR(__xludf.DUMMYFUNCTION("IF(ISBLANK(B2591),"""",IF(ISDATE(B2591),TEXT(B2591,""m""),""""))"),"")</f>
        <v/>
      </c>
      <c r="N2591" s="29" t="str">
        <f>IFERROR(__xludf.DUMMYFUNCTION("IF(M2591="""","""",QUERY({'Dashboard-Dados'!$Y$2:$AA$13},""Select Col2 Where Col1=""&amp;M2591))"),"")</f>
        <v/>
      </c>
      <c r="O2591" s="29" t="str">
        <f>IFERROR(__xludf.DUMMYFUNCTION("IF(ISBLANK(B2591),"""",IF(ISDATE(B2591),TEXT(B2591,""yyyy""),""""))"),"")</f>
        <v/>
      </c>
    </row>
    <row r="2592">
      <c r="B2592" s="62"/>
      <c r="C2592" s="56"/>
      <c r="D2592" s="56"/>
      <c r="E2592" s="56"/>
      <c r="F2592" s="63"/>
      <c r="G2592" s="64"/>
      <c r="H2592" s="65"/>
      <c r="I2592" s="63"/>
      <c r="K2592" s="53" t="str">
        <f>IFERROR(__xludf.DUMMYFUNCTION("IF(ISBLANK(B2592),"""",IF(ISDATE(B2592),""X"",""""))"),"")</f>
        <v/>
      </c>
      <c r="L2592" s="40" t="str">
        <f>IFERROR(__xludf.DUMMYFUNCTION("IF(ISBLANK(B2592),"""",IF(Or(I2592=""Em Aberto"",ISBLANK(I2592),NOT(ISDATE(B2592))),"""",H2592))"),"")</f>
        <v/>
      </c>
      <c r="M2592" s="29" t="str">
        <f>IFERROR(__xludf.DUMMYFUNCTION("IF(ISBLANK(B2592),"""",IF(ISDATE(B2592),TEXT(B2592,""m""),""""))"),"")</f>
        <v/>
      </c>
      <c r="N2592" s="29" t="str">
        <f>IFERROR(__xludf.DUMMYFUNCTION("IF(M2592="""","""",QUERY({'Dashboard-Dados'!$Y$2:$AA$13},""Select Col2 Where Col1=""&amp;M2592))"),"")</f>
        <v/>
      </c>
      <c r="O2592" s="29" t="str">
        <f>IFERROR(__xludf.DUMMYFUNCTION("IF(ISBLANK(B2592),"""",IF(ISDATE(B2592),TEXT(B2592,""yyyy""),""""))"),"")</f>
        <v/>
      </c>
    </row>
    <row r="2593">
      <c r="B2593" s="62"/>
      <c r="C2593" s="56"/>
      <c r="D2593" s="56"/>
      <c r="E2593" s="56"/>
      <c r="F2593" s="63"/>
      <c r="G2593" s="64"/>
      <c r="H2593" s="65"/>
      <c r="I2593" s="63"/>
      <c r="K2593" s="53" t="str">
        <f>IFERROR(__xludf.DUMMYFUNCTION("IF(ISBLANK(B2593),"""",IF(ISDATE(B2593),""X"",""""))"),"")</f>
        <v/>
      </c>
      <c r="L2593" s="40" t="str">
        <f>IFERROR(__xludf.DUMMYFUNCTION("IF(ISBLANK(B2593),"""",IF(Or(I2593=""Em Aberto"",ISBLANK(I2593),NOT(ISDATE(B2593))),"""",H2593))"),"")</f>
        <v/>
      </c>
      <c r="M2593" s="29" t="str">
        <f>IFERROR(__xludf.DUMMYFUNCTION("IF(ISBLANK(B2593),"""",IF(ISDATE(B2593),TEXT(B2593,""m""),""""))"),"")</f>
        <v/>
      </c>
      <c r="N2593" s="29" t="str">
        <f>IFERROR(__xludf.DUMMYFUNCTION("IF(M2593="""","""",QUERY({'Dashboard-Dados'!$Y$2:$AA$13},""Select Col2 Where Col1=""&amp;M2593))"),"")</f>
        <v/>
      </c>
      <c r="O2593" s="29" t="str">
        <f>IFERROR(__xludf.DUMMYFUNCTION("IF(ISBLANK(B2593),"""",IF(ISDATE(B2593),TEXT(B2593,""yyyy""),""""))"),"")</f>
        <v/>
      </c>
    </row>
    <row r="2594">
      <c r="B2594" s="62"/>
      <c r="C2594" s="56"/>
      <c r="D2594" s="56"/>
      <c r="E2594" s="56"/>
      <c r="F2594" s="63"/>
      <c r="G2594" s="64"/>
      <c r="H2594" s="65"/>
      <c r="I2594" s="63"/>
      <c r="K2594" s="53" t="str">
        <f>IFERROR(__xludf.DUMMYFUNCTION("IF(ISBLANK(B2594),"""",IF(ISDATE(B2594),""X"",""""))"),"")</f>
        <v/>
      </c>
      <c r="L2594" s="40" t="str">
        <f>IFERROR(__xludf.DUMMYFUNCTION("IF(ISBLANK(B2594),"""",IF(Or(I2594=""Em Aberto"",ISBLANK(I2594),NOT(ISDATE(B2594))),"""",H2594))"),"")</f>
        <v/>
      </c>
      <c r="M2594" s="29" t="str">
        <f>IFERROR(__xludf.DUMMYFUNCTION("IF(ISBLANK(B2594),"""",IF(ISDATE(B2594),TEXT(B2594,""m""),""""))"),"")</f>
        <v/>
      </c>
      <c r="N2594" s="29" t="str">
        <f>IFERROR(__xludf.DUMMYFUNCTION("IF(M2594="""","""",QUERY({'Dashboard-Dados'!$Y$2:$AA$13},""Select Col2 Where Col1=""&amp;M2594))"),"")</f>
        <v/>
      </c>
      <c r="O2594" s="29" t="str">
        <f>IFERROR(__xludf.DUMMYFUNCTION("IF(ISBLANK(B2594),"""",IF(ISDATE(B2594),TEXT(B2594,""yyyy""),""""))"),"")</f>
        <v/>
      </c>
    </row>
    <row r="2595">
      <c r="B2595" s="62"/>
      <c r="C2595" s="56"/>
      <c r="D2595" s="56"/>
      <c r="E2595" s="56"/>
      <c r="F2595" s="63"/>
      <c r="G2595" s="64"/>
      <c r="H2595" s="65"/>
      <c r="I2595" s="63"/>
      <c r="K2595" s="53" t="str">
        <f>IFERROR(__xludf.DUMMYFUNCTION("IF(ISBLANK(B2595),"""",IF(ISDATE(B2595),""X"",""""))"),"")</f>
        <v/>
      </c>
      <c r="L2595" s="40" t="str">
        <f>IFERROR(__xludf.DUMMYFUNCTION("IF(ISBLANK(B2595),"""",IF(Or(I2595=""Em Aberto"",ISBLANK(I2595),NOT(ISDATE(B2595))),"""",H2595))"),"")</f>
        <v/>
      </c>
      <c r="M2595" s="29" t="str">
        <f>IFERROR(__xludf.DUMMYFUNCTION("IF(ISBLANK(B2595),"""",IF(ISDATE(B2595),TEXT(B2595,""m""),""""))"),"")</f>
        <v/>
      </c>
      <c r="N2595" s="29" t="str">
        <f>IFERROR(__xludf.DUMMYFUNCTION("IF(M2595="""","""",QUERY({'Dashboard-Dados'!$Y$2:$AA$13},""Select Col2 Where Col1=""&amp;M2595))"),"")</f>
        <v/>
      </c>
      <c r="O2595" s="29" t="str">
        <f>IFERROR(__xludf.DUMMYFUNCTION("IF(ISBLANK(B2595),"""",IF(ISDATE(B2595),TEXT(B2595,""yyyy""),""""))"),"")</f>
        <v/>
      </c>
    </row>
    <row r="2596">
      <c r="B2596" s="62"/>
      <c r="C2596" s="56"/>
      <c r="D2596" s="56"/>
      <c r="E2596" s="56"/>
      <c r="F2596" s="63"/>
      <c r="G2596" s="64"/>
      <c r="H2596" s="65"/>
      <c r="I2596" s="63"/>
      <c r="K2596" s="53" t="str">
        <f>IFERROR(__xludf.DUMMYFUNCTION("IF(ISBLANK(B2596),"""",IF(ISDATE(B2596),""X"",""""))"),"")</f>
        <v/>
      </c>
      <c r="L2596" s="40" t="str">
        <f>IFERROR(__xludf.DUMMYFUNCTION("IF(ISBLANK(B2596),"""",IF(Or(I2596=""Em Aberto"",ISBLANK(I2596),NOT(ISDATE(B2596))),"""",H2596))"),"")</f>
        <v/>
      </c>
      <c r="M2596" s="29" t="str">
        <f>IFERROR(__xludf.DUMMYFUNCTION("IF(ISBLANK(B2596),"""",IF(ISDATE(B2596),TEXT(B2596,""m""),""""))"),"")</f>
        <v/>
      </c>
      <c r="N2596" s="29" t="str">
        <f>IFERROR(__xludf.DUMMYFUNCTION("IF(M2596="""","""",QUERY({'Dashboard-Dados'!$Y$2:$AA$13},""Select Col2 Where Col1=""&amp;M2596))"),"")</f>
        <v/>
      </c>
      <c r="O2596" s="29" t="str">
        <f>IFERROR(__xludf.DUMMYFUNCTION("IF(ISBLANK(B2596),"""",IF(ISDATE(B2596),TEXT(B2596,""yyyy""),""""))"),"")</f>
        <v/>
      </c>
    </row>
    <row r="2597">
      <c r="B2597" s="62"/>
      <c r="C2597" s="56"/>
      <c r="D2597" s="56"/>
      <c r="E2597" s="56"/>
      <c r="F2597" s="63"/>
      <c r="G2597" s="64"/>
      <c r="H2597" s="65"/>
      <c r="I2597" s="63"/>
      <c r="K2597" s="53" t="str">
        <f>IFERROR(__xludf.DUMMYFUNCTION("IF(ISBLANK(B2597),"""",IF(ISDATE(B2597),""X"",""""))"),"")</f>
        <v/>
      </c>
      <c r="L2597" s="40" t="str">
        <f>IFERROR(__xludf.DUMMYFUNCTION("IF(ISBLANK(B2597),"""",IF(Or(I2597=""Em Aberto"",ISBLANK(I2597),NOT(ISDATE(B2597))),"""",H2597))"),"")</f>
        <v/>
      </c>
      <c r="M2597" s="29" t="str">
        <f>IFERROR(__xludf.DUMMYFUNCTION("IF(ISBLANK(B2597),"""",IF(ISDATE(B2597),TEXT(B2597,""m""),""""))"),"")</f>
        <v/>
      </c>
      <c r="N2597" s="29" t="str">
        <f>IFERROR(__xludf.DUMMYFUNCTION("IF(M2597="""","""",QUERY({'Dashboard-Dados'!$Y$2:$AA$13},""Select Col2 Where Col1=""&amp;M2597))"),"")</f>
        <v/>
      </c>
      <c r="O2597" s="29" t="str">
        <f>IFERROR(__xludf.DUMMYFUNCTION("IF(ISBLANK(B2597),"""",IF(ISDATE(B2597),TEXT(B2597,""yyyy""),""""))"),"")</f>
        <v/>
      </c>
    </row>
    <row r="2598">
      <c r="B2598" s="62"/>
      <c r="C2598" s="56"/>
      <c r="D2598" s="56"/>
      <c r="E2598" s="56"/>
      <c r="F2598" s="63"/>
      <c r="G2598" s="64"/>
      <c r="H2598" s="65"/>
      <c r="I2598" s="63"/>
      <c r="K2598" s="53" t="str">
        <f>IFERROR(__xludf.DUMMYFUNCTION("IF(ISBLANK(B2598),"""",IF(ISDATE(B2598),""X"",""""))"),"")</f>
        <v/>
      </c>
      <c r="L2598" s="40" t="str">
        <f>IFERROR(__xludf.DUMMYFUNCTION("IF(ISBLANK(B2598),"""",IF(Or(I2598=""Em Aberto"",ISBLANK(I2598),NOT(ISDATE(B2598))),"""",H2598))"),"")</f>
        <v/>
      </c>
      <c r="M2598" s="29" t="str">
        <f>IFERROR(__xludf.DUMMYFUNCTION("IF(ISBLANK(B2598),"""",IF(ISDATE(B2598),TEXT(B2598,""m""),""""))"),"")</f>
        <v/>
      </c>
      <c r="N2598" s="29" t="str">
        <f>IFERROR(__xludf.DUMMYFUNCTION("IF(M2598="""","""",QUERY({'Dashboard-Dados'!$Y$2:$AA$13},""Select Col2 Where Col1=""&amp;M2598))"),"")</f>
        <v/>
      </c>
      <c r="O2598" s="29" t="str">
        <f>IFERROR(__xludf.DUMMYFUNCTION("IF(ISBLANK(B2598),"""",IF(ISDATE(B2598),TEXT(B2598,""yyyy""),""""))"),"")</f>
        <v/>
      </c>
    </row>
    <row r="2599">
      <c r="B2599" s="62"/>
      <c r="C2599" s="56"/>
      <c r="D2599" s="56"/>
      <c r="E2599" s="56"/>
      <c r="F2599" s="63"/>
      <c r="G2599" s="64"/>
      <c r="H2599" s="65"/>
      <c r="I2599" s="63"/>
      <c r="K2599" s="53" t="str">
        <f>IFERROR(__xludf.DUMMYFUNCTION("IF(ISBLANK(B2599),"""",IF(ISDATE(B2599),""X"",""""))"),"")</f>
        <v/>
      </c>
      <c r="L2599" s="40" t="str">
        <f>IFERROR(__xludf.DUMMYFUNCTION("IF(ISBLANK(B2599),"""",IF(Or(I2599=""Em Aberto"",ISBLANK(I2599),NOT(ISDATE(B2599))),"""",H2599))"),"")</f>
        <v/>
      </c>
      <c r="M2599" s="29" t="str">
        <f>IFERROR(__xludf.DUMMYFUNCTION("IF(ISBLANK(B2599),"""",IF(ISDATE(B2599),TEXT(B2599,""m""),""""))"),"")</f>
        <v/>
      </c>
      <c r="N2599" s="29" t="str">
        <f>IFERROR(__xludf.DUMMYFUNCTION("IF(M2599="""","""",QUERY({'Dashboard-Dados'!$Y$2:$AA$13},""Select Col2 Where Col1=""&amp;M2599))"),"")</f>
        <v/>
      </c>
      <c r="O2599" s="29" t="str">
        <f>IFERROR(__xludf.DUMMYFUNCTION("IF(ISBLANK(B2599),"""",IF(ISDATE(B2599),TEXT(B2599,""yyyy""),""""))"),"")</f>
        <v/>
      </c>
    </row>
    <row r="2600">
      <c r="B2600" s="62"/>
      <c r="C2600" s="56"/>
      <c r="D2600" s="56"/>
      <c r="E2600" s="56"/>
      <c r="F2600" s="63"/>
      <c r="G2600" s="64"/>
      <c r="H2600" s="65"/>
      <c r="I2600" s="63"/>
      <c r="K2600" s="53" t="str">
        <f>IFERROR(__xludf.DUMMYFUNCTION("IF(ISBLANK(B2600),"""",IF(ISDATE(B2600),""X"",""""))"),"")</f>
        <v/>
      </c>
      <c r="L2600" s="40" t="str">
        <f>IFERROR(__xludf.DUMMYFUNCTION("IF(ISBLANK(B2600),"""",IF(Or(I2600=""Em Aberto"",ISBLANK(I2600),NOT(ISDATE(B2600))),"""",H2600))"),"")</f>
        <v/>
      </c>
      <c r="M2600" s="29" t="str">
        <f>IFERROR(__xludf.DUMMYFUNCTION("IF(ISBLANK(B2600),"""",IF(ISDATE(B2600),TEXT(B2600,""m""),""""))"),"")</f>
        <v/>
      </c>
      <c r="N2600" s="29" t="str">
        <f>IFERROR(__xludf.DUMMYFUNCTION("IF(M2600="""","""",QUERY({'Dashboard-Dados'!$Y$2:$AA$13},""Select Col2 Where Col1=""&amp;M2600))"),"")</f>
        <v/>
      </c>
      <c r="O2600" s="29" t="str">
        <f>IFERROR(__xludf.DUMMYFUNCTION("IF(ISBLANK(B2600),"""",IF(ISDATE(B2600),TEXT(B2600,""yyyy""),""""))"),"")</f>
        <v/>
      </c>
    </row>
    <row r="2601">
      <c r="B2601" s="62"/>
      <c r="C2601" s="56"/>
      <c r="D2601" s="56"/>
      <c r="E2601" s="56"/>
      <c r="F2601" s="63"/>
      <c r="G2601" s="64"/>
      <c r="H2601" s="65"/>
      <c r="I2601" s="63"/>
      <c r="K2601" s="53" t="str">
        <f>IFERROR(__xludf.DUMMYFUNCTION("IF(ISBLANK(B2601),"""",IF(ISDATE(B2601),""X"",""""))"),"")</f>
        <v/>
      </c>
      <c r="L2601" s="40" t="str">
        <f>IFERROR(__xludf.DUMMYFUNCTION("IF(ISBLANK(B2601),"""",IF(Or(I2601=""Em Aberto"",ISBLANK(I2601),NOT(ISDATE(B2601))),"""",H2601))"),"")</f>
        <v/>
      </c>
      <c r="M2601" s="29" t="str">
        <f>IFERROR(__xludf.DUMMYFUNCTION("IF(ISBLANK(B2601),"""",IF(ISDATE(B2601),TEXT(B2601,""m""),""""))"),"")</f>
        <v/>
      </c>
      <c r="N2601" s="29" t="str">
        <f>IFERROR(__xludf.DUMMYFUNCTION("IF(M2601="""","""",QUERY({'Dashboard-Dados'!$Y$2:$AA$13},""Select Col2 Where Col1=""&amp;M2601))"),"")</f>
        <v/>
      </c>
      <c r="O2601" s="29" t="str">
        <f>IFERROR(__xludf.DUMMYFUNCTION("IF(ISBLANK(B2601),"""",IF(ISDATE(B2601),TEXT(B2601,""yyyy""),""""))"),"")</f>
        <v/>
      </c>
    </row>
    <row r="2602">
      <c r="B2602" s="62"/>
      <c r="C2602" s="56"/>
      <c r="D2602" s="56"/>
      <c r="E2602" s="56"/>
      <c r="F2602" s="63"/>
      <c r="G2602" s="64"/>
      <c r="H2602" s="65"/>
      <c r="I2602" s="63"/>
      <c r="K2602" s="53" t="str">
        <f>IFERROR(__xludf.DUMMYFUNCTION("IF(ISBLANK(B2602),"""",IF(ISDATE(B2602),""X"",""""))"),"")</f>
        <v/>
      </c>
      <c r="L2602" s="40" t="str">
        <f>IFERROR(__xludf.DUMMYFUNCTION("IF(ISBLANK(B2602),"""",IF(Or(I2602=""Em Aberto"",ISBLANK(I2602),NOT(ISDATE(B2602))),"""",H2602))"),"")</f>
        <v/>
      </c>
      <c r="M2602" s="29" t="str">
        <f>IFERROR(__xludf.DUMMYFUNCTION("IF(ISBLANK(B2602),"""",IF(ISDATE(B2602),TEXT(B2602,""m""),""""))"),"")</f>
        <v/>
      </c>
      <c r="N2602" s="29" t="str">
        <f>IFERROR(__xludf.DUMMYFUNCTION("IF(M2602="""","""",QUERY({'Dashboard-Dados'!$Y$2:$AA$13},""Select Col2 Where Col1=""&amp;M2602))"),"")</f>
        <v/>
      </c>
      <c r="O2602" s="29" t="str">
        <f>IFERROR(__xludf.DUMMYFUNCTION("IF(ISBLANK(B2602),"""",IF(ISDATE(B2602),TEXT(B2602,""yyyy""),""""))"),"")</f>
        <v/>
      </c>
    </row>
    <row r="2603">
      <c r="B2603" s="62"/>
      <c r="C2603" s="56"/>
      <c r="D2603" s="56"/>
      <c r="E2603" s="56"/>
      <c r="F2603" s="63"/>
      <c r="G2603" s="64"/>
      <c r="H2603" s="65"/>
      <c r="I2603" s="63"/>
      <c r="K2603" s="53" t="str">
        <f>IFERROR(__xludf.DUMMYFUNCTION("IF(ISBLANK(B2603),"""",IF(ISDATE(B2603),""X"",""""))"),"")</f>
        <v/>
      </c>
      <c r="L2603" s="40" t="str">
        <f>IFERROR(__xludf.DUMMYFUNCTION("IF(ISBLANK(B2603),"""",IF(Or(I2603=""Em Aberto"",ISBLANK(I2603),NOT(ISDATE(B2603))),"""",H2603))"),"")</f>
        <v/>
      </c>
      <c r="M2603" s="29" t="str">
        <f>IFERROR(__xludf.DUMMYFUNCTION("IF(ISBLANK(B2603),"""",IF(ISDATE(B2603),TEXT(B2603,""m""),""""))"),"")</f>
        <v/>
      </c>
      <c r="N2603" s="29" t="str">
        <f>IFERROR(__xludf.DUMMYFUNCTION("IF(M2603="""","""",QUERY({'Dashboard-Dados'!$Y$2:$AA$13},""Select Col2 Where Col1=""&amp;M2603))"),"")</f>
        <v/>
      </c>
      <c r="O2603" s="29" t="str">
        <f>IFERROR(__xludf.DUMMYFUNCTION("IF(ISBLANK(B2603),"""",IF(ISDATE(B2603),TEXT(B2603,""yyyy""),""""))"),"")</f>
        <v/>
      </c>
    </row>
    <row r="2604">
      <c r="B2604" s="62"/>
      <c r="C2604" s="56"/>
      <c r="D2604" s="56"/>
      <c r="E2604" s="56"/>
      <c r="F2604" s="63"/>
      <c r="G2604" s="64"/>
      <c r="H2604" s="65"/>
      <c r="I2604" s="63"/>
      <c r="K2604" s="53" t="str">
        <f>IFERROR(__xludf.DUMMYFUNCTION("IF(ISBLANK(B2604),"""",IF(ISDATE(B2604),""X"",""""))"),"")</f>
        <v/>
      </c>
      <c r="L2604" s="40" t="str">
        <f>IFERROR(__xludf.DUMMYFUNCTION("IF(ISBLANK(B2604),"""",IF(Or(I2604=""Em Aberto"",ISBLANK(I2604),NOT(ISDATE(B2604))),"""",H2604))"),"")</f>
        <v/>
      </c>
      <c r="M2604" s="29" t="str">
        <f>IFERROR(__xludf.DUMMYFUNCTION("IF(ISBLANK(B2604),"""",IF(ISDATE(B2604),TEXT(B2604,""m""),""""))"),"")</f>
        <v/>
      </c>
      <c r="N2604" s="29" t="str">
        <f>IFERROR(__xludf.DUMMYFUNCTION("IF(M2604="""","""",QUERY({'Dashboard-Dados'!$Y$2:$AA$13},""Select Col2 Where Col1=""&amp;M2604))"),"")</f>
        <v/>
      </c>
      <c r="O2604" s="29" t="str">
        <f>IFERROR(__xludf.DUMMYFUNCTION("IF(ISBLANK(B2604),"""",IF(ISDATE(B2604),TEXT(B2604,""yyyy""),""""))"),"")</f>
        <v/>
      </c>
    </row>
    <row r="2605">
      <c r="B2605" s="62"/>
      <c r="C2605" s="56"/>
      <c r="D2605" s="56"/>
      <c r="E2605" s="56"/>
      <c r="F2605" s="63"/>
      <c r="G2605" s="64"/>
      <c r="H2605" s="65"/>
      <c r="I2605" s="63"/>
      <c r="K2605" s="53" t="str">
        <f>IFERROR(__xludf.DUMMYFUNCTION("IF(ISBLANK(B2605),"""",IF(ISDATE(B2605),""X"",""""))"),"")</f>
        <v/>
      </c>
      <c r="L2605" s="40" t="str">
        <f>IFERROR(__xludf.DUMMYFUNCTION("IF(ISBLANK(B2605),"""",IF(Or(I2605=""Em Aberto"",ISBLANK(I2605),NOT(ISDATE(B2605))),"""",H2605))"),"")</f>
        <v/>
      </c>
      <c r="M2605" s="29" t="str">
        <f>IFERROR(__xludf.DUMMYFUNCTION("IF(ISBLANK(B2605),"""",IF(ISDATE(B2605),TEXT(B2605,""m""),""""))"),"")</f>
        <v/>
      </c>
      <c r="N2605" s="29" t="str">
        <f>IFERROR(__xludf.DUMMYFUNCTION("IF(M2605="""","""",QUERY({'Dashboard-Dados'!$Y$2:$AA$13},""Select Col2 Where Col1=""&amp;M2605))"),"")</f>
        <v/>
      </c>
      <c r="O2605" s="29" t="str">
        <f>IFERROR(__xludf.DUMMYFUNCTION("IF(ISBLANK(B2605),"""",IF(ISDATE(B2605),TEXT(B2605,""yyyy""),""""))"),"")</f>
        <v/>
      </c>
    </row>
    <row r="2606">
      <c r="B2606" s="62"/>
      <c r="C2606" s="56"/>
      <c r="D2606" s="56"/>
      <c r="E2606" s="56"/>
      <c r="F2606" s="63"/>
      <c r="G2606" s="64"/>
      <c r="H2606" s="65"/>
      <c r="I2606" s="63"/>
      <c r="K2606" s="53" t="str">
        <f>IFERROR(__xludf.DUMMYFUNCTION("IF(ISBLANK(B2606),"""",IF(ISDATE(B2606),""X"",""""))"),"")</f>
        <v/>
      </c>
      <c r="L2606" s="40" t="str">
        <f>IFERROR(__xludf.DUMMYFUNCTION("IF(ISBLANK(B2606),"""",IF(Or(I2606=""Em Aberto"",ISBLANK(I2606),NOT(ISDATE(B2606))),"""",H2606))"),"")</f>
        <v/>
      </c>
      <c r="M2606" s="29" t="str">
        <f>IFERROR(__xludf.DUMMYFUNCTION("IF(ISBLANK(B2606),"""",IF(ISDATE(B2606),TEXT(B2606,""m""),""""))"),"")</f>
        <v/>
      </c>
      <c r="N2606" s="29" t="str">
        <f>IFERROR(__xludf.DUMMYFUNCTION("IF(M2606="""","""",QUERY({'Dashboard-Dados'!$Y$2:$AA$13},""Select Col2 Where Col1=""&amp;M2606))"),"")</f>
        <v/>
      </c>
      <c r="O2606" s="29" t="str">
        <f>IFERROR(__xludf.DUMMYFUNCTION("IF(ISBLANK(B2606),"""",IF(ISDATE(B2606),TEXT(B2606,""yyyy""),""""))"),"")</f>
        <v/>
      </c>
    </row>
    <row r="2607">
      <c r="B2607" s="62"/>
      <c r="C2607" s="56"/>
      <c r="D2607" s="56"/>
      <c r="E2607" s="56"/>
      <c r="F2607" s="63"/>
      <c r="G2607" s="64"/>
      <c r="H2607" s="65"/>
      <c r="I2607" s="63"/>
      <c r="K2607" s="53" t="str">
        <f>IFERROR(__xludf.DUMMYFUNCTION("IF(ISBLANK(B2607),"""",IF(ISDATE(B2607),""X"",""""))"),"")</f>
        <v/>
      </c>
      <c r="L2607" s="40" t="str">
        <f>IFERROR(__xludf.DUMMYFUNCTION("IF(ISBLANK(B2607),"""",IF(Or(I2607=""Em Aberto"",ISBLANK(I2607),NOT(ISDATE(B2607))),"""",H2607))"),"")</f>
        <v/>
      </c>
      <c r="M2607" s="29" t="str">
        <f>IFERROR(__xludf.DUMMYFUNCTION("IF(ISBLANK(B2607),"""",IF(ISDATE(B2607),TEXT(B2607,""m""),""""))"),"")</f>
        <v/>
      </c>
      <c r="N2607" s="29" t="str">
        <f>IFERROR(__xludf.DUMMYFUNCTION("IF(M2607="""","""",QUERY({'Dashboard-Dados'!$Y$2:$AA$13},""Select Col2 Where Col1=""&amp;M2607))"),"")</f>
        <v/>
      </c>
      <c r="O2607" s="29" t="str">
        <f>IFERROR(__xludf.DUMMYFUNCTION("IF(ISBLANK(B2607),"""",IF(ISDATE(B2607),TEXT(B2607,""yyyy""),""""))"),"")</f>
        <v/>
      </c>
    </row>
    <row r="2608">
      <c r="B2608" s="62"/>
      <c r="C2608" s="56"/>
      <c r="D2608" s="56"/>
      <c r="E2608" s="56"/>
      <c r="F2608" s="63"/>
      <c r="G2608" s="64"/>
      <c r="H2608" s="65"/>
      <c r="I2608" s="63"/>
      <c r="K2608" s="53" t="str">
        <f>IFERROR(__xludf.DUMMYFUNCTION("IF(ISBLANK(B2608),"""",IF(ISDATE(B2608),""X"",""""))"),"")</f>
        <v/>
      </c>
      <c r="L2608" s="40" t="str">
        <f>IFERROR(__xludf.DUMMYFUNCTION("IF(ISBLANK(B2608),"""",IF(Or(I2608=""Em Aberto"",ISBLANK(I2608),NOT(ISDATE(B2608))),"""",H2608))"),"")</f>
        <v/>
      </c>
      <c r="M2608" s="29" t="str">
        <f>IFERROR(__xludf.DUMMYFUNCTION("IF(ISBLANK(B2608),"""",IF(ISDATE(B2608),TEXT(B2608,""m""),""""))"),"")</f>
        <v/>
      </c>
      <c r="N2608" s="29" t="str">
        <f>IFERROR(__xludf.DUMMYFUNCTION("IF(M2608="""","""",QUERY({'Dashboard-Dados'!$Y$2:$AA$13},""Select Col2 Where Col1=""&amp;M2608))"),"")</f>
        <v/>
      </c>
      <c r="O2608" s="29" t="str">
        <f>IFERROR(__xludf.DUMMYFUNCTION("IF(ISBLANK(B2608),"""",IF(ISDATE(B2608),TEXT(B2608,""yyyy""),""""))"),"")</f>
        <v/>
      </c>
    </row>
    <row r="2609">
      <c r="B2609" s="62"/>
      <c r="C2609" s="56"/>
      <c r="D2609" s="56"/>
      <c r="E2609" s="56"/>
      <c r="F2609" s="63"/>
      <c r="G2609" s="64"/>
      <c r="H2609" s="65"/>
      <c r="I2609" s="63"/>
      <c r="K2609" s="53" t="str">
        <f>IFERROR(__xludf.DUMMYFUNCTION("IF(ISBLANK(B2609),"""",IF(ISDATE(B2609),""X"",""""))"),"")</f>
        <v/>
      </c>
      <c r="L2609" s="40" t="str">
        <f>IFERROR(__xludf.DUMMYFUNCTION("IF(ISBLANK(B2609),"""",IF(Or(I2609=""Em Aberto"",ISBLANK(I2609),NOT(ISDATE(B2609))),"""",H2609))"),"")</f>
        <v/>
      </c>
      <c r="M2609" s="29" t="str">
        <f>IFERROR(__xludf.DUMMYFUNCTION("IF(ISBLANK(B2609),"""",IF(ISDATE(B2609),TEXT(B2609,""m""),""""))"),"")</f>
        <v/>
      </c>
      <c r="N2609" s="29" t="str">
        <f>IFERROR(__xludf.DUMMYFUNCTION("IF(M2609="""","""",QUERY({'Dashboard-Dados'!$Y$2:$AA$13},""Select Col2 Where Col1=""&amp;M2609))"),"")</f>
        <v/>
      </c>
      <c r="O2609" s="29" t="str">
        <f>IFERROR(__xludf.DUMMYFUNCTION("IF(ISBLANK(B2609),"""",IF(ISDATE(B2609),TEXT(B2609,""yyyy""),""""))"),"")</f>
        <v/>
      </c>
    </row>
    <row r="2610">
      <c r="B2610" s="62"/>
      <c r="C2610" s="56"/>
      <c r="D2610" s="56"/>
      <c r="E2610" s="56"/>
      <c r="F2610" s="63"/>
      <c r="G2610" s="64"/>
      <c r="H2610" s="65"/>
      <c r="I2610" s="63"/>
      <c r="K2610" s="53" t="str">
        <f>IFERROR(__xludf.DUMMYFUNCTION("IF(ISBLANK(B2610),"""",IF(ISDATE(B2610),""X"",""""))"),"")</f>
        <v/>
      </c>
      <c r="L2610" s="40" t="str">
        <f>IFERROR(__xludf.DUMMYFUNCTION("IF(ISBLANK(B2610),"""",IF(Or(I2610=""Em Aberto"",ISBLANK(I2610),NOT(ISDATE(B2610))),"""",H2610))"),"")</f>
        <v/>
      </c>
      <c r="M2610" s="29" t="str">
        <f>IFERROR(__xludf.DUMMYFUNCTION("IF(ISBLANK(B2610),"""",IF(ISDATE(B2610),TEXT(B2610,""m""),""""))"),"")</f>
        <v/>
      </c>
      <c r="N2610" s="29" t="str">
        <f>IFERROR(__xludf.DUMMYFUNCTION("IF(M2610="""","""",QUERY({'Dashboard-Dados'!$Y$2:$AA$13},""Select Col2 Where Col1=""&amp;M2610))"),"")</f>
        <v/>
      </c>
      <c r="O2610" s="29" t="str">
        <f>IFERROR(__xludf.DUMMYFUNCTION("IF(ISBLANK(B2610),"""",IF(ISDATE(B2610),TEXT(B2610,""yyyy""),""""))"),"")</f>
        <v/>
      </c>
    </row>
    <row r="2611">
      <c r="B2611" s="62"/>
      <c r="C2611" s="56"/>
      <c r="D2611" s="56"/>
      <c r="E2611" s="56"/>
      <c r="F2611" s="63"/>
      <c r="G2611" s="64"/>
      <c r="H2611" s="65"/>
      <c r="I2611" s="63"/>
      <c r="K2611" s="53" t="str">
        <f>IFERROR(__xludf.DUMMYFUNCTION("IF(ISBLANK(B2611),"""",IF(ISDATE(B2611),""X"",""""))"),"")</f>
        <v/>
      </c>
      <c r="L2611" s="40" t="str">
        <f>IFERROR(__xludf.DUMMYFUNCTION("IF(ISBLANK(B2611),"""",IF(Or(I2611=""Em Aberto"",ISBLANK(I2611),NOT(ISDATE(B2611))),"""",H2611))"),"")</f>
        <v/>
      </c>
      <c r="M2611" s="29" t="str">
        <f>IFERROR(__xludf.DUMMYFUNCTION("IF(ISBLANK(B2611),"""",IF(ISDATE(B2611),TEXT(B2611,""m""),""""))"),"")</f>
        <v/>
      </c>
      <c r="N2611" s="29" t="str">
        <f>IFERROR(__xludf.DUMMYFUNCTION("IF(M2611="""","""",QUERY({'Dashboard-Dados'!$Y$2:$AA$13},""Select Col2 Where Col1=""&amp;M2611))"),"")</f>
        <v/>
      </c>
      <c r="O2611" s="29" t="str">
        <f>IFERROR(__xludf.DUMMYFUNCTION("IF(ISBLANK(B2611),"""",IF(ISDATE(B2611),TEXT(B2611,""yyyy""),""""))"),"")</f>
        <v/>
      </c>
    </row>
    <row r="2612">
      <c r="B2612" s="62"/>
      <c r="C2612" s="56"/>
      <c r="D2612" s="56"/>
      <c r="E2612" s="56"/>
      <c r="F2612" s="63"/>
      <c r="G2612" s="64"/>
      <c r="H2612" s="65"/>
      <c r="I2612" s="63"/>
      <c r="K2612" s="53" t="str">
        <f>IFERROR(__xludf.DUMMYFUNCTION("IF(ISBLANK(B2612),"""",IF(ISDATE(B2612),""X"",""""))"),"")</f>
        <v/>
      </c>
      <c r="L2612" s="40" t="str">
        <f>IFERROR(__xludf.DUMMYFUNCTION("IF(ISBLANK(B2612),"""",IF(Or(I2612=""Em Aberto"",ISBLANK(I2612),NOT(ISDATE(B2612))),"""",H2612))"),"")</f>
        <v/>
      </c>
      <c r="M2612" s="29" t="str">
        <f>IFERROR(__xludf.DUMMYFUNCTION("IF(ISBLANK(B2612),"""",IF(ISDATE(B2612),TEXT(B2612,""m""),""""))"),"")</f>
        <v/>
      </c>
      <c r="N2612" s="29" t="str">
        <f>IFERROR(__xludf.DUMMYFUNCTION("IF(M2612="""","""",QUERY({'Dashboard-Dados'!$Y$2:$AA$13},""Select Col2 Where Col1=""&amp;M2612))"),"")</f>
        <v/>
      </c>
      <c r="O2612" s="29" t="str">
        <f>IFERROR(__xludf.DUMMYFUNCTION("IF(ISBLANK(B2612),"""",IF(ISDATE(B2612),TEXT(B2612,""yyyy""),""""))"),"")</f>
        <v/>
      </c>
    </row>
    <row r="2613">
      <c r="B2613" s="62"/>
      <c r="C2613" s="56"/>
      <c r="D2613" s="56"/>
      <c r="E2613" s="56"/>
      <c r="F2613" s="63"/>
      <c r="G2613" s="64"/>
      <c r="H2613" s="65"/>
      <c r="I2613" s="63"/>
      <c r="K2613" s="53" t="str">
        <f>IFERROR(__xludf.DUMMYFUNCTION("IF(ISBLANK(B2613),"""",IF(ISDATE(B2613),""X"",""""))"),"")</f>
        <v/>
      </c>
      <c r="L2613" s="40" t="str">
        <f>IFERROR(__xludf.DUMMYFUNCTION("IF(ISBLANK(B2613),"""",IF(Or(I2613=""Em Aberto"",ISBLANK(I2613),NOT(ISDATE(B2613))),"""",H2613))"),"")</f>
        <v/>
      </c>
      <c r="M2613" s="29" t="str">
        <f>IFERROR(__xludf.DUMMYFUNCTION("IF(ISBLANK(B2613),"""",IF(ISDATE(B2613),TEXT(B2613,""m""),""""))"),"")</f>
        <v/>
      </c>
      <c r="N2613" s="29" t="str">
        <f>IFERROR(__xludf.DUMMYFUNCTION("IF(M2613="""","""",QUERY({'Dashboard-Dados'!$Y$2:$AA$13},""Select Col2 Where Col1=""&amp;M2613))"),"")</f>
        <v/>
      </c>
      <c r="O2613" s="29" t="str">
        <f>IFERROR(__xludf.DUMMYFUNCTION("IF(ISBLANK(B2613),"""",IF(ISDATE(B2613),TEXT(B2613,""yyyy""),""""))"),"")</f>
        <v/>
      </c>
    </row>
    <row r="2614">
      <c r="B2614" s="62"/>
      <c r="C2614" s="56"/>
      <c r="D2614" s="56"/>
      <c r="E2614" s="56"/>
      <c r="F2614" s="63"/>
      <c r="G2614" s="64"/>
      <c r="H2614" s="65"/>
      <c r="I2614" s="63"/>
      <c r="K2614" s="53" t="str">
        <f>IFERROR(__xludf.DUMMYFUNCTION("IF(ISBLANK(B2614),"""",IF(ISDATE(B2614),""X"",""""))"),"")</f>
        <v/>
      </c>
      <c r="L2614" s="40" t="str">
        <f>IFERROR(__xludf.DUMMYFUNCTION("IF(ISBLANK(B2614),"""",IF(Or(I2614=""Em Aberto"",ISBLANK(I2614),NOT(ISDATE(B2614))),"""",H2614))"),"")</f>
        <v/>
      </c>
      <c r="M2614" s="29" t="str">
        <f>IFERROR(__xludf.DUMMYFUNCTION("IF(ISBLANK(B2614),"""",IF(ISDATE(B2614),TEXT(B2614,""m""),""""))"),"")</f>
        <v/>
      </c>
      <c r="N2614" s="29" t="str">
        <f>IFERROR(__xludf.DUMMYFUNCTION("IF(M2614="""","""",QUERY({'Dashboard-Dados'!$Y$2:$AA$13},""Select Col2 Where Col1=""&amp;M2614))"),"")</f>
        <v/>
      </c>
      <c r="O2614" s="29" t="str">
        <f>IFERROR(__xludf.DUMMYFUNCTION("IF(ISBLANK(B2614),"""",IF(ISDATE(B2614),TEXT(B2614,""yyyy""),""""))"),"")</f>
        <v/>
      </c>
    </row>
    <row r="2615">
      <c r="B2615" s="62"/>
      <c r="C2615" s="56"/>
      <c r="D2615" s="56"/>
      <c r="E2615" s="56"/>
      <c r="F2615" s="63"/>
      <c r="G2615" s="64"/>
      <c r="H2615" s="65"/>
      <c r="I2615" s="63"/>
      <c r="K2615" s="53" t="str">
        <f>IFERROR(__xludf.DUMMYFUNCTION("IF(ISBLANK(B2615),"""",IF(ISDATE(B2615),""X"",""""))"),"")</f>
        <v/>
      </c>
      <c r="L2615" s="40" t="str">
        <f>IFERROR(__xludf.DUMMYFUNCTION("IF(ISBLANK(B2615),"""",IF(Or(I2615=""Em Aberto"",ISBLANK(I2615),NOT(ISDATE(B2615))),"""",H2615))"),"")</f>
        <v/>
      </c>
      <c r="M2615" s="29" t="str">
        <f>IFERROR(__xludf.DUMMYFUNCTION("IF(ISBLANK(B2615),"""",IF(ISDATE(B2615),TEXT(B2615,""m""),""""))"),"")</f>
        <v/>
      </c>
      <c r="N2615" s="29" t="str">
        <f>IFERROR(__xludf.DUMMYFUNCTION("IF(M2615="""","""",QUERY({'Dashboard-Dados'!$Y$2:$AA$13},""Select Col2 Where Col1=""&amp;M2615))"),"")</f>
        <v/>
      </c>
      <c r="O2615" s="29" t="str">
        <f>IFERROR(__xludf.DUMMYFUNCTION("IF(ISBLANK(B2615),"""",IF(ISDATE(B2615),TEXT(B2615,""yyyy""),""""))"),"")</f>
        <v/>
      </c>
    </row>
    <row r="2616">
      <c r="B2616" s="62"/>
      <c r="C2616" s="56"/>
      <c r="D2616" s="56"/>
      <c r="E2616" s="56"/>
      <c r="F2616" s="63"/>
      <c r="G2616" s="64"/>
      <c r="H2616" s="65"/>
      <c r="I2616" s="63"/>
      <c r="K2616" s="53" t="str">
        <f>IFERROR(__xludf.DUMMYFUNCTION("IF(ISBLANK(B2616),"""",IF(ISDATE(B2616),""X"",""""))"),"")</f>
        <v/>
      </c>
      <c r="L2616" s="40" t="str">
        <f>IFERROR(__xludf.DUMMYFUNCTION("IF(ISBLANK(B2616),"""",IF(Or(I2616=""Em Aberto"",ISBLANK(I2616),NOT(ISDATE(B2616))),"""",H2616))"),"")</f>
        <v/>
      </c>
      <c r="M2616" s="29" t="str">
        <f>IFERROR(__xludf.DUMMYFUNCTION("IF(ISBLANK(B2616),"""",IF(ISDATE(B2616),TEXT(B2616,""m""),""""))"),"")</f>
        <v/>
      </c>
      <c r="N2616" s="29" t="str">
        <f>IFERROR(__xludf.DUMMYFUNCTION("IF(M2616="""","""",QUERY({'Dashboard-Dados'!$Y$2:$AA$13},""Select Col2 Where Col1=""&amp;M2616))"),"")</f>
        <v/>
      </c>
      <c r="O2616" s="29" t="str">
        <f>IFERROR(__xludf.DUMMYFUNCTION("IF(ISBLANK(B2616),"""",IF(ISDATE(B2616),TEXT(B2616,""yyyy""),""""))"),"")</f>
        <v/>
      </c>
    </row>
    <row r="2617">
      <c r="B2617" s="62"/>
      <c r="C2617" s="56"/>
      <c r="D2617" s="56"/>
      <c r="E2617" s="56"/>
      <c r="F2617" s="63"/>
      <c r="G2617" s="64"/>
      <c r="H2617" s="65"/>
      <c r="I2617" s="63"/>
      <c r="K2617" s="53" t="str">
        <f>IFERROR(__xludf.DUMMYFUNCTION("IF(ISBLANK(B2617),"""",IF(ISDATE(B2617),""X"",""""))"),"")</f>
        <v/>
      </c>
      <c r="L2617" s="40" t="str">
        <f>IFERROR(__xludf.DUMMYFUNCTION("IF(ISBLANK(B2617),"""",IF(Or(I2617=""Em Aberto"",ISBLANK(I2617),NOT(ISDATE(B2617))),"""",H2617))"),"")</f>
        <v/>
      </c>
      <c r="M2617" s="29" t="str">
        <f>IFERROR(__xludf.DUMMYFUNCTION("IF(ISBLANK(B2617),"""",IF(ISDATE(B2617),TEXT(B2617,""m""),""""))"),"")</f>
        <v/>
      </c>
      <c r="N2617" s="29" t="str">
        <f>IFERROR(__xludf.DUMMYFUNCTION("IF(M2617="""","""",QUERY({'Dashboard-Dados'!$Y$2:$AA$13},""Select Col2 Where Col1=""&amp;M2617))"),"")</f>
        <v/>
      </c>
      <c r="O2617" s="29" t="str">
        <f>IFERROR(__xludf.DUMMYFUNCTION("IF(ISBLANK(B2617),"""",IF(ISDATE(B2617),TEXT(B2617,""yyyy""),""""))"),"")</f>
        <v/>
      </c>
    </row>
    <row r="2618">
      <c r="B2618" s="62"/>
      <c r="C2618" s="56"/>
      <c r="D2618" s="56"/>
      <c r="E2618" s="56"/>
      <c r="F2618" s="63"/>
      <c r="G2618" s="64"/>
      <c r="H2618" s="65"/>
      <c r="I2618" s="63"/>
      <c r="K2618" s="53" t="str">
        <f>IFERROR(__xludf.DUMMYFUNCTION("IF(ISBLANK(B2618),"""",IF(ISDATE(B2618),""X"",""""))"),"")</f>
        <v/>
      </c>
      <c r="L2618" s="40" t="str">
        <f>IFERROR(__xludf.DUMMYFUNCTION("IF(ISBLANK(B2618),"""",IF(Or(I2618=""Em Aberto"",ISBLANK(I2618),NOT(ISDATE(B2618))),"""",H2618))"),"")</f>
        <v/>
      </c>
      <c r="M2618" s="29" t="str">
        <f>IFERROR(__xludf.DUMMYFUNCTION("IF(ISBLANK(B2618),"""",IF(ISDATE(B2618),TEXT(B2618,""m""),""""))"),"")</f>
        <v/>
      </c>
      <c r="N2618" s="29" t="str">
        <f>IFERROR(__xludf.DUMMYFUNCTION("IF(M2618="""","""",QUERY({'Dashboard-Dados'!$Y$2:$AA$13},""Select Col2 Where Col1=""&amp;M2618))"),"")</f>
        <v/>
      </c>
      <c r="O2618" s="29" t="str">
        <f>IFERROR(__xludf.DUMMYFUNCTION("IF(ISBLANK(B2618),"""",IF(ISDATE(B2618),TEXT(B2618,""yyyy""),""""))"),"")</f>
        <v/>
      </c>
    </row>
    <row r="2619">
      <c r="B2619" s="62"/>
      <c r="C2619" s="56"/>
      <c r="D2619" s="56"/>
      <c r="E2619" s="56"/>
      <c r="F2619" s="63"/>
      <c r="G2619" s="64"/>
      <c r="H2619" s="65"/>
      <c r="I2619" s="63"/>
      <c r="K2619" s="53" t="str">
        <f>IFERROR(__xludf.DUMMYFUNCTION("IF(ISBLANK(B2619),"""",IF(ISDATE(B2619),""X"",""""))"),"")</f>
        <v/>
      </c>
      <c r="L2619" s="40" t="str">
        <f>IFERROR(__xludf.DUMMYFUNCTION("IF(ISBLANK(B2619),"""",IF(Or(I2619=""Em Aberto"",ISBLANK(I2619),NOT(ISDATE(B2619))),"""",H2619))"),"")</f>
        <v/>
      </c>
      <c r="M2619" s="29" t="str">
        <f>IFERROR(__xludf.DUMMYFUNCTION("IF(ISBLANK(B2619),"""",IF(ISDATE(B2619),TEXT(B2619,""m""),""""))"),"")</f>
        <v/>
      </c>
      <c r="N2619" s="29" t="str">
        <f>IFERROR(__xludf.DUMMYFUNCTION("IF(M2619="""","""",QUERY({'Dashboard-Dados'!$Y$2:$AA$13},""Select Col2 Where Col1=""&amp;M2619))"),"")</f>
        <v/>
      </c>
      <c r="O2619" s="29" t="str">
        <f>IFERROR(__xludf.DUMMYFUNCTION("IF(ISBLANK(B2619),"""",IF(ISDATE(B2619),TEXT(B2619,""yyyy""),""""))"),"")</f>
        <v/>
      </c>
    </row>
    <row r="2620">
      <c r="B2620" s="62"/>
      <c r="C2620" s="56"/>
      <c r="D2620" s="56"/>
      <c r="E2620" s="56"/>
      <c r="F2620" s="63"/>
      <c r="G2620" s="64"/>
      <c r="H2620" s="65"/>
      <c r="I2620" s="63"/>
      <c r="K2620" s="53" t="str">
        <f>IFERROR(__xludf.DUMMYFUNCTION("IF(ISBLANK(B2620),"""",IF(ISDATE(B2620),""X"",""""))"),"")</f>
        <v/>
      </c>
      <c r="L2620" s="40" t="str">
        <f>IFERROR(__xludf.DUMMYFUNCTION("IF(ISBLANK(B2620),"""",IF(Or(I2620=""Em Aberto"",ISBLANK(I2620),NOT(ISDATE(B2620))),"""",H2620))"),"")</f>
        <v/>
      </c>
      <c r="M2620" s="29" t="str">
        <f>IFERROR(__xludf.DUMMYFUNCTION("IF(ISBLANK(B2620),"""",IF(ISDATE(B2620),TEXT(B2620,""m""),""""))"),"")</f>
        <v/>
      </c>
      <c r="N2620" s="29" t="str">
        <f>IFERROR(__xludf.DUMMYFUNCTION("IF(M2620="""","""",QUERY({'Dashboard-Dados'!$Y$2:$AA$13},""Select Col2 Where Col1=""&amp;M2620))"),"")</f>
        <v/>
      </c>
      <c r="O2620" s="29" t="str">
        <f>IFERROR(__xludf.DUMMYFUNCTION("IF(ISBLANK(B2620),"""",IF(ISDATE(B2620),TEXT(B2620,""yyyy""),""""))"),"")</f>
        <v/>
      </c>
    </row>
    <row r="2621">
      <c r="B2621" s="62"/>
      <c r="C2621" s="56"/>
      <c r="D2621" s="56"/>
      <c r="E2621" s="56"/>
      <c r="F2621" s="63"/>
      <c r="G2621" s="64"/>
      <c r="H2621" s="65"/>
      <c r="I2621" s="63"/>
      <c r="K2621" s="53" t="str">
        <f>IFERROR(__xludf.DUMMYFUNCTION("IF(ISBLANK(B2621),"""",IF(ISDATE(B2621),""X"",""""))"),"")</f>
        <v/>
      </c>
      <c r="L2621" s="40" t="str">
        <f>IFERROR(__xludf.DUMMYFUNCTION("IF(ISBLANK(B2621),"""",IF(Or(I2621=""Em Aberto"",ISBLANK(I2621),NOT(ISDATE(B2621))),"""",H2621))"),"")</f>
        <v/>
      </c>
      <c r="M2621" s="29" t="str">
        <f>IFERROR(__xludf.DUMMYFUNCTION("IF(ISBLANK(B2621),"""",IF(ISDATE(B2621),TEXT(B2621,""m""),""""))"),"")</f>
        <v/>
      </c>
      <c r="N2621" s="29" t="str">
        <f>IFERROR(__xludf.DUMMYFUNCTION("IF(M2621="""","""",QUERY({'Dashboard-Dados'!$Y$2:$AA$13},""Select Col2 Where Col1=""&amp;M2621))"),"")</f>
        <v/>
      </c>
      <c r="O2621" s="29" t="str">
        <f>IFERROR(__xludf.DUMMYFUNCTION("IF(ISBLANK(B2621),"""",IF(ISDATE(B2621),TEXT(B2621,""yyyy""),""""))"),"")</f>
        <v/>
      </c>
    </row>
    <row r="2622">
      <c r="B2622" s="62"/>
      <c r="C2622" s="56"/>
      <c r="D2622" s="56"/>
      <c r="E2622" s="56"/>
      <c r="F2622" s="63"/>
      <c r="G2622" s="64"/>
      <c r="H2622" s="65"/>
      <c r="I2622" s="63"/>
      <c r="K2622" s="53" t="str">
        <f>IFERROR(__xludf.DUMMYFUNCTION("IF(ISBLANK(B2622),"""",IF(ISDATE(B2622),""X"",""""))"),"")</f>
        <v/>
      </c>
      <c r="L2622" s="40" t="str">
        <f>IFERROR(__xludf.DUMMYFUNCTION("IF(ISBLANK(B2622),"""",IF(Or(I2622=""Em Aberto"",ISBLANK(I2622),NOT(ISDATE(B2622))),"""",H2622))"),"")</f>
        <v/>
      </c>
      <c r="M2622" s="29" t="str">
        <f>IFERROR(__xludf.DUMMYFUNCTION("IF(ISBLANK(B2622),"""",IF(ISDATE(B2622),TEXT(B2622,""m""),""""))"),"")</f>
        <v/>
      </c>
      <c r="N2622" s="29" t="str">
        <f>IFERROR(__xludf.DUMMYFUNCTION("IF(M2622="""","""",QUERY({'Dashboard-Dados'!$Y$2:$AA$13},""Select Col2 Where Col1=""&amp;M2622))"),"")</f>
        <v/>
      </c>
      <c r="O2622" s="29" t="str">
        <f>IFERROR(__xludf.DUMMYFUNCTION("IF(ISBLANK(B2622),"""",IF(ISDATE(B2622),TEXT(B2622,""yyyy""),""""))"),"")</f>
        <v/>
      </c>
    </row>
    <row r="2623">
      <c r="B2623" s="62"/>
      <c r="C2623" s="56"/>
      <c r="D2623" s="56"/>
      <c r="E2623" s="56"/>
      <c r="F2623" s="63"/>
      <c r="G2623" s="64"/>
      <c r="H2623" s="65"/>
      <c r="I2623" s="63"/>
      <c r="K2623" s="53" t="str">
        <f>IFERROR(__xludf.DUMMYFUNCTION("IF(ISBLANK(B2623),"""",IF(ISDATE(B2623),""X"",""""))"),"")</f>
        <v/>
      </c>
      <c r="L2623" s="40" t="str">
        <f>IFERROR(__xludf.DUMMYFUNCTION("IF(ISBLANK(B2623),"""",IF(Or(I2623=""Em Aberto"",ISBLANK(I2623),NOT(ISDATE(B2623))),"""",H2623))"),"")</f>
        <v/>
      </c>
      <c r="M2623" s="29" t="str">
        <f>IFERROR(__xludf.DUMMYFUNCTION("IF(ISBLANK(B2623),"""",IF(ISDATE(B2623),TEXT(B2623,""m""),""""))"),"")</f>
        <v/>
      </c>
      <c r="N2623" s="29" t="str">
        <f>IFERROR(__xludf.DUMMYFUNCTION("IF(M2623="""","""",QUERY({'Dashboard-Dados'!$Y$2:$AA$13},""Select Col2 Where Col1=""&amp;M2623))"),"")</f>
        <v/>
      </c>
      <c r="O2623" s="29" t="str">
        <f>IFERROR(__xludf.DUMMYFUNCTION("IF(ISBLANK(B2623),"""",IF(ISDATE(B2623),TEXT(B2623,""yyyy""),""""))"),"")</f>
        <v/>
      </c>
    </row>
    <row r="2624">
      <c r="B2624" s="62"/>
      <c r="C2624" s="56"/>
      <c r="D2624" s="56"/>
      <c r="E2624" s="56"/>
      <c r="F2624" s="63"/>
      <c r="G2624" s="64"/>
      <c r="H2624" s="65"/>
      <c r="I2624" s="63"/>
      <c r="K2624" s="53" t="str">
        <f>IFERROR(__xludf.DUMMYFUNCTION("IF(ISBLANK(B2624),"""",IF(ISDATE(B2624),""X"",""""))"),"")</f>
        <v/>
      </c>
      <c r="L2624" s="40" t="str">
        <f>IFERROR(__xludf.DUMMYFUNCTION("IF(ISBLANK(B2624),"""",IF(Or(I2624=""Em Aberto"",ISBLANK(I2624),NOT(ISDATE(B2624))),"""",H2624))"),"")</f>
        <v/>
      </c>
      <c r="M2624" s="29" t="str">
        <f>IFERROR(__xludf.DUMMYFUNCTION("IF(ISBLANK(B2624),"""",IF(ISDATE(B2624),TEXT(B2624,""m""),""""))"),"")</f>
        <v/>
      </c>
      <c r="N2624" s="29" t="str">
        <f>IFERROR(__xludf.DUMMYFUNCTION("IF(M2624="""","""",QUERY({'Dashboard-Dados'!$Y$2:$AA$13},""Select Col2 Where Col1=""&amp;M2624))"),"")</f>
        <v/>
      </c>
      <c r="O2624" s="29" t="str">
        <f>IFERROR(__xludf.DUMMYFUNCTION("IF(ISBLANK(B2624),"""",IF(ISDATE(B2624),TEXT(B2624,""yyyy""),""""))"),"")</f>
        <v/>
      </c>
    </row>
    <row r="2625">
      <c r="B2625" s="62"/>
      <c r="C2625" s="56"/>
      <c r="D2625" s="56"/>
      <c r="E2625" s="56"/>
      <c r="F2625" s="63"/>
      <c r="G2625" s="64"/>
      <c r="H2625" s="65"/>
      <c r="I2625" s="63"/>
      <c r="K2625" s="53" t="str">
        <f>IFERROR(__xludf.DUMMYFUNCTION("IF(ISBLANK(B2625),"""",IF(ISDATE(B2625),""X"",""""))"),"")</f>
        <v/>
      </c>
      <c r="L2625" s="40" t="str">
        <f>IFERROR(__xludf.DUMMYFUNCTION("IF(ISBLANK(B2625),"""",IF(Or(I2625=""Em Aberto"",ISBLANK(I2625),NOT(ISDATE(B2625))),"""",H2625))"),"")</f>
        <v/>
      </c>
      <c r="M2625" s="29" t="str">
        <f>IFERROR(__xludf.DUMMYFUNCTION("IF(ISBLANK(B2625),"""",IF(ISDATE(B2625),TEXT(B2625,""m""),""""))"),"")</f>
        <v/>
      </c>
      <c r="N2625" s="29" t="str">
        <f>IFERROR(__xludf.DUMMYFUNCTION("IF(M2625="""","""",QUERY({'Dashboard-Dados'!$Y$2:$AA$13},""Select Col2 Where Col1=""&amp;M2625))"),"")</f>
        <v/>
      </c>
      <c r="O2625" s="29" t="str">
        <f>IFERROR(__xludf.DUMMYFUNCTION("IF(ISBLANK(B2625),"""",IF(ISDATE(B2625),TEXT(B2625,""yyyy""),""""))"),"")</f>
        <v/>
      </c>
    </row>
    <row r="2626">
      <c r="B2626" s="62"/>
      <c r="C2626" s="56"/>
      <c r="D2626" s="56"/>
      <c r="E2626" s="56"/>
      <c r="F2626" s="63"/>
      <c r="G2626" s="64"/>
      <c r="H2626" s="65"/>
      <c r="I2626" s="63"/>
      <c r="K2626" s="53" t="str">
        <f>IFERROR(__xludf.DUMMYFUNCTION("IF(ISBLANK(B2626),"""",IF(ISDATE(B2626),""X"",""""))"),"")</f>
        <v/>
      </c>
      <c r="L2626" s="40" t="str">
        <f>IFERROR(__xludf.DUMMYFUNCTION("IF(ISBLANK(B2626),"""",IF(Or(I2626=""Em Aberto"",ISBLANK(I2626),NOT(ISDATE(B2626))),"""",H2626))"),"")</f>
        <v/>
      </c>
      <c r="M2626" s="29" t="str">
        <f>IFERROR(__xludf.DUMMYFUNCTION("IF(ISBLANK(B2626),"""",IF(ISDATE(B2626),TEXT(B2626,""m""),""""))"),"")</f>
        <v/>
      </c>
      <c r="N2626" s="29" t="str">
        <f>IFERROR(__xludf.DUMMYFUNCTION("IF(M2626="""","""",QUERY({'Dashboard-Dados'!$Y$2:$AA$13},""Select Col2 Where Col1=""&amp;M2626))"),"")</f>
        <v/>
      </c>
      <c r="O2626" s="29" t="str">
        <f>IFERROR(__xludf.DUMMYFUNCTION("IF(ISBLANK(B2626),"""",IF(ISDATE(B2626),TEXT(B2626,""yyyy""),""""))"),"")</f>
        <v/>
      </c>
    </row>
    <row r="2627">
      <c r="B2627" s="62"/>
      <c r="C2627" s="56"/>
      <c r="D2627" s="56"/>
      <c r="E2627" s="56"/>
      <c r="F2627" s="63"/>
      <c r="G2627" s="64"/>
      <c r="H2627" s="65"/>
      <c r="I2627" s="63"/>
      <c r="K2627" s="53" t="str">
        <f>IFERROR(__xludf.DUMMYFUNCTION("IF(ISBLANK(B2627),"""",IF(ISDATE(B2627),""X"",""""))"),"")</f>
        <v/>
      </c>
      <c r="L2627" s="40" t="str">
        <f>IFERROR(__xludf.DUMMYFUNCTION("IF(ISBLANK(B2627),"""",IF(Or(I2627=""Em Aberto"",ISBLANK(I2627),NOT(ISDATE(B2627))),"""",H2627))"),"")</f>
        <v/>
      </c>
      <c r="M2627" s="29" t="str">
        <f>IFERROR(__xludf.DUMMYFUNCTION("IF(ISBLANK(B2627),"""",IF(ISDATE(B2627),TEXT(B2627,""m""),""""))"),"")</f>
        <v/>
      </c>
      <c r="N2627" s="29" t="str">
        <f>IFERROR(__xludf.DUMMYFUNCTION("IF(M2627="""","""",QUERY({'Dashboard-Dados'!$Y$2:$AA$13},""Select Col2 Where Col1=""&amp;M2627))"),"")</f>
        <v/>
      </c>
      <c r="O2627" s="29" t="str">
        <f>IFERROR(__xludf.DUMMYFUNCTION("IF(ISBLANK(B2627),"""",IF(ISDATE(B2627),TEXT(B2627,""yyyy""),""""))"),"")</f>
        <v/>
      </c>
    </row>
    <row r="2628">
      <c r="B2628" s="62"/>
      <c r="C2628" s="56"/>
      <c r="D2628" s="56"/>
      <c r="E2628" s="56"/>
      <c r="F2628" s="63"/>
      <c r="G2628" s="64"/>
      <c r="H2628" s="65"/>
      <c r="I2628" s="63"/>
      <c r="K2628" s="53" t="str">
        <f>IFERROR(__xludf.DUMMYFUNCTION("IF(ISBLANK(B2628),"""",IF(ISDATE(B2628),""X"",""""))"),"")</f>
        <v/>
      </c>
      <c r="L2628" s="40" t="str">
        <f>IFERROR(__xludf.DUMMYFUNCTION("IF(ISBLANK(B2628),"""",IF(Or(I2628=""Em Aberto"",ISBLANK(I2628),NOT(ISDATE(B2628))),"""",H2628))"),"")</f>
        <v/>
      </c>
      <c r="M2628" s="29" t="str">
        <f>IFERROR(__xludf.DUMMYFUNCTION("IF(ISBLANK(B2628),"""",IF(ISDATE(B2628),TEXT(B2628,""m""),""""))"),"")</f>
        <v/>
      </c>
      <c r="N2628" s="29" t="str">
        <f>IFERROR(__xludf.DUMMYFUNCTION("IF(M2628="""","""",QUERY({'Dashboard-Dados'!$Y$2:$AA$13},""Select Col2 Where Col1=""&amp;M2628))"),"")</f>
        <v/>
      </c>
      <c r="O2628" s="29" t="str">
        <f>IFERROR(__xludf.DUMMYFUNCTION("IF(ISBLANK(B2628),"""",IF(ISDATE(B2628),TEXT(B2628,""yyyy""),""""))"),"")</f>
        <v/>
      </c>
    </row>
    <row r="2629">
      <c r="B2629" s="62"/>
      <c r="C2629" s="56"/>
      <c r="D2629" s="56"/>
      <c r="E2629" s="56"/>
      <c r="F2629" s="63"/>
      <c r="G2629" s="64"/>
      <c r="H2629" s="65"/>
      <c r="I2629" s="63"/>
      <c r="K2629" s="53" t="str">
        <f>IFERROR(__xludf.DUMMYFUNCTION("IF(ISBLANK(B2629),"""",IF(ISDATE(B2629),""X"",""""))"),"")</f>
        <v/>
      </c>
      <c r="L2629" s="40" t="str">
        <f>IFERROR(__xludf.DUMMYFUNCTION("IF(ISBLANK(B2629),"""",IF(Or(I2629=""Em Aberto"",ISBLANK(I2629),NOT(ISDATE(B2629))),"""",H2629))"),"")</f>
        <v/>
      </c>
      <c r="M2629" s="29" t="str">
        <f>IFERROR(__xludf.DUMMYFUNCTION("IF(ISBLANK(B2629),"""",IF(ISDATE(B2629),TEXT(B2629,""m""),""""))"),"")</f>
        <v/>
      </c>
      <c r="N2629" s="29" t="str">
        <f>IFERROR(__xludf.DUMMYFUNCTION("IF(M2629="""","""",QUERY({'Dashboard-Dados'!$Y$2:$AA$13},""Select Col2 Where Col1=""&amp;M2629))"),"")</f>
        <v/>
      </c>
      <c r="O2629" s="29" t="str">
        <f>IFERROR(__xludf.DUMMYFUNCTION("IF(ISBLANK(B2629),"""",IF(ISDATE(B2629),TEXT(B2629,""yyyy""),""""))"),"")</f>
        <v/>
      </c>
    </row>
    <row r="2630">
      <c r="B2630" s="62"/>
      <c r="C2630" s="56"/>
      <c r="D2630" s="56"/>
      <c r="E2630" s="56"/>
      <c r="F2630" s="63"/>
      <c r="G2630" s="64"/>
      <c r="H2630" s="65"/>
      <c r="I2630" s="63"/>
      <c r="K2630" s="53" t="str">
        <f>IFERROR(__xludf.DUMMYFUNCTION("IF(ISBLANK(B2630),"""",IF(ISDATE(B2630),""X"",""""))"),"")</f>
        <v/>
      </c>
      <c r="L2630" s="40" t="str">
        <f>IFERROR(__xludf.DUMMYFUNCTION("IF(ISBLANK(B2630),"""",IF(Or(I2630=""Em Aberto"",ISBLANK(I2630),NOT(ISDATE(B2630))),"""",H2630))"),"")</f>
        <v/>
      </c>
      <c r="M2630" s="29" t="str">
        <f>IFERROR(__xludf.DUMMYFUNCTION("IF(ISBLANK(B2630),"""",IF(ISDATE(B2630),TEXT(B2630,""m""),""""))"),"")</f>
        <v/>
      </c>
      <c r="N2630" s="29" t="str">
        <f>IFERROR(__xludf.DUMMYFUNCTION("IF(M2630="""","""",QUERY({'Dashboard-Dados'!$Y$2:$AA$13},""Select Col2 Where Col1=""&amp;M2630))"),"")</f>
        <v/>
      </c>
      <c r="O2630" s="29" t="str">
        <f>IFERROR(__xludf.DUMMYFUNCTION("IF(ISBLANK(B2630),"""",IF(ISDATE(B2630),TEXT(B2630,""yyyy""),""""))"),"")</f>
        <v/>
      </c>
    </row>
    <row r="2631">
      <c r="B2631" s="62"/>
      <c r="C2631" s="56"/>
      <c r="D2631" s="56"/>
      <c r="E2631" s="56"/>
      <c r="F2631" s="63"/>
      <c r="G2631" s="64"/>
      <c r="H2631" s="65"/>
      <c r="I2631" s="63"/>
      <c r="K2631" s="53" t="str">
        <f>IFERROR(__xludf.DUMMYFUNCTION("IF(ISBLANK(B2631),"""",IF(ISDATE(B2631),""X"",""""))"),"")</f>
        <v/>
      </c>
      <c r="L2631" s="40" t="str">
        <f>IFERROR(__xludf.DUMMYFUNCTION("IF(ISBLANK(B2631),"""",IF(Or(I2631=""Em Aberto"",ISBLANK(I2631),NOT(ISDATE(B2631))),"""",H2631))"),"")</f>
        <v/>
      </c>
      <c r="M2631" s="29" t="str">
        <f>IFERROR(__xludf.DUMMYFUNCTION("IF(ISBLANK(B2631),"""",IF(ISDATE(B2631),TEXT(B2631,""m""),""""))"),"")</f>
        <v/>
      </c>
      <c r="N2631" s="29" t="str">
        <f>IFERROR(__xludf.DUMMYFUNCTION("IF(M2631="""","""",QUERY({'Dashboard-Dados'!$Y$2:$AA$13},""Select Col2 Where Col1=""&amp;M2631))"),"")</f>
        <v/>
      </c>
      <c r="O2631" s="29" t="str">
        <f>IFERROR(__xludf.DUMMYFUNCTION("IF(ISBLANK(B2631),"""",IF(ISDATE(B2631),TEXT(B2631,""yyyy""),""""))"),"")</f>
        <v/>
      </c>
    </row>
    <row r="2632">
      <c r="B2632" s="62"/>
      <c r="C2632" s="56"/>
      <c r="D2632" s="56"/>
      <c r="E2632" s="56"/>
      <c r="F2632" s="63"/>
      <c r="G2632" s="64"/>
      <c r="H2632" s="65"/>
      <c r="I2632" s="63"/>
      <c r="K2632" s="53" t="str">
        <f>IFERROR(__xludf.DUMMYFUNCTION("IF(ISBLANK(B2632),"""",IF(ISDATE(B2632),""X"",""""))"),"")</f>
        <v/>
      </c>
      <c r="L2632" s="40" t="str">
        <f>IFERROR(__xludf.DUMMYFUNCTION("IF(ISBLANK(B2632),"""",IF(Or(I2632=""Em Aberto"",ISBLANK(I2632),NOT(ISDATE(B2632))),"""",H2632))"),"")</f>
        <v/>
      </c>
      <c r="M2632" s="29" t="str">
        <f>IFERROR(__xludf.DUMMYFUNCTION("IF(ISBLANK(B2632),"""",IF(ISDATE(B2632),TEXT(B2632,""m""),""""))"),"")</f>
        <v/>
      </c>
      <c r="N2632" s="29" t="str">
        <f>IFERROR(__xludf.DUMMYFUNCTION("IF(M2632="""","""",QUERY({'Dashboard-Dados'!$Y$2:$AA$13},""Select Col2 Where Col1=""&amp;M2632))"),"")</f>
        <v/>
      </c>
      <c r="O2632" s="29" t="str">
        <f>IFERROR(__xludf.DUMMYFUNCTION("IF(ISBLANK(B2632),"""",IF(ISDATE(B2632),TEXT(B2632,""yyyy""),""""))"),"")</f>
        <v/>
      </c>
    </row>
    <row r="2633">
      <c r="B2633" s="62"/>
      <c r="C2633" s="56"/>
      <c r="D2633" s="56"/>
      <c r="E2633" s="56"/>
      <c r="F2633" s="63"/>
      <c r="G2633" s="64"/>
      <c r="H2633" s="65"/>
      <c r="I2633" s="63"/>
      <c r="K2633" s="53" t="str">
        <f>IFERROR(__xludf.DUMMYFUNCTION("IF(ISBLANK(B2633),"""",IF(ISDATE(B2633),""X"",""""))"),"")</f>
        <v/>
      </c>
      <c r="L2633" s="40" t="str">
        <f>IFERROR(__xludf.DUMMYFUNCTION("IF(ISBLANK(B2633),"""",IF(Or(I2633=""Em Aberto"",ISBLANK(I2633),NOT(ISDATE(B2633))),"""",H2633))"),"")</f>
        <v/>
      </c>
      <c r="M2633" s="29" t="str">
        <f>IFERROR(__xludf.DUMMYFUNCTION("IF(ISBLANK(B2633),"""",IF(ISDATE(B2633),TEXT(B2633,""m""),""""))"),"")</f>
        <v/>
      </c>
      <c r="N2633" s="29" t="str">
        <f>IFERROR(__xludf.DUMMYFUNCTION("IF(M2633="""","""",QUERY({'Dashboard-Dados'!$Y$2:$AA$13},""Select Col2 Where Col1=""&amp;M2633))"),"")</f>
        <v/>
      </c>
      <c r="O2633" s="29" t="str">
        <f>IFERROR(__xludf.DUMMYFUNCTION("IF(ISBLANK(B2633),"""",IF(ISDATE(B2633),TEXT(B2633,""yyyy""),""""))"),"")</f>
        <v/>
      </c>
    </row>
    <row r="2634">
      <c r="B2634" s="62"/>
      <c r="C2634" s="56"/>
      <c r="D2634" s="56"/>
      <c r="E2634" s="56"/>
      <c r="F2634" s="63"/>
      <c r="G2634" s="64"/>
      <c r="H2634" s="65"/>
      <c r="I2634" s="63"/>
      <c r="K2634" s="53" t="str">
        <f>IFERROR(__xludf.DUMMYFUNCTION("IF(ISBLANK(B2634),"""",IF(ISDATE(B2634),""X"",""""))"),"")</f>
        <v/>
      </c>
      <c r="L2634" s="40" t="str">
        <f>IFERROR(__xludf.DUMMYFUNCTION("IF(ISBLANK(B2634),"""",IF(Or(I2634=""Em Aberto"",ISBLANK(I2634),NOT(ISDATE(B2634))),"""",H2634))"),"")</f>
        <v/>
      </c>
      <c r="M2634" s="29" t="str">
        <f>IFERROR(__xludf.DUMMYFUNCTION("IF(ISBLANK(B2634),"""",IF(ISDATE(B2634),TEXT(B2634,""m""),""""))"),"")</f>
        <v/>
      </c>
      <c r="N2634" s="29" t="str">
        <f>IFERROR(__xludf.DUMMYFUNCTION("IF(M2634="""","""",QUERY({'Dashboard-Dados'!$Y$2:$AA$13},""Select Col2 Where Col1=""&amp;M2634))"),"")</f>
        <v/>
      </c>
      <c r="O2634" s="29" t="str">
        <f>IFERROR(__xludf.DUMMYFUNCTION("IF(ISBLANK(B2634),"""",IF(ISDATE(B2634),TEXT(B2634,""yyyy""),""""))"),"")</f>
        <v/>
      </c>
    </row>
    <row r="2635">
      <c r="B2635" s="62"/>
      <c r="C2635" s="56"/>
      <c r="D2635" s="56"/>
      <c r="E2635" s="56"/>
      <c r="F2635" s="63"/>
      <c r="G2635" s="64"/>
      <c r="H2635" s="65"/>
      <c r="I2635" s="63"/>
      <c r="K2635" s="53" t="str">
        <f>IFERROR(__xludf.DUMMYFUNCTION("IF(ISBLANK(B2635),"""",IF(ISDATE(B2635),""X"",""""))"),"")</f>
        <v/>
      </c>
      <c r="L2635" s="40" t="str">
        <f>IFERROR(__xludf.DUMMYFUNCTION("IF(ISBLANK(B2635),"""",IF(Or(I2635=""Em Aberto"",ISBLANK(I2635),NOT(ISDATE(B2635))),"""",H2635))"),"")</f>
        <v/>
      </c>
      <c r="M2635" s="29" t="str">
        <f>IFERROR(__xludf.DUMMYFUNCTION("IF(ISBLANK(B2635),"""",IF(ISDATE(B2635),TEXT(B2635,""m""),""""))"),"")</f>
        <v/>
      </c>
      <c r="N2635" s="29" t="str">
        <f>IFERROR(__xludf.DUMMYFUNCTION("IF(M2635="""","""",QUERY({'Dashboard-Dados'!$Y$2:$AA$13},""Select Col2 Where Col1=""&amp;M2635))"),"")</f>
        <v/>
      </c>
      <c r="O2635" s="29" t="str">
        <f>IFERROR(__xludf.DUMMYFUNCTION("IF(ISBLANK(B2635),"""",IF(ISDATE(B2635),TEXT(B2635,""yyyy""),""""))"),"")</f>
        <v/>
      </c>
    </row>
    <row r="2636">
      <c r="B2636" s="62"/>
      <c r="C2636" s="56"/>
      <c r="D2636" s="56"/>
      <c r="E2636" s="56"/>
      <c r="F2636" s="63"/>
      <c r="G2636" s="64"/>
      <c r="H2636" s="65"/>
      <c r="I2636" s="63"/>
      <c r="K2636" s="53" t="str">
        <f>IFERROR(__xludf.DUMMYFUNCTION("IF(ISBLANK(B2636),"""",IF(ISDATE(B2636),""X"",""""))"),"")</f>
        <v/>
      </c>
      <c r="L2636" s="40" t="str">
        <f>IFERROR(__xludf.DUMMYFUNCTION("IF(ISBLANK(B2636),"""",IF(Or(I2636=""Em Aberto"",ISBLANK(I2636),NOT(ISDATE(B2636))),"""",H2636))"),"")</f>
        <v/>
      </c>
      <c r="M2636" s="29" t="str">
        <f>IFERROR(__xludf.DUMMYFUNCTION("IF(ISBLANK(B2636),"""",IF(ISDATE(B2636),TEXT(B2636,""m""),""""))"),"")</f>
        <v/>
      </c>
      <c r="N2636" s="29" t="str">
        <f>IFERROR(__xludf.DUMMYFUNCTION("IF(M2636="""","""",QUERY({'Dashboard-Dados'!$Y$2:$AA$13},""Select Col2 Where Col1=""&amp;M2636))"),"")</f>
        <v/>
      </c>
      <c r="O2636" s="29" t="str">
        <f>IFERROR(__xludf.DUMMYFUNCTION("IF(ISBLANK(B2636),"""",IF(ISDATE(B2636),TEXT(B2636,""yyyy""),""""))"),"")</f>
        <v/>
      </c>
    </row>
    <row r="2637">
      <c r="B2637" s="62"/>
      <c r="C2637" s="56"/>
      <c r="D2637" s="56"/>
      <c r="E2637" s="56"/>
      <c r="F2637" s="63"/>
      <c r="G2637" s="64"/>
      <c r="H2637" s="65"/>
      <c r="I2637" s="63"/>
      <c r="K2637" s="53" t="str">
        <f>IFERROR(__xludf.DUMMYFUNCTION("IF(ISBLANK(B2637),"""",IF(ISDATE(B2637),""X"",""""))"),"")</f>
        <v/>
      </c>
      <c r="L2637" s="40" t="str">
        <f>IFERROR(__xludf.DUMMYFUNCTION("IF(ISBLANK(B2637),"""",IF(Or(I2637=""Em Aberto"",ISBLANK(I2637),NOT(ISDATE(B2637))),"""",H2637))"),"")</f>
        <v/>
      </c>
      <c r="M2637" s="29" t="str">
        <f>IFERROR(__xludf.DUMMYFUNCTION("IF(ISBLANK(B2637),"""",IF(ISDATE(B2637),TEXT(B2637,""m""),""""))"),"")</f>
        <v/>
      </c>
      <c r="N2637" s="29" t="str">
        <f>IFERROR(__xludf.DUMMYFUNCTION("IF(M2637="""","""",QUERY({'Dashboard-Dados'!$Y$2:$AA$13},""Select Col2 Where Col1=""&amp;M2637))"),"")</f>
        <v/>
      </c>
      <c r="O2637" s="29" t="str">
        <f>IFERROR(__xludf.DUMMYFUNCTION("IF(ISBLANK(B2637),"""",IF(ISDATE(B2637),TEXT(B2637,""yyyy""),""""))"),"")</f>
        <v/>
      </c>
    </row>
    <row r="2638">
      <c r="B2638" s="62"/>
      <c r="C2638" s="56"/>
      <c r="D2638" s="56"/>
      <c r="E2638" s="56"/>
      <c r="F2638" s="63"/>
      <c r="G2638" s="64"/>
      <c r="H2638" s="65"/>
      <c r="I2638" s="63"/>
      <c r="K2638" s="53" t="str">
        <f>IFERROR(__xludf.DUMMYFUNCTION("IF(ISBLANK(B2638),"""",IF(ISDATE(B2638),""X"",""""))"),"")</f>
        <v/>
      </c>
      <c r="L2638" s="40" t="str">
        <f>IFERROR(__xludf.DUMMYFUNCTION("IF(ISBLANK(B2638),"""",IF(Or(I2638=""Em Aberto"",ISBLANK(I2638),NOT(ISDATE(B2638))),"""",H2638))"),"")</f>
        <v/>
      </c>
      <c r="M2638" s="29" t="str">
        <f>IFERROR(__xludf.DUMMYFUNCTION("IF(ISBLANK(B2638),"""",IF(ISDATE(B2638),TEXT(B2638,""m""),""""))"),"")</f>
        <v/>
      </c>
      <c r="N2638" s="29" t="str">
        <f>IFERROR(__xludf.DUMMYFUNCTION("IF(M2638="""","""",QUERY({'Dashboard-Dados'!$Y$2:$AA$13},""Select Col2 Where Col1=""&amp;M2638))"),"")</f>
        <v/>
      </c>
      <c r="O2638" s="29" t="str">
        <f>IFERROR(__xludf.DUMMYFUNCTION("IF(ISBLANK(B2638),"""",IF(ISDATE(B2638),TEXT(B2638,""yyyy""),""""))"),"")</f>
        <v/>
      </c>
    </row>
    <row r="2639">
      <c r="B2639" s="62"/>
      <c r="C2639" s="56"/>
      <c r="D2639" s="56"/>
      <c r="E2639" s="56"/>
      <c r="F2639" s="63"/>
      <c r="G2639" s="64"/>
      <c r="H2639" s="65"/>
      <c r="I2639" s="63"/>
      <c r="K2639" s="53" t="str">
        <f>IFERROR(__xludf.DUMMYFUNCTION("IF(ISBLANK(B2639),"""",IF(ISDATE(B2639),""X"",""""))"),"")</f>
        <v/>
      </c>
      <c r="L2639" s="40" t="str">
        <f>IFERROR(__xludf.DUMMYFUNCTION("IF(ISBLANK(B2639),"""",IF(Or(I2639=""Em Aberto"",ISBLANK(I2639),NOT(ISDATE(B2639))),"""",H2639))"),"")</f>
        <v/>
      </c>
      <c r="M2639" s="29" t="str">
        <f>IFERROR(__xludf.DUMMYFUNCTION("IF(ISBLANK(B2639),"""",IF(ISDATE(B2639),TEXT(B2639,""m""),""""))"),"")</f>
        <v/>
      </c>
      <c r="N2639" s="29" t="str">
        <f>IFERROR(__xludf.DUMMYFUNCTION("IF(M2639="""","""",QUERY({'Dashboard-Dados'!$Y$2:$AA$13},""Select Col2 Where Col1=""&amp;M2639))"),"")</f>
        <v/>
      </c>
      <c r="O2639" s="29" t="str">
        <f>IFERROR(__xludf.DUMMYFUNCTION("IF(ISBLANK(B2639),"""",IF(ISDATE(B2639),TEXT(B2639,""yyyy""),""""))"),"")</f>
        <v/>
      </c>
    </row>
    <row r="2640">
      <c r="B2640" s="62"/>
      <c r="C2640" s="56"/>
      <c r="D2640" s="56"/>
      <c r="E2640" s="56"/>
      <c r="F2640" s="63"/>
      <c r="G2640" s="64"/>
      <c r="H2640" s="65"/>
      <c r="I2640" s="63"/>
      <c r="K2640" s="53" t="str">
        <f>IFERROR(__xludf.DUMMYFUNCTION("IF(ISBLANK(B2640),"""",IF(ISDATE(B2640),""X"",""""))"),"")</f>
        <v/>
      </c>
      <c r="L2640" s="40" t="str">
        <f>IFERROR(__xludf.DUMMYFUNCTION("IF(ISBLANK(B2640),"""",IF(Or(I2640=""Em Aberto"",ISBLANK(I2640),NOT(ISDATE(B2640))),"""",H2640))"),"")</f>
        <v/>
      </c>
      <c r="M2640" s="29" t="str">
        <f>IFERROR(__xludf.DUMMYFUNCTION("IF(ISBLANK(B2640),"""",IF(ISDATE(B2640),TEXT(B2640,""m""),""""))"),"")</f>
        <v/>
      </c>
      <c r="N2640" s="29" t="str">
        <f>IFERROR(__xludf.DUMMYFUNCTION("IF(M2640="""","""",QUERY({'Dashboard-Dados'!$Y$2:$AA$13},""Select Col2 Where Col1=""&amp;M2640))"),"")</f>
        <v/>
      </c>
      <c r="O2640" s="29" t="str">
        <f>IFERROR(__xludf.DUMMYFUNCTION("IF(ISBLANK(B2640),"""",IF(ISDATE(B2640),TEXT(B2640,""yyyy""),""""))"),"")</f>
        <v/>
      </c>
    </row>
    <row r="2641">
      <c r="B2641" s="62"/>
      <c r="C2641" s="56"/>
      <c r="D2641" s="56"/>
      <c r="E2641" s="56"/>
      <c r="F2641" s="63"/>
      <c r="G2641" s="64"/>
      <c r="H2641" s="65"/>
      <c r="I2641" s="63"/>
      <c r="K2641" s="53" t="str">
        <f>IFERROR(__xludf.DUMMYFUNCTION("IF(ISBLANK(B2641),"""",IF(ISDATE(B2641),""X"",""""))"),"")</f>
        <v/>
      </c>
      <c r="L2641" s="40" t="str">
        <f>IFERROR(__xludf.DUMMYFUNCTION("IF(ISBLANK(B2641),"""",IF(Or(I2641=""Em Aberto"",ISBLANK(I2641),NOT(ISDATE(B2641))),"""",H2641))"),"")</f>
        <v/>
      </c>
      <c r="M2641" s="29" t="str">
        <f>IFERROR(__xludf.DUMMYFUNCTION("IF(ISBLANK(B2641),"""",IF(ISDATE(B2641),TEXT(B2641,""m""),""""))"),"")</f>
        <v/>
      </c>
      <c r="N2641" s="29" t="str">
        <f>IFERROR(__xludf.DUMMYFUNCTION("IF(M2641="""","""",QUERY({'Dashboard-Dados'!$Y$2:$AA$13},""Select Col2 Where Col1=""&amp;M2641))"),"")</f>
        <v/>
      </c>
      <c r="O2641" s="29" t="str">
        <f>IFERROR(__xludf.DUMMYFUNCTION("IF(ISBLANK(B2641),"""",IF(ISDATE(B2641),TEXT(B2641,""yyyy""),""""))"),"")</f>
        <v/>
      </c>
    </row>
    <row r="2642">
      <c r="B2642" s="62"/>
      <c r="C2642" s="56"/>
      <c r="D2642" s="56"/>
      <c r="E2642" s="56"/>
      <c r="F2642" s="63"/>
      <c r="G2642" s="64"/>
      <c r="H2642" s="65"/>
      <c r="I2642" s="63"/>
      <c r="K2642" s="53" t="str">
        <f>IFERROR(__xludf.DUMMYFUNCTION("IF(ISBLANK(B2642),"""",IF(ISDATE(B2642),""X"",""""))"),"")</f>
        <v/>
      </c>
      <c r="L2642" s="40" t="str">
        <f>IFERROR(__xludf.DUMMYFUNCTION("IF(ISBLANK(B2642),"""",IF(Or(I2642=""Em Aberto"",ISBLANK(I2642),NOT(ISDATE(B2642))),"""",H2642))"),"")</f>
        <v/>
      </c>
      <c r="M2642" s="29" t="str">
        <f>IFERROR(__xludf.DUMMYFUNCTION("IF(ISBLANK(B2642),"""",IF(ISDATE(B2642),TEXT(B2642,""m""),""""))"),"")</f>
        <v/>
      </c>
      <c r="N2642" s="29" t="str">
        <f>IFERROR(__xludf.DUMMYFUNCTION("IF(M2642="""","""",QUERY({'Dashboard-Dados'!$Y$2:$AA$13},""Select Col2 Where Col1=""&amp;M2642))"),"")</f>
        <v/>
      </c>
      <c r="O2642" s="29" t="str">
        <f>IFERROR(__xludf.DUMMYFUNCTION("IF(ISBLANK(B2642),"""",IF(ISDATE(B2642),TEXT(B2642,""yyyy""),""""))"),"")</f>
        <v/>
      </c>
    </row>
    <row r="2643">
      <c r="B2643" s="62"/>
      <c r="C2643" s="56"/>
      <c r="D2643" s="56"/>
      <c r="E2643" s="56"/>
      <c r="F2643" s="63"/>
      <c r="G2643" s="64"/>
      <c r="H2643" s="65"/>
      <c r="I2643" s="63"/>
      <c r="K2643" s="53" t="str">
        <f>IFERROR(__xludf.DUMMYFUNCTION("IF(ISBLANK(B2643),"""",IF(ISDATE(B2643),""X"",""""))"),"")</f>
        <v/>
      </c>
      <c r="L2643" s="40" t="str">
        <f>IFERROR(__xludf.DUMMYFUNCTION("IF(ISBLANK(B2643),"""",IF(Or(I2643=""Em Aberto"",ISBLANK(I2643),NOT(ISDATE(B2643))),"""",H2643))"),"")</f>
        <v/>
      </c>
      <c r="M2643" s="29" t="str">
        <f>IFERROR(__xludf.DUMMYFUNCTION("IF(ISBLANK(B2643),"""",IF(ISDATE(B2643),TEXT(B2643,""m""),""""))"),"")</f>
        <v/>
      </c>
      <c r="N2643" s="29" t="str">
        <f>IFERROR(__xludf.DUMMYFUNCTION("IF(M2643="""","""",QUERY({'Dashboard-Dados'!$Y$2:$AA$13},""Select Col2 Where Col1=""&amp;M2643))"),"")</f>
        <v/>
      </c>
      <c r="O2643" s="29" t="str">
        <f>IFERROR(__xludf.DUMMYFUNCTION("IF(ISBLANK(B2643),"""",IF(ISDATE(B2643),TEXT(B2643,""yyyy""),""""))"),"")</f>
        <v/>
      </c>
    </row>
    <row r="2644">
      <c r="B2644" s="62"/>
      <c r="C2644" s="56"/>
      <c r="D2644" s="56"/>
      <c r="E2644" s="56"/>
      <c r="F2644" s="63"/>
      <c r="G2644" s="64"/>
      <c r="H2644" s="65"/>
      <c r="I2644" s="63"/>
      <c r="K2644" s="53" t="str">
        <f>IFERROR(__xludf.DUMMYFUNCTION("IF(ISBLANK(B2644),"""",IF(ISDATE(B2644),""X"",""""))"),"")</f>
        <v/>
      </c>
      <c r="L2644" s="40" t="str">
        <f>IFERROR(__xludf.DUMMYFUNCTION("IF(ISBLANK(B2644),"""",IF(Or(I2644=""Em Aberto"",ISBLANK(I2644),NOT(ISDATE(B2644))),"""",H2644))"),"")</f>
        <v/>
      </c>
      <c r="M2644" s="29" t="str">
        <f>IFERROR(__xludf.DUMMYFUNCTION("IF(ISBLANK(B2644),"""",IF(ISDATE(B2644),TEXT(B2644,""m""),""""))"),"")</f>
        <v/>
      </c>
      <c r="N2644" s="29" t="str">
        <f>IFERROR(__xludf.DUMMYFUNCTION("IF(M2644="""","""",QUERY({'Dashboard-Dados'!$Y$2:$AA$13},""Select Col2 Where Col1=""&amp;M2644))"),"")</f>
        <v/>
      </c>
      <c r="O2644" s="29" t="str">
        <f>IFERROR(__xludf.DUMMYFUNCTION("IF(ISBLANK(B2644),"""",IF(ISDATE(B2644),TEXT(B2644,""yyyy""),""""))"),"")</f>
        <v/>
      </c>
    </row>
    <row r="2645">
      <c r="B2645" s="62"/>
      <c r="C2645" s="56"/>
      <c r="D2645" s="56"/>
      <c r="E2645" s="56"/>
      <c r="F2645" s="63"/>
      <c r="G2645" s="64"/>
      <c r="H2645" s="65"/>
      <c r="I2645" s="63"/>
      <c r="K2645" s="53" t="str">
        <f>IFERROR(__xludf.DUMMYFUNCTION("IF(ISBLANK(B2645),"""",IF(ISDATE(B2645),""X"",""""))"),"")</f>
        <v/>
      </c>
      <c r="L2645" s="40" t="str">
        <f>IFERROR(__xludf.DUMMYFUNCTION("IF(ISBLANK(B2645),"""",IF(Or(I2645=""Em Aberto"",ISBLANK(I2645),NOT(ISDATE(B2645))),"""",H2645))"),"")</f>
        <v/>
      </c>
      <c r="M2645" s="29" t="str">
        <f>IFERROR(__xludf.DUMMYFUNCTION("IF(ISBLANK(B2645),"""",IF(ISDATE(B2645),TEXT(B2645,""m""),""""))"),"")</f>
        <v/>
      </c>
      <c r="N2645" s="29" t="str">
        <f>IFERROR(__xludf.DUMMYFUNCTION("IF(M2645="""","""",QUERY({'Dashboard-Dados'!$Y$2:$AA$13},""Select Col2 Where Col1=""&amp;M2645))"),"")</f>
        <v/>
      </c>
      <c r="O2645" s="29" t="str">
        <f>IFERROR(__xludf.DUMMYFUNCTION("IF(ISBLANK(B2645),"""",IF(ISDATE(B2645),TEXT(B2645,""yyyy""),""""))"),"")</f>
        <v/>
      </c>
    </row>
    <row r="2646">
      <c r="B2646" s="62"/>
      <c r="C2646" s="56"/>
      <c r="D2646" s="56"/>
      <c r="E2646" s="56"/>
      <c r="F2646" s="63"/>
      <c r="G2646" s="64"/>
      <c r="H2646" s="65"/>
      <c r="I2646" s="63"/>
      <c r="K2646" s="53" t="str">
        <f>IFERROR(__xludf.DUMMYFUNCTION("IF(ISBLANK(B2646),"""",IF(ISDATE(B2646),""X"",""""))"),"")</f>
        <v/>
      </c>
      <c r="L2646" s="40" t="str">
        <f>IFERROR(__xludf.DUMMYFUNCTION("IF(ISBLANK(B2646),"""",IF(Or(I2646=""Em Aberto"",ISBLANK(I2646),NOT(ISDATE(B2646))),"""",H2646))"),"")</f>
        <v/>
      </c>
      <c r="M2646" s="29" t="str">
        <f>IFERROR(__xludf.DUMMYFUNCTION("IF(ISBLANK(B2646),"""",IF(ISDATE(B2646),TEXT(B2646,""m""),""""))"),"")</f>
        <v/>
      </c>
      <c r="N2646" s="29" t="str">
        <f>IFERROR(__xludf.DUMMYFUNCTION("IF(M2646="""","""",QUERY({'Dashboard-Dados'!$Y$2:$AA$13},""Select Col2 Where Col1=""&amp;M2646))"),"")</f>
        <v/>
      </c>
      <c r="O2646" s="29" t="str">
        <f>IFERROR(__xludf.DUMMYFUNCTION("IF(ISBLANK(B2646),"""",IF(ISDATE(B2646),TEXT(B2646,""yyyy""),""""))"),"")</f>
        <v/>
      </c>
    </row>
    <row r="2647">
      <c r="B2647" s="62"/>
      <c r="C2647" s="56"/>
      <c r="D2647" s="56"/>
      <c r="E2647" s="56"/>
      <c r="F2647" s="63"/>
      <c r="G2647" s="64"/>
      <c r="H2647" s="65"/>
      <c r="I2647" s="63"/>
      <c r="K2647" s="53" t="str">
        <f>IFERROR(__xludf.DUMMYFUNCTION("IF(ISBLANK(B2647),"""",IF(ISDATE(B2647),""X"",""""))"),"")</f>
        <v/>
      </c>
      <c r="L2647" s="40" t="str">
        <f>IFERROR(__xludf.DUMMYFUNCTION("IF(ISBLANK(B2647),"""",IF(Or(I2647=""Em Aberto"",ISBLANK(I2647),NOT(ISDATE(B2647))),"""",H2647))"),"")</f>
        <v/>
      </c>
      <c r="M2647" s="29" t="str">
        <f>IFERROR(__xludf.DUMMYFUNCTION("IF(ISBLANK(B2647),"""",IF(ISDATE(B2647),TEXT(B2647,""m""),""""))"),"")</f>
        <v/>
      </c>
      <c r="N2647" s="29" t="str">
        <f>IFERROR(__xludf.DUMMYFUNCTION("IF(M2647="""","""",QUERY({'Dashboard-Dados'!$Y$2:$AA$13},""Select Col2 Where Col1=""&amp;M2647))"),"")</f>
        <v/>
      </c>
      <c r="O2647" s="29" t="str">
        <f>IFERROR(__xludf.DUMMYFUNCTION("IF(ISBLANK(B2647),"""",IF(ISDATE(B2647),TEXT(B2647,""yyyy""),""""))"),"")</f>
        <v/>
      </c>
    </row>
    <row r="2648">
      <c r="B2648" s="62"/>
      <c r="C2648" s="56"/>
      <c r="D2648" s="56"/>
      <c r="E2648" s="56"/>
      <c r="F2648" s="63"/>
      <c r="G2648" s="64"/>
      <c r="H2648" s="65"/>
      <c r="I2648" s="63"/>
      <c r="K2648" s="53" t="str">
        <f>IFERROR(__xludf.DUMMYFUNCTION("IF(ISBLANK(B2648),"""",IF(ISDATE(B2648),""X"",""""))"),"")</f>
        <v/>
      </c>
      <c r="L2648" s="40" t="str">
        <f>IFERROR(__xludf.DUMMYFUNCTION("IF(ISBLANK(B2648),"""",IF(Or(I2648=""Em Aberto"",ISBLANK(I2648),NOT(ISDATE(B2648))),"""",H2648))"),"")</f>
        <v/>
      </c>
      <c r="M2648" s="29" t="str">
        <f>IFERROR(__xludf.DUMMYFUNCTION("IF(ISBLANK(B2648),"""",IF(ISDATE(B2648),TEXT(B2648,""m""),""""))"),"")</f>
        <v/>
      </c>
      <c r="N2648" s="29" t="str">
        <f>IFERROR(__xludf.DUMMYFUNCTION("IF(M2648="""","""",QUERY({'Dashboard-Dados'!$Y$2:$AA$13},""Select Col2 Where Col1=""&amp;M2648))"),"")</f>
        <v/>
      </c>
      <c r="O2648" s="29" t="str">
        <f>IFERROR(__xludf.DUMMYFUNCTION("IF(ISBLANK(B2648),"""",IF(ISDATE(B2648),TEXT(B2648,""yyyy""),""""))"),"")</f>
        <v/>
      </c>
    </row>
    <row r="2649">
      <c r="B2649" s="62"/>
      <c r="C2649" s="56"/>
      <c r="D2649" s="56"/>
      <c r="E2649" s="56"/>
      <c r="F2649" s="63"/>
      <c r="G2649" s="64"/>
      <c r="H2649" s="65"/>
      <c r="I2649" s="63"/>
      <c r="K2649" s="53" t="str">
        <f>IFERROR(__xludf.DUMMYFUNCTION("IF(ISBLANK(B2649),"""",IF(ISDATE(B2649),""X"",""""))"),"")</f>
        <v/>
      </c>
      <c r="L2649" s="40" t="str">
        <f>IFERROR(__xludf.DUMMYFUNCTION("IF(ISBLANK(B2649),"""",IF(Or(I2649=""Em Aberto"",ISBLANK(I2649),NOT(ISDATE(B2649))),"""",H2649))"),"")</f>
        <v/>
      </c>
      <c r="M2649" s="29" t="str">
        <f>IFERROR(__xludf.DUMMYFUNCTION("IF(ISBLANK(B2649),"""",IF(ISDATE(B2649),TEXT(B2649,""m""),""""))"),"")</f>
        <v/>
      </c>
      <c r="N2649" s="29" t="str">
        <f>IFERROR(__xludf.DUMMYFUNCTION("IF(M2649="""","""",QUERY({'Dashboard-Dados'!$Y$2:$AA$13},""Select Col2 Where Col1=""&amp;M2649))"),"")</f>
        <v/>
      </c>
      <c r="O2649" s="29" t="str">
        <f>IFERROR(__xludf.DUMMYFUNCTION("IF(ISBLANK(B2649),"""",IF(ISDATE(B2649),TEXT(B2649,""yyyy""),""""))"),"")</f>
        <v/>
      </c>
    </row>
    <row r="2650">
      <c r="B2650" s="62"/>
      <c r="C2650" s="56"/>
      <c r="D2650" s="56"/>
      <c r="E2650" s="56"/>
      <c r="F2650" s="63"/>
      <c r="G2650" s="64"/>
      <c r="H2650" s="65"/>
      <c r="I2650" s="63"/>
      <c r="K2650" s="53" t="str">
        <f>IFERROR(__xludf.DUMMYFUNCTION("IF(ISBLANK(B2650),"""",IF(ISDATE(B2650),""X"",""""))"),"")</f>
        <v/>
      </c>
      <c r="L2650" s="40" t="str">
        <f>IFERROR(__xludf.DUMMYFUNCTION("IF(ISBLANK(B2650),"""",IF(Or(I2650=""Em Aberto"",ISBLANK(I2650),NOT(ISDATE(B2650))),"""",H2650))"),"")</f>
        <v/>
      </c>
      <c r="M2650" s="29" t="str">
        <f>IFERROR(__xludf.DUMMYFUNCTION("IF(ISBLANK(B2650),"""",IF(ISDATE(B2650),TEXT(B2650,""m""),""""))"),"")</f>
        <v/>
      </c>
      <c r="N2650" s="29" t="str">
        <f>IFERROR(__xludf.DUMMYFUNCTION("IF(M2650="""","""",QUERY({'Dashboard-Dados'!$Y$2:$AA$13},""Select Col2 Where Col1=""&amp;M2650))"),"")</f>
        <v/>
      </c>
      <c r="O2650" s="29" t="str">
        <f>IFERROR(__xludf.DUMMYFUNCTION("IF(ISBLANK(B2650),"""",IF(ISDATE(B2650),TEXT(B2650,""yyyy""),""""))"),"")</f>
        <v/>
      </c>
    </row>
    <row r="2651">
      <c r="B2651" s="62"/>
      <c r="C2651" s="56"/>
      <c r="D2651" s="56"/>
      <c r="E2651" s="56"/>
      <c r="F2651" s="63"/>
      <c r="G2651" s="64"/>
      <c r="H2651" s="65"/>
      <c r="I2651" s="63"/>
      <c r="K2651" s="53" t="str">
        <f>IFERROR(__xludf.DUMMYFUNCTION("IF(ISBLANK(B2651),"""",IF(ISDATE(B2651),""X"",""""))"),"")</f>
        <v/>
      </c>
      <c r="L2651" s="40" t="str">
        <f>IFERROR(__xludf.DUMMYFUNCTION("IF(ISBLANK(B2651),"""",IF(Or(I2651=""Em Aberto"",ISBLANK(I2651),NOT(ISDATE(B2651))),"""",H2651))"),"")</f>
        <v/>
      </c>
      <c r="M2651" s="29" t="str">
        <f>IFERROR(__xludf.DUMMYFUNCTION("IF(ISBLANK(B2651),"""",IF(ISDATE(B2651),TEXT(B2651,""m""),""""))"),"")</f>
        <v/>
      </c>
      <c r="N2651" s="29" t="str">
        <f>IFERROR(__xludf.DUMMYFUNCTION("IF(M2651="""","""",QUERY({'Dashboard-Dados'!$Y$2:$AA$13},""Select Col2 Where Col1=""&amp;M2651))"),"")</f>
        <v/>
      </c>
      <c r="O2651" s="29" t="str">
        <f>IFERROR(__xludf.DUMMYFUNCTION("IF(ISBLANK(B2651),"""",IF(ISDATE(B2651),TEXT(B2651,""yyyy""),""""))"),"")</f>
        <v/>
      </c>
    </row>
    <row r="2652">
      <c r="B2652" s="62"/>
      <c r="C2652" s="56"/>
      <c r="D2652" s="56"/>
      <c r="E2652" s="56"/>
      <c r="F2652" s="63"/>
      <c r="G2652" s="64"/>
      <c r="H2652" s="65"/>
      <c r="I2652" s="63"/>
      <c r="K2652" s="53" t="str">
        <f>IFERROR(__xludf.DUMMYFUNCTION("IF(ISBLANK(B2652),"""",IF(ISDATE(B2652),""X"",""""))"),"")</f>
        <v/>
      </c>
      <c r="L2652" s="40" t="str">
        <f>IFERROR(__xludf.DUMMYFUNCTION("IF(ISBLANK(B2652),"""",IF(Or(I2652=""Em Aberto"",ISBLANK(I2652),NOT(ISDATE(B2652))),"""",H2652))"),"")</f>
        <v/>
      </c>
      <c r="M2652" s="29" t="str">
        <f>IFERROR(__xludf.DUMMYFUNCTION("IF(ISBLANK(B2652),"""",IF(ISDATE(B2652),TEXT(B2652,""m""),""""))"),"")</f>
        <v/>
      </c>
      <c r="N2652" s="29" t="str">
        <f>IFERROR(__xludf.DUMMYFUNCTION("IF(M2652="""","""",QUERY({'Dashboard-Dados'!$Y$2:$AA$13},""Select Col2 Where Col1=""&amp;M2652))"),"")</f>
        <v/>
      </c>
      <c r="O2652" s="29" t="str">
        <f>IFERROR(__xludf.DUMMYFUNCTION("IF(ISBLANK(B2652),"""",IF(ISDATE(B2652),TEXT(B2652,""yyyy""),""""))"),"")</f>
        <v/>
      </c>
    </row>
    <row r="2653">
      <c r="B2653" s="62"/>
      <c r="C2653" s="56"/>
      <c r="D2653" s="56"/>
      <c r="E2653" s="56"/>
      <c r="F2653" s="63"/>
      <c r="G2653" s="64"/>
      <c r="H2653" s="65"/>
      <c r="I2653" s="63"/>
      <c r="K2653" s="53" t="str">
        <f>IFERROR(__xludf.DUMMYFUNCTION("IF(ISBLANK(B2653),"""",IF(ISDATE(B2653),""X"",""""))"),"")</f>
        <v/>
      </c>
      <c r="L2653" s="40" t="str">
        <f>IFERROR(__xludf.DUMMYFUNCTION("IF(ISBLANK(B2653),"""",IF(Or(I2653=""Em Aberto"",ISBLANK(I2653),NOT(ISDATE(B2653))),"""",H2653))"),"")</f>
        <v/>
      </c>
      <c r="M2653" s="29" t="str">
        <f>IFERROR(__xludf.DUMMYFUNCTION("IF(ISBLANK(B2653),"""",IF(ISDATE(B2653),TEXT(B2653,""m""),""""))"),"")</f>
        <v/>
      </c>
      <c r="N2653" s="29" t="str">
        <f>IFERROR(__xludf.DUMMYFUNCTION("IF(M2653="""","""",QUERY({'Dashboard-Dados'!$Y$2:$AA$13},""Select Col2 Where Col1=""&amp;M2653))"),"")</f>
        <v/>
      </c>
      <c r="O2653" s="29" t="str">
        <f>IFERROR(__xludf.DUMMYFUNCTION("IF(ISBLANK(B2653),"""",IF(ISDATE(B2653),TEXT(B2653,""yyyy""),""""))"),"")</f>
        <v/>
      </c>
    </row>
    <row r="2654">
      <c r="B2654" s="62"/>
      <c r="C2654" s="56"/>
      <c r="D2654" s="56"/>
      <c r="E2654" s="56"/>
      <c r="F2654" s="63"/>
      <c r="G2654" s="64"/>
      <c r="H2654" s="65"/>
      <c r="I2654" s="63"/>
      <c r="K2654" s="53" t="str">
        <f>IFERROR(__xludf.DUMMYFUNCTION("IF(ISBLANK(B2654),"""",IF(ISDATE(B2654),""X"",""""))"),"")</f>
        <v/>
      </c>
      <c r="L2654" s="40" t="str">
        <f>IFERROR(__xludf.DUMMYFUNCTION("IF(ISBLANK(B2654),"""",IF(Or(I2654=""Em Aberto"",ISBLANK(I2654),NOT(ISDATE(B2654))),"""",H2654))"),"")</f>
        <v/>
      </c>
      <c r="M2654" s="29" t="str">
        <f>IFERROR(__xludf.DUMMYFUNCTION("IF(ISBLANK(B2654),"""",IF(ISDATE(B2654),TEXT(B2654,""m""),""""))"),"")</f>
        <v/>
      </c>
      <c r="N2654" s="29" t="str">
        <f>IFERROR(__xludf.DUMMYFUNCTION("IF(M2654="""","""",QUERY({'Dashboard-Dados'!$Y$2:$AA$13},""Select Col2 Where Col1=""&amp;M2654))"),"")</f>
        <v/>
      </c>
      <c r="O2654" s="29" t="str">
        <f>IFERROR(__xludf.DUMMYFUNCTION("IF(ISBLANK(B2654),"""",IF(ISDATE(B2654),TEXT(B2654,""yyyy""),""""))"),"")</f>
        <v/>
      </c>
    </row>
    <row r="2655">
      <c r="B2655" s="62"/>
      <c r="C2655" s="56"/>
      <c r="D2655" s="56"/>
      <c r="E2655" s="56"/>
      <c r="F2655" s="63"/>
      <c r="G2655" s="64"/>
      <c r="H2655" s="65"/>
      <c r="I2655" s="63"/>
      <c r="K2655" s="53" t="str">
        <f>IFERROR(__xludf.DUMMYFUNCTION("IF(ISBLANK(B2655),"""",IF(ISDATE(B2655),""X"",""""))"),"")</f>
        <v/>
      </c>
      <c r="L2655" s="40" t="str">
        <f>IFERROR(__xludf.DUMMYFUNCTION("IF(ISBLANK(B2655),"""",IF(Or(I2655=""Em Aberto"",ISBLANK(I2655),NOT(ISDATE(B2655))),"""",H2655))"),"")</f>
        <v/>
      </c>
      <c r="M2655" s="29" t="str">
        <f>IFERROR(__xludf.DUMMYFUNCTION("IF(ISBLANK(B2655),"""",IF(ISDATE(B2655),TEXT(B2655,""m""),""""))"),"")</f>
        <v/>
      </c>
      <c r="N2655" s="29" t="str">
        <f>IFERROR(__xludf.DUMMYFUNCTION("IF(M2655="""","""",QUERY({'Dashboard-Dados'!$Y$2:$AA$13},""Select Col2 Where Col1=""&amp;M2655))"),"")</f>
        <v/>
      </c>
      <c r="O2655" s="29" t="str">
        <f>IFERROR(__xludf.DUMMYFUNCTION("IF(ISBLANK(B2655),"""",IF(ISDATE(B2655),TEXT(B2655,""yyyy""),""""))"),"")</f>
        <v/>
      </c>
    </row>
    <row r="2656">
      <c r="B2656" s="62"/>
      <c r="C2656" s="56"/>
      <c r="D2656" s="56"/>
      <c r="E2656" s="56"/>
      <c r="F2656" s="63"/>
      <c r="G2656" s="64"/>
      <c r="H2656" s="65"/>
      <c r="I2656" s="63"/>
      <c r="K2656" s="53" t="str">
        <f>IFERROR(__xludf.DUMMYFUNCTION("IF(ISBLANK(B2656),"""",IF(ISDATE(B2656),""X"",""""))"),"")</f>
        <v/>
      </c>
      <c r="L2656" s="40" t="str">
        <f>IFERROR(__xludf.DUMMYFUNCTION("IF(ISBLANK(B2656),"""",IF(Or(I2656=""Em Aberto"",ISBLANK(I2656),NOT(ISDATE(B2656))),"""",H2656))"),"")</f>
        <v/>
      </c>
      <c r="M2656" s="29" t="str">
        <f>IFERROR(__xludf.DUMMYFUNCTION("IF(ISBLANK(B2656),"""",IF(ISDATE(B2656),TEXT(B2656,""m""),""""))"),"")</f>
        <v/>
      </c>
      <c r="N2656" s="29" t="str">
        <f>IFERROR(__xludf.DUMMYFUNCTION("IF(M2656="""","""",QUERY({'Dashboard-Dados'!$Y$2:$AA$13},""Select Col2 Where Col1=""&amp;M2656))"),"")</f>
        <v/>
      </c>
      <c r="O2656" s="29" t="str">
        <f>IFERROR(__xludf.DUMMYFUNCTION("IF(ISBLANK(B2656),"""",IF(ISDATE(B2656),TEXT(B2656,""yyyy""),""""))"),"")</f>
        <v/>
      </c>
    </row>
    <row r="2657">
      <c r="B2657" s="62"/>
      <c r="C2657" s="56"/>
      <c r="D2657" s="56"/>
      <c r="E2657" s="56"/>
      <c r="F2657" s="63"/>
      <c r="G2657" s="64"/>
      <c r="H2657" s="65"/>
      <c r="I2657" s="63"/>
      <c r="K2657" s="53" t="str">
        <f>IFERROR(__xludf.DUMMYFUNCTION("IF(ISBLANK(B2657),"""",IF(ISDATE(B2657),""X"",""""))"),"")</f>
        <v/>
      </c>
      <c r="L2657" s="40" t="str">
        <f>IFERROR(__xludf.DUMMYFUNCTION("IF(ISBLANK(B2657),"""",IF(Or(I2657=""Em Aberto"",ISBLANK(I2657),NOT(ISDATE(B2657))),"""",H2657))"),"")</f>
        <v/>
      </c>
      <c r="M2657" s="29" t="str">
        <f>IFERROR(__xludf.DUMMYFUNCTION("IF(ISBLANK(B2657),"""",IF(ISDATE(B2657),TEXT(B2657,""m""),""""))"),"")</f>
        <v/>
      </c>
      <c r="N2657" s="29" t="str">
        <f>IFERROR(__xludf.DUMMYFUNCTION("IF(M2657="""","""",QUERY({'Dashboard-Dados'!$Y$2:$AA$13},""Select Col2 Where Col1=""&amp;M2657))"),"")</f>
        <v/>
      </c>
      <c r="O2657" s="29" t="str">
        <f>IFERROR(__xludf.DUMMYFUNCTION("IF(ISBLANK(B2657),"""",IF(ISDATE(B2657),TEXT(B2657,""yyyy""),""""))"),"")</f>
        <v/>
      </c>
    </row>
    <row r="2658">
      <c r="B2658" s="62"/>
      <c r="C2658" s="56"/>
      <c r="D2658" s="56"/>
      <c r="E2658" s="56"/>
      <c r="F2658" s="63"/>
      <c r="G2658" s="64"/>
      <c r="H2658" s="65"/>
      <c r="I2658" s="63"/>
      <c r="K2658" s="53" t="str">
        <f>IFERROR(__xludf.DUMMYFUNCTION("IF(ISBLANK(B2658),"""",IF(ISDATE(B2658),""X"",""""))"),"")</f>
        <v/>
      </c>
      <c r="L2658" s="40" t="str">
        <f>IFERROR(__xludf.DUMMYFUNCTION("IF(ISBLANK(B2658),"""",IF(Or(I2658=""Em Aberto"",ISBLANK(I2658),NOT(ISDATE(B2658))),"""",H2658))"),"")</f>
        <v/>
      </c>
      <c r="M2658" s="29" t="str">
        <f>IFERROR(__xludf.DUMMYFUNCTION("IF(ISBLANK(B2658),"""",IF(ISDATE(B2658),TEXT(B2658,""m""),""""))"),"")</f>
        <v/>
      </c>
      <c r="N2658" s="29" t="str">
        <f>IFERROR(__xludf.DUMMYFUNCTION("IF(M2658="""","""",QUERY({'Dashboard-Dados'!$Y$2:$AA$13},""Select Col2 Where Col1=""&amp;M2658))"),"")</f>
        <v/>
      </c>
      <c r="O2658" s="29" t="str">
        <f>IFERROR(__xludf.DUMMYFUNCTION("IF(ISBLANK(B2658),"""",IF(ISDATE(B2658),TEXT(B2658,""yyyy""),""""))"),"")</f>
        <v/>
      </c>
    </row>
    <row r="2659">
      <c r="B2659" s="62"/>
      <c r="C2659" s="56"/>
      <c r="D2659" s="56"/>
      <c r="E2659" s="56"/>
      <c r="F2659" s="63"/>
      <c r="G2659" s="64"/>
      <c r="H2659" s="65"/>
      <c r="I2659" s="63"/>
      <c r="K2659" s="53" t="str">
        <f>IFERROR(__xludf.DUMMYFUNCTION("IF(ISBLANK(B2659),"""",IF(ISDATE(B2659),""X"",""""))"),"")</f>
        <v/>
      </c>
      <c r="L2659" s="40" t="str">
        <f>IFERROR(__xludf.DUMMYFUNCTION("IF(ISBLANK(B2659),"""",IF(Or(I2659=""Em Aberto"",ISBLANK(I2659),NOT(ISDATE(B2659))),"""",H2659))"),"")</f>
        <v/>
      </c>
      <c r="M2659" s="29" t="str">
        <f>IFERROR(__xludf.DUMMYFUNCTION("IF(ISBLANK(B2659),"""",IF(ISDATE(B2659),TEXT(B2659,""m""),""""))"),"")</f>
        <v/>
      </c>
      <c r="N2659" s="29" t="str">
        <f>IFERROR(__xludf.DUMMYFUNCTION("IF(M2659="""","""",QUERY({'Dashboard-Dados'!$Y$2:$AA$13},""Select Col2 Where Col1=""&amp;M2659))"),"")</f>
        <v/>
      </c>
      <c r="O2659" s="29" t="str">
        <f>IFERROR(__xludf.DUMMYFUNCTION("IF(ISBLANK(B2659),"""",IF(ISDATE(B2659),TEXT(B2659,""yyyy""),""""))"),"")</f>
        <v/>
      </c>
    </row>
    <row r="2660">
      <c r="B2660" s="62"/>
      <c r="C2660" s="56"/>
      <c r="D2660" s="56"/>
      <c r="E2660" s="56"/>
      <c r="F2660" s="63"/>
      <c r="G2660" s="64"/>
      <c r="H2660" s="65"/>
      <c r="I2660" s="63"/>
      <c r="K2660" s="53" t="str">
        <f>IFERROR(__xludf.DUMMYFUNCTION("IF(ISBLANK(B2660),"""",IF(ISDATE(B2660),""X"",""""))"),"")</f>
        <v/>
      </c>
      <c r="L2660" s="40" t="str">
        <f>IFERROR(__xludf.DUMMYFUNCTION("IF(ISBLANK(B2660),"""",IF(Or(I2660=""Em Aberto"",ISBLANK(I2660),NOT(ISDATE(B2660))),"""",H2660))"),"")</f>
        <v/>
      </c>
      <c r="M2660" s="29" t="str">
        <f>IFERROR(__xludf.DUMMYFUNCTION("IF(ISBLANK(B2660),"""",IF(ISDATE(B2660),TEXT(B2660,""m""),""""))"),"")</f>
        <v/>
      </c>
      <c r="N2660" s="29" t="str">
        <f>IFERROR(__xludf.DUMMYFUNCTION("IF(M2660="""","""",QUERY({'Dashboard-Dados'!$Y$2:$AA$13},""Select Col2 Where Col1=""&amp;M2660))"),"")</f>
        <v/>
      </c>
      <c r="O2660" s="29" t="str">
        <f>IFERROR(__xludf.DUMMYFUNCTION("IF(ISBLANK(B2660),"""",IF(ISDATE(B2660),TEXT(B2660,""yyyy""),""""))"),"")</f>
        <v/>
      </c>
    </row>
    <row r="2661">
      <c r="B2661" s="62"/>
      <c r="C2661" s="56"/>
      <c r="D2661" s="56"/>
      <c r="E2661" s="56"/>
      <c r="F2661" s="63"/>
      <c r="G2661" s="64"/>
      <c r="H2661" s="65"/>
      <c r="I2661" s="63"/>
      <c r="K2661" s="53" t="str">
        <f>IFERROR(__xludf.DUMMYFUNCTION("IF(ISBLANK(B2661),"""",IF(ISDATE(B2661),""X"",""""))"),"")</f>
        <v/>
      </c>
      <c r="L2661" s="40" t="str">
        <f>IFERROR(__xludf.DUMMYFUNCTION("IF(ISBLANK(B2661),"""",IF(Or(I2661=""Em Aberto"",ISBLANK(I2661),NOT(ISDATE(B2661))),"""",H2661))"),"")</f>
        <v/>
      </c>
      <c r="M2661" s="29" t="str">
        <f>IFERROR(__xludf.DUMMYFUNCTION("IF(ISBLANK(B2661),"""",IF(ISDATE(B2661),TEXT(B2661,""m""),""""))"),"")</f>
        <v/>
      </c>
      <c r="N2661" s="29" t="str">
        <f>IFERROR(__xludf.DUMMYFUNCTION("IF(M2661="""","""",QUERY({'Dashboard-Dados'!$Y$2:$AA$13},""Select Col2 Where Col1=""&amp;M2661))"),"")</f>
        <v/>
      </c>
      <c r="O2661" s="29" t="str">
        <f>IFERROR(__xludf.DUMMYFUNCTION("IF(ISBLANK(B2661),"""",IF(ISDATE(B2661),TEXT(B2661,""yyyy""),""""))"),"")</f>
        <v/>
      </c>
    </row>
    <row r="2662">
      <c r="B2662" s="62"/>
      <c r="C2662" s="56"/>
      <c r="D2662" s="56"/>
      <c r="E2662" s="56"/>
      <c r="F2662" s="63"/>
      <c r="G2662" s="64"/>
      <c r="H2662" s="65"/>
      <c r="I2662" s="63"/>
      <c r="K2662" s="53" t="str">
        <f>IFERROR(__xludf.DUMMYFUNCTION("IF(ISBLANK(B2662),"""",IF(ISDATE(B2662),""X"",""""))"),"")</f>
        <v/>
      </c>
      <c r="L2662" s="40" t="str">
        <f>IFERROR(__xludf.DUMMYFUNCTION("IF(ISBLANK(B2662),"""",IF(Or(I2662=""Em Aberto"",ISBLANK(I2662),NOT(ISDATE(B2662))),"""",H2662))"),"")</f>
        <v/>
      </c>
      <c r="M2662" s="29" t="str">
        <f>IFERROR(__xludf.DUMMYFUNCTION("IF(ISBLANK(B2662),"""",IF(ISDATE(B2662),TEXT(B2662,""m""),""""))"),"")</f>
        <v/>
      </c>
      <c r="N2662" s="29" t="str">
        <f>IFERROR(__xludf.DUMMYFUNCTION("IF(M2662="""","""",QUERY({'Dashboard-Dados'!$Y$2:$AA$13},""Select Col2 Where Col1=""&amp;M2662))"),"")</f>
        <v/>
      </c>
      <c r="O2662" s="29" t="str">
        <f>IFERROR(__xludf.DUMMYFUNCTION("IF(ISBLANK(B2662),"""",IF(ISDATE(B2662),TEXT(B2662,""yyyy""),""""))"),"")</f>
        <v/>
      </c>
    </row>
    <row r="2663">
      <c r="B2663" s="62"/>
      <c r="C2663" s="56"/>
      <c r="D2663" s="56"/>
      <c r="E2663" s="56"/>
      <c r="F2663" s="63"/>
      <c r="G2663" s="64"/>
      <c r="H2663" s="65"/>
      <c r="I2663" s="63"/>
      <c r="K2663" s="53" t="str">
        <f>IFERROR(__xludf.DUMMYFUNCTION("IF(ISBLANK(B2663),"""",IF(ISDATE(B2663),""X"",""""))"),"")</f>
        <v/>
      </c>
      <c r="L2663" s="40" t="str">
        <f>IFERROR(__xludf.DUMMYFUNCTION("IF(ISBLANK(B2663),"""",IF(Or(I2663=""Em Aberto"",ISBLANK(I2663),NOT(ISDATE(B2663))),"""",H2663))"),"")</f>
        <v/>
      </c>
      <c r="M2663" s="29" t="str">
        <f>IFERROR(__xludf.DUMMYFUNCTION("IF(ISBLANK(B2663),"""",IF(ISDATE(B2663),TEXT(B2663,""m""),""""))"),"")</f>
        <v/>
      </c>
      <c r="N2663" s="29" t="str">
        <f>IFERROR(__xludf.DUMMYFUNCTION("IF(M2663="""","""",QUERY({'Dashboard-Dados'!$Y$2:$AA$13},""Select Col2 Where Col1=""&amp;M2663))"),"")</f>
        <v/>
      </c>
      <c r="O2663" s="29" t="str">
        <f>IFERROR(__xludf.DUMMYFUNCTION("IF(ISBLANK(B2663),"""",IF(ISDATE(B2663),TEXT(B2663,""yyyy""),""""))"),"")</f>
        <v/>
      </c>
    </row>
    <row r="2664">
      <c r="B2664" s="62"/>
      <c r="C2664" s="56"/>
      <c r="D2664" s="56"/>
      <c r="E2664" s="56"/>
      <c r="F2664" s="63"/>
      <c r="G2664" s="64"/>
      <c r="H2664" s="65"/>
      <c r="I2664" s="63"/>
      <c r="K2664" s="53" t="str">
        <f>IFERROR(__xludf.DUMMYFUNCTION("IF(ISBLANK(B2664),"""",IF(ISDATE(B2664),""X"",""""))"),"")</f>
        <v/>
      </c>
      <c r="L2664" s="40" t="str">
        <f>IFERROR(__xludf.DUMMYFUNCTION("IF(ISBLANK(B2664),"""",IF(Or(I2664=""Em Aberto"",ISBLANK(I2664),NOT(ISDATE(B2664))),"""",H2664))"),"")</f>
        <v/>
      </c>
      <c r="M2664" s="29" t="str">
        <f>IFERROR(__xludf.DUMMYFUNCTION("IF(ISBLANK(B2664),"""",IF(ISDATE(B2664),TEXT(B2664,""m""),""""))"),"")</f>
        <v/>
      </c>
      <c r="N2664" s="29" t="str">
        <f>IFERROR(__xludf.DUMMYFUNCTION("IF(M2664="""","""",QUERY({'Dashboard-Dados'!$Y$2:$AA$13},""Select Col2 Where Col1=""&amp;M2664))"),"")</f>
        <v/>
      </c>
      <c r="O2664" s="29" t="str">
        <f>IFERROR(__xludf.DUMMYFUNCTION("IF(ISBLANK(B2664),"""",IF(ISDATE(B2664),TEXT(B2664,""yyyy""),""""))"),"")</f>
        <v/>
      </c>
    </row>
    <row r="2665">
      <c r="B2665" s="62"/>
      <c r="C2665" s="56"/>
      <c r="D2665" s="56"/>
      <c r="E2665" s="56"/>
      <c r="F2665" s="63"/>
      <c r="G2665" s="64"/>
      <c r="H2665" s="65"/>
      <c r="I2665" s="63"/>
      <c r="K2665" s="53" t="str">
        <f>IFERROR(__xludf.DUMMYFUNCTION("IF(ISBLANK(B2665),"""",IF(ISDATE(B2665),""X"",""""))"),"")</f>
        <v/>
      </c>
      <c r="L2665" s="40" t="str">
        <f>IFERROR(__xludf.DUMMYFUNCTION("IF(ISBLANK(B2665),"""",IF(Or(I2665=""Em Aberto"",ISBLANK(I2665),NOT(ISDATE(B2665))),"""",H2665))"),"")</f>
        <v/>
      </c>
      <c r="M2665" s="29" t="str">
        <f>IFERROR(__xludf.DUMMYFUNCTION("IF(ISBLANK(B2665),"""",IF(ISDATE(B2665),TEXT(B2665,""m""),""""))"),"")</f>
        <v/>
      </c>
      <c r="N2665" s="29" t="str">
        <f>IFERROR(__xludf.DUMMYFUNCTION("IF(M2665="""","""",QUERY({'Dashboard-Dados'!$Y$2:$AA$13},""Select Col2 Where Col1=""&amp;M2665))"),"")</f>
        <v/>
      </c>
      <c r="O2665" s="29" t="str">
        <f>IFERROR(__xludf.DUMMYFUNCTION("IF(ISBLANK(B2665),"""",IF(ISDATE(B2665),TEXT(B2665,""yyyy""),""""))"),"")</f>
        <v/>
      </c>
    </row>
    <row r="2666">
      <c r="B2666" s="62"/>
      <c r="C2666" s="56"/>
      <c r="D2666" s="56"/>
      <c r="E2666" s="56"/>
      <c r="F2666" s="63"/>
      <c r="G2666" s="64"/>
      <c r="H2666" s="65"/>
      <c r="I2666" s="63"/>
      <c r="K2666" s="53" t="str">
        <f>IFERROR(__xludf.DUMMYFUNCTION("IF(ISBLANK(B2666),"""",IF(ISDATE(B2666),""X"",""""))"),"")</f>
        <v/>
      </c>
      <c r="L2666" s="40" t="str">
        <f>IFERROR(__xludf.DUMMYFUNCTION("IF(ISBLANK(B2666),"""",IF(Or(I2666=""Em Aberto"",ISBLANK(I2666),NOT(ISDATE(B2666))),"""",H2666))"),"")</f>
        <v/>
      </c>
      <c r="M2666" s="29" t="str">
        <f>IFERROR(__xludf.DUMMYFUNCTION("IF(ISBLANK(B2666),"""",IF(ISDATE(B2666),TEXT(B2666,""m""),""""))"),"")</f>
        <v/>
      </c>
      <c r="N2666" s="29" t="str">
        <f>IFERROR(__xludf.DUMMYFUNCTION("IF(M2666="""","""",QUERY({'Dashboard-Dados'!$Y$2:$AA$13},""Select Col2 Where Col1=""&amp;M2666))"),"")</f>
        <v/>
      </c>
      <c r="O2666" s="29" t="str">
        <f>IFERROR(__xludf.DUMMYFUNCTION("IF(ISBLANK(B2666),"""",IF(ISDATE(B2666),TEXT(B2666,""yyyy""),""""))"),"")</f>
        <v/>
      </c>
    </row>
    <row r="2667">
      <c r="B2667" s="62"/>
      <c r="C2667" s="56"/>
      <c r="D2667" s="56"/>
      <c r="E2667" s="56"/>
      <c r="F2667" s="63"/>
      <c r="G2667" s="64"/>
      <c r="H2667" s="65"/>
      <c r="I2667" s="63"/>
      <c r="K2667" s="53" t="str">
        <f>IFERROR(__xludf.DUMMYFUNCTION("IF(ISBLANK(B2667),"""",IF(ISDATE(B2667),""X"",""""))"),"")</f>
        <v/>
      </c>
      <c r="L2667" s="40" t="str">
        <f>IFERROR(__xludf.DUMMYFUNCTION("IF(ISBLANK(B2667),"""",IF(Or(I2667=""Em Aberto"",ISBLANK(I2667),NOT(ISDATE(B2667))),"""",H2667))"),"")</f>
        <v/>
      </c>
      <c r="M2667" s="29" t="str">
        <f>IFERROR(__xludf.DUMMYFUNCTION("IF(ISBLANK(B2667),"""",IF(ISDATE(B2667),TEXT(B2667,""m""),""""))"),"")</f>
        <v/>
      </c>
      <c r="N2667" s="29" t="str">
        <f>IFERROR(__xludf.DUMMYFUNCTION("IF(M2667="""","""",QUERY({'Dashboard-Dados'!$Y$2:$AA$13},""Select Col2 Where Col1=""&amp;M2667))"),"")</f>
        <v/>
      </c>
      <c r="O2667" s="29" t="str">
        <f>IFERROR(__xludf.DUMMYFUNCTION("IF(ISBLANK(B2667),"""",IF(ISDATE(B2667),TEXT(B2667,""yyyy""),""""))"),"")</f>
        <v/>
      </c>
    </row>
    <row r="2668">
      <c r="B2668" s="62"/>
      <c r="C2668" s="56"/>
      <c r="D2668" s="56"/>
      <c r="E2668" s="56"/>
      <c r="F2668" s="63"/>
      <c r="G2668" s="64"/>
      <c r="H2668" s="65"/>
      <c r="I2668" s="63"/>
      <c r="K2668" s="53" t="str">
        <f>IFERROR(__xludf.DUMMYFUNCTION("IF(ISBLANK(B2668),"""",IF(ISDATE(B2668),""X"",""""))"),"")</f>
        <v/>
      </c>
      <c r="L2668" s="40" t="str">
        <f>IFERROR(__xludf.DUMMYFUNCTION("IF(ISBLANK(B2668),"""",IF(Or(I2668=""Em Aberto"",ISBLANK(I2668),NOT(ISDATE(B2668))),"""",H2668))"),"")</f>
        <v/>
      </c>
      <c r="M2668" s="29" t="str">
        <f>IFERROR(__xludf.DUMMYFUNCTION("IF(ISBLANK(B2668),"""",IF(ISDATE(B2668),TEXT(B2668,""m""),""""))"),"")</f>
        <v/>
      </c>
      <c r="N2668" s="29" t="str">
        <f>IFERROR(__xludf.DUMMYFUNCTION("IF(M2668="""","""",QUERY({'Dashboard-Dados'!$Y$2:$AA$13},""Select Col2 Where Col1=""&amp;M2668))"),"")</f>
        <v/>
      </c>
      <c r="O2668" s="29" t="str">
        <f>IFERROR(__xludf.DUMMYFUNCTION("IF(ISBLANK(B2668),"""",IF(ISDATE(B2668),TEXT(B2668,""yyyy""),""""))"),"")</f>
        <v/>
      </c>
    </row>
    <row r="2669">
      <c r="B2669" s="62"/>
      <c r="C2669" s="56"/>
      <c r="D2669" s="56"/>
      <c r="E2669" s="56"/>
      <c r="F2669" s="63"/>
      <c r="G2669" s="64"/>
      <c r="H2669" s="65"/>
      <c r="I2669" s="63"/>
      <c r="K2669" s="53" t="str">
        <f>IFERROR(__xludf.DUMMYFUNCTION("IF(ISBLANK(B2669),"""",IF(ISDATE(B2669),""X"",""""))"),"")</f>
        <v/>
      </c>
      <c r="L2669" s="40" t="str">
        <f>IFERROR(__xludf.DUMMYFUNCTION("IF(ISBLANK(B2669),"""",IF(Or(I2669=""Em Aberto"",ISBLANK(I2669),NOT(ISDATE(B2669))),"""",H2669))"),"")</f>
        <v/>
      </c>
      <c r="M2669" s="29" t="str">
        <f>IFERROR(__xludf.DUMMYFUNCTION("IF(ISBLANK(B2669),"""",IF(ISDATE(B2669),TEXT(B2669,""m""),""""))"),"")</f>
        <v/>
      </c>
      <c r="N2669" s="29" t="str">
        <f>IFERROR(__xludf.DUMMYFUNCTION("IF(M2669="""","""",QUERY({'Dashboard-Dados'!$Y$2:$AA$13},""Select Col2 Where Col1=""&amp;M2669))"),"")</f>
        <v/>
      </c>
      <c r="O2669" s="29" t="str">
        <f>IFERROR(__xludf.DUMMYFUNCTION("IF(ISBLANK(B2669),"""",IF(ISDATE(B2669),TEXT(B2669,""yyyy""),""""))"),"")</f>
        <v/>
      </c>
    </row>
    <row r="2670">
      <c r="B2670" s="62"/>
      <c r="C2670" s="56"/>
      <c r="D2670" s="56"/>
      <c r="E2670" s="56"/>
      <c r="F2670" s="63"/>
      <c r="G2670" s="64"/>
      <c r="H2670" s="65"/>
      <c r="I2670" s="63"/>
      <c r="K2670" s="53" t="str">
        <f>IFERROR(__xludf.DUMMYFUNCTION("IF(ISBLANK(B2670),"""",IF(ISDATE(B2670),""X"",""""))"),"")</f>
        <v/>
      </c>
      <c r="L2670" s="40" t="str">
        <f>IFERROR(__xludf.DUMMYFUNCTION("IF(ISBLANK(B2670),"""",IF(Or(I2670=""Em Aberto"",ISBLANK(I2670),NOT(ISDATE(B2670))),"""",H2670))"),"")</f>
        <v/>
      </c>
      <c r="M2670" s="29" t="str">
        <f>IFERROR(__xludf.DUMMYFUNCTION("IF(ISBLANK(B2670),"""",IF(ISDATE(B2670),TEXT(B2670,""m""),""""))"),"")</f>
        <v/>
      </c>
      <c r="N2670" s="29" t="str">
        <f>IFERROR(__xludf.DUMMYFUNCTION("IF(M2670="""","""",QUERY({'Dashboard-Dados'!$Y$2:$AA$13},""Select Col2 Where Col1=""&amp;M2670))"),"")</f>
        <v/>
      </c>
      <c r="O2670" s="29" t="str">
        <f>IFERROR(__xludf.DUMMYFUNCTION("IF(ISBLANK(B2670),"""",IF(ISDATE(B2670),TEXT(B2670,""yyyy""),""""))"),"")</f>
        <v/>
      </c>
    </row>
    <row r="2671">
      <c r="B2671" s="62"/>
      <c r="C2671" s="56"/>
      <c r="D2671" s="56"/>
      <c r="E2671" s="56"/>
      <c r="F2671" s="63"/>
      <c r="G2671" s="64"/>
      <c r="H2671" s="65"/>
      <c r="I2671" s="63"/>
      <c r="K2671" s="53" t="str">
        <f>IFERROR(__xludf.DUMMYFUNCTION("IF(ISBLANK(B2671),"""",IF(ISDATE(B2671),""X"",""""))"),"")</f>
        <v/>
      </c>
      <c r="L2671" s="40" t="str">
        <f>IFERROR(__xludf.DUMMYFUNCTION("IF(ISBLANK(B2671),"""",IF(Or(I2671=""Em Aberto"",ISBLANK(I2671),NOT(ISDATE(B2671))),"""",H2671))"),"")</f>
        <v/>
      </c>
      <c r="M2671" s="29" t="str">
        <f>IFERROR(__xludf.DUMMYFUNCTION("IF(ISBLANK(B2671),"""",IF(ISDATE(B2671),TEXT(B2671,""m""),""""))"),"")</f>
        <v/>
      </c>
      <c r="N2671" s="29" t="str">
        <f>IFERROR(__xludf.DUMMYFUNCTION("IF(M2671="""","""",QUERY({'Dashboard-Dados'!$Y$2:$AA$13},""Select Col2 Where Col1=""&amp;M2671))"),"")</f>
        <v/>
      </c>
      <c r="O2671" s="29" t="str">
        <f>IFERROR(__xludf.DUMMYFUNCTION("IF(ISBLANK(B2671),"""",IF(ISDATE(B2671),TEXT(B2671,""yyyy""),""""))"),"")</f>
        <v/>
      </c>
    </row>
    <row r="2672">
      <c r="B2672" s="62"/>
      <c r="C2672" s="56"/>
      <c r="D2672" s="56"/>
      <c r="E2672" s="56"/>
      <c r="F2672" s="63"/>
      <c r="G2672" s="64"/>
      <c r="H2672" s="65"/>
      <c r="I2672" s="63"/>
      <c r="K2672" s="53" t="str">
        <f>IFERROR(__xludf.DUMMYFUNCTION("IF(ISBLANK(B2672),"""",IF(ISDATE(B2672),""X"",""""))"),"")</f>
        <v/>
      </c>
      <c r="L2672" s="40" t="str">
        <f>IFERROR(__xludf.DUMMYFUNCTION("IF(ISBLANK(B2672),"""",IF(Or(I2672=""Em Aberto"",ISBLANK(I2672),NOT(ISDATE(B2672))),"""",H2672))"),"")</f>
        <v/>
      </c>
      <c r="M2672" s="29" t="str">
        <f>IFERROR(__xludf.DUMMYFUNCTION("IF(ISBLANK(B2672),"""",IF(ISDATE(B2672),TEXT(B2672,""m""),""""))"),"")</f>
        <v/>
      </c>
      <c r="N2672" s="29" t="str">
        <f>IFERROR(__xludf.DUMMYFUNCTION("IF(M2672="""","""",QUERY({'Dashboard-Dados'!$Y$2:$AA$13},""Select Col2 Where Col1=""&amp;M2672))"),"")</f>
        <v/>
      </c>
      <c r="O2672" s="29" t="str">
        <f>IFERROR(__xludf.DUMMYFUNCTION("IF(ISBLANK(B2672),"""",IF(ISDATE(B2672),TEXT(B2672,""yyyy""),""""))"),"")</f>
        <v/>
      </c>
    </row>
    <row r="2673">
      <c r="B2673" s="62"/>
      <c r="C2673" s="56"/>
      <c r="D2673" s="56"/>
      <c r="E2673" s="56"/>
      <c r="F2673" s="63"/>
      <c r="G2673" s="64"/>
      <c r="H2673" s="65"/>
      <c r="I2673" s="63"/>
      <c r="K2673" s="53" t="str">
        <f>IFERROR(__xludf.DUMMYFUNCTION("IF(ISBLANK(B2673),"""",IF(ISDATE(B2673),""X"",""""))"),"")</f>
        <v/>
      </c>
      <c r="L2673" s="40" t="str">
        <f>IFERROR(__xludf.DUMMYFUNCTION("IF(ISBLANK(B2673),"""",IF(Or(I2673=""Em Aberto"",ISBLANK(I2673),NOT(ISDATE(B2673))),"""",H2673))"),"")</f>
        <v/>
      </c>
      <c r="M2673" s="29" t="str">
        <f>IFERROR(__xludf.DUMMYFUNCTION("IF(ISBLANK(B2673),"""",IF(ISDATE(B2673),TEXT(B2673,""m""),""""))"),"")</f>
        <v/>
      </c>
      <c r="N2673" s="29" t="str">
        <f>IFERROR(__xludf.DUMMYFUNCTION("IF(M2673="""","""",QUERY({'Dashboard-Dados'!$Y$2:$AA$13},""Select Col2 Where Col1=""&amp;M2673))"),"")</f>
        <v/>
      </c>
      <c r="O2673" s="29" t="str">
        <f>IFERROR(__xludf.DUMMYFUNCTION("IF(ISBLANK(B2673),"""",IF(ISDATE(B2673),TEXT(B2673,""yyyy""),""""))"),"")</f>
        <v/>
      </c>
    </row>
    <row r="2674">
      <c r="B2674" s="62"/>
      <c r="C2674" s="56"/>
      <c r="D2674" s="56"/>
      <c r="E2674" s="56"/>
      <c r="F2674" s="63"/>
      <c r="G2674" s="64"/>
      <c r="H2674" s="65"/>
      <c r="I2674" s="63"/>
      <c r="K2674" s="53" t="str">
        <f>IFERROR(__xludf.DUMMYFUNCTION("IF(ISBLANK(B2674),"""",IF(ISDATE(B2674),""X"",""""))"),"")</f>
        <v/>
      </c>
      <c r="L2674" s="40" t="str">
        <f>IFERROR(__xludf.DUMMYFUNCTION("IF(ISBLANK(B2674),"""",IF(Or(I2674=""Em Aberto"",ISBLANK(I2674),NOT(ISDATE(B2674))),"""",H2674))"),"")</f>
        <v/>
      </c>
      <c r="M2674" s="29" t="str">
        <f>IFERROR(__xludf.DUMMYFUNCTION("IF(ISBLANK(B2674),"""",IF(ISDATE(B2674),TEXT(B2674,""m""),""""))"),"")</f>
        <v/>
      </c>
      <c r="N2674" s="29" t="str">
        <f>IFERROR(__xludf.DUMMYFUNCTION("IF(M2674="""","""",QUERY({'Dashboard-Dados'!$Y$2:$AA$13},""Select Col2 Where Col1=""&amp;M2674))"),"")</f>
        <v/>
      </c>
      <c r="O2674" s="29" t="str">
        <f>IFERROR(__xludf.DUMMYFUNCTION("IF(ISBLANK(B2674),"""",IF(ISDATE(B2674),TEXT(B2674,""yyyy""),""""))"),"")</f>
        <v/>
      </c>
    </row>
    <row r="2675">
      <c r="B2675" s="62"/>
      <c r="C2675" s="56"/>
      <c r="D2675" s="56"/>
      <c r="E2675" s="56"/>
      <c r="F2675" s="63"/>
      <c r="G2675" s="64"/>
      <c r="H2675" s="65"/>
      <c r="I2675" s="63"/>
      <c r="K2675" s="53" t="str">
        <f>IFERROR(__xludf.DUMMYFUNCTION("IF(ISBLANK(B2675),"""",IF(ISDATE(B2675),""X"",""""))"),"")</f>
        <v/>
      </c>
      <c r="L2675" s="40" t="str">
        <f>IFERROR(__xludf.DUMMYFUNCTION("IF(ISBLANK(B2675),"""",IF(Or(I2675=""Em Aberto"",ISBLANK(I2675),NOT(ISDATE(B2675))),"""",H2675))"),"")</f>
        <v/>
      </c>
      <c r="M2675" s="29" t="str">
        <f>IFERROR(__xludf.DUMMYFUNCTION("IF(ISBLANK(B2675),"""",IF(ISDATE(B2675),TEXT(B2675,""m""),""""))"),"")</f>
        <v/>
      </c>
      <c r="N2675" s="29" t="str">
        <f>IFERROR(__xludf.DUMMYFUNCTION("IF(M2675="""","""",QUERY({'Dashboard-Dados'!$Y$2:$AA$13},""Select Col2 Where Col1=""&amp;M2675))"),"")</f>
        <v/>
      </c>
      <c r="O2675" s="29" t="str">
        <f>IFERROR(__xludf.DUMMYFUNCTION("IF(ISBLANK(B2675),"""",IF(ISDATE(B2675),TEXT(B2675,""yyyy""),""""))"),"")</f>
        <v/>
      </c>
    </row>
    <row r="2676">
      <c r="B2676" s="62"/>
      <c r="C2676" s="56"/>
      <c r="D2676" s="56"/>
      <c r="E2676" s="56"/>
      <c r="F2676" s="63"/>
      <c r="G2676" s="64"/>
      <c r="H2676" s="65"/>
      <c r="I2676" s="63"/>
      <c r="K2676" s="53" t="str">
        <f>IFERROR(__xludf.DUMMYFUNCTION("IF(ISBLANK(B2676),"""",IF(ISDATE(B2676),""X"",""""))"),"")</f>
        <v/>
      </c>
      <c r="L2676" s="40" t="str">
        <f>IFERROR(__xludf.DUMMYFUNCTION("IF(ISBLANK(B2676),"""",IF(Or(I2676=""Em Aberto"",ISBLANK(I2676),NOT(ISDATE(B2676))),"""",H2676))"),"")</f>
        <v/>
      </c>
      <c r="M2676" s="29" t="str">
        <f>IFERROR(__xludf.DUMMYFUNCTION("IF(ISBLANK(B2676),"""",IF(ISDATE(B2676),TEXT(B2676,""m""),""""))"),"")</f>
        <v/>
      </c>
      <c r="N2676" s="29" t="str">
        <f>IFERROR(__xludf.DUMMYFUNCTION("IF(M2676="""","""",QUERY({'Dashboard-Dados'!$Y$2:$AA$13},""Select Col2 Where Col1=""&amp;M2676))"),"")</f>
        <v/>
      </c>
      <c r="O2676" s="29" t="str">
        <f>IFERROR(__xludf.DUMMYFUNCTION("IF(ISBLANK(B2676),"""",IF(ISDATE(B2676),TEXT(B2676,""yyyy""),""""))"),"")</f>
        <v/>
      </c>
    </row>
    <row r="2677">
      <c r="B2677" s="62"/>
      <c r="C2677" s="56"/>
      <c r="D2677" s="56"/>
      <c r="E2677" s="56"/>
      <c r="F2677" s="63"/>
      <c r="G2677" s="64"/>
      <c r="H2677" s="65"/>
      <c r="I2677" s="63"/>
      <c r="K2677" s="53" t="str">
        <f>IFERROR(__xludf.DUMMYFUNCTION("IF(ISBLANK(B2677),"""",IF(ISDATE(B2677),""X"",""""))"),"")</f>
        <v/>
      </c>
      <c r="L2677" s="40" t="str">
        <f>IFERROR(__xludf.DUMMYFUNCTION("IF(ISBLANK(B2677),"""",IF(Or(I2677=""Em Aberto"",ISBLANK(I2677),NOT(ISDATE(B2677))),"""",H2677))"),"")</f>
        <v/>
      </c>
      <c r="M2677" s="29" t="str">
        <f>IFERROR(__xludf.DUMMYFUNCTION("IF(ISBLANK(B2677),"""",IF(ISDATE(B2677),TEXT(B2677,""m""),""""))"),"")</f>
        <v/>
      </c>
      <c r="N2677" s="29" t="str">
        <f>IFERROR(__xludf.DUMMYFUNCTION("IF(M2677="""","""",QUERY({'Dashboard-Dados'!$Y$2:$AA$13},""Select Col2 Where Col1=""&amp;M2677))"),"")</f>
        <v/>
      </c>
      <c r="O2677" s="29" t="str">
        <f>IFERROR(__xludf.DUMMYFUNCTION("IF(ISBLANK(B2677),"""",IF(ISDATE(B2677),TEXT(B2677,""yyyy""),""""))"),"")</f>
        <v/>
      </c>
    </row>
    <row r="2678">
      <c r="B2678" s="62"/>
      <c r="C2678" s="56"/>
      <c r="D2678" s="56"/>
      <c r="E2678" s="56"/>
      <c r="F2678" s="63"/>
      <c r="G2678" s="64"/>
      <c r="H2678" s="65"/>
      <c r="I2678" s="63"/>
      <c r="K2678" s="53" t="str">
        <f>IFERROR(__xludf.DUMMYFUNCTION("IF(ISBLANK(B2678),"""",IF(ISDATE(B2678),""X"",""""))"),"")</f>
        <v/>
      </c>
      <c r="L2678" s="40" t="str">
        <f>IFERROR(__xludf.DUMMYFUNCTION("IF(ISBLANK(B2678),"""",IF(Or(I2678=""Em Aberto"",ISBLANK(I2678),NOT(ISDATE(B2678))),"""",H2678))"),"")</f>
        <v/>
      </c>
      <c r="M2678" s="29" t="str">
        <f>IFERROR(__xludf.DUMMYFUNCTION("IF(ISBLANK(B2678),"""",IF(ISDATE(B2678),TEXT(B2678,""m""),""""))"),"")</f>
        <v/>
      </c>
      <c r="N2678" s="29" t="str">
        <f>IFERROR(__xludf.DUMMYFUNCTION("IF(M2678="""","""",QUERY({'Dashboard-Dados'!$Y$2:$AA$13},""Select Col2 Where Col1=""&amp;M2678))"),"")</f>
        <v/>
      </c>
      <c r="O2678" s="29" t="str">
        <f>IFERROR(__xludf.DUMMYFUNCTION("IF(ISBLANK(B2678),"""",IF(ISDATE(B2678),TEXT(B2678,""yyyy""),""""))"),"")</f>
        <v/>
      </c>
    </row>
    <row r="2679">
      <c r="B2679" s="62"/>
      <c r="C2679" s="56"/>
      <c r="D2679" s="56"/>
      <c r="E2679" s="56"/>
      <c r="F2679" s="63"/>
      <c r="G2679" s="64"/>
      <c r="H2679" s="65"/>
      <c r="I2679" s="63"/>
      <c r="K2679" s="53" t="str">
        <f>IFERROR(__xludf.DUMMYFUNCTION("IF(ISBLANK(B2679),"""",IF(ISDATE(B2679),""X"",""""))"),"")</f>
        <v/>
      </c>
      <c r="L2679" s="40" t="str">
        <f>IFERROR(__xludf.DUMMYFUNCTION("IF(ISBLANK(B2679),"""",IF(Or(I2679=""Em Aberto"",ISBLANK(I2679),NOT(ISDATE(B2679))),"""",H2679))"),"")</f>
        <v/>
      </c>
      <c r="M2679" s="29" t="str">
        <f>IFERROR(__xludf.DUMMYFUNCTION("IF(ISBLANK(B2679),"""",IF(ISDATE(B2679),TEXT(B2679,""m""),""""))"),"")</f>
        <v/>
      </c>
      <c r="N2679" s="29" t="str">
        <f>IFERROR(__xludf.DUMMYFUNCTION("IF(M2679="""","""",QUERY({'Dashboard-Dados'!$Y$2:$AA$13},""Select Col2 Where Col1=""&amp;M2679))"),"")</f>
        <v/>
      </c>
      <c r="O2679" s="29" t="str">
        <f>IFERROR(__xludf.DUMMYFUNCTION("IF(ISBLANK(B2679),"""",IF(ISDATE(B2679),TEXT(B2679,""yyyy""),""""))"),"")</f>
        <v/>
      </c>
    </row>
    <row r="2680">
      <c r="B2680" s="62"/>
      <c r="C2680" s="56"/>
      <c r="D2680" s="56"/>
      <c r="E2680" s="56"/>
      <c r="F2680" s="63"/>
      <c r="G2680" s="64"/>
      <c r="H2680" s="65"/>
      <c r="I2680" s="63"/>
      <c r="K2680" s="53" t="str">
        <f>IFERROR(__xludf.DUMMYFUNCTION("IF(ISBLANK(B2680),"""",IF(ISDATE(B2680),""X"",""""))"),"")</f>
        <v/>
      </c>
      <c r="L2680" s="40" t="str">
        <f>IFERROR(__xludf.DUMMYFUNCTION("IF(ISBLANK(B2680),"""",IF(Or(I2680=""Em Aberto"",ISBLANK(I2680),NOT(ISDATE(B2680))),"""",H2680))"),"")</f>
        <v/>
      </c>
      <c r="M2680" s="29" t="str">
        <f>IFERROR(__xludf.DUMMYFUNCTION("IF(ISBLANK(B2680),"""",IF(ISDATE(B2680),TEXT(B2680,""m""),""""))"),"")</f>
        <v/>
      </c>
      <c r="N2680" s="29" t="str">
        <f>IFERROR(__xludf.DUMMYFUNCTION("IF(M2680="""","""",QUERY({'Dashboard-Dados'!$Y$2:$AA$13},""Select Col2 Where Col1=""&amp;M2680))"),"")</f>
        <v/>
      </c>
      <c r="O2680" s="29" t="str">
        <f>IFERROR(__xludf.DUMMYFUNCTION("IF(ISBLANK(B2680),"""",IF(ISDATE(B2680),TEXT(B2680,""yyyy""),""""))"),"")</f>
        <v/>
      </c>
    </row>
    <row r="2681">
      <c r="B2681" s="62"/>
      <c r="C2681" s="56"/>
      <c r="D2681" s="56"/>
      <c r="E2681" s="56"/>
      <c r="F2681" s="63"/>
      <c r="G2681" s="64"/>
      <c r="H2681" s="65"/>
      <c r="I2681" s="63"/>
      <c r="K2681" s="53" t="str">
        <f>IFERROR(__xludf.DUMMYFUNCTION("IF(ISBLANK(B2681),"""",IF(ISDATE(B2681),""X"",""""))"),"")</f>
        <v/>
      </c>
      <c r="L2681" s="40" t="str">
        <f>IFERROR(__xludf.DUMMYFUNCTION("IF(ISBLANK(B2681),"""",IF(Or(I2681=""Em Aberto"",ISBLANK(I2681),NOT(ISDATE(B2681))),"""",H2681))"),"")</f>
        <v/>
      </c>
      <c r="M2681" s="29" t="str">
        <f>IFERROR(__xludf.DUMMYFUNCTION("IF(ISBLANK(B2681),"""",IF(ISDATE(B2681),TEXT(B2681,""m""),""""))"),"")</f>
        <v/>
      </c>
      <c r="N2681" s="29" t="str">
        <f>IFERROR(__xludf.DUMMYFUNCTION("IF(M2681="""","""",QUERY({'Dashboard-Dados'!$Y$2:$AA$13},""Select Col2 Where Col1=""&amp;M2681))"),"")</f>
        <v/>
      </c>
      <c r="O2681" s="29" t="str">
        <f>IFERROR(__xludf.DUMMYFUNCTION("IF(ISBLANK(B2681),"""",IF(ISDATE(B2681),TEXT(B2681,""yyyy""),""""))"),"")</f>
        <v/>
      </c>
    </row>
    <row r="2682">
      <c r="B2682" s="62"/>
      <c r="C2682" s="56"/>
      <c r="D2682" s="56"/>
      <c r="E2682" s="56"/>
      <c r="F2682" s="63"/>
      <c r="G2682" s="64"/>
      <c r="H2682" s="65"/>
      <c r="I2682" s="63"/>
      <c r="K2682" s="53" t="str">
        <f>IFERROR(__xludf.DUMMYFUNCTION("IF(ISBLANK(B2682),"""",IF(ISDATE(B2682),""X"",""""))"),"")</f>
        <v/>
      </c>
      <c r="L2682" s="40" t="str">
        <f>IFERROR(__xludf.DUMMYFUNCTION("IF(ISBLANK(B2682),"""",IF(Or(I2682=""Em Aberto"",ISBLANK(I2682),NOT(ISDATE(B2682))),"""",H2682))"),"")</f>
        <v/>
      </c>
      <c r="M2682" s="29" t="str">
        <f>IFERROR(__xludf.DUMMYFUNCTION("IF(ISBLANK(B2682),"""",IF(ISDATE(B2682),TEXT(B2682,""m""),""""))"),"")</f>
        <v/>
      </c>
      <c r="N2682" s="29" t="str">
        <f>IFERROR(__xludf.DUMMYFUNCTION("IF(M2682="""","""",QUERY({'Dashboard-Dados'!$Y$2:$AA$13},""Select Col2 Where Col1=""&amp;M2682))"),"")</f>
        <v/>
      </c>
      <c r="O2682" s="29" t="str">
        <f>IFERROR(__xludf.DUMMYFUNCTION("IF(ISBLANK(B2682),"""",IF(ISDATE(B2682),TEXT(B2682,""yyyy""),""""))"),"")</f>
        <v/>
      </c>
    </row>
    <row r="2683">
      <c r="B2683" s="62"/>
      <c r="C2683" s="56"/>
      <c r="D2683" s="56"/>
      <c r="E2683" s="56"/>
      <c r="F2683" s="63"/>
      <c r="G2683" s="64"/>
      <c r="H2683" s="65"/>
      <c r="I2683" s="63"/>
      <c r="K2683" s="53" t="str">
        <f>IFERROR(__xludf.DUMMYFUNCTION("IF(ISBLANK(B2683),"""",IF(ISDATE(B2683),""X"",""""))"),"")</f>
        <v/>
      </c>
      <c r="L2683" s="40" t="str">
        <f>IFERROR(__xludf.DUMMYFUNCTION("IF(ISBLANK(B2683),"""",IF(Or(I2683=""Em Aberto"",ISBLANK(I2683),NOT(ISDATE(B2683))),"""",H2683))"),"")</f>
        <v/>
      </c>
      <c r="M2683" s="29" t="str">
        <f>IFERROR(__xludf.DUMMYFUNCTION("IF(ISBLANK(B2683),"""",IF(ISDATE(B2683),TEXT(B2683,""m""),""""))"),"")</f>
        <v/>
      </c>
      <c r="N2683" s="29" t="str">
        <f>IFERROR(__xludf.DUMMYFUNCTION("IF(M2683="""","""",QUERY({'Dashboard-Dados'!$Y$2:$AA$13},""Select Col2 Where Col1=""&amp;M2683))"),"")</f>
        <v/>
      </c>
      <c r="O2683" s="29" t="str">
        <f>IFERROR(__xludf.DUMMYFUNCTION("IF(ISBLANK(B2683),"""",IF(ISDATE(B2683),TEXT(B2683,""yyyy""),""""))"),"")</f>
        <v/>
      </c>
    </row>
    <row r="2684">
      <c r="B2684" s="62"/>
      <c r="C2684" s="56"/>
      <c r="D2684" s="56"/>
      <c r="E2684" s="56"/>
      <c r="F2684" s="63"/>
      <c r="G2684" s="64"/>
      <c r="H2684" s="65"/>
      <c r="I2684" s="63"/>
      <c r="K2684" s="53" t="str">
        <f>IFERROR(__xludf.DUMMYFUNCTION("IF(ISBLANK(B2684),"""",IF(ISDATE(B2684),""X"",""""))"),"")</f>
        <v/>
      </c>
      <c r="L2684" s="40" t="str">
        <f>IFERROR(__xludf.DUMMYFUNCTION("IF(ISBLANK(B2684),"""",IF(Or(I2684=""Em Aberto"",ISBLANK(I2684),NOT(ISDATE(B2684))),"""",H2684))"),"")</f>
        <v/>
      </c>
      <c r="M2684" s="29" t="str">
        <f>IFERROR(__xludf.DUMMYFUNCTION("IF(ISBLANK(B2684),"""",IF(ISDATE(B2684),TEXT(B2684,""m""),""""))"),"")</f>
        <v/>
      </c>
      <c r="N2684" s="29" t="str">
        <f>IFERROR(__xludf.DUMMYFUNCTION("IF(M2684="""","""",QUERY({'Dashboard-Dados'!$Y$2:$AA$13},""Select Col2 Where Col1=""&amp;M2684))"),"")</f>
        <v/>
      </c>
      <c r="O2684" s="29" t="str">
        <f>IFERROR(__xludf.DUMMYFUNCTION("IF(ISBLANK(B2684),"""",IF(ISDATE(B2684),TEXT(B2684,""yyyy""),""""))"),"")</f>
        <v/>
      </c>
    </row>
    <row r="2685">
      <c r="B2685" s="62"/>
      <c r="C2685" s="56"/>
      <c r="D2685" s="56"/>
      <c r="E2685" s="56"/>
      <c r="F2685" s="63"/>
      <c r="G2685" s="64"/>
      <c r="H2685" s="65"/>
      <c r="I2685" s="63"/>
      <c r="K2685" s="53" t="str">
        <f>IFERROR(__xludf.DUMMYFUNCTION("IF(ISBLANK(B2685),"""",IF(ISDATE(B2685),""X"",""""))"),"")</f>
        <v/>
      </c>
      <c r="L2685" s="40" t="str">
        <f>IFERROR(__xludf.DUMMYFUNCTION("IF(ISBLANK(B2685),"""",IF(Or(I2685=""Em Aberto"",ISBLANK(I2685),NOT(ISDATE(B2685))),"""",H2685))"),"")</f>
        <v/>
      </c>
      <c r="M2685" s="29" t="str">
        <f>IFERROR(__xludf.DUMMYFUNCTION("IF(ISBLANK(B2685),"""",IF(ISDATE(B2685),TEXT(B2685,""m""),""""))"),"")</f>
        <v/>
      </c>
      <c r="N2685" s="29" t="str">
        <f>IFERROR(__xludf.DUMMYFUNCTION("IF(M2685="""","""",QUERY({'Dashboard-Dados'!$Y$2:$AA$13},""Select Col2 Where Col1=""&amp;M2685))"),"")</f>
        <v/>
      </c>
      <c r="O2685" s="29" t="str">
        <f>IFERROR(__xludf.DUMMYFUNCTION("IF(ISBLANK(B2685),"""",IF(ISDATE(B2685),TEXT(B2685,""yyyy""),""""))"),"")</f>
        <v/>
      </c>
    </row>
    <row r="2686">
      <c r="B2686" s="62"/>
      <c r="C2686" s="56"/>
      <c r="D2686" s="56"/>
      <c r="E2686" s="56"/>
      <c r="F2686" s="63"/>
      <c r="G2686" s="64"/>
      <c r="H2686" s="65"/>
      <c r="I2686" s="63"/>
      <c r="K2686" s="53" t="str">
        <f>IFERROR(__xludf.DUMMYFUNCTION("IF(ISBLANK(B2686),"""",IF(ISDATE(B2686),""X"",""""))"),"")</f>
        <v/>
      </c>
      <c r="L2686" s="40" t="str">
        <f>IFERROR(__xludf.DUMMYFUNCTION("IF(ISBLANK(B2686),"""",IF(Or(I2686=""Em Aberto"",ISBLANK(I2686),NOT(ISDATE(B2686))),"""",H2686))"),"")</f>
        <v/>
      </c>
      <c r="M2686" s="29" t="str">
        <f>IFERROR(__xludf.DUMMYFUNCTION("IF(ISBLANK(B2686),"""",IF(ISDATE(B2686),TEXT(B2686,""m""),""""))"),"")</f>
        <v/>
      </c>
      <c r="N2686" s="29" t="str">
        <f>IFERROR(__xludf.DUMMYFUNCTION("IF(M2686="""","""",QUERY({'Dashboard-Dados'!$Y$2:$AA$13},""Select Col2 Where Col1=""&amp;M2686))"),"")</f>
        <v/>
      </c>
      <c r="O2686" s="29" t="str">
        <f>IFERROR(__xludf.DUMMYFUNCTION("IF(ISBLANK(B2686),"""",IF(ISDATE(B2686),TEXT(B2686,""yyyy""),""""))"),"")</f>
        <v/>
      </c>
    </row>
    <row r="2687">
      <c r="B2687" s="62"/>
      <c r="C2687" s="56"/>
      <c r="D2687" s="56"/>
      <c r="E2687" s="56"/>
      <c r="F2687" s="63"/>
      <c r="G2687" s="64"/>
      <c r="H2687" s="65"/>
      <c r="I2687" s="63"/>
      <c r="K2687" s="53" t="str">
        <f>IFERROR(__xludf.DUMMYFUNCTION("IF(ISBLANK(B2687),"""",IF(ISDATE(B2687),""X"",""""))"),"")</f>
        <v/>
      </c>
      <c r="L2687" s="40" t="str">
        <f>IFERROR(__xludf.DUMMYFUNCTION("IF(ISBLANK(B2687),"""",IF(Or(I2687=""Em Aberto"",ISBLANK(I2687),NOT(ISDATE(B2687))),"""",H2687))"),"")</f>
        <v/>
      </c>
      <c r="M2687" s="29" t="str">
        <f>IFERROR(__xludf.DUMMYFUNCTION("IF(ISBLANK(B2687),"""",IF(ISDATE(B2687),TEXT(B2687,""m""),""""))"),"")</f>
        <v/>
      </c>
      <c r="N2687" s="29" t="str">
        <f>IFERROR(__xludf.DUMMYFUNCTION("IF(M2687="""","""",QUERY({'Dashboard-Dados'!$Y$2:$AA$13},""Select Col2 Where Col1=""&amp;M2687))"),"")</f>
        <v/>
      </c>
      <c r="O2687" s="29" t="str">
        <f>IFERROR(__xludf.DUMMYFUNCTION("IF(ISBLANK(B2687),"""",IF(ISDATE(B2687),TEXT(B2687,""yyyy""),""""))"),"")</f>
        <v/>
      </c>
    </row>
    <row r="2688">
      <c r="B2688" s="62"/>
      <c r="C2688" s="56"/>
      <c r="D2688" s="56"/>
      <c r="E2688" s="56"/>
      <c r="F2688" s="63"/>
      <c r="G2688" s="64"/>
      <c r="H2688" s="65"/>
      <c r="I2688" s="63"/>
      <c r="K2688" s="53" t="str">
        <f>IFERROR(__xludf.DUMMYFUNCTION("IF(ISBLANK(B2688),"""",IF(ISDATE(B2688),""X"",""""))"),"")</f>
        <v/>
      </c>
      <c r="L2688" s="40" t="str">
        <f>IFERROR(__xludf.DUMMYFUNCTION("IF(ISBLANK(B2688),"""",IF(Or(I2688=""Em Aberto"",ISBLANK(I2688),NOT(ISDATE(B2688))),"""",H2688))"),"")</f>
        <v/>
      </c>
      <c r="M2688" s="29" t="str">
        <f>IFERROR(__xludf.DUMMYFUNCTION("IF(ISBLANK(B2688),"""",IF(ISDATE(B2688),TEXT(B2688,""m""),""""))"),"")</f>
        <v/>
      </c>
      <c r="N2688" s="29" t="str">
        <f>IFERROR(__xludf.DUMMYFUNCTION("IF(M2688="""","""",QUERY({'Dashboard-Dados'!$Y$2:$AA$13},""Select Col2 Where Col1=""&amp;M2688))"),"")</f>
        <v/>
      </c>
      <c r="O2688" s="29" t="str">
        <f>IFERROR(__xludf.DUMMYFUNCTION("IF(ISBLANK(B2688),"""",IF(ISDATE(B2688),TEXT(B2688,""yyyy""),""""))"),"")</f>
        <v/>
      </c>
    </row>
    <row r="2689">
      <c r="B2689" s="62"/>
      <c r="C2689" s="56"/>
      <c r="D2689" s="56"/>
      <c r="E2689" s="56"/>
      <c r="F2689" s="63"/>
      <c r="G2689" s="64"/>
      <c r="H2689" s="65"/>
      <c r="I2689" s="63"/>
      <c r="K2689" s="53" t="str">
        <f>IFERROR(__xludf.DUMMYFUNCTION("IF(ISBLANK(B2689),"""",IF(ISDATE(B2689),""X"",""""))"),"")</f>
        <v/>
      </c>
      <c r="L2689" s="40" t="str">
        <f>IFERROR(__xludf.DUMMYFUNCTION("IF(ISBLANK(B2689),"""",IF(Or(I2689=""Em Aberto"",ISBLANK(I2689),NOT(ISDATE(B2689))),"""",H2689))"),"")</f>
        <v/>
      </c>
      <c r="M2689" s="29" t="str">
        <f>IFERROR(__xludf.DUMMYFUNCTION("IF(ISBLANK(B2689),"""",IF(ISDATE(B2689),TEXT(B2689,""m""),""""))"),"")</f>
        <v/>
      </c>
      <c r="N2689" s="29" t="str">
        <f>IFERROR(__xludf.DUMMYFUNCTION("IF(M2689="""","""",QUERY({'Dashboard-Dados'!$Y$2:$AA$13},""Select Col2 Where Col1=""&amp;M2689))"),"")</f>
        <v/>
      </c>
      <c r="O2689" s="29" t="str">
        <f>IFERROR(__xludf.DUMMYFUNCTION("IF(ISBLANK(B2689),"""",IF(ISDATE(B2689),TEXT(B2689,""yyyy""),""""))"),"")</f>
        <v/>
      </c>
    </row>
    <row r="2690">
      <c r="B2690" s="62"/>
      <c r="C2690" s="56"/>
      <c r="D2690" s="56"/>
      <c r="E2690" s="56"/>
      <c r="F2690" s="63"/>
      <c r="G2690" s="64"/>
      <c r="H2690" s="65"/>
      <c r="I2690" s="63"/>
      <c r="K2690" s="53" t="str">
        <f>IFERROR(__xludf.DUMMYFUNCTION("IF(ISBLANK(B2690),"""",IF(ISDATE(B2690),""X"",""""))"),"")</f>
        <v/>
      </c>
      <c r="L2690" s="40" t="str">
        <f>IFERROR(__xludf.DUMMYFUNCTION("IF(ISBLANK(B2690),"""",IF(Or(I2690=""Em Aberto"",ISBLANK(I2690),NOT(ISDATE(B2690))),"""",H2690))"),"")</f>
        <v/>
      </c>
      <c r="M2690" s="29" t="str">
        <f>IFERROR(__xludf.DUMMYFUNCTION("IF(ISBLANK(B2690),"""",IF(ISDATE(B2690),TEXT(B2690,""m""),""""))"),"")</f>
        <v/>
      </c>
      <c r="N2690" s="29" t="str">
        <f>IFERROR(__xludf.DUMMYFUNCTION("IF(M2690="""","""",QUERY({'Dashboard-Dados'!$Y$2:$AA$13},""Select Col2 Where Col1=""&amp;M2690))"),"")</f>
        <v/>
      </c>
      <c r="O2690" s="29" t="str">
        <f>IFERROR(__xludf.DUMMYFUNCTION("IF(ISBLANK(B2690),"""",IF(ISDATE(B2690),TEXT(B2690,""yyyy""),""""))"),"")</f>
        <v/>
      </c>
    </row>
    <row r="2691">
      <c r="B2691" s="62"/>
      <c r="C2691" s="56"/>
      <c r="D2691" s="56"/>
      <c r="E2691" s="56"/>
      <c r="F2691" s="63"/>
      <c r="G2691" s="64"/>
      <c r="H2691" s="65"/>
      <c r="I2691" s="63"/>
      <c r="K2691" s="53" t="str">
        <f>IFERROR(__xludf.DUMMYFUNCTION("IF(ISBLANK(B2691),"""",IF(ISDATE(B2691),""X"",""""))"),"")</f>
        <v/>
      </c>
      <c r="L2691" s="40" t="str">
        <f>IFERROR(__xludf.DUMMYFUNCTION("IF(ISBLANK(B2691),"""",IF(Or(I2691=""Em Aberto"",ISBLANK(I2691),NOT(ISDATE(B2691))),"""",H2691))"),"")</f>
        <v/>
      </c>
      <c r="M2691" s="29" t="str">
        <f>IFERROR(__xludf.DUMMYFUNCTION("IF(ISBLANK(B2691),"""",IF(ISDATE(B2691),TEXT(B2691,""m""),""""))"),"")</f>
        <v/>
      </c>
      <c r="N2691" s="29" t="str">
        <f>IFERROR(__xludf.DUMMYFUNCTION("IF(M2691="""","""",QUERY({'Dashboard-Dados'!$Y$2:$AA$13},""Select Col2 Where Col1=""&amp;M2691))"),"")</f>
        <v/>
      </c>
      <c r="O2691" s="29" t="str">
        <f>IFERROR(__xludf.DUMMYFUNCTION("IF(ISBLANK(B2691),"""",IF(ISDATE(B2691),TEXT(B2691,""yyyy""),""""))"),"")</f>
        <v/>
      </c>
    </row>
    <row r="2692">
      <c r="B2692" s="62"/>
      <c r="C2692" s="56"/>
      <c r="D2692" s="56"/>
      <c r="E2692" s="56"/>
      <c r="F2692" s="63"/>
      <c r="G2692" s="64"/>
      <c r="H2692" s="65"/>
      <c r="I2692" s="63"/>
      <c r="K2692" s="53" t="str">
        <f>IFERROR(__xludf.DUMMYFUNCTION("IF(ISBLANK(B2692),"""",IF(ISDATE(B2692),""X"",""""))"),"")</f>
        <v/>
      </c>
      <c r="L2692" s="40" t="str">
        <f>IFERROR(__xludf.DUMMYFUNCTION("IF(ISBLANK(B2692),"""",IF(Or(I2692=""Em Aberto"",ISBLANK(I2692),NOT(ISDATE(B2692))),"""",H2692))"),"")</f>
        <v/>
      </c>
      <c r="M2692" s="29" t="str">
        <f>IFERROR(__xludf.DUMMYFUNCTION("IF(ISBLANK(B2692),"""",IF(ISDATE(B2692),TEXT(B2692,""m""),""""))"),"")</f>
        <v/>
      </c>
      <c r="N2692" s="29" t="str">
        <f>IFERROR(__xludf.DUMMYFUNCTION("IF(M2692="""","""",QUERY({'Dashboard-Dados'!$Y$2:$AA$13},""Select Col2 Where Col1=""&amp;M2692))"),"")</f>
        <v/>
      </c>
      <c r="O2692" s="29" t="str">
        <f>IFERROR(__xludf.DUMMYFUNCTION("IF(ISBLANK(B2692),"""",IF(ISDATE(B2692),TEXT(B2692,""yyyy""),""""))"),"")</f>
        <v/>
      </c>
    </row>
    <row r="2693">
      <c r="B2693" s="62"/>
      <c r="C2693" s="56"/>
      <c r="D2693" s="56"/>
      <c r="E2693" s="56"/>
      <c r="F2693" s="63"/>
      <c r="G2693" s="64"/>
      <c r="H2693" s="65"/>
      <c r="I2693" s="63"/>
      <c r="K2693" s="53" t="str">
        <f>IFERROR(__xludf.DUMMYFUNCTION("IF(ISBLANK(B2693),"""",IF(ISDATE(B2693),""X"",""""))"),"")</f>
        <v/>
      </c>
      <c r="L2693" s="40" t="str">
        <f>IFERROR(__xludf.DUMMYFUNCTION("IF(ISBLANK(B2693),"""",IF(Or(I2693=""Em Aberto"",ISBLANK(I2693),NOT(ISDATE(B2693))),"""",H2693))"),"")</f>
        <v/>
      </c>
      <c r="M2693" s="29" t="str">
        <f>IFERROR(__xludf.DUMMYFUNCTION("IF(ISBLANK(B2693),"""",IF(ISDATE(B2693),TEXT(B2693,""m""),""""))"),"")</f>
        <v/>
      </c>
      <c r="N2693" s="29" t="str">
        <f>IFERROR(__xludf.DUMMYFUNCTION("IF(M2693="""","""",QUERY({'Dashboard-Dados'!$Y$2:$AA$13},""Select Col2 Where Col1=""&amp;M2693))"),"")</f>
        <v/>
      </c>
      <c r="O2693" s="29" t="str">
        <f>IFERROR(__xludf.DUMMYFUNCTION("IF(ISBLANK(B2693),"""",IF(ISDATE(B2693),TEXT(B2693,""yyyy""),""""))"),"")</f>
        <v/>
      </c>
    </row>
    <row r="2694">
      <c r="B2694" s="62"/>
      <c r="C2694" s="56"/>
      <c r="D2694" s="56"/>
      <c r="E2694" s="56"/>
      <c r="F2694" s="63"/>
      <c r="G2694" s="64"/>
      <c r="H2694" s="65"/>
      <c r="I2694" s="63"/>
      <c r="K2694" s="53" t="str">
        <f>IFERROR(__xludf.DUMMYFUNCTION("IF(ISBLANK(B2694),"""",IF(ISDATE(B2694),""X"",""""))"),"")</f>
        <v/>
      </c>
      <c r="L2694" s="40" t="str">
        <f>IFERROR(__xludf.DUMMYFUNCTION("IF(ISBLANK(B2694),"""",IF(Or(I2694=""Em Aberto"",ISBLANK(I2694),NOT(ISDATE(B2694))),"""",H2694))"),"")</f>
        <v/>
      </c>
      <c r="M2694" s="29" t="str">
        <f>IFERROR(__xludf.DUMMYFUNCTION("IF(ISBLANK(B2694),"""",IF(ISDATE(B2694),TEXT(B2694,""m""),""""))"),"")</f>
        <v/>
      </c>
      <c r="N2694" s="29" t="str">
        <f>IFERROR(__xludf.DUMMYFUNCTION("IF(M2694="""","""",QUERY({'Dashboard-Dados'!$Y$2:$AA$13},""Select Col2 Where Col1=""&amp;M2694))"),"")</f>
        <v/>
      </c>
      <c r="O2694" s="29" t="str">
        <f>IFERROR(__xludf.DUMMYFUNCTION("IF(ISBLANK(B2694),"""",IF(ISDATE(B2694),TEXT(B2694,""yyyy""),""""))"),"")</f>
        <v/>
      </c>
    </row>
    <row r="2695">
      <c r="B2695" s="62"/>
      <c r="C2695" s="56"/>
      <c r="D2695" s="56"/>
      <c r="E2695" s="56"/>
      <c r="F2695" s="63"/>
      <c r="G2695" s="64"/>
      <c r="H2695" s="65"/>
      <c r="I2695" s="63"/>
      <c r="K2695" s="53" t="str">
        <f>IFERROR(__xludf.DUMMYFUNCTION("IF(ISBLANK(B2695),"""",IF(ISDATE(B2695),""X"",""""))"),"")</f>
        <v/>
      </c>
      <c r="L2695" s="40" t="str">
        <f>IFERROR(__xludf.DUMMYFUNCTION("IF(ISBLANK(B2695),"""",IF(Or(I2695=""Em Aberto"",ISBLANK(I2695),NOT(ISDATE(B2695))),"""",H2695))"),"")</f>
        <v/>
      </c>
      <c r="M2695" s="29" t="str">
        <f>IFERROR(__xludf.DUMMYFUNCTION("IF(ISBLANK(B2695),"""",IF(ISDATE(B2695),TEXT(B2695,""m""),""""))"),"")</f>
        <v/>
      </c>
      <c r="N2695" s="29" t="str">
        <f>IFERROR(__xludf.DUMMYFUNCTION("IF(M2695="""","""",QUERY({'Dashboard-Dados'!$Y$2:$AA$13},""Select Col2 Where Col1=""&amp;M2695))"),"")</f>
        <v/>
      </c>
      <c r="O2695" s="29" t="str">
        <f>IFERROR(__xludf.DUMMYFUNCTION("IF(ISBLANK(B2695),"""",IF(ISDATE(B2695),TEXT(B2695,""yyyy""),""""))"),"")</f>
        <v/>
      </c>
    </row>
    <row r="2696">
      <c r="B2696" s="62"/>
      <c r="C2696" s="56"/>
      <c r="D2696" s="56"/>
      <c r="E2696" s="56"/>
      <c r="F2696" s="63"/>
      <c r="G2696" s="64"/>
      <c r="H2696" s="65"/>
      <c r="I2696" s="63"/>
      <c r="K2696" s="53" t="str">
        <f>IFERROR(__xludf.DUMMYFUNCTION("IF(ISBLANK(B2696),"""",IF(ISDATE(B2696),""X"",""""))"),"")</f>
        <v/>
      </c>
      <c r="L2696" s="40" t="str">
        <f>IFERROR(__xludf.DUMMYFUNCTION("IF(ISBLANK(B2696),"""",IF(Or(I2696=""Em Aberto"",ISBLANK(I2696),NOT(ISDATE(B2696))),"""",H2696))"),"")</f>
        <v/>
      </c>
      <c r="M2696" s="29" t="str">
        <f>IFERROR(__xludf.DUMMYFUNCTION("IF(ISBLANK(B2696),"""",IF(ISDATE(B2696),TEXT(B2696,""m""),""""))"),"")</f>
        <v/>
      </c>
      <c r="N2696" s="29" t="str">
        <f>IFERROR(__xludf.DUMMYFUNCTION("IF(M2696="""","""",QUERY({'Dashboard-Dados'!$Y$2:$AA$13},""Select Col2 Where Col1=""&amp;M2696))"),"")</f>
        <v/>
      </c>
      <c r="O2696" s="29" t="str">
        <f>IFERROR(__xludf.DUMMYFUNCTION("IF(ISBLANK(B2696),"""",IF(ISDATE(B2696),TEXT(B2696,""yyyy""),""""))"),"")</f>
        <v/>
      </c>
    </row>
    <row r="2697">
      <c r="B2697" s="62"/>
      <c r="C2697" s="56"/>
      <c r="D2697" s="56"/>
      <c r="E2697" s="56"/>
      <c r="F2697" s="63"/>
      <c r="G2697" s="64"/>
      <c r="H2697" s="65"/>
      <c r="I2697" s="63"/>
      <c r="K2697" s="53" t="str">
        <f>IFERROR(__xludf.DUMMYFUNCTION("IF(ISBLANK(B2697),"""",IF(ISDATE(B2697),""X"",""""))"),"")</f>
        <v/>
      </c>
      <c r="L2697" s="40" t="str">
        <f>IFERROR(__xludf.DUMMYFUNCTION("IF(ISBLANK(B2697),"""",IF(Or(I2697=""Em Aberto"",ISBLANK(I2697),NOT(ISDATE(B2697))),"""",H2697))"),"")</f>
        <v/>
      </c>
      <c r="M2697" s="29" t="str">
        <f>IFERROR(__xludf.DUMMYFUNCTION("IF(ISBLANK(B2697),"""",IF(ISDATE(B2697),TEXT(B2697,""m""),""""))"),"")</f>
        <v/>
      </c>
      <c r="N2697" s="29" t="str">
        <f>IFERROR(__xludf.DUMMYFUNCTION("IF(M2697="""","""",QUERY({'Dashboard-Dados'!$Y$2:$AA$13},""Select Col2 Where Col1=""&amp;M2697))"),"")</f>
        <v/>
      </c>
      <c r="O2697" s="29" t="str">
        <f>IFERROR(__xludf.DUMMYFUNCTION("IF(ISBLANK(B2697),"""",IF(ISDATE(B2697),TEXT(B2697,""yyyy""),""""))"),"")</f>
        <v/>
      </c>
    </row>
    <row r="2698">
      <c r="B2698" s="62"/>
      <c r="C2698" s="56"/>
      <c r="D2698" s="56"/>
      <c r="E2698" s="56"/>
      <c r="F2698" s="63"/>
      <c r="G2698" s="64"/>
      <c r="H2698" s="65"/>
      <c r="I2698" s="63"/>
      <c r="K2698" s="53" t="str">
        <f>IFERROR(__xludf.DUMMYFUNCTION("IF(ISBLANK(B2698),"""",IF(ISDATE(B2698),""X"",""""))"),"")</f>
        <v/>
      </c>
      <c r="L2698" s="40" t="str">
        <f>IFERROR(__xludf.DUMMYFUNCTION("IF(ISBLANK(B2698),"""",IF(Or(I2698=""Em Aberto"",ISBLANK(I2698),NOT(ISDATE(B2698))),"""",H2698))"),"")</f>
        <v/>
      </c>
      <c r="M2698" s="29" t="str">
        <f>IFERROR(__xludf.DUMMYFUNCTION("IF(ISBLANK(B2698),"""",IF(ISDATE(B2698),TEXT(B2698,""m""),""""))"),"")</f>
        <v/>
      </c>
      <c r="N2698" s="29" t="str">
        <f>IFERROR(__xludf.DUMMYFUNCTION("IF(M2698="""","""",QUERY({'Dashboard-Dados'!$Y$2:$AA$13},""Select Col2 Where Col1=""&amp;M2698))"),"")</f>
        <v/>
      </c>
      <c r="O2698" s="29" t="str">
        <f>IFERROR(__xludf.DUMMYFUNCTION("IF(ISBLANK(B2698),"""",IF(ISDATE(B2698),TEXT(B2698,""yyyy""),""""))"),"")</f>
        <v/>
      </c>
    </row>
    <row r="2699">
      <c r="B2699" s="62"/>
      <c r="C2699" s="56"/>
      <c r="D2699" s="56"/>
      <c r="E2699" s="56"/>
      <c r="F2699" s="63"/>
      <c r="G2699" s="64"/>
      <c r="H2699" s="65"/>
      <c r="I2699" s="63"/>
      <c r="K2699" s="53" t="str">
        <f>IFERROR(__xludf.DUMMYFUNCTION("IF(ISBLANK(B2699),"""",IF(ISDATE(B2699),""X"",""""))"),"")</f>
        <v/>
      </c>
      <c r="L2699" s="40" t="str">
        <f>IFERROR(__xludf.DUMMYFUNCTION("IF(ISBLANK(B2699),"""",IF(Or(I2699=""Em Aberto"",ISBLANK(I2699),NOT(ISDATE(B2699))),"""",H2699))"),"")</f>
        <v/>
      </c>
      <c r="M2699" s="29" t="str">
        <f>IFERROR(__xludf.DUMMYFUNCTION("IF(ISBLANK(B2699),"""",IF(ISDATE(B2699),TEXT(B2699,""m""),""""))"),"")</f>
        <v/>
      </c>
      <c r="N2699" s="29" t="str">
        <f>IFERROR(__xludf.DUMMYFUNCTION("IF(M2699="""","""",QUERY({'Dashboard-Dados'!$Y$2:$AA$13},""Select Col2 Where Col1=""&amp;M2699))"),"")</f>
        <v/>
      </c>
      <c r="O2699" s="29" t="str">
        <f>IFERROR(__xludf.DUMMYFUNCTION("IF(ISBLANK(B2699),"""",IF(ISDATE(B2699),TEXT(B2699,""yyyy""),""""))"),"")</f>
        <v/>
      </c>
    </row>
    <row r="2700">
      <c r="B2700" s="62"/>
      <c r="C2700" s="56"/>
      <c r="D2700" s="56"/>
      <c r="E2700" s="56"/>
      <c r="F2700" s="63"/>
      <c r="G2700" s="64"/>
      <c r="H2700" s="65"/>
      <c r="I2700" s="63"/>
      <c r="K2700" s="53" t="str">
        <f>IFERROR(__xludf.DUMMYFUNCTION("IF(ISBLANK(B2700),"""",IF(ISDATE(B2700),""X"",""""))"),"")</f>
        <v/>
      </c>
      <c r="L2700" s="40" t="str">
        <f>IFERROR(__xludf.DUMMYFUNCTION("IF(ISBLANK(B2700),"""",IF(Or(I2700=""Em Aberto"",ISBLANK(I2700),NOT(ISDATE(B2700))),"""",H2700))"),"")</f>
        <v/>
      </c>
      <c r="M2700" s="29" t="str">
        <f>IFERROR(__xludf.DUMMYFUNCTION("IF(ISBLANK(B2700),"""",IF(ISDATE(B2700),TEXT(B2700,""m""),""""))"),"")</f>
        <v/>
      </c>
      <c r="N2700" s="29" t="str">
        <f>IFERROR(__xludf.DUMMYFUNCTION("IF(M2700="""","""",QUERY({'Dashboard-Dados'!$Y$2:$AA$13},""Select Col2 Where Col1=""&amp;M2700))"),"")</f>
        <v/>
      </c>
      <c r="O2700" s="29" t="str">
        <f>IFERROR(__xludf.DUMMYFUNCTION("IF(ISBLANK(B2700),"""",IF(ISDATE(B2700),TEXT(B2700,""yyyy""),""""))"),"")</f>
        <v/>
      </c>
    </row>
    <row r="2701">
      <c r="B2701" s="62"/>
      <c r="C2701" s="56"/>
      <c r="D2701" s="56"/>
      <c r="E2701" s="56"/>
      <c r="F2701" s="63"/>
      <c r="G2701" s="64"/>
      <c r="H2701" s="65"/>
      <c r="I2701" s="63"/>
      <c r="K2701" s="53" t="str">
        <f>IFERROR(__xludf.DUMMYFUNCTION("IF(ISBLANK(B2701),"""",IF(ISDATE(B2701),""X"",""""))"),"")</f>
        <v/>
      </c>
      <c r="L2701" s="40" t="str">
        <f>IFERROR(__xludf.DUMMYFUNCTION("IF(ISBLANK(B2701),"""",IF(Or(I2701=""Em Aberto"",ISBLANK(I2701),NOT(ISDATE(B2701))),"""",H2701))"),"")</f>
        <v/>
      </c>
      <c r="M2701" s="29" t="str">
        <f>IFERROR(__xludf.DUMMYFUNCTION("IF(ISBLANK(B2701),"""",IF(ISDATE(B2701),TEXT(B2701,""m""),""""))"),"")</f>
        <v/>
      </c>
      <c r="N2701" s="29" t="str">
        <f>IFERROR(__xludf.DUMMYFUNCTION("IF(M2701="""","""",QUERY({'Dashboard-Dados'!$Y$2:$AA$13},""Select Col2 Where Col1=""&amp;M2701))"),"")</f>
        <v/>
      </c>
      <c r="O2701" s="29" t="str">
        <f>IFERROR(__xludf.DUMMYFUNCTION("IF(ISBLANK(B2701),"""",IF(ISDATE(B2701),TEXT(B2701,""yyyy""),""""))"),"")</f>
        <v/>
      </c>
    </row>
    <row r="2702">
      <c r="B2702" s="62"/>
      <c r="C2702" s="56"/>
      <c r="D2702" s="56"/>
      <c r="E2702" s="56"/>
      <c r="F2702" s="63"/>
      <c r="G2702" s="64"/>
      <c r="H2702" s="65"/>
      <c r="I2702" s="63"/>
      <c r="K2702" s="53" t="str">
        <f>IFERROR(__xludf.DUMMYFUNCTION("IF(ISBLANK(B2702),"""",IF(ISDATE(B2702),""X"",""""))"),"")</f>
        <v/>
      </c>
      <c r="L2702" s="40" t="str">
        <f>IFERROR(__xludf.DUMMYFUNCTION("IF(ISBLANK(B2702),"""",IF(Or(I2702=""Em Aberto"",ISBLANK(I2702),NOT(ISDATE(B2702))),"""",H2702))"),"")</f>
        <v/>
      </c>
      <c r="M2702" s="29" t="str">
        <f>IFERROR(__xludf.DUMMYFUNCTION("IF(ISBLANK(B2702),"""",IF(ISDATE(B2702),TEXT(B2702,""m""),""""))"),"")</f>
        <v/>
      </c>
      <c r="N2702" s="29" t="str">
        <f>IFERROR(__xludf.DUMMYFUNCTION("IF(M2702="""","""",QUERY({'Dashboard-Dados'!$Y$2:$AA$13},""Select Col2 Where Col1=""&amp;M2702))"),"")</f>
        <v/>
      </c>
      <c r="O2702" s="29" t="str">
        <f>IFERROR(__xludf.DUMMYFUNCTION("IF(ISBLANK(B2702),"""",IF(ISDATE(B2702),TEXT(B2702,""yyyy""),""""))"),"")</f>
        <v/>
      </c>
    </row>
    <row r="2703">
      <c r="B2703" s="62"/>
      <c r="C2703" s="56"/>
      <c r="D2703" s="56"/>
      <c r="E2703" s="56"/>
      <c r="F2703" s="63"/>
      <c r="G2703" s="64"/>
      <c r="H2703" s="65"/>
      <c r="I2703" s="63"/>
      <c r="K2703" s="53" t="str">
        <f>IFERROR(__xludf.DUMMYFUNCTION("IF(ISBLANK(B2703),"""",IF(ISDATE(B2703),""X"",""""))"),"")</f>
        <v/>
      </c>
      <c r="L2703" s="40" t="str">
        <f>IFERROR(__xludf.DUMMYFUNCTION("IF(ISBLANK(B2703),"""",IF(Or(I2703=""Em Aberto"",ISBLANK(I2703),NOT(ISDATE(B2703))),"""",H2703))"),"")</f>
        <v/>
      </c>
      <c r="M2703" s="29" t="str">
        <f>IFERROR(__xludf.DUMMYFUNCTION("IF(ISBLANK(B2703),"""",IF(ISDATE(B2703),TEXT(B2703,""m""),""""))"),"")</f>
        <v/>
      </c>
      <c r="N2703" s="29" t="str">
        <f>IFERROR(__xludf.DUMMYFUNCTION("IF(M2703="""","""",QUERY({'Dashboard-Dados'!$Y$2:$AA$13},""Select Col2 Where Col1=""&amp;M2703))"),"")</f>
        <v/>
      </c>
      <c r="O2703" s="29" t="str">
        <f>IFERROR(__xludf.DUMMYFUNCTION("IF(ISBLANK(B2703),"""",IF(ISDATE(B2703),TEXT(B2703,""yyyy""),""""))"),"")</f>
        <v/>
      </c>
    </row>
    <row r="2704">
      <c r="B2704" s="62"/>
      <c r="C2704" s="56"/>
      <c r="D2704" s="56"/>
      <c r="E2704" s="56"/>
      <c r="F2704" s="63"/>
      <c r="G2704" s="64"/>
      <c r="H2704" s="65"/>
      <c r="I2704" s="63"/>
      <c r="K2704" s="53" t="str">
        <f>IFERROR(__xludf.DUMMYFUNCTION("IF(ISBLANK(B2704),"""",IF(ISDATE(B2704),""X"",""""))"),"")</f>
        <v/>
      </c>
      <c r="L2704" s="40" t="str">
        <f>IFERROR(__xludf.DUMMYFUNCTION("IF(ISBLANK(B2704),"""",IF(Or(I2704=""Em Aberto"",ISBLANK(I2704),NOT(ISDATE(B2704))),"""",H2704))"),"")</f>
        <v/>
      </c>
      <c r="M2704" s="29" t="str">
        <f>IFERROR(__xludf.DUMMYFUNCTION("IF(ISBLANK(B2704),"""",IF(ISDATE(B2704),TEXT(B2704,""m""),""""))"),"")</f>
        <v/>
      </c>
      <c r="N2704" s="29" t="str">
        <f>IFERROR(__xludf.DUMMYFUNCTION("IF(M2704="""","""",QUERY({'Dashboard-Dados'!$Y$2:$AA$13},""Select Col2 Where Col1=""&amp;M2704))"),"")</f>
        <v/>
      </c>
      <c r="O2704" s="29" t="str">
        <f>IFERROR(__xludf.DUMMYFUNCTION("IF(ISBLANK(B2704),"""",IF(ISDATE(B2704),TEXT(B2704,""yyyy""),""""))"),"")</f>
        <v/>
      </c>
    </row>
    <row r="2705">
      <c r="B2705" s="62"/>
      <c r="C2705" s="56"/>
      <c r="D2705" s="56"/>
      <c r="E2705" s="56"/>
      <c r="F2705" s="63"/>
      <c r="G2705" s="64"/>
      <c r="H2705" s="65"/>
      <c r="I2705" s="63"/>
      <c r="K2705" s="53" t="str">
        <f>IFERROR(__xludf.DUMMYFUNCTION("IF(ISBLANK(B2705),"""",IF(ISDATE(B2705),""X"",""""))"),"")</f>
        <v/>
      </c>
      <c r="L2705" s="40" t="str">
        <f>IFERROR(__xludf.DUMMYFUNCTION("IF(ISBLANK(B2705),"""",IF(Or(I2705=""Em Aberto"",ISBLANK(I2705),NOT(ISDATE(B2705))),"""",H2705))"),"")</f>
        <v/>
      </c>
      <c r="M2705" s="29" t="str">
        <f>IFERROR(__xludf.DUMMYFUNCTION("IF(ISBLANK(B2705),"""",IF(ISDATE(B2705),TEXT(B2705,""m""),""""))"),"")</f>
        <v/>
      </c>
      <c r="N2705" s="29" t="str">
        <f>IFERROR(__xludf.DUMMYFUNCTION("IF(M2705="""","""",QUERY({'Dashboard-Dados'!$Y$2:$AA$13},""Select Col2 Where Col1=""&amp;M2705))"),"")</f>
        <v/>
      </c>
      <c r="O2705" s="29" t="str">
        <f>IFERROR(__xludf.DUMMYFUNCTION("IF(ISBLANK(B2705),"""",IF(ISDATE(B2705),TEXT(B2705,""yyyy""),""""))"),"")</f>
        <v/>
      </c>
    </row>
    <row r="2706">
      <c r="B2706" s="62"/>
      <c r="C2706" s="56"/>
      <c r="D2706" s="56"/>
      <c r="E2706" s="56"/>
      <c r="F2706" s="63"/>
      <c r="G2706" s="64"/>
      <c r="H2706" s="65"/>
      <c r="I2706" s="63"/>
      <c r="K2706" s="53" t="str">
        <f>IFERROR(__xludf.DUMMYFUNCTION("IF(ISBLANK(B2706),"""",IF(ISDATE(B2706),""X"",""""))"),"")</f>
        <v/>
      </c>
      <c r="L2706" s="40" t="str">
        <f>IFERROR(__xludf.DUMMYFUNCTION("IF(ISBLANK(B2706),"""",IF(Or(I2706=""Em Aberto"",ISBLANK(I2706),NOT(ISDATE(B2706))),"""",H2706))"),"")</f>
        <v/>
      </c>
      <c r="M2706" s="29" t="str">
        <f>IFERROR(__xludf.DUMMYFUNCTION("IF(ISBLANK(B2706),"""",IF(ISDATE(B2706),TEXT(B2706,""m""),""""))"),"")</f>
        <v/>
      </c>
      <c r="N2706" s="29" t="str">
        <f>IFERROR(__xludf.DUMMYFUNCTION("IF(M2706="""","""",QUERY({'Dashboard-Dados'!$Y$2:$AA$13},""Select Col2 Where Col1=""&amp;M2706))"),"")</f>
        <v/>
      </c>
      <c r="O2706" s="29" t="str">
        <f>IFERROR(__xludf.DUMMYFUNCTION("IF(ISBLANK(B2706),"""",IF(ISDATE(B2706),TEXT(B2706,""yyyy""),""""))"),"")</f>
        <v/>
      </c>
    </row>
    <row r="2707">
      <c r="B2707" s="62"/>
      <c r="C2707" s="56"/>
      <c r="D2707" s="56"/>
      <c r="E2707" s="56"/>
      <c r="F2707" s="63"/>
      <c r="G2707" s="64"/>
      <c r="H2707" s="65"/>
      <c r="I2707" s="63"/>
      <c r="K2707" s="53" t="str">
        <f>IFERROR(__xludf.DUMMYFUNCTION("IF(ISBLANK(B2707),"""",IF(ISDATE(B2707),""X"",""""))"),"")</f>
        <v/>
      </c>
      <c r="L2707" s="40" t="str">
        <f>IFERROR(__xludf.DUMMYFUNCTION("IF(ISBLANK(B2707),"""",IF(Or(I2707=""Em Aberto"",ISBLANK(I2707),NOT(ISDATE(B2707))),"""",H2707))"),"")</f>
        <v/>
      </c>
      <c r="M2707" s="29" t="str">
        <f>IFERROR(__xludf.DUMMYFUNCTION("IF(ISBLANK(B2707),"""",IF(ISDATE(B2707),TEXT(B2707,""m""),""""))"),"")</f>
        <v/>
      </c>
      <c r="N2707" s="29" t="str">
        <f>IFERROR(__xludf.DUMMYFUNCTION("IF(M2707="""","""",QUERY({'Dashboard-Dados'!$Y$2:$AA$13},""Select Col2 Where Col1=""&amp;M2707))"),"")</f>
        <v/>
      </c>
      <c r="O2707" s="29" t="str">
        <f>IFERROR(__xludf.DUMMYFUNCTION("IF(ISBLANK(B2707),"""",IF(ISDATE(B2707),TEXT(B2707,""yyyy""),""""))"),"")</f>
        <v/>
      </c>
    </row>
    <row r="2708">
      <c r="B2708" s="62"/>
      <c r="C2708" s="56"/>
      <c r="D2708" s="56"/>
      <c r="E2708" s="56"/>
      <c r="F2708" s="63"/>
      <c r="G2708" s="64"/>
      <c r="H2708" s="65"/>
      <c r="I2708" s="63"/>
      <c r="K2708" s="53" t="str">
        <f>IFERROR(__xludf.DUMMYFUNCTION("IF(ISBLANK(B2708),"""",IF(ISDATE(B2708),""X"",""""))"),"")</f>
        <v/>
      </c>
      <c r="L2708" s="40" t="str">
        <f>IFERROR(__xludf.DUMMYFUNCTION("IF(ISBLANK(B2708),"""",IF(Or(I2708=""Em Aberto"",ISBLANK(I2708),NOT(ISDATE(B2708))),"""",H2708))"),"")</f>
        <v/>
      </c>
      <c r="M2708" s="29" t="str">
        <f>IFERROR(__xludf.DUMMYFUNCTION("IF(ISBLANK(B2708),"""",IF(ISDATE(B2708),TEXT(B2708,""m""),""""))"),"")</f>
        <v/>
      </c>
      <c r="N2708" s="29" t="str">
        <f>IFERROR(__xludf.DUMMYFUNCTION("IF(M2708="""","""",QUERY({'Dashboard-Dados'!$Y$2:$AA$13},""Select Col2 Where Col1=""&amp;M2708))"),"")</f>
        <v/>
      </c>
      <c r="O2708" s="29" t="str">
        <f>IFERROR(__xludf.DUMMYFUNCTION("IF(ISBLANK(B2708),"""",IF(ISDATE(B2708),TEXT(B2708,""yyyy""),""""))"),"")</f>
        <v/>
      </c>
    </row>
    <row r="2709">
      <c r="B2709" s="62"/>
      <c r="C2709" s="56"/>
      <c r="D2709" s="56"/>
      <c r="E2709" s="56"/>
      <c r="F2709" s="63"/>
      <c r="G2709" s="64"/>
      <c r="H2709" s="65"/>
      <c r="I2709" s="63"/>
      <c r="K2709" s="53" t="str">
        <f>IFERROR(__xludf.DUMMYFUNCTION("IF(ISBLANK(B2709),"""",IF(ISDATE(B2709),""X"",""""))"),"")</f>
        <v/>
      </c>
      <c r="L2709" s="40" t="str">
        <f>IFERROR(__xludf.DUMMYFUNCTION("IF(ISBLANK(B2709),"""",IF(Or(I2709=""Em Aberto"",ISBLANK(I2709),NOT(ISDATE(B2709))),"""",H2709))"),"")</f>
        <v/>
      </c>
      <c r="M2709" s="29" t="str">
        <f>IFERROR(__xludf.DUMMYFUNCTION("IF(ISBLANK(B2709),"""",IF(ISDATE(B2709),TEXT(B2709,""m""),""""))"),"")</f>
        <v/>
      </c>
      <c r="N2709" s="29" t="str">
        <f>IFERROR(__xludf.DUMMYFUNCTION("IF(M2709="""","""",QUERY({'Dashboard-Dados'!$Y$2:$AA$13},""Select Col2 Where Col1=""&amp;M2709))"),"")</f>
        <v/>
      </c>
      <c r="O2709" s="29" t="str">
        <f>IFERROR(__xludf.DUMMYFUNCTION("IF(ISBLANK(B2709),"""",IF(ISDATE(B2709),TEXT(B2709,""yyyy""),""""))"),"")</f>
        <v/>
      </c>
    </row>
    <row r="2710">
      <c r="B2710" s="62"/>
      <c r="C2710" s="56"/>
      <c r="D2710" s="56"/>
      <c r="E2710" s="56"/>
      <c r="F2710" s="63"/>
      <c r="G2710" s="64"/>
      <c r="H2710" s="65"/>
      <c r="I2710" s="63"/>
      <c r="K2710" s="53" t="str">
        <f>IFERROR(__xludf.DUMMYFUNCTION("IF(ISBLANK(B2710),"""",IF(ISDATE(B2710),""X"",""""))"),"")</f>
        <v/>
      </c>
      <c r="L2710" s="40" t="str">
        <f>IFERROR(__xludf.DUMMYFUNCTION("IF(ISBLANK(B2710),"""",IF(Or(I2710=""Em Aberto"",ISBLANK(I2710),NOT(ISDATE(B2710))),"""",H2710))"),"")</f>
        <v/>
      </c>
      <c r="M2710" s="29" t="str">
        <f>IFERROR(__xludf.DUMMYFUNCTION("IF(ISBLANK(B2710),"""",IF(ISDATE(B2710),TEXT(B2710,""m""),""""))"),"")</f>
        <v/>
      </c>
      <c r="N2710" s="29" t="str">
        <f>IFERROR(__xludf.DUMMYFUNCTION("IF(M2710="""","""",QUERY({'Dashboard-Dados'!$Y$2:$AA$13},""Select Col2 Where Col1=""&amp;M2710))"),"")</f>
        <v/>
      </c>
      <c r="O2710" s="29" t="str">
        <f>IFERROR(__xludf.DUMMYFUNCTION("IF(ISBLANK(B2710),"""",IF(ISDATE(B2710),TEXT(B2710,""yyyy""),""""))"),"")</f>
        <v/>
      </c>
    </row>
    <row r="2711">
      <c r="B2711" s="62"/>
      <c r="C2711" s="56"/>
      <c r="D2711" s="56"/>
      <c r="E2711" s="56"/>
      <c r="F2711" s="63"/>
      <c r="G2711" s="64"/>
      <c r="H2711" s="65"/>
      <c r="I2711" s="63"/>
      <c r="K2711" s="53" t="str">
        <f>IFERROR(__xludf.DUMMYFUNCTION("IF(ISBLANK(B2711),"""",IF(ISDATE(B2711),""X"",""""))"),"")</f>
        <v/>
      </c>
      <c r="L2711" s="40" t="str">
        <f>IFERROR(__xludf.DUMMYFUNCTION("IF(ISBLANK(B2711),"""",IF(Or(I2711=""Em Aberto"",ISBLANK(I2711),NOT(ISDATE(B2711))),"""",H2711))"),"")</f>
        <v/>
      </c>
      <c r="M2711" s="29" t="str">
        <f>IFERROR(__xludf.DUMMYFUNCTION("IF(ISBLANK(B2711),"""",IF(ISDATE(B2711),TEXT(B2711,""m""),""""))"),"")</f>
        <v/>
      </c>
      <c r="N2711" s="29" t="str">
        <f>IFERROR(__xludf.DUMMYFUNCTION("IF(M2711="""","""",QUERY({'Dashboard-Dados'!$Y$2:$AA$13},""Select Col2 Where Col1=""&amp;M2711))"),"")</f>
        <v/>
      </c>
      <c r="O2711" s="29" t="str">
        <f>IFERROR(__xludf.DUMMYFUNCTION("IF(ISBLANK(B2711),"""",IF(ISDATE(B2711),TEXT(B2711,""yyyy""),""""))"),"")</f>
        <v/>
      </c>
    </row>
    <row r="2712">
      <c r="B2712" s="62"/>
      <c r="C2712" s="56"/>
      <c r="D2712" s="56"/>
      <c r="E2712" s="56"/>
      <c r="F2712" s="63"/>
      <c r="G2712" s="64"/>
      <c r="H2712" s="65"/>
      <c r="I2712" s="63"/>
      <c r="K2712" s="53" t="str">
        <f>IFERROR(__xludf.DUMMYFUNCTION("IF(ISBLANK(B2712),"""",IF(ISDATE(B2712),""X"",""""))"),"")</f>
        <v/>
      </c>
      <c r="L2712" s="40" t="str">
        <f>IFERROR(__xludf.DUMMYFUNCTION("IF(ISBLANK(B2712),"""",IF(Or(I2712=""Em Aberto"",ISBLANK(I2712),NOT(ISDATE(B2712))),"""",H2712))"),"")</f>
        <v/>
      </c>
      <c r="M2712" s="29" t="str">
        <f>IFERROR(__xludf.DUMMYFUNCTION("IF(ISBLANK(B2712),"""",IF(ISDATE(B2712),TEXT(B2712,""m""),""""))"),"")</f>
        <v/>
      </c>
      <c r="N2712" s="29" t="str">
        <f>IFERROR(__xludf.DUMMYFUNCTION("IF(M2712="""","""",QUERY({'Dashboard-Dados'!$Y$2:$AA$13},""Select Col2 Where Col1=""&amp;M2712))"),"")</f>
        <v/>
      </c>
      <c r="O2712" s="29" t="str">
        <f>IFERROR(__xludf.DUMMYFUNCTION("IF(ISBLANK(B2712),"""",IF(ISDATE(B2712),TEXT(B2712,""yyyy""),""""))"),"")</f>
        <v/>
      </c>
    </row>
    <row r="2713">
      <c r="B2713" s="62"/>
      <c r="C2713" s="56"/>
      <c r="D2713" s="56"/>
      <c r="E2713" s="56"/>
      <c r="F2713" s="63"/>
      <c r="G2713" s="64"/>
      <c r="H2713" s="65"/>
      <c r="I2713" s="63"/>
      <c r="K2713" s="53" t="str">
        <f>IFERROR(__xludf.DUMMYFUNCTION("IF(ISBLANK(B2713),"""",IF(ISDATE(B2713),""X"",""""))"),"")</f>
        <v/>
      </c>
      <c r="L2713" s="40" t="str">
        <f>IFERROR(__xludf.DUMMYFUNCTION("IF(ISBLANK(B2713),"""",IF(Or(I2713=""Em Aberto"",ISBLANK(I2713),NOT(ISDATE(B2713))),"""",H2713))"),"")</f>
        <v/>
      </c>
      <c r="M2713" s="29" t="str">
        <f>IFERROR(__xludf.DUMMYFUNCTION("IF(ISBLANK(B2713),"""",IF(ISDATE(B2713),TEXT(B2713,""m""),""""))"),"")</f>
        <v/>
      </c>
      <c r="N2713" s="29" t="str">
        <f>IFERROR(__xludf.DUMMYFUNCTION("IF(M2713="""","""",QUERY({'Dashboard-Dados'!$Y$2:$AA$13},""Select Col2 Where Col1=""&amp;M2713))"),"")</f>
        <v/>
      </c>
      <c r="O2713" s="29" t="str">
        <f>IFERROR(__xludf.DUMMYFUNCTION("IF(ISBLANK(B2713),"""",IF(ISDATE(B2713),TEXT(B2713,""yyyy""),""""))"),"")</f>
        <v/>
      </c>
    </row>
    <row r="2714">
      <c r="B2714" s="62"/>
      <c r="C2714" s="56"/>
      <c r="D2714" s="56"/>
      <c r="E2714" s="56"/>
      <c r="F2714" s="63"/>
      <c r="G2714" s="64"/>
      <c r="H2714" s="65"/>
      <c r="I2714" s="63"/>
      <c r="K2714" s="53" t="str">
        <f>IFERROR(__xludf.DUMMYFUNCTION("IF(ISBLANK(B2714),"""",IF(ISDATE(B2714),""X"",""""))"),"")</f>
        <v/>
      </c>
      <c r="L2714" s="40" t="str">
        <f>IFERROR(__xludf.DUMMYFUNCTION("IF(ISBLANK(B2714),"""",IF(Or(I2714=""Em Aberto"",ISBLANK(I2714),NOT(ISDATE(B2714))),"""",H2714))"),"")</f>
        <v/>
      </c>
      <c r="M2714" s="29" t="str">
        <f>IFERROR(__xludf.DUMMYFUNCTION("IF(ISBLANK(B2714),"""",IF(ISDATE(B2714),TEXT(B2714,""m""),""""))"),"")</f>
        <v/>
      </c>
      <c r="N2714" s="29" t="str">
        <f>IFERROR(__xludf.DUMMYFUNCTION("IF(M2714="""","""",QUERY({'Dashboard-Dados'!$Y$2:$AA$13},""Select Col2 Where Col1=""&amp;M2714))"),"")</f>
        <v/>
      </c>
      <c r="O2714" s="29" t="str">
        <f>IFERROR(__xludf.DUMMYFUNCTION("IF(ISBLANK(B2714),"""",IF(ISDATE(B2714),TEXT(B2714,""yyyy""),""""))"),"")</f>
        <v/>
      </c>
    </row>
    <row r="2715">
      <c r="B2715" s="62"/>
      <c r="C2715" s="56"/>
      <c r="D2715" s="56"/>
      <c r="E2715" s="56"/>
      <c r="F2715" s="63"/>
      <c r="G2715" s="64"/>
      <c r="H2715" s="65"/>
      <c r="I2715" s="63"/>
      <c r="K2715" s="53" t="str">
        <f>IFERROR(__xludf.DUMMYFUNCTION("IF(ISBLANK(B2715),"""",IF(ISDATE(B2715),""X"",""""))"),"")</f>
        <v/>
      </c>
      <c r="L2715" s="40" t="str">
        <f>IFERROR(__xludf.DUMMYFUNCTION("IF(ISBLANK(B2715),"""",IF(Or(I2715=""Em Aberto"",ISBLANK(I2715),NOT(ISDATE(B2715))),"""",H2715))"),"")</f>
        <v/>
      </c>
      <c r="M2715" s="29" t="str">
        <f>IFERROR(__xludf.DUMMYFUNCTION("IF(ISBLANK(B2715),"""",IF(ISDATE(B2715),TEXT(B2715,""m""),""""))"),"")</f>
        <v/>
      </c>
      <c r="N2715" s="29" t="str">
        <f>IFERROR(__xludf.DUMMYFUNCTION("IF(M2715="""","""",QUERY({'Dashboard-Dados'!$Y$2:$AA$13},""Select Col2 Where Col1=""&amp;M2715))"),"")</f>
        <v/>
      </c>
      <c r="O2715" s="29" t="str">
        <f>IFERROR(__xludf.DUMMYFUNCTION("IF(ISBLANK(B2715),"""",IF(ISDATE(B2715),TEXT(B2715,""yyyy""),""""))"),"")</f>
        <v/>
      </c>
    </row>
    <row r="2716">
      <c r="B2716" s="62"/>
      <c r="C2716" s="56"/>
      <c r="D2716" s="56"/>
      <c r="E2716" s="56"/>
      <c r="F2716" s="63"/>
      <c r="G2716" s="64"/>
      <c r="H2716" s="65"/>
      <c r="I2716" s="63"/>
      <c r="K2716" s="53" t="str">
        <f>IFERROR(__xludf.DUMMYFUNCTION("IF(ISBLANK(B2716),"""",IF(ISDATE(B2716),""X"",""""))"),"")</f>
        <v/>
      </c>
      <c r="L2716" s="40" t="str">
        <f>IFERROR(__xludf.DUMMYFUNCTION("IF(ISBLANK(B2716),"""",IF(Or(I2716=""Em Aberto"",ISBLANK(I2716),NOT(ISDATE(B2716))),"""",H2716))"),"")</f>
        <v/>
      </c>
      <c r="M2716" s="29" t="str">
        <f>IFERROR(__xludf.DUMMYFUNCTION("IF(ISBLANK(B2716),"""",IF(ISDATE(B2716),TEXT(B2716,""m""),""""))"),"")</f>
        <v/>
      </c>
      <c r="N2716" s="29" t="str">
        <f>IFERROR(__xludf.DUMMYFUNCTION("IF(M2716="""","""",QUERY({'Dashboard-Dados'!$Y$2:$AA$13},""Select Col2 Where Col1=""&amp;M2716))"),"")</f>
        <v/>
      </c>
      <c r="O2716" s="29" t="str">
        <f>IFERROR(__xludf.DUMMYFUNCTION("IF(ISBLANK(B2716),"""",IF(ISDATE(B2716),TEXT(B2716,""yyyy""),""""))"),"")</f>
        <v/>
      </c>
    </row>
    <row r="2717">
      <c r="B2717" s="62"/>
      <c r="C2717" s="56"/>
      <c r="D2717" s="56"/>
      <c r="E2717" s="56"/>
      <c r="F2717" s="63"/>
      <c r="G2717" s="64"/>
      <c r="H2717" s="65"/>
      <c r="I2717" s="63"/>
      <c r="K2717" s="53" t="str">
        <f>IFERROR(__xludf.DUMMYFUNCTION("IF(ISBLANK(B2717),"""",IF(ISDATE(B2717),""X"",""""))"),"")</f>
        <v/>
      </c>
      <c r="L2717" s="40" t="str">
        <f>IFERROR(__xludf.DUMMYFUNCTION("IF(ISBLANK(B2717),"""",IF(Or(I2717=""Em Aberto"",ISBLANK(I2717),NOT(ISDATE(B2717))),"""",H2717))"),"")</f>
        <v/>
      </c>
      <c r="M2717" s="29" t="str">
        <f>IFERROR(__xludf.DUMMYFUNCTION("IF(ISBLANK(B2717),"""",IF(ISDATE(B2717),TEXT(B2717,""m""),""""))"),"")</f>
        <v/>
      </c>
      <c r="N2717" s="29" t="str">
        <f>IFERROR(__xludf.DUMMYFUNCTION("IF(M2717="""","""",QUERY({'Dashboard-Dados'!$Y$2:$AA$13},""Select Col2 Where Col1=""&amp;M2717))"),"")</f>
        <v/>
      </c>
      <c r="O2717" s="29" t="str">
        <f>IFERROR(__xludf.DUMMYFUNCTION("IF(ISBLANK(B2717),"""",IF(ISDATE(B2717),TEXT(B2717,""yyyy""),""""))"),"")</f>
        <v/>
      </c>
    </row>
    <row r="2718">
      <c r="B2718" s="62"/>
      <c r="C2718" s="56"/>
      <c r="D2718" s="56"/>
      <c r="E2718" s="56"/>
      <c r="F2718" s="63"/>
      <c r="G2718" s="64"/>
      <c r="H2718" s="65"/>
      <c r="I2718" s="63"/>
      <c r="K2718" s="53" t="str">
        <f>IFERROR(__xludf.DUMMYFUNCTION("IF(ISBLANK(B2718),"""",IF(ISDATE(B2718),""X"",""""))"),"")</f>
        <v/>
      </c>
      <c r="L2718" s="40" t="str">
        <f>IFERROR(__xludf.DUMMYFUNCTION("IF(ISBLANK(B2718),"""",IF(Or(I2718=""Em Aberto"",ISBLANK(I2718),NOT(ISDATE(B2718))),"""",H2718))"),"")</f>
        <v/>
      </c>
      <c r="M2718" s="29" t="str">
        <f>IFERROR(__xludf.DUMMYFUNCTION("IF(ISBLANK(B2718),"""",IF(ISDATE(B2718),TEXT(B2718,""m""),""""))"),"")</f>
        <v/>
      </c>
      <c r="N2718" s="29" t="str">
        <f>IFERROR(__xludf.DUMMYFUNCTION("IF(M2718="""","""",QUERY({'Dashboard-Dados'!$Y$2:$AA$13},""Select Col2 Where Col1=""&amp;M2718))"),"")</f>
        <v/>
      </c>
      <c r="O2718" s="29" t="str">
        <f>IFERROR(__xludf.DUMMYFUNCTION("IF(ISBLANK(B2718),"""",IF(ISDATE(B2718),TEXT(B2718,""yyyy""),""""))"),"")</f>
        <v/>
      </c>
    </row>
    <row r="2719">
      <c r="B2719" s="62"/>
      <c r="C2719" s="56"/>
      <c r="D2719" s="56"/>
      <c r="E2719" s="56"/>
      <c r="F2719" s="63"/>
      <c r="G2719" s="64"/>
      <c r="H2719" s="65"/>
      <c r="I2719" s="63"/>
      <c r="K2719" s="53" t="str">
        <f>IFERROR(__xludf.DUMMYFUNCTION("IF(ISBLANK(B2719),"""",IF(ISDATE(B2719),""X"",""""))"),"")</f>
        <v/>
      </c>
      <c r="L2719" s="40" t="str">
        <f>IFERROR(__xludf.DUMMYFUNCTION("IF(ISBLANK(B2719),"""",IF(Or(I2719=""Em Aberto"",ISBLANK(I2719),NOT(ISDATE(B2719))),"""",H2719))"),"")</f>
        <v/>
      </c>
      <c r="M2719" s="29" t="str">
        <f>IFERROR(__xludf.DUMMYFUNCTION("IF(ISBLANK(B2719),"""",IF(ISDATE(B2719),TEXT(B2719,""m""),""""))"),"")</f>
        <v/>
      </c>
      <c r="N2719" s="29" t="str">
        <f>IFERROR(__xludf.DUMMYFUNCTION("IF(M2719="""","""",QUERY({'Dashboard-Dados'!$Y$2:$AA$13},""Select Col2 Where Col1=""&amp;M2719))"),"")</f>
        <v/>
      </c>
      <c r="O2719" s="29" t="str">
        <f>IFERROR(__xludf.DUMMYFUNCTION("IF(ISBLANK(B2719),"""",IF(ISDATE(B2719),TEXT(B2719,""yyyy""),""""))"),"")</f>
        <v/>
      </c>
    </row>
    <row r="2720">
      <c r="B2720" s="62"/>
      <c r="C2720" s="56"/>
      <c r="D2720" s="56"/>
      <c r="E2720" s="56"/>
      <c r="F2720" s="63"/>
      <c r="G2720" s="64"/>
      <c r="H2720" s="65"/>
      <c r="I2720" s="63"/>
      <c r="K2720" s="53" t="str">
        <f>IFERROR(__xludf.DUMMYFUNCTION("IF(ISBLANK(B2720),"""",IF(ISDATE(B2720),""X"",""""))"),"")</f>
        <v/>
      </c>
      <c r="L2720" s="40" t="str">
        <f>IFERROR(__xludf.DUMMYFUNCTION("IF(ISBLANK(B2720),"""",IF(Or(I2720=""Em Aberto"",ISBLANK(I2720),NOT(ISDATE(B2720))),"""",H2720))"),"")</f>
        <v/>
      </c>
      <c r="M2720" s="29" t="str">
        <f>IFERROR(__xludf.DUMMYFUNCTION("IF(ISBLANK(B2720),"""",IF(ISDATE(B2720),TEXT(B2720,""m""),""""))"),"")</f>
        <v/>
      </c>
      <c r="N2720" s="29" t="str">
        <f>IFERROR(__xludf.DUMMYFUNCTION("IF(M2720="""","""",QUERY({'Dashboard-Dados'!$Y$2:$AA$13},""Select Col2 Where Col1=""&amp;M2720))"),"")</f>
        <v/>
      </c>
      <c r="O2720" s="29" t="str">
        <f>IFERROR(__xludf.DUMMYFUNCTION("IF(ISBLANK(B2720),"""",IF(ISDATE(B2720),TEXT(B2720,""yyyy""),""""))"),"")</f>
        <v/>
      </c>
    </row>
    <row r="2721">
      <c r="B2721" s="62"/>
      <c r="C2721" s="56"/>
      <c r="D2721" s="56"/>
      <c r="E2721" s="56"/>
      <c r="F2721" s="63"/>
      <c r="G2721" s="64"/>
      <c r="H2721" s="65"/>
      <c r="I2721" s="63"/>
      <c r="K2721" s="53" t="str">
        <f>IFERROR(__xludf.DUMMYFUNCTION("IF(ISBLANK(B2721),"""",IF(ISDATE(B2721),""X"",""""))"),"")</f>
        <v/>
      </c>
      <c r="L2721" s="40" t="str">
        <f>IFERROR(__xludf.DUMMYFUNCTION("IF(ISBLANK(B2721),"""",IF(Or(I2721=""Em Aberto"",ISBLANK(I2721),NOT(ISDATE(B2721))),"""",H2721))"),"")</f>
        <v/>
      </c>
      <c r="M2721" s="29" t="str">
        <f>IFERROR(__xludf.DUMMYFUNCTION("IF(ISBLANK(B2721),"""",IF(ISDATE(B2721),TEXT(B2721,""m""),""""))"),"")</f>
        <v/>
      </c>
      <c r="N2721" s="29" t="str">
        <f>IFERROR(__xludf.DUMMYFUNCTION("IF(M2721="""","""",QUERY({'Dashboard-Dados'!$Y$2:$AA$13},""Select Col2 Where Col1=""&amp;M2721))"),"")</f>
        <v/>
      </c>
      <c r="O2721" s="29" t="str">
        <f>IFERROR(__xludf.DUMMYFUNCTION("IF(ISBLANK(B2721),"""",IF(ISDATE(B2721),TEXT(B2721,""yyyy""),""""))"),"")</f>
        <v/>
      </c>
    </row>
    <row r="2722">
      <c r="B2722" s="62"/>
      <c r="C2722" s="56"/>
      <c r="D2722" s="56"/>
      <c r="E2722" s="56"/>
      <c r="F2722" s="63"/>
      <c r="G2722" s="64"/>
      <c r="H2722" s="65"/>
      <c r="I2722" s="63"/>
      <c r="K2722" s="53" t="str">
        <f>IFERROR(__xludf.DUMMYFUNCTION("IF(ISBLANK(B2722),"""",IF(ISDATE(B2722),""X"",""""))"),"")</f>
        <v/>
      </c>
      <c r="L2722" s="40" t="str">
        <f>IFERROR(__xludf.DUMMYFUNCTION("IF(ISBLANK(B2722),"""",IF(Or(I2722=""Em Aberto"",ISBLANK(I2722),NOT(ISDATE(B2722))),"""",H2722))"),"")</f>
        <v/>
      </c>
      <c r="M2722" s="29" t="str">
        <f>IFERROR(__xludf.DUMMYFUNCTION("IF(ISBLANK(B2722),"""",IF(ISDATE(B2722),TEXT(B2722,""m""),""""))"),"")</f>
        <v/>
      </c>
      <c r="N2722" s="29" t="str">
        <f>IFERROR(__xludf.DUMMYFUNCTION("IF(M2722="""","""",QUERY({'Dashboard-Dados'!$Y$2:$AA$13},""Select Col2 Where Col1=""&amp;M2722))"),"")</f>
        <v/>
      </c>
      <c r="O2722" s="29" t="str">
        <f>IFERROR(__xludf.DUMMYFUNCTION("IF(ISBLANK(B2722),"""",IF(ISDATE(B2722),TEXT(B2722,""yyyy""),""""))"),"")</f>
        <v/>
      </c>
    </row>
    <row r="2723">
      <c r="B2723" s="62"/>
      <c r="C2723" s="56"/>
      <c r="D2723" s="56"/>
      <c r="E2723" s="56"/>
      <c r="F2723" s="63"/>
      <c r="G2723" s="64"/>
      <c r="H2723" s="65"/>
      <c r="I2723" s="63"/>
      <c r="K2723" s="53" t="str">
        <f>IFERROR(__xludf.DUMMYFUNCTION("IF(ISBLANK(B2723),"""",IF(ISDATE(B2723),""X"",""""))"),"")</f>
        <v/>
      </c>
      <c r="L2723" s="40" t="str">
        <f>IFERROR(__xludf.DUMMYFUNCTION("IF(ISBLANK(B2723),"""",IF(Or(I2723=""Em Aberto"",ISBLANK(I2723),NOT(ISDATE(B2723))),"""",H2723))"),"")</f>
        <v/>
      </c>
      <c r="M2723" s="29" t="str">
        <f>IFERROR(__xludf.DUMMYFUNCTION("IF(ISBLANK(B2723),"""",IF(ISDATE(B2723),TEXT(B2723,""m""),""""))"),"")</f>
        <v/>
      </c>
      <c r="N2723" s="29" t="str">
        <f>IFERROR(__xludf.DUMMYFUNCTION("IF(M2723="""","""",QUERY({'Dashboard-Dados'!$Y$2:$AA$13},""Select Col2 Where Col1=""&amp;M2723))"),"")</f>
        <v/>
      </c>
      <c r="O2723" s="29" t="str">
        <f>IFERROR(__xludf.DUMMYFUNCTION("IF(ISBLANK(B2723),"""",IF(ISDATE(B2723),TEXT(B2723,""yyyy""),""""))"),"")</f>
        <v/>
      </c>
    </row>
    <row r="2724">
      <c r="B2724" s="62"/>
      <c r="C2724" s="56"/>
      <c r="D2724" s="56"/>
      <c r="E2724" s="56"/>
      <c r="F2724" s="63"/>
      <c r="G2724" s="64"/>
      <c r="H2724" s="65"/>
      <c r="I2724" s="63"/>
      <c r="K2724" s="53" t="str">
        <f>IFERROR(__xludf.DUMMYFUNCTION("IF(ISBLANK(B2724),"""",IF(ISDATE(B2724),""X"",""""))"),"")</f>
        <v/>
      </c>
      <c r="L2724" s="40" t="str">
        <f>IFERROR(__xludf.DUMMYFUNCTION("IF(ISBLANK(B2724),"""",IF(Or(I2724=""Em Aberto"",ISBLANK(I2724),NOT(ISDATE(B2724))),"""",H2724))"),"")</f>
        <v/>
      </c>
      <c r="M2724" s="29" t="str">
        <f>IFERROR(__xludf.DUMMYFUNCTION("IF(ISBLANK(B2724),"""",IF(ISDATE(B2724),TEXT(B2724,""m""),""""))"),"")</f>
        <v/>
      </c>
      <c r="N2724" s="29" t="str">
        <f>IFERROR(__xludf.DUMMYFUNCTION("IF(M2724="""","""",QUERY({'Dashboard-Dados'!$Y$2:$AA$13},""Select Col2 Where Col1=""&amp;M2724))"),"")</f>
        <v/>
      </c>
      <c r="O2724" s="29" t="str">
        <f>IFERROR(__xludf.DUMMYFUNCTION("IF(ISBLANK(B2724),"""",IF(ISDATE(B2724),TEXT(B2724,""yyyy""),""""))"),"")</f>
        <v/>
      </c>
    </row>
    <row r="2725">
      <c r="B2725" s="62"/>
      <c r="C2725" s="56"/>
      <c r="D2725" s="56"/>
      <c r="E2725" s="56"/>
      <c r="F2725" s="63"/>
      <c r="G2725" s="64"/>
      <c r="H2725" s="65"/>
      <c r="I2725" s="63"/>
      <c r="K2725" s="53" t="str">
        <f>IFERROR(__xludf.DUMMYFUNCTION("IF(ISBLANK(B2725),"""",IF(ISDATE(B2725),""X"",""""))"),"")</f>
        <v/>
      </c>
      <c r="L2725" s="40" t="str">
        <f>IFERROR(__xludf.DUMMYFUNCTION("IF(ISBLANK(B2725),"""",IF(Or(I2725=""Em Aberto"",ISBLANK(I2725),NOT(ISDATE(B2725))),"""",H2725))"),"")</f>
        <v/>
      </c>
      <c r="M2725" s="29" t="str">
        <f>IFERROR(__xludf.DUMMYFUNCTION("IF(ISBLANK(B2725),"""",IF(ISDATE(B2725),TEXT(B2725,""m""),""""))"),"")</f>
        <v/>
      </c>
      <c r="N2725" s="29" t="str">
        <f>IFERROR(__xludf.DUMMYFUNCTION("IF(M2725="""","""",QUERY({'Dashboard-Dados'!$Y$2:$AA$13},""Select Col2 Where Col1=""&amp;M2725))"),"")</f>
        <v/>
      </c>
      <c r="O2725" s="29" t="str">
        <f>IFERROR(__xludf.DUMMYFUNCTION("IF(ISBLANK(B2725),"""",IF(ISDATE(B2725),TEXT(B2725,""yyyy""),""""))"),"")</f>
        <v/>
      </c>
    </row>
    <row r="2726">
      <c r="B2726" s="62"/>
      <c r="C2726" s="56"/>
      <c r="D2726" s="56"/>
      <c r="E2726" s="56"/>
      <c r="F2726" s="63"/>
      <c r="G2726" s="64"/>
      <c r="H2726" s="65"/>
      <c r="I2726" s="63"/>
      <c r="K2726" s="53" t="str">
        <f>IFERROR(__xludf.DUMMYFUNCTION("IF(ISBLANK(B2726),"""",IF(ISDATE(B2726),""X"",""""))"),"")</f>
        <v/>
      </c>
      <c r="L2726" s="40" t="str">
        <f>IFERROR(__xludf.DUMMYFUNCTION("IF(ISBLANK(B2726),"""",IF(Or(I2726=""Em Aberto"",ISBLANK(I2726),NOT(ISDATE(B2726))),"""",H2726))"),"")</f>
        <v/>
      </c>
      <c r="M2726" s="29" t="str">
        <f>IFERROR(__xludf.DUMMYFUNCTION("IF(ISBLANK(B2726),"""",IF(ISDATE(B2726),TEXT(B2726,""m""),""""))"),"")</f>
        <v/>
      </c>
      <c r="N2726" s="29" t="str">
        <f>IFERROR(__xludf.DUMMYFUNCTION("IF(M2726="""","""",QUERY({'Dashboard-Dados'!$Y$2:$AA$13},""Select Col2 Where Col1=""&amp;M2726))"),"")</f>
        <v/>
      </c>
      <c r="O2726" s="29" t="str">
        <f>IFERROR(__xludf.DUMMYFUNCTION("IF(ISBLANK(B2726),"""",IF(ISDATE(B2726),TEXT(B2726,""yyyy""),""""))"),"")</f>
        <v/>
      </c>
    </row>
    <row r="2727">
      <c r="B2727" s="62"/>
      <c r="C2727" s="56"/>
      <c r="D2727" s="56"/>
      <c r="E2727" s="56"/>
      <c r="F2727" s="63"/>
      <c r="G2727" s="64"/>
      <c r="H2727" s="65"/>
      <c r="I2727" s="63"/>
      <c r="K2727" s="53" t="str">
        <f>IFERROR(__xludf.DUMMYFUNCTION("IF(ISBLANK(B2727),"""",IF(ISDATE(B2727),""X"",""""))"),"")</f>
        <v/>
      </c>
      <c r="L2727" s="40" t="str">
        <f>IFERROR(__xludf.DUMMYFUNCTION("IF(ISBLANK(B2727),"""",IF(Or(I2727=""Em Aberto"",ISBLANK(I2727),NOT(ISDATE(B2727))),"""",H2727))"),"")</f>
        <v/>
      </c>
      <c r="M2727" s="29" t="str">
        <f>IFERROR(__xludf.DUMMYFUNCTION("IF(ISBLANK(B2727),"""",IF(ISDATE(B2727),TEXT(B2727,""m""),""""))"),"")</f>
        <v/>
      </c>
      <c r="N2727" s="29" t="str">
        <f>IFERROR(__xludf.DUMMYFUNCTION("IF(M2727="""","""",QUERY({'Dashboard-Dados'!$Y$2:$AA$13},""Select Col2 Where Col1=""&amp;M2727))"),"")</f>
        <v/>
      </c>
      <c r="O2727" s="29" t="str">
        <f>IFERROR(__xludf.DUMMYFUNCTION("IF(ISBLANK(B2727),"""",IF(ISDATE(B2727),TEXT(B2727,""yyyy""),""""))"),"")</f>
        <v/>
      </c>
    </row>
    <row r="2728">
      <c r="B2728" s="62"/>
      <c r="C2728" s="56"/>
      <c r="D2728" s="56"/>
      <c r="E2728" s="56"/>
      <c r="F2728" s="63"/>
      <c r="G2728" s="64"/>
      <c r="H2728" s="65"/>
      <c r="I2728" s="63"/>
      <c r="K2728" s="53" t="str">
        <f>IFERROR(__xludf.DUMMYFUNCTION("IF(ISBLANK(B2728),"""",IF(ISDATE(B2728),""X"",""""))"),"")</f>
        <v/>
      </c>
      <c r="L2728" s="40" t="str">
        <f>IFERROR(__xludf.DUMMYFUNCTION("IF(ISBLANK(B2728),"""",IF(Or(I2728=""Em Aberto"",ISBLANK(I2728),NOT(ISDATE(B2728))),"""",H2728))"),"")</f>
        <v/>
      </c>
      <c r="M2728" s="29" t="str">
        <f>IFERROR(__xludf.DUMMYFUNCTION("IF(ISBLANK(B2728),"""",IF(ISDATE(B2728),TEXT(B2728,""m""),""""))"),"")</f>
        <v/>
      </c>
      <c r="N2728" s="29" t="str">
        <f>IFERROR(__xludf.DUMMYFUNCTION("IF(M2728="""","""",QUERY({'Dashboard-Dados'!$Y$2:$AA$13},""Select Col2 Where Col1=""&amp;M2728))"),"")</f>
        <v/>
      </c>
      <c r="O2728" s="29" t="str">
        <f>IFERROR(__xludf.DUMMYFUNCTION("IF(ISBLANK(B2728),"""",IF(ISDATE(B2728),TEXT(B2728,""yyyy""),""""))"),"")</f>
        <v/>
      </c>
    </row>
    <row r="2729">
      <c r="B2729" s="62"/>
      <c r="C2729" s="56"/>
      <c r="D2729" s="56"/>
      <c r="E2729" s="56"/>
      <c r="F2729" s="63"/>
      <c r="G2729" s="64"/>
      <c r="H2729" s="65"/>
      <c r="I2729" s="63"/>
      <c r="K2729" s="53" t="str">
        <f>IFERROR(__xludf.DUMMYFUNCTION("IF(ISBLANK(B2729),"""",IF(ISDATE(B2729),""X"",""""))"),"")</f>
        <v/>
      </c>
      <c r="L2729" s="40" t="str">
        <f>IFERROR(__xludf.DUMMYFUNCTION("IF(ISBLANK(B2729),"""",IF(Or(I2729=""Em Aberto"",ISBLANK(I2729),NOT(ISDATE(B2729))),"""",H2729))"),"")</f>
        <v/>
      </c>
      <c r="M2729" s="29" t="str">
        <f>IFERROR(__xludf.DUMMYFUNCTION("IF(ISBLANK(B2729),"""",IF(ISDATE(B2729),TEXT(B2729,""m""),""""))"),"")</f>
        <v/>
      </c>
      <c r="N2729" s="29" t="str">
        <f>IFERROR(__xludf.DUMMYFUNCTION("IF(M2729="""","""",QUERY({'Dashboard-Dados'!$Y$2:$AA$13},""Select Col2 Where Col1=""&amp;M2729))"),"")</f>
        <v/>
      </c>
      <c r="O2729" s="29" t="str">
        <f>IFERROR(__xludf.DUMMYFUNCTION("IF(ISBLANK(B2729),"""",IF(ISDATE(B2729),TEXT(B2729,""yyyy""),""""))"),"")</f>
        <v/>
      </c>
    </row>
    <row r="2730">
      <c r="B2730" s="62"/>
      <c r="C2730" s="56"/>
      <c r="D2730" s="56"/>
      <c r="E2730" s="56"/>
      <c r="F2730" s="63"/>
      <c r="G2730" s="64"/>
      <c r="H2730" s="65"/>
      <c r="I2730" s="63"/>
      <c r="K2730" s="53" t="str">
        <f>IFERROR(__xludf.DUMMYFUNCTION("IF(ISBLANK(B2730),"""",IF(ISDATE(B2730),""X"",""""))"),"")</f>
        <v/>
      </c>
      <c r="L2730" s="40" t="str">
        <f>IFERROR(__xludf.DUMMYFUNCTION("IF(ISBLANK(B2730),"""",IF(Or(I2730=""Em Aberto"",ISBLANK(I2730),NOT(ISDATE(B2730))),"""",H2730))"),"")</f>
        <v/>
      </c>
      <c r="M2730" s="29" t="str">
        <f>IFERROR(__xludf.DUMMYFUNCTION("IF(ISBLANK(B2730),"""",IF(ISDATE(B2730),TEXT(B2730,""m""),""""))"),"")</f>
        <v/>
      </c>
      <c r="N2730" s="29" t="str">
        <f>IFERROR(__xludf.DUMMYFUNCTION("IF(M2730="""","""",QUERY({'Dashboard-Dados'!$Y$2:$AA$13},""Select Col2 Where Col1=""&amp;M2730))"),"")</f>
        <v/>
      </c>
      <c r="O2730" s="29" t="str">
        <f>IFERROR(__xludf.DUMMYFUNCTION("IF(ISBLANK(B2730),"""",IF(ISDATE(B2730),TEXT(B2730,""yyyy""),""""))"),"")</f>
        <v/>
      </c>
    </row>
    <row r="2731">
      <c r="B2731" s="62"/>
      <c r="C2731" s="56"/>
      <c r="D2731" s="56"/>
      <c r="E2731" s="56"/>
      <c r="F2731" s="63"/>
      <c r="G2731" s="64"/>
      <c r="H2731" s="65"/>
      <c r="I2731" s="63"/>
      <c r="K2731" s="53" t="str">
        <f>IFERROR(__xludf.DUMMYFUNCTION("IF(ISBLANK(B2731),"""",IF(ISDATE(B2731),""X"",""""))"),"")</f>
        <v/>
      </c>
      <c r="L2731" s="40" t="str">
        <f>IFERROR(__xludf.DUMMYFUNCTION("IF(ISBLANK(B2731),"""",IF(Or(I2731=""Em Aberto"",ISBLANK(I2731),NOT(ISDATE(B2731))),"""",H2731))"),"")</f>
        <v/>
      </c>
      <c r="M2731" s="29" t="str">
        <f>IFERROR(__xludf.DUMMYFUNCTION("IF(ISBLANK(B2731),"""",IF(ISDATE(B2731),TEXT(B2731,""m""),""""))"),"")</f>
        <v/>
      </c>
      <c r="N2731" s="29" t="str">
        <f>IFERROR(__xludf.DUMMYFUNCTION("IF(M2731="""","""",QUERY({'Dashboard-Dados'!$Y$2:$AA$13},""Select Col2 Where Col1=""&amp;M2731))"),"")</f>
        <v/>
      </c>
      <c r="O2731" s="29" t="str">
        <f>IFERROR(__xludf.DUMMYFUNCTION("IF(ISBLANK(B2731),"""",IF(ISDATE(B2731),TEXT(B2731,""yyyy""),""""))"),"")</f>
        <v/>
      </c>
    </row>
    <row r="2732">
      <c r="B2732" s="62"/>
      <c r="C2732" s="56"/>
      <c r="D2732" s="56"/>
      <c r="E2732" s="56"/>
      <c r="F2732" s="63"/>
      <c r="G2732" s="64"/>
      <c r="H2732" s="65"/>
      <c r="I2732" s="63"/>
      <c r="K2732" s="53" t="str">
        <f>IFERROR(__xludf.DUMMYFUNCTION("IF(ISBLANK(B2732),"""",IF(ISDATE(B2732),""X"",""""))"),"")</f>
        <v/>
      </c>
      <c r="L2732" s="40" t="str">
        <f>IFERROR(__xludf.DUMMYFUNCTION("IF(ISBLANK(B2732),"""",IF(Or(I2732=""Em Aberto"",ISBLANK(I2732),NOT(ISDATE(B2732))),"""",H2732))"),"")</f>
        <v/>
      </c>
      <c r="M2732" s="29" t="str">
        <f>IFERROR(__xludf.DUMMYFUNCTION("IF(ISBLANK(B2732),"""",IF(ISDATE(B2732),TEXT(B2732,""m""),""""))"),"")</f>
        <v/>
      </c>
      <c r="N2732" s="29" t="str">
        <f>IFERROR(__xludf.DUMMYFUNCTION("IF(M2732="""","""",QUERY({'Dashboard-Dados'!$Y$2:$AA$13},""Select Col2 Where Col1=""&amp;M2732))"),"")</f>
        <v/>
      </c>
      <c r="O2732" s="29" t="str">
        <f>IFERROR(__xludf.DUMMYFUNCTION("IF(ISBLANK(B2732),"""",IF(ISDATE(B2732),TEXT(B2732,""yyyy""),""""))"),"")</f>
        <v/>
      </c>
    </row>
    <row r="2733">
      <c r="B2733" s="62"/>
      <c r="C2733" s="56"/>
      <c r="D2733" s="56"/>
      <c r="E2733" s="56"/>
      <c r="F2733" s="63"/>
      <c r="G2733" s="64"/>
      <c r="H2733" s="65"/>
      <c r="I2733" s="63"/>
      <c r="K2733" s="53" t="str">
        <f>IFERROR(__xludf.DUMMYFUNCTION("IF(ISBLANK(B2733),"""",IF(ISDATE(B2733),""X"",""""))"),"")</f>
        <v/>
      </c>
      <c r="L2733" s="40" t="str">
        <f>IFERROR(__xludf.DUMMYFUNCTION("IF(ISBLANK(B2733),"""",IF(Or(I2733=""Em Aberto"",ISBLANK(I2733),NOT(ISDATE(B2733))),"""",H2733))"),"")</f>
        <v/>
      </c>
      <c r="M2733" s="29" t="str">
        <f>IFERROR(__xludf.DUMMYFUNCTION("IF(ISBLANK(B2733),"""",IF(ISDATE(B2733),TEXT(B2733,""m""),""""))"),"")</f>
        <v/>
      </c>
      <c r="N2733" s="29" t="str">
        <f>IFERROR(__xludf.DUMMYFUNCTION("IF(M2733="""","""",QUERY({'Dashboard-Dados'!$Y$2:$AA$13},""Select Col2 Where Col1=""&amp;M2733))"),"")</f>
        <v/>
      </c>
      <c r="O2733" s="29" t="str">
        <f>IFERROR(__xludf.DUMMYFUNCTION("IF(ISBLANK(B2733),"""",IF(ISDATE(B2733),TEXT(B2733,""yyyy""),""""))"),"")</f>
        <v/>
      </c>
    </row>
    <row r="2734">
      <c r="B2734" s="62"/>
      <c r="C2734" s="56"/>
      <c r="D2734" s="56"/>
      <c r="E2734" s="56"/>
      <c r="F2734" s="63"/>
      <c r="G2734" s="64"/>
      <c r="H2734" s="65"/>
      <c r="I2734" s="63"/>
      <c r="K2734" s="53" t="str">
        <f>IFERROR(__xludf.DUMMYFUNCTION("IF(ISBLANK(B2734),"""",IF(ISDATE(B2734),""X"",""""))"),"")</f>
        <v/>
      </c>
      <c r="L2734" s="40" t="str">
        <f>IFERROR(__xludf.DUMMYFUNCTION("IF(ISBLANK(B2734),"""",IF(Or(I2734=""Em Aberto"",ISBLANK(I2734),NOT(ISDATE(B2734))),"""",H2734))"),"")</f>
        <v/>
      </c>
      <c r="M2734" s="29" t="str">
        <f>IFERROR(__xludf.DUMMYFUNCTION("IF(ISBLANK(B2734),"""",IF(ISDATE(B2734),TEXT(B2734,""m""),""""))"),"")</f>
        <v/>
      </c>
      <c r="N2734" s="29" t="str">
        <f>IFERROR(__xludf.DUMMYFUNCTION("IF(M2734="""","""",QUERY({'Dashboard-Dados'!$Y$2:$AA$13},""Select Col2 Where Col1=""&amp;M2734))"),"")</f>
        <v/>
      </c>
      <c r="O2734" s="29" t="str">
        <f>IFERROR(__xludf.DUMMYFUNCTION("IF(ISBLANK(B2734),"""",IF(ISDATE(B2734),TEXT(B2734,""yyyy""),""""))"),"")</f>
        <v/>
      </c>
    </row>
    <row r="2735">
      <c r="B2735" s="62"/>
      <c r="C2735" s="56"/>
      <c r="D2735" s="56"/>
      <c r="E2735" s="56"/>
      <c r="F2735" s="63"/>
      <c r="G2735" s="64"/>
      <c r="H2735" s="65"/>
      <c r="I2735" s="63"/>
      <c r="K2735" s="53" t="str">
        <f>IFERROR(__xludf.DUMMYFUNCTION("IF(ISBLANK(B2735),"""",IF(ISDATE(B2735),""X"",""""))"),"")</f>
        <v/>
      </c>
      <c r="L2735" s="40" t="str">
        <f>IFERROR(__xludf.DUMMYFUNCTION("IF(ISBLANK(B2735),"""",IF(Or(I2735=""Em Aberto"",ISBLANK(I2735),NOT(ISDATE(B2735))),"""",H2735))"),"")</f>
        <v/>
      </c>
      <c r="M2735" s="29" t="str">
        <f>IFERROR(__xludf.DUMMYFUNCTION("IF(ISBLANK(B2735),"""",IF(ISDATE(B2735),TEXT(B2735,""m""),""""))"),"")</f>
        <v/>
      </c>
      <c r="N2735" s="29" t="str">
        <f>IFERROR(__xludf.DUMMYFUNCTION("IF(M2735="""","""",QUERY({'Dashboard-Dados'!$Y$2:$AA$13},""Select Col2 Where Col1=""&amp;M2735))"),"")</f>
        <v/>
      </c>
      <c r="O2735" s="29" t="str">
        <f>IFERROR(__xludf.DUMMYFUNCTION("IF(ISBLANK(B2735),"""",IF(ISDATE(B2735),TEXT(B2735,""yyyy""),""""))"),"")</f>
        <v/>
      </c>
    </row>
    <row r="2736">
      <c r="B2736" s="62"/>
      <c r="C2736" s="56"/>
      <c r="D2736" s="56"/>
      <c r="E2736" s="56"/>
      <c r="F2736" s="63"/>
      <c r="G2736" s="64"/>
      <c r="H2736" s="65"/>
      <c r="I2736" s="63"/>
      <c r="K2736" s="53" t="str">
        <f>IFERROR(__xludf.DUMMYFUNCTION("IF(ISBLANK(B2736),"""",IF(ISDATE(B2736),""X"",""""))"),"")</f>
        <v/>
      </c>
      <c r="L2736" s="40" t="str">
        <f>IFERROR(__xludf.DUMMYFUNCTION("IF(ISBLANK(B2736),"""",IF(Or(I2736=""Em Aberto"",ISBLANK(I2736),NOT(ISDATE(B2736))),"""",H2736))"),"")</f>
        <v/>
      </c>
      <c r="M2736" s="29" t="str">
        <f>IFERROR(__xludf.DUMMYFUNCTION("IF(ISBLANK(B2736),"""",IF(ISDATE(B2736),TEXT(B2736,""m""),""""))"),"")</f>
        <v/>
      </c>
      <c r="N2736" s="29" t="str">
        <f>IFERROR(__xludf.DUMMYFUNCTION("IF(M2736="""","""",QUERY({'Dashboard-Dados'!$Y$2:$AA$13},""Select Col2 Where Col1=""&amp;M2736))"),"")</f>
        <v/>
      </c>
      <c r="O2736" s="29" t="str">
        <f>IFERROR(__xludf.DUMMYFUNCTION("IF(ISBLANK(B2736),"""",IF(ISDATE(B2736),TEXT(B2736,""yyyy""),""""))"),"")</f>
        <v/>
      </c>
    </row>
    <row r="2737">
      <c r="B2737" s="62"/>
      <c r="C2737" s="56"/>
      <c r="D2737" s="56"/>
      <c r="E2737" s="56"/>
      <c r="F2737" s="63"/>
      <c r="G2737" s="64"/>
      <c r="H2737" s="65"/>
      <c r="I2737" s="63"/>
      <c r="K2737" s="53" t="str">
        <f>IFERROR(__xludf.DUMMYFUNCTION("IF(ISBLANK(B2737),"""",IF(ISDATE(B2737),""X"",""""))"),"")</f>
        <v/>
      </c>
      <c r="L2737" s="40" t="str">
        <f>IFERROR(__xludf.DUMMYFUNCTION("IF(ISBLANK(B2737),"""",IF(Or(I2737=""Em Aberto"",ISBLANK(I2737),NOT(ISDATE(B2737))),"""",H2737))"),"")</f>
        <v/>
      </c>
      <c r="M2737" s="29" t="str">
        <f>IFERROR(__xludf.DUMMYFUNCTION("IF(ISBLANK(B2737),"""",IF(ISDATE(B2737),TEXT(B2737,""m""),""""))"),"")</f>
        <v/>
      </c>
      <c r="N2737" s="29" t="str">
        <f>IFERROR(__xludf.DUMMYFUNCTION("IF(M2737="""","""",QUERY({'Dashboard-Dados'!$Y$2:$AA$13},""Select Col2 Where Col1=""&amp;M2737))"),"")</f>
        <v/>
      </c>
      <c r="O2737" s="29" t="str">
        <f>IFERROR(__xludf.DUMMYFUNCTION("IF(ISBLANK(B2737),"""",IF(ISDATE(B2737),TEXT(B2737,""yyyy""),""""))"),"")</f>
        <v/>
      </c>
    </row>
    <row r="2738">
      <c r="B2738" s="62"/>
      <c r="C2738" s="56"/>
      <c r="D2738" s="56"/>
      <c r="E2738" s="56"/>
      <c r="F2738" s="63"/>
      <c r="G2738" s="64"/>
      <c r="H2738" s="65"/>
      <c r="I2738" s="63"/>
      <c r="K2738" s="53" t="str">
        <f>IFERROR(__xludf.DUMMYFUNCTION("IF(ISBLANK(B2738),"""",IF(ISDATE(B2738),""X"",""""))"),"")</f>
        <v/>
      </c>
      <c r="L2738" s="40" t="str">
        <f>IFERROR(__xludf.DUMMYFUNCTION("IF(ISBLANK(B2738),"""",IF(Or(I2738=""Em Aberto"",ISBLANK(I2738),NOT(ISDATE(B2738))),"""",H2738))"),"")</f>
        <v/>
      </c>
      <c r="M2738" s="29" t="str">
        <f>IFERROR(__xludf.DUMMYFUNCTION("IF(ISBLANK(B2738),"""",IF(ISDATE(B2738),TEXT(B2738,""m""),""""))"),"")</f>
        <v/>
      </c>
      <c r="N2738" s="29" t="str">
        <f>IFERROR(__xludf.DUMMYFUNCTION("IF(M2738="""","""",QUERY({'Dashboard-Dados'!$Y$2:$AA$13},""Select Col2 Where Col1=""&amp;M2738))"),"")</f>
        <v/>
      </c>
      <c r="O2738" s="29" t="str">
        <f>IFERROR(__xludf.DUMMYFUNCTION("IF(ISBLANK(B2738),"""",IF(ISDATE(B2738),TEXT(B2738,""yyyy""),""""))"),"")</f>
        <v/>
      </c>
    </row>
    <row r="2739">
      <c r="B2739" s="62"/>
      <c r="C2739" s="56"/>
      <c r="D2739" s="56"/>
      <c r="E2739" s="56"/>
      <c r="F2739" s="63"/>
      <c r="G2739" s="64"/>
      <c r="H2739" s="65"/>
      <c r="I2739" s="63"/>
      <c r="K2739" s="53" t="str">
        <f>IFERROR(__xludf.DUMMYFUNCTION("IF(ISBLANK(B2739),"""",IF(ISDATE(B2739),""X"",""""))"),"")</f>
        <v/>
      </c>
      <c r="L2739" s="40" t="str">
        <f>IFERROR(__xludf.DUMMYFUNCTION("IF(ISBLANK(B2739),"""",IF(Or(I2739=""Em Aberto"",ISBLANK(I2739),NOT(ISDATE(B2739))),"""",H2739))"),"")</f>
        <v/>
      </c>
      <c r="M2739" s="29" t="str">
        <f>IFERROR(__xludf.DUMMYFUNCTION("IF(ISBLANK(B2739),"""",IF(ISDATE(B2739),TEXT(B2739,""m""),""""))"),"")</f>
        <v/>
      </c>
      <c r="N2739" s="29" t="str">
        <f>IFERROR(__xludf.DUMMYFUNCTION("IF(M2739="""","""",QUERY({'Dashboard-Dados'!$Y$2:$AA$13},""Select Col2 Where Col1=""&amp;M2739))"),"")</f>
        <v/>
      </c>
      <c r="O2739" s="29" t="str">
        <f>IFERROR(__xludf.DUMMYFUNCTION("IF(ISBLANK(B2739),"""",IF(ISDATE(B2739),TEXT(B2739,""yyyy""),""""))"),"")</f>
        <v/>
      </c>
    </row>
    <row r="2740">
      <c r="B2740" s="62"/>
      <c r="C2740" s="56"/>
      <c r="D2740" s="56"/>
      <c r="E2740" s="56"/>
      <c r="F2740" s="63"/>
      <c r="G2740" s="64"/>
      <c r="H2740" s="65"/>
      <c r="I2740" s="63"/>
      <c r="K2740" s="53" t="str">
        <f>IFERROR(__xludf.DUMMYFUNCTION("IF(ISBLANK(B2740),"""",IF(ISDATE(B2740),""X"",""""))"),"")</f>
        <v/>
      </c>
      <c r="L2740" s="40" t="str">
        <f>IFERROR(__xludf.DUMMYFUNCTION("IF(ISBLANK(B2740),"""",IF(Or(I2740=""Em Aberto"",ISBLANK(I2740),NOT(ISDATE(B2740))),"""",H2740))"),"")</f>
        <v/>
      </c>
      <c r="M2740" s="29" t="str">
        <f>IFERROR(__xludf.DUMMYFUNCTION("IF(ISBLANK(B2740),"""",IF(ISDATE(B2740),TEXT(B2740,""m""),""""))"),"")</f>
        <v/>
      </c>
      <c r="N2740" s="29" t="str">
        <f>IFERROR(__xludf.DUMMYFUNCTION("IF(M2740="""","""",QUERY({'Dashboard-Dados'!$Y$2:$AA$13},""Select Col2 Where Col1=""&amp;M2740))"),"")</f>
        <v/>
      </c>
      <c r="O2740" s="29" t="str">
        <f>IFERROR(__xludf.DUMMYFUNCTION("IF(ISBLANK(B2740),"""",IF(ISDATE(B2740),TEXT(B2740,""yyyy""),""""))"),"")</f>
        <v/>
      </c>
    </row>
    <row r="2741">
      <c r="B2741" s="62"/>
      <c r="C2741" s="56"/>
      <c r="D2741" s="56"/>
      <c r="E2741" s="56"/>
      <c r="F2741" s="63"/>
      <c r="G2741" s="64"/>
      <c r="H2741" s="65"/>
      <c r="I2741" s="63"/>
      <c r="K2741" s="53" t="str">
        <f>IFERROR(__xludf.DUMMYFUNCTION("IF(ISBLANK(B2741),"""",IF(ISDATE(B2741),""X"",""""))"),"")</f>
        <v/>
      </c>
      <c r="L2741" s="40" t="str">
        <f>IFERROR(__xludf.DUMMYFUNCTION("IF(ISBLANK(B2741),"""",IF(Or(I2741=""Em Aberto"",ISBLANK(I2741),NOT(ISDATE(B2741))),"""",H2741))"),"")</f>
        <v/>
      </c>
      <c r="M2741" s="29" t="str">
        <f>IFERROR(__xludf.DUMMYFUNCTION("IF(ISBLANK(B2741),"""",IF(ISDATE(B2741),TEXT(B2741,""m""),""""))"),"")</f>
        <v/>
      </c>
      <c r="N2741" s="29" t="str">
        <f>IFERROR(__xludf.DUMMYFUNCTION("IF(M2741="""","""",QUERY({'Dashboard-Dados'!$Y$2:$AA$13},""Select Col2 Where Col1=""&amp;M2741))"),"")</f>
        <v/>
      </c>
      <c r="O2741" s="29" t="str">
        <f>IFERROR(__xludf.DUMMYFUNCTION("IF(ISBLANK(B2741),"""",IF(ISDATE(B2741),TEXT(B2741,""yyyy""),""""))"),"")</f>
        <v/>
      </c>
    </row>
    <row r="2742">
      <c r="B2742" s="62"/>
      <c r="C2742" s="56"/>
      <c r="D2742" s="56"/>
      <c r="E2742" s="56"/>
      <c r="F2742" s="63"/>
      <c r="G2742" s="64"/>
      <c r="H2742" s="65"/>
      <c r="I2742" s="63"/>
      <c r="K2742" s="53" t="str">
        <f>IFERROR(__xludf.DUMMYFUNCTION("IF(ISBLANK(B2742),"""",IF(ISDATE(B2742),""X"",""""))"),"")</f>
        <v/>
      </c>
      <c r="L2742" s="40" t="str">
        <f>IFERROR(__xludf.DUMMYFUNCTION("IF(ISBLANK(B2742),"""",IF(Or(I2742=""Em Aberto"",ISBLANK(I2742),NOT(ISDATE(B2742))),"""",H2742))"),"")</f>
        <v/>
      </c>
      <c r="M2742" s="29" t="str">
        <f>IFERROR(__xludf.DUMMYFUNCTION("IF(ISBLANK(B2742),"""",IF(ISDATE(B2742),TEXT(B2742,""m""),""""))"),"")</f>
        <v/>
      </c>
      <c r="N2742" s="29" t="str">
        <f>IFERROR(__xludf.DUMMYFUNCTION("IF(M2742="""","""",QUERY({'Dashboard-Dados'!$Y$2:$AA$13},""Select Col2 Where Col1=""&amp;M2742))"),"")</f>
        <v/>
      </c>
      <c r="O2742" s="29" t="str">
        <f>IFERROR(__xludf.DUMMYFUNCTION("IF(ISBLANK(B2742),"""",IF(ISDATE(B2742),TEXT(B2742,""yyyy""),""""))"),"")</f>
        <v/>
      </c>
    </row>
    <row r="2743">
      <c r="B2743" s="62"/>
      <c r="C2743" s="56"/>
      <c r="D2743" s="56"/>
      <c r="E2743" s="56"/>
      <c r="F2743" s="63"/>
      <c r="G2743" s="64"/>
      <c r="H2743" s="65"/>
      <c r="I2743" s="63"/>
      <c r="K2743" s="53" t="str">
        <f>IFERROR(__xludf.DUMMYFUNCTION("IF(ISBLANK(B2743),"""",IF(ISDATE(B2743),""X"",""""))"),"")</f>
        <v/>
      </c>
      <c r="L2743" s="40" t="str">
        <f>IFERROR(__xludf.DUMMYFUNCTION("IF(ISBLANK(B2743),"""",IF(Or(I2743=""Em Aberto"",ISBLANK(I2743),NOT(ISDATE(B2743))),"""",H2743))"),"")</f>
        <v/>
      </c>
      <c r="M2743" s="29" t="str">
        <f>IFERROR(__xludf.DUMMYFUNCTION("IF(ISBLANK(B2743),"""",IF(ISDATE(B2743),TEXT(B2743,""m""),""""))"),"")</f>
        <v/>
      </c>
      <c r="N2743" s="29" t="str">
        <f>IFERROR(__xludf.DUMMYFUNCTION("IF(M2743="""","""",QUERY({'Dashboard-Dados'!$Y$2:$AA$13},""Select Col2 Where Col1=""&amp;M2743))"),"")</f>
        <v/>
      </c>
      <c r="O2743" s="29" t="str">
        <f>IFERROR(__xludf.DUMMYFUNCTION("IF(ISBLANK(B2743),"""",IF(ISDATE(B2743),TEXT(B2743,""yyyy""),""""))"),"")</f>
        <v/>
      </c>
    </row>
    <row r="2744">
      <c r="B2744" s="62"/>
      <c r="C2744" s="56"/>
      <c r="D2744" s="56"/>
      <c r="E2744" s="56"/>
      <c r="F2744" s="63"/>
      <c r="G2744" s="64"/>
      <c r="H2744" s="65"/>
      <c r="I2744" s="63"/>
      <c r="K2744" s="53" t="str">
        <f>IFERROR(__xludf.DUMMYFUNCTION("IF(ISBLANK(B2744),"""",IF(ISDATE(B2744),""X"",""""))"),"")</f>
        <v/>
      </c>
      <c r="L2744" s="40" t="str">
        <f>IFERROR(__xludf.DUMMYFUNCTION("IF(ISBLANK(B2744),"""",IF(Or(I2744=""Em Aberto"",ISBLANK(I2744),NOT(ISDATE(B2744))),"""",H2744))"),"")</f>
        <v/>
      </c>
      <c r="M2744" s="29" t="str">
        <f>IFERROR(__xludf.DUMMYFUNCTION("IF(ISBLANK(B2744),"""",IF(ISDATE(B2744),TEXT(B2744,""m""),""""))"),"")</f>
        <v/>
      </c>
      <c r="N2744" s="29" t="str">
        <f>IFERROR(__xludf.DUMMYFUNCTION("IF(M2744="""","""",QUERY({'Dashboard-Dados'!$Y$2:$AA$13},""Select Col2 Where Col1=""&amp;M2744))"),"")</f>
        <v/>
      </c>
      <c r="O2744" s="29" t="str">
        <f>IFERROR(__xludf.DUMMYFUNCTION("IF(ISBLANK(B2744),"""",IF(ISDATE(B2744),TEXT(B2744,""yyyy""),""""))"),"")</f>
        <v/>
      </c>
    </row>
    <row r="2745">
      <c r="B2745" s="62"/>
      <c r="C2745" s="56"/>
      <c r="D2745" s="56"/>
      <c r="E2745" s="56"/>
      <c r="F2745" s="63"/>
      <c r="G2745" s="64"/>
      <c r="H2745" s="65"/>
      <c r="I2745" s="63"/>
      <c r="K2745" s="53" t="str">
        <f>IFERROR(__xludf.DUMMYFUNCTION("IF(ISBLANK(B2745),"""",IF(ISDATE(B2745),""X"",""""))"),"")</f>
        <v/>
      </c>
      <c r="L2745" s="40" t="str">
        <f>IFERROR(__xludf.DUMMYFUNCTION("IF(ISBLANK(B2745),"""",IF(Or(I2745=""Em Aberto"",ISBLANK(I2745),NOT(ISDATE(B2745))),"""",H2745))"),"")</f>
        <v/>
      </c>
      <c r="M2745" s="29" t="str">
        <f>IFERROR(__xludf.DUMMYFUNCTION("IF(ISBLANK(B2745),"""",IF(ISDATE(B2745),TEXT(B2745,""m""),""""))"),"")</f>
        <v/>
      </c>
      <c r="N2745" s="29" t="str">
        <f>IFERROR(__xludf.DUMMYFUNCTION("IF(M2745="""","""",QUERY({'Dashboard-Dados'!$Y$2:$AA$13},""Select Col2 Where Col1=""&amp;M2745))"),"")</f>
        <v/>
      </c>
      <c r="O2745" s="29" t="str">
        <f>IFERROR(__xludf.DUMMYFUNCTION("IF(ISBLANK(B2745),"""",IF(ISDATE(B2745),TEXT(B2745,""yyyy""),""""))"),"")</f>
        <v/>
      </c>
    </row>
    <row r="2746">
      <c r="B2746" s="62"/>
      <c r="C2746" s="56"/>
      <c r="D2746" s="56"/>
      <c r="E2746" s="56"/>
      <c r="F2746" s="63"/>
      <c r="G2746" s="64"/>
      <c r="H2746" s="65"/>
      <c r="I2746" s="63"/>
      <c r="K2746" s="53" t="str">
        <f>IFERROR(__xludf.DUMMYFUNCTION("IF(ISBLANK(B2746),"""",IF(ISDATE(B2746),""X"",""""))"),"")</f>
        <v/>
      </c>
      <c r="L2746" s="40" t="str">
        <f>IFERROR(__xludf.DUMMYFUNCTION("IF(ISBLANK(B2746),"""",IF(Or(I2746=""Em Aberto"",ISBLANK(I2746),NOT(ISDATE(B2746))),"""",H2746))"),"")</f>
        <v/>
      </c>
      <c r="M2746" s="29" t="str">
        <f>IFERROR(__xludf.DUMMYFUNCTION("IF(ISBLANK(B2746),"""",IF(ISDATE(B2746),TEXT(B2746,""m""),""""))"),"")</f>
        <v/>
      </c>
      <c r="N2746" s="29" t="str">
        <f>IFERROR(__xludf.DUMMYFUNCTION("IF(M2746="""","""",QUERY({'Dashboard-Dados'!$Y$2:$AA$13},""Select Col2 Where Col1=""&amp;M2746))"),"")</f>
        <v/>
      </c>
      <c r="O2746" s="29" t="str">
        <f>IFERROR(__xludf.DUMMYFUNCTION("IF(ISBLANK(B2746),"""",IF(ISDATE(B2746),TEXT(B2746,""yyyy""),""""))"),"")</f>
        <v/>
      </c>
    </row>
    <row r="2747">
      <c r="B2747" s="62"/>
      <c r="C2747" s="56"/>
      <c r="D2747" s="56"/>
      <c r="E2747" s="56"/>
      <c r="F2747" s="63"/>
      <c r="G2747" s="64"/>
      <c r="H2747" s="65"/>
      <c r="I2747" s="63"/>
      <c r="K2747" s="53" t="str">
        <f>IFERROR(__xludf.DUMMYFUNCTION("IF(ISBLANK(B2747),"""",IF(ISDATE(B2747),""X"",""""))"),"")</f>
        <v/>
      </c>
      <c r="L2747" s="40" t="str">
        <f>IFERROR(__xludf.DUMMYFUNCTION("IF(ISBLANK(B2747),"""",IF(Or(I2747=""Em Aberto"",ISBLANK(I2747),NOT(ISDATE(B2747))),"""",H2747))"),"")</f>
        <v/>
      </c>
      <c r="M2747" s="29" t="str">
        <f>IFERROR(__xludf.DUMMYFUNCTION("IF(ISBLANK(B2747),"""",IF(ISDATE(B2747),TEXT(B2747,""m""),""""))"),"")</f>
        <v/>
      </c>
      <c r="N2747" s="29" t="str">
        <f>IFERROR(__xludf.DUMMYFUNCTION("IF(M2747="""","""",QUERY({'Dashboard-Dados'!$Y$2:$AA$13},""Select Col2 Where Col1=""&amp;M2747))"),"")</f>
        <v/>
      </c>
      <c r="O2747" s="29" t="str">
        <f>IFERROR(__xludf.DUMMYFUNCTION("IF(ISBLANK(B2747),"""",IF(ISDATE(B2747),TEXT(B2747,""yyyy""),""""))"),"")</f>
        <v/>
      </c>
    </row>
    <row r="2748">
      <c r="B2748" s="62"/>
      <c r="C2748" s="56"/>
      <c r="D2748" s="56"/>
      <c r="E2748" s="56"/>
      <c r="F2748" s="63"/>
      <c r="G2748" s="64"/>
      <c r="H2748" s="65"/>
      <c r="I2748" s="63"/>
      <c r="K2748" s="53" t="str">
        <f>IFERROR(__xludf.DUMMYFUNCTION("IF(ISBLANK(B2748),"""",IF(ISDATE(B2748),""X"",""""))"),"")</f>
        <v/>
      </c>
      <c r="L2748" s="40" t="str">
        <f>IFERROR(__xludf.DUMMYFUNCTION("IF(ISBLANK(B2748),"""",IF(Or(I2748=""Em Aberto"",ISBLANK(I2748),NOT(ISDATE(B2748))),"""",H2748))"),"")</f>
        <v/>
      </c>
      <c r="M2748" s="29" t="str">
        <f>IFERROR(__xludf.DUMMYFUNCTION("IF(ISBLANK(B2748),"""",IF(ISDATE(B2748),TEXT(B2748,""m""),""""))"),"")</f>
        <v/>
      </c>
      <c r="N2748" s="29" t="str">
        <f>IFERROR(__xludf.DUMMYFUNCTION("IF(M2748="""","""",QUERY({'Dashboard-Dados'!$Y$2:$AA$13},""Select Col2 Where Col1=""&amp;M2748))"),"")</f>
        <v/>
      </c>
      <c r="O2748" s="29" t="str">
        <f>IFERROR(__xludf.DUMMYFUNCTION("IF(ISBLANK(B2748),"""",IF(ISDATE(B2748),TEXT(B2748,""yyyy""),""""))"),"")</f>
        <v/>
      </c>
    </row>
    <row r="2749">
      <c r="B2749" s="62"/>
      <c r="C2749" s="56"/>
      <c r="D2749" s="56"/>
      <c r="E2749" s="56"/>
      <c r="F2749" s="63"/>
      <c r="G2749" s="64"/>
      <c r="H2749" s="65"/>
      <c r="I2749" s="63"/>
      <c r="K2749" s="53" t="str">
        <f>IFERROR(__xludf.DUMMYFUNCTION("IF(ISBLANK(B2749),"""",IF(ISDATE(B2749),""X"",""""))"),"")</f>
        <v/>
      </c>
      <c r="L2749" s="40" t="str">
        <f>IFERROR(__xludf.DUMMYFUNCTION("IF(ISBLANK(B2749),"""",IF(Or(I2749=""Em Aberto"",ISBLANK(I2749),NOT(ISDATE(B2749))),"""",H2749))"),"")</f>
        <v/>
      </c>
      <c r="M2749" s="29" t="str">
        <f>IFERROR(__xludf.DUMMYFUNCTION("IF(ISBLANK(B2749),"""",IF(ISDATE(B2749),TEXT(B2749,""m""),""""))"),"")</f>
        <v/>
      </c>
      <c r="N2749" s="29" t="str">
        <f>IFERROR(__xludf.DUMMYFUNCTION("IF(M2749="""","""",QUERY({'Dashboard-Dados'!$Y$2:$AA$13},""Select Col2 Where Col1=""&amp;M2749))"),"")</f>
        <v/>
      </c>
      <c r="O2749" s="29" t="str">
        <f>IFERROR(__xludf.DUMMYFUNCTION("IF(ISBLANK(B2749),"""",IF(ISDATE(B2749),TEXT(B2749,""yyyy""),""""))"),"")</f>
        <v/>
      </c>
    </row>
    <row r="2750">
      <c r="B2750" s="62"/>
      <c r="C2750" s="56"/>
      <c r="D2750" s="56"/>
      <c r="E2750" s="56"/>
      <c r="F2750" s="63"/>
      <c r="G2750" s="64"/>
      <c r="H2750" s="65"/>
      <c r="I2750" s="63"/>
      <c r="K2750" s="53" t="str">
        <f>IFERROR(__xludf.DUMMYFUNCTION("IF(ISBLANK(B2750),"""",IF(ISDATE(B2750),""X"",""""))"),"")</f>
        <v/>
      </c>
      <c r="L2750" s="40" t="str">
        <f>IFERROR(__xludf.DUMMYFUNCTION("IF(ISBLANK(B2750),"""",IF(Or(I2750=""Em Aberto"",ISBLANK(I2750),NOT(ISDATE(B2750))),"""",H2750))"),"")</f>
        <v/>
      </c>
      <c r="M2750" s="29" t="str">
        <f>IFERROR(__xludf.DUMMYFUNCTION("IF(ISBLANK(B2750),"""",IF(ISDATE(B2750),TEXT(B2750,""m""),""""))"),"")</f>
        <v/>
      </c>
      <c r="N2750" s="29" t="str">
        <f>IFERROR(__xludf.DUMMYFUNCTION("IF(M2750="""","""",QUERY({'Dashboard-Dados'!$Y$2:$AA$13},""Select Col2 Where Col1=""&amp;M2750))"),"")</f>
        <v/>
      </c>
      <c r="O2750" s="29" t="str">
        <f>IFERROR(__xludf.DUMMYFUNCTION("IF(ISBLANK(B2750),"""",IF(ISDATE(B2750),TEXT(B2750,""yyyy""),""""))"),"")</f>
        <v/>
      </c>
    </row>
    <row r="2751">
      <c r="B2751" s="62"/>
      <c r="C2751" s="56"/>
      <c r="D2751" s="56"/>
      <c r="E2751" s="56"/>
      <c r="F2751" s="63"/>
      <c r="G2751" s="64"/>
      <c r="H2751" s="65"/>
      <c r="I2751" s="63"/>
      <c r="K2751" s="53" t="str">
        <f>IFERROR(__xludf.DUMMYFUNCTION("IF(ISBLANK(B2751),"""",IF(ISDATE(B2751),""X"",""""))"),"")</f>
        <v/>
      </c>
      <c r="L2751" s="40" t="str">
        <f>IFERROR(__xludf.DUMMYFUNCTION("IF(ISBLANK(B2751),"""",IF(Or(I2751=""Em Aberto"",ISBLANK(I2751),NOT(ISDATE(B2751))),"""",H2751))"),"")</f>
        <v/>
      </c>
      <c r="M2751" s="29" t="str">
        <f>IFERROR(__xludf.DUMMYFUNCTION("IF(ISBLANK(B2751),"""",IF(ISDATE(B2751),TEXT(B2751,""m""),""""))"),"")</f>
        <v/>
      </c>
      <c r="N2751" s="29" t="str">
        <f>IFERROR(__xludf.DUMMYFUNCTION("IF(M2751="""","""",QUERY({'Dashboard-Dados'!$Y$2:$AA$13},""Select Col2 Where Col1=""&amp;M2751))"),"")</f>
        <v/>
      </c>
      <c r="O2751" s="29" t="str">
        <f>IFERROR(__xludf.DUMMYFUNCTION("IF(ISBLANK(B2751),"""",IF(ISDATE(B2751),TEXT(B2751,""yyyy""),""""))"),"")</f>
        <v/>
      </c>
    </row>
    <row r="2752">
      <c r="B2752" s="62"/>
      <c r="C2752" s="56"/>
      <c r="D2752" s="56"/>
      <c r="E2752" s="56"/>
      <c r="F2752" s="63"/>
      <c r="G2752" s="64"/>
      <c r="H2752" s="65"/>
      <c r="I2752" s="63"/>
      <c r="K2752" s="53" t="str">
        <f>IFERROR(__xludf.DUMMYFUNCTION("IF(ISBLANK(B2752),"""",IF(ISDATE(B2752),""X"",""""))"),"")</f>
        <v/>
      </c>
      <c r="L2752" s="40" t="str">
        <f>IFERROR(__xludf.DUMMYFUNCTION("IF(ISBLANK(B2752),"""",IF(Or(I2752=""Em Aberto"",ISBLANK(I2752),NOT(ISDATE(B2752))),"""",H2752))"),"")</f>
        <v/>
      </c>
      <c r="M2752" s="29" t="str">
        <f>IFERROR(__xludf.DUMMYFUNCTION("IF(ISBLANK(B2752),"""",IF(ISDATE(B2752),TEXT(B2752,""m""),""""))"),"")</f>
        <v/>
      </c>
      <c r="N2752" s="29" t="str">
        <f>IFERROR(__xludf.DUMMYFUNCTION("IF(M2752="""","""",QUERY({'Dashboard-Dados'!$Y$2:$AA$13},""Select Col2 Where Col1=""&amp;M2752))"),"")</f>
        <v/>
      </c>
      <c r="O2752" s="29" t="str">
        <f>IFERROR(__xludf.DUMMYFUNCTION("IF(ISBLANK(B2752),"""",IF(ISDATE(B2752),TEXT(B2752,""yyyy""),""""))"),"")</f>
        <v/>
      </c>
    </row>
    <row r="2753">
      <c r="B2753" s="62"/>
      <c r="C2753" s="56"/>
      <c r="D2753" s="56"/>
      <c r="E2753" s="56"/>
      <c r="F2753" s="63"/>
      <c r="G2753" s="64"/>
      <c r="H2753" s="65"/>
      <c r="I2753" s="63"/>
      <c r="K2753" s="53" t="str">
        <f>IFERROR(__xludf.DUMMYFUNCTION("IF(ISBLANK(B2753),"""",IF(ISDATE(B2753),""X"",""""))"),"")</f>
        <v/>
      </c>
      <c r="L2753" s="40" t="str">
        <f>IFERROR(__xludf.DUMMYFUNCTION("IF(ISBLANK(B2753),"""",IF(Or(I2753=""Em Aberto"",ISBLANK(I2753),NOT(ISDATE(B2753))),"""",H2753))"),"")</f>
        <v/>
      </c>
      <c r="M2753" s="29" t="str">
        <f>IFERROR(__xludf.DUMMYFUNCTION("IF(ISBLANK(B2753),"""",IF(ISDATE(B2753),TEXT(B2753,""m""),""""))"),"")</f>
        <v/>
      </c>
      <c r="N2753" s="29" t="str">
        <f>IFERROR(__xludf.DUMMYFUNCTION("IF(M2753="""","""",QUERY({'Dashboard-Dados'!$Y$2:$AA$13},""Select Col2 Where Col1=""&amp;M2753))"),"")</f>
        <v/>
      </c>
      <c r="O2753" s="29" t="str">
        <f>IFERROR(__xludf.DUMMYFUNCTION("IF(ISBLANK(B2753),"""",IF(ISDATE(B2753),TEXT(B2753,""yyyy""),""""))"),"")</f>
        <v/>
      </c>
    </row>
    <row r="2754">
      <c r="B2754" s="62"/>
      <c r="C2754" s="56"/>
      <c r="D2754" s="56"/>
      <c r="E2754" s="56"/>
      <c r="F2754" s="63"/>
      <c r="G2754" s="64"/>
      <c r="H2754" s="65"/>
      <c r="I2754" s="63"/>
      <c r="K2754" s="53" t="str">
        <f>IFERROR(__xludf.DUMMYFUNCTION("IF(ISBLANK(B2754),"""",IF(ISDATE(B2754),""X"",""""))"),"")</f>
        <v/>
      </c>
      <c r="L2754" s="40" t="str">
        <f>IFERROR(__xludf.DUMMYFUNCTION("IF(ISBLANK(B2754),"""",IF(Or(I2754=""Em Aberto"",ISBLANK(I2754),NOT(ISDATE(B2754))),"""",H2754))"),"")</f>
        <v/>
      </c>
      <c r="M2754" s="29" t="str">
        <f>IFERROR(__xludf.DUMMYFUNCTION("IF(ISBLANK(B2754),"""",IF(ISDATE(B2754),TEXT(B2754,""m""),""""))"),"")</f>
        <v/>
      </c>
      <c r="N2754" s="29" t="str">
        <f>IFERROR(__xludf.DUMMYFUNCTION("IF(M2754="""","""",QUERY({'Dashboard-Dados'!$Y$2:$AA$13},""Select Col2 Where Col1=""&amp;M2754))"),"")</f>
        <v/>
      </c>
      <c r="O2754" s="29" t="str">
        <f>IFERROR(__xludf.DUMMYFUNCTION("IF(ISBLANK(B2754),"""",IF(ISDATE(B2754),TEXT(B2754,""yyyy""),""""))"),"")</f>
        <v/>
      </c>
    </row>
    <row r="2755">
      <c r="B2755" s="62"/>
      <c r="C2755" s="56"/>
      <c r="D2755" s="56"/>
      <c r="E2755" s="56"/>
      <c r="F2755" s="63"/>
      <c r="G2755" s="64"/>
      <c r="H2755" s="65"/>
      <c r="I2755" s="63"/>
      <c r="K2755" s="53" t="str">
        <f>IFERROR(__xludf.DUMMYFUNCTION("IF(ISBLANK(B2755),"""",IF(ISDATE(B2755),""X"",""""))"),"")</f>
        <v/>
      </c>
      <c r="L2755" s="40" t="str">
        <f>IFERROR(__xludf.DUMMYFUNCTION("IF(ISBLANK(B2755),"""",IF(Or(I2755=""Em Aberto"",ISBLANK(I2755),NOT(ISDATE(B2755))),"""",H2755))"),"")</f>
        <v/>
      </c>
      <c r="M2755" s="29" t="str">
        <f>IFERROR(__xludf.DUMMYFUNCTION("IF(ISBLANK(B2755),"""",IF(ISDATE(B2755),TEXT(B2755,""m""),""""))"),"")</f>
        <v/>
      </c>
      <c r="N2755" s="29" t="str">
        <f>IFERROR(__xludf.DUMMYFUNCTION("IF(M2755="""","""",QUERY({'Dashboard-Dados'!$Y$2:$AA$13},""Select Col2 Where Col1=""&amp;M2755))"),"")</f>
        <v/>
      </c>
      <c r="O2755" s="29" t="str">
        <f>IFERROR(__xludf.DUMMYFUNCTION("IF(ISBLANK(B2755),"""",IF(ISDATE(B2755),TEXT(B2755,""yyyy""),""""))"),"")</f>
        <v/>
      </c>
    </row>
    <row r="2756">
      <c r="B2756" s="62"/>
      <c r="C2756" s="56"/>
      <c r="D2756" s="56"/>
      <c r="E2756" s="56"/>
      <c r="F2756" s="63"/>
      <c r="G2756" s="64"/>
      <c r="H2756" s="65"/>
      <c r="I2756" s="63"/>
      <c r="K2756" s="53" t="str">
        <f>IFERROR(__xludf.DUMMYFUNCTION("IF(ISBLANK(B2756),"""",IF(ISDATE(B2756),""X"",""""))"),"")</f>
        <v/>
      </c>
      <c r="L2756" s="40" t="str">
        <f>IFERROR(__xludf.DUMMYFUNCTION("IF(ISBLANK(B2756),"""",IF(Or(I2756=""Em Aberto"",ISBLANK(I2756),NOT(ISDATE(B2756))),"""",H2756))"),"")</f>
        <v/>
      </c>
      <c r="M2756" s="29" t="str">
        <f>IFERROR(__xludf.DUMMYFUNCTION("IF(ISBLANK(B2756),"""",IF(ISDATE(B2756),TEXT(B2756,""m""),""""))"),"")</f>
        <v/>
      </c>
      <c r="N2756" s="29" t="str">
        <f>IFERROR(__xludf.DUMMYFUNCTION("IF(M2756="""","""",QUERY({'Dashboard-Dados'!$Y$2:$AA$13},""Select Col2 Where Col1=""&amp;M2756))"),"")</f>
        <v/>
      </c>
      <c r="O2756" s="29" t="str">
        <f>IFERROR(__xludf.DUMMYFUNCTION("IF(ISBLANK(B2756),"""",IF(ISDATE(B2756),TEXT(B2756,""yyyy""),""""))"),"")</f>
        <v/>
      </c>
    </row>
    <row r="2757">
      <c r="B2757" s="62"/>
      <c r="C2757" s="56"/>
      <c r="D2757" s="56"/>
      <c r="E2757" s="56"/>
      <c r="F2757" s="63"/>
      <c r="G2757" s="64"/>
      <c r="H2757" s="65"/>
      <c r="I2757" s="63"/>
      <c r="K2757" s="53" t="str">
        <f>IFERROR(__xludf.DUMMYFUNCTION("IF(ISBLANK(B2757),"""",IF(ISDATE(B2757),""X"",""""))"),"")</f>
        <v/>
      </c>
      <c r="L2757" s="40" t="str">
        <f>IFERROR(__xludf.DUMMYFUNCTION("IF(ISBLANK(B2757),"""",IF(Or(I2757=""Em Aberto"",ISBLANK(I2757),NOT(ISDATE(B2757))),"""",H2757))"),"")</f>
        <v/>
      </c>
      <c r="M2757" s="29" t="str">
        <f>IFERROR(__xludf.DUMMYFUNCTION("IF(ISBLANK(B2757),"""",IF(ISDATE(B2757),TEXT(B2757,""m""),""""))"),"")</f>
        <v/>
      </c>
      <c r="N2757" s="29" t="str">
        <f>IFERROR(__xludf.DUMMYFUNCTION("IF(M2757="""","""",QUERY({'Dashboard-Dados'!$Y$2:$AA$13},""Select Col2 Where Col1=""&amp;M2757))"),"")</f>
        <v/>
      </c>
      <c r="O2757" s="29" t="str">
        <f>IFERROR(__xludf.DUMMYFUNCTION("IF(ISBLANK(B2757),"""",IF(ISDATE(B2757),TEXT(B2757,""yyyy""),""""))"),"")</f>
        <v/>
      </c>
    </row>
    <row r="2758">
      <c r="B2758" s="62"/>
      <c r="C2758" s="56"/>
      <c r="D2758" s="56"/>
      <c r="E2758" s="56"/>
      <c r="F2758" s="63"/>
      <c r="G2758" s="64"/>
      <c r="H2758" s="65"/>
      <c r="I2758" s="63"/>
      <c r="K2758" s="53" t="str">
        <f>IFERROR(__xludf.DUMMYFUNCTION("IF(ISBLANK(B2758),"""",IF(ISDATE(B2758),""X"",""""))"),"")</f>
        <v/>
      </c>
      <c r="L2758" s="40" t="str">
        <f>IFERROR(__xludf.DUMMYFUNCTION("IF(ISBLANK(B2758),"""",IF(Or(I2758=""Em Aberto"",ISBLANK(I2758),NOT(ISDATE(B2758))),"""",H2758))"),"")</f>
        <v/>
      </c>
      <c r="M2758" s="29" t="str">
        <f>IFERROR(__xludf.DUMMYFUNCTION("IF(ISBLANK(B2758),"""",IF(ISDATE(B2758),TEXT(B2758,""m""),""""))"),"")</f>
        <v/>
      </c>
      <c r="N2758" s="29" t="str">
        <f>IFERROR(__xludf.DUMMYFUNCTION("IF(M2758="""","""",QUERY({'Dashboard-Dados'!$Y$2:$AA$13},""Select Col2 Where Col1=""&amp;M2758))"),"")</f>
        <v/>
      </c>
      <c r="O2758" s="29" t="str">
        <f>IFERROR(__xludf.DUMMYFUNCTION("IF(ISBLANK(B2758),"""",IF(ISDATE(B2758),TEXT(B2758,""yyyy""),""""))"),"")</f>
        <v/>
      </c>
    </row>
    <row r="2759">
      <c r="B2759" s="62"/>
      <c r="C2759" s="56"/>
      <c r="D2759" s="56"/>
      <c r="E2759" s="56"/>
      <c r="F2759" s="63"/>
      <c r="G2759" s="64"/>
      <c r="H2759" s="65"/>
      <c r="I2759" s="63"/>
      <c r="K2759" s="53" t="str">
        <f>IFERROR(__xludf.DUMMYFUNCTION("IF(ISBLANK(B2759),"""",IF(ISDATE(B2759),""X"",""""))"),"")</f>
        <v/>
      </c>
      <c r="L2759" s="40" t="str">
        <f>IFERROR(__xludf.DUMMYFUNCTION("IF(ISBLANK(B2759),"""",IF(Or(I2759=""Em Aberto"",ISBLANK(I2759),NOT(ISDATE(B2759))),"""",H2759))"),"")</f>
        <v/>
      </c>
      <c r="M2759" s="29" t="str">
        <f>IFERROR(__xludf.DUMMYFUNCTION("IF(ISBLANK(B2759),"""",IF(ISDATE(B2759),TEXT(B2759,""m""),""""))"),"")</f>
        <v/>
      </c>
      <c r="N2759" s="29" t="str">
        <f>IFERROR(__xludf.DUMMYFUNCTION("IF(M2759="""","""",QUERY({'Dashboard-Dados'!$Y$2:$AA$13},""Select Col2 Where Col1=""&amp;M2759))"),"")</f>
        <v/>
      </c>
      <c r="O2759" s="29" t="str">
        <f>IFERROR(__xludf.DUMMYFUNCTION("IF(ISBLANK(B2759),"""",IF(ISDATE(B2759),TEXT(B2759,""yyyy""),""""))"),"")</f>
        <v/>
      </c>
    </row>
    <row r="2760">
      <c r="B2760" s="62"/>
      <c r="C2760" s="56"/>
      <c r="D2760" s="56"/>
      <c r="E2760" s="56"/>
      <c r="F2760" s="63"/>
      <c r="G2760" s="64"/>
      <c r="H2760" s="65"/>
      <c r="I2760" s="63"/>
      <c r="K2760" s="53" t="str">
        <f>IFERROR(__xludf.DUMMYFUNCTION("IF(ISBLANK(B2760),"""",IF(ISDATE(B2760),""X"",""""))"),"")</f>
        <v/>
      </c>
      <c r="L2760" s="40" t="str">
        <f>IFERROR(__xludf.DUMMYFUNCTION("IF(ISBLANK(B2760),"""",IF(Or(I2760=""Em Aberto"",ISBLANK(I2760),NOT(ISDATE(B2760))),"""",H2760))"),"")</f>
        <v/>
      </c>
      <c r="M2760" s="29" t="str">
        <f>IFERROR(__xludf.DUMMYFUNCTION("IF(ISBLANK(B2760),"""",IF(ISDATE(B2760),TEXT(B2760,""m""),""""))"),"")</f>
        <v/>
      </c>
      <c r="N2760" s="29" t="str">
        <f>IFERROR(__xludf.DUMMYFUNCTION("IF(M2760="""","""",QUERY({'Dashboard-Dados'!$Y$2:$AA$13},""Select Col2 Where Col1=""&amp;M2760))"),"")</f>
        <v/>
      </c>
      <c r="O2760" s="29" t="str">
        <f>IFERROR(__xludf.DUMMYFUNCTION("IF(ISBLANK(B2760),"""",IF(ISDATE(B2760),TEXT(B2760,""yyyy""),""""))"),"")</f>
        <v/>
      </c>
    </row>
    <row r="2761">
      <c r="B2761" s="62"/>
      <c r="C2761" s="56"/>
      <c r="D2761" s="56"/>
      <c r="E2761" s="56"/>
      <c r="F2761" s="63"/>
      <c r="G2761" s="64"/>
      <c r="H2761" s="65"/>
      <c r="I2761" s="63"/>
      <c r="K2761" s="53" t="str">
        <f>IFERROR(__xludf.DUMMYFUNCTION("IF(ISBLANK(B2761),"""",IF(ISDATE(B2761),""X"",""""))"),"")</f>
        <v/>
      </c>
      <c r="L2761" s="40" t="str">
        <f>IFERROR(__xludf.DUMMYFUNCTION("IF(ISBLANK(B2761),"""",IF(Or(I2761=""Em Aberto"",ISBLANK(I2761),NOT(ISDATE(B2761))),"""",H2761))"),"")</f>
        <v/>
      </c>
      <c r="M2761" s="29" t="str">
        <f>IFERROR(__xludf.DUMMYFUNCTION("IF(ISBLANK(B2761),"""",IF(ISDATE(B2761),TEXT(B2761,""m""),""""))"),"")</f>
        <v/>
      </c>
      <c r="N2761" s="29" t="str">
        <f>IFERROR(__xludf.DUMMYFUNCTION("IF(M2761="""","""",QUERY({'Dashboard-Dados'!$Y$2:$AA$13},""Select Col2 Where Col1=""&amp;M2761))"),"")</f>
        <v/>
      </c>
      <c r="O2761" s="29" t="str">
        <f>IFERROR(__xludf.DUMMYFUNCTION("IF(ISBLANK(B2761),"""",IF(ISDATE(B2761),TEXT(B2761,""yyyy""),""""))"),"")</f>
        <v/>
      </c>
    </row>
    <row r="2762">
      <c r="B2762" s="62"/>
      <c r="C2762" s="56"/>
      <c r="D2762" s="56"/>
      <c r="E2762" s="56"/>
      <c r="F2762" s="63"/>
      <c r="G2762" s="64"/>
      <c r="H2762" s="65"/>
      <c r="I2762" s="63"/>
      <c r="K2762" s="53" t="str">
        <f>IFERROR(__xludf.DUMMYFUNCTION("IF(ISBLANK(B2762),"""",IF(ISDATE(B2762),""X"",""""))"),"")</f>
        <v/>
      </c>
      <c r="L2762" s="40" t="str">
        <f>IFERROR(__xludf.DUMMYFUNCTION("IF(ISBLANK(B2762),"""",IF(Or(I2762=""Em Aberto"",ISBLANK(I2762),NOT(ISDATE(B2762))),"""",H2762))"),"")</f>
        <v/>
      </c>
      <c r="M2762" s="29" t="str">
        <f>IFERROR(__xludf.DUMMYFUNCTION("IF(ISBLANK(B2762),"""",IF(ISDATE(B2762),TEXT(B2762,""m""),""""))"),"")</f>
        <v/>
      </c>
      <c r="N2762" s="29" t="str">
        <f>IFERROR(__xludf.DUMMYFUNCTION("IF(M2762="""","""",QUERY({'Dashboard-Dados'!$Y$2:$AA$13},""Select Col2 Where Col1=""&amp;M2762))"),"")</f>
        <v/>
      </c>
      <c r="O2762" s="29" t="str">
        <f>IFERROR(__xludf.DUMMYFUNCTION("IF(ISBLANK(B2762),"""",IF(ISDATE(B2762),TEXT(B2762,""yyyy""),""""))"),"")</f>
        <v/>
      </c>
    </row>
    <row r="2763">
      <c r="B2763" s="62"/>
      <c r="C2763" s="56"/>
      <c r="D2763" s="56"/>
      <c r="E2763" s="56"/>
      <c r="F2763" s="63"/>
      <c r="G2763" s="64"/>
      <c r="H2763" s="65"/>
      <c r="I2763" s="63"/>
      <c r="K2763" s="53" t="str">
        <f>IFERROR(__xludf.DUMMYFUNCTION("IF(ISBLANK(B2763),"""",IF(ISDATE(B2763),""X"",""""))"),"")</f>
        <v/>
      </c>
      <c r="L2763" s="40" t="str">
        <f>IFERROR(__xludf.DUMMYFUNCTION("IF(ISBLANK(B2763),"""",IF(Or(I2763=""Em Aberto"",ISBLANK(I2763),NOT(ISDATE(B2763))),"""",H2763))"),"")</f>
        <v/>
      </c>
      <c r="M2763" s="29" t="str">
        <f>IFERROR(__xludf.DUMMYFUNCTION("IF(ISBLANK(B2763),"""",IF(ISDATE(B2763),TEXT(B2763,""m""),""""))"),"")</f>
        <v/>
      </c>
      <c r="N2763" s="29" t="str">
        <f>IFERROR(__xludf.DUMMYFUNCTION("IF(M2763="""","""",QUERY({'Dashboard-Dados'!$Y$2:$AA$13},""Select Col2 Where Col1=""&amp;M2763))"),"")</f>
        <v/>
      </c>
      <c r="O2763" s="29" t="str">
        <f>IFERROR(__xludf.DUMMYFUNCTION("IF(ISBLANK(B2763),"""",IF(ISDATE(B2763),TEXT(B2763,""yyyy""),""""))"),"")</f>
        <v/>
      </c>
    </row>
    <row r="2764">
      <c r="B2764" s="62"/>
      <c r="C2764" s="56"/>
      <c r="D2764" s="56"/>
      <c r="E2764" s="56"/>
      <c r="F2764" s="63"/>
      <c r="G2764" s="64"/>
      <c r="H2764" s="65"/>
      <c r="I2764" s="63"/>
      <c r="K2764" s="53" t="str">
        <f>IFERROR(__xludf.DUMMYFUNCTION("IF(ISBLANK(B2764),"""",IF(ISDATE(B2764),""X"",""""))"),"")</f>
        <v/>
      </c>
      <c r="L2764" s="40" t="str">
        <f>IFERROR(__xludf.DUMMYFUNCTION("IF(ISBLANK(B2764),"""",IF(Or(I2764=""Em Aberto"",ISBLANK(I2764),NOT(ISDATE(B2764))),"""",H2764))"),"")</f>
        <v/>
      </c>
      <c r="M2764" s="29" t="str">
        <f>IFERROR(__xludf.DUMMYFUNCTION("IF(ISBLANK(B2764),"""",IF(ISDATE(B2764),TEXT(B2764,""m""),""""))"),"")</f>
        <v/>
      </c>
      <c r="N2764" s="29" t="str">
        <f>IFERROR(__xludf.DUMMYFUNCTION("IF(M2764="""","""",QUERY({'Dashboard-Dados'!$Y$2:$AA$13},""Select Col2 Where Col1=""&amp;M2764))"),"")</f>
        <v/>
      </c>
      <c r="O2764" s="29" t="str">
        <f>IFERROR(__xludf.DUMMYFUNCTION("IF(ISBLANK(B2764),"""",IF(ISDATE(B2764),TEXT(B2764,""yyyy""),""""))"),"")</f>
        <v/>
      </c>
    </row>
    <row r="2765">
      <c r="B2765" s="62"/>
      <c r="C2765" s="56"/>
      <c r="D2765" s="56"/>
      <c r="E2765" s="56"/>
      <c r="F2765" s="63"/>
      <c r="G2765" s="64"/>
      <c r="H2765" s="65"/>
      <c r="I2765" s="63"/>
      <c r="K2765" s="53" t="str">
        <f>IFERROR(__xludf.DUMMYFUNCTION("IF(ISBLANK(B2765),"""",IF(ISDATE(B2765),""X"",""""))"),"")</f>
        <v/>
      </c>
      <c r="L2765" s="40" t="str">
        <f>IFERROR(__xludf.DUMMYFUNCTION("IF(ISBLANK(B2765),"""",IF(Or(I2765=""Em Aberto"",ISBLANK(I2765),NOT(ISDATE(B2765))),"""",H2765))"),"")</f>
        <v/>
      </c>
      <c r="M2765" s="29" t="str">
        <f>IFERROR(__xludf.DUMMYFUNCTION("IF(ISBLANK(B2765),"""",IF(ISDATE(B2765),TEXT(B2765,""m""),""""))"),"")</f>
        <v/>
      </c>
      <c r="N2765" s="29" t="str">
        <f>IFERROR(__xludf.DUMMYFUNCTION("IF(M2765="""","""",QUERY({'Dashboard-Dados'!$Y$2:$AA$13},""Select Col2 Where Col1=""&amp;M2765))"),"")</f>
        <v/>
      </c>
      <c r="O2765" s="29" t="str">
        <f>IFERROR(__xludf.DUMMYFUNCTION("IF(ISBLANK(B2765),"""",IF(ISDATE(B2765),TEXT(B2765,""yyyy""),""""))"),"")</f>
        <v/>
      </c>
    </row>
    <row r="2766">
      <c r="B2766" s="62"/>
      <c r="C2766" s="56"/>
      <c r="D2766" s="56"/>
      <c r="E2766" s="56"/>
      <c r="F2766" s="63"/>
      <c r="G2766" s="64"/>
      <c r="H2766" s="65"/>
      <c r="I2766" s="63"/>
      <c r="K2766" s="53" t="str">
        <f>IFERROR(__xludf.DUMMYFUNCTION("IF(ISBLANK(B2766),"""",IF(ISDATE(B2766),""X"",""""))"),"")</f>
        <v/>
      </c>
      <c r="L2766" s="40" t="str">
        <f>IFERROR(__xludf.DUMMYFUNCTION("IF(ISBLANK(B2766),"""",IF(Or(I2766=""Em Aberto"",ISBLANK(I2766),NOT(ISDATE(B2766))),"""",H2766))"),"")</f>
        <v/>
      </c>
      <c r="M2766" s="29" t="str">
        <f>IFERROR(__xludf.DUMMYFUNCTION("IF(ISBLANK(B2766),"""",IF(ISDATE(B2766),TEXT(B2766,""m""),""""))"),"")</f>
        <v/>
      </c>
      <c r="N2766" s="29" t="str">
        <f>IFERROR(__xludf.DUMMYFUNCTION("IF(M2766="""","""",QUERY({'Dashboard-Dados'!$Y$2:$AA$13},""Select Col2 Where Col1=""&amp;M2766))"),"")</f>
        <v/>
      </c>
      <c r="O2766" s="29" t="str">
        <f>IFERROR(__xludf.DUMMYFUNCTION("IF(ISBLANK(B2766),"""",IF(ISDATE(B2766),TEXT(B2766,""yyyy""),""""))"),"")</f>
        <v/>
      </c>
    </row>
    <row r="2767">
      <c r="B2767" s="62"/>
      <c r="C2767" s="56"/>
      <c r="D2767" s="56"/>
      <c r="E2767" s="56"/>
      <c r="F2767" s="63"/>
      <c r="G2767" s="64"/>
      <c r="H2767" s="65"/>
      <c r="I2767" s="63"/>
      <c r="K2767" s="53" t="str">
        <f>IFERROR(__xludf.DUMMYFUNCTION("IF(ISBLANK(B2767),"""",IF(ISDATE(B2767),""X"",""""))"),"")</f>
        <v/>
      </c>
      <c r="L2767" s="40" t="str">
        <f>IFERROR(__xludf.DUMMYFUNCTION("IF(ISBLANK(B2767),"""",IF(Or(I2767=""Em Aberto"",ISBLANK(I2767),NOT(ISDATE(B2767))),"""",H2767))"),"")</f>
        <v/>
      </c>
      <c r="M2767" s="29" t="str">
        <f>IFERROR(__xludf.DUMMYFUNCTION("IF(ISBLANK(B2767),"""",IF(ISDATE(B2767),TEXT(B2767,""m""),""""))"),"")</f>
        <v/>
      </c>
      <c r="N2767" s="29" t="str">
        <f>IFERROR(__xludf.DUMMYFUNCTION("IF(M2767="""","""",QUERY({'Dashboard-Dados'!$Y$2:$AA$13},""Select Col2 Where Col1=""&amp;M2767))"),"")</f>
        <v/>
      </c>
      <c r="O2767" s="29" t="str">
        <f>IFERROR(__xludf.DUMMYFUNCTION("IF(ISBLANK(B2767),"""",IF(ISDATE(B2767),TEXT(B2767,""yyyy""),""""))"),"")</f>
        <v/>
      </c>
    </row>
    <row r="2768">
      <c r="B2768" s="62"/>
      <c r="C2768" s="56"/>
      <c r="D2768" s="56"/>
      <c r="E2768" s="56"/>
      <c r="F2768" s="63"/>
      <c r="G2768" s="64"/>
      <c r="H2768" s="65"/>
      <c r="I2768" s="63"/>
      <c r="K2768" s="53" t="str">
        <f>IFERROR(__xludf.DUMMYFUNCTION("IF(ISBLANK(B2768),"""",IF(ISDATE(B2768),""X"",""""))"),"")</f>
        <v/>
      </c>
      <c r="L2768" s="40" t="str">
        <f>IFERROR(__xludf.DUMMYFUNCTION("IF(ISBLANK(B2768),"""",IF(Or(I2768=""Em Aberto"",ISBLANK(I2768),NOT(ISDATE(B2768))),"""",H2768))"),"")</f>
        <v/>
      </c>
      <c r="M2768" s="29" t="str">
        <f>IFERROR(__xludf.DUMMYFUNCTION("IF(ISBLANK(B2768),"""",IF(ISDATE(B2768),TEXT(B2768,""m""),""""))"),"")</f>
        <v/>
      </c>
      <c r="N2768" s="29" t="str">
        <f>IFERROR(__xludf.DUMMYFUNCTION("IF(M2768="""","""",QUERY({'Dashboard-Dados'!$Y$2:$AA$13},""Select Col2 Where Col1=""&amp;M2768))"),"")</f>
        <v/>
      </c>
      <c r="O2768" s="29" t="str">
        <f>IFERROR(__xludf.DUMMYFUNCTION("IF(ISBLANK(B2768),"""",IF(ISDATE(B2768),TEXT(B2768,""yyyy""),""""))"),"")</f>
        <v/>
      </c>
    </row>
    <row r="2769">
      <c r="B2769" s="62"/>
      <c r="C2769" s="56"/>
      <c r="D2769" s="56"/>
      <c r="E2769" s="56"/>
      <c r="F2769" s="63"/>
      <c r="G2769" s="64"/>
      <c r="H2769" s="65"/>
      <c r="I2769" s="63"/>
      <c r="K2769" s="53" t="str">
        <f>IFERROR(__xludf.DUMMYFUNCTION("IF(ISBLANK(B2769),"""",IF(ISDATE(B2769),""X"",""""))"),"")</f>
        <v/>
      </c>
      <c r="L2769" s="40" t="str">
        <f>IFERROR(__xludf.DUMMYFUNCTION("IF(ISBLANK(B2769),"""",IF(Or(I2769=""Em Aberto"",ISBLANK(I2769),NOT(ISDATE(B2769))),"""",H2769))"),"")</f>
        <v/>
      </c>
      <c r="M2769" s="29" t="str">
        <f>IFERROR(__xludf.DUMMYFUNCTION("IF(ISBLANK(B2769),"""",IF(ISDATE(B2769),TEXT(B2769,""m""),""""))"),"")</f>
        <v/>
      </c>
      <c r="N2769" s="29" t="str">
        <f>IFERROR(__xludf.DUMMYFUNCTION("IF(M2769="""","""",QUERY({'Dashboard-Dados'!$Y$2:$AA$13},""Select Col2 Where Col1=""&amp;M2769))"),"")</f>
        <v/>
      </c>
      <c r="O2769" s="29" t="str">
        <f>IFERROR(__xludf.DUMMYFUNCTION("IF(ISBLANK(B2769),"""",IF(ISDATE(B2769),TEXT(B2769,""yyyy""),""""))"),"")</f>
        <v/>
      </c>
    </row>
    <row r="2770">
      <c r="B2770" s="62"/>
      <c r="C2770" s="56"/>
      <c r="D2770" s="56"/>
      <c r="E2770" s="56"/>
      <c r="F2770" s="63"/>
      <c r="G2770" s="64"/>
      <c r="H2770" s="65"/>
      <c r="I2770" s="63"/>
      <c r="K2770" s="53" t="str">
        <f>IFERROR(__xludf.DUMMYFUNCTION("IF(ISBLANK(B2770),"""",IF(ISDATE(B2770),""X"",""""))"),"")</f>
        <v/>
      </c>
      <c r="L2770" s="40" t="str">
        <f>IFERROR(__xludf.DUMMYFUNCTION("IF(ISBLANK(B2770),"""",IF(Or(I2770=""Em Aberto"",ISBLANK(I2770),NOT(ISDATE(B2770))),"""",H2770))"),"")</f>
        <v/>
      </c>
      <c r="M2770" s="29" t="str">
        <f>IFERROR(__xludf.DUMMYFUNCTION("IF(ISBLANK(B2770),"""",IF(ISDATE(B2770),TEXT(B2770,""m""),""""))"),"")</f>
        <v/>
      </c>
      <c r="N2770" s="29" t="str">
        <f>IFERROR(__xludf.DUMMYFUNCTION("IF(M2770="""","""",QUERY({'Dashboard-Dados'!$Y$2:$AA$13},""Select Col2 Where Col1=""&amp;M2770))"),"")</f>
        <v/>
      </c>
      <c r="O2770" s="29" t="str">
        <f>IFERROR(__xludf.DUMMYFUNCTION("IF(ISBLANK(B2770),"""",IF(ISDATE(B2770),TEXT(B2770,""yyyy""),""""))"),"")</f>
        <v/>
      </c>
    </row>
    <row r="2771">
      <c r="B2771" s="62"/>
      <c r="C2771" s="56"/>
      <c r="D2771" s="56"/>
      <c r="E2771" s="56"/>
      <c r="F2771" s="63"/>
      <c r="G2771" s="64"/>
      <c r="H2771" s="65"/>
      <c r="I2771" s="63"/>
      <c r="K2771" s="53" t="str">
        <f>IFERROR(__xludf.DUMMYFUNCTION("IF(ISBLANK(B2771),"""",IF(ISDATE(B2771),""X"",""""))"),"")</f>
        <v/>
      </c>
      <c r="L2771" s="40" t="str">
        <f>IFERROR(__xludf.DUMMYFUNCTION("IF(ISBLANK(B2771),"""",IF(Or(I2771=""Em Aberto"",ISBLANK(I2771),NOT(ISDATE(B2771))),"""",H2771))"),"")</f>
        <v/>
      </c>
      <c r="M2771" s="29" t="str">
        <f>IFERROR(__xludf.DUMMYFUNCTION("IF(ISBLANK(B2771),"""",IF(ISDATE(B2771),TEXT(B2771,""m""),""""))"),"")</f>
        <v/>
      </c>
      <c r="N2771" s="29" t="str">
        <f>IFERROR(__xludf.DUMMYFUNCTION("IF(M2771="""","""",QUERY({'Dashboard-Dados'!$Y$2:$AA$13},""Select Col2 Where Col1=""&amp;M2771))"),"")</f>
        <v/>
      </c>
      <c r="O2771" s="29" t="str">
        <f>IFERROR(__xludf.DUMMYFUNCTION("IF(ISBLANK(B2771),"""",IF(ISDATE(B2771),TEXT(B2771,""yyyy""),""""))"),"")</f>
        <v/>
      </c>
    </row>
    <row r="2772">
      <c r="B2772" s="62"/>
      <c r="C2772" s="56"/>
      <c r="D2772" s="56"/>
      <c r="E2772" s="56"/>
      <c r="F2772" s="63"/>
      <c r="G2772" s="64"/>
      <c r="H2772" s="65"/>
      <c r="I2772" s="63"/>
      <c r="K2772" s="53" t="str">
        <f>IFERROR(__xludf.DUMMYFUNCTION("IF(ISBLANK(B2772),"""",IF(ISDATE(B2772),""X"",""""))"),"")</f>
        <v/>
      </c>
      <c r="L2772" s="40" t="str">
        <f>IFERROR(__xludf.DUMMYFUNCTION("IF(ISBLANK(B2772),"""",IF(Or(I2772=""Em Aberto"",ISBLANK(I2772),NOT(ISDATE(B2772))),"""",H2772))"),"")</f>
        <v/>
      </c>
      <c r="M2772" s="29" t="str">
        <f>IFERROR(__xludf.DUMMYFUNCTION("IF(ISBLANK(B2772),"""",IF(ISDATE(B2772),TEXT(B2772,""m""),""""))"),"")</f>
        <v/>
      </c>
      <c r="N2772" s="29" t="str">
        <f>IFERROR(__xludf.DUMMYFUNCTION("IF(M2772="""","""",QUERY({'Dashboard-Dados'!$Y$2:$AA$13},""Select Col2 Where Col1=""&amp;M2772))"),"")</f>
        <v/>
      </c>
      <c r="O2772" s="29" t="str">
        <f>IFERROR(__xludf.DUMMYFUNCTION("IF(ISBLANK(B2772),"""",IF(ISDATE(B2772),TEXT(B2772,""yyyy""),""""))"),"")</f>
        <v/>
      </c>
    </row>
    <row r="2773">
      <c r="B2773" s="62"/>
      <c r="C2773" s="56"/>
      <c r="D2773" s="56"/>
      <c r="E2773" s="56"/>
      <c r="F2773" s="63"/>
      <c r="G2773" s="64"/>
      <c r="H2773" s="65"/>
      <c r="I2773" s="63"/>
      <c r="K2773" s="53" t="str">
        <f>IFERROR(__xludf.DUMMYFUNCTION("IF(ISBLANK(B2773),"""",IF(ISDATE(B2773),""X"",""""))"),"")</f>
        <v/>
      </c>
      <c r="L2773" s="40" t="str">
        <f>IFERROR(__xludf.DUMMYFUNCTION("IF(ISBLANK(B2773),"""",IF(Or(I2773=""Em Aberto"",ISBLANK(I2773),NOT(ISDATE(B2773))),"""",H2773))"),"")</f>
        <v/>
      </c>
      <c r="M2773" s="29" t="str">
        <f>IFERROR(__xludf.DUMMYFUNCTION("IF(ISBLANK(B2773),"""",IF(ISDATE(B2773),TEXT(B2773,""m""),""""))"),"")</f>
        <v/>
      </c>
      <c r="N2773" s="29" t="str">
        <f>IFERROR(__xludf.DUMMYFUNCTION("IF(M2773="""","""",QUERY({'Dashboard-Dados'!$Y$2:$AA$13},""Select Col2 Where Col1=""&amp;M2773))"),"")</f>
        <v/>
      </c>
      <c r="O2773" s="29" t="str">
        <f>IFERROR(__xludf.DUMMYFUNCTION("IF(ISBLANK(B2773),"""",IF(ISDATE(B2773),TEXT(B2773,""yyyy""),""""))"),"")</f>
        <v/>
      </c>
    </row>
    <row r="2774">
      <c r="B2774" s="62"/>
      <c r="C2774" s="56"/>
      <c r="D2774" s="56"/>
      <c r="E2774" s="56"/>
      <c r="F2774" s="63"/>
      <c r="G2774" s="64"/>
      <c r="H2774" s="65"/>
      <c r="I2774" s="63"/>
      <c r="K2774" s="53" t="str">
        <f>IFERROR(__xludf.DUMMYFUNCTION("IF(ISBLANK(B2774),"""",IF(ISDATE(B2774),""X"",""""))"),"")</f>
        <v/>
      </c>
      <c r="L2774" s="40" t="str">
        <f>IFERROR(__xludf.DUMMYFUNCTION("IF(ISBLANK(B2774),"""",IF(Or(I2774=""Em Aberto"",ISBLANK(I2774),NOT(ISDATE(B2774))),"""",H2774))"),"")</f>
        <v/>
      </c>
      <c r="M2774" s="29" t="str">
        <f>IFERROR(__xludf.DUMMYFUNCTION("IF(ISBLANK(B2774),"""",IF(ISDATE(B2774),TEXT(B2774,""m""),""""))"),"")</f>
        <v/>
      </c>
      <c r="N2774" s="29" t="str">
        <f>IFERROR(__xludf.DUMMYFUNCTION("IF(M2774="""","""",QUERY({'Dashboard-Dados'!$Y$2:$AA$13},""Select Col2 Where Col1=""&amp;M2774))"),"")</f>
        <v/>
      </c>
      <c r="O2774" s="29" t="str">
        <f>IFERROR(__xludf.DUMMYFUNCTION("IF(ISBLANK(B2774),"""",IF(ISDATE(B2774),TEXT(B2774,""yyyy""),""""))"),"")</f>
        <v/>
      </c>
    </row>
    <row r="2775">
      <c r="B2775" s="62"/>
      <c r="C2775" s="56"/>
      <c r="D2775" s="56"/>
      <c r="E2775" s="56"/>
      <c r="F2775" s="63"/>
      <c r="G2775" s="64"/>
      <c r="H2775" s="65"/>
      <c r="I2775" s="63"/>
      <c r="K2775" s="53" t="str">
        <f>IFERROR(__xludf.DUMMYFUNCTION("IF(ISBLANK(B2775),"""",IF(ISDATE(B2775),""X"",""""))"),"")</f>
        <v/>
      </c>
      <c r="L2775" s="40" t="str">
        <f>IFERROR(__xludf.DUMMYFUNCTION("IF(ISBLANK(B2775),"""",IF(Or(I2775=""Em Aberto"",ISBLANK(I2775),NOT(ISDATE(B2775))),"""",H2775))"),"")</f>
        <v/>
      </c>
      <c r="M2775" s="29" t="str">
        <f>IFERROR(__xludf.DUMMYFUNCTION("IF(ISBLANK(B2775),"""",IF(ISDATE(B2775),TEXT(B2775,""m""),""""))"),"")</f>
        <v/>
      </c>
      <c r="N2775" s="29" t="str">
        <f>IFERROR(__xludf.DUMMYFUNCTION("IF(M2775="""","""",QUERY({'Dashboard-Dados'!$Y$2:$AA$13},""Select Col2 Where Col1=""&amp;M2775))"),"")</f>
        <v/>
      </c>
      <c r="O2775" s="29" t="str">
        <f>IFERROR(__xludf.DUMMYFUNCTION("IF(ISBLANK(B2775),"""",IF(ISDATE(B2775),TEXT(B2775,""yyyy""),""""))"),"")</f>
        <v/>
      </c>
    </row>
    <row r="2776">
      <c r="B2776" s="62"/>
      <c r="C2776" s="56"/>
      <c r="D2776" s="56"/>
      <c r="E2776" s="56"/>
      <c r="F2776" s="63"/>
      <c r="G2776" s="64"/>
      <c r="H2776" s="65"/>
      <c r="I2776" s="63"/>
      <c r="K2776" s="53" t="str">
        <f>IFERROR(__xludf.DUMMYFUNCTION("IF(ISBLANK(B2776),"""",IF(ISDATE(B2776),""X"",""""))"),"")</f>
        <v/>
      </c>
      <c r="L2776" s="40" t="str">
        <f>IFERROR(__xludf.DUMMYFUNCTION("IF(ISBLANK(B2776),"""",IF(Or(I2776=""Em Aberto"",ISBLANK(I2776),NOT(ISDATE(B2776))),"""",H2776))"),"")</f>
        <v/>
      </c>
      <c r="M2776" s="29" t="str">
        <f>IFERROR(__xludf.DUMMYFUNCTION("IF(ISBLANK(B2776),"""",IF(ISDATE(B2776),TEXT(B2776,""m""),""""))"),"")</f>
        <v/>
      </c>
      <c r="N2776" s="29" t="str">
        <f>IFERROR(__xludf.DUMMYFUNCTION("IF(M2776="""","""",QUERY({'Dashboard-Dados'!$Y$2:$AA$13},""Select Col2 Where Col1=""&amp;M2776))"),"")</f>
        <v/>
      </c>
      <c r="O2776" s="29" t="str">
        <f>IFERROR(__xludf.DUMMYFUNCTION("IF(ISBLANK(B2776),"""",IF(ISDATE(B2776),TEXT(B2776,""yyyy""),""""))"),"")</f>
        <v/>
      </c>
    </row>
    <row r="2777">
      <c r="B2777" s="62"/>
      <c r="C2777" s="56"/>
      <c r="D2777" s="56"/>
      <c r="E2777" s="56"/>
      <c r="F2777" s="63"/>
      <c r="G2777" s="64"/>
      <c r="H2777" s="65"/>
      <c r="I2777" s="63"/>
      <c r="K2777" s="53" t="str">
        <f>IFERROR(__xludf.DUMMYFUNCTION("IF(ISBLANK(B2777),"""",IF(ISDATE(B2777),""X"",""""))"),"")</f>
        <v/>
      </c>
      <c r="L2777" s="40" t="str">
        <f>IFERROR(__xludf.DUMMYFUNCTION("IF(ISBLANK(B2777),"""",IF(Or(I2777=""Em Aberto"",ISBLANK(I2777),NOT(ISDATE(B2777))),"""",H2777))"),"")</f>
        <v/>
      </c>
      <c r="M2777" s="29" t="str">
        <f>IFERROR(__xludf.DUMMYFUNCTION("IF(ISBLANK(B2777),"""",IF(ISDATE(B2777),TEXT(B2777,""m""),""""))"),"")</f>
        <v/>
      </c>
      <c r="N2777" s="29" t="str">
        <f>IFERROR(__xludf.DUMMYFUNCTION("IF(M2777="""","""",QUERY({'Dashboard-Dados'!$Y$2:$AA$13},""Select Col2 Where Col1=""&amp;M2777))"),"")</f>
        <v/>
      </c>
      <c r="O2777" s="29" t="str">
        <f>IFERROR(__xludf.DUMMYFUNCTION("IF(ISBLANK(B2777),"""",IF(ISDATE(B2777),TEXT(B2777,""yyyy""),""""))"),"")</f>
        <v/>
      </c>
    </row>
    <row r="2778">
      <c r="B2778" s="62"/>
      <c r="C2778" s="56"/>
      <c r="D2778" s="56"/>
      <c r="E2778" s="56"/>
      <c r="F2778" s="63"/>
      <c r="G2778" s="64"/>
      <c r="H2778" s="65"/>
      <c r="I2778" s="63"/>
      <c r="K2778" s="53" t="str">
        <f>IFERROR(__xludf.DUMMYFUNCTION("IF(ISBLANK(B2778),"""",IF(ISDATE(B2778),""X"",""""))"),"")</f>
        <v/>
      </c>
      <c r="L2778" s="40" t="str">
        <f>IFERROR(__xludf.DUMMYFUNCTION("IF(ISBLANK(B2778),"""",IF(Or(I2778=""Em Aberto"",ISBLANK(I2778),NOT(ISDATE(B2778))),"""",H2778))"),"")</f>
        <v/>
      </c>
      <c r="M2778" s="29" t="str">
        <f>IFERROR(__xludf.DUMMYFUNCTION("IF(ISBLANK(B2778),"""",IF(ISDATE(B2778),TEXT(B2778,""m""),""""))"),"")</f>
        <v/>
      </c>
      <c r="N2778" s="29" t="str">
        <f>IFERROR(__xludf.DUMMYFUNCTION("IF(M2778="""","""",QUERY({'Dashboard-Dados'!$Y$2:$AA$13},""Select Col2 Where Col1=""&amp;M2778))"),"")</f>
        <v/>
      </c>
      <c r="O2778" s="29" t="str">
        <f>IFERROR(__xludf.DUMMYFUNCTION("IF(ISBLANK(B2778),"""",IF(ISDATE(B2778),TEXT(B2778,""yyyy""),""""))"),"")</f>
        <v/>
      </c>
    </row>
    <row r="2779">
      <c r="B2779" s="62"/>
      <c r="C2779" s="56"/>
      <c r="D2779" s="56"/>
      <c r="E2779" s="56"/>
      <c r="F2779" s="63"/>
      <c r="G2779" s="64"/>
      <c r="H2779" s="65"/>
      <c r="I2779" s="63"/>
      <c r="K2779" s="53" t="str">
        <f>IFERROR(__xludf.DUMMYFUNCTION("IF(ISBLANK(B2779),"""",IF(ISDATE(B2779),""X"",""""))"),"")</f>
        <v/>
      </c>
      <c r="L2779" s="40" t="str">
        <f>IFERROR(__xludf.DUMMYFUNCTION("IF(ISBLANK(B2779),"""",IF(Or(I2779=""Em Aberto"",ISBLANK(I2779),NOT(ISDATE(B2779))),"""",H2779))"),"")</f>
        <v/>
      </c>
      <c r="M2779" s="29" t="str">
        <f>IFERROR(__xludf.DUMMYFUNCTION("IF(ISBLANK(B2779),"""",IF(ISDATE(B2779),TEXT(B2779,""m""),""""))"),"")</f>
        <v/>
      </c>
      <c r="N2779" s="29" t="str">
        <f>IFERROR(__xludf.DUMMYFUNCTION("IF(M2779="""","""",QUERY({'Dashboard-Dados'!$Y$2:$AA$13},""Select Col2 Where Col1=""&amp;M2779))"),"")</f>
        <v/>
      </c>
      <c r="O2779" s="29" t="str">
        <f>IFERROR(__xludf.DUMMYFUNCTION("IF(ISBLANK(B2779),"""",IF(ISDATE(B2779),TEXT(B2779,""yyyy""),""""))"),"")</f>
        <v/>
      </c>
    </row>
    <row r="2780">
      <c r="B2780" s="62"/>
      <c r="C2780" s="56"/>
      <c r="D2780" s="56"/>
      <c r="E2780" s="56"/>
      <c r="F2780" s="63"/>
      <c r="G2780" s="64"/>
      <c r="H2780" s="65"/>
      <c r="I2780" s="63"/>
      <c r="K2780" s="53" t="str">
        <f>IFERROR(__xludf.DUMMYFUNCTION("IF(ISBLANK(B2780),"""",IF(ISDATE(B2780),""X"",""""))"),"")</f>
        <v/>
      </c>
      <c r="L2780" s="40" t="str">
        <f>IFERROR(__xludf.DUMMYFUNCTION("IF(ISBLANK(B2780),"""",IF(Or(I2780=""Em Aberto"",ISBLANK(I2780),NOT(ISDATE(B2780))),"""",H2780))"),"")</f>
        <v/>
      </c>
      <c r="M2780" s="29" t="str">
        <f>IFERROR(__xludf.DUMMYFUNCTION("IF(ISBLANK(B2780),"""",IF(ISDATE(B2780),TEXT(B2780,""m""),""""))"),"")</f>
        <v/>
      </c>
      <c r="N2780" s="29" t="str">
        <f>IFERROR(__xludf.DUMMYFUNCTION("IF(M2780="""","""",QUERY({'Dashboard-Dados'!$Y$2:$AA$13},""Select Col2 Where Col1=""&amp;M2780))"),"")</f>
        <v/>
      </c>
      <c r="O2780" s="29" t="str">
        <f>IFERROR(__xludf.DUMMYFUNCTION("IF(ISBLANK(B2780),"""",IF(ISDATE(B2780),TEXT(B2780,""yyyy""),""""))"),"")</f>
        <v/>
      </c>
    </row>
    <row r="2781">
      <c r="B2781" s="62"/>
      <c r="C2781" s="56"/>
      <c r="D2781" s="56"/>
      <c r="E2781" s="56"/>
      <c r="F2781" s="63"/>
      <c r="G2781" s="64"/>
      <c r="H2781" s="65"/>
      <c r="I2781" s="63"/>
      <c r="K2781" s="53" t="str">
        <f>IFERROR(__xludf.DUMMYFUNCTION("IF(ISBLANK(B2781),"""",IF(ISDATE(B2781),""X"",""""))"),"")</f>
        <v/>
      </c>
      <c r="L2781" s="40" t="str">
        <f>IFERROR(__xludf.DUMMYFUNCTION("IF(ISBLANK(B2781),"""",IF(Or(I2781=""Em Aberto"",ISBLANK(I2781),NOT(ISDATE(B2781))),"""",H2781))"),"")</f>
        <v/>
      </c>
      <c r="M2781" s="29" t="str">
        <f>IFERROR(__xludf.DUMMYFUNCTION("IF(ISBLANK(B2781),"""",IF(ISDATE(B2781),TEXT(B2781,""m""),""""))"),"")</f>
        <v/>
      </c>
      <c r="N2781" s="29" t="str">
        <f>IFERROR(__xludf.DUMMYFUNCTION("IF(M2781="""","""",QUERY({'Dashboard-Dados'!$Y$2:$AA$13},""Select Col2 Where Col1=""&amp;M2781))"),"")</f>
        <v/>
      </c>
      <c r="O2781" s="29" t="str">
        <f>IFERROR(__xludf.DUMMYFUNCTION("IF(ISBLANK(B2781),"""",IF(ISDATE(B2781),TEXT(B2781,""yyyy""),""""))"),"")</f>
        <v/>
      </c>
    </row>
    <row r="2782">
      <c r="B2782" s="62"/>
      <c r="C2782" s="56"/>
      <c r="D2782" s="56"/>
      <c r="E2782" s="56"/>
      <c r="F2782" s="63"/>
      <c r="G2782" s="64"/>
      <c r="H2782" s="65"/>
      <c r="I2782" s="63"/>
      <c r="K2782" s="53" t="str">
        <f>IFERROR(__xludf.DUMMYFUNCTION("IF(ISBLANK(B2782),"""",IF(ISDATE(B2782),""X"",""""))"),"")</f>
        <v/>
      </c>
      <c r="L2782" s="40" t="str">
        <f>IFERROR(__xludf.DUMMYFUNCTION("IF(ISBLANK(B2782),"""",IF(Or(I2782=""Em Aberto"",ISBLANK(I2782),NOT(ISDATE(B2782))),"""",H2782))"),"")</f>
        <v/>
      </c>
      <c r="M2782" s="29" t="str">
        <f>IFERROR(__xludf.DUMMYFUNCTION("IF(ISBLANK(B2782),"""",IF(ISDATE(B2782),TEXT(B2782,""m""),""""))"),"")</f>
        <v/>
      </c>
      <c r="N2782" s="29" t="str">
        <f>IFERROR(__xludf.DUMMYFUNCTION("IF(M2782="""","""",QUERY({'Dashboard-Dados'!$Y$2:$AA$13},""Select Col2 Where Col1=""&amp;M2782))"),"")</f>
        <v/>
      </c>
      <c r="O2782" s="29" t="str">
        <f>IFERROR(__xludf.DUMMYFUNCTION("IF(ISBLANK(B2782),"""",IF(ISDATE(B2782),TEXT(B2782,""yyyy""),""""))"),"")</f>
        <v/>
      </c>
    </row>
    <row r="2783">
      <c r="B2783" s="62"/>
      <c r="C2783" s="56"/>
      <c r="D2783" s="56"/>
      <c r="E2783" s="56"/>
      <c r="F2783" s="63"/>
      <c r="G2783" s="64"/>
      <c r="H2783" s="65"/>
      <c r="I2783" s="63"/>
      <c r="K2783" s="53" t="str">
        <f>IFERROR(__xludf.DUMMYFUNCTION("IF(ISBLANK(B2783),"""",IF(ISDATE(B2783),""X"",""""))"),"")</f>
        <v/>
      </c>
      <c r="L2783" s="40" t="str">
        <f>IFERROR(__xludf.DUMMYFUNCTION("IF(ISBLANK(B2783),"""",IF(Or(I2783=""Em Aberto"",ISBLANK(I2783),NOT(ISDATE(B2783))),"""",H2783))"),"")</f>
        <v/>
      </c>
      <c r="M2783" s="29" t="str">
        <f>IFERROR(__xludf.DUMMYFUNCTION("IF(ISBLANK(B2783),"""",IF(ISDATE(B2783),TEXT(B2783,""m""),""""))"),"")</f>
        <v/>
      </c>
      <c r="N2783" s="29" t="str">
        <f>IFERROR(__xludf.DUMMYFUNCTION("IF(M2783="""","""",QUERY({'Dashboard-Dados'!$Y$2:$AA$13},""Select Col2 Where Col1=""&amp;M2783))"),"")</f>
        <v/>
      </c>
      <c r="O2783" s="29" t="str">
        <f>IFERROR(__xludf.DUMMYFUNCTION("IF(ISBLANK(B2783),"""",IF(ISDATE(B2783),TEXT(B2783,""yyyy""),""""))"),"")</f>
        <v/>
      </c>
    </row>
    <row r="2784">
      <c r="B2784" s="62"/>
      <c r="C2784" s="56"/>
      <c r="D2784" s="56"/>
      <c r="E2784" s="56"/>
      <c r="F2784" s="63"/>
      <c r="G2784" s="64"/>
      <c r="H2784" s="65"/>
      <c r="I2784" s="63"/>
      <c r="K2784" s="53" t="str">
        <f>IFERROR(__xludf.DUMMYFUNCTION("IF(ISBLANK(B2784),"""",IF(ISDATE(B2784),""X"",""""))"),"")</f>
        <v/>
      </c>
      <c r="L2784" s="40" t="str">
        <f>IFERROR(__xludf.DUMMYFUNCTION("IF(ISBLANK(B2784),"""",IF(Or(I2784=""Em Aberto"",ISBLANK(I2784),NOT(ISDATE(B2784))),"""",H2784))"),"")</f>
        <v/>
      </c>
      <c r="M2784" s="29" t="str">
        <f>IFERROR(__xludf.DUMMYFUNCTION("IF(ISBLANK(B2784),"""",IF(ISDATE(B2784),TEXT(B2784,""m""),""""))"),"")</f>
        <v/>
      </c>
      <c r="N2784" s="29" t="str">
        <f>IFERROR(__xludf.DUMMYFUNCTION("IF(M2784="""","""",QUERY({'Dashboard-Dados'!$Y$2:$AA$13},""Select Col2 Where Col1=""&amp;M2784))"),"")</f>
        <v/>
      </c>
      <c r="O2784" s="29" t="str">
        <f>IFERROR(__xludf.DUMMYFUNCTION("IF(ISBLANK(B2784),"""",IF(ISDATE(B2784),TEXT(B2784,""yyyy""),""""))"),"")</f>
        <v/>
      </c>
    </row>
    <row r="2785">
      <c r="B2785" s="62"/>
      <c r="C2785" s="56"/>
      <c r="D2785" s="56"/>
      <c r="E2785" s="56"/>
      <c r="F2785" s="63"/>
      <c r="G2785" s="64"/>
      <c r="H2785" s="65"/>
      <c r="I2785" s="63"/>
      <c r="K2785" s="53" t="str">
        <f>IFERROR(__xludf.DUMMYFUNCTION("IF(ISBLANK(B2785),"""",IF(ISDATE(B2785),""X"",""""))"),"")</f>
        <v/>
      </c>
      <c r="L2785" s="40" t="str">
        <f>IFERROR(__xludf.DUMMYFUNCTION("IF(ISBLANK(B2785),"""",IF(Or(I2785=""Em Aberto"",ISBLANK(I2785),NOT(ISDATE(B2785))),"""",H2785))"),"")</f>
        <v/>
      </c>
      <c r="M2785" s="29" t="str">
        <f>IFERROR(__xludf.DUMMYFUNCTION("IF(ISBLANK(B2785),"""",IF(ISDATE(B2785),TEXT(B2785,""m""),""""))"),"")</f>
        <v/>
      </c>
      <c r="N2785" s="29" t="str">
        <f>IFERROR(__xludf.DUMMYFUNCTION("IF(M2785="""","""",QUERY({'Dashboard-Dados'!$Y$2:$AA$13},""Select Col2 Where Col1=""&amp;M2785))"),"")</f>
        <v/>
      </c>
      <c r="O2785" s="29" t="str">
        <f>IFERROR(__xludf.DUMMYFUNCTION("IF(ISBLANK(B2785),"""",IF(ISDATE(B2785),TEXT(B2785,""yyyy""),""""))"),"")</f>
        <v/>
      </c>
    </row>
    <row r="2786">
      <c r="B2786" s="62"/>
      <c r="C2786" s="56"/>
      <c r="D2786" s="56"/>
      <c r="E2786" s="56"/>
      <c r="F2786" s="63"/>
      <c r="G2786" s="64"/>
      <c r="H2786" s="65"/>
      <c r="I2786" s="63"/>
      <c r="K2786" s="53" t="str">
        <f>IFERROR(__xludf.DUMMYFUNCTION("IF(ISBLANK(B2786),"""",IF(ISDATE(B2786),""X"",""""))"),"")</f>
        <v/>
      </c>
      <c r="L2786" s="40" t="str">
        <f>IFERROR(__xludf.DUMMYFUNCTION("IF(ISBLANK(B2786),"""",IF(Or(I2786=""Em Aberto"",ISBLANK(I2786),NOT(ISDATE(B2786))),"""",H2786))"),"")</f>
        <v/>
      </c>
      <c r="M2786" s="29" t="str">
        <f>IFERROR(__xludf.DUMMYFUNCTION("IF(ISBLANK(B2786),"""",IF(ISDATE(B2786),TEXT(B2786,""m""),""""))"),"")</f>
        <v/>
      </c>
      <c r="N2786" s="29" t="str">
        <f>IFERROR(__xludf.DUMMYFUNCTION("IF(M2786="""","""",QUERY({'Dashboard-Dados'!$Y$2:$AA$13},""Select Col2 Where Col1=""&amp;M2786))"),"")</f>
        <v/>
      </c>
      <c r="O2786" s="29" t="str">
        <f>IFERROR(__xludf.DUMMYFUNCTION("IF(ISBLANK(B2786),"""",IF(ISDATE(B2786),TEXT(B2786,""yyyy""),""""))"),"")</f>
        <v/>
      </c>
    </row>
    <row r="2787">
      <c r="B2787" s="62"/>
      <c r="C2787" s="56"/>
      <c r="D2787" s="56"/>
      <c r="E2787" s="56"/>
      <c r="F2787" s="63"/>
      <c r="G2787" s="64"/>
      <c r="H2787" s="65"/>
      <c r="I2787" s="63"/>
      <c r="K2787" s="53" t="str">
        <f>IFERROR(__xludf.DUMMYFUNCTION("IF(ISBLANK(B2787),"""",IF(ISDATE(B2787),""X"",""""))"),"")</f>
        <v/>
      </c>
      <c r="L2787" s="40" t="str">
        <f>IFERROR(__xludf.DUMMYFUNCTION("IF(ISBLANK(B2787),"""",IF(Or(I2787=""Em Aberto"",ISBLANK(I2787),NOT(ISDATE(B2787))),"""",H2787))"),"")</f>
        <v/>
      </c>
      <c r="M2787" s="29" t="str">
        <f>IFERROR(__xludf.DUMMYFUNCTION("IF(ISBLANK(B2787),"""",IF(ISDATE(B2787),TEXT(B2787,""m""),""""))"),"")</f>
        <v/>
      </c>
      <c r="N2787" s="29" t="str">
        <f>IFERROR(__xludf.DUMMYFUNCTION("IF(M2787="""","""",QUERY({'Dashboard-Dados'!$Y$2:$AA$13},""Select Col2 Where Col1=""&amp;M2787))"),"")</f>
        <v/>
      </c>
      <c r="O2787" s="29" t="str">
        <f>IFERROR(__xludf.DUMMYFUNCTION("IF(ISBLANK(B2787),"""",IF(ISDATE(B2787),TEXT(B2787,""yyyy""),""""))"),"")</f>
        <v/>
      </c>
    </row>
    <row r="2788">
      <c r="B2788" s="62"/>
      <c r="C2788" s="56"/>
      <c r="D2788" s="56"/>
      <c r="E2788" s="56"/>
      <c r="F2788" s="63"/>
      <c r="G2788" s="64"/>
      <c r="H2788" s="65"/>
      <c r="I2788" s="63"/>
      <c r="K2788" s="53" t="str">
        <f>IFERROR(__xludf.DUMMYFUNCTION("IF(ISBLANK(B2788),"""",IF(ISDATE(B2788),""X"",""""))"),"")</f>
        <v/>
      </c>
      <c r="L2788" s="40" t="str">
        <f>IFERROR(__xludf.DUMMYFUNCTION("IF(ISBLANK(B2788),"""",IF(Or(I2788=""Em Aberto"",ISBLANK(I2788),NOT(ISDATE(B2788))),"""",H2788))"),"")</f>
        <v/>
      </c>
      <c r="M2788" s="29" t="str">
        <f>IFERROR(__xludf.DUMMYFUNCTION("IF(ISBLANK(B2788),"""",IF(ISDATE(B2788),TEXT(B2788,""m""),""""))"),"")</f>
        <v/>
      </c>
      <c r="N2788" s="29" t="str">
        <f>IFERROR(__xludf.DUMMYFUNCTION("IF(M2788="""","""",QUERY({'Dashboard-Dados'!$Y$2:$AA$13},""Select Col2 Where Col1=""&amp;M2788))"),"")</f>
        <v/>
      </c>
      <c r="O2788" s="29" t="str">
        <f>IFERROR(__xludf.DUMMYFUNCTION("IF(ISBLANK(B2788),"""",IF(ISDATE(B2788),TEXT(B2788,""yyyy""),""""))"),"")</f>
        <v/>
      </c>
    </row>
    <row r="2789">
      <c r="B2789" s="62"/>
      <c r="C2789" s="56"/>
      <c r="D2789" s="56"/>
      <c r="E2789" s="56"/>
      <c r="F2789" s="63"/>
      <c r="G2789" s="64"/>
      <c r="H2789" s="65"/>
      <c r="I2789" s="63"/>
      <c r="K2789" s="53" t="str">
        <f>IFERROR(__xludf.DUMMYFUNCTION("IF(ISBLANK(B2789),"""",IF(ISDATE(B2789),""X"",""""))"),"")</f>
        <v/>
      </c>
      <c r="L2789" s="40" t="str">
        <f>IFERROR(__xludf.DUMMYFUNCTION("IF(ISBLANK(B2789),"""",IF(Or(I2789=""Em Aberto"",ISBLANK(I2789),NOT(ISDATE(B2789))),"""",H2789))"),"")</f>
        <v/>
      </c>
      <c r="M2789" s="29" t="str">
        <f>IFERROR(__xludf.DUMMYFUNCTION("IF(ISBLANK(B2789),"""",IF(ISDATE(B2789),TEXT(B2789,""m""),""""))"),"")</f>
        <v/>
      </c>
      <c r="N2789" s="29" t="str">
        <f>IFERROR(__xludf.DUMMYFUNCTION("IF(M2789="""","""",QUERY({'Dashboard-Dados'!$Y$2:$AA$13},""Select Col2 Where Col1=""&amp;M2789))"),"")</f>
        <v/>
      </c>
      <c r="O2789" s="29" t="str">
        <f>IFERROR(__xludf.DUMMYFUNCTION("IF(ISBLANK(B2789),"""",IF(ISDATE(B2789),TEXT(B2789,""yyyy""),""""))"),"")</f>
        <v/>
      </c>
    </row>
    <row r="2790">
      <c r="B2790" s="62"/>
      <c r="C2790" s="56"/>
      <c r="D2790" s="56"/>
      <c r="E2790" s="56"/>
      <c r="F2790" s="63"/>
      <c r="G2790" s="64"/>
      <c r="H2790" s="65"/>
      <c r="I2790" s="63"/>
      <c r="K2790" s="53" t="str">
        <f>IFERROR(__xludf.DUMMYFUNCTION("IF(ISBLANK(B2790),"""",IF(ISDATE(B2790),""X"",""""))"),"")</f>
        <v/>
      </c>
      <c r="L2790" s="40" t="str">
        <f>IFERROR(__xludf.DUMMYFUNCTION("IF(ISBLANK(B2790),"""",IF(Or(I2790=""Em Aberto"",ISBLANK(I2790),NOT(ISDATE(B2790))),"""",H2790))"),"")</f>
        <v/>
      </c>
      <c r="M2790" s="29" t="str">
        <f>IFERROR(__xludf.DUMMYFUNCTION("IF(ISBLANK(B2790),"""",IF(ISDATE(B2790),TEXT(B2790,""m""),""""))"),"")</f>
        <v/>
      </c>
      <c r="N2790" s="29" t="str">
        <f>IFERROR(__xludf.DUMMYFUNCTION("IF(M2790="""","""",QUERY({'Dashboard-Dados'!$Y$2:$AA$13},""Select Col2 Where Col1=""&amp;M2790))"),"")</f>
        <v/>
      </c>
      <c r="O2790" s="29" t="str">
        <f>IFERROR(__xludf.DUMMYFUNCTION("IF(ISBLANK(B2790),"""",IF(ISDATE(B2790),TEXT(B2790,""yyyy""),""""))"),"")</f>
        <v/>
      </c>
    </row>
    <row r="2791">
      <c r="B2791" s="62"/>
      <c r="C2791" s="56"/>
      <c r="D2791" s="56"/>
      <c r="E2791" s="56"/>
      <c r="F2791" s="63"/>
      <c r="G2791" s="64"/>
      <c r="H2791" s="65"/>
      <c r="I2791" s="63"/>
      <c r="K2791" s="53" t="str">
        <f>IFERROR(__xludf.DUMMYFUNCTION("IF(ISBLANK(B2791),"""",IF(ISDATE(B2791),""X"",""""))"),"")</f>
        <v/>
      </c>
      <c r="L2791" s="40" t="str">
        <f>IFERROR(__xludf.DUMMYFUNCTION("IF(ISBLANK(B2791),"""",IF(Or(I2791=""Em Aberto"",ISBLANK(I2791),NOT(ISDATE(B2791))),"""",H2791))"),"")</f>
        <v/>
      </c>
      <c r="M2791" s="29" t="str">
        <f>IFERROR(__xludf.DUMMYFUNCTION("IF(ISBLANK(B2791),"""",IF(ISDATE(B2791),TEXT(B2791,""m""),""""))"),"")</f>
        <v/>
      </c>
      <c r="N2791" s="29" t="str">
        <f>IFERROR(__xludf.DUMMYFUNCTION("IF(M2791="""","""",QUERY({'Dashboard-Dados'!$Y$2:$AA$13},""Select Col2 Where Col1=""&amp;M2791))"),"")</f>
        <v/>
      </c>
      <c r="O2791" s="29" t="str">
        <f>IFERROR(__xludf.DUMMYFUNCTION("IF(ISBLANK(B2791),"""",IF(ISDATE(B2791),TEXT(B2791,""yyyy""),""""))"),"")</f>
        <v/>
      </c>
    </row>
    <row r="2792">
      <c r="B2792" s="62"/>
      <c r="C2792" s="56"/>
      <c r="D2792" s="56"/>
      <c r="E2792" s="56"/>
      <c r="F2792" s="63"/>
      <c r="G2792" s="64"/>
      <c r="H2792" s="65"/>
      <c r="I2792" s="63"/>
      <c r="K2792" s="53" t="str">
        <f>IFERROR(__xludf.DUMMYFUNCTION("IF(ISBLANK(B2792),"""",IF(ISDATE(B2792),""X"",""""))"),"")</f>
        <v/>
      </c>
      <c r="L2792" s="40" t="str">
        <f>IFERROR(__xludf.DUMMYFUNCTION("IF(ISBLANK(B2792),"""",IF(Or(I2792=""Em Aberto"",ISBLANK(I2792),NOT(ISDATE(B2792))),"""",H2792))"),"")</f>
        <v/>
      </c>
      <c r="M2792" s="29" t="str">
        <f>IFERROR(__xludf.DUMMYFUNCTION("IF(ISBLANK(B2792),"""",IF(ISDATE(B2792),TEXT(B2792,""m""),""""))"),"")</f>
        <v/>
      </c>
      <c r="N2792" s="29" t="str">
        <f>IFERROR(__xludf.DUMMYFUNCTION("IF(M2792="""","""",QUERY({'Dashboard-Dados'!$Y$2:$AA$13},""Select Col2 Where Col1=""&amp;M2792))"),"")</f>
        <v/>
      </c>
      <c r="O2792" s="29" t="str">
        <f>IFERROR(__xludf.DUMMYFUNCTION("IF(ISBLANK(B2792),"""",IF(ISDATE(B2792),TEXT(B2792,""yyyy""),""""))"),"")</f>
        <v/>
      </c>
    </row>
    <row r="2793">
      <c r="B2793" s="62"/>
      <c r="C2793" s="56"/>
      <c r="D2793" s="56"/>
      <c r="E2793" s="56"/>
      <c r="F2793" s="63"/>
      <c r="G2793" s="64"/>
      <c r="H2793" s="65"/>
      <c r="I2793" s="63"/>
      <c r="K2793" s="53" t="str">
        <f>IFERROR(__xludf.DUMMYFUNCTION("IF(ISBLANK(B2793),"""",IF(ISDATE(B2793),""X"",""""))"),"")</f>
        <v/>
      </c>
      <c r="L2793" s="40" t="str">
        <f>IFERROR(__xludf.DUMMYFUNCTION("IF(ISBLANK(B2793),"""",IF(Or(I2793=""Em Aberto"",ISBLANK(I2793),NOT(ISDATE(B2793))),"""",H2793))"),"")</f>
        <v/>
      </c>
      <c r="M2793" s="29" t="str">
        <f>IFERROR(__xludf.DUMMYFUNCTION("IF(ISBLANK(B2793),"""",IF(ISDATE(B2793),TEXT(B2793,""m""),""""))"),"")</f>
        <v/>
      </c>
      <c r="N2793" s="29" t="str">
        <f>IFERROR(__xludf.DUMMYFUNCTION("IF(M2793="""","""",QUERY({'Dashboard-Dados'!$Y$2:$AA$13},""Select Col2 Where Col1=""&amp;M2793))"),"")</f>
        <v/>
      </c>
      <c r="O2793" s="29" t="str">
        <f>IFERROR(__xludf.DUMMYFUNCTION("IF(ISBLANK(B2793),"""",IF(ISDATE(B2793),TEXT(B2793,""yyyy""),""""))"),"")</f>
        <v/>
      </c>
    </row>
    <row r="2794">
      <c r="B2794" s="62"/>
      <c r="C2794" s="56"/>
      <c r="D2794" s="56"/>
      <c r="E2794" s="56"/>
      <c r="F2794" s="63"/>
      <c r="G2794" s="64"/>
      <c r="H2794" s="65"/>
      <c r="I2794" s="63"/>
      <c r="K2794" s="53" t="str">
        <f>IFERROR(__xludf.DUMMYFUNCTION("IF(ISBLANK(B2794),"""",IF(ISDATE(B2794),""X"",""""))"),"")</f>
        <v/>
      </c>
      <c r="L2794" s="40" t="str">
        <f>IFERROR(__xludf.DUMMYFUNCTION("IF(ISBLANK(B2794),"""",IF(Or(I2794=""Em Aberto"",ISBLANK(I2794),NOT(ISDATE(B2794))),"""",H2794))"),"")</f>
        <v/>
      </c>
      <c r="M2794" s="29" t="str">
        <f>IFERROR(__xludf.DUMMYFUNCTION("IF(ISBLANK(B2794),"""",IF(ISDATE(B2794),TEXT(B2794,""m""),""""))"),"")</f>
        <v/>
      </c>
      <c r="N2794" s="29" t="str">
        <f>IFERROR(__xludf.DUMMYFUNCTION("IF(M2794="""","""",QUERY({'Dashboard-Dados'!$Y$2:$AA$13},""Select Col2 Where Col1=""&amp;M2794))"),"")</f>
        <v/>
      </c>
      <c r="O2794" s="29" t="str">
        <f>IFERROR(__xludf.DUMMYFUNCTION("IF(ISBLANK(B2794),"""",IF(ISDATE(B2794),TEXT(B2794,""yyyy""),""""))"),"")</f>
        <v/>
      </c>
    </row>
    <row r="2795">
      <c r="B2795" s="62"/>
      <c r="C2795" s="56"/>
      <c r="D2795" s="56"/>
      <c r="E2795" s="56"/>
      <c r="F2795" s="63"/>
      <c r="G2795" s="64"/>
      <c r="H2795" s="65"/>
      <c r="I2795" s="63"/>
      <c r="K2795" s="53" t="str">
        <f>IFERROR(__xludf.DUMMYFUNCTION("IF(ISBLANK(B2795),"""",IF(ISDATE(B2795),""X"",""""))"),"")</f>
        <v/>
      </c>
      <c r="L2795" s="40" t="str">
        <f>IFERROR(__xludf.DUMMYFUNCTION("IF(ISBLANK(B2795),"""",IF(Or(I2795=""Em Aberto"",ISBLANK(I2795),NOT(ISDATE(B2795))),"""",H2795))"),"")</f>
        <v/>
      </c>
      <c r="M2795" s="29" t="str">
        <f>IFERROR(__xludf.DUMMYFUNCTION("IF(ISBLANK(B2795),"""",IF(ISDATE(B2795),TEXT(B2795,""m""),""""))"),"")</f>
        <v/>
      </c>
      <c r="N2795" s="29" t="str">
        <f>IFERROR(__xludf.DUMMYFUNCTION("IF(M2795="""","""",QUERY({'Dashboard-Dados'!$Y$2:$AA$13},""Select Col2 Where Col1=""&amp;M2795))"),"")</f>
        <v/>
      </c>
      <c r="O2795" s="29" t="str">
        <f>IFERROR(__xludf.DUMMYFUNCTION("IF(ISBLANK(B2795),"""",IF(ISDATE(B2795),TEXT(B2795,""yyyy""),""""))"),"")</f>
        <v/>
      </c>
    </row>
    <row r="2796">
      <c r="B2796" s="62"/>
      <c r="C2796" s="56"/>
      <c r="D2796" s="56"/>
      <c r="E2796" s="56"/>
      <c r="F2796" s="63"/>
      <c r="G2796" s="64"/>
      <c r="H2796" s="65"/>
      <c r="I2796" s="63"/>
      <c r="K2796" s="53" t="str">
        <f>IFERROR(__xludf.DUMMYFUNCTION("IF(ISBLANK(B2796),"""",IF(ISDATE(B2796),""X"",""""))"),"")</f>
        <v/>
      </c>
      <c r="L2796" s="40" t="str">
        <f>IFERROR(__xludf.DUMMYFUNCTION("IF(ISBLANK(B2796),"""",IF(Or(I2796=""Em Aberto"",ISBLANK(I2796),NOT(ISDATE(B2796))),"""",H2796))"),"")</f>
        <v/>
      </c>
      <c r="M2796" s="29" t="str">
        <f>IFERROR(__xludf.DUMMYFUNCTION("IF(ISBLANK(B2796),"""",IF(ISDATE(B2796),TEXT(B2796,""m""),""""))"),"")</f>
        <v/>
      </c>
      <c r="N2796" s="29" t="str">
        <f>IFERROR(__xludf.DUMMYFUNCTION("IF(M2796="""","""",QUERY({'Dashboard-Dados'!$Y$2:$AA$13},""Select Col2 Where Col1=""&amp;M2796))"),"")</f>
        <v/>
      </c>
      <c r="O2796" s="29" t="str">
        <f>IFERROR(__xludf.DUMMYFUNCTION("IF(ISBLANK(B2796),"""",IF(ISDATE(B2796),TEXT(B2796,""yyyy""),""""))"),"")</f>
        <v/>
      </c>
    </row>
    <row r="2797">
      <c r="B2797" s="62"/>
      <c r="C2797" s="56"/>
      <c r="D2797" s="56"/>
      <c r="E2797" s="56"/>
      <c r="F2797" s="63"/>
      <c r="G2797" s="64"/>
      <c r="H2797" s="65"/>
      <c r="I2797" s="63"/>
      <c r="K2797" s="53" t="str">
        <f>IFERROR(__xludf.DUMMYFUNCTION("IF(ISBLANK(B2797),"""",IF(ISDATE(B2797),""X"",""""))"),"")</f>
        <v/>
      </c>
      <c r="L2797" s="40" t="str">
        <f>IFERROR(__xludf.DUMMYFUNCTION("IF(ISBLANK(B2797),"""",IF(Or(I2797=""Em Aberto"",ISBLANK(I2797),NOT(ISDATE(B2797))),"""",H2797))"),"")</f>
        <v/>
      </c>
      <c r="M2797" s="29" t="str">
        <f>IFERROR(__xludf.DUMMYFUNCTION("IF(ISBLANK(B2797),"""",IF(ISDATE(B2797),TEXT(B2797,""m""),""""))"),"")</f>
        <v/>
      </c>
      <c r="N2797" s="29" t="str">
        <f>IFERROR(__xludf.DUMMYFUNCTION("IF(M2797="""","""",QUERY({'Dashboard-Dados'!$Y$2:$AA$13},""Select Col2 Where Col1=""&amp;M2797))"),"")</f>
        <v/>
      </c>
      <c r="O2797" s="29" t="str">
        <f>IFERROR(__xludf.DUMMYFUNCTION("IF(ISBLANK(B2797),"""",IF(ISDATE(B2797),TEXT(B2797,""yyyy""),""""))"),"")</f>
        <v/>
      </c>
    </row>
    <row r="2798">
      <c r="B2798" s="62"/>
      <c r="C2798" s="56"/>
      <c r="D2798" s="56"/>
      <c r="E2798" s="56"/>
      <c r="F2798" s="63"/>
      <c r="G2798" s="64"/>
      <c r="H2798" s="65"/>
      <c r="I2798" s="63"/>
      <c r="K2798" s="53" t="str">
        <f>IFERROR(__xludf.DUMMYFUNCTION("IF(ISBLANK(B2798),"""",IF(ISDATE(B2798),""X"",""""))"),"")</f>
        <v/>
      </c>
      <c r="L2798" s="40" t="str">
        <f>IFERROR(__xludf.DUMMYFUNCTION("IF(ISBLANK(B2798),"""",IF(Or(I2798=""Em Aberto"",ISBLANK(I2798),NOT(ISDATE(B2798))),"""",H2798))"),"")</f>
        <v/>
      </c>
      <c r="M2798" s="29" t="str">
        <f>IFERROR(__xludf.DUMMYFUNCTION("IF(ISBLANK(B2798),"""",IF(ISDATE(B2798),TEXT(B2798,""m""),""""))"),"")</f>
        <v/>
      </c>
      <c r="N2798" s="29" t="str">
        <f>IFERROR(__xludf.DUMMYFUNCTION("IF(M2798="""","""",QUERY({'Dashboard-Dados'!$Y$2:$AA$13},""Select Col2 Where Col1=""&amp;M2798))"),"")</f>
        <v/>
      </c>
      <c r="O2798" s="29" t="str">
        <f>IFERROR(__xludf.DUMMYFUNCTION("IF(ISBLANK(B2798),"""",IF(ISDATE(B2798),TEXT(B2798,""yyyy""),""""))"),"")</f>
        <v/>
      </c>
    </row>
    <row r="2799">
      <c r="B2799" s="62"/>
      <c r="C2799" s="56"/>
      <c r="D2799" s="56"/>
      <c r="E2799" s="56"/>
      <c r="F2799" s="63"/>
      <c r="G2799" s="64"/>
      <c r="H2799" s="65"/>
      <c r="I2799" s="63"/>
      <c r="K2799" s="53" t="str">
        <f>IFERROR(__xludf.DUMMYFUNCTION("IF(ISBLANK(B2799),"""",IF(ISDATE(B2799),""X"",""""))"),"")</f>
        <v/>
      </c>
      <c r="L2799" s="40" t="str">
        <f>IFERROR(__xludf.DUMMYFUNCTION("IF(ISBLANK(B2799),"""",IF(Or(I2799=""Em Aberto"",ISBLANK(I2799),NOT(ISDATE(B2799))),"""",H2799))"),"")</f>
        <v/>
      </c>
      <c r="M2799" s="29" t="str">
        <f>IFERROR(__xludf.DUMMYFUNCTION("IF(ISBLANK(B2799),"""",IF(ISDATE(B2799),TEXT(B2799,""m""),""""))"),"")</f>
        <v/>
      </c>
      <c r="N2799" s="29" t="str">
        <f>IFERROR(__xludf.DUMMYFUNCTION("IF(M2799="""","""",QUERY({'Dashboard-Dados'!$Y$2:$AA$13},""Select Col2 Where Col1=""&amp;M2799))"),"")</f>
        <v/>
      </c>
      <c r="O2799" s="29" t="str">
        <f>IFERROR(__xludf.DUMMYFUNCTION("IF(ISBLANK(B2799),"""",IF(ISDATE(B2799),TEXT(B2799,""yyyy""),""""))"),"")</f>
        <v/>
      </c>
    </row>
    <row r="2800">
      <c r="B2800" s="62"/>
      <c r="C2800" s="56"/>
      <c r="D2800" s="56"/>
      <c r="E2800" s="56"/>
      <c r="F2800" s="63"/>
      <c r="G2800" s="64"/>
      <c r="H2800" s="65"/>
      <c r="I2800" s="63"/>
      <c r="K2800" s="53" t="str">
        <f>IFERROR(__xludf.DUMMYFUNCTION("IF(ISBLANK(B2800),"""",IF(ISDATE(B2800),""X"",""""))"),"")</f>
        <v/>
      </c>
      <c r="L2800" s="40" t="str">
        <f>IFERROR(__xludf.DUMMYFUNCTION("IF(ISBLANK(B2800),"""",IF(Or(I2800=""Em Aberto"",ISBLANK(I2800),NOT(ISDATE(B2800))),"""",H2800))"),"")</f>
        <v/>
      </c>
      <c r="M2800" s="29" t="str">
        <f>IFERROR(__xludf.DUMMYFUNCTION("IF(ISBLANK(B2800),"""",IF(ISDATE(B2800),TEXT(B2800,""m""),""""))"),"")</f>
        <v/>
      </c>
      <c r="N2800" s="29" t="str">
        <f>IFERROR(__xludf.DUMMYFUNCTION("IF(M2800="""","""",QUERY({'Dashboard-Dados'!$Y$2:$AA$13},""Select Col2 Where Col1=""&amp;M2800))"),"")</f>
        <v/>
      </c>
      <c r="O2800" s="29" t="str">
        <f>IFERROR(__xludf.DUMMYFUNCTION("IF(ISBLANK(B2800),"""",IF(ISDATE(B2800),TEXT(B2800,""yyyy""),""""))"),"")</f>
        <v/>
      </c>
    </row>
    <row r="2801">
      <c r="B2801" s="62"/>
      <c r="C2801" s="56"/>
      <c r="D2801" s="56"/>
      <c r="E2801" s="56"/>
      <c r="F2801" s="63"/>
      <c r="G2801" s="64"/>
      <c r="H2801" s="65"/>
      <c r="I2801" s="63"/>
      <c r="K2801" s="53" t="str">
        <f>IFERROR(__xludf.DUMMYFUNCTION("IF(ISBLANK(B2801),"""",IF(ISDATE(B2801),""X"",""""))"),"")</f>
        <v/>
      </c>
      <c r="L2801" s="40" t="str">
        <f>IFERROR(__xludf.DUMMYFUNCTION("IF(ISBLANK(B2801),"""",IF(Or(I2801=""Em Aberto"",ISBLANK(I2801),NOT(ISDATE(B2801))),"""",H2801))"),"")</f>
        <v/>
      </c>
      <c r="M2801" s="29" t="str">
        <f>IFERROR(__xludf.DUMMYFUNCTION("IF(ISBLANK(B2801),"""",IF(ISDATE(B2801),TEXT(B2801,""m""),""""))"),"")</f>
        <v/>
      </c>
      <c r="N2801" s="29" t="str">
        <f>IFERROR(__xludf.DUMMYFUNCTION("IF(M2801="""","""",QUERY({'Dashboard-Dados'!$Y$2:$AA$13},""Select Col2 Where Col1=""&amp;M2801))"),"")</f>
        <v/>
      </c>
      <c r="O2801" s="29" t="str">
        <f>IFERROR(__xludf.DUMMYFUNCTION("IF(ISBLANK(B2801),"""",IF(ISDATE(B2801),TEXT(B2801,""yyyy""),""""))"),"")</f>
        <v/>
      </c>
    </row>
    <row r="2802">
      <c r="B2802" s="62"/>
      <c r="C2802" s="56"/>
      <c r="D2802" s="56"/>
      <c r="E2802" s="56"/>
      <c r="F2802" s="63"/>
      <c r="G2802" s="64"/>
      <c r="H2802" s="65"/>
      <c r="I2802" s="63"/>
      <c r="K2802" s="53" t="str">
        <f>IFERROR(__xludf.DUMMYFUNCTION("IF(ISBLANK(B2802),"""",IF(ISDATE(B2802),""X"",""""))"),"")</f>
        <v/>
      </c>
      <c r="L2802" s="40" t="str">
        <f>IFERROR(__xludf.DUMMYFUNCTION("IF(ISBLANK(B2802),"""",IF(Or(I2802=""Em Aberto"",ISBLANK(I2802),NOT(ISDATE(B2802))),"""",H2802))"),"")</f>
        <v/>
      </c>
      <c r="M2802" s="29" t="str">
        <f>IFERROR(__xludf.DUMMYFUNCTION("IF(ISBLANK(B2802),"""",IF(ISDATE(B2802),TEXT(B2802,""m""),""""))"),"")</f>
        <v/>
      </c>
      <c r="N2802" s="29" t="str">
        <f>IFERROR(__xludf.DUMMYFUNCTION("IF(M2802="""","""",QUERY({'Dashboard-Dados'!$Y$2:$AA$13},""Select Col2 Where Col1=""&amp;M2802))"),"")</f>
        <v/>
      </c>
      <c r="O2802" s="29" t="str">
        <f>IFERROR(__xludf.DUMMYFUNCTION("IF(ISBLANK(B2802),"""",IF(ISDATE(B2802),TEXT(B2802,""yyyy""),""""))"),"")</f>
        <v/>
      </c>
    </row>
    <row r="2803">
      <c r="B2803" s="62"/>
      <c r="C2803" s="56"/>
      <c r="D2803" s="56"/>
      <c r="E2803" s="56"/>
      <c r="F2803" s="63"/>
      <c r="G2803" s="64"/>
      <c r="H2803" s="65"/>
      <c r="I2803" s="63"/>
      <c r="K2803" s="53" t="str">
        <f>IFERROR(__xludf.DUMMYFUNCTION("IF(ISBLANK(B2803),"""",IF(ISDATE(B2803),""X"",""""))"),"")</f>
        <v/>
      </c>
      <c r="L2803" s="40" t="str">
        <f>IFERROR(__xludf.DUMMYFUNCTION("IF(ISBLANK(B2803),"""",IF(Or(I2803=""Em Aberto"",ISBLANK(I2803),NOT(ISDATE(B2803))),"""",H2803))"),"")</f>
        <v/>
      </c>
      <c r="M2803" s="29" t="str">
        <f>IFERROR(__xludf.DUMMYFUNCTION("IF(ISBLANK(B2803),"""",IF(ISDATE(B2803),TEXT(B2803,""m""),""""))"),"")</f>
        <v/>
      </c>
      <c r="N2803" s="29" t="str">
        <f>IFERROR(__xludf.DUMMYFUNCTION("IF(M2803="""","""",QUERY({'Dashboard-Dados'!$Y$2:$AA$13},""Select Col2 Where Col1=""&amp;M2803))"),"")</f>
        <v/>
      </c>
      <c r="O2803" s="29" t="str">
        <f>IFERROR(__xludf.DUMMYFUNCTION("IF(ISBLANK(B2803),"""",IF(ISDATE(B2803),TEXT(B2803,""yyyy""),""""))"),"")</f>
        <v/>
      </c>
    </row>
    <row r="2804">
      <c r="B2804" s="62"/>
      <c r="C2804" s="56"/>
      <c r="D2804" s="56"/>
      <c r="E2804" s="56"/>
      <c r="F2804" s="63"/>
      <c r="G2804" s="64"/>
      <c r="H2804" s="65"/>
      <c r="I2804" s="63"/>
      <c r="K2804" s="53" t="str">
        <f>IFERROR(__xludf.DUMMYFUNCTION("IF(ISBLANK(B2804),"""",IF(ISDATE(B2804),""X"",""""))"),"")</f>
        <v/>
      </c>
      <c r="L2804" s="40" t="str">
        <f>IFERROR(__xludf.DUMMYFUNCTION("IF(ISBLANK(B2804),"""",IF(Or(I2804=""Em Aberto"",ISBLANK(I2804),NOT(ISDATE(B2804))),"""",H2804))"),"")</f>
        <v/>
      </c>
      <c r="M2804" s="29" t="str">
        <f>IFERROR(__xludf.DUMMYFUNCTION("IF(ISBLANK(B2804),"""",IF(ISDATE(B2804),TEXT(B2804,""m""),""""))"),"")</f>
        <v/>
      </c>
      <c r="N2804" s="29" t="str">
        <f>IFERROR(__xludf.DUMMYFUNCTION("IF(M2804="""","""",QUERY({'Dashboard-Dados'!$Y$2:$AA$13},""Select Col2 Where Col1=""&amp;M2804))"),"")</f>
        <v/>
      </c>
      <c r="O2804" s="29" t="str">
        <f>IFERROR(__xludf.DUMMYFUNCTION("IF(ISBLANK(B2804),"""",IF(ISDATE(B2804),TEXT(B2804,""yyyy""),""""))"),"")</f>
        <v/>
      </c>
    </row>
    <row r="2805">
      <c r="B2805" s="62"/>
      <c r="C2805" s="56"/>
      <c r="D2805" s="56"/>
      <c r="E2805" s="56"/>
      <c r="F2805" s="63"/>
      <c r="G2805" s="64"/>
      <c r="H2805" s="65"/>
      <c r="I2805" s="63"/>
      <c r="K2805" s="53" t="str">
        <f>IFERROR(__xludf.DUMMYFUNCTION("IF(ISBLANK(B2805),"""",IF(ISDATE(B2805),""X"",""""))"),"")</f>
        <v/>
      </c>
      <c r="L2805" s="40" t="str">
        <f>IFERROR(__xludf.DUMMYFUNCTION("IF(ISBLANK(B2805),"""",IF(Or(I2805=""Em Aberto"",ISBLANK(I2805),NOT(ISDATE(B2805))),"""",H2805))"),"")</f>
        <v/>
      </c>
      <c r="M2805" s="29" t="str">
        <f>IFERROR(__xludf.DUMMYFUNCTION("IF(ISBLANK(B2805),"""",IF(ISDATE(B2805),TEXT(B2805,""m""),""""))"),"")</f>
        <v/>
      </c>
      <c r="N2805" s="29" t="str">
        <f>IFERROR(__xludf.DUMMYFUNCTION("IF(M2805="""","""",QUERY({'Dashboard-Dados'!$Y$2:$AA$13},""Select Col2 Where Col1=""&amp;M2805))"),"")</f>
        <v/>
      </c>
      <c r="O2805" s="29" t="str">
        <f>IFERROR(__xludf.DUMMYFUNCTION("IF(ISBLANK(B2805),"""",IF(ISDATE(B2805),TEXT(B2805,""yyyy""),""""))"),"")</f>
        <v/>
      </c>
    </row>
    <row r="2806">
      <c r="B2806" s="62"/>
      <c r="C2806" s="56"/>
      <c r="D2806" s="56"/>
      <c r="E2806" s="56"/>
      <c r="F2806" s="63"/>
      <c r="G2806" s="64"/>
      <c r="H2806" s="65"/>
      <c r="I2806" s="63"/>
      <c r="K2806" s="53" t="str">
        <f>IFERROR(__xludf.DUMMYFUNCTION("IF(ISBLANK(B2806),"""",IF(ISDATE(B2806),""X"",""""))"),"")</f>
        <v/>
      </c>
      <c r="L2806" s="40" t="str">
        <f>IFERROR(__xludf.DUMMYFUNCTION("IF(ISBLANK(B2806),"""",IF(Or(I2806=""Em Aberto"",ISBLANK(I2806),NOT(ISDATE(B2806))),"""",H2806))"),"")</f>
        <v/>
      </c>
      <c r="M2806" s="29" t="str">
        <f>IFERROR(__xludf.DUMMYFUNCTION("IF(ISBLANK(B2806),"""",IF(ISDATE(B2806),TEXT(B2806,""m""),""""))"),"")</f>
        <v/>
      </c>
      <c r="N2806" s="29" t="str">
        <f>IFERROR(__xludf.DUMMYFUNCTION("IF(M2806="""","""",QUERY({'Dashboard-Dados'!$Y$2:$AA$13},""Select Col2 Where Col1=""&amp;M2806))"),"")</f>
        <v/>
      </c>
      <c r="O2806" s="29" t="str">
        <f>IFERROR(__xludf.DUMMYFUNCTION("IF(ISBLANK(B2806),"""",IF(ISDATE(B2806),TEXT(B2806,""yyyy""),""""))"),"")</f>
        <v/>
      </c>
    </row>
    <row r="2807">
      <c r="B2807" s="62"/>
      <c r="C2807" s="56"/>
      <c r="D2807" s="56"/>
      <c r="E2807" s="56"/>
      <c r="F2807" s="63"/>
      <c r="G2807" s="64"/>
      <c r="H2807" s="65"/>
      <c r="I2807" s="63"/>
      <c r="K2807" s="53" t="str">
        <f>IFERROR(__xludf.DUMMYFUNCTION("IF(ISBLANK(B2807),"""",IF(ISDATE(B2807),""X"",""""))"),"")</f>
        <v/>
      </c>
      <c r="L2807" s="40" t="str">
        <f>IFERROR(__xludf.DUMMYFUNCTION("IF(ISBLANK(B2807),"""",IF(Or(I2807=""Em Aberto"",ISBLANK(I2807),NOT(ISDATE(B2807))),"""",H2807))"),"")</f>
        <v/>
      </c>
      <c r="M2807" s="29" t="str">
        <f>IFERROR(__xludf.DUMMYFUNCTION("IF(ISBLANK(B2807),"""",IF(ISDATE(B2807),TEXT(B2807,""m""),""""))"),"")</f>
        <v/>
      </c>
      <c r="N2807" s="29" t="str">
        <f>IFERROR(__xludf.DUMMYFUNCTION("IF(M2807="""","""",QUERY({'Dashboard-Dados'!$Y$2:$AA$13},""Select Col2 Where Col1=""&amp;M2807))"),"")</f>
        <v/>
      </c>
      <c r="O2807" s="29" t="str">
        <f>IFERROR(__xludf.DUMMYFUNCTION("IF(ISBLANK(B2807),"""",IF(ISDATE(B2807),TEXT(B2807,""yyyy""),""""))"),"")</f>
        <v/>
      </c>
    </row>
    <row r="2808">
      <c r="B2808" s="62"/>
      <c r="C2808" s="56"/>
      <c r="D2808" s="56"/>
      <c r="E2808" s="56"/>
      <c r="F2808" s="63"/>
      <c r="G2808" s="64"/>
      <c r="H2808" s="65"/>
      <c r="I2808" s="63"/>
      <c r="K2808" s="53" t="str">
        <f>IFERROR(__xludf.DUMMYFUNCTION("IF(ISBLANK(B2808),"""",IF(ISDATE(B2808),""X"",""""))"),"")</f>
        <v/>
      </c>
      <c r="L2808" s="40" t="str">
        <f>IFERROR(__xludf.DUMMYFUNCTION("IF(ISBLANK(B2808),"""",IF(Or(I2808=""Em Aberto"",ISBLANK(I2808),NOT(ISDATE(B2808))),"""",H2808))"),"")</f>
        <v/>
      </c>
      <c r="M2808" s="29" t="str">
        <f>IFERROR(__xludf.DUMMYFUNCTION("IF(ISBLANK(B2808),"""",IF(ISDATE(B2808),TEXT(B2808,""m""),""""))"),"")</f>
        <v/>
      </c>
      <c r="N2808" s="29" t="str">
        <f>IFERROR(__xludf.DUMMYFUNCTION("IF(M2808="""","""",QUERY({'Dashboard-Dados'!$Y$2:$AA$13},""Select Col2 Where Col1=""&amp;M2808))"),"")</f>
        <v/>
      </c>
      <c r="O2808" s="29" t="str">
        <f>IFERROR(__xludf.DUMMYFUNCTION("IF(ISBLANK(B2808),"""",IF(ISDATE(B2808),TEXT(B2808,""yyyy""),""""))"),"")</f>
        <v/>
      </c>
    </row>
    <row r="2809">
      <c r="B2809" s="62"/>
      <c r="C2809" s="56"/>
      <c r="D2809" s="56"/>
      <c r="E2809" s="56"/>
      <c r="F2809" s="63"/>
      <c r="G2809" s="64"/>
      <c r="H2809" s="65"/>
      <c r="I2809" s="63"/>
      <c r="K2809" s="53" t="str">
        <f>IFERROR(__xludf.DUMMYFUNCTION("IF(ISBLANK(B2809),"""",IF(ISDATE(B2809),""X"",""""))"),"")</f>
        <v/>
      </c>
      <c r="L2809" s="40" t="str">
        <f>IFERROR(__xludf.DUMMYFUNCTION("IF(ISBLANK(B2809),"""",IF(Or(I2809=""Em Aberto"",ISBLANK(I2809),NOT(ISDATE(B2809))),"""",H2809))"),"")</f>
        <v/>
      </c>
      <c r="M2809" s="29" t="str">
        <f>IFERROR(__xludf.DUMMYFUNCTION("IF(ISBLANK(B2809),"""",IF(ISDATE(B2809),TEXT(B2809,""m""),""""))"),"")</f>
        <v/>
      </c>
      <c r="N2809" s="29" t="str">
        <f>IFERROR(__xludf.DUMMYFUNCTION("IF(M2809="""","""",QUERY({'Dashboard-Dados'!$Y$2:$AA$13},""Select Col2 Where Col1=""&amp;M2809))"),"")</f>
        <v/>
      </c>
      <c r="O2809" s="29" t="str">
        <f>IFERROR(__xludf.DUMMYFUNCTION("IF(ISBLANK(B2809),"""",IF(ISDATE(B2809),TEXT(B2809,""yyyy""),""""))"),"")</f>
        <v/>
      </c>
    </row>
    <row r="2810">
      <c r="B2810" s="62"/>
      <c r="C2810" s="56"/>
      <c r="D2810" s="56"/>
      <c r="E2810" s="56"/>
      <c r="F2810" s="63"/>
      <c r="G2810" s="64"/>
      <c r="H2810" s="65"/>
      <c r="I2810" s="63"/>
      <c r="K2810" s="53" t="str">
        <f>IFERROR(__xludf.DUMMYFUNCTION("IF(ISBLANK(B2810),"""",IF(ISDATE(B2810),""X"",""""))"),"")</f>
        <v/>
      </c>
      <c r="L2810" s="40" t="str">
        <f>IFERROR(__xludf.DUMMYFUNCTION("IF(ISBLANK(B2810),"""",IF(Or(I2810=""Em Aberto"",ISBLANK(I2810),NOT(ISDATE(B2810))),"""",H2810))"),"")</f>
        <v/>
      </c>
      <c r="M2810" s="29" t="str">
        <f>IFERROR(__xludf.DUMMYFUNCTION("IF(ISBLANK(B2810),"""",IF(ISDATE(B2810),TEXT(B2810,""m""),""""))"),"")</f>
        <v/>
      </c>
      <c r="N2810" s="29" t="str">
        <f>IFERROR(__xludf.DUMMYFUNCTION("IF(M2810="""","""",QUERY({'Dashboard-Dados'!$Y$2:$AA$13},""Select Col2 Where Col1=""&amp;M2810))"),"")</f>
        <v/>
      </c>
      <c r="O2810" s="29" t="str">
        <f>IFERROR(__xludf.DUMMYFUNCTION("IF(ISBLANK(B2810),"""",IF(ISDATE(B2810),TEXT(B2810,""yyyy""),""""))"),"")</f>
        <v/>
      </c>
    </row>
    <row r="2811">
      <c r="B2811" s="62"/>
      <c r="C2811" s="56"/>
      <c r="D2811" s="56"/>
      <c r="E2811" s="56"/>
      <c r="F2811" s="63"/>
      <c r="G2811" s="64"/>
      <c r="H2811" s="65"/>
      <c r="I2811" s="63"/>
      <c r="K2811" s="53" t="str">
        <f>IFERROR(__xludf.DUMMYFUNCTION("IF(ISBLANK(B2811),"""",IF(ISDATE(B2811),""X"",""""))"),"")</f>
        <v/>
      </c>
      <c r="L2811" s="40" t="str">
        <f>IFERROR(__xludf.DUMMYFUNCTION("IF(ISBLANK(B2811),"""",IF(Or(I2811=""Em Aberto"",ISBLANK(I2811),NOT(ISDATE(B2811))),"""",H2811))"),"")</f>
        <v/>
      </c>
      <c r="M2811" s="29" t="str">
        <f>IFERROR(__xludf.DUMMYFUNCTION("IF(ISBLANK(B2811),"""",IF(ISDATE(B2811),TEXT(B2811,""m""),""""))"),"")</f>
        <v/>
      </c>
      <c r="N2811" s="29" t="str">
        <f>IFERROR(__xludf.DUMMYFUNCTION("IF(M2811="""","""",QUERY({'Dashboard-Dados'!$Y$2:$AA$13},""Select Col2 Where Col1=""&amp;M2811))"),"")</f>
        <v/>
      </c>
      <c r="O2811" s="29" t="str">
        <f>IFERROR(__xludf.DUMMYFUNCTION("IF(ISBLANK(B2811),"""",IF(ISDATE(B2811),TEXT(B2811,""yyyy""),""""))"),"")</f>
        <v/>
      </c>
    </row>
    <row r="2812">
      <c r="B2812" s="62"/>
      <c r="C2812" s="56"/>
      <c r="D2812" s="56"/>
      <c r="E2812" s="56"/>
      <c r="F2812" s="63"/>
      <c r="G2812" s="64"/>
      <c r="H2812" s="65"/>
      <c r="I2812" s="63"/>
      <c r="K2812" s="53" t="str">
        <f>IFERROR(__xludf.DUMMYFUNCTION("IF(ISBLANK(B2812),"""",IF(ISDATE(B2812),""X"",""""))"),"")</f>
        <v/>
      </c>
      <c r="L2812" s="40" t="str">
        <f>IFERROR(__xludf.DUMMYFUNCTION("IF(ISBLANK(B2812),"""",IF(Or(I2812=""Em Aberto"",ISBLANK(I2812),NOT(ISDATE(B2812))),"""",H2812))"),"")</f>
        <v/>
      </c>
      <c r="M2812" s="29" t="str">
        <f>IFERROR(__xludf.DUMMYFUNCTION("IF(ISBLANK(B2812),"""",IF(ISDATE(B2812),TEXT(B2812,""m""),""""))"),"")</f>
        <v/>
      </c>
      <c r="N2812" s="29" t="str">
        <f>IFERROR(__xludf.DUMMYFUNCTION("IF(M2812="""","""",QUERY({'Dashboard-Dados'!$Y$2:$AA$13},""Select Col2 Where Col1=""&amp;M2812))"),"")</f>
        <v/>
      </c>
      <c r="O2812" s="29" t="str">
        <f>IFERROR(__xludf.DUMMYFUNCTION("IF(ISBLANK(B2812),"""",IF(ISDATE(B2812),TEXT(B2812,""yyyy""),""""))"),"")</f>
        <v/>
      </c>
    </row>
    <row r="2813">
      <c r="B2813" s="62"/>
      <c r="C2813" s="56"/>
      <c r="D2813" s="56"/>
      <c r="E2813" s="56"/>
      <c r="F2813" s="63"/>
      <c r="G2813" s="64"/>
      <c r="H2813" s="65"/>
      <c r="I2813" s="63"/>
      <c r="K2813" s="53" t="str">
        <f>IFERROR(__xludf.DUMMYFUNCTION("IF(ISBLANK(B2813),"""",IF(ISDATE(B2813),""X"",""""))"),"")</f>
        <v/>
      </c>
      <c r="L2813" s="40" t="str">
        <f>IFERROR(__xludf.DUMMYFUNCTION("IF(ISBLANK(B2813),"""",IF(Or(I2813=""Em Aberto"",ISBLANK(I2813),NOT(ISDATE(B2813))),"""",H2813))"),"")</f>
        <v/>
      </c>
      <c r="M2813" s="29" t="str">
        <f>IFERROR(__xludf.DUMMYFUNCTION("IF(ISBLANK(B2813),"""",IF(ISDATE(B2813),TEXT(B2813,""m""),""""))"),"")</f>
        <v/>
      </c>
      <c r="N2813" s="29" t="str">
        <f>IFERROR(__xludf.DUMMYFUNCTION("IF(M2813="""","""",QUERY({'Dashboard-Dados'!$Y$2:$AA$13},""Select Col2 Where Col1=""&amp;M2813))"),"")</f>
        <v/>
      </c>
      <c r="O2813" s="29" t="str">
        <f>IFERROR(__xludf.DUMMYFUNCTION("IF(ISBLANK(B2813),"""",IF(ISDATE(B2813),TEXT(B2813,""yyyy""),""""))"),"")</f>
        <v/>
      </c>
    </row>
    <row r="2814">
      <c r="B2814" s="62"/>
      <c r="C2814" s="56"/>
      <c r="D2814" s="56"/>
      <c r="E2814" s="56"/>
      <c r="F2814" s="63"/>
      <c r="G2814" s="64"/>
      <c r="H2814" s="65"/>
      <c r="I2814" s="63"/>
      <c r="K2814" s="53" t="str">
        <f>IFERROR(__xludf.DUMMYFUNCTION("IF(ISBLANK(B2814),"""",IF(ISDATE(B2814),""X"",""""))"),"")</f>
        <v/>
      </c>
      <c r="L2814" s="40" t="str">
        <f>IFERROR(__xludf.DUMMYFUNCTION("IF(ISBLANK(B2814),"""",IF(Or(I2814=""Em Aberto"",ISBLANK(I2814),NOT(ISDATE(B2814))),"""",H2814))"),"")</f>
        <v/>
      </c>
      <c r="M2814" s="29" t="str">
        <f>IFERROR(__xludf.DUMMYFUNCTION("IF(ISBLANK(B2814),"""",IF(ISDATE(B2814),TEXT(B2814,""m""),""""))"),"")</f>
        <v/>
      </c>
      <c r="N2814" s="29" t="str">
        <f>IFERROR(__xludf.DUMMYFUNCTION("IF(M2814="""","""",QUERY({'Dashboard-Dados'!$Y$2:$AA$13},""Select Col2 Where Col1=""&amp;M2814))"),"")</f>
        <v/>
      </c>
      <c r="O2814" s="29" t="str">
        <f>IFERROR(__xludf.DUMMYFUNCTION("IF(ISBLANK(B2814),"""",IF(ISDATE(B2814),TEXT(B2814,""yyyy""),""""))"),"")</f>
        <v/>
      </c>
    </row>
    <row r="2815">
      <c r="B2815" s="62"/>
      <c r="C2815" s="56"/>
      <c r="D2815" s="56"/>
      <c r="E2815" s="56"/>
      <c r="F2815" s="63"/>
      <c r="G2815" s="64"/>
      <c r="H2815" s="65"/>
      <c r="I2815" s="63"/>
      <c r="K2815" s="53" t="str">
        <f>IFERROR(__xludf.DUMMYFUNCTION("IF(ISBLANK(B2815),"""",IF(ISDATE(B2815),""X"",""""))"),"")</f>
        <v/>
      </c>
      <c r="L2815" s="40" t="str">
        <f>IFERROR(__xludf.DUMMYFUNCTION("IF(ISBLANK(B2815),"""",IF(Or(I2815=""Em Aberto"",ISBLANK(I2815),NOT(ISDATE(B2815))),"""",H2815))"),"")</f>
        <v/>
      </c>
      <c r="M2815" s="29" t="str">
        <f>IFERROR(__xludf.DUMMYFUNCTION("IF(ISBLANK(B2815),"""",IF(ISDATE(B2815),TEXT(B2815,""m""),""""))"),"")</f>
        <v/>
      </c>
      <c r="N2815" s="29" t="str">
        <f>IFERROR(__xludf.DUMMYFUNCTION("IF(M2815="""","""",QUERY({'Dashboard-Dados'!$Y$2:$AA$13},""Select Col2 Where Col1=""&amp;M2815))"),"")</f>
        <v/>
      </c>
      <c r="O2815" s="29" t="str">
        <f>IFERROR(__xludf.DUMMYFUNCTION("IF(ISBLANK(B2815),"""",IF(ISDATE(B2815),TEXT(B2815,""yyyy""),""""))"),"")</f>
        <v/>
      </c>
    </row>
    <row r="2816">
      <c r="B2816" s="62"/>
      <c r="C2816" s="56"/>
      <c r="D2816" s="56"/>
      <c r="E2816" s="56"/>
      <c r="F2816" s="63"/>
      <c r="G2816" s="64"/>
      <c r="H2816" s="65"/>
      <c r="I2816" s="63"/>
      <c r="K2816" s="53" t="str">
        <f>IFERROR(__xludf.DUMMYFUNCTION("IF(ISBLANK(B2816),"""",IF(ISDATE(B2816),""X"",""""))"),"")</f>
        <v/>
      </c>
      <c r="L2816" s="40" t="str">
        <f>IFERROR(__xludf.DUMMYFUNCTION("IF(ISBLANK(B2816),"""",IF(Or(I2816=""Em Aberto"",ISBLANK(I2816),NOT(ISDATE(B2816))),"""",H2816))"),"")</f>
        <v/>
      </c>
      <c r="M2816" s="29" t="str">
        <f>IFERROR(__xludf.DUMMYFUNCTION("IF(ISBLANK(B2816),"""",IF(ISDATE(B2816),TEXT(B2816,""m""),""""))"),"")</f>
        <v/>
      </c>
      <c r="N2816" s="29" t="str">
        <f>IFERROR(__xludf.DUMMYFUNCTION("IF(M2816="""","""",QUERY({'Dashboard-Dados'!$Y$2:$AA$13},""Select Col2 Where Col1=""&amp;M2816))"),"")</f>
        <v/>
      </c>
      <c r="O2816" s="29" t="str">
        <f>IFERROR(__xludf.DUMMYFUNCTION("IF(ISBLANK(B2816),"""",IF(ISDATE(B2816),TEXT(B2816,""yyyy""),""""))"),"")</f>
        <v/>
      </c>
    </row>
    <row r="2817">
      <c r="B2817" s="62"/>
      <c r="C2817" s="56"/>
      <c r="D2817" s="56"/>
      <c r="E2817" s="56"/>
      <c r="F2817" s="63"/>
      <c r="G2817" s="64"/>
      <c r="H2817" s="65"/>
      <c r="I2817" s="63"/>
      <c r="K2817" s="53" t="str">
        <f>IFERROR(__xludf.DUMMYFUNCTION("IF(ISBLANK(B2817),"""",IF(ISDATE(B2817),""X"",""""))"),"")</f>
        <v/>
      </c>
      <c r="L2817" s="40" t="str">
        <f>IFERROR(__xludf.DUMMYFUNCTION("IF(ISBLANK(B2817),"""",IF(Or(I2817=""Em Aberto"",ISBLANK(I2817),NOT(ISDATE(B2817))),"""",H2817))"),"")</f>
        <v/>
      </c>
      <c r="M2817" s="29" t="str">
        <f>IFERROR(__xludf.DUMMYFUNCTION("IF(ISBLANK(B2817),"""",IF(ISDATE(B2817),TEXT(B2817,""m""),""""))"),"")</f>
        <v/>
      </c>
      <c r="N2817" s="29" t="str">
        <f>IFERROR(__xludf.DUMMYFUNCTION("IF(M2817="""","""",QUERY({'Dashboard-Dados'!$Y$2:$AA$13},""Select Col2 Where Col1=""&amp;M2817))"),"")</f>
        <v/>
      </c>
      <c r="O2817" s="29" t="str">
        <f>IFERROR(__xludf.DUMMYFUNCTION("IF(ISBLANK(B2817),"""",IF(ISDATE(B2817),TEXT(B2817,""yyyy""),""""))"),"")</f>
        <v/>
      </c>
    </row>
    <row r="2818">
      <c r="B2818" s="62"/>
      <c r="C2818" s="56"/>
      <c r="D2818" s="56"/>
      <c r="E2818" s="56"/>
      <c r="F2818" s="63"/>
      <c r="G2818" s="64"/>
      <c r="H2818" s="65"/>
      <c r="I2818" s="63"/>
      <c r="K2818" s="53" t="str">
        <f>IFERROR(__xludf.DUMMYFUNCTION("IF(ISBLANK(B2818),"""",IF(ISDATE(B2818),""X"",""""))"),"")</f>
        <v/>
      </c>
      <c r="L2818" s="40" t="str">
        <f>IFERROR(__xludf.DUMMYFUNCTION("IF(ISBLANK(B2818),"""",IF(Or(I2818=""Em Aberto"",ISBLANK(I2818),NOT(ISDATE(B2818))),"""",H2818))"),"")</f>
        <v/>
      </c>
      <c r="M2818" s="29" t="str">
        <f>IFERROR(__xludf.DUMMYFUNCTION("IF(ISBLANK(B2818),"""",IF(ISDATE(B2818),TEXT(B2818,""m""),""""))"),"")</f>
        <v/>
      </c>
      <c r="N2818" s="29" t="str">
        <f>IFERROR(__xludf.DUMMYFUNCTION("IF(M2818="""","""",QUERY({'Dashboard-Dados'!$Y$2:$AA$13},""Select Col2 Where Col1=""&amp;M2818))"),"")</f>
        <v/>
      </c>
      <c r="O2818" s="29" t="str">
        <f>IFERROR(__xludf.DUMMYFUNCTION("IF(ISBLANK(B2818),"""",IF(ISDATE(B2818),TEXT(B2818,""yyyy""),""""))"),"")</f>
        <v/>
      </c>
    </row>
    <row r="2819">
      <c r="B2819" s="62"/>
      <c r="C2819" s="56"/>
      <c r="D2819" s="56"/>
      <c r="E2819" s="56"/>
      <c r="F2819" s="63"/>
      <c r="G2819" s="64"/>
      <c r="H2819" s="65"/>
      <c r="I2819" s="63"/>
      <c r="K2819" s="53" t="str">
        <f>IFERROR(__xludf.DUMMYFUNCTION("IF(ISBLANK(B2819),"""",IF(ISDATE(B2819),""X"",""""))"),"")</f>
        <v/>
      </c>
      <c r="L2819" s="40" t="str">
        <f>IFERROR(__xludf.DUMMYFUNCTION("IF(ISBLANK(B2819),"""",IF(Or(I2819=""Em Aberto"",ISBLANK(I2819),NOT(ISDATE(B2819))),"""",H2819))"),"")</f>
        <v/>
      </c>
      <c r="M2819" s="29" t="str">
        <f>IFERROR(__xludf.DUMMYFUNCTION("IF(ISBLANK(B2819),"""",IF(ISDATE(B2819),TEXT(B2819,""m""),""""))"),"")</f>
        <v/>
      </c>
      <c r="N2819" s="29" t="str">
        <f>IFERROR(__xludf.DUMMYFUNCTION("IF(M2819="""","""",QUERY({'Dashboard-Dados'!$Y$2:$AA$13},""Select Col2 Where Col1=""&amp;M2819))"),"")</f>
        <v/>
      </c>
      <c r="O2819" s="29" t="str">
        <f>IFERROR(__xludf.DUMMYFUNCTION("IF(ISBLANK(B2819),"""",IF(ISDATE(B2819),TEXT(B2819,""yyyy""),""""))"),"")</f>
        <v/>
      </c>
    </row>
    <row r="2820">
      <c r="B2820" s="62"/>
      <c r="C2820" s="56"/>
      <c r="D2820" s="56"/>
      <c r="E2820" s="56"/>
      <c r="F2820" s="63"/>
      <c r="G2820" s="64"/>
      <c r="H2820" s="65"/>
      <c r="I2820" s="63"/>
      <c r="K2820" s="53" t="str">
        <f>IFERROR(__xludf.DUMMYFUNCTION("IF(ISBLANK(B2820),"""",IF(ISDATE(B2820),""X"",""""))"),"")</f>
        <v/>
      </c>
      <c r="L2820" s="40" t="str">
        <f>IFERROR(__xludf.DUMMYFUNCTION("IF(ISBLANK(B2820),"""",IF(Or(I2820=""Em Aberto"",ISBLANK(I2820),NOT(ISDATE(B2820))),"""",H2820))"),"")</f>
        <v/>
      </c>
      <c r="M2820" s="29" t="str">
        <f>IFERROR(__xludf.DUMMYFUNCTION("IF(ISBLANK(B2820),"""",IF(ISDATE(B2820),TEXT(B2820,""m""),""""))"),"")</f>
        <v/>
      </c>
      <c r="N2820" s="29" t="str">
        <f>IFERROR(__xludf.DUMMYFUNCTION("IF(M2820="""","""",QUERY({'Dashboard-Dados'!$Y$2:$AA$13},""Select Col2 Where Col1=""&amp;M2820))"),"")</f>
        <v/>
      </c>
      <c r="O2820" s="29" t="str">
        <f>IFERROR(__xludf.DUMMYFUNCTION("IF(ISBLANK(B2820),"""",IF(ISDATE(B2820),TEXT(B2820,""yyyy""),""""))"),"")</f>
        <v/>
      </c>
    </row>
    <row r="2821">
      <c r="B2821" s="62"/>
      <c r="C2821" s="56"/>
      <c r="D2821" s="56"/>
      <c r="E2821" s="56"/>
      <c r="F2821" s="63"/>
      <c r="G2821" s="64"/>
      <c r="H2821" s="65"/>
      <c r="I2821" s="63"/>
      <c r="K2821" s="53" t="str">
        <f>IFERROR(__xludf.DUMMYFUNCTION("IF(ISBLANK(B2821),"""",IF(ISDATE(B2821),""X"",""""))"),"")</f>
        <v/>
      </c>
      <c r="L2821" s="40" t="str">
        <f>IFERROR(__xludf.DUMMYFUNCTION("IF(ISBLANK(B2821),"""",IF(Or(I2821=""Em Aberto"",ISBLANK(I2821),NOT(ISDATE(B2821))),"""",H2821))"),"")</f>
        <v/>
      </c>
      <c r="M2821" s="29" t="str">
        <f>IFERROR(__xludf.DUMMYFUNCTION("IF(ISBLANK(B2821),"""",IF(ISDATE(B2821),TEXT(B2821,""m""),""""))"),"")</f>
        <v/>
      </c>
      <c r="N2821" s="29" t="str">
        <f>IFERROR(__xludf.DUMMYFUNCTION("IF(M2821="""","""",QUERY({'Dashboard-Dados'!$Y$2:$AA$13},""Select Col2 Where Col1=""&amp;M2821))"),"")</f>
        <v/>
      </c>
      <c r="O2821" s="29" t="str">
        <f>IFERROR(__xludf.DUMMYFUNCTION("IF(ISBLANK(B2821),"""",IF(ISDATE(B2821),TEXT(B2821,""yyyy""),""""))"),"")</f>
        <v/>
      </c>
    </row>
    <row r="2822">
      <c r="B2822" s="62"/>
      <c r="C2822" s="56"/>
      <c r="D2822" s="56"/>
      <c r="E2822" s="56"/>
      <c r="F2822" s="63"/>
      <c r="G2822" s="64"/>
      <c r="H2822" s="65"/>
      <c r="I2822" s="63"/>
      <c r="K2822" s="53" t="str">
        <f>IFERROR(__xludf.DUMMYFUNCTION("IF(ISBLANK(B2822),"""",IF(ISDATE(B2822),""X"",""""))"),"")</f>
        <v/>
      </c>
      <c r="L2822" s="40" t="str">
        <f>IFERROR(__xludf.DUMMYFUNCTION("IF(ISBLANK(B2822),"""",IF(Or(I2822=""Em Aberto"",ISBLANK(I2822),NOT(ISDATE(B2822))),"""",H2822))"),"")</f>
        <v/>
      </c>
      <c r="M2822" s="29" t="str">
        <f>IFERROR(__xludf.DUMMYFUNCTION("IF(ISBLANK(B2822),"""",IF(ISDATE(B2822),TEXT(B2822,""m""),""""))"),"")</f>
        <v/>
      </c>
      <c r="N2822" s="29" t="str">
        <f>IFERROR(__xludf.DUMMYFUNCTION("IF(M2822="""","""",QUERY({'Dashboard-Dados'!$Y$2:$AA$13},""Select Col2 Where Col1=""&amp;M2822))"),"")</f>
        <v/>
      </c>
      <c r="O2822" s="29" t="str">
        <f>IFERROR(__xludf.DUMMYFUNCTION("IF(ISBLANK(B2822),"""",IF(ISDATE(B2822),TEXT(B2822,""yyyy""),""""))"),"")</f>
        <v/>
      </c>
    </row>
    <row r="2823">
      <c r="B2823" s="62"/>
      <c r="C2823" s="56"/>
      <c r="D2823" s="56"/>
      <c r="E2823" s="56"/>
      <c r="F2823" s="63"/>
      <c r="G2823" s="64"/>
      <c r="H2823" s="65"/>
      <c r="I2823" s="63"/>
      <c r="K2823" s="53" t="str">
        <f>IFERROR(__xludf.DUMMYFUNCTION("IF(ISBLANK(B2823),"""",IF(ISDATE(B2823),""X"",""""))"),"")</f>
        <v/>
      </c>
      <c r="L2823" s="40" t="str">
        <f>IFERROR(__xludf.DUMMYFUNCTION("IF(ISBLANK(B2823),"""",IF(Or(I2823=""Em Aberto"",ISBLANK(I2823),NOT(ISDATE(B2823))),"""",H2823))"),"")</f>
        <v/>
      </c>
      <c r="M2823" s="29" t="str">
        <f>IFERROR(__xludf.DUMMYFUNCTION("IF(ISBLANK(B2823),"""",IF(ISDATE(B2823),TEXT(B2823,""m""),""""))"),"")</f>
        <v/>
      </c>
      <c r="N2823" s="29" t="str">
        <f>IFERROR(__xludf.DUMMYFUNCTION("IF(M2823="""","""",QUERY({'Dashboard-Dados'!$Y$2:$AA$13},""Select Col2 Where Col1=""&amp;M2823))"),"")</f>
        <v/>
      </c>
      <c r="O2823" s="29" t="str">
        <f>IFERROR(__xludf.DUMMYFUNCTION("IF(ISBLANK(B2823),"""",IF(ISDATE(B2823),TEXT(B2823,""yyyy""),""""))"),"")</f>
        <v/>
      </c>
    </row>
    <row r="2824">
      <c r="B2824" s="62"/>
      <c r="C2824" s="56"/>
      <c r="D2824" s="56"/>
      <c r="E2824" s="56"/>
      <c r="F2824" s="63"/>
      <c r="G2824" s="64"/>
      <c r="H2824" s="65"/>
      <c r="I2824" s="63"/>
      <c r="K2824" s="53" t="str">
        <f>IFERROR(__xludf.DUMMYFUNCTION("IF(ISBLANK(B2824),"""",IF(ISDATE(B2824),""X"",""""))"),"")</f>
        <v/>
      </c>
      <c r="L2824" s="40" t="str">
        <f>IFERROR(__xludf.DUMMYFUNCTION("IF(ISBLANK(B2824),"""",IF(Or(I2824=""Em Aberto"",ISBLANK(I2824),NOT(ISDATE(B2824))),"""",H2824))"),"")</f>
        <v/>
      </c>
      <c r="M2824" s="29" t="str">
        <f>IFERROR(__xludf.DUMMYFUNCTION("IF(ISBLANK(B2824),"""",IF(ISDATE(B2824),TEXT(B2824,""m""),""""))"),"")</f>
        <v/>
      </c>
      <c r="N2824" s="29" t="str">
        <f>IFERROR(__xludf.DUMMYFUNCTION("IF(M2824="""","""",QUERY({'Dashboard-Dados'!$Y$2:$AA$13},""Select Col2 Where Col1=""&amp;M2824))"),"")</f>
        <v/>
      </c>
      <c r="O2824" s="29" t="str">
        <f>IFERROR(__xludf.DUMMYFUNCTION("IF(ISBLANK(B2824),"""",IF(ISDATE(B2824),TEXT(B2824,""yyyy""),""""))"),"")</f>
        <v/>
      </c>
    </row>
    <row r="2825">
      <c r="B2825" s="62"/>
      <c r="C2825" s="56"/>
      <c r="D2825" s="56"/>
      <c r="E2825" s="56"/>
      <c r="F2825" s="63"/>
      <c r="G2825" s="64"/>
      <c r="H2825" s="65"/>
      <c r="I2825" s="63"/>
      <c r="K2825" s="53" t="str">
        <f>IFERROR(__xludf.DUMMYFUNCTION("IF(ISBLANK(B2825),"""",IF(ISDATE(B2825),""X"",""""))"),"")</f>
        <v/>
      </c>
      <c r="L2825" s="40" t="str">
        <f>IFERROR(__xludf.DUMMYFUNCTION("IF(ISBLANK(B2825),"""",IF(Or(I2825=""Em Aberto"",ISBLANK(I2825),NOT(ISDATE(B2825))),"""",H2825))"),"")</f>
        <v/>
      </c>
      <c r="M2825" s="29" t="str">
        <f>IFERROR(__xludf.DUMMYFUNCTION("IF(ISBLANK(B2825),"""",IF(ISDATE(B2825),TEXT(B2825,""m""),""""))"),"")</f>
        <v/>
      </c>
      <c r="N2825" s="29" t="str">
        <f>IFERROR(__xludf.DUMMYFUNCTION("IF(M2825="""","""",QUERY({'Dashboard-Dados'!$Y$2:$AA$13},""Select Col2 Where Col1=""&amp;M2825))"),"")</f>
        <v/>
      </c>
      <c r="O2825" s="29" t="str">
        <f>IFERROR(__xludf.DUMMYFUNCTION("IF(ISBLANK(B2825),"""",IF(ISDATE(B2825),TEXT(B2825,""yyyy""),""""))"),"")</f>
        <v/>
      </c>
    </row>
    <row r="2826">
      <c r="B2826" s="62"/>
      <c r="C2826" s="56"/>
      <c r="D2826" s="56"/>
      <c r="E2826" s="56"/>
      <c r="F2826" s="63"/>
      <c r="G2826" s="64"/>
      <c r="H2826" s="65"/>
      <c r="I2826" s="63"/>
      <c r="K2826" s="53" t="str">
        <f>IFERROR(__xludf.DUMMYFUNCTION("IF(ISBLANK(B2826),"""",IF(ISDATE(B2826),""X"",""""))"),"")</f>
        <v/>
      </c>
      <c r="L2826" s="40" t="str">
        <f>IFERROR(__xludf.DUMMYFUNCTION("IF(ISBLANK(B2826),"""",IF(Or(I2826=""Em Aberto"",ISBLANK(I2826),NOT(ISDATE(B2826))),"""",H2826))"),"")</f>
        <v/>
      </c>
      <c r="M2826" s="29" t="str">
        <f>IFERROR(__xludf.DUMMYFUNCTION("IF(ISBLANK(B2826),"""",IF(ISDATE(B2826),TEXT(B2826,""m""),""""))"),"")</f>
        <v/>
      </c>
      <c r="N2826" s="29" t="str">
        <f>IFERROR(__xludf.DUMMYFUNCTION("IF(M2826="""","""",QUERY({'Dashboard-Dados'!$Y$2:$AA$13},""Select Col2 Where Col1=""&amp;M2826))"),"")</f>
        <v/>
      </c>
      <c r="O2826" s="29" t="str">
        <f>IFERROR(__xludf.DUMMYFUNCTION("IF(ISBLANK(B2826),"""",IF(ISDATE(B2826),TEXT(B2826,""yyyy""),""""))"),"")</f>
        <v/>
      </c>
    </row>
    <row r="2827">
      <c r="B2827" s="62"/>
      <c r="C2827" s="56"/>
      <c r="D2827" s="56"/>
      <c r="E2827" s="56"/>
      <c r="F2827" s="63"/>
      <c r="G2827" s="64"/>
      <c r="H2827" s="65"/>
      <c r="I2827" s="63"/>
      <c r="K2827" s="53" t="str">
        <f>IFERROR(__xludf.DUMMYFUNCTION("IF(ISBLANK(B2827),"""",IF(ISDATE(B2827),""X"",""""))"),"")</f>
        <v/>
      </c>
      <c r="L2827" s="40" t="str">
        <f>IFERROR(__xludf.DUMMYFUNCTION("IF(ISBLANK(B2827),"""",IF(Or(I2827=""Em Aberto"",ISBLANK(I2827),NOT(ISDATE(B2827))),"""",H2827))"),"")</f>
        <v/>
      </c>
      <c r="M2827" s="29" t="str">
        <f>IFERROR(__xludf.DUMMYFUNCTION("IF(ISBLANK(B2827),"""",IF(ISDATE(B2827),TEXT(B2827,""m""),""""))"),"")</f>
        <v/>
      </c>
      <c r="N2827" s="29" t="str">
        <f>IFERROR(__xludf.DUMMYFUNCTION("IF(M2827="""","""",QUERY({'Dashboard-Dados'!$Y$2:$AA$13},""Select Col2 Where Col1=""&amp;M2827))"),"")</f>
        <v/>
      </c>
      <c r="O2827" s="29" t="str">
        <f>IFERROR(__xludf.DUMMYFUNCTION("IF(ISBLANK(B2827),"""",IF(ISDATE(B2827),TEXT(B2827,""yyyy""),""""))"),"")</f>
        <v/>
      </c>
    </row>
    <row r="2828">
      <c r="B2828" s="62"/>
      <c r="C2828" s="56"/>
      <c r="D2828" s="56"/>
      <c r="E2828" s="56"/>
      <c r="F2828" s="63"/>
      <c r="G2828" s="64"/>
      <c r="H2828" s="65"/>
      <c r="I2828" s="63"/>
      <c r="K2828" s="53" t="str">
        <f>IFERROR(__xludf.DUMMYFUNCTION("IF(ISBLANK(B2828),"""",IF(ISDATE(B2828),""X"",""""))"),"")</f>
        <v/>
      </c>
      <c r="L2828" s="40" t="str">
        <f>IFERROR(__xludf.DUMMYFUNCTION("IF(ISBLANK(B2828),"""",IF(Or(I2828=""Em Aberto"",ISBLANK(I2828),NOT(ISDATE(B2828))),"""",H2828))"),"")</f>
        <v/>
      </c>
      <c r="M2828" s="29" t="str">
        <f>IFERROR(__xludf.DUMMYFUNCTION("IF(ISBLANK(B2828),"""",IF(ISDATE(B2828),TEXT(B2828,""m""),""""))"),"")</f>
        <v/>
      </c>
      <c r="N2828" s="29" t="str">
        <f>IFERROR(__xludf.DUMMYFUNCTION("IF(M2828="""","""",QUERY({'Dashboard-Dados'!$Y$2:$AA$13},""Select Col2 Where Col1=""&amp;M2828))"),"")</f>
        <v/>
      </c>
      <c r="O2828" s="29" t="str">
        <f>IFERROR(__xludf.DUMMYFUNCTION("IF(ISBLANK(B2828),"""",IF(ISDATE(B2828),TEXT(B2828,""yyyy""),""""))"),"")</f>
        <v/>
      </c>
    </row>
    <row r="2829">
      <c r="B2829" s="62"/>
      <c r="C2829" s="56"/>
      <c r="D2829" s="56"/>
      <c r="E2829" s="56"/>
      <c r="F2829" s="63"/>
      <c r="G2829" s="64"/>
      <c r="H2829" s="65"/>
      <c r="I2829" s="63"/>
      <c r="K2829" s="53" t="str">
        <f>IFERROR(__xludf.DUMMYFUNCTION("IF(ISBLANK(B2829),"""",IF(ISDATE(B2829),""X"",""""))"),"")</f>
        <v/>
      </c>
      <c r="L2829" s="40" t="str">
        <f>IFERROR(__xludf.DUMMYFUNCTION("IF(ISBLANK(B2829),"""",IF(Or(I2829=""Em Aberto"",ISBLANK(I2829),NOT(ISDATE(B2829))),"""",H2829))"),"")</f>
        <v/>
      </c>
      <c r="M2829" s="29" t="str">
        <f>IFERROR(__xludf.DUMMYFUNCTION("IF(ISBLANK(B2829),"""",IF(ISDATE(B2829),TEXT(B2829,""m""),""""))"),"")</f>
        <v/>
      </c>
      <c r="N2829" s="29" t="str">
        <f>IFERROR(__xludf.DUMMYFUNCTION("IF(M2829="""","""",QUERY({'Dashboard-Dados'!$Y$2:$AA$13},""Select Col2 Where Col1=""&amp;M2829))"),"")</f>
        <v/>
      </c>
      <c r="O2829" s="29" t="str">
        <f>IFERROR(__xludf.DUMMYFUNCTION("IF(ISBLANK(B2829),"""",IF(ISDATE(B2829),TEXT(B2829,""yyyy""),""""))"),"")</f>
        <v/>
      </c>
    </row>
    <row r="2830">
      <c r="B2830" s="62"/>
      <c r="C2830" s="56"/>
      <c r="D2830" s="56"/>
      <c r="E2830" s="56"/>
      <c r="F2830" s="63"/>
      <c r="G2830" s="64"/>
      <c r="H2830" s="65"/>
      <c r="I2830" s="63"/>
      <c r="K2830" s="53" t="str">
        <f>IFERROR(__xludf.DUMMYFUNCTION("IF(ISBLANK(B2830),"""",IF(ISDATE(B2830),""X"",""""))"),"")</f>
        <v/>
      </c>
      <c r="L2830" s="40" t="str">
        <f>IFERROR(__xludf.DUMMYFUNCTION("IF(ISBLANK(B2830),"""",IF(Or(I2830=""Em Aberto"",ISBLANK(I2830),NOT(ISDATE(B2830))),"""",H2830))"),"")</f>
        <v/>
      </c>
      <c r="M2830" s="29" t="str">
        <f>IFERROR(__xludf.DUMMYFUNCTION("IF(ISBLANK(B2830),"""",IF(ISDATE(B2830),TEXT(B2830,""m""),""""))"),"")</f>
        <v/>
      </c>
      <c r="N2830" s="29" t="str">
        <f>IFERROR(__xludf.DUMMYFUNCTION("IF(M2830="""","""",QUERY({'Dashboard-Dados'!$Y$2:$AA$13},""Select Col2 Where Col1=""&amp;M2830))"),"")</f>
        <v/>
      </c>
      <c r="O2830" s="29" t="str">
        <f>IFERROR(__xludf.DUMMYFUNCTION("IF(ISBLANK(B2830),"""",IF(ISDATE(B2830),TEXT(B2830,""yyyy""),""""))"),"")</f>
        <v/>
      </c>
    </row>
    <row r="2831">
      <c r="B2831" s="62"/>
      <c r="C2831" s="56"/>
      <c r="D2831" s="56"/>
      <c r="E2831" s="56"/>
      <c r="F2831" s="63"/>
      <c r="G2831" s="64"/>
      <c r="H2831" s="65"/>
      <c r="I2831" s="63"/>
      <c r="K2831" s="53" t="str">
        <f>IFERROR(__xludf.DUMMYFUNCTION("IF(ISBLANK(B2831),"""",IF(ISDATE(B2831),""X"",""""))"),"")</f>
        <v/>
      </c>
      <c r="L2831" s="40" t="str">
        <f>IFERROR(__xludf.DUMMYFUNCTION("IF(ISBLANK(B2831),"""",IF(Or(I2831=""Em Aberto"",ISBLANK(I2831),NOT(ISDATE(B2831))),"""",H2831))"),"")</f>
        <v/>
      </c>
      <c r="M2831" s="29" t="str">
        <f>IFERROR(__xludf.DUMMYFUNCTION("IF(ISBLANK(B2831),"""",IF(ISDATE(B2831),TEXT(B2831,""m""),""""))"),"")</f>
        <v/>
      </c>
      <c r="N2831" s="29" t="str">
        <f>IFERROR(__xludf.DUMMYFUNCTION("IF(M2831="""","""",QUERY({'Dashboard-Dados'!$Y$2:$AA$13},""Select Col2 Where Col1=""&amp;M2831))"),"")</f>
        <v/>
      </c>
      <c r="O2831" s="29" t="str">
        <f>IFERROR(__xludf.DUMMYFUNCTION("IF(ISBLANK(B2831),"""",IF(ISDATE(B2831),TEXT(B2831,""yyyy""),""""))"),"")</f>
        <v/>
      </c>
    </row>
    <row r="2832">
      <c r="B2832" s="62"/>
      <c r="C2832" s="56"/>
      <c r="D2832" s="56"/>
      <c r="E2832" s="56"/>
      <c r="F2832" s="63"/>
      <c r="G2832" s="64"/>
      <c r="H2832" s="65"/>
      <c r="I2832" s="63"/>
      <c r="K2832" s="53" t="str">
        <f>IFERROR(__xludf.DUMMYFUNCTION("IF(ISBLANK(B2832),"""",IF(ISDATE(B2832),""X"",""""))"),"")</f>
        <v/>
      </c>
      <c r="L2832" s="40" t="str">
        <f>IFERROR(__xludf.DUMMYFUNCTION("IF(ISBLANK(B2832),"""",IF(Or(I2832=""Em Aberto"",ISBLANK(I2832),NOT(ISDATE(B2832))),"""",H2832))"),"")</f>
        <v/>
      </c>
      <c r="M2832" s="29" t="str">
        <f>IFERROR(__xludf.DUMMYFUNCTION("IF(ISBLANK(B2832),"""",IF(ISDATE(B2832),TEXT(B2832,""m""),""""))"),"")</f>
        <v/>
      </c>
      <c r="N2832" s="29" t="str">
        <f>IFERROR(__xludf.DUMMYFUNCTION("IF(M2832="""","""",QUERY({'Dashboard-Dados'!$Y$2:$AA$13},""Select Col2 Where Col1=""&amp;M2832))"),"")</f>
        <v/>
      </c>
      <c r="O2832" s="29" t="str">
        <f>IFERROR(__xludf.DUMMYFUNCTION("IF(ISBLANK(B2832),"""",IF(ISDATE(B2832),TEXT(B2832,""yyyy""),""""))"),"")</f>
        <v/>
      </c>
    </row>
    <row r="2833">
      <c r="B2833" s="62"/>
      <c r="C2833" s="56"/>
      <c r="D2833" s="56"/>
      <c r="E2833" s="56"/>
      <c r="F2833" s="63"/>
      <c r="G2833" s="64"/>
      <c r="H2833" s="65"/>
      <c r="I2833" s="63"/>
      <c r="K2833" s="53" t="str">
        <f>IFERROR(__xludf.DUMMYFUNCTION("IF(ISBLANK(B2833),"""",IF(ISDATE(B2833),""X"",""""))"),"")</f>
        <v/>
      </c>
      <c r="L2833" s="40" t="str">
        <f>IFERROR(__xludf.DUMMYFUNCTION("IF(ISBLANK(B2833),"""",IF(Or(I2833=""Em Aberto"",ISBLANK(I2833),NOT(ISDATE(B2833))),"""",H2833))"),"")</f>
        <v/>
      </c>
      <c r="M2833" s="29" t="str">
        <f>IFERROR(__xludf.DUMMYFUNCTION("IF(ISBLANK(B2833),"""",IF(ISDATE(B2833),TEXT(B2833,""m""),""""))"),"")</f>
        <v/>
      </c>
      <c r="N2833" s="29" t="str">
        <f>IFERROR(__xludf.DUMMYFUNCTION("IF(M2833="""","""",QUERY({'Dashboard-Dados'!$Y$2:$AA$13},""Select Col2 Where Col1=""&amp;M2833))"),"")</f>
        <v/>
      </c>
      <c r="O2833" s="29" t="str">
        <f>IFERROR(__xludf.DUMMYFUNCTION("IF(ISBLANK(B2833),"""",IF(ISDATE(B2833),TEXT(B2833,""yyyy""),""""))"),"")</f>
        <v/>
      </c>
    </row>
    <row r="2834">
      <c r="B2834" s="62"/>
      <c r="C2834" s="56"/>
      <c r="D2834" s="56"/>
      <c r="E2834" s="56"/>
      <c r="F2834" s="63"/>
      <c r="G2834" s="64"/>
      <c r="H2834" s="65"/>
      <c r="I2834" s="63"/>
      <c r="K2834" s="53" t="str">
        <f>IFERROR(__xludf.DUMMYFUNCTION("IF(ISBLANK(B2834),"""",IF(ISDATE(B2834),""X"",""""))"),"")</f>
        <v/>
      </c>
      <c r="L2834" s="40" t="str">
        <f>IFERROR(__xludf.DUMMYFUNCTION("IF(ISBLANK(B2834),"""",IF(Or(I2834=""Em Aberto"",ISBLANK(I2834),NOT(ISDATE(B2834))),"""",H2834))"),"")</f>
        <v/>
      </c>
      <c r="M2834" s="29" t="str">
        <f>IFERROR(__xludf.DUMMYFUNCTION("IF(ISBLANK(B2834),"""",IF(ISDATE(B2834),TEXT(B2834,""m""),""""))"),"")</f>
        <v/>
      </c>
      <c r="N2834" s="29" t="str">
        <f>IFERROR(__xludf.DUMMYFUNCTION("IF(M2834="""","""",QUERY({'Dashboard-Dados'!$Y$2:$AA$13},""Select Col2 Where Col1=""&amp;M2834))"),"")</f>
        <v/>
      </c>
      <c r="O2834" s="29" t="str">
        <f>IFERROR(__xludf.DUMMYFUNCTION("IF(ISBLANK(B2834),"""",IF(ISDATE(B2834),TEXT(B2834,""yyyy""),""""))"),"")</f>
        <v/>
      </c>
    </row>
    <row r="2835">
      <c r="B2835" s="62"/>
      <c r="C2835" s="56"/>
      <c r="D2835" s="56"/>
      <c r="E2835" s="56"/>
      <c r="F2835" s="63"/>
      <c r="G2835" s="64"/>
      <c r="H2835" s="65"/>
      <c r="I2835" s="63"/>
      <c r="K2835" s="53" t="str">
        <f>IFERROR(__xludf.DUMMYFUNCTION("IF(ISBLANK(B2835),"""",IF(ISDATE(B2835),""X"",""""))"),"")</f>
        <v/>
      </c>
      <c r="L2835" s="40" t="str">
        <f>IFERROR(__xludf.DUMMYFUNCTION("IF(ISBLANK(B2835),"""",IF(Or(I2835=""Em Aberto"",ISBLANK(I2835),NOT(ISDATE(B2835))),"""",H2835))"),"")</f>
        <v/>
      </c>
      <c r="M2835" s="29" t="str">
        <f>IFERROR(__xludf.DUMMYFUNCTION("IF(ISBLANK(B2835),"""",IF(ISDATE(B2835),TEXT(B2835,""m""),""""))"),"")</f>
        <v/>
      </c>
      <c r="N2835" s="29" t="str">
        <f>IFERROR(__xludf.DUMMYFUNCTION("IF(M2835="""","""",QUERY({'Dashboard-Dados'!$Y$2:$AA$13},""Select Col2 Where Col1=""&amp;M2835))"),"")</f>
        <v/>
      </c>
      <c r="O2835" s="29" t="str">
        <f>IFERROR(__xludf.DUMMYFUNCTION("IF(ISBLANK(B2835),"""",IF(ISDATE(B2835),TEXT(B2835,""yyyy""),""""))"),"")</f>
        <v/>
      </c>
    </row>
    <row r="2836">
      <c r="B2836" s="62"/>
      <c r="C2836" s="56"/>
      <c r="D2836" s="56"/>
      <c r="E2836" s="56"/>
      <c r="F2836" s="63"/>
      <c r="G2836" s="64"/>
      <c r="H2836" s="65"/>
      <c r="I2836" s="63"/>
      <c r="K2836" s="53" t="str">
        <f>IFERROR(__xludf.DUMMYFUNCTION("IF(ISBLANK(B2836),"""",IF(ISDATE(B2836),""X"",""""))"),"")</f>
        <v/>
      </c>
      <c r="L2836" s="40" t="str">
        <f>IFERROR(__xludf.DUMMYFUNCTION("IF(ISBLANK(B2836),"""",IF(Or(I2836=""Em Aberto"",ISBLANK(I2836),NOT(ISDATE(B2836))),"""",H2836))"),"")</f>
        <v/>
      </c>
      <c r="M2836" s="29" t="str">
        <f>IFERROR(__xludf.DUMMYFUNCTION("IF(ISBLANK(B2836),"""",IF(ISDATE(B2836),TEXT(B2836,""m""),""""))"),"")</f>
        <v/>
      </c>
      <c r="N2836" s="29" t="str">
        <f>IFERROR(__xludf.DUMMYFUNCTION("IF(M2836="""","""",QUERY({'Dashboard-Dados'!$Y$2:$AA$13},""Select Col2 Where Col1=""&amp;M2836))"),"")</f>
        <v/>
      </c>
      <c r="O2836" s="29" t="str">
        <f>IFERROR(__xludf.DUMMYFUNCTION("IF(ISBLANK(B2836),"""",IF(ISDATE(B2836),TEXT(B2836,""yyyy""),""""))"),"")</f>
        <v/>
      </c>
    </row>
    <row r="2837">
      <c r="B2837" s="62"/>
      <c r="C2837" s="56"/>
      <c r="D2837" s="56"/>
      <c r="E2837" s="56"/>
      <c r="F2837" s="63"/>
      <c r="G2837" s="64"/>
      <c r="H2837" s="65"/>
      <c r="I2837" s="63"/>
      <c r="K2837" s="53" t="str">
        <f>IFERROR(__xludf.DUMMYFUNCTION("IF(ISBLANK(B2837),"""",IF(ISDATE(B2837),""X"",""""))"),"")</f>
        <v/>
      </c>
      <c r="L2837" s="40" t="str">
        <f>IFERROR(__xludf.DUMMYFUNCTION("IF(ISBLANK(B2837),"""",IF(Or(I2837=""Em Aberto"",ISBLANK(I2837),NOT(ISDATE(B2837))),"""",H2837))"),"")</f>
        <v/>
      </c>
      <c r="M2837" s="29" t="str">
        <f>IFERROR(__xludf.DUMMYFUNCTION("IF(ISBLANK(B2837),"""",IF(ISDATE(B2837),TEXT(B2837,""m""),""""))"),"")</f>
        <v/>
      </c>
      <c r="N2837" s="29" t="str">
        <f>IFERROR(__xludf.DUMMYFUNCTION("IF(M2837="""","""",QUERY({'Dashboard-Dados'!$Y$2:$AA$13},""Select Col2 Where Col1=""&amp;M2837))"),"")</f>
        <v/>
      </c>
      <c r="O2837" s="29" t="str">
        <f>IFERROR(__xludf.DUMMYFUNCTION("IF(ISBLANK(B2837),"""",IF(ISDATE(B2837),TEXT(B2837,""yyyy""),""""))"),"")</f>
        <v/>
      </c>
    </row>
    <row r="2838">
      <c r="B2838" s="62"/>
      <c r="C2838" s="56"/>
      <c r="D2838" s="56"/>
      <c r="E2838" s="56"/>
      <c r="F2838" s="63"/>
      <c r="G2838" s="64"/>
      <c r="H2838" s="65"/>
      <c r="I2838" s="63"/>
      <c r="K2838" s="53" t="str">
        <f>IFERROR(__xludf.DUMMYFUNCTION("IF(ISBLANK(B2838),"""",IF(ISDATE(B2838),""X"",""""))"),"")</f>
        <v/>
      </c>
      <c r="L2838" s="40" t="str">
        <f>IFERROR(__xludf.DUMMYFUNCTION("IF(ISBLANK(B2838),"""",IF(Or(I2838=""Em Aberto"",ISBLANK(I2838),NOT(ISDATE(B2838))),"""",H2838))"),"")</f>
        <v/>
      </c>
      <c r="M2838" s="29" t="str">
        <f>IFERROR(__xludf.DUMMYFUNCTION("IF(ISBLANK(B2838),"""",IF(ISDATE(B2838),TEXT(B2838,""m""),""""))"),"")</f>
        <v/>
      </c>
      <c r="N2838" s="29" t="str">
        <f>IFERROR(__xludf.DUMMYFUNCTION("IF(M2838="""","""",QUERY({'Dashboard-Dados'!$Y$2:$AA$13},""Select Col2 Where Col1=""&amp;M2838))"),"")</f>
        <v/>
      </c>
      <c r="O2838" s="29" t="str">
        <f>IFERROR(__xludf.DUMMYFUNCTION("IF(ISBLANK(B2838),"""",IF(ISDATE(B2838),TEXT(B2838,""yyyy""),""""))"),"")</f>
        <v/>
      </c>
    </row>
    <row r="2839">
      <c r="B2839" s="62"/>
      <c r="C2839" s="56"/>
      <c r="D2839" s="56"/>
      <c r="E2839" s="56"/>
      <c r="F2839" s="63"/>
      <c r="G2839" s="64"/>
      <c r="H2839" s="65"/>
      <c r="I2839" s="63"/>
      <c r="K2839" s="53" t="str">
        <f>IFERROR(__xludf.DUMMYFUNCTION("IF(ISBLANK(B2839),"""",IF(ISDATE(B2839),""X"",""""))"),"")</f>
        <v/>
      </c>
      <c r="L2839" s="40" t="str">
        <f>IFERROR(__xludf.DUMMYFUNCTION("IF(ISBLANK(B2839),"""",IF(Or(I2839=""Em Aberto"",ISBLANK(I2839),NOT(ISDATE(B2839))),"""",H2839))"),"")</f>
        <v/>
      </c>
      <c r="M2839" s="29" t="str">
        <f>IFERROR(__xludf.DUMMYFUNCTION("IF(ISBLANK(B2839),"""",IF(ISDATE(B2839),TEXT(B2839,""m""),""""))"),"")</f>
        <v/>
      </c>
      <c r="N2839" s="29" t="str">
        <f>IFERROR(__xludf.DUMMYFUNCTION("IF(M2839="""","""",QUERY({'Dashboard-Dados'!$Y$2:$AA$13},""Select Col2 Where Col1=""&amp;M2839))"),"")</f>
        <v/>
      </c>
      <c r="O2839" s="29" t="str">
        <f>IFERROR(__xludf.DUMMYFUNCTION("IF(ISBLANK(B2839),"""",IF(ISDATE(B2839),TEXT(B2839,""yyyy""),""""))"),"")</f>
        <v/>
      </c>
    </row>
    <row r="2840">
      <c r="B2840" s="62"/>
      <c r="C2840" s="56"/>
      <c r="D2840" s="56"/>
      <c r="E2840" s="56"/>
      <c r="F2840" s="63"/>
      <c r="G2840" s="64"/>
      <c r="H2840" s="65"/>
      <c r="I2840" s="63"/>
      <c r="K2840" s="53" t="str">
        <f>IFERROR(__xludf.DUMMYFUNCTION("IF(ISBLANK(B2840),"""",IF(ISDATE(B2840),""X"",""""))"),"")</f>
        <v/>
      </c>
      <c r="L2840" s="40" t="str">
        <f>IFERROR(__xludf.DUMMYFUNCTION("IF(ISBLANK(B2840),"""",IF(Or(I2840=""Em Aberto"",ISBLANK(I2840),NOT(ISDATE(B2840))),"""",H2840))"),"")</f>
        <v/>
      </c>
      <c r="M2840" s="29" t="str">
        <f>IFERROR(__xludf.DUMMYFUNCTION("IF(ISBLANK(B2840),"""",IF(ISDATE(B2840),TEXT(B2840,""m""),""""))"),"")</f>
        <v/>
      </c>
      <c r="N2840" s="29" t="str">
        <f>IFERROR(__xludf.DUMMYFUNCTION("IF(M2840="""","""",QUERY({'Dashboard-Dados'!$Y$2:$AA$13},""Select Col2 Where Col1=""&amp;M2840))"),"")</f>
        <v/>
      </c>
      <c r="O2840" s="29" t="str">
        <f>IFERROR(__xludf.DUMMYFUNCTION("IF(ISBLANK(B2840),"""",IF(ISDATE(B2840),TEXT(B2840,""yyyy""),""""))"),"")</f>
        <v/>
      </c>
    </row>
    <row r="2841">
      <c r="B2841" s="62"/>
      <c r="C2841" s="56"/>
      <c r="D2841" s="56"/>
      <c r="E2841" s="56"/>
      <c r="F2841" s="63"/>
      <c r="G2841" s="64"/>
      <c r="H2841" s="65"/>
      <c r="I2841" s="63"/>
      <c r="K2841" s="53" t="str">
        <f>IFERROR(__xludf.DUMMYFUNCTION("IF(ISBLANK(B2841),"""",IF(ISDATE(B2841),""X"",""""))"),"")</f>
        <v/>
      </c>
      <c r="L2841" s="40" t="str">
        <f>IFERROR(__xludf.DUMMYFUNCTION("IF(ISBLANK(B2841),"""",IF(Or(I2841=""Em Aberto"",ISBLANK(I2841),NOT(ISDATE(B2841))),"""",H2841))"),"")</f>
        <v/>
      </c>
      <c r="M2841" s="29" t="str">
        <f>IFERROR(__xludf.DUMMYFUNCTION("IF(ISBLANK(B2841),"""",IF(ISDATE(B2841),TEXT(B2841,""m""),""""))"),"")</f>
        <v/>
      </c>
      <c r="N2841" s="29" t="str">
        <f>IFERROR(__xludf.DUMMYFUNCTION("IF(M2841="""","""",QUERY({'Dashboard-Dados'!$Y$2:$AA$13},""Select Col2 Where Col1=""&amp;M2841))"),"")</f>
        <v/>
      </c>
      <c r="O2841" s="29" t="str">
        <f>IFERROR(__xludf.DUMMYFUNCTION("IF(ISBLANK(B2841),"""",IF(ISDATE(B2841),TEXT(B2841,""yyyy""),""""))"),"")</f>
        <v/>
      </c>
    </row>
    <row r="2842">
      <c r="B2842" s="62"/>
      <c r="C2842" s="56"/>
      <c r="D2842" s="56"/>
      <c r="E2842" s="56"/>
      <c r="F2842" s="63"/>
      <c r="G2842" s="64"/>
      <c r="H2842" s="65"/>
      <c r="I2842" s="63"/>
      <c r="K2842" s="53" t="str">
        <f>IFERROR(__xludf.DUMMYFUNCTION("IF(ISBLANK(B2842),"""",IF(ISDATE(B2842),""X"",""""))"),"")</f>
        <v/>
      </c>
      <c r="L2842" s="40" t="str">
        <f>IFERROR(__xludf.DUMMYFUNCTION("IF(ISBLANK(B2842),"""",IF(Or(I2842=""Em Aberto"",ISBLANK(I2842),NOT(ISDATE(B2842))),"""",H2842))"),"")</f>
        <v/>
      </c>
      <c r="M2842" s="29" t="str">
        <f>IFERROR(__xludf.DUMMYFUNCTION("IF(ISBLANK(B2842),"""",IF(ISDATE(B2842),TEXT(B2842,""m""),""""))"),"")</f>
        <v/>
      </c>
      <c r="N2842" s="29" t="str">
        <f>IFERROR(__xludf.DUMMYFUNCTION("IF(M2842="""","""",QUERY({'Dashboard-Dados'!$Y$2:$AA$13},""Select Col2 Where Col1=""&amp;M2842))"),"")</f>
        <v/>
      </c>
      <c r="O2842" s="29" t="str">
        <f>IFERROR(__xludf.DUMMYFUNCTION("IF(ISBLANK(B2842),"""",IF(ISDATE(B2842),TEXT(B2842,""yyyy""),""""))"),"")</f>
        <v/>
      </c>
    </row>
    <row r="2843">
      <c r="B2843" s="62"/>
      <c r="C2843" s="56"/>
      <c r="D2843" s="56"/>
      <c r="E2843" s="56"/>
      <c r="F2843" s="63"/>
      <c r="G2843" s="64"/>
      <c r="H2843" s="65"/>
      <c r="I2843" s="63"/>
      <c r="K2843" s="53" t="str">
        <f>IFERROR(__xludf.DUMMYFUNCTION("IF(ISBLANK(B2843),"""",IF(ISDATE(B2843),""X"",""""))"),"")</f>
        <v/>
      </c>
      <c r="L2843" s="40" t="str">
        <f>IFERROR(__xludf.DUMMYFUNCTION("IF(ISBLANK(B2843),"""",IF(Or(I2843=""Em Aberto"",ISBLANK(I2843),NOT(ISDATE(B2843))),"""",H2843))"),"")</f>
        <v/>
      </c>
      <c r="M2843" s="29" t="str">
        <f>IFERROR(__xludf.DUMMYFUNCTION("IF(ISBLANK(B2843),"""",IF(ISDATE(B2843),TEXT(B2843,""m""),""""))"),"")</f>
        <v/>
      </c>
      <c r="N2843" s="29" t="str">
        <f>IFERROR(__xludf.DUMMYFUNCTION("IF(M2843="""","""",QUERY({'Dashboard-Dados'!$Y$2:$AA$13},""Select Col2 Where Col1=""&amp;M2843))"),"")</f>
        <v/>
      </c>
      <c r="O2843" s="29" t="str">
        <f>IFERROR(__xludf.DUMMYFUNCTION("IF(ISBLANK(B2843),"""",IF(ISDATE(B2843),TEXT(B2843,""yyyy""),""""))"),"")</f>
        <v/>
      </c>
    </row>
    <row r="2844">
      <c r="B2844" s="62"/>
      <c r="C2844" s="56"/>
      <c r="D2844" s="56"/>
      <c r="E2844" s="56"/>
      <c r="F2844" s="63"/>
      <c r="G2844" s="64"/>
      <c r="H2844" s="65"/>
      <c r="I2844" s="63"/>
      <c r="K2844" s="53" t="str">
        <f>IFERROR(__xludf.DUMMYFUNCTION("IF(ISBLANK(B2844),"""",IF(ISDATE(B2844),""X"",""""))"),"")</f>
        <v/>
      </c>
      <c r="L2844" s="40" t="str">
        <f>IFERROR(__xludf.DUMMYFUNCTION("IF(ISBLANK(B2844),"""",IF(Or(I2844=""Em Aberto"",ISBLANK(I2844),NOT(ISDATE(B2844))),"""",H2844))"),"")</f>
        <v/>
      </c>
      <c r="M2844" s="29" t="str">
        <f>IFERROR(__xludf.DUMMYFUNCTION("IF(ISBLANK(B2844),"""",IF(ISDATE(B2844),TEXT(B2844,""m""),""""))"),"")</f>
        <v/>
      </c>
      <c r="N2844" s="29" t="str">
        <f>IFERROR(__xludf.DUMMYFUNCTION("IF(M2844="""","""",QUERY({'Dashboard-Dados'!$Y$2:$AA$13},""Select Col2 Where Col1=""&amp;M2844))"),"")</f>
        <v/>
      </c>
      <c r="O2844" s="29" t="str">
        <f>IFERROR(__xludf.DUMMYFUNCTION("IF(ISBLANK(B2844),"""",IF(ISDATE(B2844),TEXT(B2844,""yyyy""),""""))"),"")</f>
        <v/>
      </c>
    </row>
    <row r="2845">
      <c r="B2845" s="62"/>
      <c r="C2845" s="56"/>
      <c r="D2845" s="56"/>
      <c r="E2845" s="56"/>
      <c r="F2845" s="63"/>
      <c r="G2845" s="64"/>
      <c r="H2845" s="65"/>
      <c r="I2845" s="63"/>
      <c r="K2845" s="53" t="str">
        <f>IFERROR(__xludf.DUMMYFUNCTION("IF(ISBLANK(B2845),"""",IF(ISDATE(B2845),""X"",""""))"),"")</f>
        <v/>
      </c>
      <c r="L2845" s="40" t="str">
        <f>IFERROR(__xludf.DUMMYFUNCTION("IF(ISBLANK(B2845),"""",IF(Or(I2845=""Em Aberto"",ISBLANK(I2845),NOT(ISDATE(B2845))),"""",H2845))"),"")</f>
        <v/>
      </c>
      <c r="M2845" s="29" t="str">
        <f>IFERROR(__xludf.DUMMYFUNCTION("IF(ISBLANK(B2845),"""",IF(ISDATE(B2845),TEXT(B2845,""m""),""""))"),"")</f>
        <v/>
      </c>
      <c r="N2845" s="29" t="str">
        <f>IFERROR(__xludf.DUMMYFUNCTION("IF(M2845="""","""",QUERY({'Dashboard-Dados'!$Y$2:$AA$13},""Select Col2 Where Col1=""&amp;M2845))"),"")</f>
        <v/>
      </c>
      <c r="O2845" s="29" t="str">
        <f>IFERROR(__xludf.DUMMYFUNCTION("IF(ISBLANK(B2845),"""",IF(ISDATE(B2845),TEXT(B2845,""yyyy""),""""))"),"")</f>
        <v/>
      </c>
    </row>
    <row r="2846">
      <c r="B2846" s="62"/>
      <c r="C2846" s="56"/>
      <c r="D2846" s="56"/>
      <c r="E2846" s="56"/>
      <c r="F2846" s="63"/>
      <c r="G2846" s="64"/>
      <c r="H2846" s="65"/>
      <c r="I2846" s="63"/>
      <c r="K2846" s="53" t="str">
        <f>IFERROR(__xludf.DUMMYFUNCTION("IF(ISBLANK(B2846),"""",IF(ISDATE(B2846),""X"",""""))"),"")</f>
        <v/>
      </c>
      <c r="L2846" s="40" t="str">
        <f>IFERROR(__xludf.DUMMYFUNCTION("IF(ISBLANK(B2846),"""",IF(Or(I2846=""Em Aberto"",ISBLANK(I2846),NOT(ISDATE(B2846))),"""",H2846))"),"")</f>
        <v/>
      </c>
      <c r="M2846" s="29" t="str">
        <f>IFERROR(__xludf.DUMMYFUNCTION("IF(ISBLANK(B2846),"""",IF(ISDATE(B2846),TEXT(B2846,""m""),""""))"),"")</f>
        <v/>
      </c>
      <c r="N2846" s="29" t="str">
        <f>IFERROR(__xludf.DUMMYFUNCTION("IF(M2846="""","""",QUERY({'Dashboard-Dados'!$Y$2:$AA$13},""Select Col2 Where Col1=""&amp;M2846))"),"")</f>
        <v/>
      </c>
      <c r="O2846" s="29" t="str">
        <f>IFERROR(__xludf.DUMMYFUNCTION("IF(ISBLANK(B2846),"""",IF(ISDATE(B2846),TEXT(B2846,""yyyy""),""""))"),"")</f>
        <v/>
      </c>
    </row>
    <row r="2847">
      <c r="B2847" s="62"/>
      <c r="C2847" s="56"/>
      <c r="D2847" s="56"/>
      <c r="E2847" s="56"/>
      <c r="F2847" s="63"/>
      <c r="G2847" s="64"/>
      <c r="H2847" s="65"/>
      <c r="I2847" s="63"/>
      <c r="K2847" s="53" t="str">
        <f>IFERROR(__xludf.DUMMYFUNCTION("IF(ISBLANK(B2847),"""",IF(ISDATE(B2847),""X"",""""))"),"")</f>
        <v/>
      </c>
      <c r="L2847" s="40" t="str">
        <f>IFERROR(__xludf.DUMMYFUNCTION("IF(ISBLANK(B2847),"""",IF(Or(I2847=""Em Aberto"",ISBLANK(I2847),NOT(ISDATE(B2847))),"""",H2847))"),"")</f>
        <v/>
      </c>
      <c r="M2847" s="29" t="str">
        <f>IFERROR(__xludf.DUMMYFUNCTION("IF(ISBLANK(B2847),"""",IF(ISDATE(B2847),TEXT(B2847,""m""),""""))"),"")</f>
        <v/>
      </c>
      <c r="N2847" s="29" t="str">
        <f>IFERROR(__xludf.DUMMYFUNCTION("IF(M2847="""","""",QUERY({'Dashboard-Dados'!$Y$2:$AA$13},""Select Col2 Where Col1=""&amp;M2847))"),"")</f>
        <v/>
      </c>
      <c r="O2847" s="29" t="str">
        <f>IFERROR(__xludf.DUMMYFUNCTION("IF(ISBLANK(B2847),"""",IF(ISDATE(B2847),TEXT(B2847,""yyyy""),""""))"),"")</f>
        <v/>
      </c>
    </row>
    <row r="2848">
      <c r="B2848" s="62"/>
      <c r="C2848" s="56"/>
      <c r="D2848" s="56"/>
      <c r="E2848" s="56"/>
      <c r="F2848" s="63"/>
      <c r="G2848" s="64"/>
      <c r="H2848" s="65"/>
      <c r="I2848" s="63"/>
      <c r="K2848" s="53" t="str">
        <f>IFERROR(__xludf.DUMMYFUNCTION("IF(ISBLANK(B2848),"""",IF(ISDATE(B2848),""X"",""""))"),"")</f>
        <v/>
      </c>
      <c r="L2848" s="40" t="str">
        <f>IFERROR(__xludf.DUMMYFUNCTION("IF(ISBLANK(B2848),"""",IF(Or(I2848=""Em Aberto"",ISBLANK(I2848),NOT(ISDATE(B2848))),"""",H2848))"),"")</f>
        <v/>
      </c>
      <c r="M2848" s="29" t="str">
        <f>IFERROR(__xludf.DUMMYFUNCTION("IF(ISBLANK(B2848),"""",IF(ISDATE(B2848),TEXT(B2848,""m""),""""))"),"")</f>
        <v/>
      </c>
      <c r="N2848" s="29" t="str">
        <f>IFERROR(__xludf.DUMMYFUNCTION("IF(M2848="""","""",QUERY({'Dashboard-Dados'!$Y$2:$AA$13},""Select Col2 Where Col1=""&amp;M2848))"),"")</f>
        <v/>
      </c>
      <c r="O2848" s="29" t="str">
        <f>IFERROR(__xludf.DUMMYFUNCTION("IF(ISBLANK(B2848),"""",IF(ISDATE(B2848),TEXT(B2848,""yyyy""),""""))"),"")</f>
        <v/>
      </c>
    </row>
    <row r="2849">
      <c r="B2849" s="62"/>
      <c r="C2849" s="56"/>
      <c r="D2849" s="56"/>
      <c r="E2849" s="56"/>
      <c r="F2849" s="63"/>
      <c r="G2849" s="64"/>
      <c r="H2849" s="65"/>
      <c r="I2849" s="63"/>
      <c r="K2849" s="53" t="str">
        <f>IFERROR(__xludf.DUMMYFUNCTION("IF(ISBLANK(B2849),"""",IF(ISDATE(B2849),""X"",""""))"),"")</f>
        <v/>
      </c>
      <c r="L2849" s="40" t="str">
        <f>IFERROR(__xludf.DUMMYFUNCTION("IF(ISBLANK(B2849),"""",IF(Or(I2849=""Em Aberto"",ISBLANK(I2849),NOT(ISDATE(B2849))),"""",H2849))"),"")</f>
        <v/>
      </c>
      <c r="M2849" s="29" t="str">
        <f>IFERROR(__xludf.DUMMYFUNCTION("IF(ISBLANK(B2849),"""",IF(ISDATE(B2849),TEXT(B2849,""m""),""""))"),"")</f>
        <v/>
      </c>
      <c r="N2849" s="29" t="str">
        <f>IFERROR(__xludf.DUMMYFUNCTION("IF(M2849="""","""",QUERY({'Dashboard-Dados'!$Y$2:$AA$13},""Select Col2 Where Col1=""&amp;M2849))"),"")</f>
        <v/>
      </c>
      <c r="O2849" s="29" t="str">
        <f>IFERROR(__xludf.DUMMYFUNCTION("IF(ISBLANK(B2849),"""",IF(ISDATE(B2849),TEXT(B2849,""yyyy""),""""))"),"")</f>
        <v/>
      </c>
    </row>
    <row r="2850">
      <c r="B2850" s="62"/>
      <c r="C2850" s="56"/>
      <c r="D2850" s="56"/>
      <c r="E2850" s="56"/>
      <c r="F2850" s="63"/>
      <c r="G2850" s="64"/>
      <c r="H2850" s="65"/>
      <c r="I2850" s="63"/>
      <c r="K2850" s="53" t="str">
        <f>IFERROR(__xludf.DUMMYFUNCTION("IF(ISBLANK(B2850),"""",IF(ISDATE(B2850),""X"",""""))"),"")</f>
        <v/>
      </c>
      <c r="L2850" s="40" t="str">
        <f>IFERROR(__xludf.DUMMYFUNCTION("IF(ISBLANK(B2850),"""",IF(Or(I2850=""Em Aberto"",ISBLANK(I2850),NOT(ISDATE(B2850))),"""",H2850))"),"")</f>
        <v/>
      </c>
      <c r="M2850" s="29" t="str">
        <f>IFERROR(__xludf.DUMMYFUNCTION("IF(ISBLANK(B2850),"""",IF(ISDATE(B2850),TEXT(B2850,""m""),""""))"),"")</f>
        <v/>
      </c>
      <c r="N2850" s="29" t="str">
        <f>IFERROR(__xludf.DUMMYFUNCTION("IF(M2850="""","""",QUERY({'Dashboard-Dados'!$Y$2:$AA$13},""Select Col2 Where Col1=""&amp;M2850))"),"")</f>
        <v/>
      </c>
      <c r="O2850" s="29" t="str">
        <f>IFERROR(__xludf.DUMMYFUNCTION("IF(ISBLANK(B2850),"""",IF(ISDATE(B2850),TEXT(B2850,""yyyy""),""""))"),"")</f>
        <v/>
      </c>
    </row>
    <row r="2851">
      <c r="B2851" s="62"/>
      <c r="C2851" s="56"/>
      <c r="D2851" s="56"/>
      <c r="E2851" s="56"/>
      <c r="F2851" s="63"/>
      <c r="G2851" s="64"/>
      <c r="H2851" s="65"/>
      <c r="I2851" s="63"/>
      <c r="K2851" s="53" t="str">
        <f>IFERROR(__xludf.DUMMYFUNCTION("IF(ISBLANK(B2851),"""",IF(ISDATE(B2851),""X"",""""))"),"")</f>
        <v/>
      </c>
      <c r="L2851" s="40" t="str">
        <f>IFERROR(__xludf.DUMMYFUNCTION("IF(ISBLANK(B2851),"""",IF(Or(I2851=""Em Aberto"",ISBLANK(I2851),NOT(ISDATE(B2851))),"""",H2851))"),"")</f>
        <v/>
      </c>
      <c r="M2851" s="29" t="str">
        <f>IFERROR(__xludf.DUMMYFUNCTION("IF(ISBLANK(B2851),"""",IF(ISDATE(B2851),TEXT(B2851,""m""),""""))"),"")</f>
        <v/>
      </c>
      <c r="N2851" s="29" t="str">
        <f>IFERROR(__xludf.DUMMYFUNCTION("IF(M2851="""","""",QUERY({'Dashboard-Dados'!$Y$2:$AA$13},""Select Col2 Where Col1=""&amp;M2851))"),"")</f>
        <v/>
      </c>
      <c r="O2851" s="29" t="str">
        <f>IFERROR(__xludf.DUMMYFUNCTION("IF(ISBLANK(B2851),"""",IF(ISDATE(B2851),TEXT(B2851,""yyyy""),""""))"),"")</f>
        <v/>
      </c>
    </row>
    <row r="2852">
      <c r="B2852" s="62"/>
      <c r="C2852" s="56"/>
      <c r="D2852" s="56"/>
      <c r="E2852" s="56"/>
      <c r="F2852" s="63"/>
      <c r="G2852" s="64"/>
      <c r="H2852" s="65"/>
      <c r="I2852" s="63"/>
      <c r="K2852" s="53" t="str">
        <f>IFERROR(__xludf.DUMMYFUNCTION("IF(ISBLANK(B2852),"""",IF(ISDATE(B2852),""X"",""""))"),"")</f>
        <v/>
      </c>
      <c r="L2852" s="40" t="str">
        <f>IFERROR(__xludf.DUMMYFUNCTION("IF(ISBLANK(B2852),"""",IF(Or(I2852=""Em Aberto"",ISBLANK(I2852),NOT(ISDATE(B2852))),"""",H2852))"),"")</f>
        <v/>
      </c>
      <c r="M2852" s="29" t="str">
        <f>IFERROR(__xludf.DUMMYFUNCTION("IF(ISBLANK(B2852),"""",IF(ISDATE(B2852),TEXT(B2852,""m""),""""))"),"")</f>
        <v/>
      </c>
      <c r="N2852" s="29" t="str">
        <f>IFERROR(__xludf.DUMMYFUNCTION("IF(M2852="""","""",QUERY({'Dashboard-Dados'!$Y$2:$AA$13},""Select Col2 Where Col1=""&amp;M2852))"),"")</f>
        <v/>
      </c>
      <c r="O2852" s="29" t="str">
        <f>IFERROR(__xludf.DUMMYFUNCTION("IF(ISBLANK(B2852),"""",IF(ISDATE(B2852),TEXT(B2852,""yyyy""),""""))"),"")</f>
        <v/>
      </c>
    </row>
    <row r="2853">
      <c r="B2853" s="62"/>
      <c r="C2853" s="56"/>
      <c r="D2853" s="56"/>
      <c r="E2853" s="56"/>
      <c r="F2853" s="63"/>
      <c r="G2853" s="64"/>
      <c r="H2853" s="65"/>
      <c r="I2853" s="63"/>
      <c r="K2853" s="53" t="str">
        <f>IFERROR(__xludf.DUMMYFUNCTION("IF(ISBLANK(B2853),"""",IF(ISDATE(B2853),""X"",""""))"),"")</f>
        <v/>
      </c>
      <c r="L2853" s="40" t="str">
        <f>IFERROR(__xludf.DUMMYFUNCTION("IF(ISBLANK(B2853),"""",IF(Or(I2853=""Em Aberto"",ISBLANK(I2853),NOT(ISDATE(B2853))),"""",H2853))"),"")</f>
        <v/>
      </c>
      <c r="M2853" s="29" t="str">
        <f>IFERROR(__xludf.DUMMYFUNCTION("IF(ISBLANK(B2853),"""",IF(ISDATE(B2853),TEXT(B2853,""m""),""""))"),"")</f>
        <v/>
      </c>
      <c r="N2853" s="29" t="str">
        <f>IFERROR(__xludf.DUMMYFUNCTION("IF(M2853="""","""",QUERY({'Dashboard-Dados'!$Y$2:$AA$13},""Select Col2 Where Col1=""&amp;M2853))"),"")</f>
        <v/>
      </c>
      <c r="O2853" s="29" t="str">
        <f>IFERROR(__xludf.DUMMYFUNCTION("IF(ISBLANK(B2853),"""",IF(ISDATE(B2853),TEXT(B2853,""yyyy""),""""))"),"")</f>
        <v/>
      </c>
    </row>
    <row r="2854">
      <c r="B2854" s="62"/>
      <c r="C2854" s="56"/>
      <c r="D2854" s="56"/>
      <c r="E2854" s="56"/>
      <c r="F2854" s="63"/>
      <c r="G2854" s="64"/>
      <c r="H2854" s="65"/>
      <c r="I2854" s="63"/>
      <c r="K2854" s="53" t="str">
        <f>IFERROR(__xludf.DUMMYFUNCTION("IF(ISBLANK(B2854),"""",IF(ISDATE(B2854),""X"",""""))"),"")</f>
        <v/>
      </c>
      <c r="L2854" s="40" t="str">
        <f>IFERROR(__xludf.DUMMYFUNCTION("IF(ISBLANK(B2854),"""",IF(Or(I2854=""Em Aberto"",ISBLANK(I2854),NOT(ISDATE(B2854))),"""",H2854))"),"")</f>
        <v/>
      </c>
      <c r="M2854" s="29" t="str">
        <f>IFERROR(__xludf.DUMMYFUNCTION("IF(ISBLANK(B2854),"""",IF(ISDATE(B2854),TEXT(B2854,""m""),""""))"),"")</f>
        <v/>
      </c>
      <c r="N2854" s="29" t="str">
        <f>IFERROR(__xludf.DUMMYFUNCTION("IF(M2854="""","""",QUERY({'Dashboard-Dados'!$Y$2:$AA$13},""Select Col2 Where Col1=""&amp;M2854))"),"")</f>
        <v/>
      </c>
      <c r="O2854" s="29" t="str">
        <f>IFERROR(__xludf.DUMMYFUNCTION("IF(ISBLANK(B2854),"""",IF(ISDATE(B2854),TEXT(B2854,""yyyy""),""""))"),"")</f>
        <v/>
      </c>
    </row>
    <row r="2855">
      <c r="B2855" s="62"/>
      <c r="C2855" s="56"/>
      <c r="D2855" s="56"/>
      <c r="E2855" s="56"/>
      <c r="F2855" s="63"/>
      <c r="G2855" s="64"/>
      <c r="H2855" s="65"/>
      <c r="I2855" s="63"/>
      <c r="K2855" s="53" t="str">
        <f>IFERROR(__xludf.DUMMYFUNCTION("IF(ISBLANK(B2855),"""",IF(ISDATE(B2855),""X"",""""))"),"")</f>
        <v/>
      </c>
      <c r="L2855" s="40" t="str">
        <f>IFERROR(__xludf.DUMMYFUNCTION("IF(ISBLANK(B2855),"""",IF(Or(I2855=""Em Aberto"",ISBLANK(I2855),NOT(ISDATE(B2855))),"""",H2855))"),"")</f>
        <v/>
      </c>
      <c r="M2855" s="29" t="str">
        <f>IFERROR(__xludf.DUMMYFUNCTION("IF(ISBLANK(B2855),"""",IF(ISDATE(B2855),TEXT(B2855,""m""),""""))"),"")</f>
        <v/>
      </c>
      <c r="N2855" s="29" t="str">
        <f>IFERROR(__xludf.DUMMYFUNCTION("IF(M2855="""","""",QUERY({'Dashboard-Dados'!$Y$2:$AA$13},""Select Col2 Where Col1=""&amp;M2855))"),"")</f>
        <v/>
      </c>
      <c r="O2855" s="29" t="str">
        <f>IFERROR(__xludf.DUMMYFUNCTION("IF(ISBLANK(B2855),"""",IF(ISDATE(B2855),TEXT(B2855,""yyyy""),""""))"),"")</f>
        <v/>
      </c>
    </row>
    <row r="2856">
      <c r="B2856" s="62"/>
      <c r="C2856" s="56"/>
      <c r="D2856" s="56"/>
      <c r="E2856" s="56"/>
      <c r="F2856" s="63"/>
      <c r="G2856" s="64"/>
      <c r="H2856" s="65"/>
      <c r="I2856" s="63"/>
      <c r="K2856" s="53" t="str">
        <f>IFERROR(__xludf.DUMMYFUNCTION("IF(ISBLANK(B2856),"""",IF(ISDATE(B2856),""X"",""""))"),"")</f>
        <v/>
      </c>
      <c r="L2856" s="40" t="str">
        <f>IFERROR(__xludf.DUMMYFUNCTION("IF(ISBLANK(B2856),"""",IF(Or(I2856=""Em Aberto"",ISBLANK(I2856),NOT(ISDATE(B2856))),"""",H2856))"),"")</f>
        <v/>
      </c>
      <c r="M2856" s="29" t="str">
        <f>IFERROR(__xludf.DUMMYFUNCTION("IF(ISBLANK(B2856),"""",IF(ISDATE(B2856),TEXT(B2856,""m""),""""))"),"")</f>
        <v/>
      </c>
      <c r="N2856" s="29" t="str">
        <f>IFERROR(__xludf.DUMMYFUNCTION("IF(M2856="""","""",QUERY({'Dashboard-Dados'!$Y$2:$AA$13},""Select Col2 Where Col1=""&amp;M2856))"),"")</f>
        <v/>
      </c>
      <c r="O2856" s="29" t="str">
        <f>IFERROR(__xludf.DUMMYFUNCTION("IF(ISBLANK(B2856),"""",IF(ISDATE(B2856),TEXT(B2856,""yyyy""),""""))"),"")</f>
        <v/>
      </c>
    </row>
    <row r="2857">
      <c r="B2857" s="62"/>
      <c r="C2857" s="56"/>
      <c r="D2857" s="56"/>
      <c r="E2857" s="56"/>
      <c r="F2857" s="63"/>
      <c r="G2857" s="64"/>
      <c r="H2857" s="65"/>
      <c r="I2857" s="63"/>
      <c r="K2857" s="53" t="str">
        <f>IFERROR(__xludf.DUMMYFUNCTION("IF(ISBLANK(B2857),"""",IF(ISDATE(B2857),""X"",""""))"),"")</f>
        <v/>
      </c>
      <c r="L2857" s="40" t="str">
        <f>IFERROR(__xludf.DUMMYFUNCTION("IF(ISBLANK(B2857),"""",IF(Or(I2857=""Em Aberto"",ISBLANK(I2857),NOT(ISDATE(B2857))),"""",H2857))"),"")</f>
        <v/>
      </c>
      <c r="M2857" s="29" t="str">
        <f>IFERROR(__xludf.DUMMYFUNCTION("IF(ISBLANK(B2857),"""",IF(ISDATE(B2857),TEXT(B2857,""m""),""""))"),"")</f>
        <v/>
      </c>
      <c r="N2857" s="29" t="str">
        <f>IFERROR(__xludf.DUMMYFUNCTION("IF(M2857="""","""",QUERY({'Dashboard-Dados'!$Y$2:$AA$13},""Select Col2 Where Col1=""&amp;M2857))"),"")</f>
        <v/>
      </c>
      <c r="O2857" s="29" t="str">
        <f>IFERROR(__xludf.DUMMYFUNCTION("IF(ISBLANK(B2857),"""",IF(ISDATE(B2857),TEXT(B2857,""yyyy""),""""))"),"")</f>
        <v/>
      </c>
    </row>
    <row r="2858">
      <c r="B2858" s="62"/>
      <c r="C2858" s="56"/>
      <c r="D2858" s="56"/>
      <c r="E2858" s="56"/>
      <c r="F2858" s="63"/>
      <c r="G2858" s="64"/>
      <c r="H2858" s="65"/>
      <c r="I2858" s="63"/>
      <c r="K2858" s="53" t="str">
        <f>IFERROR(__xludf.DUMMYFUNCTION("IF(ISBLANK(B2858),"""",IF(ISDATE(B2858),""X"",""""))"),"")</f>
        <v/>
      </c>
      <c r="L2858" s="40" t="str">
        <f>IFERROR(__xludf.DUMMYFUNCTION("IF(ISBLANK(B2858),"""",IF(Or(I2858=""Em Aberto"",ISBLANK(I2858),NOT(ISDATE(B2858))),"""",H2858))"),"")</f>
        <v/>
      </c>
      <c r="M2858" s="29" t="str">
        <f>IFERROR(__xludf.DUMMYFUNCTION("IF(ISBLANK(B2858),"""",IF(ISDATE(B2858),TEXT(B2858,""m""),""""))"),"")</f>
        <v/>
      </c>
      <c r="N2858" s="29" t="str">
        <f>IFERROR(__xludf.DUMMYFUNCTION("IF(M2858="""","""",QUERY({'Dashboard-Dados'!$Y$2:$AA$13},""Select Col2 Where Col1=""&amp;M2858))"),"")</f>
        <v/>
      </c>
      <c r="O2858" s="29" t="str">
        <f>IFERROR(__xludf.DUMMYFUNCTION("IF(ISBLANK(B2858),"""",IF(ISDATE(B2858),TEXT(B2858,""yyyy""),""""))"),"")</f>
        <v/>
      </c>
    </row>
    <row r="2859">
      <c r="B2859" s="62"/>
      <c r="C2859" s="56"/>
      <c r="D2859" s="56"/>
      <c r="E2859" s="56"/>
      <c r="F2859" s="63"/>
      <c r="G2859" s="64"/>
      <c r="H2859" s="65"/>
      <c r="I2859" s="63"/>
      <c r="K2859" s="53" t="str">
        <f>IFERROR(__xludf.DUMMYFUNCTION("IF(ISBLANK(B2859),"""",IF(ISDATE(B2859),""X"",""""))"),"")</f>
        <v/>
      </c>
      <c r="L2859" s="40" t="str">
        <f>IFERROR(__xludf.DUMMYFUNCTION("IF(ISBLANK(B2859),"""",IF(Or(I2859=""Em Aberto"",ISBLANK(I2859),NOT(ISDATE(B2859))),"""",H2859))"),"")</f>
        <v/>
      </c>
      <c r="M2859" s="29" t="str">
        <f>IFERROR(__xludf.DUMMYFUNCTION("IF(ISBLANK(B2859),"""",IF(ISDATE(B2859),TEXT(B2859,""m""),""""))"),"")</f>
        <v/>
      </c>
      <c r="N2859" s="29" t="str">
        <f>IFERROR(__xludf.DUMMYFUNCTION("IF(M2859="""","""",QUERY({'Dashboard-Dados'!$Y$2:$AA$13},""Select Col2 Where Col1=""&amp;M2859))"),"")</f>
        <v/>
      </c>
      <c r="O2859" s="29" t="str">
        <f>IFERROR(__xludf.DUMMYFUNCTION("IF(ISBLANK(B2859),"""",IF(ISDATE(B2859),TEXT(B2859,""yyyy""),""""))"),"")</f>
        <v/>
      </c>
    </row>
    <row r="2860">
      <c r="B2860" s="62"/>
      <c r="C2860" s="56"/>
      <c r="D2860" s="56"/>
      <c r="E2860" s="56"/>
      <c r="F2860" s="63"/>
      <c r="G2860" s="64"/>
      <c r="H2860" s="65"/>
      <c r="I2860" s="63"/>
      <c r="K2860" s="53" t="str">
        <f>IFERROR(__xludf.DUMMYFUNCTION("IF(ISBLANK(B2860),"""",IF(ISDATE(B2860),""X"",""""))"),"")</f>
        <v/>
      </c>
      <c r="L2860" s="40" t="str">
        <f>IFERROR(__xludf.DUMMYFUNCTION("IF(ISBLANK(B2860),"""",IF(Or(I2860=""Em Aberto"",ISBLANK(I2860),NOT(ISDATE(B2860))),"""",H2860))"),"")</f>
        <v/>
      </c>
      <c r="M2860" s="29" t="str">
        <f>IFERROR(__xludf.DUMMYFUNCTION("IF(ISBLANK(B2860),"""",IF(ISDATE(B2860),TEXT(B2860,""m""),""""))"),"")</f>
        <v/>
      </c>
      <c r="N2860" s="29" t="str">
        <f>IFERROR(__xludf.DUMMYFUNCTION("IF(M2860="""","""",QUERY({'Dashboard-Dados'!$Y$2:$AA$13},""Select Col2 Where Col1=""&amp;M2860))"),"")</f>
        <v/>
      </c>
      <c r="O2860" s="29" t="str">
        <f>IFERROR(__xludf.DUMMYFUNCTION("IF(ISBLANK(B2860),"""",IF(ISDATE(B2860),TEXT(B2860,""yyyy""),""""))"),"")</f>
        <v/>
      </c>
    </row>
    <row r="2861">
      <c r="B2861" s="62"/>
      <c r="C2861" s="56"/>
      <c r="D2861" s="56"/>
      <c r="E2861" s="56"/>
      <c r="F2861" s="63"/>
      <c r="G2861" s="64"/>
      <c r="H2861" s="65"/>
      <c r="I2861" s="63"/>
      <c r="K2861" s="53" t="str">
        <f>IFERROR(__xludf.DUMMYFUNCTION("IF(ISBLANK(B2861),"""",IF(ISDATE(B2861),""X"",""""))"),"")</f>
        <v/>
      </c>
      <c r="L2861" s="40" t="str">
        <f>IFERROR(__xludf.DUMMYFUNCTION("IF(ISBLANK(B2861),"""",IF(Or(I2861=""Em Aberto"",ISBLANK(I2861),NOT(ISDATE(B2861))),"""",H2861))"),"")</f>
        <v/>
      </c>
      <c r="M2861" s="29" t="str">
        <f>IFERROR(__xludf.DUMMYFUNCTION("IF(ISBLANK(B2861),"""",IF(ISDATE(B2861),TEXT(B2861,""m""),""""))"),"")</f>
        <v/>
      </c>
      <c r="N2861" s="29" t="str">
        <f>IFERROR(__xludf.DUMMYFUNCTION("IF(M2861="""","""",QUERY({'Dashboard-Dados'!$Y$2:$AA$13},""Select Col2 Where Col1=""&amp;M2861))"),"")</f>
        <v/>
      </c>
      <c r="O2861" s="29" t="str">
        <f>IFERROR(__xludf.DUMMYFUNCTION("IF(ISBLANK(B2861),"""",IF(ISDATE(B2861),TEXT(B2861,""yyyy""),""""))"),"")</f>
        <v/>
      </c>
    </row>
    <row r="2862">
      <c r="B2862" s="62"/>
      <c r="C2862" s="56"/>
      <c r="D2862" s="56"/>
      <c r="E2862" s="56"/>
      <c r="F2862" s="63"/>
      <c r="G2862" s="64"/>
      <c r="H2862" s="65"/>
      <c r="I2862" s="63"/>
      <c r="K2862" s="53" t="str">
        <f>IFERROR(__xludf.DUMMYFUNCTION("IF(ISBLANK(B2862),"""",IF(ISDATE(B2862),""X"",""""))"),"")</f>
        <v/>
      </c>
      <c r="L2862" s="40" t="str">
        <f>IFERROR(__xludf.DUMMYFUNCTION("IF(ISBLANK(B2862),"""",IF(Or(I2862=""Em Aberto"",ISBLANK(I2862),NOT(ISDATE(B2862))),"""",H2862))"),"")</f>
        <v/>
      </c>
      <c r="M2862" s="29" t="str">
        <f>IFERROR(__xludf.DUMMYFUNCTION("IF(ISBLANK(B2862),"""",IF(ISDATE(B2862),TEXT(B2862,""m""),""""))"),"")</f>
        <v/>
      </c>
      <c r="N2862" s="29" t="str">
        <f>IFERROR(__xludf.DUMMYFUNCTION("IF(M2862="""","""",QUERY({'Dashboard-Dados'!$Y$2:$AA$13},""Select Col2 Where Col1=""&amp;M2862))"),"")</f>
        <v/>
      </c>
      <c r="O2862" s="29" t="str">
        <f>IFERROR(__xludf.DUMMYFUNCTION("IF(ISBLANK(B2862),"""",IF(ISDATE(B2862),TEXT(B2862,""yyyy""),""""))"),"")</f>
        <v/>
      </c>
    </row>
    <row r="2863">
      <c r="B2863" s="62"/>
      <c r="C2863" s="56"/>
      <c r="D2863" s="56"/>
      <c r="E2863" s="56"/>
      <c r="F2863" s="63"/>
      <c r="G2863" s="64"/>
      <c r="H2863" s="65"/>
      <c r="I2863" s="63"/>
      <c r="K2863" s="53" t="str">
        <f>IFERROR(__xludf.DUMMYFUNCTION("IF(ISBLANK(B2863),"""",IF(ISDATE(B2863),""X"",""""))"),"")</f>
        <v/>
      </c>
      <c r="L2863" s="40" t="str">
        <f>IFERROR(__xludf.DUMMYFUNCTION("IF(ISBLANK(B2863),"""",IF(Or(I2863=""Em Aberto"",ISBLANK(I2863),NOT(ISDATE(B2863))),"""",H2863))"),"")</f>
        <v/>
      </c>
      <c r="M2863" s="29" t="str">
        <f>IFERROR(__xludf.DUMMYFUNCTION("IF(ISBLANK(B2863),"""",IF(ISDATE(B2863),TEXT(B2863,""m""),""""))"),"")</f>
        <v/>
      </c>
      <c r="N2863" s="29" t="str">
        <f>IFERROR(__xludf.DUMMYFUNCTION("IF(M2863="""","""",QUERY({'Dashboard-Dados'!$Y$2:$AA$13},""Select Col2 Where Col1=""&amp;M2863))"),"")</f>
        <v/>
      </c>
      <c r="O2863" s="29" t="str">
        <f>IFERROR(__xludf.DUMMYFUNCTION("IF(ISBLANK(B2863),"""",IF(ISDATE(B2863),TEXT(B2863,""yyyy""),""""))"),"")</f>
        <v/>
      </c>
    </row>
    <row r="2864">
      <c r="B2864" s="62"/>
      <c r="C2864" s="56"/>
      <c r="D2864" s="56"/>
      <c r="E2864" s="56"/>
      <c r="F2864" s="63"/>
      <c r="G2864" s="64"/>
      <c r="H2864" s="65"/>
      <c r="I2864" s="63"/>
      <c r="K2864" s="53" t="str">
        <f>IFERROR(__xludf.DUMMYFUNCTION("IF(ISBLANK(B2864),"""",IF(ISDATE(B2864),""X"",""""))"),"")</f>
        <v/>
      </c>
      <c r="L2864" s="40" t="str">
        <f>IFERROR(__xludf.DUMMYFUNCTION("IF(ISBLANK(B2864),"""",IF(Or(I2864=""Em Aberto"",ISBLANK(I2864),NOT(ISDATE(B2864))),"""",H2864))"),"")</f>
        <v/>
      </c>
      <c r="M2864" s="29" t="str">
        <f>IFERROR(__xludf.DUMMYFUNCTION("IF(ISBLANK(B2864),"""",IF(ISDATE(B2864),TEXT(B2864,""m""),""""))"),"")</f>
        <v/>
      </c>
      <c r="N2864" s="29" t="str">
        <f>IFERROR(__xludf.DUMMYFUNCTION("IF(M2864="""","""",QUERY({'Dashboard-Dados'!$Y$2:$AA$13},""Select Col2 Where Col1=""&amp;M2864))"),"")</f>
        <v/>
      </c>
      <c r="O2864" s="29" t="str">
        <f>IFERROR(__xludf.DUMMYFUNCTION("IF(ISBLANK(B2864),"""",IF(ISDATE(B2864),TEXT(B2864,""yyyy""),""""))"),"")</f>
        <v/>
      </c>
    </row>
    <row r="2865">
      <c r="B2865" s="62"/>
      <c r="C2865" s="56"/>
      <c r="D2865" s="56"/>
      <c r="E2865" s="56"/>
      <c r="F2865" s="63"/>
      <c r="G2865" s="64"/>
      <c r="H2865" s="65"/>
      <c r="I2865" s="63"/>
      <c r="K2865" s="53" t="str">
        <f>IFERROR(__xludf.DUMMYFUNCTION("IF(ISBLANK(B2865),"""",IF(ISDATE(B2865),""X"",""""))"),"")</f>
        <v/>
      </c>
      <c r="L2865" s="40" t="str">
        <f>IFERROR(__xludf.DUMMYFUNCTION("IF(ISBLANK(B2865),"""",IF(Or(I2865=""Em Aberto"",ISBLANK(I2865),NOT(ISDATE(B2865))),"""",H2865))"),"")</f>
        <v/>
      </c>
      <c r="M2865" s="29" t="str">
        <f>IFERROR(__xludf.DUMMYFUNCTION("IF(ISBLANK(B2865),"""",IF(ISDATE(B2865),TEXT(B2865,""m""),""""))"),"")</f>
        <v/>
      </c>
      <c r="N2865" s="29" t="str">
        <f>IFERROR(__xludf.DUMMYFUNCTION("IF(M2865="""","""",QUERY({'Dashboard-Dados'!$Y$2:$AA$13},""Select Col2 Where Col1=""&amp;M2865))"),"")</f>
        <v/>
      </c>
      <c r="O2865" s="29" t="str">
        <f>IFERROR(__xludf.DUMMYFUNCTION("IF(ISBLANK(B2865),"""",IF(ISDATE(B2865),TEXT(B2865,""yyyy""),""""))"),"")</f>
        <v/>
      </c>
    </row>
    <row r="2866">
      <c r="B2866" s="62"/>
      <c r="C2866" s="56"/>
      <c r="D2866" s="56"/>
      <c r="E2866" s="56"/>
      <c r="F2866" s="63"/>
      <c r="G2866" s="64"/>
      <c r="H2866" s="65"/>
      <c r="I2866" s="63"/>
      <c r="K2866" s="53" t="str">
        <f>IFERROR(__xludf.DUMMYFUNCTION("IF(ISBLANK(B2866),"""",IF(ISDATE(B2866),""X"",""""))"),"")</f>
        <v/>
      </c>
      <c r="L2866" s="40" t="str">
        <f>IFERROR(__xludf.DUMMYFUNCTION("IF(ISBLANK(B2866),"""",IF(Or(I2866=""Em Aberto"",ISBLANK(I2866),NOT(ISDATE(B2866))),"""",H2866))"),"")</f>
        <v/>
      </c>
      <c r="M2866" s="29" t="str">
        <f>IFERROR(__xludf.DUMMYFUNCTION("IF(ISBLANK(B2866),"""",IF(ISDATE(B2866),TEXT(B2866,""m""),""""))"),"")</f>
        <v/>
      </c>
      <c r="N2866" s="29" t="str">
        <f>IFERROR(__xludf.DUMMYFUNCTION("IF(M2866="""","""",QUERY({'Dashboard-Dados'!$Y$2:$AA$13},""Select Col2 Where Col1=""&amp;M2866))"),"")</f>
        <v/>
      </c>
      <c r="O2866" s="29" t="str">
        <f>IFERROR(__xludf.DUMMYFUNCTION("IF(ISBLANK(B2866),"""",IF(ISDATE(B2866),TEXT(B2866,""yyyy""),""""))"),"")</f>
        <v/>
      </c>
    </row>
    <row r="2867">
      <c r="B2867" s="62"/>
      <c r="C2867" s="56"/>
      <c r="D2867" s="56"/>
      <c r="E2867" s="56"/>
      <c r="F2867" s="63"/>
      <c r="G2867" s="64"/>
      <c r="H2867" s="65"/>
      <c r="I2867" s="63"/>
      <c r="K2867" s="53" t="str">
        <f>IFERROR(__xludf.DUMMYFUNCTION("IF(ISBLANK(B2867),"""",IF(ISDATE(B2867),""X"",""""))"),"")</f>
        <v/>
      </c>
      <c r="L2867" s="40" t="str">
        <f>IFERROR(__xludf.DUMMYFUNCTION("IF(ISBLANK(B2867),"""",IF(Or(I2867=""Em Aberto"",ISBLANK(I2867),NOT(ISDATE(B2867))),"""",H2867))"),"")</f>
        <v/>
      </c>
      <c r="M2867" s="29" t="str">
        <f>IFERROR(__xludf.DUMMYFUNCTION("IF(ISBLANK(B2867),"""",IF(ISDATE(B2867),TEXT(B2867,""m""),""""))"),"")</f>
        <v/>
      </c>
      <c r="N2867" s="29" t="str">
        <f>IFERROR(__xludf.DUMMYFUNCTION("IF(M2867="""","""",QUERY({'Dashboard-Dados'!$Y$2:$AA$13},""Select Col2 Where Col1=""&amp;M2867))"),"")</f>
        <v/>
      </c>
      <c r="O2867" s="29" t="str">
        <f>IFERROR(__xludf.DUMMYFUNCTION("IF(ISBLANK(B2867),"""",IF(ISDATE(B2867),TEXT(B2867,""yyyy""),""""))"),"")</f>
        <v/>
      </c>
    </row>
    <row r="2868">
      <c r="B2868" s="62"/>
      <c r="C2868" s="56"/>
      <c r="D2868" s="56"/>
      <c r="E2868" s="56"/>
      <c r="F2868" s="63"/>
      <c r="G2868" s="64"/>
      <c r="H2868" s="65"/>
      <c r="I2868" s="63"/>
      <c r="K2868" s="53" t="str">
        <f>IFERROR(__xludf.DUMMYFUNCTION("IF(ISBLANK(B2868),"""",IF(ISDATE(B2868),""X"",""""))"),"")</f>
        <v/>
      </c>
      <c r="L2868" s="40" t="str">
        <f>IFERROR(__xludf.DUMMYFUNCTION("IF(ISBLANK(B2868),"""",IF(Or(I2868=""Em Aberto"",ISBLANK(I2868),NOT(ISDATE(B2868))),"""",H2868))"),"")</f>
        <v/>
      </c>
      <c r="M2868" s="29" t="str">
        <f>IFERROR(__xludf.DUMMYFUNCTION("IF(ISBLANK(B2868),"""",IF(ISDATE(B2868),TEXT(B2868,""m""),""""))"),"")</f>
        <v/>
      </c>
      <c r="N2868" s="29" t="str">
        <f>IFERROR(__xludf.DUMMYFUNCTION("IF(M2868="""","""",QUERY({'Dashboard-Dados'!$Y$2:$AA$13},""Select Col2 Where Col1=""&amp;M2868))"),"")</f>
        <v/>
      </c>
      <c r="O2868" s="29" t="str">
        <f>IFERROR(__xludf.DUMMYFUNCTION("IF(ISBLANK(B2868),"""",IF(ISDATE(B2868),TEXT(B2868,""yyyy""),""""))"),"")</f>
        <v/>
      </c>
    </row>
    <row r="2869">
      <c r="B2869" s="62"/>
      <c r="C2869" s="56"/>
      <c r="D2869" s="56"/>
      <c r="E2869" s="56"/>
      <c r="F2869" s="63"/>
      <c r="G2869" s="64"/>
      <c r="H2869" s="65"/>
      <c r="I2869" s="63"/>
      <c r="K2869" s="53" t="str">
        <f>IFERROR(__xludf.DUMMYFUNCTION("IF(ISBLANK(B2869),"""",IF(ISDATE(B2869),""X"",""""))"),"")</f>
        <v/>
      </c>
      <c r="L2869" s="40" t="str">
        <f>IFERROR(__xludf.DUMMYFUNCTION("IF(ISBLANK(B2869),"""",IF(Or(I2869=""Em Aberto"",ISBLANK(I2869),NOT(ISDATE(B2869))),"""",H2869))"),"")</f>
        <v/>
      </c>
      <c r="M2869" s="29" t="str">
        <f>IFERROR(__xludf.DUMMYFUNCTION("IF(ISBLANK(B2869),"""",IF(ISDATE(B2869),TEXT(B2869,""m""),""""))"),"")</f>
        <v/>
      </c>
      <c r="N2869" s="29" t="str">
        <f>IFERROR(__xludf.DUMMYFUNCTION("IF(M2869="""","""",QUERY({'Dashboard-Dados'!$Y$2:$AA$13},""Select Col2 Where Col1=""&amp;M2869))"),"")</f>
        <v/>
      </c>
      <c r="O2869" s="29" t="str">
        <f>IFERROR(__xludf.DUMMYFUNCTION("IF(ISBLANK(B2869),"""",IF(ISDATE(B2869),TEXT(B2869,""yyyy""),""""))"),"")</f>
        <v/>
      </c>
    </row>
    <row r="2870">
      <c r="B2870" s="62"/>
      <c r="C2870" s="56"/>
      <c r="D2870" s="56"/>
      <c r="E2870" s="56"/>
      <c r="F2870" s="63"/>
      <c r="G2870" s="64"/>
      <c r="H2870" s="65"/>
      <c r="I2870" s="63"/>
      <c r="K2870" s="53" t="str">
        <f>IFERROR(__xludf.DUMMYFUNCTION("IF(ISBLANK(B2870),"""",IF(ISDATE(B2870),""X"",""""))"),"")</f>
        <v/>
      </c>
      <c r="L2870" s="40" t="str">
        <f>IFERROR(__xludf.DUMMYFUNCTION("IF(ISBLANK(B2870),"""",IF(Or(I2870=""Em Aberto"",ISBLANK(I2870),NOT(ISDATE(B2870))),"""",H2870))"),"")</f>
        <v/>
      </c>
      <c r="M2870" s="29" t="str">
        <f>IFERROR(__xludf.DUMMYFUNCTION("IF(ISBLANK(B2870),"""",IF(ISDATE(B2870),TEXT(B2870,""m""),""""))"),"")</f>
        <v/>
      </c>
      <c r="N2870" s="29" t="str">
        <f>IFERROR(__xludf.DUMMYFUNCTION("IF(M2870="""","""",QUERY({'Dashboard-Dados'!$Y$2:$AA$13},""Select Col2 Where Col1=""&amp;M2870))"),"")</f>
        <v/>
      </c>
      <c r="O2870" s="29" t="str">
        <f>IFERROR(__xludf.DUMMYFUNCTION("IF(ISBLANK(B2870),"""",IF(ISDATE(B2870),TEXT(B2870,""yyyy""),""""))"),"")</f>
        <v/>
      </c>
    </row>
    <row r="2871">
      <c r="B2871" s="62"/>
      <c r="C2871" s="56"/>
      <c r="D2871" s="56"/>
      <c r="E2871" s="56"/>
      <c r="F2871" s="63"/>
      <c r="G2871" s="64"/>
      <c r="H2871" s="65"/>
      <c r="I2871" s="63"/>
      <c r="K2871" s="53" t="str">
        <f>IFERROR(__xludf.DUMMYFUNCTION("IF(ISBLANK(B2871),"""",IF(ISDATE(B2871),""X"",""""))"),"")</f>
        <v/>
      </c>
      <c r="L2871" s="40" t="str">
        <f>IFERROR(__xludf.DUMMYFUNCTION("IF(ISBLANK(B2871),"""",IF(Or(I2871=""Em Aberto"",ISBLANK(I2871),NOT(ISDATE(B2871))),"""",H2871))"),"")</f>
        <v/>
      </c>
      <c r="M2871" s="29" t="str">
        <f>IFERROR(__xludf.DUMMYFUNCTION("IF(ISBLANK(B2871),"""",IF(ISDATE(B2871),TEXT(B2871,""m""),""""))"),"")</f>
        <v/>
      </c>
      <c r="N2871" s="29" t="str">
        <f>IFERROR(__xludf.DUMMYFUNCTION("IF(M2871="""","""",QUERY({'Dashboard-Dados'!$Y$2:$AA$13},""Select Col2 Where Col1=""&amp;M2871))"),"")</f>
        <v/>
      </c>
      <c r="O2871" s="29" t="str">
        <f>IFERROR(__xludf.DUMMYFUNCTION("IF(ISBLANK(B2871),"""",IF(ISDATE(B2871),TEXT(B2871,""yyyy""),""""))"),"")</f>
        <v/>
      </c>
    </row>
    <row r="2872">
      <c r="B2872" s="62"/>
      <c r="C2872" s="56"/>
      <c r="D2872" s="56"/>
      <c r="E2872" s="56"/>
      <c r="F2872" s="63"/>
      <c r="G2872" s="64"/>
      <c r="H2872" s="65"/>
      <c r="I2872" s="63"/>
      <c r="K2872" s="53" t="str">
        <f>IFERROR(__xludf.DUMMYFUNCTION("IF(ISBLANK(B2872),"""",IF(ISDATE(B2872),""X"",""""))"),"")</f>
        <v/>
      </c>
      <c r="L2872" s="40" t="str">
        <f>IFERROR(__xludf.DUMMYFUNCTION("IF(ISBLANK(B2872),"""",IF(Or(I2872=""Em Aberto"",ISBLANK(I2872),NOT(ISDATE(B2872))),"""",H2872))"),"")</f>
        <v/>
      </c>
      <c r="M2872" s="29" t="str">
        <f>IFERROR(__xludf.DUMMYFUNCTION("IF(ISBLANK(B2872),"""",IF(ISDATE(B2872),TEXT(B2872,""m""),""""))"),"")</f>
        <v/>
      </c>
      <c r="N2872" s="29" t="str">
        <f>IFERROR(__xludf.DUMMYFUNCTION("IF(M2872="""","""",QUERY({'Dashboard-Dados'!$Y$2:$AA$13},""Select Col2 Where Col1=""&amp;M2872))"),"")</f>
        <v/>
      </c>
      <c r="O2872" s="29" t="str">
        <f>IFERROR(__xludf.DUMMYFUNCTION("IF(ISBLANK(B2872),"""",IF(ISDATE(B2872),TEXT(B2872,""yyyy""),""""))"),"")</f>
        <v/>
      </c>
    </row>
    <row r="2873">
      <c r="B2873" s="62"/>
      <c r="C2873" s="56"/>
      <c r="D2873" s="56"/>
      <c r="E2873" s="56"/>
      <c r="F2873" s="63"/>
      <c r="G2873" s="64"/>
      <c r="H2873" s="65"/>
      <c r="I2873" s="63"/>
      <c r="K2873" s="53" t="str">
        <f>IFERROR(__xludf.DUMMYFUNCTION("IF(ISBLANK(B2873),"""",IF(ISDATE(B2873),""X"",""""))"),"")</f>
        <v/>
      </c>
      <c r="L2873" s="40" t="str">
        <f>IFERROR(__xludf.DUMMYFUNCTION("IF(ISBLANK(B2873),"""",IF(Or(I2873=""Em Aberto"",ISBLANK(I2873),NOT(ISDATE(B2873))),"""",H2873))"),"")</f>
        <v/>
      </c>
      <c r="M2873" s="29" t="str">
        <f>IFERROR(__xludf.DUMMYFUNCTION("IF(ISBLANK(B2873),"""",IF(ISDATE(B2873),TEXT(B2873,""m""),""""))"),"")</f>
        <v/>
      </c>
      <c r="N2873" s="29" t="str">
        <f>IFERROR(__xludf.DUMMYFUNCTION("IF(M2873="""","""",QUERY({'Dashboard-Dados'!$Y$2:$AA$13},""Select Col2 Where Col1=""&amp;M2873))"),"")</f>
        <v/>
      </c>
      <c r="O2873" s="29" t="str">
        <f>IFERROR(__xludf.DUMMYFUNCTION("IF(ISBLANK(B2873),"""",IF(ISDATE(B2873),TEXT(B2873,""yyyy""),""""))"),"")</f>
        <v/>
      </c>
    </row>
    <row r="2874">
      <c r="B2874" s="62"/>
      <c r="C2874" s="56"/>
      <c r="D2874" s="56"/>
      <c r="E2874" s="56"/>
      <c r="F2874" s="63"/>
      <c r="G2874" s="64"/>
      <c r="H2874" s="65"/>
      <c r="I2874" s="63"/>
      <c r="K2874" s="53" t="str">
        <f>IFERROR(__xludf.DUMMYFUNCTION("IF(ISBLANK(B2874),"""",IF(ISDATE(B2874),""X"",""""))"),"")</f>
        <v/>
      </c>
      <c r="L2874" s="40" t="str">
        <f>IFERROR(__xludf.DUMMYFUNCTION("IF(ISBLANK(B2874),"""",IF(Or(I2874=""Em Aberto"",ISBLANK(I2874),NOT(ISDATE(B2874))),"""",H2874))"),"")</f>
        <v/>
      </c>
      <c r="M2874" s="29" t="str">
        <f>IFERROR(__xludf.DUMMYFUNCTION("IF(ISBLANK(B2874),"""",IF(ISDATE(B2874),TEXT(B2874,""m""),""""))"),"")</f>
        <v/>
      </c>
      <c r="N2874" s="29" t="str">
        <f>IFERROR(__xludf.DUMMYFUNCTION("IF(M2874="""","""",QUERY({'Dashboard-Dados'!$Y$2:$AA$13},""Select Col2 Where Col1=""&amp;M2874))"),"")</f>
        <v/>
      </c>
      <c r="O2874" s="29" t="str">
        <f>IFERROR(__xludf.DUMMYFUNCTION("IF(ISBLANK(B2874),"""",IF(ISDATE(B2874),TEXT(B2874,""yyyy""),""""))"),"")</f>
        <v/>
      </c>
    </row>
    <row r="2875">
      <c r="B2875" s="62"/>
      <c r="C2875" s="56"/>
      <c r="D2875" s="56"/>
      <c r="E2875" s="56"/>
      <c r="F2875" s="63"/>
      <c r="G2875" s="64"/>
      <c r="H2875" s="65"/>
      <c r="I2875" s="63"/>
      <c r="K2875" s="53" t="str">
        <f>IFERROR(__xludf.DUMMYFUNCTION("IF(ISBLANK(B2875),"""",IF(ISDATE(B2875),""X"",""""))"),"")</f>
        <v/>
      </c>
      <c r="L2875" s="40" t="str">
        <f>IFERROR(__xludf.DUMMYFUNCTION("IF(ISBLANK(B2875),"""",IF(Or(I2875=""Em Aberto"",ISBLANK(I2875),NOT(ISDATE(B2875))),"""",H2875))"),"")</f>
        <v/>
      </c>
      <c r="M2875" s="29" t="str">
        <f>IFERROR(__xludf.DUMMYFUNCTION("IF(ISBLANK(B2875),"""",IF(ISDATE(B2875),TEXT(B2875,""m""),""""))"),"")</f>
        <v/>
      </c>
      <c r="N2875" s="29" t="str">
        <f>IFERROR(__xludf.DUMMYFUNCTION("IF(M2875="""","""",QUERY({'Dashboard-Dados'!$Y$2:$AA$13},""Select Col2 Where Col1=""&amp;M2875))"),"")</f>
        <v/>
      </c>
      <c r="O2875" s="29" t="str">
        <f>IFERROR(__xludf.DUMMYFUNCTION("IF(ISBLANK(B2875),"""",IF(ISDATE(B2875),TEXT(B2875,""yyyy""),""""))"),"")</f>
        <v/>
      </c>
    </row>
    <row r="2876">
      <c r="B2876" s="62"/>
      <c r="C2876" s="56"/>
      <c r="D2876" s="56"/>
      <c r="E2876" s="56"/>
      <c r="F2876" s="63"/>
      <c r="G2876" s="64"/>
      <c r="H2876" s="65"/>
      <c r="I2876" s="63"/>
      <c r="K2876" s="53" t="str">
        <f>IFERROR(__xludf.DUMMYFUNCTION("IF(ISBLANK(B2876),"""",IF(ISDATE(B2876),""X"",""""))"),"")</f>
        <v/>
      </c>
      <c r="L2876" s="40" t="str">
        <f>IFERROR(__xludf.DUMMYFUNCTION("IF(ISBLANK(B2876),"""",IF(Or(I2876=""Em Aberto"",ISBLANK(I2876),NOT(ISDATE(B2876))),"""",H2876))"),"")</f>
        <v/>
      </c>
      <c r="M2876" s="29" t="str">
        <f>IFERROR(__xludf.DUMMYFUNCTION("IF(ISBLANK(B2876),"""",IF(ISDATE(B2876),TEXT(B2876,""m""),""""))"),"")</f>
        <v/>
      </c>
      <c r="N2876" s="29" t="str">
        <f>IFERROR(__xludf.DUMMYFUNCTION("IF(M2876="""","""",QUERY({'Dashboard-Dados'!$Y$2:$AA$13},""Select Col2 Where Col1=""&amp;M2876))"),"")</f>
        <v/>
      </c>
      <c r="O2876" s="29" t="str">
        <f>IFERROR(__xludf.DUMMYFUNCTION("IF(ISBLANK(B2876),"""",IF(ISDATE(B2876),TEXT(B2876,""yyyy""),""""))"),"")</f>
        <v/>
      </c>
    </row>
    <row r="2877">
      <c r="B2877" s="62"/>
      <c r="C2877" s="56"/>
      <c r="D2877" s="56"/>
      <c r="E2877" s="56"/>
      <c r="F2877" s="63"/>
      <c r="G2877" s="64"/>
      <c r="H2877" s="65"/>
      <c r="I2877" s="63"/>
      <c r="K2877" s="53" t="str">
        <f>IFERROR(__xludf.DUMMYFUNCTION("IF(ISBLANK(B2877),"""",IF(ISDATE(B2877),""X"",""""))"),"")</f>
        <v/>
      </c>
      <c r="L2877" s="40" t="str">
        <f>IFERROR(__xludf.DUMMYFUNCTION("IF(ISBLANK(B2877),"""",IF(Or(I2877=""Em Aberto"",ISBLANK(I2877),NOT(ISDATE(B2877))),"""",H2877))"),"")</f>
        <v/>
      </c>
      <c r="M2877" s="29" t="str">
        <f>IFERROR(__xludf.DUMMYFUNCTION("IF(ISBLANK(B2877),"""",IF(ISDATE(B2877),TEXT(B2877,""m""),""""))"),"")</f>
        <v/>
      </c>
      <c r="N2877" s="29" t="str">
        <f>IFERROR(__xludf.DUMMYFUNCTION("IF(M2877="""","""",QUERY({'Dashboard-Dados'!$Y$2:$AA$13},""Select Col2 Where Col1=""&amp;M2877))"),"")</f>
        <v/>
      </c>
      <c r="O2877" s="29" t="str">
        <f>IFERROR(__xludf.DUMMYFUNCTION("IF(ISBLANK(B2877),"""",IF(ISDATE(B2877),TEXT(B2877,""yyyy""),""""))"),"")</f>
        <v/>
      </c>
    </row>
    <row r="2878">
      <c r="B2878" s="62"/>
      <c r="C2878" s="56"/>
      <c r="D2878" s="56"/>
      <c r="E2878" s="56"/>
      <c r="F2878" s="63"/>
      <c r="G2878" s="64"/>
      <c r="H2878" s="65"/>
      <c r="I2878" s="63"/>
      <c r="K2878" s="53" t="str">
        <f>IFERROR(__xludf.DUMMYFUNCTION("IF(ISBLANK(B2878),"""",IF(ISDATE(B2878),""X"",""""))"),"")</f>
        <v/>
      </c>
      <c r="L2878" s="40" t="str">
        <f>IFERROR(__xludf.DUMMYFUNCTION("IF(ISBLANK(B2878),"""",IF(Or(I2878=""Em Aberto"",ISBLANK(I2878),NOT(ISDATE(B2878))),"""",H2878))"),"")</f>
        <v/>
      </c>
      <c r="M2878" s="29" t="str">
        <f>IFERROR(__xludf.DUMMYFUNCTION("IF(ISBLANK(B2878),"""",IF(ISDATE(B2878),TEXT(B2878,""m""),""""))"),"")</f>
        <v/>
      </c>
      <c r="N2878" s="29" t="str">
        <f>IFERROR(__xludf.DUMMYFUNCTION("IF(M2878="""","""",QUERY({'Dashboard-Dados'!$Y$2:$AA$13},""Select Col2 Where Col1=""&amp;M2878))"),"")</f>
        <v/>
      </c>
      <c r="O2878" s="29" t="str">
        <f>IFERROR(__xludf.DUMMYFUNCTION("IF(ISBLANK(B2878),"""",IF(ISDATE(B2878),TEXT(B2878,""yyyy""),""""))"),"")</f>
        <v/>
      </c>
    </row>
    <row r="2879">
      <c r="B2879" s="62"/>
      <c r="C2879" s="56"/>
      <c r="D2879" s="56"/>
      <c r="E2879" s="56"/>
      <c r="F2879" s="63"/>
      <c r="G2879" s="64"/>
      <c r="H2879" s="65"/>
      <c r="I2879" s="63"/>
      <c r="K2879" s="53" t="str">
        <f>IFERROR(__xludf.DUMMYFUNCTION("IF(ISBLANK(B2879),"""",IF(ISDATE(B2879),""X"",""""))"),"")</f>
        <v/>
      </c>
      <c r="L2879" s="40" t="str">
        <f>IFERROR(__xludf.DUMMYFUNCTION("IF(ISBLANK(B2879),"""",IF(Or(I2879=""Em Aberto"",ISBLANK(I2879),NOT(ISDATE(B2879))),"""",H2879))"),"")</f>
        <v/>
      </c>
      <c r="M2879" s="29" t="str">
        <f>IFERROR(__xludf.DUMMYFUNCTION("IF(ISBLANK(B2879),"""",IF(ISDATE(B2879),TEXT(B2879,""m""),""""))"),"")</f>
        <v/>
      </c>
      <c r="N2879" s="29" t="str">
        <f>IFERROR(__xludf.DUMMYFUNCTION("IF(M2879="""","""",QUERY({'Dashboard-Dados'!$Y$2:$AA$13},""Select Col2 Where Col1=""&amp;M2879))"),"")</f>
        <v/>
      </c>
      <c r="O2879" s="29" t="str">
        <f>IFERROR(__xludf.DUMMYFUNCTION("IF(ISBLANK(B2879),"""",IF(ISDATE(B2879),TEXT(B2879,""yyyy""),""""))"),"")</f>
        <v/>
      </c>
    </row>
    <row r="2880">
      <c r="B2880" s="62"/>
      <c r="C2880" s="56"/>
      <c r="D2880" s="56"/>
      <c r="E2880" s="56"/>
      <c r="F2880" s="63"/>
      <c r="G2880" s="64"/>
      <c r="H2880" s="65"/>
      <c r="I2880" s="63"/>
      <c r="K2880" s="53" t="str">
        <f>IFERROR(__xludf.DUMMYFUNCTION("IF(ISBLANK(B2880),"""",IF(ISDATE(B2880),""X"",""""))"),"")</f>
        <v/>
      </c>
      <c r="L2880" s="40" t="str">
        <f>IFERROR(__xludf.DUMMYFUNCTION("IF(ISBLANK(B2880),"""",IF(Or(I2880=""Em Aberto"",ISBLANK(I2880),NOT(ISDATE(B2880))),"""",H2880))"),"")</f>
        <v/>
      </c>
      <c r="M2880" s="29" t="str">
        <f>IFERROR(__xludf.DUMMYFUNCTION("IF(ISBLANK(B2880),"""",IF(ISDATE(B2880),TEXT(B2880,""m""),""""))"),"")</f>
        <v/>
      </c>
      <c r="N2880" s="29" t="str">
        <f>IFERROR(__xludf.DUMMYFUNCTION("IF(M2880="""","""",QUERY({'Dashboard-Dados'!$Y$2:$AA$13},""Select Col2 Where Col1=""&amp;M2880))"),"")</f>
        <v/>
      </c>
      <c r="O2880" s="29" t="str">
        <f>IFERROR(__xludf.DUMMYFUNCTION("IF(ISBLANK(B2880),"""",IF(ISDATE(B2880),TEXT(B2880,""yyyy""),""""))"),"")</f>
        <v/>
      </c>
    </row>
    <row r="2881">
      <c r="B2881" s="62"/>
      <c r="C2881" s="56"/>
      <c r="D2881" s="56"/>
      <c r="E2881" s="56"/>
      <c r="F2881" s="63"/>
      <c r="G2881" s="64"/>
      <c r="H2881" s="65"/>
      <c r="I2881" s="63"/>
      <c r="K2881" s="53" t="str">
        <f>IFERROR(__xludf.DUMMYFUNCTION("IF(ISBLANK(B2881),"""",IF(ISDATE(B2881),""X"",""""))"),"")</f>
        <v/>
      </c>
      <c r="L2881" s="40" t="str">
        <f>IFERROR(__xludf.DUMMYFUNCTION("IF(ISBLANK(B2881),"""",IF(Or(I2881=""Em Aberto"",ISBLANK(I2881),NOT(ISDATE(B2881))),"""",H2881))"),"")</f>
        <v/>
      </c>
      <c r="M2881" s="29" t="str">
        <f>IFERROR(__xludf.DUMMYFUNCTION("IF(ISBLANK(B2881),"""",IF(ISDATE(B2881),TEXT(B2881,""m""),""""))"),"")</f>
        <v/>
      </c>
      <c r="N2881" s="29" t="str">
        <f>IFERROR(__xludf.DUMMYFUNCTION("IF(M2881="""","""",QUERY({'Dashboard-Dados'!$Y$2:$AA$13},""Select Col2 Where Col1=""&amp;M2881))"),"")</f>
        <v/>
      </c>
      <c r="O2881" s="29" t="str">
        <f>IFERROR(__xludf.DUMMYFUNCTION("IF(ISBLANK(B2881),"""",IF(ISDATE(B2881),TEXT(B2881,""yyyy""),""""))"),"")</f>
        <v/>
      </c>
    </row>
    <row r="2882">
      <c r="B2882" s="62"/>
      <c r="C2882" s="56"/>
      <c r="D2882" s="56"/>
      <c r="E2882" s="56"/>
      <c r="F2882" s="63"/>
      <c r="G2882" s="64"/>
      <c r="H2882" s="65"/>
      <c r="I2882" s="63"/>
      <c r="K2882" s="53" t="str">
        <f>IFERROR(__xludf.DUMMYFUNCTION("IF(ISBLANK(B2882),"""",IF(ISDATE(B2882),""X"",""""))"),"")</f>
        <v/>
      </c>
      <c r="L2882" s="40" t="str">
        <f>IFERROR(__xludf.DUMMYFUNCTION("IF(ISBLANK(B2882),"""",IF(Or(I2882=""Em Aberto"",ISBLANK(I2882),NOT(ISDATE(B2882))),"""",H2882))"),"")</f>
        <v/>
      </c>
      <c r="M2882" s="29" t="str">
        <f>IFERROR(__xludf.DUMMYFUNCTION("IF(ISBLANK(B2882),"""",IF(ISDATE(B2882),TEXT(B2882,""m""),""""))"),"")</f>
        <v/>
      </c>
      <c r="N2882" s="29" t="str">
        <f>IFERROR(__xludf.DUMMYFUNCTION("IF(M2882="""","""",QUERY({'Dashboard-Dados'!$Y$2:$AA$13},""Select Col2 Where Col1=""&amp;M2882))"),"")</f>
        <v/>
      </c>
      <c r="O2882" s="29" t="str">
        <f>IFERROR(__xludf.DUMMYFUNCTION("IF(ISBLANK(B2882),"""",IF(ISDATE(B2882),TEXT(B2882,""yyyy""),""""))"),"")</f>
        <v/>
      </c>
    </row>
    <row r="2883">
      <c r="B2883" s="62"/>
      <c r="C2883" s="56"/>
      <c r="D2883" s="56"/>
      <c r="E2883" s="56"/>
      <c r="F2883" s="63"/>
      <c r="G2883" s="64"/>
      <c r="H2883" s="65"/>
      <c r="I2883" s="63"/>
      <c r="K2883" s="53" t="str">
        <f>IFERROR(__xludf.DUMMYFUNCTION("IF(ISBLANK(B2883),"""",IF(ISDATE(B2883),""X"",""""))"),"")</f>
        <v/>
      </c>
      <c r="L2883" s="40" t="str">
        <f>IFERROR(__xludf.DUMMYFUNCTION("IF(ISBLANK(B2883),"""",IF(Or(I2883=""Em Aberto"",ISBLANK(I2883),NOT(ISDATE(B2883))),"""",H2883))"),"")</f>
        <v/>
      </c>
      <c r="M2883" s="29" t="str">
        <f>IFERROR(__xludf.DUMMYFUNCTION("IF(ISBLANK(B2883),"""",IF(ISDATE(B2883),TEXT(B2883,""m""),""""))"),"")</f>
        <v/>
      </c>
      <c r="N2883" s="29" t="str">
        <f>IFERROR(__xludf.DUMMYFUNCTION("IF(M2883="""","""",QUERY({'Dashboard-Dados'!$Y$2:$AA$13},""Select Col2 Where Col1=""&amp;M2883))"),"")</f>
        <v/>
      </c>
      <c r="O2883" s="29" t="str">
        <f>IFERROR(__xludf.DUMMYFUNCTION("IF(ISBLANK(B2883),"""",IF(ISDATE(B2883),TEXT(B2883,""yyyy""),""""))"),"")</f>
        <v/>
      </c>
    </row>
    <row r="2884">
      <c r="B2884" s="62"/>
      <c r="C2884" s="56"/>
      <c r="D2884" s="56"/>
      <c r="E2884" s="56"/>
      <c r="F2884" s="63"/>
      <c r="G2884" s="64"/>
      <c r="H2884" s="65"/>
      <c r="I2884" s="63"/>
      <c r="K2884" s="53" t="str">
        <f>IFERROR(__xludf.DUMMYFUNCTION("IF(ISBLANK(B2884),"""",IF(ISDATE(B2884),""X"",""""))"),"")</f>
        <v/>
      </c>
      <c r="L2884" s="40" t="str">
        <f>IFERROR(__xludf.DUMMYFUNCTION("IF(ISBLANK(B2884),"""",IF(Or(I2884=""Em Aberto"",ISBLANK(I2884),NOT(ISDATE(B2884))),"""",H2884))"),"")</f>
        <v/>
      </c>
      <c r="M2884" s="29" t="str">
        <f>IFERROR(__xludf.DUMMYFUNCTION("IF(ISBLANK(B2884),"""",IF(ISDATE(B2884),TEXT(B2884,""m""),""""))"),"")</f>
        <v/>
      </c>
      <c r="N2884" s="29" t="str">
        <f>IFERROR(__xludf.DUMMYFUNCTION("IF(M2884="""","""",QUERY({'Dashboard-Dados'!$Y$2:$AA$13},""Select Col2 Where Col1=""&amp;M2884))"),"")</f>
        <v/>
      </c>
      <c r="O2884" s="29" t="str">
        <f>IFERROR(__xludf.DUMMYFUNCTION("IF(ISBLANK(B2884),"""",IF(ISDATE(B2884),TEXT(B2884,""yyyy""),""""))"),"")</f>
        <v/>
      </c>
    </row>
    <row r="2885">
      <c r="B2885" s="62"/>
      <c r="C2885" s="56"/>
      <c r="D2885" s="56"/>
      <c r="E2885" s="56"/>
      <c r="F2885" s="63"/>
      <c r="G2885" s="64"/>
      <c r="H2885" s="65"/>
      <c r="I2885" s="63"/>
      <c r="K2885" s="53" t="str">
        <f>IFERROR(__xludf.DUMMYFUNCTION("IF(ISBLANK(B2885),"""",IF(ISDATE(B2885),""X"",""""))"),"")</f>
        <v/>
      </c>
      <c r="L2885" s="40" t="str">
        <f>IFERROR(__xludf.DUMMYFUNCTION("IF(ISBLANK(B2885),"""",IF(Or(I2885=""Em Aberto"",ISBLANK(I2885),NOT(ISDATE(B2885))),"""",H2885))"),"")</f>
        <v/>
      </c>
      <c r="M2885" s="29" t="str">
        <f>IFERROR(__xludf.DUMMYFUNCTION("IF(ISBLANK(B2885),"""",IF(ISDATE(B2885),TEXT(B2885,""m""),""""))"),"")</f>
        <v/>
      </c>
      <c r="N2885" s="29" t="str">
        <f>IFERROR(__xludf.DUMMYFUNCTION("IF(M2885="""","""",QUERY({'Dashboard-Dados'!$Y$2:$AA$13},""Select Col2 Where Col1=""&amp;M2885))"),"")</f>
        <v/>
      </c>
      <c r="O2885" s="29" t="str">
        <f>IFERROR(__xludf.DUMMYFUNCTION("IF(ISBLANK(B2885),"""",IF(ISDATE(B2885),TEXT(B2885,""yyyy""),""""))"),"")</f>
        <v/>
      </c>
    </row>
    <row r="2886">
      <c r="B2886" s="62"/>
      <c r="C2886" s="56"/>
      <c r="D2886" s="56"/>
      <c r="E2886" s="56"/>
      <c r="F2886" s="63"/>
      <c r="G2886" s="64"/>
      <c r="H2886" s="65"/>
      <c r="I2886" s="63"/>
      <c r="K2886" s="53" t="str">
        <f>IFERROR(__xludf.DUMMYFUNCTION("IF(ISBLANK(B2886),"""",IF(ISDATE(B2886),""X"",""""))"),"")</f>
        <v/>
      </c>
      <c r="L2886" s="40" t="str">
        <f>IFERROR(__xludf.DUMMYFUNCTION("IF(ISBLANK(B2886),"""",IF(Or(I2886=""Em Aberto"",ISBLANK(I2886),NOT(ISDATE(B2886))),"""",H2886))"),"")</f>
        <v/>
      </c>
      <c r="M2886" s="29" t="str">
        <f>IFERROR(__xludf.DUMMYFUNCTION("IF(ISBLANK(B2886),"""",IF(ISDATE(B2886),TEXT(B2886,""m""),""""))"),"")</f>
        <v/>
      </c>
      <c r="N2886" s="29" t="str">
        <f>IFERROR(__xludf.DUMMYFUNCTION("IF(M2886="""","""",QUERY({'Dashboard-Dados'!$Y$2:$AA$13},""Select Col2 Where Col1=""&amp;M2886))"),"")</f>
        <v/>
      </c>
      <c r="O2886" s="29" t="str">
        <f>IFERROR(__xludf.DUMMYFUNCTION("IF(ISBLANK(B2886),"""",IF(ISDATE(B2886),TEXT(B2886,""yyyy""),""""))"),"")</f>
        <v/>
      </c>
    </row>
    <row r="2887">
      <c r="B2887" s="62"/>
      <c r="C2887" s="56"/>
      <c r="D2887" s="56"/>
      <c r="E2887" s="56"/>
      <c r="F2887" s="63"/>
      <c r="G2887" s="64"/>
      <c r="H2887" s="65"/>
      <c r="I2887" s="63"/>
      <c r="K2887" s="53" t="str">
        <f>IFERROR(__xludf.DUMMYFUNCTION("IF(ISBLANK(B2887),"""",IF(ISDATE(B2887),""X"",""""))"),"")</f>
        <v/>
      </c>
      <c r="L2887" s="40" t="str">
        <f>IFERROR(__xludf.DUMMYFUNCTION("IF(ISBLANK(B2887),"""",IF(Or(I2887=""Em Aberto"",ISBLANK(I2887),NOT(ISDATE(B2887))),"""",H2887))"),"")</f>
        <v/>
      </c>
      <c r="M2887" s="29" t="str">
        <f>IFERROR(__xludf.DUMMYFUNCTION("IF(ISBLANK(B2887),"""",IF(ISDATE(B2887),TEXT(B2887,""m""),""""))"),"")</f>
        <v/>
      </c>
      <c r="N2887" s="29" t="str">
        <f>IFERROR(__xludf.DUMMYFUNCTION("IF(M2887="""","""",QUERY({'Dashboard-Dados'!$Y$2:$AA$13},""Select Col2 Where Col1=""&amp;M2887))"),"")</f>
        <v/>
      </c>
      <c r="O2887" s="29" t="str">
        <f>IFERROR(__xludf.DUMMYFUNCTION("IF(ISBLANK(B2887),"""",IF(ISDATE(B2887),TEXT(B2887,""yyyy""),""""))"),"")</f>
        <v/>
      </c>
    </row>
    <row r="2888">
      <c r="B2888" s="62"/>
      <c r="C2888" s="56"/>
      <c r="D2888" s="56"/>
      <c r="E2888" s="56"/>
      <c r="F2888" s="63"/>
      <c r="G2888" s="64"/>
      <c r="H2888" s="65"/>
      <c r="I2888" s="63"/>
      <c r="K2888" s="53" t="str">
        <f>IFERROR(__xludf.DUMMYFUNCTION("IF(ISBLANK(B2888),"""",IF(ISDATE(B2888),""X"",""""))"),"")</f>
        <v/>
      </c>
      <c r="L2888" s="40" t="str">
        <f>IFERROR(__xludf.DUMMYFUNCTION("IF(ISBLANK(B2888),"""",IF(Or(I2888=""Em Aberto"",ISBLANK(I2888),NOT(ISDATE(B2888))),"""",H2888))"),"")</f>
        <v/>
      </c>
      <c r="M2888" s="29" t="str">
        <f>IFERROR(__xludf.DUMMYFUNCTION("IF(ISBLANK(B2888),"""",IF(ISDATE(B2888),TEXT(B2888,""m""),""""))"),"")</f>
        <v/>
      </c>
      <c r="N2888" s="29" t="str">
        <f>IFERROR(__xludf.DUMMYFUNCTION("IF(M2888="""","""",QUERY({'Dashboard-Dados'!$Y$2:$AA$13},""Select Col2 Where Col1=""&amp;M2888))"),"")</f>
        <v/>
      </c>
      <c r="O2888" s="29" t="str">
        <f>IFERROR(__xludf.DUMMYFUNCTION("IF(ISBLANK(B2888),"""",IF(ISDATE(B2888),TEXT(B2888,""yyyy""),""""))"),"")</f>
        <v/>
      </c>
    </row>
    <row r="2889">
      <c r="B2889" s="62"/>
      <c r="C2889" s="56"/>
      <c r="D2889" s="56"/>
      <c r="E2889" s="56"/>
      <c r="F2889" s="63"/>
      <c r="G2889" s="64"/>
      <c r="H2889" s="65"/>
      <c r="I2889" s="63"/>
      <c r="K2889" s="53" t="str">
        <f>IFERROR(__xludf.DUMMYFUNCTION("IF(ISBLANK(B2889),"""",IF(ISDATE(B2889),""X"",""""))"),"")</f>
        <v/>
      </c>
      <c r="L2889" s="40" t="str">
        <f>IFERROR(__xludf.DUMMYFUNCTION("IF(ISBLANK(B2889),"""",IF(Or(I2889=""Em Aberto"",ISBLANK(I2889),NOT(ISDATE(B2889))),"""",H2889))"),"")</f>
        <v/>
      </c>
      <c r="M2889" s="29" t="str">
        <f>IFERROR(__xludf.DUMMYFUNCTION("IF(ISBLANK(B2889),"""",IF(ISDATE(B2889),TEXT(B2889,""m""),""""))"),"")</f>
        <v/>
      </c>
      <c r="N2889" s="29" t="str">
        <f>IFERROR(__xludf.DUMMYFUNCTION("IF(M2889="""","""",QUERY({'Dashboard-Dados'!$Y$2:$AA$13},""Select Col2 Where Col1=""&amp;M2889))"),"")</f>
        <v/>
      </c>
      <c r="O2889" s="29" t="str">
        <f>IFERROR(__xludf.DUMMYFUNCTION("IF(ISBLANK(B2889),"""",IF(ISDATE(B2889),TEXT(B2889,""yyyy""),""""))"),"")</f>
        <v/>
      </c>
    </row>
    <row r="2890">
      <c r="B2890" s="62"/>
      <c r="C2890" s="56"/>
      <c r="D2890" s="56"/>
      <c r="E2890" s="56"/>
      <c r="F2890" s="63"/>
      <c r="G2890" s="64"/>
      <c r="H2890" s="65"/>
      <c r="I2890" s="63"/>
      <c r="K2890" s="53" t="str">
        <f>IFERROR(__xludf.DUMMYFUNCTION("IF(ISBLANK(B2890),"""",IF(ISDATE(B2890),""X"",""""))"),"")</f>
        <v/>
      </c>
      <c r="L2890" s="40" t="str">
        <f>IFERROR(__xludf.DUMMYFUNCTION("IF(ISBLANK(B2890),"""",IF(Or(I2890=""Em Aberto"",ISBLANK(I2890),NOT(ISDATE(B2890))),"""",H2890))"),"")</f>
        <v/>
      </c>
      <c r="M2890" s="29" t="str">
        <f>IFERROR(__xludf.DUMMYFUNCTION("IF(ISBLANK(B2890),"""",IF(ISDATE(B2890),TEXT(B2890,""m""),""""))"),"")</f>
        <v/>
      </c>
      <c r="N2890" s="29" t="str">
        <f>IFERROR(__xludf.DUMMYFUNCTION("IF(M2890="""","""",QUERY({'Dashboard-Dados'!$Y$2:$AA$13},""Select Col2 Where Col1=""&amp;M2890))"),"")</f>
        <v/>
      </c>
      <c r="O2890" s="29" t="str">
        <f>IFERROR(__xludf.DUMMYFUNCTION("IF(ISBLANK(B2890),"""",IF(ISDATE(B2890),TEXT(B2890,""yyyy""),""""))"),"")</f>
        <v/>
      </c>
    </row>
    <row r="2891">
      <c r="B2891" s="62"/>
      <c r="C2891" s="56"/>
      <c r="D2891" s="56"/>
      <c r="E2891" s="56"/>
      <c r="F2891" s="63"/>
      <c r="G2891" s="64"/>
      <c r="H2891" s="65"/>
      <c r="I2891" s="63"/>
      <c r="K2891" s="53" t="str">
        <f>IFERROR(__xludf.DUMMYFUNCTION("IF(ISBLANK(B2891),"""",IF(ISDATE(B2891),""X"",""""))"),"")</f>
        <v/>
      </c>
      <c r="L2891" s="40" t="str">
        <f>IFERROR(__xludf.DUMMYFUNCTION("IF(ISBLANK(B2891),"""",IF(Or(I2891=""Em Aberto"",ISBLANK(I2891),NOT(ISDATE(B2891))),"""",H2891))"),"")</f>
        <v/>
      </c>
      <c r="M2891" s="29" t="str">
        <f>IFERROR(__xludf.DUMMYFUNCTION("IF(ISBLANK(B2891),"""",IF(ISDATE(B2891),TEXT(B2891,""m""),""""))"),"")</f>
        <v/>
      </c>
      <c r="N2891" s="29" t="str">
        <f>IFERROR(__xludf.DUMMYFUNCTION("IF(M2891="""","""",QUERY({'Dashboard-Dados'!$Y$2:$AA$13},""Select Col2 Where Col1=""&amp;M2891))"),"")</f>
        <v/>
      </c>
      <c r="O2891" s="29" t="str">
        <f>IFERROR(__xludf.DUMMYFUNCTION("IF(ISBLANK(B2891),"""",IF(ISDATE(B2891),TEXT(B2891,""yyyy""),""""))"),"")</f>
        <v/>
      </c>
    </row>
    <row r="2892">
      <c r="B2892" s="62"/>
      <c r="C2892" s="56"/>
      <c r="D2892" s="56"/>
      <c r="E2892" s="56"/>
      <c r="F2892" s="63"/>
      <c r="G2892" s="64"/>
      <c r="H2892" s="65"/>
      <c r="I2892" s="63"/>
      <c r="K2892" s="53" t="str">
        <f>IFERROR(__xludf.DUMMYFUNCTION("IF(ISBLANK(B2892),"""",IF(ISDATE(B2892),""X"",""""))"),"")</f>
        <v/>
      </c>
      <c r="L2892" s="40" t="str">
        <f>IFERROR(__xludf.DUMMYFUNCTION("IF(ISBLANK(B2892),"""",IF(Or(I2892=""Em Aberto"",ISBLANK(I2892),NOT(ISDATE(B2892))),"""",H2892))"),"")</f>
        <v/>
      </c>
      <c r="M2892" s="29" t="str">
        <f>IFERROR(__xludf.DUMMYFUNCTION("IF(ISBLANK(B2892),"""",IF(ISDATE(B2892),TEXT(B2892,""m""),""""))"),"")</f>
        <v/>
      </c>
      <c r="N2892" s="29" t="str">
        <f>IFERROR(__xludf.DUMMYFUNCTION("IF(M2892="""","""",QUERY({'Dashboard-Dados'!$Y$2:$AA$13},""Select Col2 Where Col1=""&amp;M2892))"),"")</f>
        <v/>
      </c>
      <c r="O2892" s="29" t="str">
        <f>IFERROR(__xludf.DUMMYFUNCTION("IF(ISBLANK(B2892),"""",IF(ISDATE(B2892),TEXT(B2892,""yyyy""),""""))"),"")</f>
        <v/>
      </c>
    </row>
    <row r="2893">
      <c r="B2893" s="62"/>
      <c r="C2893" s="56"/>
      <c r="D2893" s="56"/>
      <c r="E2893" s="56"/>
      <c r="F2893" s="63"/>
      <c r="G2893" s="64"/>
      <c r="H2893" s="65"/>
      <c r="I2893" s="63"/>
      <c r="K2893" s="53" t="str">
        <f>IFERROR(__xludf.DUMMYFUNCTION("IF(ISBLANK(B2893),"""",IF(ISDATE(B2893),""X"",""""))"),"")</f>
        <v/>
      </c>
      <c r="L2893" s="40" t="str">
        <f>IFERROR(__xludf.DUMMYFUNCTION("IF(ISBLANK(B2893),"""",IF(Or(I2893=""Em Aberto"",ISBLANK(I2893),NOT(ISDATE(B2893))),"""",H2893))"),"")</f>
        <v/>
      </c>
      <c r="M2893" s="29" t="str">
        <f>IFERROR(__xludf.DUMMYFUNCTION("IF(ISBLANK(B2893),"""",IF(ISDATE(B2893),TEXT(B2893,""m""),""""))"),"")</f>
        <v/>
      </c>
      <c r="N2893" s="29" t="str">
        <f>IFERROR(__xludf.DUMMYFUNCTION("IF(M2893="""","""",QUERY({'Dashboard-Dados'!$Y$2:$AA$13},""Select Col2 Where Col1=""&amp;M2893))"),"")</f>
        <v/>
      </c>
      <c r="O2893" s="29" t="str">
        <f>IFERROR(__xludf.DUMMYFUNCTION("IF(ISBLANK(B2893),"""",IF(ISDATE(B2893),TEXT(B2893,""yyyy""),""""))"),"")</f>
        <v/>
      </c>
    </row>
    <row r="2894">
      <c r="B2894" s="62"/>
      <c r="C2894" s="56"/>
      <c r="D2894" s="56"/>
      <c r="E2894" s="56"/>
      <c r="F2894" s="63"/>
      <c r="G2894" s="64"/>
      <c r="H2894" s="65"/>
      <c r="I2894" s="63"/>
      <c r="K2894" s="53" t="str">
        <f>IFERROR(__xludf.DUMMYFUNCTION("IF(ISBLANK(B2894),"""",IF(ISDATE(B2894),""X"",""""))"),"")</f>
        <v/>
      </c>
      <c r="L2894" s="40" t="str">
        <f>IFERROR(__xludf.DUMMYFUNCTION("IF(ISBLANK(B2894),"""",IF(Or(I2894=""Em Aberto"",ISBLANK(I2894),NOT(ISDATE(B2894))),"""",H2894))"),"")</f>
        <v/>
      </c>
      <c r="M2894" s="29" t="str">
        <f>IFERROR(__xludf.DUMMYFUNCTION("IF(ISBLANK(B2894),"""",IF(ISDATE(B2894),TEXT(B2894,""m""),""""))"),"")</f>
        <v/>
      </c>
      <c r="N2894" s="29" t="str">
        <f>IFERROR(__xludf.DUMMYFUNCTION("IF(M2894="""","""",QUERY({'Dashboard-Dados'!$Y$2:$AA$13},""Select Col2 Where Col1=""&amp;M2894))"),"")</f>
        <v/>
      </c>
      <c r="O2894" s="29" t="str">
        <f>IFERROR(__xludf.DUMMYFUNCTION("IF(ISBLANK(B2894),"""",IF(ISDATE(B2894),TEXT(B2894,""yyyy""),""""))"),"")</f>
        <v/>
      </c>
    </row>
    <row r="2895">
      <c r="B2895" s="62"/>
      <c r="C2895" s="56"/>
      <c r="D2895" s="56"/>
      <c r="E2895" s="56"/>
      <c r="F2895" s="63"/>
      <c r="G2895" s="64"/>
      <c r="H2895" s="65"/>
      <c r="I2895" s="63"/>
      <c r="K2895" s="53" t="str">
        <f>IFERROR(__xludf.DUMMYFUNCTION("IF(ISBLANK(B2895),"""",IF(ISDATE(B2895),""X"",""""))"),"")</f>
        <v/>
      </c>
      <c r="L2895" s="40" t="str">
        <f>IFERROR(__xludf.DUMMYFUNCTION("IF(ISBLANK(B2895),"""",IF(Or(I2895=""Em Aberto"",ISBLANK(I2895),NOT(ISDATE(B2895))),"""",H2895))"),"")</f>
        <v/>
      </c>
      <c r="M2895" s="29" t="str">
        <f>IFERROR(__xludf.DUMMYFUNCTION("IF(ISBLANK(B2895),"""",IF(ISDATE(B2895),TEXT(B2895,""m""),""""))"),"")</f>
        <v/>
      </c>
      <c r="N2895" s="29" t="str">
        <f>IFERROR(__xludf.DUMMYFUNCTION("IF(M2895="""","""",QUERY({'Dashboard-Dados'!$Y$2:$AA$13},""Select Col2 Where Col1=""&amp;M2895))"),"")</f>
        <v/>
      </c>
      <c r="O2895" s="29" t="str">
        <f>IFERROR(__xludf.DUMMYFUNCTION("IF(ISBLANK(B2895),"""",IF(ISDATE(B2895),TEXT(B2895,""yyyy""),""""))"),"")</f>
        <v/>
      </c>
    </row>
    <row r="2896">
      <c r="B2896" s="62"/>
      <c r="C2896" s="56"/>
      <c r="D2896" s="56"/>
      <c r="E2896" s="56"/>
      <c r="F2896" s="63"/>
      <c r="G2896" s="64"/>
      <c r="H2896" s="65"/>
      <c r="I2896" s="63"/>
      <c r="K2896" s="53" t="str">
        <f>IFERROR(__xludf.DUMMYFUNCTION("IF(ISBLANK(B2896),"""",IF(ISDATE(B2896),""X"",""""))"),"")</f>
        <v/>
      </c>
      <c r="L2896" s="40" t="str">
        <f>IFERROR(__xludf.DUMMYFUNCTION("IF(ISBLANK(B2896),"""",IF(Or(I2896=""Em Aberto"",ISBLANK(I2896),NOT(ISDATE(B2896))),"""",H2896))"),"")</f>
        <v/>
      </c>
      <c r="M2896" s="29" t="str">
        <f>IFERROR(__xludf.DUMMYFUNCTION("IF(ISBLANK(B2896),"""",IF(ISDATE(B2896),TEXT(B2896,""m""),""""))"),"")</f>
        <v/>
      </c>
      <c r="N2896" s="29" t="str">
        <f>IFERROR(__xludf.DUMMYFUNCTION("IF(M2896="""","""",QUERY({'Dashboard-Dados'!$Y$2:$AA$13},""Select Col2 Where Col1=""&amp;M2896))"),"")</f>
        <v/>
      </c>
      <c r="O2896" s="29" t="str">
        <f>IFERROR(__xludf.DUMMYFUNCTION("IF(ISBLANK(B2896),"""",IF(ISDATE(B2896),TEXT(B2896,""yyyy""),""""))"),"")</f>
        <v/>
      </c>
    </row>
    <row r="2897">
      <c r="B2897" s="62"/>
      <c r="C2897" s="56"/>
      <c r="D2897" s="56"/>
      <c r="E2897" s="56"/>
      <c r="F2897" s="63"/>
      <c r="G2897" s="64"/>
      <c r="H2897" s="65"/>
      <c r="I2897" s="63"/>
      <c r="K2897" s="53" t="str">
        <f>IFERROR(__xludf.DUMMYFUNCTION("IF(ISBLANK(B2897),"""",IF(ISDATE(B2897),""X"",""""))"),"")</f>
        <v/>
      </c>
      <c r="L2897" s="40" t="str">
        <f>IFERROR(__xludf.DUMMYFUNCTION("IF(ISBLANK(B2897),"""",IF(Or(I2897=""Em Aberto"",ISBLANK(I2897),NOT(ISDATE(B2897))),"""",H2897))"),"")</f>
        <v/>
      </c>
      <c r="M2897" s="29" t="str">
        <f>IFERROR(__xludf.DUMMYFUNCTION("IF(ISBLANK(B2897),"""",IF(ISDATE(B2897),TEXT(B2897,""m""),""""))"),"")</f>
        <v/>
      </c>
      <c r="N2897" s="29" t="str">
        <f>IFERROR(__xludf.DUMMYFUNCTION("IF(M2897="""","""",QUERY({'Dashboard-Dados'!$Y$2:$AA$13},""Select Col2 Where Col1=""&amp;M2897))"),"")</f>
        <v/>
      </c>
      <c r="O2897" s="29" t="str">
        <f>IFERROR(__xludf.DUMMYFUNCTION("IF(ISBLANK(B2897),"""",IF(ISDATE(B2897),TEXT(B2897,""yyyy""),""""))"),"")</f>
        <v/>
      </c>
    </row>
    <row r="2898">
      <c r="B2898" s="62"/>
      <c r="C2898" s="56"/>
      <c r="D2898" s="56"/>
      <c r="E2898" s="56"/>
      <c r="F2898" s="63"/>
      <c r="G2898" s="64"/>
      <c r="H2898" s="65"/>
      <c r="I2898" s="63"/>
      <c r="K2898" s="53" t="str">
        <f>IFERROR(__xludf.DUMMYFUNCTION("IF(ISBLANK(B2898),"""",IF(ISDATE(B2898),""X"",""""))"),"")</f>
        <v/>
      </c>
      <c r="L2898" s="40" t="str">
        <f>IFERROR(__xludf.DUMMYFUNCTION("IF(ISBLANK(B2898),"""",IF(Or(I2898=""Em Aberto"",ISBLANK(I2898),NOT(ISDATE(B2898))),"""",H2898))"),"")</f>
        <v/>
      </c>
      <c r="M2898" s="29" t="str">
        <f>IFERROR(__xludf.DUMMYFUNCTION("IF(ISBLANK(B2898),"""",IF(ISDATE(B2898),TEXT(B2898,""m""),""""))"),"")</f>
        <v/>
      </c>
      <c r="N2898" s="29" t="str">
        <f>IFERROR(__xludf.DUMMYFUNCTION("IF(M2898="""","""",QUERY({'Dashboard-Dados'!$Y$2:$AA$13},""Select Col2 Where Col1=""&amp;M2898))"),"")</f>
        <v/>
      </c>
      <c r="O2898" s="29" t="str">
        <f>IFERROR(__xludf.DUMMYFUNCTION("IF(ISBLANK(B2898),"""",IF(ISDATE(B2898),TEXT(B2898,""yyyy""),""""))"),"")</f>
        <v/>
      </c>
    </row>
    <row r="2899">
      <c r="B2899" s="62"/>
      <c r="C2899" s="56"/>
      <c r="D2899" s="56"/>
      <c r="E2899" s="56"/>
      <c r="F2899" s="63"/>
      <c r="G2899" s="64"/>
      <c r="H2899" s="65"/>
      <c r="I2899" s="63"/>
      <c r="K2899" s="53" t="str">
        <f>IFERROR(__xludf.DUMMYFUNCTION("IF(ISBLANK(B2899),"""",IF(ISDATE(B2899),""X"",""""))"),"")</f>
        <v/>
      </c>
      <c r="L2899" s="40" t="str">
        <f>IFERROR(__xludf.DUMMYFUNCTION("IF(ISBLANK(B2899),"""",IF(Or(I2899=""Em Aberto"",ISBLANK(I2899),NOT(ISDATE(B2899))),"""",H2899))"),"")</f>
        <v/>
      </c>
      <c r="M2899" s="29" t="str">
        <f>IFERROR(__xludf.DUMMYFUNCTION("IF(ISBLANK(B2899),"""",IF(ISDATE(B2899),TEXT(B2899,""m""),""""))"),"")</f>
        <v/>
      </c>
      <c r="N2899" s="29" t="str">
        <f>IFERROR(__xludf.DUMMYFUNCTION("IF(M2899="""","""",QUERY({'Dashboard-Dados'!$Y$2:$AA$13},""Select Col2 Where Col1=""&amp;M2899))"),"")</f>
        <v/>
      </c>
      <c r="O2899" s="29" t="str">
        <f>IFERROR(__xludf.DUMMYFUNCTION("IF(ISBLANK(B2899),"""",IF(ISDATE(B2899),TEXT(B2899,""yyyy""),""""))"),"")</f>
        <v/>
      </c>
    </row>
    <row r="2900">
      <c r="B2900" s="62"/>
      <c r="C2900" s="56"/>
      <c r="D2900" s="56"/>
      <c r="E2900" s="56"/>
      <c r="F2900" s="63"/>
      <c r="G2900" s="64"/>
      <c r="H2900" s="65"/>
      <c r="I2900" s="63"/>
      <c r="K2900" s="53" t="str">
        <f>IFERROR(__xludf.DUMMYFUNCTION("IF(ISBLANK(B2900),"""",IF(ISDATE(B2900),""X"",""""))"),"")</f>
        <v/>
      </c>
      <c r="L2900" s="40" t="str">
        <f>IFERROR(__xludf.DUMMYFUNCTION("IF(ISBLANK(B2900),"""",IF(Or(I2900=""Em Aberto"",ISBLANK(I2900),NOT(ISDATE(B2900))),"""",H2900))"),"")</f>
        <v/>
      </c>
      <c r="M2900" s="29" t="str">
        <f>IFERROR(__xludf.DUMMYFUNCTION("IF(ISBLANK(B2900),"""",IF(ISDATE(B2900),TEXT(B2900,""m""),""""))"),"")</f>
        <v/>
      </c>
      <c r="N2900" s="29" t="str">
        <f>IFERROR(__xludf.DUMMYFUNCTION("IF(M2900="""","""",QUERY({'Dashboard-Dados'!$Y$2:$AA$13},""Select Col2 Where Col1=""&amp;M2900))"),"")</f>
        <v/>
      </c>
      <c r="O2900" s="29" t="str">
        <f>IFERROR(__xludf.DUMMYFUNCTION("IF(ISBLANK(B2900),"""",IF(ISDATE(B2900),TEXT(B2900,""yyyy""),""""))"),"")</f>
        <v/>
      </c>
    </row>
    <row r="2901">
      <c r="B2901" s="62"/>
      <c r="C2901" s="56"/>
      <c r="D2901" s="56"/>
      <c r="E2901" s="56"/>
      <c r="F2901" s="63"/>
      <c r="G2901" s="64"/>
      <c r="H2901" s="65"/>
      <c r="I2901" s="63"/>
      <c r="K2901" s="53" t="str">
        <f>IFERROR(__xludf.DUMMYFUNCTION("IF(ISBLANK(B2901),"""",IF(ISDATE(B2901),""X"",""""))"),"")</f>
        <v/>
      </c>
      <c r="L2901" s="40" t="str">
        <f>IFERROR(__xludf.DUMMYFUNCTION("IF(ISBLANK(B2901),"""",IF(Or(I2901=""Em Aberto"",ISBLANK(I2901),NOT(ISDATE(B2901))),"""",H2901))"),"")</f>
        <v/>
      </c>
      <c r="M2901" s="29" t="str">
        <f>IFERROR(__xludf.DUMMYFUNCTION("IF(ISBLANK(B2901),"""",IF(ISDATE(B2901),TEXT(B2901,""m""),""""))"),"")</f>
        <v/>
      </c>
      <c r="N2901" s="29" t="str">
        <f>IFERROR(__xludf.DUMMYFUNCTION("IF(M2901="""","""",QUERY({'Dashboard-Dados'!$Y$2:$AA$13},""Select Col2 Where Col1=""&amp;M2901))"),"")</f>
        <v/>
      </c>
      <c r="O2901" s="29" t="str">
        <f>IFERROR(__xludf.DUMMYFUNCTION("IF(ISBLANK(B2901),"""",IF(ISDATE(B2901),TEXT(B2901,""yyyy""),""""))"),"")</f>
        <v/>
      </c>
    </row>
    <row r="2902">
      <c r="B2902" s="62"/>
      <c r="C2902" s="56"/>
      <c r="D2902" s="56"/>
      <c r="E2902" s="56"/>
      <c r="F2902" s="63"/>
      <c r="G2902" s="64"/>
      <c r="H2902" s="65"/>
      <c r="I2902" s="63"/>
      <c r="K2902" s="53" t="str">
        <f>IFERROR(__xludf.DUMMYFUNCTION("IF(ISBLANK(B2902),"""",IF(ISDATE(B2902),""X"",""""))"),"")</f>
        <v/>
      </c>
      <c r="L2902" s="40" t="str">
        <f>IFERROR(__xludf.DUMMYFUNCTION("IF(ISBLANK(B2902),"""",IF(Or(I2902=""Em Aberto"",ISBLANK(I2902),NOT(ISDATE(B2902))),"""",H2902))"),"")</f>
        <v/>
      </c>
      <c r="M2902" s="29" t="str">
        <f>IFERROR(__xludf.DUMMYFUNCTION("IF(ISBLANK(B2902),"""",IF(ISDATE(B2902),TEXT(B2902,""m""),""""))"),"")</f>
        <v/>
      </c>
      <c r="N2902" s="29" t="str">
        <f>IFERROR(__xludf.DUMMYFUNCTION("IF(M2902="""","""",QUERY({'Dashboard-Dados'!$Y$2:$AA$13},""Select Col2 Where Col1=""&amp;M2902))"),"")</f>
        <v/>
      </c>
      <c r="O2902" s="29" t="str">
        <f>IFERROR(__xludf.DUMMYFUNCTION("IF(ISBLANK(B2902),"""",IF(ISDATE(B2902),TEXT(B2902,""yyyy""),""""))"),"")</f>
        <v/>
      </c>
    </row>
    <row r="2903">
      <c r="B2903" s="62"/>
      <c r="C2903" s="56"/>
      <c r="D2903" s="56"/>
      <c r="E2903" s="56"/>
      <c r="F2903" s="63"/>
      <c r="G2903" s="64"/>
      <c r="H2903" s="65"/>
      <c r="I2903" s="63"/>
      <c r="K2903" s="53" t="str">
        <f>IFERROR(__xludf.DUMMYFUNCTION("IF(ISBLANK(B2903),"""",IF(ISDATE(B2903),""X"",""""))"),"")</f>
        <v/>
      </c>
      <c r="L2903" s="40" t="str">
        <f>IFERROR(__xludf.DUMMYFUNCTION("IF(ISBLANK(B2903),"""",IF(Or(I2903=""Em Aberto"",ISBLANK(I2903),NOT(ISDATE(B2903))),"""",H2903))"),"")</f>
        <v/>
      </c>
      <c r="M2903" s="29" t="str">
        <f>IFERROR(__xludf.DUMMYFUNCTION("IF(ISBLANK(B2903),"""",IF(ISDATE(B2903),TEXT(B2903,""m""),""""))"),"")</f>
        <v/>
      </c>
      <c r="N2903" s="29" t="str">
        <f>IFERROR(__xludf.DUMMYFUNCTION("IF(M2903="""","""",QUERY({'Dashboard-Dados'!$Y$2:$AA$13},""Select Col2 Where Col1=""&amp;M2903))"),"")</f>
        <v/>
      </c>
      <c r="O2903" s="29" t="str">
        <f>IFERROR(__xludf.DUMMYFUNCTION("IF(ISBLANK(B2903),"""",IF(ISDATE(B2903),TEXT(B2903,""yyyy""),""""))"),"")</f>
        <v/>
      </c>
    </row>
    <row r="2904">
      <c r="B2904" s="62"/>
      <c r="C2904" s="56"/>
      <c r="D2904" s="56"/>
      <c r="E2904" s="56"/>
      <c r="F2904" s="63"/>
      <c r="G2904" s="64"/>
      <c r="H2904" s="65"/>
      <c r="I2904" s="63"/>
      <c r="K2904" s="53" t="str">
        <f>IFERROR(__xludf.DUMMYFUNCTION("IF(ISBLANK(B2904),"""",IF(ISDATE(B2904),""X"",""""))"),"")</f>
        <v/>
      </c>
      <c r="L2904" s="40" t="str">
        <f>IFERROR(__xludf.DUMMYFUNCTION("IF(ISBLANK(B2904),"""",IF(Or(I2904=""Em Aberto"",ISBLANK(I2904),NOT(ISDATE(B2904))),"""",H2904))"),"")</f>
        <v/>
      </c>
      <c r="M2904" s="29" t="str">
        <f>IFERROR(__xludf.DUMMYFUNCTION("IF(ISBLANK(B2904),"""",IF(ISDATE(B2904),TEXT(B2904,""m""),""""))"),"")</f>
        <v/>
      </c>
      <c r="N2904" s="29" t="str">
        <f>IFERROR(__xludf.DUMMYFUNCTION("IF(M2904="""","""",QUERY({'Dashboard-Dados'!$Y$2:$AA$13},""Select Col2 Where Col1=""&amp;M2904))"),"")</f>
        <v/>
      </c>
      <c r="O2904" s="29" t="str">
        <f>IFERROR(__xludf.DUMMYFUNCTION("IF(ISBLANK(B2904),"""",IF(ISDATE(B2904),TEXT(B2904,""yyyy""),""""))"),"")</f>
        <v/>
      </c>
    </row>
    <row r="2905">
      <c r="B2905" s="62"/>
      <c r="C2905" s="56"/>
      <c r="D2905" s="56"/>
      <c r="E2905" s="56"/>
      <c r="F2905" s="63"/>
      <c r="G2905" s="64"/>
      <c r="H2905" s="65"/>
      <c r="I2905" s="63"/>
      <c r="K2905" s="53" t="str">
        <f>IFERROR(__xludf.DUMMYFUNCTION("IF(ISBLANK(B2905),"""",IF(ISDATE(B2905),""X"",""""))"),"")</f>
        <v/>
      </c>
      <c r="L2905" s="40" t="str">
        <f>IFERROR(__xludf.DUMMYFUNCTION("IF(ISBLANK(B2905),"""",IF(Or(I2905=""Em Aberto"",ISBLANK(I2905),NOT(ISDATE(B2905))),"""",H2905))"),"")</f>
        <v/>
      </c>
      <c r="M2905" s="29" t="str">
        <f>IFERROR(__xludf.DUMMYFUNCTION("IF(ISBLANK(B2905),"""",IF(ISDATE(B2905),TEXT(B2905,""m""),""""))"),"")</f>
        <v/>
      </c>
      <c r="N2905" s="29" t="str">
        <f>IFERROR(__xludf.DUMMYFUNCTION("IF(M2905="""","""",QUERY({'Dashboard-Dados'!$Y$2:$AA$13},""Select Col2 Where Col1=""&amp;M2905))"),"")</f>
        <v/>
      </c>
      <c r="O2905" s="29" t="str">
        <f>IFERROR(__xludf.DUMMYFUNCTION("IF(ISBLANK(B2905),"""",IF(ISDATE(B2905),TEXT(B2905,""yyyy""),""""))"),"")</f>
        <v/>
      </c>
    </row>
    <row r="2906">
      <c r="B2906" s="62"/>
      <c r="C2906" s="56"/>
      <c r="D2906" s="56"/>
      <c r="E2906" s="56"/>
      <c r="F2906" s="63"/>
      <c r="G2906" s="64"/>
      <c r="H2906" s="65"/>
      <c r="I2906" s="63"/>
      <c r="K2906" s="53" t="str">
        <f>IFERROR(__xludf.DUMMYFUNCTION("IF(ISBLANK(B2906),"""",IF(ISDATE(B2906),""X"",""""))"),"")</f>
        <v/>
      </c>
      <c r="L2906" s="40" t="str">
        <f>IFERROR(__xludf.DUMMYFUNCTION("IF(ISBLANK(B2906),"""",IF(Or(I2906=""Em Aberto"",ISBLANK(I2906),NOT(ISDATE(B2906))),"""",H2906))"),"")</f>
        <v/>
      </c>
      <c r="M2906" s="29" t="str">
        <f>IFERROR(__xludf.DUMMYFUNCTION("IF(ISBLANK(B2906),"""",IF(ISDATE(B2906),TEXT(B2906,""m""),""""))"),"")</f>
        <v/>
      </c>
      <c r="N2906" s="29" t="str">
        <f>IFERROR(__xludf.DUMMYFUNCTION("IF(M2906="""","""",QUERY({'Dashboard-Dados'!$Y$2:$AA$13},""Select Col2 Where Col1=""&amp;M2906))"),"")</f>
        <v/>
      </c>
      <c r="O2906" s="29" t="str">
        <f>IFERROR(__xludf.DUMMYFUNCTION("IF(ISBLANK(B2906),"""",IF(ISDATE(B2906),TEXT(B2906,""yyyy""),""""))"),"")</f>
        <v/>
      </c>
    </row>
    <row r="2907">
      <c r="B2907" s="62"/>
      <c r="C2907" s="56"/>
      <c r="D2907" s="56"/>
      <c r="E2907" s="56"/>
      <c r="F2907" s="63"/>
      <c r="G2907" s="64"/>
      <c r="H2907" s="65"/>
      <c r="I2907" s="63"/>
      <c r="K2907" s="53" t="str">
        <f>IFERROR(__xludf.DUMMYFUNCTION("IF(ISBLANK(B2907),"""",IF(ISDATE(B2907),""X"",""""))"),"")</f>
        <v/>
      </c>
      <c r="L2907" s="40" t="str">
        <f>IFERROR(__xludf.DUMMYFUNCTION("IF(ISBLANK(B2907),"""",IF(Or(I2907=""Em Aberto"",ISBLANK(I2907),NOT(ISDATE(B2907))),"""",H2907))"),"")</f>
        <v/>
      </c>
      <c r="M2907" s="29" t="str">
        <f>IFERROR(__xludf.DUMMYFUNCTION("IF(ISBLANK(B2907),"""",IF(ISDATE(B2907),TEXT(B2907,""m""),""""))"),"")</f>
        <v/>
      </c>
      <c r="N2907" s="29" t="str">
        <f>IFERROR(__xludf.DUMMYFUNCTION("IF(M2907="""","""",QUERY({'Dashboard-Dados'!$Y$2:$AA$13},""Select Col2 Where Col1=""&amp;M2907))"),"")</f>
        <v/>
      </c>
      <c r="O2907" s="29" t="str">
        <f>IFERROR(__xludf.DUMMYFUNCTION("IF(ISBLANK(B2907),"""",IF(ISDATE(B2907),TEXT(B2907,""yyyy""),""""))"),"")</f>
        <v/>
      </c>
    </row>
    <row r="2908">
      <c r="B2908" s="62"/>
      <c r="C2908" s="56"/>
      <c r="D2908" s="56"/>
      <c r="E2908" s="56"/>
      <c r="F2908" s="63"/>
      <c r="G2908" s="64"/>
      <c r="H2908" s="65"/>
      <c r="I2908" s="63"/>
      <c r="K2908" s="53" t="str">
        <f>IFERROR(__xludf.DUMMYFUNCTION("IF(ISBLANK(B2908),"""",IF(ISDATE(B2908),""X"",""""))"),"")</f>
        <v/>
      </c>
      <c r="L2908" s="40" t="str">
        <f>IFERROR(__xludf.DUMMYFUNCTION("IF(ISBLANK(B2908),"""",IF(Or(I2908=""Em Aberto"",ISBLANK(I2908),NOT(ISDATE(B2908))),"""",H2908))"),"")</f>
        <v/>
      </c>
      <c r="M2908" s="29" t="str">
        <f>IFERROR(__xludf.DUMMYFUNCTION("IF(ISBLANK(B2908),"""",IF(ISDATE(B2908),TEXT(B2908,""m""),""""))"),"")</f>
        <v/>
      </c>
      <c r="N2908" s="29" t="str">
        <f>IFERROR(__xludf.DUMMYFUNCTION("IF(M2908="""","""",QUERY({'Dashboard-Dados'!$Y$2:$AA$13},""Select Col2 Where Col1=""&amp;M2908))"),"")</f>
        <v/>
      </c>
      <c r="O2908" s="29" t="str">
        <f>IFERROR(__xludf.DUMMYFUNCTION("IF(ISBLANK(B2908),"""",IF(ISDATE(B2908),TEXT(B2908,""yyyy""),""""))"),"")</f>
        <v/>
      </c>
    </row>
    <row r="2909">
      <c r="B2909" s="62"/>
      <c r="C2909" s="56"/>
      <c r="D2909" s="56"/>
      <c r="E2909" s="56"/>
      <c r="F2909" s="63"/>
      <c r="G2909" s="64"/>
      <c r="H2909" s="65"/>
      <c r="I2909" s="63"/>
      <c r="K2909" s="53" t="str">
        <f>IFERROR(__xludf.DUMMYFUNCTION("IF(ISBLANK(B2909),"""",IF(ISDATE(B2909),""X"",""""))"),"")</f>
        <v/>
      </c>
      <c r="L2909" s="40" t="str">
        <f>IFERROR(__xludf.DUMMYFUNCTION("IF(ISBLANK(B2909),"""",IF(Or(I2909=""Em Aberto"",ISBLANK(I2909),NOT(ISDATE(B2909))),"""",H2909))"),"")</f>
        <v/>
      </c>
      <c r="M2909" s="29" t="str">
        <f>IFERROR(__xludf.DUMMYFUNCTION("IF(ISBLANK(B2909),"""",IF(ISDATE(B2909),TEXT(B2909,""m""),""""))"),"")</f>
        <v/>
      </c>
      <c r="N2909" s="29" t="str">
        <f>IFERROR(__xludf.DUMMYFUNCTION("IF(M2909="""","""",QUERY({'Dashboard-Dados'!$Y$2:$AA$13},""Select Col2 Where Col1=""&amp;M2909))"),"")</f>
        <v/>
      </c>
      <c r="O2909" s="29" t="str">
        <f>IFERROR(__xludf.DUMMYFUNCTION("IF(ISBLANK(B2909),"""",IF(ISDATE(B2909),TEXT(B2909,""yyyy""),""""))"),"")</f>
        <v/>
      </c>
    </row>
    <row r="2910">
      <c r="B2910" s="62"/>
      <c r="C2910" s="56"/>
      <c r="D2910" s="56"/>
      <c r="E2910" s="56"/>
      <c r="F2910" s="63"/>
      <c r="G2910" s="64"/>
      <c r="H2910" s="65"/>
      <c r="I2910" s="63"/>
      <c r="K2910" s="53" t="str">
        <f>IFERROR(__xludf.DUMMYFUNCTION("IF(ISBLANK(B2910),"""",IF(ISDATE(B2910),""X"",""""))"),"")</f>
        <v/>
      </c>
      <c r="L2910" s="40" t="str">
        <f>IFERROR(__xludf.DUMMYFUNCTION("IF(ISBLANK(B2910),"""",IF(Or(I2910=""Em Aberto"",ISBLANK(I2910),NOT(ISDATE(B2910))),"""",H2910))"),"")</f>
        <v/>
      </c>
      <c r="M2910" s="29" t="str">
        <f>IFERROR(__xludf.DUMMYFUNCTION("IF(ISBLANK(B2910),"""",IF(ISDATE(B2910),TEXT(B2910,""m""),""""))"),"")</f>
        <v/>
      </c>
      <c r="N2910" s="29" t="str">
        <f>IFERROR(__xludf.DUMMYFUNCTION("IF(M2910="""","""",QUERY({'Dashboard-Dados'!$Y$2:$AA$13},""Select Col2 Where Col1=""&amp;M2910))"),"")</f>
        <v/>
      </c>
      <c r="O2910" s="29" t="str">
        <f>IFERROR(__xludf.DUMMYFUNCTION("IF(ISBLANK(B2910),"""",IF(ISDATE(B2910),TEXT(B2910,""yyyy""),""""))"),"")</f>
        <v/>
      </c>
    </row>
    <row r="2911">
      <c r="B2911" s="62"/>
      <c r="C2911" s="56"/>
      <c r="D2911" s="56"/>
      <c r="E2911" s="56"/>
      <c r="F2911" s="63"/>
      <c r="G2911" s="64"/>
      <c r="H2911" s="65"/>
      <c r="I2911" s="63"/>
      <c r="K2911" s="53" t="str">
        <f>IFERROR(__xludf.DUMMYFUNCTION("IF(ISBLANK(B2911),"""",IF(ISDATE(B2911),""X"",""""))"),"")</f>
        <v/>
      </c>
      <c r="L2911" s="40" t="str">
        <f>IFERROR(__xludf.DUMMYFUNCTION("IF(ISBLANK(B2911),"""",IF(Or(I2911=""Em Aberto"",ISBLANK(I2911),NOT(ISDATE(B2911))),"""",H2911))"),"")</f>
        <v/>
      </c>
      <c r="M2911" s="29" t="str">
        <f>IFERROR(__xludf.DUMMYFUNCTION("IF(ISBLANK(B2911),"""",IF(ISDATE(B2911),TEXT(B2911,""m""),""""))"),"")</f>
        <v/>
      </c>
      <c r="N2911" s="29" t="str">
        <f>IFERROR(__xludf.DUMMYFUNCTION("IF(M2911="""","""",QUERY({'Dashboard-Dados'!$Y$2:$AA$13},""Select Col2 Where Col1=""&amp;M2911))"),"")</f>
        <v/>
      </c>
      <c r="O2911" s="29" t="str">
        <f>IFERROR(__xludf.DUMMYFUNCTION("IF(ISBLANK(B2911),"""",IF(ISDATE(B2911),TEXT(B2911,""yyyy""),""""))"),"")</f>
        <v/>
      </c>
    </row>
    <row r="2912">
      <c r="B2912" s="62"/>
      <c r="C2912" s="56"/>
      <c r="D2912" s="56"/>
      <c r="E2912" s="56"/>
      <c r="F2912" s="63"/>
      <c r="G2912" s="64"/>
      <c r="H2912" s="65"/>
      <c r="I2912" s="63"/>
      <c r="K2912" s="53" t="str">
        <f>IFERROR(__xludf.DUMMYFUNCTION("IF(ISBLANK(B2912),"""",IF(ISDATE(B2912),""X"",""""))"),"")</f>
        <v/>
      </c>
      <c r="L2912" s="40" t="str">
        <f>IFERROR(__xludf.DUMMYFUNCTION("IF(ISBLANK(B2912),"""",IF(Or(I2912=""Em Aberto"",ISBLANK(I2912),NOT(ISDATE(B2912))),"""",H2912))"),"")</f>
        <v/>
      </c>
      <c r="M2912" s="29" t="str">
        <f>IFERROR(__xludf.DUMMYFUNCTION("IF(ISBLANK(B2912),"""",IF(ISDATE(B2912),TEXT(B2912,""m""),""""))"),"")</f>
        <v/>
      </c>
      <c r="N2912" s="29" t="str">
        <f>IFERROR(__xludf.DUMMYFUNCTION("IF(M2912="""","""",QUERY({'Dashboard-Dados'!$Y$2:$AA$13},""Select Col2 Where Col1=""&amp;M2912))"),"")</f>
        <v/>
      </c>
      <c r="O2912" s="29" t="str">
        <f>IFERROR(__xludf.DUMMYFUNCTION("IF(ISBLANK(B2912),"""",IF(ISDATE(B2912),TEXT(B2912,""yyyy""),""""))"),"")</f>
        <v/>
      </c>
    </row>
    <row r="2913">
      <c r="B2913" s="62"/>
      <c r="C2913" s="56"/>
      <c r="D2913" s="56"/>
      <c r="E2913" s="56"/>
      <c r="F2913" s="63"/>
      <c r="G2913" s="64"/>
      <c r="H2913" s="65"/>
      <c r="I2913" s="63"/>
      <c r="K2913" s="53" t="str">
        <f>IFERROR(__xludf.DUMMYFUNCTION("IF(ISBLANK(B2913),"""",IF(ISDATE(B2913),""X"",""""))"),"")</f>
        <v/>
      </c>
      <c r="L2913" s="40" t="str">
        <f>IFERROR(__xludf.DUMMYFUNCTION("IF(ISBLANK(B2913),"""",IF(Or(I2913=""Em Aberto"",ISBLANK(I2913),NOT(ISDATE(B2913))),"""",H2913))"),"")</f>
        <v/>
      </c>
      <c r="M2913" s="29" t="str">
        <f>IFERROR(__xludf.DUMMYFUNCTION("IF(ISBLANK(B2913),"""",IF(ISDATE(B2913),TEXT(B2913,""m""),""""))"),"")</f>
        <v/>
      </c>
      <c r="N2913" s="29" t="str">
        <f>IFERROR(__xludf.DUMMYFUNCTION("IF(M2913="""","""",QUERY({'Dashboard-Dados'!$Y$2:$AA$13},""Select Col2 Where Col1=""&amp;M2913))"),"")</f>
        <v/>
      </c>
      <c r="O2913" s="29" t="str">
        <f>IFERROR(__xludf.DUMMYFUNCTION("IF(ISBLANK(B2913),"""",IF(ISDATE(B2913),TEXT(B2913,""yyyy""),""""))"),"")</f>
        <v/>
      </c>
    </row>
    <row r="2914">
      <c r="B2914" s="62"/>
      <c r="C2914" s="56"/>
      <c r="D2914" s="56"/>
      <c r="E2914" s="56"/>
      <c r="F2914" s="63"/>
      <c r="G2914" s="64"/>
      <c r="H2914" s="65"/>
      <c r="I2914" s="63"/>
      <c r="K2914" s="53" t="str">
        <f>IFERROR(__xludf.DUMMYFUNCTION("IF(ISBLANK(B2914),"""",IF(ISDATE(B2914),""X"",""""))"),"")</f>
        <v/>
      </c>
      <c r="L2914" s="40" t="str">
        <f>IFERROR(__xludf.DUMMYFUNCTION("IF(ISBLANK(B2914),"""",IF(Or(I2914=""Em Aberto"",ISBLANK(I2914),NOT(ISDATE(B2914))),"""",H2914))"),"")</f>
        <v/>
      </c>
      <c r="M2914" s="29" t="str">
        <f>IFERROR(__xludf.DUMMYFUNCTION("IF(ISBLANK(B2914),"""",IF(ISDATE(B2914),TEXT(B2914,""m""),""""))"),"")</f>
        <v/>
      </c>
      <c r="N2914" s="29" t="str">
        <f>IFERROR(__xludf.DUMMYFUNCTION("IF(M2914="""","""",QUERY({'Dashboard-Dados'!$Y$2:$AA$13},""Select Col2 Where Col1=""&amp;M2914))"),"")</f>
        <v/>
      </c>
      <c r="O2914" s="29" t="str">
        <f>IFERROR(__xludf.DUMMYFUNCTION("IF(ISBLANK(B2914),"""",IF(ISDATE(B2914),TEXT(B2914,""yyyy""),""""))"),"")</f>
        <v/>
      </c>
    </row>
    <row r="2915">
      <c r="B2915" s="62"/>
      <c r="C2915" s="56"/>
      <c r="D2915" s="56"/>
      <c r="E2915" s="56"/>
      <c r="F2915" s="63"/>
      <c r="G2915" s="64"/>
      <c r="H2915" s="65"/>
      <c r="I2915" s="63"/>
      <c r="K2915" s="53" t="str">
        <f>IFERROR(__xludf.DUMMYFUNCTION("IF(ISBLANK(B2915),"""",IF(ISDATE(B2915),""X"",""""))"),"")</f>
        <v/>
      </c>
      <c r="L2915" s="40" t="str">
        <f>IFERROR(__xludf.DUMMYFUNCTION("IF(ISBLANK(B2915),"""",IF(Or(I2915=""Em Aberto"",ISBLANK(I2915),NOT(ISDATE(B2915))),"""",H2915))"),"")</f>
        <v/>
      </c>
      <c r="M2915" s="29" t="str">
        <f>IFERROR(__xludf.DUMMYFUNCTION("IF(ISBLANK(B2915),"""",IF(ISDATE(B2915),TEXT(B2915,""m""),""""))"),"")</f>
        <v/>
      </c>
      <c r="N2915" s="29" t="str">
        <f>IFERROR(__xludf.DUMMYFUNCTION("IF(M2915="""","""",QUERY({'Dashboard-Dados'!$Y$2:$AA$13},""Select Col2 Where Col1=""&amp;M2915))"),"")</f>
        <v/>
      </c>
      <c r="O2915" s="29" t="str">
        <f>IFERROR(__xludf.DUMMYFUNCTION("IF(ISBLANK(B2915),"""",IF(ISDATE(B2915),TEXT(B2915,""yyyy""),""""))"),"")</f>
        <v/>
      </c>
    </row>
    <row r="2916">
      <c r="B2916" s="62"/>
      <c r="C2916" s="56"/>
      <c r="D2916" s="56"/>
      <c r="E2916" s="56"/>
      <c r="F2916" s="63"/>
      <c r="G2916" s="64"/>
      <c r="H2916" s="65"/>
      <c r="I2916" s="63"/>
      <c r="K2916" s="53" t="str">
        <f>IFERROR(__xludf.DUMMYFUNCTION("IF(ISBLANK(B2916),"""",IF(ISDATE(B2916),""X"",""""))"),"")</f>
        <v/>
      </c>
      <c r="L2916" s="40" t="str">
        <f>IFERROR(__xludf.DUMMYFUNCTION("IF(ISBLANK(B2916),"""",IF(Or(I2916=""Em Aberto"",ISBLANK(I2916),NOT(ISDATE(B2916))),"""",H2916))"),"")</f>
        <v/>
      </c>
      <c r="M2916" s="29" t="str">
        <f>IFERROR(__xludf.DUMMYFUNCTION("IF(ISBLANK(B2916),"""",IF(ISDATE(B2916),TEXT(B2916,""m""),""""))"),"")</f>
        <v/>
      </c>
      <c r="N2916" s="29" t="str">
        <f>IFERROR(__xludf.DUMMYFUNCTION("IF(M2916="""","""",QUERY({'Dashboard-Dados'!$Y$2:$AA$13},""Select Col2 Where Col1=""&amp;M2916))"),"")</f>
        <v/>
      </c>
      <c r="O2916" s="29" t="str">
        <f>IFERROR(__xludf.DUMMYFUNCTION("IF(ISBLANK(B2916),"""",IF(ISDATE(B2916),TEXT(B2916,""yyyy""),""""))"),"")</f>
        <v/>
      </c>
    </row>
    <row r="2917">
      <c r="B2917" s="62"/>
      <c r="C2917" s="56"/>
      <c r="D2917" s="56"/>
      <c r="E2917" s="56"/>
      <c r="F2917" s="63"/>
      <c r="G2917" s="64"/>
      <c r="H2917" s="65"/>
      <c r="I2917" s="63"/>
      <c r="K2917" s="53" t="str">
        <f>IFERROR(__xludf.DUMMYFUNCTION("IF(ISBLANK(B2917),"""",IF(ISDATE(B2917),""X"",""""))"),"")</f>
        <v/>
      </c>
      <c r="L2917" s="40" t="str">
        <f>IFERROR(__xludf.DUMMYFUNCTION("IF(ISBLANK(B2917),"""",IF(Or(I2917=""Em Aberto"",ISBLANK(I2917),NOT(ISDATE(B2917))),"""",H2917))"),"")</f>
        <v/>
      </c>
      <c r="M2917" s="29" t="str">
        <f>IFERROR(__xludf.DUMMYFUNCTION("IF(ISBLANK(B2917),"""",IF(ISDATE(B2917),TEXT(B2917,""m""),""""))"),"")</f>
        <v/>
      </c>
      <c r="N2917" s="29" t="str">
        <f>IFERROR(__xludf.DUMMYFUNCTION("IF(M2917="""","""",QUERY({'Dashboard-Dados'!$Y$2:$AA$13},""Select Col2 Where Col1=""&amp;M2917))"),"")</f>
        <v/>
      </c>
      <c r="O2917" s="29" t="str">
        <f>IFERROR(__xludf.DUMMYFUNCTION("IF(ISBLANK(B2917),"""",IF(ISDATE(B2917),TEXT(B2917,""yyyy""),""""))"),"")</f>
        <v/>
      </c>
    </row>
    <row r="2918">
      <c r="B2918" s="62"/>
      <c r="C2918" s="56"/>
      <c r="D2918" s="56"/>
      <c r="E2918" s="56"/>
      <c r="F2918" s="63"/>
      <c r="G2918" s="64"/>
      <c r="H2918" s="65"/>
      <c r="I2918" s="63"/>
      <c r="K2918" s="53" t="str">
        <f>IFERROR(__xludf.DUMMYFUNCTION("IF(ISBLANK(B2918),"""",IF(ISDATE(B2918),""X"",""""))"),"")</f>
        <v/>
      </c>
      <c r="L2918" s="40" t="str">
        <f>IFERROR(__xludf.DUMMYFUNCTION("IF(ISBLANK(B2918),"""",IF(Or(I2918=""Em Aberto"",ISBLANK(I2918),NOT(ISDATE(B2918))),"""",H2918))"),"")</f>
        <v/>
      </c>
      <c r="M2918" s="29" t="str">
        <f>IFERROR(__xludf.DUMMYFUNCTION("IF(ISBLANK(B2918),"""",IF(ISDATE(B2918),TEXT(B2918,""m""),""""))"),"")</f>
        <v/>
      </c>
      <c r="N2918" s="29" t="str">
        <f>IFERROR(__xludf.DUMMYFUNCTION("IF(M2918="""","""",QUERY({'Dashboard-Dados'!$Y$2:$AA$13},""Select Col2 Where Col1=""&amp;M2918))"),"")</f>
        <v/>
      </c>
      <c r="O2918" s="29" t="str">
        <f>IFERROR(__xludf.DUMMYFUNCTION("IF(ISBLANK(B2918),"""",IF(ISDATE(B2918),TEXT(B2918,""yyyy""),""""))"),"")</f>
        <v/>
      </c>
    </row>
    <row r="2919">
      <c r="B2919" s="62"/>
      <c r="C2919" s="56"/>
      <c r="D2919" s="56"/>
      <c r="E2919" s="56"/>
      <c r="F2919" s="63"/>
      <c r="G2919" s="64"/>
      <c r="H2919" s="65"/>
      <c r="I2919" s="63"/>
      <c r="K2919" s="53" t="str">
        <f>IFERROR(__xludf.DUMMYFUNCTION("IF(ISBLANK(B2919),"""",IF(ISDATE(B2919),""X"",""""))"),"")</f>
        <v/>
      </c>
      <c r="L2919" s="40" t="str">
        <f>IFERROR(__xludf.DUMMYFUNCTION("IF(ISBLANK(B2919),"""",IF(Or(I2919=""Em Aberto"",ISBLANK(I2919),NOT(ISDATE(B2919))),"""",H2919))"),"")</f>
        <v/>
      </c>
      <c r="M2919" s="29" t="str">
        <f>IFERROR(__xludf.DUMMYFUNCTION("IF(ISBLANK(B2919),"""",IF(ISDATE(B2919),TEXT(B2919,""m""),""""))"),"")</f>
        <v/>
      </c>
      <c r="N2919" s="29" t="str">
        <f>IFERROR(__xludf.DUMMYFUNCTION("IF(M2919="""","""",QUERY({'Dashboard-Dados'!$Y$2:$AA$13},""Select Col2 Where Col1=""&amp;M2919))"),"")</f>
        <v/>
      </c>
      <c r="O2919" s="29" t="str">
        <f>IFERROR(__xludf.DUMMYFUNCTION("IF(ISBLANK(B2919),"""",IF(ISDATE(B2919),TEXT(B2919,""yyyy""),""""))"),"")</f>
        <v/>
      </c>
    </row>
    <row r="2920">
      <c r="B2920" s="62"/>
      <c r="C2920" s="56"/>
      <c r="D2920" s="56"/>
      <c r="E2920" s="56"/>
      <c r="F2920" s="63"/>
      <c r="G2920" s="64"/>
      <c r="H2920" s="65"/>
      <c r="I2920" s="63"/>
      <c r="K2920" s="53" t="str">
        <f>IFERROR(__xludf.DUMMYFUNCTION("IF(ISBLANK(B2920),"""",IF(ISDATE(B2920),""X"",""""))"),"")</f>
        <v/>
      </c>
      <c r="L2920" s="40" t="str">
        <f>IFERROR(__xludf.DUMMYFUNCTION("IF(ISBLANK(B2920),"""",IF(Or(I2920=""Em Aberto"",ISBLANK(I2920),NOT(ISDATE(B2920))),"""",H2920))"),"")</f>
        <v/>
      </c>
      <c r="M2920" s="29" t="str">
        <f>IFERROR(__xludf.DUMMYFUNCTION("IF(ISBLANK(B2920),"""",IF(ISDATE(B2920),TEXT(B2920,""m""),""""))"),"")</f>
        <v/>
      </c>
      <c r="N2920" s="29" t="str">
        <f>IFERROR(__xludf.DUMMYFUNCTION("IF(M2920="""","""",QUERY({'Dashboard-Dados'!$Y$2:$AA$13},""Select Col2 Where Col1=""&amp;M2920))"),"")</f>
        <v/>
      </c>
      <c r="O2920" s="29" t="str">
        <f>IFERROR(__xludf.DUMMYFUNCTION("IF(ISBLANK(B2920),"""",IF(ISDATE(B2920),TEXT(B2920,""yyyy""),""""))"),"")</f>
        <v/>
      </c>
    </row>
    <row r="2921">
      <c r="B2921" s="62"/>
      <c r="C2921" s="56"/>
      <c r="D2921" s="56"/>
      <c r="E2921" s="56"/>
      <c r="F2921" s="63"/>
      <c r="G2921" s="64"/>
      <c r="H2921" s="65"/>
      <c r="I2921" s="63"/>
      <c r="K2921" s="53" t="str">
        <f>IFERROR(__xludf.DUMMYFUNCTION("IF(ISBLANK(B2921),"""",IF(ISDATE(B2921),""X"",""""))"),"")</f>
        <v/>
      </c>
      <c r="L2921" s="40" t="str">
        <f>IFERROR(__xludf.DUMMYFUNCTION("IF(ISBLANK(B2921),"""",IF(Or(I2921=""Em Aberto"",ISBLANK(I2921),NOT(ISDATE(B2921))),"""",H2921))"),"")</f>
        <v/>
      </c>
      <c r="M2921" s="29" t="str">
        <f>IFERROR(__xludf.DUMMYFUNCTION("IF(ISBLANK(B2921),"""",IF(ISDATE(B2921),TEXT(B2921,""m""),""""))"),"")</f>
        <v/>
      </c>
      <c r="N2921" s="29" t="str">
        <f>IFERROR(__xludf.DUMMYFUNCTION("IF(M2921="""","""",QUERY({'Dashboard-Dados'!$Y$2:$AA$13},""Select Col2 Where Col1=""&amp;M2921))"),"")</f>
        <v/>
      </c>
      <c r="O2921" s="29" t="str">
        <f>IFERROR(__xludf.DUMMYFUNCTION("IF(ISBLANK(B2921),"""",IF(ISDATE(B2921),TEXT(B2921,""yyyy""),""""))"),"")</f>
        <v/>
      </c>
    </row>
    <row r="2922">
      <c r="B2922" s="62"/>
      <c r="C2922" s="56"/>
      <c r="D2922" s="56"/>
      <c r="E2922" s="56"/>
      <c r="F2922" s="63"/>
      <c r="G2922" s="64"/>
      <c r="H2922" s="65"/>
      <c r="I2922" s="63"/>
      <c r="K2922" s="53" t="str">
        <f>IFERROR(__xludf.DUMMYFUNCTION("IF(ISBLANK(B2922),"""",IF(ISDATE(B2922),""X"",""""))"),"")</f>
        <v/>
      </c>
      <c r="L2922" s="40" t="str">
        <f>IFERROR(__xludf.DUMMYFUNCTION("IF(ISBLANK(B2922),"""",IF(Or(I2922=""Em Aberto"",ISBLANK(I2922),NOT(ISDATE(B2922))),"""",H2922))"),"")</f>
        <v/>
      </c>
      <c r="M2922" s="29" t="str">
        <f>IFERROR(__xludf.DUMMYFUNCTION("IF(ISBLANK(B2922),"""",IF(ISDATE(B2922),TEXT(B2922,""m""),""""))"),"")</f>
        <v/>
      </c>
      <c r="N2922" s="29" t="str">
        <f>IFERROR(__xludf.DUMMYFUNCTION("IF(M2922="""","""",QUERY({'Dashboard-Dados'!$Y$2:$AA$13},""Select Col2 Where Col1=""&amp;M2922))"),"")</f>
        <v/>
      </c>
      <c r="O2922" s="29" t="str">
        <f>IFERROR(__xludf.DUMMYFUNCTION("IF(ISBLANK(B2922),"""",IF(ISDATE(B2922),TEXT(B2922,""yyyy""),""""))"),"")</f>
        <v/>
      </c>
    </row>
    <row r="2923">
      <c r="B2923" s="62"/>
      <c r="C2923" s="56"/>
      <c r="D2923" s="56"/>
      <c r="E2923" s="56"/>
      <c r="F2923" s="63"/>
      <c r="G2923" s="64"/>
      <c r="H2923" s="65"/>
      <c r="I2923" s="63"/>
      <c r="K2923" s="53" t="str">
        <f>IFERROR(__xludf.DUMMYFUNCTION("IF(ISBLANK(B2923),"""",IF(ISDATE(B2923),""X"",""""))"),"")</f>
        <v/>
      </c>
      <c r="L2923" s="40" t="str">
        <f>IFERROR(__xludf.DUMMYFUNCTION("IF(ISBLANK(B2923),"""",IF(Or(I2923=""Em Aberto"",ISBLANK(I2923),NOT(ISDATE(B2923))),"""",H2923))"),"")</f>
        <v/>
      </c>
      <c r="M2923" s="29" t="str">
        <f>IFERROR(__xludf.DUMMYFUNCTION("IF(ISBLANK(B2923),"""",IF(ISDATE(B2923),TEXT(B2923,""m""),""""))"),"")</f>
        <v/>
      </c>
      <c r="N2923" s="29" t="str">
        <f>IFERROR(__xludf.DUMMYFUNCTION("IF(M2923="""","""",QUERY({'Dashboard-Dados'!$Y$2:$AA$13},""Select Col2 Where Col1=""&amp;M2923))"),"")</f>
        <v/>
      </c>
      <c r="O2923" s="29" t="str">
        <f>IFERROR(__xludf.DUMMYFUNCTION("IF(ISBLANK(B2923),"""",IF(ISDATE(B2923),TEXT(B2923,""yyyy""),""""))"),"")</f>
        <v/>
      </c>
    </row>
    <row r="2924">
      <c r="B2924" s="62"/>
      <c r="C2924" s="56"/>
      <c r="D2924" s="56"/>
      <c r="E2924" s="56"/>
      <c r="F2924" s="63"/>
      <c r="G2924" s="64"/>
      <c r="H2924" s="65"/>
      <c r="I2924" s="63"/>
      <c r="K2924" s="53" t="str">
        <f>IFERROR(__xludf.DUMMYFUNCTION("IF(ISBLANK(B2924),"""",IF(ISDATE(B2924),""X"",""""))"),"")</f>
        <v/>
      </c>
      <c r="L2924" s="40" t="str">
        <f>IFERROR(__xludf.DUMMYFUNCTION("IF(ISBLANK(B2924),"""",IF(Or(I2924=""Em Aberto"",ISBLANK(I2924),NOT(ISDATE(B2924))),"""",H2924))"),"")</f>
        <v/>
      </c>
      <c r="M2924" s="29" t="str">
        <f>IFERROR(__xludf.DUMMYFUNCTION("IF(ISBLANK(B2924),"""",IF(ISDATE(B2924),TEXT(B2924,""m""),""""))"),"")</f>
        <v/>
      </c>
      <c r="N2924" s="29" t="str">
        <f>IFERROR(__xludf.DUMMYFUNCTION("IF(M2924="""","""",QUERY({'Dashboard-Dados'!$Y$2:$AA$13},""Select Col2 Where Col1=""&amp;M2924))"),"")</f>
        <v/>
      </c>
      <c r="O2924" s="29" t="str">
        <f>IFERROR(__xludf.DUMMYFUNCTION("IF(ISBLANK(B2924),"""",IF(ISDATE(B2924),TEXT(B2924,""yyyy""),""""))"),"")</f>
        <v/>
      </c>
    </row>
    <row r="2925">
      <c r="B2925" s="62"/>
      <c r="C2925" s="56"/>
      <c r="D2925" s="56"/>
      <c r="E2925" s="56"/>
      <c r="F2925" s="63"/>
      <c r="G2925" s="64"/>
      <c r="H2925" s="65"/>
      <c r="I2925" s="63"/>
      <c r="K2925" s="53" t="str">
        <f>IFERROR(__xludf.DUMMYFUNCTION("IF(ISBLANK(B2925),"""",IF(ISDATE(B2925),""X"",""""))"),"")</f>
        <v/>
      </c>
      <c r="L2925" s="40" t="str">
        <f>IFERROR(__xludf.DUMMYFUNCTION("IF(ISBLANK(B2925),"""",IF(Or(I2925=""Em Aberto"",ISBLANK(I2925),NOT(ISDATE(B2925))),"""",H2925))"),"")</f>
        <v/>
      </c>
      <c r="M2925" s="29" t="str">
        <f>IFERROR(__xludf.DUMMYFUNCTION("IF(ISBLANK(B2925),"""",IF(ISDATE(B2925),TEXT(B2925,""m""),""""))"),"")</f>
        <v/>
      </c>
      <c r="N2925" s="29" t="str">
        <f>IFERROR(__xludf.DUMMYFUNCTION("IF(M2925="""","""",QUERY({'Dashboard-Dados'!$Y$2:$AA$13},""Select Col2 Where Col1=""&amp;M2925))"),"")</f>
        <v/>
      </c>
      <c r="O2925" s="29" t="str">
        <f>IFERROR(__xludf.DUMMYFUNCTION("IF(ISBLANK(B2925),"""",IF(ISDATE(B2925),TEXT(B2925,""yyyy""),""""))"),"")</f>
        <v/>
      </c>
    </row>
    <row r="2926">
      <c r="B2926" s="62"/>
      <c r="C2926" s="56"/>
      <c r="D2926" s="56"/>
      <c r="E2926" s="56"/>
      <c r="F2926" s="63"/>
      <c r="G2926" s="64"/>
      <c r="H2926" s="65"/>
      <c r="I2926" s="63"/>
      <c r="K2926" s="53" t="str">
        <f>IFERROR(__xludf.DUMMYFUNCTION("IF(ISBLANK(B2926),"""",IF(ISDATE(B2926),""X"",""""))"),"")</f>
        <v/>
      </c>
      <c r="L2926" s="40" t="str">
        <f>IFERROR(__xludf.DUMMYFUNCTION("IF(ISBLANK(B2926),"""",IF(Or(I2926=""Em Aberto"",ISBLANK(I2926),NOT(ISDATE(B2926))),"""",H2926))"),"")</f>
        <v/>
      </c>
      <c r="M2926" s="29" t="str">
        <f>IFERROR(__xludf.DUMMYFUNCTION("IF(ISBLANK(B2926),"""",IF(ISDATE(B2926),TEXT(B2926,""m""),""""))"),"")</f>
        <v/>
      </c>
      <c r="N2926" s="29" t="str">
        <f>IFERROR(__xludf.DUMMYFUNCTION("IF(M2926="""","""",QUERY({'Dashboard-Dados'!$Y$2:$AA$13},""Select Col2 Where Col1=""&amp;M2926))"),"")</f>
        <v/>
      </c>
      <c r="O2926" s="29" t="str">
        <f>IFERROR(__xludf.DUMMYFUNCTION("IF(ISBLANK(B2926),"""",IF(ISDATE(B2926),TEXT(B2926,""yyyy""),""""))"),"")</f>
        <v/>
      </c>
    </row>
    <row r="2927">
      <c r="B2927" s="62"/>
      <c r="C2927" s="56"/>
      <c r="D2927" s="56"/>
      <c r="E2927" s="56"/>
      <c r="F2927" s="63"/>
      <c r="G2927" s="64"/>
      <c r="H2927" s="65"/>
      <c r="I2927" s="63"/>
      <c r="K2927" s="53" t="str">
        <f>IFERROR(__xludf.DUMMYFUNCTION("IF(ISBLANK(B2927),"""",IF(ISDATE(B2927),""X"",""""))"),"")</f>
        <v/>
      </c>
      <c r="L2927" s="40" t="str">
        <f>IFERROR(__xludf.DUMMYFUNCTION("IF(ISBLANK(B2927),"""",IF(Or(I2927=""Em Aberto"",ISBLANK(I2927),NOT(ISDATE(B2927))),"""",H2927))"),"")</f>
        <v/>
      </c>
      <c r="M2927" s="29" t="str">
        <f>IFERROR(__xludf.DUMMYFUNCTION("IF(ISBLANK(B2927),"""",IF(ISDATE(B2927),TEXT(B2927,""m""),""""))"),"")</f>
        <v/>
      </c>
      <c r="N2927" s="29" t="str">
        <f>IFERROR(__xludf.DUMMYFUNCTION("IF(M2927="""","""",QUERY({'Dashboard-Dados'!$Y$2:$AA$13},""Select Col2 Where Col1=""&amp;M2927))"),"")</f>
        <v/>
      </c>
      <c r="O2927" s="29" t="str">
        <f>IFERROR(__xludf.DUMMYFUNCTION("IF(ISBLANK(B2927),"""",IF(ISDATE(B2927),TEXT(B2927,""yyyy""),""""))"),"")</f>
        <v/>
      </c>
    </row>
    <row r="2928">
      <c r="B2928" s="62"/>
      <c r="C2928" s="56"/>
      <c r="D2928" s="56"/>
      <c r="E2928" s="56"/>
      <c r="F2928" s="63"/>
      <c r="G2928" s="64"/>
      <c r="H2928" s="65"/>
      <c r="I2928" s="63"/>
      <c r="K2928" s="53" t="str">
        <f>IFERROR(__xludf.DUMMYFUNCTION("IF(ISBLANK(B2928),"""",IF(ISDATE(B2928),""X"",""""))"),"")</f>
        <v/>
      </c>
      <c r="L2928" s="40" t="str">
        <f>IFERROR(__xludf.DUMMYFUNCTION("IF(ISBLANK(B2928),"""",IF(Or(I2928=""Em Aberto"",ISBLANK(I2928),NOT(ISDATE(B2928))),"""",H2928))"),"")</f>
        <v/>
      </c>
      <c r="M2928" s="29" t="str">
        <f>IFERROR(__xludf.DUMMYFUNCTION("IF(ISBLANK(B2928),"""",IF(ISDATE(B2928),TEXT(B2928,""m""),""""))"),"")</f>
        <v/>
      </c>
      <c r="N2928" s="29" t="str">
        <f>IFERROR(__xludf.DUMMYFUNCTION("IF(M2928="""","""",QUERY({'Dashboard-Dados'!$Y$2:$AA$13},""Select Col2 Where Col1=""&amp;M2928))"),"")</f>
        <v/>
      </c>
      <c r="O2928" s="29" t="str">
        <f>IFERROR(__xludf.DUMMYFUNCTION("IF(ISBLANK(B2928),"""",IF(ISDATE(B2928),TEXT(B2928,""yyyy""),""""))"),"")</f>
        <v/>
      </c>
    </row>
    <row r="2929">
      <c r="B2929" s="62"/>
      <c r="C2929" s="56"/>
      <c r="D2929" s="56"/>
      <c r="E2929" s="56"/>
      <c r="F2929" s="63"/>
      <c r="G2929" s="64"/>
      <c r="H2929" s="65"/>
      <c r="I2929" s="63"/>
      <c r="K2929" s="53" t="str">
        <f>IFERROR(__xludf.DUMMYFUNCTION("IF(ISBLANK(B2929),"""",IF(ISDATE(B2929),""X"",""""))"),"")</f>
        <v/>
      </c>
      <c r="L2929" s="40" t="str">
        <f>IFERROR(__xludf.DUMMYFUNCTION("IF(ISBLANK(B2929),"""",IF(Or(I2929=""Em Aberto"",ISBLANK(I2929),NOT(ISDATE(B2929))),"""",H2929))"),"")</f>
        <v/>
      </c>
      <c r="M2929" s="29" t="str">
        <f>IFERROR(__xludf.DUMMYFUNCTION("IF(ISBLANK(B2929),"""",IF(ISDATE(B2929),TEXT(B2929,""m""),""""))"),"")</f>
        <v/>
      </c>
      <c r="N2929" s="29" t="str">
        <f>IFERROR(__xludf.DUMMYFUNCTION("IF(M2929="""","""",QUERY({'Dashboard-Dados'!$Y$2:$AA$13},""Select Col2 Where Col1=""&amp;M2929))"),"")</f>
        <v/>
      </c>
      <c r="O2929" s="29" t="str">
        <f>IFERROR(__xludf.DUMMYFUNCTION("IF(ISBLANK(B2929),"""",IF(ISDATE(B2929),TEXT(B2929,""yyyy""),""""))"),"")</f>
        <v/>
      </c>
    </row>
    <row r="2930">
      <c r="B2930" s="62"/>
      <c r="C2930" s="56"/>
      <c r="D2930" s="56"/>
      <c r="E2930" s="56"/>
      <c r="F2930" s="63"/>
      <c r="G2930" s="64"/>
      <c r="H2930" s="65"/>
      <c r="I2930" s="63"/>
      <c r="K2930" s="53" t="str">
        <f>IFERROR(__xludf.DUMMYFUNCTION("IF(ISBLANK(B2930),"""",IF(ISDATE(B2930),""X"",""""))"),"")</f>
        <v/>
      </c>
      <c r="L2930" s="40" t="str">
        <f>IFERROR(__xludf.DUMMYFUNCTION("IF(ISBLANK(B2930),"""",IF(Or(I2930=""Em Aberto"",ISBLANK(I2930),NOT(ISDATE(B2930))),"""",H2930))"),"")</f>
        <v/>
      </c>
      <c r="M2930" s="29" t="str">
        <f>IFERROR(__xludf.DUMMYFUNCTION("IF(ISBLANK(B2930),"""",IF(ISDATE(B2930),TEXT(B2930,""m""),""""))"),"")</f>
        <v/>
      </c>
      <c r="N2930" s="29" t="str">
        <f>IFERROR(__xludf.DUMMYFUNCTION("IF(M2930="""","""",QUERY({'Dashboard-Dados'!$Y$2:$AA$13},""Select Col2 Where Col1=""&amp;M2930))"),"")</f>
        <v/>
      </c>
      <c r="O2930" s="29" t="str">
        <f>IFERROR(__xludf.DUMMYFUNCTION("IF(ISBLANK(B2930),"""",IF(ISDATE(B2930),TEXT(B2930,""yyyy""),""""))"),"")</f>
        <v/>
      </c>
    </row>
    <row r="2931">
      <c r="B2931" s="62"/>
      <c r="C2931" s="56"/>
      <c r="D2931" s="56"/>
      <c r="E2931" s="56"/>
      <c r="F2931" s="63"/>
      <c r="G2931" s="64"/>
      <c r="H2931" s="65"/>
      <c r="I2931" s="63"/>
      <c r="K2931" s="53" t="str">
        <f>IFERROR(__xludf.DUMMYFUNCTION("IF(ISBLANK(B2931),"""",IF(ISDATE(B2931),""X"",""""))"),"")</f>
        <v/>
      </c>
      <c r="L2931" s="40" t="str">
        <f>IFERROR(__xludf.DUMMYFUNCTION("IF(ISBLANK(B2931),"""",IF(Or(I2931=""Em Aberto"",ISBLANK(I2931),NOT(ISDATE(B2931))),"""",H2931))"),"")</f>
        <v/>
      </c>
      <c r="M2931" s="29" t="str">
        <f>IFERROR(__xludf.DUMMYFUNCTION("IF(ISBLANK(B2931),"""",IF(ISDATE(B2931),TEXT(B2931,""m""),""""))"),"")</f>
        <v/>
      </c>
      <c r="N2931" s="29" t="str">
        <f>IFERROR(__xludf.DUMMYFUNCTION("IF(M2931="""","""",QUERY({'Dashboard-Dados'!$Y$2:$AA$13},""Select Col2 Where Col1=""&amp;M2931))"),"")</f>
        <v/>
      </c>
      <c r="O2931" s="29" t="str">
        <f>IFERROR(__xludf.DUMMYFUNCTION("IF(ISBLANK(B2931),"""",IF(ISDATE(B2931),TEXT(B2931,""yyyy""),""""))"),"")</f>
        <v/>
      </c>
    </row>
    <row r="2932">
      <c r="B2932" s="62"/>
      <c r="C2932" s="56"/>
      <c r="D2932" s="56"/>
      <c r="E2932" s="56"/>
      <c r="F2932" s="63"/>
      <c r="G2932" s="64"/>
      <c r="H2932" s="65"/>
      <c r="I2932" s="63"/>
      <c r="K2932" s="53" t="str">
        <f>IFERROR(__xludf.DUMMYFUNCTION("IF(ISBLANK(B2932),"""",IF(ISDATE(B2932),""X"",""""))"),"")</f>
        <v/>
      </c>
      <c r="L2932" s="40" t="str">
        <f>IFERROR(__xludf.DUMMYFUNCTION("IF(ISBLANK(B2932),"""",IF(Or(I2932=""Em Aberto"",ISBLANK(I2932),NOT(ISDATE(B2932))),"""",H2932))"),"")</f>
        <v/>
      </c>
      <c r="M2932" s="29" t="str">
        <f>IFERROR(__xludf.DUMMYFUNCTION("IF(ISBLANK(B2932),"""",IF(ISDATE(B2932),TEXT(B2932,""m""),""""))"),"")</f>
        <v/>
      </c>
      <c r="N2932" s="29" t="str">
        <f>IFERROR(__xludf.DUMMYFUNCTION("IF(M2932="""","""",QUERY({'Dashboard-Dados'!$Y$2:$AA$13},""Select Col2 Where Col1=""&amp;M2932))"),"")</f>
        <v/>
      </c>
      <c r="O2932" s="29" t="str">
        <f>IFERROR(__xludf.DUMMYFUNCTION("IF(ISBLANK(B2932),"""",IF(ISDATE(B2932),TEXT(B2932,""yyyy""),""""))"),"")</f>
        <v/>
      </c>
    </row>
    <row r="2933">
      <c r="B2933" s="62"/>
      <c r="C2933" s="56"/>
      <c r="D2933" s="56"/>
      <c r="E2933" s="56"/>
      <c r="F2933" s="63"/>
      <c r="G2933" s="64"/>
      <c r="H2933" s="65"/>
      <c r="I2933" s="63"/>
      <c r="K2933" s="53" t="str">
        <f>IFERROR(__xludf.DUMMYFUNCTION("IF(ISBLANK(B2933),"""",IF(ISDATE(B2933),""X"",""""))"),"")</f>
        <v/>
      </c>
      <c r="L2933" s="40" t="str">
        <f>IFERROR(__xludf.DUMMYFUNCTION("IF(ISBLANK(B2933),"""",IF(Or(I2933=""Em Aberto"",ISBLANK(I2933),NOT(ISDATE(B2933))),"""",H2933))"),"")</f>
        <v/>
      </c>
      <c r="M2933" s="29" t="str">
        <f>IFERROR(__xludf.DUMMYFUNCTION("IF(ISBLANK(B2933),"""",IF(ISDATE(B2933),TEXT(B2933,""m""),""""))"),"")</f>
        <v/>
      </c>
      <c r="N2933" s="29" t="str">
        <f>IFERROR(__xludf.DUMMYFUNCTION("IF(M2933="""","""",QUERY({'Dashboard-Dados'!$Y$2:$AA$13},""Select Col2 Where Col1=""&amp;M2933))"),"")</f>
        <v/>
      </c>
      <c r="O2933" s="29" t="str">
        <f>IFERROR(__xludf.DUMMYFUNCTION("IF(ISBLANK(B2933),"""",IF(ISDATE(B2933),TEXT(B2933,""yyyy""),""""))"),"")</f>
        <v/>
      </c>
    </row>
    <row r="2934">
      <c r="B2934" s="62"/>
      <c r="C2934" s="56"/>
      <c r="D2934" s="56"/>
      <c r="E2934" s="56"/>
      <c r="F2934" s="63"/>
      <c r="G2934" s="64"/>
      <c r="H2934" s="65"/>
      <c r="I2934" s="63"/>
      <c r="K2934" s="53" t="str">
        <f>IFERROR(__xludf.DUMMYFUNCTION("IF(ISBLANK(B2934),"""",IF(ISDATE(B2934),""X"",""""))"),"")</f>
        <v/>
      </c>
      <c r="L2934" s="40" t="str">
        <f>IFERROR(__xludf.DUMMYFUNCTION("IF(ISBLANK(B2934),"""",IF(Or(I2934=""Em Aberto"",ISBLANK(I2934),NOT(ISDATE(B2934))),"""",H2934))"),"")</f>
        <v/>
      </c>
      <c r="M2934" s="29" t="str">
        <f>IFERROR(__xludf.DUMMYFUNCTION("IF(ISBLANK(B2934),"""",IF(ISDATE(B2934),TEXT(B2934,""m""),""""))"),"")</f>
        <v/>
      </c>
      <c r="N2934" s="29" t="str">
        <f>IFERROR(__xludf.DUMMYFUNCTION("IF(M2934="""","""",QUERY({'Dashboard-Dados'!$Y$2:$AA$13},""Select Col2 Where Col1=""&amp;M2934))"),"")</f>
        <v/>
      </c>
      <c r="O2934" s="29" t="str">
        <f>IFERROR(__xludf.DUMMYFUNCTION("IF(ISBLANK(B2934),"""",IF(ISDATE(B2934),TEXT(B2934,""yyyy""),""""))"),"")</f>
        <v/>
      </c>
    </row>
    <row r="2935">
      <c r="B2935" s="62"/>
      <c r="C2935" s="56"/>
      <c r="D2935" s="56"/>
      <c r="E2935" s="56"/>
      <c r="F2935" s="63"/>
      <c r="G2935" s="64"/>
      <c r="H2935" s="65"/>
      <c r="I2935" s="63"/>
      <c r="K2935" s="53" t="str">
        <f>IFERROR(__xludf.DUMMYFUNCTION("IF(ISBLANK(B2935),"""",IF(ISDATE(B2935),""X"",""""))"),"")</f>
        <v/>
      </c>
      <c r="L2935" s="40" t="str">
        <f>IFERROR(__xludf.DUMMYFUNCTION("IF(ISBLANK(B2935),"""",IF(Or(I2935=""Em Aberto"",ISBLANK(I2935),NOT(ISDATE(B2935))),"""",H2935))"),"")</f>
        <v/>
      </c>
      <c r="M2935" s="29" t="str">
        <f>IFERROR(__xludf.DUMMYFUNCTION("IF(ISBLANK(B2935),"""",IF(ISDATE(B2935),TEXT(B2935,""m""),""""))"),"")</f>
        <v/>
      </c>
      <c r="N2935" s="29" t="str">
        <f>IFERROR(__xludf.DUMMYFUNCTION("IF(M2935="""","""",QUERY({'Dashboard-Dados'!$Y$2:$AA$13},""Select Col2 Where Col1=""&amp;M2935))"),"")</f>
        <v/>
      </c>
      <c r="O2935" s="29" t="str">
        <f>IFERROR(__xludf.DUMMYFUNCTION("IF(ISBLANK(B2935),"""",IF(ISDATE(B2935),TEXT(B2935,""yyyy""),""""))"),"")</f>
        <v/>
      </c>
    </row>
    <row r="2936">
      <c r="B2936" s="62"/>
      <c r="C2936" s="56"/>
      <c r="D2936" s="56"/>
      <c r="E2936" s="56"/>
      <c r="F2936" s="63"/>
      <c r="G2936" s="64"/>
      <c r="H2936" s="65"/>
      <c r="I2936" s="63"/>
      <c r="K2936" s="53" t="str">
        <f>IFERROR(__xludf.DUMMYFUNCTION("IF(ISBLANK(B2936),"""",IF(ISDATE(B2936),""X"",""""))"),"")</f>
        <v/>
      </c>
      <c r="L2936" s="40" t="str">
        <f>IFERROR(__xludf.DUMMYFUNCTION("IF(ISBLANK(B2936),"""",IF(Or(I2936=""Em Aberto"",ISBLANK(I2936),NOT(ISDATE(B2936))),"""",H2936))"),"")</f>
        <v/>
      </c>
      <c r="M2936" s="29" t="str">
        <f>IFERROR(__xludf.DUMMYFUNCTION("IF(ISBLANK(B2936),"""",IF(ISDATE(B2936),TEXT(B2936,""m""),""""))"),"")</f>
        <v/>
      </c>
      <c r="N2936" s="29" t="str">
        <f>IFERROR(__xludf.DUMMYFUNCTION("IF(M2936="""","""",QUERY({'Dashboard-Dados'!$Y$2:$AA$13},""Select Col2 Where Col1=""&amp;M2936))"),"")</f>
        <v/>
      </c>
      <c r="O2936" s="29" t="str">
        <f>IFERROR(__xludf.DUMMYFUNCTION("IF(ISBLANK(B2936),"""",IF(ISDATE(B2936),TEXT(B2936,""yyyy""),""""))"),"")</f>
        <v/>
      </c>
    </row>
    <row r="2937">
      <c r="B2937" s="62"/>
      <c r="C2937" s="56"/>
      <c r="D2937" s="56"/>
      <c r="E2937" s="56"/>
      <c r="F2937" s="63"/>
      <c r="G2937" s="64"/>
      <c r="H2937" s="65"/>
      <c r="I2937" s="63"/>
      <c r="K2937" s="53" t="str">
        <f>IFERROR(__xludf.DUMMYFUNCTION("IF(ISBLANK(B2937),"""",IF(ISDATE(B2937),""X"",""""))"),"")</f>
        <v/>
      </c>
      <c r="L2937" s="40" t="str">
        <f>IFERROR(__xludf.DUMMYFUNCTION("IF(ISBLANK(B2937),"""",IF(Or(I2937=""Em Aberto"",ISBLANK(I2937),NOT(ISDATE(B2937))),"""",H2937))"),"")</f>
        <v/>
      </c>
      <c r="M2937" s="29" t="str">
        <f>IFERROR(__xludf.DUMMYFUNCTION("IF(ISBLANK(B2937),"""",IF(ISDATE(B2937),TEXT(B2937,""m""),""""))"),"")</f>
        <v/>
      </c>
      <c r="N2937" s="29" t="str">
        <f>IFERROR(__xludf.DUMMYFUNCTION("IF(M2937="""","""",QUERY({'Dashboard-Dados'!$Y$2:$AA$13},""Select Col2 Where Col1=""&amp;M2937))"),"")</f>
        <v/>
      </c>
      <c r="O2937" s="29" t="str">
        <f>IFERROR(__xludf.DUMMYFUNCTION("IF(ISBLANK(B2937),"""",IF(ISDATE(B2937),TEXT(B2937,""yyyy""),""""))"),"")</f>
        <v/>
      </c>
    </row>
    <row r="2938">
      <c r="B2938" s="62"/>
      <c r="C2938" s="56"/>
      <c r="D2938" s="56"/>
      <c r="E2938" s="56"/>
      <c r="F2938" s="63"/>
      <c r="G2938" s="64"/>
      <c r="H2938" s="65"/>
      <c r="I2938" s="63"/>
      <c r="K2938" s="53" t="str">
        <f>IFERROR(__xludf.DUMMYFUNCTION("IF(ISBLANK(B2938),"""",IF(ISDATE(B2938),""X"",""""))"),"")</f>
        <v/>
      </c>
      <c r="L2938" s="40" t="str">
        <f>IFERROR(__xludf.DUMMYFUNCTION("IF(ISBLANK(B2938),"""",IF(Or(I2938=""Em Aberto"",ISBLANK(I2938),NOT(ISDATE(B2938))),"""",H2938))"),"")</f>
        <v/>
      </c>
      <c r="M2938" s="29" t="str">
        <f>IFERROR(__xludf.DUMMYFUNCTION("IF(ISBLANK(B2938),"""",IF(ISDATE(B2938),TEXT(B2938,""m""),""""))"),"")</f>
        <v/>
      </c>
      <c r="N2938" s="29" t="str">
        <f>IFERROR(__xludf.DUMMYFUNCTION("IF(M2938="""","""",QUERY({'Dashboard-Dados'!$Y$2:$AA$13},""Select Col2 Where Col1=""&amp;M2938))"),"")</f>
        <v/>
      </c>
      <c r="O2938" s="29" t="str">
        <f>IFERROR(__xludf.DUMMYFUNCTION("IF(ISBLANK(B2938),"""",IF(ISDATE(B2938),TEXT(B2938,""yyyy""),""""))"),"")</f>
        <v/>
      </c>
    </row>
    <row r="2939">
      <c r="B2939" s="62"/>
      <c r="C2939" s="56"/>
      <c r="D2939" s="56"/>
      <c r="E2939" s="56"/>
      <c r="F2939" s="63"/>
      <c r="G2939" s="64"/>
      <c r="H2939" s="65"/>
      <c r="I2939" s="63"/>
      <c r="K2939" s="53" t="str">
        <f>IFERROR(__xludf.DUMMYFUNCTION("IF(ISBLANK(B2939),"""",IF(ISDATE(B2939),""X"",""""))"),"")</f>
        <v/>
      </c>
      <c r="L2939" s="40" t="str">
        <f>IFERROR(__xludf.DUMMYFUNCTION("IF(ISBLANK(B2939),"""",IF(Or(I2939=""Em Aberto"",ISBLANK(I2939),NOT(ISDATE(B2939))),"""",H2939))"),"")</f>
        <v/>
      </c>
      <c r="M2939" s="29" t="str">
        <f>IFERROR(__xludf.DUMMYFUNCTION("IF(ISBLANK(B2939),"""",IF(ISDATE(B2939),TEXT(B2939,""m""),""""))"),"")</f>
        <v/>
      </c>
      <c r="N2939" s="29" t="str">
        <f>IFERROR(__xludf.DUMMYFUNCTION("IF(M2939="""","""",QUERY({'Dashboard-Dados'!$Y$2:$AA$13},""Select Col2 Where Col1=""&amp;M2939))"),"")</f>
        <v/>
      </c>
      <c r="O2939" s="29" t="str">
        <f>IFERROR(__xludf.DUMMYFUNCTION("IF(ISBLANK(B2939),"""",IF(ISDATE(B2939),TEXT(B2939,""yyyy""),""""))"),"")</f>
        <v/>
      </c>
    </row>
    <row r="2940">
      <c r="B2940" s="62"/>
      <c r="C2940" s="56"/>
      <c r="D2940" s="56"/>
      <c r="E2940" s="56"/>
      <c r="F2940" s="63"/>
      <c r="G2940" s="64"/>
      <c r="H2940" s="65"/>
      <c r="I2940" s="63"/>
      <c r="K2940" s="53" t="str">
        <f>IFERROR(__xludf.DUMMYFUNCTION("IF(ISBLANK(B2940),"""",IF(ISDATE(B2940),""X"",""""))"),"")</f>
        <v/>
      </c>
      <c r="L2940" s="40" t="str">
        <f>IFERROR(__xludf.DUMMYFUNCTION("IF(ISBLANK(B2940),"""",IF(Or(I2940=""Em Aberto"",ISBLANK(I2940),NOT(ISDATE(B2940))),"""",H2940))"),"")</f>
        <v/>
      </c>
      <c r="M2940" s="29" t="str">
        <f>IFERROR(__xludf.DUMMYFUNCTION("IF(ISBLANK(B2940),"""",IF(ISDATE(B2940),TEXT(B2940,""m""),""""))"),"")</f>
        <v/>
      </c>
      <c r="N2940" s="29" t="str">
        <f>IFERROR(__xludf.DUMMYFUNCTION("IF(M2940="""","""",QUERY({'Dashboard-Dados'!$Y$2:$AA$13},""Select Col2 Where Col1=""&amp;M2940))"),"")</f>
        <v/>
      </c>
      <c r="O2940" s="29" t="str">
        <f>IFERROR(__xludf.DUMMYFUNCTION("IF(ISBLANK(B2940),"""",IF(ISDATE(B2940),TEXT(B2940,""yyyy""),""""))"),"")</f>
        <v/>
      </c>
    </row>
    <row r="2941">
      <c r="B2941" s="62"/>
      <c r="C2941" s="56"/>
      <c r="D2941" s="56"/>
      <c r="E2941" s="56"/>
      <c r="F2941" s="63"/>
      <c r="G2941" s="64"/>
      <c r="H2941" s="65"/>
      <c r="I2941" s="63"/>
      <c r="K2941" s="53" t="str">
        <f>IFERROR(__xludf.DUMMYFUNCTION("IF(ISBLANK(B2941),"""",IF(ISDATE(B2941),""X"",""""))"),"")</f>
        <v/>
      </c>
      <c r="L2941" s="40" t="str">
        <f>IFERROR(__xludf.DUMMYFUNCTION("IF(ISBLANK(B2941),"""",IF(Or(I2941=""Em Aberto"",ISBLANK(I2941),NOT(ISDATE(B2941))),"""",H2941))"),"")</f>
        <v/>
      </c>
      <c r="M2941" s="29" t="str">
        <f>IFERROR(__xludf.DUMMYFUNCTION("IF(ISBLANK(B2941),"""",IF(ISDATE(B2941),TEXT(B2941,""m""),""""))"),"")</f>
        <v/>
      </c>
      <c r="N2941" s="29" t="str">
        <f>IFERROR(__xludf.DUMMYFUNCTION("IF(M2941="""","""",QUERY({'Dashboard-Dados'!$Y$2:$AA$13},""Select Col2 Where Col1=""&amp;M2941))"),"")</f>
        <v/>
      </c>
      <c r="O2941" s="29" t="str">
        <f>IFERROR(__xludf.DUMMYFUNCTION("IF(ISBLANK(B2941),"""",IF(ISDATE(B2941),TEXT(B2941,""yyyy""),""""))"),"")</f>
        <v/>
      </c>
    </row>
    <row r="2942">
      <c r="B2942" s="62"/>
      <c r="C2942" s="56"/>
      <c r="D2942" s="56"/>
      <c r="E2942" s="56"/>
      <c r="F2942" s="63"/>
      <c r="G2942" s="64"/>
      <c r="H2942" s="65"/>
      <c r="I2942" s="63"/>
      <c r="K2942" s="53" t="str">
        <f>IFERROR(__xludf.DUMMYFUNCTION("IF(ISBLANK(B2942),"""",IF(ISDATE(B2942),""X"",""""))"),"")</f>
        <v/>
      </c>
      <c r="L2942" s="40" t="str">
        <f>IFERROR(__xludf.DUMMYFUNCTION("IF(ISBLANK(B2942),"""",IF(Or(I2942=""Em Aberto"",ISBLANK(I2942),NOT(ISDATE(B2942))),"""",H2942))"),"")</f>
        <v/>
      </c>
      <c r="M2942" s="29" t="str">
        <f>IFERROR(__xludf.DUMMYFUNCTION("IF(ISBLANK(B2942),"""",IF(ISDATE(B2942),TEXT(B2942,""m""),""""))"),"")</f>
        <v/>
      </c>
      <c r="N2942" s="29" t="str">
        <f>IFERROR(__xludf.DUMMYFUNCTION("IF(M2942="""","""",QUERY({'Dashboard-Dados'!$Y$2:$AA$13},""Select Col2 Where Col1=""&amp;M2942))"),"")</f>
        <v/>
      </c>
      <c r="O2942" s="29" t="str">
        <f>IFERROR(__xludf.DUMMYFUNCTION("IF(ISBLANK(B2942),"""",IF(ISDATE(B2942),TEXT(B2942,""yyyy""),""""))"),"")</f>
        <v/>
      </c>
    </row>
    <row r="2943">
      <c r="B2943" s="62"/>
      <c r="C2943" s="56"/>
      <c r="D2943" s="56"/>
      <c r="E2943" s="56"/>
      <c r="F2943" s="63"/>
      <c r="G2943" s="64"/>
      <c r="H2943" s="65"/>
      <c r="I2943" s="63"/>
      <c r="K2943" s="53" t="str">
        <f>IFERROR(__xludf.DUMMYFUNCTION("IF(ISBLANK(B2943),"""",IF(ISDATE(B2943),""X"",""""))"),"")</f>
        <v/>
      </c>
      <c r="L2943" s="40" t="str">
        <f>IFERROR(__xludf.DUMMYFUNCTION("IF(ISBLANK(B2943),"""",IF(Or(I2943=""Em Aberto"",ISBLANK(I2943),NOT(ISDATE(B2943))),"""",H2943))"),"")</f>
        <v/>
      </c>
      <c r="M2943" s="29" t="str">
        <f>IFERROR(__xludf.DUMMYFUNCTION("IF(ISBLANK(B2943),"""",IF(ISDATE(B2943),TEXT(B2943,""m""),""""))"),"")</f>
        <v/>
      </c>
      <c r="N2943" s="29" t="str">
        <f>IFERROR(__xludf.DUMMYFUNCTION("IF(M2943="""","""",QUERY({'Dashboard-Dados'!$Y$2:$AA$13},""Select Col2 Where Col1=""&amp;M2943))"),"")</f>
        <v/>
      </c>
      <c r="O2943" s="29" t="str">
        <f>IFERROR(__xludf.DUMMYFUNCTION("IF(ISBLANK(B2943),"""",IF(ISDATE(B2943),TEXT(B2943,""yyyy""),""""))"),"")</f>
        <v/>
      </c>
    </row>
    <row r="2944">
      <c r="B2944" s="62"/>
      <c r="C2944" s="56"/>
      <c r="D2944" s="56"/>
      <c r="E2944" s="56"/>
      <c r="F2944" s="63"/>
      <c r="G2944" s="64"/>
      <c r="H2944" s="65"/>
      <c r="I2944" s="63"/>
      <c r="K2944" s="53" t="str">
        <f>IFERROR(__xludf.DUMMYFUNCTION("IF(ISBLANK(B2944),"""",IF(ISDATE(B2944),""X"",""""))"),"")</f>
        <v/>
      </c>
      <c r="L2944" s="40" t="str">
        <f>IFERROR(__xludf.DUMMYFUNCTION("IF(ISBLANK(B2944),"""",IF(Or(I2944=""Em Aberto"",ISBLANK(I2944),NOT(ISDATE(B2944))),"""",H2944))"),"")</f>
        <v/>
      </c>
      <c r="M2944" s="29" t="str">
        <f>IFERROR(__xludf.DUMMYFUNCTION("IF(ISBLANK(B2944),"""",IF(ISDATE(B2944),TEXT(B2944,""m""),""""))"),"")</f>
        <v/>
      </c>
      <c r="N2944" s="29" t="str">
        <f>IFERROR(__xludf.DUMMYFUNCTION("IF(M2944="""","""",QUERY({'Dashboard-Dados'!$Y$2:$AA$13},""Select Col2 Where Col1=""&amp;M2944))"),"")</f>
        <v/>
      </c>
      <c r="O2944" s="29" t="str">
        <f>IFERROR(__xludf.DUMMYFUNCTION("IF(ISBLANK(B2944),"""",IF(ISDATE(B2944),TEXT(B2944,""yyyy""),""""))"),"")</f>
        <v/>
      </c>
    </row>
    <row r="2945">
      <c r="B2945" s="62"/>
      <c r="C2945" s="56"/>
      <c r="D2945" s="56"/>
      <c r="E2945" s="56"/>
      <c r="F2945" s="63"/>
      <c r="G2945" s="64"/>
      <c r="H2945" s="65"/>
      <c r="I2945" s="63"/>
      <c r="K2945" s="53" t="str">
        <f>IFERROR(__xludf.DUMMYFUNCTION("IF(ISBLANK(B2945),"""",IF(ISDATE(B2945),""X"",""""))"),"")</f>
        <v/>
      </c>
      <c r="L2945" s="40" t="str">
        <f>IFERROR(__xludf.DUMMYFUNCTION("IF(ISBLANK(B2945),"""",IF(Or(I2945=""Em Aberto"",ISBLANK(I2945),NOT(ISDATE(B2945))),"""",H2945))"),"")</f>
        <v/>
      </c>
      <c r="M2945" s="29" t="str">
        <f>IFERROR(__xludf.DUMMYFUNCTION("IF(ISBLANK(B2945),"""",IF(ISDATE(B2945),TEXT(B2945,""m""),""""))"),"")</f>
        <v/>
      </c>
      <c r="N2945" s="29" t="str">
        <f>IFERROR(__xludf.DUMMYFUNCTION("IF(M2945="""","""",QUERY({'Dashboard-Dados'!$Y$2:$AA$13},""Select Col2 Where Col1=""&amp;M2945))"),"")</f>
        <v/>
      </c>
      <c r="O2945" s="29" t="str">
        <f>IFERROR(__xludf.DUMMYFUNCTION("IF(ISBLANK(B2945),"""",IF(ISDATE(B2945),TEXT(B2945,""yyyy""),""""))"),"")</f>
        <v/>
      </c>
    </row>
    <row r="2946">
      <c r="B2946" s="62"/>
      <c r="C2946" s="56"/>
      <c r="D2946" s="56"/>
      <c r="E2946" s="56"/>
      <c r="F2946" s="63"/>
      <c r="G2946" s="64"/>
      <c r="H2946" s="65"/>
      <c r="I2946" s="63"/>
      <c r="K2946" s="53" t="str">
        <f>IFERROR(__xludf.DUMMYFUNCTION("IF(ISBLANK(B2946),"""",IF(ISDATE(B2946),""X"",""""))"),"")</f>
        <v/>
      </c>
      <c r="L2946" s="40" t="str">
        <f>IFERROR(__xludf.DUMMYFUNCTION("IF(ISBLANK(B2946),"""",IF(Or(I2946=""Em Aberto"",ISBLANK(I2946),NOT(ISDATE(B2946))),"""",H2946))"),"")</f>
        <v/>
      </c>
      <c r="M2946" s="29" t="str">
        <f>IFERROR(__xludf.DUMMYFUNCTION("IF(ISBLANK(B2946),"""",IF(ISDATE(B2946),TEXT(B2946,""m""),""""))"),"")</f>
        <v/>
      </c>
      <c r="N2946" s="29" t="str">
        <f>IFERROR(__xludf.DUMMYFUNCTION("IF(M2946="""","""",QUERY({'Dashboard-Dados'!$Y$2:$AA$13},""Select Col2 Where Col1=""&amp;M2946))"),"")</f>
        <v/>
      </c>
      <c r="O2946" s="29" t="str">
        <f>IFERROR(__xludf.DUMMYFUNCTION("IF(ISBLANK(B2946),"""",IF(ISDATE(B2946),TEXT(B2946,""yyyy""),""""))"),"")</f>
        <v/>
      </c>
    </row>
    <row r="2947">
      <c r="B2947" s="62"/>
      <c r="C2947" s="56"/>
      <c r="D2947" s="56"/>
      <c r="E2947" s="56"/>
      <c r="F2947" s="63"/>
      <c r="G2947" s="64"/>
      <c r="H2947" s="65"/>
      <c r="I2947" s="63"/>
      <c r="K2947" s="53" t="str">
        <f>IFERROR(__xludf.DUMMYFUNCTION("IF(ISBLANK(B2947),"""",IF(ISDATE(B2947),""X"",""""))"),"")</f>
        <v/>
      </c>
      <c r="L2947" s="40" t="str">
        <f>IFERROR(__xludf.DUMMYFUNCTION("IF(ISBLANK(B2947),"""",IF(Or(I2947=""Em Aberto"",ISBLANK(I2947),NOT(ISDATE(B2947))),"""",H2947))"),"")</f>
        <v/>
      </c>
      <c r="M2947" s="29" t="str">
        <f>IFERROR(__xludf.DUMMYFUNCTION("IF(ISBLANK(B2947),"""",IF(ISDATE(B2947),TEXT(B2947,""m""),""""))"),"")</f>
        <v/>
      </c>
      <c r="N2947" s="29" t="str">
        <f>IFERROR(__xludf.DUMMYFUNCTION("IF(M2947="""","""",QUERY({'Dashboard-Dados'!$Y$2:$AA$13},""Select Col2 Where Col1=""&amp;M2947))"),"")</f>
        <v/>
      </c>
      <c r="O2947" s="29" t="str">
        <f>IFERROR(__xludf.DUMMYFUNCTION("IF(ISBLANK(B2947),"""",IF(ISDATE(B2947),TEXT(B2947,""yyyy""),""""))"),"")</f>
        <v/>
      </c>
    </row>
    <row r="2948">
      <c r="B2948" s="62"/>
      <c r="C2948" s="56"/>
      <c r="D2948" s="56"/>
      <c r="E2948" s="56"/>
      <c r="F2948" s="63"/>
      <c r="G2948" s="64"/>
      <c r="H2948" s="65"/>
      <c r="I2948" s="63"/>
      <c r="K2948" s="53" t="str">
        <f>IFERROR(__xludf.DUMMYFUNCTION("IF(ISBLANK(B2948),"""",IF(ISDATE(B2948),""X"",""""))"),"")</f>
        <v/>
      </c>
      <c r="L2948" s="40" t="str">
        <f>IFERROR(__xludf.DUMMYFUNCTION("IF(ISBLANK(B2948),"""",IF(Or(I2948=""Em Aberto"",ISBLANK(I2948),NOT(ISDATE(B2948))),"""",H2948))"),"")</f>
        <v/>
      </c>
      <c r="M2948" s="29" t="str">
        <f>IFERROR(__xludf.DUMMYFUNCTION("IF(ISBLANK(B2948),"""",IF(ISDATE(B2948),TEXT(B2948,""m""),""""))"),"")</f>
        <v/>
      </c>
      <c r="N2948" s="29" t="str">
        <f>IFERROR(__xludf.DUMMYFUNCTION("IF(M2948="""","""",QUERY({'Dashboard-Dados'!$Y$2:$AA$13},""Select Col2 Where Col1=""&amp;M2948))"),"")</f>
        <v/>
      </c>
      <c r="O2948" s="29" t="str">
        <f>IFERROR(__xludf.DUMMYFUNCTION("IF(ISBLANK(B2948),"""",IF(ISDATE(B2948),TEXT(B2948,""yyyy""),""""))"),"")</f>
        <v/>
      </c>
    </row>
    <row r="2949">
      <c r="B2949" s="62"/>
      <c r="C2949" s="56"/>
      <c r="D2949" s="56"/>
      <c r="E2949" s="56"/>
      <c r="F2949" s="63"/>
      <c r="G2949" s="64"/>
      <c r="H2949" s="65"/>
      <c r="I2949" s="63"/>
      <c r="K2949" s="53" t="str">
        <f>IFERROR(__xludf.DUMMYFUNCTION("IF(ISBLANK(B2949),"""",IF(ISDATE(B2949),""X"",""""))"),"")</f>
        <v/>
      </c>
      <c r="L2949" s="40" t="str">
        <f>IFERROR(__xludf.DUMMYFUNCTION("IF(ISBLANK(B2949),"""",IF(Or(I2949=""Em Aberto"",ISBLANK(I2949),NOT(ISDATE(B2949))),"""",H2949))"),"")</f>
        <v/>
      </c>
      <c r="M2949" s="29" t="str">
        <f>IFERROR(__xludf.DUMMYFUNCTION("IF(ISBLANK(B2949),"""",IF(ISDATE(B2949),TEXT(B2949,""m""),""""))"),"")</f>
        <v/>
      </c>
      <c r="N2949" s="29" t="str">
        <f>IFERROR(__xludf.DUMMYFUNCTION("IF(M2949="""","""",QUERY({'Dashboard-Dados'!$Y$2:$AA$13},""Select Col2 Where Col1=""&amp;M2949))"),"")</f>
        <v/>
      </c>
      <c r="O2949" s="29" t="str">
        <f>IFERROR(__xludf.DUMMYFUNCTION("IF(ISBLANK(B2949),"""",IF(ISDATE(B2949),TEXT(B2949,""yyyy""),""""))"),"")</f>
        <v/>
      </c>
    </row>
    <row r="2950">
      <c r="B2950" s="62"/>
      <c r="C2950" s="56"/>
      <c r="D2950" s="56"/>
      <c r="E2950" s="56"/>
      <c r="F2950" s="63"/>
      <c r="G2950" s="64"/>
      <c r="H2950" s="65"/>
      <c r="I2950" s="63"/>
      <c r="K2950" s="53" t="str">
        <f>IFERROR(__xludf.DUMMYFUNCTION("IF(ISBLANK(B2950),"""",IF(ISDATE(B2950),""X"",""""))"),"")</f>
        <v/>
      </c>
      <c r="L2950" s="40" t="str">
        <f>IFERROR(__xludf.DUMMYFUNCTION("IF(ISBLANK(B2950),"""",IF(Or(I2950=""Em Aberto"",ISBLANK(I2950),NOT(ISDATE(B2950))),"""",H2950))"),"")</f>
        <v/>
      </c>
      <c r="M2950" s="29" t="str">
        <f>IFERROR(__xludf.DUMMYFUNCTION("IF(ISBLANK(B2950),"""",IF(ISDATE(B2950),TEXT(B2950,""m""),""""))"),"")</f>
        <v/>
      </c>
      <c r="N2950" s="29" t="str">
        <f>IFERROR(__xludf.DUMMYFUNCTION("IF(M2950="""","""",QUERY({'Dashboard-Dados'!$Y$2:$AA$13},""Select Col2 Where Col1=""&amp;M2950))"),"")</f>
        <v/>
      </c>
      <c r="O2950" s="29" t="str">
        <f>IFERROR(__xludf.DUMMYFUNCTION("IF(ISBLANK(B2950),"""",IF(ISDATE(B2950),TEXT(B2950,""yyyy""),""""))"),"")</f>
        <v/>
      </c>
    </row>
    <row r="2951">
      <c r="B2951" s="62"/>
      <c r="C2951" s="56"/>
      <c r="D2951" s="56"/>
      <c r="E2951" s="56"/>
      <c r="F2951" s="63"/>
      <c r="G2951" s="64"/>
      <c r="H2951" s="65"/>
      <c r="I2951" s="63"/>
      <c r="K2951" s="53" t="str">
        <f>IFERROR(__xludf.DUMMYFUNCTION("IF(ISBLANK(B2951),"""",IF(ISDATE(B2951),""X"",""""))"),"")</f>
        <v/>
      </c>
      <c r="L2951" s="40" t="str">
        <f>IFERROR(__xludf.DUMMYFUNCTION("IF(ISBLANK(B2951),"""",IF(Or(I2951=""Em Aberto"",ISBLANK(I2951),NOT(ISDATE(B2951))),"""",H2951))"),"")</f>
        <v/>
      </c>
      <c r="M2951" s="29" t="str">
        <f>IFERROR(__xludf.DUMMYFUNCTION("IF(ISBLANK(B2951),"""",IF(ISDATE(B2951),TEXT(B2951,""m""),""""))"),"")</f>
        <v/>
      </c>
      <c r="N2951" s="29" t="str">
        <f>IFERROR(__xludf.DUMMYFUNCTION("IF(M2951="""","""",QUERY({'Dashboard-Dados'!$Y$2:$AA$13},""Select Col2 Where Col1=""&amp;M2951))"),"")</f>
        <v/>
      </c>
      <c r="O2951" s="29" t="str">
        <f>IFERROR(__xludf.DUMMYFUNCTION("IF(ISBLANK(B2951),"""",IF(ISDATE(B2951),TEXT(B2951,""yyyy""),""""))"),"")</f>
        <v/>
      </c>
    </row>
    <row r="2952">
      <c r="B2952" s="62"/>
      <c r="C2952" s="56"/>
      <c r="D2952" s="56"/>
      <c r="E2952" s="56"/>
      <c r="F2952" s="63"/>
      <c r="G2952" s="64"/>
      <c r="H2952" s="65"/>
      <c r="I2952" s="63"/>
      <c r="K2952" s="53" t="str">
        <f>IFERROR(__xludf.DUMMYFUNCTION("IF(ISBLANK(B2952),"""",IF(ISDATE(B2952),""X"",""""))"),"")</f>
        <v/>
      </c>
      <c r="L2952" s="40" t="str">
        <f>IFERROR(__xludf.DUMMYFUNCTION("IF(ISBLANK(B2952),"""",IF(Or(I2952=""Em Aberto"",ISBLANK(I2952),NOT(ISDATE(B2952))),"""",H2952))"),"")</f>
        <v/>
      </c>
      <c r="M2952" s="29" t="str">
        <f>IFERROR(__xludf.DUMMYFUNCTION("IF(ISBLANK(B2952),"""",IF(ISDATE(B2952),TEXT(B2952,""m""),""""))"),"")</f>
        <v/>
      </c>
      <c r="N2952" s="29" t="str">
        <f>IFERROR(__xludf.DUMMYFUNCTION("IF(M2952="""","""",QUERY({'Dashboard-Dados'!$Y$2:$AA$13},""Select Col2 Where Col1=""&amp;M2952))"),"")</f>
        <v/>
      </c>
      <c r="O2952" s="29" t="str">
        <f>IFERROR(__xludf.DUMMYFUNCTION("IF(ISBLANK(B2952),"""",IF(ISDATE(B2952),TEXT(B2952,""yyyy""),""""))"),"")</f>
        <v/>
      </c>
    </row>
    <row r="2953">
      <c r="B2953" s="62"/>
      <c r="C2953" s="56"/>
      <c r="D2953" s="56"/>
      <c r="E2953" s="56"/>
      <c r="F2953" s="63"/>
      <c r="G2953" s="64"/>
      <c r="H2953" s="65"/>
      <c r="I2953" s="63"/>
      <c r="K2953" s="53" t="str">
        <f>IFERROR(__xludf.DUMMYFUNCTION("IF(ISBLANK(B2953),"""",IF(ISDATE(B2953),""X"",""""))"),"")</f>
        <v/>
      </c>
      <c r="L2953" s="40" t="str">
        <f>IFERROR(__xludf.DUMMYFUNCTION("IF(ISBLANK(B2953),"""",IF(Or(I2953=""Em Aberto"",ISBLANK(I2953),NOT(ISDATE(B2953))),"""",H2953))"),"")</f>
        <v/>
      </c>
      <c r="M2953" s="29" t="str">
        <f>IFERROR(__xludf.DUMMYFUNCTION("IF(ISBLANK(B2953),"""",IF(ISDATE(B2953),TEXT(B2953,""m""),""""))"),"")</f>
        <v/>
      </c>
      <c r="N2953" s="29" t="str">
        <f>IFERROR(__xludf.DUMMYFUNCTION("IF(M2953="""","""",QUERY({'Dashboard-Dados'!$Y$2:$AA$13},""Select Col2 Where Col1=""&amp;M2953))"),"")</f>
        <v/>
      </c>
      <c r="O2953" s="29" t="str">
        <f>IFERROR(__xludf.DUMMYFUNCTION("IF(ISBLANK(B2953),"""",IF(ISDATE(B2953),TEXT(B2953,""yyyy""),""""))"),"")</f>
        <v/>
      </c>
    </row>
    <row r="2954">
      <c r="B2954" s="62"/>
      <c r="C2954" s="56"/>
      <c r="D2954" s="56"/>
      <c r="E2954" s="56"/>
      <c r="F2954" s="63"/>
      <c r="G2954" s="64"/>
      <c r="H2954" s="65"/>
      <c r="I2954" s="63"/>
      <c r="K2954" s="53" t="str">
        <f>IFERROR(__xludf.DUMMYFUNCTION("IF(ISBLANK(B2954),"""",IF(ISDATE(B2954),""X"",""""))"),"")</f>
        <v/>
      </c>
      <c r="L2954" s="40" t="str">
        <f>IFERROR(__xludf.DUMMYFUNCTION("IF(ISBLANK(B2954),"""",IF(Or(I2954=""Em Aberto"",ISBLANK(I2954),NOT(ISDATE(B2954))),"""",H2954))"),"")</f>
        <v/>
      </c>
      <c r="M2954" s="29" t="str">
        <f>IFERROR(__xludf.DUMMYFUNCTION("IF(ISBLANK(B2954),"""",IF(ISDATE(B2954),TEXT(B2954,""m""),""""))"),"")</f>
        <v/>
      </c>
      <c r="N2954" s="29" t="str">
        <f>IFERROR(__xludf.DUMMYFUNCTION("IF(M2954="""","""",QUERY({'Dashboard-Dados'!$Y$2:$AA$13},""Select Col2 Where Col1=""&amp;M2954))"),"")</f>
        <v/>
      </c>
      <c r="O2954" s="29" t="str">
        <f>IFERROR(__xludf.DUMMYFUNCTION("IF(ISBLANK(B2954),"""",IF(ISDATE(B2954),TEXT(B2954,""yyyy""),""""))"),"")</f>
        <v/>
      </c>
    </row>
    <row r="2955">
      <c r="B2955" s="62"/>
      <c r="C2955" s="56"/>
      <c r="D2955" s="56"/>
      <c r="E2955" s="56"/>
      <c r="F2955" s="63"/>
      <c r="G2955" s="64"/>
      <c r="H2955" s="65"/>
      <c r="I2955" s="63"/>
      <c r="K2955" s="53" t="str">
        <f>IFERROR(__xludf.DUMMYFUNCTION("IF(ISBLANK(B2955),"""",IF(ISDATE(B2955),""X"",""""))"),"")</f>
        <v/>
      </c>
      <c r="L2955" s="40" t="str">
        <f>IFERROR(__xludf.DUMMYFUNCTION("IF(ISBLANK(B2955),"""",IF(Or(I2955=""Em Aberto"",ISBLANK(I2955),NOT(ISDATE(B2955))),"""",H2955))"),"")</f>
        <v/>
      </c>
      <c r="M2955" s="29" t="str">
        <f>IFERROR(__xludf.DUMMYFUNCTION("IF(ISBLANK(B2955),"""",IF(ISDATE(B2955),TEXT(B2955,""m""),""""))"),"")</f>
        <v/>
      </c>
      <c r="N2955" s="29" t="str">
        <f>IFERROR(__xludf.DUMMYFUNCTION("IF(M2955="""","""",QUERY({'Dashboard-Dados'!$Y$2:$AA$13},""Select Col2 Where Col1=""&amp;M2955))"),"")</f>
        <v/>
      </c>
      <c r="O2955" s="29" t="str">
        <f>IFERROR(__xludf.DUMMYFUNCTION("IF(ISBLANK(B2955),"""",IF(ISDATE(B2955),TEXT(B2955,""yyyy""),""""))"),"")</f>
        <v/>
      </c>
    </row>
    <row r="2956">
      <c r="B2956" s="62"/>
      <c r="C2956" s="56"/>
      <c r="D2956" s="56"/>
      <c r="E2956" s="56"/>
      <c r="F2956" s="63"/>
      <c r="G2956" s="64"/>
      <c r="H2956" s="65"/>
      <c r="I2956" s="63"/>
      <c r="K2956" s="53" t="str">
        <f>IFERROR(__xludf.DUMMYFUNCTION("IF(ISBLANK(B2956),"""",IF(ISDATE(B2956),""X"",""""))"),"")</f>
        <v/>
      </c>
      <c r="L2956" s="40" t="str">
        <f>IFERROR(__xludf.DUMMYFUNCTION("IF(ISBLANK(B2956),"""",IF(Or(I2956=""Em Aberto"",ISBLANK(I2956),NOT(ISDATE(B2956))),"""",H2956))"),"")</f>
        <v/>
      </c>
      <c r="M2956" s="29" t="str">
        <f>IFERROR(__xludf.DUMMYFUNCTION("IF(ISBLANK(B2956),"""",IF(ISDATE(B2956),TEXT(B2956,""m""),""""))"),"")</f>
        <v/>
      </c>
      <c r="N2956" s="29" t="str">
        <f>IFERROR(__xludf.DUMMYFUNCTION("IF(M2956="""","""",QUERY({'Dashboard-Dados'!$Y$2:$AA$13},""Select Col2 Where Col1=""&amp;M2956))"),"")</f>
        <v/>
      </c>
      <c r="O2956" s="29" t="str">
        <f>IFERROR(__xludf.DUMMYFUNCTION("IF(ISBLANK(B2956),"""",IF(ISDATE(B2956),TEXT(B2956,""yyyy""),""""))"),"")</f>
        <v/>
      </c>
    </row>
    <row r="2957">
      <c r="B2957" s="62"/>
      <c r="C2957" s="56"/>
      <c r="D2957" s="56"/>
      <c r="E2957" s="56"/>
      <c r="F2957" s="63"/>
      <c r="G2957" s="64"/>
      <c r="H2957" s="65"/>
      <c r="I2957" s="63"/>
      <c r="K2957" s="53" t="str">
        <f>IFERROR(__xludf.DUMMYFUNCTION("IF(ISBLANK(B2957),"""",IF(ISDATE(B2957),""X"",""""))"),"")</f>
        <v/>
      </c>
      <c r="L2957" s="40" t="str">
        <f>IFERROR(__xludf.DUMMYFUNCTION("IF(ISBLANK(B2957),"""",IF(Or(I2957=""Em Aberto"",ISBLANK(I2957),NOT(ISDATE(B2957))),"""",H2957))"),"")</f>
        <v/>
      </c>
      <c r="M2957" s="29" t="str">
        <f>IFERROR(__xludf.DUMMYFUNCTION("IF(ISBLANK(B2957),"""",IF(ISDATE(B2957),TEXT(B2957,""m""),""""))"),"")</f>
        <v/>
      </c>
      <c r="N2957" s="29" t="str">
        <f>IFERROR(__xludf.DUMMYFUNCTION("IF(M2957="""","""",QUERY({'Dashboard-Dados'!$Y$2:$AA$13},""Select Col2 Where Col1=""&amp;M2957))"),"")</f>
        <v/>
      </c>
      <c r="O2957" s="29" t="str">
        <f>IFERROR(__xludf.DUMMYFUNCTION("IF(ISBLANK(B2957),"""",IF(ISDATE(B2957),TEXT(B2957,""yyyy""),""""))"),"")</f>
        <v/>
      </c>
    </row>
    <row r="2958">
      <c r="B2958" s="62"/>
      <c r="C2958" s="56"/>
      <c r="D2958" s="56"/>
      <c r="E2958" s="56"/>
      <c r="F2958" s="63"/>
      <c r="G2958" s="64"/>
      <c r="H2958" s="65"/>
      <c r="I2958" s="63"/>
      <c r="K2958" s="53" t="str">
        <f>IFERROR(__xludf.DUMMYFUNCTION("IF(ISBLANK(B2958),"""",IF(ISDATE(B2958),""X"",""""))"),"")</f>
        <v/>
      </c>
      <c r="L2958" s="40" t="str">
        <f>IFERROR(__xludf.DUMMYFUNCTION("IF(ISBLANK(B2958),"""",IF(Or(I2958=""Em Aberto"",ISBLANK(I2958),NOT(ISDATE(B2958))),"""",H2958))"),"")</f>
        <v/>
      </c>
      <c r="M2958" s="29" t="str">
        <f>IFERROR(__xludf.DUMMYFUNCTION("IF(ISBLANK(B2958),"""",IF(ISDATE(B2958),TEXT(B2958,""m""),""""))"),"")</f>
        <v/>
      </c>
      <c r="N2958" s="29" t="str">
        <f>IFERROR(__xludf.DUMMYFUNCTION("IF(M2958="""","""",QUERY({'Dashboard-Dados'!$Y$2:$AA$13},""Select Col2 Where Col1=""&amp;M2958))"),"")</f>
        <v/>
      </c>
      <c r="O2958" s="29" t="str">
        <f>IFERROR(__xludf.DUMMYFUNCTION("IF(ISBLANK(B2958),"""",IF(ISDATE(B2958),TEXT(B2958,""yyyy""),""""))"),"")</f>
        <v/>
      </c>
    </row>
    <row r="2959">
      <c r="B2959" s="62"/>
      <c r="C2959" s="56"/>
      <c r="D2959" s="56"/>
      <c r="E2959" s="56"/>
      <c r="F2959" s="63"/>
      <c r="G2959" s="64"/>
      <c r="H2959" s="65"/>
      <c r="I2959" s="63"/>
      <c r="K2959" s="53" t="str">
        <f>IFERROR(__xludf.DUMMYFUNCTION("IF(ISBLANK(B2959),"""",IF(ISDATE(B2959),""X"",""""))"),"")</f>
        <v/>
      </c>
      <c r="L2959" s="40" t="str">
        <f>IFERROR(__xludf.DUMMYFUNCTION("IF(ISBLANK(B2959),"""",IF(Or(I2959=""Em Aberto"",ISBLANK(I2959),NOT(ISDATE(B2959))),"""",H2959))"),"")</f>
        <v/>
      </c>
      <c r="M2959" s="29" t="str">
        <f>IFERROR(__xludf.DUMMYFUNCTION("IF(ISBLANK(B2959),"""",IF(ISDATE(B2959),TEXT(B2959,""m""),""""))"),"")</f>
        <v/>
      </c>
      <c r="N2959" s="29" t="str">
        <f>IFERROR(__xludf.DUMMYFUNCTION("IF(M2959="""","""",QUERY({'Dashboard-Dados'!$Y$2:$AA$13},""Select Col2 Where Col1=""&amp;M2959))"),"")</f>
        <v/>
      </c>
      <c r="O2959" s="29" t="str">
        <f>IFERROR(__xludf.DUMMYFUNCTION("IF(ISBLANK(B2959),"""",IF(ISDATE(B2959),TEXT(B2959,""yyyy""),""""))"),"")</f>
        <v/>
      </c>
    </row>
    <row r="2960">
      <c r="B2960" s="62"/>
      <c r="C2960" s="56"/>
      <c r="D2960" s="56"/>
      <c r="E2960" s="56"/>
      <c r="F2960" s="63"/>
      <c r="G2960" s="64"/>
      <c r="H2960" s="65"/>
      <c r="I2960" s="63"/>
      <c r="K2960" s="53" t="str">
        <f>IFERROR(__xludf.DUMMYFUNCTION("IF(ISBLANK(B2960),"""",IF(ISDATE(B2960),""X"",""""))"),"")</f>
        <v/>
      </c>
      <c r="L2960" s="40" t="str">
        <f>IFERROR(__xludf.DUMMYFUNCTION("IF(ISBLANK(B2960),"""",IF(Or(I2960=""Em Aberto"",ISBLANK(I2960),NOT(ISDATE(B2960))),"""",H2960))"),"")</f>
        <v/>
      </c>
      <c r="M2960" s="29" t="str">
        <f>IFERROR(__xludf.DUMMYFUNCTION("IF(ISBLANK(B2960),"""",IF(ISDATE(B2960),TEXT(B2960,""m""),""""))"),"")</f>
        <v/>
      </c>
      <c r="N2960" s="29" t="str">
        <f>IFERROR(__xludf.DUMMYFUNCTION("IF(M2960="""","""",QUERY({'Dashboard-Dados'!$Y$2:$AA$13},""Select Col2 Where Col1=""&amp;M2960))"),"")</f>
        <v/>
      </c>
      <c r="O2960" s="29" t="str">
        <f>IFERROR(__xludf.DUMMYFUNCTION("IF(ISBLANK(B2960),"""",IF(ISDATE(B2960),TEXT(B2960,""yyyy""),""""))"),"")</f>
        <v/>
      </c>
    </row>
    <row r="2961">
      <c r="B2961" s="62"/>
      <c r="C2961" s="56"/>
      <c r="D2961" s="56"/>
      <c r="E2961" s="56"/>
      <c r="F2961" s="63"/>
      <c r="G2961" s="64"/>
      <c r="H2961" s="65"/>
      <c r="I2961" s="63"/>
      <c r="K2961" s="53" t="str">
        <f>IFERROR(__xludf.DUMMYFUNCTION("IF(ISBLANK(B2961),"""",IF(ISDATE(B2961),""X"",""""))"),"")</f>
        <v/>
      </c>
      <c r="L2961" s="40" t="str">
        <f>IFERROR(__xludf.DUMMYFUNCTION("IF(ISBLANK(B2961),"""",IF(Or(I2961=""Em Aberto"",ISBLANK(I2961),NOT(ISDATE(B2961))),"""",H2961))"),"")</f>
        <v/>
      </c>
      <c r="M2961" s="29" t="str">
        <f>IFERROR(__xludf.DUMMYFUNCTION("IF(ISBLANK(B2961),"""",IF(ISDATE(B2961),TEXT(B2961,""m""),""""))"),"")</f>
        <v/>
      </c>
      <c r="N2961" s="29" t="str">
        <f>IFERROR(__xludf.DUMMYFUNCTION("IF(M2961="""","""",QUERY({'Dashboard-Dados'!$Y$2:$AA$13},""Select Col2 Where Col1=""&amp;M2961))"),"")</f>
        <v/>
      </c>
      <c r="O2961" s="29" t="str">
        <f>IFERROR(__xludf.DUMMYFUNCTION("IF(ISBLANK(B2961),"""",IF(ISDATE(B2961),TEXT(B2961,""yyyy""),""""))"),"")</f>
        <v/>
      </c>
    </row>
    <row r="2962">
      <c r="B2962" s="62"/>
      <c r="C2962" s="56"/>
      <c r="D2962" s="56"/>
      <c r="E2962" s="56"/>
      <c r="F2962" s="63"/>
      <c r="G2962" s="64"/>
      <c r="H2962" s="65"/>
      <c r="I2962" s="63"/>
      <c r="K2962" s="53" t="str">
        <f>IFERROR(__xludf.DUMMYFUNCTION("IF(ISBLANK(B2962),"""",IF(ISDATE(B2962),""X"",""""))"),"")</f>
        <v/>
      </c>
      <c r="L2962" s="40" t="str">
        <f>IFERROR(__xludf.DUMMYFUNCTION("IF(ISBLANK(B2962),"""",IF(Or(I2962=""Em Aberto"",ISBLANK(I2962),NOT(ISDATE(B2962))),"""",H2962))"),"")</f>
        <v/>
      </c>
      <c r="M2962" s="29" t="str">
        <f>IFERROR(__xludf.DUMMYFUNCTION("IF(ISBLANK(B2962),"""",IF(ISDATE(B2962),TEXT(B2962,""m""),""""))"),"")</f>
        <v/>
      </c>
      <c r="N2962" s="29" t="str">
        <f>IFERROR(__xludf.DUMMYFUNCTION("IF(M2962="""","""",QUERY({'Dashboard-Dados'!$Y$2:$AA$13},""Select Col2 Where Col1=""&amp;M2962))"),"")</f>
        <v/>
      </c>
      <c r="O2962" s="29" t="str">
        <f>IFERROR(__xludf.DUMMYFUNCTION("IF(ISBLANK(B2962),"""",IF(ISDATE(B2962),TEXT(B2962,""yyyy""),""""))"),"")</f>
        <v/>
      </c>
    </row>
    <row r="2963">
      <c r="B2963" s="62"/>
      <c r="C2963" s="56"/>
      <c r="D2963" s="56"/>
      <c r="E2963" s="56"/>
      <c r="F2963" s="63"/>
      <c r="G2963" s="64"/>
      <c r="H2963" s="65"/>
      <c r="I2963" s="63"/>
      <c r="K2963" s="53" t="str">
        <f>IFERROR(__xludf.DUMMYFUNCTION("IF(ISBLANK(B2963),"""",IF(ISDATE(B2963),""X"",""""))"),"")</f>
        <v/>
      </c>
      <c r="L2963" s="40" t="str">
        <f>IFERROR(__xludf.DUMMYFUNCTION("IF(ISBLANK(B2963),"""",IF(Or(I2963=""Em Aberto"",ISBLANK(I2963),NOT(ISDATE(B2963))),"""",H2963))"),"")</f>
        <v/>
      </c>
      <c r="M2963" s="29" t="str">
        <f>IFERROR(__xludf.DUMMYFUNCTION("IF(ISBLANK(B2963),"""",IF(ISDATE(B2963),TEXT(B2963,""m""),""""))"),"")</f>
        <v/>
      </c>
      <c r="N2963" s="29" t="str">
        <f>IFERROR(__xludf.DUMMYFUNCTION("IF(M2963="""","""",QUERY({'Dashboard-Dados'!$Y$2:$AA$13},""Select Col2 Where Col1=""&amp;M2963))"),"")</f>
        <v/>
      </c>
      <c r="O2963" s="29" t="str">
        <f>IFERROR(__xludf.DUMMYFUNCTION("IF(ISBLANK(B2963),"""",IF(ISDATE(B2963),TEXT(B2963,""yyyy""),""""))"),"")</f>
        <v/>
      </c>
    </row>
    <row r="2964">
      <c r="B2964" s="62"/>
      <c r="C2964" s="56"/>
      <c r="D2964" s="56"/>
      <c r="E2964" s="56"/>
      <c r="F2964" s="63"/>
      <c r="G2964" s="64"/>
      <c r="H2964" s="65"/>
      <c r="I2964" s="63"/>
      <c r="K2964" s="53" t="str">
        <f>IFERROR(__xludf.DUMMYFUNCTION("IF(ISBLANK(B2964),"""",IF(ISDATE(B2964),""X"",""""))"),"")</f>
        <v/>
      </c>
      <c r="L2964" s="40" t="str">
        <f>IFERROR(__xludf.DUMMYFUNCTION("IF(ISBLANK(B2964),"""",IF(Or(I2964=""Em Aberto"",ISBLANK(I2964),NOT(ISDATE(B2964))),"""",H2964))"),"")</f>
        <v/>
      </c>
      <c r="M2964" s="29" t="str">
        <f>IFERROR(__xludf.DUMMYFUNCTION("IF(ISBLANK(B2964),"""",IF(ISDATE(B2964),TEXT(B2964,""m""),""""))"),"")</f>
        <v/>
      </c>
      <c r="N2964" s="29" t="str">
        <f>IFERROR(__xludf.DUMMYFUNCTION("IF(M2964="""","""",QUERY({'Dashboard-Dados'!$Y$2:$AA$13},""Select Col2 Where Col1=""&amp;M2964))"),"")</f>
        <v/>
      </c>
      <c r="O2964" s="29" t="str">
        <f>IFERROR(__xludf.DUMMYFUNCTION("IF(ISBLANK(B2964),"""",IF(ISDATE(B2964),TEXT(B2964,""yyyy""),""""))"),"")</f>
        <v/>
      </c>
    </row>
    <row r="2965">
      <c r="B2965" s="62"/>
      <c r="C2965" s="56"/>
      <c r="D2965" s="56"/>
      <c r="E2965" s="56"/>
      <c r="F2965" s="63"/>
      <c r="G2965" s="64"/>
      <c r="H2965" s="65"/>
      <c r="I2965" s="63"/>
      <c r="K2965" s="53" t="str">
        <f>IFERROR(__xludf.DUMMYFUNCTION("IF(ISBLANK(B2965),"""",IF(ISDATE(B2965),""X"",""""))"),"")</f>
        <v/>
      </c>
      <c r="L2965" s="40" t="str">
        <f>IFERROR(__xludf.DUMMYFUNCTION("IF(ISBLANK(B2965),"""",IF(Or(I2965=""Em Aberto"",ISBLANK(I2965),NOT(ISDATE(B2965))),"""",H2965))"),"")</f>
        <v/>
      </c>
      <c r="M2965" s="29" t="str">
        <f>IFERROR(__xludf.DUMMYFUNCTION("IF(ISBLANK(B2965),"""",IF(ISDATE(B2965),TEXT(B2965,""m""),""""))"),"")</f>
        <v/>
      </c>
      <c r="N2965" s="29" t="str">
        <f>IFERROR(__xludf.DUMMYFUNCTION("IF(M2965="""","""",QUERY({'Dashboard-Dados'!$Y$2:$AA$13},""Select Col2 Where Col1=""&amp;M2965))"),"")</f>
        <v/>
      </c>
      <c r="O2965" s="29" t="str">
        <f>IFERROR(__xludf.DUMMYFUNCTION("IF(ISBLANK(B2965),"""",IF(ISDATE(B2965),TEXT(B2965,""yyyy""),""""))"),"")</f>
        <v/>
      </c>
    </row>
    <row r="2966">
      <c r="B2966" s="62"/>
      <c r="C2966" s="56"/>
      <c r="D2966" s="56"/>
      <c r="E2966" s="56"/>
      <c r="F2966" s="63"/>
      <c r="G2966" s="64"/>
      <c r="H2966" s="65"/>
      <c r="I2966" s="63"/>
      <c r="K2966" s="53" t="str">
        <f>IFERROR(__xludf.DUMMYFUNCTION("IF(ISBLANK(B2966),"""",IF(ISDATE(B2966),""X"",""""))"),"")</f>
        <v/>
      </c>
      <c r="L2966" s="40" t="str">
        <f>IFERROR(__xludf.DUMMYFUNCTION("IF(ISBLANK(B2966),"""",IF(Or(I2966=""Em Aberto"",ISBLANK(I2966),NOT(ISDATE(B2966))),"""",H2966))"),"")</f>
        <v/>
      </c>
      <c r="M2966" s="29" t="str">
        <f>IFERROR(__xludf.DUMMYFUNCTION("IF(ISBLANK(B2966),"""",IF(ISDATE(B2966),TEXT(B2966,""m""),""""))"),"")</f>
        <v/>
      </c>
      <c r="N2966" s="29" t="str">
        <f>IFERROR(__xludf.DUMMYFUNCTION("IF(M2966="""","""",QUERY({'Dashboard-Dados'!$Y$2:$AA$13},""Select Col2 Where Col1=""&amp;M2966))"),"")</f>
        <v/>
      </c>
      <c r="O2966" s="29" t="str">
        <f>IFERROR(__xludf.DUMMYFUNCTION("IF(ISBLANK(B2966),"""",IF(ISDATE(B2966),TEXT(B2966,""yyyy""),""""))"),"")</f>
        <v/>
      </c>
    </row>
    <row r="2967">
      <c r="B2967" s="62"/>
      <c r="C2967" s="56"/>
      <c r="D2967" s="56"/>
      <c r="E2967" s="56"/>
      <c r="F2967" s="63"/>
      <c r="G2967" s="64"/>
      <c r="H2967" s="65"/>
      <c r="I2967" s="63"/>
      <c r="K2967" s="53" t="str">
        <f>IFERROR(__xludf.DUMMYFUNCTION("IF(ISBLANK(B2967),"""",IF(ISDATE(B2967),""X"",""""))"),"")</f>
        <v/>
      </c>
      <c r="L2967" s="40" t="str">
        <f>IFERROR(__xludf.DUMMYFUNCTION("IF(ISBLANK(B2967),"""",IF(Or(I2967=""Em Aberto"",ISBLANK(I2967),NOT(ISDATE(B2967))),"""",H2967))"),"")</f>
        <v/>
      </c>
      <c r="M2967" s="29" t="str">
        <f>IFERROR(__xludf.DUMMYFUNCTION("IF(ISBLANK(B2967),"""",IF(ISDATE(B2967),TEXT(B2967,""m""),""""))"),"")</f>
        <v/>
      </c>
      <c r="N2967" s="29" t="str">
        <f>IFERROR(__xludf.DUMMYFUNCTION("IF(M2967="""","""",QUERY({'Dashboard-Dados'!$Y$2:$AA$13},""Select Col2 Where Col1=""&amp;M2967))"),"")</f>
        <v/>
      </c>
      <c r="O2967" s="29" t="str">
        <f>IFERROR(__xludf.DUMMYFUNCTION("IF(ISBLANK(B2967),"""",IF(ISDATE(B2967),TEXT(B2967,""yyyy""),""""))"),"")</f>
        <v/>
      </c>
    </row>
    <row r="2968">
      <c r="B2968" s="62"/>
      <c r="C2968" s="56"/>
      <c r="D2968" s="56"/>
      <c r="E2968" s="56"/>
      <c r="F2968" s="63"/>
      <c r="G2968" s="64"/>
      <c r="H2968" s="65"/>
      <c r="I2968" s="63"/>
      <c r="K2968" s="53" t="str">
        <f>IFERROR(__xludf.DUMMYFUNCTION("IF(ISBLANK(B2968),"""",IF(ISDATE(B2968),""X"",""""))"),"")</f>
        <v/>
      </c>
      <c r="L2968" s="40" t="str">
        <f>IFERROR(__xludf.DUMMYFUNCTION("IF(ISBLANK(B2968),"""",IF(Or(I2968=""Em Aberto"",ISBLANK(I2968),NOT(ISDATE(B2968))),"""",H2968))"),"")</f>
        <v/>
      </c>
      <c r="M2968" s="29" t="str">
        <f>IFERROR(__xludf.DUMMYFUNCTION("IF(ISBLANK(B2968),"""",IF(ISDATE(B2968),TEXT(B2968,""m""),""""))"),"")</f>
        <v/>
      </c>
      <c r="N2968" s="29" t="str">
        <f>IFERROR(__xludf.DUMMYFUNCTION("IF(M2968="""","""",QUERY({'Dashboard-Dados'!$Y$2:$AA$13},""Select Col2 Where Col1=""&amp;M2968))"),"")</f>
        <v/>
      </c>
      <c r="O2968" s="29" t="str">
        <f>IFERROR(__xludf.DUMMYFUNCTION("IF(ISBLANK(B2968),"""",IF(ISDATE(B2968),TEXT(B2968,""yyyy""),""""))"),"")</f>
        <v/>
      </c>
    </row>
    <row r="2969">
      <c r="B2969" s="62"/>
      <c r="C2969" s="56"/>
      <c r="D2969" s="56"/>
      <c r="E2969" s="56"/>
      <c r="F2969" s="63"/>
      <c r="G2969" s="64"/>
      <c r="H2969" s="65"/>
      <c r="I2969" s="63"/>
      <c r="K2969" s="53" t="str">
        <f>IFERROR(__xludf.DUMMYFUNCTION("IF(ISBLANK(B2969),"""",IF(ISDATE(B2969),""X"",""""))"),"")</f>
        <v/>
      </c>
      <c r="L2969" s="40" t="str">
        <f>IFERROR(__xludf.DUMMYFUNCTION("IF(ISBLANK(B2969),"""",IF(Or(I2969=""Em Aberto"",ISBLANK(I2969),NOT(ISDATE(B2969))),"""",H2969))"),"")</f>
        <v/>
      </c>
      <c r="M2969" s="29" t="str">
        <f>IFERROR(__xludf.DUMMYFUNCTION("IF(ISBLANK(B2969),"""",IF(ISDATE(B2969),TEXT(B2969,""m""),""""))"),"")</f>
        <v/>
      </c>
      <c r="N2969" s="29" t="str">
        <f>IFERROR(__xludf.DUMMYFUNCTION("IF(M2969="""","""",QUERY({'Dashboard-Dados'!$Y$2:$AA$13},""Select Col2 Where Col1=""&amp;M2969))"),"")</f>
        <v/>
      </c>
      <c r="O2969" s="29" t="str">
        <f>IFERROR(__xludf.DUMMYFUNCTION("IF(ISBLANK(B2969),"""",IF(ISDATE(B2969),TEXT(B2969,""yyyy""),""""))"),"")</f>
        <v/>
      </c>
    </row>
    <row r="2970">
      <c r="B2970" s="62"/>
      <c r="C2970" s="56"/>
      <c r="D2970" s="56"/>
      <c r="E2970" s="56"/>
      <c r="F2970" s="63"/>
      <c r="G2970" s="64"/>
      <c r="H2970" s="65"/>
      <c r="I2970" s="63"/>
      <c r="K2970" s="53" t="str">
        <f>IFERROR(__xludf.DUMMYFUNCTION("IF(ISBLANK(B2970),"""",IF(ISDATE(B2970),""X"",""""))"),"")</f>
        <v/>
      </c>
      <c r="L2970" s="40" t="str">
        <f>IFERROR(__xludf.DUMMYFUNCTION("IF(ISBLANK(B2970),"""",IF(Or(I2970=""Em Aberto"",ISBLANK(I2970),NOT(ISDATE(B2970))),"""",H2970))"),"")</f>
        <v/>
      </c>
      <c r="M2970" s="29" t="str">
        <f>IFERROR(__xludf.DUMMYFUNCTION("IF(ISBLANK(B2970),"""",IF(ISDATE(B2970),TEXT(B2970,""m""),""""))"),"")</f>
        <v/>
      </c>
      <c r="N2970" s="29" t="str">
        <f>IFERROR(__xludf.DUMMYFUNCTION("IF(M2970="""","""",QUERY({'Dashboard-Dados'!$Y$2:$AA$13},""Select Col2 Where Col1=""&amp;M2970))"),"")</f>
        <v/>
      </c>
      <c r="O2970" s="29" t="str">
        <f>IFERROR(__xludf.DUMMYFUNCTION("IF(ISBLANK(B2970),"""",IF(ISDATE(B2970),TEXT(B2970,""yyyy""),""""))"),"")</f>
        <v/>
      </c>
    </row>
    <row r="2971">
      <c r="B2971" s="62"/>
      <c r="C2971" s="56"/>
      <c r="D2971" s="49"/>
      <c r="E2971" s="56"/>
      <c r="F2971" s="63"/>
      <c r="G2971" s="64"/>
      <c r="H2971" s="65"/>
      <c r="I2971" s="63"/>
      <c r="K2971" s="53" t="str">
        <f>IFERROR(__xludf.DUMMYFUNCTION("IF(ISBLANK(B2971),"""",IF(ISDATE(B2971),""X"",""""))"),"")</f>
        <v/>
      </c>
      <c r="L2971" s="40" t="str">
        <f>IFERROR(__xludf.DUMMYFUNCTION("IF(ISBLANK(B2971),"""",IF(Or(I2971=""Em Aberto"",ISBLANK(I2971),NOT(ISDATE(B2971))),"""",H2971))"),"")</f>
        <v/>
      </c>
      <c r="M2971" s="29" t="str">
        <f>IFERROR(__xludf.DUMMYFUNCTION("IF(ISBLANK(B2971),"""",IF(ISDATE(B2971),TEXT(B2971,""m""),""""))"),"")</f>
        <v/>
      </c>
      <c r="N2971" s="29" t="str">
        <f>IFERROR(__xludf.DUMMYFUNCTION("IF(M2971="""","""",QUERY({'Dashboard-Dados'!$Y$2:$AA$13},""Select Col2 Where Col1=""&amp;M2971))"),"")</f>
        <v/>
      </c>
      <c r="O2971" s="29" t="str">
        <f>IFERROR(__xludf.DUMMYFUNCTION("IF(ISBLANK(B2971),"""",IF(ISDATE(B2971),TEXT(B2971,""yyyy""),""""))"),"")</f>
        <v/>
      </c>
    </row>
    <row r="2972">
      <c r="B2972" s="62"/>
      <c r="C2972" s="56"/>
      <c r="D2972" s="56"/>
      <c r="E2972" s="56"/>
      <c r="F2972" s="63"/>
      <c r="G2972" s="64"/>
      <c r="H2972" s="65"/>
      <c r="I2972" s="63"/>
      <c r="K2972" s="53" t="str">
        <f>IFERROR(__xludf.DUMMYFUNCTION("IF(ISBLANK(B2972),"""",IF(ISDATE(B2972),""X"",""""))"),"")</f>
        <v/>
      </c>
      <c r="L2972" s="40" t="str">
        <f>IFERROR(__xludf.DUMMYFUNCTION("IF(ISBLANK(B2972),"""",IF(Or(I2972=""Em Aberto"",ISBLANK(I2972),NOT(ISDATE(B2972))),"""",H2972))"),"")</f>
        <v/>
      </c>
      <c r="M2972" s="29" t="str">
        <f>IFERROR(__xludf.DUMMYFUNCTION("IF(ISBLANK(B2972),"""",IF(ISDATE(B2972),TEXT(B2972,""m""),""""))"),"")</f>
        <v/>
      </c>
      <c r="N2972" s="29" t="str">
        <f>IFERROR(__xludf.DUMMYFUNCTION("IF(M2972="""","""",QUERY({'Dashboard-Dados'!$Y$2:$AA$13},""Select Col2 Where Col1=""&amp;M2972))"),"")</f>
        <v/>
      </c>
      <c r="O2972" s="29" t="str">
        <f>IFERROR(__xludf.DUMMYFUNCTION("IF(ISBLANK(B2972),"""",IF(ISDATE(B2972),TEXT(B2972,""yyyy""),""""))"),"")</f>
        <v/>
      </c>
    </row>
    <row r="2973">
      <c r="B2973" s="62"/>
      <c r="C2973" s="56"/>
      <c r="D2973" s="56"/>
      <c r="E2973" s="56"/>
      <c r="F2973" s="50"/>
      <c r="G2973" s="64"/>
      <c r="H2973" s="65"/>
      <c r="I2973" s="63"/>
      <c r="K2973" s="53" t="str">
        <f>IFERROR(__xludf.DUMMYFUNCTION("IF(ISBLANK(B2973),"""",IF(ISDATE(B2973),""X"",""""))"),"")</f>
        <v/>
      </c>
      <c r="L2973" s="40" t="str">
        <f>IFERROR(__xludf.DUMMYFUNCTION("IF(ISBLANK(B2973),"""",IF(Or(I2973=""Em Aberto"",ISBLANK(I2973),NOT(ISDATE(B2973))),"""",H2973))"),"")</f>
        <v/>
      </c>
      <c r="M2973" s="29" t="str">
        <f>IFERROR(__xludf.DUMMYFUNCTION("IF(ISBLANK(B2973),"""",IF(ISDATE(B2973),TEXT(B2973,""m""),""""))"),"")</f>
        <v/>
      </c>
      <c r="N2973" s="29" t="str">
        <f>IFERROR(__xludf.DUMMYFUNCTION("IF(M2973="""","""",QUERY({'Dashboard-Dados'!$Y$2:$AA$13},""Select Col2 Where Col1=""&amp;M2973))"),"")</f>
        <v/>
      </c>
      <c r="O2973" s="29" t="str">
        <f>IFERROR(__xludf.DUMMYFUNCTION("IF(ISBLANK(B2973),"""",IF(ISDATE(B2973),TEXT(B2973,""yyyy""),""""))"),"")</f>
        <v/>
      </c>
    </row>
    <row r="2974">
      <c r="B2974" s="62"/>
      <c r="C2974" s="56"/>
      <c r="D2974" s="56"/>
      <c r="E2974" s="56"/>
      <c r="F2974" s="50"/>
      <c r="G2974" s="64"/>
      <c r="H2974" s="65"/>
      <c r="I2974" s="63"/>
      <c r="K2974" s="53" t="str">
        <f>IFERROR(__xludf.DUMMYFUNCTION("IF(ISBLANK(B2974),"""",IF(ISDATE(B2974),""X"",""""))"),"")</f>
        <v/>
      </c>
      <c r="L2974" s="40" t="str">
        <f>IFERROR(__xludf.DUMMYFUNCTION("IF(ISBLANK(B2974),"""",IF(Or(I2974=""Em Aberto"",ISBLANK(I2974),NOT(ISDATE(B2974))),"""",H2974))"),"")</f>
        <v/>
      </c>
      <c r="M2974" s="29" t="str">
        <f>IFERROR(__xludf.DUMMYFUNCTION("IF(ISBLANK(B2974),"""",IF(ISDATE(B2974),TEXT(B2974,""m""),""""))"),"")</f>
        <v/>
      </c>
      <c r="N2974" s="29" t="str">
        <f>IFERROR(__xludf.DUMMYFUNCTION("IF(M2974="""","""",QUERY({'Dashboard-Dados'!$Y$2:$AA$13},""Select Col2 Where Col1=""&amp;M2974))"),"")</f>
        <v/>
      </c>
      <c r="O2974" s="29" t="str">
        <f>IFERROR(__xludf.DUMMYFUNCTION("IF(ISBLANK(B2974),"""",IF(ISDATE(B2974),TEXT(B2974,""yyyy""),""""))"),"")</f>
        <v/>
      </c>
    </row>
    <row r="2975">
      <c r="B2975" s="62"/>
      <c r="C2975" s="56"/>
      <c r="D2975" s="56"/>
      <c r="E2975" s="56"/>
      <c r="F2975" s="63"/>
      <c r="G2975" s="64"/>
      <c r="H2975" s="65"/>
      <c r="I2975" s="63"/>
      <c r="K2975" s="53" t="str">
        <f>IFERROR(__xludf.DUMMYFUNCTION("IF(ISBLANK(B2975),"""",IF(ISDATE(B2975),""X"",""""))"),"")</f>
        <v/>
      </c>
      <c r="L2975" s="40" t="str">
        <f>IFERROR(__xludf.DUMMYFUNCTION("IF(ISBLANK(B2975),"""",IF(Or(I2975=""Em Aberto"",ISBLANK(I2975),NOT(ISDATE(B2975))),"""",H2975))"),"")</f>
        <v/>
      </c>
      <c r="M2975" s="29" t="str">
        <f>IFERROR(__xludf.DUMMYFUNCTION("IF(ISBLANK(B2975),"""",IF(ISDATE(B2975),TEXT(B2975,""m""),""""))"),"")</f>
        <v/>
      </c>
      <c r="N2975" s="29" t="str">
        <f>IFERROR(__xludf.DUMMYFUNCTION("IF(M2975="""","""",QUERY({'Dashboard-Dados'!$Y$2:$AA$13},""Select Col2 Where Col1=""&amp;M2975))"),"")</f>
        <v/>
      </c>
      <c r="O2975" s="29" t="str">
        <f>IFERROR(__xludf.DUMMYFUNCTION("IF(ISBLANK(B2975),"""",IF(ISDATE(B2975),TEXT(B2975,""yyyy""),""""))"),"")</f>
        <v/>
      </c>
    </row>
    <row r="2976">
      <c r="B2976" s="62"/>
      <c r="C2976" s="56"/>
      <c r="D2976" s="56"/>
      <c r="E2976" s="56"/>
      <c r="F2976" s="63"/>
      <c r="G2976" s="64"/>
      <c r="H2976" s="65"/>
      <c r="I2976" s="63"/>
      <c r="K2976" s="53" t="str">
        <f>IFERROR(__xludf.DUMMYFUNCTION("IF(ISBLANK(B2976),"""",IF(ISDATE(B2976),""X"",""""))"),"")</f>
        <v/>
      </c>
      <c r="L2976" s="40" t="str">
        <f>IFERROR(__xludf.DUMMYFUNCTION("IF(ISBLANK(B2976),"""",IF(Or(I2976=""Em Aberto"",ISBLANK(I2976),NOT(ISDATE(B2976))),"""",H2976))"),"")</f>
        <v/>
      </c>
      <c r="M2976" s="29" t="str">
        <f>IFERROR(__xludf.DUMMYFUNCTION("IF(ISBLANK(B2976),"""",IF(ISDATE(B2976),TEXT(B2976,""m""),""""))"),"")</f>
        <v/>
      </c>
      <c r="N2976" s="29" t="str">
        <f>IFERROR(__xludf.DUMMYFUNCTION("IF(M2976="""","""",QUERY({'Dashboard-Dados'!$Y$2:$AA$13},""Select Col2 Where Col1=""&amp;M2976))"),"")</f>
        <v/>
      </c>
      <c r="O2976" s="29" t="str">
        <f>IFERROR(__xludf.DUMMYFUNCTION("IF(ISBLANK(B2976),"""",IF(ISDATE(B2976),TEXT(B2976,""yyyy""),""""))"),"")</f>
        <v/>
      </c>
    </row>
    <row r="2977">
      <c r="B2977" s="62"/>
      <c r="C2977" s="56"/>
      <c r="D2977" s="56"/>
      <c r="E2977" s="56"/>
      <c r="F2977" s="63"/>
      <c r="G2977" s="64"/>
      <c r="H2977" s="65"/>
      <c r="I2977" s="63"/>
      <c r="K2977" s="53" t="str">
        <f>IFERROR(__xludf.DUMMYFUNCTION("IF(ISBLANK(B2977),"""",IF(ISDATE(B2977),""X"",""""))"),"")</f>
        <v/>
      </c>
      <c r="L2977" s="40" t="str">
        <f>IFERROR(__xludf.DUMMYFUNCTION("IF(ISBLANK(B2977),"""",IF(Or(I2977=""Em Aberto"",ISBLANK(I2977),NOT(ISDATE(B2977))),"""",H2977))"),"")</f>
        <v/>
      </c>
      <c r="M2977" s="29" t="str">
        <f>IFERROR(__xludf.DUMMYFUNCTION("IF(ISBLANK(B2977),"""",IF(ISDATE(B2977),TEXT(B2977,""m""),""""))"),"")</f>
        <v/>
      </c>
      <c r="N2977" s="29" t="str">
        <f>IFERROR(__xludf.DUMMYFUNCTION("IF(M2977="""","""",QUERY({'Dashboard-Dados'!$Y$2:$AA$13},""Select Col2 Where Col1=""&amp;M2977))"),"")</f>
        <v/>
      </c>
      <c r="O2977" s="29" t="str">
        <f>IFERROR(__xludf.DUMMYFUNCTION("IF(ISBLANK(B2977),"""",IF(ISDATE(B2977),TEXT(B2977,""yyyy""),""""))"),"")</f>
        <v/>
      </c>
    </row>
    <row r="2978">
      <c r="B2978" s="62"/>
      <c r="C2978" s="56"/>
      <c r="D2978" s="56"/>
      <c r="E2978" s="56"/>
      <c r="F2978" s="63"/>
      <c r="G2978" s="64"/>
      <c r="H2978" s="65"/>
      <c r="I2978" s="63"/>
      <c r="K2978" s="53" t="str">
        <f>IFERROR(__xludf.DUMMYFUNCTION("IF(ISBLANK(B2978),"""",IF(ISDATE(B2978),""X"",""""))"),"")</f>
        <v/>
      </c>
      <c r="L2978" s="40" t="str">
        <f>IFERROR(__xludf.DUMMYFUNCTION("IF(ISBLANK(B2978),"""",IF(Or(I2978=""Em Aberto"",ISBLANK(I2978),NOT(ISDATE(B2978))),"""",H2978))"),"")</f>
        <v/>
      </c>
      <c r="M2978" s="29" t="str">
        <f>IFERROR(__xludf.DUMMYFUNCTION("IF(ISBLANK(B2978),"""",IF(ISDATE(B2978),TEXT(B2978,""m""),""""))"),"")</f>
        <v/>
      </c>
      <c r="N2978" s="29" t="str">
        <f>IFERROR(__xludf.DUMMYFUNCTION("IF(M2978="""","""",QUERY({'Dashboard-Dados'!$Y$2:$AA$13},""Select Col2 Where Col1=""&amp;M2978))"),"")</f>
        <v/>
      </c>
      <c r="O2978" s="29" t="str">
        <f>IFERROR(__xludf.DUMMYFUNCTION("IF(ISBLANK(B2978),"""",IF(ISDATE(B2978),TEXT(B2978,""yyyy""),""""))"),"")</f>
        <v/>
      </c>
    </row>
    <row r="2979">
      <c r="B2979" s="62"/>
      <c r="C2979" s="56"/>
      <c r="D2979" s="56"/>
      <c r="E2979" s="56"/>
      <c r="F2979" s="63"/>
      <c r="G2979" s="64"/>
      <c r="H2979" s="65"/>
      <c r="I2979" s="63"/>
      <c r="K2979" s="53" t="str">
        <f>IFERROR(__xludf.DUMMYFUNCTION("IF(ISBLANK(B2979),"""",IF(ISDATE(B2979),""X"",""""))"),"")</f>
        <v/>
      </c>
      <c r="L2979" s="40" t="str">
        <f>IFERROR(__xludf.DUMMYFUNCTION("IF(ISBLANK(B2979),"""",IF(Or(I2979=""Em Aberto"",ISBLANK(I2979),NOT(ISDATE(B2979))),"""",H2979))"),"")</f>
        <v/>
      </c>
      <c r="M2979" s="29" t="str">
        <f>IFERROR(__xludf.DUMMYFUNCTION("IF(ISBLANK(B2979),"""",IF(ISDATE(B2979),TEXT(B2979,""m""),""""))"),"")</f>
        <v/>
      </c>
      <c r="N2979" s="29" t="str">
        <f>IFERROR(__xludf.DUMMYFUNCTION("IF(M2979="""","""",QUERY({'Dashboard-Dados'!$Y$2:$AA$13},""Select Col2 Where Col1=""&amp;M2979))"),"")</f>
        <v/>
      </c>
      <c r="O2979" s="29" t="str">
        <f>IFERROR(__xludf.DUMMYFUNCTION("IF(ISBLANK(B2979),"""",IF(ISDATE(B2979),TEXT(B2979,""yyyy""),""""))"),"")</f>
        <v/>
      </c>
    </row>
    <row r="2980">
      <c r="B2980" s="62"/>
      <c r="C2980" s="56"/>
      <c r="D2980" s="56"/>
      <c r="E2980" s="56"/>
      <c r="F2980" s="63"/>
      <c r="G2980" s="64"/>
      <c r="H2980" s="65"/>
      <c r="I2980" s="63"/>
      <c r="K2980" s="53" t="str">
        <f>IFERROR(__xludf.DUMMYFUNCTION("IF(ISBLANK(B2980),"""",IF(ISDATE(B2980),""X"",""""))"),"")</f>
        <v/>
      </c>
      <c r="L2980" s="40" t="str">
        <f>IFERROR(__xludf.DUMMYFUNCTION("IF(ISBLANK(B2980),"""",IF(Or(I2980=""Em Aberto"",ISBLANK(I2980),NOT(ISDATE(B2980))),"""",H2980))"),"")</f>
        <v/>
      </c>
      <c r="M2980" s="29" t="str">
        <f>IFERROR(__xludf.DUMMYFUNCTION("IF(ISBLANK(B2980),"""",IF(ISDATE(B2980),TEXT(B2980,""m""),""""))"),"")</f>
        <v/>
      </c>
      <c r="N2980" s="29" t="str">
        <f>IFERROR(__xludf.DUMMYFUNCTION("IF(M2980="""","""",QUERY({'Dashboard-Dados'!$Y$2:$AA$13},""Select Col2 Where Col1=""&amp;M2980))"),"")</f>
        <v/>
      </c>
      <c r="O2980" s="29" t="str">
        <f>IFERROR(__xludf.DUMMYFUNCTION("IF(ISBLANK(B2980),"""",IF(ISDATE(B2980),TEXT(B2980,""yyyy""),""""))"),"")</f>
        <v/>
      </c>
    </row>
    <row r="2981">
      <c r="B2981" s="62"/>
      <c r="C2981" s="56"/>
      <c r="D2981" s="56"/>
      <c r="E2981" s="56"/>
      <c r="F2981" s="63"/>
      <c r="G2981" s="64"/>
      <c r="H2981" s="65"/>
      <c r="I2981" s="63"/>
      <c r="K2981" s="53" t="str">
        <f>IFERROR(__xludf.DUMMYFUNCTION("IF(ISBLANK(B2981),"""",IF(ISDATE(B2981),""X"",""""))"),"")</f>
        <v/>
      </c>
      <c r="L2981" s="40" t="str">
        <f>IFERROR(__xludf.DUMMYFUNCTION("IF(ISBLANK(B2981),"""",IF(Or(I2981=""Em Aberto"",ISBLANK(I2981),NOT(ISDATE(B2981))),"""",H2981))"),"")</f>
        <v/>
      </c>
      <c r="M2981" s="29" t="str">
        <f>IFERROR(__xludf.DUMMYFUNCTION("IF(ISBLANK(B2981),"""",IF(ISDATE(B2981),TEXT(B2981,""m""),""""))"),"")</f>
        <v/>
      </c>
      <c r="N2981" s="29" t="str">
        <f>IFERROR(__xludf.DUMMYFUNCTION("IF(M2981="""","""",QUERY({'Dashboard-Dados'!$Y$2:$AA$13},""Select Col2 Where Col1=""&amp;M2981))"),"")</f>
        <v/>
      </c>
      <c r="O2981" s="29" t="str">
        <f>IFERROR(__xludf.DUMMYFUNCTION("IF(ISBLANK(B2981),"""",IF(ISDATE(B2981),TEXT(B2981,""yyyy""),""""))"),"")</f>
        <v/>
      </c>
    </row>
    <row r="2982">
      <c r="B2982" s="62"/>
      <c r="C2982" s="56"/>
      <c r="D2982" s="56"/>
      <c r="E2982" s="56"/>
      <c r="F2982" s="63"/>
      <c r="G2982" s="64"/>
      <c r="H2982" s="65"/>
      <c r="I2982" s="63"/>
      <c r="K2982" s="53" t="str">
        <f>IFERROR(__xludf.DUMMYFUNCTION("IF(ISBLANK(B2982),"""",IF(ISDATE(B2982),""X"",""""))"),"")</f>
        <v/>
      </c>
      <c r="L2982" s="40" t="str">
        <f>IFERROR(__xludf.DUMMYFUNCTION("IF(ISBLANK(B2982),"""",IF(Or(I2982=""Em Aberto"",ISBLANK(I2982),NOT(ISDATE(B2982))),"""",H2982))"),"")</f>
        <v/>
      </c>
      <c r="M2982" s="29" t="str">
        <f>IFERROR(__xludf.DUMMYFUNCTION("IF(ISBLANK(B2982),"""",IF(ISDATE(B2982),TEXT(B2982,""m""),""""))"),"")</f>
        <v/>
      </c>
      <c r="N2982" s="29" t="str">
        <f>IFERROR(__xludf.DUMMYFUNCTION("IF(M2982="""","""",QUERY({'Dashboard-Dados'!$Y$2:$AA$13},""Select Col2 Where Col1=""&amp;M2982))"),"")</f>
        <v/>
      </c>
      <c r="O2982" s="29" t="str">
        <f>IFERROR(__xludf.DUMMYFUNCTION("IF(ISBLANK(B2982),"""",IF(ISDATE(B2982),TEXT(B2982,""yyyy""),""""))"),"")</f>
        <v/>
      </c>
    </row>
    <row r="2983">
      <c r="B2983" s="62"/>
      <c r="C2983" s="56"/>
      <c r="D2983" s="56"/>
      <c r="E2983" s="56"/>
      <c r="F2983" s="63"/>
      <c r="G2983" s="64"/>
      <c r="H2983" s="65"/>
      <c r="I2983" s="63"/>
      <c r="K2983" s="53" t="str">
        <f>IFERROR(__xludf.DUMMYFUNCTION("IF(ISBLANK(B2983),"""",IF(ISDATE(B2983),""X"",""""))"),"")</f>
        <v/>
      </c>
      <c r="L2983" s="40" t="str">
        <f>IFERROR(__xludf.DUMMYFUNCTION("IF(ISBLANK(B2983),"""",IF(Or(I2983=""Em Aberto"",ISBLANK(I2983),NOT(ISDATE(B2983))),"""",H2983))"),"")</f>
        <v/>
      </c>
      <c r="M2983" s="29" t="str">
        <f>IFERROR(__xludf.DUMMYFUNCTION("IF(ISBLANK(B2983),"""",IF(ISDATE(B2983),TEXT(B2983,""m""),""""))"),"")</f>
        <v/>
      </c>
      <c r="N2983" s="29" t="str">
        <f>IFERROR(__xludf.DUMMYFUNCTION("IF(M2983="""","""",QUERY({'Dashboard-Dados'!$Y$2:$AA$13},""Select Col2 Where Col1=""&amp;M2983))"),"")</f>
        <v/>
      </c>
      <c r="O2983" s="29" t="str">
        <f>IFERROR(__xludf.DUMMYFUNCTION("IF(ISBLANK(B2983),"""",IF(ISDATE(B2983),TEXT(B2983,""yyyy""),""""))"),"")</f>
        <v/>
      </c>
    </row>
    <row r="2984">
      <c r="B2984" s="62"/>
      <c r="C2984" s="56"/>
      <c r="D2984" s="56"/>
      <c r="E2984" s="56"/>
      <c r="F2984" s="63"/>
      <c r="G2984" s="64"/>
      <c r="H2984" s="65"/>
      <c r="I2984" s="63"/>
      <c r="K2984" s="53" t="str">
        <f>IFERROR(__xludf.DUMMYFUNCTION("IF(ISBLANK(B2984),"""",IF(ISDATE(B2984),""X"",""""))"),"")</f>
        <v/>
      </c>
      <c r="L2984" s="40" t="str">
        <f>IFERROR(__xludf.DUMMYFUNCTION("IF(ISBLANK(B2984),"""",IF(Or(I2984=""Em Aberto"",ISBLANK(I2984),NOT(ISDATE(B2984))),"""",H2984))"),"")</f>
        <v/>
      </c>
      <c r="M2984" s="29" t="str">
        <f>IFERROR(__xludf.DUMMYFUNCTION("IF(ISBLANK(B2984),"""",IF(ISDATE(B2984),TEXT(B2984,""m""),""""))"),"")</f>
        <v/>
      </c>
      <c r="N2984" s="29" t="str">
        <f>IFERROR(__xludf.DUMMYFUNCTION("IF(M2984="""","""",QUERY({'Dashboard-Dados'!$Y$2:$AA$13},""Select Col2 Where Col1=""&amp;M2984))"),"")</f>
        <v/>
      </c>
      <c r="O2984" s="29" t="str">
        <f>IFERROR(__xludf.DUMMYFUNCTION("IF(ISBLANK(B2984),"""",IF(ISDATE(B2984),TEXT(B2984,""yyyy""),""""))"),"")</f>
        <v/>
      </c>
    </row>
    <row r="2985">
      <c r="B2985" s="62"/>
      <c r="C2985" s="56"/>
      <c r="D2985" s="56"/>
      <c r="E2985" s="56"/>
      <c r="F2985" s="63"/>
      <c r="G2985" s="64"/>
      <c r="H2985" s="65"/>
      <c r="I2985" s="63"/>
      <c r="K2985" s="53" t="str">
        <f>IFERROR(__xludf.DUMMYFUNCTION("IF(ISBLANK(B2985),"""",IF(ISDATE(B2985),""X"",""""))"),"")</f>
        <v/>
      </c>
      <c r="L2985" s="40" t="str">
        <f>IFERROR(__xludf.DUMMYFUNCTION("IF(ISBLANK(B2985),"""",IF(Or(I2985=""Em Aberto"",ISBLANK(I2985),NOT(ISDATE(B2985))),"""",H2985))"),"")</f>
        <v/>
      </c>
      <c r="M2985" s="29" t="str">
        <f>IFERROR(__xludf.DUMMYFUNCTION("IF(ISBLANK(B2985),"""",IF(ISDATE(B2985),TEXT(B2985,""m""),""""))"),"")</f>
        <v/>
      </c>
      <c r="N2985" s="29" t="str">
        <f>IFERROR(__xludf.DUMMYFUNCTION("IF(M2985="""","""",QUERY({'Dashboard-Dados'!$Y$2:$AA$13},""Select Col2 Where Col1=""&amp;M2985))"),"")</f>
        <v/>
      </c>
      <c r="O2985" s="29" t="str">
        <f>IFERROR(__xludf.DUMMYFUNCTION("IF(ISBLANK(B2985),"""",IF(ISDATE(B2985),TEXT(B2985,""yyyy""),""""))"),"")</f>
        <v/>
      </c>
    </row>
    <row r="2986">
      <c r="B2986" s="62"/>
      <c r="C2986" s="56"/>
      <c r="D2986" s="56"/>
      <c r="E2986" s="56"/>
      <c r="F2986" s="63"/>
      <c r="G2986" s="64"/>
      <c r="H2986" s="65"/>
      <c r="I2986" s="63"/>
      <c r="K2986" s="53" t="str">
        <f>IFERROR(__xludf.DUMMYFUNCTION("IF(ISBLANK(B2986),"""",IF(ISDATE(B2986),""X"",""""))"),"")</f>
        <v/>
      </c>
      <c r="L2986" s="40" t="str">
        <f>IFERROR(__xludf.DUMMYFUNCTION("IF(ISBLANK(B2986),"""",IF(Or(I2986=""Em Aberto"",ISBLANK(I2986),NOT(ISDATE(B2986))),"""",H2986))"),"")</f>
        <v/>
      </c>
      <c r="M2986" s="29" t="str">
        <f>IFERROR(__xludf.DUMMYFUNCTION("IF(ISBLANK(B2986),"""",IF(ISDATE(B2986),TEXT(B2986,""m""),""""))"),"")</f>
        <v/>
      </c>
      <c r="N2986" s="29" t="str">
        <f>IFERROR(__xludf.DUMMYFUNCTION("IF(M2986="""","""",QUERY({'Dashboard-Dados'!$Y$2:$AA$13},""Select Col2 Where Col1=""&amp;M2986))"),"")</f>
        <v/>
      </c>
      <c r="O2986" s="29" t="str">
        <f>IFERROR(__xludf.DUMMYFUNCTION("IF(ISBLANK(B2986),"""",IF(ISDATE(B2986),TEXT(B2986,""yyyy""),""""))"),"")</f>
        <v/>
      </c>
    </row>
    <row r="2987">
      <c r="B2987" s="62"/>
      <c r="C2987" s="56"/>
      <c r="D2987" s="56"/>
      <c r="E2987" s="56"/>
      <c r="F2987" s="63"/>
      <c r="G2987" s="64"/>
      <c r="H2987" s="65"/>
      <c r="I2987" s="63"/>
      <c r="K2987" s="53" t="str">
        <f>IFERROR(__xludf.DUMMYFUNCTION("IF(ISBLANK(B2987),"""",IF(ISDATE(B2987),""X"",""""))"),"")</f>
        <v/>
      </c>
      <c r="L2987" s="40" t="str">
        <f>IFERROR(__xludf.DUMMYFUNCTION("IF(ISBLANK(B2987),"""",IF(Or(I2987=""Em Aberto"",ISBLANK(I2987),NOT(ISDATE(B2987))),"""",H2987))"),"")</f>
        <v/>
      </c>
      <c r="M2987" s="29" t="str">
        <f>IFERROR(__xludf.DUMMYFUNCTION("IF(ISBLANK(B2987),"""",IF(ISDATE(B2987),TEXT(B2987,""m""),""""))"),"")</f>
        <v/>
      </c>
      <c r="N2987" s="29" t="str">
        <f>IFERROR(__xludf.DUMMYFUNCTION("IF(M2987="""","""",QUERY({'Dashboard-Dados'!$Y$2:$AA$13},""Select Col2 Where Col1=""&amp;M2987))"),"")</f>
        <v/>
      </c>
      <c r="O2987" s="29" t="str">
        <f>IFERROR(__xludf.DUMMYFUNCTION("IF(ISBLANK(B2987),"""",IF(ISDATE(B2987),TEXT(B2987,""yyyy""),""""))"),"")</f>
        <v/>
      </c>
    </row>
    <row r="2988">
      <c r="B2988" s="62"/>
      <c r="C2988" s="56"/>
      <c r="D2988" s="56"/>
      <c r="E2988" s="56"/>
      <c r="F2988" s="63"/>
      <c r="G2988" s="64"/>
      <c r="H2988" s="65"/>
      <c r="I2988" s="63"/>
      <c r="K2988" s="53" t="str">
        <f>IFERROR(__xludf.DUMMYFUNCTION("IF(ISBLANK(B2988),"""",IF(ISDATE(B2988),""X"",""""))"),"")</f>
        <v/>
      </c>
      <c r="L2988" s="40" t="str">
        <f>IFERROR(__xludf.DUMMYFUNCTION("IF(ISBLANK(B2988),"""",IF(Or(I2988=""Em Aberto"",ISBLANK(I2988),NOT(ISDATE(B2988))),"""",H2988))"),"")</f>
        <v/>
      </c>
      <c r="M2988" s="29" t="str">
        <f>IFERROR(__xludf.DUMMYFUNCTION("IF(ISBLANK(B2988),"""",IF(ISDATE(B2988),TEXT(B2988,""m""),""""))"),"")</f>
        <v/>
      </c>
      <c r="N2988" s="29" t="str">
        <f>IFERROR(__xludf.DUMMYFUNCTION("IF(M2988="""","""",QUERY({'Dashboard-Dados'!$Y$2:$AA$13},""Select Col2 Where Col1=""&amp;M2988))"),"")</f>
        <v/>
      </c>
      <c r="O2988" s="29" t="str">
        <f>IFERROR(__xludf.DUMMYFUNCTION("IF(ISBLANK(B2988),"""",IF(ISDATE(B2988),TEXT(B2988,""yyyy""),""""))"),"")</f>
        <v/>
      </c>
    </row>
    <row r="2989">
      <c r="B2989" s="62"/>
      <c r="C2989" s="56"/>
      <c r="D2989" s="56"/>
      <c r="E2989" s="56"/>
      <c r="F2989" s="63"/>
      <c r="G2989" s="64"/>
      <c r="H2989" s="65"/>
      <c r="I2989" s="63"/>
      <c r="K2989" s="53" t="str">
        <f>IFERROR(__xludf.DUMMYFUNCTION("IF(ISBLANK(B2989),"""",IF(ISDATE(B2989),""X"",""""))"),"")</f>
        <v/>
      </c>
      <c r="L2989" s="40" t="str">
        <f>IFERROR(__xludf.DUMMYFUNCTION("IF(ISBLANK(B2989),"""",IF(Or(I2989=""Em Aberto"",ISBLANK(I2989),NOT(ISDATE(B2989))),"""",H2989))"),"")</f>
        <v/>
      </c>
      <c r="M2989" s="29" t="str">
        <f>IFERROR(__xludf.DUMMYFUNCTION("IF(ISBLANK(B2989),"""",IF(ISDATE(B2989),TEXT(B2989,""m""),""""))"),"")</f>
        <v/>
      </c>
      <c r="N2989" s="29" t="str">
        <f>IFERROR(__xludf.DUMMYFUNCTION("IF(M2989="""","""",QUERY({'Dashboard-Dados'!$Y$2:$AA$13},""Select Col2 Where Col1=""&amp;M2989))"),"")</f>
        <v/>
      </c>
      <c r="O2989" s="29" t="str">
        <f>IFERROR(__xludf.DUMMYFUNCTION("IF(ISBLANK(B2989),"""",IF(ISDATE(B2989),TEXT(B2989,""yyyy""),""""))"),"")</f>
        <v/>
      </c>
    </row>
    <row r="2990">
      <c r="B2990" s="62"/>
      <c r="C2990" s="56"/>
      <c r="D2990" s="56"/>
      <c r="E2990" s="56"/>
      <c r="F2990" s="63"/>
      <c r="G2990" s="64"/>
      <c r="H2990" s="65"/>
      <c r="I2990" s="63"/>
      <c r="K2990" s="53" t="str">
        <f>IFERROR(__xludf.DUMMYFUNCTION("IF(ISBLANK(B2990),"""",IF(ISDATE(B2990),""X"",""""))"),"")</f>
        <v/>
      </c>
      <c r="L2990" s="40" t="str">
        <f>IFERROR(__xludf.DUMMYFUNCTION("IF(ISBLANK(B2990),"""",IF(Or(I2990=""Em Aberto"",ISBLANK(I2990),NOT(ISDATE(B2990))),"""",H2990))"),"")</f>
        <v/>
      </c>
      <c r="M2990" s="29" t="str">
        <f>IFERROR(__xludf.DUMMYFUNCTION("IF(ISBLANK(B2990),"""",IF(ISDATE(B2990),TEXT(B2990,""m""),""""))"),"")</f>
        <v/>
      </c>
      <c r="N2990" s="29" t="str">
        <f>IFERROR(__xludf.DUMMYFUNCTION("IF(M2990="""","""",QUERY({'Dashboard-Dados'!$Y$2:$AA$13},""Select Col2 Where Col1=""&amp;M2990))"),"")</f>
        <v/>
      </c>
      <c r="O2990" s="29" t="str">
        <f>IFERROR(__xludf.DUMMYFUNCTION("IF(ISBLANK(B2990),"""",IF(ISDATE(B2990),TEXT(B2990,""yyyy""),""""))"),"")</f>
        <v/>
      </c>
    </row>
    <row r="2991">
      <c r="B2991" s="62"/>
      <c r="C2991" s="56"/>
      <c r="D2991" s="56"/>
      <c r="E2991" s="56"/>
      <c r="F2991" s="63"/>
      <c r="G2991" s="64"/>
      <c r="H2991" s="65"/>
      <c r="I2991" s="63"/>
      <c r="K2991" s="53" t="str">
        <f>IFERROR(__xludf.DUMMYFUNCTION("IF(ISBLANK(B2991),"""",IF(ISDATE(B2991),""X"",""""))"),"")</f>
        <v/>
      </c>
      <c r="L2991" s="40" t="str">
        <f>IFERROR(__xludf.DUMMYFUNCTION("IF(ISBLANK(B2991),"""",IF(Or(I2991=""Em Aberto"",ISBLANK(I2991),NOT(ISDATE(B2991))),"""",H2991))"),"")</f>
        <v/>
      </c>
      <c r="M2991" s="29" t="str">
        <f>IFERROR(__xludf.DUMMYFUNCTION("IF(ISBLANK(B2991),"""",IF(ISDATE(B2991),TEXT(B2991,""m""),""""))"),"")</f>
        <v/>
      </c>
      <c r="N2991" s="29" t="str">
        <f>IFERROR(__xludf.DUMMYFUNCTION("IF(M2991="""","""",QUERY({'Dashboard-Dados'!$Y$2:$AA$13},""Select Col2 Where Col1=""&amp;M2991))"),"")</f>
        <v/>
      </c>
      <c r="O2991" s="29" t="str">
        <f>IFERROR(__xludf.DUMMYFUNCTION("IF(ISBLANK(B2991),"""",IF(ISDATE(B2991),TEXT(B2991,""yyyy""),""""))"),"")</f>
        <v/>
      </c>
    </row>
    <row r="2992">
      <c r="B2992" s="62"/>
      <c r="C2992" s="56"/>
      <c r="D2992" s="56"/>
      <c r="E2992" s="56"/>
      <c r="F2992" s="63"/>
      <c r="G2992" s="64"/>
      <c r="H2992" s="65"/>
      <c r="I2992" s="63"/>
      <c r="K2992" s="53" t="str">
        <f>IFERROR(__xludf.DUMMYFUNCTION("IF(ISBLANK(B2992),"""",IF(ISDATE(B2992),""X"",""""))"),"")</f>
        <v/>
      </c>
      <c r="L2992" s="40" t="str">
        <f>IFERROR(__xludf.DUMMYFUNCTION("IF(ISBLANK(B2992),"""",IF(Or(I2992=""Em Aberto"",ISBLANK(I2992),NOT(ISDATE(B2992))),"""",H2992))"),"")</f>
        <v/>
      </c>
      <c r="M2992" s="29" t="str">
        <f>IFERROR(__xludf.DUMMYFUNCTION("IF(ISBLANK(B2992),"""",IF(ISDATE(B2992),TEXT(B2992,""m""),""""))"),"")</f>
        <v/>
      </c>
      <c r="N2992" s="29" t="str">
        <f>IFERROR(__xludf.DUMMYFUNCTION("IF(M2992="""","""",QUERY({'Dashboard-Dados'!$Y$2:$AA$13},""Select Col2 Where Col1=""&amp;M2992))"),"")</f>
        <v/>
      </c>
      <c r="O2992" s="29" t="str">
        <f>IFERROR(__xludf.DUMMYFUNCTION("IF(ISBLANK(B2992),"""",IF(ISDATE(B2992),TEXT(B2992,""yyyy""),""""))"),"")</f>
        <v/>
      </c>
    </row>
    <row r="2993">
      <c r="B2993" s="62"/>
      <c r="C2993" s="56"/>
      <c r="D2993" s="56"/>
      <c r="E2993" s="56"/>
      <c r="F2993" s="63"/>
      <c r="G2993" s="64"/>
      <c r="H2993" s="65"/>
      <c r="I2993" s="63"/>
      <c r="K2993" s="53" t="str">
        <f>IFERROR(__xludf.DUMMYFUNCTION("IF(ISBLANK(B2993),"""",IF(ISDATE(B2993),""X"",""""))"),"")</f>
        <v/>
      </c>
      <c r="L2993" s="40" t="str">
        <f>IFERROR(__xludf.DUMMYFUNCTION("IF(ISBLANK(B2993),"""",IF(Or(I2993=""Em Aberto"",ISBLANK(I2993),NOT(ISDATE(B2993))),"""",H2993))"),"")</f>
        <v/>
      </c>
      <c r="M2993" s="29" t="str">
        <f>IFERROR(__xludf.DUMMYFUNCTION("IF(ISBLANK(B2993),"""",IF(ISDATE(B2993),TEXT(B2993,""m""),""""))"),"")</f>
        <v/>
      </c>
      <c r="N2993" s="29" t="str">
        <f>IFERROR(__xludf.DUMMYFUNCTION("IF(M2993="""","""",QUERY({'Dashboard-Dados'!$Y$2:$AA$13},""Select Col2 Where Col1=""&amp;M2993))"),"")</f>
        <v/>
      </c>
      <c r="O2993" s="29" t="str">
        <f>IFERROR(__xludf.DUMMYFUNCTION("IF(ISBLANK(B2993),"""",IF(ISDATE(B2993),TEXT(B2993,""yyyy""),""""))"),"")</f>
        <v/>
      </c>
    </row>
    <row r="2994">
      <c r="B2994" s="62"/>
      <c r="C2994" s="56"/>
      <c r="D2994" s="56"/>
      <c r="E2994" s="56"/>
      <c r="F2994" s="63"/>
      <c r="G2994" s="64"/>
      <c r="H2994" s="65"/>
      <c r="I2994" s="63"/>
      <c r="K2994" s="53" t="str">
        <f>IFERROR(__xludf.DUMMYFUNCTION("IF(ISBLANK(B2994),"""",IF(ISDATE(B2994),""X"",""""))"),"")</f>
        <v/>
      </c>
      <c r="L2994" s="40" t="str">
        <f>IFERROR(__xludf.DUMMYFUNCTION("IF(ISBLANK(B2994),"""",IF(Or(I2994=""Em Aberto"",ISBLANK(I2994),NOT(ISDATE(B2994))),"""",H2994))"),"")</f>
        <v/>
      </c>
      <c r="M2994" s="29" t="str">
        <f>IFERROR(__xludf.DUMMYFUNCTION("IF(ISBLANK(B2994),"""",IF(ISDATE(B2994),TEXT(B2994,""m""),""""))"),"")</f>
        <v/>
      </c>
      <c r="N2994" s="29" t="str">
        <f>IFERROR(__xludf.DUMMYFUNCTION("IF(M2994="""","""",QUERY({'Dashboard-Dados'!$Y$2:$AA$13},""Select Col2 Where Col1=""&amp;M2994))"),"")</f>
        <v/>
      </c>
      <c r="O2994" s="29" t="str">
        <f>IFERROR(__xludf.DUMMYFUNCTION("IF(ISBLANK(B2994),"""",IF(ISDATE(B2994),TEXT(B2994,""yyyy""),""""))"),"")</f>
        <v/>
      </c>
    </row>
    <row r="2995">
      <c r="B2995" s="62"/>
      <c r="C2995" s="56"/>
      <c r="D2995" s="56"/>
      <c r="E2995" s="56"/>
      <c r="F2995" s="63"/>
      <c r="G2995" s="64"/>
      <c r="H2995" s="65"/>
      <c r="I2995" s="63"/>
      <c r="K2995" s="53" t="str">
        <f>IFERROR(__xludf.DUMMYFUNCTION("IF(ISBLANK(B2995),"""",IF(ISDATE(B2995),""X"",""""))"),"")</f>
        <v/>
      </c>
      <c r="L2995" s="40" t="str">
        <f>IFERROR(__xludf.DUMMYFUNCTION("IF(ISBLANK(B2995),"""",IF(Or(I2995=""Em Aberto"",ISBLANK(I2995),NOT(ISDATE(B2995))),"""",H2995))"),"")</f>
        <v/>
      </c>
      <c r="M2995" s="29" t="str">
        <f>IFERROR(__xludf.DUMMYFUNCTION("IF(ISBLANK(B2995),"""",IF(ISDATE(B2995),TEXT(B2995,""m""),""""))"),"")</f>
        <v/>
      </c>
      <c r="N2995" s="29" t="str">
        <f>IFERROR(__xludf.DUMMYFUNCTION("IF(M2995="""","""",QUERY({'Dashboard-Dados'!$Y$2:$AA$13},""Select Col2 Where Col1=""&amp;M2995))"),"")</f>
        <v/>
      </c>
      <c r="O2995" s="29" t="str">
        <f>IFERROR(__xludf.DUMMYFUNCTION("IF(ISBLANK(B2995),"""",IF(ISDATE(B2995),TEXT(B2995,""yyyy""),""""))"),"")</f>
        <v/>
      </c>
    </row>
    <row r="2996">
      <c r="B2996" s="62"/>
      <c r="C2996" s="56"/>
      <c r="D2996" s="56"/>
      <c r="E2996" s="56"/>
      <c r="F2996" s="63"/>
      <c r="G2996" s="64"/>
      <c r="H2996" s="65"/>
      <c r="I2996" s="63"/>
      <c r="K2996" s="53" t="str">
        <f>IFERROR(__xludf.DUMMYFUNCTION("IF(ISBLANK(B2996),"""",IF(ISDATE(B2996),""X"",""""))"),"")</f>
        <v/>
      </c>
      <c r="L2996" s="40" t="str">
        <f>IFERROR(__xludf.DUMMYFUNCTION("IF(ISBLANK(B2996),"""",IF(Or(I2996=""Em Aberto"",ISBLANK(I2996),NOT(ISDATE(B2996))),"""",H2996))"),"")</f>
        <v/>
      </c>
      <c r="M2996" s="29" t="str">
        <f>IFERROR(__xludf.DUMMYFUNCTION("IF(ISBLANK(B2996),"""",IF(ISDATE(B2996),TEXT(B2996,""m""),""""))"),"")</f>
        <v/>
      </c>
      <c r="N2996" s="29" t="str">
        <f>IFERROR(__xludf.DUMMYFUNCTION("IF(M2996="""","""",QUERY({'Dashboard-Dados'!$Y$2:$AA$13},""Select Col2 Where Col1=""&amp;M2996))"),"")</f>
        <v/>
      </c>
      <c r="O2996" s="29" t="str">
        <f>IFERROR(__xludf.DUMMYFUNCTION("IF(ISBLANK(B2996),"""",IF(ISDATE(B2996),TEXT(B2996,""yyyy""),""""))"),"")</f>
        <v/>
      </c>
    </row>
    <row r="2997">
      <c r="B2997" s="62"/>
      <c r="C2997" s="56"/>
      <c r="D2997" s="56"/>
      <c r="E2997" s="56"/>
      <c r="F2997" s="63"/>
      <c r="G2997" s="64"/>
      <c r="H2997" s="65"/>
      <c r="I2997" s="63"/>
      <c r="K2997" s="53" t="str">
        <f>IFERROR(__xludf.DUMMYFUNCTION("IF(ISBLANK(B2997),"""",IF(ISDATE(B2997),""X"",""""))"),"")</f>
        <v/>
      </c>
      <c r="L2997" s="40" t="str">
        <f>IFERROR(__xludf.DUMMYFUNCTION("IF(ISBLANK(B2997),"""",IF(Or(I2997=""Em Aberto"",ISBLANK(I2997),NOT(ISDATE(B2997))),"""",H2997))"),"")</f>
        <v/>
      </c>
      <c r="M2997" s="29" t="str">
        <f>IFERROR(__xludf.DUMMYFUNCTION("IF(ISBLANK(B2997),"""",IF(ISDATE(B2997),TEXT(B2997,""m""),""""))"),"")</f>
        <v/>
      </c>
      <c r="N2997" s="29" t="str">
        <f>IFERROR(__xludf.DUMMYFUNCTION("IF(M2997="""","""",QUERY({'Dashboard-Dados'!$Y$2:$AA$13},""Select Col2 Where Col1=""&amp;M2997))"),"")</f>
        <v/>
      </c>
      <c r="O2997" s="29" t="str">
        <f>IFERROR(__xludf.DUMMYFUNCTION("IF(ISBLANK(B2997),"""",IF(ISDATE(B2997),TEXT(B2997,""yyyy""),""""))"),"")</f>
        <v/>
      </c>
    </row>
    <row r="2998">
      <c r="B2998" s="62"/>
      <c r="C2998" s="56"/>
      <c r="D2998" s="56"/>
      <c r="E2998" s="56"/>
      <c r="F2998" s="63"/>
      <c r="G2998" s="64"/>
      <c r="H2998" s="65"/>
      <c r="I2998" s="63"/>
      <c r="K2998" s="53" t="str">
        <f>IFERROR(__xludf.DUMMYFUNCTION("IF(ISBLANK(B2998),"""",IF(ISDATE(B2998),""X"",""""))"),"")</f>
        <v/>
      </c>
      <c r="L2998" s="40" t="str">
        <f>IFERROR(__xludf.DUMMYFUNCTION("IF(ISBLANK(B2998),"""",IF(Or(I2998=""Em Aberto"",ISBLANK(I2998),NOT(ISDATE(B2998))),"""",H2998))"),"")</f>
        <v/>
      </c>
      <c r="M2998" s="29" t="str">
        <f>IFERROR(__xludf.DUMMYFUNCTION("IF(ISBLANK(B2998),"""",IF(ISDATE(B2998),TEXT(B2998,""m""),""""))"),"")</f>
        <v/>
      </c>
      <c r="N2998" s="29" t="str">
        <f>IFERROR(__xludf.DUMMYFUNCTION("IF(M2998="""","""",QUERY({'Dashboard-Dados'!$Y$2:$AA$13},""Select Col2 Where Col1=""&amp;M2998))"),"")</f>
        <v/>
      </c>
      <c r="O2998" s="29" t="str">
        <f>IFERROR(__xludf.DUMMYFUNCTION("IF(ISBLANK(B2998),"""",IF(ISDATE(B2998),TEXT(B2998,""yyyy""),""""))"),"")</f>
        <v/>
      </c>
    </row>
    <row r="2999">
      <c r="B2999" s="62"/>
      <c r="C2999" s="56"/>
      <c r="D2999" s="56"/>
      <c r="E2999" s="56"/>
      <c r="F2999" s="50"/>
      <c r="G2999" s="51"/>
      <c r="H2999" s="65"/>
      <c r="I2999" s="63"/>
      <c r="K2999" s="53" t="str">
        <f>IFERROR(__xludf.DUMMYFUNCTION("IF(ISBLANK(B2999),"""",IF(ISDATE(B2999),""X"",""""))"),"")</f>
        <v/>
      </c>
      <c r="L2999" s="40" t="str">
        <f>IFERROR(__xludf.DUMMYFUNCTION("IF(ISBLANK(B2999),"""",IF(Or(I2999=""Em Aberto"",ISBLANK(I2999),NOT(ISDATE(B2999))),"""",H2999))"),"")</f>
        <v/>
      </c>
      <c r="M2999" s="29" t="str">
        <f>IFERROR(__xludf.DUMMYFUNCTION("IF(ISBLANK(B2999),"""",IF(ISDATE(B2999),TEXT(B2999,""m""),""""))"),"")</f>
        <v/>
      </c>
      <c r="N2999" s="29" t="str">
        <f>IFERROR(__xludf.DUMMYFUNCTION("IF(M2999="""","""",QUERY({'Dashboard-Dados'!$Y$2:$AA$13},""Select Col2 Where Col1=""&amp;M2999))"),"")</f>
        <v/>
      </c>
      <c r="O2999" s="29" t="str">
        <f>IFERROR(__xludf.DUMMYFUNCTION("IF(ISBLANK(B2999),"""",IF(ISDATE(B2999),TEXT(B2999,""yyyy""),""""))"),"")</f>
        <v/>
      </c>
    </row>
  </sheetData>
  <customSheetViews>
    <customSheetView guid="{1134576E-3995-47B8-B889-9FB980475BDE}" filter="1" showAutoFilter="1">
      <autoFilter ref="$B$3:$O$2999"/>
    </customSheetView>
    <customSheetView guid="{FBD20B96-901D-45DA-9700-E9D11D407245}" filter="1" showAutoFilter="1">
      <autoFilter ref="$B$3:$I$2999"/>
    </customSheetView>
  </customSheetViews>
  <mergeCells count="1">
    <mergeCell ref="B1:H1"/>
  </mergeCells>
  <dataValidations>
    <dataValidation type="list" allowBlank="1" showErrorMessage="1" sqref="I4:I2999">
      <formula1>FormasPagamentos</formula1>
    </dataValidation>
    <dataValidation type="list" allowBlank="1" showErrorMessage="1" sqref="G4:G2999">
      <formula1>'Parâmetros-Filtros'!$A6:$Y6</formula1>
    </dataValidation>
    <dataValidation type="custom" allowBlank="1" showDropDown="1" showInputMessage="1" prompt="Digite um valor numérico" sqref="H4:H2999">
      <formula1>ISNUMBER(H4:H2999)</formula1>
    </dataValidation>
    <dataValidation type="list" allowBlank="1" showErrorMessage="1" sqref="F4:F2999">
      <formula1>'Parâmetros'!$B$3:$J$3</formula1>
    </dataValidation>
    <dataValidation type="custom" allowBlank="1" showDropDown="1" showInputMessage="1" prompt="Digite uma data válida" sqref="B4:B2999">
      <formula1>OR(NOT(ISERROR(DATEVALUE(B4))), AND(ISNUMBER(B4), LEFT(CELL("format", B4))="D"))</formula1>
    </dataValidation>
  </dataValidations>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6.13"/>
    <col customWidth="1" min="3" max="3" width="23.25"/>
    <col customWidth="1" min="4" max="7" width="15.75"/>
    <col customWidth="1" min="8" max="8" width="18.88"/>
    <col customWidth="1" min="9" max="9" width="2.63"/>
    <col hidden="1" min="10" max="11" width="12.63"/>
    <col customWidth="1" hidden="1" min="12" max="14" width="4.25"/>
  </cols>
  <sheetData>
    <row r="1" ht="60.0" customHeight="1">
      <c r="A1" s="1"/>
      <c r="B1" s="1" t="s">
        <v>32</v>
      </c>
      <c r="H1" s="1"/>
      <c r="I1" s="38"/>
      <c r="J1" s="39"/>
      <c r="K1" s="40"/>
      <c r="L1" s="40"/>
    </row>
    <row r="2">
      <c r="B2" s="41"/>
      <c r="H2" s="42"/>
      <c r="J2" s="39"/>
      <c r="K2" s="40"/>
      <c r="L2" s="40"/>
    </row>
    <row r="3">
      <c r="A3" s="16" t="s">
        <v>16</v>
      </c>
      <c r="B3" s="66" t="s">
        <v>33</v>
      </c>
      <c r="C3" s="67" t="s">
        <v>34</v>
      </c>
      <c r="D3" s="67" t="s">
        <v>35</v>
      </c>
      <c r="H3" s="68" t="s">
        <v>36</v>
      </c>
      <c r="J3" s="15" t="s">
        <v>37</v>
      </c>
      <c r="K3" s="46" t="s">
        <v>38</v>
      </c>
      <c r="L3" s="46" t="s">
        <v>27</v>
      </c>
      <c r="M3" s="47" t="s">
        <v>28</v>
      </c>
      <c r="N3" s="47" t="s">
        <v>29</v>
      </c>
      <c r="O3" s="47"/>
      <c r="P3" s="47"/>
      <c r="Q3" s="47"/>
    </row>
    <row r="4">
      <c r="B4" s="69"/>
      <c r="C4" s="70" t="s">
        <v>5</v>
      </c>
      <c r="D4" s="71" t="s">
        <v>39</v>
      </c>
      <c r="H4" s="72" t="s">
        <v>40</v>
      </c>
      <c r="J4" s="53" t="str">
        <f>IFERROR(__xludf.DUMMYFUNCTION("IF(ISBLANK(B4),"""",IF(ISDATE(B4),""X"",""""))"),"")</f>
        <v/>
      </c>
      <c r="K4" s="40" t="str">
        <f>IFERROR(__xludf.DUMMYFUNCTION("IF(ISBLANK(B4),"""",IF(ISDATE(B4),H4,""""))"),"")</f>
        <v/>
      </c>
      <c r="L4" s="73" t="str">
        <f>IFERROR(__xludf.DUMMYFUNCTION("IF(ISBLANK(B4),"""",IF(ISDATE(B4),TEXT(B4,""m""),""""))"),"")</f>
        <v/>
      </c>
      <c r="M4" s="29" t="str">
        <f>IFERROR(__xludf.DUMMYFUNCTION("IF(L4="""","""",QUERY({'Dashboard-Dados'!$Y$2:$AA$13},""Select Col2 Where Col1=""&amp;L4))"),"")</f>
        <v/>
      </c>
      <c r="N4" s="29" t="str">
        <f>IFERROR(__xludf.DUMMYFUNCTION("IF(ISBLANK(B4),"""",IF(ISDATE(B4),TEXT(B4,""yyyy""),""""))"),"")</f>
        <v/>
      </c>
    </row>
    <row r="5">
      <c r="B5" s="74"/>
      <c r="C5" s="75" t="s">
        <v>41</v>
      </c>
      <c r="D5" s="76"/>
      <c r="H5" s="77"/>
      <c r="J5" s="53" t="str">
        <f>IFERROR(__xludf.DUMMYFUNCTION("IF(ISBLANK(B5),"""",IF(ISDATE(B5),""X"",""""))"),"")</f>
        <v/>
      </c>
      <c r="K5" s="40" t="str">
        <f>IFERROR(__xludf.DUMMYFUNCTION("IF(ISBLANK(B5),"""",IF(ISDATE(B5),H5,""""))"),"")</f>
        <v/>
      </c>
      <c r="L5" s="40" t="str">
        <f>IFERROR(__xludf.DUMMYFUNCTION("IF(ISBLANK(B5),"""",IF(ISDATE(B5),TEXT(B5,""M""),""""))"),"")</f>
        <v/>
      </c>
      <c r="M5" s="29" t="str">
        <f>IFERROR(__xludf.DUMMYFUNCTION("IF(L5="""","""",QUERY({'Dashboard-Dados'!$Y$2:$AA$13},""Select Col2 Where Col1=""&amp;L5))"),"")</f>
        <v/>
      </c>
      <c r="N5" s="29" t="str">
        <f>IFERROR(__xludf.DUMMYFUNCTION("IF(ISBLANK(B5),"""",IF(ISDATE(B5),TEXT(B5,""yyyy""),""""))"),"")</f>
        <v/>
      </c>
    </row>
    <row r="6">
      <c r="B6" s="69"/>
      <c r="C6" s="78"/>
      <c r="D6" s="71"/>
      <c r="H6" s="79"/>
      <c r="J6" s="53" t="str">
        <f>IFERROR(__xludf.DUMMYFUNCTION("IF(ISBLANK(B6),"""",IF(ISDATE(B6),""X"",""""))"),"")</f>
        <v/>
      </c>
      <c r="K6" s="40" t="str">
        <f>IFERROR(__xludf.DUMMYFUNCTION("IF(ISBLANK(B6),"""",IF(ISDATE(B6),H6,""""))"),"")</f>
        <v/>
      </c>
      <c r="L6" s="40" t="str">
        <f>IFERROR(__xludf.DUMMYFUNCTION("IF(ISBLANK(B6),"""",IF(ISDATE(B6),TEXT(B6,""M""),""""))"),"")</f>
        <v/>
      </c>
      <c r="M6" s="29" t="str">
        <f>IFERROR(__xludf.DUMMYFUNCTION("IF(L6="""","""",QUERY({'Dashboard-Dados'!$Y$2:$AA$13},""Select Col2 Where Col1=""&amp;L6))"),"")</f>
        <v/>
      </c>
      <c r="N6" s="29" t="str">
        <f>IFERROR(__xludf.DUMMYFUNCTION("IF(ISBLANK(B6),"""",IF(ISDATE(B6),TEXT(B6,""yyyy""),""""))"),"")</f>
        <v/>
      </c>
    </row>
    <row r="7">
      <c r="B7" s="80"/>
      <c r="C7" s="81"/>
      <c r="D7" s="76"/>
      <c r="H7" s="82"/>
      <c r="J7" s="53" t="str">
        <f>IFERROR(__xludf.DUMMYFUNCTION("IF(ISBLANK(B7),"""",IF(ISDATE(B7),""X"",""""))"),"")</f>
        <v/>
      </c>
      <c r="K7" s="40" t="str">
        <f>IFERROR(__xludf.DUMMYFUNCTION("IF(ISBLANK(B7),"""",IF(ISDATE(B7),H7,""""))"),"")</f>
        <v/>
      </c>
      <c r="L7" s="40" t="str">
        <f>IFERROR(__xludf.DUMMYFUNCTION("IF(ISBLANK(B7),"""",IF(ISDATE(B7),TEXT(B7,""M""),""""))"),"")</f>
        <v/>
      </c>
      <c r="M7" s="29" t="str">
        <f>IFERROR(__xludf.DUMMYFUNCTION("IF(L7="""","""",QUERY({'Dashboard-Dados'!$Y$2:$AA$13},""Select Col2 Where Col1=""&amp;L7))"),"")</f>
        <v/>
      </c>
      <c r="N7" s="29" t="str">
        <f>IFERROR(__xludf.DUMMYFUNCTION("IF(ISBLANK(B7),"""",IF(ISDATE(B7),TEXT(B7,""yyyy""),""""))"),"")</f>
        <v/>
      </c>
    </row>
    <row r="8">
      <c r="B8" s="83"/>
      <c r="C8" s="78"/>
      <c r="D8" s="71"/>
      <c r="H8" s="79"/>
      <c r="J8" s="53" t="str">
        <f>IFERROR(__xludf.DUMMYFUNCTION("IF(ISBLANK(B8),"""",IF(ISDATE(B8),""X"",""""))"),"")</f>
        <v/>
      </c>
      <c r="K8" s="40" t="str">
        <f>IFERROR(__xludf.DUMMYFUNCTION("IF(ISBLANK(B8),"""",IF(ISDATE(B8),H8,""""))"),"")</f>
        <v/>
      </c>
      <c r="L8" s="40" t="str">
        <f>IFERROR(__xludf.DUMMYFUNCTION("IF(ISBLANK(B8),"""",IF(ISDATE(B8),TEXT(B8,""M""),""""))"),"")</f>
        <v/>
      </c>
      <c r="M8" s="29" t="str">
        <f>IFERROR(__xludf.DUMMYFUNCTION("IF(L8="""","""",QUERY({'Dashboard-Dados'!$Y$2:$AA$13},""Select Col2 Where Col1=""&amp;L8))"),"")</f>
        <v/>
      </c>
      <c r="N8" s="29" t="str">
        <f>IFERROR(__xludf.DUMMYFUNCTION("IF(ISBLANK(B8),"""",IF(ISDATE(B8),TEXT(B8,""yyyy""),""""))"),"")</f>
        <v/>
      </c>
    </row>
    <row r="9">
      <c r="B9" s="84"/>
      <c r="C9" s="85"/>
      <c r="D9" s="76"/>
      <c r="H9" s="82"/>
      <c r="J9" s="53" t="str">
        <f>IFERROR(__xludf.DUMMYFUNCTION("IF(ISBLANK(B9),"""",IF(ISDATE(B9),""X"",""""))"),"")</f>
        <v/>
      </c>
      <c r="K9" s="40" t="str">
        <f>IFERROR(__xludf.DUMMYFUNCTION("IF(ISBLANK(B9),"""",IF(ISDATE(B9),H9,""""))"),"")</f>
        <v/>
      </c>
      <c r="L9" s="40" t="str">
        <f>IFERROR(__xludf.DUMMYFUNCTION("IF(ISBLANK(B9),"""",IF(ISDATE(B9),TEXT(B9,""M""),""""))"),"")</f>
        <v/>
      </c>
      <c r="M9" s="29" t="str">
        <f>IFERROR(__xludf.DUMMYFUNCTION("IF(L9="""","""",QUERY({'Dashboard-Dados'!$Y$2:$AA$13},""Select Col2 Where Col1=""&amp;L9))"),"")</f>
        <v/>
      </c>
      <c r="N9" s="29" t="str">
        <f>IFERROR(__xludf.DUMMYFUNCTION("IF(ISBLANK(B9),"""",IF(ISDATE(B9),TEXT(B9,""yyyy""),""""))"),"")</f>
        <v/>
      </c>
    </row>
    <row r="10">
      <c r="B10" s="83"/>
      <c r="C10" s="86"/>
      <c r="D10" s="71"/>
      <c r="H10" s="79"/>
      <c r="J10" s="53" t="str">
        <f>IFERROR(__xludf.DUMMYFUNCTION("IF(ISBLANK(B10),"""",IF(ISDATE(B10),""X"",""""))"),"")</f>
        <v/>
      </c>
      <c r="K10" s="40" t="str">
        <f>IFERROR(__xludf.DUMMYFUNCTION("IF(ISBLANK(B10),"""",IF(ISDATE(B10),H10,""""))"),"")</f>
        <v/>
      </c>
      <c r="L10" s="40" t="str">
        <f>IFERROR(__xludf.DUMMYFUNCTION("IF(ISBLANK(B10),"""",IF(ISDATE(B10),TEXT(B10,""M""),""""))"),"")</f>
        <v/>
      </c>
      <c r="M10" s="29" t="str">
        <f>IFERROR(__xludf.DUMMYFUNCTION("IF(L10="""","""",QUERY({'Dashboard-Dados'!$Y$2:$AA$13},""Select Col2 Where Col1=""&amp;L10))"),"")</f>
        <v/>
      </c>
      <c r="N10" s="29" t="str">
        <f>IFERROR(__xludf.DUMMYFUNCTION("IF(ISBLANK(B10),"""",IF(ISDATE(B10),TEXT(B10,""yyyy""),""""))"),"")</f>
        <v/>
      </c>
    </row>
    <row r="11">
      <c r="B11" s="87"/>
      <c r="C11" s="85"/>
      <c r="D11" s="76"/>
      <c r="H11" s="88"/>
      <c r="J11" s="53" t="str">
        <f>IFERROR(__xludf.DUMMYFUNCTION("IF(ISBLANK(B11),"""",IF(ISDATE(B11),""X"",""""))"),"")</f>
        <v/>
      </c>
      <c r="K11" s="40" t="str">
        <f>IFERROR(__xludf.DUMMYFUNCTION("IF(ISBLANK(B11),"""",IF(ISDATE(B11),H11,""""))"),"")</f>
        <v/>
      </c>
      <c r="L11" s="40" t="str">
        <f>IFERROR(__xludf.DUMMYFUNCTION("IF(ISBLANK(B11),"""",IF(ISDATE(B11),TEXT(B11,""M""),""""))"),"")</f>
        <v/>
      </c>
      <c r="M11" s="29" t="str">
        <f>IFERROR(__xludf.DUMMYFUNCTION("IF(L11="""","""",QUERY({'Dashboard-Dados'!$Y$2:$AA$13},""Select Col2 Where Col1=""&amp;L11))"),"")</f>
        <v/>
      </c>
      <c r="N11" s="29" t="str">
        <f>IFERROR(__xludf.DUMMYFUNCTION("IF(ISBLANK(B11),"""",IF(ISDATE(B11),TEXT(B11,""yyyy""),""""))"),"")</f>
        <v/>
      </c>
    </row>
    <row r="12">
      <c r="B12" s="89"/>
      <c r="C12" s="86"/>
      <c r="D12" s="71"/>
      <c r="H12" s="90"/>
      <c r="J12" s="53" t="str">
        <f>IFERROR(__xludf.DUMMYFUNCTION("IF(ISBLANK(B12),"""",IF(ISDATE(B12),""X"",""""))"),"")</f>
        <v/>
      </c>
      <c r="K12" s="40" t="str">
        <f>IFERROR(__xludf.DUMMYFUNCTION("IF(ISBLANK(B12),"""",IF(ISDATE(B12),H12,""""))"),"")</f>
        <v/>
      </c>
      <c r="L12" s="40" t="str">
        <f>IFERROR(__xludf.DUMMYFUNCTION("IF(ISBLANK(B12),"""",IF(ISDATE(B12),TEXT(B12,""M""),""""))"),"")</f>
        <v/>
      </c>
      <c r="M12" s="29" t="str">
        <f>IFERROR(__xludf.DUMMYFUNCTION("IF(L12="""","""",QUERY({'Dashboard-Dados'!$Y$2:$AA$13},""Select Col2 Where Col1=""&amp;L12))"),"")</f>
        <v/>
      </c>
      <c r="N12" s="29" t="str">
        <f>IFERROR(__xludf.DUMMYFUNCTION("IF(ISBLANK(B12),"""",IF(ISDATE(B12),TEXT(B12,""yyyy""),""""))"),"")</f>
        <v/>
      </c>
    </row>
    <row r="13">
      <c r="B13" s="87"/>
      <c r="C13" s="85"/>
      <c r="D13" s="76"/>
      <c r="H13" s="88"/>
      <c r="J13" s="53" t="str">
        <f>IFERROR(__xludf.DUMMYFUNCTION("IF(ISBLANK(B13),"""",IF(ISDATE(B13),""X"",""""))"),"")</f>
        <v/>
      </c>
      <c r="K13" s="40" t="str">
        <f>IFERROR(__xludf.DUMMYFUNCTION("IF(ISBLANK(B13),"""",IF(ISDATE(B13),H13,""""))"),"")</f>
        <v/>
      </c>
      <c r="L13" s="40" t="str">
        <f>IFERROR(__xludf.DUMMYFUNCTION("IF(ISBLANK(B13),"""",IF(ISDATE(B13),TEXT(B13,""M""),""""))"),"")</f>
        <v/>
      </c>
      <c r="M13" s="29" t="str">
        <f>IFERROR(__xludf.DUMMYFUNCTION("IF(L13="""","""",QUERY({'Dashboard-Dados'!$Y$2:$AA$13},""Select Col2 Where Col1=""&amp;L13))"),"")</f>
        <v/>
      </c>
      <c r="N13" s="29" t="str">
        <f>IFERROR(__xludf.DUMMYFUNCTION("IF(ISBLANK(B13),"""",IF(ISDATE(B13),TEXT(B13,""yyyy""),""""))"),"")</f>
        <v/>
      </c>
    </row>
    <row r="14">
      <c r="B14" s="89"/>
      <c r="C14" s="86"/>
      <c r="D14" s="71"/>
      <c r="H14" s="90"/>
      <c r="J14" s="53" t="str">
        <f>IFERROR(__xludf.DUMMYFUNCTION("IF(ISBLANK(B14),"""",IF(ISDATE(B14),""X"",""""))"),"")</f>
        <v/>
      </c>
      <c r="K14" s="40" t="str">
        <f>IFERROR(__xludf.DUMMYFUNCTION("IF(ISBLANK(B14),"""",IF(ISDATE(B14),H14,""""))"),"")</f>
        <v/>
      </c>
      <c r="L14" s="40" t="str">
        <f>IFERROR(__xludf.DUMMYFUNCTION("IF(ISBLANK(B14),"""",IF(ISDATE(B14),TEXT(B14,""M""),""""))"),"")</f>
        <v/>
      </c>
      <c r="M14" s="29" t="str">
        <f>IFERROR(__xludf.DUMMYFUNCTION("IF(L14="""","""",QUERY({'Dashboard-Dados'!$Y$2:$AA$13},""Select Col2 Where Col1=""&amp;L14))"),"")</f>
        <v/>
      </c>
      <c r="N14" s="29" t="str">
        <f>IFERROR(__xludf.DUMMYFUNCTION("IF(ISBLANK(B14),"""",IF(ISDATE(B14),TEXT(B14,""yyyy""),""""))"),"")</f>
        <v/>
      </c>
    </row>
    <row r="15">
      <c r="B15" s="87"/>
      <c r="C15" s="85"/>
      <c r="D15" s="76"/>
      <c r="H15" s="88"/>
      <c r="J15" s="53" t="str">
        <f>IFERROR(__xludf.DUMMYFUNCTION("IF(ISBLANK(B15),"""",IF(ISDATE(B15),""X"",""""))"),"")</f>
        <v/>
      </c>
      <c r="K15" s="40" t="str">
        <f>IFERROR(__xludf.DUMMYFUNCTION("IF(ISBLANK(B15),"""",IF(ISDATE(B15),H15,""""))"),"")</f>
        <v/>
      </c>
      <c r="L15" s="40" t="str">
        <f>IFERROR(__xludf.DUMMYFUNCTION("IF(ISBLANK(B15),"""",IF(ISDATE(B15),TEXT(B15,""M""),""""))"),"")</f>
        <v/>
      </c>
      <c r="M15" s="29" t="str">
        <f>IFERROR(__xludf.DUMMYFUNCTION("IF(L15="""","""",QUERY({'Dashboard-Dados'!$Y$2:$AA$13},""Select Col2 Where Col1=""&amp;L15))"),"")</f>
        <v/>
      </c>
      <c r="N15" s="29" t="str">
        <f>IFERROR(__xludf.DUMMYFUNCTION("IF(ISBLANK(B15),"""",IF(ISDATE(B15),TEXT(B15,""yyyy""),""""))"),"")</f>
        <v/>
      </c>
    </row>
    <row r="16">
      <c r="B16" s="89"/>
      <c r="C16" s="86"/>
      <c r="D16" s="71"/>
      <c r="H16" s="90"/>
      <c r="J16" s="53" t="str">
        <f>IFERROR(__xludf.DUMMYFUNCTION("IF(ISBLANK(B16),"""",IF(ISDATE(B16),""X"",""""))"),"")</f>
        <v/>
      </c>
      <c r="K16" s="40" t="str">
        <f>IFERROR(__xludf.DUMMYFUNCTION("IF(ISBLANK(B16),"""",IF(ISDATE(B16),H16,""""))"),"")</f>
        <v/>
      </c>
      <c r="L16" s="40" t="str">
        <f>IFERROR(__xludf.DUMMYFUNCTION("IF(ISBLANK(B16),"""",IF(ISDATE(B16),TEXT(B16,""M""),""""))"),"")</f>
        <v/>
      </c>
      <c r="M16" s="29" t="str">
        <f>IFERROR(__xludf.DUMMYFUNCTION("IF(L16="""","""",QUERY({'Dashboard-Dados'!$Y$2:$AA$13},""Select Col2 Where Col1=""&amp;L16))"),"")</f>
        <v/>
      </c>
      <c r="N16" s="29" t="str">
        <f>IFERROR(__xludf.DUMMYFUNCTION("IF(ISBLANK(B16),"""",IF(ISDATE(B16),TEXT(B16,""yyyy""),""""))"),"")</f>
        <v/>
      </c>
    </row>
    <row r="17">
      <c r="B17" s="87"/>
      <c r="C17" s="85"/>
      <c r="D17" s="76"/>
      <c r="H17" s="88"/>
      <c r="J17" s="53" t="str">
        <f>IFERROR(__xludf.DUMMYFUNCTION("IF(ISBLANK(B17),"""",IF(ISDATE(B17),""X"",""""))"),"")</f>
        <v/>
      </c>
      <c r="K17" s="40" t="str">
        <f>IFERROR(__xludf.DUMMYFUNCTION("IF(ISBLANK(B17),"""",IF(ISDATE(B17),H17,""""))"),"")</f>
        <v/>
      </c>
      <c r="L17" s="40" t="str">
        <f>IFERROR(__xludf.DUMMYFUNCTION("IF(ISBLANK(B17),"""",IF(ISDATE(B17),TEXT(B17,""M""),""""))"),"")</f>
        <v/>
      </c>
      <c r="M17" s="29" t="str">
        <f>IFERROR(__xludf.DUMMYFUNCTION("IF(L17="""","""",QUERY({'Dashboard-Dados'!$Y$2:$AA$13},""Select Col2 Where Col1=""&amp;L17))"),"")</f>
        <v/>
      </c>
      <c r="N17" s="29" t="str">
        <f>IFERROR(__xludf.DUMMYFUNCTION("IF(ISBLANK(B17),"""",IF(ISDATE(B17),TEXT(B17,""yyyy""),""""))"),"")</f>
        <v/>
      </c>
    </row>
    <row r="18">
      <c r="B18" s="89"/>
      <c r="C18" s="86"/>
      <c r="D18" s="71"/>
      <c r="H18" s="90"/>
      <c r="J18" s="53" t="str">
        <f>IFERROR(__xludf.DUMMYFUNCTION("IF(ISBLANK(B18),"""",IF(ISDATE(B18),""X"",""""))"),"")</f>
        <v/>
      </c>
      <c r="K18" s="40" t="str">
        <f>IFERROR(__xludf.DUMMYFUNCTION("IF(ISBLANK(B18),"""",IF(ISDATE(B18),H18,""""))"),"")</f>
        <v/>
      </c>
      <c r="L18" s="40" t="str">
        <f>IFERROR(__xludf.DUMMYFUNCTION("IF(ISBLANK(B18),"""",IF(ISDATE(B18),TEXT(B18,""M""),""""))"),"")</f>
        <v/>
      </c>
      <c r="M18" s="29" t="str">
        <f>IFERROR(__xludf.DUMMYFUNCTION("IF(L18="""","""",QUERY({'Dashboard-Dados'!$Y$2:$AA$13},""Select Col2 Where Col1=""&amp;L18))"),"")</f>
        <v/>
      </c>
      <c r="N18" s="29" t="str">
        <f>IFERROR(__xludf.DUMMYFUNCTION("IF(ISBLANK(B18),"""",IF(ISDATE(B18),TEXT(B18,""yyyy""),""""))"),"")</f>
        <v/>
      </c>
    </row>
    <row r="19">
      <c r="B19" s="87"/>
      <c r="C19" s="85"/>
      <c r="D19" s="76"/>
      <c r="H19" s="88"/>
      <c r="J19" s="53" t="str">
        <f>IFERROR(__xludf.DUMMYFUNCTION("IF(ISBLANK(B19),"""",IF(ISDATE(B19),""X"",""""))"),"")</f>
        <v/>
      </c>
      <c r="K19" s="40" t="str">
        <f>IFERROR(__xludf.DUMMYFUNCTION("IF(ISBLANK(B19),"""",IF(ISDATE(B19),H19,""""))"),"")</f>
        <v/>
      </c>
      <c r="L19" s="40" t="str">
        <f>IFERROR(__xludf.DUMMYFUNCTION("IF(ISBLANK(B19),"""",IF(ISDATE(B19),TEXT(B19,""M""),""""))"),"")</f>
        <v/>
      </c>
      <c r="M19" s="29" t="str">
        <f>IFERROR(__xludf.DUMMYFUNCTION("IF(L19="""","""",QUERY({'Dashboard-Dados'!$Y$2:$AA$13},""Select Col2 Where Col1=""&amp;L19))"),"")</f>
        <v/>
      </c>
      <c r="N19" s="29" t="str">
        <f>IFERROR(__xludf.DUMMYFUNCTION("IF(ISBLANK(B19),"""",IF(ISDATE(B19),TEXT(B19,""yyyy""),""""))"),"")</f>
        <v/>
      </c>
    </row>
    <row r="20">
      <c r="B20" s="89"/>
      <c r="C20" s="86"/>
      <c r="D20" s="71"/>
      <c r="H20" s="90"/>
      <c r="J20" s="53" t="str">
        <f>IFERROR(__xludf.DUMMYFUNCTION("IF(ISBLANK(B20),"""",IF(ISDATE(B20),""X"",""""))"),"")</f>
        <v/>
      </c>
      <c r="K20" s="40" t="str">
        <f>IFERROR(__xludf.DUMMYFUNCTION("IF(ISBLANK(B20),"""",IF(ISDATE(B20),H20,""""))"),"")</f>
        <v/>
      </c>
      <c r="L20" s="40" t="str">
        <f>IFERROR(__xludf.DUMMYFUNCTION("IF(ISBLANK(B20),"""",IF(ISDATE(B20),TEXT(B20,""M""),""""))"),"")</f>
        <v/>
      </c>
      <c r="M20" s="29" t="str">
        <f>IFERROR(__xludf.DUMMYFUNCTION("IF(L20="""","""",QUERY({'Dashboard-Dados'!$Y$2:$AA$13},""Select Col2 Where Col1=""&amp;L20))"),"")</f>
        <v/>
      </c>
      <c r="N20" s="29" t="str">
        <f>IFERROR(__xludf.DUMMYFUNCTION("IF(ISBLANK(B20),"""",IF(ISDATE(B20),TEXT(B20,""yyyy""),""""))"),"")</f>
        <v/>
      </c>
    </row>
    <row r="21">
      <c r="B21" s="87"/>
      <c r="C21" s="85"/>
      <c r="D21" s="76"/>
      <c r="H21" s="88"/>
      <c r="J21" s="53" t="str">
        <f>IFERROR(__xludf.DUMMYFUNCTION("IF(ISBLANK(B21),"""",IF(ISDATE(B21),""X"",""""))"),"")</f>
        <v/>
      </c>
      <c r="K21" s="40" t="str">
        <f>IFERROR(__xludf.DUMMYFUNCTION("IF(ISBLANK(B21),"""",IF(ISDATE(B21),H21,""""))"),"")</f>
        <v/>
      </c>
      <c r="L21" s="40" t="str">
        <f>IFERROR(__xludf.DUMMYFUNCTION("IF(ISBLANK(B21),"""",IF(ISDATE(B21),TEXT(B21,""M""),""""))"),"")</f>
        <v/>
      </c>
      <c r="M21" s="29" t="str">
        <f>IFERROR(__xludf.DUMMYFUNCTION("IF(L21="""","""",QUERY({'Dashboard-Dados'!$Y$2:$AA$13},""Select Col2 Where Col1=""&amp;L21))"),"")</f>
        <v/>
      </c>
      <c r="N21" s="29" t="str">
        <f>IFERROR(__xludf.DUMMYFUNCTION("IF(ISBLANK(B21),"""",IF(ISDATE(B21),TEXT(B21,""yyyy""),""""))"),"")</f>
        <v/>
      </c>
    </row>
    <row r="22">
      <c r="B22" s="89"/>
      <c r="C22" s="86"/>
      <c r="D22" s="71"/>
      <c r="H22" s="90"/>
      <c r="J22" s="53" t="str">
        <f>IFERROR(__xludf.DUMMYFUNCTION("IF(ISBLANK(B22),"""",IF(ISDATE(B22),""X"",""""))"),"")</f>
        <v/>
      </c>
      <c r="K22" s="40" t="str">
        <f>IFERROR(__xludf.DUMMYFUNCTION("IF(ISBLANK(B22),"""",IF(ISDATE(B22),H22,""""))"),"")</f>
        <v/>
      </c>
      <c r="L22" s="40" t="str">
        <f>IFERROR(__xludf.DUMMYFUNCTION("IF(ISBLANK(B22),"""",IF(ISDATE(B22),TEXT(B22,""M""),""""))"),"")</f>
        <v/>
      </c>
      <c r="M22" s="29" t="str">
        <f>IFERROR(__xludf.DUMMYFUNCTION("IF(L22="""","""",QUERY({'Dashboard-Dados'!$Y$2:$AA$13},""Select Col2 Where Col1=""&amp;L22))"),"")</f>
        <v/>
      </c>
      <c r="N22" s="29" t="str">
        <f>IFERROR(__xludf.DUMMYFUNCTION("IF(ISBLANK(B22),"""",IF(ISDATE(B22),TEXT(B22,""yyyy""),""""))"),"")</f>
        <v/>
      </c>
    </row>
    <row r="23">
      <c r="B23" s="87"/>
      <c r="C23" s="85"/>
      <c r="D23" s="76"/>
      <c r="H23" s="88"/>
      <c r="J23" s="53" t="str">
        <f>IFERROR(__xludf.DUMMYFUNCTION("IF(ISBLANK(B23),"""",IF(ISDATE(B23),""X"",""""))"),"")</f>
        <v/>
      </c>
      <c r="K23" s="40" t="str">
        <f>IFERROR(__xludf.DUMMYFUNCTION("IF(ISBLANK(B23),"""",IF(ISDATE(B23),H23,""""))"),"")</f>
        <v/>
      </c>
      <c r="L23" s="40" t="str">
        <f>IFERROR(__xludf.DUMMYFUNCTION("IF(ISBLANK(B23),"""",IF(ISDATE(B23),TEXT(B23,""M""),""""))"),"")</f>
        <v/>
      </c>
      <c r="M23" s="29" t="str">
        <f>IFERROR(__xludf.DUMMYFUNCTION("IF(L23="""","""",QUERY({'Dashboard-Dados'!$Y$2:$AA$13},""Select Col2 Where Col1=""&amp;L23))"),"")</f>
        <v/>
      </c>
      <c r="N23" s="29" t="str">
        <f>IFERROR(__xludf.DUMMYFUNCTION("IF(ISBLANK(B23),"""",IF(ISDATE(B23),TEXT(B23,""yyyy""),""""))"),"")</f>
        <v/>
      </c>
    </row>
    <row r="24">
      <c r="B24" s="89"/>
      <c r="C24" s="86"/>
      <c r="D24" s="71"/>
      <c r="H24" s="90"/>
      <c r="J24" s="53" t="str">
        <f>IFERROR(__xludf.DUMMYFUNCTION("IF(ISBLANK(B24),"""",IF(ISDATE(B24),""X"",""""))"),"")</f>
        <v/>
      </c>
      <c r="K24" s="40" t="str">
        <f>IFERROR(__xludf.DUMMYFUNCTION("IF(ISBLANK(B24),"""",IF(ISDATE(B24),H24,""""))"),"")</f>
        <v/>
      </c>
      <c r="L24" s="40" t="str">
        <f>IFERROR(__xludf.DUMMYFUNCTION("IF(ISBLANK(B24),"""",IF(ISDATE(B24),TEXT(B24,""M""),""""))"),"")</f>
        <v/>
      </c>
      <c r="M24" s="29" t="str">
        <f>IFERROR(__xludf.DUMMYFUNCTION("IF(L24="""","""",QUERY({'Dashboard-Dados'!$Y$2:$AA$13},""Select Col2 Where Col1=""&amp;L24))"),"")</f>
        <v/>
      </c>
      <c r="N24" s="29" t="str">
        <f>IFERROR(__xludf.DUMMYFUNCTION("IF(ISBLANK(B24),"""",IF(ISDATE(B24),TEXT(B24,""yyyy""),""""))"),"")</f>
        <v/>
      </c>
    </row>
    <row r="25">
      <c r="B25" s="87"/>
      <c r="C25" s="85"/>
      <c r="D25" s="76"/>
      <c r="H25" s="88"/>
      <c r="J25" s="53" t="str">
        <f>IFERROR(__xludf.DUMMYFUNCTION("IF(ISBLANK(B25),"""",IF(ISDATE(B25),""X"",""""))"),"")</f>
        <v/>
      </c>
      <c r="K25" s="40" t="str">
        <f>IFERROR(__xludf.DUMMYFUNCTION("IF(ISBLANK(B25),"""",IF(ISDATE(B25),H25,""""))"),"")</f>
        <v/>
      </c>
      <c r="L25" s="40" t="str">
        <f>IFERROR(__xludf.DUMMYFUNCTION("IF(ISBLANK(B25),"""",IF(ISDATE(B25),TEXT(B25,""M""),""""))"),"")</f>
        <v/>
      </c>
      <c r="M25" s="29" t="str">
        <f>IFERROR(__xludf.DUMMYFUNCTION("IF(L25="""","""",QUERY({'Dashboard-Dados'!$Y$2:$AA$13},""Select Col2 Where Col1=""&amp;L25))"),"")</f>
        <v/>
      </c>
      <c r="N25" s="29" t="str">
        <f>IFERROR(__xludf.DUMMYFUNCTION("IF(ISBLANK(B25),"""",IF(ISDATE(B25),TEXT(B25,""yyyy""),""""))"),"")</f>
        <v/>
      </c>
    </row>
    <row r="26">
      <c r="B26" s="89"/>
      <c r="C26" s="86"/>
      <c r="D26" s="71"/>
      <c r="H26" s="90"/>
      <c r="J26" s="53" t="str">
        <f>IFERROR(__xludf.DUMMYFUNCTION("IF(ISBLANK(B26),"""",IF(ISDATE(B26),""X"",""""))"),"")</f>
        <v/>
      </c>
      <c r="K26" s="40" t="str">
        <f>IFERROR(__xludf.DUMMYFUNCTION("IF(ISBLANK(B26),"""",IF(ISDATE(B26),H26,""""))"),"")</f>
        <v/>
      </c>
      <c r="L26" s="40" t="str">
        <f>IFERROR(__xludf.DUMMYFUNCTION("IF(ISBLANK(B26),"""",IF(ISDATE(B26),TEXT(B26,""M""),""""))"),"")</f>
        <v/>
      </c>
      <c r="M26" s="29" t="str">
        <f>IFERROR(__xludf.DUMMYFUNCTION("IF(L26="""","""",QUERY({'Dashboard-Dados'!$Y$2:$AA$13},""Select Col2 Where Col1=""&amp;L26))"),"")</f>
        <v/>
      </c>
      <c r="N26" s="29" t="str">
        <f>IFERROR(__xludf.DUMMYFUNCTION("IF(ISBLANK(B26),"""",IF(ISDATE(B26),TEXT(B26,""yyyy""),""""))"),"")</f>
        <v/>
      </c>
    </row>
    <row r="27">
      <c r="B27" s="87"/>
      <c r="C27" s="85"/>
      <c r="D27" s="76"/>
      <c r="H27" s="88"/>
      <c r="J27" s="53" t="str">
        <f>IFERROR(__xludf.DUMMYFUNCTION("IF(ISBLANK(B27),"""",IF(ISDATE(B27),""X"",""""))"),"")</f>
        <v/>
      </c>
      <c r="K27" s="40" t="str">
        <f>IFERROR(__xludf.DUMMYFUNCTION("IF(ISBLANK(B27),"""",IF(ISDATE(B27),H27,""""))"),"")</f>
        <v/>
      </c>
      <c r="L27" s="40" t="str">
        <f>IFERROR(__xludf.DUMMYFUNCTION("IF(ISBLANK(B27),"""",IF(ISDATE(B27),TEXT(B27,""M""),""""))"),"")</f>
        <v/>
      </c>
      <c r="M27" s="29" t="str">
        <f>IFERROR(__xludf.DUMMYFUNCTION("IF(L27="""","""",QUERY({'Dashboard-Dados'!$Y$2:$AA$13},""Select Col2 Where Col1=""&amp;L27))"),"")</f>
        <v/>
      </c>
      <c r="N27" s="29" t="str">
        <f>IFERROR(__xludf.DUMMYFUNCTION("IF(ISBLANK(B27),"""",IF(ISDATE(B27),TEXT(B27,""yyyy""),""""))"),"")</f>
        <v/>
      </c>
    </row>
    <row r="28">
      <c r="B28" s="89"/>
      <c r="C28" s="86"/>
      <c r="D28" s="71"/>
      <c r="H28" s="90"/>
      <c r="J28" s="53" t="str">
        <f>IFERROR(__xludf.DUMMYFUNCTION("IF(ISBLANK(B28),"""",IF(ISDATE(B28),""X"",""""))"),"")</f>
        <v/>
      </c>
      <c r="K28" s="40" t="str">
        <f>IFERROR(__xludf.DUMMYFUNCTION("IF(ISBLANK(B28),"""",IF(ISDATE(B28),H28,""""))"),"")</f>
        <v/>
      </c>
      <c r="L28" s="40" t="str">
        <f>IFERROR(__xludf.DUMMYFUNCTION("IF(ISBLANK(B28),"""",IF(ISDATE(B28),TEXT(B28,""M""),""""))"),"")</f>
        <v/>
      </c>
      <c r="M28" s="29" t="str">
        <f>IFERROR(__xludf.DUMMYFUNCTION("IF(L28="""","""",QUERY({'Dashboard-Dados'!$Y$2:$AA$13},""Select Col2 Where Col1=""&amp;L28))"),"")</f>
        <v/>
      </c>
      <c r="N28" s="29" t="str">
        <f>IFERROR(__xludf.DUMMYFUNCTION("IF(ISBLANK(B28),"""",IF(ISDATE(B28),TEXT(B28,""yyyy""),""""))"),"")</f>
        <v/>
      </c>
    </row>
    <row r="29">
      <c r="B29" s="87"/>
      <c r="C29" s="85"/>
      <c r="D29" s="76"/>
      <c r="H29" s="88"/>
      <c r="J29" s="53" t="str">
        <f>IFERROR(__xludf.DUMMYFUNCTION("IF(ISBLANK(B29),"""",IF(ISDATE(B29),""X"",""""))"),"")</f>
        <v/>
      </c>
      <c r="K29" s="40" t="str">
        <f>IFERROR(__xludf.DUMMYFUNCTION("IF(ISBLANK(B29),"""",IF(ISDATE(B29),H29,""""))"),"")</f>
        <v/>
      </c>
      <c r="L29" s="40" t="str">
        <f>IFERROR(__xludf.DUMMYFUNCTION("IF(ISBLANK(B29),"""",IF(ISDATE(B29),TEXT(B29,""M""),""""))"),"")</f>
        <v/>
      </c>
      <c r="M29" s="29" t="str">
        <f>IFERROR(__xludf.DUMMYFUNCTION("IF(L29="""","""",QUERY({'Dashboard-Dados'!$Y$2:$AA$13},""Select Col2 Where Col1=""&amp;L29))"),"")</f>
        <v/>
      </c>
      <c r="N29" s="29" t="str">
        <f>IFERROR(__xludf.DUMMYFUNCTION("IF(ISBLANK(B29),"""",IF(ISDATE(B29),TEXT(B29,""yyyy""),""""))"),"")</f>
        <v/>
      </c>
    </row>
    <row r="30">
      <c r="B30" s="89"/>
      <c r="C30" s="86"/>
      <c r="D30" s="71"/>
      <c r="H30" s="90"/>
      <c r="J30" s="53" t="str">
        <f>IFERROR(__xludf.DUMMYFUNCTION("IF(ISBLANK(B30),"""",IF(ISDATE(B30),""X"",""""))"),"")</f>
        <v/>
      </c>
      <c r="K30" s="40" t="str">
        <f>IFERROR(__xludf.DUMMYFUNCTION("IF(ISBLANK(B30),"""",IF(ISDATE(B30),H30,""""))"),"")</f>
        <v/>
      </c>
      <c r="L30" s="40" t="str">
        <f>IFERROR(__xludf.DUMMYFUNCTION("IF(ISBLANK(B30),"""",IF(ISDATE(B30),TEXT(B30,""M""),""""))"),"")</f>
        <v/>
      </c>
      <c r="M30" s="29" t="str">
        <f>IFERROR(__xludf.DUMMYFUNCTION("IF(L30="""","""",QUERY({'Dashboard-Dados'!$Y$2:$AA$13},""Select Col2 Where Col1=""&amp;L30))"),"")</f>
        <v/>
      </c>
      <c r="N30" s="29" t="str">
        <f>IFERROR(__xludf.DUMMYFUNCTION("IF(ISBLANK(B30),"""",IF(ISDATE(B30),TEXT(B30,""yyyy""),""""))"),"")</f>
        <v/>
      </c>
    </row>
    <row r="31">
      <c r="B31" s="87"/>
      <c r="C31" s="85"/>
      <c r="D31" s="76"/>
      <c r="H31" s="88"/>
      <c r="J31" s="53" t="str">
        <f>IFERROR(__xludf.DUMMYFUNCTION("IF(ISBLANK(B31),"""",IF(ISDATE(B31),""X"",""""))"),"")</f>
        <v/>
      </c>
      <c r="K31" s="40" t="str">
        <f>IFERROR(__xludf.DUMMYFUNCTION("IF(ISBLANK(B31),"""",IF(ISDATE(B31),H31,""""))"),"")</f>
        <v/>
      </c>
      <c r="L31" s="40" t="str">
        <f>IFERROR(__xludf.DUMMYFUNCTION("IF(ISBLANK(B31),"""",IF(ISDATE(B31),TEXT(B31,""M""),""""))"),"")</f>
        <v/>
      </c>
      <c r="M31" s="29" t="str">
        <f>IFERROR(__xludf.DUMMYFUNCTION("IF(L31="""","""",QUERY({'Dashboard-Dados'!$Y$2:$AA$13},""Select Col2 Where Col1=""&amp;L31))"),"")</f>
        <v/>
      </c>
      <c r="N31" s="29" t="str">
        <f>IFERROR(__xludf.DUMMYFUNCTION("IF(ISBLANK(B31),"""",IF(ISDATE(B31),TEXT(B31,""yyyy""),""""))"),"")</f>
        <v/>
      </c>
    </row>
    <row r="32">
      <c r="B32" s="89"/>
      <c r="C32" s="86"/>
      <c r="D32" s="71"/>
      <c r="H32" s="90"/>
      <c r="J32" s="53" t="str">
        <f>IFERROR(__xludf.DUMMYFUNCTION("IF(ISBLANK(B32),"""",IF(ISDATE(B32),""X"",""""))"),"")</f>
        <v/>
      </c>
      <c r="K32" s="40" t="str">
        <f>IFERROR(__xludf.DUMMYFUNCTION("IF(ISBLANK(B32),"""",IF(ISDATE(B32),H32,""""))"),"")</f>
        <v/>
      </c>
      <c r="L32" s="40" t="str">
        <f>IFERROR(__xludf.DUMMYFUNCTION("IF(ISBLANK(B32),"""",IF(ISDATE(B32),TEXT(B32,""M""),""""))"),"")</f>
        <v/>
      </c>
      <c r="M32" s="29" t="str">
        <f>IFERROR(__xludf.DUMMYFUNCTION("IF(L32="""","""",QUERY({'Dashboard-Dados'!$Y$2:$AA$13},""Select Col2 Where Col1=""&amp;L32))"),"")</f>
        <v/>
      </c>
      <c r="N32" s="29" t="str">
        <f>IFERROR(__xludf.DUMMYFUNCTION("IF(ISBLANK(B32),"""",IF(ISDATE(B32),TEXT(B32,""yyyy""),""""))"),"")</f>
        <v/>
      </c>
    </row>
    <row r="33">
      <c r="B33" s="87"/>
      <c r="C33" s="85"/>
      <c r="D33" s="76"/>
      <c r="H33" s="88"/>
      <c r="J33" s="53" t="str">
        <f>IFERROR(__xludf.DUMMYFUNCTION("IF(ISBLANK(B33),"""",IF(ISDATE(B33),""X"",""""))"),"")</f>
        <v/>
      </c>
      <c r="K33" s="40" t="str">
        <f>IFERROR(__xludf.DUMMYFUNCTION("IF(ISBLANK(B33),"""",IF(ISDATE(B33),H33,""""))"),"")</f>
        <v/>
      </c>
      <c r="L33" s="40" t="str">
        <f>IFERROR(__xludf.DUMMYFUNCTION("IF(ISBLANK(B33),"""",IF(ISDATE(B33),TEXT(B33,""M""),""""))"),"")</f>
        <v/>
      </c>
      <c r="M33" s="29" t="str">
        <f>IFERROR(__xludf.DUMMYFUNCTION("IF(L33="""","""",QUERY({'Dashboard-Dados'!$Y$2:$AA$13},""Select Col2 Where Col1=""&amp;L33))"),"")</f>
        <v/>
      </c>
      <c r="N33" s="29" t="str">
        <f>IFERROR(__xludf.DUMMYFUNCTION("IF(ISBLANK(B33),"""",IF(ISDATE(B33),TEXT(B33,""yyyy""),""""))"),"")</f>
        <v/>
      </c>
    </row>
    <row r="34">
      <c r="B34" s="89"/>
      <c r="C34" s="86"/>
      <c r="D34" s="71"/>
      <c r="H34" s="90"/>
      <c r="J34" s="53" t="str">
        <f>IFERROR(__xludf.DUMMYFUNCTION("IF(ISBLANK(B34),"""",IF(ISDATE(B34),""X"",""""))"),"")</f>
        <v/>
      </c>
      <c r="K34" s="40" t="str">
        <f>IFERROR(__xludf.DUMMYFUNCTION("IF(ISBLANK(B34),"""",IF(ISDATE(B34),H34,""""))"),"")</f>
        <v/>
      </c>
      <c r="L34" s="40" t="str">
        <f>IFERROR(__xludf.DUMMYFUNCTION("IF(ISBLANK(B34),"""",IF(ISDATE(B34),TEXT(B34,""M""),""""))"),"")</f>
        <v/>
      </c>
      <c r="M34" s="29" t="str">
        <f>IFERROR(__xludf.DUMMYFUNCTION("IF(L34="""","""",QUERY({'Dashboard-Dados'!$Y$2:$AA$13},""Select Col2 Where Col1=""&amp;L34))"),"")</f>
        <v/>
      </c>
      <c r="N34" s="29" t="str">
        <f>IFERROR(__xludf.DUMMYFUNCTION("IF(ISBLANK(B34),"""",IF(ISDATE(B34),TEXT(B34,""yyyy""),""""))"),"")</f>
        <v/>
      </c>
    </row>
    <row r="35">
      <c r="B35" s="87"/>
      <c r="C35" s="85"/>
      <c r="D35" s="76"/>
      <c r="H35" s="88"/>
      <c r="J35" s="53" t="str">
        <f>IFERROR(__xludf.DUMMYFUNCTION("IF(ISBLANK(B35),"""",IF(ISDATE(B35),""X"",""""))"),"")</f>
        <v/>
      </c>
      <c r="K35" s="40" t="str">
        <f>IFERROR(__xludf.DUMMYFUNCTION("IF(ISBLANK(B35),"""",IF(ISDATE(B35),H35,""""))"),"")</f>
        <v/>
      </c>
      <c r="L35" s="40" t="str">
        <f>IFERROR(__xludf.DUMMYFUNCTION("IF(ISBLANK(B35),"""",IF(ISDATE(B35),TEXT(B35,""M""),""""))"),"")</f>
        <v/>
      </c>
      <c r="M35" s="29" t="str">
        <f>IFERROR(__xludf.DUMMYFUNCTION("IF(L35="""","""",QUERY({'Dashboard-Dados'!$Y$2:$AA$13},""Select Col2 Where Col1=""&amp;L35))"),"")</f>
        <v/>
      </c>
      <c r="N35" s="29" t="str">
        <f>IFERROR(__xludf.DUMMYFUNCTION("IF(ISBLANK(B35),"""",IF(ISDATE(B35),TEXT(B35,""yyyy""),""""))"),"")</f>
        <v/>
      </c>
    </row>
    <row r="36">
      <c r="B36" s="89"/>
      <c r="C36" s="86"/>
      <c r="D36" s="71"/>
      <c r="H36" s="90"/>
      <c r="J36" s="53" t="str">
        <f>IFERROR(__xludf.DUMMYFUNCTION("IF(ISBLANK(B36),"""",IF(ISDATE(B36),""X"",""""))"),"")</f>
        <v/>
      </c>
      <c r="K36" s="40" t="str">
        <f>IFERROR(__xludf.DUMMYFUNCTION("IF(ISBLANK(B36),"""",IF(ISDATE(B36),H36,""""))"),"")</f>
        <v/>
      </c>
      <c r="L36" s="40" t="str">
        <f>IFERROR(__xludf.DUMMYFUNCTION("IF(ISBLANK(B36),"""",IF(ISDATE(B36),TEXT(B36,""M""),""""))"),"")</f>
        <v/>
      </c>
      <c r="M36" s="29" t="str">
        <f>IFERROR(__xludf.DUMMYFUNCTION("IF(L36="""","""",QUERY({'Dashboard-Dados'!$Y$2:$AA$13},""Select Col2 Where Col1=""&amp;L36))"),"")</f>
        <v/>
      </c>
      <c r="N36" s="29" t="str">
        <f>IFERROR(__xludf.DUMMYFUNCTION("IF(ISBLANK(B36),"""",IF(ISDATE(B36),TEXT(B36,""yyyy""),""""))"),"")</f>
        <v/>
      </c>
    </row>
    <row r="37">
      <c r="B37" s="87"/>
      <c r="C37" s="85"/>
      <c r="D37" s="76"/>
      <c r="H37" s="88"/>
      <c r="J37" s="53" t="str">
        <f>IFERROR(__xludf.DUMMYFUNCTION("IF(ISBLANK(B37),"""",IF(ISDATE(B37),""X"",""""))"),"")</f>
        <v/>
      </c>
      <c r="K37" s="40" t="str">
        <f>IFERROR(__xludf.DUMMYFUNCTION("IF(ISBLANK(B37),"""",IF(ISDATE(B37),H37,""""))"),"")</f>
        <v/>
      </c>
      <c r="L37" s="40" t="str">
        <f>IFERROR(__xludf.DUMMYFUNCTION("IF(ISBLANK(B37),"""",IF(ISDATE(B37),TEXT(B37,""M""),""""))"),"")</f>
        <v/>
      </c>
      <c r="M37" s="29" t="str">
        <f>IFERROR(__xludf.DUMMYFUNCTION("IF(L37="""","""",QUERY({'Dashboard-Dados'!$Y$2:$AA$13},""Select Col2 Where Col1=""&amp;L37))"),"")</f>
        <v/>
      </c>
      <c r="N37" s="29" t="str">
        <f>IFERROR(__xludf.DUMMYFUNCTION("IF(ISBLANK(B37),"""",IF(ISDATE(B37),TEXT(B37,""yyyy""),""""))"),"")</f>
        <v/>
      </c>
    </row>
    <row r="38">
      <c r="B38" s="89"/>
      <c r="C38" s="86"/>
      <c r="D38" s="71"/>
      <c r="H38" s="90"/>
      <c r="J38" s="53" t="str">
        <f>IFERROR(__xludf.DUMMYFUNCTION("IF(ISBLANK(B38),"""",IF(ISDATE(B38),""X"",""""))"),"")</f>
        <v/>
      </c>
      <c r="K38" s="40" t="str">
        <f>IFERROR(__xludf.DUMMYFUNCTION("IF(ISBLANK(B38),"""",IF(ISDATE(B38),H38,""""))"),"")</f>
        <v/>
      </c>
      <c r="L38" s="40" t="str">
        <f>IFERROR(__xludf.DUMMYFUNCTION("IF(ISBLANK(B38),"""",IF(ISDATE(B38),TEXT(B38,""M""),""""))"),"")</f>
        <v/>
      </c>
      <c r="M38" s="29" t="str">
        <f>IFERROR(__xludf.DUMMYFUNCTION("IF(L38="""","""",QUERY({'Dashboard-Dados'!$Y$2:$AA$13},""Select Col2 Where Col1=""&amp;L38))"),"")</f>
        <v/>
      </c>
      <c r="N38" s="29" t="str">
        <f>IFERROR(__xludf.DUMMYFUNCTION("IF(ISBLANK(B38),"""",IF(ISDATE(B38),TEXT(B38,""yyyy""),""""))"),"")</f>
        <v/>
      </c>
    </row>
    <row r="39">
      <c r="B39" s="87"/>
      <c r="C39" s="85"/>
      <c r="D39" s="76"/>
      <c r="H39" s="88"/>
      <c r="J39" s="53" t="str">
        <f>IFERROR(__xludf.DUMMYFUNCTION("IF(ISBLANK(B39),"""",IF(ISDATE(B39),""X"",""""))"),"")</f>
        <v/>
      </c>
      <c r="K39" s="40" t="str">
        <f>IFERROR(__xludf.DUMMYFUNCTION("IF(ISBLANK(B39),"""",IF(ISDATE(B39),H39,""""))"),"")</f>
        <v/>
      </c>
      <c r="L39" s="40" t="str">
        <f>IFERROR(__xludf.DUMMYFUNCTION("IF(ISBLANK(B39),"""",IF(ISDATE(B39),TEXT(B39,""M""),""""))"),"")</f>
        <v/>
      </c>
      <c r="M39" s="29" t="str">
        <f>IFERROR(__xludf.DUMMYFUNCTION("IF(L39="""","""",QUERY({'Dashboard-Dados'!$Y$2:$AA$13},""Select Col2 Where Col1=""&amp;L39))"),"")</f>
        <v/>
      </c>
      <c r="N39" s="29" t="str">
        <f>IFERROR(__xludf.DUMMYFUNCTION("IF(ISBLANK(B39),"""",IF(ISDATE(B39),TEXT(B39,""yyyy""),""""))"),"")</f>
        <v/>
      </c>
    </row>
    <row r="40">
      <c r="B40" s="89"/>
      <c r="C40" s="86"/>
      <c r="D40" s="71"/>
      <c r="H40" s="90"/>
      <c r="J40" s="53" t="str">
        <f>IFERROR(__xludf.DUMMYFUNCTION("IF(ISBLANK(B40),"""",IF(ISDATE(B40),""X"",""""))"),"")</f>
        <v/>
      </c>
      <c r="K40" s="40" t="str">
        <f>IFERROR(__xludf.DUMMYFUNCTION("IF(ISBLANK(B40),"""",IF(ISDATE(B40),H40,""""))"),"")</f>
        <v/>
      </c>
      <c r="L40" s="40" t="str">
        <f>IFERROR(__xludf.DUMMYFUNCTION("IF(ISBLANK(B40),"""",IF(ISDATE(B40),TEXT(B40,""M""),""""))"),"")</f>
        <v/>
      </c>
      <c r="M40" s="29" t="str">
        <f>IFERROR(__xludf.DUMMYFUNCTION("IF(L40="""","""",QUERY({'Dashboard-Dados'!$Y$2:$AA$13},""Select Col2 Where Col1=""&amp;L40))"),"")</f>
        <v/>
      </c>
      <c r="N40" s="29" t="str">
        <f>IFERROR(__xludf.DUMMYFUNCTION("IF(ISBLANK(B40),"""",IF(ISDATE(B40),TEXT(B40,""yyyy""),""""))"),"")</f>
        <v/>
      </c>
    </row>
    <row r="41">
      <c r="B41" s="87"/>
      <c r="C41" s="85"/>
      <c r="D41" s="76"/>
      <c r="H41" s="88"/>
      <c r="J41" s="53" t="str">
        <f>IFERROR(__xludf.DUMMYFUNCTION("IF(ISBLANK(B41),"""",IF(ISDATE(B41),""X"",""""))"),"")</f>
        <v/>
      </c>
      <c r="K41" s="40" t="str">
        <f>IFERROR(__xludf.DUMMYFUNCTION("IF(ISBLANK(B41),"""",IF(ISDATE(B41),H41,""""))"),"")</f>
        <v/>
      </c>
      <c r="L41" s="40" t="str">
        <f>IFERROR(__xludf.DUMMYFUNCTION("IF(ISBLANK(B41),"""",IF(ISDATE(B41),TEXT(B41,""M""),""""))"),"")</f>
        <v/>
      </c>
      <c r="M41" s="29" t="str">
        <f>IFERROR(__xludf.DUMMYFUNCTION("IF(L41="""","""",QUERY({'Dashboard-Dados'!$Y$2:$AA$13},""Select Col2 Where Col1=""&amp;L41))"),"")</f>
        <v/>
      </c>
      <c r="N41" s="29" t="str">
        <f>IFERROR(__xludf.DUMMYFUNCTION("IF(ISBLANK(B41),"""",IF(ISDATE(B41),TEXT(B41,""yyyy""),""""))"),"")</f>
        <v/>
      </c>
    </row>
    <row r="42">
      <c r="B42" s="89"/>
      <c r="C42" s="86"/>
      <c r="D42" s="71"/>
      <c r="H42" s="90"/>
      <c r="J42" s="53" t="str">
        <f>IFERROR(__xludf.DUMMYFUNCTION("IF(ISBLANK(B42),"""",IF(ISDATE(B42),""X"",""""))"),"")</f>
        <v/>
      </c>
      <c r="K42" s="40" t="str">
        <f>IFERROR(__xludf.DUMMYFUNCTION("IF(ISBLANK(B42),"""",IF(ISDATE(B42),H42,""""))"),"")</f>
        <v/>
      </c>
      <c r="L42" s="40" t="str">
        <f>IFERROR(__xludf.DUMMYFUNCTION("IF(ISBLANK(B42),"""",IF(ISDATE(B42),TEXT(B42,""M""),""""))"),"")</f>
        <v/>
      </c>
      <c r="M42" s="29" t="str">
        <f>IFERROR(__xludf.DUMMYFUNCTION("IF(L42="""","""",QUERY({'Dashboard-Dados'!$Y$2:$AA$13},""Select Col2 Where Col1=""&amp;L42))"),"")</f>
        <v/>
      </c>
      <c r="N42" s="29" t="str">
        <f>IFERROR(__xludf.DUMMYFUNCTION("IF(ISBLANK(B42),"""",IF(ISDATE(B42),TEXT(B42,""yyyy""),""""))"),"")</f>
        <v/>
      </c>
    </row>
    <row r="43">
      <c r="B43" s="87"/>
      <c r="C43" s="85"/>
      <c r="D43" s="76"/>
      <c r="H43" s="88"/>
      <c r="J43" s="53" t="str">
        <f>IFERROR(__xludf.DUMMYFUNCTION("IF(ISBLANK(B43),"""",IF(ISDATE(B43),""X"",""""))"),"")</f>
        <v/>
      </c>
      <c r="K43" s="40" t="str">
        <f>IFERROR(__xludf.DUMMYFUNCTION("IF(ISBLANK(B43),"""",IF(ISDATE(B43),H43,""""))"),"")</f>
        <v/>
      </c>
      <c r="L43" s="40" t="str">
        <f>IFERROR(__xludf.DUMMYFUNCTION("IF(ISBLANK(B43),"""",IF(ISDATE(B43),TEXT(B43,""M""),""""))"),"")</f>
        <v/>
      </c>
      <c r="M43" s="29" t="str">
        <f>IFERROR(__xludf.DUMMYFUNCTION("IF(L43="""","""",QUERY({'Dashboard-Dados'!$Y$2:$AA$13},""Select Col2 Where Col1=""&amp;L43))"),"")</f>
        <v/>
      </c>
      <c r="N43" s="29" t="str">
        <f>IFERROR(__xludf.DUMMYFUNCTION("IF(ISBLANK(B43),"""",IF(ISDATE(B43),TEXT(B43,""yyyy""),""""))"),"")</f>
        <v/>
      </c>
    </row>
    <row r="44">
      <c r="B44" s="89"/>
      <c r="C44" s="86"/>
      <c r="D44" s="71"/>
      <c r="H44" s="90"/>
      <c r="J44" s="53" t="str">
        <f>IFERROR(__xludf.DUMMYFUNCTION("IF(ISBLANK(B44),"""",IF(ISDATE(B44),""X"",""""))"),"")</f>
        <v/>
      </c>
      <c r="K44" s="40" t="str">
        <f>IFERROR(__xludf.DUMMYFUNCTION("IF(ISBLANK(B44),"""",IF(ISDATE(B44),H44,""""))"),"")</f>
        <v/>
      </c>
      <c r="L44" s="40" t="str">
        <f>IFERROR(__xludf.DUMMYFUNCTION("IF(ISBLANK(B44),"""",IF(ISDATE(B44),TEXT(B44,""M""),""""))"),"")</f>
        <v/>
      </c>
      <c r="M44" s="29" t="str">
        <f>IFERROR(__xludf.DUMMYFUNCTION("IF(L44="""","""",QUERY({'Dashboard-Dados'!$Y$2:$AA$13},""Select Col2 Where Col1=""&amp;L44))"),"")</f>
        <v/>
      </c>
      <c r="N44" s="29" t="str">
        <f>IFERROR(__xludf.DUMMYFUNCTION("IF(ISBLANK(B44),"""",IF(ISDATE(B44),TEXT(B44,""yyyy""),""""))"),"")</f>
        <v/>
      </c>
    </row>
    <row r="45">
      <c r="B45" s="87"/>
      <c r="C45" s="85"/>
      <c r="D45" s="76"/>
      <c r="H45" s="88"/>
      <c r="J45" s="53" t="str">
        <f>IFERROR(__xludf.DUMMYFUNCTION("IF(ISBLANK(B45),"""",IF(ISDATE(B45),""X"",""""))"),"")</f>
        <v/>
      </c>
      <c r="K45" s="40" t="str">
        <f>IFERROR(__xludf.DUMMYFUNCTION("IF(ISBLANK(B45),"""",IF(ISDATE(B45),H45,""""))"),"")</f>
        <v/>
      </c>
      <c r="L45" s="40" t="str">
        <f>IFERROR(__xludf.DUMMYFUNCTION("IF(ISBLANK(B45),"""",IF(ISDATE(B45),TEXT(B45,""M""),""""))"),"")</f>
        <v/>
      </c>
      <c r="M45" s="29" t="str">
        <f>IFERROR(__xludf.DUMMYFUNCTION("IF(L45="""","""",QUERY({'Dashboard-Dados'!$Y$2:$AA$13},""Select Col2 Where Col1=""&amp;L45))"),"")</f>
        <v/>
      </c>
      <c r="N45" s="29" t="str">
        <f>IFERROR(__xludf.DUMMYFUNCTION("IF(ISBLANK(B45),"""",IF(ISDATE(B45),TEXT(B45,""yyyy""),""""))"),"")</f>
        <v/>
      </c>
    </row>
    <row r="46">
      <c r="B46" s="89"/>
      <c r="C46" s="86"/>
      <c r="D46" s="71"/>
      <c r="H46" s="90"/>
      <c r="J46" s="53" t="str">
        <f>IFERROR(__xludf.DUMMYFUNCTION("IF(ISBLANK(B46),"""",IF(ISDATE(B46),""X"",""""))"),"")</f>
        <v/>
      </c>
      <c r="K46" s="40" t="str">
        <f>IFERROR(__xludf.DUMMYFUNCTION("IF(ISBLANK(B46),"""",IF(ISDATE(B46),H46,""""))"),"")</f>
        <v/>
      </c>
      <c r="L46" s="40" t="str">
        <f>IFERROR(__xludf.DUMMYFUNCTION("IF(ISBLANK(B46),"""",IF(ISDATE(B46),TEXT(B46,""M""),""""))"),"")</f>
        <v/>
      </c>
      <c r="M46" s="29" t="str">
        <f>IFERROR(__xludf.DUMMYFUNCTION("IF(L46="""","""",QUERY({'Dashboard-Dados'!$Y$2:$AA$13},""Select Col2 Where Col1=""&amp;L46))"),"")</f>
        <v/>
      </c>
      <c r="N46" s="29" t="str">
        <f>IFERROR(__xludf.DUMMYFUNCTION("IF(ISBLANK(B46),"""",IF(ISDATE(B46),TEXT(B46,""yyyy""),""""))"),"")</f>
        <v/>
      </c>
    </row>
    <row r="47">
      <c r="B47" s="87"/>
      <c r="C47" s="85"/>
      <c r="D47" s="76"/>
      <c r="H47" s="88"/>
      <c r="J47" s="53" t="str">
        <f>IFERROR(__xludf.DUMMYFUNCTION("IF(ISBLANK(B47),"""",IF(ISDATE(B47),""X"",""""))"),"")</f>
        <v/>
      </c>
      <c r="K47" s="40" t="str">
        <f>IFERROR(__xludf.DUMMYFUNCTION("IF(ISBLANK(B47),"""",IF(ISDATE(B47),H47,""""))"),"")</f>
        <v/>
      </c>
      <c r="L47" s="40" t="str">
        <f>IFERROR(__xludf.DUMMYFUNCTION("IF(ISBLANK(B47),"""",IF(ISDATE(B47),TEXT(B47,""M""),""""))"),"")</f>
        <v/>
      </c>
      <c r="M47" s="29" t="str">
        <f>IFERROR(__xludf.DUMMYFUNCTION("IF(L47="""","""",QUERY({'Dashboard-Dados'!$Y$2:$AA$13},""Select Col2 Where Col1=""&amp;L47))"),"")</f>
        <v/>
      </c>
      <c r="N47" s="29" t="str">
        <f>IFERROR(__xludf.DUMMYFUNCTION("IF(ISBLANK(B47),"""",IF(ISDATE(B47),TEXT(B47,""yyyy""),""""))"),"")</f>
        <v/>
      </c>
    </row>
    <row r="48">
      <c r="B48" s="89"/>
      <c r="C48" s="86"/>
      <c r="D48" s="71"/>
      <c r="H48" s="90"/>
      <c r="J48" s="53" t="str">
        <f>IFERROR(__xludf.DUMMYFUNCTION("IF(ISBLANK(B48),"""",IF(ISDATE(B48),""X"",""""))"),"")</f>
        <v/>
      </c>
      <c r="K48" s="40" t="str">
        <f>IFERROR(__xludf.DUMMYFUNCTION("IF(ISBLANK(B48),"""",IF(ISDATE(B48),H48,""""))"),"")</f>
        <v/>
      </c>
      <c r="L48" s="40" t="str">
        <f>IFERROR(__xludf.DUMMYFUNCTION("IF(ISBLANK(B48),"""",IF(ISDATE(B48),TEXT(B48,""M""),""""))"),"")</f>
        <v/>
      </c>
      <c r="M48" s="29" t="str">
        <f>IFERROR(__xludf.DUMMYFUNCTION("IF(L48="""","""",QUERY({'Dashboard-Dados'!$Y$2:$AA$13},""Select Col2 Where Col1=""&amp;L48))"),"")</f>
        <v/>
      </c>
      <c r="N48" s="29" t="str">
        <f>IFERROR(__xludf.DUMMYFUNCTION("IF(ISBLANK(B48),"""",IF(ISDATE(B48),TEXT(B48,""yyyy""),""""))"),"")</f>
        <v/>
      </c>
    </row>
    <row r="49">
      <c r="B49" s="87"/>
      <c r="C49" s="85"/>
      <c r="D49" s="76"/>
      <c r="H49" s="88"/>
      <c r="J49" s="53" t="str">
        <f>IFERROR(__xludf.DUMMYFUNCTION("IF(ISBLANK(B49),"""",IF(ISDATE(B49),""X"",""""))"),"")</f>
        <v/>
      </c>
      <c r="K49" s="40" t="str">
        <f>IFERROR(__xludf.DUMMYFUNCTION("IF(ISBLANK(B49),"""",IF(ISDATE(B49),H49,""""))"),"")</f>
        <v/>
      </c>
      <c r="L49" s="40" t="str">
        <f>IFERROR(__xludf.DUMMYFUNCTION("IF(ISBLANK(B49),"""",IF(ISDATE(B49),TEXT(B49,""M""),""""))"),"")</f>
        <v/>
      </c>
      <c r="M49" s="29" t="str">
        <f>IFERROR(__xludf.DUMMYFUNCTION("IF(L49="""","""",QUERY({'Dashboard-Dados'!$Y$2:$AA$13},""Select Col2 Where Col1=""&amp;L49))"),"")</f>
        <v/>
      </c>
      <c r="N49" s="29" t="str">
        <f>IFERROR(__xludf.DUMMYFUNCTION("IF(ISBLANK(B49),"""",IF(ISDATE(B49),TEXT(B49,""yyyy""),""""))"),"")</f>
        <v/>
      </c>
    </row>
    <row r="50">
      <c r="B50" s="89"/>
      <c r="C50" s="86"/>
      <c r="D50" s="71"/>
      <c r="H50" s="90"/>
      <c r="J50" s="53" t="str">
        <f>IFERROR(__xludf.DUMMYFUNCTION("IF(ISBLANK(B50),"""",IF(ISDATE(B50),""X"",""""))"),"")</f>
        <v/>
      </c>
      <c r="K50" s="40" t="str">
        <f>IFERROR(__xludf.DUMMYFUNCTION("IF(ISBLANK(B50),"""",IF(ISDATE(B50),H50,""""))"),"")</f>
        <v/>
      </c>
      <c r="L50" s="40" t="str">
        <f>IFERROR(__xludf.DUMMYFUNCTION("IF(ISBLANK(B50),"""",IF(ISDATE(B50),TEXT(B50,""M""),""""))"),"")</f>
        <v/>
      </c>
      <c r="M50" s="29" t="str">
        <f>IFERROR(__xludf.DUMMYFUNCTION("IF(L50="""","""",QUERY({'Dashboard-Dados'!$Y$2:$AA$13},""Select Col2 Where Col1=""&amp;L50))"),"")</f>
        <v/>
      </c>
      <c r="N50" s="29" t="str">
        <f>IFERROR(__xludf.DUMMYFUNCTION("IF(ISBLANK(B50),"""",IF(ISDATE(B50),TEXT(B50,""yyyy""),""""))"),"")</f>
        <v/>
      </c>
    </row>
    <row r="51">
      <c r="B51" s="87"/>
      <c r="C51" s="85"/>
      <c r="D51" s="76"/>
      <c r="H51" s="88"/>
      <c r="J51" s="53" t="str">
        <f>IFERROR(__xludf.DUMMYFUNCTION("IF(ISBLANK(B51),"""",IF(ISDATE(B51),""X"",""""))"),"")</f>
        <v/>
      </c>
      <c r="K51" s="40" t="str">
        <f>IFERROR(__xludf.DUMMYFUNCTION("IF(ISBLANK(B51),"""",IF(ISDATE(B51),H51,""""))"),"")</f>
        <v/>
      </c>
      <c r="L51" s="40" t="str">
        <f>IFERROR(__xludf.DUMMYFUNCTION("IF(ISBLANK(B51),"""",IF(ISDATE(B51),TEXT(B51,""M""),""""))"),"")</f>
        <v/>
      </c>
      <c r="M51" s="29" t="str">
        <f>IFERROR(__xludf.DUMMYFUNCTION("IF(L51="""","""",QUERY({'Dashboard-Dados'!$Y$2:$AA$13},""Select Col2 Where Col1=""&amp;L51))"),"")</f>
        <v/>
      </c>
      <c r="N51" s="29" t="str">
        <f>IFERROR(__xludf.DUMMYFUNCTION("IF(ISBLANK(B51),"""",IF(ISDATE(B51),TEXT(B51,""yyyy""),""""))"),"")</f>
        <v/>
      </c>
    </row>
    <row r="52">
      <c r="B52" s="89"/>
      <c r="C52" s="86"/>
      <c r="D52" s="71"/>
      <c r="H52" s="90"/>
      <c r="J52" s="53" t="str">
        <f>IFERROR(__xludf.DUMMYFUNCTION("IF(ISBLANK(B52),"""",IF(ISDATE(B52),""X"",""""))"),"")</f>
        <v/>
      </c>
      <c r="K52" s="40" t="str">
        <f>IFERROR(__xludf.DUMMYFUNCTION("IF(ISBLANK(B52),"""",IF(ISDATE(B52),H52,""""))"),"")</f>
        <v/>
      </c>
      <c r="L52" s="40" t="str">
        <f>IFERROR(__xludf.DUMMYFUNCTION("IF(ISBLANK(B52),"""",IF(ISDATE(B52),TEXT(B52,""M""),""""))"),"")</f>
        <v/>
      </c>
      <c r="M52" s="29" t="str">
        <f>IFERROR(__xludf.DUMMYFUNCTION("IF(L52="""","""",QUERY({'Dashboard-Dados'!$Y$2:$AA$13},""Select Col2 Where Col1=""&amp;L52))"),"")</f>
        <v/>
      </c>
      <c r="N52" s="29" t="str">
        <f>IFERROR(__xludf.DUMMYFUNCTION("IF(ISBLANK(B52),"""",IF(ISDATE(B52),TEXT(B52,""yyyy""),""""))"),"")</f>
        <v/>
      </c>
    </row>
    <row r="53">
      <c r="B53" s="87"/>
      <c r="C53" s="85"/>
      <c r="D53" s="76"/>
      <c r="H53" s="88"/>
      <c r="J53" s="53" t="str">
        <f>IFERROR(__xludf.DUMMYFUNCTION("IF(ISBLANK(B53),"""",IF(ISDATE(B53),""X"",""""))"),"")</f>
        <v/>
      </c>
      <c r="K53" s="40" t="str">
        <f>IFERROR(__xludf.DUMMYFUNCTION("IF(ISBLANK(B53),"""",IF(ISDATE(B53),H53,""""))"),"")</f>
        <v/>
      </c>
      <c r="L53" s="40" t="str">
        <f>IFERROR(__xludf.DUMMYFUNCTION("IF(ISBLANK(B53),"""",IF(ISDATE(B53),TEXT(B53,""M""),""""))"),"")</f>
        <v/>
      </c>
      <c r="M53" s="29" t="str">
        <f>IFERROR(__xludf.DUMMYFUNCTION("IF(L53="""","""",QUERY({'Dashboard-Dados'!$Y$2:$AA$13},""Select Col2 Where Col1=""&amp;L53))"),"")</f>
        <v/>
      </c>
      <c r="N53" s="29" t="str">
        <f>IFERROR(__xludf.DUMMYFUNCTION("IF(ISBLANK(B53),"""",IF(ISDATE(B53),TEXT(B53,""yyyy""),""""))"),"")</f>
        <v/>
      </c>
    </row>
    <row r="54">
      <c r="B54" s="89"/>
      <c r="C54" s="86"/>
      <c r="D54" s="71"/>
      <c r="H54" s="90"/>
      <c r="J54" s="53" t="str">
        <f>IFERROR(__xludf.DUMMYFUNCTION("IF(ISBLANK(B54),"""",IF(ISDATE(B54),""X"",""""))"),"")</f>
        <v/>
      </c>
      <c r="K54" s="40" t="str">
        <f>IFERROR(__xludf.DUMMYFUNCTION("IF(ISBLANK(B54),"""",IF(ISDATE(B54),H54,""""))"),"")</f>
        <v/>
      </c>
      <c r="L54" s="40" t="str">
        <f>IFERROR(__xludf.DUMMYFUNCTION("IF(ISBLANK(B54),"""",IF(ISDATE(B54),TEXT(B54,""M""),""""))"),"")</f>
        <v/>
      </c>
      <c r="M54" s="29" t="str">
        <f>IFERROR(__xludf.DUMMYFUNCTION("IF(L54="""","""",QUERY({'Dashboard-Dados'!$Y$2:$AA$13},""Select Col2 Where Col1=""&amp;L54))"),"")</f>
        <v/>
      </c>
      <c r="N54" s="29" t="str">
        <f>IFERROR(__xludf.DUMMYFUNCTION("IF(ISBLANK(B54),"""",IF(ISDATE(B54),TEXT(B54,""yyyy""),""""))"),"")</f>
        <v/>
      </c>
    </row>
    <row r="55">
      <c r="B55" s="87"/>
      <c r="C55" s="85"/>
      <c r="D55" s="76"/>
      <c r="H55" s="88"/>
      <c r="J55" s="53" t="str">
        <f>IFERROR(__xludf.DUMMYFUNCTION("IF(ISBLANK(B55),"""",IF(ISDATE(B55),""X"",""""))"),"")</f>
        <v/>
      </c>
      <c r="K55" s="40" t="str">
        <f>IFERROR(__xludf.DUMMYFUNCTION("IF(ISBLANK(B55),"""",IF(ISDATE(B55),H55,""""))"),"")</f>
        <v/>
      </c>
      <c r="L55" s="40" t="str">
        <f>IFERROR(__xludf.DUMMYFUNCTION("IF(ISBLANK(B55),"""",IF(ISDATE(B55),TEXT(B55,""M""),""""))"),"")</f>
        <v/>
      </c>
      <c r="M55" s="29" t="str">
        <f>IFERROR(__xludf.DUMMYFUNCTION("IF(L55="""","""",QUERY({'Dashboard-Dados'!$Y$2:$AA$13},""Select Col2 Where Col1=""&amp;L55))"),"")</f>
        <v/>
      </c>
      <c r="N55" s="29" t="str">
        <f>IFERROR(__xludf.DUMMYFUNCTION("IF(ISBLANK(B55),"""",IF(ISDATE(B55),TEXT(B55,""yyyy""),""""))"),"")</f>
        <v/>
      </c>
    </row>
    <row r="56">
      <c r="B56" s="89"/>
      <c r="C56" s="86"/>
      <c r="D56" s="71"/>
      <c r="H56" s="90"/>
      <c r="J56" s="53" t="str">
        <f>IFERROR(__xludf.DUMMYFUNCTION("IF(ISBLANK(B56),"""",IF(ISDATE(B56),""X"",""""))"),"")</f>
        <v/>
      </c>
      <c r="K56" s="40" t="str">
        <f>IFERROR(__xludf.DUMMYFUNCTION("IF(ISBLANK(B56),"""",IF(ISDATE(B56),H56,""""))"),"")</f>
        <v/>
      </c>
      <c r="L56" s="40" t="str">
        <f>IFERROR(__xludf.DUMMYFUNCTION("IF(ISBLANK(B56),"""",IF(ISDATE(B56),TEXT(B56,""M""),""""))"),"")</f>
        <v/>
      </c>
      <c r="M56" s="29" t="str">
        <f>IFERROR(__xludf.DUMMYFUNCTION("IF(L56="""","""",QUERY({'Dashboard-Dados'!$Y$2:$AA$13},""Select Col2 Where Col1=""&amp;L56))"),"")</f>
        <v/>
      </c>
      <c r="N56" s="29" t="str">
        <f>IFERROR(__xludf.DUMMYFUNCTION("IF(ISBLANK(B56),"""",IF(ISDATE(B56),TEXT(B56,""yyyy""),""""))"),"")</f>
        <v/>
      </c>
    </row>
    <row r="57">
      <c r="B57" s="87"/>
      <c r="C57" s="85"/>
      <c r="D57" s="76"/>
      <c r="H57" s="88"/>
      <c r="J57" s="53" t="str">
        <f>IFERROR(__xludf.DUMMYFUNCTION("IF(ISBLANK(B57),"""",IF(ISDATE(B57),""X"",""""))"),"")</f>
        <v/>
      </c>
      <c r="K57" s="40" t="str">
        <f>IFERROR(__xludf.DUMMYFUNCTION("IF(ISBLANK(B57),"""",IF(ISDATE(B57),H57,""""))"),"")</f>
        <v/>
      </c>
      <c r="L57" s="40" t="str">
        <f>IFERROR(__xludf.DUMMYFUNCTION("IF(ISBLANK(B57),"""",IF(ISDATE(B57),TEXT(B57,""M""),""""))"),"")</f>
        <v/>
      </c>
      <c r="M57" s="29" t="str">
        <f>IFERROR(__xludf.DUMMYFUNCTION("IF(L57="""","""",QUERY({'Dashboard-Dados'!$Y$2:$AA$13},""Select Col2 Where Col1=""&amp;L57))"),"")</f>
        <v/>
      </c>
      <c r="N57" s="29" t="str">
        <f>IFERROR(__xludf.DUMMYFUNCTION("IF(ISBLANK(B57),"""",IF(ISDATE(B57),TEXT(B57,""yyyy""),""""))"),"")</f>
        <v/>
      </c>
    </row>
    <row r="58">
      <c r="B58" s="89"/>
      <c r="C58" s="86"/>
      <c r="D58" s="71"/>
      <c r="H58" s="90"/>
      <c r="J58" s="53" t="str">
        <f>IFERROR(__xludf.DUMMYFUNCTION("IF(ISBLANK(B58),"""",IF(ISDATE(B58),""X"",""""))"),"")</f>
        <v/>
      </c>
      <c r="K58" s="40" t="str">
        <f>IFERROR(__xludf.DUMMYFUNCTION("IF(ISBLANK(B58),"""",IF(ISDATE(B58),H58,""""))"),"")</f>
        <v/>
      </c>
      <c r="L58" s="40" t="str">
        <f>IFERROR(__xludf.DUMMYFUNCTION("IF(ISBLANK(B58),"""",IF(ISDATE(B58),TEXT(B58,""M""),""""))"),"")</f>
        <v/>
      </c>
      <c r="M58" s="29" t="str">
        <f>IFERROR(__xludf.DUMMYFUNCTION("IF(L58="""","""",QUERY({'Dashboard-Dados'!$Y$2:$AA$13},""Select Col2 Where Col1=""&amp;L58))"),"")</f>
        <v/>
      </c>
      <c r="N58" s="29" t="str">
        <f>IFERROR(__xludf.DUMMYFUNCTION("IF(ISBLANK(B58),"""",IF(ISDATE(B58),TEXT(B58,""yyyy""),""""))"),"")</f>
        <v/>
      </c>
    </row>
    <row r="59">
      <c r="B59" s="87"/>
      <c r="C59" s="85"/>
      <c r="D59" s="76"/>
      <c r="H59" s="88"/>
      <c r="J59" s="53" t="str">
        <f>IFERROR(__xludf.DUMMYFUNCTION("IF(ISBLANK(B59),"""",IF(ISDATE(B59),""X"",""""))"),"")</f>
        <v/>
      </c>
      <c r="K59" s="40" t="str">
        <f>IFERROR(__xludf.DUMMYFUNCTION("IF(ISBLANK(B59),"""",IF(ISDATE(B59),H59,""""))"),"")</f>
        <v/>
      </c>
      <c r="L59" s="40" t="str">
        <f>IFERROR(__xludf.DUMMYFUNCTION("IF(ISBLANK(B59),"""",IF(ISDATE(B59),TEXT(B59,""M""),""""))"),"")</f>
        <v/>
      </c>
      <c r="M59" s="29" t="str">
        <f>IFERROR(__xludf.DUMMYFUNCTION("IF(L59="""","""",QUERY({'Dashboard-Dados'!$Y$2:$AA$13},""Select Col2 Where Col1=""&amp;L59))"),"")</f>
        <v/>
      </c>
      <c r="N59" s="29" t="str">
        <f>IFERROR(__xludf.DUMMYFUNCTION("IF(ISBLANK(B59),"""",IF(ISDATE(B59),TEXT(B59,""yyyy""),""""))"),"")</f>
        <v/>
      </c>
    </row>
    <row r="60">
      <c r="B60" s="89"/>
      <c r="C60" s="86"/>
      <c r="D60" s="71"/>
      <c r="H60" s="90"/>
      <c r="J60" s="53" t="str">
        <f>IFERROR(__xludf.DUMMYFUNCTION("IF(ISBLANK(B60),"""",IF(ISDATE(B60),""X"",""""))"),"")</f>
        <v/>
      </c>
      <c r="K60" s="40" t="str">
        <f>IFERROR(__xludf.DUMMYFUNCTION("IF(ISBLANK(B60),"""",IF(ISDATE(B60),H60,""""))"),"")</f>
        <v/>
      </c>
      <c r="L60" s="40" t="str">
        <f>IFERROR(__xludf.DUMMYFUNCTION("IF(ISBLANK(B60),"""",IF(ISDATE(B60),TEXT(B60,""M""),""""))"),"")</f>
        <v/>
      </c>
      <c r="M60" s="29" t="str">
        <f>IFERROR(__xludf.DUMMYFUNCTION("IF(L60="""","""",QUERY({'Dashboard-Dados'!$Y$2:$AA$13},""Select Col2 Where Col1=""&amp;L60))"),"")</f>
        <v/>
      </c>
      <c r="N60" s="29" t="str">
        <f>IFERROR(__xludf.DUMMYFUNCTION("IF(ISBLANK(B60),"""",IF(ISDATE(B60),TEXT(B60,""yyyy""),""""))"),"")</f>
        <v/>
      </c>
    </row>
    <row r="61">
      <c r="B61" s="87"/>
      <c r="C61" s="85"/>
      <c r="D61" s="76"/>
      <c r="H61" s="88"/>
      <c r="J61" s="53" t="str">
        <f>IFERROR(__xludf.DUMMYFUNCTION("IF(ISBLANK(B61),"""",IF(ISDATE(B61),""X"",""""))"),"")</f>
        <v/>
      </c>
      <c r="K61" s="40" t="str">
        <f>IFERROR(__xludf.DUMMYFUNCTION("IF(ISBLANK(B61),"""",IF(ISDATE(B61),H61,""""))"),"")</f>
        <v/>
      </c>
      <c r="L61" s="40" t="str">
        <f>IFERROR(__xludf.DUMMYFUNCTION("IF(ISBLANK(B61),"""",IF(ISDATE(B61),TEXT(B61,""M""),""""))"),"")</f>
        <v/>
      </c>
      <c r="M61" s="29" t="str">
        <f>IFERROR(__xludf.DUMMYFUNCTION("IF(L61="""","""",QUERY({'Dashboard-Dados'!$Y$2:$AA$13},""Select Col2 Where Col1=""&amp;L61))"),"")</f>
        <v/>
      </c>
      <c r="N61" s="29" t="str">
        <f>IFERROR(__xludf.DUMMYFUNCTION("IF(ISBLANK(B61),"""",IF(ISDATE(B61),TEXT(B61,""yyyy""),""""))"),"")</f>
        <v/>
      </c>
    </row>
    <row r="62">
      <c r="B62" s="89"/>
      <c r="C62" s="86"/>
      <c r="D62" s="71"/>
      <c r="H62" s="90"/>
      <c r="J62" s="53" t="str">
        <f>IFERROR(__xludf.DUMMYFUNCTION("IF(ISBLANK(B62),"""",IF(ISDATE(B62),""X"",""""))"),"")</f>
        <v/>
      </c>
      <c r="K62" s="40" t="str">
        <f>IFERROR(__xludf.DUMMYFUNCTION("IF(ISBLANK(B62),"""",IF(ISDATE(B62),H62,""""))"),"")</f>
        <v/>
      </c>
      <c r="L62" s="40" t="str">
        <f>IFERROR(__xludf.DUMMYFUNCTION("IF(ISBLANK(B62),"""",IF(ISDATE(B62),TEXT(B62,""M""),""""))"),"")</f>
        <v/>
      </c>
      <c r="M62" s="29" t="str">
        <f>IFERROR(__xludf.DUMMYFUNCTION("IF(L62="""","""",QUERY({'Dashboard-Dados'!$Y$2:$AA$13},""Select Col2 Where Col1=""&amp;L62))"),"")</f>
        <v/>
      </c>
      <c r="N62" s="29" t="str">
        <f>IFERROR(__xludf.DUMMYFUNCTION("IF(ISBLANK(B62),"""",IF(ISDATE(B62),TEXT(B62,""yyyy""),""""))"),"")</f>
        <v/>
      </c>
    </row>
    <row r="63">
      <c r="B63" s="87"/>
      <c r="C63" s="85"/>
      <c r="D63" s="76"/>
      <c r="H63" s="88"/>
      <c r="J63" s="53" t="str">
        <f>IFERROR(__xludf.DUMMYFUNCTION("IF(ISBLANK(B63),"""",IF(ISDATE(B63),""X"",""""))"),"")</f>
        <v/>
      </c>
      <c r="K63" s="40" t="str">
        <f>IFERROR(__xludf.DUMMYFUNCTION("IF(ISBLANK(B63),"""",IF(ISDATE(B63),H63,""""))"),"")</f>
        <v/>
      </c>
      <c r="L63" s="40" t="str">
        <f>IFERROR(__xludf.DUMMYFUNCTION("IF(ISBLANK(B63),"""",IF(ISDATE(B63),TEXT(B63,""M""),""""))"),"")</f>
        <v/>
      </c>
      <c r="M63" s="29" t="str">
        <f>IFERROR(__xludf.DUMMYFUNCTION("IF(L63="""","""",QUERY({'Dashboard-Dados'!$Y$2:$AA$13},""Select Col2 Where Col1=""&amp;L63))"),"")</f>
        <v/>
      </c>
      <c r="N63" s="29" t="str">
        <f>IFERROR(__xludf.DUMMYFUNCTION("IF(ISBLANK(B63),"""",IF(ISDATE(B63),TEXT(B63,""yyyy""),""""))"),"")</f>
        <v/>
      </c>
    </row>
    <row r="64">
      <c r="B64" s="89"/>
      <c r="C64" s="86"/>
      <c r="D64" s="71"/>
      <c r="H64" s="90"/>
      <c r="J64" s="53" t="str">
        <f>IFERROR(__xludf.DUMMYFUNCTION("IF(ISBLANK(B64),"""",IF(ISDATE(B64),""X"",""""))"),"")</f>
        <v/>
      </c>
      <c r="K64" s="40" t="str">
        <f>IFERROR(__xludf.DUMMYFUNCTION("IF(ISBLANK(B64),"""",IF(ISDATE(B64),H64,""""))"),"")</f>
        <v/>
      </c>
      <c r="L64" s="40" t="str">
        <f>IFERROR(__xludf.DUMMYFUNCTION("IF(ISBLANK(B64),"""",IF(ISDATE(B64),TEXT(B64,""M""),""""))"),"")</f>
        <v/>
      </c>
      <c r="M64" s="29" t="str">
        <f>IFERROR(__xludf.DUMMYFUNCTION("IF(L64="""","""",QUERY({'Dashboard-Dados'!$Y$2:$AA$13},""Select Col2 Where Col1=""&amp;L64))"),"")</f>
        <v/>
      </c>
      <c r="N64" s="29" t="str">
        <f>IFERROR(__xludf.DUMMYFUNCTION("IF(ISBLANK(B64),"""",IF(ISDATE(B64),TEXT(B64,""yyyy""),""""))"),"")</f>
        <v/>
      </c>
    </row>
    <row r="65">
      <c r="B65" s="87"/>
      <c r="C65" s="85"/>
      <c r="D65" s="76"/>
      <c r="H65" s="88"/>
      <c r="J65" s="53" t="str">
        <f>IFERROR(__xludf.DUMMYFUNCTION("IF(ISBLANK(B65),"""",IF(ISDATE(B65),""X"",""""))"),"")</f>
        <v/>
      </c>
      <c r="K65" s="40" t="str">
        <f>IFERROR(__xludf.DUMMYFUNCTION("IF(ISBLANK(B65),"""",IF(ISDATE(B65),H65,""""))"),"")</f>
        <v/>
      </c>
      <c r="L65" s="40" t="str">
        <f>IFERROR(__xludf.DUMMYFUNCTION("IF(ISBLANK(B65),"""",IF(ISDATE(B65),TEXT(B65,""M""),""""))"),"")</f>
        <v/>
      </c>
      <c r="M65" s="29" t="str">
        <f>IFERROR(__xludf.DUMMYFUNCTION("IF(L65="""","""",QUERY({'Dashboard-Dados'!$Y$2:$AA$13},""Select Col2 Where Col1=""&amp;L65))"),"")</f>
        <v/>
      </c>
      <c r="N65" s="29" t="str">
        <f>IFERROR(__xludf.DUMMYFUNCTION("IF(ISBLANK(B65),"""",IF(ISDATE(B65),TEXT(B65,""yyyy""),""""))"),"")</f>
        <v/>
      </c>
    </row>
    <row r="66">
      <c r="B66" s="89"/>
      <c r="C66" s="86"/>
      <c r="D66" s="71"/>
      <c r="H66" s="90"/>
      <c r="J66" s="53" t="str">
        <f>IFERROR(__xludf.DUMMYFUNCTION("IF(ISBLANK(B66),"""",IF(ISDATE(B66),""X"",""""))"),"")</f>
        <v/>
      </c>
      <c r="K66" s="40" t="str">
        <f>IFERROR(__xludf.DUMMYFUNCTION("IF(ISBLANK(B66),"""",IF(ISDATE(B66),H66,""""))"),"")</f>
        <v/>
      </c>
      <c r="L66" s="40" t="str">
        <f>IFERROR(__xludf.DUMMYFUNCTION("IF(ISBLANK(B66),"""",IF(ISDATE(B66),TEXT(B66,""M""),""""))"),"")</f>
        <v/>
      </c>
      <c r="M66" s="29" t="str">
        <f>IFERROR(__xludf.DUMMYFUNCTION("IF(L66="""","""",QUERY({'Dashboard-Dados'!$Y$2:$AA$13},""Select Col2 Where Col1=""&amp;L66))"),"")</f>
        <v/>
      </c>
      <c r="N66" s="29" t="str">
        <f>IFERROR(__xludf.DUMMYFUNCTION("IF(ISBLANK(B66),"""",IF(ISDATE(B66),TEXT(B66,""yyyy""),""""))"),"")</f>
        <v/>
      </c>
    </row>
    <row r="67">
      <c r="B67" s="87"/>
      <c r="C67" s="85"/>
      <c r="D67" s="76"/>
      <c r="H67" s="88"/>
      <c r="J67" s="53" t="str">
        <f>IFERROR(__xludf.DUMMYFUNCTION("IF(ISBLANK(B67),"""",IF(ISDATE(B67),""X"",""""))"),"")</f>
        <v/>
      </c>
      <c r="K67" s="40" t="str">
        <f>IFERROR(__xludf.DUMMYFUNCTION("IF(ISBLANK(B67),"""",IF(ISDATE(B67),H67,""""))"),"")</f>
        <v/>
      </c>
      <c r="L67" s="40" t="str">
        <f>IFERROR(__xludf.DUMMYFUNCTION("IF(ISBLANK(B67),"""",IF(ISDATE(B67),TEXT(B67,""M""),""""))"),"")</f>
        <v/>
      </c>
      <c r="M67" s="29" t="str">
        <f>IFERROR(__xludf.DUMMYFUNCTION("IF(L67="""","""",QUERY({'Dashboard-Dados'!$Y$2:$AA$13},""Select Col2 Where Col1=""&amp;L67))"),"")</f>
        <v/>
      </c>
      <c r="N67" s="29" t="str">
        <f>IFERROR(__xludf.DUMMYFUNCTION("IF(ISBLANK(B67),"""",IF(ISDATE(B67),TEXT(B67,""yyyy""),""""))"),"")</f>
        <v/>
      </c>
    </row>
    <row r="68">
      <c r="B68" s="89"/>
      <c r="C68" s="86"/>
      <c r="D68" s="71"/>
      <c r="H68" s="90"/>
      <c r="J68" s="53" t="str">
        <f>IFERROR(__xludf.DUMMYFUNCTION("IF(ISBLANK(B68),"""",IF(ISDATE(B68),""X"",""""))"),"")</f>
        <v/>
      </c>
      <c r="K68" s="40" t="str">
        <f>IFERROR(__xludf.DUMMYFUNCTION("IF(ISBLANK(B68),"""",IF(ISDATE(B68),H68,""""))"),"")</f>
        <v/>
      </c>
      <c r="L68" s="40" t="str">
        <f>IFERROR(__xludf.DUMMYFUNCTION("IF(ISBLANK(B68),"""",IF(ISDATE(B68),TEXT(B68,""M""),""""))"),"")</f>
        <v/>
      </c>
      <c r="M68" s="29" t="str">
        <f>IFERROR(__xludf.DUMMYFUNCTION("IF(L68="""","""",QUERY({'Dashboard-Dados'!$Y$2:$AA$13},""Select Col2 Where Col1=""&amp;L68))"),"")</f>
        <v/>
      </c>
      <c r="N68" s="29" t="str">
        <f>IFERROR(__xludf.DUMMYFUNCTION("IF(ISBLANK(B68),"""",IF(ISDATE(B68),TEXT(B68,""yyyy""),""""))"),"")</f>
        <v/>
      </c>
    </row>
    <row r="69">
      <c r="B69" s="87"/>
      <c r="C69" s="85"/>
      <c r="D69" s="76"/>
      <c r="H69" s="88"/>
      <c r="J69" s="53" t="str">
        <f>IFERROR(__xludf.DUMMYFUNCTION("IF(ISBLANK(B69),"""",IF(ISDATE(B69),""X"",""""))"),"")</f>
        <v/>
      </c>
      <c r="K69" s="40" t="str">
        <f>IFERROR(__xludf.DUMMYFUNCTION("IF(ISBLANK(B69),"""",IF(ISDATE(B69),H69,""""))"),"")</f>
        <v/>
      </c>
      <c r="L69" s="40" t="str">
        <f>IFERROR(__xludf.DUMMYFUNCTION("IF(ISBLANK(B69),"""",IF(ISDATE(B69),TEXT(B69,""M""),""""))"),"")</f>
        <v/>
      </c>
      <c r="M69" s="29" t="str">
        <f>IFERROR(__xludf.DUMMYFUNCTION("IF(L69="""","""",QUERY({'Dashboard-Dados'!$Y$2:$AA$13},""Select Col2 Where Col1=""&amp;L69))"),"")</f>
        <v/>
      </c>
      <c r="N69" s="29" t="str">
        <f>IFERROR(__xludf.DUMMYFUNCTION("IF(ISBLANK(B69),"""",IF(ISDATE(B69),TEXT(B69,""yyyy""),""""))"),"")</f>
        <v/>
      </c>
    </row>
    <row r="70">
      <c r="B70" s="89"/>
      <c r="C70" s="86"/>
      <c r="D70" s="71"/>
      <c r="H70" s="90"/>
      <c r="J70" s="53" t="str">
        <f>IFERROR(__xludf.DUMMYFUNCTION("IF(ISBLANK(B70),"""",IF(ISDATE(B70),""X"",""""))"),"")</f>
        <v/>
      </c>
      <c r="K70" s="40" t="str">
        <f>IFERROR(__xludf.DUMMYFUNCTION("IF(ISBLANK(B70),"""",IF(ISDATE(B70),H70,""""))"),"")</f>
        <v/>
      </c>
      <c r="L70" s="40" t="str">
        <f>IFERROR(__xludf.DUMMYFUNCTION("IF(ISBLANK(B70),"""",IF(ISDATE(B70),TEXT(B70,""M""),""""))"),"")</f>
        <v/>
      </c>
      <c r="M70" s="29" t="str">
        <f>IFERROR(__xludf.DUMMYFUNCTION("IF(L70="""","""",QUERY({'Dashboard-Dados'!$Y$2:$AA$13},""Select Col2 Where Col1=""&amp;L70))"),"")</f>
        <v/>
      </c>
      <c r="N70" s="29" t="str">
        <f>IFERROR(__xludf.DUMMYFUNCTION("IF(ISBLANK(B70),"""",IF(ISDATE(B70),TEXT(B70,""yyyy""),""""))"),"")</f>
        <v/>
      </c>
    </row>
    <row r="71">
      <c r="B71" s="87"/>
      <c r="C71" s="85"/>
      <c r="D71" s="76"/>
      <c r="H71" s="88"/>
      <c r="J71" s="53" t="str">
        <f>IFERROR(__xludf.DUMMYFUNCTION("IF(ISBLANK(B71),"""",IF(ISDATE(B71),""X"",""""))"),"")</f>
        <v/>
      </c>
      <c r="K71" s="40" t="str">
        <f>IFERROR(__xludf.DUMMYFUNCTION("IF(ISBLANK(B71),"""",IF(ISDATE(B71),H71,""""))"),"")</f>
        <v/>
      </c>
      <c r="L71" s="40" t="str">
        <f>IFERROR(__xludf.DUMMYFUNCTION("IF(ISBLANK(B71),"""",IF(ISDATE(B71),TEXT(B71,""M""),""""))"),"")</f>
        <v/>
      </c>
      <c r="M71" s="29" t="str">
        <f>IFERROR(__xludf.DUMMYFUNCTION("IF(L71="""","""",QUERY({'Dashboard-Dados'!$Y$2:$AA$13},""Select Col2 Where Col1=""&amp;L71))"),"")</f>
        <v/>
      </c>
      <c r="N71" s="29" t="str">
        <f>IFERROR(__xludf.DUMMYFUNCTION("IF(ISBLANK(B71),"""",IF(ISDATE(B71),TEXT(B71,""yyyy""),""""))"),"")</f>
        <v/>
      </c>
    </row>
    <row r="72">
      <c r="B72" s="89"/>
      <c r="C72" s="86"/>
      <c r="D72" s="71"/>
      <c r="H72" s="90"/>
      <c r="J72" s="53" t="str">
        <f>IFERROR(__xludf.DUMMYFUNCTION("IF(ISBLANK(B72),"""",IF(ISDATE(B72),""X"",""""))"),"")</f>
        <v/>
      </c>
      <c r="K72" s="40" t="str">
        <f>IFERROR(__xludf.DUMMYFUNCTION("IF(ISBLANK(B72),"""",IF(ISDATE(B72),H72,""""))"),"")</f>
        <v/>
      </c>
      <c r="L72" s="40" t="str">
        <f>IFERROR(__xludf.DUMMYFUNCTION("IF(ISBLANK(B72),"""",IF(ISDATE(B72),TEXT(B72,""M""),""""))"),"")</f>
        <v/>
      </c>
      <c r="M72" s="29" t="str">
        <f>IFERROR(__xludf.DUMMYFUNCTION("IF(L72="""","""",QUERY({'Dashboard-Dados'!$Y$2:$AA$13},""Select Col2 Where Col1=""&amp;L72))"),"")</f>
        <v/>
      </c>
      <c r="N72" s="29" t="str">
        <f>IFERROR(__xludf.DUMMYFUNCTION("IF(ISBLANK(B72),"""",IF(ISDATE(B72),TEXT(B72,""yyyy""),""""))"),"")</f>
        <v/>
      </c>
    </row>
    <row r="73">
      <c r="B73" s="87"/>
      <c r="C73" s="85"/>
      <c r="D73" s="76"/>
      <c r="H73" s="88"/>
      <c r="J73" s="53" t="str">
        <f>IFERROR(__xludf.DUMMYFUNCTION("IF(ISBLANK(B73),"""",IF(ISDATE(B73),""X"",""""))"),"")</f>
        <v/>
      </c>
      <c r="K73" s="40" t="str">
        <f>IFERROR(__xludf.DUMMYFUNCTION("IF(ISBLANK(B73),"""",IF(ISDATE(B73),H73,""""))"),"")</f>
        <v/>
      </c>
      <c r="L73" s="40" t="str">
        <f>IFERROR(__xludf.DUMMYFUNCTION("IF(ISBLANK(B73),"""",IF(ISDATE(B73),TEXT(B73,""M""),""""))"),"")</f>
        <v/>
      </c>
      <c r="M73" s="29" t="str">
        <f>IFERROR(__xludf.DUMMYFUNCTION("IF(L73="""","""",QUERY({'Dashboard-Dados'!$Y$2:$AA$13},""Select Col2 Where Col1=""&amp;L73))"),"")</f>
        <v/>
      </c>
      <c r="N73" s="29" t="str">
        <f>IFERROR(__xludf.DUMMYFUNCTION("IF(ISBLANK(B73),"""",IF(ISDATE(B73),TEXT(B73,""yyyy""),""""))"),"")</f>
        <v/>
      </c>
    </row>
    <row r="74">
      <c r="B74" s="89"/>
      <c r="C74" s="86"/>
      <c r="D74" s="71"/>
      <c r="H74" s="90"/>
      <c r="J74" s="53" t="str">
        <f>IFERROR(__xludf.DUMMYFUNCTION("IF(ISBLANK(B74),"""",IF(ISDATE(B74),""X"",""""))"),"")</f>
        <v/>
      </c>
      <c r="K74" s="40" t="str">
        <f>IFERROR(__xludf.DUMMYFUNCTION("IF(ISBLANK(B74),"""",IF(ISDATE(B74),H74,""""))"),"")</f>
        <v/>
      </c>
      <c r="L74" s="40" t="str">
        <f>IFERROR(__xludf.DUMMYFUNCTION("IF(ISBLANK(B74),"""",IF(ISDATE(B74),TEXT(B74,""M""),""""))"),"")</f>
        <v/>
      </c>
      <c r="M74" s="29" t="str">
        <f>IFERROR(__xludf.DUMMYFUNCTION("IF(L74="""","""",QUERY({'Dashboard-Dados'!$Y$2:$AA$13},""Select Col2 Where Col1=""&amp;L74))"),"")</f>
        <v/>
      </c>
      <c r="N74" s="29" t="str">
        <f>IFERROR(__xludf.DUMMYFUNCTION("IF(ISBLANK(B74),"""",IF(ISDATE(B74),TEXT(B74,""yyyy""),""""))"),"")</f>
        <v/>
      </c>
    </row>
    <row r="75">
      <c r="B75" s="87"/>
      <c r="C75" s="85"/>
      <c r="D75" s="76"/>
      <c r="H75" s="88"/>
      <c r="J75" s="53" t="str">
        <f>IFERROR(__xludf.DUMMYFUNCTION("IF(ISBLANK(B75),"""",IF(ISDATE(B75),""X"",""""))"),"")</f>
        <v/>
      </c>
      <c r="K75" s="40" t="str">
        <f>IFERROR(__xludf.DUMMYFUNCTION("IF(ISBLANK(B75),"""",IF(ISDATE(B75),H75,""""))"),"")</f>
        <v/>
      </c>
      <c r="L75" s="40" t="str">
        <f>IFERROR(__xludf.DUMMYFUNCTION("IF(ISBLANK(B75),"""",IF(ISDATE(B75),TEXT(B75,""M""),""""))"),"")</f>
        <v/>
      </c>
      <c r="M75" s="29" t="str">
        <f>IFERROR(__xludf.DUMMYFUNCTION("IF(L75="""","""",QUERY({'Dashboard-Dados'!$Y$2:$AA$13},""Select Col2 Where Col1=""&amp;L75))"),"")</f>
        <v/>
      </c>
      <c r="N75" s="29" t="str">
        <f>IFERROR(__xludf.DUMMYFUNCTION("IF(ISBLANK(B75),"""",IF(ISDATE(B75),TEXT(B75,""yyyy""),""""))"),"")</f>
        <v/>
      </c>
    </row>
    <row r="76">
      <c r="B76" s="89"/>
      <c r="C76" s="86"/>
      <c r="D76" s="71"/>
      <c r="H76" s="90"/>
      <c r="J76" s="53" t="str">
        <f>IFERROR(__xludf.DUMMYFUNCTION("IF(ISBLANK(B76),"""",IF(ISDATE(B76),""X"",""""))"),"")</f>
        <v/>
      </c>
      <c r="K76" s="40" t="str">
        <f>IFERROR(__xludf.DUMMYFUNCTION("IF(ISBLANK(B76),"""",IF(ISDATE(B76),H76,""""))"),"")</f>
        <v/>
      </c>
      <c r="L76" s="40" t="str">
        <f>IFERROR(__xludf.DUMMYFUNCTION("IF(ISBLANK(B76),"""",IF(ISDATE(B76),TEXT(B76,""M""),""""))"),"")</f>
        <v/>
      </c>
      <c r="M76" s="29" t="str">
        <f>IFERROR(__xludf.DUMMYFUNCTION("IF(L76="""","""",QUERY({'Dashboard-Dados'!$Y$2:$AA$13},""Select Col2 Where Col1=""&amp;L76))"),"")</f>
        <v/>
      </c>
      <c r="N76" s="29" t="str">
        <f>IFERROR(__xludf.DUMMYFUNCTION("IF(ISBLANK(B76),"""",IF(ISDATE(B76),TEXT(B76,""yyyy""),""""))"),"")</f>
        <v/>
      </c>
    </row>
    <row r="77">
      <c r="B77" s="87"/>
      <c r="C77" s="85"/>
      <c r="D77" s="76"/>
      <c r="H77" s="88"/>
      <c r="J77" s="53" t="str">
        <f>IFERROR(__xludf.DUMMYFUNCTION("IF(ISBLANK(B77),"""",IF(ISDATE(B77),""X"",""""))"),"")</f>
        <v/>
      </c>
      <c r="K77" s="40" t="str">
        <f>IFERROR(__xludf.DUMMYFUNCTION("IF(ISBLANK(B77),"""",IF(ISDATE(B77),H77,""""))"),"")</f>
        <v/>
      </c>
      <c r="L77" s="40" t="str">
        <f>IFERROR(__xludf.DUMMYFUNCTION("IF(ISBLANK(B77),"""",IF(ISDATE(B77),TEXT(B77,""M""),""""))"),"")</f>
        <v/>
      </c>
      <c r="M77" s="29" t="str">
        <f>IFERROR(__xludf.DUMMYFUNCTION("IF(L77="""","""",QUERY({'Dashboard-Dados'!$Y$2:$AA$13},""Select Col2 Where Col1=""&amp;L77))"),"")</f>
        <v/>
      </c>
      <c r="N77" s="29" t="str">
        <f>IFERROR(__xludf.DUMMYFUNCTION("IF(ISBLANK(B77),"""",IF(ISDATE(B77),TEXT(B77,""yyyy""),""""))"),"")</f>
        <v/>
      </c>
    </row>
    <row r="78">
      <c r="B78" s="89"/>
      <c r="C78" s="86"/>
      <c r="D78" s="71"/>
      <c r="H78" s="90"/>
      <c r="J78" s="53" t="str">
        <f>IFERROR(__xludf.DUMMYFUNCTION("IF(ISBLANK(B78),"""",IF(ISDATE(B78),""X"",""""))"),"")</f>
        <v/>
      </c>
      <c r="K78" s="40" t="str">
        <f>IFERROR(__xludf.DUMMYFUNCTION("IF(ISBLANK(B78),"""",IF(ISDATE(B78),H78,""""))"),"")</f>
        <v/>
      </c>
      <c r="L78" s="40" t="str">
        <f>IFERROR(__xludf.DUMMYFUNCTION("IF(ISBLANK(B78),"""",IF(ISDATE(B78),TEXT(B78,""M""),""""))"),"")</f>
        <v/>
      </c>
      <c r="M78" s="29" t="str">
        <f>IFERROR(__xludf.DUMMYFUNCTION("IF(L78="""","""",QUERY({'Dashboard-Dados'!$Y$2:$AA$13},""Select Col2 Where Col1=""&amp;L78))"),"")</f>
        <v/>
      </c>
      <c r="N78" s="29" t="str">
        <f>IFERROR(__xludf.DUMMYFUNCTION("IF(ISBLANK(B78),"""",IF(ISDATE(B78),TEXT(B78,""yyyy""),""""))"),"")</f>
        <v/>
      </c>
    </row>
    <row r="79">
      <c r="B79" s="87"/>
      <c r="C79" s="85"/>
      <c r="D79" s="76"/>
      <c r="H79" s="88"/>
      <c r="J79" s="53" t="str">
        <f>IFERROR(__xludf.DUMMYFUNCTION("IF(ISBLANK(B79),"""",IF(ISDATE(B79),""X"",""""))"),"")</f>
        <v/>
      </c>
      <c r="K79" s="40" t="str">
        <f>IFERROR(__xludf.DUMMYFUNCTION("IF(ISBLANK(B79),"""",IF(ISDATE(B79),H79,""""))"),"")</f>
        <v/>
      </c>
      <c r="L79" s="40" t="str">
        <f>IFERROR(__xludf.DUMMYFUNCTION("IF(ISBLANK(B79),"""",IF(ISDATE(B79),TEXT(B79,""M""),""""))"),"")</f>
        <v/>
      </c>
      <c r="M79" s="29" t="str">
        <f>IFERROR(__xludf.DUMMYFUNCTION("IF(L79="""","""",QUERY({'Dashboard-Dados'!$Y$2:$AA$13},""Select Col2 Where Col1=""&amp;L79))"),"")</f>
        <v/>
      </c>
      <c r="N79" s="29" t="str">
        <f>IFERROR(__xludf.DUMMYFUNCTION("IF(ISBLANK(B79),"""",IF(ISDATE(B79),TEXT(B79,""yyyy""),""""))"),"")</f>
        <v/>
      </c>
    </row>
    <row r="80">
      <c r="B80" s="89"/>
      <c r="C80" s="86"/>
      <c r="D80" s="71"/>
      <c r="H80" s="90"/>
      <c r="J80" s="53" t="str">
        <f>IFERROR(__xludf.DUMMYFUNCTION("IF(ISBLANK(B80),"""",IF(ISDATE(B80),""X"",""""))"),"")</f>
        <v/>
      </c>
      <c r="K80" s="40" t="str">
        <f>IFERROR(__xludf.DUMMYFUNCTION("IF(ISBLANK(B80),"""",IF(ISDATE(B80),H80,""""))"),"")</f>
        <v/>
      </c>
      <c r="L80" s="40" t="str">
        <f>IFERROR(__xludf.DUMMYFUNCTION("IF(ISBLANK(B80),"""",IF(ISDATE(B80),TEXT(B80,""M""),""""))"),"")</f>
        <v/>
      </c>
      <c r="M80" s="29" t="str">
        <f>IFERROR(__xludf.DUMMYFUNCTION("IF(L80="""","""",QUERY({'Dashboard-Dados'!$Y$2:$AA$13},""Select Col2 Where Col1=""&amp;L80))"),"")</f>
        <v/>
      </c>
      <c r="N80" s="29" t="str">
        <f>IFERROR(__xludf.DUMMYFUNCTION("IF(ISBLANK(B80),"""",IF(ISDATE(B80),TEXT(B80,""yyyy""),""""))"),"")</f>
        <v/>
      </c>
    </row>
    <row r="81">
      <c r="B81" s="87"/>
      <c r="C81" s="85"/>
      <c r="D81" s="76"/>
      <c r="H81" s="88"/>
      <c r="J81" s="53" t="str">
        <f>IFERROR(__xludf.DUMMYFUNCTION("IF(ISBLANK(B81),"""",IF(ISDATE(B81),""X"",""""))"),"")</f>
        <v/>
      </c>
      <c r="K81" s="40" t="str">
        <f>IFERROR(__xludf.DUMMYFUNCTION("IF(ISBLANK(B81),"""",IF(ISDATE(B81),H81,""""))"),"")</f>
        <v/>
      </c>
      <c r="L81" s="40" t="str">
        <f>IFERROR(__xludf.DUMMYFUNCTION("IF(ISBLANK(B81),"""",IF(ISDATE(B81),TEXT(B81,""M""),""""))"),"")</f>
        <v/>
      </c>
      <c r="M81" s="29" t="str">
        <f>IFERROR(__xludf.DUMMYFUNCTION("IF(L81="""","""",QUERY({'Dashboard-Dados'!$Y$2:$AA$13},""Select Col2 Where Col1=""&amp;L81))"),"")</f>
        <v/>
      </c>
      <c r="N81" s="29" t="str">
        <f>IFERROR(__xludf.DUMMYFUNCTION("IF(ISBLANK(B81),"""",IF(ISDATE(B81),TEXT(B81,""yyyy""),""""))"),"")</f>
        <v/>
      </c>
    </row>
    <row r="82">
      <c r="B82" s="89"/>
      <c r="C82" s="86"/>
      <c r="D82" s="71"/>
      <c r="H82" s="90"/>
      <c r="J82" s="53" t="str">
        <f>IFERROR(__xludf.DUMMYFUNCTION("IF(ISBLANK(B82),"""",IF(ISDATE(B82),""X"",""""))"),"")</f>
        <v/>
      </c>
      <c r="K82" s="40" t="str">
        <f>IFERROR(__xludf.DUMMYFUNCTION("IF(ISBLANK(B82),"""",IF(ISDATE(B82),H82,""""))"),"")</f>
        <v/>
      </c>
      <c r="L82" s="40" t="str">
        <f>IFERROR(__xludf.DUMMYFUNCTION("IF(ISBLANK(B82),"""",IF(ISDATE(B82),TEXT(B82,""M""),""""))"),"")</f>
        <v/>
      </c>
      <c r="M82" s="29" t="str">
        <f>IFERROR(__xludf.DUMMYFUNCTION("IF(L82="""","""",QUERY({'Dashboard-Dados'!$Y$2:$AA$13},""Select Col2 Where Col1=""&amp;L82))"),"")</f>
        <v/>
      </c>
      <c r="N82" s="29" t="str">
        <f>IFERROR(__xludf.DUMMYFUNCTION("IF(ISBLANK(B82),"""",IF(ISDATE(B82),TEXT(B82,""yyyy""),""""))"),"")</f>
        <v/>
      </c>
    </row>
    <row r="83">
      <c r="B83" s="87"/>
      <c r="C83" s="85"/>
      <c r="D83" s="76"/>
      <c r="H83" s="88"/>
      <c r="J83" s="53" t="str">
        <f>IFERROR(__xludf.DUMMYFUNCTION("IF(ISBLANK(B83),"""",IF(ISDATE(B83),""X"",""""))"),"")</f>
        <v/>
      </c>
      <c r="K83" s="40" t="str">
        <f>IFERROR(__xludf.DUMMYFUNCTION("IF(ISBLANK(B83),"""",IF(ISDATE(B83),H83,""""))"),"")</f>
        <v/>
      </c>
      <c r="L83" s="40" t="str">
        <f>IFERROR(__xludf.DUMMYFUNCTION("IF(ISBLANK(B83),"""",IF(ISDATE(B83),TEXT(B83,""M""),""""))"),"")</f>
        <v/>
      </c>
      <c r="M83" s="29" t="str">
        <f>IFERROR(__xludf.DUMMYFUNCTION("IF(L83="""","""",QUERY({'Dashboard-Dados'!$Y$2:$AA$13},""Select Col2 Where Col1=""&amp;L83))"),"")</f>
        <v/>
      </c>
      <c r="N83" s="29" t="str">
        <f>IFERROR(__xludf.DUMMYFUNCTION("IF(ISBLANK(B83),"""",IF(ISDATE(B83),TEXT(B83,""yyyy""),""""))"),"")</f>
        <v/>
      </c>
    </row>
    <row r="84">
      <c r="B84" s="89"/>
      <c r="C84" s="86"/>
      <c r="D84" s="71"/>
      <c r="H84" s="90"/>
      <c r="J84" s="53" t="str">
        <f>IFERROR(__xludf.DUMMYFUNCTION("IF(ISBLANK(B84),"""",IF(ISDATE(B84),""X"",""""))"),"")</f>
        <v/>
      </c>
      <c r="K84" s="40" t="str">
        <f>IFERROR(__xludf.DUMMYFUNCTION("IF(ISBLANK(B84),"""",IF(ISDATE(B84),H84,""""))"),"")</f>
        <v/>
      </c>
      <c r="L84" s="40" t="str">
        <f>IFERROR(__xludf.DUMMYFUNCTION("IF(ISBLANK(B84),"""",IF(ISDATE(B84),TEXT(B84,""M""),""""))"),"")</f>
        <v/>
      </c>
      <c r="M84" s="29" t="str">
        <f>IFERROR(__xludf.DUMMYFUNCTION("IF(L84="""","""",QUERY({'Dashboard-Dados'!$Y$2:$AA$13},""Select Col2 Where Col1=""&amp;L84))"),"")</f>
        <v/>
      </c>
      <c r="N84" s="29" t="str">
        <f>IFERROR(__xludf.DUMMYFUNCTION("IF(ISBLANK(B84),"""",IF(ISDATE(B84),TEXT(B84,""yyyy""),""""))"),"")</f>
        <v/>
      </c>
    </row>
    <row r="85">
      <c r="B85" s="87"/>
      <c r="C85" s="85"/>
      <c r="D85" s="76"/>
      <c r="H85" s="88"/>
      <c r="J85" s="53" t="str">
        <f>IFERROR(__xludf.DUMMYFUNCTION("IF(ISBLANK(B85),"""",IF(ISDATE(B85),""X"",""""))"),"")</f>
        <v/>
      </c>
      <c r="K85" s="40" t="str">
        <f>IFERROR(__xludf.DUMMYFUNCTION("IF(ISBLANK(B85),"""",IF(ISDATE(B85),H85,""""))"),"")</f>
        <v/>
      </c>
      <c r="L85" s="40" t="str">
        <f>IFERROR(__xludf.DUMMYFUNCTION("IF(ISBLANK(B85),"""",IF(ISDATE(B85),TEXT(B85,""M""),""""))"),"")</f>
        <v/>
      </c>
      <c r="M85" s="29" t="str">
        <f>IFERROR(__xludf.DUMMYFUNCTION("IF(L85="""","""",QUERY({'Dashboard-Dados'!$Y$2:$AA$13},""Select Col2 Where Col1=""&amp;L85))"),"")</f>
        <v/>
      </c>
      <c r="N85" s="29" t="str">
        <f>IFERROR(__xludf.DUMMYFUNCTION("IF(ISBLANK(B85),"""",IF(ISDATE(B85),TEXT(B85,""yyyy""),""""))"),"")</f>
        <v/>
      </c>
    </row>
    <row r="86">
      <c r="B86" s="89"/>
      <c r="C86" s="86"/>
      <c r="D86" s="71"/>
      <c r="H86" s="90"/>
      <c r="J86" s="53" t="str">
        <f>IFERROR(__xludf.DUMMYFUNCTION("IF(ISBLANK(B86),"""",IF(ISDATE(B86),""X"",""""))"),"")</f>
        <v/>
      </c>
      <c r="K86" s="40" t="str">
        <f>IFERROR(__xludf.DUMMYFUNCTION("IF(ISBLANK(B86),"""",IF(ISDATE(B86),H86,""""))"),"")</f>
        <v/>
      </c>
      <c r="L86" s="40" t="str">
        <f>IFERROR(__xludf.DUMMYFUNCTION("IF(ISBLANK(B86),"""",IF(ISDATE(B86),TEXT(B86,""M""),""""))"),"")</f>
        <v/>
      </c>
      <c r="M86" s="29" t="str">
        <f>IFERROR(__xludf.DUMMYFUNCTION("IF(L86="""","""",QUERY({'Dashboard-Dados'!$Y$2:$AA$13},""Select Col2 Where Col1=""&amp;L86))"),"")</f>
        <v/>
      </c>
      <c r="N86" s="29" t="str">
        <f>IFERROR(__xludf.DUMMYFUNCTION("IF(ISBLANK(B86),"""",IF(ISDATE(B86),TEXT(B86,""yyyy""),""""))"),"")</f>
        <v/>
      </c>
    </row>
    <row r="87">
      <c r="B87" s="87"/>
      <c r="C87" s="85"/>
      <c r="D87" s="76"/>
      <c r="H87" s="88"/>
      <c r="J87" s="53" t="str">
        <f>IFERROR(__xludf.DUMMYFUNCTION("IF(ISBLANK(B87),"""",IF(ISDATE(B87),""X"",""""))"),"")</f>
        <v/>
      </c>
      <c r="K87" s="40" t="str">
        <f>IFERROR(__xludf.DUMMYFUNCTION("IF(ISBLANK(B87),"""",IF(ISDATE(B87),H87,""""))"),"")</f>
        <v/>
      </c>
      <c r="L87" s="40" t="str">
        <f>IFERROR(__xludf.DUMMYFUNCTION("IF(ISBLANK(B87),"""",IF(ISDATE(B87),TEXT(B87,""M""),""""))"),"")</f>
        <v/>
      </c>
      <c r="M87" s="29" t="str">
        <f>IFERROR(__xludf.DUMMYFUNCTION("IF(L87="""","""",QUERY({'Dashboard-Dados'!$Y$2:$AA$13},""Select Col2 Where Col1=""&amp;L87))"),"")</f>
        <v/>
      </c>
      <c r="N87" s="29" t="str">
        <f>IFERROR(__xludf.DUMMYFUNCTION("IF(ISBLANK(B87),"""",IF(ISDATE(B87),TEXT(B87,""yyyy""),""""))"),"")</f>
        <v/>
      </c>
    </row>
    <row r="88">
      <c r="B88" s="89"/>
      <c r="C88" s="86"/>
      <c r="D88" s="71"/>
      <c r="H88" s="90"/>
      <c r="J88" s="53" t="str">
        <f>IFERROR(__xludf.DUMMYFUNCTION("IF(ISBLANK(B88),"""",IF(ISDATE(B88),""X"",""""))"),"")</f>
        <v/>
      </c>
      <c r="K88" s="40" t="str">
        <f>IFERROR(__xludf.DUMMYFUNCTION("IF(ISBLANK(B88),"""",IF(ISDATE(B88),H88,""""))"),"")</f>
        <v/>
      </c>
      <c r="L88" s="40" t="str">
        <f>IFERROR(__xludf.DUMMYFUNCTION("IF(ISBLANK(B88),"""",IF(ISDATE(B88),TEXT(B88,""M""),""""))"),"")</f>
        <v/>
      </c>
      <c r="M88" s="29" t="str">
        <f>IFERROR(__xludf.DUMMYFUNCTION("IF(L88="""","""",QUERY({'Dashboard-Dados'!$Y$2:$AA$13},""Select Col2 Where Col1=""&amp;L88))"),"")</f>
        <v/>
      </c>
      <c r="N88" s="29" t="str">
        <f>IFERROR(__xludf.DUMMYFUNCTION("IF(ISBLANK(B88),"""",IF(ISDATE(B88),TEXT(B88,""yyyy""),""""))"),"")</f>
        <v/>
      </c>
    </row>
    <row r="89">
      <c r="B89" s="87"/>
      <c r="C89" s="85"/>
      <c r="D89" s="76"/>
      <c r="H89" s="88"/>
      <c r="J89" s="53" t="str">
        <f>IFERROR(__xludf.DUMMYFUNCTION("IF(ISBLANK(B89),"""",IF(ISDATE(B89),""X"",""""))"),"")</f>
        <v/>
      </c>
      <c r="K89" s="40" t="str">
        <f>IFERROR(__xludf.DUMMYFUNCTION("IF(ISBLANK(B89),"""",IF(ISDATE(B89),H89,""""))"),"")</f>
        <v/>
      </c>
      <c r="L89" s="40" t="str">
        <f>IFERROR(__xludf.DUMMYFUNCTION("IF(ISBLANK(B89),"""",IF(ISDATE(B89),TEXT(B89,""M""),""""))"),"")</f>
        <v/>
      </c>
      <c r="M89" s="29" t="str">
        <f>IFERROR(__xludf.DUMMYFUNCTION("IF(L89="""","""",QUERY({'Dashboard-Dados'!$Y$2:$AA$13},""Select Col2 Where Col1=""&amp;L89))"),"")</f>
        <v/>
      </c>
      <c r="N89" s="29" t="str">
        <f>IFERROR(__xludf.DUMMYFUNCTION("IF(ISBLANK(B89),"""",IF(ISDATE(B89),TEXT(B89,""yyyy""),""""))"),"")</f>
        <v/>
      </c>
    </row>
    <row r="90">
      <c r="B90" s="89"/>
      <c r="C90" s="86"/>
      <c r="D90" s="71"/>
      <c r="H90" s="90"/>
      <c r="J90" s="53" t="str">
        <f>IFERROR(__xludf.DUMMYFUNCTION("IF(ISBLANK(B90),"""",IF(ISDATE(B90),""X"",""""))"),"")</f>
        <v/>
      </c>
      <c r="K90" s="40" t="str">
        <f>IFERROR(__xludf.DUMMYFUNCTION("IF(ISBLANK(B90),"""",IF(ISDATE(B90),H90,""""))"),"")</f>
        <v/>
      </c>
      <c r="L90" s="40" t="str">
        <f>IFERROR(__xludf.DUMMYFUNCTION("IF(ISBLANK(B90),"""",IF(ISDATE(B90),TEXT(B90,""M""),""""))"),"")</f>
        <v/>
      </c>
      <c r="M90" s="29" t="str">
        <f>IFERROR(__xludf.DUMMYFUNCTION("IF(L90="""","""",QUERY({'Dashboard-Dados'!$Y$2:$AA$13},""Select Col2 Where Col1=""&amp;L90))"),"")</f>
        <v/>
      </c>
      <c r="N90" s="29" t="str">
        <f>IFERROR(__xludf.DUMMYFUNCTION("IF(ISBLANK(B90),"""",IF(ISDATE(B90),TEXT(B90,""yyyy""),""""))"),"")</f>
        <v/>
      </c>
    </row>
    <row r="91">
      <c r="B91" s="87"/>
      <c r="C91" s="85"/>
      <c r="D91" s="76"/>
      <c r="H91" s="88"/>
      <c r="J91" s="53" t="str">
        <f>IFERROR(__xludf.DUMMYFUNCTION("IF(ISBLANK(B91),"""",IF(ISDATE(B91),""X"",""""))"),"")</f>
        <v/>
      </c>
      <c r="K91" s="40" t="str">
        <f>IFERROR(__xludf.DUMMYFUNCTION("IF(ISBLANK(B91),"""",IF(ISDATE(B91),H91,""""))"),"")</f>
        <v/>
      </c>
      <c r="L91" s="40" t="str">
        <f>IFERROR(__xludf.DUMMYFUNCTION("IF(ISBLANK(B91),"""",IF(ISDATE(B91),TEXT(B91,""M""),""""))"),"")</f>
        <v/>
      </c>
      <c r="M91" s="29" t="str">
        <f>IFERROR(__xludf.DUMMYFUNCTION("IF(L91="""","""",QUERY({'Dashboard-Dados'!$Y$2:$AA$13},""Select Col2 Where Col1=""&amp;L91))"),"")</f>
        <v/>
      </c>
      <c r="N91" s="29" t="str">
        <f>IFERROR(__xludf.DUMMYFUNCTION("IF(ISBLANK(B91),"""",IF(ISDATE(B91),TEXT(B91,""yyyy""),""""))"),"")</f>
        <v/>
      </c>
    </row>
    <row r="92">
      <c r="B92" s="89"/>
      <c r="C92" s="86"/>
      <c r="D92" s="71"/>
      <c r="H92" s="90"/>
      <c r="J92" s="53" t="str">
        <f>IFERROR(__xludf.DUMMYFUNCTION("IF(ISBLANK(B92),"""",IF(ISDATE(B92),""X"",""""))"),"")</f>
        <v/>
      </c>
      <c r="K92" s="40" t="str">
        <f>IFERROR(__xludf.DUMMYFUNCTION("IF(ISBLANK(B92),"""",IF(ISDATE(B92),H92,""""))"),"")</f>
        <v/>
      </c>
      <c r="L92" s="40" t="str">
        <f>IFERROR(__xludf.DUMMYFUNCTION("IF(ISBLANK(B92),"""",IF(ISDATE(B92),TEXT(B92,""M""),""""))"),"")</f>
        <v/>
      </c>
      <c r="M92" s="29" t="str">
        <f>IFERROR(__xludf.DUMMYFUNCTION("IF(L92="""","""",QUERY({'Dashboard-Dados'!$Y$2:$AA$13},""Select Col2 Where Col1=""&amp;L92))"),"")</f>
        <v/>
      </c>
      <c r="N92" s="29" t="str">
        <f>IFERROR(__xludf.DUMMYFUNCTION("IF(ISBLANK(B92),"""",IF(ISDATE(B92),TEXT(B92,""yyyy""),""""))"),"")</f>
        <v/>
      </c>
    </row>
    <row r="93">
      <c r="B93" s="87"/>
      <c r="C93" s="85"/>
      <c r="D93" s="76"/>
      <c r="H93" s="88"/>
      <c r="J93" s="53" t="str">
        <f>IFERROR(__xludf.DUMMYFUNCTION("IF(ISBLANK(B93),"""",IF(ISDATE(B93),""X"",""""))"),"")</f>
        <v/>
      </c>
      <c r="K93" s="40" t="str">
        <f>IFERROR(__xludf.DUMMYFUNCTION("IF(ISBLANK(B93),"""",IF(ISDATE(B93),H93,""""))"),"")</f>
        <v/>
      </c>
      <c r="L93" s="40" t="str">
        <f>IFERROR(__xludf.DUMMYFUNCTION("IF(ISBLANK(B93),"""",IF(ISDATE(B93),TEXT(B93,""M""),""""))"),"")</f>
        <v/>
      </c>
      <c r="M93" s="29" t="str">
        <f>IFERROR(__xludf.DUMMYFUNCTION("IF(L93="""","""",QUERY({'Dashboard-Dados'!$Y$2:$AA$13},""Select Col2 Where Col1=""&amp;L93))"),"")</f>
        <v/>
      </c>
      <c r="N93" s="29" t="str">
        <f>IFERROR(__xludf.DUMMYFUNCTION("IF(ISBLANK(B93),"""",IF(ISDATE(B93),TEXT(B93,""yyyy""),""""))"),"")</f>
        <v/>
      </c>
    </row>
    <row r="94">
      <c r="B94" s="89"/>
      <c r="C94" s="86"/>
      <c r="D94" s="71"/>
      <c r="H94" s="90"/>
      <c r="J94" s="53" t="str">
        <f>IFERROR(__xludf.DUMMYFUNCTION("IF(ISBLANK(B94),"""",IF(ISDATE(B94),""X"",""""))"),"")</f>
        <v/>
      </c>
      <c r="K94" s="40" t="str">
        <f>IFERROR(__xludf.DUMMYFUNCTION("IF(ISBLANK(B94),"""",IF(ISDATE(B94),H94,""""))"),"")</f>
        <v/>
      </c>
      <c r="L94" s="40" t="str">
        <f>IFERROR(__xludf.DUMMYFUNCTION("IF(ISBLANK(B94),"""",IF(ISDATE(B94),TEXT(B94,""M""),""""))"),"")</f>
        <v/>
      </c>
      <c r="M94" s="29" t="str">
        <f>IFERROR(__xludf.DUMMYFUNCTION("IF(L94="""","""",QUERY({'Dashboard-Dados'!$Y$2:$AA$13},""Select Col2 Where Col1=""&amp;L94))"),"")</f>
        <v/>
      </c>
      <c r="N94" s="29" t="str">
        <f>IFERROR(__xludf.DUMMYFUNCTION("IF(ISBLANK(B94),"""",IF(ISDATE(B94),TEXT(B94,""yyyy""),""""))"),"")</f>
        <v/>
      </c>
    </row>
    <row r="95">
      <c r="B95" s="87"/>
      <c r="C95" s="85"/>
      <c r="D95" s="76"/>
      <c r="H95" s="88"/>
      <c r="J95" s="53" t="str">
        <f>IFERROR(__xludf.DUMMYFUNCTION("IF(ISBLANK(B95),"""",IF(ISDATE(B95),""X"",""""))"),"")</f>
        <v/>
      </c>
      <c r="K95" s="40" t="str">
        <f>IFERROR(__xludf.DUMMYFUNCTION("IF(ISBLANK(B95),"""",IF(ISDATE(B95),H95,""""))"),"")</f>
        <v/>
      </c>
      <c r="L95" s="40" t="str">
        <f>IFERROR(__xludf.DUMMYFUNCTION("IF(ISBLANK(B95),"""",IF(ISDATE(B95),TEXT(B95,""M""),""""))"),"")</f>
        <v/>
      </c>
      <c r="M95" s="29" t="str">
        <f>IFERROR(__xludf.DUMMYFUNCTION("IF(L95="""","""",QUERY({'Dashboard-Dados'!$Y$2:$AA$13},""Select Col2 Where Col1=""&amp;L95))"),"")</f>
        <v/>
      </c>
      <c r="N95" s="29" t="str">
        <f>IFERROR(__xludf.DUMMYFUNCTION("IF(ISBLANK(B95),"""",IF(ISDATE(B95),TEXT(B95,""yyyy""),""""))"),"")</f>
        <v/>
      </c>
    </row>
    <row r="96">
      <c r="B96" s="89"/>
      <c r="C96" s="86"/>
      <c r="D96" s="71"/>
      <c r="H96" s="90"/>
      <c r="J96" s="53" t="str">
        <f>IFERROR(__xludf.DUMMYFUNCTION("IF(ISBLANK(B96),"""",IF(ISDATE(B96),""X"",""""))"),"")</f>
        <v/>
      </c>
      <c r="K96" s="40" t="str">
        <f>IFERROR(__xludf.DUMMYFUNCTION("IF(ISBLANK(B96),"""",IF(ISDATE(B96),H96,""""))"),"")</f>
        <v/>
      </c>
      <c r="L96" s="40" t="str">
        <f>IFERROR(__xludf.DUMMYFUNCTION("IF(ISBLANK(B96),"""",IF(ISDATE(B96),TEXT(B96,""M""),""""))"),"")</f>
        <v/>
      </c>
      <c r="M96" s="29" t="str">
        <f>IFERROR(__xludf.DUMMYFUNCTION("IF(L96="""","""",QUERY({'Dashboard-Dados'!$Y$2:$AA$13},""Select Col2 Where Col1=""&amp;L96))"),"")</f>
        <v/>
      </c>
      <c r="N96" s="29" t="str">
        <f>IFERROR(__xludf.DUMMYFUNCTION("IF(ISBLANK(B96),"""",IF(ISDATE(B96),TEXT(B96,""yyyy""),""""))"),"")</f>
        <v/>
      </c>
    </row>
    <row r="97">
      <c r="B97" s="87"/>
      <c r="C97" s="85"/>
      <c r="D97" s="76"/>
      <c r="H97" s="88"/>
      <c r="J97" s="53" t="str">
        <f>IFERROR(__xludf.DUMMYFUNCTION("IF(ISBLANK(B97),"""",IF(ISDATE(B97),""X"",""""))"),"")</f>
        <v/>
      </c>
      <c r="K97" s="40" t="str">
        <f>IFERROR(__xludf.DUMMYFUNCTION("IF(ISBLANK(B97),"""",IF(ISDATE(B97),H97,""""))"),"")</f>
        <v/>
      </c>
      <c r="L97" s="40" t="str">
        <f>IFERROR(__xludf.DUMMYFUNCTION("IF(ISBLANK(B97),"""",IF(ISDATE(B97),TEXT(B97,""M""),""""))"),"")</f>
        <v/>
      </c>
      <c r="M97" s="29" t="str">
        <f>IFERROR(__xludf.DUMMYFUNCTION("IF(L97="""","""",QUERY({'Dashboard-Dados'!$Y$2:$AA$13},""Select Col2 Where Col1=""&amp;L97))"),"")</f>
        <v/>
      </c>
      <c r="N97" s="29" t="str">
        <f>IFERROR(__xludf.DUMMYFUNCTION("IF(ISBLANK(B97),"""",IF(ISDATE(B97),TEXT(B97,""yyyy""),""""))"),"")</f>
        <v/>
      </c>
    </row>
    <row r="98">
      <c r="B98" s="89"/>
      <c r="C98" s="86"/>
      <c r="D98" s="71"/>
      <c r="H98" s="90"/>
      <c r="J98" s="53" t="str">
        <f>IFERROR(__xludf.DUMMYFUNCTION("IF(ISBLANK(B98),"""",IF(ISDATE(B98),""X"",""""))"),"")</f>
        <v/>
      </c>
      <c r="K98" s="40" t="str">
        <f>IFERROR(__xludf.DUMMYFUNCTION("IF(ISBLANK(B98),"""",IF(ISDATE(B98),H98,""""))"),"")</f>
        <v/>
      </c>
      <c r="L98" s="40" t="str">
        <f>IFERROR(__xludf.DUMMYFUNCTION("IF(ISBLANK(B98),"""",IF(ISDATE(B98),TEXT(B98,""M""),""""))"),"")</f>
        <v/>
      </c>
      <c r="M98" s="29" t="str">
        <f>IFERROR(__xludf.DUMMYFUNCTION("IF(L98="""","""",QUERY({'Dashboard-Dados'!$Y$2:$AA$13},""Select Col2 Where Col1=""&amp;L98))"),"")</f>
        <v/>
      </c>
      <c r="N98" s="29" t="str">
        <f>IFERROR(__xludf.DUMMYFUNCTION("IF(ISBLANK(B98),"""",IF(ISDATE(B98),TEXT(B98,""yyyy""),""""))"),"")</f>
        <v/>
      </c>
    </row>
    <row r="99">
      <c r="B99" s="87"/>
      <c r="C99" s="85"/>
      <c r="D99" s="76"/>
      <c r="H99" s="88"/>
      <c r="J99" s="53" t="str">
        <f>IFERROR(__xludf.DUMMYFUNCTION("IF(ISBLANK(B99),"""",IF(ISDATE(B99),""X"",""""))"),"")</f>
        <v/>
      </c>
      <c r="K99" s="40" t="str">
        <f>IFERROR(__xludf.DUMMYFUNCTION("IF(ISBLANK(B99),"""",IF(ISDATE(B99),H99,""""))"),"")</f>
        <v/>
      </c>
      <c r="L99" s="40" t="str">
        <f>IFERROR(__xludf.DUMMYFUNCTION("IF(ISBLANK(B99),"""",IF(ISDATE(B99),TEXT(B99,""M""),""""))"),"")</f>
        <v/>
      </c>
      <c r="M99" s="29" t="str">
        <f>IFERROR(__xludf.DUMMYFUNCTION("IF(L99="""","""",QUERY({'Dashboard-Dados'!$Y$2:$AA$13},""Select Col2 Where Col1=""&amp;L99))"),"")</f>
        <v/>
      </c>
      <c r="N99" s="29" t="str">
        <f>IFERROR(__xludf.DUMMYFUNCTION("IF(ISBLANK(B99),"""",IF(ISDATE(B99),TEXT(B99,""yyyy""),""""))"),"")</f>
        <v/>
      </c>
    </row>
    <row r="100">
      <c r="B100" s="89"/>
      <c r="C100" s="86"/>
      <c r="D100" s="71"/>
      <c r="H100" s="90"/>
      <c r="J100" s="53" t="str">
        <f>IFERROR(__xludf.DUMMYFUNCTION("IF(ISBLANK(B100),"""",IF(ISDATE(B100),""X"",""""))"),"")</f>
        <v/>
      </c>
      <c r="K100" s="40" t="str">
        <f>IFERROR(__xludf.DUMMYFUNCTION("IF(ISBLANK(B100),"""",IF(ISDATE(B100),H100,""""))"),"")</f>
        <v/>
      </c>
      <c r="L100" s="40" t="str">
        <f>IFERROR(__xludf.DUMMYFUNCTION("IF(ISBLANK(B100),"""",IF(ISDATE(B100),TEXT(B100,""M""),""""))"),"")</f>
        <v/>
      </c>
      <c r="M100" s="29" t="str">
        <f>IFERROR(__xludf.DUMMYFUNCTION("IF(L100="""","""",QUERY({'Dashboard-Dados'!$Y$2:$AA$13},""Select Col2 Where Col1=""&amp;L100))"),"")</f>
        <v/>
      </c>
      <c r="N100" s="29" t="str">
        <f>IFERROR(__xludf.DUMMYFUNCTION("IF(ISBLANK(B100),"""",IF(ISDATE(B100),TEXT(B100,""yyyy""),""""))"),"")</f>
        <v/>
      </c>
    </row>
    <row r="101">
      <c r="B101" s="87"/>
      <c r="C101" s="85"/>
      <c r="D101" s="76"/>
      <c r="H101" s="88"/>
      <c r="J101" s="53" t="str">
        <f>IFERROR(__xludf.DUMMYFUNCTION("IF(ISBLANK(B101),"""",IF(ISDATE(B101),""X"",""""))"),"")</f>
        <v/>
      </c>
      <c r="K101" s="40" t="str">
        <f>IFERROR(__xludf.DUMMYFUNCTION("IF(ISBLANK(B101),"""",IF(ISDATE(B101),H101,""""))"),"")</f>
        <v/>
      </c>
      <c r="L101" s="40" t="str">
        <f>IFERROR(__xludf.DUMMYFUNCTION("IF(ISBLANK(B101),"""",IF(ISDATE(B101),TEXT(B101,""M""),""""))"),"")</f>
        <v/>
      </c>
      <c r="M101" s="29" t="str">
        <f>IFERROR(__xludf.DUMMYFUNCTION("IF(L101="""","""",QUERY({'Dashboard-Dados'!$Y$2:$AA$13},""Select Col2 Where Col1=""&amp;L101))"),"")</f>
        <v/>
      </c>
      <c r="N101" s="29" t="str">
        <f>IFERROR(__xludf.DUMMYFUNCTION("IF(ISBLANK(B101),"""",IF(ISDATE(B101),TEXT(B101,""yyyy""),""""))"),"")</f>
        <v/>
      </c>
    </row>
    <row r="102">
      <c r="B102" s="89"/>
      <c r="C102" s="86"/>
      <c r="D102" s="71"/>
      <c r="H102" s="90"/>
      <c r="J102" s="53" t="str">
        <f>IFERROR(__xludf.DUMMYFUNCTION("IF(ISBLANK(B102),"""",IF(ISDATE(B102),""X"",""""))"),"")</f>
        <v/>
      </c>
      <c r="K102" s="40" t="str">
        <f>IFERROR(__xludf.DUMMYFUNCTION("IF(ISBLANK(B102),"""",IF(ISDATE(B102),H102,""""))"),"")</f>
        <v/>
      </c>
      <c r="L102" s="40" t="str">
        <f>IFERROR(__xludf.DUMMYFUNCTION("IF(ISBLANK(B102),"""",IF(ISDATE(B102),TEXT(B102,""M""),""""))"),"")</f>
        <v/>
      </c>
      <c r="M102" s="29" t="str">
        <f>IFERROR(__xludf.DUMMYFUNCTION("IF(L102="""","""",QUERY({'Dashboard-Dados'!$Y$2:$AA$13},""Select Col2 Where Col1=""&amp;L102))"),"")</f>
        <v/>
      </c>
      <c r="N102" s="29" t="str">
        <f>IFERROR(__xludf.DUMMYFUNCTION("IF(ISBLANK(B102),"""",IF(ISDATE(B102),TEXT(B102,""yyyy""),""""))"),"")</f>
        <v/>
      </c>
    </row>
    <row r="103">
      <c r="B103" s="87"/>
      <c r="C103" s="85"/>
      <c r="D103" s="76"/>
      <c r="H103" s="88"/>
      <c r="J103" s="53" t="str">
        <f>IFERROR(__xludf.DUMMYFUNCTION("IF(ISBLANK(B103),"""",IF(ISDATE(B103),""X"",""""))"),"")</f>
        <v/>
      </c>
      <c r="K103" s="40" t="str">
        <f>IFERROR(__xludf.DUMMYFUNCTION("IF(ISBLANK(B103),"""",IF(ISDATE(B103),H103,""""))"),"")</f>
        <v/>
      </c>
      <c r="L103" s="40" t="str">
        <f>IFERROR(__xludf.DUMMYFUNCTION("IF(ISBLANK(B103),"""",IF(ISDATE(B103),TEXT(B103,""M""),""""))"),"")</f>
        <v/>
      </c>
      <c r="M103" s="29" t="str">
        <f>IFERROR(__xludf.DUMMYFUNCTION("IF(L103="""","""",QUERY({'Dashboard-Dados'!$Y$2:$AA$13},""Select Col2 Where Col1=""&amp;L103))"),"")</f>
        <v/>
      </c>
      <c r="N103" s="29" t="str">
        <f>IFERROR(__xludf.DUMMYFUNCTION("IF(ISBLANK(B103),"""",IF(ISDATE(B103),TEXT(B103,""yyyy""),""""))"),"")</f>
        <v/>
      </c>
    </row>
    <row r="104">
      <c r="B104" s="89"/>
      <c r="C104" s="86"/>
      <c r="D104" s="71"/>
      <c r="H104" s="90"/>
      <c r="J104" s="53" t="str">
        <f>IFERROR(__xludf.DUMMYFUNCTION("IF(ISBLANK(B104),"""",IF(ISDATE(B104),""X"",""""))"),"")</f>
        <v/>
      </c>
      <c r="K104" s="40" t="str">
        <f>IFERROR(__xludf.DUMMYFUNCTION("IF(ISBLANK(B104),"""",IF(ISDATE(B104),H104,""""))"),"")</f>
        <v/>
      </c>
      <c r="L104" s="40" t="str">
        <f>IFERROR(__xludf.DUMMYFUNCTION("IF(ISBLANK(B104),"""",IF(ISDATE(B104),TEXT(B104,""M""),""""))"),"")</f>
        <v/>
      </c>
      <c r="M104" s="29" t="str">
        <f>IFERROR(__xludf.DUMMYFUNCTION("IF(L104="""","""",QUERY({'Dashboard-Dados'!$Y$2:$AA$13},""Select Col2 Where Col1=""&amp;L104))"),"")</f>
        <v/>
      </c>
      <c r="N104" s="29" t="str">
        <f>IFERROR(__xludf.DUMMYFUNCTION("IF(ISBLANK(B104),"""",IF(ISDATE(B104),TEXT(B104,""yyyy""),""""))"),"")</f>
        <v/>
      </c>
    </row>
    <row r="105">
      <c r="B105" s="87"/>
      <c r="C105" s="85"/>
      <c r="D105" s="76"/>
      <c r="H105" s="88"/>
      <c r="J105" s="53" t="str">
        <f>IFERROR(__xludf.DUMMYFUNCTION("IF(ISBLANK(B105),"""",IF(ISDATE(B105),""X"",""""))"),"")</f>
        <v/>
      </c>
      <c r="K105" s="40" t="str">
        <f>IFERROR(__xludf.DUMMYFUNCTION("IF(ISBLANK(B105),"""",IF(ISDATE(B105),H105,""""))"),"")</f>
        <v/>
      </c>
      <c r="L105" s="40" t="str">
        <f>IFERROR(__xludf.DUMMYFUNCTION("IF(ISBLANK(B105),"""",IF(ISDATE(B105),TEXT(B105,""M""),""""))"),"")</f>
        <v/>
      </c>
      <c r="M105" s="29" t="str">
        <f>IFERROR(__xludf.DUMMYFUNCTION("IF(L105="""","""",QUERY({'Dashboard-Dados'!$Y$2:$AA$13},""Select Col2 Where Col1=""&amp;L105))"),"")</f>
        <v/>
      </c>
      <c r="N105" s="29" t="str">
        <f>IFERROR(__xludf.DUMMYFUNCTION("IF(ISBLANK(B105),"""",IF(ISDATE(B105),TEXT(B105,""yyyy""),""""))"),"")</f>
        <v/>
      </c>
    </row>
    <row r="106">
      <c r="B106" s="89"/>
      <c r="C106" s="86"/>
      <c r="D106" s="71"/>
      <c r="H106" s="90"/>
      <c r="J106" s="53" t="str">
        <f>IFERROR(__xludf.DUMMYFUNCTION("IF(ISBLANK(B106),"""",IF(ISDATE(B106),""X"",""""))"),"")</f>
        <v/>
      </c>
      <c r="K106" s="40" t="str">
        <f>IFERROR(__xludf.DUMMYFUNCTION("IF(ISBLANK(B106),"""",IF(ISDATE(B106),H106,""""))"),"")</f>
        <v/>
      </c>
      <c r="L106" s="40" t="str">
        <f>IFERROR(__xludf.DUMMYFUNCTION("IF(ISBLANK(B106),"""",IF(ISDATE(B106),TEXT(B106,""M""),""""))"),"")</f>
        <v/>
      </c>
      <c r="M106" s="29" t="str">
        <f>IFERROR(__xludf.DUMMYFUNCTION("IF(L106="""","""",QUERY({'Dashboard-Dados'!$Y$2:$AA$13},""Select Col2 Where Col1=""&amp;L106))"),"")</f>
        <v/>
      </c>
      <c r="N106" s="29" t="str">
        <f>IFERROR(__xludf.DUMMYFUNCTION("IF(ISBLANK(B106),"""",IF(ISDATE(B106),TEXT(B106,""yyyy""),""""))"),"")</f>
        <v/>
      </c>
    </row>
    <row r="107">
      <c r="B107" s="87"/>
      <c r="C107" s="85"/>
      <c r="D107" s="76"/>
      <c r="H107" s="88"/>
      <c r="J107" s="53" t="str">
        <f>IFERROR(__xludf.DUMMYFUNCTION("IF(ISBLANK(B107),"""",IF(ISDATE(B107),""X"",""""))"),"")</f>
        <v/>
      </c>
      <c r="K107" s="40" t="str">
        <f>IFERROR(__xludf.DUMMYFUNCTION("IF(ISBLANK(B107),"""",IF(ISDATE(B107),H107,""""))"),"")</f>
        <v/>
      </c>
      <c r="L107" s="40" t="str">
        <f>IFERROR(__xludf.DUMMYFUNCTION("IF(ISBLANK(B107),"""",IF(ISDATE(B107),TEXT(B107,""M""),""""))"),"")</f>
        <v/>
      </c>
      <c r="M107" s="29" t="str">
        <f>IFERROR(__xludf.DUMMYFUNCTION("IF(L107="""","""",QUERY({'Dashboard-Dados'!$Y$2:$AA$13},""Select Col2 Where Col1=""&amp;L107))"),"")</f>
        <v/>
      </c>
      <c r="N107" s="29" t="str">
        <f>IFERROR(__xludf.DUMMYFUNCTION("IF(ISBLANK(B107),"""",IF(ISDATE(B107),TEXT(B107,""yyyy""),""""))"),"")</f>
        <v/>
      </c>
    </row>
    <row r="108">
      <c r="B108" s="89"/>
      <c r="C108" s="86"/>
      <c r="D108" s="71"/>
      <c r="H108" s="90"/>
      <c r="J108" s="53" t="str">
        <f>IFERROR(__xludf.DUMMYFUNCTION("IF(ISBLANK(B108),"""",IF(ISDATE(B108),""X"",""""))"),"")</f>
        <v/>
      </c>
      <c r="K108" s="40" t="str">
        <f>IFERROR(__xludf.DUMMYFUNCTION("IF(ISBLANK(B108),"""",IF(ISDATE(B108),H108,""""))"),"")</f>
        <v/>
      </c>
      <c r="L108" s="40" t="str">
        <f>IFERROR(__xludf.DUMMYFUNCTION("IF(ISBLANK(B108),"""",IF(ISDATE(B108),TEXT(B108,""M""),""""))"),"")</f>
        <v/>
      </c>
      <c r="M108" s="29" t="str">
        <f>IFERROR(__xludf.DUMMYFUNCTION("IF(L108="""","""",QUERY({'Dashboard-Dados'!$Y$2:$AA$13},""Select Col2 Where Col1=""&amp;L108))"),"")</f>
        <v/>
      </c>
      <c r="N108" s="29" t="str">
        <f>IFERROR(__xludf.DUMMYFUNCTION("IF(ISBLANK(B108),"""",IF(ISDATE(B108),TEXT(B108,""yyyy""),""""))"),"")</f>
        <v/>
      </c>
    </row>
    <row r="109">
      <c r="B109" s="87"/>
      <c r="C109" s="85"/>
      <c r="D109" s="76"/>
      <c r="H109" s="88"/>
      <c r="J109" s="53" t="str">
        <f>IFERROR(__xludf.DUMMYFUNCTION("IF(ISBLANK(B109),"""",IF(ISDATE(B109),""X"",""""))"),"")</f>
        <v/>
      </c>
      <c r="K109" s="40" t="str">
        <f>IFERROR(__xludf.DUMMYFUNCTION("IF(ISBLANK(B109),"""",IF(ISDATE(B109),H109,""""))"),"")</f>
        <v/>
      </c>
      <c r="L109" s="40" t="str">
        <f>IFERROR(__xludf.DUMMYFUNCTION("IF(ISBLANK(B109),"""",IF(ISDATE(B109),TEXT(B109,""M""),""""))"),"")</f>
        <v/>
      </c>
      <c r="M109" s="29" t="str">
        <f>IFERROR(__xludf.DUMMYFUNCTION("IF(L109="""","""",QUERY({'Dashboard-Dados'!$Y$2:$AA$13},""Select Col2 Where Col1=""&amp;L109))"),"")</f>
        <v/>
      </c>
      <c r="N109" s="29" t="str">
        <f>IFERROR(__xludf.DUMMYFUNCTION("IF(ISBLANK(B109),"""",IF(ISDATE(B109),TEXT(B109,""yyyy""),""""))"),"")</f>
        <v/>
      </c>
    </row>
    <row r="110">
      <c r="B110" s="89"/>
      <c r="C110" s="86"/>
      <c r="D110" s="71"/>
      <c r="H110" s="90"/>
      <c r="J110" s="53" t="str">
        <f>IFERROR(__xludf.DUMMYFUNCTION("IF(ISBLANK(B110),"""",IF(ISDATE(B110),""X"",""""))"),"")</f>
        <v/>
      </c>
      <c r="K110" s="40" t="str">
        <f>IFERROR(__xludf.DUMMYFUNCTION("IF(ISBLANK(B110),"""",IF(ISDATE(B110),H110,""""))"),"")</f>
        <v/>
      </c>
      <c r="L110" s="40" t="str">
        <f>IFERROR(__xludf.DUMMYFUNCTION("IF(ISBLANK(B110),"""",IF(ISDATE(B110),TEXT(B110,""M""),""""))"),"")</f>
        <v/>
      </c>
      <c r="M110" s="29" t="str">
        <f>IFERROR(__xludf.DUMMYFUNCTION("IF(L110="""","""",QUERY({'Dashboard-Dados'!$Y$2:$AA$13},""Select Col2 Where Col1=""&amp;L110))"),"")</f>
        <v/>
      </c>
      <c r="N110" s="29" t="str">
        <f>IFERROR(__xludf.DUMMYFUNCTION("IF(ISBLANK(B110),"""",IF(ISDATE(B110),TEXT(B110,""yyyy""),""""))"),"")</f>
        <v/>
      </c>
    </row>
    <row r="111">
      <c r="B111" s="87"/>
      <c r="C111" s="85"/>
      <c r="D111" s="76"/>
      <c r="H111" s="88"/>
      <c r="J111" s="53" t="str">
        <f>IFERROR(__xludf.DUMMYFUNCTION("IF(ISBLANK(B111),"""",IF(ISDATE(B111),""X"",""""))"),"")</f>
        <v/>
      </c>
      <c r="K111" s="40" t="str">
        <f>IFERROR(__xludf.DUMMYFUNCTION("IF(ISBLANK(B111),"""",IF(ISDATE(B111),H111,""""))"),"")</f>
        <v/>
      </c>
      <c r="L111" s="40" t="str">
        <f>IFERROR(__xludf.DUMMYFUNCTION("IF(ISBLANK(B111),"""",IF(ISDATE(B111),TEXT(B111,""M""),""""))"),"")</f>
        <v/>
      </c>
      <c r="M111" s="29" t="str">
        <f>IFERROR(__xludf.DUMMYFUNCTION("IF(L111="""","""",QUERY({'Dashboard-Dados'!$Y$2:$AA$13},""Select Col2 Where Col1=""&amp;L111))"),"")</f>
        <v/>
      </c>
      <c r="N111" s="29" t="str">
        <f>IFERROR(__xludf.DUMMYFUNCTION("IF(ISBLANK(B111),"""",IF(ISDATE(B111),TEXT(B111,""yyyy""),""""))"),"")</f>
        <v/>
      </c>
    </row>
    <row r="112">
      <c r="B112" s="89"/>
      <c r="C112" s="86"/>
      <c r="D112" s="71"/>
      <c r="H112" s="90"/>
      <c r="J112" s="53" t="str">
        <f>IFERROR(__xludf.DUMMYFUNCTION("IF(ISBLANK(B112),"""",IF(ISDATE(B112),""X"",""""))"),"")</f>
        <v/>
      </c>
      <c r="K112" s="40" t="str">
        <f>IFERROR(__xludf.DUMMYFUNCTION("IF(ISBLANK(B112),"""",IF(ISDATE(B112),H112,""""))"),"")</f>
        <v/>
      </c>
      <c r="L112" s="40" t="str">
        <f>IFERROR(__xludf.DUMMYFUNCTION("IF(ISBLANK(B112),"""",IF(ISDATE(B112),TEXT(B112,""M""),""""))"),"")</f>
        <v/>
      </c>
      <c r="M112" s="29" t="str">
        <f>IFERROR(__xludf.DUMMYFUNCTION("IF(L112="""","""",QUERY({'Dashboard-Dados'!$Y$2:$AA$13},""Select Col2 Where Col1=""&amp;L112))"),"")</f>
        <v/>
      </c>
      <c r="N112" s="29" t="str">
        <f>IFERROR(__xludf.DUMMYFUNCTION("IF(ISBLANK(B112),"""",IF(ISDATE(B112),TEXT(B112,""yyyy""),""""))"),"")</f>
        <v/>
      </c>
    </row>
    <row r="113">
      <c r="B113" s="87"/>
      <c r="C113" s="85"/>
      <c r="D113" s="76"/>
      <c r="H113" s="88"/>
      <c r="J113" s="53" t="str">
        <f>IFERROR(__xludf.DUMMYFUNCTION("IF(ISBLANK(B113),"""",IF(ISDATE(B113),""X"",""""))"),"")</f>
        <v/>
      </c>
      <c r="K113" s="40" t="str">
        <f>IFERROR(__xludf.DUMMYFUNCTION("IF(ISBLANK(B113),"""",IF(ISDATE(B113),H113,""""))"),"")</f>
        <v/>
      </c>
      <c r="L113" s="40" t="str">
        <f>IFERROR(__xludf.DUMMYFUNCTION("IF(ISBLANK(B113),"""",IF(ISDATE(B113),TEXT(B113,""M""),""""))"),"")</f>
        <v/>
      </c>
      <c r="M113" s="29" t="str">
        <f>IFERROR(__xludf.DUMMYFUNCTION("IF(L113="""","""",QUERY({'Dashboard-Dados'!$Y$2:$AA$13},""Select Col2 Where Col1=""&amp;L113))"),"")</f>
        <v/>
      </c>
      <c r="N113" s="29" t="str">
        <f>IFERROR(__xludf.DUMMYFUNCTION("IF(ISBLANK(B113),"""",IF(ISDATE(B113),TEXT(B113,""yyyy""),""""))"),"")</f>
        <v/>
      </c>
    </row>
    <row r="114">
      <c r="B114" s="89"/>
      <c r="C114" s="86"/>
      <c r="D114" s="71"/>
      <c r="H114" s="90"/>
      <c r="J114" s="53" t="str">
        <f>IFERROR(__xludf.DUMMYFUNCTION("IF(ISBLANK(B114),"""",IF(ISDATE(B114),""X"",""""))"),"")</f>
        <v/>
      </c>
      <c r="K114" s="40" t="str">
        <f>IFERROR(__xludf.DUMMYFUNCTION("IF(ISBLANK(B114),"""",IF(ISDATE(B114),H114,""""))"),"")</f>
        <v/>
      </c>
      <c r="L114" s="40" t="str">
        <f>IFERROR(__xludf.DUMMYFUNCTION("IF(ISBLANK(B114),"""",IF(ISDATE(B114),TEXT(B114,""M""),""""))"),"")</f>
        <v/>
      </c>
      <c r="M114" s="29" t="str">
        <f>IFERROR(__xludf.DUMMYFUNCTION("IF(L114="""","""",QUERY({'Dashboard-Dados'!$Y$2:$AA$13},""Select Col2 Where Col1=""&amp;L114))"),"")</f>
        <v/>
      </c>
      <c r="N114" s="29" t="str">
        <f>IFERROR(__xludf.DUMMYFUNCTION("IF(ISBLANK(B114),"""",IF(ISDATE(B114),TEXT(B114,""yyyy""),""""))"),"")</f>
        <v/>
      </c>
    </row>
    <row r="115">
      <c r="B115" s="87"/>
      <c r="C115" s="85"/>
      <c r="D115" s="76"/>
      <c r="H115" s="88"/>
      <c r="J115" s="53" t="str">
        <f>IFERROR(__xludf.DUMMYFUNCTION("IF(ISBLANK(B115),"""",IF(ISDATE(B115),""X"",""""))"),"")</f>
        <v/>
      </c>
      <c r="K115" s="40" t="str">
        <f>IFERROR(__xludf.DUMMYFUNCTION("IF(ISBLANK(B115),"""",IF(ISDATE(B115),H115,""""))"),"")</f>
        <v/>
      </c>
      <c r="L115" s="40" t="str">
        <f>IFERROR(__xludf.DUMMYFUNCTION("IF(ISBLANK(B115),"""",IF(ISDATE(B115),TEXT(B115,""M""),""""))"),"")</f>
        <v/>
      </c>
      <c r="M115" s="29" t="str">
        <f>IFERROR(__xludf.DUMMYFUNCTION("IF(L115="""","""",QUERY({'Dashboard-Dados'!$Y$2:$AA$13},""Select Col2 Where Col1=""&amp;L115))"),"")</f>
        <v/>
      </c>
      <c r="N115" s="29" t="str">
        <f>IFERROR(__xludf.DUMMYFUNCTION("IF(ISBLANK(B115),"""",IF(ISDATE(B115),TEXT(B115,""yyyy""),""""))"),"")</f>
        <v/>
      </c>
    </row>
    <row r="116">
      <c r="B116" s="89"/>
      <c r="C116" s="86"/>
      <c r="D116" s="71"/>
      <c r="H116" s="90"/>
      <c r="J116" s="53" t="str">
        <f>IFERROR(__xludf.DUMMYFUNCTION("IF(ISBLANK(B116),"""",IF(ISDATE(B116),""X"",""""))"),"")</f>
        <v/>
      </c>
      <c r="K116" s="40" t="str">
        <f>IFERROR(__xludf.DUMMYFUNCTION("IF(ISBLANK(B116),"""",IF(ISDATE(B116),H116,""""))"),"")</f>
        <v/>
      </c>
      <c r="L116" s="40" t="str">
        <f>IFERROR(__xludf.DUMMYFUNCTION("IF(ISBLANK(B116),"""",IF(ISDATE(B116),TEXT(B116,""M""),""""))"),"")</f>
        <v/>
      </c>
      <c r="M116" s="29" t="str">
        <f>IFERROR(__xludf.DUMMYFUNCTION("IF(L116="""","""",QUERY({'Dashboard-Dados'!$Y$2:$AA$13},""Select Col2 Where Col1=""&amp;L116))"),"")</f>
        <v/>
      </c>
      <c r="N116" s="29" t="str">
        <f>IFERROR(__xludf.DUMMYFUNCTION("IF(ISBLANK(B116),"""",IF(ISDATE(B116),TEXT(B116,""yyyy""),""""))"),"")</f>
        <v/>
      </c>
    </row>
    <row r="117">
      <c r="B117" s="87"/>
      <c r="C117" s="85"/>
      <c r="D117" s="76"/>
      <c r="H117" s="88"/>
      <c r="J117" s="53" t="str">
        <f>IFERROR(__xludf.DUMMYFUNCTION("IF(ISBLANK(B117),"""",IF(ISDATE(B117),""X"",""""))"),"")</f>
        <v/>
      </c>
      <c r="K117" s="40" t="str">
        <f>IFERROR(__xludf.DUMMYFUNCTION("IF(ISBLANK(B117),"""",IF(ISDATE(B117),H117,""""))"),"")</f>
        <v/>
      </c>
      <c r="L117" s="40" t="str">
        <f>IFERROR(__xludf.DUMMYFUNCTION("IF(ISBLANK(B117),"""",IF(ISDATE(B117),TEXT(B117,""M""),""""))"),"")</f>
        <v/>
      </c>
      <c r="M117" s="29" t="str">
        <f>IFERROR(__xludf.DUMMYFUNCTION("IF(L117="""","""",QUERY({'Dashboard-Dados'!$Y$2:$AA$13},""Select Col2 Where Col1=""&amp;L117))"),"")</f>
        <v/>
      </c>
      <c r="N117" s="29" t="str">
        <f>IFERROR(__xludf.DUMMYFUNCTION("IF(ISBLANK(B117),"""",IF(ISDATE(B117),TEXT(B117,""yyyy""),""""))"),"")</f>
        <v/>
      </c>
    </row>
    <row r="118">
      <c r="B118" s="89"/>
      <c r="C118" s="86"/>
      <c r="D118" s="71"/>
      <c r="H118" s="90"/>
      <c r="J118" s="53" t="str">
        <f>IFERROR(__xludf.DUMMYFUNCTION("IF(ISBLANK(B118),"""",IF(ISDATE(B118),""X"",""""))"),"")</f>
        <v/>
      </c>
      <c r="K118" s="40" t="str">
        <f>IFERROR(__xludf.DUMMYFUNCTION("IF(ISBLANK(B118),"""",IF(ISDATE(B118),H118,""""))"),"")</f>
        <v/>
      </c>
      <c r="L118" s="40" t="str">
        <f>IFERROR(__xludf.DUMMYFUNCTION("IF(ISBLANK(B118),"""",IF(ISDATE(B118),TEXT(B118,""M""),""""))"),"")</f>
        <v/>
      </c>
      <c r="M118" s="29" t="str">
        <f>IFERROR(__xludf.DUMMYFUNCTION("IF(L118="""","""",QUERY({'Dashboard-Dados'!$Y$2:$AA$13},""Select Col2 Where Col1=""&amp;L118))"),"")</f>
        <v/>
      </c>
      <c r="N118" s="29" t="str">
        <f>IFERROR(__xludf.DUMMYFUNCTION("IF(ISBLANK(B118),"""",IF(ISDATE(B118),TEXT(B118,""yyyy""),""""))"),"")</f>
        <v/>
      </c>
    </row>
    <row r="119">
      <c r="B119" s="87"/>
      <c r="C119" s="85"/>
      <c r="D119" s="76"/>
      <c r="H119" s="88"/>
      <c r="J119" s="53" t="str">
        <f>IFERROR(__xludf.DUMMYFUNCTION("IF(ISBLANK(B119),"""",IF(ISDATE(B119),""X"",""""))"),"")</f>
        <v/>
      </c>
      <c r="K119" s="40" t="str">
        <f>IFERROR(__xludf.DUMMYFUNCTION("IF(ISBLANK(B119),"""",IF(ISDATE(B119),H119,""""))"),"")</f>
        <v/>
      </c>
      <c r="L119" s="40" t="str">
        <f>IFERROR(__xludf.DUMMYFUNCTION("IF(ISBLANK(B119),"""",IF(ISDATE(B119),TEXT(B119,""M""),""""))"),"")</f>
        <v/>
      </c>
      <c r="M119" s="29" t="str">
        <f>IFERROR(__xludf.DUMMYFUNCTION("IF(L119="""","""",QUERY({'Dashboard-Dados'!$Y$2:$AA$13},""Select Col2 Where Col1=""&amp;L119))"),"")</f>
        <v/>
      </c>
      <c r="N119" s="29" t="str">
        <f>IFERROR(__xludf.DUMMYFUNCTION("IF(ISBLANK(B119),"""",IF(ISDATE(B119),TEXT(B119,""yyyy""),""""))"),"")</f>
        <v/>
      </c>
    </row>
    <row r="120">
      <c r="B120" s="89"/>
      <c r="C120" s="86"/>
      <c r="D120" s="71"/>
      <c r="H120" s="90"/>
      <c r="J120" s="53" t="str">
        <f>IFERROR(__xludf.DUMMYFUNCTION("IF(ISBLANK(B120),"""",IF(ISDATE(B120),""X"",""""))"),"")</f>
        <v/>
      </c>
      <c r="K120" s="40" t="str">
        <f>IFERROR(__xludf.DUMMYFUNCTION("IF(ISBLANK(B120),"""",IF(ISDATE(B120),H120,""""))"),"")</f>
        <v/>
      </c>
      <c r="L120" s="40" t="str">
        <f>IFERROR(__xludf.DUMMYFUNCTION("IF(ISBLANK(B120),"""",IF(ISDATE(B120),TEXT(B120,""M""),""""))"),"")</f>
        <v/>
      </c>
      <c r="M120" s="29" t="str">
        <f>IFERROR(__xludf.DUMMYFUNCTION("IF(L120="""","""",QUERY({'Dashboard-Dados'!$Y$2:$AA$13},""Select Col2 Where Col1=""&amp;L120))"),"")</f>
        <v/>
      </c>
      <c r="N120" s="29" t="str">
        <f>IFERROR(__xludf.DUMMYFUNCTION("IF(ISBLANK(B120),"""",IF(ISDATE(B120),TEXT(B120,""yyyy""),""""))"),"")</f>
        <v/>
      </c>
    </row>
    <row r="121">
      <c r="B121" s="87"/>
      <c r="C121" s="85"/>
      <c r="D121" s="76"/>
      <c r="H121" s="88"/>
      <c r="J121" s="53" t="str">
        <f>IFERROR(__xludf.DUMMYFUNCTION("IF(ISBLANK(B121),"""",IF(ISDATE(B121),""X"",""""))"),"")</f>
        <v/>
      </c>
      <c r="K121" s="40" t="str">
        <f>IFERROR(__xludf.DUMMYFUNCTION("IF(ISBLANK(B121),"""",IF(ISDATE(B121),H121,""""))"),"")</f>
        <v/>
      </c>
      <c r="L121" s="40" t="str">
        <f>IFERROR(__xludf.DUMMYFUNCTION("IF(ISBLANK(B121),"""",IF(ISDATE(B121),TEXT(B121,""M""),""""))"),"")</f>
        <v/>
      </c>
      <c r="M121" s="29" t="str">
        <f>IFERROR(__xludf.DUMMYFUNCTION("IF(L121="""","""",QUERY({'Dashboard-Dados'!$Y$2:$AA$13},""Select Col2 Where Col1=""&amp;L121))"),"")</f>
        <v/>
      </c>
      <c r="N121" s="29" t="str">
        <f>IFERROR(__xludf.DUMMYFUNCTION("IF(ISBLANK(B121),"""",IF(ISDATE(B121),TEXT(B121,""yyyy""),""""))"),"")</f>
        <v/>
      </c>
    </row>
    <row r="122">
      <c r="B122" s="89"/>
      <c r="C122" s="86"/>
      <c r="D122" s="71"/>
      <c r="H122" s="90"/>
      <c r="J122" s="53" t="str">
        <f>IFERROR(__xludf.DUMMYFUNCTION("IF(ISBLANK(B122),"""",IF(ISDATE(B122),""X"",""""))"),"")</f>
        <v/>
      </c>
      <c r="K122" s="40" t="str">
        <f>IFERROR(__xludf.DUMMYFUNCTION("IF(ISBLANK(B122),"""",IF(ISDATE(B122),H122,""""))"),"")</f>
        <v/>
      </c>
      <c r="L122" s="40" t="str">
        <f>IFERROR(__xludf.DUMMYFUNCTION("IF(ISBLANK(B122),"""",IF(ISDATE(B122),TEXT(B122,""M""),""""))"),"")</f>
        <v/>
      </c>
      <c r="M122" s="29" t="str">
        <f>IFERROR(__xludf.DUMMYFUNCTION("IF(L122="""","""",QUERY({'Dashboard-Dados'!$Y$2:$AA$13},""Select Col2 Where Col1=""&amp;L122))"),"")</f>
        <v/>
      </c>
      <c r="N122" s="29" t="str">
        <f>IFERROR(__xludf.DUMMYFUNCTION("IF(ISBLANK(B122),"""",IF(ISDATE(B122),TEXT(B122,""yyyy""),""""))"),"")</f>
        <v/>
      </c>
    </row>
    <row r="123">
      <c r="B123" s="87"/>
      <c r="C123" s="85"/>
      <c r="D123" s="76"/>
      <c r="H123" s="88"/>
      <c r="J123" s="53" t="str">
        <f>IFERROR(__xludf.DUMMYFUNCTION("IF(ISBLANK(B123),"""",IF(ISDATE(B123),""X"",""""))"),"")</f>
        <v/>
      </c>
      <c r="K123" s="40" t="str">
        <f>IFERROR(__xludf.DUMMYFUNCTION("IF(ISBLANK(B123),"""",IF(ISDATE(B123),H123,""""))"),"")</f>
        <v/>
      </c>
      <c r="L123" s="40" t="str">
        <f>IFERROR(__xludf.DUMMYFUNCTION("IF(ISBLANK(B123),"""",IF(ISDATE(B123),TEXT(B123,""M""),""""))"),"")</f>
        <v/>
      </c>
      <c r="M123" s="29" t="str">
        <f>IFERROR(__xludf.DUMMYFUNCTION("IF(L123="""","""",QUERY({'Dashboard-Dados'!$Y$2:$AA$13},""Select Col2 Where Col1=""&amp;L123))"),"")</f>
        <v/>
      </c>
      <c r="N123" s="29" t="str">
        <f>IFERROR(__xludf.DUMMYFUNCTION("IF(ISBLANK(B123),"""",IF(ISDATE(B123),TEXT(B123,""yyyy""),""""))"),"")</f>
        <v/>
      </c>
    </row>
    <row r="124">
      <c r="B124" s="89"/>
      <c r="C124" s="86"/>
      <c r="D124" s="71"/>
      <c r="H124" s="90"/>
      <c r="J124" s="53" t="str">
        <f>IFERROR(__xludf.DUMMYFUNCTION("IF(ISBLANK(B124),"""",IF(ISDATE(B124),""X"",""""))"),"")</f>
        <v/>
      </c>
      <c r="K124" s="40" t="str">
        <f>IFERROR(__xludf.DUMMYFUNCTION("IF(ISBLANK(B124),"""",IF(ISDATE(B124),H124,""""))"),"")</f>
        <v/>
      </c>
      <c r="L124" s="40" t="str">
        <f>IFERROR(__xludf.DUMMYFUNCTION("IF(ISBLANK(B124),"""",IF(ISDATE(B124),TEXT(B124,""M""),""""))"),"")</f>
        <v/>
      </c>
      <c r="M124" s="29" t="str">
        <f>IFERROR(__xludf.DUMMYFUNCTION("IF(L124="""","""",QUERY({'Dashboard-Dados'!$Y$2:$AA$13},""Select Col2 Where Col1=""&amp;L124))"),"")</f>
        <v/>
      </c>
      <c r="N124" s="29" t="str">
        <f>IFERROR(__xludf.DUMMYFUNCTION("IF(ISBLANK(B124),"""",IF(ISDATE(B124),TEXT(B124,""yyyy""),""""))"),"")</f>
        <v/>
      </c>
    </row>
    <row r="125">
      <c r="B125" s="87"/>
      <c r="C125" s="85"/>
      <c r="D125" s="76"/>
      <c r="H125" s="88"/>
      <c r="J125" s="53" t="str">
        <f>IFERROR(__xludf.DUMMYFUNCTION("IF(ISBLANK(B125),"""",IF(ISDATE(B125),""X"",""""))"),"")</f>
        <v/>
      </c>
      <c r="K125" s="40" t="str">
        <f>IFERROR(__xludf.DUMMYFUNCTION("IF(ISBLANK(B125),"""",IF(ISDATE(B125),H125,""""))"),"")</f>
        <v/>
      </c>
      <c r="L125" s="40" t="str">
        <f>IFERROR(__xludf.DUMMYFUNCTION("IF(ISBLANK(B125),"""",IF(ISDATE(B125),TEXT(B125,""M""),""""))"),"")</f>
        <v/>
      </c>
      <c r="M125" s="29" t="str">
        <f>IFERROR(__xludf.DUMMYFUNCTION("IF(L125="""","""",QUERY({'Dashboard-Dados'!$Y$2:$AA$13},""Select Col2 Where Col1=""&amp;L125))"),"")</f>
        <v/>
      </c>
      <c r="N125" s="29" t="str">
        <f>IFERROR(__xludf.DUMMYFUNCTION("IF(ISBLANK(B125),"""",IF(ISDATE(B125),TEXT(B125,""yyyy""),""""))"),"")</f>
        <v/>
      </c>
    </row>
    <row r="126">
      <c r="B126" s="89"/>
      <c r="C126" s="86"/>
      <c r="D126" s="71"/>
      <c r="H126" s="90"/>
      <c r="J126" s="53" t="str">
        <f>IFERROR(__xludf.DUMMYFUNCTION("IF(ISBLANK(B126),"""",IF(ISDATE(B126),""X"",""""))"),"")</f>
        <v/>
      </c>
      <c r="K126" s="40" t="str">
        <f>IFERROR(__xludf.DUMMYFUNCTION("IF(ISBLANK(B126),"""",IF(ISDATE(B126),H126,""""))"),"")</f>
        <v/>
      </c>
      <c r="L126" s="40" t="str">
        <f>IFERROR(__xludf.DUMMYFUNCTION("IF(ISBLANK(B126),"""",IF(ISDATE(B126),TEXT(B126,""M""),""""))"),"")</f>
        <v/>
      </c>
      <c r="M126" s="29" t="str">
        <f>IFERROR(__xludf.DUMMYFUNCTION("IF(L126="""","""",QUERY({'Dashboard-Dados'!$Y$2:$AA$13},""Select Col2 Where Col1=""&amp;L126))"),"")</f>
        <v/>
      </c>
      <c r="N126" s="29" t="str">
        <f>IFERROR(__xludf.DUMMYFUNCTION("IF(ISBLANK(B126),"""",IF(ISDATE(B126),TEXT(B126,""yyyy""),""""))"),"")</f>
        <v/>
      </c>
    </row>
    <row r="127">
      <c r="B127" s="87"/>
      <c r="C127" s="85"/>
      <c r="D127" s="76"/>
      <c r="H127" s="88"/>
      <c r="J127" s="53" t="str">
        <f>IFERROR(__xludf.DUMMYFUNCTION("IF(ISBLANK(B127),"""",IF(ISDATE(B127),""X"",""""))"),"")</f>
        <v/>
      </c>
      <c r="K127" s="40" t="str">
        <f>IFERROR(__xludf.DUMMYFUNCTION("IF(ISBLANK(B127),"""",IF(ISDATE(B127),H127,""""))"),"")</f>
        <v/>
      </c>
      <c r="L127" s="40" t="str">
        <f>IFERROR(__xludf.DUMMYFUNCTION("IF(ISBLANK(B127),"""",IF(ISDATE(B127),TEXT(B127,""M""),""""))"),"")</f>
        <v/>
      </c>
      <c r="M127" s="29" t="str">
        <f>IFERROR(__xludf.DUMMYFUNCTION("IF(L127="""","""",QUERY({'Dashboard-Dados'!$Y$2:$AA$13},""Select Col2 Where Col1=""&amp;L127))"),"")</f>
        <v/>
      </c>
      <c r="N127" s="29" t="str">
        <f>IFERROR(__xludf.DUMMYFUNCTION("IF(ISBLANK(B127),"""",IF(ISDATE(B127),TEXT(B127,""yyyy""),""""))"),"")</f>
        <v/>
      </c>
    </row>
    <row r="128">
      <c r="B128" s="89"/>
      <c r="C128" s="86"/>
      <c r="D128" s="71"/>
      <c r="H128" s="90"/>
      <c r="J128" s="53" t="str">
        <f>IFERROR(__xludf.DUMMYFUNCTION("IF(ISBLANK(B128),"""",IF(ISDATE(B128),""X"",""""))"),"")</f>
        <v/>
      </c>
      <c r="K128" s="40" t="str">
        <f>IFERROR(__xludf.DUMMYFUNCTION("IF(ISBLANK(B128),"""",IF(ISDATE(B128),H128,""""))"),"")</f>
        <v/>
      </c>
      <c r="L128" s="40" t="str">
        <f>IFERROR(__xludf.DUMMYFUNCTION("IF(ISBLANK(B128),"""",IF(ISDATE(B128),TEXT(B128,""M""),""""))"),"")</f>
        <v/>
      </c>
      <c r="M128" s="29" t="str">
        <f>IFERROR(__xludf.DUMMYFUNCTION("IF(L128="""","""",QUERY({'Dashboard-Dados'!$Y$2:$AA$13},""Select Col2 Where Col1=""&amp;L128))"),"")</f>
        <v/>
      </c>
      <c r="N128" s="29" t="str">
        <f>IFERROR(__xludf.DUMMYFUNCTION("IF(ISBLANK(B128),"""",IF(ISDATE(B128),TEXT(B128,""yyyy""),""""))"),"")</f>
        <v/>
      </c>
    </row>
    <row r="129">
      <c r="B129" s="87"/>
      <c r="C129" s="85"/>
      <c r="D129" s="76"/>
      <c r="H129" s="88"/>
      <c r="J129" s="53" t="str">
        <f>IFERROR(__xludf.DUMMYFUNCTION("IF(ISBLANK(B129),"""",IF(ISDATE(B129),""X"",""""))"),"")</f>
        <v/>
      </c>
      <c r="K129" s="40" t="str">
        <f>IFERROR(__xludf.DUMMYFUNCTION("IF(ISBLANK(B129),"""",IF(ISDATE(B129),H129,""""))"),"")</f>
        <v/>
      </c>
      <c r="L129" s="40" t="str">
        <f>IFERROR(__xludf.DUMMYFUNCTION("IF(ISBLANK(B129),"""",IF(ISDATE(B129),TEXT(B129,""M""),""""))"),"")</f>
        <v/>
      </c>
      <c r="M129" s="29" t="str">
        <f>IFERROR(__xludf.DUMMYFUNCTION("IF(L129="""","""",QUERY({'Dashboard-Dados'!$Y$2:$AA$13},""Select Col2 Where Col1=""&amp;L129))"),"")</f>
        <v/>
      </c>
      <c r="N129" s="29" t="str">
        <f>IFERROR(__xludf.DUMMYFUNCTION("IF(ISBLANK(B129),"""",IF(ISDATE(B129),TEXT(B129,""yyyy""),""""))"),"")</f>
        <v/>
      </c>
    </row>
    <row r="130">
      <c r="B130" s="89"/>
      <c r="C130" s="86"/>
      <c r="D130" s="71"/>
      <c r="H130" s="90"/>
      <c r="J130" s="53" t="str">
        <f>IFERROR(__xludf.DUMMYFUNCTION("IF(ISBLANK(B130),"""",IF(ISDATE(B130),""X"",""""))"),"")</f>
        <v/>
      </c>
      <c r="K130" s="40" t="str">
        <f>IFERROR(__xludf.DUMMYFUNCTION("IF(ISBLANK(B130),"""",IF(ISDATE(B130),H130,""""))"),"")</f>
        <v/>
      </c>
      <c r="L130" s="40" t="str">
        <f>IFERROR(__xludf.DUMMYFUNCTION("IF(ISBLANK(B130),"""",IF(ISDATE(B130),TEXT(B130,""M""),""""))"),"")</f>
        <v/>
      </c>
      <c r="M130" s="29" t="str">
        <f>IFERROR(__xludf.DUMMYFUNCTION("IF(L130="""","""",QUERY({'Dashboard-Dados'!$Y$2:$AA$13},""Select Col2 Where Col1=""&amp;L130))"),"")</f>
        <v/>
      </c>
      <c r="N130" s="29" t="str">
        <f>IFERROR(__xludf.DUMMYFUNCTION("IF(ISBLANK(B130),"""",IF(ISDATE(B130),TEXT(B130,""yyyy""),""""))"),"")</f>
        <v/>
      </c>
    </row>
    <row r="131">
      <c r="B131" s="87"/>
      <c r="C131" s="85"/>
      <c r="D131" s="76"/>
      <c r="H131" s="88"/>
      <c r="J131" s="53" t="str">
        <f>IFERROR(__xludf.DUMMYFUNCTION("IF(ISBLANK(B131),"""",IF(ISDATE(B131),""X"",""""))"),"")</f>
        <v/>
      </c>
      <c r="K131" s="40" t="str">
        <f>IFERROR(__xludf.DUMMYFUNCTION("IF(ISBLANK(B131),"""",IF(ISDATE(B131),H131,""""))"),"")</f>
        <v/>
      </c>
      <c r="L131" s="40" t="str">
        <f>IFERROR(__xludf.DUMMYFUNCTION("IF(ISBLANK(B131),"""",IF(ISDATE(B131),TEXT(B131,""M""),""""))"),"")</f>
        <v/>
      </c>
      <c r="M131" s="29" t="str">
        <f>IFERROR(__xludf.DUMMYFUNCTION("IF(L131="""","""",QUERY({'Dashboard-Dados'!$Y$2:$AA$13},""Select Col2 Where Col1=""&amp;L131))"),"")</f>
        <v/>
      </c>
      <c r="N131" s="29" t="str">
        <f>IFERROR(__xludf.DUMMYFUNCTION("IF(ISBLANK(B131),"""",IF(ISDATE(B131),TEXT(B131,""yyyy""),""""))"),"")</f>
        <v/>
      </c>
    </row>
    <row r="132">
      <c r="B132" s="89"/>
      <c r="C132" s="86"/>
      <c r="D132" s="71"/>
      <c r="H132" s="90"/>
      <c r="J132" s="53" t="str">
        <f>IFERROR(__xludf.DUMMYFUNCTION("IF(ISBLANK(B132),"""",IF(ISDATE(B132),""X"",""""))"),"")</f>
        <v/>
      </c>
      <c r="K132" s="40" t="str">
        <f>IFERROR(__xludf.DUMMYFUNCTION("IF(ISBLANK(B132),"""",IF(ISDATE(B132),H132,""""))"),"")</f>
        <v/>
      </c>
      <c r="L132" s="40" t="str">
        <f>IFERROR(__xludf.DUMMYFUNCTION("IF(ISBLANK(B132),"""",IF(ISDATE(B132),TEXT(B132,""M""),""""))"),"")</f>
        <v/>
      </c>
      <c r="M132" s="29" t="str">
        <f>IFERROR(__xludf.DUMMYFUNCTION("IF(L132="""","""",QUERY({'Dashboard-Dados'!$Y$2:$AA$13},""Select Col2 Where Col1=""&amp;L132))"),"")</f>
        <v/>
      </c>
      <c r="N132" s="29" t="str">
        <f>IFERROR(__xludf.DUMMYFUNCTION("IF(ISBLANK(B132),"""",IF(ISDATE(B132),TEXT(B132,""yyyy""),""""))"),"")</f>
        <v/>
      </c>
    </row>
    <row r="133">
      <c r="B133" s="87"/>
      <c r="C133" s="85"/>
      <c r="D133" s="76"/>
      <c r="H133" s="88"/>
      <c r="J133" s="53" t="str">
        <f>IFERROR(__xludf.DUMMYFUNCTION("IF(ISBLANK(B133),"""",IF(ISDATE(B133),""X"",""""))"),"")</f>
        <v/>
      </c>
      <c r="K133" s="40" t="str">
        <f>IFERROR(__xludf.DUMMYFUNCTION("IF(ISBLANK(B133),"""",IF(ISDATE(B133),H133,""""))"),"")</f>
        <v/>
      </c>
      <c r="L133" s="40" t="str">
        <f>IFERROR(__xludf.DUMMYFUNCTION("IF(ISBLANK(B133),"""",IF(ISDATE(B133),TEXT(B133,""M""),""""))"),"")</f>
        <v/>
      </c>
      <c r="M133" s="29" t="str">
        <f>IFERROR(__xludf.DUMMYFUNCTION("IF(L133="""","""",QUERY({'Dashboard-Dados'!$Y$2:$AA$13},""Select Col2 Where Col1=""&amp;L133))"),"")</f>
        <v/>
      </c>
      <c r="N133" s="29" t="str">
        <f>IFERROR(__xludf.DUMMYFUNCTION("IF(ISBLANK(B133),"""",IF(ISDATE(B133),TEXT(B133,""yyyy""),""""))"),"")</f>
        <v/>
      </c>
    </row>
    <row r="134">
      <c r="B134" s="89"/>
      <c r="C134" s="86"/>
      <c r="D134" s="71"/>
      <c r="H134" s="90"/>
      <c r="J134" s="53" t="str">
        <f>IFERROR(__xludf.DUMMYFUNCTION("IF(ISBLANK(B134),"""",IF(ISDATE(B134),""X"",""""))"),"")</f>
        <v/>
      </c>
      <c r="K134" s="40" t="str">
        <f>IFERROR(__xludf.DUMMYFUNCTION("IF(ISBLANK(B134),"""",IF(ISDATE(B134),H134,""""))"),"")</f>
        <v/>
      </c>
      <c r="L134" s="40" t="str">
        <f>IFERROR(__xludf.DUMMYFUNCTION("IF(ISBLANK(B134),"""",IF(ISDATE(B134),TEXT(B134,""M""),""""))"),"")</f>
        <v/>
      </c>
      <c r="M134" s="29" t="str">
        <f>IFERROR(__xludf.DUMMYFUNCTION("IF(L134="""","""",QUERY({'Dashboard-Dados'!$Y$2:$AA$13},""Select Col2 Where Col1=""&amp;L134))"),"")</f>
        <v/>
      </c>
      <c r="N134" s="29" t="str">
        <f>IFERROR(__xludf.DUMMYFUNCTION("IF(ISBLANK(B134),"""",IF(ISDATE(B134),TEXT(B134,""yyyy""),""""))"),"")</f>
        <v/>
      </c>
    </row>
    <row r="135">
      <c r="B135" s="87"/>
      <c r="C135" s="85"/>
      <c r="D135" s="76"/>
      <c r="H135" s="88"/>
      <c r="J135" s="53" t="str">
        <f>IFERROR(__xludf.DUMMYFUNCTION("IF(ISBLANK(B135),"""",IF(ISDATE(B135),""X"",""""))"),"")</f>
        <v/>
      </c>
      <c r="K135" s="40" t="str">
        <f>IFERROR(__xludf.DUMMYFUNCTION("IF(ISBLANK(B135),"""",IF(ISDATE(B135),H135,""""))"),"")</f>
        <v/>
      </c>
      <c r="L135" s="40" t="str">
        <f>IFERROR(__xludf.DUMMYFUNCTION("IF(ISBLANK(B135),"""",IF(ISDATE(B135),TEXT(B135,""M""),""""))"),"")</f>
        <v/>
      </c>
      <c r="M135" s="29" t="str">
        <f>IFERROR(__xludf.DUMMYFUNCTION("IF(L135="""","""",QUERY({'Dashboard-Dados'!$Y$2:$AA$13},""Select Col2 Where Col1=""&amp;L135))"),"")</f>
        <v/>
      </c>
      <c r="N135" s="29" t="str">
        <f>IFERROR(__xludf.DUMMYFUNCTION("IF(ISBLANK(B135),"""",IF(ISDATE(B135),TEXT(B135,""yyyy""),""""))"),"")</f>
        <v/>
      </c>
    </row>
    <row r="136">
      <c r="B136" s="89"/>
      <c r="C136" s="86"/>
      <c r="D136" s="71"/>
      <c r="H136" s="90"/>
      <c r="J136" s="53" t="str">
        <f>IFERROR(__xludf.DUMMYFUNCTION("IF(ISBLANK(B136),"""",IF(ISDATE(B136),""X"",""""))"),"")</f>
        <v/>
      </c>
      <c r="K136" s="40" t="str">
        <f>IFERROR(__xludf.DUMMYFUNCTION("IF(ISBLANK(B136),"""",IF(ISDATE(B136),H136,""""))"),"")</f>
        <v/>
      </c>
      <c r="L136" s="40" t="str">
        <f>IFERROR(__xludf.DUMMYFUNCTION("IF(ISBLANK(B136),"""",IF(ISDATE(B136),TEXT(B136,""M""),""""))"),"")</f>
        <v/>
      </c>
      <c r="M136" s="29" t="str">
        <f>IFERROR(__xludf.DUMMYFUNCTION("IF(L136="""","""",QUERY({'Dashboard-Dados'!$Y$2:$AA$13},""Select Col2 Where Col1=""&amp;L136))"),"")</f>
        <v/>
      </c>
      <c r="N136" s="29" t="str">
        <f>IFERROR(__xludf.DUMMYFUNCTION("IF(ISBLANK(B136),"""",IF(ISDATE(B136),TEXT(B136,""yyyy""),""""))"),"")</f>
        <v/>
      </c>
    </row>
    <row r="137">
      <c r="B137" s="87"/>
      <c r="C137" s="85"/>
      <c r="D137" s="76"/>
      <c r="H137" s="88"/>
      <c r="J137" s="53" t="str">
        <f>IFERROR(__xludf.DUMMYFUNCTION("IF(ISBLANK(B137),"""",IF(ISDATE(B137),""X"",""""))"),"")</f>
        <v/>
      </c>
      <c r="K137" s="40" t="str">
        <f>IFERROR(__xludf.DUMMYFUNCTION("IF(ISBLANK(B137),"""",IF(ISDATE(B137),H137,""""))"),"")</f>
        <v/>
      </c>
      <c r="L137" s="40" t="str">
        <f>IFERROR(__xludf.DUMMYFUNCTION("IF(ISBLANK(B137),"""",IF(ISDATE(B137),TEXT(B137,""M""),""""))"),"")</f>
        <v/>
      </c>
      <c r="M137" s="29" t="str">
        <f>IFERROR(__xludf.DUMMYFUNCTION("IF(L137="""","""",QUERY({'Dashboard-Dados'!$Y$2:$AA$13},""Select Col2 Where Col1=""&amp;L137))"),"")</f>
        <v/>
      </c>
      <c r="N137" s="29" t="str">
        <f>IFERROR(__xludf.DUMMYFUNCTION("IF(ISBLANK(B137),"""",IF(ISDATE(B137),TEXT(B137,""yyyy""),""""))"),"")</f>
        <v/>
      </c>
    </row>
    <row r="138">
      <c r="B138" s="89"/>
      <c r="C138" s="86"/>
      <c r="D138" s="71"/>
      <c r="H138" s="90"/>
      <c r="J138" s="53" t="str">
        <f>IFERROR(__xludf.DUMMYFUNCTION("IF(ISBLANK(B138),"""",IF(ISDATE(B138),""X"",""""))"),"")</f>
        <v/>
      </c>
      <c r="K138" s="40" t="str">
        <f>IFERROR(__xludf.DUMMYFUNCTION("IF(ISBLANK(B138),"""",IF(ISDATE(B138),H138,""""))"),"")</f>
        <v/>
      </c>
      <c r="L138" s="40" t="str">
        <f>IFERROR(__xludf.DUMMYFUNCTION("IF(ISBLANK(B138),"""",IF(ISDATE(B138),TEXT(B138,""M""),""""))"),"")</f>
        <v/>
      </c>
      <c r="M138" s="29" t="str">
        <f>IFERROR(__xludf.DUMMYFUNCTION("IF(L138="""","""",QUERY({'Dashboard-Dados'!$Y$2:$AA$13},""Select Col2 Where Col1=""&amp;L138))"),"")</f>
        <v/>
      </c>
      <c r="N138" s="29" t="str">
        <f>IFERROR(__xludf.DUMMYFUNCTION("IF(ISBLANK(B138),"""",IF(ISDATE(B138),TEXT(B138,""yyyy""),""""))"),"")</f>
        <v/>
      </c>
    </row>
    <row r="139">
      <c r="B139" s="87"/>
      <c r="C139" s="85"/>
      <c r="D139" s="76"/>
      <c r="H139" s="88"/>
      <c r="J139" s="53" t="str">
        <f>IFERROR(__xludf.DUMMYFUNCTION("IF(ISBLANK(B139),"""",IF(ISDATE(B139),""X"",""""))"),"")</f>
        <v/>
      </c>
      <c r="K139" s="40" t="str">
        <f>IFERROR(__xludf.DUMMYFUNCTION("IF(ISBLANK(B139),"""",IF(ISDATE(B139),H139,""""))"),"")</f>
        <v/>
      </c>
      <c r="L139" s="40" t="str">
        <f>IFERROR(__xludf.DUMMYFUNCTION("IF(ISBLANK(B139),"""",IF(ISDATE(B139),TEXT(B139,""M""),""""))"),"")</f>
        <v/>
      </c>
      <c r="M139" s="29" t="str">
        <f>IFERROR(__xludf.DUMMYFUNCTION("IF(L139="""","""",QUERY({'Dashboard-Dados'!$Y$2:$AA$13},""Select Col2 Where Col1=""&amp;L139))"),"")</f>
        <v/>
      </c>
      <c r="N139" s="29" t="str">
        <f>IFERROR(__xludf.DUMMYFUNCTION("IF(ISBLANK(B139),"""",IF(ISDATE(B139),TEXT(B139,""yyyy""),""""))"),"")</f>
        <v/>
      </c>
    </row>
    <row r="140">
      <c r="B140" s="89"/>
      <c r="C140" s="86"/>
      <c r="D140" s="71"/>
      <c r="H140" s="90"/>
      <c r="J140" s="53" t="str">
        <f>IFERROR(__xludf.DUMMYFUNCTION("IF(ISBLANK(B140),"""",IF(ISDATE(B140),""X"",""""))"),"")</f>
        <v/>
      </c>
      <c r="K140" s="40" t="str">
        <f>IFERROR(__xludf.DUMMYFUNCTION("IF(ISBLANK(B140),"""",IF(ISDATE(B140),H140,""""))"),"")</f>
        <v/>
      </c>
      <c r="L140" s="40" t="str">
        <f>IFERROR(__xludf.DUMMYFUNCTION("IF(ISBLANK(B140),"""",IF(ISDATE(B140),TEXT(B140,""M""),""""))"),"")</f>
        <v/>
      </c>
      <c r="M140" s="29" t="str">
        <f>IFERROR(__xludf.DUMMYFUNCTION("IF(L140="""","""",QUERY({'Dashboard-Dados'!$Y$2:$AA$13},""Select Col2 Where Col1=""&amp;L140))"),"")</f>
        <v/>
      </c>
      <c r="N140" s="29" t="str">
        <f>IFERROR(__xludf.DUMMYFUNCTION("IF(ISBLANK(B140),"""",IF(ISDATE(B140),TEXT(B140,""yyyy""),""""))"),"")</f>
        <v/>
      </c>
    </row>
    <row r="141">
      <c r="B141" s="87"/>
      <c r="C141" s="85"/>
      <c r="D141" s="76"/>
      <c r="H141" s="88"/>
      <c r="J141" s="53" t="str">
        <f>IFERROR(__xludf.DUMMYFUNCTION("IF(ISBLANK(B141),"""",IF(ISDATE(B141),""X"",""""))"),"")</f>
        <v/>
      </c>
      <c r="K141" s="40" t="str">
        <f>IFERROR(__xludf.DUMMYFUNCTION("IF(ISBLANK(B141),"""",IF(ISDATE(B141),H141,""""))"),"")</f>
        <v/>
      </c>
      <c r="L141" s="40" t="str">
        <f>IFERROR(__xludf.DUMMYFUNCTION("IF(ISBLANK(B141),"""",IF(ISDATE(B141),TEXT(B141,""M""),""""))"),"")</f>
        <v/>
      </c>
      <c r="M141" s="29" t="str">
        <f>IFERROR(__xludf.DUMMYFUNCTION("IF(L141="""","""",QUERY({'Dashboard-Dados'!$Y$2:$AA$13},""Select Col2 Where Col1=""&amp;L141))"),"")</f>
        <v/>
      </c>
      <c r="N141" s="29" t="str">
        <f>IFERROR(__xludf.DUMMYFUNCTION("IF(ISBLANK(B141),"""",IF(ISDATE(B141),TEXT(B141,""yyyy""),""""))"),"")</f>
        <v/>
      </c>
    </row>
    <row r="142">
      <c r="B142" s="89"/>
      <c r="C142" s="86"/>
      <c r="D142" s="71"/>
      <c r="H142" s="90"/>
      <c r="J142" s="53" t="str">
        <f>IFERROR(__xludf.DUMMYFUNCTION("IF(ISBLANK(B142),"""",IF(ISDATE(B142),""X"",""""))"),"")</f>
        <v/>
      </c>
      <c r="K142" s="40" t="str">
        <f>IFERROR(__xludf.DUMMYFUNCTION("IF(ISBLANK(B142),"""",IF(ISDATE(B142),H142,""""))"),"")</f>
        <v/>
      </c>
      <c r="L142" s="40" t="str">
        <f>IFERROR(__xludf.DUMMYFUNCTION("IF(ISBLANK(B142),"""",IF(ISDATE(B142),TEXT(B142,""M""),""""))"),"")</f>
        <v/>
      </c>
      <c r="M142" s="29" t="str">
        <f>IFERROR(__xludf.DUMMYFUNCTION("IF(L142="""","""",QUERY({'Dashboard-Dados'!$Y$2:$AA$13},""Select Col2 Where Col1=""&amp;L142))"),"")</f>
        <v/>
      </c>
      <c r="N142" s="29" t="str">
        <f>IFERROR(__xludf.DUMMYFUNCTION("IF(ISBLANK(B142),"""",IF(ISDATE(B142),TEXT(B142,""yyyy""),""""))"),"")</f>
        <v/>
      </c>
    </row>
    <row r="143">
      <c r="B143" s="87"/>
      <c r="C143" s="85"/>
      <c r="D143" s="76"/>
      <c r="H143" s="88"/>
      <c r="J143" s="53" t="str">
        <f>IFERROR(__xludf.DUMMYFUNCTION("IF(ISBLANK(B143),"""",IF(ISDATE(B143),""X"",""""))"),"")</f>
        <v/>
      </c>
      <c r="K143" s="40" t="str">
        <f>IFERROR(__xludf.DUMMYFUNCTION("IF(ISBLANK(B143),"""",IF(ISDATE(B143),H143,""""))"),"")</f>
        <v/>
      </c>
      <c r="L143" s="40" t="str">
        <f>IFERROR(__xludf.DUMMYFUNCTION("IF(ISBLANK(B143),"""",IF(ISDATE(B143),TEXT(B143,""M""),""""))"),"")</f>
        <v/>
      </c>
      <c r="M143" s="29" t="str">
        <f>IFERROR(__xludf.DUMMYFUNCTION("IF(L143="""","""",QUERY({'Dashboard-Dados'!$Y$2:$AA$13},""Select Col2 Where Col1=""&amp;L143))"),"")</f>
        <v/>
      </c>
      <c r="N143" s="29" t="str">
        <f>IFERROR(__xludf.DUMMYFUNCTION("IF(ISBLANK(B143),"""",IF(ISDATE(B143),TEXT(B143,""yyyy""),""""))"),"")</f>
        <v/>
      </c>
    </row>
    <row r="144">
      <c r="B144" s="89"/>
      <c r="C144" s="86"/>
      <c r="D144" s="71"/>
      <c r="H144" s="90"/>
      <c r="J144" s="53" t="str">
        <f>IFERROR(__xludf.DUMMYFUNCTION("IF(ISBLANK(B144),"""",IF(ISDATE(B144),""X"",""""))"),"")</f>
        <v/>
      </c>
      <c r="K144" s="40" t="str">
        <f>IFERROR(__xludf.DUMMYFUNCTION("IF(ISBLANK(B144),"""",IF(ISDATE(B144),H144,""""))"),"")</f>
        <v/>
      </c>
      <c r="L144" s="40" t="str">
        <f>IFERROR(__xludf.DUMMYFUNCTION("IF(ISBLANK(B144),"""",IF(ISDATE(B144),TEXT(B144,""M""),""""))"),"")</f>
        <v/>
      </c>
      <c r="M144" s="29" t="str">
        <f>IFERROR(__xludf.DUMMYFUNCTION("IF(L144="""","""",QUERY({'Dashboard-Dados'!$Y$2:$AA$13},""Select Col2 Where Col1=""&amp;L144))"),"")</f>
        <v/>
      </c>
      <c r="N144" s="29" t="str">
        <f>IFERROR(__xludf.DUMMYFUNCTION("IF(ISBLANK(B144),"""",IF(ISDATE(B144),TEXT(B144,""yyyy""),""""))"),"")</f>
        <v/>
      </c>
    </row>
    <row r="145">
      <c r="B145" s="87"/>
      <c r="C145" s="85"/>
      <c r="D145" s="76"/>
      <c r="H145" s="88"/>
      <c r="J145" s="53" t="str">
        <f>IFERROR(__xludf.DUMMYFUNCTION("IF(ISBLANK(B145),"""",IF(ISDATE(B145),""X"",""""))"),"")</f>
        <v/>
      </c>
      <c r="K145" s="40" t="str">
        <f>IFERROR(__xludf.DUMMYFUNCTION("IF(ISBLANK(B145),"""",IF(ISDATE(B145),H145,""""))"),"")</f>
        <v/>
      </c>
      <c r="L145" s="40" t="str">
        <f>IFERROR(__xludf.DUMMYFUNCTION("IF(ISBLANK(B145),"""",IF(ISDATE(B145),TEXT(B145,""M""),""""))"),"")</f>
        <v/>
      </c>
      <c r="M145" s="29" t="str">
        <f>IFERROR(__xludf.DUMMYFUNCTION("IF(L145="""","""",QUERY({'Dashboard-Dados'!$Y$2:$AA$13},""Select Col2 Where Col1=""&amp;L145))"),"")</f>
        <v/>
      </c>
      <c r="N145" s="29" t="str">
        <f>IFERROR(__xludf.DUMMYFUNCTION("IF(ISBLANK(B145),"""",IF(ISDATE(B145),TEXT(B145,""yyyy""),""""))"),"")</f>
        <v/>
      </c>
    </row>
    <row r="146">
      <c r="B146" s="89"/>
      <c r="C146" s="86"/>
      <c r="D146" s="71"/>
      <c r="H146" s="90"/>
      <c r="J146" s="53" t="str">
        <f>IFERROR(__xludf.DUMMYFUNCTION("IF(ISBLANK(B146),"""",IF(ISDATE(B146),""X"",""""))"),"")</f>
        <v/>
      </c>
      <c r="K146" s="40" t="str">
        <f>IFERROR(__xludf.DUMMYFUNCTION("IF(ISBLANK(B146),"""",IF(ISDATE(B146),H146,""""))"),"")</f>
        <v/>
      </c>
      <c r="L146" s="40" t="str">
        <f>IFERROR(__xludf.DUMMYFUNCTION("IF(ISBLANK(B146),"""",IF(ISDATE(B146),TEXT(B146,""M""),""""))"),"")</f>
        <v/>
      </c>
      <c r="M146" s="29" t="str">
        <f>IFERROR(__xludf.DUMMYFUNCTION("IF(L146="""","""",QUERY({'Dashboard-Dados'!$Y$2:$AA$13},""Select Col2 Where Col1=""&amp;L146))"),"")</f>
        <v/>
      </c>
      <c r="N146" s="29" t="str">
        <f>IFERROR(__xludf.DUMMYFUNCTION("IF(ISBLANK(B146),"""",IF(ISDATE(B146),TEXT(B146,""yyyy""),""""))"),"")</f>
        <v/>
      </c>
    </row>
    <row r="147">
      <c r="B147" s="87"/>
      <c r="C147" s="85"/>
      <c r="D147" s="76"/>
      <c r="H147" s="88"/>
      <c r="J147" s="53" t="str">
        <f>IFERROR(__xludf.DUMMYFUNCTION("IF(ISBLANK(B147),"""",IF(ISDATE(B147),""X"",""""))"),"")</f>
        <v/>
      </c>
      <c r="K147" s="40" t="str">
        <f>IFERROR(__xludf.DUMMYFUNCTION("IF(ISBLANK(B147),"""",IF(ISDATE(B147),H147,""""))"),"")</f>
        <v/>
      </c>
      <c r="L147" s="40" t="str">
        <f>IFERROR(__xludf.DUMMYFUNCTION("IF(ISBLANK(B147),"""",IF(ISDATE(B147),TEXT(B147,""M""),""""))"),"")</f>
        <v/>
      </c>
      <c r="M147" s="29" t="str">
        <f>IFERROR(__xludf.DUMMYFUNCTION("IF(L147="""","""",QUERY({'Dashboard-Dados'!$Y$2:$AA$13},""Select Col2 Where Col1=""&amp;L147))"),"")</f>
        <v/>
      </c>
      <c r="N147" s="29" t="str">
        <f>IFERROR(__xludf.DUMMYFUNCTION("IF(ISBLANK(B147),"""",IF(ISDATE(B147),TEXT(B147,""yyyy""),""""))"),"")</f>
        <v/>
      </c>
    </row>
    <row r="148">
      <c r="B148" s="89"/>
      <c r="C148" s="86"/>
      <c r="D148" s="71"/>
      <c r="H148" s="90"/>
      <c r="J148" s="53" t="str">
        <f>IFERROR(__xludf.DUMMYFUNCTION("IF(ISBLANK(B148),"""",IF(ISDATE(B148),""X"",""""))"),"")</f>
        <v/>
      </c>
      <c r="K148" s="40" t="str">
        <f>IFERROR(__xludf.DUMMYFUNCTION("IF(ISBLANK(B148),"""",IF(ISDATE(B148),H148,""""))"),"")</f>
        <v/>
      </c>
      <c r="L148" s="40" t="str">
        <f>IFERROR(__xludf.DUMMYFUNCTION("IF(ISBLANK(B148),"""",IF(ISDATE(B148),TEXT(B148,""M""),""""))"),"")</f>
        <v/>
      </c>
      <c r="M148" s="29" t="str">
        <f>IFERROR(__xludf.DUMMYFUNCTION("IF(L148="""","""",QUERY({'Dashboard-Dados'!$Y$2:$AA$13},""Select Col2 Where Col1=""&amp;L148))"),"")</f>
        <v/>
      </c>
      <c r="N148" s="29" t="str">
        <f>IFERROR(__xludf.DUMMYFUNCTION("IF(ISBLANK(B148),"""",IF(ISDATE(B148),TEXT(B148,""yyyy""),""""))"),"")</f>
        <v/>
      </c>
    </row>
    <row r="149">
      <c r="B149" s="87"/>
      <c r="C149" s="85"/>
      <c r="D149" s="76"/>
      <c r="H149" s="88"/>
      <c r="J149" s="53" t="str">
        <f>IFERROR(__xludf.DUMMYFUNCTION("IF(ISBLANK(B149),"""",IF(ISDATE(B149),""X"",""""))"),"")</f>
        <v/>
      </c>
      <c r="K149" s="40" t="str">
        <f>IFERROR(__xludf.DUMMYFUNCTION("IF(ISBLANK(B149),"""",IF(ISDATE(B149),H149,""""))"),"")</f>
        <v/>
      </c>
      <c r="L149" s="40" t="str">
        <f>IFERROR(__xludf.DUMMYFUNCTION("IF(ISBLANK(B149),"""",IF(ISDATE(B149),TEXT(B149,""M""),""""))"),"")</f>
        <v/>
      </c>
      <c r="M149" s="29" t="str">
        <f>IFERROR(__xludf.DUMMYFUNCTION("IF(L149="""","""",QUERY({'Dashboard-Dados'!$Y$2:$AA$13},""Select Col2 Where Col1=""&amp;L149))"),"")</f>
        <v/>
      </c>
      <c r="N149" s="29" t="str">
        <f>IFERROR(__xludf.DUMMYFUNCTION("IF(ISBLANK(B149),"""",IF(ISDATE(B149),TEXT(B149,""yyyy""),""""))"),"")</f>
        <v/>
      </c>
    </row>
    <row r="150">
      <c r="B150" s="89"/>
      <c r="C150" s="86"/>
      <c r="D150" s="71"/>
      <c r="H150" s="90"/>
      <c r="J150" s="53" t="str">
        <f>IFERROR(__xludf.DUMMYFUNCTION("IF(ISBLANK(B150),"""",IF(ISDATE(B150),""X"",""""))"),"")</f>
        <v/>
      </c>
      <c r="K150" s="40" t="str">
        <f>IFERROR(__xludf.DUMMYFUNCTION("IF(ISBLANK(B150),"""",IF(ISDATE(B150),H150,""""))"),"")</f>
        <v/>
      </c>
      <c r="L150" s="40" t="str">
        <f>IFERROR(__xludf.DUMMYFUNCTION("IF(ISBLANK(B150),"""",IF(ISDATE(B150),TEXT(B150,""M""),""""))"),"")</f>
        <v/>
      </c>
      <c r="M150" s="29" t="str">
        <f>IFERROR(__xludf.DUMMYFUNCTION("IF(L150="""","""",QUERY({'Dashboard-Dados'!$Y$2:$AA$13},""Select Col2 Where Col1=""&amp;L150))"),"")</f>
        <v/>
      </c>
      <c r="N150" s="29" t="str">
        <f>IFERROR(__xludf.DUMMYFUNCTION("IF(ISBLANK(B150),"""",IF(ISDATE(B150),TEXT(B150,""yyyy""),""""))"),"")</f>
        <v/>
      </c>
    </row>
    <row r="151">
      <c r="B151" s="87"/>
      <c r="C151" s="85"/>
      <c r="D151" s="76"/>
      <c r="H151" s="88"/>
      <c r="J151" s="53" t="str">
        <f>IFERROR(__xludf.DUMMYFUNCTION("IF(ISBLANK(B151),"""",IF(ISDATE(B151),""X"",""""))"),"")</f>
        <v/>
      </c>
      <c r="K151" s="40" t="str">
        <f>IFERROR(__xludf.DUMMYFUNCTION("IF(ISBLANK(B151),"""",IF(ISDATE(B151),H151,""""))"),"")</f>
        <v/>
      </c>
      <c r="L151" s="40" t="str">
        <f>IFERROR(__xludf.DUMMYFUNCTION("IF(ISBLANK(B151),"""",IF(ISDATE(B151),TEXT(B151,""M""),""""))"),"")</f>
        <v/>
      </c>
      <c r="M151" s="29" t="str">
        <f>IFERROR(__xludf.DUMMYFUNCTION("IF(L151="""","""",QUERY({'Dashboard-Dados'!$Y$2:$AA$13},""Select Col2 Where Col1=""&amp;L151))"),"")</f>
        <v/>
      </c>
      <c r="N151" s="29" t="str">
        <f>IFERROR(__xludf.DUMMYFUNCTION("IF(ISBLANK(B151),"""",IF(ISDATE(B151),TEXT(B151,""yyyy""),""""))"),"")</f>
        <v/>
      </c>
    </row>
    <row r="152">
      <c r="B152" s="89"/>
      <c r="C152" s="86"/>
      <c r="D152" s="71"/>
      <c r="H152" s="90"/>
      <c r="J152" s="53" t="str">
        <f>IFERROR(__xludf.DUMMYFUNCTION("IF(ISBLANK(B152),"""",IF(ISDATE(B152),""X"",""""))"),"")</f>
        <v/>
      </c>
      <c r="K152" s="40" t="str">
        <f>IFERROR(__xludf.DUMMYFUNCTION("IF(ISBLANK(B152),"""",IF(ISDATE(B152),H152,""""))"),"")</f>
        <v/>
      </c>
      <c r="L152" s="40" t="str">
        <f>IFERROR(__xludf.DUMMYFUNCTION("IF(ISBLANK(B152),"""",IF(ISDATE(B152),TEXT(B152,""M""),""""))"),"")</f>
        <v/>
      </c>
      <c r="M152" s="29" t="str">
        <f>IFERROR(__xludf.DUMMYFUNCTION("IF(L152="""","""",QUERY({'Dashboard-Dados'!$Y$2:$AA$13},""Select Col2 Where Col1=""&amp;L152))"),"")</f>
        <v/>
      </c>
      <c r="N152" s="29" t="str">
        <f>IFERROR(__xludf.DUMMYFUNCTION("IF(ISBLANK(B152),"""",IF(ISDATE(B152),TEXT(B152,""yyyy""),""""))"),"")</f>
        <v/>
      </c>
    </row>
    <row r="153">
      <c r="B153" s="87"/>
      <c r="C153" s="85"/>
      <c r="D153" s="76"/>
      <c r="H153" s="88"/>
      <c r="J153" s="53" t="str">
        <f>IFERROR(__xludf.DUMMYFUNCTION("IF(ISBLANK(B153),"""",IF(ISDATE(B153),""X"",""""))"),"")</f>
        <v/>
      </c>
      <c r="K153" s="40" t="str">
        <f>IFERROR(__xludf.DUMMYFUNCTION("IF(ISBLANK(B153),"""",IF(ISDATE(B153),H153,""""))"),"")</f>
        <v/>
      </c>
      <c r="L153" s="40" t="str">
        <f>IFERROR(__xludf.DUMMYFUNCTION("IF(ISBLANK(B153),"""",IF(ISDATE(B153),TEXT(B153,""M""),""""))"),"")</f>
        <v/>
      </c>
      <c r="M153" s="29" t="str">
        <f>IFERROR(__xludf.DUMMYFUNCTION("IF(L153="""","""",QUERY({'Dashboard-Dados'!$Y$2:$AA$13},""Select Col2 Where Col1=""&amp;L153))"),"")</f>
        <v/>
      </c>
      <c r="N153" s="29" t="str">
        <f>IFERROR(__xludf.DUMMYFUNCTION("IF(ISBLANK(B153),"""",IF(ISDATE(B153),TEXT(B153,""yyyy""),""""))"),"")</f>
        <v/>
      </c>
    </row>
    <row r="154">
      <c r="B154" s="89"/>
      <c r="C154" s="86"/>
      <c r="D154" s="71"/>
      <c r="H154" s="90"/>
      <c r="J154" s="53" t="str">
        <f>IFERROR(__xludf.DUMMYFUNCTION("IF(ISBLANK(B154),"""",IF(ISDATE(B154),""X"",""""))"),"")</f>
        <v/>
      </c>
      <c r="K154" s="40" t="str">
        <f>IFERROR(__xludf.DUMMYFUNCTION("IF(ISBLANK(B154),"""",IF(ISDATE(B154),H154,""""))"),"")</f>
        <v/>
      </c>
      <c r="L154" s="40" t="str">
        <f>IFERROR(__xludf.DUMMYFUNCTION("IF(ISBLANK(B154),"""",IF(ISDATE(B154),TEXT(B154,""M""),""""))"),"")</f>
        <v/>
      </c>
      <c r="M154" s="29" t="str">
        <f>IFERROR(__xludf.DUMMYFUNCTION("IF(L154="""","""",QUERY({'Dashboard-Dados'!$Y$2:$AA$13},""Select Col2 Where Col1=""&amp;L154))"),"")</f>
        <v/>
      </c>
      <c r="N154" s="29" t="str">
        <f>IFERROR(__xludf.DUMMYFUNCTION("IF(ISBLANK(B154),"""",IF(ISDATE(B154),TEXT(B154,""yyyy""),""""))"),"")</f>
        <v/>
      </c>
    </row>
    <row r="155">
      <c r="B155" s="87"/>
      <c r="C155" s="85"/>
      <c r="D155" s="76"/>
      <c r="H155" s="88"/>
      <c r="J155" s="53" t="str">
        <f>IFERROR(__xludf.DUMMYFUNCTION("IF(ISBLANK(B155),"""",IF(ISDATE(B155),""X"",""""))"),"")</f>
        <v/>
      </c>
      <c r="K155" s="40" t="str">
        <f>IFERROR(__xludf.DUMMYFUNCTION("IF(ISBLANK(B155),"""",IF(ISDATE(B155),H155,""""))"),"")</f>
        <v/>
      </c>
      <c r="L155" s="40" t="str">
        <f>IFERROR(__xludf.DUMMYFUNCTION("IF(ISBLANK(B155),"""",IF(ISDATE(B155),TEXT(B155,""M""),""""))"),"")</f>
        <v/>
      </c>
      <c r="M155" s="29" t="str">
        <f>IFERROR(__xludf.DUMMYFUNCTION("IF(L155="""","""",QUERY({'Dashboard-Dados'!$Y$2:$AA$13},""Select Col2 Where Col1=""&amp;L155))"),"")</f>
        <v/>
      </c>
      <c r="N155" s="29" t="str">
        <f>IFERROR(__xludf.DUMMYFUNCTION("IF(ISBLANK(B155),"""",IF(ISDATE(B155),TEXT(B155,""yyyy""),""""))"),"")</f>
        <v/>
      </c>
    </row>
    <row r="156">
      <c r="B156" s="89"/>
      <c r="C156" s="86"/>
      <c r="D156" s="71"/>
      <c r="H156" s="90"/>
      <c r="J156" s="53" t="str">
        <f>IFERROR(__xludf.DUMMYFUNCTION("IF(ISBLANK(B156),"""",IF(ISDATE(B156),""X"",""""))"),"")</f>
        <v/>
      </c>
      <c r="K156" s="40" t="str">
        <f>IFERROR(__xludf.DUMMYFUNCTION("IF(ISBLANK(B156),"""",IF(ISDATE(B156),H156,""""))"),"")</f>
        <v/>
      </c>
      <c r="L156" s="40" t="str">
        <f>IFERROR(__xludf.DUMMYFUNCTION("IF(ISBLANK(B156),"""",IF(ISDATE(B156),TEXT(B156,""M""),""""))"),"")</f>
        <v/>
      </c>
      <c r="M156" s="29" t="str">
        <f>IFERROR(__xludf.DUMMYFUNCTION("IF(L156="""","""",QUERY({'Dashboard-Dados'!$Y$2:$AA$13},""Select Col2 Where Col1=""&amp;L156))"),"")</f>
        <v/>
      </c>
      <c r="N156" s="29" t="str">
        <f>IFERROR(__xludf.DUMMYFUNCTION("IF(ISBLANK(B156),"""",IF(ISDATE(B156),TEXT(B156,""yyyy""),""""))"),"")</f>
        <v/>
      </c>
    </row>
    <row r="157">
      <c r="B157" s="87"/>
      <c r="C157" s="85"/>
      <c r="D157" s="76"/>
      <c r="H157" s="88"/>
      <c r="J157" s="53" t="str">
        <f>IFERROR(__xludf.DUMMYFUNCTION("IF(ISBLANK(B157),"""",IF(ISDATE(B157),""X"",""""))"),"")</f>
        <v/>
      </c>
      <c r="K157" s="40" t="str">
        <f>IFERROR(__xludf.DUMMYFUNCTION("IF(ISBLANK(B157),"""",IF(ISDATE(B157),H157,""""))"),"")</f>
        <v/>
      </c>
      <c r="L157" s="40" t="str">
        <f>IFERROR(__xludf.DUMMYFUNCTION("IF(ISBLANK(B157),"""",IF(ISDATE(B157),TEXT(B157,""M""),""""))"),"")</f>
        <v/>
      </c>
      <c r="M157" s="29" t="str">
        <f>IFERROR(__xludf.DUMMYFUNCTION("IF(L157="""","""",QUERY({'Dashboard-Dados'!$Y$2:$AA$13},""Select Col2 Where Col1=""&amp;L157))"),"")</f>
        <v/>
      </c>
      <c r="N157" s="29" t="str">
        <f>IFERROR(__xludf.DUMMYFUNCTION("IF(ISBLANK(B157),"""",IF(ISDATE(B157),TEXT(B157,""yyyy""),""""))"),"")</f>
        <v/>
      </c>
    </row>
    <row r="158">
      <c r="B158" s="89"/>
      <c r="C158" s="86"/>
      <c r="D158" s="71"/>
      <c r="H158" s="90"/>
      <c r="J158" s="53" t="str">
        <f>IFERROR(__xludf.DUMMYFUNCTION("IF(ISBLANK(B158),"""",IF(ISDATE(B158),""X"",""""))"),"")</f>
        <v/>
      </c>
      <c r="K158" s="40" t="str">
        <f>IFERROR(__xludf.DUMMYFUNCTION("IF(ISBLANK(B158),"""",IF(ISDATE(B158),H158,""""))"),"")</f>
        <v/>
      </c>
      <c r="L158" s="40" t="str">
        <f>IFERROR(__xludf.DUMMYFUNCTION("IF(ISBLANK(B158),"""",IF(ISDATE(B158),TEXT(B158,""M""),""""))"),"")</f>
        <v/>
      </c>
      <c r="M158" s="29" t="str">
        <f>IFERROR(__xludf.DUMMYFUNCTION("IF(L158="""","""",QUERY({'Dashboard-Dados'!$Y$2:$AA$13},""Select Col2 Where Col1=""&amp;L158))"),"")</f>
        <v/>
      </c>
      <c r="N158" s="29" t="str">
        <f>IFERROR(__xludf.DUMMYFUNCTION("IF(ISBLANK(B158),"""",IF(ISDATE(B158),TEXT(B158,""yyyy""),""""))"),"")</f>
        <v/>
      </c>
    </row>
    <row r="159">
      <c r="B159" s="87"/>
      <c r="C159" s="85"/>
      <c r="D159" s="76"/>
      <c r="H159" s="88"/>
      <c r="J159" s="53" t="str">
        <f>IFERROR(__xludf.DUMMYFUNCTION("IF(ISBLANK(B159),"""",IF(ISDATE(B159),""X"",""""))"),"")</f>
        <v/>
      </c>
      <c r="K159" s="40" t="str">
        <f>IFERROR(__xludf.DUMMYFUNCTION("IF(ISBLANK(B159),"""",IF(ISDATE(B159),H159,""""))"),"")</f>
        <v/>
      </c>
      <c r="L159" s="40" t="str">
        <f>IFERROR(__xludf.DUMMYFUNCTION("IF(ISBLANK(B159),"""",IF(ISDATE(B159),TEXT(B159,""M""),""""))"),"")</f>
        <v/>
      </c>
      <c r="M159" s="29" t="str">
        <f>IFERROR(__xludf.DUMMYFUNCTION("IF(L159="""","""",QUERY({'Dashboard-Dados'!$Y$2:$AA$13},""Select Col2 Where Col1=""&amp;L159))"),"")</f>
        <v/>
      </c>
      <c r="N159" s="29" t="str">
        <f>IFERROR(__xludf.DUMMYFUNCTION("IF(ISBLANK(B159),"""",IF(ISDATE(B159),TEXT(B159,""yyyy""),""""))"),"")</f>
        <v/>
      </c>
    </row>
    <row r="160">
      <c r="B160" s="89"/>
      <c r="C160" s="86"/>
      <c r="D160" s="71"/>
      <c r="H160" s="90"/>
      <c r="J160" s="53" t="str">
        <f>IFERROR(__xludf.DUMMYFUNCTION("IF(ISBLANK(B160),"""",IF(ISDATE(B160),""X"",""""))"),"")</f>
        <v/>
      </c>
      <c r="K160" s="40" t="str">
        <f>IFERROR(__xludf.DUMMYFUNCTION("IF(ISBLANK(B160),"""",IF(ISDATE(B160),H160,""""))"),"")</f>
        <v/>
      </c>
      <c r="L160" s="40" t="str">
        <f>IFERROR(__xludf.DUMMYFUNCTION("IF(ISBLANK(B160),"""",IF(ISDATE(B160),TEXT(B160,""M""),""""))"),"")</f>
        <v/>
      </c>
      <c r="M160" s="29" t="str">
        <f>IFERROR(__xludf.DUMMYFUNCTION("IF(L160="""","""",QUERY({'Dashboard-Dados'!$Y$2:$AA$13},""Select Col2 Where Col1=""&amp;L160))"),"")</f>
        <v/>
      </c>
      <c r="N160" s="29" t="str">
        <f>IFERROR(__xludf.DUMMYFUNCTION("IF(ISBLANK(B160),"""",IF(ISDATE(B160),TEXT(B160,""yyyy""),""""))"),"")</f>
        <v/>
      </c>
    </row>
    <row r="161">
      <c r="B161" s="87"/>
      <c r="C161" s="85"/>
      <c r="D161" s="76"/>
      <c r="H161" s="88"/>
      <c r="J161" s="53" t="str">
        <f>IFERROR(__xludf.DUMMYFUNCTION("IF(ISBLANK(B161),"""",IF(ISDATE(B161),""X"",""""))"),"")</f>
        <v/>
      </c>
      <c r="K161" s="40" t="str">
        <f>IFERROR(__xludf.DUMMYFUNCTION("IF(ISBLANK(B161),"""",IF(ISDATE(B161),H161,""""))"),"")</f>
        <v/>
      </c>
      <c r="L161" s="40" t="str">
        <f>IFERROR(__xludf.DUMMYFUNCTION("IF(ISBLANK(B161),"""",IF(ISDATE(B161),TEXT(B161,""M""),""""))"),"")</f>
        <v/>
      </c>
      <c r="M161" s="29" t="str">
        <f>IFERROR(__xludf.DUMMYFUNCTION("IF(L161="""","""",QUERY({'Dashboard-Dados'!$Y$2:$AA$13},""Select Col2 Where Col1=""&amp;L161))"),"")</f>
        <v/>
      </c>
      <c r="N161" s="29" t="str">
        <f>IFERROR(__xludf.DUMMYFUNCTION("IF(ISBLANK(B161),"""",IF(ISDATE(B161),TEXT(B161,""yyyy""),""""))"),"")</f>
        <v/>
      </c>
    </row>
    <row r="162">
      <c r="B162" s="89"/>
      <c r="C162" s="86"/>
      <c r="D162" s="71"/>
      <c r="H162" s="90"/>
      <c r="J162" s="53" t="str">
        <f>IFERROR(__xludf.DUMMYFUNCTION("IF(ISBLANK(B162),"""",IF(ISDATE(B162),""X"",""""))"),"")</f>
        <v/>
      </c>
      <c r="K162" s="40" t="str">
        <f>IFERROR(__xludf.DUMMYFUNCTION("IF(ISBLANK(B162),"""",IF(ISDATE(B162),H162,""""))"),"")</f>
        <v/>
      </c>
      <c r="L162" s="40" t="str">
        <f>IFERROR(__xludf.DUMMYFUNCTION("IF(ISBLANK(B162),"""",IF(ISDATE(B162),TEXT(B162,""M""),""""))"),"")</f>
        <v/>
      </c>
      <c r="M162" s="29" t="str">
        <f>IFERROR(__xludf.DUMMYFUNCTION("IF(L162="""","""",QUERY({'Dashboard-Dados'!$Y$2:$AA$13},""Select Col2 Where Col1=""&amp;L162))"),"")</f>
        <v/>
      </c>
      <c r="N162" s="29" t="str">
        <f>IFERROR(__xludf.DUMMYFUNCTION("IF(ISBLANK(B162),"""",IF(ISDATE(B162),TEXT(B162,""yyyy""),""""))"),"")</f>
        <v/>
      </c>
    </row>
    <row r="163">
      <c r="B163" s="87"/>
      <c r="C163" s="85"/>
      <c r="D163" s="76"/>
      <c r="H163" s="88"/>
      <c r="J163" s="53" t="str">
        <f>IFERROR(__xludf.DUMMYFUNCTION("IF(ISBLANK(B163),"""",IF(ISDATE(B163),""X"",""""))"),"")</f>
        <v/>
      </c>
      <c r="K163" s="40" t="str">
        <f>IFERROR(__xludf.DUMMYFUNCTION("IF(ISBLANK(B163),"""",IF(ISDATE(B163),H163,""""))"),"")</f>
        <v/>
      </c>
      <c r="L163" s="40" t="str">
        <f>IFERROR(__xludf.DUMMYFUNCTION("IF(ISBLANK(B163),"""",IF(ISDATE(B163),TEXT(B163,""M""),""""))"),"")</f>
        <v/>
      </c>
      <c r="M163" s="29" t="str">
        <f>IFERROR(__xludf.DUMMYFUNCTION("IF(L163="""","""",QUERY({'Dashboard-Dados'!$Y$2:$AA$13},""Select Col2 Where Col1=""&amp;L163))"),"")</f>
        <v/>
      </c>
      <c r="N163" s="29" t="str">
        <f>IFERROR(__xludf.DUMMYFUNCTION("IF(ISBLANK(B163),"""",IF(ISDATE(B163),TEXT(B163,""yyyy""),""""))"),"")</f>
        <v/>
      </c>
    </row>
    <row r="164">
      <c r="B164" s="89"/>
      <c r="C164" s="86"/>
      <c r="D164" s="71"/>
      <c r="H164" s="90"/>
      <c r="J164" s="53" t="str">
        <f>IFERROR(__xludf.DUMMYFUNCTION("IF(ISBLANK(B164),"""",IF(ISDATE(B164),""X"",""""))"),"")</f>
        <v/>
      </c>
      <c r="K164" s="40" t="str">
        <f>IFERROR(__xludf.DUMMYFUNCTION("IF(ISBLANK(B164),"""",IF(ISDATE(B164),H164,""""))"),"")</f>
        <v/>
      </c>
      <c r="L164" s="40" t="str">
        <f>IFERROR(__xludf.DUMMYFUNCTION("IF(ISBLANK(B164),"""",IF(ISDATE(B164),TEXT(B164,""M""),""""))"),"")</f>
        <v/>
      </c>
      <c r="M164" s="29" t="str">
        <f>IFERROR(__xludf.DUMMYFUNCTION("IF(L164="""","""",QUERY({'Dashboard-Dados'!$Y$2:$AA$13},""Select Col2 Where Col1=""&amp;L164))"),"")</f>
        <v/>
      </c>
      <c r="N164" s="29" t="str">
        <f>IFERROR(__xludf.DUMMYFUNCTION("IF(ISBLANK(B164),"""",IF(ISDATE(B164),TEXT(B164,""yyyy""),""""))"),"")</f>
        <v/>
      </c>
    </row>
    <row r="165">
      <c r="B165" s="87"/>
      <c r="C165" s="85"/>
      <c r="D165" s="76"/>
      <c r="H165" s="88"/>
      <c r="J165" s="53" t="str">
        <f>IFERROR(__xludf.DUMMYFUNCTION("IF(ISBLANK(B165),"""",IF(ISDATE(B165),""X"",""""))"),"")</f>
        <v/>
      </c>
      <c r="K165" s="40" t="str">
        <f>IFERROR(__xludf.DUMMYFUNCTION("IF(ISBLANK(B165),"""",IF(ISDATE(B165),H165,""""))"),"")</f>
        <v/>
      </c>
      <c r="L165" s="40" t="str">
        <f>IFERROR(__xludf.DUMMYFUNCTION("IF(ISBLANK(B165),"""",IF(ISDATE(B165),TEXT(B165,""M""),""""))"),"")</f>
        <v/>
      </c>
      <c r="M165" s="29" t="str">
        <f>IFERROR(__xludf.DUMMYFUNCTION("IF(L165="""","""",QUERY({'Dashboard-Dados'!$Y$2:$AA$13},""Select Col2 Where Col1=""&amp;L165))"),"")</f>
        <v/>
      </c>
      <c r="N165" s="29" t="str">
        <f>IFERROR(__xludf.DUMMYFUNCTION("IF(ISBLANK(B165),"""",IF(ISDATE(B165),TEXT(B165,""yyyy""),""""))"),"")</f>
        <v/>
      </c>
    </row>
    <row r="166">
      <c r="B166" s="89"/>
      <c r="C166" s="86"/>
      <c r="D166" s="71"/>
      <c r="H166" s="90"/>
      <c r="J166" s="53" t="str">
        <f>IFERROR(__xludf.DUMMYFUNCTION("IF(ISBLANK(B166),"""",IF(ISDATE(B166),""X"",""""))"),"")</f>
        <v/>
      </c>
      <c r="K166" s="40" t="str">
        <f>IFERROR(__xludf.DUMMYFUNCTION("IF(ISBLANK(B166),"""",IF(ISDATE(B166),H166,""""))"),"")</f>
        <v/>
      </c>
      <c r="L166" s="40" t="str">
        <f>IFERROR(__xludf.DUMMYFUNCTION("IF(ISBLANK(B166),"""",IF(ISDATE(B166),TEXT(B166,""M""),""""))"),"")</f>
        <v/>
      </c>
      <c r="M166" s="29" t="str">
        <f>IFERROR(__xludf.DUMMYFUNCTION("IF(L166="""","""",QUERY({'Dashboard-Dados'!$Y$2:$AA$13},""Select Col2 Where Col1=""&amp;L166))"),"")</f>
        <v/>
      </c>
      <c r="N166" s="29" t="str">
        <f>IFERROR(__xludf.DUMMYFUNCTION("IF(ISBLANK(B166),"""",IF(ISDATE(B166),TEXT(B166,""yyyy""),""""))"),"")</f>
        <v/>
      </c>
    </row>
    <row r="167">
      <c r="B167" s="87"/>
      <c r="C167" s="85"/>
      <c r="D167" s="76"/>
      <c r="H167" s="88"/>
      <c r="J167" s="53" t="str">
        <f>IFERROR(__xludf.DUMMYFUNCTION("IF(ISBLANK(B167),"""",IF(ISDATE(B167),""X"",""""))"),"")</f>
        <v/>
      </c>
      <c r="K167" s="40" t="str">
        <f>IFERROR(__xludf.DUMMYFUNCTION("IF(ISBLANK(B167),"""",IF(ISDATE(B167),H167,""""))"),"")</f>
        <v/>
      </c>
      <c r="L167" s="40" t="str">
        <f>IFERROR(__xludf.DUMMYFUNCTION("IF(ISBLANK(B167),"""",IF(ISDATE(B167),TEXT(B167,""M""),""""))"),"")</f>
        <v/>
      </c>
      <c r="M167" s="29" t="str">
        <f>IFERROR(__xludf.DUMMYFUNCTION("IF(L167="""","""",QUERY({'Dashboard-Dados'!$Y$2:$AA$13},""Select Col2 Where Col1=""&amp;L167))"),"")</f>
        <v/>
      </c>
      <c r="N167" s="29" t="str">
        <f>IFERROR(__xludf.DUMMYFUNCTION("IF(ISBLANK(B167),"""",IF(ISDATE(B167),TEXT(B167,""yyyy""),""""))"),"")</f>
        <v/>
      </c>
    </row>
    <row r="168">
      <c r="B168" s="89"/>
      <c r="C168" s="86"/>
      <c r="D168" s="71"/>
      <c r="H168" s="90"/>
      <c r="J168" s="53" t="str">
        <f>IFERROR(__xludf.DUMMYFUNCTION("IF(ISBLANK(B168),"""",IF(ISDATE(B168),""X"",""""))"),"")</f>
        <v/>
      </c>
      <c r="K168" s="40" t="str">
        <f>IFERROR(__xludf.DUMMYFUNCTION("IF(ISBLANK(B168),"""",IF(ISDATE(B168),H168,""""))"),"")</f>
        <v/>
      </c>
      <c r="L168" s="40" t="str">
        <f>IFERROR(__xludf.DUMMYFUNCTION("IF(ISBLANK(B168),"""",IF(ISDATE(B168),TEXT(B168,""M""),""""))"),"")</f>
        <v/>
      </c>
      <c r="M168" s="29" t="str">
        <f>IFERROR(__xludf.DUMMYFUNCTION("IF(L168="""","""",QUERY({'Dashboard-Dados'!$Y$2:$AA$13},""Select Col2 Where Col1=""&amp;L168))"),"")</f>
        <v/>
      </c>
      <c r="N168" s="29" t="str">
        <f>IFERROR(__xludf.DUMMYFUNCTION("IF(ISBLANK(B168),"""",IF(ISDATE(B168),TEXT(B168,""yyyy""),""""))"),"")</f>
        <v/>
      </c>
    </row>
    <row r="169">
      <c r="B169" s="87"/>
      <c r="C169" s="85"/>
      <c r="D169" s="76"/>
      <c r="H169" s="88"/>
      <c r="J169" s="53" t="str">
        <f>IFERROR(__xludf.DUMMYFUNCTION("IF(ISBLANK(B169),"""",IF(ISDATE(B169),""X"",""""))"),"")</f>
        <v/>
      </c>
      <c r="K169" s="40" t="str">
        <f>IFERROR(__xludf.DUMMYFUNCTION("IF(ISBLANK(B169),"""",IF(ISDATE(B169),H169,""""))"),"")</f>
        <v/>
      </c>
      <c r="L169" s="40" t="str">
        <f>IFERROR(__xludf.DUMMYFUNCTION("IF(ISBLANK(B169),"""",IF(ISDATE(B169),TEXT(B169,""M""),""""))"),"")</f>
        <v/>
      </c>
      <c r="M169" s="29" t="str">
        <f>IFERROR(__xludf.DUMMYFUNCTION("IF(L169="""","""",QUERY({'Dashboard-Dados'!$Y$2:$AA$13},""Select Col2 Where Col1=""&amp;L169))"),"")</f>
        <v/>
      </c>
      <c r="N169" s="29" t="str">
        <f>IFERROR(__xludf.DUMMYFUNCTION("IF(ISBLANK(B169),"""",IF(ISDATE(B169),TEXT(B169,""yyyy""),""""))"),"")</f>
        <v/>
      </c>
    </row>
    <row r="170">
      <c r="B170" s="89"/>
      <c r="C170" s="86"/>
      <c r="D170" s="71"/>
      <c r="H170" s="90"/>
      <c r="J170" s="53" t="str">
        <f>IFERROR(__xludf.DUMMYFUNCTION("IF(ISBLANK(B170),"""",IF(ISDATE(B170),""X"",""""))"),"")</f>
        <v/>
      </c>
      <c r="K170" s="40" t="str">
        <f>IFERROR(__xludf.DUMMYFUNCTION("IF(ISBLANK(B170),"""",IF(ISDATE(B170),H170,""""))"),"")</f>
        <v/>
      </c>
      <c r="L170" s="40" t="str">
        <f>IFERROR(__xludf.DUMMYFUNCTION("IF(ISBLANK(B170),"""",IF(ISDATE(B170),TEXT(B170,""M""),""""))"),"")</f>
        <v/>
      </c>
      <c r="M170" s="29" t="str">
        <f>IFERROR(__xludf.DUMMYFUNCTION("IF(L170="""","""",QUERY({'Dashboard-Dados'!$Y$2:$AA$13},""Select Col2 Where Col1=""&amp;L170))"),"")</f>
        <v/>
      </c>
      <c r="N170" s="29" t="str">
        <f>IFERROR(__xludf.DUMMYFUNCTION("IF(ISBLANK(B170),"""",IF(ISDATE(B170),TEXT(B170,""yyyy""),""""))"),"")</f>
        <v/>
      </c>
    </row>
    <row r="171">
      <c r="B171" s="87"/>
      <c r="C171" s="85"/>
      <c r="D171" s="76"/>
      <c r="H171" s="88"/>
      <c r="J171" s="53" t="str">
        <f>IFERROR(__xludf.DUMMYFUNCTION("IF(ISBLANK(B171),"""",IF(ISDATE(B171),""X"",""""))"),"")</f>
        <v/>
      </c>
      <c r="K171" s="40" t="str">
        <f>IFERROR(__xludf.DUMMYFUNCTION("IF(ISBLANK(B171),"""",IF(ISDATE(B171),H171,""""))"),"")</f>
        <v/>
      </c>
      <c r="L171" s="40" t="str">
        <f>IFERROR(__xludf.DUMMYFUNCTION("IF(ISBLANK(B171),"""",IF(ISDATE(B171),TEXT(B171,""M""),""""))"),"")</f>
        <v/>
      </c>
      <c r="M171" s="29" t="str">
        <f>IFERROR(__xludf.DUMMYFUNCTION("IF(L171="""","""",QUERY({'Dashboard-Dados'!$Y$2:$AA$13},""Select Col2 Where Col1=""&amp;L171))"),"")</f>
        <v/>
      </c>
      <c r="N171" s="29" t="str">
        <f>IFERROR(__xludf.DUMMYFUNCTION("IF(ISBLANK(B171),"""",IF(ISDATE(B171),TEXT(B171,""yyyy""),""""))"),"")</f>
        <v/>
      </c>
    </row>
    <row r="172">
      <c r="B172" s="89"/>
      <c r="C172" s="86"/>
      <c r="D172" s="71"/>
      <c r="H172" s="90"/>
      <c r="J172" s="53" t="str">
        <f>IFERROR(__xludf.DUMMYFUNCTION("IF(ISBLANK(B172),"""",IF(ISDATE(B172),""X"",""""))"),"")</f>
        <v/>
      </c>
      <c r="K172" s="40" t="str">
        <f>IFERROR(__xludf.DUMMYFUNCTION("IF(ISBLANK(B172),"""",IF(ISDATE(B172),H172,""""))"),"")</f>
        <v/>
      </c>
      <c r="L172" s="40" t="str">
        <f>IFERROR(__xludf.DUMMYFUNCTION("IF(ISBLANK(B172),"""",IF(ISDATE(B172),TEXT(B172,""M""),""""))"),"")</f>
        <v/>
      </c>
      <c r="M172" s="29" t="str">
        <f>IFERROR(__xludf.DUMMYFUNCTION("IF(L172="""","""",QUERY({'Dashboard-Dados'!$Y$2:$AA$13},""Select Col2 Where Col1=""&amp;L172))"),"")</f>
        <v/>
      </c>
      <c r="N172" s="29" t="str">
        <f>IFERROR(__xludf.DUMMYFUNCTION("IF(ISBLANK(B172),"""",IF(ISDATE(B172),TEXT(B172,""yyyy""),""""))"),"")</f>
        <v/>
      </c>
    </row>
    <row r="173">
      <c r="B173" s="87"/>
      <c r="C173" s="85"/>
      <c r="D173" s="76"/>
      <c r="H173" s="88"/>
      <c r="J173" s="53" t="str">
        <f>IFERROR(__xludf.DUMMYFUNCTION("IF(ISBLANK(B173),"""",IF(ISDATE(B173),""X"",""""))"),"")</f>
        <v/>
      </c>
      <c r="K173" s="40" t="str">
        <f>IFERROR(__xludf.DUMMYFUNCTION("IF(ISBLANK(B173),"""",IF(ISDATE(B173),H173,""""))"),"")</f>
        <v/>
      </c>
      <c r="L173" s="40" t="str">
        <f>IFERROR(__xludf.DUMMYFUNCTION("IF(ISBLANK(B173),"""",IF(ISDATE(B173),TEXT(B173,""M""),""""))"),"")</f>
        <v/>
      </c>
      <c r="M173" s="29" t="str">
        <f>IFERROR(__xludf.DUMMYFUNCTION("IF(L173="""","""",QUERY({'Dashboard-Dados'!$Y$2:$AA$13},""Select Col2 Where Col1=""&amp;L173))"),"")</f>
        <v/>
      </c>
      <c r="N173" s="29" t="str">
        <f>IFERROR(__xludf.DUMMYFUNCTION("IF(ISBLANK(B173),"""",IF(ISDATE(B173),TEXT(B173,""yyyy""),""""))"),"")</f>
        <v/>
      </c>
    </row>
    <row r="174">
      <c r="B174" s="89"/>
      <c r="C174" s="86"/>
      <c r="D174" s="71"/>
      <c r="H174" s="90"/>
      <c r="J174" s="53" t="str">
        <f>IFERROR(__xludf.DUMMYFUNCTION("IF(ISBLANK(B174),"""",IF(ISDATE(B174),""X"",""""))"),"")</f>
        <v/>
      </c>
      <c r="K174" s="40" t="str">
        <f>IFERROR(__xludf.DUMMYFUNCTION("IF(ISBLANK(B174),"""",IF(ISDATE(B174),H174,""""))"),"")</f>
        <v/>
      </c>
      <c r="L174" s="40" t="str">
        <f>IFERROR(__xludf.DUMMYFUNCTION("IF(ISBLANK(B174),"""",IF(ISDATE(B174),TEXT(B174,""M""),""""))"),"")</f>
        <v/>
      </c>
      <c r="M174" s="29" t="str">
        <f>IFERROR(__xludf.DUMMYFUNCTION("IF(L174="""","""",QUERY({'Dashboard-Dados'!$Y$2:$AA$13},""Select Col2 Where Col1=""&amp;L174))"),"")</f>
        <v/>
      </c>
      <c r="N174" s="29" t="str">
        <f>IFERROR(__xludf.DUMMYFUNCTION("IF(ISBLANK(B174),"""",IF(ISDATE(B174),TEXT(B174,""yyyy""),""""))"),"")</f>
        <v/>
      </c>
    </row>
    <row r="175">
      <c r="B175" s="87"/>
      <c r="C175" s="85"/>
      <c r="D175" s="76"/>
      <c r="H175" s="88"/>
      <c r="J175" s="53" t="str">
        <f>IFERROR(__xludf.DUMMYFUNCTION("IF(ISBLANK(B175),"""",IF(ISDATE(B175),""X"",""""))"),"")</f>
        <v/>
      </c>
      <c r="K175" s="40" t="str">
        <f>IFERROR(__xludf.DUMMYFUNCTION("IF(ISBLANK(B175),"""",IF(ISDATE(B175),H175,""""))"),"")</f>
        <v/>
      </c>
      <c r="L175" s="40" t="str">
        <f>IFERROR(__xludf.DUMMYFUNCTION("IF(ISBLANK(B175),"""",IF(ISDATE(B175),TEXT(B175,""M""),""""))"),"")</f>
        <v/>
      </c>
      <c r="M175" s="29" t="str">
        <f>IFERROR(__xludf.DUMMYFUNCTION("IF(L175="""","""",QUERY({'Dashboard-Dados'!$Y$2:$AA$13},""Select Col2 Where Col1=""&amp;L175))"),"")</f>
        <v/>
      </c>
      <c r="N175" s="29" t="str">
        <f>IFERROR(__xludf.DUMMYFUNCTION("IF(ISBLANK(B175),"""",IF(ISDATE(B175),TEXT(B175,""yyyy""),""""))"),"")</f>
        <v/>
      </c>
    </row>
    <row r="176">
      <c r="B176" s="89"/>
      <c r="C176" s="86"/>
      <c r="D176" s="71"/>
      <c r="H176" s="90"/>
      <c r="J176" s="53" t="str">
        <f>IFERROR(__xludf.DUMMYFUNCTION("IF(ISBLANK(B176),"""",IF(ISDATE(B176),""X"",""""))"),"")</f>
        <v/>
      </c>
      <c r="K176" s="40" t="str">
        <f>IFERROR(__xludf.DUMMYFUNCTION("IF(ISBLANK(B176),"""",IF(ISDATE(B176),H176,""""))"),"")</f>
        <v/>
      </c>
      <c r="L176" s="40" t="str">
        <f>IFERROR(__xludf.DUMMYFUNCTION("IF(ISBLANK(B176),"""",IF(ISDATE(B176),TEXT(B176,""M""),""""))"),"")</f>
        <v/>
      </c>
      <c r="M176" s="29" t="str">
        <f>IFERROR(__xludf.DUMMYFUNCTION("IF(L176="""","""",QUERY({'Dashboard-Dados'!$Y$2:$AA$13},""Select Col2 Where Col1=""&amp;L176))"),"")</f>
        <v/>
      </c>
      <c r="N176" s="29" t="str">
        <f>IFERROR(__xludf.DUMMYFUNCTION("IF(ISBLANK(B176),"""",IF(ISDATE(B176),TEXT(B176,""yyyy""),""""))"),"")</f>
        <v/>
      </c>
    </row>
    <row r="177">
      <c r="B177" s="87"/>
      <c r="C177" s="85"/>
      <c r="D177" s="76"/>
      <c r="H177" s="88"/>
      <c r="J177" s="53" t="str">
        <f>IFERROR(__xludf.DUMMYFUNCTION("IF(ISBLANK(B177),"""",IF(ISDATE(B177),""X"",""""))"),"")</f>
        <v/>
      </c>
      <c r="K177" s="40" t="str">
        <f>IFERROR(__xludf.DUMMYFUNCTION("IF(ISBLANK(B177),"""",IF(ISDATE(B177),H177,""""))"),"")</f>
        <v/>
      </c>
      <c r="L177" s="40" t="str">
        <f>IFERROR(__xludf.DUMMYFUNCTION("IF(ISBLANK(B177),"""",IF(ISDATE(B177),TEXT(B177,""M""),""""))"),"")</f>
        <v/>
      </c>
      <c r="M177" s="29" t="str">
        <f>IFERROR(__xludf.DUMMYFUNCTION("IF(L177="""","""",QUERY({'Dashboard-Dados'!$Y$2:$AA$13},""Select Col2 Where Col1=""&amp;L177))"),"")</f>
        <v/>
      </c>
      <c r="N177" s="29" t="str">
        <f>IFERROR(__xludf.DUMMYFUNCTION("IF(ISBLANK(B177),"""",IF(ISDATE(B177),TEXT(B177,""yyyy""),""""))"),"")</f>
        <v/>
      </c>
    </row>
    <row r="178">
      <c r="B178" s="89"/>
      <c r="C178" s="86"/>
      <c r="D178" s="71"/>
      <c r="H178" s="90"/>
      <c r="J178" s="53" t="str">
        <f>IFERROR(__xludf.DUMMYFUNCTION("IF(ISBLANK(B178),"""",IF(ISDATE(B178),""X"",""""))"),"")</f>
        <v/>
      </c>
      <c r="K178" s="40" t="str">
        <f>IFERROR(__xludf.DUMMYFUNCTION("IF(ISBLANK(B178),"""",IF(ISDATE(B178),H178,""""))"),"")</f>
        <v/>
      </c>
      <c r="L178" s="40" t="str">
        <f>IFERROR(__xludf.DUMMYFUNCTION("IF(ISBLANK(B178),"""",IF(ISDATE(B178),TEXT(B178,""M""),""""))"),"")</f>
        <v/>
      </c>
      <c r="M178" s="29" t="str">
        <f>IFERROR(__xludf.DUMMYFUNCTION("IF(L178="""","""",QUERY({'Dashboard-Dados'!$Y$2:$AA$13},""Select Col2 Where Col1=""&amp;L178))"),"")</f>
        <v/>
      </c>
      <c r="N178" s="29" t="str">
        <f>IFERROR(__xludf.DUMMYFUNCTION("IF(ISBLANK(B178),"""",IF(ISDATE(B178),TEXT(B178,""yyyy""),""""))"),"")</f>
        <v/>
      </c>
    </row>
    <row r="179">
      <c r="B179" s="87"/>
      <c r="C179" s="85"/>
      <c r="D179" s="76"/>
      <c r="H179" s="88"/>
      <c r="J179" s="53" t="str">
        <f>IFERROR(__xludf.DUMMYFUNCTION("IF(ISBLANK(B179),"""",IF(ISDATE(B179),""X"",""""))"),"")</f>
        <v/>
      </c>
      <c r="K179" s="40" t="str">
        <f>IFERROR(__xludf.DUMMYFUNCTION("IF(ISBLANK(B179),"""",IF(ISDATE(B179),H179,""""))"),"")</f>
        <v/>
      </c>
      <c r="L179" s="40" t="str">
        <f>IFERROR(__xludf.DUMMYFUNCTION("IF(ISBLANK(B179),"""",IF(ISDATE(B179),TEXT(B179,""M""),""""))"),"")</f>
        <v/>
      </c>
      <c r="M179" s="29" t="str">
        <f>IFERROR(__xludf.DUMMYFUNCTION("IF(L179="""","""",QUERY({'Dashboard-Dados'!$Y$2:$AA$13},""Select Col2 Where Col1=""&amp;L179))"),"")</f>
        <v/>
      </c>
      <c r="N179" s="29" t="str">
        <f>IFERROR(__xludf.DUMMYFUNCTION("IF(ISBLANK(B179),"""",IF(ISDATE(B179),TEXT(B179,""yyyy""),""""))"),"")</f>
        <v/>
      </c>
    </row>
    <row r="180">
      <c r="B180" s="89"/>
      <c r="C180" s="86"/>
      <c r="D180" s="71"/>
      <c r="H180" s="90"/>
      <c r="J180" s="53" t="str">
        <f>IFERROR(__xludf.DUMMYFUNCTION("IF(ISBLANK(B180),"""",IF(ISDATE(B180),""X"",""""))"),"")</f>
        <v/>
      </c>
      <c r="K180" s="40" t="str">
        <f>IFERROR(__xludf.DUMMYFUNCTION("IF(ISBLANK(B180),"""",IF(ISDATE(B180),H180,""""))"),"")</f>
        <v/>
      </c>
      <c r="L180" s="40" t="str">
        <f>IFERROR(__xludf.DUMMYFUNCTION("IF(ISBLANK(B180),"""",IF(ISDATE(B180),TEXT(B180,""M""),""""))"),"")</f>
        <v/>
      </c>
      <c r="M180" s="29" t="str">
        <f>IFERROR(__xludf.DUMMYFUNCTION("IF(L180="""","""",QUERY({'Dashboard-Dados'!$Y$2:$AA$13},""Select Col2 Where Col1=""&amp;L180))"),"")</f>
        <v/>
      </c>
      <c r="N180" s="29" t="str">
        <f>IFERROR(__xludf.DUMMYFUNCTION("IF(ISBLANK(B180),"""",IF(ISDATE(B180),TEXT(B180,""yyyy""),""""))"),"")</f>
        <v/>
      </c>
    </row>
    <row r="181">
      <c r="B181" s="87"/>
      <c r="C181" s="85"/>
      <c r="D181" s="76"/>
      <c r="H181" s="88"/>
      <c r="J181" s="53" t="str">
        <f>IFERROR(__xludf.DUMMYFUNCTION("IF(ISBLANK(B181),"""",IF(ISDATE(B181),""X"",""""))"),"")</f>
        <v/>
      </c>
      <c r="K181" s="40" t="str">
        <f>IFERROR(__xludf.DUMMYFUNCTION("IF(ISBLANK(B181),"""",IF(ISDATE(B181),H181,""""))"),"")</f>
        <v/>
      </c>
      <c r="L181" s="40" t="str">
        <f>IFERROR(__xludf.DUMMYFUNCTION("IF(ISBLANK(B181),"""",IF(ISDATE(B181),TEXT(B181,""M""),""""))"),"")</f>
        <v/>
      </c>
      <c r="M181" s="29" t="str">
        <f>IFERROR(__xludf.DUMMYFUNCTION("IF(L181="""","""",QUERY({'Dashboard-Dados'!$Y$2:$AA$13},""Select Col2 Where Col1=""&amp;L181))"),"")</f>
        <v/>
      </c>
      <c r="N181" s="29" t="str">
        <f>IFERROR(__xludf.DUMMYFUNCTION("IF(ISBLANK(B181),"""",IF(ISDATE(B181),TEXT(B181,""yyyy""),""""))"),"")</f>
        <v/>
      </c>
    </row>
    <row r="182">
      <c r="B182" s="89"/>
      <c r="C182" s="86"/>
      <c r="D182" s="71"/>
      <c r="H182" s="90"/>
      <c r="J182" s="53" t="str">
        <f>IFERROR(__xludf.DUMMYFUNCTION("IF(ISBLANK(B182),"""",IF(ISDATE(B182),""X"",""""))"),"")</f>
        <v/>
      </c>
      <c r="K182" s="40" t="str">
        <f>IFERROR(__xludf.DUMMYFUNCTION("IF(ISBLANK(B182),"""",IF(ISDATE(B182),H182,""""))"),"")</f>
        <v/>
      </c>
      <c r="L182" s="40" t="str">
        <f>IFERROR(__xludf.DUMMYFUNCTION("IF(ISBLANK(B182),"""",IF(ISDATE(B182),TEXT(B182,""M""),""""))"),"")</f>
        <v/>
      </c>
      <c r="M182" s="29" t="str">
        <f>IFERROR(__xludf.DUMMYFUNCTION("IF(L182="""","""",QUERY({'Dashboard-Dados'!$Y$2:$AA$13},""Select Col2 Where Col1=""&amp;L182))"),"")</f>
        <v/>
      </c>
      <c r="N182" s="29" t="str">
        <f>IFERROR(__xludf.DUMMYFUNCTION("IF(ISBLANK(B182),"""",IF(ISDATE(B182),TEXT(B182,""yyyy""),""""))"),"")</f>
        <v/>
      </c>
    </row>
    <row r="183">
      <c r="B183" s="87"/>
      <c r="C183" s="85"/>
      <c r="D183" s="76"/>
      <c r="H183" s="88"/>
      <c r="J183" s="53" t="str">
        <f>IFERROR(__xludf.DUMMYFUNCTION("IF(ISBLANK(B183),"""",IF(ISDATE(B183),""X"",""""))"),"")</f>
        <v/>
      </c>
      <c r="K183" s="40" t="str">
        <f>IFERROR(__xludf.DUMMYFUNCTION("IF(ISBLANK(B183),"""",IF(ISDATE(B183),H183,""""))"),"")</f>
        <v/>
      </c>
      <c r="L183" s="40" t="str">
        <f>IFERROR(__xludf.DUMMYFUNCTION("IF(ISBLANK(B183),"""",IF(ISDATE(B183),TEXT(B183,""M""),""""))"),"")</f>
        <v/>
      </c>
      <c r="M183" s="29" t="str">
        <f>IFERROR(__xludf.DUMMYFUNCTION("IF(L183="""","""",QUERY({'Dashboard-Dados'!$Y$2:$AA$13},""Select Col2 Where Col1=""&amp;L183))"),"")</f>
        <v/>
      </c>
      <c r="N183" s="29" t="str">
        <f>IFERROR(__xludf.DUMMYFUNCTION("IF(ISBLANK(B183),"""",IF(ISDATE(B183),TEXT(B183,""yyyy""),""""))"),"")</f>
        <v/>
      </c>
    </row>
    <row r="184">
      <c r="B184" s="89"/>
      <c r="C184" s="86"/>
      <c r="D184" s="71"/>
      <c r="H184" s="90"/>
      <c r="J184" s="53" t="str">
        <f>IFERROR(__xludf.DUMMYFUNCTION("IF(ISBLANK(B184),"""",IF(ISDATE(B184),""X"",""""))"),"")</f>
        <v/>
      </c>
      <c r="K184" s="40" t="str">
        <f>IFERROR(__xludf.DUMMYFUNCTION("IF(ISBLANK(B184),"""",IF(ISDATE(B184),H184,""""))"),"")</f>
        <v/>
      </c>
      <c r="L184" s="40" t="str">
        <f>IFERROR(__xludf.DUMMYFUNCTION("IF(ISBLANK(B184),"""",IF(ISDATE(B184),TEXT(B184,""M""),""""))"),"")</f>
        <v/>
      </c>
      <c r="M184" s="29" t="str">
        <f>IFERROR(__xludf.DUMMYFUNCTION("IF(L184="""","""",QUERY({'Dashboard-Dados'!$Y$2:$AA$13},""Select Col2 Where Col1=""&amp;L184))"),"")</f>
        <v/>
      </c>
      <c r="N184" s="29" t="str">
        <f>IFERROR(__xludf.DUMMYFUNCTION("IF(ISBLANK(B184),"""",IF(ISDATE(B184),TEXT(B184,""yyyy""),""""))"),"")</f>
        <v/>
      </c>
    </row>
    <row r="185">
      <c r="B185" s="87"/>
      <c r="C185" s="85"/>
      <c r="D185" s="76"/>
      <c r="H185" s="88"/>
      <c r="J185" s="53" t="str">
        <f>IFERROR(__xludf.DUMMYFUNCTION("IF(ISBLANK(B185),"""",IF(ISDATE(B185),""X"",""""))"),"")</f>
        <v/>
      </c>
      <c r="K185" s="40" t="str">
        <f>IFERROR(__xludf.DUMMYFUNCTION("IF(ISBLANK(B185),"""",IF(ISDATE(B185),H185,""""))"),"")</f>
        <v/>
      </c>
      <c r="L185" s="40" t="str">
        <f>IFERROR(__xludf.DUMMYFUNCTION("IF(ISBLANK(B185),"""",IF(ISDATE(B185),TEXT(B185,""M""),""""))"),"")</f>
        <v/>
      </c>
      <c r="M185" s="29" t="str">
        <f>IFERROR(__xludf.DUMMYFUNCTION("IF(L185="""","""",QUERY({'Dashboard-Dados'!$Y$2:$AA$13},""Select Col2 Where Col1=""&amp;L185))"),"")</f>
        <v/>
      </c>
      <c r="N185" s="29" t="str">
        <f>IFERROR(__xludf.DUMMYFUNCTION("IF(ISBLANK(B185),"""",IF(ISDATE(B185),TEXT(B185,""yyyy""),""""))"),"")</f>
        <v/>
      </c>
    </row>
    <row r="186">
      <c r="B186" s="89"/>
      <c r="C186" s="86"/>
      <c r="D186" s="71"/>
      <c r="H186" s="90"/>
      <c r="J186" s="53" t="str">
        <f>IFERROR(__xludf.DUMMYFUNCTION("IF(ISBLANK(B186),"""",IF(ISDATE(B186),""X"",""""))"),"")</f>
        <v/>
      </c>
      <c r="K186" s="40" t="str">
        <f>IFERROR(__xludf.DUMMYFUNCTION("IF(ISBLANK(B186),"""",IF(ISDATE(B186),H186,""""))"),"")</f>
        <v/>
      </c>
      <c r="L186" s="40" t="str">
        <f>IFERROR(__xludf.DUMMYFUNCTION("IF(ISBLANK(B186),"""",IF(ISDATE(B186),TEXT(B186,""M""),""""))"),"")</f>
        <v/>
      </c>
      <c r="M186" s="29" t="str">
        <f>IFERROR(__xludf.DUMMYFUNCTION("IF(L186="""","""",QUERY({'Dashboard-Dados'!$Y$2:$AA$13},""Select Col2 Where Col1=""&amp;L186))"),"")</f>
        <v/>
      </c>
      <c r="N186" s="29" t="str">
        <f>IFERROR(__xludf.DUMMYFUNCTION("IF(ISBLANK(B186),"""",IF(ISDATE(B186),TEXT(B186,""yyyy""),""""))"),"")</f>
        <v/>
      </c>
    </row>
    <row r="187">
      <c r="B187" s="87"/>
      <c r="C187" s="85"/>
      <c r="D187" s="76"/>
      <c r="H187" s="88"/>
      <c r="J187" s="53" t="str">
        <f>IFERROR(__xludf.DUMMYFUNCTION("IF(ISBLANK(B187),"""",IF(ISDATE(B187),""X"",""""))"),"")</f>
        <v/>
      </c>
      <c r="K187" s="40" t="str">
        <f>IFERROR(__xludf.DUMMYFUNCTION("IF(ISBLANK(B187),"""",IF(ISDATE(B187),H187,""""))"),"")</f>
        <v/>
      </c>
      <c r="L187" s="40" t="str">
        <f>IFERROR(__xludf.DUMMYFUNCTION("IF(ISBLANK(B187),"""",IF(ISDATE(B187),TEXT(B187,""M""),""""))"),"")</f>
        <v/>
      </c>
      <c r="M187" s="29" t="str">
        <f>IFERROR(__xludf.DUMMYFUNCTION("IF(L187="""","""",QUERY({'Dashboard-Dados'!$Y$2:$AA$13},""Select Col2 Where Col1=""&amp;L187))"),"")</f>
        <v/>
      </c>
      <c r="N187" s="29" t="str">
        <f>IFERROR(__xludf.DUMMYFUNCTION("IF(ISBLANK(B187),"""",IF(ISDATE(B187),TEXT(B187,""yyyy""),""""))"),"")</f>
        <v/>
      </c>
    </row>
    <row r="188">
      <c r="B188" s="89"/>
      <c r="C188" s="86"/>
      <c r="D188" s="71"/>
      <c r="H188" s="90"/>
      <c r="J188" s="53" t="str">
        <f>IFERROR(__xludf.DUMMYFUNCTION("IF(ISBLANK(B188),"""",IF(ISDATE(B188),""X"",""""))"),"")</f>
        <v/>
      </c>
      <c r="K188" s="40" t="str">
        <f>IFERROR(__xludf.DUMMYFUNCTION("IF(ISBLANK(B188),"""",IF(ISDATE(B188),H188,""""))"),"")</f>
        <v/>
      </c>
      <c r="L188" s="40" t="str">
        <f>IFERROR(__xludf.DUMMYFUNCTION("IF(ISBLANK(B188),"""",IF(ISDATE(B188),TEXT(B188,""M""),""""))"),"")</f>
        <v/>
      </c>
      <c r="M188" s="29" t="str">
        <f>IFERROR(__xludf.DUMMYFUNCTION("IF(L188="""","""",QUERY({'Dashboard-Dados'!$Y$2:$AA$13},""Select Col2 Where Col1=""&amp;L188))"),"")</f>
        <v/>
      </c>
      <c r="N188" s="29" t="str">
        <f>IFERROR(__xludf.DUMMYFUNCTION("IF(ISBLANK(B188),"""",IF(ISDATE(B188),TEXT(B188,""yyyy""),""""))"),"")</f>
        <v/>
      </c>
    </row>
    <row r="189">
      <c r="B189" s="87"/>
      <c r="C189" s="85"/>
      <c r="D189" s="76"/>
      <c r="H189" s="88"/>
      <c r="J189" s="53" t="str">
        <f>IFERROR(__xludf.DUMMYFUNCTION("IF(ISBLANK(B189),"""",IF(ISDATE(B189),""X"",""""))"),"")</f>
        <v/>
      </c>
      <c r="K189" s="40" t="str">
        <f>IFERROR(__xludf.DUMMYFUNCTION("IF(ISBLANK(B189),"""",IF(ISDATE(B189),H189,""""))"),"")</f>
        <v/>
      </c>
      <c r="L189" s="40" t="str">
        <f>IFERROR(__xludf.DUMMYFUNCTION("IF(ISBLANK(B189),"""",IF(ISDATE(B189),TEXT(B189,""M""),""""))"),"")</f>
        <v/>
      </c>
      <c r="M189" s="29" t="str">
        <f>IFERROR(__xludf.DUMMYFUNCTION("IF(L189="""","""",QUERY({'Dashboard-Dados'!$Y$2:$AA$13},""Select Col2 Where Col1=""&amp;L189))"),"")</f>
        <v/>
      </c>
      <c r="N189" s="29" t="str">
        <f>IFERROR(__xludf.DUMMYFUNCTION("IF(ISBLANK(B189),"""",IF(ISDATE(B189),TEXT(B189,""yyyy""),""""))"),"")</f>
        <v/>
      </c>
    </row>
    <row r="190">
      <c r="B190" s="89"/>
      <c r="C190" s="86"/>
      <c r="D190" s="71"/>
      <c r="H190" s="90"/>
      <c r="J190" s="53" t="str">
        <f>IFERROR(__xludf.DUMMYFUNCTION("IF(ISBLANK(B190),"""",IF(ISDATE(B190),""X"",""""))"),"")</f>
        <v/>
      </c>
      <c r="K190" s="40" t="str">
        <f>IFERROR(__xludf.DUMMYFUNCTION("IF(ISBLANK(B190),"""",IF(ISDATE(B190),H190,""""))"),"")</f>
        <v/>
      </c>
      <c r="L190" s="40" t="str">
        <f>IFERROR(__xludf.DUMMYFUNCTION("IF(ISBLANK(B190),"""",IF(ISDATE(B190),TEXT(B190,""M""),""""))"),"")</f>
        <v/>
      </c>
      <c r="M190" s="29" t="str">
        <f>IFERROR(__xludf.DUMMYFUNCTION("IF(L190="""","""",QUERY({'Dashboard-Dados'!$Y$2:$AA$13},""Select Col2 Where Col1=""&amp;L190))"),"")</f>
        <v/>
      </c>
      <c r="N190" s="29" t="str">
        <f>IFERROR(__xludf.DUMMYFUNCTION("IF(ISBLANK(B190),"""",IF(ISDATE(B190),TEXT(B190,""yyyy""),""""))"),"")</f>
        <v/>
      </c>
    </row>
    <row r="191">
      <c r="B191" s="87"/>
      <c r="C191" s="85"/>
      <c r="D191" s="76"/>
      <c r="H191" s="88"/>
      <c r="J191" s="53" t="str">
        <f>IFERROR(__xludf.DUMMYFUNCTION("IF(ISBLANK(B191),"""",IF(ISDATE(B191),""X"",""""))"),"")</f>
        <v/>
      </c>
      <c r="K191" s="40" t="str">
        <f>IFERROR(__xludf.DUMMYFUNCTION("IF(ISBLANK(B191),"""",IF(ISDATE(B191),H191,""""))"),"")</f>
        <v/>
      </c>
      <c r="L191" s="40" t="str">
        <f>IFERROR(__xludf.DUMMYFUNCTION("IF(ISBLANK(B191),"""",IF(ISDATE(B191),TEXT(B191,""M""),""""))"),"")</f>
        <v/>
      </c>
      <c r="M191" s="29" t="str">
        <f>IFERROR(__xludf.DUMMYFUNCTION("IF(L191="""","""",QUERY({'Dashboard-Dados'!$Y$2:$AA$13},""Select Col2 Where Col1=""&amp;L191))"),"")</f>
        <v/>
      </c>
      <c r="N191" s="29" t="str">
        <f>IFERROR(__xludf.DUMMYFUNCTION("IF(ISBLANK(B191),"""",IF(ISDATE(B191),TEXT(B191,""yyyy""),""""))"),"")</f>
        <v/>
      </c>
    </row>
    <row r="192">
      <c r="B192" s="89"/>
      <c r="C192" s="86"/>
      <c r="D192" s="71"/>
      <c r="H192" s="90"/>
      <c r="J192" s="53" t="str">
        <f>IFERROR(__xludf.DUMMYFUNCTION("IF(ISBLANK(B192),"""",IF(ISDATE(B192),""X"",""""))"),"")</f>
        <v/>
      </c>
      <c r="K192" s="40" t="str">
        <f>IFERROR(__xludf.DUMMYFUNCTION("IF(ISBLANK(B192),"""",IF(ISDATE(B192),H192,""""))"),"")</f>
        <v/>
      </c>
      <c r="L192" s="40" t="str">
        <f>IFERROR(__xludf.DUMMYFUNCTION("IF(ISBLANK(B192),"""",IF(ISDATE(B192),TEXT(B192,""M""),""""))"),"")</f>
        <v/>
      </c>
      <c r="M192" s="29" t="str">
        <f>IFERROR(__xludf.DUMMYFUNCTION("IF(L192="""","""",QUERY({'Dashboard-Dados'!$Y$2:$AA$13},""Select Col2 Where Col1=""&amp;L192))"),"")</f>
        <v/>
      </c>
      <c r="N192" s="29" t="str">
        <f>IFERROR(__xludf.DUMMYFUNCTION("IF(ISBLANK(B192),"""",IF(ISDATE(B192),TEXT(B192,""yyyy""),""""))"),"")</f>
        <v/>
      </c>
    </row>
    <row r="193">
      <c r="B193" s="87"/>
      <c r="C193" s="85"/>
      <c r="D193" s="76"/>
      <c r="H193" s="88"/>
      <c r="J193" s="53" t="str">
        <f>IFERROR(__xludf.DUMMYFUNCTION("IF(ISBLANK(B193),"""",IF(ISDATE(B193),""X"",""""))"),"")</f>
        <v/>
      </c>
      <c r="K193" s="40" t="str">
        <f>IFERROR(__xludf.DUMMYFUNCTION("IF(ISBLANK(B193),"""",IF(ISDATE(B193),H193,""""))"),"")</f>
        <v/>
      </c>
      <c r="L193" s="40" t="str">
        <f>IFERROR(__xludf.DUMMYFUNCTION("IF(ISBLANK(B193),"""",IF(ISDATE(B193),TEXT(B193,""M""),""""))"),"")</f>
        <v/>
      </c>
      <c r="M193" s="29" t="str">
        <f>IFERROR(__xludf.DUMMYFUNCTION("IF(L193="""","""",QUERY({'Dashboard-Dados'!$Y$2:$AA$13},""Select Col2 Where Col1=""&amp;L193))"),"")</f>
        <v/>
      </c>
      <c r="N193" s="29" t="str">
        <f>IFERROR(__xludf.DUMMYFUNCTION("IF(ISBLANK(B193),"""",IF(ISDATE(B193),TEXT(B193,""yyyy""),""""))"),"")</f>
        <v/>
      </c>
    </row>
    <row r="194">
      <c r="B194" s="89"/>
      <c r="C194" s="86"/>
      <c r="D194" s="71"/>
      <c r="H194" s="90"/>
      <c r="J194" s="53" t="str">
        <f>IFERROR(__xludf.DUMMYFUNCTION("IF(ISBLANK(B194),"""",IF(ISDATE(B194),""X"",""""))"),"")</f>
        <v/>
      </c>
      <c r="K194" s="40" t="str">
        <f>IFERROR(__xludf.DUMMYFUNCTION("IF(ISBLANK(B194),"""",IF(ISDATE(B194),H194,""""))"),"")</f>
        <v/>
      </c>
      <c r="L194" s="40" t="str">
        <f>IFERROR(__xludf.DUMMYFUNCTION("IF(ISBLANK(B194),"""",IF(ISDATE(B194),TEXT(B194,""M""),""""))"),"")</f>
        <v/>
      </c>
      <c r="M194" s="29" t="str">
        <f>IFERROR(__xludf.DUMMYFUNCTION("IF(L194="""","""",QUERY({'Dashboard-Dados'!$Y$2:$AA$13},""Select Col2 Where Col1=""&amp;L194))"),"")</f>
        <v/>
      </c>
      <c r="N194" s="29" t="str">
        <f>IFERROR(__xludf.DUMMYFUNCTION("IF(ISBLANK(B194),"""",IF(ISDATE(B194),TEXT(B194,""yyyy""),""""))"),"")</f>
        <v/>
      </c>
    </row>
    <row r="195">
      <c r="B195" s="87"/>
      <c r="C195" s="85"/>
      <c r="D195" s="76"/>
      <c r="H195" s="88"/>
      <c r="J195" s="53" t="str">
        <f>IFERROR(__xludf.DUMMYFUNCTION("IF(ISBLANK(B195),"""",IF(ISDATE(B195),""X"",""""))"),"")</f>
        <v/>
      </c>
      <c r="K195" s="40" t="str">
        <f>IFERROR(__xludf.DUMMYFUNCTION("IF(ISBLANK(B195),"""",IF(ISDATE(B195),H195,""""))"),"")</f>
        <v/>
      </c>
      <c r="L195" s="40" t="str">
        <f>IFERROR(__xludf.DUMMYFUNCTION("IF(ISBLANK(B195),"""",IF(ISDATE(B195),TEXT(B195,""M""),""""))"),"")</f>
        <v/>
      </c>
      <c r="M195" s="29" t="str">
        <f>IFERROR(__xludf.DUMMYFUNCTION("IF(L195="""","""",QUERY({'Dashboard-Dados'!$Y$2:$AA$13},""Select Col2 Where Col1=""&amp;L195))"),"")</f>
        <v/>
      </c>
      <c r="N195" s="29" t="str">
        <f>IFERROR(__xludf.DUMMYFUNCTION("IF(ISBLANK(B195),"""",IF(ISDATE(B195),TEXT(B195,""yyyy""),""""))"),"")</f>
        <v/>
      </c>
    </row>
    <row r="196">
      <c r="B196" s="89"/>
      <c r="C196" s="86"/>
      <c r="D196" s="71"/>
      <c r="H196" s="90"/>
      <c r="J196" s="53" t="str">
        <f>IFERROR(__xludf.DUMMYFUNCTION("IF(ISBLANK(B196),"""",IF(ISDATE(B196),""X"",""""))"),"")</f>
        <v/>
      </c>
      <c r="K196" s="40" t="str">
        <f>IFERROR(__xludf.DUMMYFUNCTION("IF(ISBLANK(B196),"""",IF(ISDATE(B196),H196,""""))"),"")</f>
        <v/>
      </c>
      <c r="L196" s="40" t="str">
        <f>IFERROR(__xludf.DUMMYFUNCTION("IF(ISBLANK(B196),"""",IF(ISDATE(B196),TEXT(B196,""M""),""""))"),"")</f>
        <v/>
      </c>
      <c r="M196" s="29" t="str">
        <f>IFERROR(__xludf.DUMMYFUNCTION("IF(L196="""","""",QUERY({'Dashboard-Dados'!$Y$2:$AA$13},""Select Col2 Where Col1=""&amp;L196))"),"")</f>
        <v/>
      </c>
      <c r="N196" s="29" t="str">
        <f>IFERROR(__xludf.DUMMYFUNCTION("IF(ISBLANK(B196),"""",IF(ISDATE(B196),TEXT(B196,""yyyy""),""""))"),"")</f>
        <v/>
      </c>
    </row>
    <row r="197">
      <c r="B197" s="87"/>
      <c r="C197" s="85"/>
      <c r="D197" s="76"/>
      <c r="H197" s="88"/>
      <c r="J197" s="53" t="str">
        <f>IFERROR(__xludf.DUMMYFUNCTION("IF(ISBLANK(B197),"""",IF(ISDATE(B197),""X"",""""))"),"")</f>
        <v/>
      </c>
      <c r="K197" s="40" t="str">
        <f>IFERROR(__xludf.DUMMYFUNCTION("IF(ISBLANK(B197),"""",IF(ISDATE(B197),H197,""""))"),"")</f>
        <v/>
      </c>
      <c r="L197" s="40" t="str">
        <f>IFERROR(__xludf.DUMMYFUNCTION("IF(ISBLANK(B197),"""",IF(ISDATE(B197),TEXT(B197,""M""),""""))"),"")</f>
        <v/>
      </c>
      <c r="M197" s="29" t="str">
        <f>IFERROR(__xludf.DUMMYFUNCTION("IF(L197="""","""",QUERY({'Dashboard-Dados'!$Y$2:$AA$13},""Select Col2 Where Col1=""&amp;L197))"),"")</f>
        <v/>
      </c>
      <c r="N197" s="29" t="str">
        <f>IFERROR(__xludf.DUMMYFUNCTION("IF(ISBLANK(B197),"""",IF(ISDATE(B197),TEXT(B197,""yyyy""),""""))"),"")</f>
        <v/>
      </c>
    </row>
    <row r="198">
      <c r="B198" s="89"/>
      <c r="C198" s="86"/>
      <c r="D198" s="71"/>
      <c r="H198" s="90"/>
      <c r="J198" s="53" t="str">
        <f>IFERROR(__xludf.DUMMYFUNCTION("IF(ISBLANK(B198),"""",IF(ISDATE(B198),""X"",""""))"),"")</f>
        <v/>
      </c>
      <c r="K198" s="40" t="str">
        <f>IFERROR(__xludf.DUMMYFUNCTION("IF(ISBLANK(B198),"""",IF(ISDATE(B198),H198,""""))"),"")</f>
        <v/>
      </c>
      <c r="L198" s="40" t="str">
        <f>IFERROR(__xludf.DUMMYFUNCTION("IF(ISBLANK(B198),"""",IF(ISDATE(B198),TEXT(B198,""M""),""""))"),"")</f>
        <v/>
      </c>
      <c r="M198" s="29" t="str">
        <f>IFERROR(__xludf.DUMMYFUNCTION("IF(L198="""","""",QUERY({'Dashboard-Dados'!$Y$2:$AA$13},""Select Col2 Where Col1=""&amp;L198))"),"")</f>
        <v/>
      </c>
      <c r="N198" s="29" t="str">
        <f>IFERROR(__xludf.DUMMYFUNCTION("IF(ISBLANK(B198),"""",IF(ISDATE(B198),TEXT(B198,""yyyy""),""""))"),"")</f>
        <v/>
      </c>
    </row>
    <row r="199">
      <c r="B199" s="87"/>
      <c r="C199" s="85"/>
      <c r="D199" s="76"/>
      <c r="H199" s="88"/>
      <c r="J199" s="53" t="str">
        <f>IFERROR(__xludf.DUMMYFUNCTION("IF(ISBLANK(B199),"""",IF(ISDATE(B199),""X"",""""))"),"")</f>
        <v/>
      </c>
      <c r="K199" s="40" t="str">
        <f>IFERROR(__xludf.DUMMYFUNCTION("IF(ISBLANK(B199),"""",IF(ISDATE(B199),H199,""""))"),"")</f>
        <v/>
      </c>
      <c r="L199" s="40" t="str">
        <f>IFERROR(__xludf.DUMMYFUNCTION("IF(ISBLANK(B199),"""",IF(ISDATE(B199),TEXT(B199,""M""),""""))"),"")</f>
        <v/>
      </c>
      <c r="M199" s="29" t="str">
        <f>IFERROR(__xludf.DUMMYFUNCTION("IF(L199="""","""",QUERY({'Dashboard-Dados'!$Y$2:$AA$13},""Select Col2 Where Col1=""&amp;L199))"),"")</f>
        <v/>
      </c>
      <c r="N199" s="29" t="str">
        <f>IFERROR(__xludf.DUMMYFUNCTION("IF(ISBLANK(B199),"""",IF(ISDATE(B199),TEXT(B199,""yyyy""),""""))"),"")</f>
        <v/>
      </c>
    </row>
    <row r="200">
      <c r="B200" s="89"/>
      <c r="C200" s="86"/>
      <c r="D200" s="71"/>
      <c r="H200" s="90"/>
      <c r="J200" s="53" t="str">
        <f>IFERROR(__xludf.DUMMYFUNCTION("IF(ISBLANK(B200),"""",IF(ISDATE(B200),""X"",""""))"),"")</f>
        <v/>
      </c>
      <c r="K200" s="40" t="str">
        <f>IFERROR(__xludf.DUMMYFUNCTION("IF(ISBLANK(B200),"""",IF(ISDATE(B200),H200,""""))"),"")</f>
        <v/>
      </c>
      <c r="L200" s="40" t="str">
        <f>IFERROR(__xludf.DUMMYFUNCTION("IF(ISBLANK(B200),"""",IF(ISDATE(B200),TEXT(B200,""M""),""""))"),"")</f>
        <v/>
      </c>
      <c r="M200" s="29" t="str">
        <f>IFERROR(__xludf.DUMMYFUNCTION("IF(L200="""","""",QUERY({'Dashboard-Dados'!$Y$2:$AA$13},""Select Col2 Where Col1=""&amp;L200))"),"")</f>
        <v/>
      </c>
      <c r="N200" s="29" t="str">
        <f>IFERROR(__xludf.DUMMYFUNCTION("IF(ISBLANK(B200),"""",IF(ISDATE(B200),TEXT(B200,""yyyy""),""""))"),"")</f>
        <v/>
      </c>
    </row>
    <row r="201">
      <c r="B201" s="87"/>
      <c r="C201" s="85"/>
      <c r="D201" s="76"/>
      <c r="H201" s="88"/>
      <c r="J201" s="53" t="str">
        <f>IFERROR(__xludf.DUMMYFUNCTION("IF(ISBLANK(B201),"""",IF(ISDATE(B201),""X"",""""))"),"")</f>
        <v/>
      </c>
      <c r="K201" s="40" t="str">
        <f>IFERROR(__xludf.DUMMYFUNCTION("IF(ISBLANK(B201),"""",IF(ISDATE(B201),H201,""""))"),"")</f>
        <v/>
      </c>
      <c r="L201" s="40" t="str">
        <f>IFERROR(__xludf.DUMMYFUNCTION("IF(ISBLANK(B201),"""",IF(ISDATE(B201),TEXT(B201,""M""),""""))"),"")</f>
        <v/>
      </c>
      <c r="M201" s="29" t="str">
        <f>IFERROR(__xludf.DUMMYFUNCTION("IF(L201="""","""",QUERY({'Dashboard-Dados'!$Y$2:$AA$13},""Select Col2 Where Col1=""&amp;L201))"),"")</f>
        <v/>
      </c>
      <c r="N201" s="29" t="str">
        <f>IFERROR(__xludf.DUMMYFUNCTION("IF(ISBLANK(B201),"""",IF(ISDATE(B201),TEXT(B201,""yyyy""),""""))"),"")</f>
        <v/>
      </c>
    </row>
    <row r="202">
      <c r="B202" s="89"/>
      <c r="C202" s="86"/>
      <c r="D202" s="71"/>
      <c r="H202" s="90"/>
      <c r="J202" s="53" t="str">
        <f>IFERROR(__xludf.DUMMYFUNCTION("IF(ISBLANK(B202),"""",IF(ISDATE(B202),""X"",""""))"),"")</f>
        <v/>
      </c>
      <c r="K202" s="40" t="str">
        <f>IFERROR(__xludf.DUMMYFUNCTION("IF(ISBLANK(B202),"""",IF(ISDATE(B202),H202,""""))"),"")</f>
        <v/>
      </c>
      <c r="L202" s="40" t="str">
        <f>IFERROR(__xludf.DUMMYFUNCTION("IF(ISBLANK(B202),"""",IF(ISDATE(B202),TEXT(B202,""M""),""""))"),"")</f>
        <v/>
      </c>
      <c r="M202" s="29" t="str">
        <f>IFERROR(__xludf.DUMMYFUNCTION("IF(L202="""","""",QUERY({'Dashboard-Dados'!$Y$2:$AA$13},""Select Col2 Where Col1=""&amp;L202))"),"")</f>
        <v/>
      </c>
      <c r="N202" s="29" t="str">
        <f>IFERROR(__xludf.DUMMYFUNCTION("IF(ISBLANK(B202),"""",IF(ISDATE(B202),TEXT(B202,""yyyy""),""""))"),"")</f>
        <v/>
      </c>
    </row>
    <row r="203">
      <c r="B203" s="87"/>
      <c r="C203" s="85"/>
      <c r="D203" s="76"/>
      <c r="H203" s="88"/>
      <c r="J203" s="53" t="str">
        <f>IFERROR(__xludf.DUMMYFUNCTION("IF(ISBLANK(B203),"""",IF(ISDATE(B203),""X"",""""))"),"")</f>
        <v/>
      </c>
      <c r="K203" s="40" t="str">
        <f>IFERROR(__xludf.DUMMYFUNCTION("IF(ISBLANK(B203),"""",IF(ISDATE(B203),H203,""""))"),"")</f>
        <v/>
      </c>
      <c r="L203" s="40" t="str">
        <f>IFERROR(__xludf.DUMMYFUNCTION("IF(ISBLANK(B203),"""",IF(ISDATE(B203),TEXT(B203,""M""),""""))"),"")</f>
        <v/>
      </c>
      <c r="M203" s="29" t="str">
        <f>IFERROR(__xludf.DUMMYFUNCTION("IF(L203="""","""",QUERY({'Dashboard-Dados'!$Y$2:$AA$13},""Select Col2 Where Col1=""&amp;L203))"),"")</f>
        <v/>
      </c>
      <c r="N203" s="29" t="str">
        <f>IFERROR(__xludf.DUMMYFUNCTION("IF(ISBLANK(B203),"""",IF(ISDATE(B203),TEXT(B203,""yyyy""),""""))"),"")</f>
        <v/>
      </c>
    </row>
    <row r="204">
      <c r="B204" s="89"/>
      <c r="C204" s="86"/>
      <c r="D204" s="71"/>
      <c r="H204" s="90"/>
      <c r="J204" s="53" t="str">
        <f>IFERROR(__xludf.DUMMYFUNCTION("IF(ISBLANK(B204),"""",IF(ISDATE(B204),""X"",""""))"),"")</f>
        <v/>
      </c>
      <c r="K204" s="40" t="str">
        <f>IFERROR(__xludf.DUMMYFUNCTION("IF(ISBLANK(B204),"""",IF(ISDATE(B204),H204,""""))"),"")</f>
        <v/>
      </c>
      <c r="L204" s="40" t="str">
        <f>IFERROR(__xludf.DUMMYFUNCTION("IF(ISBLANK(B204),"""",IF(ISDATE(B204),TEXT(B204,""M""),""""))"),"")</f>
        <v/>
      </c>
      <c r="M204" s="29" t="str">
        <f>IFERROR(__xludf.DUMMYFUNCTION("IF(L204="""","""",QUERY({'Dashboard-Dados'!$Y$2:$AA$13},""Select Col2 Where Col1=""&amp;L204))"),"")</f>
        <v/>
      </c>
      <c r="N204" s="29" t="str">
        <f>IFERROR(__xludf.DUMMYFUNCTION("IF(ISBLANK(B204),"""",IF(ISDATE(B204),TEXT(B204,""yyyy""),""""))"),"")</f>
        <v/>
      </c>
    </row>
    <row r="205">
      <c r="B205" s="87"/>
      <c r="C205" s="85"/>
      <c r="D205" s="76"/>
      <c r="H205" s="88"/>
      <c r="J205" s="53" t="str">
        <f>IFERROR(__xludf.DUMMYFUNCTION("IF(ISBLANK(B205),"""",IF(ISDATE(B205),""X"",""""))"),"")</f>
        <v/>
      </c>
      <c r="K205" s="40" t="str">
        <f>IFERROR(__xludf.DUMMYFUNCTION("IF(ISBLANK(B205),"""",IF(ISDATE(B205),H205,""""))"),"")</f>
        <v/>
      </c>
      <c r="L205" s="40" t="str">
        <f>IFERROR(__xludf.DUMMYFUNCTION("IF(ISBLANK(B205),"""",IF(ISDATE(B205),TEXT(B205,""M""),""""))"),"")</f>
        <v/>
      </c>
      <c r="M205" s="29" t="str">
        <f>IFERROR(__xludf.DUMMYFUNCTION("IF(L205="""","""",QUERY({'Dashboard-Dados'!$Y$2:$AA$13},""Select Col2 Where Col1=""&amp;L205))"),"")</f>
        <v/>
      </c>
      <c r="N205" s="29" t="str">
        <f>IFERROR(__xludf.DUMMYFUNCTION("IF(ISBLANK(B205),"""",IF(ISDATE(B205),TEXT(B205,""yyyy""),""""))"),"")</f>
        <v/>
      </c>
    </row>
    <row r="206">
      <c r="B206" s="89"/>
      <c r="C206" s="86"/>
      <c r="D206" s="71"/>
      <c r="H206" s="90"/>
      <c r="J206" s="53" t="str">
        <f>IFERROR(__xludf.DUMMYFUNCTION("IF(ISBLANK(B206),"""",IF(ISDATE(B206),""X"",""""))"),"")</f>
        <v/>
      </c>
      <c r="K206" s="40" t="str">
        <f>IFERROR(__xludf.DUMMYFUNCTION("IF(ISBLANK(B206),"""",IF(ISDATE(B206),H206,""""))"),"")</f>
        <v/>
      </c>
      <c r="L206" s="40" t="str">
        <f>IFERROR(__xludf.DUMMYFUNCTION("IF(ISBLANK(B206),"""",IF(ISDATE(B206),TEXT(B206,""M""),""""))"),"")</f>
        <v/>
      </c>
      <c r="M206" s="29" t="str">
        <f>IFERROR(__xludf.DUMMYFUNCTION("IF(L206="""","""",QUERY({'Dashboard-Dados'!$Y$2:$AA$13},""Select Col2 Where Col1=""&amp;L206))"),"")</f>
        <v/>
      </c>
      <c r="N206" s="29" t="str">
        <f>IFERROR(__xludf.DUMMYFUNCTION("IF(ISBLANK(B206),"""",IF(ISDATE(B206),TEXT(B206,""yyyy""),""""))"),"")</f>
        <v/>
      </c>
    </row>
    <row r="207">
      <c r="B207" s="87"/>
      <c r="C207" s="85"/>
      <c r="D207" s="76"/>
      <c r="H207" s="88"/>
      <c r="J207" s="53" t="str">
        <f>IFERROR(__xludf.DUMMYFUNCTION("IF(ISBLANK(B207),"""",IF(ISDATE(B207),""X"",""""))"),"")</f>
        <v/>
      </c>
      <c r="K207" s="40" t="str">
        <f>IFERROR(__xludf.DUMMYFUNCTION("IF(ISBLANK(B207),"""",IF(ISDATE(B207),H207,""""))"),"")</f>
        <v/>
      </c>
      <c r="L207" s="40" t="str">
        <f>IFERROR(__xludf.DUMMYFUNCTION("IF(ISBLANK(B207),"""",IF(ISDATE(B207),TEXT(B207,""M""),""""))"),"")</f>
        <v/>
      </c>
      <c r="M207" s="29" t="str">
        <f>IFERROR(__xludf.DUMMYFUNCTION("IF(L207="""","""",QUERY({'Dashboard-Dados'!$Y$2:$AA$13},""Select Col2 Where Col1=""&amp;L207))"),"")</f>
        <v/>
      </c>
      <c r="N207" s="29" t="str">
        <f>IFERROR(__xludf.DUMMYFUNCTION("IF(ISBLANK(B207),"""",IF(ISDATE(B207),TEXT(B207,""yyyy""),""""))"),"")</f>
        <v/>
      </c>
    </row>
    <row r="208">
      <c r="B208" s="89"/>
      <c r="C208" s="86"/>
      <c r="D208" s="71"/>
      <c r="H208" s="90"/>
      <c r="J208" s="53" t="str">
        <f>IFERROR(__xludf.DUMMYFUNCTION("IF(ISBLANK(B208),"""",IF(ISDATE(B208),""X"",""""))"),"")</f>
        <v/>
      </c>
      <c r="K208" s="40" t="str">
        <f>IFERROR(__xludf.DUMMYFUNCTION("IF(ISBLANK(B208),"""",IF(ISDATE(B208),H208,""""))"),"")</f>
        <v/>
      </c>
      <c r="L208" s="40" t="str">
        <f>IFERROR(__xludf.DUMMYFUNCTION("IF(ISBLANK(B208),"""",IF(ISDATE(B208),TEXT(B208,""M""),""""))"),"")</f>
        <v/>
      </c>
      <c r="M208" s="29" t="str">
        <f>IFERROR(__xludf.DUMMYFUNCTION("IF(L208="""","""",QUERY({'Dashboard-Dados'!$Y$2:$AA$13},""Select Col2 Where Col1=""&amp;L208))"),"")</f>
        <v/>
      </c>
      <c r="N208" s="29" t="str">
        <f>IFERROR(__xludf.DUMMYFUNCTION("IF(ISBLANK(B208),"""",IF(ISDATE(B208),TEXT(B208,""yyyy""),""""))"),"")</f>
        <v/>
      </c>
    </row>
    <row r="209">
      <c r="B209" s="87"/>
      <c r="C209" s="85"/>
      <c r="D209" s="76"/>
      <c r="H209" s="88"/>
      <c r="J209" s="53" t="str">
        <f>IFERROR(__xludf.DUMMYFUNCTION("IF(ISBLANK(B209),"""",IF(ISDATE(B209),""X"",""""))"),"")</f>
        <v/>
      </c>
      <c r="K209" s="40" t="str">
        <f>IFERROR(__xludf.DUMMYFUNCTION("IF(ISBLANK(B209),"""",IF(ISDATE(B209),H209,""""))"),"")</f>
        <v/>
      </c>
      <c r="L209" s="40" t="str">
        <f>IFERROR(__xludf.DUMMYFUNCTION("IF(ISBLANK(B209),"""",IF(ISDATE(B209),TEXT(B209,""M""),""""))"),"")</f>
        <v/>
      </c>
      <c r="M209" s="29" t="str">
        <f>IFERROR(__xludf.DUMMYFUNCTION("IF(L209="""","""",QUERY({'Dashboard-Dados'!$Y$2:$AA$13},""Select Col2 Where Col1=""&amp;L209))"),"")</f>
        <v/>
      </c>
      <c r="N209" s="29" t="str">
        <f>IFERROR(__xludf.DUMMYFUNCTION("IF(ISBLANK(B209),"""",IF(ISDATE(B209),TEXT(B209,""yyyy""),""""))"),"")</f>
        <v/>
      </c>
    </row>
    <row r="210">
      <c r="B210" s="89"/>
      <c r="C210" s="86"/>
      <c r="D210" s="71"/>
      <c r="H210" s="90"/>
      <c r="J210" s="53" t="str">
        <f>IFERROR(__xludf.DUMMYFUNCTION("IF(ISBLANK(B210),"""",IF(ISDATE(B210),""X"",""""))"),"")</f>
        <v/>
      </c>
      <c r="K210" s="40" t="str">
        <f>IFERROR(__xludf.DUMMYFUNCTION("IF(ISBLANK(B210),"""",IF(ISDATE(B210),H210,""""))"),"")</f>
        <v/>
      </c>
      <c r="L210" s="40" t="str">
        <f>IFERROR(__xludf.DUMMYFUNCTION("IF(ISBLANK(B210),"""",IF(ISDATE(B210),TEXT(B210,""M""),""""))"),"")</f>
        <v/>
      </c>
      <c r="M210" s="29" t="str">
        <f>IFERROR(__xludf.DUMMYFUNCTION("IF(L210="""","""",QUERY({'Dashboard-Dados'!$Y$2:$AA$13},""Select Col2 Where Col1=""&amp;L210))"),"")</f>
        <v/>
      </c>
      <c r="N210" s="29" t="str">
        <f>IFERROR(__xludf.DUMMYFUNCTION("IF(ISBLANK(B210),"""",IF(ISDATE(B210),TEXT(B210,""yyyy""),""""))"),"")</f>
        <v/>
      </c>
    </row>
    <row r="211">
      <c r="B211" s="87"/>
      <c r="C211" s="85"/>
      <c r="D211" s="76"/>
      <c r="H211" s="88"/>
      <c r="J211" s="53" t="str">
        <f>IFERROR(__xludf.DUMMYFUNCTION("IF(ISBLANK(B211),"""",IF(ISDATE(B211),""X"",""""))"),"")</f>
        <v/>
      </c>
      <c r="K211" s="40" t="str">
        <f>IFERROR(__xludf.DUMMYFUNCTION("IF(ISBLANK(B211),"""",IF(ISDATE(B211),H211,""""))"),"")</f>
        <v/>
      </c>
      <c r="L211" s="40" t="str">
        <f>IFERROR(__xludf.DUMMYFUNCTION("IF(ISBLANK(B211),"""",IF(ISDATE(B211),TEXT(B211,""M""),""""))"),"")</f>
        <v/>
      </c>
      <c r="M211" s="29" t="str">
        <f>IFERROR(__xludf.DUMMYFUNCTION("IF(L211="""","""",QUERY({'Dashboard-Dados'!$Y$2:$AA$13},""Select Col2 Where Col1=""&amp;L211))"),"")</f>
        <v/>
      </c>
      <c r="N211" s="29" t="str">
        <f>IFERROR(__xludf.DUMMYFUNCTION("IF(ISBLANK(B211),"""",IF(ISDATE(B211),TEXT(B211,""yyyy""),""""))"),"")</f>
        <v/>
      </c>
    </row>
    <row r="212">
      <c r="B212" s="89"/>
      <c r="C212" s="86"/>
      <c r="D212" s="71"/>
      <c r="H212" s="90"/>
      <c r="J212" s="53" t="str">
        <f>IFERROR(__xludf.DUMMYFUNCTION("IF(ISBLANK(B212),"""",IF(ISDATE(B212),""X"",""""))"),"")</f>
        <v/>
      </c>
      <c r="K212" s="40" t="str">
        <f>IFERROR(__xludf.DUMMYFUNCTION("IF(ISBLANK(B212),"""",IF(ISDATE(B212),H212,""""))"),"")</f>
        <v/>
      </c>
      <c r="L212" s="40" t="str">
        <f>IFERROR(__xludf.DUMMYFUNCTION("IF(ISBLANK(B212),"""",IF(ISDATE(B212),TEXT(B212,""M""),""""))"),"")</f>
        <v/>
      </c>
      <c r="M212" s="29" t="str">
        <f>IFERROR(__xludf.DUMMYFUNCTION("IF(L212="""","""",QUERY({'Dashboard-Dados'!$Y$2:$AA$13},""Select Col2 Where Col1=""&amp;L212))"),"")</f>
        <v/>
      </c>
      <c r="N212" s="29" t="str">
        <f>IFERROR(__xludf.DUMMYFUNCTION("IF(ISBLANK(B212),"""",IF(ISDATE(B212),TEXT(B212,""yyyy""),""""))"),"")</f>
        <v/>
      </c>
    </row>
    <row r="213">
      <c r="B213" s="87"/>
      <c r="C213" s="85"/>
      <c r="D213" s="76"/>
      <c r="H213" s="88"/>
      <c r="J213" s="53" t="str">
        <f>IFERROR(__xludf.DUMMYFUNCTION("IF(ISBLANK(B213),"""",IF(ISDATE(B213),""X"",""""))"),"")</f>
        <v/>
      </c>
      <c r="K213" s="40" t="str">
        <f>IFERROR(__xludf.DUMMYFUNCTION("IF(ISBLANK(B213),"""",IF(ISDATE(B213),H213,""""))"),"")</f>
        <v/>
      </c>
      <c r="L213" s="40" t="str">
        <f>IFERROR(__xludf.DUMMYFUNCTION("IF(ISBLANK(B213),"""",IF(ISDATE(B213),TEXT(B213,""M""),""""))"),"")</f>
        <v/>
      </c>
      <c r="M213" s="29" t="str">
        <f>IFERROR(__xludf.DUMMYFUNCTION("IF(L213="""","""",QUERY({'Dashboard-Dados'!$Y$2:$AA$13},""Select Col2 Where Col1=""&amp;L213))"),"")</f>
        <v/>
      </c>
      <c r="N213" s="29" t="str">
        <f>IFERROR(__xludf.DUMMYFUNCTION("IF(ISBLANK(B213),"""",IF(ISDATE(B213),TEXT(B213,""yyyy""),""""))"),"")</f>
        <v/>
      </c>
    </row>
    <row r="214">
      <c r="B214" s="89"/>
      <c r="C214" s="86"/>
      <c r="D214" s="71"/>
      <c r="H214" s="90"/>
      <c r="J214" s="53" t="str">
        <f>IFERROR(__xludf.DUMMYFUNCTION("IF(ISBLANK(B214),"""",IF(ISDATE(B214),""X"",""""))"),"")</f>
        <v/>
      </c>
      <c r="K214" s="40" t="str">
        <f>IFERROR(__xludf.DUMMYFUNCTION("IF(ISBLANK(B214),"""",IF(ISDATE(B214),H214,""""))"),"")</f>
        <v/>
      </c>
      <c r="L214" s="40" t="str">
        <f>IFERROR(__xludf.DUMMYFUNCTION("IF(ISBLANK(B214),"""",IF(ISDATE(B214),TEXT(B214,""M""),""""))"),"")</f>
        <v/>
      </c>
      <c r="M214" s="29" t="str">
        <f>IFERROR(__xludf.DUMMYFUNCTION("IF(L214="""","""",QUERY({'Dashboard-Dados'!$Y$2:$AA$13},""Select Col2 Where Col1=""&amp;L214))"),"")</f>
        <v/>
      </c>
      <c r="N214" s="29" t="str">
        <f>IFERROR(__xludf.DUMMYFUNCTION("IF(ISBLANK(B214),"""",IF(ISDATE(B214),TEXT(B214,""yyyy""),""""))"),"")</f>
        <v/>
      </c>
    </row>
    <row r="215">
      <c r="B215" s="87"/>
      <c r="C215" s="85"/>
      <c r="D215" s="76"/>
      <c r="H215" s="88"/>
      <c r="J215" s="53" t="str">
        <f>IFERROR(__xludf.DUMMYFUNCTION("IF(ISBLANK(B215),"""",IF(ISDATE(B215),""X"",""""))"),"")</f>
        <v/>
      </c>
      <c r="K215" s="40" t="str">
        <f>IFERROR(__xludf.DUMMYFUNCTION("IF(ISBLANK(B215),"""",IF(ISDATE(B215),H215,""""))"),"")</f>
        <v/>
      </c>
      <c r="L215" s="40" t="str">
        <f>IFERROR(__xludf.DUMMYFUNCTION("IF(ISBLANK(B215),"""",IF(ISDATE(B215),TEXT(B215,""M""),""""))"),"")</f>
        <v/>
      </c>
      <c r="M215" s="29" t="str">
        <f>IFERROR(__xludf.DUMMYFUNCTION("IF(L215="""","""",QUERY({'Dashboard-Dados'!$Y$2:$AA$13},""Select Col2 Where Col1=""&amp;L215))"),"")</f>
        <v/>
      </c>
      <c r="N215" s="29" t="str">
        <f>IFERROR(__xludf.DUMMYFUNCTION("IF(ISBLANK(B215),"""",IF(ISDATE(B215),TEXT(B215,""yyyy""),""""))"),"")</f>
        <v/>
      </c>
    </row>
    <row r="216">
      <c r="B216" s="89"/>
      <c r="C216" s="86"/>
      <c r="D216" s="71"/>
      <c r="H216" s="90"/>
      <c r="J216" s="53" t="str">
        <f>IFERROR(__xludf.DUMMYFUNCTION("IF(ISBLANK(B216),"""",IF(ISDATE(B216),""X"",""""))"),"")</f>
        <v/>
      </c>
      <c r="K216" s="40" t="str">
        <f>IFERROR(__xludf.DUMMYFUNCTION("IF(ISBLANK(B216),"""",IF(ISDATE(B216),H216,""""))"),"")</f>
        <v/>
      </c>
      <c r="L216" s="40" t="str">
        <f>IFERROR(__xludf.DUMMYFUNCTION("IF(ISBLANK(B216),"""",IF(ISDATE(B216),TEXT(B216,""M""),""""))"),"")</f>
        <v/>
      </c>
      <c r="M216" s="29" t="str">
        <f>IFERROR(__xludf.DUMMYFUNCTION("IF(L216="""","""",QUERY({'Dashboard-Dados'!$Y$2:$AA$13},""Select Col2 Where Col1=""&amp;L216))"),"")</f>
        <v/>
      </c>
      <c r="N216" s="29" t="str">
        <f>IFERROR(__xludf.DUMMYFUNCTION("IF(ISBLANK(B216),"""",IF(ISDATE(B216),TEXT(B216,""yyyy""),""""))"),"")</f>
        <v/>
      </c>
    </row>
    <row r="217">
      <c r="B217" s="87"/>
      <c r="C217" s="85"/>
      <c r="D217" s="76"/>
      <c r="H217" s="88"/>
      <c r="J217" s="53" t="str">
        <f>IFERROR(__xludf.DUMMYFUNCTION("IF(ISBLANK(B217),"""",IF(ISDATE(B217),""X"",""""))"),"")</f>
        <v/>
      </c>
      <c r="K217" s="40" t="str">
        <f>IFERROR(__xludf.DUMMYFUNCTION("IF(ISBLANK(B217),"""",IF(ISDATE(B217),H217,""""))"),"")</f>
        <v/>
      </c>
      <c r="L217" s="40" t="str">
        <f>IFERROR(__xludf.DUMMYFUNCTION("IF(ISBLANK(B217),"""",IF(ISDATE(B217),TEXT(B217,""M""),""""))"),"")</f>
        <v/>
      </c>
      <c r="M217" s="29" t="str">
        <f>IFERROR(__xludf.DUMMYFUNCTION("IF(L217="""","""",QUERY({'Dashboard-Dados'!$Y$2:$AA$13},""Select Col2 Where Col1=""&amp;L217))"),"")</f>
        <v/>
      </c>
      <c r="N217" s="29" t="str">
        <f>IFERROR(__xludf.DUMMYFUNCTION("IF(ISBLANK(B217),"""",IF(ISDATE(B217),TEXT(B217,""yyyy""),""""))"),"")</f>
        <v/>
      </c>
    </row>
    <row r="218">
      <c r="B218" s="89"/>
      <c r="C218" s="86"/>
      <c r="D218" s="71"/>
      <c r="H218" s="90"/>
      <c r="J218" s="53" t="str">
        <f>IFERROR(__xludf.DUMMYFUNCTION("IF(ISBLANK(B218),"""",IF(ISDATE(B218),""X"",""""))"),"")</f>
        <v/>
      </c>
      <c r="K218" s="40" t="str">
        <f>IFERROR(__xludf.DUMMYFUNCTION("IF(ISBLANK(B218),"""",IF(ISDATE(B218),H218,""""))"),"")</f>
        <v/>
      </c>
      <c r="L218" s="40" t="str">
        <f>IFERROR(__xludf.DUMMYFUNCTION("IF(ISBLANK(B218),"""",IF(ISDATE(B218),TEXT(B218,""M""),""""))"),"")</f>
        <v/>
      </c>
      <c r="M218" s="29" t="str">
        <f>IFERROR(__xludf.DUMMYFUNCTION("IF(L218="""","""",QUERY({'Dashboard-Dados'!$Y$2:$AA$13},""Select Col2 Where Col1=""&amp;L218))"),"")</f>
        <v/>
      </c>
      <c r="N218" s="29" t="str">
        <f>IFERROR(__xludf.DUMMYFUNCTION("IF(ISBLANK(B218),"""",IF(ISDATE(B218),TEXT(B218,""yyyy""),""""))"),"")</f>
        <v/>
      </c>
    </row>
    <row r="219">
      <c r="B219" s="87"/>
      <c r="C219" s="85"/>
      <c r="D219" s="76"/>
      <c r="H219" s="88"/>
      <c r="J219" s="53" t="str">
        <f>IFERROR(__xludf.DUMMYFUNCTION("IF(ISBLANK(B219),"""",IF(ISDATE(B219),""X"",""""))"),"")</f>
        <v/>
      </c>
      <c r="K219" s="40" t="str">
        <f>IFERROR(__xludf.DUMMYFUNCTION("IF(ISBLANK(B219),"""",IF(ISDATE(B219),H219,""""))"),"")</f>
        <v/>
      </c>
      <c r="L219" s="40" t="str">
        <f>IFERROR(__xludf.DUMMYFUNCTION("IF(ISBLANK(B219),"""",IF(ISDATE(B219),TEXT(B219,""M""),""""))"),"")</f>
        <v/>
      </c>
      <c r="M219" s="29" t="str">
        <f>IFERROR(__xludf.DUMMYFUNCTION("IF(L219="""","""",QUERY({'Dashboard-Dados'!$Y$2:$AA$13},""Select Col2 Where Col1=""&amp;L219))"),"")</f>
        <v/>
      </c>
      <c r="N219" s="29" t="str">
        <f>IFERROR(__xludf.DUMMYFUNCTION("IF(ISBLANK(B219),"""",IF(ISDATE(B219),TEXT(B219,""yyyy""),""""))"),"")</f>
        <v/>
      </c>
    </row>
    <row r="220">
      <c r="B220" s="89"/>
      <c r="C220" s="86"/>
      <c r="D220" s="71"/>
      <c r="H220" s="90"/>
      <c r="J220" s="53" t="str">
        <f>IFERROR(__xludf.DUMMYFUNCTION("IF(ISBLANK(B220),"""",IF(ISDATE(B220),""X"",""""))"),"")</f>
        <v/>
      </c>
      <c r="K220" s="40" t="str">
        <f>IFERROR(__xludf.DUMMYFUNCTION("IF(ISBLANK(B220),"""",IF(ISDATE(B220),H220,""""))"),"")</f>
        <v/>
      </c>
      <c r="L220" s="40" t="str">
        <f>IFERROR(__xludf.DUMMYFUNCTION("IF(ISBLANK(B220),"""",IF(ISDATE(B220),TEXT(B220,""M""),""""))"),"")</f>
        <v/>
      </c>
      <c r="M220" s="29" t="str">
        <f>IFERROR(__xludf.DUMMYFUNCTION("IF(L220="""","""",QUERY({'Dashboard-Dados'!$Y$2:$AA$13},""Select Col2 Where Col1=""&amp;L220))"),"")</f>
        <v/>
      </c>
      <c r="N220" s="29" t="str">
        <f>IFERROR(__xludf.DUMMYFUNCTION("IF(ISBLANK(B220),"""",IF(ISDATE(B220),TEXT(B220,""yyyy""),""""))"),"")</f>
        <v/>
      </c>
    </row>
    <row r="221">
      <c r="B221" s="87"/>
      <c r="C221" s="85"/>
      <c r="D221" s="76"/>
      <c r="H221" s="88"/>
      <c r="J221" s="53" t="str">
        <f>IFERROR(__xludf.DUMMYFUNCTION("IF(ISBLANK(B221),"""",IF(ISDATE(B221),""X"",""""))"),"")</f>
        <v/>
      </c>
      <c r="K221" s="40" t="str">
        <f>IFERROR(__xludf.DUMMYFUNCTION("IF(ISBLANK(B221),"""",IF(ISDATE(B221),H221,""""))"),"")</f>
        <v/>
      </c>
      <c r="L221" s="40" t="str">
        <f>IFERROR(__xludf.DUMMYFUNCTION("IF(ISBLANK(B221),"""",IF(ISDATE(B221),TEXT(B221,""M""),""""))"),"")</f>
        <v/>
      </c>
      <c r="M221" s="29" t="str">
        <f>IFERROR(__xludf.DUMMYFUNCTION("IF(L221="""","""",QUERY({'Dashboard-Dados'!$Y$2:$AA$13},""Select Col2 Where Col1=""&amp;L221))"),"")</f>
        <v/>
      </c>
      <c r="N221" s="29" t="str">
        <f>IFERROR(__xludf.DUMMYFUNCTION("IF(ISBLANK(B221),"""",IF(ISDATE(B221),TEXT(B221,""yyyy""),""""))"),"")</f>
        <v/>
      </c>
    </row>
    <row r="222">
      <c r="B222" s="89"/>
      <c r="C222" s="86"/>
      <c r="D222" s="71"/>
      <c r="H222" s="90"/>
      <c r="J222" s="53" t="str">
        <f>IFERROR(__xludf.DUMMYFUNCTION("IF(ISBLANK(B222),"""",IF(ISDATE(B222),""X"",""""))"),"")</f>
        <v/>
      </c>
      <c r="K222" s="40" t="str">
        <f>IFERROR(__xludf.DUMMYFUNCTION("IF(ISBLANK(B222),"""",IF(ISDATE(B222),H222,""""))"),"")</f>
        <v/>
      </c>
      <c r="L222" s="40" t="str">
        <f>IFERROR(__xludf.DUMMYFUNCTION("IF(ISBLANK(B222),"""",IF(ISDATE(B222),TEXT(B222,""M""),""""))"),"")</f>
        <v/>
      </c>
      <c r="M222" s="29" t="str">
        <f>IFERROR(__xludf.DUMMYFUNCTION("IF(L222="""","""",QUERY({'Dashboard-Dados'!$Y$2:$AA$13},""Select Col2 Where Col1=""&amp;L222))"),"")</f>
        <v/>
      </c>
      <c r="N222" s="29" t="str">
        <f>IFERROR(__xludf.DUMMYFUNCTION("IF(ISBLANK(B222),"""",IF(ISDATE(B222),TEXT(B222,""yyyy""),""""))"),"")</f>
        <v/>
      </c>
    </row>
    <row r="223">
      <c r="B223" s="87"/>
      <c r="C223" s="85"/>
      <c r="D223" s="76"/>
      <c r="H223" s="88"/>
      <c r="J223" s="53" t="str">
        <f>IFERROR(__xludf.DUMMYFUNCTION("IF(ISBLANK(B223),"""",IF(ISDATE(B223),""X"",""""))"),"")</f>
        <v/>
      </c>
      <c r="K223" s="40" t="str">
        <f>IFERROR(__xludf.DUMMYFUNCTION("IF(ISBLANK(B223),"""",IF(ISDATE(B223),H223,""""))"),"")</f>
        <v/>
      </c>
      <c r="L223" s="40" t="str">
        <f>IFERROR(__xludf.DUMMYFUNCTION("IF(ISBLANK(B223),"""",IF(ISDATE(B223),TEXT(B223,""M""),""""))"),"")</f>
        <v/>
      </c>
      <c r="M223" s="29" t="str">
        <f>IFERROR(__xludf.DUMMYFUNCTION("IF(L223="""","""",QUERY({'Dashboard-Dados'!$Y$2:$AA$13},""Select Col2 Where Col1=""&amp;L223))"),"")</f>
        <v/>
      </c>
      <c r="N223" s="29" t="str">
        <f>IFERROR(__xludf.DUMMYFUNCTION("IF(ISBLANK(B223),"""",IF(ISDATE(B223),TEXT(B223,""yyyy""),""""))"),"")</f>
        <v/>
      </c>
    </row>
    <row r="224">
      <c r="B224" s="89"/>
      <c r="C224" s="86"/>
      <c r="D224" s="71"/>
      <c r="H224" s="90"/>
      <c r="J224" s="53" t="str">
        <f>IFERROR(__xludf.DUMMYFUNCTION("IF(ISBLANK(B224),"""",IF(ISDATE(B224),""X"",""""))"),"")</f>
        <v/>
      </c>
      <c r="K224" s="40" t="str">
        <f>IFERROR(__xludf.DUMMYFUNCTION("IF(ISBLANK(B224),"""",IF(ISDATE(B224),H224,""""))"),"")</f>
        <v/>
      </c>
      <c r="L224" s="40" t="str">
        <f>IFERROR(__xludf.DUMMYFUNCTION("IF(ISBLANK(B224),"""",IF(ISDATE(B224),TEXT(B224,""M""),""""))"),"")</f>
        <v/>
      </c>
      <c r="M224" s="29" t="str">
        <f>IFERROR(__xludf.DUMMYFUNCTION("IF(L224="""","""",QUERY({'Dashboard-Dados'!$Y$2:$AA$13},""Select Col2 Where Col1=""&amp;L224))"),"")</f>
        <v/>
      </c>
      <c r="N224" s="29" t="str">
        <f>IFERROR(__xludf.DUMMYFUNCTION("IF(ISBLANK(B224),"""",IF(ISDATE(B224),TEXT(B224,""yyyy""),""""))"),"")</f>
        <v/>
      </c>
    </row>
    <row r="225">
      <c r="B225" s="87"/>
      <c r="C225" s="85"/>
      <c r="D225" s="76"/>
      <c r="H225" s="88"/>
      <c r="J225" s="53" t="str">
        <f>IFERROR(__xludf.DUMMYFUNCTION("IF(ISBLANK(B225),"""",IF(ISDATE(B225),""X"",""""))"),"")</f>
        <v/>
      </c>
      <c r="K225" s="40" t="str">
        <f>IFERROR(__xludf.DUMMYFUNCTION("IF(ISBLANK(B225),"""",IF(ISDATE(B225),H225,""""))"),"")</f>
        <v/>
      </c>
      <c r="L225" s="40" t="str">
        <f>IFERROR(__xludf.DUMMYFUNCTION("IF(ISBLANK(B225),"""",IF(ISDATE(B225),TEXT(B225,""M""),""""))"),"")</f>
        <v/>
      </c>
      <c r="M225" s="29" t="str">
        <f>IFERROR(__xludf.DUMMYFUNCTION("IF(L225="""","""",QUERY({'Dashboard-Dados'!$Y$2:$AA$13},""Select Col2 Where Col1=""&amp;L225))"),"")</f>
        <v/>
      </c>
      <c r="N225" s="29" t="str">
        <f>IFERROR(__xludf.DUMMYFUNCTION("IF(ISBLANK(B225),"""",IF(ISDATE(B225),TEXT(B225,""yyyy""),""""))"),"")</f>
        <v/>
      </c>
    </row>
    <row r="226">
      <c r="B226" s="89"/>
      <c r="C226" s="86"/>
      <c r="D226" s="71"/>
      <c r="H226" s="90"/>
      <c r="J226" s="53" t="str">
        <f>IFERROR(__xludf.DUMMYFUNCTION("IF(ISBLANK(B226),"""",IF(ISDATE(B226),""X"",""""))"),"")</f>
        <v/>
      </c>
      <c r="K226" s="40" t="str">
        <f>IFERROR(__xludf.DUMMYFUNCTION("IF(ISBLANK(B226),"""",IF(ISDATE(B226),H226,""""))"),"")</f>
        <v/>
      </c>
      <c r="L226" s="40" t="str">
        <f>IFERROR(__xludf.DUMMYFUNCTION("IF(ISBLANK(B226),"""",IF(ISDATE(B226),TEXT(B226,""M""),""""))"),"")</f>
        <v/>
      </c>
      <c r="M226" s="29" t="str">
        <f>IFERROR(__xludf.DUMMYFUNCTION("IF(L226="""","""",QUERY({'Dashboard-Dados'!$Y$2:$AA$13},""Select Col2 Where Col1=""&amp;L226))"),"")</f>
        <v/>
      </c>
      <c r="N226" s="29" t="str">
        <f>IFERROR(__xludf.DUMMYFUNCTION("IF(ISBLANK(B226),"""",IF(ISDATE(B226),TEXT(B226,""yyyy""),""""))"),"")</f>
        <v/>
      </c>
    </row>
    <row r="227">
      <c r="B227" s="87"/>
      <c r="C227" s="85"/>
      <c r="D227" s="76"/>
      <c r="H227" s="88"/>
      <c r="J227" s="53" t="str">
        <f>IFERROR(__xludf.DUMMYFUNCTION("IF(ISBLANK(B227),"""",IF(ISDATE(B227),""X"",""""))"),"")</f>
        <v/>
      </c>
      <c r="K227" s="40" t="str">
        <f>IFERROR(__xludf.DUMMYFUNCTION("IF(ISBLANK(B227),"""",IF(ISDATE(B227),H227,""""))"),"")</f>
        <v/>
      </c>
      <c r="L227" s="40" t="str">
        <f>IFERROR(__xludf.DUMMYFUNCTION("IF(ISBLANK(B227),"""",IF(ISDATE(B227),TEXT(B227,""M""),""""))"),"")</f>
        <v/>
      </c>
      <c r="M227" s="29" t="str">
        <f>IFERROR(__xludf.DUMMYFUNCTION("IF(L227="""","""",QUERY({'Dashboard-Dados'!$Y$2:$AA$13},""Select Col2 Where Col1=""&amp;L227))"),"")</f>
        <v/>
      </c>
      <c r="N227" s="29" t="str">
        <f>IFERROR(__xludf.DUMMYFUNCTION("IF(ISBLANK(B227),"""",IF(ISDATE(B227),TEXT(B227,""yyyy""),""""))"),"")</f>
        <v/>
      </c>
    </row>
    <row r="228">
      <c r="B228" s="89"/>
      <c r="C228" s="86"/>
      <c r="D228" s="71"/>
      <c r="H228" s="90"/>
      <c r="J228" s="53" t="str">
        <f>IFERROR(__xludf.DUMMYFUNCTION("IF(ISBLANK(B228),"""",IF(ISDATE(B228),""X"",""""))"),"")</f>
        <v/>
      </c>
      <c r="K228" s="40" t="str">
        <f>IFERROR(__xludf.DUMMYFUNCTION("IF(ISBLANK(B228),"""",IF(ISDATE(B228),H228,""""))"),"")</f>
        <v/>
      </c>
      <c r="L228" s="40" t="str">
        <f>IFERROR(__xludf.DUMMYFUNCTION("IF(ISBLANK(B228),"""",IF(ISDATE(B228),TEXT(B228,""M""),""""))"),"")</f>
        <v/>
      </c>
      <c r="M228" s="29" t="str">
        <f>IFERROR(__xludf.DUMMYFUNCTION("IF(L228="""","""",QUERY({'Dashboard-Dados'!$Y$2:$AA$13},""Select Col2 Where Col1=""&amp;L228))"),"")</f>
        <v/>
      </c>
      <c r="N228" s="29" t="str">
        <f>IFERROR(__xludf.DUMMYFUNCTION("IF(ISBLANK(B228),"""",IF(ISDATE(B228),TEXT(B228,""yyyy""),""""))"),"")</f>
        <v/>
      </c>
    </row>
    <row r="229">
      <c r="B229" s="87"/>
      <c r="C229" s="85"/>
      <c r="D229" s="76"/>
      <c r="H229" s="88"/>
      <c r="J229" s="53" t="str">
        <f>IFERROR(__xludf.DUMMYFUNCTION("IF(ISBLANK(B229),"""",IF(ISDATE(B229),""X"",""""))"),"")</f>
        <v/>
      </c>
      <c r="K229" s="40" t="str">
        <f>IFERROR(__xludf.DUMMYFUNCTION("IF(ISBLANK(B229),"""",IF(ISDATE(B229),H229,""""))"),"")</f>
        <v/>
      </c>
      <c r="L229" s="40" t="str">
        <f>IFERROR(__xludf.DUMMYFUNCTION("IF(ISBLANK(B229),"""",IF(ISDATE(B229),TEXT(B229,""M""),""""))"),"")</f>
        <v/>
      </c>
      <c r="M229" s="29" t="str">
        <f>IFERROR(__xludf.DUMMYFUNCTION("IF(L229="""","""",QUERY({'Dashboard-Dados'!$Y$2:$AA$13},""Select Col2 Where Col1=""&amp;L229))"),"")</f>
        <v/>
      </c>
      <c r="N229" s="29" t="str">
        <f>IFERROR(__xludf.DUMMYFUNCTION("IF(ISBLANK(B229),"""",IF(ISDATE(B229),TEXT(B229,""yyyy""),""""))"),"")</f>
        <v/>
      </c>
    </row>
    <row r="230">
      <c r="B230" s="89"/>
      <c r="C230" s="86"/>
      <c r="D230" s="71"/>
      <c r="H230" s="90"/>
      <c r="J230" s="53" t="str">
        <f>IFERROR(__xludf.DUMMYFUNCTION("IF(ISBLANK(B230),"""",IF(ISDATE(B230),""X"",""""))"),"")</f>
        <v/>
      </c>
      <c r="K230" s="40" t="str">
        <f>IFERROR(__xludf.DUMMYFUNCTION("IF(ISBLANK(B230),"""",IF(ISDATE(B230),H230,""""))"),"")</f>
        <v/>
      </c>
      <c r="L230" s="40" t="str">
        <f>IFERROR(__xludf.DUMMYFUNCTION("IF(ISBLANK(B230),"""",IF(ISDATE(B230),TEXT(B230,""M""),""""))"),"")</f>
        <v/>
      </c>
      <c r="M230" s="29" t="str">
        <f>IFERROR(__xludf.DUMMYFUNCTION("IF(L230="""","""",QUERY({'Dashboard-Dados'!$Y$2:$AA$13},""Select Col2 Where Col1=""&amp;L230))"),"")</f>
        <v/>
      </c>
      <c r="N230" s="29" t="str">
        <f>IFERROR(__xludf.DUMMYFUNCTION("IF(ISBLANK(B230),"""",IF(ISDATE(B230),TEXT(B230,""yyyy""),""""))"),"")</f>
        <v/>
      </c>
    </row>
    <row r="231">
      <c r="B231" s="87"/>
      <c r="C231" s="85"/>
      <c r="D231" s="76"/>
      <c r="H231" s="88"/>
      <c r="J231" s="53" t="str">
        <f>IFERROR(__xludf.DUMMYFUNCTION("IF(ISBLANK(B231),"""",IF(ISDATE(B231),""X"",""""))"),"")</f>
        <v/>
      </c>
      <c r="K231" s="40" t="str">
        <f>IFERROR(__xludf.DUMMYFUNCTION("IF(ISBLANK(B231),"""",IF(ISDATE(B231),H231,""""))"),"")</f>
        <v/>
      </c>
      <c r="L231" s="40" t="str">
        <f>IFERROR(__xludf.DUMMYFUNCTION("IF(ISBLANK(B231),"""",IF(ISDATE(B231),TEXT(B231,""M""),""""))"),"")</f>
        <v/>
      </c>
      <c r="M231" s="29" t="str">
        <f>IFERROR(__xludf.DUMMYFUNCTION("IF(L231="""","""",QUERY({'Dashboard-Dados'!$Y$2:$AA$13},""Select Col2 Where Col1=""&amp;L231))"),"")</f>
        <v/>
      </c>
      <c r="N231" s="29" t="str">
        <f>IFERROR(__xludf.DUMMYFUNCTION("IF(ISBLANK(B231),"""",IF(ISDATE(B231),TEXT(B231,""yyyy""),""""))"),"")</f>
        <v/>
      </c>
    </row>
    <row r="232">
      <c r="B232" s="89"/>
      <c r="C232" s="86"/>
      <c r="D232" s="71"/>
      <c r="H232" s="90"/>
      <c r="J232" s="53" t="str">
        <f>IFERROR(__xludf.DUMMYFUNCTION("IF(ISBLANK(B232),"""",IF(ISDATE(B232),""X"",""""))"),"")</f>
        <v/>
      </c>
      <c r="K232" s="40" t="str">
        <f>IFERROR(__xludf.DUMMYFUNCTION("IF(ISBLANK(B232),"""",IF(ISDATE(B232),H232,""""))"),"")</f>
        <v/>
      </c>
      <c r="L232" s="40" t="str">
        <f>IFERROR(__xludf.DUMMYFUNCTION("IF(ISBLANK(B232),"""",IF(ISDATE(B232),TEXT(B232,""M""),""""))"),"")</f>
        <v/>
      </c>
      <c r="M232" s="29" t="str">
        <f>IFERROR(__xludf.DUMMYFUNCTION("IF(L232="""","""",QUERY({'Dashboard-Dados'!$Y$2:$AA$13},""Select Col2 Where Col1=""&amp;L232))"),"")</f>
        <v/>
      </c>
      <c r="N232" s="29" t="str">
        <f>IFERROR(__xludf.DUMMYFUNCTION("IF(ISBLANK(B232),"""",IF(ISDATE(B232),TEXT(B232,""yyyy""),""""))"),"")</f>
        <v/>
      </c>
    </row>
    <row r="233">
      <c r="B233" s="87"/>
      <c r="C233" s="85"/>
      <c r="D233" s="76"/>
      <c r="H233" s="88"/>
      <c r="J233" s="53" t="str">
        <f>IFERROR(__xludf.DUMMYFUNCTION("IF(ISBLANK(B233),"""",IF(ISDATE(B233),""X"",""""))"),"")</f>
        <v/>
      </c>
      <c r="K233" s="40" t="str">
        <f>IFERROR(__xludf.DUMMYFUNCTION("IF(ISBLANK(B233),"""",IF(ISDATE(B233),H233,""""))"),"")</f>
        <v/>
      </c>
      <c r="L233" s="40" t="str">
        <f>IFERROR(__xludf.DUMMYFUNCTION("IF(ISBLANK(B233),"""",IF(ISDATE(B233),TEXT(B233,""M""),""""))"),"")</f>
        <v/>
      </c>
      <c r="M233" s="29" t="str">
        <f>IFERROR(__xludf.DUMMYFUNCTION("IF(L233="""","""",QUERY({'Dashboard-Dados'!$Y$2:$AA$13},""Select Col2 Where Col1=""&amp;L233))"),"")</f>
        <v/>
      </c>
      <c r="N233" s="29" t="str">
        <f>IFERROR(__xludf.DUMMYFUNCTION("IF(ISBLANK(B233),"""",IF(ISDATE(B233),TEXT(B233,""yyyy""),""""))"),"")</f>
        <v/>
      </c>
    </row>
    <row r="234">
      <c r="B234" s="89"/>
      <c r="C234" s="86"/>
      <c r="D234" s="71"/>
      <c r="H234" s="90"/>
      <c r="J234" s="53" t="str">
        <f>IFERROR(__xludf.DUMMYFUNCTION("IF(ISBLANK(B234),"""",IF(ISDATE(B234),""X"",""""))"),"")</f>
        <v/>
      </c>
      <c r="K234" s="40" t="str">
        <f>IFERROR(__xludf.DUMMYFUNCTION("IF(ISBLANK(B234),"""",IF(ISDATE(B234),H234,""""))"),"")</f>
        <v/>
      </c>
      <c r="L234" s="40" t="str">
        <f>IFERROR(__xludf.DUMMYFUNCTION("IF(ISBLANK(B234),"""",IF(ISDATE(B234),TEXT(B234,""M""),""""))"),"")</f>
        <v/>
      </c>
      <c r="M234" s="29" t="str">
        <f>IFERROR(__xludf.DUMMYFUNCTION("IF(L234="""","""",QUERY({'Dashboard-Dados'!$Y$2:$AA$13},""Select Col2 Where Col1=""&amp;L234))"),"")</f>
        <v/>
      </c>
      <c r="N234" s="29" t="str">
        <f>IFERROR(__xludf.DUMMYFUNCTION("IF(ISBLANK(B234),"""",IF(ISDATE(B234),TEXT(B234,""yyyy""),""""))"),"")</f>
        <v/>
      </c>
    </row>
    <row r="235">
      <c r="B235" s="87"/>
      <c r="C235" s="85"/>
      <c r="D235" s="76"/>
      <c r="H235" s="88"/>
      <c r="J235" s="53" t="str">
        <f>IFERROR(__xludf.DUMMYFUNCTION("IF(ISBLANK(B235),"""",IF(ISDATE(B235),""X"",""""))"),"")</f>
        <v/>
      </c>
      <c r="K235" s="40" t="str">
        <f>IFERROR(__xludf.DUMMYFUNCTION("IF(ISBLANK(B235),"""",IF(ISDATE(B235),H235,""""))"),"")</f>
        <v/>
      </c>
      <c r="L235" s="40" t="str">
        <f>IFERROR(__xludf.DUMMYFUNCTION("IF(ISBLANK(B235),"""",IF(ISDATE(B235),TEXT(B235,""M""),""""))"),"")</f>
        <v/>
      </c>
      <c r="M235" s="29" t="str">
        <f>IFERROR(__xludf.DUMMYFUNCTION("IF(L235="""","""",QUERY({'Dashboard-Dados'!$Y$2:$AA$13},""Select Col2 Where Col1=""&amp;L235))"),"")</f>
        <v/>
      </c>
      <c r="N235" s="29" t="str">
        <f>IFERROR(__xludf.DUMMYFUNCTION("IF(ISBLANK(B235),"""",IF(ISDATE(B235),TEXT(B235,""yyyy""),""""))"),"")</f>
        <v/>
      </c>
    </row>
    <row r="236">
      <c r="B236" s="89"/>
      <c r="C236" s="86"/>
      <c r="D236" s="71"/>
      <c r="H236" s="90"/>
      <c r="J236" s="53" t="str">
        <f>IFERROR(__xludf.DUMMYFUNCTION("IF(ISBLANK(B236),"""",IF(ISDATE(B236),""X"",""""))"),"")</f>
        <v/>
      </c>
      <c r="K236" s="40" t="str">
        <f>IFERROR(__xludf.DUMMYFUNCTION("IF(ISBLANK(B236),"""",IF(ISDATE(B236),H236,""""))"),"")</f>
        <v/>
      </c>
      <c r="L236" s="40" t="str">
        <f>IFERROR(__xludf.DUMMYFUNCTION("IF(ISBLANK(B236),"""",IF(ISDATE(B236),TEXT(B236,""M""),""""))"),"")</f>
        <v/>
      </c>
      <c r="M236" s="29" t="str">
        <f>IFERROR(__xludf.DUMMYFUNCTION("IF(L236="""","""",QUERY({'Dashboard-Dados'!$Y$2:$AA$13},""Select Col2 Where Col1=""&amp;L236))"),"")</f>
        <v/>
      </c>
      <c r="N236" s="29" t="str">
        <f>IFERROR(__xludf.DUMMYFUNCTION("IF(ISBLANK(B236),"""",IF(ISDATE(B236),TEXT(B236,""yyyy""),""""))"),"")</f>
        <v/>
      </c>
    </row>
    <row r="237">
      <c r="B237" s="87"/>
      <c r="C237" s="85"/>
      <c r="D237" s="76"/>
      <c r="H237" s="88"/>
      <c r="J237" s="53" t="str">
        <f>IFERROR(__xludf.DUMMYFUNCTION("IF(ISBLANK(B237),"""",IF(ISDATE(B237),""X"",""""))"),"")</f>
        <v/>
      </c>
      <c r="K237" s="40" t="str">
        <f>IFERROR(__xludf.DUMMYFUNCTION("IF(ISBLANK(B237),"""",IF(ISDATE(B237),H237,""""))"),"")</f>
        <v/>
      </c>
      <c r="L237" s="40" t="str">
        <f>IFERROR(__xludf.DUMMYFUNCTION("IF(ISBLANK(B237),"""",IF(ISDATE(B237),TEXT(B237,""M""),""""))"),"")</f>
        <v/>
      </c>
      <c r="M237" s="29" t="str">
        <f>IFERROR(__xludf.DUMMYFUNCTION("IF(L237="""","""",QUERY({'Dashboard-Dados'!$Y$2:$AA$13},""Select Col2 Where Col1=""&amp;L237))"),"")</f>
        <v/>
      </c>
      <c r="N237" s="29" t="str">
        <f>IFERROR(__xludf.DUMMYFUNCTION("IF(ISBLANK(B237),"""",IF(ISDATE(B237),TEXT(B237,""yyyy""),""""))"),"")</f>
        <v/>
      </c>
    </row>
    <row r="238">
      <c r="B238" s="89"/>
      <c r="C238" s="86"/>
      <c r="D238" s="71"/>
      <c r="H238" s="90"/>
      <c r="J238" s="53" t="str">
        <f>IFERROR(__xludf.DUMMYFUNCTION("IF(ISBLANK(B238),"""",IF(ISDATE(B238),""X"",""""))"),"")</f>
        <v/>
      </c>
      <c r="K238" s="40" t="str">
        <f>IFERROR(__xludf.DUMMYFUNCTION("IF(ISBLANK(B238),"""",IF(ISDATE(B238),H238,""""))"),"")</f>
        <v/>
      </c>
      <c r="L238" s="40" t="str">
        <f>IFERROR(__xludf.DUMMYFUNCTION("IF(ISBLANK(B238),"""",IF(ISDATE(B238),TEXT(B238,""M""),""""))"),"")</f>
        <v/>
      </c>
      <c r="M238" s="29" t="str">
        <f>IFERROR(__xludf.DUMMYFUNCTION("IF(L238="""","""",QUERY({'Dashboard-Dados'!$Y$2:$AA$13},""Select Col2 Where Col1=""&amp;L238))"),"")</f>
        <v/>
      </c>
      <c r="N238" s="29" t="str">
        <f>IFERROR(__xludf.DUMMYFUNCTION("IF(ISBLANK(B238),"""",IF(ISDATE(B238),TEXT(B238,""yyyy""),""""))"),"")</f>
        <v/>
      </c>
    </row>
    <row r="239">
      <c r="B239" s="87"/>
      <c r="C239" s="85"/>
      <c r="D239" s="76"/>
      <c r="H239" s="88"/>
      <c r="J239" s="53" t="str">
        <f>IFERROR(__xludf.DUMMYFUNCTION("IF(ISBLANK(B239),"""",IF(ISDATE(B239),""X"",""""))"),"")</f>
        <v/>
      </c>
      <c r="K239" s="40" t="str">
        <f>IFERROR(__xludf.DUMMYFUNCTION("IF(ISBLANK(B239),"""",IF(ISDATE(B239),H239,""""))"),"")</f>
        <v/>
      </c>
      <c r="L239" s="40" t="str">
        <f>IFERROR(__xludf.DUMMYFUNCTION("IF(ISBLANK(B239),"""",IF(ISDATE(B239),TEXT(B239,""M""),""""))"),"")</f>
        <v/>
      </c>
      <c r="M239" s="29" t="str">
        <f>IFERROR(__xludf.DUMMYFUNCTION("IF(L239="""","""",QUERY({'Dashboard-Dados'!$Y$2:$AA$13},""Select Col2 Where Col1=""&amp;L239))"),"")</f>
        <v/>
      </c>
      <c r="N239" s="29" t="str">
        <f>IFERROR(__xludf.DUMMYFUNCTION("IF(ISBLANK(B239),"""",IF(ISDATE(B239),TEXT(B239,""yyyy""),""""))"),"")</f>
        <v/>
      </c>
    </row>
    <row r="240">
      <c r="B240" s="89"/>
      <c r="C240" s="86"/>
      <c r="D240" s="71"/>
      <c r="H240" s="90"/>
      <c r="J240" s="53" t="str">
        <f>IFERROR(__xludf.DUMMYFUNCTION("IF(ISBLANK(B240),"""",IF(ISDATE(B240),""X"",""""))"),"")</f>
        <v/>
      </c>
      <c r="K240" s="40" t="str">
        <f>IFERROR(__xludf.DUMMYFUNCTION("IF(ISBLANK(B240),"""",IF(ISDATE(B240),H240,""""))"),"")</f>
        <v/>
      </c>
      <c r="L240" s="40" t="str">
        <f>IFERROR(__xludf.DUMMYFUNCTION("IF(ISBLANK(B240),"""",IF(ISDATE(B240),TEXT(B240,""M""),""""))"),"")</f>
        <v/>
      </c>
      <c r="M240" s="29" t="str">
        <f>IFERROR(__xludf.DUMMYFUNCTION("IF(L240="""","""",QUERY({'Dashboard-Dados'!$Y$2:$AA$13},""Select Col2 Where Col1=""&amp;L240))"),"")</f>
        <v/>
      </c>
      <c r="N240" s="29" t="str">
        <f>IFERROR(__xludf.DUMMYFUNCTION("IF(ISBLANK(B240),"""",IF(ISDATE(B240),TEXT(B240,""yyyy""),""""))"),"")</f>
        <v/>
      </c>
    </row>
    <row r="241">
      <c r="B241" s="87"/>
      <c r="C241" s="85"/>
      <c r="D241" s="76"/>
      <c r="H241" s="88"/>
      <c r="J241" s="53" t="str">
        <f>IFERROR(__xludf.DUMMYFUNCTION("IF(ISBLANK(B241),"""",IF(ISDATE(B241),""X"",""""))"),"")</f>
        <v/>
      </c>
      <c r="K241" s="40" t="str">
        <f>IFERROR(__xludf.DUMMYFUNCTION("IF(ISBLANK(B241),"""",IF(ISDATE(B241),H241,""""))"),"")</f>
        <v/>
      </c>
      <c r="L241" s="40" t="str">
        <f>IFERROR(__xludf.DUMMYFUNCTION("IF(ISBLANK(B241),"""",IF(ISDATE(B241),TEXT(B241,""M""),""""))"),"")</f>
        <v/>
      </c>
      <c r="M241" s="29" t="str">
        <f>IFERROR(__xludf.DUMMYFUNCTION("IF(L241="""","""",QUERY({'Dashboard-Dados'!$Y$2:$AA$13},""Select Col2 Where Col1=""&amp;L241))"),"")</f>
        <v/>
      </c>
      <c r="N241" s="29" t="str">
        <f>IFERROR(__xludf.DUMMYFUNCTION("IF(ISBLANK(B241),"""",IF(ISDATE(B241),TEXT(B241,""yyyy""),""""))"),"")</f>
        <v/>
      </c>
    </row>
    <row r="242">
      <c r="B242" s="89"/>
      <c r="C242" s="86"/>
      <c r="D242" s="71"/>
      <c r="H242" s="90"/>
      <c r="J242" s="53" t="str">
        <f>IFERROR(__xludf.DUMMYFUNCTION("IF(ISBLANK(B242),"""",IF(ISDATE(B242),""X"",""""))"),"")</f>
        <v/>
      </c>
      <c r="K242" s="40" t="str">
        <f>IFERROR(__xludf.DUMMYFUNCTION("IF(ISBLANK(B242),"""",IF(ISDATE(B242),H242,""""))"),"")</f>
        <v/>
      </c>
      <c r="L242" s="40" t="str">
        <f>IFERROR(__xludf.DUMMYFUNCTION("IF(ISBLANK(B242),"""",IF(ISDATE(B242),TEXT(B242,""M""),""""))"),"")</f>
        <v/>
      </c>
      <c r="M242" s="29" t="str">
        <f>IFERROR(__xludf.DUMMYFUNCTION("IF(L242="""","""",QUERY({'Dashboard-Dados'!$Y$2:$AA$13},""Select Col2 Where Col1=""&amp;L242))"),"")</f>
        <v/>
      </c>
      <c r="N242" s="29" t="str">
        <f>IFERROR(__xludf.DUMMYFUNCTION("IF(ISBLANK(B242),"""",IF(ISDATE(B242),TEXT(B242,""yyyy""),""""))"),"")</f>
        <v/>
      </c>
    </row>
    <row r="243">
      <c r="B243" s="87"/>
      <c r="C243" s="85"/>
      <c r="D243" s="76"/>
      <c r="H243" s="88"/>
      <c r="J243" s="53" t="str">
        <f>IFERROR(__xludf.DUMMYFUNCTION("IF(ISBLANK(B243),"""",IF(ISDATE(B243),""X"",""""))"),"")</f>
        <v/>
      </c>
      <c r="K243" s="40" t="str">
        <f>IFERROR(__xludf.DUMMYFUNCTION("IF(ISBLANK(B243),"""",IF(ISDATE(B243),H243,""""))"),"")</f>
        <v/>
      </c>
      <c r="L243" s="40" t="str">
        <f>IFERROR(__xludf.DUMMYFUNCTION("IF(ISBLANK(B243),"""",IF(ISDATE(B243),TEXT(B243,""M""),""""))"),"")</f>
        <v/>
      </c>
      <c r="M243" s="29" t="str">
        <f>IFERROR(__xludf.DUMMYFUNCTION("IF(L243="""","""",QUERY({'Dashboard-Dados'!$Y$2:$AA$13},""Select Col2 Where Col1=""&amp;L243))"),"")</f>
        <v/>
      </c>
      <c r="N243" s="29" t="str">
        <f>IFERROR(__xludf.DUMMYFUNCTION("IF(ISBLANK(B243),"""",IF(ISDATE(B243),TEXT(B243,""yyyy""),""""))"),"")</f>
        <v/>
      </c>
    </row>
    <row r="244">
      <c r="B244" s="89"/>
      <c r="C244" s="86"/>
      <c r="D244" s="71"/>
      <c r="H244" s="90"/>
      <c r="J244" s="53" t="str">
        <f>IFERROR(__xludf.DUMMYFUNCTION("IF(ISBLANK(B244),"""",IF(ISDATE(B244),""X"",""""))"),"")</f>
        <v/>
      </c>
      <c r="K244" s="40" t="str">
        <f>IFERROR(__xludf.DUMMYFUNCTION("IF(ISBLANK(B244),"""",IF(ISDATE(B244),H244,""""))"),"")</f>
        <v/>
      </c>
      <c r="L244" s="40" t="str">
        <f>IFERROR(__xludf.DUMMYFUNCTION("IF(ISBLANK(B244),"""",IF(ISDATE(B244),TEXT(B244,""M""),""""))"),"")</f>
        <v/>
      </c>
      <c r="M244" s="29" t="str">
        <f>IFERROR(__xludf.DUMMYFUNCTION("IF(L244="""","""",QUERY({'Dashboard-Dados'!$Y$2:$AA$13},""Select Col2 Where Col1=""&amp;L244))"),"")</f>
        <v/>
      </c>
      <c r="N244" s="29" t="str">
        <f>IFERROR(__xludf.DUMMYFUNCTION("IF(ISBLANK(B244),"""",IF(ISDATE(B244),TEXT(B244,""yyyy""),""""))"),"")</f>
        <v/>
      </c>
    </row>
    <row r="245">
      <c r="B245" s="87"/>
      <c r="C245" s="85"/>
      <c r="D245" s="76"/>
      <c r="H245" s="88"/>
      <c r="J245" s="53" t="str">
        <f>IFERROR(__xludf.DUMMYFUNCTION("IF(ISBLANK(B245),"""",IF(ISDATE(B245),""X"",""""))"),"")</f>
        <v/>
      </c>
      <c r="K245" s="40" t="str">
        <f>IFERROR(__xludf.DUMMYFUNCTION("IF(ISBLANK(B245),"""",IF(ISDATE(B245),H245,""""))"),"")</f>
        <v/>
      </c>
      <c r="L245" s="40" t="str">
        <f>IFERROR(__xludf.DUMMYFUNCTION("IF(ISBLANK(B245),"""",IF(ISDATE(B245),TEXT(B245,""M""),""""))"),"")</f>
        <v/>
      </c>
      <c r="M245" s="29" t="str">
        <f>IFERROR(__xludf.DUMMYFUNCTION("IF(L245="""","""",QUERY({'Dashboard-Dados'!$Y$2:$AA$13},""Select Col2 Where Col1=""&amp;L245))"),"")</f>
        <v/>
      </c>
      <c r="N245" s="29" t="str">
        <f>IFERROR(__xludf.DUMMYFUNCTION("IF(ISBLANK(B245),"""",IF(ISDATE(B245),TEXT(B245,""yyyy""),""""))"),"")</f>
        <v/>
      </c>
    </row>
    <row r="246">
      <c r="B246" s="89"/>
      <c r="C246" s="86"/>
      <c r="D246" s="71"/>
      <c r="H246" s="90"/>
      <c r="J246" s="53" t="str">
        <f>IFERROR(__xludf.DUMMYFUNCTION("IF(ISBLANK(B246),"""",IF(ISDATE(B246),""X"",""""))"),"")</f>
        <v/>
      </c>
      <c r="K246" s="40" t="str">
        <f>IFERROR(__xludf.DUMMYFUNCTION("IF(ISBLANK(B246),"""",IF(ISDATE(B246),H246,""""))"),"")</f>
        <v/>
      </c>
      <c r="L246" s="40" t="str">
        <f>IFERROR(__xludf.DUMMYFUNCTION("IF(ISBLANK(B246),"""",IF(ISDATE(B246),TEXT(B246,""M""),""""))"),"")</f>
        <v/>
      </c>
      <c r="M246" s="29" t="str">
        <f>IFERROR(__xludf.DUMMYFUNCTION("IF(L246="""","""",QUERY({'Dashboard-Dados'!$Y$2:$AA$13},""Select Col2 Where Col1=""&amp;L246))"),"")</f>
        <v/>
      </c>
      <c r="N246" s="29" t="str">
        <f>IFERROR(__xludf.DUMMYFUNCTION("IF(ISBLANK(B246),"""",IF(ISDATE(B246),TEXT(B246,""yyyy""),""""))"),"")</f>
        <v/>
      </c>
    </row>
    <row r="247">
      <c r="B247" s="87"/>
      <c r="C247" s="85"/>
      <c r="D247" s="76"/>
      <c r="H247" s="88"/>
      <c r="J247" s="53" t="str">
        <f>IFERROR(__xludf.DUMMYFUNCTION("IF(ISBLANK(B247),"""",IF(ISDATE(B247),""X"",""""))"),"")</f>
        <v/>
      </c>
      <c r="K247" s="40" t="str">
        <f>IFERROR(__xludf.DUMMYFUNCTION("IF(ISBLANK(B247),"""",IF(ISDATE(B247),H247,""""))"),"")</f>
        <v/>
      </c>
      <c r="L247" s="40" t="str">
        <f>IFERROR(__xludf.DUMMYFUNCTION("IF(ISBLANK(B247),"""",IF(ISDATE(B247),TEXT(B247,""M""),""""))"),"")</f>
        <v/>
      </c>
      <c r="M247" s="29" t="str">
        <f>IFERROR(__xludf.DUMMYFUNCTION("IF(L247="""","""",QUERY({'Dashboard-Dados'!$Y$2:$AA$13},""Select Col2 Where Col1=""&amp;L247))"),"")</f>
        <v/>
      </c>
      <c r="N247" s="29" t="str">
        <f>IFERROR(__xludf.DUMMYFUNCTION("IF(ISBLANK(B247),"""",IF(ISDATE(B247),TEXT(B247,""yyyy""),""""))"),"")</f>
        <v/>
      </c>
    </row>
    <row r="248">
      <c r="B248" s="89"/>
      <c r="C248" s="86"/>
      <c r="D248" s="71"/>
      <c r="H248" s="90"/>
      <c r="J248" s="53" t="str">
        <f>IFERROR(__xludf.DUMMYFUNCTION("IF(ISBLANK(B248),"""",IF(ISDATE(B248),""X"",""""))"),"")</f>
        <v/>
      </c>
      <c r="K248" s="40" t="str">
        <f>IFERROR(__xludf.DUMMYFUNCTION("IF(ISBLANK(B248),"""",IF(ISDATE(B248),H248,""""))"),"")</f>
        <v/>
      </c>
      <c r="L248" s="40" t="str">
        <f>IFERROR(__xludf.DUMMYFUNCTION("IF(ISBLANK(B248),"""",IF(ISDATE(B248),TEXT(B248,""M""),""""))"),"")</f>
        <v/>
      </c>
      <c r="M248" s="29" t="str">
        <f>IFERROR(__xludf.DUMMYFUNCTION("IF(L248="""","""",QUERY({'Dashboard-Dados'!$Y$2:$AA$13},""Select Col2 Where Col1=""&amp;L248))"),"")</f>
        <v/>
      </c>
      <c r="N248" s="29" t="str">
        <f>IFERROR(__xludf.DUMMYFUNCTION("IF(ISBLANK(B248),"""",IF(ISDATE(B248),TEXT(B248,""yyyy""),""""))"),"")</f>
        <v/>
      </c>
    </row>
    <row r="249">
      <c r="B249" s="87"/>
      <c r="C249" s="85"/>
      <c r="D249" s="76"/>
      <c r="H249" s="88"/>
      <c r="J249" s="53" t="str">
        <f>IFERROR(__xludf.DUMMYFUNCTION("IF(ISBLANK(B249),"""",IF(ISDATE(B249),""X"",""""))"),"")</f>
        <v/>
      </c>
      <c r="K249" s="40" t="str">
        <f>IFERROR(__xludf.DUMMYFUNCTION("IF(ISBLANK(B249),"""",IF(ISDATE(B249),H249,""""))"),"")</f>
        <v/>
      </c>
      <c r="L249" s="40" t="str">
        <f>IFERROR(__xludf.DUMMYFUNCTION("IF(ISBLANK(B249),"""",IF(ISDATE(B249),TEXT(B249,""M""),""""))"),"")</f>
        <v/>
      </c>
      <c r="M249" s="29" t="str">
        <f>IFERROR(__xludf.DUMMYFUNCTION("IF(L249="""","""",QUERY({'Dashboard-Dados'!$Y$2:$AA$13},""Select Col2 Where Col1=""&amp;L249))"),"")</f>
        <v/>
      </c>
      <c r="N249" s="29" t="str">
        <f>IFERROR(__xludf.DUMMYFUNCTION("IF(ISBLANK(B249),"""",IF(ISDATE(B249),TEXT(B249,""yyyy""),""""))"),"")</f>
        <v/>
      </c>
    </row>
    <row r="250">
      <c r="B250" s="89"/>
      <c r="C250" s="86"/>
      <c r="D250" s="71"/>
      <c r="H250" s="90"/>
      <c r="J250" s="53" t="str">
        <f>IFERROR(__xludf.DUMMYFUNCTION("IF(ISBLANK(B250),"""",IF(ISDATE(B250),""X"",""""))"),"")</f>
        <v/>
      </c>
      <c r="K250" s="40" t="str">
        <f>IFERROR(__xludf.DUMMYFUNCTION("IF(ISBLANK(B250),"""",IF(ISDATE(B250),H250,""""))"),"")</f>
        <v/>
      </c>
      <c r="L250" s="40" t="str">
        <f>IFERROR(__xludf.DUMMYFUNCTION("IF(ISBLANK(B250),"""",IF(ISDATE(B250),TEXT(B250,""M""),""""))"),"")</f>
        <v/>
      </c>
      <c r="M250" s="29" t="str">
        <f>IFERROR(__xludf.DUMMYFUNCTION("IF(L250="""","""",QUERY({'Dashboard-Dados'!$Y$2:$AA$13},""Select Col2 Where Col1=""&amp;L250))"),"")</f>
        <v/>
      </c>
      <c r="N250" s="29" t="str">
        <f>IFERROR(__xludf.DUMMYFUNCTION("IF(ISBLANK(B250),"""",IF(ISDATE(B250),TEXT(B250,""yyyy""),""""))"),"")</f>
        <v/>
      </c>
    </row>
    <row r="251">
      <c r="B251" s="87"/>
      <c r="C251" s="85"/>
      <c r="D251" s="76"/>
      <c r="H251" s="88"/>
      <c r="J251" s="53" t="str">
        <f>IFERROR(__xludf.DUMMYFUNCTION("IF(ISBLANK(B251),"""",IF(ISDATE(B251),""X"",""""))"),"")</f>
        <v/>
      </c>
      <c r="K251" s="40" t="str">
        <f>IFERROR(__xludf.DUMMYFUNCTION("IF(ISBLANK(B251),"""",IF(ISDATE(B251),H251,""""))"),"")</f>
        <v/>
      </c>
      <c r="L251" s="40" t="str">
        <f>IFERROR(__xludf.DUMMYFUNCTION("IF(ISBLANK(B251),"""",IF(ISDATE(B251),TEXT(B251,""M""),""""))"),"")</f>
        <v/>
      </c>
      <c r="M251" s="29" t="str">
        <f>IFERROR(__xludf.DUMMYFUNCTION("IF(L251="""","""",QUERY({'Dashboard-Dados'!$Y$2:$AA$13},""Select Col2 Where Col1=""&amp;L251))"),"")</f>
        <v/>
      </c>
      <c r="N251" s="29" t="str">
        <f>IFERROR(__xludf.DUMMYFUNCTION("IF(ISBLANK(B251),"""",IF(ISDATE(B251),TEXT(B251,""yyyy""),""""))"),"")</f>
        <v/>
      </c>
    </row>
    <row r="252">
      <c r="B252" s="89"/>
      <c r="C252" s="86"/>
      <c r="D252" s="71"/>
      <c r="H252" s="90"/>
      <c r="J252" s="53" t="str">
        <f>IFERROR(__xludf.DUMMYFUNCTION("IF(ISBLANK(B252),"""",IF(ISDATE(B252),""X"",""""))"),"")</f>
        <v/>
      </c>
      <c r="K252" s="40" t="str">
        <f>IFERROR(__xludf.DUMMYFUNCTION("IF(ISBLANK(B252),"""",IF(ISDATE(B252),H252,""""))"),"")</f>
        <v/>
      </c>
      <c r="L252" s="40" t="str">
        <f>IFERROR(__xludf.DUMMYFUNCTION("IF(ISBLANK(B252),"""",IF(ISDATE(B252),TEXT(B252,""M""),""""))"),"")</f>
        <v/>
      </c>
      <c r="M252" s="29" t="str">
        <f>IFERROR(__xludf.DUMMYFUNCTION("IF(L252="""","""",QUERY({'Dashboard-Dados'!$Y$2:$AA$13},""Select Col2 Where Col1=""&amp;L252))"),"")</f>
        <v/>
      </c>
      <c r="N252" s="29" t="str">
        <f>IFERROR(__xludf.DUMMYFUNCTION("IF(ISBLANK(B252),"""",IF(ISDATE(B252),TEXT(B252,""yyyy""),""""))"),"")</f>
        <v/>
      </c>
    </row>
    <row r="253">
      <c r="B253" s="87"/>
      <c r="C253" s="85"/>
      <c r="D253" s="76"/>
      <c r="H253" s="88"/>
      <c r="J253" s="53" t="str">
        <f>IFERROR(__xludf.DUMMYFUNCTION("IF(ISBLANK(B253),"""",IF(ISDATE(B253),""X"",""""))"),"")</f>
        <v/>
      </c>
      <c r="K253" s="40" t="str">
        <f>IFERROR(__xludf.DUMMYFUNCTION("IF(ISBLANK(B253),"""",IF(ISDATE(B253),H253,""""))"),"")</f>
        <v/>
      </c>
      <c r="L253" s="40" t="str">
        <f>IFERROR(__xludf.DUMMYFUNCTION("IF(ISBLANK(B253),"""",IF(ISDATE(B253),TEXT(B253,""M""),""""))"),"")</f>
        <v/>
      </c>
      <c r="M253" s="29" t="str">
        <f>IFERROR(__xludf.DUMMYFUNCTION("IF(L253="""","""",QUERY({'Dashboard-Dados'!$Y$2:$AA$13},""Select Col2 Where Col1=""&amp;L253))"),"")</f>
        <v/>
      </c>
      <c r="N253" s="29" t="str">
        <f>IFERROR(__xludf.DUMMYFUNCTION("IF(ISBLANK(B253),"""",IF(ISDATE(B253),TEXT(B253,""yyyy""),""""))"),"")</f>
        <v/>
      </c>
    </row>
    <row r="254">
      <c r="B254" s="89"/>
      <c r="C254" s="86"/>
      <c r="D254" s="71"/>
      <c r="H254" s="90"/>
      <c r="J254" s="53" t="str">
        <f>IFERROR(__xludf.DUMMYFUNCTION("IF(ISBLANK(B254),"""",IF(ISDATE(B254),""X"",""""))"),"")</f>
        <v/>
      </c>
      <c r="K254" s="40" t="str">
        <f>IFERROR(__xludf.DUMMYFUNCTION("IF(ISBLANK(B254),"""",IF(ISDATE(B254),H254,""""))"),"")</f>
        <v/>
      </c>
      <c r="L254" s="40" t="str">
        <f>IFERROR(__xludf.DUMMYFUNCTION("IF(ISBLANK(B254),"""",IF(ISDATE(B254),TEXT(B254,""M""),""""))"),"")</f>
        <v/>
      </c>
      <c r="M254" s="29" t="str">
        <f>IFERROR(__xludf.DUMMYFUNCTION("IF(L254="""","""",QUERY({'Dashboard-Dados'!$Y$2:$AA$13},""Select Col2 Where Col1=""&amp;L254))"),"")</f>
        <v/>
      </c>
      <c r="N254" s="29" t="str">
        <f>IFERROR(__xludf.DUMMYFUNCTION("IF(ISBLANK(B254),"""",IF(ISDATE(B254),TEXT(B254,""yyyy""),""""))"),"")</f>
        <v/>
      </c>
    </row>
    <row r="255">
      <c r="B255" s="87"/>
      <c r="C255" s="85"/>
      <c r="D255" s="76"/>
      <c r="H255" s="88"/>
      <c r="J255" s="53" t="str">
        <f>IFERROR(__xludf.DUMMYFUNCTION("IF(ISBLANK(B255),"""",IF(ISDATE(B255),""X"",""""))"),"")</f>
        <v/>
      </c>
      <c r="K255" s="40" t="str">
        <f>IFERROR(__xludf.DUMMYFUNCTION("IF(ISBLANK(B255),"""",IF(ISDATE(B255),H255,""""))"),"")</f>
        <v/>
      </c>
      <c r="L255" s="40" t="str">
        <f>IFERROR(__xludf.DUMMYFUNCTION("IF(ISBLANK(B255),"""",IF(ISDATE(B255),TEXT(B255,""M""),""""))"),"")</f>
        <v/>
      </c>
      <c r="M255" s="29" t="str">
        <f>IFERROR(__xludf.DUMMYFUNCTION("IF(L255="""","""",QUERY({'Dashboard-Dados'!$Y$2:$AA$13},""Select Col2 Where Col1=""&amp;L255))"),"")</f>
        <v/>
      </c>
      <c r="N255" s="29" t="str">
        <f>IFERROR(__xludf.DUMMYFUNCTION("IF(ISBLANK(B255),"""",IF(ISDATE(B255),TEXT(B255,""yyyy""),""""))"),"")</f>
        <v/>
      </c>
    </row>
    <row r="256">
      <c r="B256" s="89"/>
      <c r="C256" s="86"/>
      <c r="D256" s="71"/>
      <c r="H256" s="90"/>
      <c r="J256" s="53" t="str">
        <f>IFERROR(__xludf.DUMMYFUNCTION("IF(ISBLANK(B256),"""",IF(ISDATE(B256),""X"",""""))"),"")</f>
        <v/>
      </c>
      <c r="K256" s="40" t="str">
        <f>IFERROR(__xludf.DUMMYFUNCTION("IF(ISBLANK(B256),"""",IF(ISDATE(B256),H256,""""))"),"")</f>
        <v/>
      </c>
      <c r="L256" s="40" t="str">
        <f>IFERROR(__xludf.DUMMYFUNCTION("IF(ISBLANK(B256),"""",IF(ISDATE(B256),TEXT(B256,""M""),""""))"),"")</f>
        <v/>
      </c>
      <c r="M256" s="29" t="str">
        <f>IFERROR(__xludf.DUMMYFUNCTION("IF(L256="""","""",QUERY({'Dashboard-Dados'!$Y$2:$AA$13},""Select Col2 Where Col1=""&amp;L256))"),"")</f>
        <v/>
      </c>
      <c r="N256" s="29" t="str">
        <f>IFERROR(__xludf.DUMMYFUNCTION("IF(ISBLANK(B256),"""",IF(ISDATE(B256),TEXT(B256,""yyyy""),""""))"),"")</f>
        <v/>
      </c>
    </row>
    <row r="257">
      <c r="B257" s="87"/>
      <c r="C257" s="85"/>
      <c r="D257" s="76"/>
      <c r="H257" s="88"/>
      <c r="J257" s="53" t="str">
        <f>IFERROR(__xludf.DUMMYFUNCTION("IF(ISBLANK(B257),"""",IF(ISDATE(B257),""X"",""""))"),"")</f>
        <v/>
      </c>
      <c r="K257" s="40" t="str">
        <f>IFERROR(__xludf.DUMMYFUNCTION("IF(ISBLANK(B257),"""",IF(ISDATE(B257),H257,""""))"),"")</f>
        <v/>
      </c>
      <c r="L257" s="40" t="str">
        <f>IFERROR(__xludf.DUMMYFUNCTION("IF(ISBLANK(B257),"""",IF(ISDATE(B257),TEXT(B257,""M""),""""))"),"")</f>
        <v/>
      </c>
      <c r="M257" s="29" t="str">
        <f>IFERROR(__xludf.DUMMYFUNCTION("IF(L257="""","""",QUERY({'Dashboard-Dados'!$Y$2:$AA$13},""Select Col2 Where Col1=""&amp;L257))"),"")</f>
        <v/>
      </c>
      <c r="N257" s="29" t="str">
        <f>IFERROR(__xludf.DUMMYFUNCTION("IF(ISBLANK(B257),"""",IF(ISDATE(B257),TEXT(B257,""yyyy""),""""))"),"")</f>
        <v/>
      </c>
    </row>
    <row r="258">
      <c r="B258" s="89"/>
      <c r="C258" s="86"/>
      <c r="D258" s="71"/>
      <c r="H258" s="90"/>
      <c r="J258" s="53" t="str">
        <f>IFERROR(__xludf.DUMMYFUNCTION("IF(ISBLANK(B258),"""",IF(ISDATE(B258),""X"",""""))"),"")</f>
        <v/>
      </c>
      <c r="K258" s="40" t="str">
        <f>IFERROR(__xludf.DUMMYFUNCTION("IF(ISBLANK(B258),"""",IF(ISDATE(B258),H258,""""))"),"")</f>
        <v/>
      </c>
      <c r="L258" s="40" t="str">
        <f>IFERROR(__xludf.DUMMYFUNCTION("IF(ISBLANK(B258),"""",IF(ISDATE(B258),TEXT(B258,""M""),""""))"),"")</f>
        <v/>
      </c>
      <c r="M258" s="29" t="str">
        <f>IFERROR(__xludf.DUMMYFUNCTION("IF(L258="""","""",QUERY({'Dashboard-Dados'!$Y$2:$AA$13},""Select Col2 Where Col1=""&amp;L258))"),"")</f>
        <v/>
      </c>
      <c r="N258" s="29" t="str">
        <f>IFERROR(__xludf.DUMMYFUNCTION("IF(ISBLANK(B258),"""",IF(ISDATE(B258),TEXT(B258,""yyyy""),""""))"),"")</f>
        <v/>
      </c>
    </row>
    <row r="259">
      <c r="B259" s="87"/>
      <c r="C259" s="85"/>
      <c r="D259" s="76"/>
      <c r="H259" s="88"/>
      <c r="J259" s="53" t="str">
        <f>IFERROR(__xludf.DUMMYFUNCTION("IF(ISBLANK(B259),"""",IF(ISDATE(B259),""X"",""""))"),"")</f>
        <v/>
      </c>
      <c r="K259" s="40" t="str">
        <f>IFERROR(__xludf.DUMMYFUNCTION("IF(ISBLANK(B259),"""",IF(ISDATE(B259),H259,""""))"),"")</f>
        <v/>
      </c>
      <c r="L259" s="40" t="str">
        <f>IFERROR(__xludf.DUMMYFUNCTION("IF(ISBLANK(B259),"""",IF(ISDATE(B259),TEXT(B259,""M""),""""))"),"")</f>
        <v/>
      </c>
      <c r="M259" s="29" t="str">
        <f>IFERROR(__xludf.DUMMYFUNCTION("IF(L259="""","""",QUERY({'Dashboard-Dados'!$Y$2:$AA$13},""Select Col2 Where Col1=""&amp;L259))"),"")</f>
        <v/>
      </c>
      <c r="N259" s="29" t="str">
        <f>IFERROR(__xludf.DUMMYFUNCTION("IF(ISBLANK(B259),"""",IF(ISDATE(B259),TEXT(B259,""yyyy""),""""))"),"")</f>
        <v/>
      </c>
    </row>
    <row r="260">
      <c r="B260" s="89"/>
      <c r="C260" s="86"/>
      <c r="D260" s="71"/>
      <c r="H260" s="90"/>
      <c r="J260" s="53" t="str">
        <f>IFERROR(__xludf.DUMMYFUNCTION("IF(ISBLANK(B260),"""",IF(ISDATE(B260),""X"",""""))"),"")</f>
        <v/>
      </c>
      <c r="K260" s="40" t="str">
        <f>IFERROR(__xludf.DUMMYFUNCTION("IF(ISBLANK(B260),"""",IF(ISDATE(B260),H260,""""))"),"")</f>
        <v/>
      </c>
      <c r="L260" s="40" t="str">
        <f>IFERROR(__xludf.DUMMYFUNCTION("IF(ISBLANK(B260),"""",IF(ISDATE(B260),TEXT(B260,""M""),""""))"),"")</f>
        <v/>
      </c>
      <c r="M260" s="29" t="str">
        <f>IFERROR(__xludf.DUMMYFUNCTION("IF(L260="""","""",QUERY({'Dashboard-Dados'!$Y$2:$AA$13},""Select Col2 Where Col1=""&amp;L260))"),"")</f>
        <v/>
      </c>
      <c r="N260" s="29" t="str">
        <f>IFERROR(__xludf.DUMMYFUNCTION("IF(ISBLANK(B260),"""",IF(ISDATE(B260),TEXT(B260,""yyyy""),""""))"),"")</f>
        <v/>
      </c>
    </row>
    <row r="261">
      <c r="B261" s="87"/>
      <c r="C261" s="85"/>
      <c r="D261" s="76"/>
      <c r="H261" s="88"/>
      <c r="J261" s="53" t="str">
        <f>IFERROR(__xludf.DUMMYFUNCTION("IF(ISBLANK(B261),"""",IF(ISDATE(B261),""X"",""""))"),"")</f>
        <v/>
      </c>
      <c r="K261" s="40" t="str">
        <f>IFERROR(__xludf.DUMMYFUNCTION("IF(ISBLANK(B261),"""",IF(ISDATE(B261),H261,""""))"),"")</f>
        <v/>
      </c>
      <c r="L261" s="40" t="str">
        <f>IFERROR(__xludf.DUMMYFUNCTION("IF(ISBLANK(B261),"""",IF(ISDATE(B261),TEXT(B261,""M""),""""))"),"")</f>
        <v/>
      </c>
      <c r="M261" s="29" t="str">
        <f>IFERROR(__xludf.DUMMYFUNCTION("IF(L261="""","""",QUERY({'Dashboard-Dados'!$Y$2:$AA$13},""Select Col2 Where Col1=""&amp;L261))"),"")</f>
        <v/>
      </c>
      <c r="N261" s="29" t="str">
        <f>IFERROR(__xludf.DUMMYFUNCTION("IF(ISBLANK(B261),"""",IF(ISDATE(B261),TEXT(B261,""yyyy""),""""))"),"")</f>
        <v/>
      </c>
    </row>
    <row r="262">
      <c r="B262" s="89"/>
      <c r="C262" s="86"/>
      <c r="D262" s="71"/>
      <c r="H262" s="90"/>
      <c r="J262" s="53" t="str">
        <f>IFERROR(__xludf.DUMMYFUNCTION("IF(ISBLANK(B262),"""",IF(ISDATE(B262),""X"",""""))"),"")</f>
        <v/>
      </c>
      <c r="K262" s="40" t="str">
        <f>IFERROR(__xludf.DUMMYFUNCTION("IF(ISBLANK(B262),"""",IF(ISDATE(B262),H262,""""))"),"")</f>
        <v/>
      </c>
      <c r="L262" s="40" t="str">
        <f>IFERROR(__xludf.DUMMYFUNCTION("IF(ISBLANK(B262),"""",IF(ISDATE(B262),TEXT(B262,""M""),""""))"),"")</f>
        <v/>
      </c>
      <c r="M262" s="29" t="str">
        <f>IFERROR(__xludf.DUMMYFUNCTION("IF(L262="""","""",QUERY({'Dashboard-Dados'!$Y$2:$AA$13},""Select Col2 Where Col1=""&amp;L262))"),"")</f>
        <v/>
      </c>
      <c r="N262" s="29" t="str">
        <f>IFERROR(__xludf.DUMMYFUNCTION("IF(ISBLANK(B262),"""",IF(ISDATE(B262),TEXT(B262,""yyyy""),""""))"),"")</f>
        <v/>
      </c>
    </row>
    <row r="263">
      <c r="B263" s="87"/>
      <c r="C263" s="85"/>
      <c r="D263" s="76"/>
      <c r="H263" s="88"/>
      <c r="J263" s="53" t="str">
        <f>IFERROR(__xludf.DUMMYFUNCTION("IF(ISBLANK(B263),"""",IF(ISDATE(B263),""X"",""""))"),"")</f>
        <v/>
      </c>
      <c r="K263" s="40" t="str">
        <f>IFERROR(__xludf.DUMMYFUNCTION("IF(ISBLANK(B263),"""",IF(ISDATE(B263),H263,""""))"),"")</f>
        <v/>
      </c>
      <c r="L263" s="40" t="str">
        <f>IFERROR(__xludf.DUMMYFUNCTION("IF(ISBLANK(B263),"""",IF(ISDATE(B263),TEXT(B263,""M""),""""))"),"")</f>
        <v/>
      </c>
      <c r="M263" s="29" t="str">
        <f>IFERROR(__xludf.DUMMYFUNCTION("IF(L263="""","""",QUERY({'Dashboard-Dados'!$Y$2:$AA$13},""Select Col2 Where Col1=""&amp;L263))"),"")</f>
        <v/>
      </c>
      <c r="N263" s="29" t="str">
        <f>IFERROR(__xludf.DUMMYFUNCTION("IF(ISBLANK(B263),"""",IF(ISDATE(B263),TEXT(B263,""yyyy""),""""))"),"")</f>
        <v/>
      </c>
    </row>
    <row r="264">
      <c r="B264" s="89"/>
      <c r="C264" s="86"/>
      <c r="D264" s="71"/>
      <c r="H264" s="90"/>
      <c r="J264" s="53" t="str">
        <f>IFERROR(__xludf.DUMMYFUNCTION("IF(ISBLANK(B264),"""",IF(ISDATE(B264),""X"",""""))"),"")</f>
        <v/>
      </c>
      <c r="K264" s="40" t="str">
        <f>IFERROR(__xludf.DUMMYFUNCTION("IF(ISBLANK(B264),"""",IF(ISDATE(B264),H264,""""))"),"")</f>
        <v/>
      </c>
      <c r="L264" s="40" t="str">
        <f>IFERROR(__xludf.DUMMYFUNCTION("IF(ISBLANK(B264),"""",IF(ISDATE(B264),TEXT(B264,""M""),""""))"),"")</f>
        <v/>
      </c>
      <c r="M264" s="29" t="str">
        <f>IFERROR(__xludf.DUMMYFUNCTION("IF(L264="""","""",QUERY({'Dashboard-Dados'!$Y$2:$AA$13},""Select Col2 Where Col1=""&amp;L264))"),"")</f>
        <v/>
      </c>
      <c r="N264" s="29" t="str">
        <f>IFERROR(__xludf.DUMMYFUNCTION("IF(ISBLANK(B264),"""",IF(ISDATE(B264),TEXT(B264,""yyyy""),""""))"),"")</f>
        <v/>
      </c>
    </row>
    <row r="265">
      <c r="B265" s="87"/>
      <c r="C265" s="85"/>
      <c r="D265" s="76"/>
      <c r="H265" s="88"/>
      <c r="J265" s="53" t="str">
        <f>IFERROR(__xludf.DUMMYFUNCTION("IF(ISBLANK(B265),"""",IF(ISDATE(B265),""X"",""""))"),"")</f>
        <v/>
      </c>
      <c r="K265" s="40" t="str">
        <f>IFERROR(__xludf.DUMMYFUNCTION("IF(ISBLANK(B265),"""",IF(ISDATE(B265),H265,""""))"),"")</f>
        <v/>
      </c>
      <c r="L265" s="40" t="str">
        <f>IFERROR(__xludf.DUMMYFUNCTION("IF(ISBLANK(B265),"""",IF(ISDATE(B265),TEXT(B265,""M""),""""))"),"")</f>
        <v/>
      </c>
      <c r="M265" s="29" t="str">
        <f>IFERROR(__xludf.DUMMYFUNCTION("IF(L265="""","""",QUERY({'Dashboard-Dados'!$Y$2:$AA$13},""Select Col2 Where Col1=""&amp;L265))"),"")</f>
        <v/>
      </c>
      <c r="N265" s="29" t="str">
        <f>IFERROR(__xludf.DUMMYFUNCTION("IF(ISBLANK(B265),"""",IF(ISDATE(B265),TEXT(B265,""yyyy""),""""))"),"")</f>
        <v/>
      </c>
    </row>
    <row r="266">
      <c r="B266" s="89"/>
      <c r="C266" s="86"/>
      <c r="D266" s="71"/>
      <c r="H266" s="90"/>
      <c r="J266" s="53" t="str">
        <f>IFERROR(__xludf.DUMMYFUNCTION("IF(ISBLANK(B266),"""",IF(ISDATE(B266),""X"",""""))"),"")</f>
        <v/>
      </c>
      <c r="K266" s="40" t="str">
        <f>IFERROR(__xludf.DUMMYFUNCTION("IF(ISBLANK(B266),"""",IF(ISDATE(B266),H266,""""))"),"")</f>
        <v/>
      </c>
      <c r="L266" s="40" t="str">
        <f>IFERROR(__xludf.DUMMYFUNCTION("IF(ISBLANK(B266),"""",IF(ISDATE(B266),TEXT(B266,""M""),""""))"),"")</f>
        <v/>
      </c>
      <c r="M266" s="29" t="str">
        <f>IFERROR(__xludf.DUMMYFUNCTION("IF(L266="""","""",QUERY({'Dashboard-Dados'!$Y$2:$AA$13},""Select Col2 Where Col1=""&amp;L266))"),"")</f>
        <v/>
      </c>
      <c r="N266" s="29" t="str">
        <f>IFERROR(__xludf.DUMMYFUNCTION("IF(ISBLANK(B266),"""",IF(ISDATE(B266),TEXT(B266,""yyyy""),""""))"),"")</f>
        <v/>
      </c>
    </row>
    <row r="267">
      <c r="B267" s="87"/>
      <c r="C267" s="85"/>
      <c r="D267" s="76"/>
      <c r="H267" s="88"/>
      <c r="J267" s="53" t="str">
        <f>IFERROR(__xludf.DUMMYFUNCTION("IF(ISBLANK(B267),"""",IF(ISDATE(B267),""X"",""""))"),"")</f>
        <v/>
      </c>
      <c r="K267" s="40" t="str">
        <f>IFERROR(__xludf.DUMMYFUNCTION("IF(ISBLANK(B267),"""",IF(ISDATE(B267),H267,""""))"),"")</f>
        <v/>
      </c>
      <c r="L267" s="40" t="str">
        <f>IFERROR(__xludf.DUMMYFUNCTION("IF(ISBLANK(B267),"""",IF(ISDATE(B267),TEXT(B267,""M""),""""))"),"")</f>
        <v/>
      </c>
      <c r="M267" s="29" t="str">
        <f>IFERROR(__xludf.DUMMYFUNCTION("IF(L267="""","""",QUERY({'Dashboard-Dados'!$Y$2:$AA$13},""Select Col2 Where Col1=""&amp;L267))"),"")</f>
        <v/>
      </c>
      <c r="N267" s="29" t="str">
        <f>IFERROR(__xludf.DUMMYFUNCTION("IF(ISBLANK(B267),"""",IF(ISDATE(B267),TEXT(B267,""yyyy""),""""))"),"")</f>
        <v/>
      </c>
    </row>
    <row r="268">
      <c r="B268" s="89"/>
      <c r="C268" s="86"/>
      <c r="D268" s="71"/>
      <c r="H268" s="90"/>
      <c r="J268" s="53" t="str">
        <f>IFERROR(__xludf.DUMMYFUNCTION("IF(ISBLANK(B268),"""",IF(ISDATE(B268),""X"",""""))"),"")</f>
        <v/>
      </c>
      <c r="K268" s="40" t="str">
        <f>IFERROR(__xludf.DUMMYFUNCTION("IF(ISBLANK(B268),"""",IF(ISDATE(B268),H268,""""))"),"")</f>
        <v/>
      </c>
      <c r="L268" s="40" t="str">
        <f>IFERROR(__xludf.DUMMYFUNCTION("IF(ISBLANK(B268),"""",IF(ISDATE(B268),TEXT(B268,""M""),""""))"),"")</f>
        <v/>
      </c>
      <c r="M268" s="29" t="str">
        <f>IFERROR(__xludf.DUMMYFUNCTION("IF(L268="""","""",QUERY({'Dashboard-Dados'!$Y$2:$AA$13},""Select Col2 Where Col1=""&amp;L268))"),"")</f>
        <v/>
      </c>
      <c r="N268" s="29" t="str">
        <f>IFERROR(__xludf.DUMMYFUNCTION("IF(ISBLANK(B268),"""",IF(ISDATE(B268),TEXT(B268,""yyyy""),""""))"),"")</f>
        <v/>
      </c>
    </row>
    <row r="269">
      <c r="B269" s="87"/>
      <c r="C269" s="85"/>
      <c r="D269" s="76"/>
      <c r="H269" s="88"/>
      <c r="J269" s="53" t="str">
        <f>IFERROR(__xludf.DUMMYFUNCTION("IF(ISBLANK(B269),"""",IF(ISDATE(B269),""X"",""""))"),"")</f>
        <v/>
      </c>
      <c r="K269" s="40" t="str">
        <f>IFERROR(__xludf.DUMMYFUNCTION("IF(ISBLANK(B269),"""",IF(ISDATE(B269),H269,""""))"),"")</f>
        <v/>
      </c>
      <c r="L269" s="40" t="str">
        <f>IFERROR(__xludf.DUMMYFUNCTION("IF(ISBLANK(B269),"""",IF(ISDATE(B269),TEXT(B269,""M""),""""))"),"")</f>
        <v/>
      </c>
      <c r="M269" s="29" t="str">
        <f>IFERROR(__xludf.DUMMYFUNCTION("IF(L269="""","""",QUERY({'Dashboard-Dados'!$Y$2:$AA$13},""Select Col2 Where Col1=""&amp;L269))"),"")</f>
        <v/>
      </c>
      <c r="N269" s="29" t="str">
        <f>IFERROR(__xludf.DUMMYFUNCTION("IF(ISBLANK(B269),"""",IF(ISDATE(B269),TEXT(B269,""yyyy""),""""))"),"")</f>
        <v/>
      </c>
    </row>
    <row r="270">
      <c r="B270" s="89"/>
      <c r="C270" s="86"/>
      <c r="D270" s="71"/>
      <c r="H270" s="90"/>
      <c r="J270" s="53" t="str">
        <f>IFERROR(__xludf.DUMMYFUNCTION("IF(ISBLANK(B270),"""",IF(ISDATE(B270),""X"",""""))"),"")</f>
        <v/>
      </c>
      <c r="K270" s="40" t="str">
        <f>IFERROR(__xludf.DUMMYFUNCTION("IF(ISBLANK(B270),"""",IF(ISDATE(B270),H270,""""))"),"")</f>
        <v/>
      </c>
      <c r="L270" s="40" t="str">
        <f>IFERROR(__xludf.DUMMYFUNCTION("IF(ISBLANK(B270),"""",IF(ISDATE(B270),TEXT(B270,""M""),""""))"),"")</f>
        <v/>
      </c>
      <c r="M270" s="29" t="str">
        <f>IFERROR(__xludf.DUMMYFUNCTION("IF(L270="""","""",QUERY({'Dashboard-Dados'!$Y$2:$AA$13},""Select Col2 Where Col1=""&amp;L270))"),"")</f>
        <v/>
      </c>
      <c r="N270" s="29" t="str">
        <f>IFERROR(__xludf.DUMMYFUNCTION("IF(ISBLANK(B270),"""",IF(ISDATE(B270),TEXT(B270,""yyyy""),""""))"),"")</f>
        <v/>
      </c>
    </row>
    <row r="271">
      <c r="B271" s="87"/>
      <c r="C271" s="85"/>
      <c r="D271" s="76"/>
      <c r="H271" s="88"/>
      <c r="J271" s="53" t="str">
        <f>IFERROR(__xludf.DUMMYFUNCTION("IF(ISBLANK(B271),"""",IF(ISDATE(B271),""X"",""""))"),"")</f>
        <v/>
      </c>
      <c r="K271" s="40" t="str">
        <f>IFERROR(__xludf.DUMMYFUNCTION("IF(ISBLANK(B271),"""",IF(ISDATE(B271),H271,""""))"),"")</f>
        <v/>
      </c>
      <c r="L271" s="40" t="str">
        <f>IFERROR(__xludf.DUMMYFUNCTION("IF(ISBLANK(B271),"""",IF(ISDATE(B271),TEXT(B271,""M""),""""))"),"")</f>
        <v/>
      </c>
      <c r="M271" s="29" t="str">
        <f>IFERROR(__xludf.DUMMYFUNCTION("IF(L271="""","""",QUERY({'Dashboard-Dados'!$Y$2:$AA$13},""Select Col2 Where Col1=""&amp;L271))"),"")</f>
        <v/>
      </c>
      <c r="N271" s="29" t="str">
        <f>IFERROR(__xludf.DUMMYFUNCTION("IF(ISBLANK(B271),"""",IF(ISDATE(B271),TEXT(B271,""yyyy""),""""))"),"")</f>
        <v/>
      </c>
    </row>
    <row r="272">
      <c r="B272" s="89"/>
      <c r="C272" s="86"/>
      <c r="D272" s="71"/>
      <c r="H272" s="90"/>
      <c r="J272" s="53" t="str">
        <f>IFERROR(__xludf.DUMMYFUNCTION("IF(ISBLANK(B272),"""",IF(ISDATE(B272),""X"",""""))"),"")</f>
        <v/>
      </c>
      <c r="K272" s="40" t="str">
        <f>IFERROR(__xludf.DUMMYFUNCTION("IF(ISBLANK(B272),"""",IF(ISDATE(B272),H272,""""))"),"")</f>
        <v/>
      </c>
      <c r="L272" s="40" t="str">
        <f>IFERROR(__xludf.DUMMYFUNCTION("IF(ISBLANK(B272),"""",IF(ISDATE(B272),TEXT(B272,""M""),""""))"),"")</f>
        <v/>
      </c>
      <c r="M272" s="29" t="str">
        <f>IFERROR(__xludf.DUMMYFUNCTION("IF(L272="""","""",QUERY({'Dashboard-Dados'!$Y$2:$AA$13},""Select Col2 Where Col1=""&amp;L272))"),"")</f>
        <v/>
      </c>
      <c r="N272" s="29" t="str">
        <f>IFERROR(__xludf.DUMMYFUNCTION("IF(ISBLANK(B272),"""",IF(ISDATE(B272),TEXT(B272,""yyyy""),""""))"),"")</f>
        <v/>
      </c>
    </row>
    <row r="273">
      <c r="B273" s="87"/>
      <c r="C273" s="85"/>
      <c r="D273" s="76"/>
      <c r="H273" s="88"/>
      <c r="J273" s="53" t="str">
        <f>IFERROR(__xludf.DUMMYFUNCTION("IF(ISBLANK(B273),"""",IF(ISDATE(B273),""X"",""""))"),"")</f>
        <v/>
      </c>
      <c r="K273" s="40" t="str">
        <f>IFERROR(__xludf.DUMMYFUNCTION("IF(ISBLANK(B273),"""",IF(ISDATE(B273),H273,""""))"),"")</f>
        <v/>
      </c>
      <c r="L273" s="40" t="str">
        <f>IFERROR(__xludf.DUMMYFUNCTION("IF(ISBLANK(B273),"""",IF(ISDATE(B273),TEXT(B273,""M""),""""))"),"")</f>
        <v/>
      </c>
      <c r="M273" s="29" t="str">
        <f>IFERROR(__xludf.DUMMYFUNCTION("IF(L273="""","""",QUERY({'Dashboard-Dados'!$Y$2:$AA$13},""Select Col2 Where Col1=""&amp;L273))"),"")</f>
        <v/>
      </c>
      <c r="N273" s="29" t="str">
        <f>IFERROR(__xludf.DUMMYFUNCTION("IF(ISBLANK(B273),"""",IF(ISDATE(B273),TEXT(B273,""yyyy""),""""))"),"")</f>
        <v/>
      </c>
    </row>
    <row r="274">
      <c r="B274" s="89"/>
      <c r="C274" s="86"/>
      <c r="D274" s="71"/>
      <c r="H274" s="90"/>
      <c r="J274" s="53" t="str">
        <f>IFERROR(__xludf.DUMMYFUNCTION("IF(ISBLANK(B274),"""",IF(ISDATE(B274),""X"",""""))"),"")</f>
        <v/>
      </c>
      <c r="K274" s="40" t="str">
        <f>IFERROR(__xludf.DUMMYFUNCTION("IF(ISBLANK(B274),"""",IF(ISDATE(B274),H274,""""))"),"")</f>
        <v/>
      </c>
      <c r="L274" s="40" t="str">
        <f>IFERROR(__xludf.DUMMYFUNCTION("IF(ISBLANK(B274),"""",IF(ISDATE(B274),TEXT(B274,""M""),""""))"),"")</f>
        <v/>
      </c>
      <c r="M274" s="29" t="str">
        <f>IFERROR(__xludf.DUMMYFUNCTION("IF(L274="""","""",QUERY({'Dashboard-Dados'!$Y$2:$AA$13},""Select Col2 Where Col1=""&amp;L274))"),"")</f>
        <v/>
      </c>
      <c r="N274" s="29" t="str">
        <f>IFERROR(__xludf.DUMMYFUNCTION("IF(ISBLANK(B274),"""",IF(ISDATE(B274),TEXT(B274,""yyyy""),""""))"),"")</f>
        <v/>
      </c>
    </row>
    <row r="275">
      <c r="B275" s="87"/>
      <c r="C275" s="85"/>
      <c r="D275" s="76"/>
      <c r="H275" s="88"/>
      <c r="J275" s="53" t="str">
        <f>IFERROR(__xludf.DUMMYFUNCTION("IF(ISBLANK(B275),"""",IF(ISDATE(B275),""X"",""""))"),"")</f>
        <v/>
      </c>
      <c r="K275" s="40" t="str">
        <f>IFERROR(__xludf.DUMMYFUNCTION("IF(ISBLANK(B275),"""",IF(ISDATE(B275),H275,""""))"),"")</f>
        <v/>
      </c>
      <c r="L275" s="40" t="str">
        <f>IFERROR(__xludf.DUMMYFUNCTION("IF(ISBLANK(B275),"""",IF(ISDATE(B275),TEXT(B275,""M""),""""))"),"")</f>
        <v/>
      </c>
      <c r="M275" s="29" t="str">
        <f>IFERROR(__xludf.DUMMYFUNCTION("IF(L275="""","""",QUERY({'Dashboard-Dados'!$Y$2:$AA$13},""Select Col2 Where Col1=""&amp;L275))"),"")</f>
        <v/>
      </c>
      <c r="N275" s="29" t="str">
        <f>IFERROR(__xludf.DUMMYFUNCTION("IF(ISBLANK(B275),"""",IF(ISDATE(B275),TEXT(B275,""yyyy""),""""))"),"")</f>
        <v/>
      </c>
    </row>
    <row r="276">
      <c r="B276" s="89"/>
      <c r="C276" s="86"/>
      <c r="D276" s="71"/>
      <c r="H276" s="90"/>
      <c r="J276" s="53" t="str">
        <f>IFERROR(__xludf.DUMMYFUNCTION("IF(ISBLANK(B276),"""",IF(ISDATE(B276),""X"",""""))"),"")</f>
        <v/>
      </c>
      <c r="K276" s="40" t="str">
        <f>IFERROR(__xludf.DUMMYFUNCTION("IF(ISBLANK(B276),"""",IF(ISDATE(B276),H276,""""))"),"")</f>
        <v/>
      </c>
      <c r="L276" s="40" t="str">
        <f>IFERROR(__xludf.DUMMYFUNCTION("IF(ISBLANK(B276),"""",IF(ISDATE(B276),TEXT(B276,""M""),""""))"),"")</f>
        <v/>
      </c>
      <c r="M276" s="29" t="str">
        <f>IFERROR(__xludf.DUMMYFUNCTION("IF(L276="""","""",QUERY({'Dashboard-Dados'!$Y$2:$AA$13},""Select Col2 Where Col1=""&amp;L276))"),"")</f>
        <v/>
      </c>
      <c r="N276" s="29" t="str">
        <f>IFERROR(__xludf.DUMMYFUNCTION("IF(ISBLANK(B276),"""",IF(ISDATE(B276),TEXT(B276,""yyyy""),""""))"),"")</f>
        <v/>
      </c>
    </row>
    <row r="277">
      <c r="B277" s="87"/>
      <c r="C277" s="85"/>
      <c r="D277" s="76"/>
      <c r="H277" s="88"/>
      <c r="J277" s="53" t="str">
        <f>IFERROR(__xludf.DUMMYFUNCTION("IF(ISBLANK(B277),"""",IF(ISDATE(B277),""X"",""""))"),"")</f>
        <v/>
      </c>
      <c r="K277" s="40" t="str">
        <f>IFERROR(__xludf.DUMMYFUNCTION("IF(ISBLANK(B277),"""",IF(ISDATE(B277),H277,""""))"),"")</f>
        <v/>
      </c>
      <c r="L277" s="40" t="str">
        <f>IFERROR(__xludf.DUMMYFUNCTION("IF(ISBLANK(B277),"""",IF(ISDATE(B277),TEXT(B277,""M""),""""))"),"")</f>
        <v/>
      </c>
      <c r="M277" s="29" t="str">
        <f>IFERROR(__xludf.DUMMYFUNCTION("IF(L277="""","""",QUERY({'Dashboard-Dados'!$Y$2:$AA$13},""Select Col2 Where Col1=""&amp;L277))"),"")</f>
        <v/>
      </c>
      <c r="N277" s="29" t="str">
        <f>IFERROR(__xludf.DUMMYFUNCTION("IF(ISBLANK(B277),"""",IF(ISDATE(B277),TEXT(B277,""yyyy""),""""))"),"")</f>
        <v/>
      </c>
    </row>
    <row r="278">
      <c r="B278" s="89"/>
      <c r="C278" s="86"/>
      <c r="D278" s="71"/>
      <c r="H278" s="90"/>
      <c r="J278" s="53" t="str">
        <f>IFERROR(__xludf.DUMMYFUNCTION("IF(ISBLANK(B278),"""",IF(ISDATE(B278),""X"",""""))"),"")</f>
        <v/>
      </c>
      <c r="K278" s="40" t="str">
        <f>IFERROR(__xludf.DUMMYFUNCTION("IF(ISBLANK(B278),"""",IF(ISDATE(B278),H278,""""))"),"")</f>
        <v/>
      </c>
      <c r="L278" s="40" t="str">
        <f>IFERROR(__xludf.DUMMYFUNCTION("IF(ISBLANK(B278),"""",IF(ISDATE(B278),TEXT(B278,""M""),""""))"),"")</f>
        <v/>
      </c>
      <c r="M278" s="29" t="str">
        <f>IFERROR(__xludf.DUMMYFUNCTION("IF(L278="""","""",QUERY({'Dashboard-Dados'!$Y$2:$AA$13},""Select Col2 Where Col1=""&amp;L278))"),"")</f>
        <v/>
      </c>
      <c r="N278" s="29" t="str">
        <f>IFERROR(__xludf.DUMMYFUNCTION("IF(ISBLANK(B278),"""",IF(ISDATE(B278),TEXT(B278,""yyyy""),""""))"),"")</f>
        <v/>
      </c>
    </row>
    <row r="279">
      <c r="B279" s="87"/>
      <c r="C279" s="85"/>
      <c r="D279" s="76"/>
      <c r="H279" s="88"/>
      <c r="J279" s="53" t="str">
        <f>IFERROR(__xludf.DUMMYFUNCTION("IF(ISBLANK(B279),"""",IF(ISDATE(B279),""X"",""""))"),"")</f>
        <v/>
      </c>
      <c r="K279" s="40" t="str">
        <f>IFERROR(__xludf.DUMMYFUNCTION("IF(ISBLANK(B279),"""",IF(ISDATE(B279),H279,""""))"),"")</f>
        <v/>
      </c>
      <c r="L279" s="40" t="str">
        <f>IFERROR(__xludf.DUMMYFUNCTION("IF(ISBLANK(B279),"""",IF(ISDATE(B279),TEXT(B279,""M""),""""))"),"")</f>
        <v/>
      </c>
      <c r="M279" s="29" t="str">
        <f>IFERROR(__xludf.DUMMYFUNCTION("IF(L279="""","""",QUERY({'Dashboard-Dados'!$Y$2:$AA$13},""Select Col2 Where Col1=""&amp;L279))"),"")</f>
        <v/>
      </c>
      <c r="N279" s="29" t="str">
        <f>IFERROR(__xludf.DUMMYFUNCTION("IF(ISBLANK(B279),"""",IF(ISDATE(B279),TEXT(B279,""yyyy""),""""))"),"")</f>
        <v/>
      </c>
    </row>
    <row r="280">
      <c r="B280" s="89"/>
      <c r="C280" s="86"/>
      <c r="D280" s="71"/>
      <c r="H280" s="90"/>
      <c r="J280" s="53" t="str">
        <f>IFERROR(__xludf.DUMMYFUNCTION("IF(ISBLANK(B280),"""",IF(ISDATE(B280),""X"",""""))"),"")</f>
        <v/>
      </c>
      <c r="K280" s="40" t="str">
        <f>IFERROR(__xludf.DUMMYFUNCTION("IF(ISBLANK(B280),"""",IF(ISDATE(B280),H280,""""))"),"")</f>
        <v/>
      </c>
      <c r="L280" s="40" t="str">
        <f>IFERROR(__xludf.DUMMYFUNCTION("IF(ISBLANK(B280),"""",IF(ISDATE(B280),TEXT(B280,""M""),""""))"),"")</f>
        <v/>
      </c>
      <c r="M280" s="29" t="str">
        <f>IFERROR(__xludf.DUMMYFUNCTION("IF(L280="""","""",QUERY({'Dashboard-Dados'!$Y$2:$AA$13},""Select Col2 Where Col1=""&amp;L280))"),"")</f>
        <v/>
      </c>
      <c r="N280" s="29" t="str">
        <f>IFERROR(__xludf.DUMMYFUNCTION("IF(ISBLANK(B280),"""",IF(ISDATE(B280),TEXT(B280,""yyyy""),""""))"),"")</f>
        <v/>
      </c>
    </row>
    <row r="281">
      <c r="B281" s="87"/>
      <c r="C281" s="85"/>
      <c r="D281" s="76"/>
      <c r="H281" s="88"/>
      <c r="J281" s="53" t="str">
        <f>IFERROR(__xludf.DUMMYFUNCTION("IF(ISBLANK(B281),"""",IF(ISDATE(B281),""X"",""""))"),"")</f>
        <v/>
      </c>
      <c r="K281" s="40" t="str">
        <f>IFERROR(__xludf.DUMMYFUNCTION("IF(ISBLANK(B281),"""",IF(ISDATE(B281),H281,""""))"),"")</f>
        <v/>
      </c>
      <c r="L281" s="40" t="str">
        <f>IFERROR(__xludf.DUMMYFUNCTION("IF(ISBLANK(B281),"""",IF(ISDATE(B281),TEXT(B281,""M""),""""))"),"")</f>
        <v/>
      </c>
      <c r="M281" s="29" t="str">
        <f>IFERROR(__xludf.DUMMYFUNCTION("IF(L281="""","""",QUERY({'Dashboard-Dados'!$Y$2:$AA$13},""Select Col2 Where Col1=""&amp;L281))"),"")</f>
        <v/>
      </c>
      <c r="N281" s="29" t="str">
        <f>IFERROR(__xludf.DUMMYFUNCTION("IF(ISBLANK(B281),"""",IF(ISDATE(B281),TEXT(B281,""yyyy""),""""))"),"")</f>
        <v/>
      </c>
    </row>
    <row r="282">
      <c r="B282" s="89"/>
      <c r="C282" s="86"/>
      <c r="D282" s="71"/>
      <c r="H282" s="90"/>
      <c r="J282" s="53" t="str">
        <f>IFERROR(__xludf.DUMMYFUNCTION("IF(ISBLANK(B282),"""",IF(ISDATE(B282),""X"",""""))"),"")</f>
        <v/>
      </c>
      <c r="K282" s="40" t="str">
        <f>IFERROR(__xludf.DUMMYFUNCTION("IF(ISBLANK(B282),"""",IF(ISDATE(B282),H282,""""))"),"")</f>
        <v/>
      </c>
      <c r="L282" s="40" t="str">
        <f>IFERROR(__xludf.DUMMYFUNCTION("IF(ISBLANK(B282),"""",IF(ISDATE(B282),TEXT(B282,""M""),""""))"),"")</f>
        <v/>
      </c>
      <c r="M282" s="29" t="str">
        <f>IFERROR(__xludf.DUMMYFUNCTION("IF(L282="""","""",QUERY({'Dashboard-Dados'!$Y$2:$AA$13},""Select Col2 Where Col1=""&amp;L282))"),"")</f>
        <v/>
      </c>
      <c r="N282" s="29" t="str">
        <f>IFERROR(__xludf.DUMMYFUNCTION("IF(ISBLANK(B282),"""",IF(ISDATE(B282),TEXT(B282,""yyyy""),""""))"),"")</f>
        <v/>
      </c>
    </row>
    <row r="283">
      <c r="B283" s="87"/>
      <c r="C283" s="85"/>
      <c r="D283" s="76"/>
      <c r="H283" s="88"/>
      <c r="J283" s="53" t="str">
        <f>IFERROR(__xludf.DUMMYFUNCTION("IF(ISBLANK(B283),"""",IF(ISDATE(B283),""X"",""""))"),"")</f>
        <v/>
      </c>
      <c r="K283" s="40" t="str">
        <f>IFERROR(__xludf.DUMMYFUNCTION("IF(ISBLANK(B283),"""",IF(ISDATE(B283),H283,""""))"),"")</f>
        <v/>
      </c>
      <c r="L283" s="40" t="str">
        <f>IFERROR(__xludf.DUMMYFUNCTION("IF(ISBLANK(B283),"""",IF(ISDATE(B283),TEXT(B283,""M""),""""))"),"")</f>
        <v/>
      </c>
      <c r="M283" s="29" t="str">
        <f>IFERROR(__xludf.DUMMYFUNCTION("IF(L283="""","""",QUERY({'Dashboard-Dados'!$Y$2:$AA$13},""Select Col2 Where Col1=""&amp;L283))"),"")</f>
        <v/>
      </c>
      <c r="N283" s="29" t="str">
        <f>IFERROR(__xludf.DUMMYFUNCTION("IF(ISBLANK(B283),"""",IF(ISDATE(B283),TEXT(B283,""yyyy""),""""))"),"")</f>
        <v/>
      </c>
    </row>
    <row r="284">
      <c r="B284" s="89"/>
      <c r="C284" s="86"/>
      <c r="D284" s="71"/>
      <c r="H284" s="90"/>
      <c r="J284" s="53" t="str">
        <f>IFERROR(__xludf.DUMMYFUNCTION("IF(ISBLANK(B284),"""",IF(ISDATE(B284),""X"",""""))"),"")</f>
        <v/>
      </c>
      <c r="K284" s="40" t="str">
        <f>IFERROR(__xludf.DUMMYFUNCTION("IF(ISBLANK(B284),"""",IF(ISDATE(B284),H284,""""))"),"")</f>
        <v/>
      </c>
      <c r="L284" s="40" t="str">
        <f>IFERROR(__xludf.DUMMYFUNCTION("IF(ISBLANK(B284),"""",IF(ISDATE(B284),TEXT(B284,""M""),""""))"),"")</f>
        <v/>
      </c>
      <c r="M284" s="29" t="str">
        <f>IFERROR(__xludf.DUMMYFUNCTION("IF(L284="""","""",QUERY({'Dashboard-Dados'!$Y$2:$AA$13},""Select Col2 Where Col1=""&amp;L284))"),"")</f>
        <v/>
      </c>
      <c r="N284" s="29" t="str">
        <f>IFERROR(__xludf.DUMMYFUNCTION("IF(ISBLANK(B284),"""",IF(ISDATE(B284),TEXT(B284,""yyyy""),""""))"),"")</f>
        <v/>
      </c>
    </row>
    <row r="285">
      <c r="B285" s="87"/>
      <c r="C285" s="85"/>
      <c r="D285" s="76"/>
      <c r="H285" s="88"/>
      <c r="J285" s="53" t="str">
        <f>IFERROR(__xludf.DUMMYFUNCTION("IF(ISBLANK(B285),"""",IF(ISDATE(B285),""X"",""""))"),"")</f>
        <v/>
      </c>
      <c r="K285" s="40" t="str">
        <f>IFERROR(__xludf.DUMMYFUNCTION("IF(ISBLANK(B285),"""",IF(ISDATE(B285),H285,""""))"),"")</f>
        <v/>
      </c>
      <c r="L285" s="40" t="str">
        <f>IFERROR(__xludf.DUMMYFUNCTION("IF(ISBLANK(B285),"""",IF(ISDATE(B285),TEXT(B285,""M""),""""))"),"")</f>
        <v/>
      </c>
      <c r="M285" s="29" t="str">
        <f>IFERROR(__xludf.DUMMYFUNCTION("IF(L285="""","""",QUERY({'Dashboard-Dados'!$Y$2:$AA$13},""Select Col2 Where Col1=""&amp;L285))"),"")</f>
        <v/>
      </c>
      <c r="N285" s="29" t="str">
        <f>IFERROR(__xludf.DUMMYFUNCTION("IF(ISBLANK(B285),"""",IF(ISDATE(B285),TEXT(B285,""yyyy""),""""))"),"")</f>
        <v/>
      </c>
    </row>
    <row r="286">
      <c r="B286" s="89"/>
      <c r="C286" s="86"/>
      <c r="D286" s="71"/>
      <c r="H286" s="90"/>
      <c r="J286" s="53" t="str">
        <f>IFERROR(__xludf.DUMMYFUNCTION("IF(ISBLANK(B286),"""",IF(ISDATE(B286),""X"",""""))"),"")</f>
        <v/>
      </c>
      <c r="K286" s="40" t="str">
        <f>IFERROR(__xludf.DUMMYFUNCTION("IF(ISBLANK(B286),"""",IF(ISDATE(B286),H286,""""))"),"")</f>
        <v/>
      </c>
      <c r="L286" s="40" t="str">
        <f>IFERROR(__xludf.DUMMYFUNCTION("IF(ISBLANK(B286),"""",IF(ISDATE(B286),TEXT(B286,""M""),""""))"),"")</f>
        <v/>
      </c>
      <c r="M286" s="29" t="str">
        <f>IFERROR(__xludf.DUMMYFUNCTION("IF(L286="""","""",QUERY({'Dashboard-Dados'!$Y$2:$AA$13},""Select Col2 Where Col1=""&amp;L286))"),"")</f>
        <v/>
      </c>
      <c r="N286" s="29" t="str">
        <f>IFERROR(__xludf.DUMMYFUNCTION("IF(ISBLANK(B286),"""",IF(ISDATE(B286),TEXT(B286,""yyyy""),""""))"),"")</f>
        <v/>
      </c>
    </row>
    <row r="287">
      <c r="B287" s="87"/>
      <c r="C287" s="85"/>
      <c r="D287" s="76"/>
      <c r="H287" s="88"/>
      <c r="J287" s="53" t="str">
        <f>IFERROR(__xludf.DUMMYFUNCTION("IF(ISBLANK(B287),"""",IF(ISDATE(B287),""X"",""""))"),"")</f>
        <v/>
      </c>
      <c r="K287" s="40" t="str">
        <f>IFERROR(__xludf.DUMMYFUNCTION("IF(ISBLANK(B287),"""",IF(ISDATE(B287),H287,""""))"),"")</f>
        <v/>
      </c>
      <c r="L287" s="40" t="str">
        <f>IFERROR(__xludf.DUMMYFUNCTION("IF(ISBLANK(B287),"""",IF(ISDATE(B287),TEXT(B287,""M""),""""))"),"")</f>
        <v/>
      </c>
      <c r="M287" s="29" t="str">
        <f>IFERROR(__xludf.DUMMYFUNCTION("IF(L287="""","""",QUERY({'Dashboard-Dados'!$Y$2:$AA$13},""Select Col2 Where Col1=""&amp;L287))"),"")</f>
        <v/>
      </c>
      <c r="N287" s="29" t="str">
        <f>IFERROR(__xludf.DUMMYFUNCTION("IF(ISBLANK(B287),"""",IF(ISDATE(B287),TEXT(B287,""yyyy""),""""))"),"")</f>
        <v/>
      </c>
    </row>
    <row r="288">
      <c r="B288" s="89"/>
      <c r="C288" s="86"/>
      <c r="D288" s="71"/>
      <c r="H288" s="90"/>
      <c r="J288" s="53" t="str">
        <f>IFERROR(__xludf.DUMMYFUNCTION("IF(ISBLANK(B288),"""",IF(ISDATE(B288),""X"",""""))"),"")</f>
        <v/>
      </c>
      <c r="K288" s="40" t="str">
        <f>IFERROR(__xludf.DUMMYFUNCTION("IF(ISBLANK(B288),"""",IF(ISDATE(B288),H288,""""))"),"")</f>
        <v/>
      </c>
      <c r="L288" s="40" t="str">
        <f>IFERROR(__xludf.DUMMYFUNCTION("IF(ISBLANK(B288),"""",IF(ISDATE(B288),TEXT(B288,""M""),""""))"),"")</f>
        <v/>
      </c>
      <c r="M288" s="29" t="str">
        <f>IFERROR(__xludf.DUMMYFUNCTION("IF(L288="""","""",QUERY({'Dashboard-Dados'!$Y$2:$AA$13},""Select Col2 Where Col1=""&amp;L288))"),"")</f>
        <v/>
      </c>
      <c r="N288" s="29" t="str">
        <f>IFERROR(__xludf.DUMMYFUNCTION("IF(ISBLANK(B288),"""",IF(ISDATE(B288),TEXT(B288,""yyyy""),""""))"),"")</f>
        <v/>
      </c>
    </row>
    <row r="289">
      <c r="B289" s="87"/>
      <c r="C289" s="85"/>
      <c r="D289" s="76"/>
      <c r="H289" s="88"/>
      <c r="J289" s="53" t="str">
        <f>IFERROR(__xludf.DUMMYFUNCTION("IF(ISBLANK(B289),"""",IF(ISDATE(B289),""X"",""""))"),"")</f>
        <v/>
      </c>
      <c r="K289" s="40" t="str">
        <f>IFERROR(__xludf.DUMMYFUNCTION("IF(ISBLANK(B289),"""",IF(ISDATE(B289),H289,""""))"),"")</f>
        <v/>
      </c>
      <c r="L289" s="40" t="str">
        <f>IFERROR(__xludf.DUMMYFUNCTION("IF(ISBLANK(B289),"""",IF(ISDATE(B289),TEXT(B289,""M""),""""))"),"")</f>
        <v/>
      </c>
      <c r="M289" s="29" t="str">
        <f>IFERROR(__xludf.DUMMYFUNCTION("IF(L289="""","""",QUERY({'Dashboard-Dados'!$Y$2:$AA$13},""Select Col2 Where Col1=""&amp;L289))"),"")</f>
        <v/>
      </c>
      <c r="N289" s="29" t="str">
        <f>IFERROR(__xludf.DUMMYFUNCTION("IF(ISBLANK(B289),"""",IF(ISDATE(B289),TEXT(B289,""yyyy""),""""))"),"")</f>
        <v/>
      </c>
    </row>
    <row r="290">
      <c r="B290" s="89"/>
      <c r="C290" s="86"/>
      <c r="D290" s="71"/>
      <c r="H290" s="90"/>
      <c r="J290" s="53" t="str">
        <f>IFERROR(__xludf.DUMMYFUNCTION("IF(ISBLANK(B290),"""",IF(ISDATE(B290),""X"",""""))"),"")</f>
        <v/>
      </c>
      <c r="K290" s="40" t="str">
        <f>IFERROR(__xludf.DUMMYFUNCTION("IF(ISBLANK(B290),"""",IF(ISDATE(B290),H290,""""))"),"")</f>
        <v/>
      </c>
      <c r="L290" s="40" t="str">
        <f>IFERROR(__xludf.DUMMYFUNCTION("IF(ISBLANK(B290),"""",IF(ISDATE(B290),TEXT(B290,""M""),""""))"),"")</f>
        <v/>
      </c>
      <c r="M290" s="29" t="str">
        <f>IFERROR(__xludf.DUMMYFUNCTION("IF(L290="""","""",QUERY({'Dashboard-Dados'!$Y$2:$AA$13},""Select Col2 Where Col1=""&amp;L290))"),"")</f>
        <v/>
      </c>
      <c r="N290" s="29" t="str">
        <f>IFERROR(__xludf.DUMMYFUNCTION("IF(ISBLANK(B290),"""",IF(ISDATE(B290),TEXT(B290,""yyyy""),""""))"),"")</f>
        <v/>
      </c>
    </row>
    <row r="291">
      <c r="B291" s="87"/>
      <c r="C291" s="85"/>
      <c r="D291" s="76"/>
      <c r="H291" s="88"/>
      <c r="J291" s="53" t="str">
        <f>IFERROR(__xludf.DUMMYFUNCTION("IF(ISBLANK(B291),"""",IF(ISDATE(B291),""X"",""""))"),"")</f>
        <v/>
      </c>
      <c r="K291" s="40" t="str">
        <f>IFERROR(__xludf.DUMMYFUNCTION("IF(ISBLANK(B291),"""",IF(ISDATE(B291),H291,""""))"),"")</f>
        <v/>
      </c>
      <c r="L291" s="40" t="str">
        <f>IFERROR(__xludf.DUMMYFUNCTION("IF(ISBLANK(B291),"""",IF(ISDATE(B291),TEXT(B291,""M""),""""))"),"")</f>
        <v/>
      </c>
      <c r="M291" s="29" t="str">
        <f>IFERROR(__xludf.DUMMYFUNCTION("IF(L291="""","""",QUERY({'Dashboard-Dados'!$Y$2:$AA$13},""Select Col2 Where Col1=""&amp;L291))"),"")</f>
        <v/>
      </c>
      <c r="N291" s="29" t="str">
        <f>IFERROR(__xludf.DUMMYFUNCTION("IF(ISBLANK(B291),"""",IF(ISDATE(B291),TEXT(B291,""yyyy""),""""))"),"")</f>
        <v/>
      </c>
    </row>
    <row r="292">
      <c r="B292" s="89"/>
      <c r="C292" s="86"/>
      <c r="D292" s="71"/>
      <c r="H292" s="90"/>
      <c r="J292" s="53" t="str">
        <f>IFERROR(__xludf.DUMMYFUNCTION("IF(ISBLANK(B292),"""",IF(ISDATE(B292),""X"",""""))"),"")</f>
        <v/>
      </c>
      <c r="K292" s="40" t="str">
        <f>IFERROR(__xludf.DUMMYFUNCTION("IF(ISBLANK(B292),"""",IF(ISDATE(B292),H292,""""))"),"")</f>
        <v/>
      </c>
      <c r="L292" s="40" t="str">
        <f>IFERROR(__xludf.DUMMYFUNCTION("IF(ISBLANK(B292),"""",IF(ISDATE(B292),TEXT(B292,""M""),""""))"),"")</f>
        <v/>
      </c>
      <c r="M292" s="29" t="str">
        <f>IFERROR(__xludf.DUMMYFUNCTION("IF(L292="""","""",QUERY({'Dashboard-Dados'!$Y$2:$AA$13},""Select Col2 Where Col1=""&amp;L292))"),"")</f>
        <v/>
      </c>
      <c r="N292" s="29" t="str">
        <f>IFERROR(__xludf.DUMMYFUNCTION("IF(ISBLANK(B292),"""",IF(ISDATE(B292),TEXT(B292,""yyyy""),""""))"),"")</f>
        <v/>
      </c>
    </row>
    <row r="293">
      <c r="B293" s="87"/>
      <c r="C293" s="85"/>
      <c r="D293" s="76"/>
      <c r="H293" s="88"/>
      <c r="J293" s="53" t="str">
        <f>IFERROR(__xludf.DUMMYFUNCTION("IF(ISBLANK(B293),"""",IF(ISDATE(B293),""X"",""""))"),"")</f>
        <v/>
      </c>
      <c r="K293" s="40" t="str">
        <f>IFERROR(__xludf.DUMMYFUNCTION("IF(ISBLANK(B293),"""",IF(ISDATE(B293),H293,""""))"),"")</f>
        <v/>
      </c>
      <c r="L293" s="40" t="str">
        <f>IFERROR(__xludf.DUMMYFUNCTION("IF(ISBLANK(B293),"""",IF(ISDATE(B293),TEXT(B293,""M""),""""))"),"")</f>
        <v/>
      </c>
      <c r="M293" s="29" t="str">
        <f>IFERROR(__xludf.DUMMYFUNCTION("IF(L293="""","""",QUERY({'Dashboard-Dados'!$Y$2:$AA$13},""Select Col2 Where Col1=""&amp;L293))"),"")</f>
        <v/>
      </c>
      <c r="N293" s="29" t="str">
        <f>IFERROR(__xludf.DUMMYFUNCTION("IF(ISBLANK(B293),"""",IF(ISDATE(B293),TEXT(B293,""yyyy""),""""))"),"")</f>
        <v/>
      </c>
    </row>
    <row r="294">
      <c r="B294" s="89"/>
      <c r="C294" s="86"/>
      <c r="D294" s="71"/>
      <c r="H294" s="90"/>
      <c r="J294" s="53" t="str">
        <f>IFERROR(__xludf.DUMMYFUNCTION("IF(ISBLANK(B294),"""",IF(ISDATE(B294),""X"",""""))"),"")</f>
        <v/>
      </c>
      <c r="K294" s="40" t="str">
        <f>IFERROR(__xludf.DUMMYFUNCTION("IF(ISBLANK(B294),"""",IF(ISDATE(B294),H294,""""))"),"")</f>
        <v/>
      </c>
      <c r="L294" s="40" t="str">
        <f>IFERROR(__xludf.DUMMYFUNCTION("IF(ISBLANK(B294),"""",IF(ISDATE(B294),TEXT(B294,""M""),""""))"),"")</f>
        <v/>
      </c>
      <c r="M294" s="29" t="str">
        <f>IFERROR(__xludf.DUMMYFUNCTION("IF(L294="""","""",QUERY({'Dashboard-Dados'!$Y$2:$AA$13},""Select Col2 Where Col1=""&amp;L294))"),"")</f>
        <v/>
      </c>
      <c r="N294" s="29" t="str">
        <f>IFERROR(__xludf.DUMMYFUNCTION("IF(ISBLANK(B294),"""",IF(ISDATE(B294),TEXT(B294,""yyyy""),""""))"),"")</f>
        <v/>
      </c>
    </row>
    <row r="295">
      <c r="B295" s="87"/>
      <c r="C295" s="85"/>
      <c r="D295" s="76"/>
      <c r="H295" s="88"/>
      <c r="J295" s="53" t="str">
        <f>IFERROR(__xludf.DUMMYFUNCTION("IF(ISBLANK(B295),"""",IF(ISDATE(B295),""X"",""""))"),"")</f>
        <v/>
      </c>
      <c r="K295" s="40" t="str">
        <f>IFERROR(__xludf.DUMMYFUNCTION("IF(ISBLANK(B295),"""",IF(ISDATE(B295),H295,""""))"),"")</f>
        <v/>
      </c>
      <c r="L295" s="40" t="str">
        <f>IFERROR(__xludf.DUMMYFUNCTION("IF(ISBLANK(B295),"""",IF(ISDATE(B295),TEXT(B295,""M""),""""))"),"")</f>
        <v/>
      </c>
      <c r="M295" s="29" t="str">
        <f>IFERROR(__xludf.DUMMYFUNCTION("IF(L295="""","""",QUERY({'Dashboard-Dados'!$Y$2:$AA$13},""Select Col2 Where Col1=""&amp;L295))"),"")</f>
        <v/>
      </c>
      <c r="N295" s="29" t="str">
        <f>IFERROR(__xludf.DUMMYFUNCTION("IF(ISBLANK(B295),"""",IF(ISDATE(B295),TEXT(B295,""yyyy""),""""))"),"")</f>
        <v/>
      </c>
    </row>
    <row r="296">
      <c r="B296" s="89"/>
      <c r="C296" s="86"/>
      <c r="D296" s="71"/>
      <c r="H296" s="90"/>
      <c r="J296" s="53" t="str">
        <f>IFERROR(__xludf.DUMMYFUNCTION("IF(ISBLANK(B296),"""",IF(ISDATE(B296),""X"",""""))"),"")</f>
        <v/>
      </c>
      <c r="K296" s="40" t="str">
        <f>IFERROR(__xludf.DUMMYFUNCTION("IF(ISBLANK(B296),"""",IF(ISDATE(B296),H296,""""))"),"")</f>
        <v/>
      </c>
      <c r="L296" s="40" t="str">
        <f>IFERROR(__xludf.DUMMYFUNCTION("IF(ISBLANK(B296),"""",IF(ISDATE(B296),TEXT(B296,""M""),""""))"),"")</f>
        <v/>
      </c>
      <c r="M296" s="29" t="str">
        <f>IFERROR(__xludf.DUMMYFUNCTION("IF(L296="""","""",QUERY({'Dashboard-Dados'!$Y$2:$AA$13},""Select Col2 Where Col1=""&amp;L296))"),"")</f>
        <v/>
      </c>
      <c r="N296" s="29" t="str">
        <f>IFERROR(__xludf.DUMMYFUNCTION("IF(ISBLANK(B296),"""",IF(ISDATE(B296),TEXT(B296,""yyyy""),""""))"),"")</f>
        <v/>
      </c>
    </row>
    <row r="297">
      <c r="B297" s="87"/>
      <c r="C297" s="85"/>
      <c r="D297" s="76"/>
      <c r="H297" s="88"/>
      <c r="J297" s="53" t="str">
        <f>IFERROR(__xludf.DUMMYFUNCTION("IF(ISBLANK(B297),"""",IF(ISDATE(B297),""X"",""""))"),"")</f>
        <v/>
      </c>
      <c r="K297" s="40" t="str">
        <f>IFERROR(__xludf.DUMMYFUNCTION("IF(ISBLANK(B297),"""",IF(ISDATE(B297),H297,""""))"),"")</f>
        <v/>
      </c>
      <c r="L297" s="40" t="str">
        <f>IFERROR(__xludf.DUMMYFUNCTION("IF(ISBLANK(B297),"""",IF(ISDATE(B297),TEXT(B297,""M""),""""))"),"")</f>
        <v/>
      </c>
      <c r="M297" s="29" t="str">
        <f>IFERROR(__xludf.DUMMYFUNCTION("IF(L297="""","""",QUERY({'Dashboard-Dados'!$Y$2:$AA$13},""Select Col2 Where Col1=""&amp;L297))"),"")</f>
        <v/>
      </c>
      <c r="N297" s="29" t="str">
        <f>IFERROR(__xludf.DUMMYFUNCTION("IF(ISBLANK(B297),"""",IF(ISDATE(B297),TEXT(B297,""yyyy""),""""))"),"")</f>
        <v/>
      </c>
    </row>
    <row r="298">
      <c r="B298" s="89"/>
      <c r="C298" s="86"/>
      <c r="D298" s="71"/>
      <c r="H298" s="90"/>
      <c r="J298" s="53" t="str">
        <f>IFERROR(__xludf.DUMMYFUNCTION("IF(ISBLANK(B298),"""",IF(ISDATE(B298),""X"",""""))"),"")</f>
        <v/>
      </c>
      <c r="K298" s="40" t="str">
        <f>IFERROR(__xludf.DUMMYFUNCTION("IF(ISBLANK(B298),"""",IF(ISDATE(B298),H298,""""))"),"")</f>
        <v/>
      </c>
      <c r="L298" s="40" t="str">
        <f>IFERROR(__xludf.DUMMYFUNCTION("IF(ISBLANK(B298),"""",IF(ISDATE(B298),TEXT(B298,""M""),""""))"),"")</f>
        <v/>
      </c>
      <c r="M298" s="29" t="str">
        <f>IFERROR(__xludf.DUMMYFUNCTION("IF(L298="""","""",QUERY({'Dashboard-Dados'!$Y$2:$AA$13},""Select Col2 Where Col1=""&amp;L298))"),"")</f>
        <v/>
      </c>
      <c r="N298" s="29" t="str">
        <f>IFERROR(__xludf.DUMMYFUNCTION("IF(ISBLANK(B298),"""",IF(ISDATE(B298),TEXT(B298,""yyyy""),""""))"),"")</f>
        <v/>
      </c>
    </row>
    <row r="299">
      <c r="B299" s="87"/>
      <c r="C299" s="85"/>
      <c r="D299" s="76"/>
      <c r="H299" s="88"/>
      <c r="J299" s="53" t="str">
        <f>IFERROR(__xludf.DUMMYFUNCTION("IF(ISBLANK(B299),"""",IF(ISDATE(B299),""X"",""""))"),"")</f>
        <v/>
      </c>
      <c r="K299" s="40" t="str">
        <f>IFERROR(__xludf.DUMMYFUNCTION("IF(ISBLANK(B299),"""",IF(ISDATE(B299),H299,""""))"),"")</f>
        <v/>
      </c>
      <c r="L299" s="40" t="str">
        <f>IFERROR(__xludf.DUMMYFUNCTION("IF(ISBLANK(B299),"""",IF(ISDATE(B299),TEXT(B299,""M""),""""))"),"")</f>
        <v/>
      </c>
      <c r="M299" s="29" t="str">
        <f>IFERROR(__xludf.DUMMYFUNCTION("IF(L299="""","""",QUERY({'Dashboard-Dados'!$Y$2:$AA$13},""Select Col2 Where Col1=""&amp;L299))"),"")</f>
        <v/>
      </c>
      <c r="N299" s="29" t="str">
        <f>IFERROR(__xludf.DUMMYFUNCTION("IF(ISBLANK(B299),"""",IF(ISDATE(B299),TEXT(B299,""yyyy""),""""))"),"")</f>
        <v/>
      </c>
    </row>
    <row r="300">
      <c r="B300" s="89"/>
      <c r="C300" s="86"/>
      <c r="D300" s="71"/>
      <c r="H300" s="90"/>
      <c r="J300" s="53" t="str">
        <f>IFERROR(__xludf.DUMMYFUNCTION("IF(ISBLANK(B300),"""",IF(ISDATE(B300),""X"",""""))"),"")</f>
        <v/>
      </c>
      <c r="K300" s="40" t="str">
        <f>IFERROR(__xludf.DUMMYFUNCTION("IF(ISBLANK(B300),"""",IF(ISDATE(B300),H300,""""))"),"")</f>
        <v/>
      </c>
      <c r="L300" s="40" t="str">
        <f>IFERROR(__xludf.DUMMYFUNCTION("IF(ISBLANK(B300),"""",IF(ISDATE(B300),TEXT(B300,""M""),""""))"),"")</f>
        <v/>
      </c>
      <c r="M300" s="29" t="str">
        <f>IFERROR(__xludf.DUMMYFUNCTION("IF(L300="""","""",QUERY({'Dashboard-Dados'!$Y$2:$AA$13},""Select Col2 Where Col1=""&amp;L300))"),"")</f>
        <v/>
      </c>
      <c r="N300" s="29" t="str">
        <f>IFERROR(__xludf.DUMMYFUNCTION("IF(ISBLANK(B300),"""",IF(ISDATE(B300),TEXT(B300,""yyyy""),""""))"),"")</f>
        <v/>
      </c>
    </row>
    <row r="301">
      <c r="B301" s="87"/>
      <c r="C301" s="85"/>
      <c r="D301" s="76"/>
      <c r="H301" s="88"/>
      <c r="J301" s="53" t="str">
        <f>IFERROR(__xludf.DUMMYFUNCTION("IF(ISBLANK(B301),"""",IF(ISDATE(B301),""X"",""""))"),"")</f>
        <v/>
      </c>
      <c r="K301" s="40" t="str">
        <f>IFERROR(__xludf.DUMMYFUNCTION("IF(ISBLANK(B301),"""",IF(ISDATE(B301),H301,""""))"),"")</f>
        <v/>
      </c>
      <c r="L301" s="40" t="str">
        <f>IFERROR(__xludf.DUMMYFUNCTION("IF(ISBLANK(B301),"""",IF(ISDATE(B301),TEXT(B301,""M""),""""))"),"")</f>
        <v/>
      </c>
      <c r="M301" s="29" t="str">
        <f>IFERROR(__xludf.DUMMYFUNCTION("IF(L301="""","""",QUERY({'Dashboard-Dados'!$Y$2:$AA$13},""Select Col2 Where Col1=""&amp;L301))"),"")</f>
        <v/>
      </c>
      <c r="N301" s="29" t="str">
        <f>IFERROR(__xludf.DUMMYFUNCTION("IF(ISBLANK(B301),"""",IF(ISDATE(B301),TEXT(B301,""yyyy""),""""))"),"")</f>
        <v/>
      </c>
    </row>
    <row r="302">
      <c r="B302" s="89"/>
      <c r="C302" s="86"/>
      <c r="D302" s="71"/>
      <c r="H302" s="90"/>
      <c r="J302" s="53" t="str">
        <f>IFERROR(__xludf.DUMMYFUNCTION("IF(ISBLANK(B302),"""",IF(ISDATE(B302),""X"",""""))"),"")</f>
        <v/>
      </c>
      <c r="K302" s="40" t="str">
        <f>IFERROR(__xludf.DUMMYFUNCTION("IF(ISBLANK(B302),"""",IF(ISDATE(B302),H302,""""))"),"")</f>
        <v/>
      </c>
      <c r="L302" s="40" t="str">
        <f>IFERROR(__xludf.DUMMYFUNCTION("IF(ISBLANK(B302),"""",IF(ISDATE(B302),TEXT(B302,""M""),""""))"),"")</f>
        <v/>
      </c>
      <c r="M302" s="29" t="str">
        <f>IFERROR(__xludf.DUMMYFUNCTION("IF(L302="""","""",QUERY({'Dashboard-Dados'!$Y$2:$AA$13},""Select Col2 Where Col1=""&amp;L302))"),"")</f>
        <v/>
      </c>
      <c r="N302" s="29" t="str">
        <f>IFERROR(__xludf.DUMMYFUNCTION("IF(ISBLANK(B302),"""",IF(ISDATE(B302),TEXT(B302,""yyyy""),""""))"),"")</f>
        <v/>
      </c>
    </row>
    <row r="303">
      <c r="B303" s="87"/>
      <c r="C303" s="85"/>
      <c r="D303" s="76"/>
      <c r="H303" s="88"/>
      <c r="J303" s="53" t="str">
        <f>IFERROR(__xludf.DUMMYFUNCTION("IF(ISBLANK(B303),"""",IF(ISDATE(B303),""X"",""""))"),"")</f>
        <v/>
      </c>
      <c r="K303" s="40" t="str">
        <f>IFERROR(__xludf.DUMMYFUNCTION("IF(ISBLANK(B303),"""",IF(ISDATE(B303),H303,""""))"),"")</f>
        <v/>
      </c>
      <c r="L303" s="40" t="str">
        <f>IFERROR(__xludf.DUMMYFUNCTION("IF(ISBLANK(B303),"""",IF(ISDATE(B303),TEXT(B303,""M""),""""))"),"")</f>
        <v/>
      </c>
      <c r="M303" s="29" t="str">
        <f>IFERROR(__xludf.DUMMYFUNCTION("IF(L303="""","""",QUERY({'Dashboard-Dados'!$Y$2:$AA$13},""Select Col2 Where Col1=""&amp;L303))"),"")</f>
        <v/>
      </c>
      <c r="N303" s="29" t="str">
        <f>IFERROR(__xludf.DUMMYFUNCTION("IF(ISBLANK(B303),"""",IF(ISDATE(B303),TEXT(B303,""yyyy""),""""))"),"")</f>
        <v/>
      </c>
    </row>
    <row r="304">
      <c r="B304" s="89"/>
      <c r="C304" s="86"/>
      <c r="D304" s="71"/>
      <c r="H304" s="90"/>
      <c r="J304" s="53" t="str">
        <f>IFERROR(__xludf.DUMMYFUNCTION("IF(ISBLANK(B304),"""",IF(ISDATE(B304),""X"",""""))"),"")</f>
        <v/>
      </c>
      <c r="K304" s="40" t="str">
        <f>IFERROR(__xludf.DUMMYFUNCTION("IF(ISBLANK(B304),"""",IF(ISDATE(B304),H304,""""))"),"")</f>
        <v/>
      </c>
      <c r="L304" s="40" t="str">
        <f>IFERROR(__xludf.DUMMYFUNCTION("IF(ISBLANK(B304),"""",IF(ISDATE(B304),TEXT(B304,""M""),""""))"),"")</f>
        <v/>
      </c>
      <c r="M304" s="29" t="str">
        <f>IFERROR(__xludf.DUMMYFUNCTION("IF(L304="""","""",QUERY({'Dashboard-Dados'!$Y$2:$AA$13},""Select Col2 Where Col1=""&amp;L304))"),"")</f>
        <v/>
      </c>
      <c r="N304" s="29" t="str">
        <f>IFERROR(__xludf.DUMMYFUNCTION("IF(ISBLANK(B304),"""",IF(ISDATE(B304),TEXT(B304,""yyyy""),""""))"),"")</f>
        <v/>
      </c>
    </row>
    <row r="305">
      <c r="B305" s="87"/>
      <c r="C305" s="85"/>
      <c r="D305" s="76"/>
      <c r="H305" s="88"/>
      <c r="J305" s="53" t="str">
        <f>IFERROR(__xludf.DUMMYFUNCTION("IF(ISBLANK(B305),"""",IF(ISDATE(B305),""X"",""""))"),"")</f>
        <v/>
      </c>
      <c r="K305" s="40" t="str">
        <f>IFERROR(__xludf.DUMMYFUNCTION("IF(ISBLANK(B305),"""",IF(ISDATE(B305),H305,""""))"),"")</f>
        <v/>
      </c>
      <c r="L305" s="40" t="str">
        <f>IFERROR(__xludf.DUMMYFUNCTION("IF(ISBLANK(B305),"""",IF(ISDATE(B305),TEXT(B305,""M""),""""))"),"")</f>
        <v/>
      </c>
      <c r="M305" s="29" t="str">
        <f>IFERROR(__xludf.DUMMYFUNCTION("IF(L305="""","""",QUERY({'Dashboard-Dados'!$Y$2:$AA$13},""Select Col2 Where Col1=""&amp;L305))"),"")</f>
        <v/>
      </c>
      <c r="N305" s="29" t="str">
        <f>IFERROR(__xludf.DUMMYFUNCTION("IF(ISBLANK(B305),"""",IF(ISDATE(B305),TEXT(B305,""yyyy""),""""))"),"")</f>
        <v/>
      </c>
    </row>
    <row r="306">
      <c r="B306" s="89"/>
      <c r="C306" s="86"/>
      <c r="D306" s="71"/>
      <c r="H306" s="90"/>
      <c r="J306" s="53" t="str">
        <f>IFERROR(__xludf.DUMMYFUNCTION("IF(ISBLANK(B306),"""",IF(ISDATE(B306),""X"",""""))"),"")</f>
        <v/>
      </c>
      <c r="K306" s="40" t="str">
        <f>IFERROR(__xludf.DUMMYFUNCTION("IF(ISBLANK(B306),"""",IF(ISDATE(B306),H306,""""))"),"")</f>
        <v/>
      </c>
      <c r="L306" s="40" t="str">
        <f>IFERROR(__xludf.DUMMYFUNCTION("IF(ISBLANK(B306),"""",IF(ISDATE(B306),TEXT(B306,""M""),""""))"),"")</f>
        <v/>
      </c>
      <c r="M306" s="29" t="str">
        <f>IFERROR(__xludf.DUMMYFUNCTION("IF(L306="""","""",QUERY({'Dashboard-Dados'!$Y$2:$AA$13},""Select Col2 Where Col1=""&amp;L306))"),"")</f>
        <v/>
      </c>
      <c r="N306" s="29" t="str">
        <f>IFERROR(__xludf.DUMMYFUNCTION("IF(ISBLANK(B306),"""",IF(ISDATE(B306),TEXT(B306,""yyyy""),""""))"),"")</f>
        <v/>
      </c>
    </row>
    <row r="307">
      <c r="B307" s="87"/>
      <c r="C307" s="85"/>
      <c r="D307" s="76"/>
      <c r="H307" s="88"/>
      <c r="J307" s="53" t="str">
        <f>IFERROR(__xludf.DUMMYFUNCTION("IF(ISBLANK(B307),"""",IF(ISDATE(B307),""X"",""""))"),"")</f>
        <v/>
      </c>
      <c r="K307" s="40" t="str">
        <f>IFERROR(__xludf.DUMMYFUNCTION("IF(ISBLANK(B307),"""",IF(ISDATE(B307),H307,""""))"),"")</f>
        <v/>
      </c>
      <c r="L307" s="40" t="str">
        <f>IFERROR(__xludf.DUMMYFUNCTION("IF(ISBLANK(B307),"""",IF(ISDATE(B307),TEXT(B307,""M""),""""))"),"")</f>
        <v/>
      </c>
      <c r="M307" s="29" t="str">
        <f>IFERROR(__xludf.DUMMYFUNCTION("IF(L307="""","""",QUERY({'Dashboard-Dados'!$Y$2:$AA$13},""Select Col2 Where Col1=""&amp;L307))"),"")</f>
        <v/>
      </c>
      <c r="N307" s="29" t="str">
        <f>IFERROR(__xludf.DUMMYFUNCTION("IF(ISBLANK(B307),"""",IF(ISDATE(B307),TEXT(B307,""yyyy""),""""))"),"")</f>
        <v/>
      </c>
    </row>
    <row r="308">
      <c r="B308" s="89"/>
      <c r="C308" s="86"/>
      <c r="D308" s="71"/>
      <c r="H308" s="90"/>
      <c r="J308" s="53" t="str">
        <f>IFERROR(__xludf.DUMMYFUNCTION("IF(ISBLANK(B308),"""",IF(ISDATE(B308),""X"",""""))"),"")</f>
        <v/>
      </c>
      <c r="K308" s="40" t="str">
        <f>IFERROR(__xludf.DUMMYFUNCTION("IF(ISBLANK(B308),"""",IF(ISDATE(B308),H308,""""))"),"")</f>
        <v/>
      </c>
      <c r="L308" s="40" t="str">
        <f>IFERROR(__xludf.DUMMYFUNCTION("IF(ISBLANK(B308),"""",IF(ISDATE(B308),TEXT(B308,""M""),""""))"),"")</f>
        <v/>
      </c>
      <c r="M308" s="29" t="str">
        <f>IFERROR(__xludf.DUMMYFUNCTION("IF(L308="""","""",QUERY({'Dashboard-Dados'!$Y$2:$AA$13},""Select Col2 Where Col1=""&amp;L308))"),"")</f>
        <v/>
      </c>
      <c r="N308" s="29" t="str">
        <f>IFERROR(__xludf.DUMMYFUNCTION("IF(ISBLANK(B308),"""",IF(ISDATE(B308),TEXT(B308,""yyyy""),""""))"),"")</f>
        <v/>
      </c>
    </row>
    <row r="309">
      <c r="B309" s="87"/>
      <c r="C309" s="85"/>
      <c r="D309" s="76"/>
      <c r="H309" s="88"/>
      <c r="J309" s="53" t="str">
        <f>IFERROR(__xludf.DUMMYFUNCTION("IF(ISBLANK(B309),"""",IF(ISDATE(B309),""X"",""""))"),"")</f>
        <v/>
      </c>
      <c r="K309" s="40" t="str">
        <f>IFERROR(__xludf.DUMMYFUNCTION("IF(ISBLANK(B309),"""",IF(ISDATE(B309),H309,""""))"),"")</f>
        <v/>
      </c>
      <c r="L309" s="40" t="str">
        <f>IFERROR(__xludf.DUMMYFUNCTION("IF(ISBLANK(B309),"""",IF(ISDATE(B309),TEXT(B309,""M""),""""))"),"")</f>
        <v/>
      </c>
      <c r="M309" s="29" t="str">
        <f>IFERROR(__xludf.DUMMYFUNCTION("IF(L309="""","""",QUERY({'Dashboard-Dados'!$Y$2:$AA$13},""Select Col2 Where Col1=""&amp;L309))"),"")</f>
        <v/>
      </c>
      <c r="N309" s="29" t="str">
        <f>IFERROR(__xludf.DUMMYFUNCTION("IF(ISBLANK(B309),"""",IF(ISDATE(B309),TEXT(B309,""yyyy""),""""))"),"")</f>
        <v/>
      </c>
    </row>
    <row r="310">
      <c r="B310" s="89"/>
      <c r="C310" s="86"/>
      <c r="D310" s="71"/>
      <c r="H310" s="90"/>
      <c r="J310" s="53" t="str">
        <f>IFERROR(__xludf.DUMMYFUNCTION("IF(ISBLANK(B310),"""",IF(ISDATE(B310),""X"",""""))"),"")</f>
        <v/>
      </c>
      <c r="K310" s="40" t="str">
        <f>IFERROR(__xludf.DUMMYFUNCTION("IF(ISBLANK(B310),"""",IF(ISDATE(B310),H310,""""))"),"")</f>
        <v/>
      </c>
      <c r="L310" s="40" t="str">
        <f>IFERROR(__xludf.DUMMYFUNCTION("IF(ISBLANK(B310),"""",IF(ISDATE(B310),TEXT(B310,""M""),""""))"),"")</f>
        <v/>
      </c>
      <c r="M310" s="29" t="str">
        <f>IFERROR(__xludf.DUMMYFUNCTION("IF(L310="""","""",QUERY({'Dashboard-Dados'!$Y$2:$AA$13},""Select Col2 Where Col1=""&amp;L310))"),"")</f>
        <v/>
      </c>
      <c r="N310" s="29" t="str">
        <f>IFERROR(__xludf.DUMMYFUNCTION("IF(ISBLANK(B310),"""",IF(ISDATE(B310),TEXT(B310,""yyyy""),""""))"),"")</f>
        <v/>
      </c>
    </row>
    <row r="311">
      <c r="B311" s="87"/>
      <c r="C311" s="85"/>
      <c r="D311" s="76"/>
      <c r="H311" s="88"/>
      <c r="J311" s="53" t="str">
        <f>IFERROR(__xludf.DUMMYFUNCTION("IF(ISBLANK(B311),"""",IF(ISDATE(B311),""X"",""""))"),"")</f>
        <v/>
      </c>
      <c r="K311" s="40" t="str">
        <f>IFERROR(__xludf.DUMMYFUNCTION("IF(ISBLANK(B311),"""",IF(ISDATE(B311),H311,""""))"),"")</f>
        <v/>
      </c>
      <c r="L311" s="40" t="str">
        <f>IFERROR(__xludf.DUMMYFUNCTION("IF(ISBLANK(B311),"""",IF(ISDATE(B311),TEXT(B311,""M""),""""))"),"")</f>
        <v/>
      </c>
      <c r="M311" s="29" t="str">
        <f>IFERROR(__xludf.DUMMYFUNCTION("IF(L311="""","""",QUERY({'Dashboard-Dados'!$Y$2:$AA$13},""Select Col2 Where Col1=""&amp;L311))"),"")</f>
        <v/>
      </c>
      <c r="N311" s="29" t="str">
        <f>IFERROR(__xludf.DUMMYFUNCTION("IF(ISBLANK(B311),"""",IF(ISDATE(B311),TEXT(B311,""yyyy""),""""))"),"")</f>
        <v/>
      </c>
    </row>
    <row r="312">
      <c r="B312" s="89"/>
      <c r="C312" s="86"/>
      <c r="D312" s="71"/>
      <c r="H312" s="90"/>
      <c r="J312" s="53" t="str">
        <f>IFERROR(__xludf.DUMMYFUNCTION("IF(ISBLANK(B312),"""",IF(ISDATE(B312),""X"",""""))"),"")</f>
        <v/>
      </c>
      <c r="K312" s="40" t="str">
        <f>IFERROR(__xludf.DUMMYFUNCTION("IF(ISBLANK(B312),"""",IF(ISDATE(B312),H312,""""))"),"")</f>
        <v/>
      </c>
      <c r="L312" s="40" t="str">
        <f>IFERROR(__xludf.DUMMYFUNCTION("IF(ISBLANK(B312),"""",IF(ISDATE(B312),TEXT(B312,""M""),""""))"),"")</f>
        <v/>
      </c>
      <c r="M312" s="29" t="str">
        <f>IFERROR(__xludf.DUMMYFUNCTION("IF(L312="""","""",QUERY({'Dashboard-Dados'!$Y$2:$AA$13},""Select Col2 Where Col1=""&amp;L312))"),"")</f>
        <v/>
      </c>
      <c r="N312" s="29" t="str">
        <f>IFERROR(__xludf.DUMMYFUNCTION("IF(ISBLANK(B312),"""",IF(ISDATE(B312),TEXT(B312,""yyyy""),""""))"),"")</f>
        <v/>
      </c>
    </row>
    <row r="313">
      <c r="B313" s="87"/>
      <c r="C313" s="85"/>
      <c r="D313" s="76"/>
      <c r="H313" s="88"/>
      <c r="J313" s="53" t="str">
        <f>IFERROR(__xludf.DUMMYFUNCTION("IF(ISBLANK(B313),"""",IF(ISDATE(B313),""X"",""""))"),"")</f>
        <v/>
      </c>
      <c r="K313" s="40" t="str">
        <f>IFERROR(__xludf.DUMMYFUNCTION("IF(ISBLANK(B313),"""",IF(ISDATE(B313),H313,""""))"),"")</f>
        <v/>
      </c>
      <c r="L313" s="40" t="str">
        <f>IFERROR(__xludf.DUMMYFUNCTION("IF(ISBLANK(B313),"""",IF(ISDATE(B313),TEXT(B313,""M""),""""))"),"")</f>
        <v/>
      </c>
      <c r="M313" s="29" t="str">
        <f>IFERROR(__xludf.DUMMYFUNCTION("IF(L313="""","""",QUERY({'Dashboard-Dados'!$Y$2:$AA$13},""Select Col2 Where Col1=""&amp;L313))"),"")</f>
        <v/>
      </c>
      <c r="N313" s="29" t="str">
        <f>IFERROR(__xludf.DUMMYFUNCTION("IF(ISBLANK(B313),"""",IF(ISDATE(B313),TEXT(B313,""yyyy""),""""))"),"")</f>
        <v/>
      </c>
    </row>
    <row r="314">
      <c r="B314" s="89"/>
      <c r="C314" s="86"/>
      <c r="D314" s="71"/>
      <c r="H314" s="90"/>
      <c r="J314" s="53" t="str">
        <f>IFERROR(__xludf.DUMMYFUNCTION("IF(ISBLANK(B314),"""",IF(ISDATE(B314),""X"",""""))"),"")</f>
        <v/>
      </c>
      <c r="K314" s="40" t="str">
        <f>IFERROR(__xludf.DUMMYFUNCTION("IF(ISBLANK(B314),"""",IF(ISDATE(B314),H314,""""))"),"")</f>
        <v/>
      </c>
      <c r="L314" s="40" t="str">
        <f>IFERROR(__xludf.DUMMYFUNCTION("IF(ISBLANK(B314),"""",IF(ISDATE(B314),TEXT(B314,""M""),""""))"),"")</f>
        <v/>
      </c>
      <c r="M314" s="29" t="str">
        <f>IFERROR(__xludf.DUMMYFUNCTION("IF(L314="""","""",QUERY({'Dashboard-Dados'!$Y$2:$AA$13},""Select Col2 Where Col1=""&amp;L314))"),"")</f>
        <v/>
      </c>
      <c r="N314" s="29" t="str">
        <f>IFERROR(__xludf.DUMMYFUNCTION("IF(ISBLANK(B314),"""",IF(ISDATE(B314),TEXT(B314,""yyyy""),""""))"),"")</f>
        <v/>
      </c>
    </row>
    <row r="315">
      <c r="B315" s="87"/>
      <c r="C315" s="85"/>
      <c r="D315" s="76"/>
      <c r="H315" s="88"/>
      <c r="J315" s="53" t="str">
        <f>IFERROR(__xludf.DUMMYFUNCTION("IF(ISBLANK(B315),"""",IF(ISDATE(B315),""X"",""""))"),"")</f>
        <v/>
      </c>
      <c r="K315" s="40" t="str">
        <f>IFERROR(__xludf.DUMMYFUNCTION("IF(ISBLANK(B315),"""",IF(ISDATE(B315),H315,""""))"),"")</f>
        <v/>
      </c>
      <c r="L315" s="40" t="str">
        <f>IFERROR(__xludf.DUMMYFUNCTION("IF(ISBLANK(B315),"""",IF(ISDATE(B315),TEXT(B315,""M""),""""))"),"")</f>
        <v/>
      </c>
      <c r="M315" s="29" t="str">
        <f>IFERROR(__xludf.DUMMYFUNCTION("IF(L315="""","""",QUERY({'Dashboard-Dados'!$Y$2:$AA$13},""Select Col2 Where Col1=""&amp;L315))"),"")</f>
        <v/>
      </c>
      <c r="N315" s="29" t="str">
        <f>IFERROR(__xludf.DUMMYFUNCTION("IF(ISBLANK(B315),"""",IF(ISDATE(B315),TEXT(B315,""yyyy""),""""))"),"")</f>
        <v/>
      </c>
    </row>
    <row r="316">
      <c r="B316" s="89"/>
      <c r="C316" s="86"/>
      <c r="D316" s="71"/>
      <c r="H316" s="90"/>
      <c r="J316" s="53" t="str">
        <f>IFERROR(__xludf.DUMMYFUNCTION("IF(ISBLANK(B316),"""",IF(ISDATE(B316),""X"",""""))"),"")</f>
        <v/>
      </c>
      <c r="K316" s="40" t="str">
        <f>IFERROR(__xludf.DUMMYFUNCTION("IF(ISBLANK(B316),"""",IF(ISDATE(B316),H316,""""))"),"")</f>
        <v/>
      </c>
      <c r="L316" s="40" t="str">
        <f>IFERROR(__xludf.DUMMYFUNCTION("IF(ISBLANK(B316),"""",IF(ISDATE(B316),TEXT(B316,""M""),""""))"),"")</f>
        <v/>
      </c>
      <c r="M316" s="29" t="str">
        <f>IFERROR(__xludf.DUMMYFUNCTION("IF(L316="""","""",QUERY({'Dashboard-Dados'!$Y$2:$AA$13},""Select Col2 Where Col1=""&amp;L316))"),"")</f>
        <v/>
      </c>
      <c r="N316" s="29" t="str">
        <f>IFERROR(__xludf.DUMMYFUNCTION("IF(ISBLANK(B316),"""",IF(ISDATE(B316),TEXT(B316,""yyyy""),""""))"),"")</f>
        <v/>
      </c>
    </row>
    <row r="317">
      <c r="B317" s="87"/>
      <c r="C317" s="85"/>
      <c r="D317" s="76"/>
      <c r="H317" s="88"/>
      <c r="J317" s="53" t="str">
        <f>IFERROR(__xludf.DUMMYFUNCTION("IF(ISBLANK(B317),"""",IF(ISDATE(B317),""X"",""""))"),"")</f>
        <v/>
      </c>
      <c r="K317" s="40" t="str">
        <f>IFERROR(__xludf.DUMMYFUNCTION("IF(ISBLANK(B317),"""",IF(ISDATE(B317),H317,""""))"),"")</f>
        <v/>
      </c>
      <c r="L317" s="40" t="str">
        <f>IFERROR(__xludf.DUMMYFUNCTION("IF(ISBLANK(B317),"""",IF(ISDATE(B317),TEXT(B317,""M""),""""))"),"")</f>
        <v/>
      </c>
      <c r="M317" s="29" t="str">
        <f>IFERROR(__xludf.DUMMYFUNCTION("IF(L317="""","""",QUERY({'Dashboard-Dados'!$Y$2:$AA$13},""Select Col2 Where Col1=""&amp;L317))"),"")</f>
        <v/>
      </c>
      <c r="N317" s="29" t="str">
        <f>IFERROR(__xludf.DUMMYFUNCTION("IF(ISBLANK(B317),"""",IF(ISDATE(B317),TEXT(B317,""yyyy""),""""))"),"")</f>
        <v/>
      </c>
    </row>
    <row r="318">
      <c r="B318" s="89"/>
      <c r="C318" s="86"/>
      <c r="D318" s="71"/>
      <c r="H318" s="90"/>
      <c r="J318" s="53" t="str">
        <f>IFERROR(__xludf.DUMMYFUNCTION("IF(ISBLANK(B318),"""",IF(ISDATE(B318),""X"",""""))"),"")</f>
        <v/>
      </c>
      <c r="K318" s="40" t="str">
        <f>IFERROR(__xludf.DUMMYFUNCTION("IF(ISBLANK(B318),"""",IF(ISDATE(B318),H318,""""))"),"")</f>
        <v/>
      </c>
      <c r="L318" s="40" t="str">
        <f>IFERROR(__xludf.DUMMYFUNCTION("IF(ISBLANK(B318),"""",IF(ISDATE(B318),TEXT(B318,""M""),""""))"),"")</f>
        <v/>
      </c>
      <c r="M318" s="29" t="str">
        <f>IFERROR(__xludf.DUMMYFUNCTION("IF(L318="""","""",QUERY({'Dashboard-Dados'!$Y$2:$AA$13},""Select Col2 Where Col1=""&amp;L318))"),"")</f>
        <v/>
      </c>
      <c r="N318" s="29" t="str">
        <f>IFERROR(__xludf.DUMMYFUNCTION("IF(ISBLANK(B318),"""",IF(ISDATE(B318),TEXT(B318,""yyyy""),""""))"),"")</f>
        <v/>
      </c>
    </row>
    <row r="319">
      <c r="B319" s="87"/>
      <c r="C319" s="85"/>
      <c r="D319" s="76"/>
      <c r="H319" s="88"/>
      <c r="J319" s="53" t="str">
        <f>IFERROR(__xludf.DUMMYFUNCTION("IF(ISBLANK(B319),"""",IF(ISDATE(B319),""X"",""""))"),"")</f>
        <v/>
      </c>
      <c r="K319" s="40" t="str">
        <f>IFERROR(__xludf.DUMMYFUNCTION("IF(ISBLANK(B319),"""",IF(ISDATE(B319),H319,""""))"),"")</f>
        <v/>
      </c>
      <c r="L319" s="40" t="str">
        <f>IFERROR(__xludf.DUMMYFUNCTION("IF(ISBLANK(B319),"""",IF(ISDATE(B319),TEXT(B319,""M""),""""))"),"")</f>
        <v/>
      </c>
      <c r="M319" s="29" t="str">
        <f>IFERROR(__xludf.DUMMYFUNCTION("IF(L319="""","""",QUERY({'Dashboard-Dados'!$Y$2:$AA$13},""Select Col2 Where Col1=""&amp;L319))"),"")</f>
        <v/>
      </c>
      <c r="N319" s="29" t="str">
        <f>IFERROR(__xludf.DUMMYFUNCTION("IF(ISBLANK(B319),"""",IF(ISDATE(B319),TEXT(B319,""yyyy""),""""))"),"")</f>
        <v/>
      </c>
    </row>
    <row r="320">
      <c r="B320" s="89"/>
      <c r="C320" s="86"/>
      <c r="D320" s="71"/>
      <c r="H320" s="90"/>
      <c r="J320" s="53" t="str">
        <f>IFERROR(__xludf.DUMMYFUNCTION("IF(ISBLANK(B320),"""",IF(ISDATE(B320),""X"",""""))"),"")</f>
        <v/>
      </c>
      <c r="K320" s="40" t="str">
        <f>IFERROR(__xludf.DUMMYFUNCTION("IF(ISBLANK(B320),"""",IF(ISDATE(B320),H320,""""))"),"")</f>
        <v/>
      </c>
      <c r="L320" s="40" t="str">
        <f>IFERROR(__xludf.DUMMYFUNCTION("IF(ISBLANK(B320),"""",IF(ISDATE(B320),TEXT(B320,""M""),""""))"),"")</f>
        <v/>
      </c>
      <c r="M320" s="29" t="str">
        <f>IFERROR(__xludf.DUMMYFUNCTION("IF(L320="""","""",QUERY({'Dashboard-Dados'!$Y$2:$AA$13},""Select Col2 Where Col1=""&amp;L320))"),"")</f>
        <v/>
      </c>
      <c r="N320" s="29" t="str">
        <f>IFERROR(__xludf.DUMMYFUNCTION("IF(ISBLANK(B320),"""",IF(ISDATE(B320),TEXT(B320,""yyyy""),""""))"),"")</f>
        <v/>
      </c>
    </row>
    <row r="321">
      <c r="B321" s="87"/>
      <c r="C321" s="85"/>
      <c r="D321" s="76"/>
      <c r="H321" s="88"/>
      <c r="J321" s="53" t="str">
        <f>IFERROR(__xludf.DUMMYFUNCTION("IF(ISBLANK(B321),"""",IF(ISDATE(B321),""X"",""""))"),"")</f>
        <v/>
      </c>
      <c r="K321" s="40" t="str">
        <f>IFERROR(__xludf.DUMMYFUNCTION("IF(ISBLANK(B321),"""",IF(ISDATE(B321),H321,""""))"),"")</f>
        <v/>
      </c>
      <c r="L321" s="40" t="str">
        <f>IFERROR(__xludf.DUMMYFUNCTION("IF(ISBLANK(B321),"""",IF(ISDATE(B321),TEXT(B321,""M""),""""))"),"")</f>
        <v/>
      </c>
      <c r="M321" s="29" t="str">
        <f>IFERROR(__xludf.DUMMYFUNCTION("IF(L321="""","""",QUERY({'Dashboard-Dados'!$Y$2:$AA$13},""Select Col2 Where Col1=""&amp;L321))"),"")</f>
        <v/>
      </c>
      <c r="N321" s="29" t="str">
        <f>IFERROR(__xludf.DUMMYFUNCTION("IF(ISBLANK(B321),"""",IF(ISDATE(B321),TEXT(B321,""yyyy""),""""))"),"")</f>
        <v/>
      </c>
    </row>
    <row r="322">
      <c r="B322" s="89"/>
      <c r="C322" s="86"/>
      <c r="D322" s="71"/>
      <c r="H322" s="90"/>
      <c r="J322" s="53" t="str">
        <f>IFERROR(__xludf.DUMMYFUNCTION("IF(ISBLANK(B322),"""",IF(ISDATE(B322),""X"",""""))"),"")</f>
        <v/>
      </c>
      <c r="K322" s="40" t="str">
        <f>IFERROR(__xludf.DUMMYFUNCTION("IF(ISBLANK(B322),"""",IF(ISDATE(B322),H322,""""))"),"")</f>
        <v/>
      </c>
      <c r="L322" s="40" t="str">
        <f>IFERROR(__xludf.DUMMYFUNCTION("IF(ISBLANK(B322),"""",IF(ISDATE(B322),TEXT(B322,""M""),""""))"),"")</f>
        <v/>
      </c>
      <c r="M322" s="29" t="str">
        <f>IFERROR(__xludf.DUMMYFUNCTION("IF(L322="""","""",QUERY({'Dashboard-Dados'!$Y$2:$AA$13},""Select Col2 Where Col1=""&amp;L322))"),"")</f>
        <v/>
      </c>
      <c r="N322" s="29" t="str">
        <f>IFERROR(__xludf.DUMMYFUNCTION("IF(ISBLANK(B322),"""",IF(ISDATE(B322),TEXT(B322,""yyyy""),""""))"),"")</f>
        <v/>
      </c>
    </row>
    <row r="323">
      <c r="B323" s="87"/>
      <c r="C323" s="85"/>
      <c r="D323" s="76"/>
      <c r="H323" s="88"/>
      <c r="J323" s="53" t="str">
        <f>IFERROR(__xludf.DUMMYFUNCTION("IF(ISBLANK(B323),"""",IF(ISDATE(B323),""X"",""""))"),"")</f>
        <v/>
      </c>
      <c r="K323" s="40" t="str">
        <f>IFERROR(__xludf.DUMMYFUNCTION("IF(ISBLANK(B323),"""",IF(ISDATE(B323),H323,""""))"),"")</f>
        <v/>
      </c>
      <c r="L323" s="40" t="str">
        <f>IFERROR(__xludf.DUMMYFUNCTION("IF(ISBLANK(B323),"""",IF(ISDATE(B323),TEXT(B323,""M""),""""))"),"")</f>
        <v/>
      </c>
      <c r="M323" s="29" t="str">
        <f>IFERROR(__xludf.DUMMYFUNCTION("IF(L323="""","""",QUERY({'Dashboard-Dados'!$Y$2:$AA$13},""Select Col2 Where Col1=""&amp;L323))"),"")</f>
        <v/>
      </c>
      <c r="N323" s="29" t="str">
        <f>IFERROR(__xludf.DUMMYFUNCTION("IF(ISBLANK(B323),"""",IF(ISDATE(B323),TEXT(B323,""yyyy""),""""))"),"")</f>
        <v/>
      </c>
    </row>
    <row r="324">
      <c r="B324" s="89"/>
      <c r="C324" s="86"/>
      <c r="D324" s="71"/>
      <c r="H324" s="90"/>
      <c r="J324" s="53" t="str">
        <f>IFERROR(__xludf.DUMMYFUNCTION("IF(ISBLANK(B324),"""",IF(ISDATE(B324),""X"",""""))"),"")</f>
        <v/>
      </c>
      <c r="K324" s="40" t="str">
        <f>IFERROR(__xludf.DUMMYFUNCTION("IF(ISBLANK(B324),"""",IF(ISDATE(B324),H324,""""))"),"")</f>
        <v/>
      </c>
      <c r="L324" s="40" t="str">
        <f>IFERROR(__xludf.DUMMYFUNCTION("IF(ISBLANK(B324),"""",IF(ISDATE(B324),TEXT(B324,""M""),""""))"),"")</f>
        <v/>
      </c>
      <c r="M324" s="29" t="str">
        <f>IFERROR(__xludf.DUMMYFUNCTION("IF(L324="""","""",QUERY({'Dashboard-Dados'!$Y$2:$AA$13},""Select Col2 Where Col1=""&amp;L324))"),"")</f>
        <v/>
      </c>
      <c r="N324" s="29" t="str">
        <f>IFERROR(__xludf.DUMMYFUNCTION("IF(ISBLANK(B324),"""",IF(ISDATE(B324),TEXT(B324,""yyyy""),""""))"),"")</f>
        <v/>
      </c>
    </row>
    <row r="325">
      <c r="B325" s="87"/>
      <c r="C325" s="85"/>
      <c r="D325" s="76"/>
      <c r="H325" s="88"/>
      <c r="J325" s="53" t="str">
        <f>IFERROR(__xludf.DUMMYFUNCTION("IF(ISBLANK(B325),"""",IF(ISDATE(B325),""X"",""""))"),"")</f>
        <v/>
      </c>
      <c r="K325" s="40" t="str">
        <f>IFERROR(__xludf.DUMMYFUNCTION("IF(ISBLANK(B325),"""",IF(ISDATE(B325),H325,""""))"),"")</f>
        <v/>
      </c>
      <c r="L325" s="40" t="str">
        <f>IFERROR(__xludf.DUMMYFUNCTION("IF(ISBLANK(B325),"""",IF(ISDATE(B325),TEXT(B325,""M""),""""))"),"")</f>
        <v/>
      </c>
      <c r="M325" s="29" t="str">
        <f>IFERROR(__xludf.DUMMYFUNCTION("IF(L325="""","""",QUERY({'Dashboard-Dados'!$Y$2:$AA$13},""Select Col2 Where Col1=""&amp;L325))"),"")</f>
        <v/>
      </c>
      <c r="N325" s="29" t="str">
        <f>IFERROR(__xludf.DUMMYFUNCTION("IF(ISBLANK(B325),"""",IF(ISDATE(B325),TEXT(B325,""yyyy""),""""))"),"")</f>
        <v/>
      </c>
    </row>
    <row r="326">
      <c r="B326" s="89"/>
      <c r="C326" s="86"/>
      <c r="D326" s="71"/>
      <c r="H326" s="90"/>
      <c r="J326" s="53" t="str">
        <f>IFERROR(__xludf.DUMMYFUNCTION("IF(ISBLANK(B326),"""",IF(ISDATE(B326),""X"",""""))"),"")</f>
        <v/>
      </c>
      <c r="K326" s="40" t="str">
        <f>IFERROR(__xludf.DUMMYFUNCTION("IF(ISBLANK(B326),"""",IF(ISDATE(B326),H326,""""))"),"")</f>
        <v/>
      </c>
      <c r="L326" s="40" t="str">
        <f>IFERROR(__xludf.DUMMYFUNCTION("IF(ISBLANK(B326),"""",IF(ISDATE(B326),TEXT(B326,""M""),""""))"),"")</f>
        <v/>
      </c>
      <c r="M326" s="29" t="str">
        <f>IFERROR(__xludf.DUMMYFUNCTION("IF(L326="""","""",QUERY({'Dashboard-Dados'!$Y$2:$AA$13},""Select Col2 Where Col1=""&amp;L326))"),"")</f>
        <v/>
      </c>
      <c r="N326" s="29" t="str">
        <f>IFERROR(__xludf.DUMMYFUNCTION("IF(ISBLANK(B326),"""",IF(ISDATE(B326),TEXT(B326,""yyyy""),""""))"),"")</f>
        <v/>
      </c>
    </row>
    <row r="327">
      <c r="B327" s="87"/>
      <c r="C327" s="85"/>
      <c r="D327" s="76"/>
      <c r="H327" s="88"/>
      <c r="J327" s="53" t="str">
        <f>IFERROR(__xludf.DUMMYFUNCTION("IF(ISBLANK(B327),"""",IF(ISDATE(B327),""X"",""""))"),"")</f>
        <v/>
      </c>
      <c r="K327" s="40" t="str">
        <f>IFERROR(__xludf.DUMMYFUNCTION("IF(ISBLANK(B327),"""",IF(ISDATE(B327),H327,""""))"),"")</f>
        <v/>
      </c>
      <c r="L327" s="40" t="str">
        <f>IFERROR(__xludf.DUMMYFUNCTION("IF(ISBLANK(B327),"""",IF(ISDATE(B327),TEXT(B327,""M""),""""))"),"")</f>
        <v/>
      </c>
      <c r="M327" s="29" t="str">
        <f>IFERROR(__xludf.DUMMYFUNCTION("IF(L327="""","""",QUERY({'Dashboard-Dados'!$Y$2:$AA$13},""Select Col2 Where Col1=""&amp;L327))"),"")</f>
        <v/>
      </c>
      <c r="N327" s="29" t="str">
        <f>IFERROR(__xludf.DUMMYFUNCTION("IF(ISBLANK(B327),"""",IF(ISDATE(B327),TEXT(B327,""yyyy""),""""))"),"")</f>
        <v/>
      </c>
    </row>
    <row r="328">
      <c r="B328" s="89"/>
      <c r="C328" s="86"/>
      <c r="D328" s="71"/>
      <c r="H328" s="90"/>
      <c r="J328" s="53" t="str">
        <f>IFERROR(__xludf.DUMMYFUNCTION("IF(ISBLANK(B328),"""",IF(ISDATE(B328),""X"",""""))"),"")</f>
        <v/>
      </c>
      <c r="K328" s="40" t="str">
        <f>IFERROR(__xludf.DUMMYFUNCTION("IF(ISBLANK(B328),"""",IF(ISDATE(B328),H328,""""))"),"")</f>
        <v/>
      </c>
      <c r="L328" s="40" t="str">
        <f>IFERROR(__xludf.DUMMYFUNCTION("IF(ISBLANK(B328),"""",IF(ISDATE(B328),TEXT(B328,""M""),""""))"),"")</f>
        <v/>
      </c>
      <c r="M328" s="29" t="str">
        <f>IFERROR(__xludf.DUMMYFUNCTION("IF(L328="""","""",QUERY({'Dashboard-Dados'!$Y$2:$AA$13},""Select Col2 Where Col1=""&amp;L328))"),"")</f>
        <v/>
      </c>
      <c r="N328" s="29" t="str">
        <f>IFERROR(__xludf.DUMMYFUNCTION("IF(ISBLANK(B328),"""",IF(ISDATE(B328),TEXT(B328,""yyyy""),""""))"),"")</f>
        <v/>
      </c>
    </row>
    <row r="329">
      <c r="B329" s="87"/>
      <c r="C329" s="85"/>
      <c r="D329" s="76"/>
      <c r="H329" s="88"/>
      <c r="J329" s="53" t="str">
        <f>IFERROR(__xludf.DUMMYFUNCTION("IF(ISBLANK(B329),"""",IF(ISDATE(B329),""X"",""""))"),"")</f>
        <v/>
      </c>
      <c r="K329" s="40" t="str">
        <f>IFERROR(__xludf.DUMMYFUNCTION("IF(ISBLANK(B329),"""",IF(ISDATE(B329),H329,""""))"),"")</f>
        <v/>
      </c>
      <c r="L329" s="40" t="str">
        <f>IFERROR(__xludf.DUMMYFUNCTION("IF(ISBLANK(B329),"""",IF(ISDATE(B329),TEXT(B329,""M""),""""))"),"")</f>
        <v/>
      </c>
      <c r="M329" s="29" t="str">
        <f>IFERROR(__xludf.DUMMYFUNCTION("IF(L329="""","""",QUERY({'Dashboard-Dados'!$Y$2:$AA$13},""Select Col2 Where Col1=""&amp;L329))"),"")</f>
        <v/>
      </c>
      <c r="N329" s="29" t="str">
        <f>IFERROR(__xludf.DUMMYFUNCTION("IF(ISBLANK(B329),"""",IF(ISDATE(B329),TEXT(B329,""yyyy""),""""))"),"")</f>
        <v/>
      </c>
    </row>
    <row r="330">
      <c r="B330" s="89"/>
      <c r="C330" s="86"/>
      <c r="D330" s="71"/>
      <c r="H330" s="90"/>
      <c r="J330" s="53" t="str">
        <f>IFERROR(__xludf.DUMMYFUNCTION("IF(ISBLANK(B330),"""",IF(ISDATE(B330),""X"",""""))"),"")</f>
        <v/>
      </c>
      <c r="K330" s="40" t="str">
        <f>IFERROR(__xludf.DUMMYFUNCTION("IF(ISBLANK(B330),"""",IF(ISDATE(B330),H330,""""))"),"")</f>
        <v/>
      </c>
      <c r="L330" s="40" t="str">
        <f>IFERROR(__xludf.DUMMYFUNCTION("IF(ISBLANK(B330),"""",IF(ISDATE(B330),TEXT(B330,""M""),""""))"),"")</f>
        <v/>
      </c>
      <c r="M330" s="29" t="str">
        <f>IFERROR(__xludf.DUMMYFUNCTION("IF(L330="""","""",QUERY({'Dashboard-Dados'!$Y$2:$AA$13},""Select Col2 Where Col1=""&amp;L330))"),"")</f>
        <v/>
      </c>
      <c r="N330" s="29" t="str">
        <f>IFERROR(__xludf.DUMMYFUNCTION("IF(ISBLANK(B330),"""",IF(ISDATE(B330),TEXT(B330,""yyyy""),""""))"),"")</f>
        <v/>
      </c>
    </row>
    <row r="331">
      <c r="B331" s="87"/>
      <c r="C331" s="85"/>
      <c r="D331" s="76"/>
      <c r="H331" s="88"/>
      <c r="J331" s="53" t="str">
        <f>IFERROR(__xludf.DUMMYFUNCTION("IF(ISBLANK(B331),"""",IF(ISDATE(B331),""X"",""""))"),"")</f>
        <v/>
      </c>
      <c r="K331" s="40" t="str">
        <f>IFERROR(__xludf.DUMMYFUNCTION("IF(ISBLANK(B331),"""",IF(ISDATE(B331),H331,""""))"),"")</f>
        <v/>
      </c>
      <c r="L331" s="40" t="str">
        <f>IFERROR(__xludf.DUMMYFUNCTION("IF(ISBLANK(B331),"""",IF(ISDATE(B331),TEXT(B331,""M""),""""))"),"")</f>
        <v/>
      </c>
      <c r="M331" s="29" t="str">
        <f>IFERROR(__xludf.DUMMYFUNCTION("IF(L331="""","""",QUERY({'Dashboard-Dados'!$Y$2:$AA$13},""Select Col2 Where Col1=""&amp;L331))"),"")</f>
        <v/>
      </c>
      <c r="N331" s="29" t="str">
        <f>IFERROR(__xludf.DUMMYFUNCTION("IF(ISBLANK(B331),"""",IF(ISDATE(B331),TEXT(B331,""yyyy""),""""))"),"")</f>
        <v/>
      </c>
    </row>
    <row r="332">
      <c r="B332" s="89"/>
      <c r="C332" s="86"/>
      <c r="D332" s="71"/>
      <c r="H332" s="90"/>
      <c r="J332" s="53" t="str">
        <f>IFERROR(__xludf.DUMMYFUNCTION("IF(ISBLANK(B332),"""",IF(ISDATE(B332),""X"",""""))"),"")</f>
        <v/>
      </c>
      <c r="K332" s="40" t="str">
        <f>IFERROR(__xludf.DUMMYFUNCTION("IF(ISBLANK(B332),"""",IF(ISDATE(B332),H332,""""))"),"")</f>
        <v/>
      </c>
      <c r="L332" s="40" t="str">
        <f>IFERROR(__xludf.DUMMYFUNCTION("IF(ISBLANK(B332),"""",IF(ISDATE(B332),TEXT(B332,""M""),""""))"),"")</f>
        <v/>
      </c>
      <c r="M332" s="29" t="str">
        <f>IFERROR(__xludf.DUMMYFUNCTION("IF(L332="""","""",QUERY({'Dashboard-Dados'!$Y$2:$AA$13},""Select Col2 Where Col1=""&amp;L332))"),"")</f>
        <v/>
      </c>
      <c r="N332" s="29" t="str">
        <f>IFERROR(__xludf.DUMMYFUNCTION("IF(ISBLANK(B332),"""",IF(ISDATE(B332),TEXT(B332,""yyyy""),""""))"),"")</f>
        <v/>
      </c>
    </row>
    <row r="333">
      <c r="B333" s="87"/>
      <c r="C333" s="85"/>
      <c r="D333" s="76"/>
      <c r="H333" s="88"/>
      <c r="J333" s="53" t="str">
        <f>IFERROR(__xludf.DUMMYFUNCTION("IF(ISBLANK(B333),"""",IF(ISDATE(B333),""X"",""""))"),"")</f>
        <v/>
      </c>
      <c r="K333" s="40" t="str">
        <f>IFERROR(__xludf.DUMMYFUNCTION("IF(ISBLANK(B333),"""",IF(ISDATE(B333),H333,""""))"),"")</f>
        <v/>
      </c>
      <c r="L333" s="40" t="str">
        <f>IFERROR(__xludf.DUMMYFUNCTION("IF(ISBLANK(B333),"""",IF(ISDATE(B333),TEXT(B333,""M""),""""))"),"")</f>
        <v/>
      </c>
      <c r="M333" s="29" t="str">
        <f>IFERROR(__xludf.DUMMYFUNCTION("IF(L333="""","""",QUERY({'Dashboard-Dados'!$Y$2:$AA$13},""Select Col2 Where Col1=""&amp;L333))"),"")</f>
        <v/>
      </c>
      <c r="N333" s="29" t="str">
        <f>IFERROR(__xludf.DUMMYFUNCTION("IF(ISBLANK(B333),"""",IF(ISDATE(B333),TEXT(B333,""yyyy""),""""))"),"")</f>
        <v/>
      </c>
    </row>
    <row r="334">
      <c r="B334" s="89"/>
      <c r="C334" s="86"/>
      <c r="D334" s="71"/>
      <c r="H334" s="90"/>
      <c r="J334" s="53" t="str">
        <f>IFERROR(__xludf.DUMMYFUNCTION("IF(ISBLANK(B334),"""",IF(ISDATE(B334),""X"",""""))"),"")</f>
        <v/>
      </c>
      <c r="K334" s="40" t="str">
        <f>IFERROR(__xludf.DUMMYFUNCTION("IF(ISBLANK(B334),"""",IF(ISDATE(B334),H334,""""))"),"")</f>
        <v/>
      </c>
      <c r="L334" s="40" t="str">
        <f>IFERROR(__xludf.DUMMYFUNCTION("IF(ISBLANK(B334),"""",IF(ISDATE(B334),TEXT(B334,""M""),""""))"),"")</f>
        <v/>
      </c>
      <c r="M334" s="29" t="str">
        <f>IFERROR(__xludf.DUMMYFUNCTION("IF(L334="""","""",QUERY({'Dashboard-Dados'!$Y$2:$AA$13},""Select Col2 Where Col1=""&amp;L334))"),"")</f>
        <v/>
      </c>
      <c r="N334" s="29" t="str">
        <f>IFERROR(__xludf.DUMMYFUNCTION("IF(ISBLANK(B334),"""",IF(ISDATE(B334),TEXT(B334,""yyyy""),""""))"),"")</f>
        <v/>
      </c>
    </row>
    <row r="335">
      <c r="B335" s="87"/>
      <c r="C335" s="85"/>
      <c r="D335" s="76"/>
      <c r="H335" s="88"/>
      <c r="J335" s="53" t="str">
        <f>IFERROR(__xludf.DUMMYFUNCTION("IF(ISBLANK(B335),"""",IF(ISDATE(B335),""X"",""""))"),"")</f>
        <v/>
      </c>
      <c r="K335" s="40" t="str">
        <f>IFERROR(__xludf.DUMMYFUNCTION("IF(ISBLANK(B335),"""",IF(ISDATE(B335),H335,""""))"),"")</f>
        <v/>
      </c>
      <c r="L335" s="40" t="str">
        <f>IFERROR(__xludf.DUMMYFUNCTION("IF(ISBLANK(B335),"""",IF(ISDATE(B335),TEXT(B335,""M""),""""))"),"")</f>
        <v/>
      </c>
      <c r="M335" s="29" t="str">
        <f>IFERROR(__xludf.DUMMYFUNCTION("IF(L335="""","""",QUERY({'Dashboard-Dados'!$Y$2:$AA$13},""Select Col2 Where Col1=""&amp;L335))"),"")</f>
        <v/>
      </c>
      <c r="N335" s="29" t="str">
        <f>IFERROR(__xludf.DUMMYFUNCTION("IF(ISBLANK(B335),"""",IF(ISDATE(B335),TEXT(B335,""yyyy""),""""))"),"")</f>
        <v/>
      </c>
    </row>
    <row r="336">
      <c r="B336" s="89"/>
      <c r="C336" s="86"/>
      <c r="D336" s="71"/>
      <c r="H336" s="90"/>
      <c r="J336" s="53" t="str">
        <f>IFERROR(__xludf.DUMMYFUNCTION("IF(ISBLANK(B336),"""",IF(ISDATE(B336),""X"",""""))"),"")</f>
        <v/>
      </c>
      <c r="K336" s="40" t="str">
        <f>IFERROR(__xludf.DUMMYFUNCTION("IF(ISBLANK(B336),"""",IF(ISDATE(B336),H336,""""))"),"")</f>
        <v/>
      </c>
      <c r="L336" s="40" t="str">
        <f>IFERROR(__xludf.DUMMYFUNCTION("IF(ISBLANK(B336),"""",IF(ISDATE(B336),TEXT(B336,""M""),""""))"),"")</f>
        <v/>
      </c>
      <c r="M336" s="29" t="str">
        <f>IFERROR(__xludf.DUMMYFUNCTION("IF(L336="""","""",QUERY({'Dashboard-Dados'!$Y$2:$AA$13},""Select Col2 Where Col1=""&amp;L336))"),"")</f>
        <v/>
      </c>
      <c r="N336" s="29" t="str">
        <f>IFERROR(__xludf.DUMMYFUNCTION("IF(ISBLANK(B336),"""",IF(ISDATE(B336),TEXT(B336,""yyyy""),""""))"),"")</f>
        <v/>
      </c>
    </row>
    <row r="337">
      <c r="B337" s="87"/>
      <c r="C337" s="85"/>
      <c r="D337" s="76"/>
      <c r="H337" s="88"/>
      <c r="J337" s="53" t="str">
        <f>IFERROR(__xludf.DUMMYFUNCTION("IF(ISBLANK(B337),"""",IF(ISDATE(B337),""X"",""""))"),"")</f>
        <v/>
      </c>
      <c r="K337" s="40" t="str">
        <f>IFERROR(__xludf.DUMMYFUNCTION("IF(ISBLANK(B337),"""",IF(ISDATE(B337),H337,""""))"),"")</f>
        <v/>
      </c>
      <c r="L337" s="40" t="str">
        <f>IFERROR(__xludf.DUMMYFUNCTION("IF(ISBLANK(B337),"""",IF(ISDATE(B337),TEXT(B337,""M""),""""))"),"")</f>
        <v/>
      </c>
      <c r="M337" s="29" t="str">
        <f>IFERROR(__xludf.DUMMYFUNCTION("IF(L337="""","""",QUERY({'Dashboard-Dados'!$Y$2:$AA$13},""Select Col2 Where Col1=""&amp;L337))"),"")</f>
        <v/>
      </c>
      <c r="N337" s="29" t="str">
        <f>IFERROR(__xludf.DUMMYFUNCTION("IF(ISBLANK(B337),"""",IF(ISDATE(B337),TEXT(B337,""yyyy""),""""))"),"")</f>
        <v/>
      </c>
    </row>
    <row r="338">
      <c r="B338" s="89"/>
      <c r="C338" s="86"/>
      <c r="D338" s="71"/>
      <c r="H338" s="90"/>
      <c r="J338" s="53" t="str">
        <f>IFERROR(__xludf.DUMMYFUNCTION("IF(ISBLANK(B338),"""",IF(ISDATE(B338),""X"",""""))"),"")</f>
        <v/>
      </c>
      <c r="K338" s="40" t="str">
        <f>IFERROR(__xludf.DUMMYFUNCTION("IF(ISBLANK(B338),"""",IF(ISDATE(B338),H338,""""))"),"")</f>
        <v/>
      </c>
      <c r="L338" s="40" t="str">
        <f>IFERROR(__xludf.DUMMYFUNCTION("IF(ISBLANK(B338),"""",IF(ISDATE(B338),TEXT(B338,""M""),""""))"),"")</f>
        <v/>
      </c>
      <c r="M338" s="29" t="str">
        <f>IFERROR(__xludf.DUMMYFUNCTION("IF(L338="""","""",QUERY({'Dashboard-Dados'!$Y$2:$AA$13},""Select Col2 Where Col1=""&amp;L338))"),"")</f>
        <v/>
      </c>
      <c r="N338" s="29" t="str">
        <f>IFERROR(__xludf.DUMMYFUNCTION("IF(ISBLANK(B338),"""",IF(ISDATE(B338),TEXT(B338,""yyyy""),""""))"),"")</f>
        <v/>
      </c>
    </row>
    <row r="339">
      <c r="B339" s="87"/>
      <c r="C339" s="85"/>
      <c r="D339" s="76"/>
      <c r="H339" s="88"/>
      <c r="J339" s="53" t="str">
        <f>IFERROR(__xludf.DUMMYFUNCTION("IF(ISBLANK(B339),"""",IF(ISDATE(B339),""X"",""""))"),"")</f>
        <v/>
      </c>
      <c r="K339" s="40" t="str">
        <f>IFERROR(__xludf.DUMMYFUNCTION("IF(ISBLANK(B339),"""",IF(ISDATE(B339),H339,""""))"),"")</f>
        <v/>
      </c>
      <c r="L339" s="40" t="str">
        <f>IFERROR(__xludf.DUMMYFUNCTION("IF(ISBLANK(B339),"""",IF(ISDATE(B339),TEXT(B339,""M""),""""))"),"")</f>
        <v/>
      </c>
      <c r="M339" s="29" t="str">
        <f>IFERROR(__xludf.DUMMYFUNCTION("IF(L339="""","""",QUERY({'Dashboard-Dados'!$Y$2:$AA$13},""Select Col2 Where Col1=""&amp;L339))"),"")</f>
        <v/>
      </c>
      <c r="N339" s="29" t="str">
        <f>IFERROR(__xludf.DUMMYFUNCTION("IF(ISBLANK(B339),"""",IF(ISDATE(B339),TEXT(B339,""yyyy""),""""))"),"")</f>
        <v/>
      </c>
    </row>
    <row r="340">
      <c r="B340" s="89"/>
      <c r="C340" s="86"/>
      <c r="D340" s="71"/>
      <c r="H340" s="90"/>
      <c r="J340" s="53" t="str">
        <f>IFERROR(__xludf.DUMMYFUNCTION("IF(ISBLANK(B340),"""",IF(ISDATE(B340),""X"",""""))"),"")</f>
        <v/>
      </c>
      <c r="K340" s="40" t="str">
        <f>IFERROR(__xludf.DUMMYFUNCTION("IF(ISBLANK(B340),"""",IF(ISDATE(B340),H340,""""))"),"")</f>
        <v/>
      </c>
      <c r="L340" s="40" t="str">
        <f>IFERROR(__xludf.DUMMYFUNCTION("IF(ISBLANK(B340),"""",IF(ISDATE(B340),TEXT(B340,""M""),""""))"),"")</f>
        <v/>
      </c>
      <c r="M340" s="29" t="str">
        <f>IFERROR(__xludf.DUMMYFUNCTION("IF(L340="""","""",QUERY({'Dashboard-Dados'!$Y$2:$AA$13},""Select Col2 Where Col1=""&amp;L340))"),"")</f>
        <v/>
      </c>
      <c r="N340" s="29" t="str">
        <f>IFERROR(__xludf.DUMMYFUNCTION("IF(ISBLANK(B340),"""",IF(ISDATE(B340),TEXT(B340,""yyyy""),""""))"),"")</f>
        <v/>
      </c>
    </row>
    <row r="341">
      <c r="B341" s="87"/>
      <c r="C341" s="85"/>
      <c r="D341" s="76"/>
      <c r="H341" s="88"/>
      <c r="J341" s="53" t="str">
        <f>IFERROR(__xludf.DUMMYFUNCTION("IF(ISBLANK(B341),"""",IF(ISDATE(B341),""X"",""""))"),"")</f>
        <v/>
      </c>
      <c r="K341" s="40" t="str">
        <f>IFERROR(__xludf.DUMMYFUNCTION("IF(ISBLANK(B341),"""",IF(ISDATE(B341),H341,""""))"),"")</f>
        <v/>
      </c>
      <c r="L341" s="40" t="str">
        <f>IFERROR(__xludf.DUMMYFUNCTION("IF(ISBLANK(B341),"""",IF(ISDATE(B341),TEXT(B341,""M""),""""))"),"")</f>
        <v/>
      </c>
      <c r="M341" s="29" t="str">
        <f>IFERROR(__xludf.DUMMYFUNCTION("IF(L341="""","""",QUERY({'Dashboard-Dados'!$Y$2:$AA$13},""Select Col2 Where Col1=""&amp;L341))"),"")</f>
        <v/>
      </c>
      <c r="N341" s="29" t="str">
        <f>IFERROR(__xludf.DUMMYFUNCTION("IF(ISBLANK(B341),"""",IF(ISDATE(B341),TEXT(B341,""yyyy""),""""))"),"")</f>
        <v/>
      </c>
    </row>
    <row r="342">
      <c r="B342" s="89"/>
      <c r="C342" s="86"/>
      <c r="D342" s="71"/>
      <c r="H342" s="90"/>
      <c r="J342" s="53" t="str">
        <f>IFERROR(__xludf.DUMMYFUNCTION("IF(ISBLANK(B342),"""",IF(ISDATE(B342),""X"",""""))"),"")</f>
        <v/>
      </c>
      <c r="K342" s="40" t="str">
        <f>IFERROR(__xludf.DUMMYFUNCTION("IF(ISBLANK(B342),"""",IF(ISDATE(B342),H342,""""))"),"")</f>
        <v/>
      </c>
      <c r="L342" s="40" t="str">
        <f>IFERROR(__xludf.DUMMYFUNCTION("IF(ISBLANK(B342),"""",IF(ISDATE(B342),TEXT(B342,""M""),""""))"),"")</f>
        <v/>
      </c>
      <c r="M342" s="29" t="str">
        <f>IFERROR(__xludf.DUMMYFUNCTION("IF(L342="""","""",QUERY({'Dashboard-Dados'!$Y$2:$AA$13},""Select Col2 Where Col1=""&amp;L342))"),"")</f>
        <v/>
      </c>
      <c r="N342" s="29" t="str">
        <f>IFERROR(__xludf.DUMMYFUNCTION("IF(ISBLANK(B342),"""",IF(ISDATE(B342),TEXT(B342,""yyyy""),""""))"),"")</f>
        <v/>
      </c>
    </row>
    <row r="343">
      <c r="B343" s="87"/>
      <c r="C343" s="85"/>
      <c r="D343" s="76"/>
      <c r="H343" s="88"/>
      <c r="J343" s="53" t="str">
        <f>IFERROR(__xludf.DUMMYFUNCTION("IF(ISBLANK(B343),"""",IF(ISDATE(B343),""X"",""""))"),"")</f>
        <v/>
      </c>
      <c r="K343" s="40" t="str">
        <f>IFERROR(__xludf.DUMMYFUNCTION("IF(ISBLANK(B343),"""",IF(ISDATE(B343),H343,""""))"),"")</f>
        <v/>
      </c>
      <c r="L343" s="40" t="str">
        <f>IFERROR(__xludf.DUMMYFUNCTION("IF(ISBLANK(B343),"""",IF(ISDATE(B343),TEXT(B343,""M""),""""))"),"")</f>
        <v/>
      </c>
      <c r="M343" s="29" t="str">
        <f>IFERROR(__xludf.DUMMYFUNCTION("IF(L343="""","""",QUERY({'Dashboard-Dados'!$Y$2:$AA$13},""Select Col2 Where Col1=""&amp;L343))"),"")</f>
        <v/>
      </c>
      <c r="N343" s="29" t="str">
        <f>IFERROR(__xludf.DUMMYFUNCTION("IF(ISBLANK(B343),"""",IF(ISDATE(B343),TEXT(B343,""yyyy""),""""))"),"")</f>
        <v/>
      </c>
    </row>
    <row r="344">
      <c r="B344" s="89"/>
      <c r="C344" s="86"/>
      <c r="D344" s="71"/>
      <c r="H344" s="90"/>
      <c r="J344" s="53" t="str">
        <f>IFERROR(__xludf.DUMMYFUNCTION("IF(ISBLANK(B344),"""",IF(ISDATE(B344),""X"",""""))"),"")</f>
        <v/>
      </c>
      <c r="K344" s="40" t="str">
        <f>IFERROR(__xludf.DUMMYFUNCTION("IF(ISBLANK(B344),"""",IF(ISDATE(B344),H344,""""))"),"")</f>
        <v/>
      </c>
      <c r="L344" s="40" t="str">
        <f>IFERROR(__xludf.DUMMYFUNCTION("IF(ISBLANK(B344),"""",IF(ISDATE(B344),TEXT(B344,""M""),""""))"),"")</f>
        <v/>
      </c>
      <c r="M344" s="29" t="str">
        <f>IFERROR(__xludf.DUMMYFUNCTION("IF(L344="""","""",QUERY({'Dashboard-Dados'!$Y$2:$AA$13},""Select Col2 Where Col1=""&amp;L344))"),"")</f>
        <v/>
      </c>
      <c r="N344" s="29" t="str">
        <f>IFERROR(__xludf.DUMMYFUNCTION("IF(ISBLANK(B344),"""",IF(ISDATE(B344),TEXT(B344,""yyyy""),""""))"),"")</f>
        <v/>
      </c>
    </row>
    <row r="345">
      <c r="B345" s="87"/>
      <c r="C345" s="85"/>
      <c r="D345" s="76"/>
      <c r="H345" s="88"/>
      <c r="J345" s="53" t="str">
        <f>IFERROR(__xludf.DUMMYFUNCTION("IF(ISBLANK(B345),"""",IF(ISDATE(B345),""X"",""""))"),"")</f>
        <v/>
      </c>
      <c r="K345" s="40" t="str">
        <f>IFERROR(__xludf.DUMMYFUNCTION("IF(ISBLANK(B345),"""",IF(ISDATE(B345),H345,""""))"),"")</f>
        <v/>
      </c>
      <c r="L345" s="40" t="str">
        <f>IFERROR(__xludf.DUMMYFUNCTION("IF(ISBLANK(B345),"""",IF(ISDATE(B345),TEXT(B345,""M""),""""))"),"")</f>
        <v/>
      </c>
      <c r="M345" s="29" t="str">
        <f>IFERROR(__xludf.DUMMYFUNCTION("IF(L345="""","""",QUERY({'Dashboard-Dados'!$Y$2:$AA$13},""Select Col2 Where Col1=""&amp;L345))"),"")</f>
        <v/>
      </c>
      <c r="N345" s="29" t="str">
        <f>IFERROR(__xludf.DUMMYFUNCTION("IF(ISBLANK(B345),"""",IF(ISDATE(B345),TEXT(B345,""yyyy""),""""))"),"")</f>
        <v/>
      </c>
    </row>
    <row r="346">
      <c r="B346" s="89"/>
      <c r="C346" s="86"/>
      <c r="D346" s="71"/>
      <c r="H346" s="90"/>
      <c r="J346" s="53" t="str">
        <f>IFERROR(__xludf.DUMMYFUNCTION("IF(ISBLANK(B346),"""",IF(ISDATE(B346),""X"",""""))"),"")</f>
        <v/>
      </c>
      <c r="K346" s="40" t="str">
        <f>IFERROR(__xludf.DUMMYFUNCTION("IF(ISBLANK(B346),"""",IF(ISDATE(B346),H346,""""))"),"")</f>
        <v/>
      </c>
      <c r="L346" s="40" t="str">
        <f>IFERROR(__xludf.DUMMYFUNCTION("IF(ISBLANK(B346),"""",IF(ISDATE(B346),TEXT(B346,""M""),""""))"),"")</f>
        <v/>
      </c>
      <c r="M346" s="29" t="str">
        <f>IFERROR(__xludf.DUMMYFUNCTION("IF(L346="""","""",QUERY({'Dashboard-Dados'!$Y$2:$AA$13},""Select Col2 Where Col1=""&amp;L346))"),"")</f>
        <v/>
      </c>
      <c r="N346" s="29" t="str">
        <f>IFERROR(__xludf.DUMMYFUNCTION("IF(ISBLANK(B346),"""",IF(ISDATE(B346),TEXT(B346,""yyyy""),""""))"),"")</f>
        <v/>
      </c>
    </row>
    <row r="347">
      <c r="B347" s="87"/>
      <c r="C347" s="85"/>
      <c r="D347" s="76"/>
      <c r="H347" s="88"/>
      <c r="J347" s="53" t="str">
        <f>IFERROR(__xludf.DUMMYFUNCTION("IF(ISBLANK(B347),"""",IF(ISDATE(B347),""X"",""""))"),"")</f>
        <v/>
      </c>
      <c r="K347" s="40" t="str">
        <f>IFERROR(__xludf.DUMMYFUNCTION("IF(ISBLANK(B347),"""",IF(ISDATE(B347),H347,""""))"),"")</f>
        <v/>
      </c>
      <c r="L347" s="40" t="str">
        <f>IFERROR(__xludf.DUMMYFUNCTION("IF(ISBLANK(B347),"""",IF(ISDATE(B347),TEXT(B347,""M""),""""))"),"")</f>
        <v/>
      </c>
      <c r="M347" s="29" t="str">
        <f>IFERROR(__xludf.DUMMYFUNCTION("IF(L347="""","""",QUERY({'Dashboard-Dados'!$Y$2:$AA$13},""Select Col2 Where Col1=""&amp;L347))"),"")</f>
        <v/>
      </c>
      <c r="N347" s="29" t="str">
        <f>IFERROR(__xludf.DUMMYFUNCTION("IF(ISBLANK(B347),"""",IF(ISDATE(B347),TEXT(B347,""yyyy""),""""))"),"")</f>
        <v/>
      </c>
    </row>
    <row r="348">
      <c r="B348" s="89"/>
      <c r="C348" s="86"/>
      <c r="D348" s="71"/>
      <c r="H348" s="90"/>
      <c r="J348" s="53" t="str">
        <f>IFERROR(__xludf.DUMMYFUNCTION("IF(ISBLANK(B348),"""",IF(ISDATE(B348),""X"",""""))"),"")</f>
        <v/>
      </c>
      <c r="K348" s="40" t="str">
        <f>IFERROR(__xludf.DUMMYFUNCTION("IF(ISBLANK(B348),"""",IF(ISDATE(B348),H348,""""))"),"")</f>
        <v/>
      </c>
      <c r="L348" s="40" t="str">
        <f>IFERROR(__xludf.DUMMYFUNCTION("IF(ISBLANK(B348),"""",IF(ISDATE(B348),TEXT(B348,""M""),""""))"),"")</f>
        <v/>
      </c>
      <c r="M348" s="29" t="str">
        <f>IFERROR(__xludf.DUMMYFUNCTION("IF(L348="""","""",QUERY({'Dashboard-Dados'!$Y$2:$AA$13},""Select Col2 Where Col1=""&amp;L348))"),"")</f>
        <v/>
      </c>
      <c r="N348" s="29" t="str">
        <f>IFERROR(__xludf.DUMMYFUNCTION("IF(ISBLANK(B348),"""",IF(ISDATE(B348),TEXT(B348,""yyyy""),""""))"),"")</f>
        <v/>
      </c>
    </row>
    <row r="349">
      <c r="B349" s="87"/>
      <c r="C349" s="85"/>
      <c r="D349" s="76"/>
      <c r="H349" s="88"/>
      <c r="J349" s="53" t="str">
        <f>IFERROR(__xludf.DUMMYFUNCTION("IF(ISBLANK(B349),"""",IF(ISDATE(B349),""X"",""""))"),"")</f>
        <v/>
      </c>
      <c r="K349" s="40" t="str">
        <f>IFERROR(__xludf.DUMMYFUNCTION("IF(ISBLANK(B349),"""",IF(ISDATE(B349),H349,""""))"),"")</f>
        <v/>
      </c>
      <c r="L349" s="40" t="str">
        <f>IFERROR(__xludf.DUMMYFUNCTION("IF(ISBLANK(B349),"""",IF(ISDATE(B349),TEXT(B349,""M""),""""))"),"")</f>
        <v/>
      </c>
      <c r="M349" s="29" t="str">
        <f>IFERROR(__xludf.DUMMYFUNCTION("IF(L349="""","""",QUERY({'Dashboard-Dados'!$Y$2:$AA$13},""Select Col2 Where Col1=""&amp;L349))"),"")</f>
        <v/>
      </c>
      <c r="N349" s="29" t="str">
        <f>IFERROR(__xludf.DUMMYFUNCTION("IF(ISBLANK(B349),"""",IF(ISDATE(B349),TEXT(B349,""yyyy""),""""))"),"")</f>
        <v/>
      </c>
    </row>
    <row r="350">
      <c r="B350" s="89"/>
      <c r="C350" s="86"/>
      <c r="D350" s="71"/>
      <c r="H350" s="90"/>
      <c r="J350" s="53" t="str">
        <f>IFERROR(__xludf.DUMMYFUNCTION("IF(ISBLANK(B350),"""",IF(ISDATE(B350),""X"",""""))"),"")</f>
        <v/>
      </c>
      <c r="K350" s="40" t="str">
        <f>IFERROR(__xludf.DUMMYFUNCTION("IF(ISBLANK(B350),"""",IF(ISDATE(B350),H350,""""))"),"")</f>
        <v/>
      </c>
      <c r="L350" s="40" t="str">
        <f>IFERROR(__xludf.DUMMYFUNCTION("IF(ISBLANK(B350),"""",IF(ISDATE(B350),TEXT(B350,""M""),""""))"),"")</f>
        <v/>
      </c>
      <c r="M350" s="29" t="str">
        <f>IFERROR(__xludf.DUMMYFUNCTION("IF(L350="""","""",QUERY({'Dashboard-Dados'!$Y$2:$AA$13},""Select Col2 Where Col1=""&amp;L350))"),"")</f>
        <v/>
      </c>
      <c r="N350" s="29" t="str">
        <f>IFERROR(__xludf.DUMMYFUNCTION("IF(ISBLANK(B350),"""",IF(ISDATE(B350),TEXT(B350,""yyyy""),""""))"),"")</f>
        <v/>
      </c>
    </row>
    <row r="351">
      <c r="B351" s="87"/>
      <c r="C351" s="85"/>
      <c r="D351" s="76"/>
      <c r="H351" s="88"/>
      <c r="J351" s="53" t="str">
        <f>IFERROR(__xludf.DUMMYFUNCTION("IF(ISBLANK(B351),"""",IF(ISDATE(B351),""X"",""""))"),"")</f>
        <v/>
      </c>
      <c r="K351" s="40" t="str">
        <f>IFERROR(__xludf.DUMMYFUNCTION("IF(ISBLANK(B351),"""",IF(ISDATE(B351),H351,""""))"),"")</f>
        <v/>
      </c>
      <c r="L351" s="40" t="str">
        <f>IFERROR(__xludf.DUMMYFUNCTION("IF(ISBLANK(B351),"""",IF(ISDATE(B351),TEXT(B351,""M""),""""))"),"")</f>
        <v/>
      </c>
      <c r="M351" s="29" t="str">
        <f>IFERROR(__xludf.DUMMYFUNCTION("IF(L351="""","""",QUERY({'Dashboard-Dados'!$Y$2:$AA$13},""Select Col2 Where Col1=""&amp;L351))"),"")</f>
        <v/>
      </c>
      <c r="N351" s="29" t="str">
        <f>IFERROR(__xludf.DUMMYFUNCTION("IF(ISBLANK(B351),"""",IF(ISDATE(B351),TEXT(B351,""yyyy""),""""))"),"")</f>
        <v/>
      </c>
    </row>
    <row r="352">
      <c r="B352" s="89"/>
      <c r="C352" s="86"/>
      <c r="D352" s="71"/>
      <c r="H352" s="90"/>
      <c r="J352" s="53" t="str">
        <f>IFERROR(__xludf.DUMMYFUNCTION("IF(ISBLANK(B352),"""",IF(ISDATE(B352),""X"",""""))"),"")</f>
        <v/>
      </c>
      <c r="K352" s="40" t="str">
        <f>IFERROR(__xludf.DUMMYFUNCTION("IF(ISBLANK(B352),"""",IF(ISDATE(B352),H352,""""))"),"")</f>
        <v/>
      </c>
      <c r="L352" s="40" t="str">
        <f>IFERROR(__xludf.DUMMYFUNCTION("IF(ISBLANK(B352),"""",IF(ISDATE(B352),TEXT(B352,""M""),""""))"),"")</f>
        <v/>
      </c>
      <c r="M352" s="29" t="str">
        <f>IFERROR(__xludf.DUMMYFUNCTION("IF(L352="""","""",QUERY({'Dashboard-Dados'!$Y$2:$AA$13},""Select Col2 Where Col1=""&amp;L352))"),"")</f>
        <v/>
      </c>
      <c r="N352" s="29" t="str">
        <f>IFERROR(__xludf.DUMMYFUNCTION("IF(ISBLANK(B352),"""",IF(ISDATE(B352),TEXT(B352,""yyyy""),""""))"),"")</f>
        <v/>
      </c>
    </row>
    <row r="353">
      <c r="B353" s="87"/>
      <c r="C353" s="85"/>
      <c r="D353" s="76"/>
      <c r="H353" s="88"/>
      <c r="J353" s="53" t="str">
        <f>IFERROR(__xludf.DUMMYFUNCTION("IF(ISBLANK(B353),"""",IF(ISDATE(B353),""X"",""""))"),"")</f>
        <v/>
      </c>
      <c r="K353" s="40" t="str">
        <f>IFERROR(__xludf.DUMMYFUNCTION("IF(ISBLANK(B353),"""",IF(ISDATE(B353),H353,""""))"),"")</f>
        <v/>
      </c>
      <c r="L353" s="40" t="str">
        <f>IFERROR(__xludf.DUMMYFUNCTION("IF(ISBLANK(B353),"""",IF(ISDATE(B353),TEXT(B353,""M""),""""))"),"")</f>
        <v/>
      </c>
      <c r="M353" s="29" t="str">
        <f>IFERROR(__xludf.DUMMYFUNCTION("IF(L353="""","""",QUERY({'Dashboard-Dados'!$Y$2:$AA$13},""Select Col2 Where Col1=""&amp;L353))"),"")</f>
        <v/>
      </c>
      <c r="N353" s="29" t="str">
        <f>IFERROR(__xludf.DUMMYFUNCTION("IF(ISBLANK(B353),"""",IF(ISDATE(B353),TEXT(B353,""yyyy""),""""))"),"")</f>
        <v/>
      </c>
    </row>
    <row r="354">
      <c r="B354" s="89"/>
      <c r="C354" s="86"/>
      <c r="D354" s="71"/>
      <c r="H354" s="90"/>
      <c r="J354" s="53" t="str">
        <f>IFERROR(__xludf.DUMMYFUNCTION("IF(ISBLANK(B354),"""",IF(ISDATE(B354),""X"",""""))"),"")</f>
        <v/>
      </c>
      <c r="K354" s="40" t="str">
        <f>IFERROR(__xludf.DUMMYFUNCTION("IF(ISBLANK(B354),"""",IF(ISDATE(B354),H354,""""))"),"")</f>
        <v/>
      </c>
      <c r="L354" s="40" t="str">
        <f>IFERROR(__xludf.DUMMYFUNCTION("IF(ISBLANK(B354),"""",IF(ISDATE(B354),TEXT(B354,""M""),""""))"),"")</f>
        <v/>
      </c>
      <c r="M354" s="29" t="str">
        <f>IFERROR(__xludf.DUMMYFUNCTION("IF(L354="""","""",QUERY({'Dashboard-Dados'!$Y$2:$AA$13},""Select Col2 Where Col1=""&amp;L354))"),"")</f>
        <v/>
      </c>
      <c r="N354" s="29" t="str">
        <f>IFERROR(__xludf.DUMMYFUNCTION("IF(ISBLANK(B354),"""",IF(ISDATE(B354),TEXT(B354,""yyyy""),""""))"),"")</f>
        <v/>
      </c>
    </row>
    <row r="355">
      <c r="B355" s="87"/>
      <c r="C355" s="85"/>
      <c r="D355" s="76"/>
      <c r="H355" s="88"/>
      <c r="J355" s="53" t="str">
        <f>IFERROR(__xludf.DUMMYFUNCTION("IF(ISBLANK(B355),"""",IF(ISDATE(B355),""X"",""""))"),"")</f>
        <v/>
      </c>
      <c r="K355" s="40" t="str">
        <f>IFERROR(__xludf.DUMMYFUNCTION("IF(ISBLANK(B355),"""",IF(ISDATE(B355),H355,""""))"),"")</f>
        <v/>
      </c>
      <c r="L355" s="40" t="str">
        <f>IFERROR(__xludf.DUMMYFUNCTION("IF(ISBLANK(B355),"""",IF(ISDATE(B355),TEXT(B355,""M""),""""))"),"")</f>
        <v/>
      </c>
      <c r="M355" s="29" t="str">
        <f>IFERROR(__xludf.DUMMYFUNCTION("IF(L355="""","""",QUERY({'Dashboard-Dados'!$Y$2:$AA$13},""Select Col2 Where Col1=""&amp;L355))"),"")</f>
        <v/>
      </c>
      <c r="N355" s="29" t="str">
        <f>IFERROR(__xludf.DUMMYFUNCTION("IF(ISBLANK(B355),"""",IF(ISDATE(B355),TEXT(B355,""yyyy""),""""))"),"")</f>
        <v/>
      </c>
    </row>
    <row r="356">
      <c r="B356" s="89"/>
      <c r="C356" s="86"/>
      <c r="D356" s="71"/>
      <c r="H356" s="90"/>
      <c r="J356" s="53" t="str">
        <f>IFERROR(__xludf.DUMMYFUNCTION("IF(ISBLANK(B356),"""",IF(ISDATE(B356),""X"",""""))"),"")</f>
        <v/>
      </c>
      <c r="K356" s="40" t="str">
        <f>IFERROR(__xludf.DUMMYFUNCTION("IF(ISBLANK(B356),"""",IF(ISDATE(B356),H356,""""))"),"")</f>
        <v/>
      </c>
      <c r="L356" s="40" t="str">
        <f>IFERROR(__xludf.DUMMYFUNCTION("IF(ISBLANK(B356),"""",IF(ISDATE(B356),TEXT(B356,""M""),""""))"),"")</f>
        <v/>
      </c>
      <c r="M356" s="29" t="str">
        <f>IFERROR(__xludf.DUMMYFUNCTION("IF(L356="""","""",QUERY({'Dashboard-Dados'!$Y$2:$AA$13},""Select Col2 Where Col1=""&amp;L356))"),"")</f>
        <v/>
      </c>
      <c r="N356" s="29" t="str">
        <f>IFERROR(__xludf.DUMMYFUNCTION("IF(ISBLANK(B356),"""",IF(ISDATE(B356),TEXT(B356,""yyyy""),""""))"),"")</f>
        <v/>
      </c>
    </row>
    <row r="357">
      <c r="B357" s="87"/>
      <c r="C357" s="85"/>
      <c r="D357" s="76"/>
      <c r="H357" s="88"/>
      <c r="J357" s="53" t="str">
        <f>IFERROR(__xludf.DUMMYFUNCTION("IF(ISBLANK(B357),"""",IF(ISDATE(B357),""X"",""""))"),"")</f>
        <v/>
      </c>
      <c r="K357" s="40" t="str">
        <f>IFERROR(__xludf.DUMMYFUNCTION("IF(ISBLANK(B357),"""",IF(ISDATE(B357),H357,""""))"),"")</f>
        <v/>
      </c>
      <c r="L357" s="40" t="str">
        <f>IFERROR(__xludf.DUMMYFUNCTION("IF(ISBLANK(B357),"""",IF(ISDATE(B357),TEXT(B357,""M""),""""))"),"")</f>
        <v/>
      </c>
      <c r="M357" s="29" t="str">
        <f>IFERROR(__xludf.DUMMYFUNCTION("IF(L357="""","""",QUERY({'Dashboard-Dados'!$Y$2:$AA$13},""Select Col2 Where Col1=""&amp;L357))"),"")</f>
        <v/>
      </c>
      <c r="N357" s="29" t="str">
        <f>IFERROR(__xludf.DUMMYFUNCTION("IF(ISBLANK(B357),"""",IF(ISDATE(B357),TEXT(B357,""yyyy""),""""))"),"")</f>
        <v/>
      </c>
    </row>
    <row r="358">
      <c r="B358" s="89"/>
      <c r="C358" s="86"/>
      <c r="D358" s="71"/>
      <c r="H358" s="90"/>
      <c r="J358" s="53" t="str">
        <f>IFERROR(__xludf.DUMMYFUNCTION("IF(ISBLANK(B358),"""",IF(ISDATE(B358),""X"",""""))"),"")</f>
        <v/>
      </c>
      <c r="K358" s="40" t="str">
        <f>IFERROR(__xludf.DUMMYFUNCTION("IF(ISBLANK(B358),"""",IF(ISDATE(B358),H358,""""))"),"")</f>
        <v/>
      </c>
      <c r="L358" s="40" t="str">
        <f>IFERROR(__xludf.DUMMYFUNCTION("IF(ISBLANK(B358),"""",IF(ISDATE(B358),TEXT(B358,""M""),""""))"),"")</f>
        <v/>
      </c>
      <c r="M358" s="29" t="str">
        <f>IFERROR(__xludf.DUMMYFUNCTION("IF(L358="""","""",QUERY({'Dashboard-Dados'!$Y$2:$AA$13},""Select Col2 Where Col1=""&amp;L358))"),"")</f>
        <v/>
      </c>
      <c r="N358" s="29" t="str">
        <f>IFERROR(__xludf.DUMMYFUNCTION("IF(ISBLANK(B358),"""",IF(ISDATE(B358),TEXT(B358,""yyyy""),""""))"),"")</f>
        <v/>
      </c>
    </row>
    <row r="359">
      <c r="B359" s="87"/>
      <c r="C359" s="85"/>
      <c r="D359" s="76"/>
      <c r="H359" s="88"/>
      <c r="J359" s="53" t="str">
        <f>IFERROR(__xludf.DUMMYFUNCTION("IF(ISBLANK(B359),"""",IF(ISDATE(B359),""X"",""""))"),"")</f>
        <v/>
      </c>
      <c r="K359" s="40" t="str">
        <f>IFERROR(__xludf.DUMMYFUNCTION("IF(ISBLANK(B359),"""",IF(ISDATE(B359),H359,""""))"),"")</f>
        <v/>
      </c>
      <c r="L359" s="40" t="str">
        <f>IFERROR(__xludf.DUMMYFUNCTION("IF(ISBLANK(B359),"""",IF(ISDATE(B359),TEXT(B359,""M""),""""))"),"")</f>
        <v/>
      </c>
      <c r="M359" s="29" t="str">
        <f>IFERROR(__xludf.DUMMYFUNCTION("IF(L359="""","""",QUERY({'Dashboard-Dados'!$Y$2:$AA$13},""Select Col2 Where Col1=""&amp;L359))"),"")</f>
        <v/>
      </c>
      <c r="N359" s="29" t="str">
        <f>IFERROR(__xludf.DUMMYFUNCTION("IF(ISBLANK(B359),"""",IF(ISDATE(B359),TEXT(B359,""yyyy""),""""))"),"")</f>
        <v/>
      </c>
    </row>
    <row r="360">
      <c r="B360" s="89"/>
      <c r="C360" s="86"/>
      <c r="D360" s="71"/>
      <c r="H360" s="90"/>
      <c r="J360" s="53" t="str">
        <f>IFERROR(__xludf.DUMMYFUNCTION("IF(ISBLANK(B360),"""",IF(ISDATE(B360),""X"",""""))"),"")</f>
        <v/>
      </c>
      <c r="K360" s="40" t="str">
        <f>IFERROR(__xludf.DUMMYFUNCTION("IF(ISBLANK(B360),"""",IF(ISDATE(B360),H360,""""))"),"")</f>
        <v/>
      </c>
      <c r="L360" s="40" t="str">
        <f>IFERROR(__xludf.DUMMYFUNCTION("IF(ISBLANK(B360),"""",IF(ISDATE(B360),TEXT(B360,""M""),""""))"),"")</f>
        <v/>
      </c>
      <c r="M360" s="29" t="str">
        <f>IFERROR(__xludf.DUMMYFUNCTION("IF(L360="""","""",QUERY({'Dashboard-Dados'!$Y$2:$AA$13},""Select Col2 Where Col1=""&amp;L360))"),"")</f>
        <v/>
      </c>
      <c r="N360" s="29" t="str">
        <f>IFERROR(__xludf.DUMMYFUNCTION("IF(ISBLANK(B360),"""",IF(ISDATE(B360),TEXT(B360,""yyyy""),""""))"),"")</f>
        <v/>
      </c>
    </row>
    <row r="361">
      <c r="B361" s="87"/>
      <c r="C361" s="85"/>
      <c r="D361" s="76"/>
      <c r="H361" s="88"/>
      <c r="J361" s="53" t="str">
        <f>IFERROR(__xludf.DUMMYFUNCTION("IF(ISBLANK(B361),"""",IF(ISDATE(B361),""X"",""""))"),"")</f>
        <v/>
      </c>
      <c r="K361" s="40" t="str">
        <f>IFERROR(__xludf.DUMMYFUNCTION("IF(ISBLANK(B361),"""",IF(ISDATE(B361),H361,""""))"),"")</f>
        <v/>
      </c>
      <c r="L361" s="40" t="str">
        <f>IFERROR(__xludf.DUMMYFUNCTION("IF(ISBLANK(B361),"""",IF(ISDATE(B361),TEXT(B361,""M""),""""))"),"")</f>
        <v/>
      </c>
      <c r="M361" s="29" t="str">
        <f>IFERROR(__xludf.DUMMYFUNCTION("IF(L361="""","""",QUERY({'Dashboard-Dados'!$Y$2:$AA$13},""Select Col2 Where Col1=""&amp;L361))"),"")</f>
        <v/>
      </c>
      <c r="N361" s="29" t="str">
        <f>IFERROR(__xludf.DUMMYFUNCTION("IF(ISBLANK(B361),"""",IF(ISDATE(B361),TEXT(B361,""yyyy""),""""))"),"")</f>
        <v/>
      </c>
    </row>
    <row r="362">
      <c r="B362" s="89"/>
      <c r="C362" s="86"/>
      <c r="D362" s="71"/>
      <c r="H362" s="90"/>
      <c r="J362" s="53" t="str">
        <f>IFERROR(__xludf.DUMMYFUNCTION("IF(ISBLANK(B362),"""",IF(ISDATE(B362),""X"",""""))"),"")</f>
        <v/>
      </c>
      <c r="K362" s="40" t="str">
        <f>IFERROR(__xludf.DUMMYFUNCTION("IF(ISBLANK(B362),"""",IF(ISDATE(B362),H362,""""))"),"")</f>
        <v/>
      </c>
      <c r="L362" s="40" t="str">
        <f>IFERROR(__xludf.DUMMYFUNCTION("IF(ISBLANK(B362),"""",IF(ISDATE(B362),TEXT(B362,""M""),""""))"),"")</f>
        <v/>
      </c>
      <c r="M362" s="29" t="str">
        <f>IFERROR(__xludf.DUMMYFUNCTION("IF(L362="""","""",QUERY({'Dashboard-Dados'!$Y$2:$AA$13},""Select Col2 Where Col1=""&amp;L362))"),"")</f>
        <v/>
      </c>
      <c r="N362" s="29" t="str">
        <f>IFERROR(__xludf.DUMMYFUNCTION("IF(ISBLANK(B362),"""",IF(ISDATE(B362),TEXT(B362,""yyyy""),""""))"),"")</f>
        <v/>
      </c>
    </row>
    <row r="363">
      <c r="B363" s="87"/>
      <c r="C363" s="85"/>
      <c r="D363" s="76"/>
      <c r="H363" s="88"/>
      <c r="J363" s="53" t="str">
        <f>IFERROR(__xludf.DUMMYFUNCTION("IF(ISBLANK(B363),"""",IF(ISDATE(B363),""X"",""""))"),"")</f>
        <v/>
      </c>
      <c r="K363" s="40" t="str">
        <f>IFERROR(__xludf.DUMMYFUNCTION("IF(ISBLANK(B363),"""",IF(ISDATE(B363),H363,""""))"),"")</f>
        <v/>
      </c>
      <c r="L363" s="40" t="str">
        <f>IFERROR(__xludf.DUMMYFUNCTION("IF(ISBLANK(B363),"""",IF(ISDATE(B363),TEXT(B363,""M""),""""))"),"")</f>
        <v/>
      </c>
      <c r="M363" s="29" t="str">
        <f>IFERROR(__xludf.DUMMYFUNCTION("IF(L363="""","""",QUERY({'Dashboard-Dados'!$Y$2:$AA$13},""Select Col2 Where Col1=""&amp;L363))"),"")</f>
        <v/>
      </c>
      <c r="N363" s="29" t="str">
        <f>IFERROR(__xludf.DUMMYFUNCTION("IF(ISBLANK(B363),"""",IF(ISDATE(B363),TEXT(B363,""yyyy""),""""))"),"")</f>
        <v/>
      </c>
    </row>
    <row r="364">
      <c r="B364" s="89"/>
      <c r="C364" s="86"/>
      <c r="D364" s="71"/>
      <c r="H364" s="90"/>
      <c r="J364" s="53" t="str">
        <f>IFERROR(__xludf.DUMMYFUNCTION("IF(ISBLANK(B364),"""",IF(ISDATE(B364),""X"",""""))"),"")</f>
        <v/>
      </c>
      <c r="K364" s="40" t="str">
        <f>IFERROR(__xludf.DUMMYFUNCTION("IF(ISBLANK(B364),"""",IF(ISDATE(B364),H364,""""))"),"")</f>
        <v/>
      </c>
      <c r="L364" s="40" t="str">
        <f>IFERROR(__xludf.DUMMYFUNCTION("IF(ISBLANK(B364),"""",IF(ISDATE(B364),TEXT(B364,""M""),""""))"),"")</f>
        <v/>
      </c>
      <c r="M364" s="29" t="str">
        <f>IFERROR(__xludf.DUMMYFUNCTION("IF(L364="""","""",QUERY({'Dashboard-Dados'!$Y$2:$AA$13},""Select Col2 Where Col1=""&amp;L364))"),"")</f>
        <v/>
      </c>
      <c r="N364" s="29" t="str">
        <f>IFERROR(__xludf.DUMMYFUNCTION("IF(ISBLANK(B364),"""",IF(ISDATE(B364),TEXT(B364,""yyyy""),""""))"),"")</f>
        <v/>
      </c>
    </row>
    <row r="365">
      <c r="B365" s="87"/>
      <c r="C365" s="85"/>
      <c r="D365" s="76"/>
      <c r="H365" s="88"/>
      <c r="J365" s="53" t="str">
        <f>IFERROR(__xludf.DUMMYFUNCTION("IF(ISBLANK(B365),"""",IF(ISDATE(B365),""X"",""""))"),"")</f>
        <v/>
      </c>
      <c r="K365" s="40" t="str">
        <f>IFERROR(__xludf.DUMMYFUNCTION("IF(ISBLANK(B365),"""",IF(ISDATE(B365),H365,""""))"),"")</f>
        <v/>
      </c>
      <c r="L365" s="40" t="str">
        <f>IFERROR(__xludf.DUMMYFUNCTION("IF(ISBLANK(B365),"""",IF(ISDATE(B365),TEXT(B365,""M""),""""))"),"")</f>
        <v/>
      </c>
      <c r="M365" s="29" t="str">
        <f>IFERROR(__xludf.DUMMYFUNCTION("IF(L365="""","""",QUERY({'Dashboard-Dados'!$Y$2:$AA$13},""Select Col2 Where Col1=""&amp;L365))"),"")</f>
        <v/>
      </c>
      <c r="N365" s="29" t="str">
        <f>IFERROR(__xludf.DUMMYFUNCTION("IF(ISBLANK(B365),"""",IF(ISDATE(B365),TEXT(B365,""yyyy""),""""))"),"")</f>
        <v/>
      </c>
    </row>
    <row r="366">
      <c r="B366" s="89"/>
      <c r="C366" s="86"/>
      <c r="D366" s="71"/>
      <c r="H366" s="90"/>
      <c r="J366" s="53" t="str">
        <f>IFERROR(__xludf.DUMMYFUNCTION("IF(ISBLANK(B366),"""",IF(ISDATE(B366),""X"",""""))"),"")</f>
        <v/>
      </c>
      <c r="K366" s="40" t="str">
        <f>IFERROR(__xludf.DUMMYFUNCTION("IF(ISBLANK(B366),"""",IF(ISDATE(B366),H366,""""))"),"")</f>
        <v/>
      </c>
      <c r="L366" s="40" t="str">
        <f>IFERROR(__xludf.DUMMYFUNCTION("IF(ISBLANK(B366),"""",IF(ISDATE(B366),TEXT(B366,""M""),""""))"),"")</f>
        <v/>
      </c>
      <c r="M366" s="29" t="str">
        <f>IFERROR(__xludf.DUMMYFUNCTION("IF(L366="""","""",QUERY({'Dashboard-Dados'!$Y$2:$AA$13},""Select Col2 Where Col1=""&amp;L366))"),"")</f>
        <v/>
      </c>
      <c r="N366" s="29" t="str">
        <f>IFERROR(__xludf.DUMMYFUNCTION("IF(ISBLANK(B366),"""",IF(ISDATE(B366),TEXT(B366,""yyyy""),""""))"),"")</f>
        <v/>
      </c>
    </row>
    <row r="367">
      <c r="B367" s="87"/>
      <c r="C367" s="85"/>
      <c r="D367" s="76"/>
      <c r="H367" s="88"/>
      <c r="J367" s="53" t="str">
        <f>IFERROR(__xludf.DUMMYFUNCTION("IF(ISBLANK(B367),"""",IF(ISDATE(B367),""X"",""""))"),"")</f>
        <v/>
      </c>
      <c r="K367" s="40" t="str">
        <f>IFERROR(__xludf.DUMMYFUNCTION("IF(ISBLANK(B367),"""",IF(ISDATE(B367),H367,""""))"),"")</f>
        <v/>
      </c>
      <c r="L367" s="40" t="str">
        <f>IFERROR(__xludf.DUMMYFUNCTION("IF(ISBLANK(B367),"""",IF(ISDATE(B367),TEXT(B367,""M""),""""))"),"")</f>
        <v/>
      </c>
      <c r="M367" s="29" t="str">
        <f>IFERROR(__xludf.DUMMYFUNCTION("IF(L367="""","""",QUERY({'Dashboard-Dados'!$Y$2:$AA$13},""Select Col2 Where Col1=""&amp;L367))"),"")</f>
        <v/>
      </c>
      <c r="N367" s="29" t="str">
        <f>IFERROR(__xludf.DUMMYFUNCTION("IF(ISBLANK(B367),"""",IF(ISDATE(B367),TEXT(B367,""yyyy""),""""))"),"")</f>
        <v/>
      </c>
    </row>
    <row r="368">
      <c r="B368" s="89"/>
      <c r="C368" s="86"/>
      <c r="D368" s="71"/>
      <c r="H368" s="90"/>
      <c r="J368" s="53" t="str">
        <f>IFERROR(__xludf.DUMMYFUNCTION("IF(ISBLANK(B368),"""",IF(ISDATE(B368),""X"",""""))"),"")</f>
        <v/>
      </c>
      <c r="K368" s="40" t="str">
        <f>IFERROR(__xludf.DUMMYFUNCTION("IF(ISBLANK(B368),"""",IF(ISDATE(B368),H368,""""))"),"")</f>
        <v/>
      </c>
      <c r="L368" s="40" t="str">
        <f>IFERROR(__xludf.DUMMYFUNCTION("IF(ISBLANK(B368),"""",IF(ISDATE(B368),TEXT(B368,""M""),""""))"),"")</f>
        <v/>
      </c>
      <c r="M368" s="29" t="str">
        <f>IFERROR(__xludf.DUMMYFUNCTION("IF(L368="""","""",QUERY({'Dashboard-Dados'!$Y$2:$AA$13},""Select Col2 Where Col1=""&amp;L368))"),"")</f>
        <v/>
      </c>
      <c r="N368" s="29" t="str">
        <f>IFERROR(__xludf.DUMMYFUNCTION("IF(ISBLANK(B368),"""",IF(ISDATE(B368),TEXT(B368,""yyyy""),""""))"),"")</f>
        <v/>
      </c>
    </row>
    <row r="369">
      <c r="B369" s="87"/>
      <c r="C369" s="85"/>
      <c r="D369" s="76"/>
      <c r="H369" s="88"/>
      <c r="J369" s="53" t="str">
        <f>IFERROR(__xludf.DUMMYFUNCTION("IF(ISBLANK(B369),"""",IF(ISDATE(B369),""X"",""""))"),"")</f>
        <v/>
      </c>
      <c r="K369" s="40" t="str">
        <f>IFERROR(__xludf.DUMMYFUNCTION("IF(ISBLANK(B369),"""",IF(ISDATE(B369),H369,""""))"),"")</f>
        <v/>
      </c>
      <c r="L369" s="40" t="str">
        <f>IFERROR(__xludf.DUMMYFUNCTION("IF(ISBLANK(B369),"""",IF(ISDATE(B369),TEXT(B369,""M""),""""))"),"")</f>
        <v/>
      </c>
      <c r="M369" s="29" t="str">
        <f>IFERROR(__xludf.DUMMYFUNCTION("IF(L369="""","""",QUERY({'Dashboard-Dados'!$Y$2:$AA$13},""Select Col2 Where Col1=""&amp;L369))"),"")</f>
        <v/>
      </c>
      <c r="N369" s="29" t="str">
        <f>IFERROR(__xludf.DUMMYFUNCTION("IF(ISBLANK(B369),"""",IF(ISDATE(B369),TEXT(B369,""yyyy""),""""))"),"")</f>
        <v/>
      </c>
    </row>
    <row r="370">
      <c r="B370" s="89"/>
      <c r="C370" s="86"/>
      <c r="D370" s="71"/>
      <c r="H370" s="90"/>
      <c r="J370" s="53" t="str">
        <f>IFERROR(__xludf.DUMMYFUNCTION("IF(ISBLANK(B370),"""",IF(ISDATE(B370),""X"",""""))"),"")</f>
        <v/>
      </c>
      <c r="K370" s="40" t="str">
        <f>IFERROR(__xludf.DUMMYFUNCTION("IF(ISBLANK(B370),"""",IF(ISDATE(B370),H370,""""))"),"")</f>
        <v/>
      </c>
      <c r="L370" s="40" t="str">
        <f>IFERROR(__xludf.DUMMYFUNCTION("IF(ISBLANK(B370),"""",IF(ISDATE(B370),TEXT(B370,""M""),""""))"),"")</f>
        <v/>
      </c>
      <c r="M370" s="29" t="str">
        <f>IFERROR(__xludf.DUMMYFUNCTION("IF(L370="""","""",QUERY({'Dashboard-Dados'!$Y$2:$AA$13},""Select Col2 Where Col1=""&amp;L370))"),"")</f>
        <v/>
      </c>
      <c r="N370" s="29" t="str">
        <f>IFERROR(__xludf.DUMMYFUNCTION("IF(ISBLANK(B370),"""",IF(ISDATE(B370),TEXT(B370,""yyyy""),""""))"),"")</f>
        <v/>
      </c>
    </row>
    <row r="371">
      <c r="B371" s="87"/>
      <c r="C371" s="85"/>
      <c r="D371" s="76"/>
      <c r="H371" s="88"/>
      <c r="J371" s="53" t="str">
        <f>IFERROR(__xludf.DUMMYFUNCTION("IF(ISBLANK(B371),"""",IF(ISDATE(B371),""X"",""""))"),"")</f>
        <v/>
      </c>
      <c r="K371" s="40" t="str">
        <f>IFERROR(__xludf.DUMMYFUNCTION("IF(ISBLANK(B371),"""",IF(ISDATE(B371),H371,""""))"),"")</f>
        <v/>
      </c>
      <c r="L371" s="40" t="str">
        <f>IFERROR(__xludf.DUMMYFUNCTION("IF(ISBLANK(B371),"""",IF(ISDATE(B371),TEXT(B371,""M""),""""))"),"")</f>
        <v/>
      </c>
      <c r="M371" s="29" t="str">
        <f>IFERROR(__xludf.DUMMYFUNCTION("IF(L371="""","""",QUERY({'Dashboard-Dados'!$Y$2:$AA$13},""Select Col2 Where Col1=""&amp;L371))"),"")</f>
        <v/>
      </c>
      <c r="N371" s="29" t="str">
        <f>IFERROR(__xludf.DUMMYFUNCTION("IF(ISBLANK(B371),"""",IF(ISDATE(B371),TEXT(B371,""yyyy""),""""))"),"")</f>
        <v/>
      </c>
    </row>
    <row r="372">
      <c r="B372" s="89"/>
      <c r="C372" s="86"/>
      <c r="D372" s="71"/>
      <c r="H372" s="90"/>
      <c r="J372" s="53" t="str">
        <f>IFERROR(__xludf.DUMMYFUNCTION("IF(ISBLANK(B372),"""",IF(ISDATE(B372),""X"",""""))"),"")</f>
        <v/>
      </c>
      <c r="K372" s="40" t="str">
        <f>IFERROR(__xludf.DUMMYFUNCTION("IF(ISBLANK(B372),"""",IF(ISDATE(B372),H372,""""))"),"")</f>
        <v/>
      </c>
      <c r="L372" s="40" t="str">
        <f>IFERROR(__xludf.DUMMYFUNCTION("IF(ISBLANK(B372),"""",IF(ISDATE(B372),TEXT(B372,""M""),""""))"),"")</f>
        <v/>
      </c>
      <c r="M372" s="29" t="str">
        <f>IFERROR(__xludf.DUMMYFUNCTION("IF(L372="""","""",QUERY({'Dashboard-Dados'!$Y$2:$AA$13},""Select Col2 Where Col1=""&amp;L372))"),"")</f>
        <v/>
      </c>
      <c r="N372" s="29" t="str">
        <f>IFERROR(__xludf.DUMMYFUNCTION("IF(ISBLANK(B372),"""",IF(ISDATE(B372),TEXT(B372,""yyyy""),""""))"),"")</f>
        <v/>
      </c>
    </row>
    <row r="373">
      <c r="B373" s="87"/>
      <c r="C373" s="85"/>
      <c r="D373" s="76"/>
      <c r="H373" s="88"/>
      <c r="J373" s="53" t="str">
        <f>IFERROR(__xludf.DUMMYFUNCTION("IF(ISBLANK(B373),"""",IF(ISDATE(B373),""X"",""""))"),"")</f>
        <v/>
      </c>
      <c r="K373" s="40" t="str">
        <f>IFERROR(__xludf.DUMMYFUNCTION("IF(ISBLANK(B373),"""",IF(ISDATE(B373),H373,""""))"),"")</f>
        <v/>
      </c>
      <c r="L373" s="40" t="str">
        <f>IFERROR(__xludf.DUMMYFUNCTION("IF(ISBLANK(B373),"""",IF(ISDATE(B373),TEXT(B373,""M""),""""))"),"")</f>
        <v/>
      </c>
      <c r="M373" s="29" t="str">
        <f>IFERROR(__xludf.DUMMYFUNCTION("IF(L373="""","""",QUERY({'Dashboard-Dados'!$Y$2:$AA$13},""Select Col2 Where Col1=""&amp;L373))"),"")</f>
        <v/>
      </c>
      <c r="N373" s="29" t="str">
        <f>IFERROR(__xludf.DUMMYFUNCTION("IF(ISBLANK(B373),"""",IF(ISDATE(B373),TEXT(B373,""yyyy""),""""))"),"")</f>
        <v/>
      </c>
    </row>
    <row r="374">
      <c r="B374" s="89"/>
      <c r="C374" s="86"/>
      <c r="D374" s="71"/>
      <c r="H374" s="90"/>
      <c r="J374" s="53" t="str">
        <f>IFERROR(__xludf.DUMMYFUNCTION("IF(ISBLANK(B374),"""",IF(ISDATE(B374),""X"",""""))"),"")</f>
        <v/>
      </c>
      <c r="K374" s="40" t="str">
        <f>IFERROR(__xludf.DUMMYFUNCTION("IF(ISBLANK(B374),"""",IF(ISDATE(B374),H374,""""))"),"")</f>
        <v/>
      </c>
      <c r="L374" s="40" t="str">
        <f>IFERROR(__xludf.DUMMYFUNCTION("IF(ISBLANK(B374),"""",IF(ISDATE(B374),TEXT(B374,""M""),""""))"),"")</f>
        <v/>
      </c>
      <c r="M374" s="29" t="str">
        <f>IFERROR(__xludf.DUMMYFUNCTION("IF(L374="""","""",QUERY({'Dashboard-Dados'!$Y$2:$AA$13},""Select Col2 Where Col1=""&amp;L374))"),"")</f>
        <v/>
      </c>
      <c r="N374" s="29" t="str">
        <f>IFERROR(__xludf.DUMMYFUNCTION("IF(ISBLANK(B374),"""",IF(ISDATE(B374),TEXT(B374,""yyyy""),""""))"),"")</f>
        <v/>
      </c>
    </row>
    <row r="375">
      <c r="B375" s="87"/>
      <c r="C375" s="85"/>
      <c r="D375" s="76"/>
      <c r="H375" s="88"/>
      <c r="J375" s="53" t="str">
        <f>IFERROR(__xludf.DUMMYFUNCTION("IF(ISBLANK(B375),"""",IF(ISDATE(B375),""X"",""""))"),"")</f>
        <v/>
      </c>
      <c r="K375" s="40" t="str">
        <f>IFERROR(__xludf.DUMMYFUNCTION("IF(ISBLANK(B375),"""",IF(ISDATE(B375),H375,""""))"),"")</f>
        <v/>
      </c>
      <c r="L375" s="40" t="str">
        <f>IFERROR(__xludf.DUMMYFUNCTION("IF(ISBLANK(B375),"""",IF(ISDATE(B375),TEXT(B375,""M""),""""))"),"")</f>
        <v/>
      </c>
      <c r="M375" s="29" t="str">
        <f>IFERROR(__xludf.DUMMYFUNCTION("IF(L375="""","""",QUERY({'Dashboard-Dados'!$Y$2:$AA$13},""Select Col2 Where Col1=""&amp;L375))"),"")</f>
        <v/>
      </c>
      <c r="N375" s="29" t="str">
        <f>IFERROR(__xludf.DUMMYFUNCTION("IF(ISBLANK(B375),"""",IF(ISDATE(B375),TEXT(B375,""yyyy""),""""))"),"")</f>
        <v/>
      </c>
    </row>
    <row r="376">
      <c r="B376" s="89"/>
      <c r="C376" s="86"/>
      <c r="D376" s="71"/>
      <c r="H376" s="90"/>
      <c r="J376" s="53" t="str">
        <f>IFERROR(__xludf.DUMMYFUNCTION("IF(ISBLANK(B376),"""",IF(ISDATE(B376),""X"",""""))"),"")</f>
        <v/>
      </c>
      <c r="K376" s="40" t="str">
        <f>IFERROR(__xludf.DUMMYFUNCTION("IF(ISBLANK(B376),"""",IF(ISDATE(B376),H376,""""))"),"")</f>
        <v/>
      </c>
      <c r="L376" s="40" t="str">
        <f>IFERROR(__xludf.DUMMYFUNCTION("IF(ISBLANK(B376),"""",IF(ISDATE(B376),TEXT(B376,""M""),""""))"),"")</f>
        <v/>
      </c>
      <c r="M376" s="29" t="str">
        <f>IFERROR(__xludf.DUMMYFUNCTION("IF(L376="""","""",QUERY({'Dashboard-Dados'!$Y$2:$AA$13},""Select Col2 Where Col1=""&amp;L376))"),"")</f>
        <v/>
      </c>
      <c r="N376" s="29" t="str">
        <f>IFERROR(__xludf.DUMMYFUNCTION("IF(ISBLANK(B376),"""",IF(ISDATE(B376),TEXT(B376,""yyyy""),""""))"),"")</f>
        <v/>
      </c>
    </row>
    <row r="377">
      <c r="B377" s="87"/>
      <c r="C377" s="85"/>
      <c r="D377" s="76"/>
      <c r="H377" s="88"/>
      <c r="J377" s="53" t="str">
        <f>IFERROR(__xludf.DUMMYFUNCTION("IF(ISBLANK(B377),"""",IF(ISDATE(B377),""X"",""""))"),"")</f>
        <v/>
      </c>
      <c r="K377" s="40" t="str">
        <f>IFERROR(__xludf.DUMMYFUNCTION("IF(ISBLANK(B377),"""",IF(ISDATE(B377),H377,""""))"),"")</f>
        <v/>
      </c>
      <c r="L377" s="40" t="str">
        <f>IFERROR(__xludf.DUMMYFUNCTION("IF(ISBLANK(B377),"""",IF(ISDATE(B377),TEXT(B377,""M""),""""))"),"")</f>
        <v/>
      </c>
      <c r="M377" s="29" t="str">
        <f>IFERROR(__xludf.DUMMYFUNCTION("IF(L377="""","""",QUERY({'Dashboard-Dados'!$Y$2:$AA$13},""Select Col2 Where Col1=""&amp;L377))"),"")</f>
        <v/>
      </c>
      <c r="N377" s="29" t="str">
        <f>IFERROR(__xludf.DUMMYFUNCTION("IF(ISBLANK(B377),"""",IF(ISDATE(B377),TEXT(B377,""yyyy""),""""))"),"")</f>
        <v/>
      </c>
    </row>
    <row r="378">
      <c r="B378" s="89"/>
      <c r="C378" s="86"/>
      <c r="D378" s="71"/>
      <c r="H378" s="90"/>
      <c r="J378" s="53" t="str">
        <f>IFERROR(__xludf.DUMMYFUNCTION("IF(ISBLANK(B378),"""",IF(ISDATE(B378),""X"",""""))"),"")</f>
        <v/>
      </c>
      <c r="K378" s="40" t="str">
        <f>IFERROR(__xludf.DUMMYFUNCTION("IF(ISBLANK(B378),"""",IF(ISDATE(B378),H378,""""))"),"")</f>
        <v/>
      </c>
      <c r="L378" s="40" t="str">
        <f>IFERROR(__xludf.DUMMYFUNCTION("IF(ISBLANK(B378),"""",IF(ISDATE(B378),TEXT(B378,""M""),""""))"),"")</f>
        <v/>
      </c>
      <c r="M378" s="29" t="str">
        <f>IFERROR(__xludf.DUMMYFUNCTION("IF(L378="""","""",QUERY({'Dashboard-Dados'!$Y$2:$AA$13},""Select Col2 Where Col1=""&amp;L378))"),"")</f>
        <v/>
      </c>
      <c r="N378" s="29" t="str">
        <f>IFERROR(__xludf.DUMMYFUNCTION("IF(ISBLANK(B378),"""",IF(ISDATE(B378),TEXT(B378,""yyyy""),""""))"),"")</f>
        <v/>
      </c>
    </row>
    <row r="379">
      <c r="B379" s="87"/>
      <c r="C379" s="85"/>
      <c r="D379" s="76"/>
      <c r="H379" s="88"/>
      <c r="J379" s="53" t="str">
        <f>IFERROR(__xludf.DUMMYFUNCTION("IF(ISBLANK(B379),"""",IF(ISDATE(B379),""X"",""""))"),"")</f>
        <v/>
      </c>
      <c r="K379" s="40" t="str">
        <f>IFERROR(__xludf.DUMMYFUNCTION("IF(ISBLANK(B379),"""",IF(ISDATE(B379),H379,""""))"),"")</f>
        <v/>
      </c>
      <c r="L379" s="40" t="str">
        <f>IFERROR(__xludf.DUMMYFUNCTION("IF(ISBLANK(B379),"""",IF(ISDATE(B379),TEXT(B379,""M""),""""))"),"")</f>
        <v/>
      </c>
      <c r="M379" s="29" t="str">
        <f>IFERROR(__xludf.DUMMYFUNCTION("IF(L379="""","""",QUERY({'Dashboard-Dados'!$Y$2:$AA$13},""Select Col2 Where Col1=""&amp;L379))"),"")</f>
        <v/>
      </c>
      <c r="N379" s="29" t="str">
        <f>IFERROR(__xludf.DUMMYFUNCTION("IF(ISBLANK(B379),"""",IF(ISDATE(B379),TEXT(B379,""yyyy""),""""))"),"")</f>
        <v/>
      </c>
    </row>
    <row r="380">
      <c r="B380" s="89"/>
      <c r="C380" s="86"/>
      <c r="D380" s="71"/>
      <c r="H380" s="90"/>
      <c r="J380" s="53" t="str">
        <f>IFERROR(__xludf.DUMMYFUNCTION("IF(ISBLANK(B380),"""",IF(ISDATE(B380),""X"",""""))"),"")</f>
        <v/>
      </c>
      <c r="K380" s="40" t="str">
        <f>IFERROR(__xludf.DUMMYFUNCTION("IF(ISBLANK(B380),"""",IF(ISDATE(B380),H380,""""))"),"")</f>
        <v/>
      </c>
      <c r="L380" s="40" t="str">
        <f>IFERROR(__xludf.DUMMYFUNCTION("IF(ISBLANK(B380),"""",IF(ISDATE(B380),TEXT(B380,""M""),""""))"),"")</f>
        <v/>
      </c>
      <c r="M380" s="29" t="str">
        <f>IFERROR(__xludf.DUMMYFUNCTION("IF(L380="""","""",QUERY({'Dashboard-Dados'!$Y$2:$AA$13},""Select Col2 Where Col1=""&amp;L380))"),"")</f>
        <v/>
      </c>
      <c r="N380" s="29" t="str">
        <f>IFERROR(__xludf.DUMMYFUNCTION("IF(ISBLANK(B380),"""",IF(ISDATE(B380),TEXT(B380,""yyyy""),""""))"),"")</f>
        <v/>
      </c>
    </row>
    <row r="381">
      <c r="B381" s="87"/>
      <c r="C381" s="85"/>
      <c r="D381" s="76"/>
      <c r="H381" s="88"/>
      <c r="J381" s="53" t="str">
        <f>IFERROR(__xludf.DUMMYFUNCTION("IF(ISBLANK(B381),"""",IF(ISDATE(B381),""X"",""""))"),"")</f>
        <v/>
      </c>
      <c r="K381" s="40" t="str">
        <f>IFERROR(__xludf.DUMMYFUNCTION("IF(ISBLANK(B381),"""",IF(ISDATE(B381),H381,""""))"),"")</f>
        <v/>
      </c>
      <c r="L381" s="40" t="str">
        <f>IFERROR(__xludf.DUMMYFUNCTION("IF(ISBLANK(B381),"""",IF(ISDATE(B381),TEXT(B381,""M""),""""))"),"")</f>
        <v/>
      </c>
      <c r="M381" s="29" t="str">
        <f>IFERROR(__xludf.DUMMYFUNCTION("IF(L381="""","""",QUERY({'Dashboard-Dados'!$Y$2:$AA$13},""Select Col2 Where Col1=""&amp;L381))"),"")</f>
        <v/>
      </c>
      <c r="N381" s="29" t="str">
        <f>IFERROR(__xludf.DUMMYFUNCTION("IF(ISBLANK(B381),"""",IF(ISDATE(B381),TEXT(B381,""yyyy""),""""))"),"")</f>
        <v/>
      </c>
    </row>
    <row r="382">
      <c r="B382" s="89"/>
      <c r="C382" s="86"/>
      <c r="D382" s="71"/>
      <c r="H382" s="90"/>
      <c r="J382" s="53" t="str">
        <f>IFERROR(__xludf.DUMMYFUNCTION("IF(ISBLANK(B382),"""",IF(ISDATE(B382),""X"",""""))"),"")</f>
        <v/>
      </c>
      <c r="K382" s="40" t="str">
        <f>IFERROR(__xludf.DUMMYFUNCTION("IF(ISBLANK(B382),"""",IF(ISDATE(B382),H382,""""))"),"")</f>
        <v/>
      </c>
      <c r="L382" s="40" t="str">
        <f>IFERROR(__xludf.DUMMYFUNCTION("IF(ISBLANK(B382),"""",IF(ISDATE(B382),TEXT(B382,""M""),""""))"),"")</f>
        <v/>
      </c>
      <c r="M382" s="29" t="str">
        <f>IFERROR(__xludf.DUMMYFUNCTION("IF(L382="""","""",QUERY({'Dashboard-Dados'!$Y$2:$AA$13},""Select Col2 Where Col1=""&amp;L382))"),"")</f>
        <v/>
      </c>
      <c r="N382" s="29" t="str">
        <f>IFERROR(__xludf.DUMMYFUNCTION("IF(ISBLANK(B382),"""",IF(ISDATE(B382),TEXT(B382,""yyyy""),""""))"),"")</f>
        <v/>
      </c>
    </row>
    <row r="383">
      <c r="B383" s="87"/>
      <c r="C383" s="85"/>
      <c r="D383" s="76"/>
      <c r="H383" s="88"/>
      <c r="J383" s="53" t="str">
        <f>IFERROR(__xludf.DUMMYFUNCTION("IF(ISBLANK(B383),"""",IF(ISDATE(B383),""X"",""""))"),"")</f>
        <v/>
      </c>
      <c r="K383" s="40" t="str">
        <f>IFERROR(__xludf.DUMMYFUNCTION("IF(ISBLANK(B383),"""",IF(ISDATE(B383),H383,""""))"),"")</f>
        <v/>
      </c>
      <c r="L383" s="40" t="str">
        <f>IFERROR(__xludf.DUMMYFUNCTION("IF(ISBLANK(B383),"""",IF(ISDATE(B383),TEXT(B383,""M""),""""))"),"")</f>
        <v/>
      </c>
      <c r="M383" s="29" t="str">
        <f>IFERROR(__xludf.DUMMYFUNCTION("IF(L383="""","""",QUERY({'Dashboard-Dados'!$Y$2:$AA$13},""Select Col2 Where Col1=""&amp;L383))"),"")</f>
        <v/>
      </c>
      <c r="N383" s="29" t="str">
        <f>IFERROR(__xludf.DUMMYFUNCTION("IF(ISBLANK(B383),"""",IF(ISDATE(B383),TEXT(B383,""yyyy""),""""))"),"")</f>
        <v/>
      </c>
    </row>
    <row r="384">
      <c r="B384" s="89"/>
      <c r="C384" s="86"/>
      <c r="D384" s="71"/>
      <c r="H384" s="90"/>
      <c r="J384" s="53" t="str">
        <f>IFERROR(__xludf.DUMMYFUNCTION("IF(ISBLANK(B384),"""",IF(ISDATE(B384),""X"",""""))"),"")</f>
        <v/>
      </c>
      <c r="K384" s="40" t="str">
        <f>IFERROR(__xludf.DUMMYFUNCTION("IF(ISBLANK(B384),"""",IF(ISDATE(B384),H384,""""))"),"")</f>
        <v/>
      </c>
      <c r="L384" s="40" t="str">
        <f>IFERROR(__xludf.DUMMYFUNCTION("IF(ISBLANK(B384),"""",IF(ISDATE(B384),TEXT(B384,""M""),""""))"),"")</f>
        <v/>
      </c>
      <c r="M384" s="29" t="str">
        <f>IFERROR(__xludf.DUMMYFUNCTION("IF(L384="""","""",QUERY({'Dashboard-Dados'!$Y$2:$AA$13},""Select Col2 Where Col1=""&amp;L384))"),"")</f>
        <v/>
      </c>
      <c r="N384" s="29" t="str">
        <f>IFERROR(__xludf.DUMMYFUNCTION("IF(ISBLANK(B384),"""",IF(ISDATE(B384),TEXT(B384,""yyyy""),""""))"),"")</f>
        <v/>
      </c>
    </row>
    <row r="385">
      <c r="B385" s="87"/>
      <c r="C385" s="85"/>
      <c r="D385" s="76"/>
      <c r="H385" s="88"/>
      <c r="J385" s="53" t="str">
        <f>IFERROR(__xludf.DUMMYFUNCTION("IF(ISBLANK(B385),"""",IF(ISDATE(B385),""X"",""""))"),"")</f>
        <v/>
      </c>
      <c r="K385" s="40" t="str">
        <f>IFERROR(__xludf.DUMMYFUNCTION("IF(ISBLANK(B385),"""",IF(ISDATE(B385),H385,""""))"),"")</f>
        <v/>
      </c>
      <c r="L385" s="40" t="str">
        <f>IFERROR(__xludf.DUMMYFUNCTION("IF(ISBLANK(B385),"""",IF(ISDATE(B385),TEXT(B385,""M""),""""))"),"")</f>
        <v/>
      </c>
      <c r="M385" s="29" t="str">
        <f>IFERROR(__xludf.DUMMYFUNCTION("IF(L385="""","""",QUERY({'Dashboard-Dados'!$Y$2:$AA$13},""Select Col2 Where Col1=""&amp;L385))"),"")</f>
        <v/>
      </c>
      <c r="N385" s="29" t="str">
        <f>IFERROR(__xludf.DUMMYFUNCTION("IF(ISBLANK(B385),"""",IF(ISDATE(B385),TEXT(B385,""yyyy""),""""))"),"")</f>
        <v/>
      </c>
    </row>
    <row r="386">
      <c r="B386" s="89"/>
      <c r="C386" s="86"/>
      <c r="D386" s="71"/>
      <c r="H386" s="90"/>
      <c r="J386" s="53" t="str">
        <f>IFERROR(__xludf.DUMMYFUNCTION("IF(ISBLANK(B386),"""",IF(ISDATE(B386),""X"",""""))"),"")</f>
        <v/>
      </c>
      <c r="K386" s="40" t="str">
        <f>IFERROR(__xludf.DUMMYFUNCTION("IF(ISBLANK(B386),"""",IF(ISDATE(B386),H386,""""))"),"")</f>
        <v/>
      </c>
      <c r="L386" s="40" t="str">
        <f>IFERROR(__xludf.DUMMYFUNCTION("IF(ISBLANK(B386),"""",IF(ISDATE(B386),TEXT(B386,""M""),""""))"),"")</f>
        <v/>
      </c>
      <c r="M386" s="29" t="str">
        <f>IFERROR(__xludf.DUMMYFUNCTION("IF(L386="""","""",QUERY({'Dashboard-Dados'!$Y$2:$AA$13},""Select Col2 Where Col1=""&amp;L386))"),"")</f>
        <v/>
      </c>
      <c r="N386" s="29" t="str">
        <f>IFERROR(__xludf.DUMMYFUNCTION("IF(ISBLANK(B386),"""",IF(ISDATE(B386),TEXT(B386,""yyyy""),""""))"),"")</f>
        <v/>
      </c>
    </row>
    <row r="387">
      <c r="B387" s="87"/>
      <c r="C387" s="85"/>
      <c r="D387" s="76"/>
      <c r="H387" s="88"/>
      <c r="J387" s="53" t="str">
        <f>IFERROR(__xludf.DUMMYFUNCTION("IF(ISBLANK(B387),"""",IF(ISDATE(B387),""X"",""""))"),"")</f>
        <v/>
      </c>
      <c r="K387" s="40" t="str">
        <f>IFERROR(__xludf.DUMMYFUNCTION("IF(ISBLANK(B387),"""",IF(ISDATE(B387),H387,""""))"),"")</f>
        <v/>
      </c>
      <c r="L387" s="40" t="str">
        <f>IFERROR(__xludf.DUMMYFUNCTION("IF(ISBLANK(B387),"""",IF(ISDATE(B387),TEXT(B387,""M""),""""))"),"")</f>
        <v/>
      </c>
      <c r="M387" s="29" t="str">
        <f>IFERROR(__xludf.DUMMYFUNCTION("IF(L387="""","""",QUERY({'Dashboard-Dados'!$Y$2:$AA$13},""Select Col2 Where Col1=""&amp;L387))"),"")</f>
        <v/>
      </c>
      <c r="N387" s="29" t="str">
        <f>IFERROR(__xludf.DUMMYFUNCTION("IF(ISBLANK(B387),"""",IF(ISDATE(B387),TEXT(B387,""yyyy""),""""))"),"")</f>
        <v/>
      </c>
    </row>
    <row r="388">
      <c r="B388" s="89"/>
      <c r="C388" s="86"/>
      <c r="D388" s="71"/>
      <c r="H388" s="90"/>
      <c r="J388" s="53" t="str">
        <f>IFERROR(__xludf.DUMMYFUNCTION("IF(ISBLANK(B388),"""",IF(ISDATE(B388),""X"",""""))"),"")</f>
        <v/>
      </c>
      <c r="K388" s="40" t="str">
        <f>IFERROR(__xludf.DUMMYFUNCTION("IF(ISBLANK(B388),"""",IF(ISDATE(B388),H388,""""))"),"")</f>
        <v/>
      </c>
      <c r="L388" s="40" t="str">
        <f>IFERROR(__xludf.DUMMYFUNCTION("IF(ISBLANK(B388),"""",IF(ISDATE(B388),TEXT(B388,""M""),""""))"),"")</f>
        <v/>
      </c>
      <c r="M388" s="29" t="str">
        <f>IFERROR(__xludf.DUMMYFUNCTION("IF(L388="""","""",QUERY({'Dashboard-Dados'!$Y$2:$AA$13},""Select Col2 Where Col1=""&amp;L388))"),"")</f>
        <v/>
      </c>
      <c r="N388" s="29" t="str">
        <f>IFERROR(__xludf.DUMMYFUNCTION("IF(ISBLANK(B388),"""",IF(ISDATE(B388),TEXT(B388,""yyyy""),""""))"),"")</f>
        <v/>
      </c>
    </row>
    <row r="389">
      <c r="B389" s="87"/>
      <c r="C389" s="85"/>
      <c r="D389" s="76"/>
      <c r="H389" s="88"/>
      <c r="J389" s="53" t="str">
        <f>IFERROR(__xludf.DUMMYFUNCTION("IF(ISBLANK(B389),"""",IF(ISDATE(B389),""X"",""""))"),"")</f>
        <v/>
      </c>
      <c r="K389" s="40" t="str">
        <f>IFERROR(__xludf.DUMMYFUNCTION("IF(ISBLANK(B389),"""",IF(ISDATE(B389),H389,""""))"),"")</f>
        <v/>
      </c>
      <c r="L389" s="40" t="str">
        <f>IFERROR(__xludf.DUMMYFUNCTION("IF(ISBLANK(B389),"""",IF(ISDATE(B389),TEXT(B389,""M""),""""))"),"")</f>
        <v/>
      </c>
      <c r="M389" s="29" t="str">
        <f>IFERROR(__xludf.DUMMYFUNCTION("IF(L389="""","""",QUERY({'Dashboard-Dados'!$Y$2:$AA$13},""Select Col2 Where Col1=""&amp;L389))"),"")</f>
        <v/>
      </c>
      <c r="N389" s="29" t="str">
        <f>IFERROR(__xludf.DUMMYFUNCTION("IF(ISBLANK(B389),"""",IF(ISDATE(B389),TEXT(B389,""yyyy""),""""))"),"")</f>
        <v/>
      </c>
    </row>
    <row r="390">
      <c r="B390" s="89"/>
      <c r="C390" s="86"/>
      <c r="D390" s="71"/>
      <c r="H390" s="90"/>
      <c r="J390" s="53" t="str">
        <f>IFERROR(__xludf.DUMMYFUNCTION("IF(ISBLANK(B390),"""",IF(ISDATE(B390),""X"",""""))"),"")</f>
        <v/>
      </c>
      <c r="K390" s="40" t="str">
        <f>IFERROR(__xludf.DUMMYFUNCTION("IF(ISBLANK(B390),"""",IF(ISDATE(B390),H390,""""))"),"")</f>
        <v/>
      </c>
      <c r="L390" s="40" t="str">
        <f>IFERROR(__xludf.DUMMYFUNCTION("IF(ISBLANK(B390),"""",IF(ISDATE(B390),TEXT(B390,""M""),""""))"),"")</f>
        <v/>
      </c>
      <c r="M390" s="29" t="str">
        <f>IFERROR(__xludf.DUMMYFUNCTION("IF(L390="""","""",QUERY({'Dashboard-Dados'!$Y$2:$AA$13},""Select Col2 Where Col1=""&amp;L390))"),"")</f>
        <v/>
      </c>
      <c r="N390" s="29" t="str">
        <f>IFERROR(__xludf.DUMMYFUNCTION("IF(ISBLANK(B390),"""",IF(ISDATE(B390),TEXT(B390,""yyyy""),""""))"),"")</f>
        <v/>
      </c>
    </row>
    <row r="391">
      <c r="B391" s="87"/>
      <c r="C391" s="85"/>
      <c r="D391" s="76"/>
      <c r="H391" s="88"/>
      <c r="J391" s="53" t="str">
        <f>IFERROR(__xludf.DUMMYFUNCTION("IF(ISBLANK(B391),"""",IF(ISDATE(B391),""X"",""""))"),"")</f>
        <v/>
      </c>
      <c r="K391" s="40" t="str">
        <f>IFERROR(__xludf.DUMMYFUNCTION("IF(ISBLANK(B391),"""",IF(ISDATE(B391),H391,""""))"),"")</f>
        <v/>
      </c>
      <c r="L391" s="40" t="str">
        <f>IFERROR(__xludf.DUMMYFUNCTION("IF(ISBLANK(B391),"""",IF(ISDATE(B391),TEXT(B391,""M""),""""))"),"")</f>
        <v/>
      </c>
      <c r="M391" s="29" t="str">
        <f>IFERROR(__xludf.DUMMYFUNCTION("IF(L391="""","""",QUERY({'Dashboard-Dados'!$Y$2:$AA$13},""Select Col2 Where Col1=""&amp;L391))"),"")</f>
        <v/>
      </c>
      <c r="N391" s="29" t="str">
        <f>IFERROR(__xludf.DUMMYFUNCTION("IF(ISBLANK(B391),"""",IF(ISDATE(B391),TEXT(B391,""yyyy""),""""))"),"")</f>
        <v/>
      </c>
    </row>
    <row r="392">
      <c r="B392" s="89"/>
      <c r="C392" s="86"/>
      <c r="D392" s="71"/>
      <c r="H392" s="90"/>
      <c r="J392" s="53" t="str">
        <f>IFERROR(__xludf.DUMMYFUNCTION("IF(ISBLANK(B392),"""",IF(ISDATE(B392),""X"",""""))"),"")</f>
        <v/>
      </c>
      <c r="K392" s="40" t="str">
        <f>IFERROR(__xludf.DUMMYFUNCTION("IF(ISBLANK(B392),"""",IF(ISDATE(B392),H392,""""))"),"")</f>
        <v/>
      </c>
      <c r="L392" s="40" t="str">
        <f>IFERROR(__xludf.DUMMYFUNCTION("IF(ISBLANK(B392),"""",IF(ISDATE(B392),TEXT(B392,""M""),""""))"),"")</f>
        <v/>
      </c>
      <c r="M392" s="29" t="str">
        <f>IFERROR(__xludf.DUMMYFUNCTION("IF(L392="""","""",QUERY({'Dashboard-Dados'!$Y$2:$AA$13},""Select Col2 Where Col1=""&amp;L392))"),"")</f>
        <v/>
      </c>
      <c r="N392" s="29" t="str">
        <f>IFERROR(__xludf.DUMMYFUNCTION("IF(ISBLANK(B392),"""",IF(ISDATE(B392),TEXT(B392,""yyyy""),""""))"),"")</f>
        <v/>
      </c>
    </row>
    <row r="393">
      <c r="B393" s="87"/>
      <c r="C393" s="85"/>
      <c r="D393" s="76"/>
      <c r="H393" s="88"/>
      <c r="J393" s="53" t="str">
        <f>IFERROR(__xludf.DUMMYFUNCTION("IF(ISBLANK(B393),"""",IF(ISDATE(B393),""X"",""""))"),"")</f>
        <v/>
      </c>
      <c r="K393" s="40" t="str">
        <f>IFERROR(__xludf.DUMMYFUNCTION("IF(ISBLANK(B393),"""",IF(ISDATE(B393),H393,""""))"),"")</f>
        <v/>
      </c>
      <c r="L393" s="40" t="str">
        <f>IFERROR(__xludf.DUMMYFUNCTION("IF(ISBLANK(B393),"""",IF(ISDATE(B393),TEXT(B393,""M""),""""))"),"")</f>
        <v/>
      </c>
      <c r="M393" s="29" t="str">
        <f>IFERROR(__xludf.DUMMYFUNCTION("IF(L393="""","""",QUERY({'Dashboard-Dados'!$Y$2:$AA$13},""Select Col2 Where Col1=""&amp;L393))"),"")</f>
        <v/>
      </c>
      <c r="N393" s="29" t="str">
        <f>IFERROR(__xludf.DUMMYFUNCTION("IF(ISBLANK(B393),"""",IF(ISDATE(B393),TEXT(B393,""yyyy""),""""))"),"")</f>
        <v/>
      </c>
    </row>
    <row r="394">
      <c r="B394" s="89"/>
      <c r="C394" s="86"/>
      <c r="D394" s="71"/>
      <c r="H394" s="90"/>
      <c r="J394" s="53" t="str">
        <f>IFERROR(__xludf.DUMMYFUNCTION("IF(ISBLANK(B394),"""",IF(ISDATE(B394),""X"",""""))"),"")</f>
        <v/>
      </c>
      <c r="K394" s="40" t="str">
        <f>IFERROR(__xludf.DUMMYFUNCTION("IF(ISBLANK(B394),"""",IF(ISDATE(B394),H394,""""))"),"")</f>
        <v/>
      </c>
      <c r="L394" s="40" t="str">
        <f>IFERROR(__xludf.DUMMYFUNCTION("IF(ISBLANK(B394),"""",IF(ISDATE(B394),TEXT(B394,""M""),""""))"),"")</f>
        <v/>
      </c>
      <c r="M394" s="29" t="str">
        <f>IFERROR(__xludf.DUMMYFUNCTION("IF(L394="""","""",QUERY({'Dashboard-Dados'!$Y$2:$AA$13},""Select Col2 Where Col1=""&amp;L394))"),"")</f>
        <v/>
      </c>
      <c r="N394" s="29" t="str">
        <f>IFERROR(__xludf.DUMMYFUNCTION("IF(ISBLANK(B394),"""",IF(ISDATE(B394),TEXT(B394,""yyyy""),""""))"),"")</f>
        <v/>
      </c>
    </row>
    <row r="395">
      <c r="B395" s="87"/>
      <c r="C395" s="85"/>
      <c r="D395" s="76"/>
      <c r="H395" s="88"/>
      <c r="J395" s="53" t="str">
        <f>IFERROR(__xludf.DUMMYFUNCTION("IF(ISBLANK(B395),"""",IF(ISDATE(B395),""X"",""""))"),"")</f>
        <v/>
      </c>
      <c r="K395" s="40" t="str">
        <f>IFERROR(__xludf.DUMMYFUNCTION("IF(ISBLANK(B395),"""",IF(ISDATE(B395),H395,""""))"),"")</f>
        <v/>
      </c>
      <c r="L395" s="40" t="str">
        <f>IFERROR(__xludf.DUMMYFUNCTION("IF(ISBLANK(B395),"""",IF(ISDATE(B395),TEXT(B395,""M""),""""))"),"")</f>
        <v/>
      </c>
      <c r="M395" s="29" t="str">
        <f>IFERROR(__xludf.DUMMYFUNCTION("IF(L395="""","""",QUERY({'Dashboard-Dados'!$Y$2:$AA$13},""Select Col2 Where Col1=""&amp;L395))"),"")</f>
        <v/>
      </c>
      <c r="N395" s="29" t="str">
        <f>IFERROR(__xludf.DUMMYFUNCTION("IF(ISBLANK(B395),"""",IF(ISDATE(B395),TEXT(B395,""yyyy""),""""))"),"")</f>
        <v/>
      </c>
    </row>
    <row r="396">
      <c r="B396" s="89"/>
      <c r="C396" s="86"/>
      <c r="D396" s="71"/>
      <c r="H396" s="90"/>
      <c r="J396" s="53" t="str">
        <f>IFERROR(__xludf.DUMMYFUNCTION("IF(ISBLANK(B396),"""",IF(ISDATE(B396),""X"",""""))"),"")</f>
        <v/>
      </c>
      <c r="K396" s="40" t="str">
        <f>IFERROR(__xludf.DUMMYFUNCTION("IF(ISBLANK(B396),"""",IF(ISDATE(B396),H396,""""))"),"")</f>
        <v/>
      </c>
      <c r="L396" s="40" t="str">
        <f>IFERROR(__xludf.DUMMYFUNCTION("IF(ISBLANK(B396),"""",IF(ISDATE(B396),TEXT(B396,""M""),""""))"),"")</f>
        <v/>
      </c>
      <c r="M396" s="29" t="str">
        <f>IFERROR(__xludf.DUMMYFUNCTION("IF(L396="""","""",QUERY({'Dashboard-Dados'!$Y$2:$AA$13},""Select Col2 Where Col1=""&amp;L396))"),"")</f>
        <v/>
      </c>
      <c r="N396" s="29" t="str">
        <f>IFERROR(__xludf.DUMMYFUNCTION("IF(ISBLANK(B396),"""",IF(ISDATE(B396),TEXT(B396,""yyyy""),""""))"),"")</f>
        <v/>
      </c>
    </row>
    <row r="397">
      <c r="B397" s="87"/>
      <c r="C397" s="85"/>
      <c r="D397" s="76"/>
      <c r="H397" s="88"/>
      <c r="J397" s="53" t="str">
        <f>IFERROR(__xludf.DUMMYFUNCTION("IF(ISBLANK(B397),"""",IF(ISDATE(B397),""X"",""""))"),"")</f>
        <v/>
      </c>
      <c r="K397" s="40" t="str">
        <f>IFERROR(__xludf.DUMMYFUNCTION("IF(ISBLANK(B397),"""",IF(ISDATE(B397),H397,""""))"),"")</f>
        <v/>
      </c>
      <c r="L397" s="40" t="str">
        <f>IFERROR(__xludf.DUMMYFUNCTION("IF(ISBLANK(B397),"""",IF(ISDATE(B397),TEXT(B397,""M""),""""))"),"")</f>
        <v/>
      </c>
      <c r="M397" s="29" t="str">
        <f>IFERROR(__xludf.DUMMYFUNCTION("IF(L397="""","""",QUERY({'Dashboard-Dados'!$Y$2:$AA$13},""Select Col2 Where Col1=""&amp;L397))"),"")</f>
        <v/>
      </c>
      <c r="N397" s="29" t="str">
        <f>IFERROR(__xludf.DUMMYFUNCTION("IF(ISBLANK(B397),"""",IF(ISDATE(B397),TEXT(B397,""yyyy""),""""))"),"")</f>
        <v/>
      </c>
    </row>
    <row r="398">
      <c r="B398" s="89"/>
      <c r="C398" s="86"/>
      <c r="D398" s="71"/>
      <c r="H398" s="90"/>
      <c r="J398" s="53" t="str">
        <f>IFERROR(__xludf.DUMMYFUNCTION("IF(ISBLANK(B398),"""",IF(ISDATE(B398),""X"",""""))"),"")</f>
        <v/>
      </c>
      <c r="K398" s="40" t="str">
        <f>IFERROR(__xludf.DUMMYFUNCTION("IF(ISBLANK(B398),"""",IF(ISDATE(B398),H398,""""))"),"")</f>
        <v/>
      </c>
      <c r="L398" s="40" t="str">
        <f>IFERROR(__xludf.DUMMYFUNCTION("IF(ISBLANK(B398),"""",IF(ISDATE(B398),TEXT(B398,""M""),""""))"),"")</f>
        <v/>
      </c>
      <c r="M398" s="29" t="str">
        <f>IFERROR(__xludf.DUMMYFUNCTION("IF(L398="""","""",QUERY({'Dashboard-Dados'!$Y$2:$AA$13},""Select Col2 Where Col1=""&amp;L398))"),"")</f>
        <v/>
      </c>
      <c r="N398" s="29" t="str">
        <f>IFERROR(__xludf.DUMMYFUNCTION("IF(ISBLANK(B398),"""",IF(ISDATE(B398),TEXT(B398,""yyyy""),""""))"),"")</f>
        <v/>
      </c>
    </row>
    <row r="399">
      <c r="B399" s="87"/>
      <c r="C399" s="85"/>
      <c r="D399" s="76"/>
      <c r="H399" s="88"/>
      <c r="J399" s="53" t="str">
        <f>IFERROR(__xludf.DUMMYFUNCTION("IF(ISBLANK(B399),"""",IF(ISDATE(B399),""X"",""""))"),"")</f>
        <v/>
      </c>
      <c r="K399" s="40" t="str">
        <f>IFERROR(__xludf.DUMMYFUNCTION("IF(ISBLANK(B399),"""",IF(ISDATE(B399),H399,""""))"),"")</f>
        <v/>
      </c>
      <c r="L399" s="40" t="str">
        <f>IFERROR(__xludf.DUMMYFUNCTION("IF(ISBLANK(B399),"""",IF(ISDATE(B399),TEXT(B399,""M""),""""))"),"")</f>
        <v/>
      </c>
      <c r="M399" s="29" t="str">
        <f>IFERROR(__xludf.DUMMYFUNCTION("IF(L399="""","""",QUERY({'Dashboard-Dados'!$Y$2:$AA$13},""Select Col2 Where Col1=""&amp;L399))"),"")</f>
        <v/>
      </c>
      <c r="N399" s="29" t="str">
        <f>IFERROR(__xludf.DUMMYFUNCTION("IF(ISBLANK(B399),"""",IF(ISDATE(B399),TEXT(B399,""yyyy""),""""))"),"")</f>
        <v/>
      </c>
    </row>
    <row r="400">
      <c r="B400" s="89"/>
      <c r="C400" s="86"/>
      <c r="D400" s="71"/>
      <c r="H400" s="90"/>
      <c r="J400" s="53" t="str">
        <f>IFERROR(__xludf.DUMMYFUNCTION("IF(ISBLANK(B400),"""",IF(ISDATE(B400),""X"",""""))"),"")</f>
        <v/>
      </c>
      <c r="K400" s="40" t="str">
        <f>IFERROR(__xludf.DUMMYFUNCTION("IF(ISBLANK(B400),"""",IF(ISDATE(B400),H400,""""))"),"")</f>
        <v/>
      </c>
      <c r="L400" s="40" t="str">
        <f>IFERROR(__xludf.DUMMYFUNCTION("IF(ISBLANK(B400),"""",IF(ISDATE(B400),TEXT(B400,""M""),""""))"),"")</f>
        <v/>
      </c>
      <c r="M400" s="29" t="str">
        <f>IFERROR(__xludf.DUMMYFUNCTION("IF(L400="""","""",QUERY({'Dashboard-Dados'!$Y$2:$AA$13},""Select Col2 Where Col1=""&amp;L400))"),"")</f>
        <v/>
      </c>
      <c r="N400" s="29" t="str">
        <f>IFERROR(__xludf.DUMMYFUNCTION("IF(ISBLANK(B400),"""",IF(ISDATE(B400),TEXT(B400,""yyyy""),""""))"),"")</f>
        <v/>
      </c>
    </row>
    <row r="401">
      <c r="B401" s="87"/>
      <c r="C401" s="85"/>
      <c r="D401" s="76"/>
      <c r="H401" s="88"/>
      <c r="J401" s="53" t="str">
        <f>IFERROR(__xludf.DUMMYFUNCTION("IF(ISBLANK(B401),"""",IF(ISDATE(B401),""X"",""""))"),"")</f>
        <v/>
      </c>
      <c r="K401" s="40" t="str">
        <f>IFERROR(__xludf.DUMMYFUNCTION("IF(ISBLANK(B401),"""",IF(ISDATE(B401),H401,""""))"),"")</f>
        <v/>
      </c>
      <c r="L401" s="40" t="str">
        <f>IFERROR(__xludf.DUMMYFUNCTION("IF(ISBLANK(B401),"""",IF(ISDATE(B401),TEXT(B401,""M""),""""))"),"")</f>
        <v/>
      </c>
      <c r="M401" s="29" t="str">
        <f>IFERROR(__xludf.DUMMYFUNCTION("IF(L401="""","""",QUERY({'Dashboard-Dados'!$Y$2:$AA$13},""Select Col2 Where Col1=""&amp;L401))"),"")</f>
        <v/>
      </c>
      <c r="N401" s="29" t="str">
        <f>IFERROR(__xludf.DUMMYFUNCTION("IF(ISBLANK(B401),"""",IF(ISDATE(B401),TEXT(B401,""yyyy""),""""))"),"")</f>
        <v/>
      </c>
    </row>
    <row r="402">
      <c r="B402" s="89"/>
      <c r="C402" s="86"/>
      <c r="D402" s="71"/>
      <c r="H402" s="90"/>
      <c r="J402" s="53" t="str">
        <f>IFERROR(__xludf.DUMMYFUNCTION("IF(ISBLANK(B402),"""",IF(ISDATE(B402),""X"",""""))"),"")</f>
        <v/>
      </c>
      <c r="K402" s="40" t="str">
        <f>IFERROR(__xludf.DUMMYFUNCTION("IF(ISBLANK(B402),"""",IF(ISDATE(B402),H402,""""))"),"")</f>
        <v/>
      </c>
      <c r="L402" s="40" t="str">
        <f>IFERROR(__xludf.DUMMYFUNCTION("IF(ISBLANK(B402),"""",IF(ISDATE(B402),TEXT(B402,""M""),""""))"),"")</f>
        <v/>
      </c>
      <c r="M402" s="29" t="str">
        <f>IFERROR(__xludf.DUMMYFUNCTION("IF(L402="""","""",QUERY({'Dashboard-Dados'!$Y$2:$AA$13},""Select Col2 Where Col1=""&amp;L402))"),"")</f>
        <v/>
      </c>
      <c r="N402" s="29" t="str">
        <f>IFERROR(__xludf.DUMMYFUNCTION("IF(ISBLANK(B402),"""",IF(ISDATE(B402),TEXT(B402,""yyyy""),""""))"),"")</f>
        <v/>
      </c>
    </row>
    <row r="403">
      <c r="B403" s="87"/>
      <c r="C403" s="85"/>
      <c r="D403" s="76"/>
      <c r="H403" s="88"/>
      <c r="J403" s="53" t="str">
        <f>IFERROR(__xludf.DUMMYFUNCTION("IF(ISBLANK(B403),"""",IF(ISDATE(B403),""X"",""""))"),"")</f>
        <v/>
      </c>
      <c r="K403" s="40" t="str">
        <f>IFERROR(__xludf.DUMMYFUNCTION("IF(ISBLANK(B403),"""",IF(ISDATE(B403),H403,""""))"),"")</f>
        <v/>
      </c>
      <c r="L403" s="40" t="str">
        <f>IFERROR(__xludf.DUMMYFUNCTION("IF(ISBLANK(B403),"""",IF(ISDATE(B403),TEXT(B403,""M""),""""))"),"")</f>
        <v/>
      </c>
      <c r="M403" s="29" t="str">
        <f>IFERROR(__xludf.DUMMYFUNCTION("IF(L403="""","""",QUERY({'Dashboard-Dados'!$Y$2:$AA$13},""Select Col2 Where Col1=""&amp;L403))"),"")</f>
        <v/>
      </c>
      <c r="N403" s="29" t="str">
        <f>IFERROR(__xludf.DUMMYFUNCTION("IF(ISBLANK(B403),"""",IF(ISDATE(B403),TEXT(B403,""yyyy""),""""))"),"")</f>
        <v/>
      </c>
    </row>
    <row r="404">
      <c r="B404" s="89"/>
      <c r="C404" s="86"/>
      <c r="D404" s="71"/>
      <c r="H404" s="90"/>
      <c r="J404" s="53" t="str">
        <f>IFERROR(__xludf.DUMMYFUNCTION("IF(ISBLANK(B404),"""",IF(ISDATE(B404),""X"",""""))"),"")</f>
        <v/>
      </c>
      <c r="K404" s="40" t="str">
        <f>IFERROR(__xludf.DUMMYFUNCTION("IF(ISBLANK(B404),"""",IF(ISDATE(B404),H404,""""))"),"")</f>
        <v/>
      </c>
      <c r="L404" s="40" t="str">
        <f>IFERROR(__xludf.DUMMYFUNCTION("IF(ISBLANK(B404),"""",IF(ISDATE(B404),TEXT(B404,""M""),""""))"),"")</f>
        <v/>
      </c>
      <c r="M404" s="29" t="str">
        <f>IFERROR(__xludf.DUMMYFUNCTION("IF(L404="""","""",QUERY({'Dashboard-Dados'!$Y$2:$AA$13},""Select Col2 Where Col1=""&amp;L404))"),"")</f>
        <v/>
      </c>
      <c r="N404" s="29" t="str">
        <f>IFERROR(__xludf.DUMMYFUNCTION("IF(ISBLANK(B404),"""",IF(ISDATE(B404),TEXT(B404,""yyyy""),""""))"),"")</f>
        <v/>
      </c>
    </row>
    <row r="405">
      <c r="B405" s="87"/>
      <c r="C405" s="85"/>
      <c r="D405" s="76"/>
      <c r="H405" s="88"/>
      <c r="J405" s="53" t="str">
        <f>IFERROR(__xludf.DUMMYFUNCTION("IF(ISBLANK(B405),"""",IF(ISDATE(B405),""X"",""""))"),"")</f>
        <v/>
      </c>
      <c r="K405" s="40" t="str">
        <f>IFERROR(__xludf.DUMMYFUNCTION("IF(ISBLANK(B405),"""",IF(ISDATE(B405),H405,""""))"),"")</f>
        <v/>
      </c>
      <c r="L405" s="40" t="str">
        <f>IFERROR(__xludf.DUMMYFUNCTION("IF(ISBLANK(B405),"""",IF(ISDATE(B405),TEXT(B405,""M""),""""))"),"")</f>
        <v/>
      </c>
      <c r="M405" s="29" t="str">
        <f>IFERROR(__xludf.DUMMYFUNCTION("IF(L405="""","""",QUERY({'Dashboard-Dados'!$Y$2:$AA$13},""Select Col2 Where Col1=""&amp;L405))"),"")</f>
        <v/>
      </c>
      <c r="N405" s="29" t="str">
        <f>IFERROR(__xludf.DUMMYFUNCTION("IF(ISBLANK(B405),"""",IF(ISDATE(B405),TEXT(B405,""yyyy""),""""))"),"")</f>
        <v/>
      </c>
    </row>
    <row r="406">
      <c r="B406" s="89"/>
      <c r="C406" s="86"/>
      <c r="D406" s="71"/>
      <c r="H406" s="90"/>
      <c r="J406" s="53" t="str">
        <f>IFERROR(__xludf.DUMMYFUNCTION("IF(ISBLANK(B406),"""",IF(ISDATE(B406),""X"",""""))"),"")</f>
        <v/>
      </c>
      <c r="K406" s="40" t="str">
        <f>IFERROR(__xludf.DUMMYFUNCTION("IF(ISBLANK(B406),"""",IF(ISDATE(B406),H406,""""))"),"")</f>
        <v/>
      </c>
      <c r="L406" s="40" t="str">
        <f>IFERROR(__xludf.DUMMYFUNCTION("IF(ISBLANK(B406),"""",IF(ISDATE(B406),TEXT(B406,""M""),""""))"),"")</f>
        <v/>
      </c>
      <c r="M406" s="29" t="str">
        <f>IFERROR(__xludf.DUMMYFUNCTION("IF(L406="""","""",QUERY({'Dashboard-Dados'!$Y$2:$AA$13},""Select Col2 Where Col1=""&amp;L406))"),"")</f>
        <v/>
      </c>
      <c r="N406" s="29" t="str">
        <f>IFERROR(__xludf.DUMMYFUNCTION("IF(ISBLANK(B406),"""",IF(ISDATE(B406),TEXT(B406,""yyyy""),""""))"),"")</f>
        <v/>
      </c>
    </row>
    <row r="407">
      <c r="B407" s="87"/>
      <c r="C407" s="85"/>
      <c r="D407" s="76"/>
      <c r="H407" s="88"/>
      <c r="J407" s="53" t="str">
        <f>IFERROR(__xludf.DUMMYFUNCTION("IF(ISBLANK(B407),"""",IF(ISDATE(B407),""X"",""""))"),"")</f>
        <v/>
      </c>
      <c r="K407" s="40" t="str">
        <f>IFERROR(__xludf.DUMMYFUNCTION("IF(ISBLANK(B407),"""",IF(ISDATE(B407),H407,""""))"),"")</f>
        <v/>
      </c>
      <c r="L407" s="40" t="str">
        <f>IFERROR(__xludf.DUMMYFUNCTION("IF(ISBLANK(B407),"""",IF(ISDATE(B407),TEXT(B407,""M""),""""))"),"")</f>
        <v/>
      </c>
      <c r="M407" s="29" t="str">
        <f>IFERROR(__xludf.DUMMYFUNCTION("IF(L407="""","""",QUERY({'Dashboard-Dados'!$Y$2:$AA$13},""Select Col2 Where Col1=""&amp;L407))"),"")</f>
        <v/>
      </c>
      <c r="N407" s="29" t="str">
        <f>IFERROR(__xludf.DUMMYFUNCTION("IF(ISBLANK(B407),"""",IF(ISDATE(B407),TEXT(B407,""yyyy""),""""))"),"")</f>
        <v/>
      </c>
    </row>
    <row r="408">
      <c r="B408" s="89"/>
      <c r="C408" s="86"/>
      <c r="D408" s="71"/>
      <c r="H408" s="90"/>
      <c r="J408" s="53" t="str">
        <f>IFERROR(__xludf.DUMMYFUNCTION("IF(ISBLANK(B408),"""",IF(ISDATE(B408),""X"",""""))"),"")</f>
        <v/>
      </c>
      <c r="K408" s="40" t="str">
        <f>IFERROR(__xludf.DUMMYFUNCTION("IF(ISBLANK(B408),"""",IF(ISDATE(B408),H408,""""))"),"")</f>
        <v/>
      </c>
      <c r="L408" s="40" t="str">
        <f>IFERROR(__xludf.DUMMYFUNCTION("IF(ISBLANK(B408),"""",IF(ISDATE(B408),TEXT(B408,""M""),""""))"),"")</f>
        <v/>
      </c>
      <c r="M408" s="29" t="str">
        <f>IFERROR(__xludf.DUMMYFUNCTION("IF(L408="""","""",QUERY({'Dashboard-Dados'!$Y$2:$AA$13},""Select Col2 Where Col1=""&amp;L408))"),"")</f>
        <v/>
      </c>
      <c r="N408" s="29" t="str">
        <f>IFERROR(__xludf.DUMMYFUNCTION("IF(ISBLANK(B408),"""",IF(ISDATE(B408),TEXT(B408,""yyyy""),""""))"),"")</f>
        <v/>
      </c>
    </row>
    <row r="409">
      <c r="B409" s="87"/>
      <c r="C409" s="85"/>
      <c r="D409" s="76"/>
      <c r="H409" s="88"/>
      <c r="J409" s="53" t="str">
        <f>IFERROR(__xludf.DUMMYFUNCTION("IF(ISBLANK(B409),"""",IF(ISDATE(B409),""X"",""""))"),"")</f>
        <v/>
      </c>
      <c r="K409" s="40" t="str">
        <f>IFERROR(__xludf.DUMMYFUNCTION("IF(ISBLANK(B409),"""",IF(ISDATE(B409),H409,""""))"),"")</f>
        <v/>
      </c>
      <c r="L409" s="40" t="str">
        <f>IFERROR(__xludf.DUMMYFUNCTION("IF(ISBLANK(B409),"""",IF(ISDATE(B409),TEXT(B409,""M""),""""))"),"")</f>
        <v/>
      </c>
      <c r="M409" s="29" t="str">
        <f>IFERROR(__xludf.DUMMYFUNCTION("IF(L409="""","""",QUERY({'Dashboard-Dados'!$Y$2:$AA$13},""Select Col2 Where Col1=""&amp;L409))"),"")</f>
        <v/>
      </c>
      <c r="N409" s="29" t="str">
        <f>IFERROR(__xludf.DUMMYFUNCTION("IF(ISBLANK(B409),"""",IF(ISDATE(B409),TEXT(B409,""yyyy""),""""))"),"")</f>
        <v/>
      </c>
    </row>
    <row r="410">
      <c r="B410" s="89"/>
      <c r="C410" s="86"/>
      <c r="D410" s="71"/>
      <c r="H410" s="90"/>
      <c r="J410" s="53" t="str">
        <f>IFERROR(__xludf.DUMMYFUNCTION("IF(ISBLANK(B410),"""",IF(ISDATE(B410),""X"",""""))"),"")</f>
        <v/>
      </c>
      <c r="K410" s="40" t="str">
        <f>IFERROR(__xludf.DUMMYFUNCTION("IF(ISBLANK(B410),"""",IF(ISDATE(B410),H410,""""))"),"")</f>
        <v/>
      </c>
      <c r="L410" s="40" t="str">
        <f>IFERROR(__xludf.DUMMYFUNCTION("IF(ISBLANK(B410),"""",IF(ISDATE(B410),TEXT(B410,""M""),""""))"),"")</f>
        <v/>
      </c>
      <c r="M410" s="29" t="str">
        <f>IFERROR(__xludf.DUMMYFUNCTION("IF(L410="""","""",QUERY({'Dashboard-Dados'!$Y$2:$AA$13},""Select Col2 Where Col1=""&amp;L410))"),"")</f>
        <v/>
      </c>
      <c r="N410" s="29" t="str">
        <f>IFERROR(__xludf.DUMMYFUNCTION("IF(ISBLANK(B410),"""",IF(ISDATE(B410),TEXT(B410,""yyyy""),""""))"),"")</f>
        <v/>
      </c>
    </row>
    <row r="411">
      <c r="B411" s="87"/>
      <c r="C411" s="85"/>
      <c r="D411" s="76"/>
      <c r="H411" s="88"/>
      <c r="J411" s="53" t="str">
        <f>IFERROR(__xludf.DUMMYFUNCTION("IF(ISBLANK(B411),"""",IF(ISDATE(B411),""X"",""""))"),"")</f>
        <v/>
      </c>
      <c r="K411" s="40" t="str">
        <f>IFERROR(__xludf.DUMMYFUNCTION("IF(ISBLANK(B411),"""",IF(ISDATE(B411),H411,""""))"),"")</f>
        <v/>
      </c>
      <c r="L411" s="40" t="str">
        <f>IFERROR(__xludf.DUMMYFUNCTION("IF(ISBLANK(B411),"""",IF(ISDATE(B411),TEXT(B411,""M""),""""))"),"")</f>
        <v/>
      </c>
      <c r="M411" s="29" t="str">
        <f>IFERROR(__xludf.DUMMYFUNCTION("IF(L411="""","""",QUERY({'Dashboard-Dados'!$Y$2:$AA$13},""Select Col2 Where Col1=""&amp;L411))"),"")</f>
        <v/>
      </c>
      <c r="N411" s="29" t="str">
        <f>IFERROR(__xludf.DUMMYFUNCTION("IF(ISBLANK(B411),"""",IF(ISDATE(B411),TEXT(B411,""yyyy""),""""))"),"")</f>
        <v/>
      </c>
    </row>
    <row r="412">
      <c r="B412" s="89"/>
      <c r="C412" s="86"/>
      <c r="D412" s="71"/>
      <c r="H412" s="90"/>
      <c r="J412" s="53" t="str">
        <f>IFERROR(__xludf.DUMMYFUNCTION("IF(ISBLANK(B412),"""",IF(ISDATE(B412),""X"",""""))"),"")</f>
        <v/>
      </c>
      <c r="K412" s="40" t="str">
        <f>IFERROR(__xludf.DUMMYFUNCTION("IF(ISBLANK(B412),"""",IF(ISDATE(B412),H412,""""))"),"")</f>
        <v/>
      </c>
      <c r="L412" s="40" t="str">
        <f>IFERROR(__xludf.DUMMYFUNCTION("IF(ISBLANK(B412),"""",IF(ISDATE(B412),TEXT(B412,""M""),""""))"),"")</f>
        <v/>
      </c>
      <c r="M412" s="29" t="str">
        <f>IFERROR(__xludf.DUMMYFUNCTION("IF(L412="""","""",QUERY({'Dashboard-Dados'!$Y$2:$AA$13},""Select Col2 Where Col1=""&amp;L412))"),"")</f>
        <v/>
      </c>
      <c r="N412" s="29" t="str">
        <f>IFERROR(__xludf.DUMMYFUNCTION("IF(ISBLANK(B412),"""",IF(ISDATE(B412),TEXT(B412,""yyyy""),""""))"),"")</f>
        <v/>
      </c>
    </row>
    <row r="413">
      <c r="B413" s="87"/>
      <c r="C413" s="85"/>
      <c r="D413" s="76"/>
      <c r="H413" s="88"/>
      <c r="J413" s="53" t="str">
        <f>IFERROR(__xludf.DUMMYFUNCTION("IF(ISBLANK(B413),"""",IF(ISDATE(B413),""X"",""""))"),"")</f>
        <v/>
      </c>
      <c r="K413" s="40" t="str">
        <f>IFERROR(__xludf.DUMMYFUNCTION("IF(ISBLANK(B413),"""",IF(ISDATE(B413),H413,""""))"),"")</f>
        <v/>
      </c>
      <c r="L413" s="40" t="str">
        <f>IFERROR(__xludf.DUMMYFUNCTION("IF(ISBLANK(B413),"""",IF(ISDATE(B413),TEXT(B413,""M""),""""))"),"")</f>
        <v/>
      </c>
      <c r="M413" s="29" t="str">
        <f>IFERROR(__xludf.DUMMYFUNCTION("IF(L413="""","""",QUERY({'Dashboard-Dados'!$Y$2:$AA$13},""Select Col2 Where Col1=""&amp;L413))"),"")</f>
        <v/>
      </c>
      <c r="N413" s="29" t="str">
        <f>IFERROR(__xludf.DUMMYFUNCTION("IF(ISBLANK(B413),"""",IF(ISDATE(B413),TEXT(B413,""yyyy""),""""))"),"")</f>
        <v/>
      </c>
    </row>
    <row r="414">
      <c r="B414" s="89"/>
      <c r="C414" s="86"/>
      <c r="D414" s="71"/>
      <c r="H414" s="90"/>
      <c r="J414" s="53" t="str">
        <f>IFERROR(__xludf.DUMMYFUNCTION("IF(ISBLANK(B414),"""",IF(ISDATE(B414),""X"",""""))"),"")</f>
        <v/>
      </c>
      <c r="K414" s="40" t="str">
        <f>IFERROR(__xludf.DUMMYFUNCTION("IF(ISBLANK(B414),"""",IF(ISDATE(B414),H414,""""))"),"")</f>
        <v/>
      </c>
      <c r="L414" s="40" t="str">
        <f>IFERROR(__xludf.DUMMYFUNCTION("IF(ISBLANK(B414),"""",IF(ISDATE(B414),TEXT(B414,""M""),""""))"),"")</f>
        <v/>
      </c>
      <c r="M414" s="29" t="str">
        <f>IFERROR(__xludf.DUMMYFUNCTION("IF(L414="""","""",QUERY({'Dashboard-Dados'!$Y$2:$AA$13},""Select Col2 Where Col1=""&amp;L414))"),"")</f>
        <v/>
      </c>
      <c r="N414" s="29" t="str">
        <f>IFERROR(__xludf.DUMMYFUNCTION("IF(ISBLANK(B414),"""",IF(ISDATE(B414),TEXT(B414,""yyyy""),""""))"),"")</f>
        <v/>
      </c>
    </row>
    <row r="415">
      <c r="B415" s="87"/>
      <c r="C415" s="85"/>
      <c r="D415" s="76"/>
      <c r="H415" s="88"/>
      <c r="J415" s="53" t="str">
        <f>IFERROR(__xludf.DUMMYFUNCTION("IF(ISBLANK(B415),"""",IF(ISDATE(B415),""X"",""""))"),"")</f>
        <v/>
      </c>
      <c r="K415" s="40" t="str">
        <f>IFERROR(__xludf.DUMMYFUNCTION("IF(ISBLANK(B415),"""",IF(ISDATE(B415),H415,""""))"),"")</f>
        <v/>
      </c>
      <c r="L415" s="40" t="str">
        <f>IFERROR(__xludf.DUMMYFUNCTION("IF(ISBLANK(B415),"""",IF(ISDATE(B415),TEXT(B415,""M""),""""))"),"")</f>
        <v/>
      </c>
      <c r="M415" s="29" t="str">
        <f>IFERROR(__xludf.DUMMYFUNCTION("IF(L415="""","""",QUERY({'Dashboard-Dados'!$Y$2:$AA$13},""Select Col2 Where Col1=""&amp;L415))"),"")</f>
        <v/>
      </c>
      <c r="N415" s="29" t="str">
        <f>IFERROR(__xludf.DUMMYFUNCTION("IF(ISBLANK(B415),"""",IF(ISDATE(B415),TEXT(B415,""yyyy""),""""))"),"")</f>
        <v/>
      </c>
    </row>
    <row r="416">
      <c r="B416" s="89"/>
      <c r="C416" s="86"/>
      <c r="D416" s="71"/>
      <c r="H416" s="90"/>
      <c r="J416" s="53" t="str">
        <f>IFERROR(__xludf.DUMMYFUNCTION("IF(ISBLANK(B416),"""",IF(ISDATE(B416),""X"",""""))"),"")</f>
        <v/>
      </c>
      <c r="K416" s="40" t="str">
        <f>IFERROR(__xludf.DUMMYFUNCTION("IF(ISBLANK(B416),"""",IF(ISDATE(B416),H416,""""))"),"")</f>
        <v/>
      </c>
      <c r="L416" s="40" t="str">
        <f>IFERROR(__xludf.DUMMYFUNCTION("IF(ISBLANK(B416),"""",IF(ISDATE(B416),TEXT(B416,""M""),""""))"),"")</f>
        <v/>
      </c>
      <c r="M416" s="29" t="str">
        <f>IFERROR(__xludf.DUMMYFUNCTION("IF(L416="""","""",QUERY({'Dashboard-Dados'!$Y$2:$AA$13},""Select Col2 Where Col1=""&amp;L416))"),"")</f>
        <v/>
      </c>
      <c r="N416" s="29" t="str">
        <f>IFERROR(__xludf.DUMMYFUNCTION("IF(ISBLANK(B416),"""",IF(ISDATE(B416),TEXT(B416,""yyyy""),""""))"),"")</f>
        <v/>
      </c>
    </row>
    <row r="417">
      <c r="B417" s="87"/>
      <c r="C417" s="85"/>
      <c r="D417" s="76"/>
      <c r="H417" s="88"/>
      <c r="J417" s="53" t="str">
        <f>IFERROR(__xludf.DUMMYFUNCTION("IF(ISBLANK(B417),"""",IF(ISDATE(B417),""X"",""""))"),"")</f>
        <v/>
      </c>
      <c r="K417" s="40" t="str">
        <f>IFERROR(__xludf.DUMMYFUNCTION("IF(ISBLANK(B417),"""",IF(ISDATE(B417),H417,""""))"),"")</f>
        <v/>
      </c>
      <c r="L417" s="40" t="str">
        <f>IFERROR(__xludf.DUMMYFUNCTION("IF(ISBLANK(B417),"""",IF(ISDATE(B417),TEXT(B417,""M""),""""))"),"")</f>
        <v/>
      </c>
      <c r="M417" s="29" t="str">
        <f>IFERROR(__xludf.DUMMYFUNCTION("IF(L417="""","""",QUERY({'Dashboard-Dados'!$Y$2:$AA$13},""Select Col2 Where Col1=""&amp;L417))"),"")</f>
        <v/>
      </c>
      <c r="N417" s="29" t="str">
        <f>IFERROR(__xludf.DUMMYFUNCTION("IF(ISBLANK(B417),"""",IF(ISDATE(B417),TEXT(B417,""yyyy""),""""))"),"")</f>
        <v/>
      </c>
    </row>
    <row r="418">
      <c r="B418" s="89"/>
      <c r="C418" s="86"/>
      <c r="D418" s="71"/>
      <c r="H418" s="90"/>
      <c r="J418" s="53" t="str">
        <f>IFERROR(__xludf.DUMMYFUNCTION("IF(ISBLANK(B418),"""",IF(ISDATE(B418),""X"",""""))"),"")</f>
        <v/>
      </c>
      <c r="K418" s="40" t="str">
        <f>IFERROR(__xludf.DUMMYFUNCTION("IF(ISBLANK(B418),"""",IF(ISDATE(B418),H418,""""))"),"")</f>
        <v/>
      </c>
      <c r="L418" s="40" t="str">
        <f>IFERROR(__xludf.DUMMYFUNCTION("IF(ISBLANK(B418),"""",IF(ISDATE(B418),TEXT(B418,""M""),""""))"),"")</f>
        <v/>
      </c>
      <c r="M418" s="29" t="str">
        <f>IFERROR(__xludf.DUMMYFUNCTION("IF(L418="""","""",QUERY({'Dashboard-Dados'!$Y$2:$AA$13},""Select Col2 Where Col1=""&amp;L418))"),"")</f>
        <v/>
      </c>
      <c r="N418" s="29" t="str">
        <f>IFERROR(__xludf.DUMMYFUNCTION("IF(ISBLANK(B418),"""",IF(ISDATE(B418),TEXT(B418,""yyyy""),""""))"),"")</f>
        <v/>
      </c>
    </row>
    <row r="419">
      <c r="B419" s="87"/>
      <c r="C419" s="85"/>
      <c r="D419" s="76"/>
      <c r="H419" s="88"/>
      <c r="J419" s="53" t="str">
        <f>IFERROR(__xludf.DUMMYFUNCTION("IF(ISBLANK(B419),"""",IF(ISDATE(B419),""X"",""""))"),"")</f>
        <v/>
      </c>
      <c r="K419" s="40" t="str">
        <f>IFERROR(__xludf.DUMMYFUNCTION("IF(ISBLANK(B419),"""",IF(ISDATE(B419),H419,""""))"),"")</f>
        <v/>
      </c>
      <c r="L419" s="40" t="str">
        <f>IFERROR(__xludf.DUMMYFUNCTION("IF(ISBLANK(B419),"""",IF(ISDATE(B419),TEXT(B419,""M""),""""))"),"")</f>
        <v/>
      </c>
      <c r="M419" s="29" t="str">
        <f>IFERROR(__xludf.DUMMYFUNCTION("IF(L419="""","""",QUERY({'Dashboard-Dados'!$Y$2:$AA$13},""Select Col2 Where Col1=""&amp;L419))"),"")</f>
        <v/>
      </c>
      <c r="N419" s="29" t="str">
        <f>IFERROR(__xludf.DUMMYFUNCTION("IF(ISBLANK(B419),"""",IF(ISDATE(B419),TEXT(B419,""yyyy""),""""))"),"")</f>
        <v/>
      </c>
    </row>
    <row r="420">
      <c r="B420" s="89"/>
      <c r="C420" s="86"/>
      <c r="D420" s="71"/>
      <c r="H420" s="90"/>
      <c r="J420" s="53" t="str">
        <f>IFERROR(__xludf.DUMMYFUNCTION("IF(ISBLANK(B420),"""",IF(ISDATE(B420),""X"",""""))"),"")</f>
        <v/>
      </c>
      <c r="K420" s="40" t="str">
        <f>IFERROR(__xludf.DUMMYFUNCTION("IF(ISBLANK(B420),"""",IF(ISDATE(B420),H420,""""))"),"")</f>
        <v/>
      </c>
      <c r="L420" s="40" t="str">
        <f>IFERROR(__xludf.DUMMYFUNCTION("IF(ISBLANK(B420),"""",IF(ISDATE(B420),TEXT(B420,""M""),""""))"),"")</f>
        <v/>
      </c>
      <c r="M420" s="29" t="str">
        <f>IFERROR(__xludf.DUMMYFUNCTION("IF(L420="""","""",QUERY({'Dashboard-Dados'!$Y$2:$AA$13},""Select Col2 Where Col1=""&amp;L420))"),"")</f>
        <v/>
      </c>
      <c r="N420" s="29" t="str">
        <f>IFERROR(__xludf.DUMMYFUNCTION("IF(ISBLANK(B420),"""",IF(ISDATE(B420),TEXT(B420,""yyyy""),""""))"),"")</f>
        <v/>
      </c>
    </row>
    <row r="421">
      <c r="B421" s="87"/>
      <c r="C421" s="85"/>
      <c r="D421" s="76"/>
      <c r="H421" s="88"/>
      <c r="J421" s="53" t="str">
        <f>IFERROR(__xludf.DUMMYFUNCTION("IF(ISBLANK(B421),"""",IF(ISDATE(B421),""X"",""""))"),"")</f>
        <v/>
      </c>
      <c r="K421" s="40" t="str">
        <f>IFERROR(__xludf.DUMMYFUNCTION("IF(ISBLANK(B421),"""",IF(ISDATE(B421),H421,""""))"),"")</f>
        <v/>
      </c>
      <c r="L421" s="40" t="str">
        <f>IFERROR(__xludf.DUMMYFUNCTION("IF(ISBLANK(B421),"""",IF(ISDATE(B421),TEXT(B421,""M""),""""))"),"")</f>
        <v/>
      </c>
      <c r="M421" s="29" t="str">
        <f>IFERROR(__xludf.DUMMYFUNCTION("IF(L421="""","""",QUERY({'Dashboard-Dados'!$Y$2:$AA$13},""Select Col2 Where Col1=""&amp;L421))"),"")</f>
        <v/>
      </c>
      <c r="N421" s="29" t="str">
        <f>IFERROR(__xludf.DUMMYFUNCTION("IF(ISBLANK(B421),"""",IF(ISDATE(B421),TEXT(B421,""yyyy""),""""))"),"")</f>
        <v/>
      </c>
    </row>
    <row r="422">
      <c r="B422" s="89"/>
      <c r="C422" s="86"/>
      <c r="D422" s="71"/>
      <c r="H422" s="90"/>
      <c r="J422" s="53" t="str">
        <f>IFERROR(__xludf.DUMMYFUNCTION("IF(ISBLANK(B422),"""",IF(ISDATE(B422),""X"",""""))"),"")</f>
        <v/>
      </c>
      <c r="K422" s="40" t="str">
        <f>IFERROR(__xludf.DUMMYFUNCTION("IF(ISBLANK(B422),"""",IF(ISDATE(B422),H422,""""))"),"")</f>
        <v/>
      </c>
      <c r="L422" s="40" t="str">
        <f>IFERROR(__xludf.DUMMYFUNCTION("IF(ISBLANK(B422),"""",IF(ISDATE(B422),TEXT(B422,""M""),""""))"),"")</f>
        <v/>
      </c>
      <c r="M422" s="29" t="str">
        <f>IFERROR(__xludf.DUMMYFUNCTION("IF(L422="""","""",QUERY({'Dashboard-Dados'!$Y$2:$AA$13},""Select Col2 Where Col1=""&amp;L422))"),"")</f>
        <v/>
      </c>
      <c r="N422" s="29" t="str">
        <f>IFERROR(__xludf.DUMMYFUNCTION("IF(ISBLANK(B422),"""",IF(ISDATE(B422),TEXT(B422,""yyyy""),""""))"),"")</f>
        <v/>
      </c>
    </row>
    <row r="423">
      <c r="B423" s="87"/>
      <c r="C423" s="85"/>
      <c r="D423" s="76"/>
      <c r="H423" s="88"/>
      <c r="J423" s="53" t="str">
        <f>IFERROR(__xludf.DUMMYFUNCTION("IF(ISBLANK(B423),"""",IF(ISDATE(B423),""X"",""""))"),"")</f>
        <v/>
      </c>
      <c r="K423" s="40" t="str">
        <f>IFERROR(__xludf.DUMMYFUNCTION("IF(ISBLANK(B423),"""",IF(ISDATE(B423),H423,""""))"),"")</f>
        <v/>
      </c>
      <c r="L423" s="40" t="str">
        <f>IFERROR(__xludf.DUMMYFUNCTION("IF(ISBLANK(B423),"""",IF(ISDATE(B423),TEXT(B423,""M""),""""))"),"")</f>
        <v/>
      </c>
      <c r="M423" s="29" t="str">
        <f>IFERROR(__xludf.DUMMYFUNCTION("IF(L423="""","""",QUERY({'Dashboard-Dados'!$Y$2:$AA$13},""Select Col2 Where Col1=""&amp;L423))"),"")</f>
        <v/>
      </c>
      <c r="N423" s="29" t="str">
        <f>IFERROR(__xludf.DUMMYFUNCTION("IF(ISBLANK(B423),"""",IF(ISDATE(B423),TEXT(B423,""yyyy""),""""))"),"")</f>
        <v/>
      </c>
    </row>
    <row r="424">
      <c r="B424" s="89"/>
      <c r="C424" s="86"/>
      <c r="D424" s="71"/>
      <c r="H424" s="90"/>
      <c r="J424" s="53" t="str">
        <f>IFERROR(__xludf.DUMMYFUNCTION("IF(ISBLANK(B424),"""",IF(ISDATE(B424),""X"",""""))"),"")</f>
        <v/>
      </c>
      <c r="K424" s="40" t="str">
        <f>IFERROR(__xludf.DUMMYFUNCTION("IF(ISBLANK(B424),"""",IF(ISDATE(B424),H424,""""))"),"")</f>
        <v/>
      </c>
      <c r="L424" s="40" t="str">
        <f>IFERROR(__xludf.DUMMYFUNCTION("IF(ISBLANK(B424),"""",IF(ISDATE(B424),TEXT(B424,""M""),""""))"),"")</f>
        <v/>
      </c>
      <c r="M424" s="29" t="str">
        <f>IFERROR(__xludf.DUMMYFUNCTION("IF(L424="""","""",QUERY({'Dashboard-Dados'!$Y$2:$AA$13},""Select Col2 Where Col1=""&amp;L424))"),"")</f>
        <v/>
      </c>
      <c r="N424" s="29" t="str">
        <f>IFERROR(__xludf.DUMMYFUNCTION("IF(ISBLANK(B424),"""",IF(ISDATE(B424),TEXT(B424,""yyyy""),""""))"),"")</f>
        <v/>
      </c>
    </row>
    <row r="425">
      <c r="B425" s="87"/>
      <c r="C425" s="85"/>
      <c r="D425" s="76"/>
      <c r="H425" s="88"/>
      <c r="J425" s="53" t="str">
        <f>IFERROR(__xludf.DUMMYFUNCTION("IF(ISBLANK(B425),"""",IF(ISDATE(B425),""X"",""""))"),"")</f>
        <v/>
      </c>
      <c r="K425" s="40" t="str">
        <f>IFERROR(__xludf.DUMMYFUNCTION("IF(ISBLANK(B425),"""",IF(ISDATE(B425),H425,""""))"),"")</f>
        <v/>
      </c>
      <c r="L425" s="40" t="str">
        <f>IFERROR(__xludf.DUMMYFUNCTION("IF(ISBLANK(B425),"""",IF(ISDATE(B425),TEXT(B425,""M""),""""))"),"")</f>
        <v/>
      </c>
      <c r="M425" s="29" t="str">
        <f>IFERROR(__xludf.DUMMYFUNCTION("IF(L425="""","""",QUERY({'Dashboard-Dados'!$Y$2:$AA$13},""Select Col2 Where Col1=""&amp;L425))"),"")</f>
        <v/>
      </c>
      <c r="N425" s="29" t="str">
        <f>IFERROR(__xludf.DUMMYFUNCTION("IF(ISBLANK(B425),"""",IF(ISDATE(B425),TEXT(B425,""yyyy""),""""))"),"")</f>
        <v/>
      </c>
    </row>
    <row r="426">
      <c r="B426" s="89"/>
      <c r="C426" s="86"/>
      <c r="D426" s="71"/>
      <c r="H426" s="90"/>
      <c r="J426" s="53" t="str">
        <f>IFERROR(__xludf.DUMMYFUNCTION("IF(ISBLANK(B426),"""",IF(ISDATE(B426),""X"",""""))"),"")</f>
        <v/>
      </c>
      <c r="K426" s="40" t="str">
        <f>IFERROR(__xludf.DUMMYFUNCTION("IF(ISBLANK(B426),"""",IF(ISDATE(B426),H426,""""))"),"")</f>
        <v/>
      </c>
      <c r="L426" s="40" t="str">
        <f>IFERROR(__xludf.DUMMYFUNCTION("IF(ISBLANK(B426),"""",IF(ISDATE(B426),TEXT(B426,""M""),""""))"),"")</f>
        <v/>
      </c>
      <c r="M426" s="29" t="str">
        <f>IFERROR(__xludf.DUMMYFUNCTION("IF(L426="""","""",QUERY({'Dashboard-Dados'!$Y$2:$AA$13},""Select Col2 Where Col1=""&amp;L426))"),"")</f>
        <v/>
      </c>
      <c r="N426" s="29" t="str">
        <f>IFERROR(__xludf.DUMMYFUNCTION("IF(ISBLANK(B426),"""",IF(ISDATE(B426),TEXT(B426,""yyyy""),""""))"),"")</f>
        <v/>
      </c>
    </row>
    <row r="427">
      <c r="B427" s="87"/>
      <c r="C427" s="85"/>
      <c r="D427" s="76"/>
      <c r="H427" s="88"/>
      <c r="J427" s="53" t="str">
        <f>IFERROR(__xludf.DUMMYFUNCTION("IF(ISBLANK(B427),"""",IF(ISDATE(B427),""X"",""""))"),"")</f>
        <v/>
      </c>
      <c r="K427" s="40" t="str">
        <f>IFERROR(__xludf.DUMMYFUNCTION("IF(ISBLANK(B427),"""",IF(ISDATE(B427),H427,""""))"),"")</f>
        <v/>
      </c>
      <c r="L427" s="40" t="str">
        <f>IFERROR(__xludf.DUMMYFUNCTION("IF(ISBLANK(B427),"""",IF(ISDATE(B427),TEXT(B427,""M""),""""))"),"")</f>
        <v/>
      </c>
      <c r="M427" s="29" t="str">
        <f>IFERROR(__xludf.DUMMYFUNCTION("IF(L427="""","""",QUERY({'Dashboard-Dados'!$Y$2:$AA$13},""Select Col2 Where Col1=""&amp;L427))"),"")</f>
        <v/>
      </c>
      <c r="N427" s="29" t="str">
        <f>IFERROR(__xludf.DUMMYFUNCTION("IF(ISBLANK(B427),"""",IF(ISDATE(B427),TEXT(B427,""yyyy""),""""))"),"")</f>
        <v/>
      </c>
    </row>
    <row r="428">
      <c r="B428" s="89"/>
      <c r="C428" s="86"/>
      <c r="D428" s="71"/>
      <c r="H428" s="90"/>
      <c r="J428" s="53" t="str">
        <f>IFERROR(__xludf.DUMMYFUNCTION("IF(ISBLANK(B428),"""",IF(ISDATE(B428),""X"",""""))"),"")</f>
        <v/>
      </c>
      <c r="K428" s="40" t="str">
        <f>IFERROR(__xludf.DUMMYFUNCTION("IF(ISBLANK(B428),"""",IF(ISDATE(B428),H428,""""))"),"")</f>
        <v/>
      </c>
      <c r="L428" s="40" t="str">
        <f>IFERROR(__xludf.DUMMYFUNCTION("IF(ISBLANK(B428),"""",IF(ISDATE(B428),TEXT(B428,""M""),""""))"),"")</f>
        <v/>
      </c>
      <c r="M428" s="29" t="str">
        <f>IFERROR(__xludf.DUMMYFUNCTION("IF(L428="""","""",QUERY({'Dashboard-Dados'!$Y$2:$AA$13},""Select Col2 Where Col1=""&amp;L428))"),"")</f>
        <v/>
      </c>
      <c r="N428" s="29" t="str">
        <f>IFERROR(__xludf.DUMMYFUNCTION("IF(ISBLANK(B428),"""",IF(ISDATE(B428),TEXT(B428,""yyyy""),""""))"),"")</f>
        <v/>
      </c>
    </row>
    <row r="429">
      <c r="B429" s="87"/>
      <c r="C429" s="85"/>
      <c r="D429" s="76"/>
      <c r="H429" s="88"/>
      <c r="J429" s="53" t="str">
        <f>IFERROR(__xludf.DUMMYFUNCTION("IF(ISBLANK(B429),"""",IF(ISDATE(B429),""X"",""""))"),"")</f>
        <v/>
      </c>
      <c r="K429" s="40" t="str">
        <f>IFERROR(__xludf.DUMMYFUNCTION("IF(ISBLANK(B429),"""",IF(ISDATE(B429),H429,""""))"),"")</f>
        <v/>
      </c>
      <c r="L429" s="40" t="str">
        <f>IFERROR(__xludf.DUMMYFUNCTION("IF(ISBLANK(B429),"""",IF(ISDATE(B429),TEXT(B429,""M""),""""))"),"")</f>
        <v/>
      </c>
      <c r="M429" s="29" t="str">
        <f>IFERROR(__xludf.DUMMYFUNCTION("IF(L429="""","""",QUERY({'Dashboard-Dados'!$Y$2:$AA$13},""Select Col2 Where Col1=""&amp;L429))"),"")</f>
        <v/>
      </c>
      <c r="N429" s="29" t="str">
        <f>IFERROR(__xludf.DUMMYFUNCTION("IF(ISBLANK(B429),"""",IF(ISDATE(B429),TEXT(B429,""yyyy""),""""))"),"")</f>
        <v/>
      </c>
    </row>
    <row r="430">
      <c r="B430" s="89"/>
      <c r="C430" s="86"/>
      <c r="D430" s="71"/>
      <c r="H430" s="90"/>
      <c r="J430" s="53" t="str">
        <f>IFERROR(__xludf.DUMMYFUNCTION("IF(ISBLANK(B430),"""",IF(ISDATE(B430),""X"",""""))"),"")</f>
        <v/>
      </c>
      <c r="K430" s="40" t="str">
        <f>IFERROR(__xludf.DUMMYFUNCTION("IF(ISBLANK(B430),"""",IF(ISDATE(B430),H430,""""))"),"")</f>
        <v/>
      </c>
      <c r="L430" s="40" t="str">
        <f>IFERROR(__xludf.DUMMYFUNCTION("IF(ISBLANK(B430),"""",IF(ISDATE(B430),TEXT(B430,""M""),""""))"),"")</f>
        <v/>
      </c>
      <c r="M430" s="29" t="str">
        <f>IFERROR(__xludf.DUMMYFUNCTION("IF(L430="""","""",QUERY({'Dashboard-Dados'!$Y$2:$AA$13},""Select Col2 Where Col1=""&amp;L430))"),"")</f>
        <v/>
      </c>
      <c r="N430" s="29" t="str">
        <f>IFERROR(__xludf.DUMMYFUNCTION("IF(ISBLANK(B430),"""",IF(ISDATE(B430),TEXT(B430,""yyyy""),""""))"),"")</f>
        <v/>
      </c>
    </row>
    <row r="431">
      <c r="B431" s="87"/>
      <c r="C431" s="85"/>
      <c r="D431" s="76"/>
      <c r="H431" s="88"/>
      <c r="J431" s="53" t="str">
        <f>IFERROR(__xludf.DUMMYFUNCTION("IF(ISBLANK(B431),"""",IF(ISDATE(B431),""X"",""""))"),"")</f>
        <v/>
      </c>
      <c r="K431" s="40" t="str">
        <f>IFERROR(__xludf.DUMMYFUNCTION("IF(ISBLANK(B431),"""",IF(ISDATE(B431),H431,""""))"),"")</f>
        <v/>
      </c>
      <c r="L431" s="40" t="str">
        <f>IFERROR(__xludf.DUMMYFUNCTION("IF(ISBLANK(B431),"""",IF(ISDATE(B431),TEXT(B431,""M""),""""))"),"")</f>
        <v/>
      </c>
      <c r="M431" s="29" t="str">
        <f>IFERROR(__xludf.DUMMYFUNCTION("IF(L431="""","""",QUERY({'Dashboard-Dados'!$Y$2:$AA$13},""Select Col2 Where Col1=""&amp;L431))"),"")</f>
        <v/>
      </c>
      <c r="N431" s="29" t="str">
        <f>IFERROR(__xludf.DUMMYFUNCTION("IF(ISBLANK(B431),"""",IF(ISDATE(B431),TEXT(B431,""yyyy""),""""))"),"")</f>
        <v/>
      </c>
    </row>
    <row r="432">
      <c r="B432" s="89"/>
      <c r="C432" s="86"/>
      <c r="D432" s="71"/>
      <c r="H432" s="90"/>
      <c r="J432" s="53" t="str">
        <f>IFERROR(__xludf.DUMMYFUNCTION("IF(ISBLANK(B432),"""",IF(ISDATE(B432),""X"",""""))"),"")</f>
        <v/>
      </c>
      <c r="K432" s="40" t="str">
        <f>IFERROR(__xludf.DUMMYFUNCTION("IF(ISBLANK(B432),"""",IF(ISDATE(B432),H432,""""))"),"")</f>
        <v/>
      </c>
      <c r="L432" s="40" t="str">
        <f>IFERROR(__xludf.DUMMYFUNCTION("IF(ISBLANK(B432),"""",IF(ISDATE(B432),TEXT(B432,""M""),""""))"),"")</f>
        <v/>
      </c>
      <c r="M432" s="29" t="str">
        <f>IFERROR(__xludf.DUMMYFUNCTION("IF(L432="""","""",QUERY({'Dashboard-Dados'!$Y$2:$AA$13},""Select Col2 Where Col1=""&amp;L432))"),"")</f>
        <v/>
      </c>
      <c r="N432" s="29" t="str">
        <f>IFERROR(__xludf.DUMMYFUNCTION("IF(ISBLANK(B432),"""",IF(ISDATE(B432),TEXT(B432,""yyyy""),""""))"),"")</f>
        <v/>
      </c>
    </row>
    <row r="433">
      <c r="B433" s="87"/>
      <c r="C433" s="85"/>
      <c r="D433" s="76"/>
      <c r="H433" s="88"/>
      <c r="J433" s="53" t="str">
        <f>IFERROR(__xludf.DUMMYFUNCTION("IF(ISBLANK(B433),"""",IF(ISDATE(B433),""X"",""""))"),"")</f>
        <v/>
      </c>
      <c r="K433" s="40" t="str">
        <f>IFERROR(__xludf.DUMMYFUNCTION("IF(ISBLANK(B433),"""",IF(ISDATE(B433),H433,""""))"),"")</f>
        <v/>
      </c>
      <c r="L433" s="40" t="str">
        <f>IFERROR(__xludf.DUMMYFUNCTION("IF(ISBLANK(B433),"""",IF(ISDATE(B433),TEXT(B433,""M""),""""))"),"")</f>
        <v/>
      </c>
      <c r="M433" s="29" t="str">
        <f>IFERROR(__xludf.DUMMYFUNCTION("IF(L433="""","""",QUERY({'Dashboard-Dados'!$Y$2:$AA$13},""Select Col2 Where Col1=""&amp;L433))"),"")</f>
        <v/>
      </c>
      <c r="N433" s="29" t="str">
        <f>IFERROR(__xludf.DUMMYFUNCTION("IF(ISBLANK(B433),"""",IF(ISDATE(B433),TEXT(B433,""yyyy""),""""))"),"")</f>
        <v/>
      </c>
    </row>
    <row r="434">
      <c r="B434" s="89"/>
      <c r="C434" s="86"/>
      <c r="D434" s="71"/>
      <c r="H434" s="90"/>
      <c r="J434" s="53" t="str">
        <f>IFERROR(__xludf.DUMMYFUNCTION("IF(ISBLANK(B434),"""",IF(ISDATE(B434),""X"",""""))"),"")</f>
        <v/>
      </c>
      <c r="K434" s="40" t="str">
        <f>IFERROR(__xludf.DUMMYFUNCTION("IF(ISBLANK(B434),"""",IF(ISDATE(B434),H434,""""))"),"")</f>
        <v/>
      </c>
      <c r="L434" s="40" t="str">
        <f>IFERROR(__xludf.DUMMYFUNCTION("IF(ISBLANK(B434),"""",IF(ISDATE(B434),TEXT(B434,""M""),""""))"),"")</f>
        <v/>
      </c>
      <c r="M434" s="29" t="str">
        <f>IFERROR(__xludf.DUMMYFUNCTION("IF(L434="""","""",QUERY({'Dashboard-Dados'!$Y$2:$AA$13},""Select Col2 Where Col1=""&amp;L434))"),"")</f>
        <v/>
      </c>
      <c r="N434" s="29" t="str">
        <f>IFERROR(__xludf.DUMMYFUNCTION("IF(ISBLANK(B434),"""",IF(ISDATE(B434),TEXT(B434,""yyyy""),""""))"),"")</f>
        <v/>
      </c>
    </row>
    <row r="435">
      <c r="B435" s="87"/>
      <c r="C435" s="85"/>
      <c r="D435" s="76"/>
      <c r="H435" s="88"/>
      <c r="J435" s="53" t="str">
        <f>IFERROR(__xludf.DUMMYFUNCTION("IF(ISBLANK(B435),"""",IF(ISDATE(B435),""X"",""""))"),"")</f>
        <v/>
      </c>
      <c r="K435" s="40" t="str">
        <f>IFERROR(__xludf.DUMMYFUNCTION("IF(ISBLANK(B435),"""",IF(ISDATE(B435),H435,""""))"),"")</f>
        <v/>
      </c>
      <c r="L435" s="40" t="str">
        <f>IFERROR(__xludf.DUMMYFUNCTION("IF(ISBLANK(B435),"""",IF(ISDATE(B435),TEXT(B435,""M""),""""))"),"")</f>
        <v/>
      </c>
      <c r="M435" s="29" t="str">
        <f>IFERROR(__xludf.DUMMYFUNCTION("IF(L435="""","""",QUERY({'Dashboard-Dados'!$Y$2:$AA$13},""Select Col2 Where Col1=""&amp;L435))"),"")</f>
        <v/>
      </c>
      <c r="N435" s="29" t="str">
        <f>IFERROR(__xludf.DUMMYFUNCTION("IF(ISBLANK(B435),"""",IF(ISDATE(B435),TEXT(B435,""yyyy""),""""))"),"")</f>
        <v/>
      </c>
    </row>
    <row r="436">
      <c r="B436" s="89"/>
      <c r="C436" s="86"/>
      <c r="D436" s="71"/>
      <c r="H436" s="90"/>
      <c r="J436" s="53" t="str">
        <f>IFERROR(__xludf.DUMMYFUNCTION("IF(ISBLANK(B436),"""",IF(ISDATE(B436),""X"",""""))"),"")</f>
        <v/>
      </c>
      <c r="K436" s="40" t="str">
        <f>IFERROR(__xludf.DUMMYFUNCTION("IF(ISBLANK(B436),"""",IF(ISDATE(B436),H436,""""))"),"")</f>
        <v/>
      </c>
      <c r="L436" s="40" t="str">
        <f>IFERROR(__xludf.DUMMYFUNCTION("IF(ISBLANK(B436),"""",IF(ISDATE(B436),TEXT(B436,""M""),""""))"),"")</f>
        <v/>
      </c>
      <c r="M436" s="29" t="str">
        <f>IFERROR(__xludf.DUMMYFUNCTION("IF(L436="""","""",QUERY({'Dashboard-Dados'!$Y$2:$AA$13},""Select Col2 Where Col1=""&amp;L436))"),"")</f>
        <v/>
      </c>
      <c r="N436" s="29" t="str">
        <f>IFERROR(__xludf.DUMMYFUNCTION("IF(ISBLANK(B436),"""",IF(ISDATE(B436),TEXT(B436,""yyyy""),""""))"),"")</f>
        <v/>
      </c>
    </row>
    <row r="437">
      <c r="B437" s="87"/>
      <c r="C437" s="85"/>
      <c r="D437" s="76"/>
      <c r="H437" s="88"/>
      <c r="J437" s="53" t="str">
        <f>IFERROR(__xludf.DUMMYFUNCTION("IF(ISBLANK(B437),"""",IF(ISDATE(B437),""X"",""""))"),"")</f>
        <v/>
      </c>
      <c r="K437" s="40" t="str">
        <f>IFERROR(__xludf.DUMMYFUNCTION("IF(ISBLANK(B437),"""",IF(ISDATE(B437),H437,""""))"),"")</f>
        <v/>
      </c>
      <c r="L437" s="40" t="str">
        <f>IFERROR(__xludf.DUMMYFUNCTION("IF(ISBLANK(B437),"""",IF(ISDATE(B437),TEXT(B437,""M""),""""))"),"")</f>
        <v/>
      </c>
      <c r="M437" s="29" t="str">
        <f>IFERROR(__xludf.DUMMYFUNCTION("IF(L437="""","""",QUERY({'Dashboard-Dados'!$Y$2:$AA$13},""Select Col2 Where Col1=""&amp;L437))"),"")</f>
        <v/>
      </c>
      <c r="N437" s="29" t="str">
        <f>IFERROR(__xludf.DUMMYFUNCTION("IF(ISBLANK(B437),"""",IF(ISDATE(B437),TEXT(B437,""yyyy""),""""))"),"")</f>
        <v/>
      </c>
    </row>
    <row r="438">
      <c r="B438" s="89"/>
      <c r="C438" s="86"/>
      <c r="D438" s="71"/>
      <c r="H438" s="90"/>
      <c r="J438" s="53" t="str">
        <f>IFERROR(__xludf.DUMMYFUNCTION("IF(ISBLANK(B438),"""",IF(ISDATE(B438),""X"",""""))"),"")</f>
        <v/>
      </c>
      <c r="K438" s="40" t="str">
        <f>IFERROR(__xludf.DUMMYFUNCTION("IF(ISBLANK(B438),"""",IF(ISDATE(B438),H438,""""))"),"")</f>
        <v/>
      </c>
      <c r="L438" s="40" t="str">
        <f>IFERROR(__xludf.DUMMYFUNCTION("IF(ISBLANK(B438),"""",IF(ISDATE(B438),TEXT(B438,""M""),""""))"),"")</f>
        <v/>
      </c>
      <c r="M438" s="29" t="str">
        <f>IFERROR(__xludf.DUMMYFUNCTION("IF(L438="""","""",QUERY({'Dashboard-Dados'!$Y$2:$AA$13},""Select Col2 Where Col1=""&amp;L438))"),"")</f>
        <v/>
      </c>
      <c r="N438" s="29" t="str">
        <f>IFERROR(__xludf.DUMMYFUNCTION("IF(ISBLANK(B438),"""",IF(ISDATE(B438),TEXT(B438,""yyyy""),""""))"),"")</f>
        <v/>
      </c>
    </row>
    <row r="439">
      <c r="B439" s="87"/>
      <c r="C439" s="85"/>
      <c r="D439" s="76"/>
      <c r="H439" s="88"/>
      <c r="J439" s="53" t="str">
        <f>IFERROR(__xludf.DUMMYFUNCTION("IF(ISBLANK(B439),"""",IF(ISDATE(B439),""X"",""""))"),"")</f>
        <v/>
      </c>
      <c r="K439" s="40" t="str">
        <f>IFERROR(__xludf.DUMMYFUNCTION("IF(ISBLANK(B439),"""",IF(ISDATE(B439),H439,""""))"),"")</f>
        <v/>
      </c>
      <c r="L439" s="40" t="str">
        <f>IFERROR(__xludf.DUMMYFUNCTION("IF(ISBLANK(B439),"""",IF(ISDATE(B439),TEXT(B439,""M""),""""))"),"")</f>
        <v/>
      </c>
      <c r="M439" s="29" t="str">
        <f>IFERROR(__xludf.DUMMYFUNCTION("IF(L439="""","""",QUERY({'Dashboard-Dados'!$Y$2:$AA$13},""Select Col2 Where Col1=""&amp;L439))"),"")</f>
        <v/>
      </c>
      <c r="N439" s="29" t="str">
        <f>IFERROR(__xludf.DUMMYFUNCTION("IF(ISBLANK(B439),"""",IF(ISDATE(B439),TEXT(B439,""yyyy""),""""))"),"")</f>
        <v/>
      </c>
    </row>
    <row r="440">
      <c r="B440" s="89"/>
      <c r="C440" s="86"/>
      <c r="D440" s="71"/>
      <c r="H440" s="90"/>
      <c r="J440" s="53" t="str">
        <f>IFERROR(__xludf.DUMMYFUNCTION("IF(ISBLANK(B440),"""",IF(ISDATE(B440),""X"",""""))"),"")</f>
        <v/>
      </c>
      <c r="K440" s="40" t="str">
        <f>IFERROR(__xludf.DUMMYFUNCTION("IF(ISBLANK(B440),"""",IF(ISDATE(B440),H440,""""))"),"")</f>
        <v/>
      </c>
      <c r="L440" s="40" t="str">
        <f>IFERROR(__xludf.DUMMYFUNCTION("IF(ISBLANK(B440),"""",IF(ISDATE(B440),TEXT(B440,""M""),""""))"),"")</f>
        <v/>
      </c>
      <c r="M440" s="29" t="str">
        <f>IFERROR(__xludf.DUMMYFUNCTION("IF(L440="""","""",QUERY({'Dashboard-Dados'!$Y$2:$AA$13},""Select Col2 Where Col1=""&amp;L440))"),"")</f>
        <v/>
      </c>
      <c r="N440" s="29" t="str">
        <f>IFERROR(__xludf.DUMMYFUNCTION("IF(ISBLANK(B440),"""",IF(ISDATE(B440),TEXT(B440,""yyyy""),""""))"),"")</f>
        <v/>
      </c>
    </row>
    <row r="441">
      <c r="B441" s="87"/>
      <c r="C441" s="85"/>
      <c r="D441" s="76"/>
      <c r="H441" s="88"/>
      <c r="J441" s="53" t="str">
        <f>IFERROR(__xludf.DUMMYFUNCTION("IF(ISBLANK(B441),"""",IF(ISDATE(B441),""X"",""""))"),"")</f>
        <v/>
      </c>
      <c r="K441" s="40" t="str">
        <f>IFERROR(__xludf.DUMMYFUNCTION("IF(ISBLANK(B441),"""",IF(ISDATE(B441),H441,""""))"),"")</f>
        <v/>
      </c>
      <c r="L441" s="40" t="str">
        <f>IFERROR(__xludf.DUMMYFUNCTION("IF(ISBLANK(B441),"""",IF(ISDATE(B441),TEXT(B441,""M""),""""))"),"")</f>
        <v/>
      </c>
      <c r="M441" s="29" t="str">
        <f>IFERROR(__xludf.DUMMYFUNCTION("IF(L441="""","""",QUERY({'Dashboard-Dados'!$Y$2:$AA$13},""Select Col2 Where Col1=""&amp;L441))"),"")</f>
        <v/>
      </c>
      <c r="N441" s="29" t="str">
        <f>IFERROR(__xludf.DUMMYFUNCTION("IF(ISBLANK(B441),"""",IF(ISDATE(B441),TEXT(B441,""yyyy""),""""))"),"")</f>
        <v/>
      </c>
    </row>
    <row r="442">
      <c r="B442" s="89"/>
      <c r="C442" s="86"/>
      <c r="D442" s="71"/>
      <c r="H442" s="90"/>
      <c r="J442" s="53" t="str">
        <f>IFERROR(__xludf.DUMMYFUNCTION("IF(ISBLANK(B442),"""",IF(ISDATE(B442),""X"",""""))"),"")</f>
        <v/>
      </c>
      <c r="K442" s="40" t="str">
        <f>IFERROR(__xludf.DUMMYFUNCTION("IF(ISBLANK(B442),"""",IF(ISDATE(B442),H442,""""))"),"")</f>
        <v/>
      </c>
      <c r="L442" s="40" t="str">
        <f>IFERROR(__xludf.DUMMYFUNCTION("IF(ISBLANK(B442),"""",IF(ISDATE(B442),TEXT(B442,""M""),""""))"),"")</f>
        <v/>
      </c>
      <c r="M442" s="29" t="str">
        <f>IFERROR(__xludf.DUMMYFUNCTION("IF(L442="""","""",QUERY({'Dashboard-Dados'!$Y$2:$AA$13},""Select Col2 Where Col1=""&amp;L442))"),"")</f>
        <v/>
      </c>
      <c r="N442" s="29" t="str">
        <f>IFERROR(__xludf.DUMMYFUNCTION("IF(ISBLANK(B442),"""",IF(ISDATE(B442),TEXT(B442,""yyyy""),""""))"),"")</f>
        <v/>
      </c>
    </row>
    <row r="443">
      <c r="B443" s="87"/>
      <c r="C443" s="85"/>
      <c r="D443" s="76"/>
      <c r="H443" s="88"/>
      <c r="J443" s="53" t="str">
        <f>IFERROR(__xludf.DUMMYFUNCTION("IF(ISBLANK(B443),"""",IF(ISDATE(B443),""X"",""""))"),"")</f>
        <v/>
      </c>
      <c r="K443" s="40" t="str">
        <f>IFERROR(__xludf.DUMMYFUNCTION("IF(ISBLANK(B443),"""",IF(ISDATE(B443),H443,""""))"),"")</f>
        <v/>
      </c>
      <c r="L443" s="40" t="str">
        <f>IFERROR(__xludf.DUMMYFUNCTION("IF(ISBLANK(B443),"""",IF(ISDATE(B443),TEXT(B443,""M""),""""))"),"")</f>
        <v/>
      </c>
      <c r="M443" s="29" t="str">
        <f>IFERROR(__xludf.DUMMYFUNCTION("IF(L443="""","""",QUERY({'Dashboard-Dados'!$Y$2:$AA$13},""Select Col2 Where Col1=""&amp;L443))"),"")</f>
        <v/>
      </c>
      <c r="N443" s="29" t="str">
        <f>IFERROR(__xludf.DUMMYFUNCTION("IF(ISBLANK(B443),"""",IF(ISDATE(B443),TEXT(B443,""yyyy""),""""))"),"")</f>
        <v/>
      </c>
    </row>
    <row r="444">
      <c r="B444" s="89"/>
      <c r="C444" s="86"/>
      <c r="D444" s="71"/>
      <c r="H444" s="90"/>
      <c r="J444" s="53" t="str">
        <f>IFERROR(__xludf.DUMMYFUNCTION("IF(ISBLANK(B444),"""",IF(ISDATE(B444),""X"",""""))"),"")</f>
        <v/>
      </c>
      <c r="K444" s="40" t="str">
        <f>IFERROR(__xludf.DUMMYFUNCTION("IF(ISBLANK(B444),"""",IF(ISDATE(B444),H444,""""))"),"")</f>
        <v/>
      </c>
      <c r="L444" s="40" t="str">
        <f>IFERROR(__xludf.DUMMYFUNCTION("IF(ISBLANK(B444),"""",IF(ISDATE(B444),TEXT(B444,""M""),""""))"),"")</f>
        <v/>
      </c>
      <c r="M444" s="29" t="str">
        <f>IFERROR(__xludf.DUMMYFUNCTION("IF(L444="""","""",QUERY({'Dashboard-Dados'!$Y$2:$AA$13},""Select Col2 Where Col1=""&amp;L444))"),"")</f>
        <v/>
      </c>
      <c r="N444" s="29" t="str">
        <f>IFERROR(__xludf.DUMMYFUNCTION("IF(ISBLANK(B444),"""",IF(ISDATE(B444),TEXT(B444,""yyyy""),""""))"),"")</f>
        <v/>
      </c>
    </row>
    <row r="445">
      <c r="B445" s="87"/>
      <c r="C445" s="85"/>
      <c r="D445" s="76"/>
      <c r="H445" s="88"/>
      <c r="J445" s="53" t="str">
        <f>IFERROR(__xludf.DUMMYFUNCTION("IF(ISBLANK(B445),"""",IF(ISDATE(B445),""X"",""""))"),"")</f>
        <v/>
      </c>
      <c r="K445" s="40" t="str">
        <f>IFERROR(__xludf.DUMMYFUNCTION("IF(ISBLANK(B445),"""",IF(ISDATE(B445),H445,""""))"),"")</f>
        <v/>
      </c>
      <c r="L445" s="40" t="str">
        <f>IFERROR(__xludf.DUMMYFUNCTION("IF(ISBLANK(B445),"""",IF(ISDATE(B445),TEXT(B445,""M""),""""))"),"")</f>
        <v/>
      </c>
      <c r="M445" s="29" t="str">
        <f>IFERROR(__xludf.DUMMYFUNCTION("IF(L445="""","""",QUERY({'Dashboard-Dados'!$Y$2:$AA$13},""Select Col2 Where Col1=""&amp;L445))"),"")</f>
        <v/>
      </c>
      <c r="N445" s="29" t="str">
        <f>IFERROR(__xludf.DUMMYFUNCTION("IF(ISBLANK(B445),"""",IF(ISDATE(B445),TEXT(B445,""yyyy""),""""))"),"")</f>
        <v/>
      </c>
    </row>
    <row r="446">
      <c r="B446" s="89"/>
      <c r="C446" s="86"/>
      <c r="D446" s="71"/>
      <c r="H446" s="90"/>
      <c r="J446" s="53" t="str">
        <f>IFERROR(__xludf.DUMMYFUNCTION("IF(ISBLANK(B446),"""",IF(ISDATE(B446),""X"",""""))"),"")</f>
        <v/>
      </c>
      <c r="K446" s="40" t="str">
        <f>IFERROR(__xludf.DUMMYFUNCTION("IF(ISBLANK(B446),"""",IF(ISDATE(B446),H446,""""))"),"")</f>
        <v/>
      </c>
      <c r="L446" s="40" t="str">
        <f>IFERROR(__xludf.DUMMYFUNCTION("IF(ISBLANK(B446),"""",IF(ISDATE(B446),TEXT(B446,""M""),""""))"),"")</f>
        <v/>
      </c>
      <c r="M446" s="29" t="str">
        <f>IFERROR(__xludf.DUMMYFUNCTION("IF(L446="""","""",QUERY({'Dashboard-Dados'!$Y$2:$AA$13},""Select Col2 Where Col1=""&amp;L446))"),"")</f>
        <v/>
      </c>
      <c r="N446" s="29" t="str">
        <f>IFERROR(__xludf.DUMMYFUNCTION("IF(ISBLANK(B446),"""",IF(ISDATE(B446),TEXT(B446,""yyyy""),""""))"),"")</f>
        <v/>
      </c>
    </row>
    <row r="447">
      <c r="B447" s="87"/>
      <c r="C447" s="85"/>
      <c r="D447" s="76"/>
      <c r="H447" s="88"/>
      <c r="J447" s="53" t="str">
        <f>IFERROR(__xludf.DUMMYFUNCTION("IF(ISBLANK(B447),"""",IF(ISDATE(B447),""X"",""""))"),"")</f>
        <v/>
      </c>
      <c r="K447" s="40" t="str">
        <f>IFERROR(__xludf.DUMMYFUNCTION("IF(ISBLANK(B447),"""",IF(ISDATE(B447),H447,""""))"),"")</f>
        <v/>
      </c>
      <c r="L447" s="40" t="str">
        <f>IFERROR(__xludf.DUMMYFUNCTION("IF(ISBLANK(B447),"""",IF(ISDATE(B447),TEXT(B447,""M""),""""))"),"")</f>
        <v/>
      </c>
      <c r="M447" s="29" t="str">
        <f>IFERROR(__xludf.DUMMYFUNCTION("IF(L447="""","""",QUERY({'Dashboard-Dados'!$Y$2:$AA$13},""Select Col2 Where Col1=""&amp;L447))"),"")</f>
        <v/>
      </c>
      <c r="N447" s="29" t="str">
        <f>IFERROR(__xludf.DUMMYFUNCTION("IF(ISBLANK(B447),"""",IF(ISDATE(B447),TEXT(B447,""yyyy""),""""))"),"")</f>
        <v/>
      </c>
    </row>
    <row r="448">
      <c r="B448" s="89"/>
      <c r="C448" s="86"/>
      <c r="D448" s="71"/>
      <c r="H448" s="90"/>
      <c r="J448" s="53" t="str">
        <f>IFERROR(__xludf.DUMMYFUNCTION("IF(ISBLANK(B448),"""",IF(ISDATE(B448),""X"",""""))"),"")</f>
        <v/>
      </c>
      <c r="K448" s="40" t="str">
        <f>IFERROR(__xludf.DUMMYFUNCTION("IF(ISBLANK(B448),"""",IF(ISDATE(B448),H448,""""))"),"")</f>
        <v/>
      </c>
      <c r="L448" s="40" t="str">
        <f>IFERROR(__xludf.DUMMYFUNCTION("IF(ISBLANK(B448),"""",IF(ISDATE(B448),TEXT(B448,""M""),""""))"),"")</f>
        <v/>
      </c>
      <c r="M448" s="29" t="str">
        <f>IFERROR(__xludf.DUMMYFUNCTION("IF(L448="""","""",QUERY({'Dashboard-Dados'!$Y$2:$AA$13},""Select Col2 Where Col1=""&amp;L448))"),"")</f>
        <v/>
      </c>
      <c r="N448" s="29" t="str">
        <f>IFERROR(__xludf.DUMMYFUNCTION("IF(ISBLANK(B448),"""",IF(ISDATE(B448),TEXT(B448,""yyyy""),""""))"),"")</f>
        <v/>
      </c>
    </row>
    <row r="449">
      <c r="B449" s="87"/>
      <c r="C449" s="85"/>
      <c r="D449" s="76"/>
      <c r="H449" s="88"/>
      <c r="J449" s="53" t="str">
        <f>IFERROR(__xludf.DUMMYFUNCTION("IF(ISBLANK(B449),"""",IF(ISDATE(B449),""X"",""""))"),"")</f>
        <v/>
      </c>
      <c r="K449" s="40" t="str">
        <f>IFERROR(__xludf.DUMMYFUNCTION("IF(ISBLANK(B449),"""",IF(ISDATE(B449),H449,""""))"),"")</f>
        <v/>
      </c>
      <c r="L449" s="40" t="str">
        <f>IFERROR(__xludf.DUMMYFUNCTION("IF(ISBLANK(B449),"""",IF(ISDATE(B449),TEXT(B449,""M""),""""))"),"")</f>
        <v/>
      </c>
      <c r="M449" s="29" t="str">
        <f>IFERROR(__xludf.DUMMYFUNCTION("IF(L449="""","""",QUERY({'Dashboard-Dados'!$Y$2:$AA$13},""Select Col2 Where Col1=""&amp;L449))"),"")</f>
        <v/>
      </c>
      <c r="N449" s="29" t="str">
        <f>IFERROR(__xludf.DUMMYFUNCTION("IF(ISBLANK(B449),"""",IF(ISDATE(B449),TEXT(B449,""yyyy""),""""))"),"")</f>
        <v/>
      </c>
    </row>
    <row r="450">
      <c r="B450" s="89"/>
      <c r="C450" s="86"/>
      <c r="D450" s="71"/>
      <c r="H450" s="90"/>
      <c r="J450" s="53" t="str">
        <f>IFERROR(__xludf.DUMMYFUNCTION("IF(ISBLANK(B450),"""",IF(ISDATE(B450),""X"",""""))"),"")</f>
        <v/>
      </c>
      <c r="K450" s="40" t="str">
        <f>IFERROR(__xludf.DUMMYFUNCTION("IF(ISBLANK(B450),"""",IF(ISDATE(B450),H450,""""))"),"")</f>
        <v/>
      </c>
      <c r="L450" s="40" t="str">
        <f>IFERROR(__xludf.DUMMYFUNCTION("IF(ISBLANK(B450),"""",IF(ISDATE(B450),TEXT(B450,""M""),""""))"),"")</f>
        <v/>
      </c>
      <c r="M450" s="29" t="str">
        <f>IFERROR(__xludf.DUMMYFUNCTION("IF(L450="""","""",QUERY({'Dashboard-Dados'!$Y$2:$AA$13},""Select Col2 Where Col1=""&amp;L450))"),"")</f>
        <v/>
      </c>
      <c r="N450" s="29" t="str">
        <f>IFERROR(__xludf.DUMMYFUNCTION("IF(ISBLANK(B450),"""",IF(ISDATE(B450),TEXT(B450,""yyyy""),""""))"),"")</f>
        <v/>
      </c>
    </row>
    <row r="451">
      <c r="B451" s="87"/>
      <c r="C451" s="85"/>
      <c r="D451" s="76"/>
      <c r="H451" s="88"/>
      <c r="J451" s="53" t="str">
        <f>IFERROR(__xludf.DUMMYFUNCTION("IF(ISBLANK(B451),"""",IF(ISDATE(B451),""X"",""""))"),"")</f>
        <v/>
      </c>
      <c r="K451" s="40" t="str">
        <f>IFERROR(__xludf.DUMMYFUNCTION("IF(ISBLANK(B451),"""",IF(ISDATE(B451),H451,""""))"),"")</f>
        <v/>
      </c>
      <c r="L451" s="40" t="str">
        <f>IFERROR(__xludf.DUMMYFUNCTION("IF(ISBLANK(B451),"""",IF(ISDATE(B451),TEXT(B451,""M""),""""))"),"")</f>
        <v/>
      </c>
      <c r="M451" s="29" t="str">
        <f>IFERROR(__xludf.DUMMYFUNCTION("IF(L451="""","""",QUERY({'Dashboard-Dados'!$Y$2:$AA$13},""Select Col2 Where Col1=""&amp;L451))"),"")</f>
        <v/>
      </c>
      <c r="N451" s="29" t="str">
        <f>IFERROR(__xludf.DUMMYFUNCTION("IF(ISBLANK(B451),"""",IF(ISDATE(B451),TEXT(B451,""yyyy""),""""))"),"")</f>
        <v/>
      </c>
    </row>
    <row r="452">
      <c r="B452" s="89"/>
      <c r="C452" s="86"/>
      <c r="D452" s="71"/>
      <c r="H452" s="90"/>
      <c r="J452" s="53" t="str">
        <f>IFERROR(__xludf.DUMMYFUNCTION("IF(ISBLANK(B452),"""",IF(ISDATE(B452),""X"",""""))"),"")</f>
        <v/>
      </c>
      <c r="K452" s="40" t="str">
        <f>IFERROR(__xludf.DUMMYFUNCTION("IF(ISBLANK(B452),"""",IF(ISDATE(B452),H452,""""))"),"")</f>
        <v/>
      </c>
      <c r="L452" s="40" t="str">
        <f>IFERROR(__xludf.DUMMYFUNCTION("IF(ISBLANK(B452),"""",IF(ISDATE(B452),TEXT(B452,""M""),""""))"),"")</f>
        <v/>
      </c>
      <c r="M452" s="29" t="str">
        <f>IFERROR(__xludf.DUMMYFUNCTION("IF(L452="""","""",QUERY({'Dashboard-Dados'!$Y$2:$AA$13},""Select Col2 Where Col1=""&amp;L452))"),"")</f>
        <v/>
      </c>
      <c r="N452" s="29" t="str">
        <f>IFERROR(__xludf.DUMMYFUNCTION("IF(ISBLANK(B452),"""",IF(ISDATE(B452),TEXT(B452,""yyyy""),""""))"),"")</f>
        <v/>
      </c>
    </row>
    <row r="453">
      <c r="B453" s="87"/>
      <c r="C453" s="85"/>
      <c r="D453" s="76"/>
      <c r="H453" s="88"/>
      <c r="J453" s="53" t="str">
        <f>IFERROR(__xludf.DUMMYFUNCTION("IF(ISBLANK(B453),"""",IF(ISDATE(B453),""X"",""""))"),"")</f>
        <v/>
      </c>
      <c r="K453" s="40" t="str">
        <f>IFERROR(__xludf.DUMMYFUNCTION("IF(ISBLANK(B453),"""",IF(ISDATE(B453),H453,""""))"),"")</f>
        <v/>
      </c>
      <c r="L453" s="40" t="str">
        <f>IFERROR(__xludf.DUMMYFUNCTION("IF(ISBLANK(B453),"""",IF(ISDATE(B453),TEXT(B453,""M""),""""))"),"")</f>
        <v/>
      </c>
      <c r="M453" s="29" t="str">
        <f>IFERROR(__xludf.DUMMYFUNCTION("IF(L453="""","""",QUERY({'Dashboard-Dados'!$Y$2:$AA$13},""Select Col2 Where Col1=""&amp;L453))"),"")</f>
        <v/>
      </c>
      <c r="N453" s="29" t="str">
        <f>IFERROR(__xludf.DUMMYFUNCTION("IF(ISBLANK(B453),"""",IF(ISDATE(B453),TEXT(B453,""yyyy""),""""))"),"")</f>
        <v/>
      </c>
    </row>
    <row r="454">
      <c r="B454" s="89"/>
      <c r="C454" s="86"/>
      <c r="D454" s="71"/>
      <c r="H454" s="90"/>
      <c r="J454" s="53" t="str">
        <f>IFERROR(__xludf.DUMMYFUNCTION("IF(ISBLANK(B454),"""",IF(ISDATE(B454),""X"",""""))"),"")</f>
        <v/>
      </c>
      <c r="K454" s="40" t="str">
        <f>IFERROR(__xludf.DUMMYFUNCTION("IF(ISBLANK(B454),"""",IF(ISDATE(B454),H454,""""))"),"")</f>
        <v/>
      </c>
      <c r="L454" s="40" t="str">
        <f>IFERROR(__xludf.DUMMYFUNCTION("IF(ISBLANK(B454),"""",IF(ISDATE(B454),TEXT(B454,""M""),""""))"),"")</f>
        <v/>
      </c>
      <c r="M454" s="29" t="str">
        <f>IFERROR(__xludf.DUMMYFUNCTION("IF(L454="""","""",QUERY({'Dashboard-Dados'!$Y$2:$AA$13},""Select Col2 Where Col1=""&amp;L454))"),"")</f>
        <v/>
      </c>
      <c r="N454" s="29" t="str">
        <f>IFERROR(__xludf.DUMMYFUNCTION("IF(ISBLANK(B454),"""",IF(ISDATE(B454),TEXT(B454,""yyyy""),""""))"),"")</f>
        <v/>
      </c>
    </row>
    <row r="455">
      <c r="B455" s="87"/>
      <c r="C455" s="85"/>
      <c r="D455" s="76"/>
      <c r="H455" s="88"/>
      <c r="J455" s="53" t="str">
        <f>IFERROR(__xludf.DUMMYFUNCTION("IF(ISBLANK(B455),"""",IF(ISDATE(B455),""X"",""""))"),"")</f>
        <v/>
      </c>
      <c r="K455" s="40" t="str">
        <f>IFERROR(__xludf.DUMMYFUNCTION("IF(ISBLANK(B455),"""",IF(ISDATE(B455),H455,""""))"),"")</f>
        <v/>
      </c>
      <c r="L455" s="40" t="str">
        <f>IFERROR(__xludf.DUMMYFUNCTION("IF(ISBLANK(B455),"""",IF(ISDATE(B455),TEXT(B455,""M""),""""))"),"")</f>
        <v/>
      </c>
      <c r="M455" s="29" t="str">
        <f>IFERROR(__xludf.DUMMYFUNCTION("IF(L455="""","""",QUERY({'Dashboard-Dados'!$Y$2:$AA$13},""Select Col2 Where Col1=""&amp;L455))"),"")</f>
        <v/>
      </c>
      <c r="N455" s="29" t="str">
        <f>IFERROR(__xludf.DUMMYFUNCTION("IF(ISBLANK(B455),"""",IF(ISDATE(B455),TEXT(B455,""yyyy""),""""))"),"")</f>
        <v/>
      </c>
    </row>
    <row r="456">
      <c r="B456" s="89"/>
      <c r="C456" s="86"/>
      <c r="D456" s="71"/>
      <c r="H456" s="90"/>
      <c r="J456" s="53" t="str">
        <f>IFERROR(__xludf.DUMMYFUNCTION("IF(ISBLANK(B456),"""",IF(ISDATE(B456),""X"",""""))"),"")</f>
        <v/>
      </c>
      <c r="K456" s="40" t="str">
        <f>IFERROR(__xludf.DUMMYFUNCTION("IF(ISBLANK(B456),"""",IF(ISDATE(B456),H456,""""))"),"")</f>
        <v/>
      </c>
      <c r="L456" s="40" t="str">
        <f>IFERROR(__xludf.DUMMYFUNCTION("IF(ISBLANK(B456),"""",IF(ISDATE(B456),TEXT(B456,""M""),""""))"),"")</f>
        <v/>
      </c>
      <c r="M456" s="29" t="str">
        <f>IFERROR(__xludf.DUMMYFUNCTION("IF(L456="""","""",QUERY({'Dashboard-Dados'!$Y$2:$AA$13},""Select Col2 Where Col1=""&amp;L456))"),"")</f>
        <v/>
      </c>
      <c r="N456" s="29" t="str">
        <f>IFERROR(__xludf.DUMMYFUNCTION("IF(ISBLANK(B456),"""",IF(ISDATE(B456),TEXT(B456,""yyyy""),""""))"),"")</f>
        <v/>
      </c>
    </row>
    <row r="457">
      <c r="B457" s="87"/>
      <c r="C457" s="85"/>
      <c r="D457" s="76"/>
      <c r="H457" s="88"/>
      <c r="J457" s="53" t="str">
        <f>IFERROR(__xludf.DUMMYFUNCTION("IF(ISBLANK(B457),"""",IF(ISDATE(B457),""X"",""""))"),"")</f>
        <v/>
      </c>
      <c r="K457" s="40" t="str">
        <f>IFERROR(__xludf.DUMMYFUNCTION("IF(ISBLANK(B457),"""",IF(ISDATE(B457),H457,""""))"),"")</f>
        <v/>
      </c>
      <c r="L457" s="40" t="str">
        <f>IFERROR(__xludf.DUMMYFUNCTION("IF(ISBLANK(B457),"""",IF(ISDATE(B457),TEXT(B457,""M""),""""))"),"")</f>
        <v/>
      </c>
      <c r="M457" s="29" t="str">
        <f>IFERROR(__xludf.DUMMYFUNCTION("IF(L457="""","""",QUERY({'Dashboard-Dados'!$Y$2:$AA$13},""Select Col2 Where Col1=""&amp;L457))"),"")</f>
        <v/>
      </c>
      <c r="N457" s="29" t="str">
        <f>IFERROR(__xludf.DUMMYFUNCTION("IF(ISBLANK(B457),"""",IF(ISDATE(B457),TEXT(B457,""yyyy""),""""))"),"")</f>
        <v/>
      </c>
    </row>
    <row r="458">
      <c r="B458" s="89"/>
      <c r="C458" s="86"/>
      <c r="D458" s="71"/>
      <c r="H458" s="90"/>
      <c r="J458" s="53" t="str">
        <f>IFERROR(__xludf.DUMMYFUNCTION("IF(ISBLANK(B458),"""",IF(ISDATE(B458),""X"",""""))"),"")</f>
        <v/>
      </c>
      <c r="K458" s="40" t="str">
        <f>IFERROR(__xludf.DUMMYFUNCTION("IF(ISBLANK(B458),"""",IF(ISDATE(B458),H458,""""))"),"")</f>
        <v/>
      </c>
      <c r="L458" s="40" t="str">
        <f>IFERROR(__xludf.DUMMYFUNCTION("IF(ISBLANK(B458),"""",IF(ISDATE(B458),TEXT(B458,""M""),""""))"),"")</f>
        <v/>
      </c>
      <c r="M458" s="29" t="str">
        <f>IFERROR(__xludf.DUMMYFUNCTION("IF(L458="""","""",QUERY({'Dashboard-Dados'!$Y$2:$AA$13},""Select Col2 Where Col1=""&amp;L458))"),"")</f>
        <v/>
      </c>
      <c r="N458" s="29" t="str">
        <f>IFERROR(__xludf.DUMMYFUNCTION("IF(ISBLANK(B458),"""",IF(ISDATE(B458),TEXT(B458,""yyyy""),""""))"),"")</f>
        <v/>
      </c>
    </row>
    <row r="459">
      <c r="B459" s="87"/>
      <c r="C459" s="85"/>
      <c r="D459" s="76"/>
      <c r="H459" s="88"/>
      <c r="J459" s="53" t="str">
        <f>IFERROR(__xludf.DUMMYFUNCTION("IF(ISBLANK(B459),"""",IF(ISDATE(B459),""X"",""""))"),"")</f>
        <v/>
      </c>
      <c r="K459" s="40" t="str">
        <f>IFERROR(__xludf.DUMMYFUNCTION("IF(ISBLANK(B459),"""",IF(ISDATE(B459),H459,""""))"),"")</f>
        <v/>
      </c>
      <c r="L459" s="40" t="str">
        <f>IFERROR(__xludf.DUMMYFUNCTION("IF(ISBLANK(B459),"""",IF(ISDATE(B459),TEXT(B459,""M""),""""))"),"")</f>
        <v/>
      </c>
      <c r="M459" s="29" t="str">
        <f>IFERROR(__xludf.DUMMYFUNCTION("IF(L459="""","""",QUERY({'Dashboard-Dados'!$Y$2:$AA$13},""Select Col2 Where Col1=""&amp;L459))"),"")</f>
        <v/>
      </c>
      <c r="N459" s="29" t="str">
        <f>IFERROR(__xludf.DUMMYFUNCTION("IF(ISBLANK(B459),"""",IF(ISDATE(B459),TEXT(B459,""yyyy""),""""))"),"")</f>
        <v/>
      </c>
    </row>
    <row r="460">
      <c r="B460" s="89"/>
      <c r="C460" s="86"/>
      <c r="D460" s="71"/>
      <c r="H460" s="90"/>
      <c r="J460" s="53" t="str">
        <f>IFERROR(__xludf.DUMMYFUNCTION("IF(ISBLANK(B460),"""",IF(ISDATE(B460),""X"",""""))"),"")</f>
        <v/>
      </c>
      <c r="K460" s="40" t="str">
        <f>IFERROR(__xludf.DUMMYFUNCTION("IF(ISBLANK(B460),"""",IF(ISDATE(B460),H460,""""))"),"")</f>
        <v/>
      </c>
      <c r="L460" s="40" t="str">
        <f>IFERROR(__xludf.DUMMYFUNCTION("IF(ISBLANK(B460),"""",IF(ISDATE(B460),TEXT(B460,""M""),""""))"),"")</f>
        <v/>
      </c>
      <c r="M460" s="29" t="str">
        <f>IFERROR(__xludf.DUMMYFUNCTION("IF(L460="""","""",QUERY({'Dashboard-Dados'!$Y$2:$AA$13},""Select Col2 Where Col1=""&amp;L460))"),"")</f>
        <v/>
      </c>
      <c r="N460" s="29" t="str">
        <f>IFERROR(__xludf.DUMMYFUNCTION("IF(ISBLANK(B460),"""",IF(ISDATE(B460),TEXT(B460,""yyyy""),""""))"),"")</f>
        <v/>
      </c>
    </row>
    <row r="461">
      <c r="B461" s="87"/>
      <c r="C461" s="85"/>
      <c r="D461" s="76"/>
      <c r="H461" s="88"/>
      <c r="J461" s="53" t="str">
        <f>IFERROR(__xludf.DUMMYFUNCTION("IF(ISBLANK(B461),"""",IF(ISDATE(B461),""X"",""""))"),"")</f>
        <v/>
      </c>
      <c r="K461" s="40" t="str">
        <f>IFERROR(__xludf.DUMMYFUNCTION("IF(ISBLANK(B461),"""",IF(ISDATE(B461),H461,""""))"),"")</f>
        <v/>
      </c>
      <c r="L461" s="40" t="str">
        <f>IFERROR(__xludf.DUMMYFUNCTION("IF(ISBLANK(B461),"""",IF(ISDATE(B461),TEXT(B461,""M""),""""))"),"")</f>
        <v/>
      </c>
      <c r="M461" s="29" t="str">
        <f>IFERROR(__xludf.DUMMYFUNCTION("IF(L461="""","""",QUERY({'Dashboard-Dados'!$Y$2:$AA$13},""Select Col2 Where Col1=""&amp;L461))"),"")</f>
        <v/>
      </c>
      <c r="N461" s="29" t="str">
        <f>IFERROR(__xludf.DUMMYFUNCTION("IF(ISBLANK(B461),"""",IF(ISDATE(B461),TEXT(B461,""yyyy""),""""))"),"")</f>
        <v/>
      </c>
    </row>
    <row r="462">
      <c r="B462" s="89"/>
      <c r="C462" s="86"/>
      <c r="D462" s="71"/>
      <c r="H462" s="90"/>
      <c r="J462" s="53" t="str">
        <f>IFERROR(__xludf.DUMMYFUNCTION("IF(ISBLANK(B462),"""",IF(ISDATE(B462),""X"",""""))"),"")</f>
        <v/>
      </c>
      <c r="K462" s="40" t="str">
        <f>IFERROR(__xludf.DUMMYFUNCTION("IF(ISBLANK(B462),"""",IF(ISDATE(B462),H462,""""))"),"")</f>
        <v/>
      </c>
      <c r="L462" s="40" t="str">
        <f>IFERROR(__xludf.DUMMYFUNCTION("IF(ISBLANK(B462),"""",IF(ISDATE(B462),TEXT(B462,""M""),""""))"),"")</f>
        <v/>
      </c>
      <c r="M462" s="29" t="str">
        <f>IFERROR(__xludf.DUMMYFUNCTION("IF(L462="""","""",QUERY({'Dashboard-Dados'!$Y$2:$AA$13},""Select Col2 Where Col1=""&amp;L462))"),"")</f>
        <v/>
      </c>
      <c r="N462" s="29" t="str">
        <f>IFERROR(__xludf.DUMMYFUNCTION("IF(ISBLANK(B462),"""",IF(ISDATE(B462),TEXT(B462,""yyyy""),""""))"),"")</f>
        <v/>
      </c>
    </row>
    <row r="463">
      <c r="B463" s="87"/>
      <c r="C463" s="85"/>
      <c r="D463" s="76"/>
      <c r="H463" s="88"/>
      <c r="J463" s="53" t="str">
        <f>IFERROR(__xludf.DUMMYFUNCTION("IF(ISBLANK(B463),"""",IF(ISDATE(B463),""X"",""""))"),"")</f>
        <v/>
      </c>
      <c r="K463" s="40" t="str">
        <f>IFERROR(__xludf.DUMMYFUNCTION("IF(ISBLANK(B463),"""",IF(ISDATE(B463),H463,""""))"),"")</f>
        <v/>
      </c>
      <c r="L463" s="40" t="str">
        <f>IFERROR(__xludf.DUMMYFUNCTION("IF(ISBLANK(B463),"""",IF(ISDATE(B463),TEXT(B463,""M""),""""))"),"")</f>
        <v/>
      </c>
      <c r="M463" s="29" t="str">
        <f>IFERROR(__xludf.DUMMYFUNCTION("IF(L463="""","""",QUERY({'Dashboard-Dados'!$Y$2:$AA$13},""Select Col2 Where Col1=""&amp;L463))"),"")</f>
        <v/>
      </c>
      <c r="N463" s="29" t="str">
        <f>IFERROR(__xludf.DUMMYFUNCTION("IF(ISBLANK(B463),"""",IF(ISDATE(B463),TEXT(B463,""yyyy""),""""))"),"")</f>
        <v/>
      </c>
    </row>
    <row r="464">
      <c r="B464" s="89"/>
      <c r="C464" s="86"/>
      <c r="D464" s="71"/>
      <c r="H464" s="90"/>
      <c r="J464" s="53" t="str">
        <f>IFERROR(__xludf.DUMMYFUNCTION("IF(ISBLANK(B464),"""",IF(ISDATE(B464),""X"",""""))"),"")</f>
        <v/>
      </c>
      <c r="K464" s="40" t="str">
        <f>IFERROR(__xludf.DUMMYFUNCTION("IF(ISBLANK(B464),"""",IF(ISDATE(B464),H464,""""))"),"")</f>
        <v/>
      </c>
      <c r="L464" s="40" t="str">
        <f>IFERROR(__xludf.DUMMYFUNCTION("IF(ISBLANK(B464),"""",IF(ISDATE(B464),TEXT(B464,""M""),""""))"),"")</f>
        <v/>
      </c>
      <c r="M464" s="29" t="str">
        <f>IFERROR(__xludf.DUMMYFUNCTION("IF(L464="""","""",QUERY({'Dashboard-Dados'!$Y$2:$AA$13},""Select Col2 Where Col1=""&amp;L464))"),"")</f>
        <v/>
      </c>
      <c r="N464" s="29" t="str">
        <f>IFERROR(__xludf.DUMMYFUNCTION("IF(ISBLANK(B464),"""",IF(ISDATE(B464),TEXT(B464,""yyyy""),""""))"),"")</f>
        <v/>
      </c>
    </row>
    <row r="465">
      <c r="B465" s="87"/>
      <c r="C465" s="85"/>
      <c r="D465" s="76"/>
      <c r="H465" s="88"/>
      <c r="J465" s="53" t="str">
        <f>IFERROR(__xludf.DUMMYFUNCTION("IF(ISBLANK(B465),"""",IF(ISDATE(B465),""X"",""""))"),"")</f>
        <v/>
      </c>
      <c r="K465" s="40" t="str">
        <f>IFERROR(__xludf.DUMMYFUNCTION("IF(ISBLANK(B465),"""",IF(ISDATE(B465),H465,""""))"),"")</f>
        <v/>
      </c>
      <c r="L465" s="40" t="str">
        <f>IFERROR(__xludf.DUMMYFUNCTION("IF(ISBLANK(B465),"""",IF(ISDATE(B465),TEXT(B465,""M""),""""))"),"")</f>
        <v/>
      </c>
      <c r="M465" s="29" t="str">
        <f>IFERROR(__xludf.DUMMYFUNCTION("IF(L465="""","""",QUERY({'Dashboard-Dados'!$Y$2:$AA$13},""Select Col2 Where Col1=""&amp;L465))"),"")</f>
        <v/>
      </c>
      <c r="N465" s="29" t="str">
        <f>IFERROR(__xludf.DUMMYFUNCTION("IF(ISBLANK(B465),"""",IF(ISDATE(B465),TEXT(B465,""yyyy""),""""))"),"")</f>
        <v/>
      </c>
    </row>
    <row r="466">
      <c r="B466" s="89"/>
      <c r="C466" s="86"/>
      <c r="D466" s="71"/>
      <c r="H466" s="90"/>
      <c r="J466" s="53" t="str">
        <f>IFERROR(__xludf.DUMMYFUNCTION("IF(ISBLANK(B466),"""",IF(ISDATE(B466),""X"",""""))"),"")</f>
        <v/>
      </c>
      <c r="K466" s="40" t="str">
        <f>IFERROR(__xludf.DUMMYFUNCTION("IF(ISBLANK(B466),"""",IF(ISDATE(B466),H466,""""))"),"")</f>
        <v/>
      </c>
      <c r="L466" s="40" t="str">
        <f>IFERROR(__xludf.DUMMYFUNCTION("IF(ISBLANK(B466),"""",IF(ISDATE(B466),TEXT(B466,""M""),""""))"),"")</f>
        <v/>
      </c>
      <c r="M466" s="29" t="str">
        <f>IFERROR(__xludf.DUMMYFUNCTION("IF(L466="""","""",QUERY({'Dashboard-Dados'!$Y$2:$AA$13},""Select Col2 Where Col1=""&amp;L466))"),"")</f>
        <v/>
      </c>
      <c r="N466" s="29" t="str">
        <f>IFERROR(__xludf.DUMMYFUNCTION("IF(ISBLANK(B466),"""",IF(ISDATE(B466),TEXT(B466,""yyyy""),""""))"),"")</f>
        <v/>
      </c>
    </row>
    <row r="467">
      <c r="B467" s="87"/>
      <c r="C467" s="85"/>
      <c r="D467" s="76"/>
      <c r="H467" s="88"/>
      <c r="J467" s="53" t="str">
        <f>IFERROR(__xludf.DUMMYFUNCTION("IF(ISBLANK(B467),"""",IF(ISDATE(B467),""X"",""""))"),"")</f>
        <v/>
      </c>
      <c r="K467" s="40" t="str">
        <f>IFERROR(__xludf.DUMMYFUNCTION("IF(ISBLANK(B467),"""",IF(ISDATE(B467),H467,""""))"),"")</f>
        <v/>
      </c>
      <c r="L467" s="40" t="str">
        <f>IFERROR(__xludf.DUMMYFUNCTION("IF(ISBLANK(B467),"""",IF(ISDATE(B467),TEXT(B467,""M""),""""))"),"")</f>
        <v/>
      </c>
      <c r="M467" s="29" t="str">
        <f>IFERROR(__xludf.DUMMYFUNCTION("IF(L467="""","""",QUERY({'Dashboard-Dados'!$Y$2:$AA$13},""Select Col2 Where Col1=""&amp;L467))"),"")</f>
        <v/>
      </c>
      <c r="N467" s="29" t="str">
        <f>IFERROR(__xludf.DUMMYFUNCTION("IF(ISBLANK(B467),"""",IF(ISDATE(B467),TEXT(B467,""yyyy""),""""))"),"")</f>
        <v/>
      </c>
    </row>
    <row r="468">
      <c r="B468" s="89"/>
      <c r="C468" s="86"/>
      <c r="D468" s="71"/>
      <c r="H468" s="90"/>
      <c r="J468" s="53" t="str">
        <f>IFERROR(__xludf.DUMMYFUNCTION("IF(ISBLANK(B468),"""",IF(ISDATE(B468),""X"",""""))"),"")</f>
        <v/>
      </c>
      <c r="K468" s="40" t="str">
        <f>IFERROR(__xludf.DUMMYFUNCTION("IF(ISBLANK(B468),"""",IF(ISDATE(B468),H468,""""))"),"")</f>
        <v/>
      </c>
      <c r="L468" s="40" t="str">
        <f>IFERROR(__xludf.DUMMYFUNCTION("IF(ISBLANK(B468),"""",IF(ISDATE(B468),TEXT(B468,""M""),""""))"),"")</f>
        <v/>
      </c>
      <c r="M468" s="29" t="str">
        <f>IFERROR(__xludf.DUMMYFUNCTION("IF(L468="""","""",QUERY({'Dashboard-Dados'!$Y$2:$AA$13},""Select Col2 Where Col1=""&amp;L468))"),"")</f>
        <v/>
      </c>
      <c r="N468" s="29" t="str">
        <f>IFERROR(__xludf.DUMMYFUNCTION("IF(ISBLANK(B468),"""",IF(ISDATE(B468),TEXT(B468,""yyyy""),""""))"),"")</f>
        <v/>
      </c>
    </row>
    <row r="469">
      <c r="B469" s="87"/>
      <c r="C469" s="85"/>
      <c r="D469" s="76"/>
      <c r="H469" s="88"/>
      <c r="J469" s="53" t="str">
        <f>IFERROR(__xludf.DUMMYFUNCTION("IF(ISBLANK(B469),"""",IF(ISDATE(B469),""X"",""""))"),"")</f>
        <v/>
      </c>
      <c r="K469" s="40" t="str">
        <f>IFERROR(__xludf.DUMMYFUNCTION("IF(ISBLANK(B469),"""",IF(ISDATE(B469),H469,""""))"),"")</f>
        <v/>
      </c>
      <c r="L469" s="40" t="str">
        <f>IFERROR(__xludf.DUMMYFUNCTION("IF(ISBLANK(B469),"""",IF(ISDATE(B469),TEXT(B469,""M""),""""))"),"")</f>
        <v/>
      </c>
      <c r="M469" s="29" t="str">
        <f>IFERROR(__xludf.DUMMYFUNCTION("IF(L469="""","""",QUERY({'Dashboard-Dados'!$Y$2:$AA$13},""Select Col2 Where Col1=""&amp;L469))"),"")</f>
        <v/>
      </c>
      <c r="N469" s="29" t="str">
        <f>IFERROR(__xludf.DUMMYFUNCTION("IF(ISBLANK(B469),"""",IF(ISDATE(B469),TEXT(B469,""yyyy""),""""))"),"")</f>
        <v/>
      </c>
    </row>
    <row r="470">
      <c r="B470" s="89"/>
      <c r="C470" s="86"/>
      <c r="D470" s="71"/>
      <c r="H470" s="90"/>
      <c r="J470" s="53" t="str">
        <f>IFERROR(__xludf.DUMMYFUNCTION("IF(ISBLANK(B470),"""",IF(ISDATE(B470),""X"",""""))"),"")</f>
        <v/>
      </c>
      <c r="K470" s="40" t="str">
        <f>IFERROR(__xludf.DUMMYFUNCTION("IF(ISBLANK(B470),"""",IF(ISDATE(B470),H470,""""))"),"")</f>
        <v/>
      </c>
      <c r="L470" s="40" t="str">
        <f>IFERROR(__xludf.DUMMYFUNCTION("IF(ISBLANK(B470),"""",IF(ISDATE(B470),TEXT(B470,""M""),""""))"),"")</f>
        <v/>
      </c>
      <c r="M470" s="29" t="str">
        <f>IFERROR(__xludf.DUMMYFUNCTION("IF(L470="""","""",QUERY({'Dashboard-Dados'!$Y$2:$AA$13},""Select Col2 Where Col1=""&amp;L470))"),"")</f>
        <v/>
      </c>
      <c r="N470" s="29" t="str">
        <f>IFERROR(__xludf.DUMMYFUNCTION("IF(ISBLANK(B470),"""",IF(ISDATE(B470),TEXT(B470,""yyyy""),""""))"),"")</f>
        <v/>
      </c>
    </row>
    <row r="471">
      <c r="B471" s="87"/>
      <c r="C471" s="85"/>
      <c r="D471" s="76"/>
      <c r="H471" s="88"/>
      <c r="J471" s="53" t="str">
        <f>IFERROR(__xludf.DUMMYFUNCTION("IF(ISBLANK(B471),"""",IF(ISDATE(B471),""X"",""""))"),"")</f>
        <v/>
      </c>
      <c r="K471" s="40" t="str">
        <f>IFERROR(__xludf.DUMMYFUNCTION("IF(ISBLANK(B471),"""",IF(ISDATE(B471),H471,""""))"),"")</f>
        <v/>
      </c>
      <c r="L471" s="40" t="str">
        <f>IFERROR(__xludf.DUMMYFUNCTION("IF(ISBLANK(B471),"""",IF(ISDATE(B471),TEXT(B471,""M""),""""))"),"")</f>
        <v/>
      </c>
      <c r="M471" s="29" t="str">
        <f>IFERROR(__xludf.DUMMYFUNCTION("IF(L471="""","""",QUERY({'Dashboard-Dados'!$Y$2:$AA$13},""Select Col2 Where Col1=""&amp;L471))"),"")</f>
        <v/>
      </c>
      <c r="N471" s="29" t="str">
        <f>IFERROR(__xludf.DUMMYFUNCTION("IF(ISBLANK(B471),"""",IF(ISDATE(B471),TEXT(B471,""yyyy""),""""))"),"")</f>
        <v/>
      </c>
    </row>
    <row r="472">
      <c r="B472" s="89"/>
      <c r="C472" s="86"/>
      <c r="D472" s="71"/>
      <c r="H472" s="90"/>
      <c r="J472" s="53" t="str">
        <f>IFERROR(__xludf.DUMMYFUNCTION("IF(ISBLANK(B472),"""",IF(ISDATE(B472),""X"",""""))"),"")</f>
        <v/>
      </c>
      <c r="K472" s="40" t="str">
        <f>IFERROR(__xludf.DUMMYFUNCTION("IF(ISBLANK(B472),"""",IF(ISDATE(B472),H472,""""))"),"")</f>
        <v/>
      </c>
      <c r="L472" s="40" t="str">
        <f>IFERROR(__xludf.DUMMYFUNCTION("IF(ISBLANK(B472),"""",IF(ISDATE(B472),TEXT(B472,""M""),""""))"),"")</f>
        <v/>
      </c>
      <c r="M472" s="29" t="str">
        <f>IFERROR(__xludf.DUMMYFUNCTION("IF(L472="""","""",QUERY({'Dashboard-Dados'!$Y$2:$AA$13},""Select Col2 Where Col1=""&amp;L472))"),"")</f>
        <v/>
      </c>
      <c r="N472" s="29" t="str">
        <f>IFERROR(__xludf.DUMMYFUNCTION("IF(ISBLANK(B472),"""",IF(ISDATE(B472),TEXT(B472,""yyyy""),""""))"),"")</f>
        <v/>
      </c>
    </row>
    <row r="473">
      <c r="B473" s="87"/>
      <c r="C473" s="85"/>
      <c r="D473" s="76"/>
      <c r="H473" s="88"/>
      <c r="J473" s="53" t="str">
        <f>IFERROR(__xludf.DUMMYFUNCTION("IF(ISBLANK(B473),"""",IF(ISDATE(B473),""X"",""""))"),"")</f>
        <v/>
      </c>
      <c r="K473" s="40" t="str">
        <f>IFERROR(__xludf.DUMMYFUNCTION("IF(ISBLANK(B473),"""",IF(ISDATE(B473),H473,""""))"),"")</f>
        <v/>
      </c>
      <c r="L473" s="40" t="str">
        <f>IFERROR(__xludf.DUMMYFUNCTION("IF(ISBLANK(B473),"""",IF(ISDATE(B473),TEXT(B473,""M""),""""))"),"")</f>
        <v/>
      </c>
      <c r="M473" s="29" t="str">
        <f>IFERROR(__xludf.DUMMYFUNCTION("IF(L473="""","""",QUERY({'Dashboard-Dados'!$Y$2:$AA$13},""Select Col2 Where Col1=""&amp;L473))"),"")</f>
        <v/>
      </c>
      <c r="N473" s="29" t="str">
        <f>IFERROR(__xludf.DUMMYFUNCTION("IF(ISBLANK(B473),"""",IF(ISDATE(B473),TEXT(B473,""yyyy""),""""))"),"")</f>
        <v/>
      </c>
    </row>
    <row r="474">
      <c r="B474" s="89"/>
      <c r="C474" s="86"/>
      <c r="D474" s="71"/>
      <c r="H474" s="90"/>
      <c r="J474" s="53" t="str">
        <f>IFERROR(__xludf.DUMMYFUNCTION("IF(ISBLANK(B474),"""",IF(ISDATE(B474),""X"",""""))"),"")</f>
        <v/>
      </c>
      <c r="K474" s="40" t="str">
        <f>IFERROR(__xludf.DUMMYFUNCTION("IF(ISBLANK(B474),"""",IF(ISDATE(B474),H474,""""))"),"")</f>
        <v/>
      </c>
      <c r="L474" s="40" t="str">
        <f>IFERROR(__xludf.DUMMYFUNCTION("IF(ISBLANK(B474),"""",IF(ISDATE(B474),TEXT(B474,""M""),""""))"),"")</f>
        <v/>
      </c>
      <c r="M474" s="29" t="str">
        <f>IFERROR(__xludf.DUMMYFUNCTION("IF(L474="""","""",QUERY({'Dashboard-Dados'!$Y$2:$AA$13},""Select Col2 Where Col1=""&amp;L474))"),"")</f>
        <v/>
      </c>
      <c r="N474" s="29" t="str">
        <f>IFERROR(__xludf.DUMMYFUNCTION("IF(ISBLANK(B474),"""",IF(ISDATE(B474),TEXT(B474,""yyyy""),""""))"),"")</f>
        <v/>
      </c>
    </row>
    <row r="475">
      <c r="B475" s="87"/>
      <c r="C475" s="85"/>
      <c r="D475" s="76"/>
      <c r="H475" s="88"/>
      <c r="J475" s="53" t="str">
        <f>IFERROR(__xludf.DUMMYFUNCTION("IF(ISBLANK(B475),"""",IF(ISDATE(B475),""X"",""""))"),"")</f>
        <v/>
      </c>
      <c r="K475" s="40" t="str">
        <f>IFERROR(__xludf.DUMMYFUNCTION("IF(ISBLANK(B475),"""",IF(ISDATE(B475),H475,""""))"),"")</f>
        <v/>
      </c>
      <c r="L475" s="40" t="str">
        <f>IFERROR(__xludf.DUMMYFUNCTION("IF(ISBLANK(B475),"""",IF(ISDATE(B475),TEXT(B475,""M""),""""))"),"")</f>
        <v/>
      </c>
      <c r="M475" s="29" t="str">
        <f>IFERROR(__xludf.DUMMYFUNCTION("IF(L475="""","""",QUERY({'Dashboard-Dados'!$Y$2:$AA$13},""Select Col2 Where Col1=""&amp;L475))"),"")</f>
        <v/>
      </c>
      <c r="N475" s="29" t="str">
        <f>IFERROR(__xludf.DUMMYFUNCTION("IF(ISBLANK(B475),"""",IF(ISDATE(B475),TEXT(B475,""yyyy""),""""))"),"")</f>
        <v/>
      </c>
    </row>
    <row r="476">
      <c r="B476" s="89"/>
      <c r="C476" s="86"/>
      <c r="D476" s="71"/>
      <c r="H476" s="90"/>
      <c r="J476" s="53" t="str">
        <f>IFERROR(__xludf.DUMMYFUNCTION("IF(ISBLANK(B476),"""",IF(ISDATE(B476),""X"",""""))"),"")</f>
        <v/>
      </c>
      <c r="K476" s="40" t="str">
        <f>IFERROR(__xludf.DUMMYFUNCTION("IF(ISBLANK(B476),"""",IF(ISDATE(B476),H476,""""))"),"")</f>
        <v/>
      </c>
      <c r="L476" s="40" t="str">
        <f>IFERROR(__xludf.DUMMYFUNCTION("IF(ISBLANK(B476),"""",IF(ISDATE(B476),TEXT(B476,""M""),""""))"),"")</f>
        <v/>
      </c>
      <c r="M476" s="29" t="str">
        <f>IFERROR(__xludf.DUMMYFUNCTION("IF(L476="""","""",QUERY({'Dashboard-Dados'!$Y$2:$AA$13},""Select Col2 Where Col1=""&amp;L476))"),"")</f>
        <v/>
      </c>
      <c r="N476" s="29" t="str">
        <f>IFERROR(__xludf.DUMMYFUNCTION("IF(ISBLANK(B476),"""",IF(ISDATE(B476),TEXT(B476,""yyyy""),""""))"),"")</f>
        <v/>
      </c>
    </row>
    <row r="477">
      <c r="B477" s="87"/>
      <c r="C477" s="85"/>
      <c r="D477" s="76"/>
      <c r="H477" s="88"/>
      <c r="J477" s="53" t="str">
        <f>IFERROR(__xludf.DUMMYFUNCTION("IF(ISBLANK(B477),"""",IF(ISDATE(B477),""X"",""""))"),"")</f>
        <v/>
      </c>
      <c r="K477" s="40" t="str">
        <f>IFERROR(__xludf.DUMMYFUNCTION("IF(ISBLANK(B477),"""",IF(ISDATE(B477),H477,""""))"),"")</f>
        <v/>
      </c>
      <c r="L477" s="40" t="str">
        <f>IFERROR(__xludf.DUMMYFUNCTION("IF(ISBLANK(B477),"""",IF(ISDATE(B477),TEXT(B477,""M""),""""))"),"")</f>
        <v/>
      </c>
      <c r="M477" s="29" t="str">
        <f>IFERROR(__xludf.DUMMYFUNCTION("IF(L477="""","""",QUERY({'Dashboard-Dados'!$Y$2:$AA$13},""Select Col2 Where Col1=""&amp;L477))"),"")</f>
        <v/>
      </c>
      <c r="N477" s="29" t="str">
        <f>IFERROR(__xludf.DUMMYFUNCTION("IF(ISBLANK(B477),"""",IF(ISDATE(B477),TEXT(B477,""yyyy""),""""))"),"")</f>
        <v/>
      </c>
    </row>
    <row r="478">
      <c r="B478" s="89"/>
      <c r="C478" s="86"/>
      <c r="D478" s="71"/>
      <c r="H478" s="90"/>
      <c r="J478" s="53" t="str">
        <f>IFERROR(__xludf.DUMMYFUNCTION("IF(ISBLANK(B478),"""",IF(ISDATE(B478),""X"",""""))"),"")</f>
        <v/>
      </c>
      <c r="K478" s="40" t="str">
        <f>IFERROR(__xludf.DUMMYFUNCTION("IF(ISBLANK(B478),"""",IF(ISDATE(B478),H478,""""))"),"")</f>
        <v/>
      </c>
      <c r="L478" s="40" t="str">
        <f>IFERROR(__xludf.DUMMYFUNCTION("IF(ISBLANK(B478),"""",IF(ISDATE(B478),TEXT(B478,""M""),""""))"),"")</f>
        <v/>
      </c>
      <c r="M478" s="29" t="str">
        <f>IFERROR(__xludf.DUMMYFUNCTION("IF(L478="""","""",QUERY({'Dashboard-Dados'!$Y$2:$AA$13},""Select Col2 Where Col1=""&amp;L478))"),"")</f>
        <v/>
      </c>
      <c r="N478" s="29" t="str">
        <f>IFERROR(__xludf.DUMMYFUNCTION("IF(ISBLANK(B478),"""",IF(ISDATE(B478),TEXT(B478,""yyyy""),""""))"),"")</f>
        <v/>
      </c>
    </row>
    <row r="479">
      <c r="B479" s="87"/>
      <c r="C479" s="85"/>
      <c r="D479" s="76"/>
      <c r="H479" s="88"/>
      <c r="J479" s="53" t="str">
        <f>IFERROR(__xludf.DUMMYFUNCTION("IF(ISBLANK(B479),"""",IF(ISDATE(B479),""X"",""""))"),"")</f>
        <v/>
      </c>
      <c r="K479" s="40" t="str">
        <f>IFERROR(__xludf.DUMMYFUNCTION("IF(ISBLANK(B479),"""",IF(ISDATE(B479),H479,""""))"),"")</f>
        <v/>
      </c>
      <c r="L479" s="40" t="str">
        <f>IFERROR(__xludf.DUMMYFUNCTION("IF(ISBLANK(B479),"""",IF(ISDATE(B479),TEXT(B479,""M""),""""))"),"")</f>
        <v/>
      </c>
      <c r="M479" s="29" t="str">
        <f>IFERROR(__xludf.DUMMYFUNCTION("IF(L479="""","""",QUERY({'Dashboard-Dados'!$Y$2:$AA$13},""Select Col2 Where Col1=""&amp;L479))"),"")</f>
        <v/>
      </c>
      <c r="N479" s="29" t="str">
        <f>IFERROR(__xludf.DUMMYFUNCTION("IF(ISBLANK(B479),"""",IF(ISDATE(B479),TEXT(B479,""yyyy""),""""))"),"")</f>
        <v/>
      </c>
    </row>
    <row r="480">
      <c r="B480" s="89"/>
      <c r="C480" s="86"/>
      <c r="D480" s="71"/>
      <c r="H480" s="90"/>
      <c r="J480" s="53" t="str">
        <f>IFERROR(__xludf.DUMMYFUNCTION("IF(ISBLANK(B480),"""",IF(ISDATE(B480),""X"",""""))"),"")</f>
        <v/>
      </c>
      <c r="K480" s="40" t="str">
        <f>IFERROR(__xludf.DUMMYFUNCTION("IF(ISBLANK(B480),"""",IF(ISDATE(B480),H480,""""))"),"")</f>
        <v/>
      </c>
      <c r="L480" s="40" t="str">
        <f>IFERROR(__xludf.DUMMYFUNCTION("IF(ISBLANK(B480),"""",IF(ISDATE(B480),TEXT(B480,""M""),""""))"),"")</f>
        <v/>
      </c>
      <c r="M480" s="29" t="str">
        <f>IFERROR(__xludf.DUMMYFUNCTION("IF(L480="""","""",QUERY({'Dashboard-Dados'!$Y$2:$AA$13},""Select Col2 Where Col1=""&amp;L480))"),"")</f>
        <v/>
      </c>
      <c r="N480" s="29" t="str">
        <f>IFERROR(__xludf.DUMMYFUNCTION("IF(ISBLANK(B480),"""",IF(ISDATE(B480),TEXT(B480,""yyyy""),""""))"),"")</f>
        <v/>
      </c>
    </row>
    <row r="481">
      <c r="B481" s="87"/>
      <c r="C481" s="85"/>
      <c r="D481" s="76"/>
      <c r="H481" s="88"/>
      <c r="J481" s="53" t="str">
        <f>IFERROR(__xludf.DUMMYFUNCTION("IF(ISBLANK(B481),"""",IF(ISDATE(B481),""X"",""""))"),"")</f>
        <v/>
      </c>
      <c r="K481" s="40" t="str">
        <f>IFERROR(__xludf.DUMMYFUNCTION("IF(ISBLANK(B481),"""",IF(ISDATE(B481),H481,""""))"),"")</f>
        <v/>
      </c>
      <c r="L481" s="40" t="str">
        <f>IFERROR(__xludf.DUMMYFUNCTION("IF(ISBLANK(B481),"""",IF(ISDATE(B481),TEXT(B481,""M""),""""))"),"")</f>
        <v/>
      </c>
      <c r="M481" s="29" t="str">
        <f>IFERROR(__xludf.DUMMYFUNCTION("IF(L481="""","""",QUERY({'Dashboard-Dados'!$Y$2:$AA$13},""Select Col2 Where Col1=""&amp;L481))"),"")</f>
        <v/>
      </c>
      <c r="N481" s="29" t="str">
        <f>IFERROR(__xludf.DUMMYFUNCTION("IF(ISBLANK(B481),"""",IF(ISDATE(B481),TEXT(B481,""yyyy""),""""))"),"")</f>
        <v/>
      </c>
    </row>
    <row r="482">
      <c r="B482" s="89"/>
      <c r="C482" s="86"/>
      <c r="D482" s="71"/>
      <c r="H482" s="90"/>
      <c r="J482" s="53" t="str">
        <f>IFERROR(__xludf.DUMMYFUNCTION("IF(ISBLANK(B482),"""",IF(ISDATE(B482),""X"",""""))"),"")</f>
        <v/>
      </c>
      <c r="K482" s="40" t="str">
        <f>IFERROR(__xludf.DUMMYFUNCTION("IF(ISBLANK(B482),"""",IF(ISDATE(B482),H482,""""))"),"")</f>
        <v/>
      </c>
      <c r="L482" s="40" t="str">
        <f>IFERROR(__xludf.DUMMYFUNCTION("IF(ISBLANK(B482),"""",IF(ISDATE(B482),TEXT(B482,""M""),""""))"),"")</f>
        <v/>
      </c>
      <c r="M482" s="29" t="str">
        <f>IFERROR(__xludf.DUMMYFUNCTION("IF(L482="""","""",QUERY({'Dashboard-Dados'!$Y$2:$AA$13},""Select Col2 Where Col1=""&amp;L482))"),"")</f>
        <v/>
      </c>
      <c r="N482" s="29" t="str">
        <f>IFERROR(__xludf.DUMMYFUNCTION("IF(ISBLANK(B482),"""",IF(ISDATE(B482),TEXT(B482,""yyyy""),""""))"),"")</f>
        <v/>
      </c>
    </row>
    <row r="483">
      <c r="B483" s="87"/>
      <c r="C483" s="85"/>
      <c r="D483" s="76"/>
      <c r="H483" s="88"/>
      <c r="J483" s="53" t="str">
        <f>IFERROR(__xludf.DUMMYFUNCTION("IF(ISBLANK(B483),"""",IF(ISDATE(B483),""X"",""""))"),"")</f>
        <v/>
      </c>
      <c r="K483" s="40" t="str">
        <f>IFERROR(__xludf.DUMMYFUNCTION("IF(ISBLANK(B483),"""",IF(ISDATE(B483),H483,""""))"),"")</f>
        <v/>
      </c>
      <c r="L483" s="40" t="str">
        <f>IFERROR(__xludf.DUMMYFUNCTION("IF(ISBLANK(B483),"""",IF(ISDATE(B483),TEXT(B483,""M""),""""))"),"")</f>
        <v/>
      </c>
      <c r="M483" s="29" t="str">
        <f>IFERROR(__xludf.DUMMYFUNCTION("IF(L483="""","""",QUERY({'Dashboard-Dados'!$Y$2:$AA$13},""Select Col2 Where Col1=""&amp;L483))"),"")</f>
        <v/>
      </c>
      <c r="N483" s="29" t="str">
        <f>IFERROR(__xludf.DUMMYFUNCTION("IF(ISBLANK(B483),"""",IF(ISDATE(B483),TEXT(B483,""yyyy""),""""))"),"")</f>
        <v/>
      </c>
    </row>
    <row r="484">
      <c r="B484" s="89"/>
      <c r="C484" s="86"/>
      <c r="D484" s="71"/>
      <c r="H484" s="90"/>
      <c r="J484" s="53" t="str">
        <f>IFERROR(__xludf.DUMMYFUNCTION("IF(ISBLANK(B484),"""",IF(ISDATE(B484),""X"",""""))"),"")</f>
        <v/>
      </c>
      <c r="K484" s="40" t="str">
        <f>IFERROR(__xludf.DUMMYFUNCTION("IF(ISBLANK(B484),"""",IF(ISDATE(B484),H484,""""))"),"")</f>
        <v/>
      </c>
      <c r="L484" s="40" t="str">
        <f>IFERROR(__xludf.DUMMYFUNCTION("IF(ISBLANK(B484),"""",IF(ISDATE(B484),TEXT(B484,""M""),""""))"),"")</f>
        <v/>
      </c>
      <c r="M484" s="29" t="str">
        <f>IFERROR(__xludf.DUMMYFUNCTION("IF(L484="""","""",QUERY({'Dashboard-Dados'!$Y$2:$AA$13},""Select Col2 Where Col1=""&amp;L484))"),"")</f>
        <v/>
      </c>
      <c r="N484" s="29" t="str">
        <f>IFERROR(__xludf.DUMMYFUNCTION("IF(ISBLANK(B484),"""",IF(ISDATE(B484),TEXT(B484,""yyyy""),""""))"),"")</f>
        <v/>
      </c>
    </row>
    <row r="485">
      <c r="B485" s="87"/>
      <c r="C485" s="85"/>
      <c r="D485" s="76"/>
      <c r="H485" s="88"/>
      <c r="J485" s="53" t="str">
        <f>IFERROR(__xludf.DUMMYFUNCTION("IF(ISBLANK(B485),"""",IF(ISDATE(B485),""X"",""""))"),"")</f>
        <v/>
      </c>
      <c r="K485" s="40" t="str">
        <f>IFERROR(__xludf.DUMMYFUNCTION("IF(ISBLANK(B485),"""",IF(ISDATE(B485),H485,""""))"),"")</f>
        <v/>
      </c>
      <c r="L485" s="40" t="str">
        <f>IFERROR(__xludf.DUMMYFUNCTION("IF(ISBLANK(B485),"""",IF(ISDATE(B485),TEXT(B485,""M""),""""))"),"")</f>
        <v/>
      </c>
      <c r="M485" s="29" t="str">
        <f>IFERROR(__xludf.DUMMYFUNCTION("IF(L485="""","""",QUERY({'Dashboard-Dados'!$Y$2:$AA$13},""Select Col2 Where Col1=""&amp;L485))"),"")</f>
        <v/>
      </c>
      <c r="N485" s="29" t="str">
        <f>IFERROR(__xludf.DUMMYFUNCTION("IF(ISBLANK(B485),"""",IF(ISDATE(B485),TEXT(B485,""yyyy""),""""))"),"")</f>
        <v/>
      </c>
    </row>
    <row r="486">
      <c r="B486" s="89"/>
      <c r="C486" s="86"/>
      <c r="D486" s="71"/>
      <c r="H486" s="90"/>
      <c r="J486" s="53" t="str">
        <f>IFERROR(__xludf.DUMMYFUNCTION("IF(ISBLANK(B486),"""",IF(ISDATE(B486),""X"",""""))"),"")</f>
        <v/>
      </c>
      <c r="K486" s="40" t="str">
        <f>IFERROR(__xludf.DUMMYFUNCTION("IF(ISBLANK(B486),"""",IF(ISDATE(B486),H486,""""))"),"")</f>
        <v/>
      </c>
      <c r="L486" s="40" t="str">
        <f>IFERROR(__xludf.DUMMYFUNCTION("IF(ISBLANK(B486),"""",IF(ISDATE(B486),TEXT(B486,""M""),""""))"),"")</f>
        <v/>
      </c>
      <c r="M486" s="29" t="str">
        <f>IFERROR(__xludf.DUMMYFUNCTION("IF(L486="""","""",QUERY({'Dashboard-Dados'!$Y$2:$AA$13},""Select Col2 Where Col1=""&amp;L486))"),"")</f>
        <v/>
      </c>
      <c r="N486" s="29" t="str">
        <f>IFERROR(__xludf.DUMMYFUNCTION("IF(ISBLANK(B486),"""",IF(ISDATE(B486),TEXT(B486,""yyyy""),""""))"),"")</f>
        <v/>
      </c>
    </row>
    <row r="487">
      <c r="B487" s="87"/>
      <c r="C487" s="85"/>
      <c r="D487" s="76"/>
      <c r="H487" s="88"/>
      <c r="J487" s="53" t="str">
        <f>IFERROR(__xludf.DUMMYFUNCTION("IF(ISBLANK(B487),"""",IF(ISDATE(B487),""X"",""""))"),"")</f>
        <v/>
      </c>
      <c r="K487" s="40" t="str">
        <f>IFERROR(__xludf.DUMMYFUNCTION("IF(ISBLANK(B487),"""",IF(ISDATE(B487),H487,""""))"),"")</f>
        <v/>
      </c>
      <c r="L487" s="40" t="str">
        <f>IFERROR(__xludf.DUMMYFUNCTION("IF(ISBLANK(B487),"""",IF(ISDATE(B487),TEXT(B487,""M""),""""))"),"")</f>
        <v/>
      </c>
      <c r="M487" s="29" t="str">
        <f>IFERROR(__xludf.DUMMYFUNCTION("IF(L487="""","""",QUERY({'Dashboard-Dados'!$Y$2:$AA$13},""Select Col2 Where Col1=""&amp;L487))"),"")</f>
        <v/>
      </c>
      <c r="N487" s="29" t="str">
        <f>IFERROR(__xludf.DUMMYFUNCTION("IF(ISBLANK(B487),"""",IF(ISDATE(B487),TEXT(B487,""yyyy""),""""))"),"")</f>
        <v/>
      </c>
    </row>
    <row r="488">
      <c r="B488" s="89"/>
      <c r="C488" s="86"/>
      <c r="D488" s="71"/>
      <c r="H488" s="90"/>
      <c r="J488" s="53" t="str">
        <f>IFERROR(__xludf.DUMMYFUNCTION("IF(ISBLANK(B488),"""",IF(ISDATE(B488),""X"",""""))"),"")</f>
        <v/>
      </c>
      <c r="K488" s="40" t="str">
        <f>IFERROR(__xludf.DUMMYFUNCTION("IF(ISBLANK(B488),"""",IF(ISDATE(B488),H488,""""))"),"")</f>
        <v/>
      </c>
      <c r="L488" s="40" t="str">
        <f>IFERROR(__xludf.DUMMYFUNCTION("IF(ISBLANK(B488),"""",IF(ISDATE(B488),TEXT(B488,""M""),""""))"),"")</f>
        <v/>
      </c>
      <c r="M488" s="29" t="str">
        <f>IFERROR(__xludf.DUMMYFUNCTION("IF(L488="""","""",QUERY({'Dashboard-Dados'!$Y$2:$AA$13},""Select Col2 Where Col1=""&amp;L488))"),"")</f>
        <v/>
      </c>
      <c r="N488" s="29" t="str">
        <f>IFERROR(__xludf.DUMMYFUNCTION("IF(ISBLANK(B488),"""",IF(ISDATE(B488),TEXT(B488,""yyyy""),""""))"),"")</f>
        <v/>
      </c>
    </row>
    <row r="489">
      <c r="B489" s="87"/>
      <c r="C489" s="85"/>
      <c r="D489" s="76"/>
      <c r="H489" s="88"/>
      <c r="J489" s="53" t="str">
        <f>IFERROR(__xludf.DUMMYFUNCTION("IF(ISBLANK(B489),"""",IF(ISDATE(B489),""X"",""""))"),"")</f>
        <v/>
      </c>
      <c r="K489" s="40" t="str">
        <f>IFERROR(__xludf.DUMMYFUNCTION("IF(ISBLANK(B489),"""",IF(ISDATE(B489),H489,""""))"),"")</f>
        <v/>
      </c>
      <c r="L489" s="40" t="str">
        <f>IFERROR(__xludf.DUMMYFUNCTION("IF(ISBLANK(B489),"""",IF(ISDATE(B489),TEXT(B489,""M""),""""))"),"")</f>
        <v/>
      </c>
      <c r="M489" s="29" t="str">
        <f>IFERROR(__xludf.DUMMYFUNCTION("IF(L489="""","""",QUERY({'Dashboard-Dados'!$Y$2:$AA$13},""Select Col2 Where Col1=""&amp;L489))"),"")</f>
        <v/>
      </c>
      <c r="N489" s="29" t="str">
        <f>IFERROR(__xludf.DUMMYFUNCTION("IF(ISBLANK(B489),"""",IF(ISDATE(B489),TEXT(B489,""yyyy""),""""))"),"")</f>
        <v/>
      </c>
    </row>
    <row r="490">
      <c r="B490" s="89"/>
      <c r="C490" s="86"/>
      <c r="D490" s="71"/>
      <c r="H490" s="90"/>
      <c r="J490" s="53" t="str">
        <f>IFERROR(__xludf.DUMMYFUNCTION("IF(ISBLANK(B490),"""",IF(ISDATE(B490),""X"",""""))"),"")</f>
        <v/>
      </c>
      <c r="K490" s="40" t="str">
        <f>IFERROR(__xludf.DUMMYFUNCTION("IF(ISBLANK(B490),"""",IF(ISDATE(B490),H490,""""))"),"")</f>
        <v/>
      </c>
      <c r="L490" s="40" t="str">
        <f>IFERROR(__xludf.DUMMYFUNCTION("IF(ISBLANK(B490),"""",IF(ISDATE(B490),TEXT(B490,""M""),""""))"),"")</f>
        <v/>
      </c>
      <c r="M490" s="29" t="str">
        <f>IFERROR(__xludf.DUMMYFUNCTION("IF(L490="""","""",QUERY({'Dashboard-Dados'!$Y$2:$AA$13},""Select Col2 Where Col1=""&amp;L490))"),"")</f>
        <v/>
      </c>
      <c r="N490" s="29" t="str">
        <f>IFERROR(__xludf.DUMMYFUNCTION("IF(ISBLANK(B490),"""",IF(ISDATE(B490),TEXT(B490,""yyyy""),""""))"),"")</f>
        <v/>
      </c>
    </row>
    <row r="491">
      <c r="B491" s="87"/>
      <c r="C491" s="85"/>
      <c r="D491" s="76"/>
      <c r="H491" s="88"/>
      <c r="J491" s="53" t="str">
        <f>IFERROR(__xludf.DUMMYFUNCTION("IF(ISBLANK(B491),"""",IF(ISDATE(B491),""X"",""""))"),"")</f>
        <v/>
      </c>
      <c r="K491" s="40" t="str">
        <f>IFERROR(__xludf.DUMMYFUNCTION("IF(ISBLANK(B491),"""",IF(ISDATE(B491),H491,""""))"),"")</f>
        <v/>
      </c>
      <c r="L491" s="40" t="str">
        <f>IFERROR(__xludf.DUMMYFUNCTION("IF(ISBLANK(B491),"""",IF(ISDATE(B491),TEXT(B491,""M""),""""))"),"")</f>
        <v/>
      </c>
      <c r="M491" s="29" t="str">
        <f>IFERROR(__xludf.DUMMYFUNCTION("IF(L491="""","""",QUERY({'Dashboard-Dados'!$Y$2:$AA$13},""Select Col2 Where Col1=""&amp;L491))"),"")</f>
        <v/>
      </c>
      <c r="N491" s="29" t="str">
        <f>IFERROR(__xludf.DUMMYFUNCTION("IF(ISBLANK(B491),"""",IF(ISDATE(B491),TEXT(B491,""yyyy""),""""))"),"")</f>
        <v/>
      </c>
    </row>
    <row r="492">
      <c r="B492" s="89"/>
      <c r="C492" s="86"/>
      <c r="D492" s="71"/>
      <c r="H492" s="90"/>
      <c r="J492" s="53" t="str">
        <f>IFERROR(__xludf.DUMMYFUNCTION("IF(ISBLANK(B492),"""",IF(ISDATE(B492),""X"",""""))"),"")</f>
        <v/>
      </c>
      <c r="K492" s="40" t="str">
        <f>IFERROR(__xludf.DUMMYFUNCTION("IF(ISBLANK(B492),"""",IF(ISDATE(B492),H492,""""))"),"")</f>
        <v/>
      </c>
      <c r="L492" s="40" t="str">
        <f>IFERROR(__xludf.DUMMYFUNCTION("IF(ISBLANK(B492),"""",IF(ISDATE(B492),TEXT(B492,""M""),""""))"),"")</f>
        <v/>
      </c>
      <c r="M492" s="29" t="str">
        <f>IFERROR(__xludf.DUMMYFUNCTION("IF(L492="""","""",QUERY({'Dashboard-Dados'!$Y$2:$AA$13},""Select Col2 Where Col1=""&amp;L492))"),"")</f>
        <v/>
      </c>
      <c r="N492" s="29" t="str">
        <f>IFERROR(__xludf.DUMMYFUNCTION("IF(ISBLANK(B492),"""",IF(ISDATE(B492),TEXT(B492,""yyyy""),""""))"),"")</f>
        <v/>
      </c>
    </row>
    <row r="493">
      <c r="B493" s="87"/>
      <c r="C493" s="85"/>
      <c r="D493" s="76"/>
      <c r="H493" s="88"/>
      <c r="J493" s="53" t="str">
        <f>IFERROR(__xludf.DUMMYFUNCTION("IF(ISBLANK(B493),"""",IF(ISDATE(B493),""X"",""""))"),"")</f>
        <v/>
      </c>
      <c r="K493" s="40" t="str">
        <f>IFERROR(__xludf.DUMMYFUNCTION("IF(ISBLANK(B493),"""",IF(ISDATE(B493),H493,""""))"),"")</f>
        <v/>
      </c>
      <c r="L493" s="40" t="str">
        <f>IFERROR(__xludf.DUMMYFUNCTION("IF(ISBLANK(B493),"""",IF(ISDATE(B493),TEXT(B493,""M""),""""))"),"")</f>
        <v/>
      </c>
      <c r="M493" s="29" t="str">
        <f>IFERROR(__xludf.DUMMYFUNCTION("IF(L493="""","""",QUERY({'Dashboard-Dados'!$Y$2:$AA$13},""Select Col2 Where Col1=""&amp;L493))"),"")</f>
        <v/>
      </c>
      <c r="N493" s="29" t="str">
        <f>IFERROR(__xludf.DUMMYFUNCTION("IF(ISBLANK(B493),"""",IF(ISDATE(B493),TEXT(B493,""yyyy""),""""))"),"")</f>
        <v/>
      </c>
    </row>
    <row r="494">
      <c r="B494" s="89"/>
      <c r="C494" s="86"/>
      <c r="D494" s="71"/>
      <c r="H494" s="90"/>
      <c r="J494" s="53" t="str">
        <f>IFERROR(__xludf.DUMMYFUNCTION("IF(ISBLANK(B494),"""",IF(ISDATE(B494),""X"",""""))"),"")</f>
        <v/>
      </c>
      <c r="K494" s="40" t="str">
        <f>IFERROR(__xludf.DUMMYFUNCTION("IF(ISBLANK(B494),"""",IF(ISDATE(B494),H494,""""))"),"")</f>
        <v/>
      </c>
      <c r="L494" s="40" t="str">
        <f>IFERROR(__xludf.DUMMYFUNCTION("IF(ISBLANK(B494),"""",IF(ISDATE(B494),TEXT(B494,""M""),""""))"),"")</f>
        <v/>
      </c>
      <c r="M494" s="29" t="str">
        <f>IFERROR(__xludf.DUMMYFUNCTION("IF(L494="""","""",QUERY({'Dashboard-Dados'!$Y$2:$AA$13},""Select Col2 Where Col1=""&amp;L494))"),"")</f>
        <v/>
      </c>
      <c r="N494" s="29" t="str">
        <f>IFERROR(__xludf.DUMMYFUNCTION("IF(ISBLANK(B494),"""",IF(ISDATE(B494),TEXT(B494,""yyyy""),""""))"),"")</f>
        <v/>
      </c>
    </row>
    <row r="495">
      <c r="B495" s="87"/>
      <c r="C495" s="85"/>
      <c r="D495" s="76"/>
      <c r="H495" s="88"/>
      <c r="J495" s="53" t="str">
        <f>IFERROR(__xludf.DUMMYFUNCTION("IF(ISBLANK(B495),"""",IF(ISDATE(B495),""X"",""""))"),"")</f>
        <v/>
      </c>
      <c r="K495" s="40" t="str">
        <f>IFERROR(__xludf.DUMMYFUNCTION("IF(ISBLANK(B495),"""",IF(ISDATE(B495),H495,""""))"),"")</f>
        <v/>
      </c>
      <c r="L495" s="40" t="str">
        <f>IFERROR(__xludf.DUMMYFUNCTION("IF(ISBLANK(B495),"""",IF(ISDATE(B495),TEXT(B495,""M""),""""))"),"")</f>
        <v/>
      </c>
      <c r="M495" s="29" t="str">
        <f>IFERROR(__xludf.DUMMYFUNCTION("IF(L495="""","""",QUERY({'Dashboard-Dados'!$Y$2:$AA$13},""Select Col2 Where Col1=""&amp;L495))"),"")</f>
        <v/>
      </c>
      <c r="N495" s="29" t="str">
        <f>IFERROR(__xludf.DUMMYFUNCTION("IF(ISBLANK(B495),"""",IF(ISDATE(B495),TEXT(B495,""yyyy""),""""))"),"")</f>
        <v/>
      </c>
    </row>
    <row r="496">
      <c r="B496" s="89"/>
      <c r="C496" s="86"/>
      <c r="D496" s="71"/>
      <c r="H496" s="90"/>
      <c r="J496" s="53" t="str">
        <f>IFERROR(__xludf.DUMMYFUNCTION("IF(ISBLANK(B496),"""",IF(ISDATE(B496),""X"",""""))"),"")</f>
        <v/>
      </c>
      <c r="K496" s="40" t="str">
        <f>IFERROR(__xludf.DUMMYFUNCTION("IF(ISBLANK(B496),"""",IF(ISDATE(B496),H496,""""))"),"")</f>
        <v/>
      </c>
      <c r="L496" s="40" t="str">
        <f>IFERROR(__xludf.DUMMYFUNCTION("IF(ISBLANK(B496),"""",IF(ISDATE(B496),TEXT(B496,""M""),""""))"),"")</f>
        <v/>
      </c>
      <c r="M496" s="29" t="str">
        <f>IFERROR(__xludf.DUMMYFUNCTION("IF(L496="""","""",QUERY({'Dashboard-Dados'!$Y$2:$AA$13},""Select Col2 Where Col1=""&amp;L496))"),"")</f>
        <v/>
      </c>
      <c r="N496" s="29" t="str">
        <f>IFERROR(__xludf.DUMMYFUNCTION("IF(ISBLANK(B496),"""",IF(ISDATE(B496),TEXT(B496,""yyyy""),""""))"),"")</f>
        <v/>
      </c>
    </row>
    <row r="497">
      <c r="B497" s="87"/>
      <c r="C497" s="85"/>
      <c r="D497" s="76"/>
      <c r="H497" s="88"/>
      <c r="J497" s="53" t="str">
        <f>IFERROR(__xludf.DUMMYFUNCTION("IF(ISBLANK(B497),"""",IF(ISDATE(B497),""X"",""""))"),"")</f>
        <v/>
      </c>
      <c r="K497" s="40" t="str">
        <f>IFERROR(__xludf.DUMMYFUNCTION("IF(ISBLANK(B497),"""",IF(ISDATE(B497),H497,""""))"),"")</f>
        <v/>
      </c>
      <c r="L497" s="40" t="str">
        <f>IFERROR(__xludf.DUMMYFUNCTION("IF(ISBLANK(B497),"""",IF(ISDATE(B497),TEXT(B497,""M""),""""))"),"")</f>
        <v/>
      </c>
      <c r="M497" s="29" t="str">
        <f>IFERROR(__xludf.DUMMYFUNCTION("IF(L497="""","""",QUERY({'Dashboard-Dados'!$Y$2:$AA$13},""Select Col2 Where Col1=""&amp;L497))"),"")</f>
        <v/>
      </c>
      <c r="N497" s="29" t="str">
        <f>IFERROR(__xludf.DUMMYFUNCTION("IF(ISBLANK(B497),"""",IF(ISDATE(B497),TEXT(B497,""yyyy""),""""))"),"")</f>
        <v/>
      </c>
    </row>
    <row r="498">
      <c r="B498" s="89"/>
      <c r="C498" s="86"/>
      <c r="D498" s="71"/>
      <c r="H498" s="90"/>
      <c r="J498" s="53" t="str">
        <f>IFERROR(__xludf.DUMMYFUNCTION("IF(ISBLANK(B498),"""",IF(ISDATE(B498),""X"",""""))"),"")</f>
        <v/>
      </c>
      <c r="K498" s="40" t="str">
        <f>IFERROR(__xludf.DUMMYFUNCTION("IF(ISBLANK(B498),"""",IF(ISDATE(B498),H498,""""))"),"")</f>
        <v/>
      </c>
      <c r="L498" s="40" t="str">
        <f>IFERROR(__xludf.DUMMYFUNCTION("IF(ISBLANK(B498),"""",IF(ISDATE(B498),TEXT(B498,""M""),""""))"),"")</f>
        <v/>
      </c>
      <c r="M498" s="29" t="str">
        <f>IFERROR(__xludf.DUMMYFUNCTION("IF(L498="""","""",QUERY({'Dashboard-Dados'!$Y$2:$AA$13},""Select Col2 Where Col1=""&amp;L498))"),"")</f>
        <v/>
      </c>
      <c r="N498" s="29" t="str">
        <f>IFERROR(__xludf.DUMMYFUNCTION("IF(ISBLANK(B498),"""",IF(ISDATE(B498),TEXT(B498,""yyyy""),""""))"),"")</f>
        <v/>
      </c>
    </row>
    <row r="499">
      <c r="B499" s="87"/>
      <c r="C499" s="85"/>
      <c r="D499" s="76"/>
      <c r="H499" s="88"/>
      <c r="J499" s="53" t="str">
        <f>IFERROR(__xludf.DUMMYFUNCTION("IF(ISBLANK(B499),"""",IF(ISDATE(B499),""X"",""""))"),"")</f>
        <v/>
      </c>
      <c r="K499" s="40" t="str">
        <f>IFERROR(__xludf.DUMMYFUNCTION("IF(ISBLANK(B499),"""",IF(ISDATE(B499),H499,""""))"),"")</f>
        <v/>
      </c>
      <c r="L499" s="40" t="str">
        <f>IFERROR(__xludf.DUMMYFUNCTION("IF(ISBLANK(B499),"""",IF(ISDATE(B499),TEXT(B499,""M""),""""))"),"")</f>
        <v/>
      </c>
      <c r="M499" s="29" t="str">
        <f>IFERROR(__xludf.DUMMYFUNCTION("IF(L499="""","""",QUERY({'Dashboard-Dados'!$Y$2:$AA$13},""Select Col2 Where Col1=""&amp;L499))"),"")</f>
        <v/>
      </c>
      <c r="N499" s="29" t="str">
        <f>IFERROR(__xludf.DUMMYFUNCTION("IF(ISBLANK(B499),"""",IF(ISDATE(B499),TEXT(B499,""yyyy""),""""))"),"")</f>
        <v/>
      </c>
    </row>
    <row r="500">
      <c r="B500" s="89"/>
      <c r="C500" s="86"/>
      <c r="D500" s="71"/>
      <c r="H500" s="90"/>
      <c r="J500" s="53" t="str">
        <f>IFERROR(__xludf.DUMMYFUNCTION("IF(ISBLANK(B500),"""",IF(ISDATE(B500),""X"",""""))"),"")</f>
        <v/>
      </c>
      <c r="K500" s="40" t="str">
        <f>IFERROR(__xludf.DUMMYFUNCTION("IF(ISBLANK(B500),"""",IF(ISDATE(B500),H500,""""))"),"")</f>
        <v/>
      </c>
      <c r="L500" s="40" t="str">
        <f>IFERROR(__xludf.DUMMYFUNCTION("IF(ISBLANK(B500),"""",IF(ISDATE(B500),TEXT(B500,""M""),""""))"),"")</f>
        <v/>
      </c>
      <c r="M500" s="29" t="str">
        <f>IFERROR(__xludf.DUMMYFUNCTION("IF(L500="""","""",QUERY({'Dashboard-Dados'!$Y$2:$AA$13},""Select Col2 Where Col1=""&amp;L500))"),"")</f>
        <v/>
      </c>
      <c r="N500" s="29" t="str">
        <f>IFERROR(__xludf.DUMMYFUNCTION("IF(ISBLANK(B500),"""",IF(ISDATE(B500),TEXT(B500,""yyyy""),""""))"),"")</f>
        <v/>
      </c>
    </row>
    <row r="501">
      <c r="B501" s="87"/>
      <c r="C501" s="85"/>
      <c r="D501" s="76"/>
      <c r="H501" s="88"/>
      <c r="J501" s="53" t="str">
        <f>IFERROR(__xludf.DUMMYFUNCTION("IF(ISBLANK(B501),"""",IF(ISDATE(B501),""X"",""""))"),"")</f>
        <v/>
      </c>
      <c r="K501" s="40" t="str">
        <f>IFERROR(__xludf.DUMMYFUNCTION("IF(ISBLANK(B501),"""",IF(ISDATE(B501),H501,""""))"),"")</f>
        <v/>
      </c>
      <c r="L501" s="40" t="str">
        <f>IFERROR(__xludf.DUMMYFUNCTION("IF(ISBLANK(B501),"""",IF(ISDATE(B501),TEXT(B501,""M""),""""))"),"")</f>
        <v/>
      </c>
      <c r="M501" s="29" t="str">
        <f>IFERROR(__xludf.DUMMYFUNCTION("IF(L501="""","""",QUERY({'Dashboard-Dados'!$Y$2:$AA$13},""Select Col2 Where Col1=""&amp;L501))"),"")</f>
        <v/>
      </c>
      <c r="N501" s="29" t="str">
        <f>IFERROR(__xludf.DUMMYFUNCTION("IF(ISBLANK(B501),"""",IF(ISDATE(B501),TEXT(B501,""yyyy""),""""))"),"")</f>
        <v/>
      </c>
    </row>
    <row r="502">
      <c r="B502" s="89"/>
      <c r="C502" s="86"/>
      <c r="D502" s="71"/>
      <c r="H502" s="90"/>
      <c r="J502" s="53" t="str">
        <f>IFERROR(__xludf.DUMMYFUNCTION("IF(ISBLANK(B502),"""",IF(ISDATE(B502),""X"",""""))"),"")</f>
        <v/>
      </c>
      <c r="K502" s="40" t="str">
        <f>IFERROR(__xludf.DUMMYFUNCTION("IF(ISBLANK(B502),"""",IF(ISDATE(B502),H502,""""))"),"")</f>
        <v/>
      </c>
      <c r="L502" s="40" t="str">
        <f>IFERROR(__xludf.DUMMYFUNCTION("IF(ISBLANK(B502),"""",IF(ISDATE(B502),TEXT(B502,""M""),""""))"),"")</f>
        <v/>
      </c>
      <c r="M502" s="29" t="str">
        <f>IFERROR(__xludf.DUMMYFUNCTION("IF(L502="""","""",QUERY({'Dashboard-Dados'!$Y$2:$AA$13},""Select Col2 Where Col1=""&amp;L502))"),"")</f>
        <v/>
      </c>
      <c r="N502" s="29" t="str">
        <f>IFERROR(__xludf.DUMMYFUNCTION("IF(ISBLANK(B502),"""",IF(ISDATE(B502),TEXT(B502,""yyyy""),""""))"),"")</f>
        <v/>
      </c>
    </row>
    <row r="503">
      <c r="B503" s="87"/>
      <c r="C503" s="85"/>
      <c r="D503" s="76"/>
      <c r="H503" s="88"/>
      <c r="J503" s="53" t="str">
        <f>IFERROR(__xludf.DUMMYFUNCTION("IF(ISBLANK(B503),"""",IF(ISDATE(B503),""X"",""""))"),"")</f>
        <v/>
      </c>
      <c r="K503" s="40" t="str">
        <f>IFERROR(__xludf.DUMMYFUNCTION("IF(ISBLANK(B503),"""",IF(ISDATE(B503),H503,""""))"),"")</f>
        <v/>
      </c>
      <c r="L503" s="40" t="str">
        <f>IFERROR(__xludf.DUMMYFUNCTION("IF(ISBLANK(B503),"""",IF(ISDATE(B503),TEXT(B503,""M""),""""))"),"")</f>
        <v/>
      </c>
      <c r="M503" s="29" t="str">
        <f>IFERROR(__xludf.DUMMYFUNCTION("IF(L503="""","""",QUERY({'Dashboard-Dados'!$Y$2:$AA$13},""Select Col2 Where Col1=""&amp;L503))"),"")</f>
        <v/>
      </c>
      <c r="N503" s="29" t="str">
        <f>IFERROR(__xludf.DUMMYFUNCTION("IF(ISBLANK(B503),"""",IF(ISDATE(B503),TEXT(B503,""yyyy""),""""))"),"")</f>
        <v/>
      </c>
    </row>
    <row r="504">
      <c r="B504" s="89"/>
      <c r="C504" s="86"/>
      <c r="D504" s="71"/>
      <c r="H504" s="90"/>
      <c r="J504" s="53" t="str">
        <f>IFERROR(__xludf.DUMMYFUNCTION("IF(ISBLANK(B504),"""",IF(ISDATE(B504),""X"",""""))"),"")</f>
        <v/>
      </c>
      <c r="K504" s="40" t="str">
        <f>IFERROR(__xludf.DUMMYFUNCTION("IF(ISBLANK(B504),"""",IF(ISDATE(B504),H504,""""))"),"")</f>
        <v/>
      </c>
      <c r="L504" s="40" t="str">
        <f>IFERROR(__xludf.DUMMYFUNCTION("IF(ISBLANK(B504),"""",IF(ISDATE(B504),TEXT(B504,""M""),""""))"),"")</f>
        <v/>
      </c>
      <c r="M504" s="29" t="str">
        <f>IFERROR(__xludf.DUMMYFUNCTION("IF(L504="""","""",QUERY({'Dashboard-Dados'!$Y$2:$AA$13},""Select Col2 Where Col1=""&amp;L504))"),"")</f>
        <v/>
      </c>
      <c r="N504" s="29" t="str">
        <f>IFERROR(__xludf.DUMMYFUNCTION("IF(ISBLANK(B504),"""",IF(ISDATE(B504),TEXT(B504,""yyyy""),""""))"),"")</f>
        <v/>
      </c>
    </row>
    <row r="505">
      <c r="B505" s="87"/>
      <c r="C505" s="85"/>
      <c r="D505" s="76"/>
      <c r="H505" s="88"/>
      <c r="J505" s="53" t="str">
        <f>IFERROR(__xludf.DUMMYFUNCTION("IF(ISBLANK(B505),"""",IF(ISDATE(B505),""X"",""""))"),"")</f>
        <v/>
      </c>
      <c r="K505" s="40" t="str">
        <f>IFERROR(__xludf.DUMMYFUNCTION("IF(ISBLANK(B505),"""",IF(ISDATE(B505),H505,""""))"),"")</f>
        <v/>
      </c>
      <c r="L505" s="40" t="str">
        <f>IFERROR(__xludf.DUMMYFUNCTION("IF(ISBLANK(B505),"""",IF(ISDATE(B505),TEXT(B505,""M""),""""))"),"")</f>
        <v/>
      </c>
      <c r="M505" s="29" t="str">
        <f>IFERROR(__xludf.DUMMYFUNCTION("IF(L505="""","""",QUERY({'Dashboard-Dados'!$Y$2:$AA$13},""Select Col2 Where Col1=""&amp;L505))"),"")</f>
        <v/>
      </c>
      <c r="N505" s="29" t="str">
        <f>IFERROR(__xludf.DUMMYFUNCTION("IF(ISBLANK(B505),"""",IF(ISDATE(B505),TEXT(B505,""yyyy""),""""))"),"")</f>
        <v/>
      </c>
    </row>
    <row r="506">
      <c r="B506" s="89"/>
      <c r="C506" s="86"/>
      <c r="D506" s="71"/>
      <c r="H506" s="90"/>
      <c r="J506" s="53" t="str">
        <f>IFERROR(__xludf.DUMMYFUNCTION("IF(ISBLANK(B506),"""",IF(ISDATE(B506),""X"",""""))"),"")</f>
        <v/>
      </c>
      <c r="K506" s="40" t="str">
        <f>IFERROR(__xludf.DUMMYFUNCTION("IF(ISBLANK(B506),"""",IF(ISDATE(B506),H506,""""))"),"")</f>
        <v/>
      </c>
      <c r="L506" s="40" t="str">
        <f>IFERROR(__xludf.DUMMYFUNCTION("IF(ISBLANK(B506),"""",IF(ISDATE(B506),TEXT(B506,""M""),""""))"),"")</f>
        <v/>
      </c>
      <c r="M506" s="29" t="str">
        <f>IFERROR(__xludf.DUMMYFUNCTION("IF(L506="""","""",QUERY({'Dashboard-Dados'!$Y$2:$AA$13},""Select Col2 Where Col1=""&amp;L506))"),"")</f>
        <v/>
      </c>
      <c r="N506" s="29" t="str">
        <f>IFERROR(__xludf.DUMMYFUNCTION("IF(ISBLANK(B506),"""",IF(ISDATE(B506),TEXT(B506,""yyyy""),""""))"),"")</f>
        <v/>
      </c>
    </row>
    <row r="507">
      <c r="B507" s="87"/>
      <c r="C507" s="85"/>
      <c r="D507" s="76"/>
      <c r="H507" s="88"/>
      <c r="J507" s="53" t="str">
        <f>IFERROR(__xludf.DUMMYFUNCTION("IF(ISBLANK(B507),"""",IF(ISDATE(B507),""X"",""""))"),"")</f>
        <v/>
      </c>
      <c r="K507" s="40" t="str">
        <f>IFERROR(__xludf.DUMMYFUNCTION("IF(ISBLANK(B507),"""",IF(ISDATE(B507),H507,""""))"),"")</f>
        <v/>
      </c>
      <c r="L507" s="40" t="str">
        <f>IFERROR(__xludf.DUMMYFUNCTION("IF(ISBLANK(B507),"""",IF(ISDATE(B507),TEXT(B507,""M""),""""))"),"")</f>
        <v/>
      </c>
      <c r="M507" s="29" t="str">
        <f>IFERROR(__xludf.DUMMYFUNCTION("IF(L507="""","""",QUERY({'Dashboard-Dados'!$Y$2:$AA$13},""Select Col2 Where Col1=""&amp;L507))"),"")</f>
        <v/>
      </c>
      <c r="N507" s="29" t="str">
        <f>IFERROR(__xludf.DUMMYFUNCTION("IF(ISBLANK(B507),"""",IF(ISDATE(B507),TEXT(B507,""yyyy""),""""))"),"")</f>
        <v/>
      </c>
    </row>
    <row r="508">
      <c r="B508" s="89"/>
      <c r="C508" s="86"/>
      <c r="D508" s="71"/>
      <c r="H508" s="90"/>
      <c r="J508" s="53" t="str">
        <f>IFERROR(__xludf.DUMMYFUNCTION("IF(ISBLANK(B508),"""",IF(ISDATE(B508),""X"",""""))"),"")</f>
        <v/>
      </c>
      <c r="K508" s="40" t="str">
        <f>IFERROR(__xludf.DUMMYFUNCTION("IF(ISBLANK(B508),"""",IF(ISDATE(B508),H508,""""))"),"")</f>
        <v/>
      </c>
      <c r="L508" s="40" t="str">
        <f>IFERROR(__xludf.DUMMYFUNCTION("IF(ISBLANK(B508),"""",IF(ISDATE(B508),TEXT(B508,""M""),""""))"),"")</f>
        <v/>
      </c>
      <c r="M508" s="29" t="str">
        <f>IFERROR(__xludf.DUMMYFUNCTION("IF(L508="""","""",QUERY({'Dashboard-Dados'!$Y$2:$AA$13},""Select Col2 Where Col1=""&amp;L508))"),"")</f>
        <v/>
      </c>
      <c r="N508" s="29" t="str">
        <f>IFERROR(__xludf.DUMMYFUNCTION("IF(ISBLANK(B508),"""",IF(ISDATE(B508),TEXT(B508,""yyyy""),""""))"),"")</f>
        <v/>
      </c>
    </row>
    <row r="509">
      <c r="B509" s="87"/>
      <c r="C509" s="85"/>
      <c r="D509" s="76"/>
      <c r="H509" s="88"/>
      <c r="J509" s="53" t="str">
        <f>IFERROR(__xludf.DUMMYFUNCTION("IF(ISBLANK(B509),"""",IF(ISDATE(B509),""X"",""""))"),"")</f>
        <v/>
      </c>
      <c r="K509" s="40" t="str">
        <f>IFERROR(__xludf.DUMMYFUNCTION("IF(ISBLANK(B509),"""",IF(ISDATE(B509),H509,""""))"),"")</f>
        <v/>
      </c>
      <c r="L509" s="40" t="str">
        <f>IFERROR(__xludf.DUMMYFUNCTION("IF(ISBLANK(B509),"""",IF(ISDATE(B509),TEXT(B509,""M""),""""))"),"")</f>
        <v/>
      </c>
      <c r="M509" s="29" t="str">
        <f>IFERROR(__xludf.DUMMYFUNCTION("IF(L509="""","""",QUERY({'Dashboard-Dados'!$Y$2:$AA$13},""Select Col2 Where Col1=""&amp;L509))"),"")</f>
        <v/>
      </c>
      <c r="N509" s="29" t="str">
        <f>IFERROR(__xludf.DUMMYFUNCTION("IF(ISBLANK(B509),"""",IF(ISDATE(B509),TEXT(B509,""yyyy""),""""))"),"")</f>
        <v/>
      </c>
    </row>
    <row r="510">
      <c r="B510" s="89"/>
      <c r="C510" s="86"/>
      <c r="D510" s="71"/>
      <c r="H510" s="90"/>
      <c r="J510" s="53" t="str">
        <f>IFERROR(__xludf.DUMMYFUNCTION("IF(ISBLANK(B510),"""",IF(ISDATE(B510),""X"",""""))"),"")</f>
        <v/>
      </c>
      <c r="K510" s="40" t="str">
        <f>IFERROR(__xludf.DUMMYFUNCTION("IF(ISBLANK(B510),"""",IF(ISDATE(B510),H510,""""))"),"")</f>
        <v/>
      </c>
      <c r="L510" s="40" t="str">
        <f>IFERROR(__xludf.DUMMYFUNCTION("IF(ISBLANK(B510),"""",IF(ISDATE(B510),TEXT(B510,""M""),""""))"),"")</f>
        <v/>
      </c>
      <c r="M510" s="29" t="str">
        <f>IFERROR(__xludf.DUMMYFUNCTION("IF(L510="""","""",QUERY({'Dashboard-Dados'!$Y$2:$AA$13},""Select Col2 Where Col1=""&amp;L510))"),"")</f>
        <v/>
      </c>
      <c r="N510" s="29" t="str">
        <f>IFERROR(__xludf.DUMMYFUNCTION("IF(ISBLANK(B510),"""",IF(ISDATE(B510),TEXT(B510,""yyyy""),""""))"),"")</f>
        <v/>
      </c>
    </row>
    <row r="511">
      <c r="B511" s="87"/>
      <c r="C511" s="85"/>
      <c r="D511" s="76"/>
      <c r="H511" s="88"/>
      <c r="J511" s="53" t="str">
        <f>IFERROR(__xludf.DUMMYFUNCTION("IF(ISBLANK(B511),"""",IF(ISDATE(B511),""X"",""""))"),"")</f>
        <v/>
      </c>
      <c r="K511" s="40" t="str">
        <f>IFERROR(__xludf.DUMMYFUNCTION("IF(ISBLANK(B511),"""",IF(ISDATE(B511),H511,""""))"),"")</f>
        <v/>
      </c>
      <c r="L511" s="40" t="str">
        <f>IFERROR(__xludf.DUMMYFUNCTION("IF(ISBLANK(B511),"""",IF(ISDATE(B511),TEXT(B511,""M""),""""))"),"")</f>
        <v/>
      </c>
      <c r="M511" s="29" t="str">
        <f>IFERROR(__xludf.DUMMYFUNCTION("IF(L511="""","""",QUERY({'Dashboard-Dados'!$Y$2:$AA$13},""Select Col2 Where Col1=""&amp;L511))"),"")</f>
        <v/>
      </c>
      <c r="N511" s="29" t="str">
        <f>IFERROR(__xludf.DUMMYFUNCTION("IF(ISBLANK(B511),"""",IF(ISDATE(B511),TEXT(B511,""yyyy""),""""))"),"")</f>
        <v/>
      </c>
    </row>
    <row r="512">
      <c r="B512" s="89"/>
      <c r="C512" s="86"/>
      <c r="D512" s="71"/>
      <c r="H512" s="90"/>
      <c r="J512" s="53" t="str">
        <f>IFERROR(__xludf.DUMMYFUNCTION("IF(ISBLANK(B512),"""",IF(ISDATE(B512),""X"",""""))"),"")</f>
        <v/>
      </c>
      <c r="K512" s="40" t="str">
        <f>IFERROR(__xludf.DUMMYFUNCTION("IF(ISBLANK(B512),"""",IF(ISDATE(B512),H512,""""))"),"")</f>
        <v/>
      </c>
      <c r="L512" s="40" t="str">
        <f>IFERROR(__xludf.DUMMYFUNCTION("IF(ISBLANK(B512),"""",IF(ISDATE(B512),TEXT(B512,""M""),""""))"),"")</f>
        <v/>
      </c>
      <c r="M512" s="29" t="str">
        <f>IFERROR(__xludf.DUMMYFUNCTION("IF(L512="""","""",QUERY({'Dashboard-Dados'!$Y$2:$AA$13},""Select Col2 Where Col1=""&amp;L512))"),"")</f>
        <v/>
      </c>
      <c r="N512" s="29" t="str">
        <f>IFERROR(__xludf.DUMMYFUNCTION("IF(ISBLANK(B512),"""",IF(ISDATE(B512),TEXT(B512,""yyyy""),""""))"),"")</f>
        <v/>
      </c>
    </row>
    <row r="513">
      <c r="B513" s="87"/>
      <c r="C513" s="85"/>
      <c r="D513" s="76"/>
      <c r="H513" s="88"/>
      <c r="J513" s="53" t="str">
        <f>IFERROR(__xludf.DUMMYFUNCTION("IF(ISBLANK(B513),"""",IF(ISDATE(B513),""X"",""""))"),"")</f>
        <v/>
      </c>
      <c r="K513" s="40" t="str">
        <f>IFERROR(__xludf.DUMMYFUNCTION("IF(ISBLANK(B513),"""",IF(ISDATE(B513),H513,""""))"),"")</f>
        <v/>
      </c>
      <c r="L513" s="40" t="str">
        <f>IFERROR(__xludf.DUMMYFUNCTION("IF(ISBLANK(B513),"""",IF(ISDATE(B513),TEXT(B513,""M""),""""))"),"")</f>
        <v/>
      </c>
      <c r="M513" s="29" t="str">
        <f>IFERROR(__xludf.DUMMYFUNCTION("IF(L513="""","""",QUERY({'Dashboard-Dados'!$Y$2:$AA$13},""Select Col2 Where Col1=""&amp;L513))"),"")</f>
        <v/>
      </c>
      <c r="N513" s="29" t="str">
        <f>IFERROR(__xludf.DUMMYFUNCTION("IF(ISBLANK(B513),"""",IF(ISDATE(B513),TEXT(B513,""yyyy""),""""))"),"")</f>
        <v/>
      </c>
    </row>
    <row r="514">
      <c r="B514" s="89"/>
      <c r="C514" s="86"/>
      <c r="D514" s="71"/>
      <c r="H514" s="90"/>
      <c r="J514" s="53" t="str">
        <f>IFERROR(__xludf.DUMMYFUNCTION("IF(ISBLANK(B514),"""",IF(ISDATE(B514),""X"",""""))"),"")</f>
        <v/>
      </c>
      <c r="K514" s="40" t="str">
        <f>IFERROR(__xludf.DUMMYFUNCTION("IF(ISBLANK(B514),"""",IF(ISDATE(B514),H514,""""))"),"")</f>
        <v/>
      </c>
      <c r="L514" s="40" t="str">
        <f>IFERROR(__xludf.DUMMYFUNCTION("IF(ISBLANK(B514),"""",IF(ISDATE(B514),TEXT(B514,""M""),""""))"),"")</f>
        <v/>
      </c>
      <c r="M514" s="29" t="str">
        <f>IFERROR(__xludf.DUMMYFUNCTION("IF(L514="""","""",QUERY({'Dashboard-Dados'!$Y$2:$AA$13},""Select Col2 Where Col1=""&amp;L514))"),"")</f>
        <v/>
      </c>
      <c r="N514" s="29" t="str">
        <f>IFERROR(__xludf.DUMMYFUNCTION("IF(ISBLANK(B514),"""",IF(ISDATE(B514),TEXT(B514,""yyyy""),""""))"),"")</f>
        <v/>
      </c>
    </row>
    <row r="515">
      <c r="B515" s="87"/>
      <c r="C515" s="85"/>
      <c r="D515" s="76"/>
      <c r="H515" s="88"/>
      <c r="J515" s="53" t="str">
        <f>IFERROR(__xludf.DUMMYFUNCTION("IF(ISBLANK(B515),"""",IF(ISDATE(B515),""X"",""""))"),"")</f>
        <v/>
      </c>
      <c r="K515" s="40" t="str">
        <f>IFERROR(__xludf.DUMMYFUNCTION("IF(ISBLANK(B515),"""",IF(ISDATE(B515),H515,""""))"),"")</f>
        <v/>
      </c>
      <c r="L515" s="40" t="str">
        <f>IFERROR(__xludf.DUMMYFUNCTION("IF(ISBLANK(B515),"""",IF(ISDATE(B515),TEXT(B515,""M""),""""))"),"")</f>
        <v/>
      </c>
      <c r="M515" s="29" t="str">
        <f>IFERROR(__xludf.DUMMYFUNCTION("IF(L515="""","""",QUERY({'Dashboard-Dados'!$Y$2:$AA$13},""Select Col2 Where Col1=""&amp;L515))"),"")</f>
        <v/>
      </c>
      <c r="N515" s="29" t="str">
        <f>IFERROR(__xludf.DUMMYFUNCTION("IF(ISBLANK(B515),"""",IF(ISDATE(B515),TEXT(B515,""yyyy""),""""))"),"")</f>
        <v/>
      </c>
    </row>
    <row r="516">
      <c r="B516" s="89"/>
      <c r="C516" s="86"/>
      <c r="D516" s="71"/>
      <c r="H516" s="90"/>
      <c r="J516" s="53" t="str">
        <f>IFERROR(__xludf.DUMMYFUNCTION("IF(ISBLANK(B516),"""",IF(ISDATE(B516),""X"",""""))"),"")</f>
        <v/>
      </c>
      <c r="K516" s="40" t="str">
        <f>IFERROR(__xludf.DUMMYFUNCTION("IF(ISBLANK(B516),"""",IF(ISDATE(B516),H516,""""))"),"")</f>
        <v/>
      </c>
      <c r="L516" s="40" t="str">
        <f>IFERROR(__xludf.DUMMYFUNCTION("IF(ISBLANK(B516),"""",IF(ISDATE(B516),TEXT(B516,""M""),""""))"),"")</f>
        <v/>
      </c>
      <c r="M516" s="29" t="str">
        <f>IFERROR(__xludf.DUMMYFUNCTION("IF(L516="""","""",QUERY({'Dashboard-Dados'!$Y$2:$AA$13},""Select Col2 Where Col1=""&amp;L516))"),"")</f>
        <v/>
      </c>
      <c r="N516" s="29" t="str">
        <f>IFERROR(__xludf.DUMMYFUNCTION("IF(ISBLANK(B516),"""",IF(ISDATE(B516),TEXT(B516,""yyyy""),""""))"),"")</f>
        <v/>
      </c>
    </row>
    <row r="517">
      <c r="B517" s="87"/>
      <c r="C517" s="85"/>
      <c r="D517" s="76"/>
      <c r="H517" s="88"/>
      <c r="J517" s="53" t="str">
        <f>IFERROR(__xludf.DUMMYFUNCTION("IF(ISBLANK(B517),"""",IF(ISDATE(B517),""X"",""""))"),"")</f>
        <v/>
      </c>
      <c r="K517" s="40" t="str">
        <f>IFERROR(__xludf.DUMMYFUNCTION("IF(ISBLANK(B517),"""",IF(ISDATE(B517),H517,""""))"),"")</f>
        <v/>
      </c>
      <c r="L517" s="40" t="str">
        <f>IFERROR(__xludf.DUMMYFUNCTION("IF(ISBLANK(B517),"""",IF(ISDATE(B517),TEXT(B517,""M""),""""))"),"")</f>
        <v/>
      </c>
      <c r="M517" s="29" t="str">
        <f>IFERROR(__xludf.DUMMYFUNCTION("IF(L517="""","""",QUERY({'Dashboard-Dados'!$Y$2:$AA$13},""Select Col2 Where Col1=""&amp;L517))"),"")</f>
        <v/>
      </c>
      <c r="N517" s="29" t="str">
        <f>IFERROR(__xludf.DUMMYFUNCTION("IF(ISBLANK(B517),"""",IF(ISDATE(B517),TEXT(B517,""yyyy""),""""))"),"")</f>
        <v/>
      </c>
    </row>
    <row r="518">
      <c r="B518" s="89"/>
      <c r="C518" s="86"/>
      <c r="D518" s="71"/>
      <c r="H518" s="90"/>
      <c r="J518" s="53" t="str">
        <f>IFERROR(__xludf.DUMMYFUNCTION("IF(ISBLANK(B518),"""",IF(ISDATE(B518),""X"",""""))"),"")</f>
        <v/>
      </c>
      <c r="K518" s="40" t="str">
        <f>IFERROR(__xludf.DUMMYFUNCTION("IF(ISBLANK(B518),"""",IF(ISDATE(B518),H518,""""))"),"")</f>
        <v/>
      </c>
      <c r="L518" s="40" t="str">
        <f>IFERROR(__xludf.DUMMYFUNCTION("IF(ISBLANK(B518),"""",IF(ISDATE(B518),TEXT(B518,""M""),""""))"),"")</f>
        <v/>
      </c>
      <c r="M518" s="29" t="str">
        <f>IFERROR(__xludf.DUMMYFUNCTION("IF(L518="""","""",QUERY({'Dashboard-Dados'!$Y$2:$AA$13},""Select Col2 Where Col1=""&amp;L518))"),"")</f>
        <v/>
      </c>
      <c r="N518" s="29" t="str">
        <f>IFERROR(__xludf.DUMMYFUNCTION("IF(ISBLANK(B518),"""",IF(ISDATE(B518),TEXT(B518,""yyyy""),""""))"),"")</f>
        <v/>
      </c>
    </row>
    <row r="519">
      <c r="B519" s="87"/>
      <c r="C519" s="85"/>
      <c r="D519" s="76"/>
      <c r="H519" s="88"/>
      <c r="J519" s="53" t="str">
        <f>IFERROR(__xludf.DUMMYFUNCTION("IF(ISBLANK(B519),"""",IF(ISDATE(B519),""X"",""""))"),"")</f>
        <v/>
      </c>
      <c r="K519" s="40" t="str">
        <f>IFERROR(__xludf.DUMMYFUNCTION("IF(ISBLANK(B519),"""",IF(ISDATE(B519),H519,""""))"),"")</f>
        <v/>
      </c>
      <c r="L519" s="40" t="str">
        <f>IFERROR(__xludf.DUMMYFUNCTION("IF(ISBLANK(B519),"""",IF(ISDATE(B519),TEXT(B519,""M""),""""))"),"")</f>
        <v/>
      </c>
      <c r="M519" s="29" t="str">
        <f>IFERROR(__xludf.DUMMYFUNCTION("IF(L519="""","""",QUERY({'Dashboard-Dados'!$Y$2:$AA$13},""Select Col2 Where Col1=""&amp;L519))"),"")</f>
        <v/>
      </c>
      <c r="N519" s="29" t="str">
        <f>IFERROR(__xludf.DUMMYFUNCTION("IF(ISBLANK(B519),"""",IF(ISDATE(B519),TEXT(B519,""yyyy""),""""))"),"")</f>
        <v/>
      </c>
    </row>
    <row r="520">
      <c r="B520" s="89"/>
      <c r="C520" s="86"/>
      <c r="D520" s="71"/>
      <c r="H520" s="90"/>
      <c r="J520" s="53" t="str">
        <f>IFERROR(__xludf.DUMMYFUNCTION("IF(ISBLANK(B520),"""",IF(ISDATE(B520),""X"",""""))"),"")</f>
        <v/>
      </c>
      <c r="K520" s="40" t="str">
        <f>IFERROR(__xludf.DUMMYFUNCTION("IF(ISBLANK(B520),"""",IF(ISDATE(B520),H520,""""))"),"")</f>
        <v/>
      </c>
      <c r="L520" s="40" t="str">
        <f>IFERROR(__xludf.DUMMYFUNCTION("IF(ISBLANK(B520),"""",IF(ISDATE(B520),TEXT(B520,""M""),""""))"),"")</f>
        <v/>
      </c>
      <c r="M520" s="29" t="str">
        <f>IFERROR(__xludf.DUMMYFUNCTION("IF(L520="""","""",QUERY({'Dashboard-Dados'!$Y$2:$AA$13},""Select Col2 Where Col1=""&amp;L520))"),"")</f>
        <v/>
      </c>
      <c r="N520" s="29" t="str">
        <f>IFERROR(__xludf.DUMMYFUNCTION("IF(ISBLANK(B520),"""",IF(ISDATE(B520),TEXT(B520,""yyyy""),""""))"),"")</f>
        <v/>
      </c>
    </row>
    <row r="521">
      <c r="B521" s="87"/>
      <c r="C521" s="85"/>
      <c r="D521" s="76"/>
      <c r="H521" s="88"/>
      <c r="J521" s="53" t="str">
        <f>IFERROR(__xludf.DUMMYFUNCTION("IF(ISBLANK(B521),"""",IF(ISDATE(B521),""X"",""""))"),"")</f>
        <v/>
      </c>
      <c r="K521" s="40" t="str">
        <f>IFERROR(__xludf.DUMMYFUNCTION("IF(ISBLANK(B521),"""",IF(ISDATE(B521),H521,""""))"),"")</f>
        <v/>
      </c>
      <c r="L521" s="40" t="str">
        <f>IFERROR(__xludf.DUMMYFUNCTION("IF(ISBLANK(B521),"""",IF(ISDATE(B521),TEXT(B521,""M""),""""))"),"")</f>
        <v/>
      </c>
      <c r="M521" s="29" t="str">
        <f>IFERROR(__xludf.DUMMYFUNCTION("IF(L521="""","""",QUERY({'Dashboard-Dados'!$Y$2:$AA$13},""Select Col2 Where Col1=""&amp;L521))"),"")</f>
        <v/>
      </c>
      <c r="N521" s="29" t="str">
        <f>IFERROR(__xludf.DUMMYFUNCTION("IF(ISBLANK(B521),"""",IF(ISDATE(B521),TEXT(B521,""yyyy""),""""))"),"")</f>
        <v/>
      </c>
    </row>
    <row r="522">
      <c r="B522" s="89"/>
      <c r="C522" s="86"/>
      <c r="D522" s="71"/>
      <c r="H522" s="90"/>
      <c r="J522" s="53" t="str">
        <f>IFERROR(__xludf.DUMMYFUNCTION("IF(ISBLANK(B522),"""",IF(ISDATE(B522),""X"",""""))"),"")</f>
        <v/>
      </c>
      <c r="K522" s="40" t="str">
        <f>IFERROR(__xludf.DUMMYFUNCTION("IF(ISBLANK(B522),"""",IF(ISDATE(B522),H522,""""))"),"")</f>
        <v/>
      </c>
      <c r="L522" s="40" t="str">
        <f>IFERROR(__xludf.DUMMYFUNCTION("IF(ISBLANK(B522),"""",IF(ISDATE(B522),TEXT(B522,""M""),""""))"),"")</f>
        <v/>
      </c>
      <c r="M522" s="29" t="str">
        <f>IFERROR(__xludf.DUMMYFUNCTION("IF(L522="""","""",QUERY({'Dashboard-Dados'!$Y$2:$AA$13},""Select Col2 Where Col1=""&amp;L522))"),"")</f>
        <v/>
      </c>
      <c r="N522" s="29" t="str">
        <f>IFERROR(__xludf.DUMMYFUNCTION("IF(ISBLANK(B522),"""",IF(ISDATE(B522),TEXT(B522,""yyyy""),""""))"),"")</f>
        <v/>
      </c>
    </row>
    <row r="523">
      <c r="B523" s="87"/>
      <c r="C523" s="85"/>
      <c r="D523" s="76"/>
      <c r="H523" s="88"/>
      <c r="J523" s="53" t="str">
        <f>IFERROR(__xludf.DUMMYFUNCTION("IF(ISBLANK(B523),"""",IF(ISDATE(B523),""X"",""""))"),"")</f>
        <v/>
      </c>
      <c r="K523" s="40" t="str">
        <f>IFERROR(__xludf.DUMMYFUNCTION("IF(ISBLANK(B523),"""",IF(ISDATE(B523),H523,""""))"),"")</f>
        <v/>
      </c>
      <c r="L523" s="40" t="str">
        <f>IFERROR(__xludf.DUMMYFUNCTION("IF(ISBLANK(B523),"""",IF(ISDATE(B523),TEXT(B523,""M""),""""))"),"")</f>
        <v/>
      </c>
      <c r="M523" s="29" t="str">
        <f>IFERROR(__xludf.DUMMYFUNCTION("IF(L523="""","""",QUERY({'Dashboard-Dados'!$Y$2:$AA$13},""Select Col2 Where Col1=""&amp;L523))"),"")</f>
        <v/>
      </c>
      <c r="N523" s="29" t="str">
        <f>IFERROR(__xludf.DUMMYFUNCTION("IF(ISBLANK(B523),"""",IF(ISDATE(B523),TEXT(B523,""yyyy""),""""))"),"")</f>
        <v/>
      </c>
    </row>
    <row r="524">
      <c r="B524" s="89"/>
      <c r="C524" s="86"/>
      <c r="D524" s="71"/>
      <c r="H524" s="90"/>
      <c r="J524" s="53" t="str">
        <f>IFERROR(__xludf.DUMMYFUNCTION("IF(ISBLANK(B524),"""",IF(ISDATE(B524),""X"",""""))"),"")</f>
        <v/>
      </c>
      <c r="K524" s="40" t="str">
        <f>IFERROR(__xludf.DUMMYFUNCTION("IF(ISBLANK(B524),"""",IF(ISDATE(B524),H524,""""))"),"")</f>
        <v/>
      </c>
      <c r="L524" s="40" t="str">
        <f>IFERROR(__xludf.DUMMYFUNCTION("IF(ISBLANK(B524),"""",IF(ISDATE(B524),TEXT(B524,""M""),""""))"),"")</f>
        <v/>
      </c>
      <c r="M524" s="29" t="str">
        <f>IFERROR(__xludf.DUMMYFUNCTION("IF(L524="""","""",QUERY({'Dashboard-Dados'!$Y$2:$AA$13},""Select Col2 Where Col1=""&amp;L524))"),"")</f>
        <v/>
      </c>
      <c r="N524" s="29" t="str">
        <f>IFERROR(__xludf.DUMMYFUNCTION("IF(ISBLANK(B524),"""",IF(ISDATE(B524),TEXT(B524,""yyyy""),""""))"),"")</f>
        <v/>
      </c>
    </row>
    <row r="525">
      <c r="B525" s="87"/>
      <c r="C525" s="85"/>
      <c r="D525" s="76"/>
      <c r="H525" s="88"/>
      <c r="J525" s="53" t="str">
        <f>IFERROR(__xludf.DUMMYFUNCTION("IF(ISBLANK(B525),"""",IF(ISDATE(B525),""X"",""""))"),"")</f>
        <v/>
      </c>
      <c r="K525" s="40" t="str">
        <f>IFERROR(__xludf.DUMMYFUNCTION("IF(ISBLANK(B525),"""",IF(ISDATE(B525),H525,""""))"),"")</f>
        <v/>
      </c>
      <c r="L525" s="40" t="str">
        <f>IFERROR(__xludf.DUMMYFUNCTION("IF(ISBLANK(B525),"""",IF(ISDATE(B525),TEXT(B525,""M""),""""))"),"")</f>
        <v/>
      </c>
      <c r="M525" s="29" t="str">
        <f>IFERROR(__xludf.DUMMYFUNCTION("IF(L525="""","""",QUERY({'Dashboard-Dados'!$Y$2:$AA$13},""Select Col2 Where Col1=""&amp;L525))"),"")</f>
        <v/>
      </c>
      <c r="N525" s="29" t="str">
        <f>IFERROR(__xludf.DUMMYFUNCTION("IF(ISBLANK(B525),"""",IF(ISDATE(B525),TEXT(B525,""yyyy""),""""))"),"")</f>
        <v/>
      </c>
    </row>
    <row r="526">
      <c r="B526" s="89"/>
      <c r="C526" s="86"/>
      <c r="D526" s="71"/>
      <c r="H526" s="90"/>
      <c r="J526" s="53" t="str">
        <f>IFERROR(__xludf.DUMMYFUNCTION("IF(ISBLANK(B526),"""",IF(ISDATE(B526),""X"",""""))"),"")</f>
        <v/>
      </c>
      <c r="K526" s="40" t="str">
        <f>IFERROR(__xludf.DUMMYFUNCTION("IF(ISBLANK(B526),"""",IF(ISDATE(B526),H526,""""))"),"")</f>
        <v/>
      </c>
      <c r="L526" s="40" t="str">
        <f>IFERROR(__xludf.DUMMYFUNCTION("IF(ISBLANK(B526),"""",IF(ISDATE(B526),TEXT(B526,""M""),""""))"),"")</f>
        <v/>
      </c>
      <c r="M526" s="29" t="str">
        <f>IFERROR(__xludf.DUMMYFUNCTION("IF(L526="""","""",QUERY({'Dashboard-Dados'!$Y$2:$AA$13},""Select Col2 Where Col1=""&amp;L526))"),"")</f>
        <v/>
      </c>
      <c r="N526" s="29" t="str">
        <f>IFERROR(__xludf.DUMMYFUNCTION("IF(ISBLANK(B526),"""",IF(ISDATE(B526),TEXT(B526,""yyyy""),""""))"),"")</f>
        <v/>
      </c>
    </row>
    <row r="527">
      <c r="B527" s="87"/>
      <c r="C527" s="85"/>
      <c r="D527" s="76"/>
      <c r="H527" s="88"/>
      <c r="J527" s="53" t="str">
        <f>IFERROR(__xludf.DUMMYFUNCTION("IF(ISBLANK(B527),"""",IF(ISDATE(B527),""X"",""""))"),"")</f>
        <v/>
      </c>
      <c r="K527" s="40" t="str">
        <f>IFERROR(__xludf.DUMMYFUNCTION("IF(ISBLANK(B527),"""",IF(ISDATE(B527),H527,""""))"),"")</f>
        <v/>
      </c>
      <c r="L527" s="40" t="str">
        <f>IFERROR(__xludf.DUMMYFUNCTION("IF(ISBLANK(B527),"""",IF(ISDATE(B527),TEXT(B527,""M""),""""))"),"")</f>
        <v/>
      </c>
      <c r="M527" s="29" t="str">
        <f>IFERROR(__xludf.DUMMYFUNCTION("IF(L527="""","""",QUERY({'Dashboard-Dados'!$Y$2:$AA$13},""Select Col2 Where Col1=""&amp;L527))"),"")</f>
        <v/>
      </c>
      <c r="N527" s="29" t="str">
        <f>IFERROR(__xludf.DUMMYFUNCTION("IF(ISBLANK(B527),"""",IF(ISDATE(B527),TEXT(B527,""yyyy""),""""))"),"")</f>
        <v/>
      </c>
    </row>
    <row r="528">
      <c r="B528" s="89"/>
      <c r="C528" s="86"/>
      <c r="D528" s="71"/>
      <c r="H528" s="90"/>
      <c r="J528" s="53" t="str">
        <f>IFERROR(__xludf.DUMMYFUNCTION("IF(ISBLANK(B528),"""",IF(ISDATE(B528),""X"",""""))"),"")</f>
        <v/>
      </c>
      <c r="K528" s="40" t="str">
        <f>IFERROR(__xludf.DUMMYFUNCTION("IF(ISBLANK(B528),"""",IF(ISDATE(B528),H528,""""))"),"")</f>
        <v/>
      </c>
      <c r="L528" s="40" t="str">
        <f>IFERROR(__xludf.DUMMYFUNCTION("IF(ISBLANK(B528),"""",IF(ISDATE(B528),TEXT(B528,""M""),""""))"),"")</f>
        <v/>
      </c>
      <c r="M528" s="29" t="str">
        <f>IFERROR(__xludf.DUMMYFUNCTION("IF(L528="""","""",QUERY({'Dashboard-Dados'!$Y$2:$AA$13},""Select Col2 Where Col1=""&amp;L528))"),"")</f>
        <v/>
      </c>
      <c r="N528" s="29" t="str">
        <f>IFERROR(__xludf.DUMMYFUNCTION("IF(ISBLANK(B528),"""",IF(ISDATE(B528),TEXT(B528,""yyyy""),""""))"),"")</f>
        <v/>
      </c>
    </row>
    <row r="529">
      <c r="B529" s="87"/>
      <c r="C529" s="85"/>
      <c r="D529" s="76"/>
      <c r="H529" s="88"/>
      <c r="J529" s="53" t="str">
        <f>IFERROR(__xludf.DUMMYFUNCTION("IF(ISBLANK(B529),"""",IF(ISDATE(B529),""X"",""""))"),"")</f>
        <v/>
      </c>
      <c r="K529" s="40" t="str">
        <f>IFERROR(__xludf.DUMMYFUNCTION("IF(ISBLANK(B529),"""",IF(ISDATE(B529),H529,""""))"),"")</f>
        <v/>
      </c>
      <c r="L529" s="40" t="str">
        <f>IFERROR(__xludf.DUMMYFUNCTION("IF(ISBLANK(B529),"""",IF(ISDATE(B529),TEXT(B529,""M""),""""))"),"")</f>
        <v/>
      </c>
      <c r="M529" s="29" t="str">
        <f>IFERROR(__xludf.DUMMYFUNCTION("IF(L529="""","""",QUERY({'Dashboard-Dados'!$Y$2:$AA$13},""Select Col2 Where Col1=""&amp;L529))"),"")</f>
        <v/>
      </c>
      <c r="N529" s="29" t="str">
        <f>IFERROR(__xludf.DUMMYFUNCTION("IF(ISBLANK(B529),"""",IF(ISDATE(B529),TEXT(B529,""yyyy""),""""))"),"")</f>
        <v/>
      </c>
    </row>
    <row r="530">
      <c r="B530" s="89"/>
      <c r="C530" s="86"/>
      <c r="D530" s="71"/>
      <c r="H530" s="90"/>
      <c r="J530" s="53" t="str">
        <f>IFERROR(__xludf.DUMMYFUNCTION("IF(ISBLANK(B530),"""",IF(ISDATE(B530),""X"",""""))"),"")</f>
        <v/>
      </c>
      <c r="K530" s="40" t="str">
        <f>IFERROR(__xludf.DUMMYFUNCTION("IF(ISBLANK(B530),"""",IF(ISDATE(B530),H530,""""))"),"")</f>
        <v/>
      </c>
      <c r="L530" s="40" t="str">
        <f>IFERROR(__xludf.DUMMYFUNCTION("IF(ISBLANK(B530),"""",IF(ISDATE(B530),TEXT(B530,""M""),""""))"),"")</f>
        <v/>
      </c>
      <c r="M530" s="29" t="str">
        <f>IFERROR(__xludf.DUMMYFUNCTION("IF(L530="""","""",QUERY({'Dashboard-Dados'!$Y$2:$AA$13},""Select Col2 Where Col1=""&amp;L530))"),"")</f>
        <v/>
      </c>
      <c r="N530" s="29" t="str">
        <f>IFERROR(__xludf.DUMMYFUNCTION("IF(ISBLANK(B530),"""",IF(ISDATE(B530),TEXT(B530,""yyyy""),""""))"),"")</f>
        <v/>
      </c>
    </row>
    <row r="531">
      <c r="B531" s="87"/>
      <c r="C531" s="85"/>
      <c r="D531" s="76"/>
      <c r="H531" s="88"/>
      <c r="J531" s="53" t="str">
        <f>IFERROR(__xludf.DUMMYFUNCTION("IF(ISBLANK(B531),"""",IF(ISDATE(B531),""X"",""""))"),"")</f>
        <v/>
      </c>
      <c r="K531" s="40" t="str">
        <f>IFERROR(__xludf.DUMMYFUNCTION("IF(ISBLANK(B531),"""",IF(ISDATE(B531),H531,""""))"),"")</f>
        <v/>
      </c>
      <c r="L531" s="40" t="str">
        <f>IFERROR(__xludf.DUMMYFUNCTION("IF(ISBLANK(B531),"""",IF(ISDATE(B531),TEXT(B531,""M""),""""))"),"")</f>
        <v/>
      </c>
      <c r="M531" s="29" t="str">
        <f>IFERROR(__xludf.DUMMYFUNCTION("IF(L531="""","""",QUERY({'Dashboard-Dados'!$Y$2:$AA$13},""Select Col2 Where Col1=""&amp;L531))"),"")</f>
        <v/>
      </c>
      <c r="N531" s="29" t="str">
        <f>IFERROR(__xludf.DUMMYFUNCTION("IF(ISBLANK(B531),"""",IF(ISDATE(B531),TEXT(B531,""yyyy""),""""))"),"")</f>
        <v/>
      </c>
    </row>
    <row r="532">
      <c r="B532" s="89"/>
      <c r="C532" s="86"/>
      <c r="D532" s="71"/>
      <c r="H532" s="90"/>
      <c r="J532" s="53" t="str">
        <f>IFERROR(__xludf.DUMMYFUNCTION("IF(ISBLANK(B532),"""",IF(ISDATE(B532),""X"",""""))"),"")</f>
        <v/>
      </c>
      <c r="K532" s="40" t="str">
        <f>IFERROR(__xludf.DUMMYFUNCTION("IF(ISBLANK(B532),"""",IF(ISDATE(B532),H532,""""))"),"")</f>
        <v/>
      </c>
      <c r="L532" s="40" t="str">
        <f>IFERROR(__xludf.DUMMYFUNCTION("IF(ISBLANK(B532),"""",IF(ISDATE(B532),TEXT(B532,""M""),""""))"),"")</f>
        <v/>
      </c>
      <c r="M532" s="29" t="str">
        <f>IFERROR(__xludf.DUMMYFUNCTION("IF(L532="""","""",QUERY({'Dashboard-Dados'!$Y$2:$AA$13},""Select Col2 Where Col1=""&amp;L532))"),"")</f>
        <v/>
      </c>
      <c r="N532" s="29" t="str">
        <f>IFERROR(__xludf.DUMMYFUNCTION("IF(ISBLANK(B532),"""",IF(ISDATE(B532),TEXT(B532,""yyyy""),""""))"),"")</f>
        <v/>
      </c>
    </row>
    <row r="533">
      <c r="B533" s="87"/>
      <c r="C533" s="85"/>
      <c r="D533" s="76"/>
      <c r="H533" s="88"/>
      <c r="J533" s="53" t="str">
        <f>IFERROR(__xludf.DUMMYFUNCTION("IF(ISBLANK(B533),"""",IF(ISDATE(B533),""X"",""""))"),"")</f>
        <v/>
      </c>
      <c r="K533" s="40" t="str">
        <f>IFERROR(__xludf.DUMMYFUNCTION("IF(ISBLANK(B533),"""",IF(ISDATE(B533),H533,""""))"),"")</f>
        <v/>
      </c>
      <c r="L533" s="40" t="str">
        <f>IFERROR(__xludf.DUMMYFUNCTION("IF(ISBLANK(B533),"""",IF(ISDATE(B533),TEXT(B533,""M""),""""))"),"")</f>
        <v/>
      </c>
      <c r="M533" s="29" t="str">
        <f>IFERROR(__xludf.DUMMYFUNCTION("IF(L533="""","""",QUERY({'Dashboard-Dados'!$Y$2:$AA$13},""Select Col2 Where Col1=""&amp;L533))"),"")</f>
        <v/>
      </c>
      <c r="N533" s="29" t="str">
        <f>IFERROR(__xludf.DUMMYFUNCTION("IF(ISBLANK(B533),"""",IF(ISDATE(B533),TEXT(B533,""yyyy""),""""))"),"")</f>
        <v/>
      </c>
    </row>
    <row r="534">
      <c r="B534" s="89"/>
      <c r="C534" s="86"/>
      <c r="D534" s="71"/>
      <c r="H534" s="90"/>
      <c r="J534" s="53" t="str">
        <f>IFERROR(__xludf.DUMMYFUNCTION("IF(ISBLANK(B534),"""",IF(ISDATE(B534),""X"",""""))"),"")</f>
        <v/>
      </c>
      <c r="K534" s="40" t="str">
        <f>IFERROR(__xludf.DUMMYFUNCTION("IF(ISBLANK(B534),"""",IF(ISDATE(B534),H534,""""))"),"")</f>
        <v/>
      </c>
      <c r="L534" s="40" t="str">
        <f>IFERROR(__xludf.DUMMYFUNCTION("IF(ISBLANK(B534),"""",IF(ISDATE(B534),TEXT(B534,""M""),""""))"),"")</f>
        <v/>
      </c>
      <c r="M534" s="29" t="str">
        <f>IFERROR(__xludf.DUMMYFUNCTION("IF(L534="""","""",QUERY({'Dashboard-Dados'!$Y$2:$AA$13},""Select Col2 Where Col1=""&amp;L534))"),"")</f>
        <v/>
      </c>
      <c r="N534" s="29" t="str">
        <f>IFERROR(__xludf.DUMMYFUNCTION("IF(ISBLANK(B534),"""",IF(ISDATE(B534),TEXT(B534,""yyyy""),""""))"),"")</f>
        <v/>
      </c>
    </row>
    <row r="535">
      <c r="B535" s="87"/>
      <c r="C535" s="85"/>
      <c r="D535" s="76"/>
      <c r="H535" s="88"/>
      <c r="J535" s="53" t="str">
        <f>IFERROR(__xludf.DUMMYFUNCTION("IF(ISBLANK(B535),"""",IF(ISDATE(B535),""X"",""""))"),"")</f>
        <v/>
      </c>
      <c r="K535" s="40" t="str">
        <f>IFERROR(__xludf.DUMMYFUNCTION("IF(ISBLANK(B535),"""",IF(ISDATE(B535),H535,""""))"),"")</f>
        <v/>
      </c>
      <c r="L535" s="40" t="str">
        <f>IFERROR(__xludf.DUMMYFUNCTION("IF(ISBLANK(B535),"""",IF(ISDATE(B535),TEXT(B535,""M""),""""))"),"")</f>
        <v/>
      </c>
      <c r="M535" s="29" t="str">
        <f>IFERROR(__xludf.DUMMYFUNCTION("IF(L535="""","""",QUERY({'Dashboard-Dados'!$Y$2:$AA$13},""Select Col2 Where Col1=""&amp;L535))"),"")</f>
        <v/>
      </c>
      <c r="N535" s="29" t="str">
        <f>IFERROR(__xludf.DUMMYFUNCTION("IF(ISBLANK(B535),"""",IF(ISDATE(B535),TEXT(B535,""yyyy""),""""))"),"")</f>
        <v/>
      </c>
    </row>
    <row r="536">
      <c r="B536" s="89"/>
      <c r="C536" s="86"/>
      <c r="D536" s="71"/>
      <c r="H536" s="90"/>
      <c r="J536" s="53" t="str">
        <f>IFERROR(__xludf.DUMMYFUNCTION("IF(ISBLANK(B536),"""",IF(ISDATE(B536),""X"",""""))"),"")</f>
        <v/>
      </c>
      <c r="K536" s="40" t="str">
        <f>IFERROR(__xludf.DUMMYFUNCTION("IF(ISBLANK(B536),"""",IF(ISDATE(B536),H536,""""))"),"")</f>
        <v/>
      </c>
      <c r="L536" s="40" t="str">
        <f>IFERROR(__xludf.DUMMYFUNCTION("IF(ISBLANK(B536),"""",IF(ISDATE(B536),TEXT(B536,""M""),""""))"),"")</f>
        <v/>
      </c>
      <c r="M536" s="29" t="str">
        <f>IFERROR(__xludf.DUMMYFUNCTION("IF(L536="""","""",QUERY({'Dashboard-Dados'!$Y$2:$AA$13},""Select Col2 Where Col1=""&amp;L536))"),"")</f>
        <v/>
      </c>
      <c r="N536" s="29" t="str">
        <f>IFERROR(__xludf.DUMMYFUNCTION("IF(ISBLANK(B536),"""",IF(ISDATE(B536),TEXT(B536,""yyyy""),""""))"),"")</f>
        <v/>
      </c>
    </row>
    <row r="537">
      <c r="B537" s="87"/>
      <c r="C537" s="85"/>
      <c r="D537" s="76"/>
      <c r="H537" s="88"/>
      <c r="J537" s="53" t="str">
        <f>IFERROR(__xludf.DUMMYFUNCTION("IF(ISBLANK(B537),"""",IF(ISDATE(B537),""X"",""""))"),"")</f>
        <v/>
      </c>
      <c r="K537" s="40" t="str">
        <f>IFERROR(__xludf.DUMMYFUNCTION("IF(ISBLANK(B537),"""",IF(ISDATE(B537),H537,""""))"),"")</f>
        <v/>
      </c>
      <c r="L537" s="40" t="str">
        <f>IFERROR(__xludf.DUMMYFUNCTION("IF(ISBLANK(B537),"""",IF(ISDATE(B537),TEXT(B537,""M""),""""))"),"")</f>
        <v/>
      </c>
      <c r="M537" s="29" t="str">
        <f>IFERROR(__xludf.DUMMYFUNCTION("IF(L537="""","""",QUERY({'Dashboard-Dados'!$Y$2:$AA$13},""Select Col2 Where Col1=""&amp;L537))"),"")</f>
        <v/>
      </c>
      <c r="N537" s="29" t="str">
        <f>IFERROR(__xludf.DUMMYFUNCTION("IF(ISBLANK(B537),"""",IF(ISDATE(B537),TEXT(B537,""yyyy""),""""))"),"")</f>
        <v/>
      </c>
    </row>
    <row r="538">
      <c r="B538" s="89"/>
      <c r="C538" s="86"/>
      <c r="D538" s="71"/>
      <c r="H538" s="90"/>
      <c r="J538" s="53" t="str">
        <f>IFERROR(__xludf.DUMMYFUNCTION("IF(ISBLANK(B538),"""",IF(ISDATE(B538),""X"",""""))"),"")</f>
        <v/>
      </c>
      <c r="K538" s="40" t="str">
        <f>IFERROR(__xludf.DUMMYFUNCTION("IF(ISBLANK(B538),"""",IF(ISDATE(B538),H538,""""))"),"")</f>
        <v/>
      </c>
      <c r="L538" s="40" t="str">
        <f>IFERROR(__xludf.DUMMYFUNCTION("IF(ISBLANK(B538),"""",IF(ISDATE(B538),TEXT(B538,""M""),""""))"),"")</f>
        <v/>
      </c>
      <c r="M538" s="29" t="str">
        <f>IFERROR(__xludf.DUMMYFUNCTION("IF(L538="""","""",QUERY({'Dashboard-Dados'!$Y$2:$AA$13},""Select Col2 Where Col1=""&amp;L538))"),"")</f>
        <v/>
      </c>
      <c r="N538" s="29" t="str">
        <f>IFERROR(__xludf.DUMMYFUNCTION("IF(ISBLANK(B538),"""",IF(ISDATE(B538),TEXT(B538,""yyyy""),""""))"),"")</f>
        <v/>
      </c>
    </row>
    <row r="539">
      <c r="B539" s="87"/>
      <c r="C539" s="85"/>
      <c r="D539" s="76"/>
      <c r="H539" s="88"/>
      <c r="J539" s="53" t="str">
        <f>IFERROR(__xludf.DUMMYFUNCTION("IF(ISBLANK(B539),"""",IF(ISDATE(B539),""X"",""""))"),"")</f>
        <v/>
      </c>
      <c r="K539" s="40" t="str">
        <f>IFERROR(__xludf.DUMMYFUNCTION("IF(ISBLANK(B539),"""",IF(ISDATE(B539),H539,""""))"),"")</f>
        <v/>
      </c>
      <c r="L539" s="40" t="str">
        <f>IFERROR(__xludf.DUMMYFUNCTION("IF(ISBLANK(B539),"""",IF(ISDATE(B539),TEXT(B539,""M""),""""))"),"")</f>
        <v/>
      </c>
      <c r="M539" s="29" t="str">
        <f>IFERROR(__xludf.DUMMYFUNCTION("IF(L539="""","""",QUERY({'Dashboard-Dados'!$Y$2:$AA$13},""Select Col2 Where Col1=""&amp;L539))"),"")</f>
        <v/>
      </c>
      <c r="N539" s="29" t="str">
        <f>IFERROR(__xludf.DUMMYFUNCTION("IF(ISBLANK(B539),"""",IF(ISDATE(B539),TEXT(B539,""yyyy""),""""))"),"")</f>
        <v/>
      </c>
    </row>
    <row r="540">
      <c r="B540" s="89"/>
      <c r="C540" s="86"/>
      <c r="D540" s="71"/>
      <c r="H540" s="90"/>
      <c r="J540" s="53" t="str">
        <f>IFERROR(__xludf.DUMMYFUNCTION("IF(ISBLANK(B540),"""",IF(ISDATE(B540),""X"",""""))"),"")</f>
        <v/>
      </c>
      <c r="K540" s="40" t="str">
        <f>IFERROR(__xludf.DUMMYFUNCTION("IF(ISBLANK(B540),"""",IF(ISDATE(B540),H540,""""))"),"")</f>
        <v/>
      </c>
      <c r="L540" s="40" t="str">
        <f>IFERROR(__xludf.DUMMYFUNCTION("IF(ISBLANK(B540),"""",IF(ISDATE(B540),TEXT(B540,""M""),""""))"),"")</f>
        <v/>
      </c>
      <c r="M540" s="29" t="str">
        <f>IFERROR(__xludf.DUMMYFUNCTION("IF(L540="""","""",QUERY({'Dashboard-Dados'!$Y$2:$AA$13},""Select Col2 Where Col1=""&amp;L540))"),"")</f>
        <v/>
      </c>
      <c r="N540" s="29" t="str">
        <f>IFERROR(__xludf.DUMMYFUNCTION("IF(ISBLANK(B540),"""",IF(ISDATE(B540),TEXT(B540,""yyyy""),""""))"),"")</f>
        <v/>
      </c>
    </row>
    <row r="541">
      <c r="B541" s="87"/>
      <c r="C541" s="85"/>
      <c r="D541" s="76"/>
      <c r="H541" s="88"/>
      <c r="J541" s="53" t="str">
        <f>IFERROR(__xludf.DUMMYFUNCTION("IF(ISBLANK(B541),"""",IF(ISDATE(B541),""X"",""""))"),"")</f>
        <v/>
      </c>
      <c r="K541" s="40" t="str">
        <f>IFERROR(__xludf.DUMMYFUNCTION("IF(ISBLANK(B541),"""",IF(ISDATE(B541),H541,""""))"),"")</f>
        <v/>
      </c>
      <c r="L541" s="40" t="str">
        <f>IFERROR(__xludf.DUMMYFUNCTION("IF(ISBLANK(B541),"""",IF(ISDATE(B541),TEXT(B541,""M""),""""))"),"")</f>
        <v/>
      </c>
      <c r="M541" s="29" t="str">
        <f>IFERROR(__xludf.DUMMYFUNCTION("IF(L541="""","""",QUERY({'Dashboard-Dados'!$Y$2:$AA$13},""Select Col2 Where Col1=""&amp;L541))"),"")</f>
        <v/>
      </c>
      <c r="N541" s="29" t="str">
        <f>IFERROR(__xludf.DUMMYFUNCTION("IF(ISBLANK(B541),"""",IF(ISDATE(B541),TEXT(B541,""yyyy""),""""))"),"")</f>
        <v/>
      </c>
    </row>
    <row r="542">
      <c r="B542" s="89"/>
      <c r="C542" s="86"/>
      <c r="D542" s="71"/>
      <c r="H542" s="90"/>
      <c r="J542" s="53" t="str">
        <f>IFERROR(__xludf.DUMMYFUNCTION("IF(ISBLANK(B542),"""",IF(ISDATE(B542),""X"",""""))"),"")</f>
        <v/>
      </c>
      <c r="K542" s="40" t="str">
        <f>IFERROR(__xludf.DUMMYFUNCTION("IF(ISBLANK(B542),"""",IF(ISDATE(B542),H542,""""))"),"")</f>
        <v/>
      </c>
      <c r="L542" s="40" t="str">
        <f>IFERROR(__xludf.DUMMYFUNCTION("IF(ISBLANK(B542),"""",IF(ISDATE(B542),TEXT(B542,""M""),""""))"),"")</f>
        <v/>
      </c>
      <c r="M542" s="29" t="str">
        <f>IFERROR(__xludf.DUMMYFUNCTION("IF(L542="""","""",QUERY({'Dashboard-Dados'!$Y$2:$AA$13},""Select Col2 Where Col1=""&amp;L542))"),"")</f>
        <v/>
      </c>
      <c r="N542" s="29" t="str">
        <f>IFERROR(__xludf.DUMMYFUNCTION("IF(ISBLANK(B542),"""",IF(ISDATE(B542),TEXT(B542,""yyyy""),""""))"),"")</f>
        <v/>
      </c>
    </row>
    <row r="543">
      <c r="B543" s="87"/>
      <c r="C543" s="85"/>
      <c r="D543" s="76"/>
      <c r="H543" s="88"/>
      <c r="J543" s="53" t="str">
        <f>IFERROR(__xludf.DUMMYFUNCTION("IF(ISBLANK(B543),"""",IF(ISDATE(B543),""X"",""""))"),"")</f>
        <v/>
      </c>
      <c r="K543" s="40" t="str">
        <f>IFERROR(__xludf.DUMMYFUNCTION("IF(ISBLANK(B543),"""",IF(ISDATE(B543),H543,""""))"),"")</f>
        <v/>
      </c>
      <c r="L543" s="40" t="str">
        <f>IFERROR(__xludf.DUMMYFUNCTION("IF(ISBLANK(B543),"""",IF(ISDATE(B543),TEXT(B543,""M""),""""))"),"")</f>
        <v/>
      </c>
      <c r="M543" s="29" t="str">
        <f>IFERROR(__xludf.DUMMYFUNCTION("IF(L543="""","""",QUERY({'Dashboard-Dados'!$Y$2:$AA$13},""Select Col2 Where Col1=""&amp;L543))"),"")</f>
        <v/>
      </c>
      <c r="N543" s="29" t="str">
        <f>IFERROR(__xludf.DUMMYFUNCTION("IF(ISBLANK(B543),"""",IF(ISDATE(B543),TEXT(B543,""yyyy""),""""))"),"")</f>
        <v/>
      </c>
    </row>
    <row r="544">
      <c r="B544" s="89"/>
      <c r="C544" s="86"/>
      <c r="D544" s="71"/>
      <c r="H544" s="90"/>
      <c r="J544" s="53" t="str">
        <f>IFERROR(__xludf.DUMMYFUNCTION("IF(ISBLANK(B544),"""",IF(ISDATE(B544),""X"",""""))"),"")</f>
        <v/>
      </c>
      <c r="K544" s="40" t="str">
        <f>IFERROR(__xludf.DUMMYFUNCTION("IF(ISBLANK(B544),"""",IF(ISDATE(B544),H544,""""))"),"")</f>
        <v/>
      </c>
      <c r="L544" s="40" t="str">
        <f>IFERROR(__xludf.DUMMYFUNCTION("IF(ISBLANK(B544),"""",IF(ISDATE(B544),TEXT(B544,""M""),""""))"),"")</f>
        <v/>
      </c>
      <c r="M544" s="29" t="str">
        <f>IFERROR(__xludf.DUMMYFUNCTION("IF(L544="""","""",QUERY({'Dashboard-Dados'!$Y$2:$AA$13},""Select Col2 Where Col1=""&amp;L544))"),"")</f>
        <v/>
      </c>
      <c r="N544" s="29" t="str">
        <f>IFERROR(__xludf.DUMMYFUNCTION("IF(ISBLANK(B544),"""",IF(ISDATE(B544),TEXT(B544,""yyyy""),""""))"),"")</f>
        <v/>
      </c>
    </row>
    <row r="545">
      <c r="B545" s="87"/>
      <c r="C545" s="85"/>
      <c r="D545" s="76"/>
      <c r="H545" s="88"/>
      <c r="J545" s="53" t="str">
        <f>IFERROR(__xludf.DUMMYFUNCTION("IF(ISBLANK(B545),"""",IF(ISDATE(B545),""X"",""""))"),"")</f>
        <v/>
      </c>
      <c r="K545" s="40" t="str">
        <f>IFERROR(__xludf.DUMMYFUNCTION("IF(ISBLANK(B545),"""",IF(ISDATE(B545),H545,""""))"),"")</f>
        <v/>
      </c>
      <c r="L545" s="40" t="str">
        <f>IFERROR(__xludf.DUMMYFUNCTION("IF(ISBLANK(B545),"""",IF(ISDATE(B545),TEXT(B545,""M""),""""))"),"")</f>
        <v/>
      </c>
      <c r="M545" s="29" t="str">
        <f>IFERROR(__xludf.DUMMYFUNCTION("IF(L545="""","""",QUERY({'Dashboard-Dados'!$Y$2:$AA$13},""Select Col2 Where Col1=""&amp;L545))"),"")</f>
        <v/>
      </c>
      <c r="N545" s="29" t="str">
        <f>IFERROR(__xludf.DUMMYFUNCTION("IF(ISBLANK(B545),"""",IF(ISDATE(B545),TEXT(B545,""yyyy""),""""))"),"")</f>
        <v/>
      </c>
    </row>
    <row r="546">
      <c r="B546" s="89"/>
      <c r="C546" s="86"/>
      <c r="D546" s="71"/>
      <c r="H546" s="90"/>
      <c r="J546" s="53" t="str">
        <f>IFERROR(__xludf.DUMMYFUNCTION("IF(ISBLANK(B546),"""",IF(ISDATE(B546),""X"",""""))"),"")</f>
        <v/>
      </c>
      <c r="K546" s="40" t="str">
        <f>IFERROR(__xludf.DUMMYFUNCTION("IF(ISBLANK(B546),"""",IF(ISDATE(B546),H546,""""))"),"")</f>
        <v/>
      </c>
      <c r="L546" s="40" t="str">
        <f>IFERROR(__xludf.DUMMYFUNCTION("IF(ISBLANK(B546),"""",IF(ISDATE(B546),TEXT(B546,""M""),""""))"),"")</f>
        <v/>
      </c>
      <c r="M546" s="29" t="str">
        <f>IFERROR(__xludf.DUMMYFUNCTION("IF(L546="""","""",QUERY({'Dashboard-Dados'!$Y$2:$AA$13},""Select Col2 Where Col1=""&amp;L546))"),"")</f>
        <v/>
      </c>
      <c r="N546" s="29" t="str">
        <f>IFERROR(__xludf.DUMMYFUNCTION("IF(ISBLANK(B546),"""",IF(ISDATE(B546),TEXT(B546,""yyyy""),""""))"),"")</f>
        <v/>
      </c>
    </row>
    <row r="547">
      <c r="B547" s="87"/>
      <c r="C547" s="85"/>
      <c r="D547" s="76"/>
      <c r="H547" s="88"/>
      <c r="J547" s="53" t="str">
        <f>IFERROR(__xludf.DUMMYFUNCTION("IF(ISBLANK(B547),"""",IF(ISDATE(B547),""X"",""""))"),"")</f>
        <v/>
      </c>
      <c r="K547" s="40" t="str">
        <f>IFERROR(__xludf.DUMMYFUNCTION("IF(ISBLANK(B547),"""",IF(ISDATE(B547),H547,""""))"),"")</f>
        <v/>
      </c>
      <c r="L547" s="40" t="str">
        <f>IFERROR(__xludf.DUMMYFUNCTION("IF(ISBLANK(B547),"""",IF(ISDATE(B547),TEXT(B547,""M""),""""))"),"")</f>
        <v/>
      </c>
      <c r="M547" s="29" t="str">
        <f>IFERROR(__xludf.DUMMYFUNCTION("IF(L547="""","""",QUERY({'Dashboard-Dados'!$Y$2:$AA$13},""Select Col2 Where Col1=""&amp;L547))"),"")</f>
        <v/>
      </c>
      <c r="N547" s="29" t="str">
        <f>IFERROR(__xludf.DUMMYFUNCTION("IF(ISBLANK(B547),"""",IF(ISDATE(B547),TEXT(B547,""yyyy""),""""))"),"")</f>
        <v/>
      </c>
    </row>
    <row r="548">
      <c r="B548" s="89"/>
      <c r="C548" s="86"/>
      <c r="D548" s="71"/>
      <c r="H548" s="90"/>
      <c r="J548" s="53" t="str">
        <f>IFERROR(__xludf.DUMMYFUNCTION("IF(ISBLANK(B548),"""",IF(ISDATE(B548),""X"",""""))"),"")</f>
        <v/>
      </c>
      <c r="K548" s="40" t="str">
        <f>IFERROR(__xludf.DUMMYFUNCTION("IF(ISBLANK(B548),"""",IF(ISDATE(B548),H548,""""))"),"")</f>
        <v/>
      </c>
      <c r="L548" s="40" t="str">
        <f>IFERROR(__xludf.DUMMYFUNCTION("IF(ISBLANK(B548),"""",IF(ISDATE(B548),TEXT(B548,""M""),""""))"),"")</f>
        <v/>
      </c>
      <c r="M548" s="29" t="str">
        <f>IFERROR(__xludf.DUMMYFUNCTION("IF(L548="""","""",QUERY({'Dashboard-Dados'!$Y$2:$AA$13},""Select Col2 Where Col1=""&amp;L548))"),"")</f>
        <v/>
      </c>
      <c r="N548" s="29" t="str">
        <f>IFERROR(__xludf.DUMMYFUNCTION("IF(ISBLANK(B548),"""",IF(ISDATE(B548),TEXT(B548,""yyyy""),""""))"),"")</f>
        <v/>
      </c>
    </row>
    <row r="549">
      <c r="B549" s="87"/>
      <c r="C549" s="85"/>
      <c r="D549" s="76"/>
      <c r="H549" s="88"/>
      <c r="J549" s="53" t="str">
        <f>IFERROR(__xludf.DUMMYFUNCTION("IF(ISBLANK(B549),"""",IF(ISDATE(B549),""X"",""""))"),"")</f>
        <v/>
      </c>
      <c r="K549" s="40" t="str">
        <f>IFERROR(__xludf.DUMMYFUNCTION("IF(ISBLANK(B549),"""",IF(ISDATE(B549),H549,""""))"),"")</f>
        <v/>
      </c>
      <c r="L549" s="40" t="str">
        <f>IFERROR(__xludf.DUMMYFUNCTION("IF(ISBLANK(B549),"""",IF(ISDATE(B549),TEXT(B549,""M""),""""))"),"")</f>
        <v/>
      </c>
      <c r="M549" s="29" t="str">
        <f>IFERROR(__xludf.DUMMYFUNCTION("IF(L549="""","""",QUERY({'Dashboard-Dados'!$Y$2:$AA$13},""Select Col2 Where Col1=""&amp;L549))"),"")</f>
        <v/>
      </c>
      <c r="N549" s="29" t="str">
        <f>IFERROR(__xludf.DUMMYFUNCTION("IF(ISBLANK(B549),"""",IF(ISDATE(B549),TEXT(B549,""yyyy""),""""))"),"")</f>
        <v/>
      </c>
    </row>
    <row r="550">
      <c r="B550" s="89"/>
      <c r="C550" s="86"/>
      <c r="D550" s="71"/>
      <c r="H550" s="90"/>
      <c r="J550" s="53" t="str">
        <f>IFERROR(__xludf.DUMMYFUNCTION("IF(ISBLANK(B550),"""",IF(ISDATE(B550),""X"",""""))"),"")</f>
        <v/>
      </c>
      <c r="K550" s="40" t="str">
        <f>IFERROR(__xludf.DUMMYFUNCTION("IF(ISBLANK(B550),"""",IF(ISDATE(B550),H550,""""))"),"")</f>
        <v/>
      </c>
      <c r="L550" s="40" t="str">
        <f>IFERROR(__xludf.DUMMYFUNCTION("IF(ISBLANK(B550),"""",IF(ISDATE(B550),TEXT(B550,""M""),""""))"),"")</f>
        <v/>
      </c>
      <c r="M550" s="29" t="str">
        <f>IFERROR(__xludf.DUMMYFUNCTION("IF(L550="""","""",QUERY({'Dashboard-Dados'!$Y$2:$AA$13},""Select Col2 Where Col1=""&amp;L550))"),"")</f>
        <v/>
      </c>
      <c r="N550" s="29" t="str">
        <f>IFERROR(__xludf.DUMMYFUNCTION("IF(ISBLANK(B550),"""",IF(ISDATE(B550),TEXT(B550,""yyyy""),""""))"),"")</f>
        <v/>
      </c>
    </row>
    <row r="551">
      <c r="B551" s="87"/>
      <c r="C551" s="85"/>
      <c r="D551" s="76"/>
      <c r="H551" s="88"/>
      <c r="J551" s="53" t="str">
        <f>IFERROR(__xludf.DUMMYFUNCTION("IF(ISBLANK(B551),"""",IF(ISDATE(B551),""X"",""""))"),"")</f>
        <v/>
      </c>
      <c r="K551" s="40" t="str">
        <f>IFERROR(__xludf.DUMMYFUNCTION("IF(ISBLANK(B551),"""",IF(ISDATE(B551),H551,""""))"),"")</f>
        <v/>
      </c>
      <c r="L551" s="40" t="str">
        <f>IFERROR(__xludf.DUMMYFUNCTION("IF(ISBLANK(B551),"""",IF(ISDATE(B551),TEXT(B551,""M""),""""))"),"")</f>
        <v/>
      </c>
      <c r="M551" s="29" t="str">
        <f>IFERROR(__xludf.DUMMYFUNCTION("IF(L551="""","""",QUERY({'Dashboard-Dados'!$Y$2:$AA$13},""Select Col2 Where Col1=""&amp;L551))"),"")</f>
        <v/>
      </c>
      <c r="N551" s="29" t="str">
        <f>IFERROR(__xludf.DUMMYFUNCTION("IF(ISBLANK(B551),"""",IF(ISDATE(B551),TEXT(B551,""yyyy""),""""))"),"")</f>
        <v/>
      </c>
    </row>
    <row r="552">
      <c r="B552" s="89"/>
      <c r="C552" s="86"/>
      <c r="D552" s="71"/>
      <c r="H552" s="90"/>
      <c r="J552" s="53" t="str">
        <f>IFERROR(__xludf.DUMMYFUNCTION("IF(ISBLANK(B552),"""",IF(ISDATE(B552),""X"",""""))"),"")</f>
        <v/>
      </c>
      <c r="K552" s="40" t="str">
        <f>IFERROR(__xludf.DUMMYFUNCTION("IF(ISBLANK(B552),"""",IF(ISDATE(B552),H552,""""))"),"")</f>
        <v/>
      </c>
      <c r="L552" s="40" t="str">
        <f>IFERROR(__xludf.DUMMYFUNCTION("IF(ISBLANK(B552),"""",IF(ISDATE(B552),TEXT(B552,""M""),""""))"),"")</f>
        <v/>
      </c>
      <c r="M552" s="29" t="str">
        <f>IFERROR(__xludf.DUMMYFUNCTION("IF(L552="""","""",QUERY({'Dashboard-Dados'!$Y$2:$AA$13},""Select Col2 Where Col1=""&amp;L552))"),"")</f>
        <v/>
      </c>
      <c r="N552" s="29" t="str">
        <f>IFERROR(__xludf.DUMMYFUNCTION("IF(ISBLANK(B552),"""",IF(ISDATE(B552),TEXT(B552,""yyyy""),""""))"),"")</f>
        <v/>
      </c>
    </row>
    <row r="553">
      <c r="B553" s="87"/>
      <c r="C553" s="85"/>
      <c r="D553" s="76"/>
      <c r="H553" s="88"/>
      <c r="J553" s="53" t="str">
        <f>IFERROR(__xludf.DUMMYFUNCTION("IF(ISBLANK(B553),"""",IF(ISDATE(B553),""X"",""""))"),"")</f>
        <v/>
      </c>
      <c r="K553" s="40" t="str">
        <f>IFERROR(__xludf.DUMMYFUNCTION("IF(ISBLANK(B553),"""",IF(ISDATE(B553),H553,""""))"),"")</f>
        <v/>
      </c>
      <c r="L553" s="40" t="str">
        <f>IFERROR(__xludf.DUMMYFUNCTION("IF(ISBLANK(B553),"""",IF(ISDATE(B553),TEXT(B553,""M""),""""))"),"")</f>
        <v/>
      </c>
      <c r="M553" s="29" t="str">
        <f>IFERROR(__xludf.DUMMYFUNCTION("IF(L553="""","""",QUERY({'Dashboard-Dados'!$Y$2:$AA$13},""Select Col2 Where Col1=""&amp;L553))"),"")</f>
        <v/>
      </c>
      <c r="N553" s="29" t="str">
        <f>IFERROR(__xludf.DUMMYFUNCTION("IF(ISBLANK(B553),"""",IF(ISDATE(B553),TEXT(B553,""yyyy""),""""))"),"")</f>
        <v/>
      </c>
    </row>
    <row r="554">
      <c r="B554" s="89"/>
      <c r="C554" s="86"/>
      <c r="D554" s="71"/>
      <c r="H554" s="90"/>
      <c r="J554" s="53" t="str">
        <f>IFERROR(__xludf.DUMMYFUNCTION("IF(ISBLANK(B554),"""",IF(ISDATE(B554),""X"",""""))"),"")</f>
        <v/>
      </c>
      <c r="K554" s="40" t="str">
        <f>IFERROR(__xludf.DUMMYFUNCTION("IF(ISBLANK(B554),"""",IF(ISDATE(B554),H554,""""))"),"")</f>
        <v/>
      </c>
      <c r="L554" s="40" t="str">
        <f>IFERROR(__xludf.DUMMYFUNCTION("IF(ISBLANK(B554),"""",IF(ISDATE(B554),TEXT(B554,""M""),""""))"),"")</f>
        <v/>
      </c>
      <c r="M554" s="29" t="str">
        <f>IFERROR(__xludf.DUMMYFUNCTION("IF(L554="""","""",QUERY({'Dashboard-Dados'!$Y$2:$AA$13},""Select Col2 Where Col1=""&amp;L554))"),"")</f>
        <v/>
      </c>
      <c r="N554" s="29" t="str">
        <f>IFERROR(__xludf.DUMMYFUNCTION("IF(ISBLANK(B554),"""",IF(ISDATE(B554),TEXT(B554,""yyyy""),""""))"),"")</f>
        <v/>
      </c>
    </row>
    <row r="555">
      <c r="B555" s="87"/>
      <c r="C555" s="85"/>
      <c r="D555" s="76"/>
      <c r="H555" s="88"/>
      <c r="J555" s="53" t="str">
        <f>IFERROR(__xludf.DUMMYFUNCTION("IF(ISBLANK(B555),"""",IF(ISDATE(B555),""X"",""""))"),"")</f>
        <v/>
      </c>
      <c r="K555" s="40" t="str">
        <f>IFERROR(__xludf.DUMMYFUNCTION("IF(ISBLANK(B555),"""",IF(ISDATE(B555),H555,""""))"),"")</f>
        <v/>
      </c>
      <c r="L555" s="40" t="str">
        <f>IFERROR(__xludf.DUMMYFUNCTION("IF(ISBLANK(B555),"""",IF(ISDATE(B555),TEXT(B555,""M""),""""))"),"")</f>
        <v/>
      </c>
      <c r="M555" s="29" t="str">
        <f>IFERROR(__xludf.DUMMYFUNCTION("IF(L555="""","""",QUERY({'Dashboard-Dados'!$Y$2:$AA$13},""Select Col2 Where Col1=""&amp;L555))"),"")</f>
        <v/>
      </c>
      <c r="N555" s="29" t="str">
        <f>IFERROR(__xludf.DUMMYFUNCTION("IF(ISBLANK(B555),"""",IF(ISDATE(B555),TEXT(B555,""yyyy""),""""))"),"")</f>
        <v/>
      </c>
    </row>
    <row r="556">
      <c r="B556" s="89"/>
      <c r="C556" s="86"/>
      <c r="D556" s="71"/>
      <c r="H556" s="90"/>
      <c r="J556" s="53" t="str">
        <f>IFERROR(__xludf.DUMMYFUNCTION("IF(ISBLANK(B556),"""",IF(ISDATE(B556),""X"",""""))"),"")</f>
        <v/>
      </c>
      <c r="K556" s="40" t="str">
        <f>IFERROR(__xludf.DUMMYFUNCTION("IF(ISBLANK(B556),"""",IF(ISDATE(B556),H556,""""))"),"")</f>
        <v/>
      </c>
      <c r="L556" s="40" t="str">
        <f>IFERROR(__xludf.DUMMYFUNCTION("IF(ISBLANK(B556),"""",IF(ISDATE(B556),TEXT(B556,""M""),""""))"),"")</f>
        <v/>
      </c>
      <c r="M556" s="29" t="str">
        <f>IFERROR(__xludf.DUMMYFUNCTION("IF(L556="""","""",QUERY({'Dashboard-Dados'!$Y$2:$AA$13},""Select Col2 Where Col1=""&amp;L556))"),"")</f>
        <v/>
      </c>
      <c r="N556" s="29" t="str">
        <f>IFERROR(__xludf.DUMMYFUNCTION("IF(ISBLANK(B556),"""",IF(ISDATE(B556),TEXT(B556,""yyyy""),""""))"),"")</f>
        <v/>
      </c>
    </row>
    <row r="557">
      <c r="B557" s="87"/>
      <c r="C557" s="85"/>
      <c r="D557" s="76"/>
      <c r="H557" s="88"/>
      <c r="J557" s="53" t="str">
        <f>IFERROR(__xludf.DUMMYFUNCTION("IF(ISBLANK(B557),"""",IF(ISDATE(B557),""X"",""""))"),"")</f>
        <v/>
      </c>
      <c r="K557" s="40" t="str">
        <f>IFERROR(__xludf.DUMMYFUNCTION("IF(ISBLANK(B557),"""",IF(ISDATE(B557),H557,""""))"),"")</f>
        <v/>
      </c>
      <c r="L557" s="40" t="str">
        <f>IFERROR(__xludf.DUMMYFUNCTION("IF(ISBLANK(B557),"""",IF(ISDATE(B557),TEXT(B557,""M""),""""))"),"")</f>
        <v/>
      </c>
      <c r="M557" s="29" t="str">
        <f>IFERROR(__xludf.DUMMYFUNCTION("IF(L557="""","""",QUERY({'Dashboard-Dados'!$Y$2:$AA$13},""Select Col2 Where Col1=""&amp;L557))"),"")</f>
        <v/>
      </c>
      <c r="N557" s="29" t="str">
        <f>IFERROR(__xludf.DUMMYFUNCTION("IF(ISBLANK(B557),"""",IF(ISDATE(B557),TEXT(B557,""yyyy""),""""))"),"")</f>
        <v/>
      </c>
    </row>
    <row r="558">
      <c r="B558" s="89"/>
      <c r="C558" s="86"/>
      <c r="D558" s="71"/>
      <c r="H558" s="90"/>
      <c r="J558" s="53" t="str">
        <f>IFERROR(__xludf.DUMMYFUNCTION("IF(ISBLANK(B558),"""",IF(ISDATE(B558),""X"",""""))"),"")</f>
        <v/>
      </c>
      <c r="K558" s="40" t="str">
        <f>IFERROR(__xludf.DUMMYFUNCTION("IF(ISBLANK(B558),"""",IF(ISDATE(B558),H558,""""))"),"")</f>
        <v/>
      </c>
      <c r="L558" s="40" t="str">
        <f>IFERROR(__xludf.DUMMYFUNCTION("IF(ISBLANK(B558),"""",IF(ISDATE(B558),TEXT(B558,""M""),""""))"),"")</f>
        <v/>
      </c>
      <c r="M558" s="29" t="str">
        <f>IFERROR(__xludf.DUMMYFUNCTION("IF(L558="""","""",QUERY({'Dashboard-Dados'!$Y$2:$AA$13},""Select Col2 Where Col1=""&amp;L558))"),"")</f>
        <v/>
      </c>
      <c r="N558" s="29" t="str">
        <f>IFERROR(__xludf.DUMMYFUNCTION("IF(ISBLANK(B558),"""",IF(ISDATE(B558),TEXT(B558,""yyyy""),""""))"),"")</f>
        <v/>
      </c>
    </row>
    <row r="559">
      <c r="B559" s="87"/>
      <c r="C559" s="85"/>
      <c r="D559" s="76"/>
      <c r="H559" s="88"/>
      <c r="J559" s="53" t="str">
        <f>IFERROR(__xludf.DUMMYFUNCTION("IF(ISBLANK(B559),"""",IF(ISDATE(B559),""X"",""""))"),"")</f>
        <v/>
      </c>
      <c r="K559" s="40" t="str">
        <f>IFERROR(__xludf.DUMMYFUNCTION("IF(ISBLANK(B559),"""",IF(ISDATE(B559),H559,""""))"),"")</f>
        <v/>
      </c>
      <c r="L559" s="40" t="str">
        <f>IFERROR(__xludf.DUMMYFUNCTION("IF(ISBLANK(B559),"""",IF(ISDATE(B559),TEXT(B559,""M""),""""))"),"")</f>
        <v/>
      </c>
      <c r="M559" s="29" t="str">
        <f>IFERROR(__xludf.DUMMYFUNCTION("IF(L559="""","""",QUERY({'Dashboard-Dados'!$Y$2:$AA$13},""Select Col2 Where Col1=""&amp;L559))"),"")</f>
        <v/>
      </c>
      <c r="N559" s="29" t="str">
        <f>IFERROR(__xludf.DUMMYFUNCTION("IF(ISBLANK(B559),"""",IF(ISDATE(B559),TEXT(B559,""yyyy""),""""))"),"")</f>
        <v/>
      </c>
    </row>
    <row r="560">
      <c r="B560" s="89"/>
      <c r="C560" s="86"/>
      <c r="D560" s="71"/>
      <c r="H560" s="90"/>
      <c r="J560" s="53" t="str">
        <f>IFERROR(__xludf.DUMMYFUNCTION("IF(ISBLANK(B560),"""",IF(ISDATE(B560),""X"",""""))"),"")</f>
        <v/>
      </c>
      <c r="K560" s="40" t="str">
        <f>IFERROR(__xludf.DUMMYFUNCTION("IF(ISBLANK(B560),"""",IF(ISDATE(B560),H560,""""))"),"")</f>
        <v/>
      </c>
      <c r="L560" s="40" t="str">
        <f>IFERROR(__xludf.DUMMYFUNCTION("IF(ISBLANK(B560),"""",IF(ISDATE(B560),TEXT(B560,""M""),""""))"),"")</f>
        <v/>
      </c>
      <c r="M560" s="29" t="str">
        <f>IFERROR(__xludf.DUMMYFUNCTION("IF(L560="""","""",QUERY({'Dashboard-Dados'!$Y$2:$AA$13},""Select Col2 Where Col1=""&amp;L560))"),"")</f>
        <v/>
      </c>
      <c r="N560" s="29" t="str">
        <f>IFERROR(__xludf.DUMMYFUNCTION("IF(ISBLANK(B560),"""",IF(ISDATE(B560),TEXT(B560,""yyyy""),""""))"),"")</f>
        <v/>
      </c>
    </row>
    <row r="561">
      <c r="B561" s="87"/>
      <c r="C561" s="85"/>
      <c r="D561" s="76"/>
      <c r="H561" s="88"/>
      <c r="J561" s="53" t="str">
        <f>IFERROR(__xludf.DUMMYFUNCTION("IF(ISBLANK(B561),"""",IF(ISDATE(B561),""X"",""""))"),"")</f>
        <v/>
      </c>
      <c r="K561" s="40" t="str">
        <f>IFERROR(__xludf.DUMMYFUNCTION("IF(ISBLANK(B561),"""",IF(ISDATE(B561),H561,""""))"),"")</f>
        <v/>
      </c>
      <c r="L561" s="40" t="str">
        <f>IFERROR(__xludf.DUMMYFUNCTION("IF(ISBLANK(B561),"""",IF(ISDATE(B561),TEXT(B561,""M""),""""))"),"")</f>
        <v/>
      </c>
      <c r="M561" s="29" t="str">
        <f>IFERROR(__xludf.DUMMYFUNCTION("IF(L561="""","""",QUERY({'Dashboard-Dados'!$Y$2:$AA$13},""Select Col2 Where Col1=""&amp;L561))"),"")</f>
        <v/>
      </c>
      <c r="N561" s="29" t="str">
        <f>IFERROR(__xludf.DUMMYFUNCTION("IF(ISBLANK(B561),"""",IF(ISDATE(B561),TEXT(B561,""yyyy""),""""))"),"")</f>
        <v/>
      </c>
    </row>
    <row r="562">
      <c r="B562" s="89"/>
      <c r="C562" s="86"/>
      <c r="D562" s="71"/>
      <c r="H562" s="90"/>
      <c r="J562" s="53" t="str">
        <f>IFERROR(__xludf.DUMMYFUNCTION("IF(ISBLANK(B562),"""",IF(ISDATE(B562),""X"",""""))"),"")</f>
        <v/>
      </c>
      <c r="K562" s="40" t="str">
        <f>IFERROR(__xludf.DUMMYFUNCTION("IF(ISBLANK(B562),"""",IF(ISDATE(B562),H562,""""))"),"")</f>
        <v/>
      </c>
      <c r="L562" s="40" t="str">
        <f>IFERROR(__xludf.DUMMYFUNCTION("IF(ISBLANK(B562),"""",IF(ISDATE(B562),TEXT(B562,""M""),""""))"),"")</f>
        <v/>
      </c>
      <c r="M562" s="29" t="str">
        <f>IFERROR(__xludf.DUMMYFUNCTION("IF(L562="""","""",QUERY({'Dashboard-Dados'!$Y$2:$AA$13},""Select Col2 Where Col1=""&amp;L562))"),"")</f>
        <v/>
      </c>
      <c r="N562" s="29" t="str">
        <f>IFERROR(__xludf.DUMMYFUNCTION("IF(ISBLANK(B562),"""",IF(ISDATE(B562),TEXT(B562,""yyyy""),""""))"),"")</f>
        <v/>
      </c>
    </row>
    <row r="563">
      <c r="B563" s="87"/>
      <c r="C563" s="85"/>
      <c r="D563" s="76"/>
      <c r="H563" s="88"/>
      <c r="J563" s="53" t="str">
        <f>IFERROR(__xludf.DUMMYFUNCTION("IF(ISBLANK(B563),"""",IF(ISDATE(B563),""X"",""""))"),"")</f>
        <v/>
      </c>
      <c r="K563" s="40" t="str">
        <f>IFERROR(__xludf.DUMMYFUNCTION("IF(ISBLANK(B563),"""",IF(ISDATE(B563),H563,""""))"),"")</f>
        <v/>
      </c>
      <c r="L563" s="40" t="str">
        <f>IFERROR(__xludf.DUMMYFUNCTION("IF(ISBLANK(B563),"""",IF(ISDATE(B563),TEXT(B563,""M""),""""))"),"")</f>
        <v/>
      </c>
      <c r="M563" s="29" t="str">
        <f>IFERROR(__xludf.DUMMYFUNCTION("IF(L563="""","""",QUERY({'Dashboard-Dados'!$Y$2:$AA$13},""Select Col2 Where Col1=""&amp;L563))"),"")</f>
        <v/>
      </c>
      <c r="N563" s="29" t="str">
        <f>IFERROR(__xludf.DUMMYFUNCTION("IF(ISBLANK(B563),"""",IF(ISDATE(B563),TEXT(B563,""yyyy""),""""))"),"")</f>
        <v/>
      </c>
    </row>
    <row r="564">
      <c r="B564" s="89"/>
      <c r="C564" s="86"/>
      <c r="D564" s="71"/>
      <c r="H564" s="90"/>
      <c r="J564" s="53" t="str">
        <f>IFERROR(__xludf.DUMMYFUNCTION("IF(ISBLANK(B564),"""",IF(ISDATE(B564),""X"",""""))"),"")</f>
        <v/>
      </c>
      <c r="K564" s="40" t="str">
        <f>IFERROR(__xludf.DUMMYFUNCTION("IF(ISBLANK(B564),"""",IF(ISDATE(B564),H564,""""))"),"")</f>
        <v/>
      </c>
      <c r="L564" s="40" t="str">
        <f>IFERROR(__xludf.DUMMYFUNCTION("IF(ISBLANK(B564),"""",IF(ISDATE(B564),TEXT(B564,""M""),""""))"),"")</f>
        <v/>
      </c>
      <c r="M564" s="29" t="str">
        <f>IFERROR(__xludf.DUMMYFUNCTION("IF(L564="""","""",QUERY({'Dashboard-Dados'!$Y$2:$AA$13},""Select Col2 Where Col1=""&amp;L564))"),"")</f>
        <v/>
      </c>
      <c r="N564" s="29" t="str">
        <f>IFERROR(__xludf.DUMMYFUNCTION("IF(ISBLANK(B564),"""",IF(ISDATE(B564),TEXT(B564,""yyyy""),""""))"),"")</f>
        <v/>
      </c>
    </row>
    <row r="565">
      <c r="B565" s="87"/>
      <c r="C565" s="85"/>
      <c r="D565" s="76"/>
      <c r="H565" s="88"/>
      <c r="J565" s="53" t="str">
        <f>IFERROR(__xludf.DUMMYFUNCTION("IF(ISBLANK(B565),"""",IF(ISDATE(B565),""X"",""""))"),"")</f>
        <v/>
      </c>
      <c r="K565" s="40" t="str">
        <f>IFERROR(__xludf.DUMMYFUNCTION("IF(ISBLANK(B565),"""",IF(ISDATE(B565),H565,""""))"),"")</f>
        <v/>
      </c>
      <c r="L565" s="40" t="str">
        <f>IFERROR(__xludf.DUMMYFUNCTION("IF(ISBLANK(B565),"""",IF(ISDATE(B565),TEXT(B565,""M""),""""))"),"")</f>
        <v/>
      </c>
      <c r="M565" s="29" t="str">
        <f>IFERROR(__xludf.DUMMYFUNCTION("IF(L565="""","""",QUERY({'Dashboard-Dados'!$Y$2:$AA$13},""Select Col2 Where Col1=""&amp;L565))"),"")</f>
        <v/>
      </c>
      <c r="N565" s="29" t="str">
        <f>IFERROR(__xludf.DUMMYFUNCTION("IF(ISBLANK(B565),"""",IF(ISDATE(B565),TEXT(B565,""yyyy""),""""))"),"")</f>
        <v/>
      </c>
    </row>
    <row r="566">
      <c r="B566" s="89"/>
      <c r="C566" s="86"/>
      <c r="D566" s="71"/>
      <c r="H566" s="90"/>
      <c r="J566" s="53" t="str">
        <f>IFERROR(__xludf.DUMMYFUNCTION("IF(ISBLANK(B566),"""",IF(ISDATE(B566),""X"",""""))"),"")</f>
        <v/>
      </c>
      <c r="K566" s="40" t="str">
        <f>IFERROR(__xludf.DUMMYFUNCTION("IF(ISBLANK(B566),"""",IF(ISDATE(B566),H566,""""))"),"")</f>
        <v/>
      </c>
      <c r="L566" s="40" t="str">
        <f>IFERROR(__xludf.DUMMYFUNCTION("IF(ISBLANK(B566),"""",IF(ISDATE(B566),TEXT(B566,""M""),""""))"),"")</f>
        <v/>
      </c>
      <c r="M566" s="29" t="str">
        <f>IFERROR(__xludf.DUMMYFUNCTION("IF(L566="""","""",QUERY({'Dashboard-Dados'!$Y$2:$AA$13},""Select Col2 Where Col1=""&amp;L566))"),"")</f>
        <v/>
      </c>
      <c r="N566" s="29" t="str">
        <f>IFERROR(__xludf.DUMMYFUNCTION("IF(ISBLANK(B566),"""",IF(ISDATE(B566),TEXT(B566,""yyyy""),""""))"),"")</f>
        <v/>
      </c>
    </row>
    <row r="567">
      <c r="B567" s="87"/>
      <c r="C567" s="85"/>
      <c r="D567" s="76"/>
      <c r="H567" s="88"/>
      <c r="J567" s="53" t="str">
        <f>IFERROR(__xludf.DUMMYFUNCTION("IF(ISBLANK(B567),"""",IF(ISDATE(B567),""X"",""""))"),"")</f>
        <v/>
      </c>
      <c r="K567" s="40" t="str">
        <f>IFERROR(__xludf.DUMMYFUNCTION("IF(ISBLANK(B567),"""",IF(ISDATE(B567),H567,""""))"),"")</f>
        <v/>
      </c>
      <c r="L567" s="40" t="str">
        <f>IFERROR(__xludf.DUMMYFUNCTION("IF(ISBLANK(B567),"""",IF(ISDATE(B567),TEXT(B567,""M""),""""))"),"")</f>
        <v/>
      </c>
      <c r="M567" s="29" t="str">
        <f>IFERROR(__xludf.DUMMYFUNCTION("IF(L567="""","""",QUERY({'Dashboard-Dados'!$Y$2:$AA$13},""Select Col2 Where Col1=""&amp;L567))"),"")</f>
        <v/>
      </c>
      <c r="N567" s="29" t="str">
        <f>IFERROR(__xludf.DUMMYFUNCTION("IF(ISBLANK(B567),"""",IF(ISDATE(B567),TEXT(B567,""yyyy""),""""))"),"")</f>
        <v/>
      </c>
    </row>
    <row r="568">
      <c r="B568" s="89"/>
      <c r="C568" s="86"/>
      <c r="D568" s="71"/>
      <c r="H568" s="90"/>
      <c r="J568" s="53" t="str">
        <f>IFERROR(__xludf.DUMMYFUNCTION("IF(ISBLANK(B568),"""",IF(ISDATE(B568),""X"",""""))"),"")</f>
        <v/>
      </c>
      <c r="K568" s="40" t="str">
        <f>IFERROR(__xludf.DUMMYFUNCTION("IF(ISBLANK(B568),"""",IF(ISDATE(B568),H568,""""))"),"")</f>
        <v/>
      </c>
      <c r="L568" s="40" t="str">
        <f>IFERROR(__xludf.DUMMYFUNCTION("IF(ISBLANK(B568),"""",IF(ISDATE(B568),TEXT(B568,""M""),""""))"),"")</f>
        <v/>
      </c>
      <c r="M568" s="29" t="str">
        <f>IFERROR(__xludf.DUMMYFUNCTION("IF(L568="""","""",QUERY({'Dashboard-Dados'!$Y$2:$AA$13},""Select Col2 Where Col1=""&amp;L568))"),"")</f>
        <v/>
      </c>
      <c r="N568" s="29" t="str">
        <f>IFERROR(__xludf.DUMMYFUNCTION("IF(ISBLANK(B568),"""",IF(ISDATE(B568),TEXT(B568,""yyyy""),""""))"),"")</f>
        <v/>
      </c>
    </row>
    <row r="569">
      <c r="B569" s="87"/>
      <c r="C569" s="85"/>
      <c r="D569" s="76"/>
      <c r="H569" s="88"/>
      <c r="J569" s="53" t="str">
        <f>IFERROR(__xludf.DUMMYFUNCTION("IF(ISBLANK(B569),"""",IF(ISDATE(B569),""X"",""""))"),"")</f>
        <v/>
      </c>
      <c r="K569" s="40" t="str">
        <f>IFERROR(__xludf.DUMMYFUNCTION("IF(ISBLANK(B569),"""",IF(ISDATE(B569),H569,""""))"),"")</f>
        <v/>
      </c>
      <c r="L569" s="40" t="str">
        <f>IFERROR(__xludf.DUMMYFUNCTION("IF(ISBLANK(B569),"""",IF(ISDATE(B569),TEXT(B569,""M""),""""))"),"")</f>
        <v/>
      </c>
      <c r="M569" s="29" t="str">
        <f>IFERROR(__xludf.DUMMYFUNCTION("IF(L569="""","""",QUERY({'Dashboard-Dados'!$Y$2:$AA$13},""Select Col2 Where Col1=""&amp;L569))"),"")</f>
        <v/>
      </c>
      <c r="N569" s="29" t="str">
        <f>IFERROR(__xludf.DUMMYFUNCTION("IF(ISBLANK(B569),"""",IF(ISDATE(B569),TEXT(B569,""yyyy""),""""))"),"")</f>
        <v/>
      </c>
    </row>
    <row r="570">
      <c r="B570" s="89"/>
      <c r="C570" s="86"/>
      <c r="D570" s="71"/>
      <c r="H570" s="90"/>
      <c r="J570" s="53" t="str">
        <f>IFERROR(__xludf.DUMMYFUNCTION("IF(ISBLANK(B570),"""",IF(ISDATE(B570),""X"",""""))"),"")</f>
        <v/>
      </c>
      <c r="K570" s="40" t="str">
        <f>IFERROR(__xludf.DUMMYFUNCTION("IF(ISBLANK(B570),"""",IF(ISDATE(B570),H570,""""))"),"")</f>
        <v/>
      </c>
      <c r="L570" s="40" t="str">
        <f>IFERROR(__xludf.DUMMYFUNCTION("IF(ISBLANK(B570),"""",IF(ISDATE(B570),TEXT(B570,""M""),""""))"),"")</f>
        <v/>
      </c>
      <c r="M570" s="29" t="str">
        <f>IFERROR(__xludf.DUMMYFUNCTION("IF(L570="""","""",QUERY({'Dashboard-Dados'!$Y$2:$AA$13},""Select Col2 Where Col1=""&amp;L570))"),"")</f>
        <v/>
      </c>
      <c r="N570" s="29" t="str">
        <f>IFERROR(__xludf.DUMMYFUNCTION("IF(ISBLANK(B570),"""",IF(ISDATE(B570),TEXT(B570,""yyyy""),""""))"),"")</f>
        <v/>
      </c>
    </row>
    <row r="571">
      <c r="B571" s="87"/>
      <c r="C571" s="85"/>
      <c r="D571" s="76"/>
      <c r="H571" s="88"/>
      <c r="J571" s="53" t="str">
        <f>IFERROR(__xludf.DUMMYFUNCTION("IF(ISBLANK(B571),"""",IF(ISDATE(B571),""X"",""""))"),"")</f>
        <v/>
      </c>
      <c r="K571" s="40" t="str">
        <f>IFERROR(__xludf.DUMMYFUNCTION("IF(ISBLANK(B571),"""",IF(ISDATE(B571),H571,""""))"),"")</f>
        <v/>
      </c>
      <c r="L571" s="40" t="str">
        <f>IFERROR(__xludf.DUMMYFUNCTION("IF(ISBLANK(B571),"""",IF(ISDATE(B571),TEXT(B571,""M""),""""))"),"")</f>
        <v/>
      </c>
      <c r="M571" s="29" t="str">
        <f>IFERROR(__xludf.DUMMYFUNCTION("IF(L571="""","""",QUERY({'Dashboard-Dados'!$Y$2:$AA$13},""Select Col2 Where Col1=""&amp;L571))"),"")</f>
        <v/>
      </c>
      <c r="N571" s="29" t="str">
        <f>IFERROR(__xludf.DUMMYFUNCTION("IF(ISBLANK(B571),"""",IF(ISDATE(B571),TEXT(B571,""yyyy""),""""))"),"")</f>
        <v/>
      </c>
    </row>
    <row r="572">
      <c r="B572" s="89"/>
      <c r="C572" s="86"/>
      <c r="D572" s="71"/>
      <c r="H572" s="90"/>
      <c r="J572" s="53" t="str">
        <f>IFERROR(__xludf.DUMMYFUNCTION("IF(ISBLANK(B572),"""",IF(ISDATE(B572),""X"",""""))"),"")</f>
        <v/>
      </c>
      <c r="K572" s="40" t="str">
        <f>IFERROR(__xludf.DUMMYFUNCTION("IF(ISBLANK(B572),"""",IF(ISDATE(B572),H572,""""))"),"")</f>
        <v/>
      </c>
      <c r="L572" s="40" t="str">
        <f>IFERROR(__xludf.DUMMYFUNCTION("IF(ISBLANK(B572),"""",IF(ISDATE(B572),TEXT(B572,""M""),""""))"),"")</f>
        <v/>
      </c>
      <c r="M572" s="29" t="str">
        <f>IFERROR(__xludf.DUMMYFUNCTION("IF(L572="""","""",QUERY({'Dashboard-Dados'!$Y$2:$AA$13},""Select Col2 Where Col1=""&amp;L572))"),"")</f>
        <v/>
      </c>
      <c r="N572" s="29" t="str">
        <f>IFERROR(__xludf.DUMMYFUNCTION("IF(ISBLANK(B572),"""",IF(ISDATE(B572),TEXT(B572,""yyyy""),""""))"),"")</f>
        <v/>
      </c>
    </row>
    <row r="573">
      <c r="B573" s="87"/>
      <c r="C573" s="85"/>
      <c r="D573" s="76"/>
      <c r="H573" s="88"/>
      <c r="J573" s="53" t="str">
        <f>IFERROR(__xludf.DUMMYFUNCTION("IF(ISBLANK(B573),"""",IF(ISDATE(B573),""X"",""""))"),"")</f>
        <v/>
      </c>
      <c r="K573" s="40" t="str">
        <f>IFERROR(__xludf.DUMMYFUNCTION("IF(ISBLANK(B573),"""",IF(ISDATE(B573),H573,""""))"),"")</f>
        <v/>
      </c>
      <c r="L573" s="40" t="str">
        <f>IFERROR(__xludf.DUMMYFUNCTION("IF(ISBLANK(B573),"""",IF(ISDATE(B573),TEXT(B573,""M""),""""))"),"")</f>
        <v/>
      </c>
      <c r="M573" s="29" t="str">
        <f>IFERROR(__xludf.DUMMYFUNCTION("IF(L573="""","""",QUERY({'Dashboard-Dados'!$Y$2:$AA$13},""Select Col2 Where Col1=""&amp;L573))"),"")</f>
        <v/>
      </c>
      <c r="N573" s="29" t="str">
        <f>IFERROR(__xludf.DUMMYFUNCTION("IF(ISBLANK(B573),"""",IF(ISDATE(B573),TEXT(B573,""yyyy""),""""))"),"")</f>
        <v/>
      </c>
    </row>
    <row r="574">
      <c r="B574" s="89"/>
      <c r="C574" s="86"/>
      <c r="D574" s="71"/>
      <c r="H574" s="90"/>
      <c r="J574" s="53" t="str">
        <f>IFERROR(__xludf.DUMMYFUNCTION("IF(ISBLANK(B574),"""",IF(ISDATE(B574),""X"",""""))"),"")</f>
        <v/>
      </c>
      <c r="K574" s="40" t="str">
        <f>IFERROR(__xludf.DUMMYFUNCTION("IF(ISBLANK(B574),"""",IF(ISDATE(B574),H574,""""))"),"")</f>
        <v/>
      </c>
      <c r="L574" s="40" t="str">
        <f>IFERROR(__xludf.DUMMYFUNCTION("IF(ISBLANK(B574),"""",IF(ISDATE(B574),TEXT(B574,""M""),""""))"),"")</f>
        <v/>
      </c>
      <c r="M574" s="29" t="str">
        <f>IFERROR(__xludf.DUMMYFUNCTION("IF(L574="""","""",QUERY({'Dashboard-Dados'!$Y$2:$AA$13},""Select Col2 Where Col1=""&amp;L574))"),"")</f>
        <v/>
      </c>
      <c r="N574" s="29" t="str">
        <f>IFERROR(__xludf.DUMMYFUNCTION("IF(ISBLANK(B574),"""",IF(ISDATE(B574),TEXT(B574,""yyyy""),""""))"),"")</f>
        <v/>
      </c>
    </row>
    <row r="575">
      <c r="B575" s="87"/>
      <c r="C575" s="85"/>
      <c r="D575" s="76"/>
      <c r="H575" s="88"/>
      <c r="J575" s="53" t="str">
        <f>IFERROR(__xludf.DUMMYFUNCTION("IF(ISBLANK(B575),"""",IF(ISDATE(B575),""X"",""""))"),"")</f>
        <v/>
      </c>
      <c r="K575" s="40" t="str">
        <f>IFERROR(__xludf.DUMMYFUNCTION("IF(ISBLANK(B575),"""",IF(ISDATE(B575),H575,""""))"),"")</f>
        <v/>
      </c>
      <c r="L575" s="40" t="str">
        <f>IFERROR(__xludf.DUMMYFUNCTION("IF(ISBLANK(B575),"""",IF(ISDATE(B575),TEXT(B575,""M""),""""))"),"")</f>
        <v/>
      </c>
      <c r="M575" s="29" t="str">
        <f>IFERROR(__xludf.DUMMYFUNCTION("IF(L575="""","""",QUERY({'Dashboard-Dados'!$Y$2:$AA$13},""Select Col2 Where Col1=""&amp;L575))"),"")</f>
        <v/>
      </c>
      <c r="N575" s="29" t="str">
        <f>IFERROR(__xludf.DUMMYFUNCTION("IF(ISBLANK(B575),"""",IF(ISDATE(B575),TEXT(B575,""yyyy""),""""))"),"")</f>
        <v/>
      </c>
    </row>
    <row r="576">
      <c r="B576" s="89"/>
      <c r="C576" s="86"/>
      <c r="D576" s="71"/>
      <c r="H576" s="90"/>
      <c r="J576" s="53" t="str">
        <f>IFERROR(__xludf.DUMMYFUNCTION("IF(ISBLANK(B576),"""",IF(ISDATE(B576),""X"",""""))"),"")</f>
        <v/>
      </c>
      <c r="K576" s="40" t="str">
        <f>IFERROR(__xludf.DUMMYFUNCTION("IF(ISBLANK(B576),"""",IF(ISDATE(B576),H576,""""))"),"")</f>
        <v/>
      </c>
      <c r="L576" s="40" t="str">
        <f>IFERROR(__xludf.DUMMYFUNCTION("IF(ISBLANK(B576),"""",IF(ISDATE(B576),TEXT(B576,""M""),""""))"),"")</f>
        <v/>
      </c>
      <c r="M576" s="29" t="str">
        <f>IFERROR(__xludf.DUMMYFUNCTION("IF(L576="""","""",QUERY({'Dashboard-Dados'!$Y$2:$AA$13},""Select Col2 Where Col1=""&amp;L576))"),"")</f>
        <v/>
      </c>
      <c r="N576" s="29" t="str">
        <f>IFERROR(__xludf.DUMMYFUNCTION("IF(ISBLANK(B576),"""",IF(ISDATE(B576),TEXT(B576,""yyyy""),""""))"),"")</f>
        <v/>
      </c>
    </row>
    <row r="577">
      <c r="B577" s="87"/>
      <c r="C577" s="85"/>
      <c r="D577" s="76"/>
      <c r="H577" s="88"/>
      <c r="J577" s="53" t="str">
        <f>IFERROR(__xludf.DUMMYFUNCTION("IF(ISBLANK(B577),"""",IF(ISDATE(B577),""X"",""""))"),"")</f>
        <v/>
      </c>
      <c r="K577" s="40" t="str">
        <f>IFERROR(__xludf.DUMMYFUNCTION("IF(ISBLANK(B577),"""",IF(ISDATE(B577),H577,""""))"),"")</f>
        <v/>
      </c>
      <c r="L577" s="40" t="str">
        <f>IFERROR(__xludf.DUMMYFUNCTION("IF(ISBLANK(B577),"""",IF(ISDATE(B577),TEXT(B577,""M""),""""))"),"")</f>
        <v/>
      </c>
      <c r="M577" s="29" t="str">
        <f>IFERROR(__xludf.DUMMYFUNCTION("IF(L577="""","""",QUERY({'Dashboard-Dados'!$Y$2:$AA$13},""Select Col2 Where Col1=""&amp;L577))"),"")</f>
        <v/>
      </c>
      <c r="N577" s="29" t="str">
        <f>IFERROR(__xludf.DUMMYFUNCTION("IF(ISBLANK(B577),"""",IF(ISDATE(B577),TEXT(B577,""yyyy""),""""))"),"")</f>
        <v/>
      </c>
    </row>
    <row r="578">
      <c r="B578" s="89"/>
      <c r="C578" s="86"/>
      <c r="D578" s="71"/>
      <c r="H578" s="90"/>
      <c r="J578" s="53" t="str">
        <f>IFERROR(__xludf.DUMMYFUNCTION("IF(ISBLANK(B578),"""",IF(ISDATE(B578),""X"",""""))"),"")</f>
        <v/>
      </c>
      <c r="K578" s="40" t="str">
        <f>IFERROR(__xludf.DUMMYFUNCTION("IF(ISBLANK(B578),"""",IF(ISDATE(B578),H578,""""))"),"")</f>
        <v/>
      </c>
      <c r="L578" s="40" t="str">
        <f>IFERROR(__xludf.DUMMYFUNCTION("IF(ISBLANK(B578),"""",IF(ISDATE(B578),TEXT(B578,""M""),""""))"),"")</f>
        <v/>
      </c>
      <c r="M578" s="29" t="str">
        <f>IFERROR(__xludf.DUMMYFUNCTION("IF(L578="""","""",QUERY({'Dashboard-Dados'!$Y$2:$AA$13},""Select Col2 Where Col1=""&amp;L578))"),"")</f>
        <v/>
      </c>
      <c r="N578" s="29" t="str">
        <f>IFERROR(__xludf.DUMMYFUNCTION("IF(ISBLANK(B578),"""",IF(ISDATE(B578),TEXT(B578,""yyyy""),""""))"),"")</f>
        <v/>
      </c>
    </row>
    <row r="579">
      <c r="B579" s="87"/>
      <c r="C579" s="85"/>
      <c r="D579" s="76"/>
      <c r="H579" s="88"/>
      <c r="J579" s="53" t="str">
        <f>IFERROR(__xludf.DUMMYFUNCTION("IF(ISBLANK(B579),"""",IF(ISDATE(B579),""X"",""""))"),"")</f>
        <v/>
      </c>
      <c r="K579" s="40" t="str">
        <f>IFERROR(__xludf.DUMMYFUNCTION("IF(ISBLANK(B579),"""",IF(ISDATE(B579),H579,""""))"),"")</f>
        <v/>
      </c>
      <c r="L579" s="40" t="str">
        <f>IFERROR(__xludf.DUMMYFUNCTION("IF(ISBLANK(B579),"""",IF(ISDATE(B579),TEXT(B579,""M""),""""))"),"")</f>
        <v/>
      </c>
      <c r="M579" s="29" t="str">
        <f>IFERROR(__xludf.DUMMYFUNCTION("IF(L579="""","""",QUERY({'Dashboard-Dados'!$Y$2:$AA$13},""Select Col2 Where Col1=""&amp;L579))"),"")</f>
        <v/>
      </c>
      <c r="N579" s="29" t="str">
        <f>IFERROR(__xludf.DUMMYFUNCTION("IF(ISBLANK(B579),"""",IF(ISDATE(B579),TEXT(B579,""yyyy""),""""))"),"")</f>
        <v/>
      </c>
    </row>
    <row r="580">
      <c r="B580" s="89"/>
      <c r="C580" s="86"/>
      <c r="D580" s="71"/>
      <c r="H580" s="90"/>
      <c r="J580" s="53" t="str">
        <f>IFERROR(__xludf.DUMMYFUNCTION("IF(ISBLANK(B580),"""",IF(ISDATE(B580),""X"",""""))"),"")</f>
        <v/>
      </c>
      <c r="K580" s="40" t="str">
        <f>IFERROR(__xludf.DUMMYFUNCTION("IF(ISBLANK(B580),"""",IF(ISDATE(B580),H580,""""))"),"")</f>
        <v/>
      </c>
      <c r="L580" s="40" t="str">
        <f>IFERROR(__xludf.DUMMYFUNCTION("IF(ISBLANK(B580),"""",IF(ISDATE(B580),TEXT(B580,""M""),""""))"),"")</f>
        <v/>
      </c>
      <c r="M580" s="29" t="str">
        <f>IFERROR(__xludf.DUMMYFUNCTION("IF(L580="""","""",QUERY({'Dashboard-Dados'!$Y$2:$AA$13},""Select Col2 Where Col1=""&amp;L580))"),"")</f>
        <v/>
      </c>
      <c r="N580" s="29" t="str">
        <f>IFERROR(__xludf.DUMMYFUNCTION("IF(ISBLANK(B580),"""",IF(ISDATE(B580),TEXT(B580,""yyyy""),""""))"),"")</f>
        <v/>
      </c>
    </row>
    <row r="581">
      <c r="B581" s="87"/>
      <c r="C581" s="85"/>
      <c r="D581" s="76"/>
      <c r="H581" s="88"/>
      <c r="J581" s="53" t="str">
        <f>IFERROR(__xludf.DUMMYFUNCTION("IF(ISBLANK(B581),"""",IF(ISDATE(B581),""X"",""""))"),"")</f>
        <v/>
      </c>
      <c r="K581" s="40" t="str">
        <f>IFERROR(__xludf.DUMMYFUNCTION("IF(ISBLANK(B581),"""",IF(ISDATE(B581),H581,""""))"),"")</f>
        <v/>
      </c>
      <c r="L581" s="40" t="str">
        <f>IFERROR(__xludf.DUMMYFUNCTION("IF(ISBLANK(B581),"""",IF(ISDATE(B581),TEXT(B581,""M""),""""))"),"")</f>
        <v/>
      </c>
      <c r="M581" s="29" t="str">
        <f>IFERROR(__xludf.DUMMYFUNCTION("IF(L581="""","""",QUERY({'Dashboard-Dados'!$Y$2:$AA$13},""Select Col2 Where Col1=""&amp;L581))"),"")</f>
        <v/>
      </c>
      <c r="N581" s="29" t="str">
        <f>IFERROR(__xludf.DUMMYFUNCTION("IF(ISBLANK(B581),"""",IF(ISDATE(B581),TEXT(B581,""yyyy""),""""))"),"")</f>
        <v/>
      </c>
    </row>
    <row r="582">
      <c r="B582" s="89"/>
      <c r="C582" s="86"/>
      <c r="D582" s="71"/>
      <c r="H582" s="90"/>
      <c r="J582" s="53" t="str">
        <f>IFERROR(__xludf.DUMMYFUNCTION("IF(ISBLANK(B582),"""",IF(ISDATE(B582),""X"",""""))"),"")</f>
        <v/>
      </c>
      <c r="K582" s="40" t="str">
        <f>IFERROR(__xludf.DUMMYFUNCTION("IF(ISBLANK(B582),"""",IF(ISDATE(B582),H582,""""))"),"")</f>
        <v/>
      </c>
      <c r="L582" s="40" t="str">
        <f>IFERROR(__xludf.DUMMYFUNCTION("IF(ISBLANK(B582),"""",IF(ISDATE(B582),TEXT(B582,""M""),""""))"),"")</f>
        <v/>
      </c>
      <c r="M582" s="29" t="str">
        <f>IFERROR(__xludf.DUMMYFUNCTION("IF(L582="""","""",QUERY({'Dashboard-Dados'!$Y$2:$AA$13},""Select Col2 Where Col1=""&amp;L582))"),"")</f>
        <v/>
      </c>
      <c r="N582" s="29" t="str">
        <f>IFERROR(__xludf.DUMMYFUNCTION("IF(ISBLANK(B582),"""",IF(ISDATE(B582),TEXT(B582,""yyyy""),""""))"),"")</f>
        <v/>
      </c>
    </row>
    <row r="583">
      <c r="B583" s="87"/>
      <c r="C583" s="85"/>
      <c r="D583" s="76"/>
      <c r="H583" s="88"/>
      <c r="J583" s="53" t="str">
        <f>IFERROR(__xludf.DUMMYFUNCTION("IF(ISBLANK(B583),"""",IF(ISDATE(B583),""X"",""""))"),"")</f>
        <v/>
      </c>
      <c r="K583" s="40" t="str">
        <f>IFERROR(__xludf.DUMMYFUNCTION("IF(ISBLANK(B583),"""",IF(ISDATE(B583),H583,""""))"),"")</f>
        <v/>
      </c>
      <c r="L583" s="40" t="str">
        <f>IFERROR(__xludf.DUMMYFUNCTION("IF(ISBLANK(B583),"""",IF(ISDATE(B583),TEXT(B583,""M""),""""))"),"")</f>
        <v/>
      </c>
      <c r="M583" s="29" t="str">
        <f>IFERROR(__xludf.DUMMYFUNCTION("IF(L583="""","""",QUERY({'Dashboard-Dados'!$Y$2:$AA$13},""Select Col2 Where Col1=""&amp;L583))"),"")</f>
        <v/>
      </c>
      <c r="N583" s="29" t="str">
        <f>IFERROR(__xludf.DUMMYFUNCTION("IF(ISBLANK(B583),"""",IF(ISDATE(B583),TEXT(B583,""yyyy""),""""))"),"")</f>
        <v/>
      </c>
    </row>
    <row r="584">
      <c r="B584" s="89"/>
      <c r="C584" s="86"/>
      <c r="D584" s="71"/>
      <c r="H584" s="90"/>
      <c r="J584" s="53" t="str">
        <f>IFERROR(__xludf.DUMMYFUNCTION("IF(ISBLANK(B584),"""",IF(ISDATE(B584),""X"",""""))"),"")</f>
        <v/>
      </c>
      <c r="K584" s="40" t="str">
        <f>IFERROR(__xludf.DUMMYFUNCTION("IF(ISBLANK(B584),"""",IF(ISDATE(B584),H584,""""))"),"")</f>
        <v/>
      </c>
      <c r="L584" s="40" t="str">
        <f>IFERROR(__xludf.DUMMYFUNCTION("IF(ISBLANK(B584),"""",IF(ISDATE(B584),TEXT(B584,""M""),""""))"),"")</f>
        <v/>
      </c>
      <c r="M584" s="29" t="str">
        <f>IFERROR(__xludf.DUMMYFUNCTION("IF(L584="""","""",QUERY({'Dashboard-Dados'!$Y$2:$AA$13},""Select Col2 Where Col1=""&amp;L584))"),"")</f>
        <v/>
      </c>
      <c r="N584" s="29" t="str">
        <f>IFERROR(__xludf.DUMMYFUNCTION("IF(ISBLANK(B584),"""",IF(ISDATE(B584),TEXT(B584,""yyyy""),""""))"),"")</f>
        <v/>
      </c>
    </row>
    <row r="585">
      <c r="B585" s="87"/>
      <c r="C585" s="85"/>
      <c r="D585" s="76"/>
      <c r="H585" s="88"/>
      <c r="J585" s="53" t="str">
        <f>IFERROR(__xludf.DUMMYFUNCTION("IF(ISBLANK(B585),"""",IF(ISDATE(B585),""X"",""""))"),"")</f>
        <v/>
      </c>
      <c r="K585" s="40" t="str">
        <f>IFERROR(__xludf.DUMMYFUNCTION("IF(ISBLANK(B585),"""",IF(ISDATE(B585),H585,""""))"),"")</f>
        <v/>
      </c>
      <c r="L585" s="40" t="str">
        <f>IFERROR(__xludf.DUMMYFUNCTION("IF(ISBLANK(B585),"""",IF(ISDATE(B585),TEXT(B585,""M""),""""))"),"")</f>
        <v/>
      </c>
      <c r="M585" s="29" t="str">
        <f>IFERROR(__xludf.DUMMYFUNCTION("IF(L585="""","""",QUERY({'Dashboard-Dados'!$Y$2:$AA$13},""Select Col2 Where Col1=""&amp;L585))"),"")</f>
        <v/>
      </c>
      <c r="N585" s="29" t="str">
        <f>IFERROR(__xludf.DUMMYFUNCTION("IF(ISBLANK(B585),"""",IF(ISDATE(B585),TEXT(B585,""yyyy""),""""))"),"")</f>
        <v/>
      </c>
    </row>
    <row r="586">
      <c r="B586" s="89"/>
      <c r="C586" s="86"/>
      <c r="D586" s="71"/>
      <c r="H586" s="90"/>
      <c r="J586" s="53" t="str">
        <f>IFERROR(__xludf.DUMMYFUNCTION("IF(ISBLANK(B586),"""",IF(ISDATE(B586),""X"",""""))"),"")</f>
        <v/>
      </c>
      <c r="K586" s="40" t="str">
        <f>IFERROR(__xludf.DUMMYFUNCTION("IF(ISBLANK(B586),"""",IF(ISDATE(B586),H586,""""))"),"")</f>
        <v/>
      </c>
      <c r="L586" s="40" t="str">
        <f>IFERROR(__xludf.DUMMYFUNCTION("IF(ISBLANK(B586),"""",IF(ISDATE(B586),TEXT(B586,""M""),""""))"),"")</f>
        <v/>
      </c>
      <c r="M586" s="29" t="str">
        <f>IFERROR(__xludf.DUMMYFUNCTION("IF(L586="""","""",QUERY({'Dashboard-Dados'!$Y$2:$AA$13},""Select Col2 Where Col1=""&amp;L586))"),"")</f>
        <v/>
      </c>
      <c r="N586" s="29" t="str">
        <f>IFERROR(__xludf.DUMMYFUNCTION("IF(ISBLANK(B586),"""",IF(ISDATE(B586),TEXT(B586,""yyyy""),""""))"),"")</f>
        <v/>
      </c>
    </row>
    <row r="587">
      <c r="B587" s="87"/>
      <c r="C587" s="85"/>
      <c r="D587" s="76"/>
      <c r="H587" s="88"/>
      <c r="J587" s="53" t="str">
        <f>IFERROR(__xludf.DUMMYFUNCTION("IF(ISBLANK(B587),"""",IF(ISDATE(B587),""X"",""""))"),"")</f>
        <v/>
      </c>
      <c r="K587" s="40" t="str">
        <f>IFERROR(__xludf.DUMMYFUNCTION("IF(ISBLANK(B587),"""",IF(ISDATE(B587),H587,""""))"),"")</f>
        <v/>
      </c>
      <c r="L587" s="40" t="str">
        <f>IFERROR(__xludf.DUMMYFUNCTION("IF(ISBLANK(B587),"""",IF(ISDATE(B587),TEXT(B587,""M""),""""))"),"")</f>
        <v/>
      </c>
      <c r="M587" s="29" t="str">
        <f>IFERROR(__xludf.DUMMYFUNCTION("IF(L587="""","""",QUERY({'Dashboard-Dados'!$Y$2:$AA$13},""Select Col2 Where Col1=""&amp;L587))"),"")</f>
        <v/>
      </c>
      <c r="N587" s="29" t="str">
        <f>IFERROR(__xludf.DUMMYFUNCTION("IF(ISBLANK(B587),"""",IF(ISDATE(B587),TEXT(B587,""yyyy""),""""))"),"")</f>
        <v/>
      </c>
    </row>
    <row r="588">
      <c r="B588" s="89"/>
      <c r="C588" s="86"/>
      <c r="D588" s="71"/>
      <c r="H588" s="90"/>
      <c r="J588" s="53" t="str">
        <f>IFERROR(__xludf.DUMMYFUNCTION("IF(ISBLANK(B588),"""",IF(ISDATE(B588),""X"",""""))"),"")</f>
        <v/>
      </c>
      <c r="K588" s="40" t="str">
        <f>IFERROR(__xludf.DUMMYFUNCTION("IF(ISBLANK(B588),"""",IF(ISDATE(B588),H588,""""))"),"")</f>
        <v/>
      </c>
      <c r="L588" s="40" t="str">
        <f>IFERROR(__xludf.DUMMYFUNCTION("IF(ISBLANK(B588),"""",IF(ISDATE(B588),TEXT(B588,""M""),""""))"),"")</f>
        <v/>
      </c>
      <c r="M588" s="29" t="str">
        <f>IFERROR(__xludf.DUMMYFUNCTION("IF(L588="""","""",QUERY({'Dashboard-Dados'!$Y$2:$AA$13},""Select Col2 Where Col1=""&amp;L588))"),"")</f>
        <v/>
      </c>
      <c r="N588" s="29" t="str">
        <f>IFERROR(__xludf.DUMMYFUNCTION("IF(ISBLANK(B588),"""",IF(ISDATE(B588),TEXT(B588,""yyyy""),""""))"),"")</f>
        <v/>
      </c>
    </row>
    <row r="589">
      <c r="B589" s="87"/>
      <c r="C589" s="85"/>
      <c r="D589" s="76"/>
      <c r="H589" s="88"/>
      <c r="J589" s="53" t="str">
        <f>IFERROR(__xludf.DUMMYFUNCTION("IF(ISBLANK(B589),"""",IF(ISDATE(B589),""X"",""""))"),"")</f>
        <v/>
      </c>
      <c r="K589" s="40" t="str">
        <f>IFERROR(__xludf.DUMMYFUNCTION("IF(ISBLANK(B589),"""",IF(ISDATE(B589),H589,""""))"),"")</f>
        <v/>
      </c>
      <c r="L589" s="40" t="str">
        <f>IFERROR(__xludf.DUMMYFUNCTION("IF(ISBLANK(B589),"""",IF(ISDATE(B589),TEXT(B589,""M""),""""))"),"")</f>
        <v/>
      </c>
      <c r="M589" s="29" t="str">
        <f>IFERROR(__xludf.DUMMYFUNCTION("IF(L589="""","""",QUERY({'Dashboard-Dados'!$Y$2:$AA$13},""Select Col2 Where Col1=""&amp;L589))"),"")</f>
        <v/>
      </c>
      <c r="N589" s="29" t="str">
        <f>IFERROR(__xludf.DUMMYFUNCTION("IF(ISBLANK(B589),"""",IF(ISDATE(B589),TEXT(B589,""yyyy""),""""))"),"")</f>
        <v/>
      </c>
    </row>
    <row r="590">
      <c r="B590" s="89"/>
      <c r="C590" s="86"/>
      <c r="D590" s="71"/>
      <c r="H590" s="90"/>
      <c r="J590" s="53" t="str">
        <f>IFERROR(__xludf.DUMMYFUNCTION("IF(ISBLANK(B590),"""",IF(ISDATE(B590),""X"",""""))"),"")</f>
        <v/>
      </c>
      <c r="K590" s="40" t="str">
        <f>IFERROR(__xludf.DUMMYFUNCTION("IF(ISBLANK(B590),"""",IF(ISDATE(B590),H590,""""))"),"")</f>
        <v/>
      </c>
      <c r="L590" s="40" t="str">
        <f>IFERROR(__xludf.DUMMYFUNCTION("IF(ISBLANK(B590),"""",IF(ISDATE(B590),TEXT(B590,""M""),""""))"),"")</f>
        <v/>
      </c>
      <c r="M590" s="29" t="str">
        <f>IFERROR(__xludf.DUMMYFUNCTION("IF(L590="""","""",QUERY({'Dashboard-Dados'!$Y$2:$AA$13},""Select Col2 Where Col1=""&amp;L590))"),"")</f>
        <v/>
      </c>
      <c r="N590" s="29" t="str">
        <f>IFERROR(__xludf.DUMMYFUNCTION("IF(ISBLANK(B590),"""",IF(ISDATE(B590),TEXT(B590,""yyyy""),""""))"),"")</f>
        <v/>
      </c>
    </row>
    <row r="591">
      <c r="B591" s="87"/>
      <c r="C591" s="85"/>
      <c r="D591" s="76"/>
      <c r="H591" s="88"/>
      <c r="J591" s="53" t="str">
        <f>IFERROR(__xludf.DUMMYFUNCTION("IF(ISBLANK(B591),"""",IF(ISDATE(B591),""X"",""""))"),"")</f>
        <v/>
      </c>
      <c r="K591" s="40" t="str">
        <f>IFERROR(__xludf.DUMMYFUNCTION("IF(ISBLANK(B591),"""",IF(ISDATE(B591),H591,""""))"),"")</f>
        <v/>
      </c>
      <c r="L591" s="40" t="str">
        <f>IFERROR(__xludf.DUMMYFUNCTION("IF(ISBLANK(B591),"""",IF(ISDATE(B591),TEXT(B591,""M""),""""))"),"")</f>
        <v/>
      </c>
      <c r="M591" s="29" t="str">
        <f>IFERROR(__xludf.DUMMYFUNCTION("IF(L591="""","""",QUERY({'Dashboard-Dados'!$Y$2:$AA$13},""Select Col2 Where Col1=""&amp;L591))"),"")</f>
        <v/>
      </c>
      <c r="N591" s="29" t="str">
        <f>IFERROR(__xludf.DUMMYFUNCTION("IF(ISBLANK(B591),"""",IF(ISDATE(B591),TEXT(B591,""yyyy""),""""))"),"")</f>
        <v/>
      </c>
    </row>
    <row r="592">
      <c r="B592" s="89"/>
      <c r="C592" s="86"/>
      <c r="D592" s="71"/>
      <c r="H592" s="90"/>
      <c r="J592" s="53" t="str">
        <f>IFERROR(__xludf.DUMMYFUNCTION("IF(ISBLANK(B592),"""",IF(ISDATE(B592),""X"",""""))"),"")</f>
        <v/>
      </c>
      <c r="K592" s="40" t="str">
        <f>IFERROR(__xludf.DUMMYFUNCTION("IF(ISBLANK(B592),"""",IF(ISDATE(B592),H592,""""))"),"")</f>
        <v/>
      </c>
      <c r="L592" s="40" t="str">
        <f>IFERROR(__xludf.DUMMYFUNCTION("IF(ISBLANK(B592),"""",IF(ISDATE(B592),TEXT(B592,""M""),""""))"),"")</f>
        <v/>
      </c>
      <c r="M592" s="29" t="str">
        <f>IFERROR(__xludf.DUMMYFUNCTION("IF(L592="""","""",QUERY({'Dashboard-Dados'!$Y$2:$AA$13},""Select Col2 Where Col1=""&amp;L592))"),"")</f>
        <v/>
      </c>
      <c r="N592" s="29" t="str">
        <f>IFERROR(__xludf.DUMMYFUNCTION("IF(ISBLANK(B592),"""",IF(ISDATE(B592),TEXT(B592,""yyyy""),""""))"),"")</f>
        <v/>
      </c>
    </row>
    <row r="593">
      <c r="B593" s="87"/>
      <c r="C593" s="85"/>
      <c r="D593" s="76"/>
      <c r="H593" s="88"/>
      <c r="J593" s="53" t="str">
        <f>IFERROR(__xludf.DUMMYFUNCTION("IF(ISBLANK(B593),"""",IF(ISDATE(B593),""X"",""""))"),"")</f>
        <v/>
      </c>
      <c r="K593" s="40" t="str">
        <f>IFERROR(__xludf.DUMMYFUNCTION("IF(ISBLANK(B593),"""",IF(ISDATE(B593),H593,""""))"),"")</f>
        <v/>
      </c>
      <c r="L593" s="40" t="str">
        <f>IFERROR(__xludf.DUMMYFUNCTION("IF(ISBLANK(B593),"""",IF(ISDATE(B593),TEXT(B593,""M""),""""))"),"")</f>
        <v/>
      </c>
      <c r="M593" s="29" t="str">
        <f>IFERROR(__xludf.DUMMYFUNCTION("IF(L593="""","""",QUERY({'Dashboard-Dados'!$Y$2:$AA$13},""Select Col2 Where Col1=""&amp;L593))"),"")</f>
        <v/>
      </c>
      <c r="N593" s="29" t="str">
        <f>IFERROR(__xludf.DUMMYFUNCTION("IF(ISBLANK(B593),"""",IF(ISDATE(B593),TEXT(B593,""yyyy""),""""))"),"")</f>
        <v/>
      </c>
    </row>
    <row r="594">
      <c r="B594" s="89"/>
      <c r="C594" s="86"/>
      <c r="D594" s="71"/>
      <c r="H594" s="90"/>
      <c r="J594" s="53" t="str">
        <f>IFERROR(__xludf.DUMMYFUNCTION("IF(ISBLANK(B594),"""",IF(ISDATE(B594),""X"",""""))"),"")</f>
        <v/>
      </c>
      <c r="K594" s="40" t="str">
        <f>IFERROR(__xludf.DUMMYFUNCTION("IF(ISBLANK(B594),"""",IF(ISDATE(B594),H594,""""))"),"")</f>
        <v/>
      </c>
      <c r="L594" s="40" t="str">
        <f>IFERROR(__xludf.DUMMYFUNCTION("IF(ISBLANK(B594),"""",IF(ISDATE(B594),TEXT(B594,""M""),""""))"),"")</f>
        <v/>
      </c>
      <c r="M594" s="29" t="str">
        <f>IFERROR(__xludf.DUMMYFUNCTION("IF(L594="""","""",QUERY({'Dashboard-Dados'!$Y$2:$AA$13},""Select Col2 Where Col1=""&amp;L594))"),"")</f>
        <v/>
      </c>
      <c r="N594" s="29" t="str">
        <f>IFERROR(__xludf.DUMMYFUNCTION("IF(ISBLANK(B594),"""",IF(ISDATE(B594),TEXT(B594,""yyyy""),""""))"),"")</f>
        <v/>
      </c>
    </row>
    <row r="595">
      <c r="B595" s="87"/>
      <c r="C595" s="85"/>
      <c r="D595" s="76"/>
      <c r="H595" s="88"/>
      <c r="J595" s="53" t="str">
        <f>IFERROR(__xludf.DUMMYFUNCTION("IF(ISBLANK(B595),"""",IF(ISDATE(B595),""X"",""""))"),"")</f>
        <v/>
      </c>
      <c r="K595" s="40" t="str">
        <f>IFERROR(__xludf.DUMMYFUNCTION("IF(ISBLANK(B595),"""",IF(ISDATE(B595),H595,""""))"),"")</f>
        <v/>
      </c>
      <c r="L595" s="40" t="str">
        <f>IFERROR(__xludf.DUMMYFUNCTION("IF(ISBLANK(B595),"""",IF(ISDATE(B595),TEXT(B595,""M""),""""))"),"")</f>
        <v/>
      </c>
      <c r="M595" s="29" t="str">
        <f>IFERROR(__xludf.DUMMYFUNCTION("IF(L595="""","""",QUERY({'Dashboard-Dados'!$Y$2:$AA$13},""Select Col2 Where Col1=""&amp;L595))"),"")</f>
        <v/>
      </c>
      <c r="N595" s="29" t="str">
        <f>IFERROR(__xludf.DUMMYFUNCTION("IF(ISBLANK(B595),"""",IF(ISDATE(B595),TEXT(B595,""yyyy""),""""))"),"")</f>
        <v/>
      </c>
    </row>
    <row r="596">
      <c r="B596" s="89"/>
      <c r="C596" s="86"/>
      <c r="D596" s="71"/>
      <c r="H596" s="90"/>
      <c r="J596" s="53" t="str">
        <f>IFERROR(__xludf.DUMMYFUNCTION("IF(ISBLANK(B596),"""",IF(ISDATE(B596),""X"",""""))"),"")</f>
        <v/>
      </c>
      <c r="K596" s="40" t="str">
        <f>IFERROR(__xludf.DUMMYFUNCTION("IF(ISBLANK(B596),"""",IF(ISDATE(B596),H596,""""))"),"")</f>
        <v/>
      </c>
      <c r="L596" s="40" t="str">
        <f>IFERROR(__xludf.DUMMYFUNCTION("IF(ISBLANK(B596),"""",IF(ISDATE(B596),TEXT(B596,""M""),""""))"),"")</f>
        <v/>
      </c>
      <c r="M596" s="29" t="str">
        <f>IFERROR(__xludf.DUMMYFUNCTION("IF(L596="""","""",QUERY({'Dashboard-Dados'!$Y$2:$AA$13},""Select Col2 Where Col1=""&amp;L596))"),"")</f>
        <v/>
      </c>
      <c r="N596" s="29" t="str">
        <f>IFERROR(__xludf.DUMMYFUNCTION("IF(ISBLANK(B596),"""",IF(ISDATE(B596),TEXT(B596,""yyyy""),""""))"),"")</f>
        <v/>
      </c>
    </row>
    <row r="597">
      <c r="B597" s="87"/>
      <c r="C597" s="85"/>
      <c r="D597" s="76"/>
      <c r="H597" s="88"/>
      <c r="J597" s="53" t="str">
        <f>IFERROR(__xludf.DUMMYFUNCTION("IF(ISBLANK(B597),"""",IF(ISDATE(B597),""X"",""""))"),"")</f>
        <v/>
      </c>
      <c r="K597" s="40" t="str">
        <f>IFERROR(__xludf.DUMMYFUNCTION("IF(ISBLANK(B597),"""",IF(ISDATE(B597),H597,""""))"),"")</f>
        <v/>
      </c>
      <c r="L597" s="40" t="str">
        <f>IFERROR(__xludf.DUMMYFUNCTION("IF(ISBLANK(B597),"""",IF(ISDATE(B597),TEXT(B597,""M""),""""))"),"")</f>
        <v/>
      </c>
      <c r="M597" s="29" t="str">
        <f>IFERROR(__xludf.DUMMYFUNCTION("IF(L597="""","""",QUERY({'Dashboard-Dados'!$Y$2:$AA$13},""Select Col2 Where Col1=""&amp;L597))"),"")</f>
        <v/>
      </c>
      <c r="N597" s="29" t="str">
        <f>IFERROR(__xludf.DUMMYFUNCTION("IF(ISBLANK(B597),"""",IF(ISDATE(B597),TEXT(B597,""yyyy""),""""))"),"")</f>
        <v/>
      </c>
    </row>
    <row r="598">
      <c r="B598" s="89"/>
      <c r="C598" s="86"/>
      <c r="D598" s="71"/>
      <c r="H598" s="90"/>
      <c r="J598" s="53" t="str">
        <f>IFERROR(__xludf.DUMMYFUNCTION("IF(ISBLANK(B598),"""",IF(ISDATE(B598),""X"",""""))"),"")</f>
        <v/>
      </c>
      <c r="K598" s="40" t="str">
        <f>IFERROR(__xludf.DUMMYFUNCTION("IF(ISBLANK(B598),"""",IF(ISDATE(B598),H598,""""))"),"")</f>
        <v/>
      </c>
      <c r="L598" s="40" t="str">
        <f>IFERROR(__xludf.DUMMYFUNCTION("IF(ISBLANK(B598),"""",IF(ISDATE(B598),TEXT(B598,""M""),""""))"),"")</f>
        <v/>
      </c>
      <c r="M598" s="29" t="str">
        <f>IFERROR(__xludf.DUMMYFUNCTION("IF(L598="""","""",QUERY({'Dashboard-Dados'!$Y$2:$AA$13},""Select Col2 Where Col1=""&amp;L598))"),"")</f>
        <v/>
      </c>
      <c r="N598" s="29" t="str">
        <f>IFERROR(__xludf.DUMMYFUNCTION("IF(ISBLANK(B598),"""",IF(ISDATE(B598),TEXT(B598,""yyyy""),""""))"),"")</f>
        <v/>
      </c>
    </row>
    <row r="599">
      <c r="B599" s="87"/>
      <c r="C599" s="85"/>
      <c r="D599" s="76"/>
      <c r="H599" s="88"/>
      <c r="J599" s="53" t="str">
        <f>IFERROR(__xludf.DUMMYFUNCTION("IF(ISBLANK(B599),"""",IF(ISDATE(B599),""X"",""""))"),"")</f>
        <v/>
      </c>
      <c r="K599" s="40" t="str">
        <f>IFERROR(__xludf.DUMMYFUNCTION("IF(ISBLANK(B599),"""",IF(ISDATE(B599),H599,""""))"),"")</f>
        <v/>
      </c>
      <c r="L599" s="40" t="str">
        <f>IFERROR(__xludf.DUMMYFUNCTION("IF(ISBLANK(B599),"""",IF(ISDATE(B599),TEXT(B599,""M""),""""))"),"")</f>
        <v/>
      </c>
      <c r="M599" s="29" t="str">
        <f>IFERROR(__xludf.DUMMYFUNCTION("IF(L599="""","""",QUERY({'Dashboard-Dados'!$Y$2:$AA$13},""Select Col2 Where Col1=""&amp;L599))"),"")</f>
        <v/>
      </c>
      <c r="N599" s="29" t="str">
        <f>IFERROR(__xludf.DUMMYFUNCTION("IF(ISBLANK(B599),"""",IF(ISDATE(B599),TEXT(B599,""yyyy""),""""))"),"")</f>
        <v/>
      </c>
    </row>
    <row r="600">
      <c r="B600" s="89"/>
      <c r="C600" s="86"/>
      <c r="D600" s="71"/>
      <c r="H600" s="90"/>
      <c r="J600" s="53" t="str">
        <f>IFERROR(__xludf.DUMMYFUNCTION("IF(ISBLANK(B600),"""",IF(ISDATE(B600),""X"",""""))"),"")</f>
        <v/>
      </c>
      <c r="K600" s="40" t="str">
        <f>IFERROR(__xludf.DUMMYFUNCTION("IF(ISBLANK(B600),"""",IF(ISDATE(B600),H600,""""))"),"")</f>
        <v/>
      </c>
      <c r="L600" s="40" t="str">
        <f>IFERROR(__xludf.DUMMYFUNCTION("IF(ISBLANK(B600),"""",IF(ISDATE(B600),TEXT(B600,""M""),""""))"),"")</f>
        <v/>
      </c>
      <c r="M600" s="29" t="str">
        <f>IFERROR(__xludf.DUMMYFUNCTION("IF(L600="""","""",QUERY({'Dashboard-Dados'!$Y$2:$AA$13},""Select Col2 Where Col1=""&amp;L600))"),"")</f>
        <v/>
      </c>
      <c r="N600" s="29" t="str">
        <f>IFERROR(__xludf.DUMMYFUNCTION("IF(ISBLANK(B600),"""",IF(ISDATE(B600),TEXT(B600,""yyyy""),""""))"),"")</f>
        <v/>
      </c>
    </row>
    <row r="601">
      <c r="B601" s="87"/>
      <c r="C601" s="85"/>
      <c r="D601" s="76"/>
      <c r="H601" s="88"/>
      <c r="J601" s="53" t="str">
        <f>IFERROR(__xludf.DUMMYFUNCTION("IF(ISBLANK(B601),"""",IF(ISDATE(B601),""X"",""""))"),"")</f>
        <v/>
      </c>
      <c r="K601" s="40" t="str">
        <f>IFERROR(__xludf.DUMMYFUNCTION("IF(ISBLANK(B601),"""",IF(ISDATE(B601),H601,""""))"),"")</f>
        <v/>
      </c>
      <c r="L601" s="40" t="str">
        <f>IFERROR(__xludf.DUMMYFUNCTION("IF(ISBLANK(B601),"""",IF(ISDATE(B601),TEXT(B601,""M""),""""))"),"")</f>
        <v/>
      </c>
      <c r="M601" s="29" t="str">
        <f>IFERROR(__xludf.DUMMYFUNCTION("IF(L601="""","""",QUERY({'Dashboard-Dados'!$Y$2:$AA$13},""Select Col2 Where Col1=""&amp;L601))"),"")</f>
        <v/>
      </c>
      <c r="N601" s="29" t="str">
        <f>IFERROR(__xludf.DUMMYFUNCTION("IF(ISBLANK(B601),"""",IF(ISDATE(B601),TEXT(B601,""yyyy""),""""))"),"")</f>
        <v/>
      </c>
    </row>
    <row r="602">
      <c r="B602" s="89"/>
      <c r="C602" s="86"/>
      <c r="D602" s="71"/>
      <c r="H602" s="90"/>
      <c r="J602" s="53" t="str">
        <f>IFERROR(__xludf.DUMMYFUNCTION("IF(ISBLANK(B602),"""",IF(ISDATE(B602),""X"",""""))"),"")</f>
        <v/>
      </c>
      <c r="K602" s="40" t="str">
        <f>IFERROR(__xludf.DUMMYFUNCTION("IF(ISBLANK(B602),"""",IF(ISDATE(B602),H602,""""))"),"")</f>
        <v/>
      </c>
      <c r="L602" s="40" t="str">
        <f>IFERROR(__xludf.DUMMYFUNCTION("IF(ISBLANK(B602),"""",IF(ISDATE(B602),TEXT(B602,""M""),""""))"),"")</f>
        <v/>
      </c>
      <c r="M602" s="29" t="str">
        <f>IFERROR(__xludf.DUMMYFUNCTION("IF(L602="""","""",QUERY({'Dashboard-Dados'!$Y$2:$AA$13},""Select Col2 Where Col1=""&amp;L602))"),"")</f>
        <v/>
      </c>
      <c r="N602" s="29" t="str">
        <f>IFERROR(__xludf.DUMMYFUNCTION("IF(ISBLANK(B602),"""",IF(ISDATE(B602),TEXT(B602,""yyyy""),""""))"),"")</f>
        <v/>
      </c>
    </row>
    <row r="603">
      <c r="B603" s="87"/>
      <c r="C603" s="85"/>
      <c r="D603" s="76"/>
      <c r="H603" s="88"/>
      <c r="J603" s="53" t="str">
        <f>IFERROR(__xludf.DUMMYFUNCTION("IF(ISBLANK(B603),"""",IF(ISDATE(B603),""X"",""""))"),"")</f>
        <v/>
      </c>
      <c r="K603" s="40" t="str">
        <f>IFERROR(__xludf.DUMMYFUNCTION("IF(ISBLANK(B603),"""",IF(ISDATE(B603),H603,""""))"),"")</f>
        <v/>
      </c>
      <c r="L603" s="40" t="str">
        <f>IFERROR(__xludf.DUMMYFUNCTION("IF(ISBLANK(B603),"""",IF(ISDATE(B603),TEXT(B603,""M""),""""))"),"")</f>
        <v/>
      </c>
      <c r="M603" s="29" t="str">
        <f>IFERROR(__xludf.DUMMYFUNCTION("IF(L603="""","""",QUERY({'Dashboard-Dados'!$Y$2:$AA$13},""Select Col2 Where Col1=""&amp;L603))"),"")</f>
        <v/>
      </c>
      <c r="N603" s="29" t="str">
        <f>IFERROR(__xludf.DUMMYFUNCTION("IF(ISBLANK(B603),"""",IF(ISDATE(B603),TEXT(B603,""yyyy""),""""))"),"")</f>
        <v/>
      </c>
    </row>
    <row r="604">
      <c r="B604" s="89"/>
      <c r="C604" s="86"/>
      <c r="D604" s="71"/>
      <c r="H604" s="90"/>
      <c r="J604" s="53" t="str">
        <f>IFERROR(__xludf.DUMMYFUNCTION("IF(ISBLANK(B604),"""",IF(ISDATE(B604),""X"",""""))"),"")</f>
        <v/>
      </c>
      <c r="K604" s="40" t="str">
        <f>IFERROR(__xludf.DUMMYFUNCTION("IF(ISBLANK(B604),"""",IF(ISDATE(B604),H604,""""))"),"")</f>
        <v/>
      </c>
      <c r="L604" s="40" t="str">
        <f>IFERROR(__xludf.DUMMYFUNCTION("IF(ISBLANK(B604),"""",IF(ISDATE(B604),TEXT(B604,""M""),""""))"),"")</f>
        <v/>
      </c>
      <c r="M604" s="29" t="str">
        <f>IFERROR(__xludf.DUMMYFUNCTION("IF(L604="""","""",QUERY({'Dashboard-Dados'!$Y$2:$AA$13},""Select Col2 Where Col1=""&amp;L604))"),"")</f>
        <v/>
      </c>
      <c r="N604" s="29" t="str">
        <f>IFERROR(__xludf.DUMMYFUNCTION("IF(ISBLANK(B604),"""",IF(ISDATE(B604),TEXT(B604,""yyyy""),""""))"),"")</f>
        <v/>
      </c>
    </row>
    <row r="605">
      <c r="B605" s="87"/>
      <c r="C605" s="85"/>
      <c r="D605" s="76"/>
      <c r="H605" s="88"/>
      <c r="J605" s="53" t="str">
        <f>IFERROR(__xludf.DUMMYFUNCTION("IF(ISBLANK(B605),"""",IF(ISDATE(B605),""X"",""""))"),"")</f>
        <v/>
      </c>
      <c r="K605" s="40" t="str">
        <f>IFERROR(__xludf.DUMMYFUNCTION("IF(ISBLANK(B605),"""",IF(ISDATE(B605),H605,""""))"),"")</f>
        <v/>
      </c>
      <c r="L605" s="40" t="str">
        <f>IFERROR(__xludf.DUMMYFUNCTION("IF(ISBLANK(B605),"""",IF(ISDATE(B605),TEXT(B605,""M""),""""))"),"")</f>
        <v/>
      </c>
      <c r="M605" s="29" t="str">
        <f>IFERROR(__xludf.DUMMYFUNCTION("IF(L605="""","""",QUERY({'Dashboard-Dados'!$Y$2:$AA$13},""Select Col2 Where Col1=""&amp;L605))"),"")</f>
        <v/>
      </c>
      <c r="N605" s="29" t="str">
        <f>IFERROR(__xludf.DUMMYFUNCTION("IF(ISBLANK(B605),"""",IF(ISDATE(B605),TEXT(B605,""yyyy""),""""))"),"")</f>
        <v/>
      </c>
    </row>
    <row r="606">
      <c r="B606" s="89"/>
      <c r="C606" s="86"/>
      <c r="D606" s="71"/>
      <c r="H606" s="90"/>
      <c r="J606" s="53" t="str">
        <f>IFERROR(__xludf.DUMMYFUNCTION("IF(ISBLANK(B606),"""",IF(ISDATE(B606),""X"",""""))"),"")</f>
        <v/>
      </c>
      <c r="K606" s="40" t="str">
        <f>IFERROR(__xludf.DUMMYFUNCTION("IF(ISBLANK(B606),"""",IF(ISDATE(B606),H606,""""))"),"")</f>
        <v/>
      </c>
      <c r="L606" s="40" t="str">
        <f>IFERROR(__xludf.DUMMYFUNCTION("IF(ISBLANK(B606),"""",IF(ISDATE(B606),TEXT(B606,""M""),""""))"),"")</f>
        <v/>
      </c>
      <c r="M606" s="29" t="str">
        <f>IFERROR(__xludf.DUMMYFUNCTION("IF(L606="""","""",QUERY({'Dashboard-Dados'!$Y$2:$AA$13},""Select Col2 Where Col1=""&amp;L606))"),"")</f>
        <v/>
      </c>
      <c r="N606" s="29" t="str">
        <f>IFERROR(__xludf.DUMMYFUNCTION("IF(ISBLANK(B606),"""",IF(ISDATE(B606),TEXT(B606,""yyyy""),""""))"),"")</f>
        <v/>
      </c>
    </row>
    <row r="607">
      <c r="B607" s="87"/>
      <c r="C607" s="85"/>
      <c r="D607" s="76"/>
      <c r="H607" s="88"/>
      <c r="J607" s="53" t="str">
        <f>IFERROR(__xludf.DUMMYFUNCTION("IF(ISBLANK(B607),"""",IF(ISDATE(B607),""X"",""""))"),"")</f>
        <v/>
      </c>
      <c r="K607" s="40" t="str">
        <f>IFERROR(__xludf.DUMMYFUNCTION("IF(ISBLANK(B607),"""",IF(ISDATE(B607),H607,""""))"),"")</f>
        <v/>
      </c>
      <c r="L607" s="40" t="str">
        <f>IFERROR(__xludf.DUMMYFUNCTION("IF(ISBLANK(B607),"""",IF(ISDATE(B607),TEXT(B607,""M""),""""))"),"")</f>
        <v/>
      </c>
      <c r="M607" s="29" t="str">
        <f>IFERROR(__xludf.DUMMYFUNCTION("IF(L607="""","""",QUERY({'Dashboard-Dados'!$Y$2:$AA$13},""Select Col2 Where Col1=""&amp;L607))"),"")</f>
        <v/>
      </c>
      <c r="N607" s="29" t="str">
        <f>IFERROR(__xludf.DUMMYFUNCTION("IF(ISBLANK(B607),"""",IF(ISDATE(B607),TEXT(B607,""yyyy""),""""))"),"")</f>
        <v/>
      </c>
    </row>
    <row r="608">
      <c r="B608" s="89"/>
      <c r="C608" s="86"/>
      <c r="D608" s="71"/>
      <c r="H608" s="90"/>
      <c r="J608" s="53" t="str">
        <f>IFERROR(__xludf.DUMMYFUNCTION("IF(ISBLANK(B608),"""",IF(ISDATE(B608),""X"",""""))"),"")</f>
        <v/>
      </c>
      <c r="K608" s="40" t="str">
        <f>IFERROR(__xludf.DUMMYFUNCTION("IF(ISBLANK(B608),"""",IF(ISDATE(B608),H608,""""))"),"")</f>
        <v/>
      </c>
      <c r="L608" s="40" t="str">
        <f>IFERROR(__xludf.DUMMYFUNCTION("IF(ISBLANK(B608),"""",IF(ISDATE(B608),TEXT(B608,""M""),""""))"),"")</f>
        <v/>
      </c>
      <c r="M608" s="29" t="str">
        <f>IFERROR(__xludf.DUMMYFUNCTION("IF(L608="""","""",QUERY({'Dashboard-Dados'!$Y$2:$AA$13},""Select Col2 Where Col1=""&amp;L608))"),"")</f>
        <v/>
      </c>
      <c r="N608" s="29" t="str">
        <f>IFERROR(__xludf.DUMMYFUNCTION("IF(ISBLANK(B608),"""",IF(ISDATE(B608),TEXT(B608,""yyyy""),""""))"),"")</f>
        <v/>
      </c>
    </row>
    <row r="609">
      <c r="B609" s="87"/>
      <c r="C609" s="85"/>
      <c r="D609" s="76"/>
      <c r="H609" s="88"/>
      <c r="J609" s="53" t="str">
        <f>IFERROR(__xludf.DUMMYFUNCTION("IF(ISBLANK(B609),"""",IF(ISDATE(B609),""X"",""""))"),"")</f>
        <v/>
      </c>
      <c r="K609" s="40" t="str">
        <f>IFERROR(__xludf.DUMMYFUNCTION("IF(ISBLANK(B609),"""",IF(ISDATE(B609),H609,""""))"),"")</f>
        <v/>
      </c>
      <c r="L609" s="40" t="str">
        <f>IFERROR(__xludf.DUMMYFUNCTION("IF(ISBLANK(B609),"""",IF(ISDATE(B609),TEXT(B609,""M""),""""))"),"")</f>
        <v/>
      </c>
      <c r="M609" s="29" t="str">
        <f>IFERROR(__xludf.DUMMYFUNCTION("IF(L609="""","""",QUERY({'Dashboard-Dados'!$Y$2:$AA$13},""Select Col2 Where Col1=""&amp;L609))"),"")</f>
        <v/>
      </c>
      <c r="N609" s="29" t="str">
        <f>IFERROR(__xludf.DUMMYFUNCTION("IF(ISBLANK(B609),"""",IF(ISDATE(B609),TEXT(B609,""yyyy""),""""))"),"")</f>
        <v/>
      </c>
    </row>
    <row r="610">
      <c r="B610" s="89"/>
      <c r="C610" s="86"/>
      <c r="D610" s="71"/>
      <c r="H610" s="90"/>
      <c r="J610" s="53" t="str">
        <f>IFERROR(__xludf.DUMMYFUNCTION("IF(ISBLANK(B610),"""",IF(ISDATE(B610),""X"",""""))"),"")</f>
        <v/>
      </c>
      <c r="K610" s="40" t="str">
        <f>IFERROR(__xludf.DUMMYFUNCTION("IF(ISBLANK(B610),"""",IF(ISDATE(B610),H610,""""))"),"")</f>
        <v/>
      </c>
      <c r="L610" s="40" t="str">
        <f>IFERROR(__xludf.DUMMYFUNCTION("IF(ISBLANK(B610),"""",IF(ISDATE(B610),TEXT(B610,""M""),""""))"),"")</f>
        <v/>
      </c>
      <c r="M610" s="29" t="str">
        <f>IFERROR(__xludf.DUMMYFUNCTION("IF(L610="""","""",QUERY({'Dashboard-Dados'!$Y$2:$AA$13},""Select Col2 Where Col1=""&amp;L610))"),"")</f>
        <v/>
      </c>
      <c r="N610" s="29" t="str">
        <f>IFERROR(__xludf.DUMMYFUNCTION("IF(ISBLANK(B610),"""",IF(ISDATE(B610),TEXT(B610,""yyyy""),""""))"),"")</f>
        <v/>
      </c>
    </row>
    <row r="611">
      <c r="B611" s="87"/>
      <c r="C611" s="85"/>
      <c r="D611" s="76"/>
      <c r="H611" s="88"/>
      <c r="J611" s="53" t="str">
        <f>IFERROR(__xludf.DUMMYFUNCTION("IF(ISBLANK(B611),"""",IF(ISDATE(B611),""X"",""""))"),"")</f>
        <v/>
      </c>
      <c r="K611" s="40" t="str">
        <f>IFERROR(__xludf.DUMMYFUNCTION("IF(ISBLANK(B611),"""",IF(ISDATE(B611),H611,""""))"),"")</f>
        <v/>
      </c>
      <c r="L611" s="40" t="str">
        <f>IFERROR(__xludf.DUMMYFUNCTION("IF(ISBLANK(B611),"""",IF(ISDATE(B611),TEXT(B611,""M""),""""))"),"")</f>
        <v/>
      </c>
      <c r="M611" s="29" t="str">
        <f>IFERROR(__xludf.DUMMYFUNCTION("IF(L611="""","""",QUERY({'Dashboard-Dados'!$Y$2:$AA$13},""Select Col2 Where Col1=""&amp;L611))"),"")</f>
        <v/>
      </c>
      <c r="N611" s="29" t="str">
        <f>IFERROR(__xludf.DUMMYFUNCTION("IF(ISBLANK(B611),"""",IF(ISDATE(B611),TEXT(B611,""yyyy""),""""))"),"")</f>
        <v/>
      </c>
    </row>
    <row r="612">
      <c r="B612" s="89"/>
      <c r="C612" s="86"/>
      <c r="D612" s="71"/>
      <c r="H612" s="90"/>
      <c r="J612" s="53" t="str">
        <f>IFERROR(__xludf.DUMMYFUNCTION("IF(ISBLANK(B612),"""",IF(ISDATE(B612),""X"",""""))"),"")</f>
        <v/>
      </c>
      <c r="K612" s="40" t="str">
        <f>IFERROR(__xludf.DUMMYFUNCTION("IF(ISBLANK(B612),"""",IF(ISDATE(B612),H612,""""))"),"")</f>
        <v/>
      </c>
      <c r="L612" s="40" t="str">
        <f>IFERROR(__xludf.DUMMYFUNCTION("IF(ISBLANK(B612),"""",IF(ISDATE(B612),TEXT(B612,""M""),""""))"),"")</f>
        <v/>
      </c>
      <c r="M612" s="29" t="str">
        <f>IFERROR(__xludf.DUMMYFUNCTION("IF(L612="""","""",QUERY({'Dashboard-Dados'!$Y$2:$AA$13},""Select Col2 Where Col1=""&amp;L612))"),"")</f>
        <v/>
      </c>
      <c r="N612" s="29" t="str">
        <f>IFERROR(__xludf.DUMMYFUNCTION("IF(ISBLANK(B612),"""",IF(ISDATE(B612),TEXT(B612,""yyyy""),""""))"),"")</f>
        <v/>
      </c>
    </row>
    <row r="613">
      <c r="B613" s="87"/>
      <c r="C613" s="85"/>
      <c r="D613" s="76"/>
      <c r="H613" s="88"/>
      <c r="J613" s="53" t="str">
        <f>IFERROR(__xludf.DUMMYFUNCTION("IF(ISBLANK(B613),"""",IF(ISDATE(B613),""X"",""""))"),"")</f>
        <v/>
      </c>
      <c r="K613" s="40" t="str">
        <f>IFERROR(__xludf.DUMMYFUNCTION("IF(ISBLANK(B613),"""",IF(ISDATE(B613),H613,""""))"),"")</f>
        <v/>
      </c>
      <c r="L613" s="40" t="str">
        <f>IFERROR(__xludf.DUMMYFUNCTION("IF(ISBLANK(B613),"""",IF(ISDATE(B613),TEXT(B613,""M""),""""))"),"")</f>
        <v/>
      </c>
      <c r="M613" s="29" t="str">
        <f>IFERROR(__xludf.DUMMYFUNCTION("IF(L613="""","""",QUERY({'Dashboard-Dados'!$Y$2:$AA$13},""Select Col2 Where Col1=""&amp;L613))"),"")</f>
        <v/>
      </c>
      <c r="N613" s="29" t="str">
        <f>IFERROR(__xludf.DUMMYFUNCTION("IF(ISBLANK(B613),"""",IF(ISDATE(B613),TEXT(B613,""yyyy""),""""))"),"")</f>
        <v/>
      </c>
    </row>
    <row r="614">
      <c r="B614" s="89"/>
      <c r="C614" s="86"/>
      <c r="D614" s="71"/>
      <c r="H614" s="90"/>
      <c r="J614" s="53" t="str">
        <f>IFERROR(__xludf.DUMMYFUNCTION("IF(ISBLANK(B614),"""",IF(ISDATE(B614),""X"",""""))"),"")</f>
        <v/>
      </c>
      <c r="K614" s="40" t="str">
        <f>IFERROR(__xludf.DUMMYFUNCTION("IF(ISBLANK(B614),"""",IF(ISDATE(B614),H614,""""))"),"")</f>
        <v/>
      </c>
      <c r="L614" s="40" t="str">
        <f>IFERROR(__xludf.DUMMYFUNCTION("IF(ISBLANK(B614),"""",IF(ISDATE(B614),TEXT(B614,""M""),""""))"),"")</f>
        <v/>
      </c>
      <c r="M614" s="29" t="str">
        <f>IFERROR(__xludf.DUMMYFUNCTION("IF(L614="""","""",QUERY({'Dashboard-Dados'!$Y$2:$AA$13},""Select Col2 Where Col1=""&amp;L614))"),"")</f>
        <v/>
      </c>
      <c r="N614" s="29" t="str">
        <f>IFERROR(__xludf.DUMMYFUNCTION("IF(ISBLANK(B614),"""",IF(ISDATE(B614),TEXT(B614,""yyyy""),""""))"),"")</f>
        <v/>
      </c>
    </row>
    <row r="615">
      <c r="B615" s="87"/>
      <c r="C615" s="85"/>
      <c r="D615" s="76"/>
      <c r="H615" s="88"/>
      <c r="J615" s="53" t="str">
        <f>IFERROR(__xludf.DUMMYFUNCTION("IF(ISBLANK(B615),"""",IF(ISDATE(B615),""X"",""""))"),"")</f>
        <v/>
      </c>
      <c r="K615" s="40" t="str">
        <f>IFERROR(__xludf.DUMMYFUNCTION("IF(ISBLANK(B615),"""",IF(ISDATE(B615),H615,""""))"),"")</f>
        <v/>
      </c>
      <c r="L615" s="40" t="str">
        <f>IFERROR(__xludf.DUMMYFUNCTION("IF(ISBLANK(B615),"""",IF(ISDATE(B615),TEXT(B615,""M""),""""))"),"")</f>
        <v/>
      </c>
      <c r="M615" s="29" t="str">
        <f>IFERROR(__xludf.DUMMYFUNCTION("IF(L615="""","""",QUERY({'Dashboard-Dados'!$Y$2:$AA$13},""Select Col2 Where Col1=""&amp;L615))"),"")</f>
        <v/>
      </c>
      <c r="N615" s="29" t="str">
        <f>IFERROR(__xludf.DUMMYFUNCTION("IF(ISBLANK(B615),"""",IF(ISDATE(B615),TEXT(B615,""yyyy""),""""))"),"")</f>
        <v/>
      </c>
    </row>
    <row r="616">
      <c r="B616" s="89"/>
      <c r="C616" s="86"/>
      <c r="D616" s="71"/>
      <c r="H616" s="90"/>
      <c r="J616" s="53" t="str">
        <f>IFERROR(__xludf.DUMMYFUNCTION("IF(ISBLANK(B616),"""",IF(ISDATE(B616),""X"",""""))"),"")</f>
        <v/>
      </c>
      <c r="K616" s="40" t="str">
        <f>IFERROR(__xludf.DUMMYFUNCTION("IF(ISBLANK(B616),"""",IF(ISDATE(B616),H616,""""))"),"")</f>
        <v/>
      </c>
      <c r="L616" s="40" t="str">
        <f>IFERROR(__xludf.DUMMYFUNCTION("IF(ISBLANK(B616),"""",IF(ISDATE(B616),TEXT(B616,""M""),""""))"),"")</f>
        <v/>
      </c>
      <c r="M616" s="29" t="str">
        <f>IFERROR(__xludf.DUMMYFUNCTION("IF(L616="""","""",QUERY({'Dashboard-Dados'!$Y$2:$AA$13},""Select Col2 Where Col1=""&amp;L616))"),"")</f>
        <v/>
      </c>
      <c r="N616" s="29" t="str">
        <f>IFERROR(__xludf.DUMMYFUNCTION("IF(ISBLANK(B616),"""",IF(ISDATE(B616),TEXT(B616,""yyyy""),""""))"),"")</f>
        <v/>
      </c>
    </row>
    <row r="617">
      <c r="B617" s="87"/>
      <c r="C617" s="85"/>
      <c r="D617" s="76"/>
      <c r="H617" s="88"/>
      <c r="J617" s="53" t="str">
        <f>IFERROR(__xludf.DUMMYFUNCTION("IF(ISBLANK(B617),"""",IF(ISDATE(B617),""X"",""""))"),"")</f>
        <v/>
      </c>
      <c r="K617" s="40" t="str">
        <f>IFERROR(__xludf.DUMMYFUNCTION("IF(ISBLANK(B617),"""",IF(ISDATE(B617),H617,""""))"),"")</f>
        <v/>
      </c>
      <c r="L617" s="40" t="str">
        <f>IFERROR(__xludf.DUMMYFUNCTION("IF(ISBLANK(B617),"""",IF(ISDATE(B617),TEXT(B617,""M""),""""))"),"")</f>
        <v/>
      </c>
      <c r="M617" s="29" t="str">
        <f>IFERROR(__xludf.DUMMYFUNCTION("IF(L617="""","""",QUERY({'Dashboard-Dados'!$Y$2:$AA$13},""Select Col2 Where Col1=""&amp;L617))"),"")</f>
        <v/>
      </c>
      <c r="N617" s="29" t="str">
        <f>IFERROR(__xludf.DUMMYFUNCTION("IF(ISBLANK(B617),"""",IF(ISDATE(B617),TEXT(B617,""yyyy""),""""))"),"")</f>
        <v/>
      </c>
    </row>
    <row r="618">
      <c r="B618" s="89"/>
      <c r="C618" s="86"/>
      <c r="D618" s="71"/>
      <c r="H618" s="90"/>
      <c r="J618" s="53" t="str">
        <f>IFERROR(__xludf.DUMMYFUNCTION("IF(ISBLANK(B618),"""",IF(ISDATE(B618),""X"",""""))"),"")</f>
        <v/>
      </c>
      <c r="K618" s="40" t="str">
        <f>IFERROR(__xludf.DUMMYFUNCTION("IF(ISBLANK(B618),"""",IF(ISDATE(B618),H618,""""))"),"")</f>
        <v/>
      </c>
      <c r="L618" s="40" t="str">
        <f>IFERROR(__xludf.DUMMYFUNCTION("IF(ISBLANK(B618),"""",IF(ISDATE(B618),TEXT(B618,""M""),""""))"),"")</f>
        <v/>
      </c>
      <c r="M618" s="29" t="str">
        <f>IFERROR(__xludf.DUMMYFUNCTION("IF(L618="""","""",QUERY({'Dashboard-Dados'!$Y$2:$AA$13},""Select Col2 Where Col1=""&amp;L618))"),"")</f>
        <v/>
      </c>
      <c r="N618" s="29" t="str">
        <f>IFERROR(__xludf.DUMMYFUNCTION("IF(ISBLANK(B618),"""",IF(ISDATE(B618),TEXT(B618,""yyyy""),""""))"),"")</f>
        <v/>
      </c>
    </row>
    <row r="619">
      <c r="B619" s="87"/>
      <c r="C619" s="85"/>
      <c r="D619" s="76"/>
      <c r="H619" s="88"/>
      <c r="J619" s="53" t="str">
        <f>IFERROR(__xludf.DUMMYFUNCTION("IF(ISBLANK(B619),"""",IF(ISDATE(B619),""X"",""""))"),"")</f>
        <v/>
      </c>
      <c r="K619" s="40" t="str">
        <f>IFERROR(__xludf.DUMMYFUNCTION("IF(ISBLANK(B619),"""",IF(ISDATE(B619),H619,""""))"),"")</f>
        <v/>
      </c>
      <c r="L619" s="40" t="str">
        <f>IFERROR(__xludf.DUMMYFUNCTION("IF(ISBLANK(B619),"""",IF(ISDATE(B619),TEXT(B619,""M""),""""))"),"")</f>
        <v/>
      </c>
      <c r="M619" s="29" t="str">
        <f>IFERROR(__xludf.DUMMYFUNCTION("IF(L619="""","""",QUERY({'Dashboard-Dados'!$Y$2:$AA$13},""Select Col2 Where Col1=""&amp;L619))"),"")</f>
        <v/>
      </c>
      <c r="N619" s="29" t="str">
        <f>IFERROR(__xludf.DUMMYFUNCTION("IF(ISBLANK(B619),"""",IF(ISDATE(B619),TEXT(B619,""yyyy""),""""))"),"")</f>
        <v/>
      </c>
    </row>
    <row r="620">
      <c r="B620" s="89"/>
      <c r="C620" s="86"/>
      <c r="D620" s="71"/>
      <c r="H620" s="90"/>
      <c r="J620" s="53" t="str">
        <f>IFERROR(__xludf.DUMMYFUNCTION("IF(ISBLANK(B620),"""",IF(ISDATE(B620),""X"",""""))"),"")</f>
        <v/>
      </c>
      <c r="K620" s="40" t="str">
        <f>IFERROR(__xludf.DUMMYFUNCTION("IF(ISBLANK(B620),"""",IF(ISDATE(B620),H620,""""))"),"")</f>
        <v/>
      </c>
      <c r="L620" s="40" t="str">
        <f>IFERROR(__xludf.DUMMYFUNCTION("IF(ISBLANK(B620),"""",IF(ISDATE(B620),TEXT(B620,""M""),""""))"),"")</f>
        <v/>
      </c>
      <c r="M620" s="29" t="str">
        <f>IFERROR(__xludf.DUMMYFUNCTION("IF(L620="""","""",QUERY({'Dashboard-Dados'!$Y$2:$AA$13},""Select Col2 Where Col1=""&amp;L620))"),"")</f>
        <v/>
      </c>
      <c r="N620" s="29" t="str">
        <f>IFERROR(__xludf.DUMMYFUNCTION("IF(ISBLANK(B620),"""",IF(ISDATE(B620),TEXT(B620,""yyyy""),""""))"),"")</f>
        <v/>
      </c>
    </row>
    <row r="621">
      <c r="B621" s="87"/>
      <c r="C621" s="85"/>
      <c r="D621" s="76"/>
      <c r="H621" s="88"/>
      <c r="J621" s="53" t="str">
        <f>IFERROR(__xludf.DUMMYFUNCTION("IF(ISBLANK(B621),"""",IF(ISDATE(B621),""X"",""""))"),"")</f>
        <v/>
      </c>
      <c r="K621" s="40" t="str">
        <f>IFERROR(__xludf.DUMMYFUNCTION("IF(ISBLANK(B621),"""",IF(ISDATE(B621),H621,""""))"),"")</f>
        <v/>
      </c>
      <c r="L621" s="40" t="str">
        <f>IFERROR(__xludf.DUMMYFUNCTION("IF(ISBLANK(B621),"""",IF(ISDATE(B621),TEXT(B621,""M""),""""))"),"")</f>
        <v/>
      </c>
      <c r="M621" s="29" t="str">
        <f>IFERROR(__xludf.DUMMYFUNCTION("IF(L621="""","""",QUERY({'Dashboard-Dados'!$Y$2:$AA$13},""Select Col2 Where Col1=""&amp;L621))"),"")</f>
        <v/>
      </c>
      <c r="N621" s="29" t="str">
        <f>IFERROR(__xludf.DUMMYFUNCTION("IF(ISBLANK(B621),"""",IF(ISDATE(B621),TEXT(B621,""yyyy""),""""))"),"")</f>
        <v/>
      </c>
    </row>
    <row r="622">
      <c r="B622" s="89"/>
      <c r="C622" s="86"/>
      <c r="D622" s="71"/>
      <c r="H622" s="90"/>
      <c r="J622" s="53" t="str">
        <f>IFERROR(__xludf.DUMMYFUNCTION("IF(ISBLANK(B622),"""",IF(ISDATE(B622),""X"",""""))"),"")</f>
        <v/>
      </c>
      <c r="K622" s="40" t="str">
        <f>IFERROR(__xludf.DUMMYFUNCTION("IF(ISBLANK(B622),"""",IF(ISDATE(B622),H622,""""))"),"")</f>
        <v/>
      </c>
      <c r="L622" s="40" t="str">
        <f>IFERROR(__xludf.DUMMYFUNCTION("IF(ISBLANK(B622),"""",IF(ISDATE(B622),TEXT(B622,""M""),""""))"),"")</f>
        <v/>
      </c>
      <c r="M622" s="29" t="str">
        <f>IFERROR(__xludf.DUMMYFUNCTION("IF(L622="""","""",QUERY({'Dashboard-Dados'!$Y$2:$AA$13},""Select Col2 Where Col1=""&amp;L622))"),"")</f>
        <v/>
      </c>
      <c r="N622" s="29" t="str">
        <f>IFERROR(__xludf.DUMMYFUNCTION("IF(ISBLANK(B622),"""",IF(ISDATE(B622),TEXT(B622,""yyyy""),""""))"),"")</f>
        <v/>
      </c>
    </row>
    <row r="623">
      <c r="B623" s="87"/>
      <c r="C623" s="85"/>
      <c r="D623" s="76"/>
      <c r="H623" s="88"/>
      <c r="J623" s="53" t="str">
        <f>IFERROR(__xludf.DUMMYFUNCTION("IF(ISBLANK(B623),"""",IF(ISDATE(B623),""X"",""""))"),"")</f>
        <v/>
      </c>
      <c r="K623" s="40" t="str">
        <f>IFERROR(__xludf.DUMMYFUNCTION("IF(ISBLANK(B623),"""",IF(ISDATE(B623),H623,""""))"),"")</f>
        <v/>
      </c>
      <c r="L623" s="40" t="str">
        <f>IFERROR(__xludf.DUMMYFUNCTION("IF(ISBLANK(B623),"""",IF(ISDATE(B623),TEXT(B623,""M""),""""))"),"")</f>
        <v/>
      </c>
      <c r="M623" s="29" t="str">
        <f>IFERROR(__xludf.DUMMYFUNCTION("IF(L623="""","""",QUERY({'Dashboard-Dados'!$Y$2:$AA$13},""Select Col2 Where Col1=""&amp;L623))"),"")</f>
        <v/>
      </c>
      <c r="N623" s="29" t="str">
        <f>IFERROR(__xludf.DUMMYFUNCTION("IF(ISBLANK(B623),"""",IF(ISDATE(B623),TEXT(B623,""yyyy""),""""))"),"")</f>
        <v/>
      </c>
    </row>
    <row r="624">
      <c r="B624" s="89"/>
      <c r="C624" s="86"/>
      <c r="D624" s="71"/>
      <c r="H624" s="90"/>
      <c r="J624" s="53" t="str">
        <f>IFERROR(__xludf.DUMMYFUNCTION("IF(ISBLANK(B624),"""",IF(ISDATE(B624),""X"",""""))"),"")</f>
        <v/>
      </c>
      <c r="K624" s="40" t="str">
        <f>IFERROR(__xludf.DUMMYFUNCTION("IF(ISBLANK(B624),"""",IF(ISDATE(B624),H624,""""))"),"")</f>
        <v/>
      </c>
      <c r="L624" s="40" t="str">
        <f>IFERROR(__xludf.DUMMYFUNCTION("IF(ISBLANK(B624),"""",IF(ISDATE(B624),TEXT(B624,""M""),""""))"),"")</f>
        <v/>
      </c>
      <c r="M624" s="29" t="str">
        <f>IFERROR(__xludf.DUMMYFUNCTION("IF(L624="""","""",QUERY({'Dashboard-Dados'!$Y$2:$AA$13},""Select Col2 Where Col1=""&amp;L624))"),"")</f>
        <v/>
      </c>
      <c r="N624" s="29" t="str">
        <f>IFERROR(__xludf.DUMMYFUNCTION("IF(ISBLANK(B624),"""",IF(ISDATE(B624),TEXT(B624,""yyyy""),""""))"),"")</f>
        <v/>
      </c>
    </row>
    <row r="625">
      <c r="B625" s="87"/>
      <c r="C625" s="85"/>
      <c r="D625" s="76"/>
      <c r="H625" s="88"/>
      <c r="J625" s="53" t="str">
        <f>IFERROR(__xludf.DUMMYFUNCTION("IF(ISBLANK(B625),"""",IF(ISDATE(B625),""X"",""""))"),"")</f>
        <v/>
      </c>
      <c r="K625" s="40" t="str">
        <f>IFERROR(__xludf.DUMMYFUNCTION("IF(ISBLANK(B625),"""",IF(ISDATE(B625),H625,""""))"),"")</f>
        <v/>
      </c>
      <c r="L625" s="40" t="str">
        <f>IFERROR(__xludf.DUMMYFUNCTION("IF(ISBLANK(B625),"""",IF(ISDATE(B625),TEXT(B625,""M""),""""))"),"")</f>
        <v/>
      </c>
      <c r="M625" s="29" t="str">
        <f>IFERROR(__xludf.DUMMYFUNCTION("IF(L625="""","""",QUERY({'Dashboard-Dados'!$Y$2:$AA$13},""Select Col2 Where Col1=""&amp;L625))"),"")</f>
        <v/>
      </c>
      <c r="N625" s="29" t="str">
        <f>IFERROR(__xludf.DUMMYFUNCTION("IF(ISBLANK(B625),"""",IF(ISDATE(B625),TEXT(B625,""yyyy""),""""))"),"")</f>
        <v/>
      </c>
    </row>
    <row r="626">
      <c r="B626" s="89"/>
      <c r="C626" s="86"/>
      <c r="D626" s="71"/>
      <c r="H626" s="90"/>
      <c r="J626" s="53" t="str">
        <f>IFERROR(__xludf.DUMMYFUNCTION("IF(ISBLANK(B626),"""",IF(ISDATE(B626),""X"",""""))"),"")</f>
        <v/>
      </c>
      <c r="K626" s="40" t="str">
        <f>IFERROR(__xludf.DUMMYFUNCTION("IF(ISBLANK(B626),"""",IF(ISDATE(B626),H626,""""))"),"")</f>
        <v/>
      </c>
      <c r="L626" s="40" t="str">
        <f>IFERROR(__xludf.DUMMYFUNCTION("IF(ISBLANK(B626),"""",IF(ISDATE(B626),TEXT(B626,""M""),""""))"),"")</f>
        <v/>
      </c>
      <c r="M626" s="29" t="str">
        <f>IFERROR(__xludf.DUMMYFUNCTION("IF(L626="""","""",QUERY({'Dashboard-Dados'!$Y$2:$AA$13},""Select Col2 Where Col1=""&amp;L626))"),"")</f>
        <v/>
      </c>
      <c r="N626" s="29" t="str">
        <f>IFERROR(__xludf.DUMMYFUNCTION("IF(ISBLANK(B626),"""",IF(ISDATE(B626),TEXT(B626,""yyyy""),""""))"),"")</f>
        <v/>
      </c>
    </row>
    <row r="627">
      <c r="B627" s="87"/>
      <c r="C627" s="85"/>
      <c r="D627" s="76"/>
      <c r="H627" s="88"/>
      <c r="J627" s="53" t="str">
        <f>IFERROR(__xludf.DUMMYFUNCTION("IF(ISBLANK(B627),"""",IF(ISDATE(B627),""X"",""""))"),"")</f>
        <v/>
      </c>
      <c r="K627" s="40" t="str">
        <f>IFERROR(__xludf.DUMMYFUNCTION("IF(ISBLANK(B627),"""",IF(ISDATE(B627),H627,""""))"),"")</f>
        <v/>
      </c>
      <c r="L627" s="40" t="str">
        <f>IFERROR(__xludf.DUMMYFUNCTION("IF(ISBLANK(B627),"""",IF(ISDATE(B627),TEXT(B627,""M""),""""))"),"")</f>
        <v/>
      </c>
      <c r="M627" s="29" t="str">
        <f>IFERROR(__xludf.DUMMYFUNCTION("IF(L627="""","""",QUERY({'Dashboard-Dados'!$Y$2:$AA$13},""Select Col2 Where Col1=""&amp;L627))"),"")</f>
        <v/>
      </c>
      <c r="N627" s="29" t="str">
        <f>IFERROR(__xludf.DUMMYFUNCTION("IF(ISBLANK(B627),"""",IF(ISDATE(B627),TEXT(B627,""yyyy""),""""))"),"")</f>
        <v/>
      </c>
    </row>
    <row r="628">
      <c r="B628" s="89"/>
      <c r="C628" s="86"/>
      <c r="D628" s="71"/>
      <c r="H628" s="90"/>
      <c r="J628" s="53" t="str">
        <f>IFERROR(__xludf.DUMMYFUNCTION("IF(ISBLANK(B628),"""",IF(ISDATE(B628),""X"",""""))"),"")</f>
        <v/>
      </c>
      <c r="K628" s="40" t="str">
        <f>IFERROR(__xludf.DUMMYFUNCTION("IF(ISBLANK(B628),"""",IF(ISDATE(B628),H628,""""))"),"")</f>
        <v/>
      </c>
      <c r="L628" s="40" t="str">
        <f>IFERROR(__xludf.DUMMYFUNCTION("IF(ISBLANK(B628),"""",IF(ISDATE(B628),TEXT(B628,""M""),""""))"),"")</f>
        <v/>
      </c>
      <c r="M628" s="29" t="str">
        <f>IFERROR(__xludf.DUMMYFUNCTION("IF(L628="""","""",QUERY({'Dashboard-Dados'!$Y$2:$AA$13},""Select Col2 Where Col1=""&amp;L628))"),"")</f>
        <v/>
      </c>
      <c r="N628" s="29" t="str">
        <f>IFERROR(__xludf.DUMMYFUNCTION("IF(ISBLANK(B628),"""",IF(ISDATE(B628),TEXT(B628,""yyyy""),""""))"),"")</f>
        <v/>
      </c>
    </row>
    <row r="629">
      <c r="B629" s="87"/>
      <c r="C629" s="85"/>
      <c r="D629" s="76"/>
      <c r="H629" s="88"/>
      <c r="J629" s="53" t="str">
        <f>IFERROR(__xludf.DUMMYFUNCTION("IF(ISBLANK(B629),"""",IF(ISDATE(B629),""X"",""""))"),"")</f>
        <v/>
      </c>
      <c r="K629" s="40" t="str">
        <f>IFERROR(__xludf.DUMMYFUNCTION("IF(ISBLANK(B629),"""",IF(ISDATE(B629),H629,""""))"),"")</f>
        <v/>
      </c>
      <c r="L629" s="40" t="str">
        <f>IFERROR(__xludf.DUMMYFUNCTION("IF(ISBLANK(B629),"""",IF(ISDATE(B629),TEXT(B629,""M""),""""))"),"")</f>
        <v/>
      </c>
      <c r="M629" s="29" t="str">
        <f>IFERROR(__xludf.DUMMYFUNCTION("IF(L629="""","""",QUERY({'Dashboard-Dados'!$Y$2:$AA$13},""Select Col2 Where Col1=""&amp;L629))"),"")</f>
        <v/>
      </c>
      <c r="N629" s="29" t="str">
        <f>IFERROR(__xludf.DUMMYFUNCTION("IF(ISBLANK(B629),"""",IF(ISDATE(B629),TEXT(B629,""yyyy""),""""))"),"")</f>
        <v/>
      </c>
    </row>
    <row r="630">
      <c r="B630" s="89"/>
      <c r="C630" s="86"/>
      <c r="D630" s="71"/>
      <c r="H630" s="90"/>
      <c r="J630" s="53" t="str">
        <f>IFERROR(__xludf.DUMMYFUNCTION("IF(ISBLANK(B630),"""",IF(ISDATE(B630),""X"",""""))"),"")</f>
        <v/>
      </c>
      <c r="K630" s="40" t="str">
        <f>IFERROR(__xludf.DUMMYFUNCTION("IF(ISBLANK(B630),"""",IF(ISDATE(B630),H630,""""))"),"")</f>
        <v/>
      </c>
      <c r="L630" s="40" t="str">
        <f>IFERROR(__xludf.DUMMYFUNCTION("IF(ISBLANK(B630),"""",IF(ISDATE(B630),TEXT(B630,""M""),""""))"),"")</f>
        <v/>
      </c>
      <c r="M630" s="29" t="str">
        <f>IFERROR(__xludf.DUMMYFUNCTION("IF(L630="""","""",QUERY({'Dashboard-Dados'!$Y$2:$AA$13},""Select Col2 Where Col1=""&amp;L630))"),"")</f>
        <v/>
      </c>
      <c r="N630" s="29" t="str">
        <f>IFERROR(__xludf.DUMMYFUNCTION("IF(ISBLANK(B630),"""",IF(ISDATE(B630),TEXT(B630,""yyyy""),""""))"),"")</f>
        <v/>
      </c>
    </row>
    <row r="631">
      <c r="B631" s="87"/>
      <c r="C631" s="85"/>
      <c r="D631" s="76"/>
      <c r="H631" s="88"/>
      <c r="J631" s="53" t="str">
        <f>IFERROR(__xludf.DUMMYFUNCTION("IF(ISBLANK(B631),"""",IF(ISDATE(B631),""X"",""""))"),"")</f>
        <v/>
      </c>
      <c r="K631" s="40" t="str">
        <f>IFERROR(__xludf.DUMMYFUNCTION("IF(ISBLANK(B631),"""",IF(ISDATE(B631),H631,""""))"),"")</f>
        <v/>
      </c>
      <c r="L631" s="40" t="str">
        <f>IFERROR(__xludf.DUMMYFUNCTION("IF(ISBLANK(B631),"""",IF(ISDATE(B631),TEXT(B631,""M""),""""))"),"")</f>
        <v/>
      </c>
      <c r="M631" s="29" t="str">
        <f>IFERROR(__xludf.DUMMYFUNCTION("IF(L631="""","""",QUERY({'Dashboard-Dados'!$Y$2:$AA$13},""Select Col2 Where Col1=""&amp;L631))"),"")</f>
        <v/>
      </c>
      <c r="N631" s="29" t="str">
        <f>IFERROR(__xludf.DUMMYFUNCTION("IF(ISBLANK(B631),"""",IF(ISDATE(B631),TEXT(B631,""yyyy""),""""))"),"")</f>
        <v/>
      </c>
    </row>
    <row r="632">
      <c r="B632" s="89"/>
      <c r="C632" s="86"/>
      <c r="D632" s="71"/>
      <c r="H632" s="90"/>
      <c r="J632" s="53" t="str">
        <f>IFERROR(__xludf.DUMMYFUNCTION("IF(ISBLANK(B632),"""",IF(ISDATE(B632),""X"",""""))"),"")</f>
        <v/>
      </c>
      <c r="K632" s="40" t="str">
        <f>IFERROR(__xludf.DUMMYFUNCTION("IF(ISBLANK(B632),"""",IF(ISDATE(B632),H632,""""))"),"")</f>
        <v/>
      </c>
      <c r="L632" s="40" t="str">
        <f>IFERROR(__xludf.DUMMYFUNCTION("IF(ISBLANK(B632),"""",IF(ISDATE(B632),TEXT(B632,""M""),""""))"),"")</f>
        <v/>
      </c>
      <c r="M632" s="29" t="str">
        <f>IFERROR(__xludf.DUMMYFUNCTION("IF(L632="""","""",QUERY({'Dashboard-Dados'!$Y$2:$AA$13},""Select Col2 Where Col1=""&amp;L632))"),"")</f>
        <v/>
      </c>
      <c r="N632" s="29" t="str">
        <f>IFERROR(__xludf.DUMMYFUNCTION("IF(ISBLANK(B632),"""",IF(ISDATE(B632),TEXT(B632,""yyyy""),""""))"),"")</f>
        <v/>
      </c>
    </row>
    <row r="633">
      <c r="B633" s="87"/>
      <c r="C633" s="85"/>
      <c r="D633" s="76"/>
      <c r="H633" s="88"/>
      <c r="J633" s="53" t="str">
        <f>IFERROR(__xludf.DUMMYFUNCTION("IF(ISBLANK(B633),"""",IF(ISDATE(B633),""X"",""""))"),"")</f>
        <v/>
      </c>
      <c r="K633" s="40" t="str">
        <f>IFERROR(__xludf.DUMMYFUNCTION("IF(ISBLANK(B633),"""",IF(ISDATE(B633),H633,""""))"),"")</f>
        <v/>
      </c>
      <c r="L633" s="40" t="str">
        <f>IFERROR(__xludf.DUMMYFUNCTION("IF(ISBLANK(B633),"""",IF(ISDATE(B633),TEXT(B633,""M""),""""))"),"")</f>
        <v/>
      </c>
      <c r="M633" s="29" t="str">
        <f>IFERROR(__xludf.DUMMYFUNCTION("IF(L633="""","""",QUERY({'Dashboard-Dados'!$Y$2:$AA$13},""Select Col2 Where Col1=""&amp;L633))"),"")</f>
        <v/>
      </c>
      <c r="N633" s="29" t="str">
        <f>IFERROR(__xludf.DUMMYFUNCTION("IF(ISBLANK(B633),"""",IF(ISDATE(B633),TEXT(B633,""yyyy""),""""))"),"")</f>
        <v/>
      </c>
    </row>
    <row r="634">
      <c r="B634" s="89"/>
      <c r="C634" s="86"/>
      <c r="D634" s="71"/>
      <c r="H634" s="90"/>
      <c r="J634" s="53" t="str">
        <f>IFERROR(__xludf.DUMMYFUNCTION("IF(ISBLANK(B634),"""",IF(ISDATE(B634),""X"",""""))"),"")</f>
        <v/>
      </c>
      <c r="K634" s="40" t="str">
        <f>IFERROR(__xludf.DUMMYFUNCTION("IF(ISBLANK(B634),"""",IF(ISDATE(B634),H634,""""))"),"")</f>
        <v/>
      </c>
      <c r="L634" s="40" t="str">
        <f>IFERROR(__xludf.DUMMYFUNCTION("IF(ISBLANK(B634),"""",IF(ISDATE(B634),TEXT(B634,""M""),""""))"),"")</f>
        <v/>
      </c>
      <c r="M634" s="29" t="str">
        <f>IFERROR(__xludf.DUMMYFUNCTION("IF(L634="""","""",QUERY({'Dashboard-Dados'!$Y$2:$AA$13},""Select Col2 Where Col1=""&amp;L634))"),"")</f>
        <v/>
      </c>
      <c r="N634" s="29" t="str">
        <f>IFERROR(__xludf.DUMMYFUNCTION("IF(ISBLANK(B634),"""",IF(ISDATE(B634),TEXT(B634,""yyyy""),""""))"),"")</f>
        <v/>
      </c>
    </row>
    <row r="635">
      <c r="B635" s="87"/>
      <c r="C635" s="85"/>
      <c r="D635" s="76"/>
      <c r="H635" s="88"/>
      <c r="J635" s="53" t="str">
        <f>IFERROR(__xludf.DUMMYFUNCTION("IF(ISBLANK(B635),"""",IF(ISDATE(B635),""X"",""""))"),"")</f>
        <v/>
      </c>
      <c r="K635" s="40" t="str">
        <f>IFERROR(__xludf.DUMMYFUNCTION("IF(ISBLANK(B635),"""",IF(ISDATE(B635),H635,""""))"),"")</f>
        <v/>
      </c>
      <c r="L635" s="40" t="str">
        <f>IFERROR(__xludf.DUMMYFUNCTION("IF(ISBLANK(B635),"""",IF(ISDATE(B635),TEXT(B635,""M""),""""))"),"")</f>
        <v/>
      </c>
      <c r="M635" s="29" t="str">
        <f>IFERROR(__xludf.DUMMYFUNCTION("IF(L635="""","""",QUERY({'Dashboard-Dados'!$Y$2:$AA$13},""Select Col2 Where Col1=""&amp;L635))"),"")</f>
        <v/>
      </c>
      <c r="N635" s="29" t="str">
        <f>IFERROR(__xludf.DUMMYFUNCTION("IF(ISBLANK(B635),"""",IF(ISDATE(B635),TEXT(B635,""yyyy""),""""))"),"")</f>
        <v/>
      </c>
    </row>
    <row r="636">
      <c r="B636" s="89"/>
      <c r="C636" s="86"/>
      <c r="D636" s="71"/>
      <c r="H636" s="90"/>
      <c r="J636" s="53" t="str">
        <f>IFERROR(__xludf.DUMMYFUNCTION("IF(ISBLANK(B636),"""",IF(ISDATE(B636),""X"",""""))"),"")</f>
        <v/>
      </c>
      <c r="K636" s="40" t="str">
        <f>IFERROR(__xludf.DUMMYFUNCTION("IF(ISBLANK(B636),"""",IF(ISDATE(B636),H636,""""))"),"")</f>
        <v/>
      </c>
      <c r="L636" s="40" t="str">
        <f>IFERROR(__xludf.DUMMYFUNCTION("IF(ISBLANK(B636),"""",IF(ISDATE(B636),TEXT(B636,""M""),""""))"),"")</f>
        <v/>
      </c>
      <c r="M636" s="29" t="str">
        <f>IFERROR(__xludf.DUMMYFUNCTION("IF(L636="""","""",QUERY({'Dashboard-Dados'!$Y$2:$AA$13},""Select Col2 Where Col1=""&amp;L636))"),"")</f>
        <v/>
      </c>
      <c r="N636" s="29" t="str">
        <f>IFERROR(__xludf.DUMMYFUNCTION("IF(ISBLANK(B636),"""",IF(ISDATE(B636),TEXT(B636,""yyyy""),""""))"),"")</f>
        <v/>
      </c>
    </row>
    <row r="637">
      <c r="B637" s="87"/>
      <c r="C637" s="85"/>
      <c r="D637" s="76"/>
      <c r="H637" s="88"/>
      <c r="J637" s="53" t="str">
        <f>IFERROR(__xludf.DUMMYFUNCTION("IF(ISBLANK(B637),"""",IF(ISDATE(B637),""X"",""""))"),"")</f>
        <v/>
      </c>
      <c r="K637" s="40" t="str">
        <f>IFERROR(__xludf.DUMMYFUNCTION("IF(ISBLANK(B637),"""",IF(ISDATE(B637),H637,""""))"),"")</f>
        <v/>
      </c>
      <c r="L637" s="40" t="str">
        <f>IFERROR(__xludf.DUMMYFUNCTION("IF(ISBLANK(B637),"""",IF(ISDATE(B637),TEXT(B637,""M""),""""))"),"")</f>
        <v/>
      </c>
      <c r="M637" s="29" t="str">
        <f>IFERROR(__xludf.DUMMYFUNCTION("IF(L637="""","""",QUERY({'Dashboard-Dados'!$Y$2:$AA$13},""Select Col2 Where Col1=""&amp;L637))"),"")</f>
        <v/>
      </c>
      <c r="N637" s="29" t="str">
        <f>IFERROR(__xludf.DUMMYFUNCTION("IF(ISBLANK(B637),"""",IF(ISDATE(B637),TEXT(B637,""yyyy""),""""))"),"")</f>
        <v/>
      </c>
    </row>
    <row r="638">
      <c r="B638" s="89"/>
      <c r="C638" s="86"/>
      <c r="D638" s="71"/>
      <c r="H638" s="90"/>
      <c r="J638" s="53" t="str">
        <f>IFERROR(__xludf.DUMMYFUNCTION("IF(ISBLANK(B638),"""",IF(ISDATE(B638),""X"",""""))"),"")</f>
        <v/>
      </c>
      <c r="K638" s="40" t="str">
        <f>IFERROR(__xludf.DUMMYFUNCTION("IF(ISBLANK(B638),"""",IF(ISDATE(B638),H638,""""))"),"")</f>
        <v/>
      </c>
      <c r="L638" s="40" t="str">
        <f>IFERROR(__xludf.DUMMYFUNCTION("IF(ISBLANK(B638),"""",IF(ISDATE(B638),TEXT(B638,""M""),""""))"),"")</f>
        <v/>
      </c>
      <c r="M638" s="29" t="str">
        <f>IFERROR(__xludf.DUMMYFUNCTION("IF(L638="""","""",QUERY({'Dashboard-Dados'!$Y$2:$AA$13},""Select Col2 Where Col1=""&amp;L638))"),"")</f>
        <v/>
      </c>
      <c r="N638" s="29" t="str">
        <f>IFERROR(__xludf.DUMMYFUNCTION("IF(ISBLANK(B638),"""",IF(ISDATE(B638),TEXT(B638,""yyyy""),""""))"),"")</f>
        <v/>
      </c>
    </row>
    <row r="639">
      <c r="B639" s="87"/>
      <c r="C639" s="85"/>
      <c r="D639" s="76"/>
      <c r="H639" s="88"/>
      <c r="J639" s="53" t="str">
        <f>IFERROR(__xludf.DUMMYFUNCTION("IF(ISBLANK(B639),"""",IF(ISDATE(B639),""X"",""""))"),"")</f>
        <v/>
      </c>
      <c r="K639" s="40" t="str">
        <f>IFERROR(__xludf.DUMMYFUNCTION("IF(ISBLANK(B639),"""",IF(ISDATE(B639),H639,""""))"),"")</f>
        <v/>
      </c>
      <c r="L639" s="40" t="str">
        <f>IFERROR(__xludf.DUMMYFUNCTION("IF(ISBLANK(B639),"""",IF(ISDATE(B639),TEXT(B639,""M""),""""))"),"")</f>
        <v/>
      </c>
      <c r="M639" s="29" t="str">
        <f>IFERROR(__xludf.DUMMYFUNCTION("IF(L639="""","""",QUERY({'Dashboard-Dados'!$Y$2:$AA$13},""Select Col2 Where Col1=""&amp;L639))"),"")</f>
        <v/>
      </c>
      <c r="N639" s="29" t="str">
        <f>IFERROR(__xludf.DUMMYFUNCTION("IF(ISBLANK(B639),"""",IF(ISDATE(B639),TEXT(B639,""yyyy""),""""))"),"")</f>
        <v/>
      </c>
    </row>
    <row r="640">
      <c r="B640" s="89"/>
      <c r="C640" s="86"/>
      <c r="D640" s="71"/>
      <c r="H640" s="90"/>
      <c r="J640" s="53" t="str">
        <f>IFERROR(__xludf.DUMMYFUNCTION("IF(ISBLANK(B640),"""",IF(ISDATE(B640),""X"",""""))"),"")</f>
        <v/>
      </c>
      <c r="K640" s="40" t="str">
        <f>IFERROR(__xludf.DUMMYFUNCTION("IF(ISBLANK(B640),"""",IF(ISDATE(B640),H640,""""))"),"")</f>
        <v/>
      </c>
      <c r="L640" s="40" t="str">
        <f>IFERROR(__xludf.DUMMYFUNCTION("IF(ISBLANK(B640),"""",IF(ISDATE(B640),TEXT(B640,""M""),""""))"),"")</f>
        <v/>
      </c>
      <c r="M640" s="29" t="str">
        <f>IFERROR(__xludf.DUMMYFUNCTION("IF(L640="""","""",QUERY({'Dashboard-Dados'!$Y$2:$AA$13},""Select Col2 Where Col1=""&amp;L640))"),"")</f>
        <v/>
      </c>
      <c r="N640" s="29" t="str">
        <f>IFERROR(__xludf.DUMMYFUNCTION("IF(ISBLANK(B640),"""",IF(ISDATE(B640),TEXT(B640,""yyyy""),""""))"),"")</f>
        <v/>
      </c>
    </row>
    <row r="641">
      <c r="B641" s="87"/>
      <c r="C641" s="85"/>
      <c r="D641" s="76"/>
      <c r="H641" s="88"/>
      <c r="J641" s="53" t="str">
        <f>IFERROR(__xludf.DUMMYFUNCTION("IF(ISBLANK(B641),"""",IF(ISDATE(B641),""X"",""""))"),"")</f>
        <v/>
      </c>
      <c r="K641" s="40" t="str">
        <f>IFERROR(__xludf.DUMMYFUNCTION("IF(ISBLANK(B641),"""",IF(ISDATE(B641),H641,""""))"),"")</f>
        <v/>
      </c>
      <c r="L641" s="40" t="str">
        <f>IFERROR(__xludf.DUMMYFUNCTION("IF(ISBLANK(B641),"""",IF(ISDATE(B641),TEXT(B641,""M""),""""))"),"")</f>
        <v/>
      </c>
      <c r="M641" s="29" t="str">
        <f>IFERROR(__xludf.DUMMYFUNCTION("IF(L641="""","""",QUERY({'Dashboard-Dados'!$Y$2:$AA$13},""Select Col2 Where Col1=""&amp;L641))"),"")</f>
        <v/>
      </c>
      <c r="N641" s="29" t="str">
        <f>IFERROR(__xludf.DUMMYFUNCTION("IF(ISBLANK(B641),"""",IF(ISDATE(B641),TEXT(B641,""yyyy""),""""))"),"")</f>
        <v/>
      </c>
    </row>
    <row r="642">
      <c r="B642" s="89"/>
      <c r="C642" s="86"/>
      <c r="D642" s="71"/>
      <c r="H642" s="90"/>
      <c r="J642" s="53" t="str">
        <f>IFERROR(__xludf.DUMMYFUNCTION("IF(ISBLANK(B642),"""",IF(ISDATE(B642),""X"",""""))"),"")</f>
        <v/>
      </c>
      <c r="K642" s="40" t="str">
        <f>IFERROR(__xludf.DUMMYFUNCTION("IF(ISBLANK(B642),"""",IF(ISDATE(B642),H642,""""))"),"")</f>
        <v/>
      </c>
      <c r="L642" s="40" t="str">
        <f>IFERROR(__xludf.DUMMYFUNCTION("IF(ISBLANK(B642),"""",IF(ISDATE(B642),TEXT(B642,""M""),""""))"),"")</f>
        <v/>
      </c>
      <c r="M642" s="29" t="str">
        <f>IFERROR(__xludf.DUMMYFUNCTION("IF(L642="""","""",QUERY({'Dashboard-Dados'!$Y$2:$AA$13},""Select Col2 Where Col1=""&amp;L642))"),"")</f>
        <v/>
      </c>
      <c r="N642" s="29" t="str">
        <f>IFERROR(__xludf.DUMMYFUNCTION("IF(ISBLANK(B642),"""",IF(ISDATE(B642),TEXT(B642,""yyyy""),""""))"),"")</f>
        <v/>
      </c>
    </row>
    <row r="643">
      <c r="B643" s="87"/>
      <c r="C643" s="85"/>
      <c r="D643" s="76"/>
      <c r="H643" s="88"/>
      <c r="J643" s="53" t="str">
        <f>IFERROR(__xludf.DUMMYFUNCTION("IF(ISBLANK(B643),"""",IF(ISDATE(B643),""X"",""""))"),"")</f>
        <v/>
      </c>
      <c r="K643" s="40" t="str">
        <f>IFERROR(__xludf.DUMMYFUNCTION("IF(ISBLANK(B643),"""",IF(ISDATE(B643),H643,""""))"),"")</f>
        <v/>
      </c>
      <c r="L643" s="40" t="str">
        <f>IFERROR(__xludf.DUMMYFUNCTION("IF(ISBLANK(B643),"""",IF(ISDATE(B643),TEXT(B643,""M""),""""))"),"")</f>
        <v/>
      </c>
      <c r="M643" s="29" t="str">
        <f>IFERROR(__xludf.DUMMYFUNCTION("IF(L643="""","""",QUERY({'Dashboard-Dados'!$Y$2:$AA$13},""Select Col2 Where Col1=""&amp;L643))"),"")</f>
        <v/>
      </c>
      <c r="N643" s="29" t="str">
        <f>IFERROR(__xludf.DUMMYFUNCTION("IF(ISBLANK(B643),"""",IF(ISDATE(B643),TEXT(B643,""yyyy""),""""))"),"")</f>
        <v/>
      </c>
    </row>
    <row r="644">
      <c r="B644" s="89"/>
      <c r="C644" s="86"/>
      <c r="D644" s="71"/>
      <c r="H644" s="90"/>
      <c r="J644" s="53" t="str">
        <f>IFERROR(__xludf.DUMMYFUNCTION("IF(ISBLANK(B644),"""",IF(ISDATE(B644),""X"",""""))"),"")</f>
        <v/>
      </c>
      <c r="K644" s="40" t="str">
        <f>IFERROR(__xludf.DUMMYFUNCTION("IF(ISBLANK(B644),"""",IF(ISDATE(B644),H644,""""))"),"")</f>
        <v/>
      </c>
      <c r="L644" s="40" t="str">
        <f>IFERROR(__xludf.DUMMYFUNCTION("IF(ISBLANK(B644),"""",IF(ISDATE(B644),TEXT(B644,""M""),""""))"),"")</f>
        <v/>
      </c>
      <c r="M644" s="29" t="str">
        <f>IFERROR(__xludf.DUMMYFUNCTION("IF(L644="""","""",QUERY({'Dashboard-Dados'!$Y$2:$AA$13},""Select Col2 Where Col1=""&amp;L644))"),"")</f>
        <v/>
      </c>
      <c r="N644" s="29" t="str">
        <f>IFERROR(__xludf.DUMMYFUNCTION("IF(ISBLANK(B644),"""",IF(ISDATE(B644),TEXT(B644,""yyyy""),""""))"),"")</f>
        <v/>
      </c>
    </row>
    <row r="645">
      <c r="B645" s="87"/>
      <c r="C645" s="85"/>
      <c r="D645" s="76"/>
      <c r="H645" s="88"/>
      <c r="J645" s="53" t="str">
        <f>IFERROR(__xludf.DUMMYFUNCTION("IF(ISBLANK(B645),"""",IF(ISDATE(B645),""X"",""""))"),"")</f>
        <v/>
      </c>
      <c r="K645" s="40" t="str">
        <f>IFERROR(__xludf.DUMMYFUNCTION("IF(ISBLANK(B645),"""",IF(ISDATE(B645),H645,""""))"),"")</f>
        <v/>
      </c>
      <c r="L645" s="40" t="str">
        <f>IFERROR(__xludf.DUMMYFUNCTION("IF(ISBLANK(B645),"""",IF(ISDATE(B645),TEXT(B645,""M""),""""))"),"")</f>
        <v/>
      </c>
      <c r="M645" s="29" t="str">
        <f>IFERROR(__xludf.DUMMYFUNCTION("IF(L645="""","""",QUERY({'Dashboard-Dados'!$Y$2:$AA$13},""Select Col2 Where Col1=""&amp;L645))"),"")</f>
        <v/>
      </c>
      <c r="N645" s="29" t="str">
        <f>IFERROR(__xludf.DUMMYFUNCTION("IF(ISBLANK(B645),"""",IF(ISDATE(B645),TEXT(B645,""yyyy""),""""))"),"")</f>
        <v/>
      </c>
    </row>
    <row r="646">
      <c r="B646" s="89"/>
      <c r="C646" s="86"/>
      <c r="D646" s="71"/>
      <c r="H646" s="90"/>
      <c r="J646" s="53" t="str">
        <f>IFERROR(__xludf.DUMMYFUNCTION("IF(ISBLANK(B646),"""",IF(ISDATE(B646),""X"",""""))"),"")</f>
        <v/>
      </c>
      <c r="K646" s="40" t="str">
        <f>IFERROR(__xludf.DUMMYFUNCTION("IF(ISBLANK(B646),"""",IF(ISDATE(B646),H646,""""))"),"")</f>
        <v/>
      </c>
      <c r="L646" s="40" t="str">
        <f>IFERROR(__xludf.DUMMYFUNCTION("IF(ISBLANK(B646),"""",IF(ISDATE(B646),TEXT(B646,""M""),""""))"),"")</f>
        <v/>
      </c>
      <c r="M646" s="29" t="str">
        <f>IFERROR(__xludf.DUMMYFUNCTION("IF(L646="""","""",QUERY({'Dashboard-Dados'!$Y$2:$AA$13},""Select Col2 Where Col1=""&amp;L646))"),"")</f>
        <v/>
      </c>
      <c r="N646" s="29" t="str">
        <f>IFERROR(__xludf.DUMMYFUNCTION("IF(ISBLANK(B646),"""",IF(ISDATE(B646),TEXT(B646,""yyyy""),""""))"),"")</f>
        <v/>
      </c>
    </row>
    <row r="647">
      <c r="B647" s="87"/>
      <c r="C647" s="85"/>
      <c r="D647" s="76"/>
      <c r="H647" s="88"/>
      <c r="J647" s="53" t="str">
        <f>IFERROR(__xludf.DUMMYFUNCTION("IF(ISBLANK(B647),"""",IF(ISDATE(B647),""X"",""""))"),"")</f>
        <v/>
      </c>
      <c r="K647" s="40" t="str">
        <f>IFERROR(__xludf.DUMMYFUNCTION("IF(ISBLANK(B647),"""",IF(ISDATE(B647),H647,""""))"),"")</f>
        <v/>
      </c>
      <c r="L647" s="40" t="str">
        <f>IFERROR(__xludf.DUMMYFUNCTION("IF(ISBLANK(B647),"""",IF(ISDATE(B647),TEXT(B647,""M""),""""))"),"")</f>
        <v/>
      </c>
      <c r="M647" s="29" t="str">
        <f>IFERROR(__xludf.DUMMYFUNCTION("IF(L647="""","""",QUERY({'Dashboard-Dados'!$Y$2:$AA$13},""Select Col2 Where Col1=""&amp;L647))"),"")</f>
        <v/>
      </c>
      <c r="N647" s="29" t="str">
        <f>IFERROR(__xludf.DUMMYFUNCTION("IF(ISBLANK(B647),"""",IF(ISDATE(B647),TEXT(B647,""yyyy""),""""))"),"")</f>
        <v/>
      </c>
    </row>
    <row r="648">
      <c r="B648" s="89"/>
      <c r="C648" s="86"/>
      <c r="D648" s="71"/>
      <c r="H648" s="90"/>
      <c r="J648" s="53" t="str">
        <f>IFERROR(__xludf.DUMMYFUNCTION("IF(ISBLANK(B648),"""",IF(ISDATE(B648),""X"",""""))"),"")</f>
        <v/>
      </c>
      <c r="K648" s="40" t="str">
        <f>IFERROR(__xludf.DUMMYFUNCTION("IF(ISBLANK(B648),"""",IF(ISDATE(B648),H648,""""))"),"")</f>
        <v/>
      </c>
      <c r="L648" s="40" t="str">
        <f>IFERROR(__xludf.DUMMYFUNCTION("IF(ISBLANK(B648),"""",IF(ISDATE(B648),TEXT(B648,""M""),""""))"),"")</f>
        <v/>
      </c>
      <c r="M648" s="29" t="str">
        <f>IFERROR(__xludf.DUMMYFUNCTION("IF(L648="""","""",QUERY({'Dashboard-Dados'!$Y$2:$AA$13},""Select Col2 Where Col1=""&amp;L648))"),"")</f>
        <v/>
      </c>
      <c r="N648" s="29" t="str">
        <f>IFERROR(__xludf.DUMMYFUNCTION("IF(ISBLANK(B648),"""",IF(ISDATE(B648),TEXT(B648,""yyyy""),""""))"),"")</f>
        <v/>
      </c>
    </row>
    <row r="649">
      <c r="B649" s="87"/>
      <c r="C649" s="85"/>
      <c r="D649" s="76"/>
      <c r="H649" s="88"/>
      <c r="J649" s="53" t="str">
        <f>IFERROR(__xludf.DUMMYFUNCTION("IF(ISBLANK(B649),"""",IF(ISDATE(B649),""X"",""""))"),"")</f>
        <v/>
      </c>
      <c r="K649" s="40" t="str">
        <f>IFERROR(__xludf.DUMMYFUNCTION("IF(ISBLANK(B649),"""",IF(ISDATE(B649),H649,""""))"),"")</f>
        <v/>
      </c>
      <c r="L649" s="40" t="str">
        <f>IFERROR(__xludf.DUMMYFUNCTION("IF(ISBLANK(B649),"""",IF(ISDATE(B649),TEXT(B649,""M""),""""))"),"")</f>
        <v/>
      </c>
      <c r="M649" s="29" t="str">
        <f>IFERROR(__xludf.DUMMYFUNCTION("IF(L649="""","""",QUERY({'Dashboard-Dados'!$Y$2:$AA$13},""Select Col2 Where Col1=""&amp;L649))"),"")</f>
        <v/>
      </c>
      <c r="N649" s="29" t="str">
        <f>IFERROR(__xludf.DUMMYFUNCTION("IF(ISBLANK(B649),"""",IF(ISDATE(B649),TEXT(B649,""yyyy""),""""))"),"")</f>
        <v/>
      </c>
    </row>
    <row r="650">
      <c r="B650" s="89"/>
      <c r="C650" s="86"/>
      <c r="D650" s="71"/>
      <c r="H650" s="90"/>
      <c r="J650" s="53" t="str">
        <f>IFERROR(__xludf.DUMMYFUNCTION("IF(ISBLANK(B650),"""",IF(ISDATE(B650),""X"",""""))"),"")</f>
        <v/>
      </c>
      <c r="K650" s="40" t="str">
        <f>IFERROR(__xludf.DUMMYFUNCTION("IF(ISBLANK(B650),"""",IF(ISDATE(B650),H650,""""))"),"")</f>
        <v/>
      </c>
      <c r="L650" s="40" t="str">
        <f>IFERROR(__xludf.DUMMYFUNCTION("IF(ISBLANK(B650),"""",IF(ISDATE(B650),TEXT(B650,""M""),""""))"),"")</f>
        <v/>
      </c>
      <c r="M650" s="29" t="str">
        <f>IFERROR(__xludf.DUMMYFUNCTION("IF(L650="""","""",QUERY({'Dashboard-Dados'!$Y$2:$AA$13},""Select Col2 Where Col1=""&amp;L650))"),"")</f>
        <v/>
      </c>
      <c r="N650" s="29" t="str">
        <f>IFERROR(__xludf.DUMMYFUNCTION("IF(ISBLANK(B650),"""",IF(ISDATE(B650),TEXT(B650,""yyyy""),""""))"),"")</f>
        <v/>
      </c>
    </row>
    <row r="651">
      <c r="B651" s="87"/>
      <c r="C651" s="85"/>
      <c r="D651" s="76"/>
      <c r="H651" s="88"/>
      <c r="J651" s="53" t="str">
        <f>IFERROR(__xludf.DUMMYFUNCTION("IF(ISBLANK(B651),"""",IF(ISDATE(B651),""X"",""""))"),"")</f>
        <v/>
      </c>
      <c r="K651" s="40" t="str">
        <f>IFERROR(__xludf.DUMMYFUNCTION("IF(ISBLANK(B651),"""",IF(ISDATE(B651),H651,""""))"),"")</f>
        <v/>
      </c>
      <c r="L651" s="40" t="str">
        <f>IFERROR(__xludf.DUMMYFUNCTION("IF(ISBLANK(B651),"""",IF(ISDATE(B651),TEXT(B651,""M""),""""))"),"")</f>
        <v/>
      </c>
      <c r="M651" s="29" t="str">
        <f>IFERROR(__xludf.DUMMYFUNCTION("IF(L651="""","""",QUERY({'Dashboard-Dados'!$Y$2:$AA$13},""Select Col2 Where Col1=""&amp;L651))"),"")</f>
        <v/>
      </c>
      <c r="N651" s="29" t="str">
        <f>IFERROR(__xludf.DUMMYFUNCTION("IF(ISBLANK(B651),"""",IF(ISDATE(B651),TEXT(B651,""yyyy""),""""))"),"")</f>
        <v/>
      </c>
    </row>
    <row r="652">
      <c r="B652" s="89"/>
      <c r="C652" s="86"/>
      <c r="D652" s="71"/>
      <c r="H652" s="90"/>
      <c r="J652" s="53" t="str">
        <f>IFERROR(__xludf.DUMMYFUNCTION("IF(ISBLANK(B652),"""",IF(ISDATE(B652),""X"",""""))"),"")</f>
        <v/>
      </c>
      <c r="K652" s="40" t="str">
        <f>IFERROR(__xludf.DUMMYFUNCTION("IF(ISBLANK(B652),"""",IF(ISDATE(B652),H652,""""))"),"")</f>
        <v/>
      </c>
      <c r="L652" s="40" t="str">
        <f>IFERROR(__xludf.DUMMYFUNCTION("IF(ISBLANK(B652),"""",IF(ISDATE(B652),TEXT(B652,""M""),""""))"),"")</f>
        <v/>
      </c>
      <c r="M652" s="29" t="str">
        <f>IFERROR(__xludf.DUMMYFUNCTION("IF(L652="""","""",QUERY({'Dashboard-Dados'!$Y$2:$AA$13},""Select Col2 Where Col1=""&amp;L652))"),"")</f>
        <v/>
      </c>
      <c r="N652" s="29" t="str">
        <f>IFERROR(__xludf.DUMMYFUNCTION("IF(ISBLANK(B652),"""",IF(ISDATE(B652),TEXT(B652,""yyyy""),""""))"),"")</f>
        <v/>
      </c>
    </row>
    <row r="653">
      <c r="B653" s="87"/>
      <c r="C653" s="85"/>
      <c r="D653" s="76"/>
      <c r="H653" s="88"/>
      <c r="J653" s="53" t="str">
        <f>IFERROR(__xludf.DUMMYFUNCTION("IF(ISBLANK(B653),"""",IF(ISDATE(B653),""X"",""""))"),"")</f>
        <v/>
      </c>
      <c r="K653" s="40" t="str">
        <f>IFERROR(__xludf.DUMMYFUNCTION("IF(ISBLANK(B653),"""",IF(ISDATE(B653),H653,""""))"),"")</f>
        <v/>
      </c>
      <c r="L653" s="40" t="str">
        <f>IFERROR(__xludf.DUMMYFUNCTION("IF(ISBLANK(B653),"""",IF(ISDATE(B653),TEXT(B653,""M""),""""))"),"")</f>
        <v/>
      </c>
      <c r="M653" s="29" t="str">
        <f>IFERROR(__xludf.DUMMYFUNCTION("IF(L653="""","""",QUERY({'Dashboard-Dados'!$Y$2:$AA$13},""Select Col2 Where Col1=""&amp;L653))"),"")</f>
        <v/>
      </c>
      <c r="N653" s="29" t="str">
        <f>IFERROR(__xludf.DUMMYFUNCTION("IF(ISBLANK(B653),"""",IF(ISDATE(B653),TEXT(B653,""yyyy""),""""))"),"")</f>
        <v/>
      </c>
    </row>
    <row r="654">
      <c r="B654" s="89"/>
      <c r="C654" s="86"/>
      <c r="D654" s="71"/>
      <c r="H654" s="90"/>
      <c r="J654" s="53" t="str">
        <f>IFERROR(__xludf.DUMMYFUNCTION("IF(ISBLANK(B654),"""",IF(ISDATE(B654),""X"",""""))"),"")</f>
        <v/>
      </c>
      <c r="K654" s="40" t="str">
        <f>IFERROR(__xludf.DUMMYFUNCTION("IF(ISBLANK(B654),"""",IF(ISDATE(B654),H654,""""))"),"")</f>
        <v/>
      </c>
      <c r="L654" s="40" t="str">
        <f>IFERROR(__xludf.DUMMYFUNCTION("IF(ISBLANK(B654),"""",IF(ISDATE(B654),TEXT(B654,""M""),""""))"),"")</f>
        <v/>
      </c>
      <c r="M654" s="29" t="str">
        <f>IFERROR(__xludf.DUMMYFUNCTION("IF(L654="""","""",QUERY({'Dashboard-Dados'!$Y$2:$AA$13},""Select Col2 Where Col1=""&amp;L654))"),"")</f>
        <v/>
      </c>
      <c r="N654" s="29" t="str">
        <f>IFERROR(__xludf.DUMMYFUNCTION("IF(ISBLANK(B654),"""",IF(ISDATE(B654),TEXT(B654,""yyyy""),""""))"),"")</f>
        <v/>
      </c>
    </row>
    <row r="655">
      <c r="B655" s="87"/>
      <c r="C655" s="85"/>
      <c r="D655" s="76"/>
      <c r="H655" s="88"/>
      <c r="J655" s="53" t="str">
        <f>IFERROR(__xludf.DUMMYFUNCTION("IF(ISBLANK(B655),"""",IF(ISDATE(B655),""X"",""""))"),"")</f>
        <v/>
      </c>
      <c r="K655" s="40" t="str">
        <f>IFERROR(__xludf.DUMMYFUNCTION("IF(ISBLANK(B655),"""",IF(ISDATE(B655),H655,""""))"),"")</f>
        <v/>
      </c>
      <c r="L655" s="40" t="str">
        <f>IFERROR(__xludf.DUMMYFUNCTION("IF(ISBLANK(B655),"""",IF(ISDATE(B655),TEXT(B655,""M""),""""))"),"")</f>
        <v/>
      </c>
      <c r="M655" s="29" t="str">
        <f>IFERROR(__xludf.DUMMYFUNCTION("IF(L655="""","""",QUERY({'Dashboard-Dados'!$Y$2:$AA$13},""Select Col2 Where Col1=""&amp;L655))"),"")</f>
        <v/>
      </c>
      <c r="N655" s="29" t="str">
        <f>IFERROR(__xludf.DUMMYFUNCTION("IF(ISBLANK(B655),"""",IF(ISDATE(B655),TEXT(B655,""yyyy""),""""))"),"")</f>
        <v/>
      </c>
    </row>
    <row r="656">
      <c r="B656" s="89"/>
      <c r="C656" s="86"/>
      <c r="D656" s="71"/>
      <c r="H656" s="90"/>
      <c r="J656" s="53" t="str">
        <f>IFERROR(__xludf.DUMMYFUNCTION("IF(ISBLANK(B656),"""",IF(ISDATE(B656),""X"",""""))"),"")</f>
        <v/>
      </c>
      <c r="K656" s="40" t="str">
        <f>IFERROR(__xludf.DUMMYFUNCTION("IF(ISBLANK(B656),"""",IF(ISDATE(B656),H656,""""))"),"")</f>
        <v/>
      </c>
      <c r="L656" s="40" t="str">
        <f>IFERROR(__xludf.DUMMYFUNCTION("IF(ISBLANK(B656),"""",IF(ISDATE(B656),TEXT(B656,""M""),""""))"),"")</f>
        <v/>
      </c>
      <c r="M656" s="29" t="str">
        <f>IFERROR(__xludf.DUMMYFUNCTION("IF(L656="""","""",QUERY({'Dashboard-Dados'!$Y$2:$AA$13},""Select Col2 Where Col1=""&amp;L656))"),"")</f>
        <v/>
      </c>
      <c r="N656" s="29" t="str">
        <f>IFERROR(__xludf.DUMMYFUNCTION("IF(ISBLANK(B656),"""",IF(ISDATE(B656),TEXT(B656,""yyyy""),""""))"),"")</f>
        <v/>
      </c>
    </row>
    <row r="657">
      <c r="B657" s="87"/>
      <c r="C657" s="85"/>
      <c r="D657" s="76"/>
      <c r="H657" s="88"/>
      <c r="J657" s="53" t="str">
        <f>IFERROR(__xludf.DUMMYFUNCTION("IF(ISBLANK(B657),"""",IF(ISDATE(B657),""X"",""""))"),"")</f>
        <v/>
      </c>
      <c r="K657" s="40" t="str">
        <f>IFERROR(__xludf.DUMMYFUNCTION("IF(ISBLANK(B657),"""",IF(ISDATE(B657),H657,""""))"),"")</f>
        <v/>
      </c>
      <c r="L657" s="40" t="str">
        <f>IFERROR(__xludf.DUMMYFUNCTION("IF(ISBLANK(B657),"""",IF(ISDATE(B657),TEXT(B657,""M""),""""))"),"")</f>
        <v/>
      </c>
      <c r="M657" s="29" t="str">
        <f>IFERROR(__xludf.DUMMYFUNCTION("IF(L657="""","""",QUERY({'Dashboard-Dados'!$Y$2:$AA$13},""Select Col2 Where Col1=""&amp;L657))"),"")</f>
        <v/>
      </c>
      <c r="N657" s="29" t="str">
        <f>IFERROR(__xludf.DUMMYFUNCTION("IF(ISBLANK(B657),"""",IF(ISDATE(B657),TEXT(B657,""yyyy""),""""))"),"")</f>
        <v/>
      </c>
    </row>
    <row r="658">
      <c r="B658" s="89"/>
      <c r="C658" s="86"/>
      <c r="D658" s="71"/>
      <c r="H658" s="90"/>
      <c r="J658" s="53" t="str">
        <f>IFERROR(__xludf.DUMMYFUNCTION("IF(ISBLANK(B658),"""",IF(ISDATE(B658),""X"",""""))"),"")</f>
        <v/>
      </c>
      <c r="K658" s="40" t="str">
        <f>IFERROR(__xludf.DUMMYFUNCTION("IF(ISBLANK(B658),"""",IF(ISDATE(B658),H658,""""))"),"")</f>
        <v/>
      </c>
      <c r="L658" s="40" t="str">
        <f>IFERROR(__xludf.DUMMYFUNCTION("IF(ISBLANK(B658),"""",IF(ISDATE(B658),TEXT(B658,""M""),""""))"),"")</f>
        <v/>
      </c>
      <c r="M658" s="29" t="str">
        <f>IFERROR(__xludf.DUMMYFUNCTION("IF(L658="""","""",QUERY({'Dashboard-Dados'!$Y$2:$AA$13},""Select Col2 Where Col1=""&amp;L658))"),"")</f>
        <v/>
      </c>
      <c r="N658" s="29" t="str">
        <f>IFERROR(__xludf.DUMMYFUNCTION("IF(ISBLANK(B658),"""",IF(ISDATE(B658),TEXT(B658,""yyyy""),""""))"),"")</f>
        <v/>
      </c>
    </row>
    <row r="659">
      <c r="B659" s="87"/>
      <c r="C659" s="85"/>
      <c r="D659" s="76"/>
      <c r="H659" s="88"/>
      <c r="J659" s="53" t="str">
        <f>IFERROR(__xludf.DUMMYFUNCTION("IF(ISBLANK(B659),"""",IF(ISDATE(B659),""X"",""""))"),"")</f>
        <v/>
      </c>
      <c r="K659" s="40" t="str">
        <f>IFERROR(__xludf.DUMMYFUNCTION("IF(ISBLANK(B659),"""",IF(ISDATE(B659),H659,""""))"),"")</f>
        <v/>
      </c>
      <c r="L659" s="40" t="str">
        <f>IFERROR(__xludf.DUMMYFUNCTION("IF(ISBLANK(B659),"""",IF(ISDATE(B659),TEXT(B659,""M""),""""))"),"")</f>
        <v/>
      </c>
      <c r="M659" s="29" t="str">
        <f>IFERROR(__xludf.DUMMYFUNCTION("IF(L659="""","""",QUERY({'Dashboard-Dados'!$Y$2:$AA$13},""Select Col2 Where Col1=""&amp;L659))"),"")</f>
        <v/>
      </c>
      <c r="N659" s="29" t="str">
        <f>IFERROR(__xludf.DUMMYFUNCTION("IF(ISBLANK(B659),"""",IF(ISDATE(B659),TEXT(B659,""yyyy""),""""))"),"")</f>
        <v/>
      </c>
    </row>
    <row r="660">
      <c r="B660" s="89"/>
      <c r="C660" s="86"/>
      <c r="D660" s="71"/>
      <c r="H660" s="90"/>
      <c r="J660" s="53" t="str">
        <f>IFERROR(__xludf.DUMMYFUNCTION("IF(ISBLANK(B660),"""",IF(ISDATE(B660),""X"",""""))"),"")</f>
        <v/>
      </c>
      <c r="K660" s="40" t="str">
        <f>IFERROR(__xludf.DUMMYFUNCTION("IF(ISBLANK(B660),"""",IF(ISDATE(B660),H660,""""))"),"")</f>
        <v/>
      </c>
      <c r="L660" s="40" t="str">
        <f>IFERROR(__xludf.DUMMYFUNCTION("IF(ISBLANK(B660),"""",IF(ISDATE(B660),TEXT(B660,""M""),""""))"),"")</f>
        <v/>
      </c>
      <c r="M660" s="29" t="str">
        <f>IFERROR(__xludf.DUMMYFUNCTION("IF(L660="""","""",QUERY({'Dashboard-Dados'!$Y$2:$AA$13},""Select Col2 Where Col1=""&amp;L660))"),"")</f>
        <v/>
      </c>
      <c r="N660" s="29" t="str">
        <f>IFERROR(__xludf.DUMMYFUNCTION("IF(ISBLANK(B660),"""",IF(ISDATE(B660),TEXT(B660,""yyyy""),""""))"),"")</f>
        <v/>
      </c>
    </row>
    <row r="661">
      <c r="B661" s="87"/>
      <c r="C661" s="85"/>
      <c r="D661" s="76"/>
      <c r="H661" s="88"/>
      <c r="J661" s="53" t="str">
        <f>IFERROR(__xludf.DUMMYFUNCTION("IF(ISBLANK(B661),"""",IF(ISDATE(B661),""X"",""""))"),"")</f>
        <v/>
      </c>
      <c r="K661" s="40" t="str">
        <f>IFERROR(__xludf.DUMMYFUNCTION("IF(ISBLANK(B661),"""",IF(ISDATE(B661),H661,""""))"),"")</f>
        <v/>
      </c>
      <c r="L661" s="40" t="str">
        <f>IFERROR(__xludf.DUMMYFUNCTION("IF(ISBLANK(B661),"""",IF(ISDATE(B661),TEXT(B661,""M""),""""))"),"")</f>
        <v/>
      </c>
      <c r="M661" s="29" t="str">
        <f>IFERROR(__xludf.DUMMYFUNCTION("IF(L661="""","""",QUERY({'Dashboard-Dados'!$Y$2:$AA$13},""Select Col2 Where Col1=""&amp;L661))"),"")</f>
        <v/>
      </c>
      <c r="N661" s="29" t="str">
        <f>IFERROR(__xludf.DUMMYFUNCTION("IF(ISBLANK(B661),"""",IF(ISDATE(B661),TEXT(B661,""yyyy""),""""))"),"")</f>
        <v/>
      </c>
    </row>
    <row r="662">
      <c r="B662" s="89"/>
      <c r="C662" s="86"/>
      <c r="D662" s="71"/>
      <c r="H662" s="90"/>
      <c r="J662" s="53" t="str">
        <f>IFERROR(__xludf.DUMMYFUNCTION("IF(ISBLANK(B662),"""",IF(ISDATE(B662),""X"",""""))"),"")</f>
        <v/>
      </c>
      <c r="K662" s="40" t="str">
        <f>IFERROR(__xludf.DUMMYFUNCTION("IF(ISBLANK(B662),"""",IF(ISDATE(B662),H662,""""))"),"")</f>
        <v/>
      </c>
      <c r="L662" s="40" t="str">
        <f>IFERROR(__xludf.DUMMYFUNCTION("IF(ISBLANK(B662),"""",IF(ISDATE(B662),TEXT(B662,""M""),""""))"),"")</f>
        <v/>
      </c>
      <c r="M662" s="29" t="str">
        <f>IFERROR(__xludf.DUMMYFUNCTION("IF(L662="""","""",QUERY({'Dashboard-Dados'!$Y$2:$AA$13},""Select Col2 Where Col1=""&amp;L662))"),"")</f>
        <v/>
      </c>
      <c r="N662" s="29" t="str">
        <f>IFERROR(__xludf.DUMMYFUNCTION("IF(ISBLANK(B662),"""",IF(ISDATE(B662),TEXT(B662,""yyyy""),""""))"),"")</f>
        <v/>
      </c>
    </row>
    <row r="663">
      <c r="B663" s="87"/>
      <c r="C663" s="85"/>
      <c r="D663" s="76"/>
      <c r="H663" s="88"/>
      <c r="J663" s="53" t="str">
        <f>IFERROR(__xludf.DUMMYFUNCTION("IF(ISBLANK(B663),"""",IF(ISDATE(B663),""X"",""""))"),"")</f>
        <v/>
      </c>
      <c r="K663" s="40" t="str">
        <f>IFERROR(__xludf.DUMMYFUNCTION("IF(ISBLANK(B663),"""",IF(ISDATE(B663),H663,""""))"),"")</f>
        <v/>
      </c>
      <c r="L663" s="40" t="str">
        <f>IFERROR(__xludf.DUMMYFUNCTION("IF(ISBLANK(B663),"""",IF(ISDATE(B663),TEXT(B663,""M""),""""))"),"")</f>
        <v/>
      </c>
      <c r="M663" s="29" t="str">
        <f>IFERROR(__xludf.DUMMYFUNCTION("IF(L663="""","""",QUERY({'Dashboard-Dados'!$Y$2:$AA$13},""Select Col2 Where Col1=""&amp;L663))"),"")</f>
        <v/>
      </c>
      <c r="N663" s="29" t="str">
        <f>IFERROR(__xludf.DUMMYFUNCTION("IF(ISBLANK(B663),"""",IF(ISDATE(B663),TEXT(B663,""yyyy""),""""))"),"")</f>
        <v/>
      </c>
    </row>
    <row r="664">
      <c r="B664" s="89"/>
      <c r="C664" s="86"/>
      <c r="D664" s="71"/>
      <c r="H664" s="90"/>
      <c r="J664" s="53" t="str">
        <f>IFERROR(__xludf.DUMMYFUNCTION("IF(ISBLANK(B664),"""",IF(ISDATE(B664),""X"",""""))"),"")</f>
        <v/>
      </c>
      <c r="K664" s="40" t="str">
        <f>IFERROR(__xludf.DUMMYFUNCTION("IF(ISBLANK(B664),"""",IF(ISDATE(B664),H664,""""))"),"")</f>
        <v/>
      </c>
      <c r="L664" s="40" t="str">
        <f>IFERROR(__xludf.DUMMYFUNCTION("IF(ISBLANK(B664),"""",IF(ISDATE(B664),TEXT(B664,""M""),""""))"),"")</f>
        <v/>
      </c>
      <c r="M664" s="29" t="str">
        <f>IFERROR(__xludf.DUMMYFUNCTION("IF(L664="""","""",QUERY({'Dashboard-Dados'!$Y$2:$AA$13},""Select Col2 Where Col1=""&amp;L664))"),"")</f>
        <v/>
      </c>
      <c r="N664" s="29" t="str">
        <f>IFERROR(__xludf.DUMMYFUNCTION("IF(ISBLANK(B664),"""",IF(ISDATE(B664),TEXT(B664,""yyyy""),""""))"),"")</f>
        <v/>
      </c>
    </row>
    <row r="665">
      <c r="B665" s="87"/>
      <c r="C665" s="85"/>
      <c r="D665" s="76"/>
      <c r="H665" s="88"/>
      <c r="J665" s="53" t="str">
        <f>IFERROR(__xludf.DUMMYFUNCTION("IF(ISBLANK(B665),"""",IF(ISDATE(B665),""X"",""""))"),"")</f>
        <v/>
      </c>
      <c r="K665" s="40" t="str">
        <f>IFERROR(__xludf.DUMMYFUNCTION("IF(ISBLANK(B665),"""",IF(ISDATE(B665),H665,""""))"),"")</f>
        <v/>
      </c>
      <c r="L665" s="40" t="str">
        <f>IFERROR(__xludf.DUMMYFUNCTION("IF(ISBLANK(B665),"""",IF(ISDATE(B665),TEXT(B665,""M""),""""))"),"")</f>
        <v/>
      </c>
      <c r="M665" s="29" t="str">
        <f>IFERROR(__xludf.DUMMYFUNCTION("IF(L665="""","""",QUERY({'Dashboard-Dados'!$Y$2:$AA$13},""Select Col2 Where Col1=""&amp;L665))"),"")</f>
        <v/>
      </c>
      <c r="N665" s="29" t="str">
        <f>IFERROR(__xludf.DUMMYFUNCTION("IF(ISBLANK(B665),"""",IF(ISDATE(B665),TEXT(B665,""yyyy""),""""))"),"")</f>
        <v/>
      </c>
    </row>
    <row r="666">
      <c r="B666" s="89"/>
      <c r="C666" s="86"/>
      <c r="D666" s="71"/>
      <c r="H666" s="90"/>
      <c r="J666" s="53" t="str">
        <f>IFERROR(__xludf.DUMMYFUNCTION("IF(ISBLANK(B666),"""",IF(ISDATE(B666),""X"",""""))"),"")</f>
        <v/>
      </c>
      <c r="K666" s="40" t="str">
        <f>IFERROR(__xludf.DUMMYFUNCTION("IF(ISBLANK(B666),"""",IF(ISDATE(B666),H666,""""))"),"")</f>
        <v/>
      </c>
      <c r="L666" s="40" t="str">
        <f>IFERROR(__xludf.DUMMYFUNCTION("IF(ISBLANK(B666),"""",IF(ISDATE(B666),TEXT(B666,""M""),""""))"),"")</f>
        <v/>
      </c>
      <c r="M666" s="29" t="str">
        <f>IFERROR(__xludf.DUMMYFUNCTION("IF(L666="""","""",QUERY({'Dashboard-Dados'!$Y$2:$AA$13},""Select Col2 Where Col1=""&amp;L666))"),"")</f>
        <v/>
      </c>
      <c r="N666" s="29" t="str">
        <f>IFERROR(__xludf.DUMMYFUNCTION("IF(ISBLANK(B666),"""",IF(ISDATE(B666),TEXT(B666,""yyyy""),""""))"),"")</f>
        <v/>
      </c>
    </row>
    <row r="667">
      <c r="B667" s="87"/>
      <c r="C667" s="85"/>
      <c r="D667" s="76"/>
      <c r="H667" s="88"/>
      <c r="J667" s="53" t="str">
        <f>IFERROR(__xludf.DUMMYFUNCTION("IF(ISBLANK(B667),"""",IF(ISDATE(B667),""X"",""""))"),"")</f>
        <v/>
      </c>
      <c r="K667" s="40" t="str">
        <f>IFERROR(__xludf.DUMMYFUNCTION("IF(ISBLANK(B667),"""",IF(ISDATE(B667),H667,""""))"),"")</f>
        <v/>
      </c>
      <c r="L667" s="40" t="str">
        <f>IFERROR(__xludf.DUMMYFUNCTION("IF(ISBLANK(B667),"""",IF(ISDATE(B667),TEXT(B667,""M""),""""))"),"")</f>
        <v/>
      </c>
      <c r="M667" s="29" t="str">
        <f>IFERROR(__xludf.DUMMYFUNCTION("IF(L667="""","""",QUERY({'Dashboard-Dados'!$Y$2:$AA$13},""Select Col2 Where Col1=""&amp;L667))"),"")</f>
        <v/>
      </c>
      <c r="N667" s="29" t="str">
        <f>IFERROR(__xludf.DUMMYFUNCTION("IF(ISBLANK(B667),"""",IF(ISDATE(B667),TEXT(B667,""yyyy""),""""))"),"")</f>
        <v/>
      </c>
    </row>
    <row r="668">
      <c r="B668" s="89"/>
      <c r="C668" s="86"/>
      <c r="D668" s="71"/>
      <c r="H668" s="90"/>
      <c r="J668" s="53" t="str">
        <f>IFERROR(__xludf.DUMMYFUNCTION("IF(ISBLANK(B668),"""",IF(ISDATE(B668),""X"",""""))"),"")</f>
        <v/>
      </c>
      <c r="K668" s="40" t="str">
        <f>IFERROR(__xludf.DUMMYFUNCTION("IF(ISBLANK(B668),"""",IF(ISDATE(B668),H668,""""))"),"")</f>
        <v/>
      </c>
      <c r="L668" s="40" t="str">
        <f>IFERROR(__xludf.DUMMYFUNCTION("IF(ISBLANK(B668),"""",IF(ISDATE(B668),TEXT(B668,""M""),""""))"),"")</f>
        <v/>
      </c>
      <c r="M668" s="29" t="str">
        <f>IFERROR(__xludf.DUMMYFUNCTION("IF(L668="""","""",QUERY({'Dashboard-Dados'!$Y$2:$AA$13},""Select Col2 Where Col1=""&amp;L668))"),"")</f>
        <v/>
      </c>
      <c r="N668" s="29" t="str">
        <f>IFERROR(__xludf.DUMMYFUNCTION("IF(ISBLANK(B668),"""",IF(ISDATE(B668),TEXT(B668,""yyyy""),""""))"),"")</f>
        <v/>
      </c>
    </row>
    <row r="669">
      <c r="B669" s="87"/>
      <c r="C669" s="85"/>
      <c r="D669" s="76"/>
      <c r="H669" s="88"/>
      <c r="J669" s="53" t="str">
        <f>IFERROR(__xludf.DUMMYFUNCTION("IF(ISBLANK(B669),"""",IF(ISDATE(B669),""X"",""""))"),"")</f>
        <v/>
      </c>
      <c r="K669" s="40" t="str">
        <f>IFERROR(__xludf.DUMMYFUNCTION("IF(ISBLANK(B669),"""",IF(ISDATE(B669),H669,""""))"),"")</f>
        <v/>
      </c>
      <c r="L669" s="40" t="str">
        <f>IFERROR(__xludf.DUMMYFUNCTION("IF(ISBLANK(B669),"""",IF(ISDATE(B669),TEXT(B669,""M""),""""))"),"")</f>
        <v/>
      </c>
      <c r="M669" s="29" t="str">
        <f>IFERROR(__xludf.DUMMYFUNCTION("IF(L669="""","""",QUERY({'Dashboard-Dados'!$Y$2:$AA$13},""Select Col2 Where Col1=""&amp;L669))"),"")</f>
        <v/>
      </c>
      <c r="N669" s="29" t="str">
        <f>IFERROR(__xludf.DUMMYFUNCTION("IF(ISBLANK(B669),"""",IF(ISDATE(B669),TEXT(B669,""yyyy""),""""))"),"")</f>
        <v/>
      </c>
    </row>
    <row r="670">
      <c r="B670" s="89"/>
      <c r="C670" s="86"/>
      <c r="D670" s="71"/>
      <c r="H670" s="90"/>
      <c r="J670" s="53" t="str">
        <f>IFERROR(__xludf.DUMMYFUNCTION("IF(ISBLANK(B670),"""",IF(ISDATE(B670),""X"",""""))"),"")</f>
        <v/>
      </c>
      <c r="K670" s="40" t="str">
        <f>IFERROR(__xludf.DUMMYFUNCTION("IF(ISBLANK(B670),"""",IF(ISDATE(B670),H670,""""))"),"")</f>
        <v/>
      </c>
      <c r="L670" s="40" t="str">
        <f>IFERROR(__xludf.DUMMYFUNCTION("IF(ISBLANK(B670),"""",IF(ISDATE(B670),TEXT(B670,""M""),""""))"),"")</f>
        <v/>
      </c>
      <c r="M670" s="29" t="str">
        <f>IFERROR(__xludf.DUMMYFUNCTION("IF(L670="""","""",QUERY({'Dashboard-Dados'!$Y$2:$AA$13},""Select Col2 Where Col1=""&amp;L670))"),"")</f>
        <v/>
      </c>
      <c r="N670" s="29" t="str">
        <f>IFERROR(__xludf.DUMMYFUNCTION("IF(ISBLANK(B670),"""",IF(ISDATE(B670),TEXT(B670,""yyyy""),""""))"),"")</f>
        <v/>
      </c>
    </row>
    <row r="671">
      <c r="B671" s="87"/>
      <c r="C671" s="85"/>
      <c r="D671" s="76"/>
      <c r="H671" s="88"/>
      <c r="J671" s="53" t="str">
        <f>IFERROR(__xludf.DUMMYFUNCTION("IF(ISBLANK(B671),"""",IF(ISDATE(B671),""X"",""""))"),"")</f>
        <v/>
      </c>
      <c r="K671" s="40" t="str">
        <f>IFERROR(__xludf.DUMMYFUNCTION("IF(ISBLANK(B671),"""",IF(ISDATE(B671),H671,""""))"),"")</f>
        <v/>
      </c>
      <c r="L671" s="40" t="str">
        <f>IFERROR(__xludf.DUMMYFUNCTION("IF(ISBLANK(B671),"""",IF(ISDATE(B671),TEXT(B671,""M""),""""))"),"")</f>
        <v/>
      </c>
      <c r="M671" s="29" t="str">
        <f>IFERROR(__xludf.DUMMYFUNCTION("IF(L671="""","""",QUERY({'Dashboard-Dados'!$Y$2:$AA$13},""Select Col2 Where Col1=""&amp;L671))"),"")</f>
        <v/>
      </c>
      <c r="N671" s="29" t="str">
        <f>IFERROR(__xludf.DUMMYFUNCTION("IF(ISBLANK(B671),"""",IF(ISDATE(B671),TEXT(B671,""yyyy""),""""))"),"")</f>
        <v/>
      </c>
    </row>
    <row r="672">
      <c r="B672" s="89"/>
      <c r="C672" s="86"/>
      <c r="D672" s="71"/>
      <c r="H672" s="90"/>
      <c r="J672" s="53" t="str">
        <f>IFERROR(__xludf.DUMMYFUNCTION("IF(ISBLANK(B672),"""",IF(ISDATE(B672),""X"",""""))"),"")</f>
        <v/>
      </c>
      <c r="K672" s="40" t="str">
        <f>IFERROR(__xludf.DUMMYFUNCTION("IF(ISBLANK(B672),"""",IF(ISDATE(B672),H672,""""))"),"")</f>
        <v/>
      </c>
      <c r="L672" s="40" t="str">
        <f>IFERROR(__xludf.DUMMYFUNCTION("IF(ISBLANK(B672),"""",IF(ISDATE(B672),TEXT(B672,""M""),""""))"),"")</f>
        <v/>
      </c>
      <c r="M672" s="29" t="str">
        <f>IFERROR(__xludf.DUMMYFUNCTION("IF(L672="""","""",QUERY({'Dashboard-Dados'!$Y$2:$AA$13},""Select Col2 Where Col1=""&amp;L672))"),"")</f>
        <v/>
      </c>
      <c r="N672" s="29" t="str">
        <f>IFERROR(__xludf.DUMMYFUNCTION("IF(ISBLANK(B672),"""",IF(ISDATE(B672),TEXT(B672,""yyyy""),""""))"),"")</f>
        <v/>
      </c>
    </row>
    <row r="673">
      <c r="B673" s="87"/>
      <c r="C673" s="85"/>
      <c r="D673" s="76"/>
      <c r="H673" s="88"/>
      <c r="J673" s="53" t="str">
        <f>IFERROR(__xludf.DUMMYFUNCTION("IF(ISBLANK(B673),"""",IF(ISDATE(B673),""X"",""""))"),"")</f>
        <v/>
      </c>
      <c r="K673" s="40" t="str">
        <f>IFERROR(__xludf.DUMMYFUNCTION("IF(ISBLANK(B673),"""",IF(ISDATE(B673),H673,""""))"),"")</f>
        <v/>
      </c>
      <c r="L673" s="40" t="str">
        <f>IFERROR(__xludf.DUMMYFUNCTION("IF(ISBLANK(B673),"""",IF(ISDATE(B673),TEXT(B673,""M""),""""))"),"")</f>
        <v/>
      </c>
      <c r="M673" s="29" t="str">
        <f>IFERROR(__xludf.DUMMYFUNCTION("IF(L673="""","""",QUERY({'Dashboard-Dados'!$Y$2:$AA$13},""Select Col2 Where Col1=""&amp;L673))"),"")</f>
        <v/>
      </c>
      <c r="N673" s="29" t="str">
        <f>IFERROR(__xludf.DUMMYFUNCTION("IF(ISBLANK(B673),"""",IF(ISDATE(B673),TEXT(B673,""yyyy""),""""))"),"")</f>
        <v/>
      </c>
    </row>
    <row r="674">
      <c r="B674" s="89"/>
      <c r="C674" s="86"/>
      <c r="D674" s="71"/>
      <c r="H674" s="90"/>
      <c r="J674" s="53" t="str">
        <f>IFERROR(__xludf.DUMMYFUNCTION("IF(ISBLANK(B674),"""",IF(ISDATE(B674),""X"",""""))"),"")</f>
        <v/>
      </c>
      <c r="K674" s="40" t="str">
        <f>IFERROR(__xludf.DUMMYFUNCTION("IF(ISBLANK(B674),"""",IF(ISDATE(B674),H674,""""))"),"")</f>
        <v/>
      </c>
      <c r="L674" s="40" t="str">
        <f>IFERROR(__xludf.DUMMYFUNCTION("IF(ISBLANK(B674),"""",IF(ISDATE(B674),TEXT(B674,""M""),""""))"),"")</f>
        <v/>
      </c>
      <c r="M674" s="29" t="str">
        <f>IFERROR(__xludf.DUMMYFUNCTION("IF(L674="""","""",QUERY({'Dashboard-Dados'!$Y$2:$AA$13},""Select Col2 Where Col1=""&amp;L674))"),"")</f>
        <v/>
      </c>
      <c r="N674" s="29" t="str">
        <f>IFERROR(__xludf.DUMMYFUNCTION("IF(ISBLANK(B674),"""",IF(ISDATE(B674),TEXT(B674,""yyyy""),""""))"),"")</f>
        <v/>
      </c>
    </row>
    <row r="675">
      <c r="B675" s="87"/>
      <c r="C675" s="85"/>
      <c r="D675" s="76"/>
      <c r="H675" s="88"/>
      <c r="J675" s="53" t="str">
        <f>IFERROR(__xludf.DUMMYFUNCTION("IF(ISBLANK(B675),"""",IF(ISDATE(B675),""X"",""""))"),"")</f>
        <v/>
      </c>
      <c r="K675" s="40" t="str">
        <f>IFERROR(__xludf.DUMMYFUNCTION("IF(ISBLANK(B675),"""",IF(ISDATE(B675),H675,""""))"),"")</f>
        <v/>
      </c>
      <c r="L675" s="40" t="str">
        <f>IFERROR(__xludf.DUMMYFUNCTION("IF(ISBLANK(B675),"""",IF(ISDATE(B675),TEXT(B675,""M""),""""))"),"")</f>
        <v/>
      </c>
      <c r="M675" s="29" t="str">
        <f>IFERROR(__xludf.DUMMYFUNCTION("IF(L675="""","""",QUERY({'Dashboard-Dados'!$Y$2:$AA$13},""Select Col2 Where Col1=""&amp;L675))"),"")</f>
        <v/>
      </c>
      <c r="N675" s="29" t="str">
        <f>IFERROR(__xludf.DUMMYFUNCTION("IF(ISBLANK(B675),"""",IF(ISDATE(B675),TEXT(B675,""yyyy""),""""))"),"")</f>
        <v/>
      </c>
    </row>
    <row r="676">
      <c r="B676" s="89"/>
      <c r="C676" s="86"/>
      <c r="D676" s="71"/>
      <c r="H676" s="90"/>
      <c r="J676" s="53" t="str">
        <f>IFERROR(__xludf.DUMMYFUNCTION("IF(ISBLANK(B676),"""",IF(ISDATE(B676),""X"",""""))"),"")</f>
        <v/>
      </c>
      <c r="K676" s="40" t="str">
        <f>IFERROR(__xludf.DUMMYFUNCTION("IF(ISBLANK(B676),"""",IF(ISDATE(B676),H676,""""))"),"")</f>
        <v/>
      </c>
      <c r="L676" s="40" t="str">
        <f>IFERROR(__xludf.DUMMYFUNCTION("IF(ISBLANK(B676),"""",IF(ISDATE(B676),TEXT(B676,""M""),""""))"),"")</f>
        <v/>
      </c>
      <c r="M676" s="29" t="str">
        <f>IFERROR(__xludf.DUMMYFUNCTION("IF(L676="""","""",QUERY({'Dashboard-Dados'!$Y$2:$AA$13},""Select Col2 Where Col1=""&amp;L676))"),"")</f>
        <v/>
      </c>
      <c r="N676" s="29" t="str">
        <f>IFERROR(__xludf.DUMMYFUNCTION("IF(ISBLANK(B676),"""",IF(ISDATE(B676),TEXT(B676,""yyyy""),""""))"),"")</f>
        <v/>
      </c>
    </row>
    <row r="677">
      <c r="B677" s="87"/>
      <c r="C677" s="85"/>
      <c r="D677" s="76"/>
      <c r="H677" s="88"/>
      <c r="J677" s="53" t="str">
        <f>IFERROR(__xludf.DUMMYFUNCTION("IF(ISBLANK(B677),"""",IF(ISDATE(B677),""X"",""""))"),"")</f>
        <v/>
      </c>
      <c r="K677" s="40" t="str">
        <f>IFERROR(__xludf.DUMMYFUNCTION("IF(ISBLANK(B677),"""",IF(ISDATE(B677),H677,""""))"),"")</f>
        <v/>
      </c>
      <c r="L677" s="40" t="str">
        <f>IFERROR(__xludf.DUMMYFUNCTION("IF(ISBLANK(B677),"""",IF(ISDATE(B677),TEXT(B677,""M""),""""))"),"")</f>
        <v/>
      </c>
      <c r="M677" s="29" t="str">
        <f>IFERROR(__xludf.DUMMYFUNCTION("IF(L677="""","""",QUERY({'Dashboard-Dados'!$Y$2:$AA$13},""Select Col2 Where Col1=""&amp;L677))"),"")</f>
        <v/>
      </c>
      <c r="N677" s="29" t="str">
        <f>IFERROR(__xludf.DUMMYFUNCTION("IF(ISBLANK(B677),"""",IF(ISDATE(B677),TEXT(B677,""yyyy""),""""))"),"")</f>
        <v/>
      </c>
    </row>
    <row r="678">
      <c r="B678" s="89"/>
      <c r="C678" s="86"/>
      <c r="D678" s="71"/>
      <c r="H678" s="90"/>
      <c r="J678" s="53" t="str">
        <f>IFERROR(__xludf.DUMMYFUNCTION("IF(ISBLANK(B678),"""",IF(ISDATE(B678),""X"",""""))"),"")</f>
        <v/>
      </c>
      <c r="K678" s="40" t="str">
        <f>IFERROR(__xludf.DUMMYFUNCTION("IF(ISBLANK(B678),"""",IF(ISDATE(B678),H678,""""))"),"")</f>
        <v/>
      </c>
      <c r="L678" s="40" t="str">
        <f>IFERROR(__xludf.DUMMYFUNCTION("IF(ISBLANK(B678),"""",IF(ISDATE(B678),TEXT(B678,""M""),""""))"),"")</f>
        <v/>
      </c>
      <c r="M678" s="29" t="str">
        <f>IFERROR(__xludf.DUMMYFUNCTION("IF(L678="""","""",QUERY({'Dashboard-Dados'!$Y$2:$AA$13},""Select Col2 Where Col1=""&amp;L678))"),"")</f>
        <v/>
      </c>
      <c r="N678" s="29" t="str">
        <f>IFERROR(__xludf.DUMMYFUNCTION("IF(ISBLANK(B678),"""",IF(ISDATE(B678),TEXT(B678,""yyyy""),""""))"),"")</f>
        <v/>
      </c>
    </row>
    <row r="679">
      <c r="B679" s="87"/>
      <c r="C679" s="85"/>
      <c r="D679" s="76"/>
      <c r="H679" s="88"/>
      <c r="J679" s="53" t="str">
        <f>IFERROR(__xludf.DUMMYFUNCTION("IF(ISBLANK(B679),"""",IF(ISDATE(B679),""X"",""""))"),"")</f>
        <v/>
      </c>
      <c r="K679" s="40" t="str">
        <f>IFERROR(__xludf.DUMMYFUNCTION("IF(ISBLANK(B679),"""",IF(ISDATE(B679),H679,""""))"),"")</f>
        <v/>
      </c>
      <c r="L679" s="40" t="str">
        <f>IFERROR(__xludf.DUMMYFUNCTION("IF(ISBLANK(B679),"""",IF(ISDATE(B679),TEXT(B679,""M""),""""))"),"")</f>
        <v/>
      </c>
      <c r="M679" s="29" t="str">
        <f>IFERROR(__xludf.DUMMYFUNCTION("IF(L679="""","""",QUERY({'Dashboard-Dados'!$Y$2:$AA$13},""Select Col2 Where Col1=""&amp;L679))"),"")</f>
        <v/>
      </c>
      <c r="N679" s="29" t="str">
        <f>IFERROR(__xludf.DUMMYFUNCTION("IF(ISBLANK(B679),"""",IF(ISDATE(B679),TEXT(B679,""yyyy""),""""))"),"")</f>
        <v/>
      </c>
    </row>
    <row r="680">
      <c r="B680" s="89"/>
      <c r="C680" s="86"/>
      <c r="D680" s="71"/>
      <c r="H680" s="90"/>
      <c r="J680" s="53" t="str">
        <f>IFERROR(__xludf.DUMMYFUNCTION("IF(ISBLANK(B680),"""",IF(ISDATE(B680),""X"",""""))"),"")</f>
        <v/>
      </c>
      <c r="K680" s="40" t="str">
        <f>IFERROR(__xludf.DUMMYFUNCTION("IF(ISBLANK(B680),"""",IF(ISDATE(B680),H680,""""))"),"")</f>
        <v/>
      </c>
      <c r="L680" s="40" t="str">
        <f>IFERROR(__xludf.DUMMYFUNCTION("IF(ISBLANK(B680),"""",IF(ISDATE(B680),TEXT(B680,""M""),""""))"),"")</f>
        <v/>
      </c>
      <c r="M680" s="29" t="str">
        <f>IFERROR(__xludf.DUMMYFUNCTION("IF(L680="""","""",QUERY({'Dashboard-Dados'!$Y$2:$AA$13},""Select Col2 Where Col1=""&amp;L680))"),"")</f>
        <v/>
      </c>
      <c r="N680" s="29" t="str">
        <f>IFERROR(__xludf.DUMMYFUNCTION("IF(ISBLANK(B680),"""",IF(ISDATE(B680),TEXT(B680,""yyyy""),""""))"),"")</f>
        <v/>
      </c>
    </row>
    <row r="681">
      <c r="B681" s="87"/>
      <c r="C681" s="85"/>
      <c r="D681" s="76"/>
      <c r="H681" s="88"/>
      <c r="J681" s="53" t="str">
        <f>IFERROR(__xludf.DUMMYFUNCTION("IF(ISBLANK(B681),"""",IF(ISDATE(B681),""X"",""""))"),"")</f>
        <v/>
      </c>
      <c r="K681" s="40" t="str">
        <f>IFERROR(__xludf.DUMMYFUNCTION("IF(ISBLANK(B681),"""",IF(ISDATE(B681),H681,""""))"),"")</f>
        <v/>
      </c>
      <c r="L681" s="40" t="str">
        <f>IFERROR(__xludf.DUMMYFUNCTION("IF(ISBLANK(B681),"""",IF(ISDATE(B681),TEXT(B681,""M""),""""))"),"")</f>
        <v/>
      </c>
      <c r="M681" s="29" t="str">
        <f>IFERROR(__xludf.DUMMYFUNCTION("IF(L681="""","""",QUERY({'Dashboard-Dados'!$Y$2:$AA$13},""Select Col2 Where Col1=""&amp;L681))"),"")</f>
        <v/>
      </c>
      <c r="N681" s="29" t="str">
        <f>IFERROR(__xludf.DUMMYFUNCTION("IF(ISBLANK(B681),"""",IF(ISDATE(B681),TEXT(B681,""yyyy""),""""))"),"")</f>
        <v/>
      </c>
    </row>
    <row r="682">
      <c r="B682" s="89"/>
      <c r="C682" s="86"/>
      <c r="D682" s="71"/>
      <c r="H682" s="90"/>
      <c r="J682" s="53" t="str">
        <f>IFERROR(__xludf.DUMMYFUNCTION("IF(ISBLANK(B682),"""",IF(ISDATE(B682),""X"",""""))"),"")</f>
        <v/>
      </c>
      <c r="K682" s="40" t="str">
        <f>IFERROR(__xludf.DUMMYFUNCTION("IF(ISBLANK(B682),"""",IF(ISDATE(B682),H682,""""))"),"")</f>
        <v/>
      </c>
      <c r="L682" s="40" t="str">
        <f>IFERROR(__xludf.DUMMYFUNCTION("IF(ISBLANK(B682),"""",IF(ISDATE(B682),TEXT(B682,""M""),""""))"),"")</f>
        <v/>
      </c>
      <c r="M682" s="29" t="str">
        <f>IFERROR(__xludf.DUMMYFUNCTION("IF(L682="""","""",QUERY({'Dashboard-Dados'!$Y$2:$AA$13},""Select Col2 Where Col1=""&amp;L682))"),"")</f>
        <v/>
      </c>
      <c r="N682" s="29" t="str">
        <f>IFERROR(__xludf.DUMMYFUNCTION("IF(ISBLANK(B682),"""",IF(ISDATE(B682),TEXT(B682,""yyyy""),""""))"),"")</f>
        <v/>
      </c>
    </row>
    <row r="683">
      <c r="B683" s="87"/>
      <c r="C683" s="85"/>
      <c r="D683" s="76"/>
      <c r="H683" s="88"/>
      <c r="J683" s="53" t="str">
        <f>IFERROR(__xludf.DUMMYFUNCTION("IF(ISBLANK(B683),"""",IF(ISDATE(B683),""X"",""""))"),"")</f>
        <v/>
      </c>
      <c r="K683" s="40" t="str">
        <f>IFERROR(__xludf.DUMMYFUNCTION("IF(ISBLANK(B683),"""",IF(ISDATE(B683),H683,""""))"),"")</f>
        <v/>
      </c>
      <c r="L683" s="40" t="str">
        <f>IFERROR(__xludf.DUMMYFUNCTION("IF(ISBLANK(B683),"""",IF(ISDATE(B683),TEXT(B683,""M""),""""))"),"")</f>
        <v/>
      </c>
      <c r="M683" s="29" t="str">
        <f>IFERROR(__xludf.DUMMYFUNCTION("IF(L683="""","""",QUERY({'Dashboard-Dados'!$Y$2:$AA$13},""Select Col2 Where Col1=""&amp;L683))"),"")</f>
        <v/>
      </c>
      <c r="N683" s="29" t="str">
        <f>IFERROR(__xludf.DUMMYFUNCTION("IF(ISBLANK(B683),"""",IF(ISDATE(B683),TEXT(B683,""yyyy""),""""))"),"")</f>
        <v/>
      </c>
    </row>
    <row r="684">
      <c r="B684" s="89"/>
      <c r="C684" s="86"/>
      <c r="D684" s="71"/>
      <c r="H684" s="90"/>
      <c r="J684" s="53" t="str">
        <f>IFERROR(__xludf.DUMMYFUNCTION("IF(ISBLANK(B684),"""",IF(ISDATE(B684),""X"",""""))"),"")</f>
        <v/>
      </c>
      <c r="K684" s="40" t="str">
        <f>IFERROR(__xludf.DUMMYFUNCTION("IF(ISBLANK(B684),"""",IF(ISDATE(B684),H684,""""))"),"")</f>
        <v/>
      </c>
      <c r="L684" s="40" t="str">
        <f>IFERROR(__xludf.DUMMYFUNCTION("IF(ISBLANK(B684),"""",IF(ISDATE(B684),TEXT(B684,""M""),""""))"),"")</f>
        <v/>
      </c>
      <c r="M684" s="29" t="str">
        <f>IFERROR(__xludf.DUMMYFUNCTION("IF(L684="""","""",QUERY({'Dashboard-Dados'!$Y$2:$AA$13},""Select Col2 Where Col1=""&amp;L684))"),"")</f>
        <v/>
      </c>
      <c r="N684" s="29" t="str">
        <f>IFERROR(__xludf.DUMMYFUNCTION("IF(ISBLANK(B684),"""",IF(ISDATE(B684),TEXT(B684,""yyyy""),""""))"),"")</f>
        <v/>
      </c>
    </row>
    <row r="685">
      <c r="B685" s="87"/>
      <c r="C685" s="85"/>
      <c r="D685" s="76"/>
      <c r="H685" s="88"/>
      <c r="J685" s="53" t="str">
        <f>IFERROR(__xludf.DUMMYFUNCTION("IF(ISBLANK(B685),"""",IF(ISDATE(B685),""X"",""""))"),"")</f>
        <v/>
      </c>
      <c r="K685" s="40" t="str">
        <f>IFERROR(__xludf.DUMMYFUNCTION("IF(ISBLANK(B685),"""",IF(ISDATE(B685),H685,""""))"),"")</f>
        <v/>
      </c>
      <c r="L685" s="40" t="str">
        <f>IFERROR(__xludf.DUMMYFUNCTION("IF(ISBLANK(B685),"""",IF(ISDATE(B685),TEXT(B685,""M""),""""))"),"")</f>
        <v/>
      </c>
      <c r="M685" s="29" t="str">
        <f>IFERROR(__xludf.DUMMYFUNCTION("IF(L685="""","""",QUERY({'Dashboard-Dados'!$Y$2:$AA$13},""Select Col2 Where Col1=""&amp;L685))"),"")</f>
        <v/>
      </c>
      <c r="N685" s="29" t="str">
        <f>IFERROR(__xludf.DUMMYFUNCTION("IF(ISBLANK(B685),"""",IF(ISDATE(B685),TEXT(B685,""yyyy""),""""))"),"")</f>
        <v/>
      </c>
    </row>
    <row r="686">
      <c r="B686" s="89"/>
      <c r="C686" s="86"/>
      <c r="D686" s="71"/>
      <c r="H686" s="90"/>
      <c r="J686" s="53" t="str">
        <f>IFERROR(__xludf.DUMMYFUNCTION("IF(ISBLANK(B686),"""",IF(ISDATE(B686),""X"",""""))"),"")</f>
        <v/>
      </c>
      <c r="K686" s="40" t="str">
        <f>IFERROR(__xludf.DUMMYFUNCTION("IF(ISBLANK(B686),"""",IF(ISDATE(B686),H686,""""))"),"")</f>
        <v/>
      </c>
      <c r="L686" s="40" t="str">
        <f>IFERROR(__xludf.DUMMYFUNCTION("IF(ISBLANK(B686),"""",IF(ISDATE(B686),TEXT(B686,""M""),""""))"),"")</f>
        <v/>
      </c>
      <c r="M686" s="29" t="str">
        <f>IFERROR(__xludf.DUMMYFUNCTION("IF(L686="""","""",QUERY({'Dashboard-Dados'!$Y$2:$AA$13},""Select Col2 Where Col1=""&amp;L686))"),"")</f>
        <v/>
      </c>
      <c r="N686" s="29" t="str">
        <f>IFERROR(__xludf.DUMMYFUNCTION("IF(ISBLANK(B686),"""",IF(ISDATE(B686),TEXT(B686,""yyyy""),""""))"),"")</f>
        <v/>
      </c>
    </row>
    <row r="687">
      <c r="B687" s="87"/>
      <c r="C687" s="85"/>
      <c r="D687" s="76"/>
      <c r="H687" s="88"/>
      <c r="J687" s="53" t="str">
        <f>IFERROR(__xludf.DUMMYFUNCTION("IF(ISBLANK(B687),"""",IF(ISDATE(B687),""X"",""""))"),"")</f>
        <v/>
      </c>
      <c r="K687" s="40" t="str">
        <f>IFERROR(__xludf.DUMMYFUNCTION("IF(ISBLANK(B687),"""",IF(ISDATE(B687),H687,""""))"),"")</f>
        <v/>
      </c>
      <c r="L687" s="40" t="str">
        <f>IFERROR(__xludf.DUMMYFUNCTION("IF(ISBLANK(B687),"""",IF(ISDATE(B687),TEXT(B687,""M""),""""))"),"")</f>
        <v/>
      </c>
      <c r="M687" s="29" t="str">
        <f>IFERROR(__xludf.DUMMYFUNCTION("IF(L687="""","""",QUERY({'Dashboard-Dados'!$Y$2:$AA$13},""Select Col2 Where Col1=""&amp;L687))"),"")</f>
        <v/>
      </c>
      <c r="N687" s="29" t="str">
        <f>IFERROR(__xludf.DUMMYFUNCTION("IF(ISBLANK(B687),"""",IF(ISDATE(B687),TEXT(B687,""yyyy""),""""))"),"")</f>
        <v/>
      </c>
    </row>
    <row r="688">
      <c r="B688" s="89"/>
      <c r="C688" s="86"/>
      <c r="D688" s="71"/>
      <c r="H688" s="90"/>
      <c r="J688" s="53" t="str">
        <f>IFERROR(__xludf.DUMMYFUNCTION("IF(ISBLANK(B688),"""",IF(ISDATE(B688),""X"",""""))"),"")</f>
        <v/>
      </c>
      <c r="K688" s="40" t="str">
        <f>IFERROR(__xludf.DUMMYFUNCTION("IF(ISBLANK(B688),"""",IF(ISDATE(B688),H688,""""))"),"")</f>
        <v/>
      </c>
      <c r="L688" s="40" t="str">
        <f>IFERROR(__xludf.DUMMYFUNCTION("IF(ISBLANK(B688),"""",IF(ISDATE(B688),TEXT(B688,""M""),""""))"),"")</f>
        <v/>
      </c>
      <c r="M688" s="29" t="str">
        <f>IFERROR(__xludf.DUMMYFUNCTION("IF(L688="""","""",QUERY({'Dashboard-Dados'!$Y$2:$AA$13},""Select Col2 Where Col1=""&amp;L688))"),"")</f>
        <v/>
      </c>
      <c r="N688" s="29" t="str">
        <f>IFERROR(__xludf.DUMMYFUNCTION("IF(ISBLANK(B688),"""",IF(ISDATE(B688),TEXT(B688,""yyyy""),""""))"),"")</f>
        <v/>
      </c>
    </row>
    <row r="689">
      <c r="B689" s="87"/>
      <c r="C689" s="85"/>
      <c r="D689" s="76"/>
      <c r="H689" s="88"/>
      <c r="J689" s="53" t="str">
        <f>IFERROR(__xludf.DUMMYFUNCTION("IF(ISBLANK(B689),"""",IF(ISDATE(B689),""X"",""""))"),"")</f>
        <v/>
      </c>
      <c r="K689" s="40" t="str">
        <f>IFERROR(__xludf.DUMMYFUNCTION("IF(ISBLANK(B689),"""",IF(ISDATE(B689),H689,""""))"),"")</f>
        <v/>
      </c>
      <c r="L689" s="40" t="str">
        <f>IFERROR(__xludf.DUMMYFUNCTION("IF(ISBLANK(B689),"""",IF(ISDATE(B689),TEXT(B689,""M""),""""))"),"")</f>
        <v/>
      </c>
      <c r="M689" s="29" t="str">
        <f>IFERROR(__xludf.DUMMYFUNCTION("IF(L689="""","""",QUERY({'Dashboard-Dados'!$Y$2:$AA$13},""Select Col2 Where Col1=""&amp;L689))"),"")</f>
        <v/>
      </c>
      <c r="N689" s="29" t="str">
        <f>IFERROR(__xludf.DUMMYFUNCTION("IF(ISBLANK(B689),"""",IF(ISDATE(B689),TEXT(B689,""yyyy""),""""))"),"")</f>
        <v/>
      </c>
    </row>
    <row r="690">
      <c r="B690" s="89"/>
      <c r="C690" s="86"/>
      <c r="D690" s="71"/>
      <c r="H690" s="90"/>
      <c r="J690" s="53" t="str">
        <f>IFERROR(__xludf.DUMMYFUNCTION("IF(ISBLANK(B690),"""",IF(ISDATE(B690),""X"",""""))"),"")</f>
        <v/>
      </c>
      <c r="K690" s="40" t="str">
        <f>IFERROR(__xludf.DUMMYFUNCTION("IF(ISBLANK(B690),"""",IF(ISDATE(B690),H690,""""))"),"")</f>
        <v/>
      </c>
      <c r="L690" s="40" t="str">
        <f>IFERROR(__xludf.DUMMYFUNCTION("IF(ISBLANK(B690),"""",IF(ISDATE(B690),TEXT(B690,""M""),""""))"),"")</f>
        <v/>
      </c>
      <c r="M690" s="29" t="str">
        <f>IFERROR(__xludf.DUMMYFUNCTION("IF(L690="""","""",QUERY({'Dashboard-Dados'!$Y$2:$AA$13},""Select Col2 Where Col1=""&amp;L690))"),"")</f>
        <v/>
      </c>
      <c r="N690" s="29" t="str">
        <f>IFERROR(__xludf.DUMMYFUNCTION("IF(ISBLANK(B690),"""",IF(ISDATE(B690),TEXT(B690,""yyyy""),""""))"),"")</f>
        <v/>
      </c>
    </row>
    <row r="691">
      <c r="B691" s="87"/>
      <c r="C691" s="85"/>
      <c r="D691" s="76"/>
      <c r="H691" s="88"/>
      <c r="J691" s="53" t="str">
        <f>IFERROR(__xludf.DUMMYFUNCTION("IF(ISBLANK(B691),"""",IF(ISDATE(B691),""X"",""""))"),"")</f>
        <v/>
      </c>
      <c r="K691" s="40" t="str">
        <f>IFERROR(__xludf.DUMMYFUNCTION("IF(ISBLANK(B691),"""",IF(ISDATE(B691),H691,""""))"),"")</f>
        <v/>
      </c>
      <c r="L691" s="40" t="str">
        <f>IFERROR(__xludf.DUMMYFUNCTION("IF(ISBLANK(B691),"""",IF(ISDATE(B691),TEXT(B691,""M""),""""))"),"")</f>
        <v/>
      </c>
      <c r="M691" s="29" t="str">
        <f>IFERROR(__xludf.DUMMYFUNCTION("IF(L691="""","""",QUERY({'Dashboard-Dados'!$Y$2:$AA$13},""Select Col2 Where Col1=""&amp;L691))"),"")</f>
        <v/>
      </c>
      <c r="N691" s="29" t="str">
        <f>IFERROR(__xludf.DUMMYFUNCTION("IF(ISBLANK(B691),"""",IF(ISDATE(B691),TEXT(B691,""yyyy""),""""))"),"")</f>
        <v/>
      </c>
    </row>
    <row r="692">
      <c r="B692" s="89"/>
      <c r="C692" s="86"/>
      <c r="D692" s="71"/>
      <c r="H692" s="90"/>
      <c r="J692" s="53" t="str">
        <f>IFERROR(__xludf.DUMMYFUNCTION("IF(ISBLANK(B692),"""",IF(ISDATE(B692),""X"",""""))"),"")</f>
        <v/>
      </c>
      <c r="K692" s="40" t="str">
        <f>IFERROR(__xludf.DUMMYFUNCTION("IF(ISBLANK(B692),"""",IF(ISDATE(B692),H692,""""))"),"")</f>
        <v/>
      </c>
      <c r="L692" s="40" t="str">
        <f>IFERROR(__xludf.DUMMYFUNCTION("IF(ISBLANK(B692),"""",IF(ISDATE(B692),TEXT(B692,""M""),""""))"),"")</f>
        <v/>
      </c>
      <c r="M692" s="29" t="str">
        <f>IFERROR(__xludf.DUMMYFUNCTION("IF(L692="""","""",QUERY({'Dashboard-Dados'!$Y$2:$AA$13},""Select Col2 Where Col1=""&amp;L692))"),"")</f>
        <v/>
      </c>
      <c r="N692" s="29" t="str">
        <f>IFERROR(__xludf.DUMMYFUNCTION("IF(ISBLANK(B692),"""",IF(ISDATE(B692),TEXT(B692,""yyyy""),""""))"),"")</f>
        <v/>
      </c>
    </row>
    <row r="693">
      <c r="B693" s="87"/>
      <c r="C693" s="85"/>
      <c r="D693" s="76"/>
      <c r="H693" s="88"/>
      <c r="J693" s="53" t="str">
        <f>IFERROR(__xludf.DUMMYFUNCTION("IF(ISBLANK(B693),"""",IF(ISDATE(B693),""X"",""""))"),"")</f>
        <v/>
      </c>
      <c r="K693" s="40" t="str">
        <f>IFERROR(__xludf.DUMMYFUNCTION("IF(ISBLANK(B693),"""",IF(ISDATE(B693),H693,""""))"),"")</f>
        <v/>
      </c>
      <c r="L693" s="40" t="str">
        <f>IFERROR(__xludf.DUMMYFUNCTION("IF(ISBLANK(B693),"""",IF(ISDATE(B693),TEXT(B693,""M""),""""))"),"")</f>
        <v/>
      </c>
      <c r="M693" s="29" t="str">
        <f>IFERROR(__xludf.DUMMYFUNCTION("IF(L693="""","""",QUERY({'Dashboard-Dados'!$Y$2:$AA$13},""Select Col2 Where Col1=""&amp;L693))"),"")</f>
        <v/>
      </c>
      <c r="N693" s="29" t="str">
        <f>IFERROR(__xludf.DUMMYFUNCTION("IF(ISBLANK(B693),"""",IF(ISDATE(B693),TEXT(B693,""yyyy""),""""))"),"")</f>
        <v/>
      </c>
    </row>
    <row r="694">
      <c r="B694" s="89"/>
      <c r="C694" s="86"/>
      <c r="D694" s="71"/>
      <c r="H694" s="90"/>
      <c r="J694" s="53" t="str">
        <f>IFERROR(__xludf.DUMMYFUNCTION("IF(ISBLANK(B694),"""",IF(ISDATE(B694),""X"",""""))"),"")</f>
        <v/>
      </c>
      <c r="K694" s="40" t="str">
        <f>IFERROR(__xludf.DUMMYFUNCTION("IF(ISBLANK(B694),"""",IF(ISDATE(B694),H694,""""))"),"")</f>
        <v/>
      </c>
      <c r="L694" s="40" t="str">
        <f>IFERROR(__xludf.DUMMYFUNCTION("IF(ISBLANK(B694),"""",IF(ISDATE(B694),TEXT(B694,""M""),""""))"),"")</f>
        <v/>
      </c>
      <c r="M694" s="29" t="str">
        <f>IFERROR(__xludf.DUMMYFUNCTION("IF(L694="""","""",QUERY({'Dashboard-Dados'!$Y$2:$AA$13},""Select Col2 Where Col1=""&amp;L694))"),"")</f>
        <v/>
      </c>
      <c r="N694" s="29" t="str">
        <f>IFERROR(__xludf.DUMMYFUNCTION("IF(ISBLANK(B694),"""",IF(ISDATE(B694),TEXT(B694,""yyyy""),""""))"),"")</f>
        <v/>
      </c>
    </row>
    <row r="695">
      <c r="B695" s="87"/>
      <c r="C695" s="85"/>
      <c r="D695" s="76"/>
      <c r="H695" s="88"/>
      <c r="J695" s="53" t="str">
        <f>IFERROR(__xludf.DUMMYFUNCTION("IF(ISBLANK(B695),"""",IF(ISDATE(B695),""X"",""""))"),"")</f>
        <v/>
      </c>
      <c r="K695" s="40" t="str">
        <f>IFERROR(__xludf.DUMMYFUNCTION("IF(ISBLANK(B695),"""",IF(ISDATE(B695),H695,""""))"),"")</f>
        <v/>
      </c>
      <c r="L695" s="40" t="str">
        <f>IFERROR(__xludf.DUMMYFUNCTION("IF(ISBLANK(B695),"""",IF(ISDATE(B695),TEXT(B695,""M""),""""))"),"")</f>
        <v/>
      </c>
      <c r="M695" s="29" t="str">
        <f>IFERROR(__xludf.DUMMYFUNCTION("IF(L695="""","""",QUERY({'Dashboard-Dados'!$Y$2:$AA$13},""Select Col2 Where Col1=""&amp;L695))"),"")</f>
        <v/>
      </c>
      <c r="N695" s="29" t="str">
        <f>IFERROR(__xludf.DUMMYFUNCTION("IF(ISBLANK(B695),"""",IF(ISDATE(B695),TEXT(B695,""yyyy""),""""))"),"")</f>
        <v/>
      </c>
    </row>
    <row r="696">
      <c r="B696" s="89"/>
      <c r="C696" s="86"/>
      <c r="D696" s="71"/>
      <c r="H696" s="90"/>
      <c r="J696" s="53" t="str">
        <f>IFERROR(__xludf.DUMMYFUNCTION("IF(ISBLANK(B696),"""",IF(ISDATE(B696),""X"",""""))"),"")</f>
        <v/>
      </c>
      <c r="K696" s="40" t="str">
        <f>IFERROR(__xludf.DUMMYFUNCTION("IF(ISBLANK(B696),"""",IF(ISDATE(B696),H696,""""))"),"")</f>
        <v/>
      </c>
      <c r="L696" s="40" t="str">
        <f>IFERROR(__xludf.DUMMYFUNCTION("IF(ISBLANK(B696),"""",IF(ISDATE(B696),TEXT(B696,""M""),""""))"),"")</f>
        <v/>
      </c>
      <c r="M696" s="29" t="str">
        <f>IFERROR(__xludf.DUMMYFUNCTION("IF(L696="""","""",QUERY({'Dashboard-Dados'!$Y$2:$AA$13},""Select Col2 Where Col1=""&amp;L696))"),"")</f>
        <v/>
      </c>
      <c r="N696" s="29" t="str">
        <f>IFERROR(__xludf.DUMMYFUNCTION("IF(ISBLANK(B696),"""",IF(ISDATE(B696),TEXT(B696,""yyyy""),""""))"),"")</f>
        <v/>
      </c>
    </row>
    <row r="697">
      <c r="B697" s="87"/>
      <c r="C697" s="85"/>
      <c r="D697" s="76"/>
      <c r="H697" s="88"/>
      <c r="J697" s="53" t="str">
        <f>IFERROR(__xludf.DUMMYFUNCTION("IF(ISBLANK(B697),"""",IF(ISDATE(B697),""X"",""""))"),"")</f>
        <v/>
      </c>
      <c r="K697" s="40" t="str">
        <f>IFERROR(__xludf.DUMMYFUNCTION("IF(ISBLANK(B697),"""",IF(ISDATE(B697),H697,""""))"),"")</f>
        <v/>
      </c>
      <c r="L697" s="40" t="str">
        <f>IFERROR(__xludf.DUMMYFUNCTION("IF(ISBLANK(B697),"""",IF(ISDATE(B697),TEXT(B697,""M""),""""))"),"")</f>
        <v/>
      </c>
      <c r="M697" s="29" t="str">
        <f>IFERROR(__xludf.DUMMYFUNCTION("IF(L697="""","""",QUERY({'Dashboard-Dados'!$Y$2:$AA$13},""Select Col2 Where Col1=""&amp;L697))"),"")</f>
        <v/>
      </c>
      <c r="N697" s="29" t="str">
        <f>IFERROR(__xludf.DUMMYFUNCTION("IF(ISBLANK(B697),"""",IF(ISDATE(B697),TEXT(B697,""yyyy""),""""))"),"")</f>
        <v/>
      </c>
    </row>
    <row r="698">
      <c r="B698" s="89"/>
      <c r="C698" s="86"/>
      <c r="D698" s="71"/>
      <c r="H698" s="90"/>
      <c r="J698" s="53" t="str">
        <f>IFERROR(__xludf.DUMMYFUNCTION("IF(ISBLANK(B698),"""",IF(ISDATE(B698),""X"",""""))"),"")</f>
        <v/>
      </c>
      <c r="K698" s="40" t="str">
        <f>IFERROR(__xludf.DUMMYFUNCTION("IF(ISBLANK(B698),"""",IF(ISDATE(B698),H698,""""))"),"")</f>
        <v/>
      </c>
      <c r="L698" s="40" t="str">
        <f>IFERROR(__xludf.DUMMYFUNCTION("IF(ISBLANK(B698),"""",IF(ISDATE(B698),TEXT(B698,""M""),""""))"),"")</f>
        <v/>
      </c>
      <c r="M698" s="29" t="str">
        <f>IFERROR(__xludf.DUMMYFUNCTION("IF(L698="""","""",QUERY({'Dashboard-Dados'!$Y$2:$AA$13},""Select Col2 Where Col1=""&amp;L698))"),"")</f>
        <v/>
      </c>
      <c r="N698" s="29" t="str">
        <f>IFERROR(__xludf.DUMMYFUNCTION("IF(ISBLANK(B698),"""",IF(ISDATE(B698),TEXT(B698,""yyyy""),""""))"),"")</f>
        <v/>
      </c>
    </row>
    <row r="699">
      <c r="B699" s="87"/>
      <c r="C699" s="85"/>
      <c r="D699" s="76"/>
      <c r="H699" s="88"/>
      <c r="J699" s="53" t="str">
        <f>IFERROR(__xludf.DUMMYFUNCTION("IF(ISBLANK(B699),"""",IF(ISDATE(B699),""X"",""""))"),"")</f>
        <v/>
      </c>
      <c r="K699" s="40" t="str">
        <f>IFERROR(__xludf.DUMMYFUNCTION("IF(ISBLANK(B699),"""",IF(ISDATE(B699),H699,""""))"),"")</f>
        <v/>
      </c>
      <c r="L699" s="40" t="str">
        <f>IFERROR(__xludf.DUMMYFUNCTION("IF(ISBLANK(B699),"""",IF(ISDATE(B699),TEXT(B699,""M""),""""))"),"")</f>
        <v/>
      </c>
      <c r="M699" s="29" t="str">
        <f>IFERROR(__xludf.DUMMYFUNCTION("IF(L699="""","""",QUERY({'Dashboard-Dados'!$Y$2:$AA$13},""Select Col2 Where Col1=""&amp;L699))"),"")</f>
        <v/>
      </c>
      <c r="N699" s="29" t="str">
        <f>IFERROR(__xludf.DUMMYFUNCTION("IF(ISBLANK(B699),"""",IF(ISDATE(B699),TEXT(B699,""yyyy""),""""))"),"")</f>
        <v/>
      </c>
    </row>
    <row r="700">
      <c r="B700" s="89"/>
      <c r="C700" s="86"/>
      <c r="D700" s="71"/>
      <c r="H700" s="90"/>
      <c r="J700" s="53" t="str">
        <f>IFERROR(__xludf.DUMMYFUNCTION("IF(ISBLANK(B700),"""",IF(ISDATE(B700),""X"",""""))"),"")</f>
        <v/>
      </c>
      <c r="K700" s="40" t="str">
        <f>IFERROR(__xludf.DUMMYFUNCTION("IF(ISBLANK(B700),"""",IF(ISDATE(B700),H700,""""))"),"")</f>
        <v/>
      </c>
      <c r="L700" s="40" t="str">
        <f>IFERROR(__xludf.DUMMYFUNCTION("IF(ISBLANK(B700),"""",IF(ISDATE(B700),TEXT(B700,""M""),""""))"),"")</f>
        <v/>
      </c>
      <c r="M700" s="29" t="str">
        <f>IFERROR(__xludf.DUMMYFUNCTION("IF(L700="""","""",QUERY({'Dashboard-Dados'!$Y$2:$AA$13},""Select Col2 Where Col1=""&amp;L700))"),"")</f>
        <v/>
      </c>
      <c r="N700" s="29" t="str">
        <f>IFERROR(__xludf.DUMMYFUNCTION("IF(ISBLANK(B700),"""",IF(ISDATE(B700),TEXT(B700,""yyyy""),""""))"),"")</f>
        <v/>
      </c>
    </row>
    <row r="701">
      <c r="B701" s="87"/>
      <c r="C701" s="85"/>
      <c r="D701" s="76"/>
      <c r="H701" s="88"/>
      <c r="J701" s="53" t="str">
        <f>IFERROR(__xludf.DUMMYFUNCTION("IF(ISBLANK(B701),"""",IF(ISDATE(B701),""X"",""""))"),"")</f>
        <v/>
      </c>
      <c r="K701" s="40" t="str">
        <f>IFERROR(__xludf.DUMMYFUNCTION("IF(ISBLANK(B701),"""",IF(ISDATE(B701),H701,""""))"),"")</f>
        <v/>
      </c>
      <c r="L701" s="40" t="str">
        <f>IFERROR(__xludf.DUMMYFUNCTION("IF(ISBLANK(B701),"""",IF(ISDATE(B701),TEXT(B701,""M""),""""))"),"")</f>
        <v/>
      </c>
      <c r="M701" s="29" t="str">
        <f>IFERROR(__xludf.DUMMYFUNCTION("IF(L701="""","""",QUERY({'Dashboard-Dados'!$Y$2:$AA$13},""Select Col2 Where Col1=""&amp;L701))"),"")</f>
        <v/>
      </c>
      <c r="N701" s="29" t="str">
        <f>IFERROR(__xludf.DUMMYFUNCTION("IF(ISBLANK(B701),"""",IF(ISDATE(B701),TEXT(B701,""yyyy""),""""))"),"")</f>
        <v/>
      </c>
    </row>
    <row r="702">
      <c r="B702" s="89"/>
      <c r="C702" s="86"/>
      <c r="D702" s="71"/>
      <c r="H702" s="90"/>
      <c r="J702" s="53" t="str">
        <f>IFERROR(__xludf.DUMMYFUNCTION("IF(ISBLANK(B702),"""",IF(ISDATE(B702),""X"",""""))"),"")</f>
        <v/>
      </c>
      <c r="K702" s="40" t="str">
        <f>IFERROR(__xludf.DUMMYFUNCTION("IF(ISBLANK(B702),"""",IF(ISDATE(B702),H702,""""))"),"")</f>
        <v/>
      </c>
      <c r="L702" s="40" t="str">
        <f>IFERROR(__xludf.DUMMYFUNCTION("IF(ISBLANK(B702),"""",IF(ISDATE(B702),TEXT(B702,""M""),""""))"),"")</f>
        <v/>
      </c>
      <c r="M702" s="29" t="str">
        <f>IFERROR(__xludf.DUMMYFUNCTION("IF(L702="""","""",QUERY({'Dashboard-Dados'!$Y$2:$AA$13},""Select Col2 Where Col1=""&amp;L702))"),"")</f>
        <v/>
      </c>
      <c r="N702" s="29" t="str">
        <f>IFERROR(__xludf.DUMMYFUNCTION("IF(ISBLANK(B702),"""",IF(ISDATE(B702),TEXT(B702,""yyyy""),""""))"),"")</f>
        <v/>
      </c>
    </row>
    <row r="703">
      <c r="B703" s="87"/>
      <c r="C703" s="85"/>
      <c r="D703" s="76"/>
      <c r="H703" s="88"/>
      <c r="J703" s="53" t="str">
        <f>IFERROR(__xludf.DUMMYFUNCTION("IF(ISBLANK(B703),"""",IF(ISDATE(B703),""X"",""""))"),"")</f>
        <v/>
      </c>
      <c r="K703" s="40" t="str">
        <f>IFERROR(__xludf.DUMMYFUNCTION("IF(ISBLANK(B703),"""",IF(ISDATE(B703),H703,""""))"),"")</f>
        <v/>
      </c>
      <c r="L703" s="40" t="str">
        <f>IFERROR(__xludf.DUMMYFUNCTION("IF(ISBLANK(B703),"""",IF(ISDATE(B703),TEXT(B703,""M""),""""))"),"")</f>
        <v/>
      </c>
      <c r="M703" s="29" t="str">
        <f>IFERROR(__xludf.DUMMYFUNCTION("IF(L703="""","""",QUERY({'Dashboard-Dados'!$Y$2:$AA$13},""Select Col2 Where Col1=""&amp;L703))"),"")</f>
        <v/>
      </c>
      <c r="N703" s="29" t="str">
        <f>IFERROR(__xludf.DUMMYFUNCTION("IF(ISBLANK(B703),"""",IF(ISDATE(B703),TEXT(B703,""yyyy""),""""))"),"")</f>
        <v/>
      </c>
    </row>
    <row r="704">
      <c r="B704" s="89"/>
      <c r="C704" s="86"/>
      <c r="D704" s="71"/>
      <c r="H704" s="90"/>
      <c r="J704" s="53" t="str">
        <f>IFERROR(__xludf.DUMMYFUNCTION("IF(ISBLANK(B704),"""",IF(ISDATE(B704),""X"",""""))"),"")</f>
        <v/>
      </c>
      <c r="K704" s="40" t="str">
        <f>IFERROR(__xludf.DUMMYFUNCTION("IF(ISBLANK(B704),"""",IF(ISDATE(B704),H704,""""))"),"")</f>
        <v/>
      </c>
      <c r="L704" s="40" t="str">
        <f>IFERROR(__xludf.DUMMYFUNCTION("IF(ISBLANK(B704),"""",IF(ISDATE(B704),TEXT(B704,""M""),""""))"),"")</f>
        <v/>
      </c>
      <c r="M704" s="29" t="str">
        <f>IFERROR(__xludf.DUMMYFUNCTION("IF(L704="""","""",QUERY({'Dashboard-Dados'!$Y$2:$AA$13},""Select Col2 Where Col1=""&amp;L704))"),"")</f>
        <v/>
      </c>
      <c r="N704" s="29" t="str">
        <f>IFERROR(__xludf.DUMMYFUNCTION("IF(ISBLANK(B704),"""",IF(ISDATE(B704),TEXT(B704,""yyyy""),""""))"),"")</f>
        <v/>
      </c>
    </row>
    <row r="705">
      <c r="B705" s="87"/>
      <c r="C705" s="85"/>
      <c r="D705" s="76"/>
      <c r="H705" s="88"/>
      <c r="J705" s="53" t="str">
        <f>IFERROR(__xludf.DUMMYFUNCTION("IF(ISBLANK(B705),"""",IF(ISDATE(B705),""X"",""""))"),"")</f>
        <v/>
      </c>
      <c r="K705" s="40" t="str">
        <f>IFERROR(__xludf.DUMMYFUNCTION("IF(ISBLANK(B705),"""",IF(ISDATE(B705),H705,""""))"),"")</f>
        <v/>
      </c>
      <c r="L705" s="40" t="str">
        <f>IFERROR(__xludf.DUMMYFUNCTION("IF(ISBLANK(B705),"""",IF(ISDATE(B705),TEXT(B705,""M""),""""))"),"")</f>
        <v/>
      </c>
      <c r="M705" s="29" t="str">
        <f>IFERROR(__xludf.DUMMYFUNCTION("IF(L705="""","""",QUERY({'Dashboard-Dados'!$Y$2:$AA$13},""Select Col2 Where Col1=""&amp;L705))"),"")</f>
        <v/>
      </c>
      <c r="N705" s="29" t="str">
        <f>IFERROR(__xludf.DUMMYFUNCTION("IF(ISBLANK(B705),"""",IF(ISDATE(B705),TEXT(B705,""yyyy""),""""))"),"")</f>
        <v/>
      </c>
    </row>
    <row r="706">
      <c r="B706" s="89"/>
      <c r="C706" s="86"/>
      <c r="D706" s="71"/>
      <c r="H706" s="90"/>
      <c r="J706" s="53" t="str">
        <f>IFERROR(__xludf.DUMMYFUNCTION("IF(ISBLANK(B706),"""",IF(ISDATE(B706),""X"",""""))"),"")</f>
        <v/>
      </c>
      <c r="K706" s="40" t="str">
        <f>IFERROR(__xludf.DUMMYFUNCTION("IF(ISBLANK(B706),"""",IF(ISDATE(B706),H706,""""))"),"")</f>
        <v/>
      </c>
      <c r="L706" s="40" t="str">
        <f>IFERROR(__xludf.DUMMYFUNCTION("IF(ISBLANK(B706),"""",IF(ISDATE(B706),TEXT(B706,""M""),""""))"),"")</f>
        <v/>
      </c>
      <c r="M706" s="29" t="str">
        <f>IFERROR(__xludf.DUMMYFUNCTION("IF(L706="""","""",QUERY({'Dashboard-Dados'!$Y$2:$AA$13},""Select Col2 Where Col1=""&amp;L706))"),"")</f>
        <v/>
      </c>
      <c r="N706" s="29" t="str">
        <f>IFERROR(__xludf.DUMMYFUNCTION("IF(ISBLANK(B706),"""",IF(ISDATE(B706),TEXT(B706,""yyyy""),""""))"),"")</f>
        <v/>
      </c>
    </row>
    <row r="707">
      <c r="B707" s="87"/>
      <c r="C707" s="85"/>
      <c r="D707" s="76"/>
      <c r="H707" s="88"/>
      <c r="J707" s="53" t="str">
        <f>IFERROR(__xludf.DUMMYFUNCTION("IF(ISBLANK(B707),"""",IF(ISDATE(B707),""X"",""""))"),"")</f>
        <v/>
      </c>
      <c r="K707" s="40" t="str">
        <f>IFERROR(__xludf.DUMMYFUNCTION("IF(ISBLANK(B707),"""",IF(ISDATE(B707),H707,""""))"),"")</f>
        <v/>
      </c>
      <c r="L707" s="40" t="str">
        <f>IFERROR(__xludf.DUMMYFUNCTION("IF(ISBLANK(B707),"""",IF(ISDATE(B707),TEXT(B707,""M""),""""))"),"")</f>
        <v/>
      </c>
      <c r="M707" s="29" t="str">
        <f>IFERROR(__xludf.DUMMYFUNCTION("IF(L707="""","""",QUERY({'Dashboard-Dados'!$Y$2:$AA$13},""Select Col2 Where Col1=""&amp;L707))"),"")</f>
        <v/>
      </c>
      <c r="N707" s="29" t="str">
        <f>IFERROR(__xludf.DUMMYFUNCTION("IF(ISBLANK(B707),"""",IF(ISDATE(B707),TEXT(B707,""yyyy""),""""))"),"")</f>
        <v/>
      </c>
    </row>
    <row r="708">
      <c r="B708" s="89"/>
      <c r="C708" s="86"/>
      <c r="D708" s="71"/>
      <c r="H708" s="90"/>
      <c r="J708" s="53" t="str">
        <f>IFERROR(__xludf.DUMMYFUNCTION("IF(ISBLANK(B708),"""",IF(ISDATE(B708),""X"",""""))"),"")</f>
        <v/>
      </c>
      <c r="K708" s="40" t="str">
        <f>IFERROR(__xludf.DUMMYFUNCTION("IF(ISBLANK(B708),"""",IF(ISDATE(B708),H708,""""))"),"")</f>
        <v/>
      </c>
      <c r="L708" s="40" t="str">
        <f>IFERROR(__xludf.DUMMYFUNCTION("IF(ISBLANK(B708),"""",IF(ISDATE(B708),TEXT(B708,""M""),""""))"),"")</f>
        <v/>
      </c>
      <c r="M708" s="29" t="str">
        <f>IFERROR(__xludf.DUMMYFUNCTION("IF(L708="""","""",QUERY({'Dashboard-Dados'!$Y$2:$AA$13},""Select Col2 Where Col1=""&amp;L708))"),"")</f>
        <v/>
      </c>
      <c r="N708" s="29" t="str">
        <f>IFERROR(__xludf.DUMMYFUNCTION("IF(ISBLANK(B708),"""",IF(ISDATE(B708),TEXT(B708,""yyyy""),""""))"),"")</f>
        <v/>
      </c>
    </row>
    <row r="709">
      <c r="B709" s="87"/>
      <c r="C709" s="85"/>
      <c r="D709" s="76"/>
      <c r="H709" s="88"/>
      <c r="J709" s="53" t="str">
        <f>IFERROR(__xludf.DUMMYFUNCTION("IF(ISBLANK(B709),"""",IF(ISDATE(B709),""X"",""""))"),"")</f>
        <v/>
      </c>
      <c r="K709" s="40" t="str">
        <f>IFERROR(__xludf.DUMMYFUNCTION("IF(ISBLANK(B709),"""",IF(ISDATE(B709),H709,""""))"),"")</f>
        <v/>
      </c>
      <c r="L709" s="40" t="str">
        <f>IFERROR(__xludf.DUMMYFUNCTION("IF(ISBLANK(B709),"""",IF(ISDATE(B709),TEXT(B709,""M""),""""))"),"")</f>
        <v/>
      </c>
      <c r="M709" s="29" t="str">
        <f>IFERROR(__xludf.DUMMYFUNCTION("IF(L709="""","""",QUERY({'Dashboard-Dados'!$Y$2:$AA$13},""Select Col2 Where Col1=""&amp;L709))"),"")</f>
        <v/>
      </c>
      <c r="N709" s="29" t="str">
        <f>IFERROR(__xludf.DUMMYFUNCTION("IF(ISBLANK(B709),"""",IF(ISDATE(B709),TEXT(B709,""yyyy""),""""))"),"")</f>
        <v/>
      </c>
    </row>
    <row r="710">
      <c r="B710" s="89"/>
      <c r="C710" s="86"/>
      <c r="D710" s="71"/>
      <c r="H710" s="90"/>
      <c r="J710" s="53" t="str">
        <f>IFERROR(__xludf.DUMMYFUNCTION("IF(ISBLANK(B710),"""",IF(ISDATE(B710),""X"",""""))"),"")</f>
        <v/>
      </c>
      <c r="K710" s="40" t="str">
        <f>IFERROR(__xludf.DUMMYFUNCTION("IF(ISBLANK(B710),"""",IF(ISDATE(B710),H710,""""))"),"")</f>
        <v/>
      </c>
      <c r="L710" s="40" t="str">
        <f>IFERROR(__xludf.DUMMYFUNCTION("IF(ISBLANK(B710),"""",IF(ISDATE(B710),TEXT(B710,""M""),""""))"),"")</f>
        <v/>
      </c>
      <c r="M710" s="29" t="str">
        <f>IFERROR(__xludf.DUMMYFUNCTION("IF(L710="""","""",QUERY({'Dashboard-Dados'!$Y$2:$AA$13},""Select Col2 Where Col1=""&amp;L710))"),"")</f>
        <v/>
      </c>
      <c r="N710" s="29" t="str">
        <f>IFERROR(__xludf.DUMMYFUNCTION("IF(ISBLANK(B710),"""",IF(ISDATE(B710),TEXT(B710,""yyyy""),""""))"),"")</f>
        <v/>
      </c>
    </row>
    <row r="711">
      <c r="B711" s="87"/>
      <c r="C711" s="85"/>
      <c r="D711" s="76"/>
      <c r="H711" s="88"/>
      <c r="J711" s="53" t="str">
        <f>IFERROR(__xludf.DUMMYFUNCTION("IF(ISBLANK(B711),"""",IF(ISDATE(B711),""X"",""""))"),"")</f>
        <v/>
      </c>
      <c r="K711" s="40" t="str">
        <f>IFERROR(__xludf.DUMMYFUNCTION("IF(ISBLANK(B711),"""",IF(ISDATE(B711),H711,""""))"),"")</f>
        <v/>
      </c>
      <c r="L711" s="40" t="str">
        <f>IFERROR(__xludf.DUMMYFUNCTION("IF(ISBLANK(B711),"""",IF(ISDATE(B711),TEXT(B711,""M""),""""))"),"")</f>
        <v/>
      </c>
      <c r="M711" s="29" t="str">
        <f>IFERROR(__xludf.DUMMYFUNCTION("IF(L711="""","""",QUERY({'Dashboard-Dados'!$Y$2:$AA$13},""Select Col2 Where Col1=""&amp;L711))"),"")</f>
        <v/>
      </c>
      <c r="N711" s="29" t="str">
        <f>IFERROR(__xludf.DUMMYFUNCTION("IF(ISBLANK(B711),"""",IF(ISDATE(B711),TEXT(B711,""yyyy""),""""))"),"")</f>
        <v/>
      </c>
    </row>
    <row r="712">
      <c r="B712" s="89"/>
      <c r="C712" s="86"/>
      <c r="D712" s="71"/>
      <c r="H712" s="90"/>
      <c r="J712" s="53" t="str">
        <f>IFERROR(__xludf.DUMMYFUNCTION("IF(ISBLANK(B712),"""",IF(ISDATE(B712),""X"",""""))"),"")</f>
        <v/>
      </c>
      <c r="K712" s="40" t="str">
        <f>IFERROR(__xludf.DUMMYFUNCTION("IF(ISBLANK(B712),"""",IF(ISDATE(B712),H712,""""))"),"")</f>
        <v/>
      </c>
      <c r="L712" s="40" t="str">
        <f>IFERROR(__xludf.DUMMYFUNCTION("IF(ISBLANK(B712),"""",IF(ISDATE(B712),TEXT(B712,""M""),""""))"),"")</f>
        <v/>
      </c>
      <c r="M712" s="29" t="str">
        <f>IFERROR(__xludf.DUMMYFUNCTION("IF(L712="""","""",QUERY({'Dashboard-Dados'!$Y$2:$AA$13},""Select Col2 Where Col1=""&amp;L712))"),"")</f>
        <v/>
      </c>
      <c r="N712" s="29" t="str">
        <f>IFERROR(__xludf.DUMMYFUNCTION("IF(ISBLANK(B712),"""",IF(ISDATE(B712),TEXT(B712,""yyyy""),""""))"),"")</f>
        <v/>
      </c>
    </row>
    <row r="713">
      <c r="B713" s="87"/>
      <c r="C713" s="85"/>
      <c r="D713" s="76"/>
      <c r="H713" s="88"/>
      <c r="J713" s="53" t="str">
        <f>IFERROR(__xludf.DUMMYFUNCTION("IF(ISBLANK(B713),"""",IF(ISDATE(B713),""X"",""""))"),"")</f>
        <v/>
      </c>
      <c r="K713" s="40" t="str">
        <f>IFERROR(__xludf.DUMMYFUNCTION("IF(ISBLANK(B713),"""",IF(ISDATE(B713),H713,""""))"),"")</f>
        <v/>
      </c>
      <c r="L713" s="40" t="str">
        <f>IFERROR(__xludf.DUMMYFUNCTION("IF(ISBLANK(B713),"""",IF(ISDATE(B713),TEXT(B713,""M""),""""))"),"")</f>
        <v/>
      </c>
      <c r="M713" s="29" t="str">
        <f>IFERROR(__xludf.DUMMYFUNCTION("IF(L713="""","""",QUERY({'Dashboard-Dados'!$Y$2:$AA$13},""Select Col2 Where Col1=""&amp;L713))"),"")</f>
        <v/>
      </c>
      <c r="N713" s="29" t="str">
        <f>IFERROR(__xludf.DUMMYFUNCTION("IF(ISBLANK(B713),"""",IF(ISDATE(B713),TEXT(B713,""yyyy""),""""))"),"")</f>
        <v/>
      </c>
    </row>
    <row r="714">
      <c r="B714" s="89"/>
      <c r="C714" s="86"/>
      <c r="D714" s="71"/>
      <c r="H714" s="90"/>
      <c r="J714" s="53" t="str">
        <f>IFERROR(__xludf.DUMMYFUNCTION("IF(ISBLANK(B714),"""",IF(ISDATE(B714),""X"",""""))"),"")</f>
        <v/>
      </c>
      <c r="K714" s="40" t="str">
        <f>IFERROR(__xludf.DUMMYFUNCTION("IF(ISBLANK(B714),"""",IF(ISDATE(B714),H714,""""))"),"")</f>
        <v/>
      </c>
      <c r="L714" s="40" t="str">
        <f>IFERROR(__xludf.DUMMYFUNCTION("IF(ISBLANK(B714),"""",IF(ISDATE(B714),TEXT(B714,""M""),""""))"),"")</f>
        <v/>
      </c>
      <c r="M714" s="29" t="str">
        <f>IFERROR(__xludf.DUMMYFUNCTION("IF(L714="""","""",QUERY({'Dashboard-Dados'!$Y$2:$AA$13},""Select Col2 Where Col1=""&amp;L714))"),"")</f>
        <v/>
      </c>
      <c r="N714" s="29" t="str">
        <f>IFERROR(__xludf.DUMMYFUNCTION("IF(ISBLANK(B714),"""",IF(ISDATE(B714),TEXT(B714,""yyyy""),""""))"),"")</f>
        <v/>
      </c>
    </row>
    <row r="715">
      <c r="B715" s="87"/>
      <c r="C715" s="85"/>
      <c r="D715" s="76"/>
      <c r="H715" s="88"/>
      <c r="J715" s="53" t="str">
        <f>IFERROR(__xludf.DUMMYFUNCTION("IF(ISBLANK(B715),"""",IF(ISDATE(B715),""X"",""""))"),"")</f>
        <v/>
      </c>
      <c r="K715" s="40" t="str">
        <f>IFERROR(__xludf.DUMMYFUNCTION("IF(ISBLANK(B715),"""",IF(ISDATE(B715),H715,""""))"),"")</f>
        <v/>
      </c>
      <c r="L715" s="40" t="str">
        <f>IFERROR(__xludf.DUMMYFUNCTION("IF(ISBLANK(B715),"""",IF(ISDATE(B715),TEXT(B715,""M""),""""))"),"")</f>
        <v/>
      </c>
      <c r="M715" s="29" t="str">
        <f>IFERROR(__xludf.DUMMYFUNCTION("IF(L715="""","""",QUERY({'Dashboard-Dados'!$Y$2:$AA$13},""Select Col2 Where Col1=""&amp;L715))"),"")</f>
        <v/>
      </c>
      <c r="N715" s="29" t="str">
        <f>IFERROR(__xludf.DUMMYFUNCTION("IF(ISBLANK(B715),"""",IF(ISDATE(B715),TEXT(B715,""yyyy""),""""))"),"")</f>
        <v/>
      </c>
    </row>
    <row r="716">
      <c r="B716" s="89"/>
      <c r="C716" s="86"/>
      <c r="D716" s="71"/>
      <c r="H716" s="90"/>
      <c r="J716" s="53" t="str">
        <f>IFERROR(__xludf.DUMMYFUNCTION("IF(ISBLANK(B716),"""",IF(ISDATE(B716),""X"",""""))"),"")</f>
        <v/>
      </c>
      <c r="K716" s="40" t="str">
        <f>IFERROR(__xludf.DUMMYFUNCTION("IF(ISBLANK(B716),"""",IF(ISDATE(B716),H716,""""))"),"")</f>
        <v/>
      </c>
      <c r="L716" s="40" t="str">
        <f>IFERROR(__xludf.DUMMYFUNCTION("IF(ISBLANK(B716),"""",IF(ISDATE(B716),TEXT(B716,""M""),""""))"),"")</f>
        <v/>
      </c>
      <c r="M716" s="29" t="str">
        <f>IFERROR(__xludf.DUMMYFUNCTION("IF(L716="""","""",QUERY({'Dashboard-Dados'!$Y$2:$AA$13},""Select Col2 Where Col1=""&amp;L716))"),"")</f>
        <v/>
      </c>
      <c r="N716" s="29" t="str">
        <f>IFERROR(__xludf.DUMMYFUNCTION("IF(ISBLANK(B716),"""",IF(ISDATE(B716),TEXT(B716,""yyyy""),""""))"),"")</f>
        <v/>
      </c>
    </row>
    <row r="717">
      <c r="B717" s="87"/>
      <c r="C717" s="85"/>
      <c r="D717" s="76"/>
      <c r="H717" s="88"/>
      <c r="J717" s="53" t="str">
        <f>IFERROR(__xludf.DUMMYFUNCTION("IF(ISBLANK(B717),"""",IF(ISDATE(B717),""X"",""""))"),"")</f>
        <v/>
      </c>
      <c r="K717" s="40" t="str">
        <f>IFERROR(__xludf.DUMMYFUNCTION("IF(ISBLANK(B717),"""",IF(ISDATE(B717),H717,""""))"),"")</f>
        <v/>
      </c>
      <c r="L717" s="40" t="str">
        <f>IFERROR(__xludf.DUMMYFUNCTION("IF(ISBLANK(B717),"""",IF(ISDATE(B717),TEXT(B717,""M""),""""))"),"")</f>
        <v/>
      </c>
      <c r="M717" s="29" t="str">
        <f>IFERROR(__xludf.DUMMYFUNCTION("IF(L717="""","""",QUERY({'Dashboard-Dados'!$Y$2:$AA$13},""Select Col2 Where Col1=""&amp;L717))"),"")</f>
        <v/>
      </c>
      <c r="N717" s="29" t="str">
        <f>IFERROR(__xludf.DUMMYFUNCTION("IF(ISBLANK(B717),"""",IF(ISDATE(B717),TEXT(B717,""yyyy""),""""))"),"")</f>
        <v/>
      </c>
    </row>
    <row r="718">
      <c r="B718" s="89"/>
      <c r="C718" s="86"/>
      <c r="D718" s="71"/>
      <c r="H718" s="90"/>
      <c r="J718" s="53" t="str">
        <f>IFERROR(__xludf.DUMMYFUNCTION("IF(ISBLANK(B718),"""",IF(ISDATE(B718),""X"",""""))"),"")</f>
        <v/>
      </c>
      <c r="K718" s="40" t="str">
        <f>IFERROR(__xludf.DUMMYFUNCTION("IF(ISBLANK(B718),"""",IF(ISDATE(B718),H718,""""))"),"")</f>
        <v/>
      </c>
      <c r="L718" s="40" t="str">
        <f>IFERROR(__xludf.DUMMYFUNCTION("IF(ISBLANK(B718),"""",IF(ISDATE(B718),TEXT(B718,""M""),""""))"),"")</f>
        <v/>
      </c>
      <c r="M718" s="29" t="str">
        <f>IFERROR(__xludf.DUMMYFUNCTION("IF(L718="""","""",QUERY({'Dashboard-Dados'!$Y$2:$AA$13},""Select Col2 Where Col1=""&amp;L718))"),"")</f>
        <v/>
      </c>
      <c r="N718" s="29" t="str">
        <f>IFERROR(__xludf.DUMMYFUNCTION("IF(ISBLANK(B718),"""",IF(ISDATE(B718),TEXT(B718,""yyyy""),""""))"),"")</f>
        <v/>
      </c>
    </row>
    <row r="719">
      <c r="B719" s="87"/>
      <c r="C719" s="85"/>
      <c r="D719" s="76"/>
      <c r="H719" s="88"/>
      <c r="J719" s="53" t="str">
        <f>IFERROR(__xludf.DUMMYFUNCTION("IF(ISBLANK(B719),"""",IF(ISDATE(B719),""X"",""""))"),"")</f>
        <v/>
      </c>
      <c r="K719" s="40" t="str">
        <f>IFERROR(__xludf.DUMMYFUNCTION("IF(ISBLANK(B719),"""",IF(ISDATE(B719),H719,""""))"),"")</f>
        <v/>
      </c>
      <c r="L719" s="40" t="str">
        <f>IFERROR(__xludf.DUMMYFUNCTION("IF(ISBLANK(B719),"""",IF(ISDATE(B719),TEXT(B719,""M""),""""))"),"")</f>
        <v/>
      </c>
      <c r="M719" s="29" t="str">
        <f>IFERROR(__xludf.DUMMYFUNCTION("IF(L719="""","""",QUERY({'Dashboard-Dados'!$Y$2:$AA$13},""Select Col2 Where Col1=""&amp;L719))"),"")</f>
        <v/>
      </c>
      <c r="N719" s="29" t="str">
        <f>IFERROR(__xludf.DUMMYFUNCTION("IF(ISBLANK(B719),"""",IF(ISDATE(B719),TEXT(B719,""yyyy""),""""))"),"")</f>
        <v/>
      </c>
    </row>
    <row r="720">
      <c r="B720" s="89"/>
      <c r="C720" s="86"/>
      <c r="D720" s="71"/>
      <c r="H720" s="90"/>
      <c r="J720" s="53" t="str">
        <f>IFERROR(__xludf.DUMMYFUNCTION("IF(ISBLANK(B720),"""",IF(ISDATE(B720),""X"",""""))"),"")</f>
        <v/>
      </c>
      <c r="K720" s="40" t="str">
        <f>IFERROR(__xludf.DUMMYFUNCTION("IF(ISBLANK(B720),"""",IF(ISDATE(B720),H720,""""))"),"")</f>
        <v/>
      </c>
      <c r="L720" s="40" t="str">
        <f>IFERROR(__xludf.DUMMYFUNCTION("IF(ISBLANK(B720),"""",IF(ISDATE(B720),TEXT(B720,""M""),""""))"),"")</f>
        <v/>
      </c>
      <c r="M720" s="29" t="str">
        <f>IFERROR(__xludf.DUMMYFUNCTION("IF(L720="""","""",QUERY({'Dashboard-Dados'!$Y$2:$AA$13},""Select Col2 Where Col1=""&amp;L720))"),"")</f>
        <v/>
      </c>
      <c r="N720" s="29" t="str">
        <f>IFERROR(__xludf.DUMMYFUNCTION("IF(ISBLANK(B720),"""",IF(ISDATE(B720),TEXT(B720,""yyyy""),""""))"),"")</f>
        <v/>
      </c>
    </row>
    <row r="721">
      <c r="B721" s="87"/>
      <c r="C721" s="85"/>
      <c r="D721" s="76"/>
      <c r="H721" s="88"/>
      <c r="J721" s="53" t="str">
        <f>IFERROR(__xludf.DUMMYFUNCTION("IF(ISBLANK(B721),"""",IF(ISDATE(B721),""X"",""""))"),"")</f>
        <v/>
      </c>
      <c r="K721" s="40" t="str">
        <f>IFERROR(__xludf.DUMMYFUNCTION("IF(ISBLANK(B721),"""",IF(ISDATE(B721),H721,""""))"),"")</f>
        <v/>
      </c>
      <c r="L721" s="40" t="str">
        <f>IFERROR(__xludf.DUMMYFUNCTION("IF(ISBLANK(B721),"""",IF(ISDATE(B721),TEXT(B721,""M""),""""))"),"")</f>
        <v/>
      </c>
      <c r="M721" s="29" t="str">
        <f>IFERROR(__xludf.DUMMYFUNCTION("IF(L721="""","""",QUERY({'Dashboard-Dados'!$Y$2:$AA$13},""Select Col2 Where Col1=""&amp;L721))"),"")</f>
        <v/>
      </c>
      <c r="N721" s="29" t="str">
        <f>IFERROR(__xludf.DUMMYFUNCTION("IF(ISBLANK(B721),"""",IF(ISDATE(B721),TEXT(B721,""yyyy""),""""))"),"")</f>
        <v/>
      </c>
    </row>
    <row r="722">
      <c r="B722" s="89"/>
      <c r="C722" s="86"/>
      <c r="D722" s="71"/>
      <c r="H722" s="90"/>
      <c r="J722" s="53" t="str">
        <f>IFERROR(__xludf.DUMMYFUNCTION("IF(ISBLANK(B722),"""",IF(ISDATE(B722),""X"",""""))"),"")</f>
        <v/>
      </c>
      <c r="K722" s="40" t="str">
        <f>IFERROR(__xludf.DUMMYFUNCTION("IF(ISBLANK(B722),"""",IF(ISDATE(B722),H722,""""))"),"")</f>
        <v/>
      </c>
      <c r="L722" s="40" t="str">
        <f>IFERROR(__xludf.DUMMYFUNCTION("IF(ISBLANK(B722),"""",IF(ISDATE(B722),TEXT(B722,""M""),""""))"),"")</f>
        <v/>
      </c>
      <c r="M722" s="29" t="str">
        <f>IFERROR(__xludf.DUMMYFUNCTION("IF(L722="""","""",QUERY({'Dashboard-Dados'!$Y$2:$AA$13},""Select Col2 Where Col1=""&amp;L722))"),"")</f>
        <v/>
      </c>
      <c r="N722" s="29" t="str">
        <f>IFERROR(__xludf.DUMMYFUNCTION("IF(ISBLANK(B722),"""",IF(ISDATE(B722),TEXT(B722,""yyyy""),""""))"),"")</f>
        <v/>
      </c>
    </row>
    <row r="723">
      <c r="B723" s="87"/>
      <c r="C723" s="85"/>
      <c r="D723" s="76"/>
      <c r="H723" s="88"/>
      <c r="J723" s="53" t="str">
        <f>IFERROR(__xludf.DUMMYFUNCTION("IF(ISBLANK(B723),"""",IF(ISDATE(B723),""X"",""""))"),"")</f>
        <v/>
      </c>
      <c r="K723" s="40" t="str">
        <f>IFERROR(__xludf.DUMMYFUNCTION("IF(ISBLANK(B723),"""",IF(ISDATE(B723),H723,""""))"),"")</f>
        <v/>
      </c>
      <c r="L723" s="40" t="str">
        <f>IFERROR(__xludf.DUMMYFUNCTION("IF(ISBLANK(B723),"""",IF(ISDATE(B723),TEXT(B723,""M""),""""))"),"")</f>
        <v/>
      </c>
      <c r="M723" s="29" t="str">
        <f>IFERROR(__xludf.DUMMYFUNCTION("IF(L723="""","""",QUERY({'Dashboard-Dados'!$Y$2:$AA$13},""Select Col2 Where Col1=""&amp;L723))"),"")</f>
        <v/>
      </c>
      <c r="N723" s="29" t="str">
        <f>IFERROR(__xludf.DUMMYFUNCTION("IF(ISBLANK(B723),"""",IF(ISDATE(B723),TEXT(B723,""yyyy""),""""))"),"")</f>
        <v/>
      </c>
    </row>
    <row r="724">
      <c r="B724" s="89"/>
      <c r="C724" s="86"/>
      <c r="D724" s="71"/>
      <c r="H724" s="90"/>
      <c r="J724" s="53" t="str">
        <f>IFERROR(__xludf.DUMMYFUNCTION("IF(ISBLANK(B724),"""",IF(ISDATE(B724),""X"",""""))"),"")</f>
        <v/>
      </c>
      <c r="K724" s="40" t="str">
        <f>IFERROR(__xludf.DUMMYFUNCTION("IF(ISBLANK(B724),"""",IF(ISDATE(B724),H724,""""))"),"")</f>
        <v/>
      </c>
      <c r="L724" s="40" t="str">
        <f>IFERROR(__xludf.DUMMYFUNCTION("IF(ISBLANK(B724),"""",IF(ISDATE(B724),TEXT(B724,""M""),""""))"),"")</f>
        <v/>
      </c>
      <c r="M724" s="29" t="str">
        <f>IFERROR(__xludf.DUMMYFUNCTION("IF(L724="""","""",QUERY({'Dashboard-Dados'!$Y$2:$AA$13},""Select Col2 Where Col1=""&amp;L724))"),"")</f>
        <v/>
      </c>
      <c r="N724" s="29" t="str">
        <f>IFERROR(__xludf.DUMMYFUNCTION("IF(ISBLANK(B724),"""",IF(ISDATE(B724),TEXT(B724,""yyyy""),""""))"),"")</f>
        <v/>
      </c>
    </row>
    <row r="725">
      <c r="B725" s="87"/>
      <c r="C725" s="85"/>
      <c r="D725" s="76"/>
      <c r="H725" s="88"/>
      <c r="J725" s="53" t="str">
        <f>IFERROR(__xludf.DUMMYFUNCTION("IF(ISBLANK(B725),"""",IF(ISDATE(B725),""X"",""""))"),"")</f>
        <v/>
      </c>
      <c r="K725" s="40" t="str">
        <f>IFERROR(__xludf.DUMMYFUNCTION("IF(ISBLANK(B725),"""",IF(ISDATE(B725),H725,""""))"),"")</f>
        <v/>
      </c>
      <c r="L725" s="40" t="str">
        <f>IFERROR(__xludf.DUMMYFUNCTION("IF(ISBLANK(B725),"""",IF(ISDATE(B725),TEXT(B725,""M""),""""))"),"")</f>
        <v/>
      </c>
      <c r="M725" s="29" t="str">
        <f>IFERROR(__xludf.DUMMYFUNCTION("IF(L725="""","""",QUERY({'Dashboard-Dados'!$Y$2:$AA$13},""Select Col2 Where Col1=""&amp;L725))"),"")</f>
        <v/>
      </c>
      <c r="N725" s="29" t="str">
        <f>IFERROR(__xludf.DUMMYFUNCTION("IF(ISBLANK(B725),"""",IF(ISDATE(B725),TEXT(B725,""yyyy""),""""))"),"")</f>
        <v/>
      </c>
    </row>
    <row r="726">
      <c r="B726" s="89"/>
      <c r="C726" s="86"/>
      <c r="D726" s="71"/>
      <c r="H726" s="90"/>
      <c r="J726" s="53" t="str">
        <f>IFERROR(__xludf.DUMMYFUNCTION("IF(ISBLANK(B726),"""",IF(ISDATE(B726),""X"",""""))"),"")</f>
        <v/>
      </c>
      <c r="K726" s="40" t="str">
        <f>IFERROR(__xludf.DUMMYFUNCTION("IF(ISBLANK(B726),"""",IF(ISDATE(B726),H726,""""))"),"")</f>
        <v/>
      </c>
      <c r="L726" s="40" t="str">
        <f>IFERROR(__xludf.DUMMYFUNCTION("IF(ISBLANK(B726),"""",IF(ISDATE(B726),TEXT(B726,""M""),""""))"),"")</f>
        <v/>
      </c>
      <c r="M726" s="29" t="str">
        <f>IFERROR(__xludf.DUMMYFUNCTION("IF(L726="""","""",QUERY({'Dashboard-Dados'!$Y$2:$AA$13},""Select Col2 Where Col1=""&amp;L726))"),"")</f>
        <v/>
      </c>
      <c r="N726" s="29" t="str">
        <f>IFERROR(__xludf.DUMMYFUNCTION("IF(ISBLANK(B726),"""",IF(ISDATE(B726),TEXT(B726,""yyyy""),""""))"),"")</f>
        <v/>
      </c>
    </row>
    <row r="727">
      <c r="B727" s="87"/>
      <c r="C727" s="85"/>
      <c r="D727" s="76"/>
      <c r="H727" s="88"/>
      <c r="J727" s="53" t="str">
        <f>IFERROR(__xludf.DUMMYFUNCTION("IF(ISBLANK(B727),"""",IF(ISDATE(B727),""X"",""""))"),"")</f>
        <v/>
      </c>
      <c r="K727" s="40" t="str">
        <f>IFERROR(__xludf.DUMMYFUNCTION("IF(ISBLANK(B727),"""",IF(ISDATE(B727),H727,""""))"),"")</f>
        <v/>
      </c>
      <c r="L727" s="40" t="str">
        <f>IFERROR(__xludf.DUMMYFUNCTION("IF(ISBLANK(B727),"""",IF(ISDATE(B727),TEXT(B727,""M""),""""))"),"")</f>
        <v/>
      </c>
      <c r="M727" s="29" t="str">
        <f>IFERROR(__xludf.DUMMYFUNCTION("IF(L727="""","""",QUERY({'Dashboard-Dados'!$Y$2:$AA$13},""Select Col2 Where Col1=""&amp;L727))"),"")</f>
        <v/>
      </c>
      <c r="N727" s="29" t="str">
        <f>IFERROR(__xludf.DUMMYFUNCTION("IF(ISBLANK(B727),"""",IF(ISDATE(B727),TEXT(B727,""yyyy""),""""))"),"")</f>
        <v/>
      </c>
    </row>
    <row r="728">
      <c r="B728" s="89"/>
      <c r="C728" s="86"/>
      <c r="D728" s="71"/>
      <c r="H728" s="90"/>
      <c r="J728" s="53" t="str">
        <f>IFERROR(__xludf.DUMMYFUNCTION("IF(ISBLANK(B728),"""",IF(ISDATE(B728),""X"",""""))"),"")</f>
        <v/>
      </c>
      <c r="K728" s="40" t="str">
        <f>IFERROR(__xludf.DUMMYFUNCTION("IF(ISBLANK(B728),"""",IF(ISDATE(B728),H728,""""))"),"")</f>
        <v/>
      </c>
      <c r="L728" s="40" t="str">
        <f>IFERROR(__xludf.DUMMYFUNCTION("IF(ISBLANK(B728),"""",IF(ISDATE(B728),TEXT(B728,""M""),""""))"),"")</f>
        <v/>
      </c>
      <c r="M728" s="29" t="str">
        <f>IFERROR(__xludf.DUMMYFUNCTION("IF(L728="""","""",QUERY({'Dashboard-Dados'!$Y$2:$AA$13},""Select Col2 Where Col1=""&amp;L728))"),"")</f>
        <v/>
      </c>
      <c r="N728" s="29" t="str">
        <f>IFERROR(__xludf.DUMMYFUNCTION("IF(ISBLANK(B728),"""",IF(ISDATE(B728),TEXT(B728,""yyyy""),""""))"),"")</f>
        <v/>
      </c>
    </row>
    <row r="729">
      <c r="B729" s="87"/>
      <c r="C729" s="85"/>
      <c r="D729" s="76"/>
      <c r="H729" s="88"/>
      <c r="J729" s="53" t="str">
        <f>IFERROR(__xludf.DUMMYFUNCTION("IF(ISBLANK(B729),"""",IF(ISDATE(B729),""X"",""""))"),"")</f>
        <v/>
      </c>
      <c r="K729" s="40" t="str">
        <f>IFERROR(__xludf.DUMMYFUNCTION("IF(ISBLANK(B729),"""",IF(ISDATE(B729),H729,""""))"),"")</f>
        <v/>
      </c>
      <c r="L729" s="40" t="str">
        <f>IFERROR(__xludf.DUMMYFUNCTION("IF(ISBLANK(B729),"""",IF(ISDATE(B729),TEXT(B729,""M""),""""))"),"")</f>
        <v/>
      </c>
      <c r="M729" s="29" t="str">
        <f>IFERROR(__xludf.DUMMYFUNCTION("IF(L729="""","""",QUERY({'Dashboard-Dados'!$Y$2:$AA$13},""Select Col2 Where Col1=""&amp;L729))"),"")</f>
        <v/>
      </c>
      <c r="N729" s="29" t="str">
        <f>IFERROR(__xludf.DUMMYFUNCTION("IF(ISBLANK(B729),"""",IF(ISDATE(B729),TEXT(B729,""yyyy""),""""))"),"")</f>
        <v/>
      </c>
    </row>
    <row r="730">
      <c r="B730" s="89"/>
      <c r="C730" s="86"/>
      <c r="D730" s="71"/>
      <c r="H730" s="90"/>
      <c r="J730" s="53" t="str">
        <f>IFERROR(__xludf.DUMMYFUNCTION("IF(ISBLANK(B730),"""",IF(ISDATE(B730),""X"",""""))"),"")</f>
        <v/>
      </c>
      <c r="K730" s="40" t="str">
        <f>IFERROR(__xludf.DUMMYFUNCTION("IF(ISBLANK(B730),"""",IF(ISDATE(B730),H730,""""))"),"")</f>
        <v/>
      </c>
      <c r="L730" s="40" t="str">
        <f>IFERROR(__xludf.DUMMYFUNCTION("IF(ISBLANK(B730),"""",IF(ISDATE(B730),TEXT(B730,""M""),""""))"),"")</f>
        <v/>
      </c>
      <c r="M730" s="29" t="str">
        <f>IFERROR(__xludf.DUMMYFUNCTION("IF(L730="""","""",QUERY({'Dashboard-Dados'!$Y$2:$AA$13},""Select Col2 Where Col1=""&amp;L730))"),"")</f>
        <v/>
      </c>
      <c r="N730" s="29" t="str">
        <f>IFERROR(__xludf.DUMMYFUNCTION("IF(ISBLANK(B730),"""",IF(ISDATE(B730),TEXT(B730,""yyyy""),""""))"),"")</f>
        <v/>
      </c>
    </row>
    <row r="731">
      <c r="B731" s="87"/>
      <c r="C731" s="85"/>
      <c r="D731" s="76"/>
      <c r="H731" s="88"/>
      <c r="J731" s="53" t="str">
        <f>IFERROR(__xludf.DUMMYFUNCTION("IF(ISBLANK(B731),"""",IF(ISDATE(B731),""X"",""""))"),"")</f>
        <v/>
      </c>
      <c r="K731" s="40" t="str">
        <f>IFERROR(__xludf.DUMMYFUNCTION("IF(ISBLANK(B731),"""",IF(ISDATE(B731),H731,""""))"),"")</f>
        <v/>
      </c>
      <c r="L731" s="40" t="str">
        <f>IFERROR(__xludf.DUMMYFUNCTION("IF(ISBLANK(B731),"""",IF(ISDATE(B731),TEXT(B731,""M""),""""))"),"")</f>
        <v/>
      </c>
      <c r="M731" s="29" t="str">
        <f>IFERROR(__xludf.DUMMYFUNCTION("IF(L731="""","""",QUERY({'Dashboard-Dados'!$Y$2:$AA$13},""Select Col2 Where Col1=""&amp;L731))"),"")</f>
        <v/>
      </c>
      <c r="N731" s="29" t="str">
        <f>IFERROR(__xludf.DUMMYFUNCTION("IF(ISBLANK(B731),"""",IF(ISDATE(B731),TEXT(B731,""yyyy""),""""))"),"")</f>
        <v/>
      </c>
    </row>
    <row r="732">
      <c r="B732" s="89"/>
      <c r="C732" s="86"/>
      <c r="D732" s="71"/>
      <c r="H732" s="90"/>
      <c r="J732" s="53" t="str">
        <f>IFERROR(__xludf.DUMMYFUNCTION("IF(ISBLANK(B732),"""",IF(ISDATE(B732),""X"",""""))"),"")</f>
        <v/>
      </c>
      <c r="K732" s="40" t="str">
        <f>IFERROR(__xludf.DUMMYFUNCTION("IF(ISBLANK(B732),"""",IF(ISDATE(B732),H732,""""))"),"")</f>
        <v/>
      </c>
      <c r="L732" s="40" t="str">
        <f>IFERROR(__xludf.DUMMYFUNCTION("IF(ISBLANK(B732),"""",IF(ISDATE(B732),TEXT(B732,""M""),""""))"),"")</f>
        <v/>
      </c>
      <c r="M732" s="29" t="str">
        <f>IFERROR(__xludf.DUMMYFUNCTION("IF(L732="""","""",QUERY({'Dashboard-Dados'!$Y$2:$AA$13},""Select Col2 Where Col1=""&amp;L732))"),"")</f>
        <v/>
      </c>
      <c r="N732" s="29" t="str">
        <f>IFERROR(__xludf.DUMMYFUNCTION("IF(ISBLANK(B732),"""",IF(ISDATE(B732),TEXT(B732,""yyyy""),""""))"),"")</f>
        <v/>
      </c>
    </row>
    <row r="733">
      <c r="B733" s="87"/>
      <c r="C733" s="85"/>
      <c r="D733" s="76"/>
      <c r="H733" s="88"/>
      <c r="J733" s="53" t="str">
        <f>IFERROR(__xludf.DUMMYFUNCTION("IF(ISBLANK(B733),"""",IF(ISDATE(B733),""X"",""""))"),"")</f>
        <v/>
      </c>
      <c r="K733" s="40" t="str">
        <f>IFERROR(__xludf.DUMMYFUNCTION("IF(ISBLANK(B733),"""",IF(ISDATE(B733),H733,""""))"),"")</f>
        <v/>
      </c>
      <c r="L733" s="40" t="str">
        <f>IFERROR(__xludf.DUMMYFUNCTION("IF(ISBLANK(B733),"""",IF(ISDATE(B733),TEXT(B733,""M""),""""))"),"")</f>
        <v/>
      </c>
      <c r="M733" s="29" t="str">
        <f>IFERROR(__xludf.DUMMYFUNCTION("IF(L733="""","""",QUERY({'Dashboard-Dados'!$Y$2:$AA$13},""Select Col2 Where Col1=""&amp;L733))"),"")</f>
        <v/>
      </c>
      <c r="N733" s="29" t="str">
        <f>IFERROR(__xludf.DUMMYFUNCTION("IF(ISBLANK(B733),"""",IF(ISDATE(B733),TEXT(B733,""yyyy""),""""))"),"")</f>
        <v/>
      </c>
    </row>
    <row r="734">
      <c r="B734" s="89"/>
      <c r="C734" s="86"/>
      <c r="D734" s="71"/>
      <c r="H734" s="90"/>
      <c r="J734" s="53" t="str">
        <f>IFERROR(__xludf.DUMMYFUNCTION("IF(ISBLANK(B734),"""",IF(ISDATE(B734),""X"",""""))"),"")</f>
        <v/>
      </c>
      <c r="K734" s="40" t="str">
        <f>IFERROR(__xludf.DUMMYFUNCTION("IF(ISBLANK(B734),"""",IF(ISDATE(B734),H734,""""))"),"")</f>
        <v/>
      </c>
      <c r="L734" s="40" t="str">
        <f>IFERROR(__xludf.DUMMYFUNCTION("IF(ISBLANK(B734),"""",IF(ISDATE(B734),TEXT(B734,""M""),""""))"),"")</f>
        <v/>
      </c>
      <c r="M734" s="29" t="str">
        <f>IFERROR(__xludf.DUMMYFUNCTION("IF(L734="""","""",QUERY({'Dashboard-Dados'!$Y$2:$AA$13},""Select Col2 Where Col1=""&amp;L734))"),"")</f>
        <v/>
      </c>
      <c r="N734" s="29" t="str">
        <f>IFERROR(__xludf.DUMMYFUNCTION("IF(ISBLANK(B734),"""",IF(ISDATE(B734),TEXT(B734,""yyyy""),""""))"),"")</f>
        <v/>
      </c>
    </row>
    <row r="735">
      <c r="B735" s="87"/>
      <c r="C735" s="85"/>
      <c r="D735" s="76"/>
      <c r="H735" s="88"/>
      <c r="J735" s="53" t="str">
        <f>IFERROR(__xludf.DUMMYFUNCTION("IF(ISBLANK(B735),"""",IF(ISDATE(B735),""X"",""""))"),"")</f>
        <v/>
      </c>
      <c r="K735" s="40" t="str">
        <f>IFERROR(__xludf.DUMMYFUNCTION("IF(ISBLANK(B735),"""",IF(ISDATE(B735),H735,""""))"),"")</f>
        <v/>
      </c>
      <c r="L735" s="40" t="str">
        <f>IFERROR(__xludf.DUMMYFUNCTION("IF(ISBLANK(B735),"""",IF(ISDATE(B735),TEXT(B735,""M""),""""))"),"")</f>
        <v/>
      </c>
      <c r="M735" s="29" t="str">
        <f>IFERROR(__xludf.DUMMYFUNCTION("IF(L735="""","""",QUERY({'Dashboard-Dados'!$Y$2:$AA$13},""Select Col2 Where Col1=""&amp;L735))"),"")</f>
        <v/>
      </c>
      <c r="N735" s="29" t="str">
        <f>IFERROR(__xludf.DUMMYFUNCTION("IF(ISBLANK(B735),"""",IF(ISDATE(B735),TEXT(B735,""yyyy""),""""))"),"")</f>
        <v/>
      </c>
    </row>
    <row r="736">
      <c r="B736" s="89"/>
      <c r="C736" s="86"/>
      <c r="D736" s="71"/>
      <c r="H736" s="90"/>
      <c r="J736" s="53" t="str">
        <f>IFERROR(__xludf.DUMMYFUNCTION("IF(ISBLANK(B736),"""",IF(ISDATE(B736),""X"",""""))"),"")</f>
        <v/>
      </c>
      <c r="K736" s="40" t="str">
        <f>IFERROR(__xludf.DUMMYFUNCTION("IF(ISBLANK(B736),"""",IF(ISDATE(B736),H736,""""))"),"")</f>
        <v/>
      </c>
      <c r="L736" s="40" t="str">
        <f>IFERROR(__xludf.DUMMYFUNCTION("IF(ISBLANK(B736),"""",IF(ISDATE(B736),TEXT(B736,""M""),""""))"),"")</f>
        <v/>
      </c>
      <c r="M736" s="29" t="str">
        <f>IFERROR(__xludf.DUMMYFUNCTION("IF(L736="""","""",QUERY({'Dashboard-Dados'!$Y$2:$AA$13},""Select Col2 Where Col1=""&amp;L736))"),"")</f>
        <v/>
      </c>
      <c r="N736" s="29" t="str">
        <f>IFERROR(__xludf.DUMMYFUNCTION("IF(ISBLANK(B736),"""",IF(ISDATE(B736),TEXT(B736,""yyyy""),""""))"),"")</f>
        <v/>
      </c>
    </row>
    <row r="737">
      <c r="B737" s="87"/>
      <c r="C737" s="85"/>
      <c r="D737" s="76"/>
      <c r="H737" s="88"/>
      <c r="J737" s="53" t="str">
        <f>IFERROR(__xludf.DUMMYFUNCTION("IF(ISBLANK(B737),"""",IF(ISDATE(B737),""X"",""""))"),"")</f>
        <v/>
      </c>
      <c r="K737" s="40" t="str">
        <f>IFERROR(__xludf.DUMMYFUNCTION("IF(ISBLANK(B737),"""",IF(ISDATE(B737),H737,""""))"),"")</f>
        <v/>
      </c>
      <c r="L737" s="40" t="str">
        <f>IFERROR(__xludf.DUMMYFUNCTION("IF(ISBLANK(B737),"""",IF(ISDATE(B737),TEXT(B737,""M""),""""))"),"")</f>
        <v/>
      </c>
      <c r="M737" s="29" t="str">
        <f>IFERROR(__xludf.DUMMYFUNCTION("IF(L737="""","""",QUERY({'Dashboard-Dados'!$Y$2:$AA$13},""Select Col2 Where Col1=""&amp;L737))"),"")</f>
        <v/>
      </c>
      <c r="N737" s="29" t="str">
        <f>IFERROR(__xludf.DUMMYFUNCTION("IF(ISBLANK(B737),"""",IF(ISDATE(B737),TEXT(B737,""yyyy""),""""))"),"")</f>
        <v/>
      </c>
    </row>
    <row r="738">
      <c r="B738" s="89"/>
      <c r="C738" s="86"/>
      <c r="D738" s="71"/>
      <c r="H738" s="90"/>
      <c r="J738" s="53" t="str">
        <f>IFERROR(__xludf.DUMMYFUNCTION("IF(ISBLANK(B738),"""",IF(ISDATE(B738),""X"",""""))"),"")</f>
        <v/>
      </c>
      <c r="K738" s="40" t="str">
        <f>IFERROR(__xludf.DUMMYFUNCTION("IF(ISBLANK(B738),"""",IF(ISDATE(B738),H738,""""))"),"")</f>
        <v/>
      </c>
      <c r="L738" s="40" t="str">
        <f>IFERROR(__xludf.DUMMYFUNCTION("IF(ISBLANK(B738),"""",IF(ISDATE(B738),TEXT(B738,""M""),""""))"),"")</f>
        <v/>
      </c>
      <c r="M738" s="29" t="str">
        <f>IFERROR(__xludf.DUMMYFUNCTION("IF(L738="""","""",QUERY({'Dashboard-Dados'!$Y$2:$AA$13},""Select Col2 Where Col1=""&amp;L738))"),"")</f>
        <v/>
      </c>
      <c r="N738" s="29" t="str">
        <f>IFERROR(__xludf.DUMMYFUNCTION("IF(ISBLANK(B738),"""",IF(ISDATE(B738),TEXT(B738,""yyyy""),""""))"),"")</f>
        <v/>
      </c>
    </row>
    <row r="739">
      <c r="B739" s="87"/>
      <c r="C739" s="85"/>
      <c r="D739" s="76"/>
      <c r="H739" s="88"/>
      <c r="J739" s="53" t="str">
        <f>IFERROR(__xludf.DUMMYFUNCTION("IF(ISBLANK(B739),"""",IF(ISDATE(B739),""X"",""""))"),"")</f>
        <v/>
      </c>
      <c r="K739" s="40" t="str">
        <f>IFERROR(__xludf.DUMMYFUNCTION("IF(ISBLANK(B739),"""",IF(ISDATE(B739),H739,""""))"),"")</f>
        <v/>
      </c>
      <c r="L739" s="40" t="str">
        <f>IFERROR(__xludf.DUMMYFUNCTION("IF(ISBLANK(B739),"""",IF(ISDATE(B739),TEXT(B739,""M""),""""))"),"")</f>
        <v/>
      </c>
      <c r="M739" s="29" t="str">
        <f>IFERROR(__xludf.DUMMYFUNCTION("IF(L739="""","""",QUERY({'Dashboard-Dados'!$Y$2:$AA$13},""Select Col2 Where Col1=""&amp;L739))"),"")</f>
        <v/>
      </c>
      <c r="N739" s="29" t="str">
        <f>IFERROR(__xludf.DUMMYFUNCTION("IF(ISBLANK(B739),"""",IF(ISDATE(B739),TEXT(B739,""yyyy""),""""))"),"")</f>
        <v/>
      </c>
    </row>
    <row r="740">
      <c r="B740" s="89"/>
      <c r="C740" s="86"/>
      <c r="D740" s="71"/>
      <c r="H740" s="90"/>
      <c r="J740" s="53" t="str">
        <f>IFERROR(__xludf.DUMMYFUNCTION("IF(ISBLANK(B740),"""",IF(ISDATE(B740),""X"",""""))"),"")</f>
        <v/>
      </c>
      <c r="K740" s="40" t="str">
        <f>IFERROR(__xludf.DUMMYFUNCTION("IF(ISBLANK(B740),"""",IF(ISDATE(B740),H740,""""))"),"")</f>
        <v/>
      </c>
      <c r="L740" s="40" t="str">
        <f>IFERROR(__xludf.DUMMYFUNCTION("IF(ISBLANK(B740),"""",IF(ISDATE(B740),TEXT(B740,""M""),""""))"),"")</f>
        <v/>
      </c>
      <c r="M740" s="29" t="str">
        <f>IFERROR(__xludf.DUMMYFUNCTION("IF(L740="""","""",QUERY({'Dashboard-Dados'!$Y$2:$AA$13},""Select Col2 Where Col1=""&amp;L740))"),"")</f>
        <v/>
      </c>
      <c r="N740" s="29" t="str">
        <f>IFERROR(__xludf.DUMMYFUNCTION("IF(ISBLANK(B740),"""",IF(ISDATE(B740),TEXT(B740,""yyyy""),""""))"),"")</f>
        <v/>
      </c>
    </row>
    <row r="741">
      <c r="B741" s="87"/>
      <c r="C741" s="85"/>
      <c r="D741" s="76"/>
      <c r="H741" s="88"/>
      <c r="J741" s="53" t="str">
        <f>IFERROR(__xludf.DUMMYFUNCTION("IF(ISBLANK(B741),"""",IF(ISDATE(B741),""X"",""""))"),"")</f>
        <v/>
      </c>
      <c r="K741" s="40" t="str">
        <f>IFERROR(__xludf.DUMMYFUNCTION("IF(ISBLANK(B741),"""",IF(ISDATE(B741),H741,""""))"),"")</f>
        <v/>
      </c>
      <c r="L741" s="40" t="str">
        <f>IFERROR(__xludf.DUMMYFUNCTION("IF(ISBLANK(B741),"""",IF(ISDATE(B741),TEXT(B741,""M""),""""))"),"")</f>
        <v/>
      </c>
      <c r="M741" s="29" t="str">
        <f>IFERROR(__xludf.DUMMYFUNCTION("IF(L741="""","""",QUERY({'Dashboard-Dados'!$Y$2:$AA$13},""Select Col2 Where Col1=""&amp;L741))"),"")</f>
        <v/>
      </c>
      <c r="N741" s="29" t="str">
        <f>IFERROR(__xludf.DUMMYFUNCTION("IF(ISBLANK(B741),"""",IF(ISDATE(B741),TEXT(B741,""yyyy""),""""))"),"")</f>
        <v/>
      </c>
    </row>
    <row r="742">
      <c r="B742" s="89"/>
      <c r="C742" s="86"/>
      <c r="D742" s="71"/>
      <c r="H742" s="90"/>
      <c r="J742" s="53" t="str">
        <f>IFERROR(__xludf.DUMMYFUNCTION("IF(ISBLANK(B742),"""",IF(ISDATE(B742),""X"",""""))"),"")</f>
        <v/>
      </c>
      <c r="K742" s="40" t="str">
        <f>IFERROR(__xludf.DUMMYFUNCTION("IF(ISBLANK(B742),"""",IF(ISDATE(B742),H742,""""))"),"")</f>
        <v/>
      </c>
      <c r="L742" s="40" t="str">
        <f>IFERROR(__xludf.DUMMYFUNCTION("IF(ISBLANK(B742),"""",IF(ISDATE(B742),TEXT(B742,""M""),""""))"),"")</f>
        <v/>
      </c>
      <c r="M742" s="29" t="str">
        <f>IFERROR(__xludf.DUMMYFUNCTION("IF(L742="""","""",QUERY({'Dashboard-Dados'!$Y$2:$AA$13},""Select Col2 Where Col1=""&amp;L742))"),"")</f>
        <v/>
      </c>
      <c r="N742" s="29" t="str">
        <f>IFERROR(__xludf.DUMMYFUNCTION("IF(ISBLANK(B742),"""",IF(ISDATE(B742),TEXT(B742,""yyyy""),""""))"),"")</f>
        <v/>
      </c>
    </row>
    <row r="743">
      <c r="B743" s="87"/>
      <c r="C743" s="85"/>
      <c r="D743" s="76"/>
      <c r="H743" s="88"/>
      <c r="J743" s="53" t="str">
        <f>IFERROR(__xludf.DUMMYFUNCTION("IF(ISBLANK(B743),"""",IF(ISDATE(B743),""X"",""""))"),"")</f>
        <v/>
      </c>
      <c r="K743" s="40" t="str">
        <f>IFERROR(__xludf.DUMMYFUNCTION("IF(ISBLANK(B743),"""",IF(ISDATE(B743),H743,""""))"),"")</f>
        <v/>
      </c>
      <c r="L743" s="40" t="str">
        <f>IFERROR(__xludf.DUMMYFUNCTION("IF(ISBLANK(B743),"""",IF(ISDATE(B743),TEXT(B743,""M""),""""))"),"")</f>
        <v/>
      </c>
      <c r="M743" s="29" t="str">
        <f>IFERROR(__xludf.DUMMYFUNCTION("IF(L743="""","""",QUERY({'Dashboard-Dados'!$Y$2:$AA$13},""Select Col2 Where Col1=""&amp;L743))"),"")</f>
        <v/>
      </c>
      <c r="N743" s="29" t="str">
        <f>IFERROR(__xludf.DUMMYFUNCTION("IF(ISBLANK(B743),"""",IF(ISDATE(B743),TEXT(B743,""yyyy""),""""))"),"")</f>
        <v/>
      </c>
    </row>
    <row r="744">
      <c r="B744" s="89"/>
      <c r="C744" s="86"/>
      <c r="D744" s="71"/>
      <c r="H744" s="90"/>
      <c r="J744" s="53" t="str">
        <f>IFERROR(__xludf.DUMMYFUNCTION("IF(ISBLANK(B744),"""",IF(ISDATE(B744),""X"",""""))"),"")</f>
        <v/>
      </c>
      <c r="K744" s="40" t="str">
        <f>IFERROR(__xludf.DUMMYFUNCTION("IF(ISBLANK(B744),"""",IF(ISDATE(B744),H744,""""))"),"")</f>
        <v/>
      </c>
      <c r="L744" s="40" t="str">
        <f>IFERROR(__xludf.DUMMYFUNCTION("IF(ISBLANK(B744),"""",IF(ISDATE(B744),TEXT(B744,""M""),""""))"),"")</f>
        <v/>
      </c>
      <c r="M744" s="29" t="str">
        <f>IFERROR(__xludf.DUMMYFUNCTION("IF(L744="""","""",QUERY({'Dashboard-Dados'!$Y$2:$AA$13},""Select Col2 Where Col1=""&amp;L744))"),"")</f>
        <v/>
      </c>
      <c r="N744" s="29" t="str">
        <f>IFERROR(__xludf.DUMMYFUNCTION("IF(ISBLANK(B744),"""",IF(ISDATE(B744),TEXT(B744,""yyyy""),""""))"),"")</f>
        <v/>
      </c>
    </row>
    <row r="745">
      <c r="B745" s="87"/>
      <c r="C745" s="85"/>
      <c r="D745" s="76"/>
      <c r="H745" s="88"/>
      <c r="J745" s="53" t="str">
        <f>IFERROR(__xludf.DUMMYFUNCTION("IF(ISBLANK(B745),"""",IF(ISDATE(B745),""X"",""""))"),"")</f>
        <v/>
      </c>
      <c r="K745" s="40" t="str">
        <f>IFERROR(__xludf.DUMMYFUNCTION("IF(ISBLANK(B745),"""",IF(ISDATE(B745),H745,""""))"),"")</f>
        <v/>
      </c>
      <c r="L745" s="40" t="str">
        <f>IFERROR(__xludf.DUMMYFUNCTION("IF(ISBLANK(B745),"""",IF(ISDATE(B745),TEXT(B745,""M""),""""))"),"")</f>
        <v/>
      </c>
      <c r="M745" s="29" t="str">
        <f>IFERROR(__xludf.DUMMYFUNCTION("IF(L745="""","""",QUERY({'Dashboard-Dados'!$Y$2:$AA$13},""Select Col2 Where Col1=""&amp;L745))"),"")</f>
        <v/>
      </c>
      <c r="N745" s="29" t="str">
        <f>IFERROR(__xludf.DUMMYFUNCTION("IF(ISBLANK(B745),"""",IF(ISDATE(B745),TEXT(B745,""yyyy""),""""))"),"")</f>
        <v/>
      </c>
    </row>
    <row r="746">
      <c r="B746" s="89"/>
      <c r="C746" s="86"/>
      <c r="D746" s="71"/>
      <c r="H746" s="90"/>
      <c r="J746" s="53" t="str">
        <f>IFERROR(__xludf.DUMMYFUNCTION("IF(ISBLANK(B746),"""",IF(ISDATE(B746),""X"",""""))"),"")</f>
        <v/>
      </c>
      <c r="K746" s="40" t="str">
        <f>IFERROR(__xludf.DUMMYFUNCTION("IF(ISBLANK(B746),"""",IF(ISDATE(B746),H746,""""))"),"")</f>
        <v/>
      </c>
      <c r="L746" s="40" t="str">
        <f>IFERROR(__xludf.DUMMYFUNCTION("IF(ISBLANK(B746),"""",IF(ISDATE(B746),TEXT(B746,""M""),""""))"),"")</f>
        <v/>
      </c>
      <c r="M746" s="29" t="str">
        <f>IFERROR(__xludf.DUMMYFUNCTION("IF(L746="""","""",QUERY({'Dashboard-Dados'!$Y$2:$AA$13},""Select Col2 Where Col1=""&amp;L746))"),"")</f>
        <v/>
      </c>
      <c r="N746" s="29" t="str">
        <f>IFERROR(__xludf.DUMMYFUNCTION("IF(ISBLANK(B746),"""",IF(ISDATE(B746),TEXT(B746,""yyyy""),""""))"),"")</f>
        <v/>
      </c>
    </row>
    <row r="747">
      <c r="B747" s="87"/>
      <c r="C747" s="85"/>
      <c r="D747" s="76"/>
      <c r="H747" s="88"/>
      <c r="J747" s="53" t="str">
        <f>IFERROR(__xludf.DUMMYFUNCTION("IF(ISBLANK(B747),"""",IF(ISDATE(B747),""X"",""""))"),"")</f>
        <v/>
      </c>
      <c r="K747" s="40" t="str">
        <f>IFERROR(__xludf.DUMMYFUNCTION("IF(ISBLANK(B747),"""",IF(ISDATE(B747),H747,""""))"),"")</f>
        <v/>
      </c>
      <c r="L747" s="40" t="str">
        <f>IFERROR(__xludf.DUMMYFUNCTION("IF(ISBLANK(B747),"""",IF(ISDATE(B747),TEXT(B747,""M""),""""))"),"")</f>
        <v/>
      </c>
      <c r="M747" s="29" t="str">
        <f>IFERROR(__xludf.DUMMYFUNCTION("IF(L747="""","""",QUERY({'Dashboard-Dados'!$Y$2:$AA$13},""Select Col2 Where Col1=""&amp;L747))"),"")</f>
        <v/>
      </c>
      <c r="N747" s="29" t="str">
        <f>IFERROR(__xludf.DUMMYFUNCTION("IF(ISBLANK(B747),"""",IF(ISDATE(B747),TEXT(B747,""yyyy""),""""))"),"")</f>
        <v/>
      </c>
    </row>
    <row r="748">
      <c r="B748" s="89"/>
      <c r="C748" s="86"/>
      <c r="D748" s="71"/>
      <c r="H748" s="90"/>
      <c r="J748" s="53" t="str">
        <f>IFERROR(__xludf.DUMMYFUNCTION("IF(ISBLANK(B748),"""",IF(ISDATE(B748),""X"",""""))"),"")</f>
        <v/>
      </c>
      <c r="K748" s="40" t="str">
        <f>IFERROR(__xludf.DUMMYFUNCTION("IF(ISBLANK(B748),"""",IF(ISDATE(B748),H748,""""))"),"")</f>
        <v/>
      </c>
      <c r="L748" s="40" t="str">
        <f>IFERROR(__xludf.DUMMYFUNCTION("IF(ISBLANK(B748),"""",IF(ISDATE(B748),TEXT(B748,""M""),""""))"),"")</f>
        <v/>
      </c>
      <c r="M748" s="29" t="str">
        <f>IFERROR(__xludf.DUMMYFUNCTION("IF(L748="""","""",QUERY({'Dashboard-Dados'!$Y$2:$AA$13},""Select Col2 Where Col1=""&amp;L748))"),"")</f>
        <v/>
      </c>
      <c r="N748" s="29" t="str">
        <f>IFERROR(__xludf.DUMMYFUNCTION("IF(ISBLANK(B748),"""",IF(ISDATE(B748),TEXT(B748,""yyyy""),""""))"),"")</f>
        <v/>
      </c>
    </row>
    <row r="749">
      <c r="B749" s="87"/>
      <c r="C749" s="85"/>
      <c r="D749" s="76"/>
      <c r="H749" s="88"/>
      <c r="J749" s="53" t="str">
        <f>IFERROR(__xludf.DUMMYFUNCTION("IF(ISBLANK(B749),"""",IF(ISDATE(B749),""X"",""""))"),"")</f>
        <v/>
      </c>
      <c r="K749" s="40" t="str">
        <f>IFERROR(__xludf.DUMMYFUNCTION("IF(ISBLANK(B749),"""",IF(ISDATE(B749),H749,""""))"),"")</f>
        <v/>
      </c>
      <c r="L749" s="40" t="str">
        <f>IFERROR(__xludf.DUMMYFUNCTION("IF(ISBLANK(B749),"""",IF(ISDATE(B749),TEXT(B749,""M""),""""))"),"")</f>
        <v/>
      </c>
      <c r="M749" s="29" t="str">
        <f>IFERROR(__xludf.DUMMYFUNCTION("IF(L749="""","""",QUERY({'Dashboard-Dados'!$Y$2:$AA$13},""Select Col2 Where Col1=""&amp;L749))"),"")</f>
        <v/>
      </c>
      <c r="N749" s="29" t="str">
        <f>IFERROR(__xludf.DUMMYFUNCTION("IF(ISBLANK(B749),"""",IF(ISDATE(B749),TEXT(B749,""yyyy""),""""))"),"")</f>
        <v/>
      </c>
    </row>
    <row r="750">
      <c r="B750" s="89"/>
      <c r="C750" s="86"/>
      <c r="D750" s="71"/>
      <c r="H750" s="90"/>
      <c r="J750" s="53" t="str">
        <f>IFERROR(__xludf.DUMMYFUNCTION("IF(ISBLANK(B750),"""",IF(ISDATE(B750),""X"",""""))"),"")</f>
        <v/>
      </c>
      <c r="K750" s="40" t="str">
        <f>IFERROR(__xludf.DUMMYFUNCTION("IF(ISBLANK(B750),"""",IF(ISDATE(B750),H750,""""))"),"")</f>
        <v/>
      </c>
      <c r="L750" s="40" t="str">
        <f>IFERROR(__xludf.DUMMYFUNCTION("IF(ISBLANK(B750),"""",IF(ISDATE(B750),TEXT(B750,""M""),""""))"),"")</f>
        <v/>
      </c>
      <c r="M750" s="29" t="str">
        <f>IFERROR(__xludf.DUMMYFUNCTION("IF(L750="""","""",QUERY({'Dashboard-Dados'!$Y$2:$AA$13},""Select Col2 Where Col1=""&amp;L750))"),"")</f>
        <v/>
      </c>
      <c r="N750" s="29" t="str">
        <f>IFERROR(__xludf.DUMMYFUNCTION("IF(ISBLANK(B750),"""",IF(ISDATE(B750),TEXT(B750,""yyyy""),""""))"),"")</f>
        <v/>
      </c>
    </row>
    <row r="751">
      <c r="B751" s="87"/>
      <c r="C751" s="85"/>
      <c r="D751" s="76"/>
      <c r="H751" s="88"/>
      <c r="J751" s="53" t="str">
        <f>IFERROR(__xludf.DUMMYFUNCTION("IF(ISBLANK(B751),"""",IF(ISDATE(B751),""X"",""""))"),"")</f>
        <v/>
      </c>
      <c r="K751" s="40" t="str">
        <f>IFERROR(__xludf.DUMMYFUNCTION("IF(ISBLANK(B751),"""",IF(ISDATE(B751),H751,""""))"),"")</f>
        <v/>
      </c>
      <c r="L751" s="40" t="str">
        <f>IFERROR(__xludf.DUMMYFUNCTION("IF(ISBLANK(B751),"""",IF(ISDATE(B751),TEXT(B751,""M""),""""))"),"")</f>
        <v/>
      </c>
      <c r="M751" s="29" t="str">
        <f>IFERROR(__xludf.DUMMYFUNCTION("IF(L751="""","""",QUERY({'Dashboard-Dados'!$Y$2:$AA$13},""Select Col2 Where Col1=""&amp;L751))"),"")</f>
        <v/>
      </c>
      <c r="N751" s="29" t="str">
        <f>IFERROR(__xludf.DUMMYFUNCTION("IF(ISBLANK(B751),"""",IF(ISDATE(B751),TEXT(B751,""yyyy""),""""))"),"")</f>
        <v/>
      </c>
    </row>
    <row r="752">
      <c r="B752" s="89"/>
      <c r="C752" s="86"/>
      <c r="D752" s="71"/>
      <c r="H752" s="90"/>
      <c r="J752" s="53" t="str">
        <f>IFERROR(__xludf.DUMMYFUNCTION("IF(ISBLANK(B752),"""",IF(ISDATE(B752),""X"",""""))"),"")</f>
        <v/>
      </c>
      <c r="K752" s="40" t="str">
        <f>IFERROR(__xludf.DUMMYFUNCTION("IF(ISBLANK(B752),"""",IF(ISDATE(B752),H752,""""))"),"")</f>
        <v/>
      </c>
      <c r="L752" s="40" t="str">
        <f>IFERROR(__xludf.DUMMYFUNCTION("IF(ISBLANK(B752),"""",IF(ISDATE(B752),TEXT(B752,""M""),""""))"),"")</f>
        <v/>
      </c>
      <c r="M752" s="29" t="str">
        <f>IFERROR(__xludf.DUMMYFUNCTION("IF(L752="""","""",QUERY({'Dashboard-Dados'!$Y$2:$AA$13},""Select Col2 Where Col1=""&amp;L752))"),"")</f>
        <v/>
      </c>
      <c r="N752" s="29" t="str">
        <f>IFERROR(__xludf.DUMMYFUNCTION("IF(ISBLANK(B752),"""",IF(ISDATE(B752),TEXT(B752,""yyyy""),""""))"),"")</f>
        <v/>
      </c>
    </row>
    <row r="753">
      <c r="B753" s="87"/>
      <c r="C753" s="85"/>
      <c r="D753" s="76"/>
      <c r="H753" s="88"/>
      <c r="J753" s="53" t="str">
        <f>IFERROR(__xludf.DUMMYFUNCTION("IF(ISBLANK(B753),"""",IF(ISDATE(B753),""X"",""""))"),"")</f>
        <v/>
      </c>
      <c r="K753" s="40" t="str">
        <f>IFERROR(__xludf.DUMMYFUNCTION("IF(ISBLANK(B753),"""",IF(ISDATE(B753),H753,""""))"),"")</f>
        <v/>
      </c>
      <c r="L753" s="40" t="str">
        <f>IFERROR(__xludf.DUMMYFUNCTION("IF(ISBLANK(B753),"""",IF(ISDATE(B753),TEXT(B753,""M""),""""))"),"")</f>
        <v/>
      </c>
      <c r="M753" s="29" t="str">
        <f>IFERROR(__xludf.DUMMYFUNCTION("IF(L753="""","""",QUERY({'Dashboard-Dados'!$Y$2:$AA$13},""Select Col2 Where Col1=""&amp;L753))"),"")</f>
        <v/>
      </c>
      <c r="N753" s="29" t="str">
        <f>IFERROR(__xludf.DUMMYFUNCTION("IF(ISBLANK(B753),"""",IF(ISDATE(B753),TEXT(B753,""yyyy""),""""))"),"")</f>
        <v/>
      </c>
    </row>
    <row r="754">
      <c r="B754" s="89"/>
      <c r="C754" s="86"/>
      <c r="D754" s="71"/>
      <c r="H754" s="90"/>
      <c r="J754" s="53" t="str">
        <f>IFERROR(__xludf.DUMMYFUNCTION("IF(ISBLANK(B754),"""",IF(ISDATE(B754),""X"",""""))"),"")</f>
        <v/>
      </c>
      <c r="K754" s="40" t="str">
        <f>IFERROR(__xludf.DUMMYFUNCTION("IF(ISBLANK(B754),"""",IF(ISDATE(B754),H754,""""))"),"")</f>
        <v/>
      </c>
      <c r="L754" s="40" t="str">
        <f>IFERROR(__xludf.DUMMYFUNCTION("IF(ISBLANK(B754),"""",IF(ISDATE(B754),TEXT(B754,""M""),""""))"),"")</f>
        <v/>
      </c>
      <c r="M754" s="29" t="str">
        <f>IFERROR(__xludf.DUMMYFUNCTION("IF(L754="""","""",QUERY({'Dashboard-Dados'!$Y$2:$AA$13},""Select Col2 Where Col1=""&amp;L754))"),"")</f>
        <v/>
      </c>
      <c r="N754" s="29" t="str">
        <f>IFERROR(__xludf.DUMMYFUNCTION("IF(ISBLANK(B754),"""",IF(ISDATE(B754),TEXT(B754,""yyyy""),""""))"),"")</f>
        <v/>
      </c>
    </row>
    <row r="755">
      <c r="B755" s="87"/>
      <c r="C755" s="85"/>
      <c r="D755" s="76"/>
      <c r="H755" s="88"/>
      <c r="J755" s="53" t="str">
        <f>IFERROR(__xludf.DUMMYFUNCTION("IF(ISBLANK(B755),"""",IF(ISDATE(B755),""X"",""""))"),"")</f>
        <v/>
      </c>
      <c r="K755" s="40" t="str">
        <f>IFERROR(__xludf.DUMMYFUNCTION("IF(ISBLANK(B755),"""",IF(ISDATE(B755),H755,""""))"),"")</f>
        <v/>
      </c>
      <c r="L755" s="40" t="str">
        <f>IFERROR(__xludf.DUMMYFUNCTION("IF(ISBLANK(B755),"""",IF(ISDATE(B755),TEXT(B755,""M""),""""))"),"")</f>
        <v/>
      </c>
      <c r="M755" s="29" t="str">
        <f>IFERROR(__xludf.DUMMYFUNCTION("IF(L755="""","""",QUERY({'Dashboard-Dados'!$Y$2:$AA$13},""Select Col2 Where Col1=""&amp;L755))"),"")</f>
        <v/>
      </c>
      <c r="N755" s="29" t="str">
        <f>IFERROR(__xludf.DUMMYFUNCTION("IF(ISBLANK(B755),"""",IF(ISDATE(B755),TEXT(B755,""yyyy""),""""))"),"")</f>
        <v/>
      </c>
    </row>
    <row r="756">
      <c r="B756" s="89"/>
      <c r="C756" s="86"/>
      <c r="D756" s="71"/>
      <c r="H756" s="90"/>
      <c r="J756" s="53" t="str">
        <f>IFERROR(__xludf.DUMMYFUNCTION("IF(ISBLANK(B756),"""",IF(ISDATE(B756),""X"",""""))"),"")</f>
        <v/>
      </c>
      <c r="K756" s="40" t="str">
        <f>IFERROR(__xludf.DUMMYFUNCTION("IF(ISBLANK(B756),"""",IF(ISDATE(B756),H756,""""))"),"")</f>
        <v/>
      </c>
      <c r="L756" s="40" t="str">
        <f>IFERROR(__xludf.DUMMYFUNCTION("IF(ISBLANK(B756),"""",IF(ISDATE(B756),TEXT(B756,""M""),""""))"),"")</f>
        <v/>
      </c>
      <c r="M756" s="29" t="str">
        <f>IFERROR(__xludf.DUMMYFUNCTION("IF(L756="""","""",QUERY({'Dashboard-Dados'!$Y$2:$AA$13},""Select Col2 Where Col1=""&amp;L756))"),"")</f>
        <v/>
      </c>
      <c r="N756" s="29" t="str">
        <f>IFERROR(__xludf.DUMMYFUNCTION("IF(ISBLANK(B756),"""",IF(ISDATE(B756),TEXT(B756,""yyyy""),""""))"),"")</f>
        <v/>
      </c>
    </row>
    <row r="757">
      <c r="B757" s="87"/>
      <c r="C757" s="85"/>
      <c r="D757" s="76"/>
      <c r="H757" s="88"/>
      <c r="J757" s="53" t="str">
        <f>IFERROR(__xludf.DUMMYFUNCTION("IF(ISBLANK(B757),"""",IF(ISDATE(B757),""X"",""""))"),"")</f>
        <v/>
      </c>
      <c r="K757" s="40" t="str">
        <f>IFERROR(__xludf.DUMMYFUNCTION("IF(ISBLANK(B757),"""",IF(ISDATE(B757),H757,""""))"),"")</f>
        <v/>
      </c>
      <c r="L757" s="40" t="str">
        <f>IFERROR(__xludf.DUMMYFUNCTION("IF(ISBLANK(B757),"""",IF(ISDATE(B757),TEXT(B757,""M""),""""))"),"")</f>
        <v/>
      </c>
      <c r="M757" s="29" t="str">
        <f>IFERROR(__xludf.DUMMYFUNCTION("IF(L757="""","""",QUERY({'Dashboard-Dados'!$Y$2:$AA$13},""Select Col2 Where Col1=""&amp;L757))"),"")</f>
        <v/>
      </c>
      <c r="N757" s="29" t="str">
        <f>IFERROR(__xludf.DUMMYFUNCTION("IF(ISBLANK(B757),"""",IF(ISDATE(B757),TEXT(B757,""yyyy""),""""))"),"")</f>
        <v/>
      </c>
    </row>
    <row r="758">
      <c r="B758" s="89"/>
      <c r="C758" s="86"/>
      <c r="D758" s="71"/>
      <c r="H758" s="90"/>
      <c r="J758" s="53" t="str">
        <f>IFERROR(__xludf.DUMMYFUNCTION("IF(ISBLANK(B758),"""",IF(ISDATE(B758),""X"",""""))"),"")</f>
        <v/>
      </c>
      <c r="K758" s="40" t="str">
        <f>IFERROR(__xludf.DUMMYFUNCTION("IF(ISBLANK(B758),"""",IF(ISDATE(B758),H758,""""))"),"")</f>
        <v/>
      </c>
      <c r="L758" s="40" t="str">
        <f>IFERROR(__xludf.DUMMYFUNCTION("IF(ISBLANK(B758),"""",IF(ISDATE(B758),TEXT(B758,""M""),""""))"),"")</f>
        <v/>
      </c>
      <c r="M758" s="29" t="str">
        <f>IFERROR(__xludf.DUMMYFUNCTION("IF(L758="""","""",QUERY({'Dashboard-Dados'!$Y$2:$AA$13},""Select Col2 Where Col1=""&amp;L758))"),"")</f>
        <v/>
      </c>
      <c r="N758" s="29" t="str">
        <f>IFERROR(__xludf.DUMMYFUNCTION("IF(ISBLANK(B758),"""",IF(ISDATE(B758),TEXT(B758,""yyyy""),""""))"),"")</f>
        <v/>
      </c>
    </row>
    <row r="759">
      <c r="B759" s="87"/>
      <c r="C759" s="85"/>
      <c r="D759" s="76"/>
      <c r="H759" s="88"/>
      <c r="J759" s="53" t="str">
        <f>IFERROR(__xludf.DUMMYFUNCTION("IF(ISBLANK(B759),"""",IF(ISDATE(B759),""X"",""""))"),"")</f>
        <v/>
      </c>
      <c r="K759" s="40" t="str">
        <f>IFERROR(__xludf.DUMMYFUNCTION("IF(ISBLANK(B759),"""",IF(ISDATE(B759),H759,""""))"),"")</f>
        <v/>
      </c>
      <c r="L759" s="40" t="str">
        <f>IFERROR(__xludf.DUMMYFUNCTION("IF(ISBLANK(B759),"""",IF(ISDATE(B759),TEXT(B759,""M""),""""))"),"")</f>
        <v/>
      </c>
      <c r="M759" s="29" t="str">
        <f>IFERROR(__xludf.DUMMYFUNCTION("IF(L759="""","""",QUERY({'Dashboard-Dados'!$Y$2:$AA$13},""Select Col2 Where Col1=""&amp;L759))"),"")</f>
        <v/>
      </c>
      <c r="N759" s="29" t="str">
        <f>IFERROR(__xludf.DUMMYFUNCTION("IF(ISBLANK(B759),"""",IF(ISDATE(B759),TEXT(B759,""yyyy""),""""))"),"")</f>
        <v/>
      </c>
    </row>
    <row r="760">
      <c r="B760" s="89"/>
      <c r="C760" s="86"/>
      <c r="D760" s="71"/>
      <c r="H760" s="90"/>
      <c r="J760" s="53" t="str">
        <f>IFERROR(__xludf.DUMMYFUNCTION("IF(ISBLANK(B760),"""",IF(ISDATE(B760),""X"",""""))"),"")</f>
        <v/>
      </c>
      <c r="K760" s="40" t="str">
        <f>IFERROR(__xludf.DUMMYFUNCTION("IF(ISBLANK(B760),"""",IF(ISDATE(B760),H760,""""))"),"")</f>
        <v/>
      </c>
      <c r="L760" s="40" t="str">
        <f>IFERROR(__xludf.DUMMYFUNCTION("IF(ISBLANK(B760),"""",IF(ISDATE(B760),TEXT(B760,""M""),""""))"),"")</f>
        <v/>
      </c>
      <c r="M760" s="29" t="str">
        <f>IFERROR(__xludf.DUMMYFUNCTION("IF(L760="""","""",QUERY({'Dashboard-Dados'!$Y$2:$AA$13},""Select Col2 Where Col1=""&amp;L760))"),"")</f>
        <v/>
      </c>
      <c r="N760" s="29" t="str">
        <f>IFERROR(__xludf.DUMMYFUNCTION("IF(ISBLANK(B760),"""",IF(ISDATE(B760),TEXT(B760,""yyyy""),""""))"),"")</f>
        <v/>
      </c>
    </row>
    <row r="761">
      <c r="B761" s="87"/>
      <c r="C761" s="85"/>
      <c r="D761" s="76"/>
      <c r="H761" s="88"/>
      <c r="J761" s="53" t="str">
        <f>IFERROR(__xludf.DUMMYFUNCTION("IF(ISBLANK(B761),"""",IF(ISDATE(B761),""X"",""""))"),"")</f>
        <v/>
      </c>
      <c r="K761" s="40" t="str">
        <f>IFERROR(__xludf.DUMMYFUNCTION("IF(ISBLANK(B761),"""",IF(ISDATE(B761),H761,""""))"),"")</f>
        <v/>
      </c>
      <c r="L761" s="40" t="str">
        <f>IFERROR(__xludf.DUMMYFUNCTION("IF(ISBLANK(B761),"""",IF(ISDATE(B761),TEXT(B761,""M""),""""))"),"")</f>
        <v/>
      </c>
      <c r="M761" s="29" t="str">
        <f>IFERROR(__xludf.DUMMYFUNCTION("IF(L761="""","""",QUERY({'Dashboard-Dados'!$Y$2:$AA$13},""Select Col2 Where Col1=""&amp;L761))"),"")</f>
        <v/>
      </c>
      <c r="N761" s="29" t="str">
        <f>IFERROR(__xludf.DUMMYFUNCTION("IF(ISBLANK(B761),"""",IF(ISDATE(B761),TEXT(B761,""yyyy""),""""))"),"")</f>
        <v/>
      </c>
    </row>
    <row r="762">
      <c r="B762" s="89"/>
      <c r="C762" s="86"/>
      <c r="D762" s="71"/>
      <c r="H762" s="90"/>
      <c r="J762" s="53" t="str">
        <f>IFERROR(__xludf.DUMMYFUNCTION("IF(ISBLANK(B762),"""",IF(ISDATE(B762),""X"",""""))"),"")</f>
        <v/>
      </c>
      <c r="K762" s="40" t="str">
        <f>IFERROR(__xludf.DUMMYFUNCTION("IF(ISBLANK(B762),"""",IF(ISDATE(B762),H762,""""))"),"")</f>
        <v/>
      </c>
      <c r="L762" s="40" t="str">
        <f>IFERROR(__xludf.DUMMYFUNCTION("IF(ISBLANK(B762),"""",IF(ISDATE(B762),TEXT(B762,""M""),""""))"),"")</f>
        <v/>
      </c>
      <c r="M762" s="29" t="str">
        <f>IFERROR(__xludf.DUMMYFUNCTION("IF(L762="""","""",QUERY({'Dashboard-Dados'!$Y$2:$AA$13},""Select Col2 Where Col1=""&amp;L762))"),"")</f>
        <v/>
      </c>
      <c r="N762" s="29" t="str">
        <f>IFERROR(__xludf.DUMMYFUNCTION("IF(ISBLANK(B762),"""",IF(ISDATE(B762),TEXT(B762,""yyyy""),""""))"),"")</f>
        <v/>
      </c>
    </row>
    <row r="763">
      <c r="B763" s="87"/>
      <c r="C763" s="85"/>
      <c r="D763" s="76"/>
      <c r="H763" s="88"/>
      <c r="J763" s="53" t="str">
        <f>IFERROR(__xludf.DUMMYFUNCTION("IF(ISBLANK(B763),"""",IF(ISDATE(B763),""X"",""""))"),"")</f>
        <v/>
      </c>
      <c r="K763" s="40" t="str">
        <f>IFERROR(__xludf.DUMMYFUNCTION("IF(ISBLANK(B763),"""",IF(ISDATE(B763),H763,""""))"),"")</f>
        <v/>
      </c>
      <c r="L763" s="40" t="str">
        <f>IFERROR(__xludf.DUMMYFUNCTION("IF(ISBLANK(B763),"""",IF(ISDATE(B763),TEXT(B763,""M""),""""))"),"")</f>
        <v/>
      </c>
      <c r="M763" s="29" t="str">
        <f>IFERROR(__xludf.DUMMYFUNCTION("IF(L763="""","""",QUERY({'Dashboard-Dados'!$Y$2:$AA$13},""Select Col2 Where Col1=""&amp;L763))"),"")</f>
        <v/>
      </c>
      <c r="N763" s="29" t="str">
        <f>IFERROR(__xludf.DUMMYFUNCTION("IF(ISBLANK(B763),"""",IF(ISDATE(B763),TEXT(B763,""yyyy""),""""))"),"")</f>
        <v/>
      </c>
    </row>
    <row r="764">
      <c r="B764" s="89"/>
      <c r="C764" s="86"/>
      <c r="D764" s="71"/>
      <c r="H764" s="90"/>
      <c r="J764" s="53" t="str">
        <f>IFERROR(__xludf.DUMMYFUNCTION("IF(ISBLANK(B764),"""",IF(ISDATE(B764),""X"",""""))"),"")</f>
        <v/>
      </c>
      <c r="K764" s="40" t="str">
        <f>IFERROR(__xludf.DUMMYFUNCTION("IF(ISBLANK(B764),"""",IF(ISDATE(B764),H764,""""))"),"")</f>
        <v/>
      </c>
      <c r="L764" s="40" t="str">
        <f>IFERROR(__xludf.DUMMYFUNCTION("IF(ISBLANK(B764),"""",IF(ISDATE(B764),TEXT(B764,""M""),""""))"),"")</f>
        <v/>
      </c>
      <c r="M764" s="29" t="str">
        <f>IFERROR(__xludf.DUMMYFUNCTION("IF(L764="""","""",QUERY({'Dashboard-Dados'!$Y$2:$AA$13},""Select Col2 Where Col1=""&amp;L764))"),"")</f>
        <v/>
      </c>
      <c r="N764" s="29" t="str">
        <f>IFERROR(__xludf.DUMMYFUNCTION("IF(ISBLANK(B764),"""",IF(ISDATE(B764),TEXT(B764,""yyyy""),""""))"),"")</f>
        <v/>
      </c>
    </row>
    <row r="765">
      <c r="B765" s="87"/>
      <c r="C765" s="85"/>
      <c r="D765" s="76"/>
      <c r="H765" s="88"/>
      <c r="J765" s="53" t="str">
        <f>IFERROR(__xludf.DUMMYFUNCTION("IF(ISBLANK(B765),"""",IF(ISDATE(B765),""X"",""""))"),"")</f>
        <v/>
      </c>
      <c r="K765" s="40" t="str">
        <f>IFERROR(__xludf.DUMMYFUNCTION("IF(ISBLANK(B765),"""",IF(ISDATE(B765),H765,""""))"),"")</f>
        <v/>
      </c>
      <c r="L765" s="40" t="str">
        <f>IFERROR(__xludf.DUMMYFUNCTION("IF(ISBLANK(B765),"""",IF(ISDATE(B765),TEXT(B765,""M""),""""))"),"")</f>
        <v/>
      </c>
      <c r="M765" s="29" t="str">
        <f>IFERROR(__xludf.DUMMYFUNCTION("IF(L765="""","""",QUERY({'Dashboard-Dados'!$Y$2:$AA$13},""Select Col2 Where Col1=""&amp;L765))"),"")</f>
        <v/>
      </c>
      <c r="N765" s="29" t="str">
        <f>IFERROR(__xludf.DUMMYFUNCTION("IF(ISBLANK(B765),"""",IF(ISDATE(B765),TEXT(B765,""yyyy""),""""))"),"")</f>
        <v/>
      </c>
    </row>
    <row r="766">
      <c r="B766" s="89"/>
      <c r="C766" s="86"/>
      <c r="D766" s="71"/>
      <c r="H766" s="90"/>
      <c r="J766" s="53" t="str">
        <f>IFERROR(__xludf.DUMMYFUNCTION("IF(ISBLANK(B766),"""",IF(ISDATE(B766),""X"",""""))"),"")</f>
        <v/>
      </c>
      <c r="K766" s="40" t="str">
        <f>IFERROR(__xludf.DUMMYFUNCTION("IF(ISBLANK(B766),"""",IF(ISDATE(B766),H766,""""))"),"")</f>
        <v/>
      </c>
      <c r="L766" s="40" t="str">
        <f>IFERROR(__xludf.DUMMYFUNCTION("IF(ISBLANK(B766),"""",IF(ISDATE(B766),TEXT(B766,""M""),""""))"),"")</f>
        <v/>
      </c>
      <c r="M766" s="29" t="str">
        <f>IFERROR(__xludf.DUMMYFUNCTION("IF(L766="""","""",QUERY({'Dashboard-Dados'!$Y$2:$AA$13},""Select Col2 Where Col1=""&amp;L766))"),"")</f>
        <v/>
      </c>
      <c r="N766" s="29" t="str">
        <f>IFERROR(__xludf.DUMMYFUNCTION("IF(ISBLANK(B766),"""",IF(ISDATE(B766),TEXT(B766,""yyyy""),""""))"),"")</f>
        <v/>
      </c>
    </row>
    <row r="767">
      <c r="B767" s="87"/>
      <c r="C767" s="85"/>
      <c r="D767" s="76"/>
      <c r="H767" s="88"/>
      <c r="J767" s="53" t="str">
        <f>IFERROR(__xludf.DUMMYFUNCTION("IF(ISBLANK(B767),"""",IF(ISDATE(B767),""X"",""""))"),"")</f>
        <v/>
      </c>
      <c r="K767" s="40" t="str">
        <f>IFERROR(__xludf.DUMMYFUNCTION("IF(ISBLANK(B767),"""",IF(ISDATE(B767),H767,""""))"),"")</f>
        <v/>
      </c>
      <c r="L767" s="40" t="str">
        <f>IFERROR(__xludf.DUMMYFUNCTION("IF(ISBLANK(B767),"""",IF(ISDATE(B767),TEXT(B767,""M""),""""))"),"")</f>
        <v/>
      </c>
      <c r="M767" s="29" t="str">
        <f>IFERROR(__xludf.DUMMYFUNCTION("IF(L767="""","""",QUERY({'Dashboard-Dados'!$Y$2:$AA$13},""Select Col2 Where Col1=""&amp;L767))"),"")</f>
        <v/>
      </c>
      <c r="N767" s="29" t="str">
        <f>IFERROR(__xludf.DUMMYFUNCTION("IF(ISBLANK(B767),"""",IF(ISDATE(B767),TEXT(B767,""yyyy""),""""))"),"")</f>
        <v/>
      </c>
    </row>
    <row r="768">
      <c r="B768" s="89"/>
      <c r="C768" s="86"/>
      <c r="D768" s="71"/>
      <c r="H768" s="90"/>
      <c r="J768" s="53" t="str">
        <f>IFERROR(__xludf.DUMMYFUNCTION("IF(ISBLANK(B768),"""",IF(ISDATE(B768),""X"",""""))"),"")</f>
        <v/>
      </c>
      <c r="K768" s="40" t="str">
        <f>IFERROR(__xludf.DUMMYFUNCTION("IF(ISBLANK(B768),"""",IF(ISDATE(B768),H768,""""))"),"")</f>
        <v/>
      </c>
      <c r="L768" s="40" t="str">
        <f>IFERROR(__xludf.DUMMYFUNCTION("IF(ISBLANK(B768),"""",IF(ISDATE(B768),TEXT(B768,""M""),""""))"),"")</f>
        <v/>
      </c>
      <c r="M768" s="29" t="str">
        <f>IFERROR(__xludf.DUMMYFUNCTION("IF(L768="""","""",QUERY({'Dashboard-Dados'!$Y$2:$AA$13},""Select Col2 Where Col1=""&amp;L768))"),"")</f>
        <v/>
      </c>
      <c r="N768" s="29" t="str">
        <f>IFERROR(__xludf.DUMMYFUNCTION("IF(ISBLANK(B768),"""",IF(ISDATE(B768),TEXT(B768,""yyyy""),""""))"),"")</f>
        <v/>
      </c>
    </row>
    <row r="769">
      <c r="B769" s="87"/>
      <c r="C769" s="85"/>
      <c r="D769" s="76"/>
      <c r="H769" s="88"/>
      <c r="J769" s="53" t="str">
        <f>IFERROR(__xludf.DUMMYFUNCTION("IF(ISBLANK(B769),"""",IF(ISDATE(B769),""X"",""""))"),"")</f>
        <v/>
      </c>
      <c r="K769" s="40" t="str">
        <f>IFERROR(__xludf.DUMMYFUNCTION("IF(ISBLANK(B769),"""",IF(ISDATE(B769),H769,""""))"),"")</f>
        <v/>
      </c>
      <c r="L769" s="40" t="str">
        <f>IFERROR(__xludf.DUMMYFUNCTION("IF(ISBLANK(B769),"""",IF(ISDATE(B769),TEXT(B769,""M""),""""))"),"")</f>
        <v/>
      </c>
      <c r="M769" s="29" t="str">
        <f>IFERROR(__xludf.DUMMYFUNCTION("IF(L769="""","""",QUERY({'Dashboard-Dados'!$Y$2:$AA$13},""Select Col2 Where Col1=""&amp;L769))"),"")</f>
        <v/>
      </c>
      <c r="N769" s="29" t="str">
        <f>IFERROR(__xludf.DUMMYFUNCTION("IF(ISBLANK(B769),"""",IF(ISDATE(B769),TEXT(B769,""yyyy""),""""))"),"")</f>
        <v/>
      </c>
    </row>
    <row r="770">
      <c r="B770" s="89"/>
      <c r="C770" s="86"/>
      <c r="D770" s="71"/>
      <c r="H770" s="90"/>
      <c r="J770" s="53" t="str">
        <f>IFERROR(__xludf.DUMMYFUNCTION("IF(ISBLANK(B770),"""",IF(ISDATE(B770),""X"",""""))"),"")</f>
        <v/>
      </c>
      <c r="K770" s="40" t="str">
        <f>IFERROR(__xludf.DUMMYFUNCTION("IF(ISBLANK(B770),"""",IF(ISDATE(B770),H770,""""))"),"")</f>
        <v/>
      </c>
      <c r="L770" s="40" t="str">
        <f>IFERROR(__xludf.DUMMYFUNCTION("IF(ISBLANK(B770),"""",IF(ISDATE(B770),TEXT(B770,""M""),""""))"),"")</f>
        <v/>
      </c>
      <c r="M770" s="29" t="str">
        <f>IFERROR(__xludf.DUMMYFUNCTION("IF(L770="""","""",QUERY({'Dashboard-Dados'!$Y$2:$AA$13},""Select Col2 Where Col1=""&amp;L770))"),"")</f>
        <v/>
      </c>
      <c r="N770" s="29" t="str">
        <f>IFERROR(__xludf.DUMMYFUNCTION("IF(ISBLANK(B770),"""",IF(ISDATE(B770),TEXT(B770,""yyyy""),""""))"),"")</f>
        <v/>
      </c>
    </row>
    <row r="771">
      <c r="B771" s="87"/>
      <c r="C771" s="85"/>
      <c r="D771" s="76"/>
      <c r="H771" s="88"/>
      <c r="J771" s="53" t="str">
        <f>IFERROR(__xludf.DUMMYFUNCTION("IF(ISBLANK(B771),"""",IF(ISDATE(B771),""X"",""""))"),"")</f>
        <v/>
      </c>
      <c r="K771" s="40" t="str">
        <f>IFERROR(__xludf.DUMMYFUNCTION("IF(ISBLANK(B771),"""",IF(ISDATE(B771),H771,""""))"),"")</f>
        <v/>
      </c>
      <c r="L771" s="40" t="str">
        <f>IFERROR(__xludf.DUMMYFUNCTION("IF(ISBLANK(B771),"""",IF(ISDATE(B771),TEXT(B771,""M""),""""))"),"")</f>
        <v/>
      </c>
      <c r="M771" s="29" t="str">
        <f>IFERROR(__xludf.DUMMYFUNCTION("IF(L771="""","""",QUERY({'Dashboard-Dados'!$Y$2:$AA$13},""Select Col2 Where Col1=""&amp;L771))"),"")</f>
        <v/>
      </c>
      <c r="N771" s="29" t="str">
        <f>IFERROR(__xludf.DUMMYFUNCTION("IF(ISBLANK(B771),"""",IF(ISDATE(B771),TEXT(B771,""yyyy""),""""))"),"")</f>
        <v/>
      </c>
    </row>
    <row r="772">
      <c r="B772" s="89"/>
      <c r="C772" s="86"/>
      <c r="D772" s="71"/>
      <c r="H772" s="90"/>
      <c r="J772" s="53" t="str">
        <f>IFERROR(__xludf.DUMMYFUNCTION("IF(ISBLANK(B772),"""",IF(ISDATE(B772),""X"",""""))"),"")</f>
        <v/>
      </c>
      <c r="K772" s="40" t="str">
        <f>IFERROR(__xludf.DUMMYFUNCTION("IF(ISBLANK(B772),"""",IF(ISDATE(B772),H772,""""))"),"")</f>
        <v/>
      </c>
      <c r="L772" s="40" t="str">
        <f>IFERROR(__xludf.DUMMYFUNCTION("IF(ISBLANK(B772),"""",IF(ISDATE(B772),TEXT(B772,""M""),""""))"),"")</f>
        <v/>
      </c>
      <c r="M772" s="29" t="str">
        <f>IFERROR(__xludf.DUMMYFUNCTION("IF(L772="""","""",QUERY({'Dashboard-Dados'!$Y$2:$AA$13},""Select Col2 Where Col1=""&amp;L772))"),"")</f>
        <v/>
      </c>
      <c r="N772" s="29" t="str">
        <f>IFERROR(__xludf.DUMMYFUNCTION("IF(ISBLANK(B772),"""",IF(ISDATE(B772),TEXT(B772,""yyyy""),""""))"),"")</f>
        <v/>
      </c>
    </row>
    <row r="773">
      <c r="B773" s="87"/>
      <c r="C773" s="85"/>
      <c r="D773" s="76"/>
      <c r="H773" s="88"/>
      <c r="J773" s="53" t="str">
        <f>IFERROR(__xludf.DUMMYFUNCTION("IF(ISBLANK(B773),"""",IF(ISDATE(B773),""X"",""""))"),"")</f>
        <v/>
      </c>
      <c r="K773" s="40" t="str">
        <f>IFERROR(__xludf.DUMMYFUNCTION("IF(ISBLANK(B773),"""",IF(ISDATE(B773),H773,""""))"),"")</f>
        <v/>
      </c>
      <c r="L773" s="40" t="str">
        <f>IFERROR(__xludf.DUMMYFUNCTION("IF(ISBLANK(B773),"""",IF(ISDATE(B773),TEXT(B773,""M""),""""))"),"")</f>
        <v/>
      </c>
      <c r="M773" s="29" t="str">
        <f>IFERROR(__xludf.DUMMYFUNCTION("IF(L773="""","""",QUERY({'Dashboard-Dados'!$Y$2:$AA$13},""Select Col2 Where Col1=""&amp;L773))"),"")</f>
        <v/>
      </c>
      <c r="N773" s="29" t="str">
        <f>IFERROR(__xludf.DUMMYFUNCTION("IF(ISBLANK(B773),"""",IF(ISDATE(B773),TEXT(B773,""yyyy""),""""))"),"")</f>
        <v/>
      </c>
    </row>
    <row r="774">
      <c r="B774" s="89"/>
      <c r="C774" s="86"/>
      <c r="D774" s="71"/>
      <c r="H774" s="90"/>
      <c r="J774" s="53" t="str">
        <f>IFERROR(__xludf.DUMMYFUNCTION("IF(ISBLANK(B774),"""",IF(ISDATE(B774),""X"",""""))"),"")</f>
        <v/>
      </c>
      <c r="K774" s="40" t="str">
        <f>IFERROR(__xludf.DUMMYFUNCTION("IF(ISBLANK(B774),"""",IF(ISDATE(B774),H774,""""))"),"")</f>
        <v/>
      </c>
      <c r="L774" s="40" t="str">
        <f>IFERROR(__xludf.DUMMYFUNCTION("IF(ISBLANK(B774),"""",IF(ISDATE(B774),TEXT(B774,""M""),""""))"),"")</f>
        <v/>
      </c>
      <c r="M774" s="29" t="str">
        <f>IFERROR(__xludf.DUMMYFUNCTION("IF(L774="""","""",QUERY({'Dashboard-Dados'!$Y$2:$AA$13},""Select Col2 Where Col1=""&amp;L774))"),"")</f>
        <v/>
      </c>
      <c r="N774" s="29" t="str">
        <f>IFERROR(__xludf.DUMMYFUNCTION("IF(ISBLANK(B774),"""",IF(ISDATE(B774),TEXT(B774,""yyyy""),""""))"),"")</f>
        <v/>
      </c>
    </row>
    <row r="775">
      <c r="B775" s="87"/>
      <c r="C775" s="85"/>
      <c r="D775" s="76"/>
      <c r="H775" s="88"/>
      <c r="J775" s="53" t="str">
        <f>IFERROR(__xludf.DUMMYFUNCTION("IF(ISBLANK(B775),"""",IF(ISDATE(B775),""X"",""""))"),"")</f>
        <v/>
      </c>
      <c r="K775" s="40" t="str">
        <f>IFERROR(__xludf.DUMMYFUNCTION("IF(ISBLANK(B775),"""",IF(ISDATE(B775),H775,""""))"),"")</f>
        <v/>
      </c>
      <c r="L775" s="40" t="str">
        <f>IFERROR(__xludf.DUMMYFUNCTION("IF(ISBLANK(B775),"""",IF(ISDATE(B775),TEXT(B775,""M""),""""))"),"")</f>
        <v/>
      </c>
      <c r="M775" s="29" t="str">
        <f>IFERROR(__xludf.DUMMYFUNCTION("IF(L775="""","""",QUERY({'Dashboard-Dados'!$Y$2:$AA$13},""Select Col2 Where Col1=""&amp;L775))"),"")</f>
        <v/>
      </c>
      <c r="N775" s="29" t="str">
        <f>IFERROR(__xludf.DUMMYFUNCTION("IF(ISBLANK(B775),"""",IF(ISDATE(B775),TEXT(B775,""yyyy""),""""))"),"")</f>
        <v/>
      </c>
    </row>
    <row r="776">
      <c r="B776" s="89"/>
      <c r="C776" s="86"/>
      <c r="D776" s="71"/>
      <c r="H776" s="90"/>
      <c r="J776" s="53" t="str">
        <f>IFERROR(__xludf.DUMMYFUNCTION("IF(ISBLANK(B776),"""",IF(ISDATE(B776),""X"",""""))"),"")</f>
        <v/>
      </c>
      <c r="K776" s="40" t="str">
        <f>IFERROR(__xludf.DUMMYFUNCTION("IF(ISBLANK(B776),"""",IF(ISDATE(B776),H776,""""))"),"")</f>
        <v/>
      </c>
      <c r="L776" s="40" t="str">
        <f>IFERROR(__xludf.DUMMYFUNCTION("IF(ISBLANK(B776),"""",IF(ISDATE(B776),TEXT(B776,""M""),""""))"),"")</f>
        <v/>
      </c>
      <c r="M776" s="29" t="str">
        <f>IFERROR(__xludf.DUMMYFUNCTION("IF(L776="""","""",QUERY({'Dashboard-Dados'!$Y$2:$AA$13},""Select Col2 Where Col1=""&amp;L776))"),"")</f>
        <v/>
      </c>
      <c r="N776" s="29" t="str">
        <f>IFERROR(__xludf.DUMMYFUNCTION("IF(ISBLANK(B776),"""",IF(ISDATE(B776),TEXT(B776,""yyyy""),""""))"),"")</f>
        <v/>
      </c>
    </row>
    <row r="777">
      <c r="B777" s="87"/>
      <c r="C777" s="85"/>
      <c r="D777" s="76"/>
      <c r="H777" s="88"/>
      <c r="J777" s="53" t="str">
        <f>IFERROR(__xludf.DUMMYFUNCTION("IF(ISBLANK(B777),"""",IF(ISDATE(B777),""X"",""""))"),"")</f>
        <v/>
      </c>
      <c r="K777" s="40" t="str">
        <f>IFERROR(__xludf.DUMMYFUNCTION("IF(ISBLANK(B777),"""",IF(ISDATE(B777),H777,""""))"),"")</f>
        <v/>
      </c>
      <c r="L777" s="40" t="str">
        <f>IFERROR(__xludf.DUMMYFUNCTION("IF(ISBLANK(B777),"""",IF(ISDATE(B777),TEXT(B777,""M""),""""))"),"")</f>
        <v/>
      </c>
      <c r="M777" s="29" t="str">
        <f>IFERROR(__xludf.DUMMYFUNCTION("IF(L777="""","""",QUERY({'Dashboard-Dados'!$Y$2:$AA$13},""Select Col2 Where Col1=""&amp;L777))"),"")</f>
        <v/>
      </c>
      <c r="N777" s="29" t="str">
        <f>IFERROR(__xludf.DUMMYFUNCTION("IF(ISBLANK(B777),"""",IF(ISDATE(B777),TEXT(B777,""yyyy""),""""))"),"")</f>
        <v/>
      </c>
    </row>
    <row r="778">
      <c r="B778" s="89"/>
      <c r="C778" s="86"/>
      <c r="D778" s="71"/>
      <c r="H778" s="90"/>
      <c r="J778" s="53" t="str">
        <f>IFERROR(__xludf.DUMMYFUNCTION("IF(ISBLANK(B778),"""",IF(ISDATE(B778),""X"",""""))"),"")</f>
        <v/>
      </c>
      <c r="K778" s="40" t="str">
        <f>IFERROR(__xludf.DUMMYFUNCTION("IF(ISBLANK(B778),"""",IF(ISDATE(B778),H778,""""))"),"")</f>
        <v/>
      </c>
      <c r="L778" s="40" t="str">
        <f>IFERROR(__xludf.DUMMYFUNCTION("IF(ISBLANK(B778),"""",IF(ISDATE(B778),TEXT(B778,""M""),""""))"),"")</f>
        <v/>
      </c>
      <c r="M778" s="29" t="str">
        <f>IFERROR(__xludf.DUMMYFUNCTION("IF(L778="""","""",QUERY({'Dashboard-Dados'!$Y$2:$AA$13},""Select Col2 Where Col1=""&amp;L778))"),"")</f>
        <v/>
      </c>
      <c r="N778" s="29" t="str">
        <f>IFERROR(__xludf.DUMMYFUNCTION("IF(ISBLANK(B778),"""",IF(ISDATE(B778),TEXT(B778,""yyyy""),""""))"),"")</f>
        <v/>
      </c>
    </row>
    <row r="779">
      <c r="B779" s="87"/>
      <c r="C779" s="85"/>
      <c r="D779" s="76"/>
      <c r="H779" s="88"/>
      <c r="J779" s="53" t="str">
        <f>IFERROR(__xludf.DUMMYFUNCTION("IF(ISBLANK(B779),"""",IF(ISDATE(B779),""X"",""""))"),"")</f>
        <v/>
      </c>
      <c r="K779" s="40" t="str">
        <f>IFERROR(__xludf.DUMMYFUNCTION("IF(ISBLANK(B779),"""",IF(ISDATE(B779),H779,""""))"),"")</f>
        <v/>
      </c>
      <c r="L779" s="40" t="str">
        <f>IFERROR(__xludf.DUMMYFUNCTION("IF(ISBLANK(B779),"""",IF(ISDATE(B779),TEXT(B779,""M""),""""))"),"")</f>
        <v/>
      </c>
      <c r="M779" s="29" t="str">
        <f>IFERROR(__xludf.DUMMYFUNCTION("IF(L779="""","""",QUERY({'Dashboard-Dados'!$Y$2:$AA$13},""Select Col2 Where Col1=""&amp;L779))"),"")</f>
        <v/>
      </c>
      <c r="N779" s="29" t="str">
        <f>IFERROR(__xludf.DUMMYFUNCTION("IF(ISBLANK(B779),"""",IF(ISDATE(B779),TEXT(B779,""yyyy""),""""))"),"")</f>
        <v/>
      </c>
    </row>
    <row r="780">
      <c r="B780" s="89"/>
      <c r="C780" s="86"/>
      <c r="D780" s="71"/>
      <c r="H780" s="90"/>
      <c r="J780" s="53" t="str">
        <f>IFERROR(__xludf.DUMMYFUNCTION("IF(ISBLANK(B780),"""",IF(ISDATE(B780),""X"",""""))"),"")</f>
        <v/>
      </c>
      <c r="K780" s="40" t="str">
        <f>IFERROR(__xludf.DUMMYFUNCTION("IF(ISBLANK(B780),"""",IF(ISDATE(B780),H780,""""))"),"")</f>
        <v/>
      </c>
      <c r="L780" s="40" t="str">
        <f>IFERROR(__xludf.DUMMYFUNCTION("IF(ISBLANK(B780),"""",IF(ISDATE(B780),TEXT(B780,""M""),""""))"),"")</f>
        <v/>
      </c>
      <c r="M780" s="29" t="str">
        <f>IFERROR(__xludf.DUMMYFUNCTION("IF(L780="""","""",QUERY({'Dashboard-Dados'!$Y$2:$AA$13},""Select Col2 Where Col1=""&amp;L780))"),"")</f>
        <v/>
      </c>
      <c r="N780" s="29" t="str">
        <f>IFERROR(__xludf.DUMMYFUNCTION("IF(ISBLANK(B780),"""",IF(ISDATE(B780),TEXT(B780,""yyyy""),""""))"),"")</f>
        <v/>
      </c>
    </row>
    <row r="781">
      <c r="B781" s="87"/>
      <c r="C781" s="85"/>
      <c r="D781" s="76"/>
      <c r="H781" s="88"/>
      <c r="J781" s="53" t="str">
        <f>IFERROR(__xludf.DUMMYFUNCTION("IF(ISBLANK(B781),"""",IF(ISDATE(B781),""X"",""""))"),"")</f>
        <v/>
      </c>
      <c r="K781" s="40" t="str">
        <f>IFERROR(__xludf.DUMMYFUNCTION("IF(ISBLANK(B781),"""",IF(ISDATE(B781),H781,""""))"),"")</f>
        <v/>
      </c>
      <c r="L781" s="40" t="str">
        <f>IFERROR(__xludf.DUMMYFUNCTION("IF(ISBLANK(B781),"""",IF(ISDATE(B781),TEXT(B781,""M""),""""))"),"")</f>
        <v/>
      </c>
      <c r="M781" s="29" t="str">
        <f>IFERROR(__xludf.DUMMYFUNCTION("IF(L781="""","""",QUERY({'Dashboard-Dados'!$Y$2:$AA$13},""Select Col2 Where Col1=""&amp;L781))"),"")</f>
        <v/>
      </c>
      <c r="N781" s="29" t="str">
        <f>IFERROR(__xludf.DUMMYFUNCTION("IF(ISBLANK(B781),"""",IF(ISDATE(B781),TEXT(B781,""yyyy""),""""))"),"")</f>
        <v/>
      </c>
    </row>
    <row r="782">
      <c r="B782" s="89"/>
      <c r="C782" s="86"/>
      <c r="D782" s="71"/>
      <c r="H782" s="90"/>
      <c r="J782" s="53" t="str">
        <f>IFERROR(__xludf.DUMMYFUNCTION("IF(ISBLANK(B782),"""",IF(ISDATE(B782),""X"",""""))"),"")</f>
        <v/>
      </c>
      <c r="K782" s="40" t="str">
        <f>IFERROR(__xludf.DUMMYFUNCTION("IF(ISBLANK(B782),"""",IF(ISDATE(B782),H782,""""))"),"")</f>
        <v/>
      </c>
      <c r="L782" s="40" t="str">
        <f>IFERROR(__xludf.DUMMYFUNCTION("IF(ISBLANK(B782),"""",IF(ISDATE(B782),TEXT(B782,""M""),""""))"),"")</f>
        <v/>
      </c>
      <c r="M782" s="29" t="str">
        <f>IFERROR(__xludf.DUMMYFUNCTION("IF(L782="""","""",QUERY({'Dashboard-Dados'!$Y$2:$AA$13},""Select Col2 Where Col1=""&amp;L782))"),"")</f>
        <v/>
      </c>
      <c r="N782" s="29" t="str">
        <f>IFERROR(__xludf.DUMMYFUNCTION("IF(ISBLANK(B782),"""",IF(ISDATE(B782),TEXT(B782,""yyyy""),""""))"),"")</f>
        <v/>
      </c>
    </row>
    <row r="783">
      <c r="B783" s="87"/>
      <c r="C783" s="85"/>
      <c r="D783" s="76"/>
      <c r="H783" s="88"/>
      <c r="J783" s="53" t="str">
        <f>IFERROR(__xludf.DUMMYFUNCTION("IF(ISBLANK(B783),"""",IF(ISDATE(B783),""X"",""""))"),"")</f>
        <v/>
      </c>
      <c r="K783" s="40" t="str">
        <f>IFERROR(__xludf.DUMMYFUNCTION("IF(ISBLANK(B783),"""",IF(ISDATE(B783),H783,""""))"),"")</f>
        <v/>
      </c>
      <c r="L783" s="40" t="str">
        <f>IFERROR(__xludf.DUMMYFUNCTION("IF(ISBLANK(B783),"""",IF(ISDATE(B783),TEXT(B783,""M""),""""))"),"")</f>
        <v/>
      </c>
      <c r="M783" s="29" t="str">
        <f>IFERROR(__xludf.DUMMYFUNCTION("IF(L783="""","""",QUERY({'Dashboard-Dados'!$Y$2:$AA$13},""Select Col2 Where Col1=""&amp;L783))"),"")</f>
        <v/>
      </c>
      <c r="N783" s="29" t="str">
        <f>IFERROR(__xludf.DUMMYFUNCTION("IF(ISBLANK(B783),"""",IF(ISDATE(B783),TEXT(B783,""yyyy""),""""))"),"")</f>
        <v/>
      </c>
    </row>
    <row r="784">
      <c r="B784" s="89"/>
      <c r="C784" s="86"/>
      <c r="D784" s="71"/>
      <c r="H784" s="90"/>
      <c r="J784" s="53" t="str">
        <f>IFERROR(__xludf.DUMMYFUNCTION("IF(ISBLANK(B784),"""",IF(ISDATE(B784),""X"",""""))"),"")</f>
        <v/>
      </c>
      <c r="K784" s="40" t="str">
        <f>IFERROR(__xludf.DUMMYFUNCTION("IF(ISBLANK(B784),"""",IF(ISDATE(B784),H784,""""))"),"")</f>
        <v/>
      </c>
      <c r="L784" s="40" t="str">
        <f>IFERROR(__xludf.DUMMYFUNCTION("IF(ISBLANK(B784),"""",IF(ISDATE(B784),TEXT(B784,""M""),""""))"),"")</f>
        <v/>
      </c>
      <c r="M784" s="29" t="str">
        <f>IFERROR(__xludf.DUMMYFUNCTION("IF(L784="""","""",QUERY({'Dashboard-Dados'!$Y$2:$AA$13},""Select Col2 Where Col1=""&amp;L784))"),"")</f>
        <v/>
      </c>
      <c r="N784" s="29" t="str">
        <f>IFERROR(__xludf.DUMMYFUNCTION("IF(ISBLANK(B784),"""",IF(ISDATE(B784),TEXT(B784,""yyyy""),""""))"),"")</f>
        <v/>
      </c>
    </row>
    <row r="785">
      <c r="B785" s="87"/>
      <c r="C785" s="85"/>
      <c r="D785" s="76"/>
      <c r="H785" s="88"/>
      <c r="J785" s="53" t="str">
        <f>IFERROR(__xludf.DUMMYFUNCTION("IF(ISBLANK(B785),"""",IF(ISDATE(B785),""X"",""""))"),"")</f>
        <v/>
      </c>
      <c r="K785" s="40" t="str">
        <f>IFERROR(__xludf.DUMMYFUNCTION("IF(ISBLANK(B785),"""",IF(ISDATE(B785),H785,""""))"),"")</f>
        <v/>
      </c>
      <c r="L785" s="40" t="str">
        <f>IFERROR(__xludf.DUMMYFUNCTION("IF(ISBLANK(B785),"""",IF(ISDATE(B785),TEXT(B785,""M""),""""))"),"")</f>
        <v/>
      </c>
      <c r="M785" s="29" t="str">
        <f>IFERROR(__xludf.DUMMYFUNCTION("IF(L785="""","""",QUERY({'Dashboard-Dados'!$Y$2:$AA$13},""Select Col2 Where Col1=""&amp;L785))"),"")</f>
        <v/>
      </c>
      <c r="N785" s="29" t="str">
        <f>IFERROR(__xludf.DUMMYFUNCTION("IF(ISBLANK(B785),"""",IF(ISDATE(B785),TEXT(B785,""yyyy""),""""))"),"")</f>
        <v/>
      </c>
    </row>
    <row r="786">
      <c r="B786" s="89"/>
      <c r="C786" s="86"/>
      <c r="D786" s="71"/>
      <c r="H786" s="90"/>
      <c r="J786" s="53" t="str">
        <f>IFERROR(__xludf.DUMMYFUNCTION("IF(ISBLANK(B786),"""",IF(ISDATE(B786),""X"",""""))"),"")</f>
        <v/>
      </c>
      <c r="K786" s="40" t="str">
        <f>IFERROR(__xludf.DUMMYFUNCTION("IF(ISBLANK(B786),"""",IF(ISDATE(B786),H786,""""))"),"")</f>
        <v/>
      </c>
      <c r="L786" s="40" t="str">
        <f>IFERROR(__xludf.DUMMYFUNCTION("IF(ISBLANK(B786),"""",IF(ISDATE(B786),TEXT(B786,""M""),""""))"),"")</f>
        <v/>
      </c>
      <c r="M786" s="29" t="str">
        <f>IFERROR(__xludf.DUMMYFUNCTION("IF(L786="""","""",QUERY({'Dashboard-Dados'!$Y$2:$AA$13},""Select Col2 Where Col1=""&amp;L786))"),"")</f>
        <v/>
      </c>
      <c r="N786" s="29" t="str">
        <f>IFERROR(__xludf.DUMMYFUNCTION("IF(ISBLANK(B786),"""",IF(ISDATE(B786),TEXT(B786,""yyyy""),""""))"),"")</f>
        <v/>
      </c>
    </row>
    <row r="787">
      <c r="B787" s="87"/>
      <c r="C787" s="85"/>
      <c r="D787" s="76"/>
      <c r="H787" s="88"/>
      <c r="J787" s="53" t="str">
        <f>IFERROR(__xludf.DUMMYFUNCTION("IF(ISBLANK(B787),"""",IF(ISDATE(B787),""X"",""""))"),"")</f>
        <v/>
      </c>
      <c r="K787" s="40" t="str">
        <f>IFERROR(__xludf.DUMMYFUNCTION("IF(ISBLANK(B787),"""",IF(ISDATE(B787),H787,""""))"),"")</f>
        <v/>
      </c>
      <c r="L787" s="40" t="str">
        <f>IFERROR(__xludf.DUMMYFUNCTION("IF(ISBLANK(B787),"""",IF(ISDATE(B787),TEXT(B787,""M""),""""))"),"")</f>
        <v/>
      </c>
      <c r="M787" s="29" t="str">
        <f>IFERROR(__xludf.DUMMYFUNCTION("IF(L787="""","""",QUERY({'Dashboard-Dados'!$Y$2:$AA$13},""Select Col2 Where Col1=""&amp;L787))"),"")</f>
        <v/>
      </c>
      <c r="N787" s="29" t="str">
        <f>IFERROR(__xludf.DUMMYFUNCTION("IF(ISBLANK(B787),"""",IF(ISDATE(B787),TEXT(B787,""yyyy""),""""))"),"")</f>
        <v/>
      </c>
    </row>
    <row r="788">
      <c r="B788" s="89"/>
      <c r="C788" s="86"/>
      <c r="D788" s="71"/>
      <c r="H788" s="90"/>
      <c r="J788" s="53" t="str">
        <f>IFERROR(__xludf.DUMMYFUNCTION("IF(ISBLANK(B788),"""",IF(ISDATE(B788),""X"",""""))"),"")</f>
        <v/>
      </c>
      <c r="K788" s="40" t="str">
        <f>IFERROR(__xludf.DUMMYFUNCTION("IF(ISBLANK(B788),"""",IF(ISDATE(B788),H788,""""))"),"")</f>
        <v/>
      </c>
      <c r="L788" s="40" t="str">
        <f>IFERROR(__xludf.DUMMYFUNCTION("IF(ISBLANK(B788),"""",IF(ISDATE(B788),TEXT(B788,""M""),""""))"),"")</f>
        <v/>
      </c>
      <c r="M788" s="29" t="str">
        <f>IFERROR(__xludf.DUMMYFUNCTION("IF(L788="""","""",QUERY({'Dashboard-Dados'!$Y$2:$AA$13},""Select Col2 Where Col1=""&amp;L788))"),"")</f>
        <v/>
      </c>
      <c r="N788" s="29" t="str">
        <f>IFERROR(__xludf.DUMMYFUNCTION("IF(ISBLANK(B788),"""",IF(ISDATE(B788),TEXT(B788,""yyyy""),""""))"),"")</f>
        <v/>
      </c>
    </row>
    <row r="789">
      <c r="B789" s="87"/>
      <c r="C789" s="85"/>
      <c r="D789" s="76"/>
      <c r="H789" s="88"/>
      <c r="J789" s="53" t="str">
        <f>IFERROR(__xludf.DUMMYFUNCTION("IF(ISBLANK(B789),"""",IF(ISDATE(B789),""X"",""""))"),"")</f>
        <v/>
      </c>
      <c r="K789" s="40" t="str">
        <f>IFERROR(__xludf.DUMMYFUNCTION("IF(ISBLANK(B789),"""",IF(ISDATE(B789),H789,""""))"),"")</f>
        <v/>
      </c>
      <c r="L789" s="40" t="str">
        <f>IFERROR(__xludf.DUMMYFUNCTION("IF(ISBLANK(B789),"""",IF(ISDATE(B789),TEXT(B789,""M""),""""))"),"")</f>
        <v/>
      </c>
      <c r="M789" s="29" t="str">
        <f>IFERROR(__xludf.DUMMYFUNCTION("IF(L789="""","""",QUERY({'Dashboard-Dados'!$Y$2:$AA$13},""Select Col2 Where Col1=""&amp;L789))"),"")</f>
        <v/>
      </c>
      <c r="N789" s="29" t="str">
        <f>IFERROR(__xludf.DUMMYFUNCTION("IF(ISBLANK(B789),"""",IF(ISDATE(B789),TEXT(B789,""yyyy""),""""))"),"")</f>
        <v/>
      </c>
    </row>
    <row r="790">
      <c r="B790" s="89"/>
      <c r="C790" s="86"/>
      <c r="D790" s="71"/>
      <c r="H790" s="90"/>
      <c r="J790" s="53" t="str">
        <f>IFERROR(__xludf.DUMMYFUNCTION("IF(ISBLANK(B790),"""",IF(ISDATE(B790),""X"",""""))"),"")</f>
        <v/>
      </c>
      <c r="K790" s="40" t="str">
        <f>IFERROR(__xludf.DUMMYFUNCTION("IF(ISBLANK(B790),"""",IF(ISDATE(B790),H790,""""))"),"")</f>
        <v/>
      </c>
      <c r="L790" s="40" t="str">
        <f>IFERROR(__xludf.DUMMYFUNCTION("IF(ISBLANK(B790),"""",IF(ISDATE(B790),TEXT(B790,""M""),""""))"),"")</f>
        <v/>
      </c>
      <c r="M790" s="29" t="str">
        <f>IFERROR(__xludf.DUMMYFUNCTION("IF(L790="""","""",QUERY({'Dashboard-Dados'!$Y$2:$AA$13},""Select Col2 Where Col1=""&amp;L790))"),"")</f>
        <v/>
      </c>
      <c r="N790" s="29" t="str">
        <f>IFERROR(__xludf.DUMMYFUNCTION("IF(ISBLANK(B790),"""",IF(ISDATE(B790),TEXT(B790,""yyyy""),""""))"),"")</f>
        <v/>
      </c>
    </row>
    <row r="791">
      <c r="B791" s="87"/>
      <c r="C791" s="85"/>
      <c r="D791" s="76"/>
      <c r="H791" s="88"/>
      <c r="J791" s="53" t="str">
        <f>IFERROR(__xludf.DUMMYFUNCTION("IF(ISBLANK(B791),"""",IF(ISDATE(B791),""X"",""""))"),"")</f>
        <v/>
      </c>
      <c r="K791" s="40" t="str">
        <f>IFERROR(__xludf.DUMMYFUNCTION("IF(ISBLANK(B791),"""",IF(ISDATE(B791),H791,""""))"),"")</f>
        <v/>
      </c>
      <c r="L791" s="40" t="str">
        <f>IFERROR(__xludf.DUMMYFUNCTION("IF(ISBLANK(B791),"""",IF(ISDATE(B791),TEXT(B791,""M""),""""))"),"")</f>
        <v/>
      </c>
      <c r="M791" s="29" t="str">
        <f>IFERROR(__xludf.DUMMYFUNCTION("IF(L791="""","""",QUERY({'Dashboard-Dados'!$Y$2:$AA$13},""Select Col2 Where Col1=""&amp;L791))"),"")</f>
        <v/>
      </c>
      <c r="N791" s="29" t="str">
        <f>IFERROR(__xludf.DUMMYFUNCTION("IF(ISBLANK(B791),"""",IF(ISDATE(B791),TEXT(B791,""yyyy""),""""))"),"")</f>
        <v/>
      </c>
    </row>
    <row r="792">
      <c r="B792" s="89"/>
      <c r="C792" s="86"/>
      <c r="D792" s="71"/>
      <c r="H792" s="90"/>
      <c r="J792" s="53" t="str">
        <f>IFERROR(__xludf.DUMMYFUNCTION("IF(ISBLANK(B792),"""",IF(ISDATE(B792),""X"",""""))"),"")</f>
        <v/>
      </c>
      <c r="K792" s="40" t="str">
        <f>IFERROR(__xludf.DUMMYFUNCTION("IF(ISBLANK(B792),"""",IF(ISDATE(B792),H792,""""))"),"")</f>
        <v/>
      </c>
      <c r="L792" s="40" t="str">
        <f>IFERROR(__xludf.DUMMYFUNCTION("IF(ISBLANK(B792),"""",IF(ISDATE(B792),TEXT(B792,""M""),""""))"),"")</f>
        <v/>
      </c>
      <c r="M792" s="29" t="str">
        <f>IFERROR(__xludf.DUMMYFUNCTION("IF(L792="""","""",QUERY({'Dashboard-Dados'!$Y$2:$AA$13},""Select Col2 Where Col1=""&amp;L792))"),"")</f>
        <v/>
      </c>
      <c r="N792" s="29" t="str">
        <f>IFERROR(__xludf.DUMMYFUNCTION("IF(ISBLANK(B792),"""",IF(ISDATE(B792),TEXT(B792,""yyyy""),""""))"),"")</f>
        <v/>
      </c>
    </row>
    <row r="793">
      <c r="B793" s="87"/>
      <c r="C793" s="85"/>
      <c r="D793" s="76"/>
      <c r="H793" s="88"/>
      <c r="J793" s="53" t="str">
        <f>IFERROR(__xludf.DUMMYFUNCTION("IF(ISBLANK(B793),"""",IF(ISDATE(B793),""X"",""""))"),"")</f>
        <v/>
      </c>
      <c r="K793" s="40" t="str">
        <f>IFERROR(__xludf.DUMMYFUNCTION("IF(ISBLANK(B793),"""",IF(ISDATE(B793),H793,""""))"),"")</f>
        <v/>
      </c>
      <c r="L793" s="40" t="str">
        <f>IFERROR(__xludf.DUMMYFUNCTION("IF(ISBLANK(B793),"""",IF(ISDATE(B793),TEXT(B793,""M""),""""))"),"")</f>
        <v/>
      </c>
      <c r="M793" s="29" t="str">
        <f>IFERROR(__xludf.DUMMYFUNCTION("IF(L793="""","""",QUERY({'Dashboard-Dados'!$Y$2:$AA$13},""Select Col2 Where Col1=""&amp;L793))"),"")</f>
        <v/>
      </c>
      <c r="N793" s="29" t="str">
        <f>IFERROR(__xludf.DUMMYFUNCTION("IF(ISBLANK(B793),"""",IF(ISDATE(B793),TEXT(B793,""yyyy""),""""))"),"")</f>
        <v/>
      </c>
    </row>
    <row r="794">
      <c r="B794" s="89"/>
      <c r="C794" s="86"/>
      <c r="D794" s="71"/>
      <c r="H794" s="90"/>
      <c r="J794" s="53" t="str">
        <f>IFERROR(__xludf.DUMMYFUNCTION("IF(ISBLANK(B794),"""",IF(ISDATE(B794),""X"",""""))"),"")</f>
        <v/>
      </c>
      <c r="K794" s="40" t="str">
        <f>IFERROR(__xludf.DUMMYFUNCTION("IF(ISBLANK(B794),"""",IF(ISDATE(B794),H794,""""))"),"")</f>
        <v/>
      </c>
      <c r="L794" s="40" t="str">
        <f>IFERROR(__xludf.DUMMYFUNCTION("IF(ISBLANK(B794),"""",IF(ISDATE(B794),TEXT(B794,""M""),""""))"),"")</f>
        <v/>
      </c>
      <c r="M794" s="29" t="str">
        <f>IFERROR(__xludf.DUMMYFUNCTION("IF(L794="""","""",QUERY({'Dashboard-Dados'!$Y$2:$AA$13},""Select Col2 Where Col1=""&amp;L794))"),"")</f>
        <v/>
      </c>
      <c r="N794" s="29" t="str">
        <f>IFERROR(__xludf.DUMMYFUNCTION("IF(ISBLANK(B794),"""",IF(ISDATE(B794),TEXT(B794,""yyyy""),""""))"),"")</f>
        <v/>
      </c>
    </row>
    <row r="795">
      <c r="B795" s="87"/>
      <c r="C795" s="85"/>
      <c r="D795" s="76"/>
      <c r="H795" s="88"/>
      <c r="J795" s="53" t="str">
        <f>IFERROR(__xludf.DUMMYFUNCTION("IF(ISBLANK(B795),"""",IF(ISDATE(B795),""X"",""""))"),"")</f>
        <v/>
      </c>
      <c r="K795" s="40" t="str">
        <f>IFERROR(__xludf.DUMMYFUNCTION("IF(ISBLANK(B795),"""",IF(ISDATE(B795),H795,""""))"),"")</f>
        <v/>
      </c>
      <c r="L795" s="40" t="str">
        <f>IFERROR(__xludf.DUMMYFUNCTION("IF(ISBLANK(B795),"""",IF(ISDATE(B795),TEXT(B795,""M""),""""))"),"")</f>
        <v/>
      </c>
      <c r="M795" s="29" t="str">
        <f>IFERROR(__xludf.DUMMYFUNCTION("IF(L795="""","""",QUERY({'Dashboard-Dados'!$Y$2:$AA$13},""Select Col2 Where Col1=""&amp;L795))"),"")</f>
        <v/>
      </c>
      <c r="N795" s="29" t="str">
        <f>IFERROR(__xludf.DUMMYFUNCTION("IF(ISBLANK(B795),"""",IF(ISDATE(B795),TEXT(B795,""yyyy""),""""))"),"")</f>
        <v/>
      </c>
    </row>
    <row r="796">
      <c r="B796" s="89"/>
      <c r="C796" s="86"/>
      <c r="D796" s="71"/>
      <c r="H796" s="90"/>
      <c r="J796" s="53" t="str">
        <f>IFERROR(__xludf.DUMMYFUNCTION("IF(ISBLANK(B796),"""",IF(ISDATE(B796),""X"",""""))"),"")</f>
        <v/>
      </c>
      <c r="K796" s="40" t="str">
        <f>IFERROR(__xludf.DUMMYFUNCTION("IF(ISBLANK(B796),"""",IF(ISDATE(B796),H796,""""))"),"")</f>
        <v/>
      </c>
      <c r="L796" s="40" t="str">
        <f>IFERROR(__xludf.DUMMYFUNCTION("IF(ISBLANK(B796),"""",IF(ISDATE(B796),TEXT(B796,""M""),""""))"),"")</f>
        <v/>
      </c>
      <c r="M796" s="29" t="str">
        <f>IFERROR(__xludf.DUMMYFUNCTION("IF(L796="""","""",QUERY({'Dashboard-Dados'!$Y$2:$AA$13},""Select Col2 Where Col1=""&amp;L796))"),"")</f>
        <v/>
      </c>
      <c r="N796" s="29" t="str">
        <f>IFERROR(__xludf.DUMMYFUNCTION("IF(ISBLANK(B796),"""",IF(ISDATE(B796),TEXT(B796,""yyyy""),""""))"),"")</f>
        <v/>
      </c>
    </row>
    <row r="797">
      <c r="B797" s="87"/>
      <c r="C797" s="85"/>
      <c r="D797" s="76"/>
      <c r="H797" s="88"/>
      <c r="J797" s="53" t="str">
        <f>IFERROR(__xludf.DUMMYFUNCTION("IF(ISBLANK(B797),"""",IF(ISDATE(B797),""X"",""""))"),"")</f>
        <v/>
      </c>
      <c r="K797" s="40" t="str">
        <f>IFERROR(__xludf.DUMMYFUNCTION("IF(ISBLANK(B797),"""",IF(ISDATE(B797),H797,""""))"),"")</f>
        <v/>
      </c>
      <c r="L797" s="40" t="str">
        <f>IFERROR(__xludf.DUMMYFUNCTION("IF(ISBLANK(B797),"""",IF(ISDATE(B797),TEXT(B797,""M""),""""))"),"")</f>
        <v/>
      </c>
      <c r="M797" s="29" t="str">
        <f>IFERROR(__xludf.DUMMYFUNCTION("IF(L797="""","""",QUERY({'Dashboard-Dados'!$Y$2:$AA$13},""Select Col2 Where Col1=""&amp;L797))"),"")</f>
        <v/>
      </c>
      <c r="N797" s="29" t="str">
        <f>IFERROR(__xludf.DUMMYFUNCTION("IF(ISBLANK(B797),"""",IF(ISDATE(B797),TEXT(B797,""yyyy""),""""))"),"")</f>
        <v/>
      </c>
    </row>
    <row r="798">
      <c r="B798" s="89"/>
      <c r="C798" s="86"/>
      <c r="D798" s="71"/>
      <c r="H798" s="90"/>
      <c r="J798" s="53" t="str">
        <f>IFERROR(__xludf.DUMMYFUNCTION("IF(ISBLANK(B798),"""",IF(ISDATE(B798),""X"",""""))"),"")</f>
        <v/>
      </c>
      <c r="K798" s="40" t="str">
        <f>IFERROR(__xludf.DUMMYFUNCTION("IF(ISBLANK(B798),"""",IF(ISDATE(B798),H798,""""))"),"")</f>
        <v/>
      </c>
      <c r="L798" s="40" t="str">
        <f>IFERROR(__xludf.DUMMYFUNCTION("IF(ISBLANK(B798),"""",IF(ISDATE(B798),TEXT(B798,""M""),""""))"),"")</f>
        <v/>
      </c>
      <c r="M798" s="29" t="str">
        <f>IFERROR(__xludf.DUMMYFUNCTION("IF(L798="""","""",QUERY({'Dashboard-Dados'!$Y$2:$AA$13},""Select Col2 Where Col1=""&amp;L798))"),"")</f>
        <v/>
      </c>
      <c r="N798" s="29" t="str">
        <f>IFERROR(__xludf.DUMMYFUNCTION("IF(ISBLANK(B798),"""",IF(ISDATE(B798),TEXT(B798,""yyyy""),""""))"),"")</f>
        <v/>
      </c>
    </row>
    <row r="799">
      <c r="B799" s="87"/>
      <c r="C799" s="85"/>
      <c r="D799" s="76"/>
      <c r="H799" s="88"/>
      <c r="J799" s="53" t="str">
        <f>IFERROR(__xludf.DUMMYFUNCTION("IF(ISBLANK(B799),"""",IF(ISDATE(B799),""X"",""""))"),"")</f>
        <v/>
      </c>
      <c r="K799" s="40" t="str">
        <f>IFERROR(__xludf.DUMMYFUNCTION("IF(ISBLANK(B799),"""",IF(ISDATE(B799),H799,""""))"),"")</f>
        <v/>
      </c>
      <c r="L799" s="40" t="str">
        <f>IFERROR(__xludf.DUMMYFUNCTION("IF(ISBLANK(B799),"""",IF(ISDATE(B799),TEXT(B799,""M""),""""))"),"")</f>
        <v/>
      </c>
      <c r="M799" s="29" t="str">
        <f>IFERROR(__xludf.DUMMYFUNCTION("IF(L799="""","""",QUERY({'Dashboard-Dados'!$Y$2:$AA$13},""Select Col2 Where Col1=""&amp;L799))"),"")</f>
        <v/>
      </c>
      <c r="N799" s="29" t="str">
        <f>IFERROR(__xludf.DUMMYFUNCTION("IF(ISBLANK(B799),"""",IF(ISDATE(B799),TEXT(B799,""yyyy""),""""))"),"")</f>
        <v/>
      </c>
    </row>
    <row r="800">
      <c r="B800" s="89"/>
      <c r="C800" s="86"/>
      <c r="D800" s="71"/>
      <c r="H800" s="90"/>
      <c r="J800" s="53" t="str">
        <f>IFERROR(__xludf.DUMMYFUNCTION("IF(ISBLANK(B800),"""",IF(ISDATE(B800),""X"",""""))"),"")</f>
        <v/>
      </c>
      <c r="K800" s="40" t="str">
        <f>IFERROR(__xludf.DUMMYFUNCTION("IF(ISBLANK(B800),"""",IF(ISDATE(B800),H800,""""))"),"")</f>
        <v/>
      </c>
      <c r="L800" s="40" t="str">
        <f>IFERROR(__xludf.DUMMYFUNCTION("IF(ISBLANK(B800),"""",IF(ISDATE(B800),TEXT(B800,""M""),""""))"),"")</f>
        <v/>
      </c>
      <c r="M800" s="29" t="str">
        <f>IFERROR(__xludf.DUMMYFUNCTION("IF(L800="""","""",QUERY({'Dashboard-Dados'!$Y$2:$AA$13},""Select Col2 Where Col1=""&amp;L800))"),"")</f>
        <v/>
      </c>
      <c r="N800" s="29" t="str">
        <f>IFERROR(__xludf.DUMMYFUNCTION("IF(ISBLANK(B800),"""",IF(ISDATE(B800),TEXT(B800,""yyyy""),""""))"),"")</f>
        <v/>
      </c>
    </row>
    <row r="801">
      <c r="B801" s="87"/>
      <c r="C801" s="85"/>
      <c r="D801" s="76"/>
      <c r="H801" s="88"/>
      <c r="J801" s="53" t="str">
        <f>IFERROR(__xludf.DUMMYFUNCTION("IF(ISBLANK(B801),"""",IF(ISDATE(B801),""X"",""""))"),"")</f>
        <v/>
      </c>
      <c r="K801" s="40" t="str">
        <f>IFERROR(__xludf.DUMMYFUNCTION("IF(ISBLANK(B801),"""",IF(ISDATE(B801),H801,""""))"),"")</f>
        <v/>
      </c>
      <c r="L801" s="40" t="str">
        <f>IFERROR(__xludf.DUMMYFUNCTION("IF(ISBLANK(B801),"""",IF(ISDATE(B801),TEXT(B801,""M""),""""))"),"")</f>
        <v/>
      </c>
      <c r="M801" s="29" t="str">
        <f>IFERROR(__xludf.DUMMYFUNCTION("IF(L801="""","""",QUERY({'Dashboard-Dados'!$Y$2:$AA$13},""Select Col2 Where Col1=""&amp;L801))"),"")</f>
        <v/>
      </c>
      <c r="N801" s="29" t="str">
        <f>IFERROR(__xludf.DUMMYFUNCTION("IF(ISBLANK(B801),"""",IF(ISDATE(B801),TEXT(B801,""yyyy""),""""))"),"")</f>
        <v/>
      </c>
    </row>
    <row r="802">
      <c r="B802" s="89"/>
      <c r="C802" s="86"/>
      <c r="D802" s="71"/>
      <c r="H802" s="90"/>
      <c r="J802" s="53" t="str">
        <f>IFERROR(__xludf.DUMMYFUNCTION("IF(ISBLANK(B802),"""",IF(ISDATE(B802),""X"",""""))"),"")</f>
        <v/>
      </c>
      <c r="K802" s="40" t="str">
        <f>IFERROR(__xludf.DUMMYFUNCTION("IF(ISBLANK(B802),"""",IF(ISDATE(B802),H802,""""))"),"")</f>
        <v/>
      </c>
      <c r="L802" s="40" t="str">
        <f>IFERROR(__xludf.DUMMYFUNCTION("IF(ISBLANK(B802),"""",IF(ISDATE(B802),TEXT(B802,""M""),""""))"),"")</f>
        <v/>
      </c>
      <c r="M802" s="29" t="str">
        <f>IFERROR(__xludf.DUMMYFUNCTION("IF(L802="""","""",QUERY({'Dashboard-Dados'!$Y$2:$AA$13},""Select Col2 Where Col1=""&amp;L802))"),"")</f>
        <v/>
      </c>
      <c r="N802" s="29" t="str">
        <f>IFERROR(__xludf.DUMMYFUNCTION("IF(ISBLANK(B802),"""",IF(ISDATE(B802),TEXT(B802,""yyyy""),""""))"),"")</f>
        <v/>
      </c>
    </row>
    <row r="803">
      <c r="B803" s="87"/>
      <c r="C803" s="85"/>
      <c r="D803" s="76"/>
      <c r="H803" s="88"/>
      <c r="J803" s="53" t="str">
        <f>IFERROR(__xludf.DUMMYFUNCTION("IF(ISBLANK(B803),"""",IF(ISDATE(B803),""X"",""""))"),"")</f>
        <v/>
      </c>
      <c r="K803" s="40" t="str">
        <f>IFERROR(__xludf.DUMMYFUNCTION("IF(ISBLANK(B803),"""",IF(ISDATE(B803),H803,""""))"),"")</f>
        <v/>
      </c>
      <c r="L803" s="40" t="str">
        <f>IFERROR(__xludf.DUMMYFUNCTION("IF(ISBLANK(B803),"""",IF(ISDATE(B803),TEXT(B803,""M""),""""))"),"")</f>
        <v/>
      </c>
      <c r="M803" s="29" t="str">
        <f>IFERROR(__xludf.DUMMYFUNCTION("IF(L803="""","""",QUERY({'Dashboard-Dados'!$Y$2:$AA$13},""Select Col2 Where Col1=""&amp;L803))"),"")</f>
        <v/>
      </c>
      <c r="N803" s="29" t="str">
        <f>IFERROR(__xludf.DUMMYFUNCTION("IF(ISBLANK(B803),"""",IF(ISDATE(B803),TEXT(B803,""yyyy""),""""))"),"")</f>
        <v/>
      </c>
    </row>
    <row r="804">
      <c r="B804" s="89"/>
      <c r="C804" s="86"/>
      <c r="D804" s="71"/>
      <c r="H804" s="90"/>
      <c r="J804" s="53" t="str">
        <f>IFERROR(__xludf.DUMMYFUNCTION("IF(ISBLANK(B804),"""",IF(ISDATE(B804),""X"",""""))"),"")</f>
        <v/>
      </c>
      <c r="K804" s="40" t="str">
        <f>IFERROR(__xludf.DUMMYFUNCTION("IF(ISBLANK(B804),"""",IF(ISDATE(B804),H804,""""))"),"")</f>
        <v/>
      </c>
      <c r="L804" s="40" t="str">
        <f>IFERROR(__xludf.DUMMYFUNCTION("IF(ISBLANK(B804),"""",IF(ISDATE(B804),TEXT(B804,""M""),""""))"),"")</f>
        <v/>
      </c>
      <c r="M804" s="29" t="str">
        <f>IFERROR(__xludf.DUMMYFUNCTION("IF(L804="""","""",QUERY({'Dashboard-Dados'!$Y$2:$AA$13},""Select Col2 Where Col1=""&amp;L804))"),"")</f>
        <v/>
      </c>
      <c r="N804" s="29" t="str">
        <f>IFERROR(__xludf.DUMMYFUNCTION("IF(ISBLANK(B804),"""",IF(ISDATE(B804),TEXT(B804,""yyyy""),""""))"),"")</f>
        <v/>
      </c>
    </row>
    <row r="805">
      <c r="B805" s="87"/>
      <c r="C805" s="85"/>
      <c r="D805" s="76"/>
      <c r="H805" s="88"/>
      <c r="J805" s="53" t="str">
        <f>IFERROR(__xludf.DUMMYFUNCTION("IF(ISBLANK(B805),"""",IF(ISDATE(B805),""X"",""""))"),"")</f>
        <v/>
      </c>
      <c r="K805" s="40" t="str">
        <f>IFERROR(__xludf.DUMMYFUNCTION("IF(ISBLANK(B805),"""",IF(ISDATE(B805),H805,""""))"),"")</f>
        <v/>
      </c>
      <c r="L805" s="40" t="str">
        <f>IFERROR(__xludf.DUMMYFUNCTION("IF(ISBLANK(B805),"""",IF(ISDATE(B805),TEXT(B805,""M""),""""))"),"")</f>
        <v/>
      </c>
      <c r="M805" s="29" t="str">
        <f>IFERROR(__xludf.DUMMYFUNCTION("IF(L805="""","""",QUERY({'Dashboard-Dados'!$Y$2:$AA$13},""Select Col2 Where Col1=""&amp;L805))"),"")</f>
        <v/>
      </c>
      <c r="N805" s="29" t="str">
        <f>IFERROR(__xludf.DUMMYFUNCTION("IF(ISBLANK(B805),"""",IF(ISDATE(B805),TEXT(B805,""yyyy""),""""))"),"")</f>
        <v/>
      </c>
    </row>
    <row r="806">
      <c r="B806" s="89"/>
      <c r="C806" s="86"/>
      <c r="D806" s="71"/>
      <c r="H806" s="90"/>
      <c r="J806" s="53" t="str">
        <f>IFERROR(__xludf.DUMMYFUNCTION("IF(ISBLANK(B806),"""",IF(ISDATE(B806),""X"",""""))"),"")</f>
        <v/>
      </c>
      <c r="K806" s="40" t="str">
        <f>IFERROR(__xludf.DUMMYFUNCTION("IF(ISBLANK(B806),"""",IF(ISDATE(B806),H806,""""))"),"")</f>
        <v/>
      </c>
      <c r="L806" s="40" t="str">
        <f>IFERROR(__xludf.DUMMYFUNCTION("IF(ISBLANK(B806),"""",IF(ISDATE(B806),TEXT(B806,""M""),""""))"),"")</f>
        <v/>
      </c>
      <c r="M806" s="29" t="str">
        <f>IFERROR(__xludf.DUMMYFUNCTION("IF(L806="""","""",QUERY({'Dashboard-Dados'!$Y$2:$AA$13},""Select Col2 Where Col1=""&amp;L806))"),"")</f>
        <v/>
      </c>
      <c r="N806" s="29" t="str">
        <f>IFERROR(__xludf.DUMMYFUNCTION("IF(ISBLANK(B806),"""",IF(ISDATE(B806),TEXT(B806,""yyyy""),""""))"),"")</f>
        <v/>
      </c>
    </row>
    <row r="807">
      <c r="B807" s="87"/>
      <c r="C807" s="85"/>
      <c r="D807" s="76"/>
      <c r="H807" s="88"/>
      <c r="J807" s="53" t="str">
        <f>IFERROR(__xludf.DUMMYFUNCTION("IF(ISBLANK(B807),"""",IF(ISDATE(B807),""X"",""""))"),"")</f>
        <v/>
      </c>
      <c r="K807" s="40" t="str">
        <f>IFERROR(__xludf.DUMMYFUNCTION("IF(ISBLANK(B807),"""",IF(ISDATE(B807),H807,""""))"),"")</f>
        <v/>
      </c>
      <c r="L807" s="40" t="str">
        <f>IFERROR(__xludf.DUMMYFUNCTION("IF(ISBLANK(B807),"""",IF(ISDATE(B807),TEXT(B807,""M""),""""))"),"")</f>
        <v/>
      </c>
      <c r="M807" s="29" t="str">
        <f>IFERROR(__xludf.DUMMYFUNCTION("IF(L807="""","""",QUERY({'Dashboard-Dados'!$Y$2:$AA$13},""Select Col2 Where Col1=""&amp;L807))"),"")</f>
        <v/>
      </c>
      <c r="N807" s="29" t="str">
        <f>IFERROR(__xludf.DUMMYFUNCTION("IF(ISBLANK(B807),"""",IF(ISDATE(B807),TEXT(B807,""yyyy""),""""))"),"")</f>
        <v/>
      </c>
    </row>
    <row r="808">
      <c r="B808" s="89"/>
      <c r="C808" s="86"/>
      <c r="D808" s="71"/>
      <c r="H808" s="90"/>
      <c r="J808" s="53" t="str">
        <f>IFERROR(__xludf.DUMMYFUNCTION("IF(ISBLANK(B808),"""",IF(ISDATE(B808),""X"",""""))"),"")</f>
        <v/>
      </c>
      <c r="K808" s="40" t="str">
        <f>IFERROR(__xludf.DUMMYFUNCTION("IF(ISBLANK(B808),"""",IF(ISDATE(B808),H808,""""))"),"")</f>
        <v/>
      </c>
      <c r="L808" s="40" t="str">
        <f>IFERROR(__xludf.DUMMYFUNCTION("IF(ISBLANK(B808),"""",IF(ISDATE(B808),TEXT(B808,""M""),""""))"),"")</f>
        <v/>
      </c>
      <c r="M808" s="29" t="str">
        <f>IFERROR(__xludf.DUMMYFUNCTION("IF(L808="""","""",QUERY({'Dashboard-Dados'!$Y$2:$AA$13},""Select Col2 Where Col1=""&amp;L808))"),"")</f>
        <v/>
      </c>
      <c r="N808" s="29" t="str">
        <f>IFERROR(__xludf.DUMMYFUNCTION("IF(ISBLANK(B808),"""",IF(ISDATE(B808),TEXT(B808,""yyyy""),""""))"),"")</f>
        <v/>
      </c>
    </row>
    <row r="809">
      <c r="B809" s="87"/>
      <c r="C809" s="85"/>
      <c r="D809" s="76"/>
      <c r="H809" s="88"/>
      <c r="J809" s="53" t="str">
        <f>IFERROR(__xludf.DUMMYFUNCTION("IF(ISBLANK(B809),"""",IF(ISDATE(B809),""X"",""""))"),"")</f>
        <v/>
      </c>
      <c r="K809" s="40" t="str">
        <f>IFERROR(__xludf.DUMMYFUNCTION("IF(ISBLANK(B809),"""",IF(ISDATE(B809),H809,""""))"),"")</f>
        <v/>
      </c>
      <c r="L809" s="40" t="str">
        <f>IFERROR(__xludf.DUMMYFUNCTION("IF(ISBLANK(B809),"""",IF(ISDATE(B809),TEXT(B809,""M""),""""))"),"")</f>
        <v/>
      </c>
      <c r="M809" s="29" t="str">
        <f>IFERROR(__xludf.DUMMYFUNCTION("IF(L809="""","""",QUERY({'Dashboard-Dados'!$Y$2:$AA$13},""Select Col2 Where Col1=""&amp;L809))"),"")</f>
        <v/>
      </c>
      <c r="N809" s="29" t="str">
        <f>IFERROR(__xludf.DUMMYFUNCTION("IF(ISBLANK(B809),"""",IF(ISDATE(B809),TEXT(B809,""yyyy""),""""))"),"")</f>
        <v/>
      </c>
    </row>
    <row r="810">
      <c r="B810" s="89"/>
      <c r="C810" s="86"/>
      <c r="D810" s="71"/>
      <c r="H810" s="90"/>
      <c r="J810" s="53" t="str">
        <f>IFERROR(__xludf.DUMMYFUNCTION("IF(ISBLANK(B810),"""",IF(ISDATE(B810),""X"",""""))"),"")</f>
        <v/>
      </c>
      <c r="K810" s="40" t="str">
        <f>IFERROR(__xludf.DUMMYFUNCTION("IF(ISBLANK(B810),"""",IF(ISDATE(B810),H810,""""))"),"")</f>
        <v/>
      </c>
      <c r="L810" s="40" t="str">
        <f>IFERROR(__xludf.DUMMYFUNCTION("IF(ISBLANK(B810),"""",IF(ISDATE(B810),TEXT(B810,""M""),""""))"),"")</f>
        <v/>
      </c>
      <c r="M810" s="29" t="str">
        <f>IFERROR(__xludf.DUMMYFUNCTION("IF(L810="""","""",QUERY({'Dashboard-Dados'!$Y$2:$AA$13},""Select Col2 Where Col1=""&amp;L810))"),"")</f>
        <v/>
      </c>
      <c r="N810" s="29" t="str">
        <f>IFERROR(__xludf.DUMMYFUNCTION("IF(ISBLANK(B810),"""",IF(ISDATE(B810),TEXT(B810,""yyyy""),""""))"),"")</f>
        <v/>
      </c>
    </row>
    <row r="811">
      <c r="B811" s="87"/>
      <c r="C811" s="85"/>
      <c r="D811" s="76"/>
      <c r="H811" s="88"/>
      <c r="J811" s="53" t="str">
        <f>IFERROR(__xludf.DUMMYFUNCTION("IF(ISBLANK(B811),"""",IF(ISDATE(B811),""X"",""""))"),"")</f>
        <v/>
      </c>
      <c r="K811" s="40" t="str">
        <f>IFERROR(__xludf.DUMMYFUNCTION("IF(ISBLANK(B811),"""",IF(ISDATE(B811),H811,""""))"),"")</f>
        <v/>
      </c>
      <c r="L811" s="40" t="str">
        <f>IFERROR(__xludf.DUMMYFUNCTION("IF(ISBLANK(B811),"""",IF(ISDATE(B811),TEXT(B811,""M""),""""))"),"")</f>
        <v/>
      </c>
      <c r="M811" s="29" t="str">
        <f>IFERROR(__xludf.DUMMYFUNCTION("IF(L811="""","""",QUERY({'Dashboard-Dados'!$Y$2:$AA$13},""Select Col2 Where Col1=""&amp;L811))"),"")</f>
        <v/>
      </c>
      <c r="N811" s="29" t="str">
        <f>IFERROR(__xludf.DUMMYFUNCTION("IF(ISBLANK(B811),"""",IF(ISDATE(B811),TEXT(B811,""yyyy""),""""))"),"")</f>
        <v/>
      </c>
    </row>
    <row r="812">
      <c r="B812" s="89"/>
      <c r="C812" s="86"/>
      <c r="D812" s="71"/>
      <c r="H812" s="90"/>
      <c r="J812" s="53" t="str">
        <f>IFERROR(__xludf.DUMMYFUNCTION("IF(ISBLANK(B812),"""",IF(ISDATE(B812),""X"",""""))"),"")</f>
        <v/>
      </c>
      <c r="K812" s="40" t="str">
        <f>IFERROR(__xludf.DUMMYFUNCTION("IF(ISBLANK(B812),"""",IF(ISDATE(B812),H812,""""))"),"")</f>
        <v/>
      </c>
      <c r="L812" s="40" t="str">
        <f>IFERROR(__xludf.DUMMYFUNCTION("IF(ISBLANK(B812),"""",IF(ISDATE(B812),TEXT(B812,""M""),""""))"),"")</f>
        <v/>
      </c>
      <c r="M812" s="29" t="str">
        <f>IFERROR(__xludf.DUMMYFUNCTION("IF(L812="""","""",QUERY({'Dashboard-Dados'!$Y$2:$AA$13},""Select Col2 Where Col1=""&amp;L812))"),"")</f>
        <v/>
      </c>
      <c r="N812" s="29" t="str">
        <f>IFERROR(__xludf.DUMMYFUNCTION("IF(ISBLANK(B812),"""",IF(ISDATE(B812),TEXT(B812,""yyyy""),""""))"),"")</f>
        <v/>
      </c>
    </row>
    <row r="813">
      <c r="B813" s="87"/>
      <c r="C813" s="85"/>
      <c r="D813" s="76"/>
      <c r="H813" s="88"/>
      <c r="J813" s="53" t="str">
        <f>IFERROR(__xludf.DUMMYFUNCTION("IF(ISBLANK(B813),"""",IF(ISDATE(B813),""X"",""""))"),"")</f>
        <v/>
      </c>
      <c r="K813" s="40" t="str">
        <f>IFERROR(__xludf.DUMMYFUNCTION("IF(ISBLANK(B813),"""",IF(ISDATE(B813),H813,""""))"),"")</f>
        <v/>
      </c>
      <c r="L813" s="40" t="str">
        <f>IFERROR(__xludf.DUMMYFUNCTION("IF(ISBLANK(B813),"""",IF(ISDATE(B813),TEXT(B813,""M""),""""))"),"")</f>
        <v/>
      </c>
      <c r="M813" s="29" t="str">
        <f>IFERROR(__xludf.DUMMYFUNCTION("IF(L813="""","""",QUERY({'Dashboard-Dados'!$Y$2:$AA$13},""Select Col2 Where Col1=""&amp;L813))"),"")</f>
        <v/>
      </c>
      <c r="N813" s="29" t="str">
        <f>IFERROR(__xludf.DUMMYFUNCTION("IF(ISBLANK(B813),"""",IF(ISDATE(B813),TEXT(B813,""yyyy""),""""))"),"")</f>
        <v/>
      </c>
    </row>
    <row r="814">
      <c r="B814" s="89"/>
      <c r="C814" s="86"/>
      <c r="D814" s="71"/>
      <c r="H814" s="90"/>
      <c r="J814" s="53" t="str">
        <f>IFERROR(__xludf.DUMMYFUNCTION("IF(ISBLANK(B814),"""",IF(ISDATE(B814),""X"",""""))"),"")</f>
        <v/>
      </c>
      <c r="K814" s="40" t="str">
        <f>IFERROR(__xludf.DUMMYFUNCTION("IF(ISBLANK(B814),"""",IF(ISDATE(B814),H814,""""))"),"")</f>
        <v/>
      </c>
      <c r="L814" s="40" t="str">
        <f>IFERROR(__xludf.DUMMYFUNCTION("IF(ISBLANK(B814),"""",IF(ISDATE(B814),TEXT(B814,""M""),""""))"),"")</f>
        <v/>
      </c>
      <c r="M814" s="29" t="str">
        <f>IFERROR(__xludf.DUMMYFUNCTION("IF(L814="""","""",QUERY({'Dashboard-Dados'!$Y$2:$AA$13},""Select Col2 Where Col1=""&amp;L814))"),"")</f>
        <v/>
      </c>
      <c r="N814" s="29" t="str">
        <f>IFERROR(__xludf.DUMMYFUNCTION("IF(ISBLANK(B814),"""",IF(ISDATE(B814),TEXT(B814,""yyyy""),""""))"),"")</f>
        <v/>
      </c>
    </row>
    <row r="815">
      <c r="B815" s="87"/>
      <c r="C815" s="85"/>
      <c r="D815" s="76"/>
      <c r="H815" s="88"/>
      <c r="J815" s="53" t="str">
        <f>IFERROR(__xludf.DUMMYFUNCTION("IF(ISBLANK(B815),"""",IF(ISDATE(B815),""X"",""""))"),"")</f>
        <v/>
      </c>
      <c r="K815" s="40" t="str">
        <f>IFERROR(__xludf.DUMMYFUNCTION("IF(ISBLANK(B815),"""",IF(ISDATE(B815),H815,""""))"),"")</f>
        <v/>
      </c>
      <c r="L815" s="40" t="str">
        <f>IFERROR(__xludf.DUMMYFUNCTION("IF(ISBLANK(B815),"""",IF(ISDATE(B815),TEXT(B815,""M""),""""))"),"")</f>
        <v/>
      </c>
      <c r="M815" s="29" t="str">
        <f>IFERROR(__xludf.DUMMYFUNCTION("IF(L815="""","""",QUERY({'Dashboard-Dados'!$Y$2:$AA$13},""Select Col2 Where Col1=""&amp;L815))"),"")</f>
        <v/>
      </c>
      <c r="N815" s="29" t="str">
        <f>IFERROR(__xludf.DUMMYFUNCTION("IF(ISBLANK(B815),"""",IF(ISDATE(B815),TEXT(B815,""yyyy""),""""))"),"")</f>
        <v/>
      </c>
    </row>
    <row r="816">
      <c r="B816" s="89"/>
      <c r="C816" s="86"/>
      <c r="D816" s="71"/>
      <c r="H816" s="90"/>
      <c r="J816" s="53" t="str">
        <f>IFERROR(__xludf.DUMMYFUNCTION("IF(ISBLANK(B816),"""",IF(ISDATE(B816),""X"",""""))"),"")</f>
        <v/>
      </c>
      <c r="K816" s="40" t="str">
        <f>IFERROR(__xludf.DUMMYFUNCTION("IF(ISBLANK(B816),"""",IF(ISDATE(B816),H816,""""))"),"")</f>
        <v/>
      </c>
      <c r="L816" s="40" t="str">
        <f>IFERROR(__xludf.DUMMYFUNCTION("IF(ISBLANK(B816),"""",IF(ISDATE(B816),TEXT(B816,""M""),""""))"),"")</f>
        <v/>
      </c>
      <c r="M816" s="29" t="str">
        <f>IFERROR(__xludf.DUMMYFUNCTION("IF(L816="""","""",QUERY({'Dashboard-Dados'!$Y$2:$AA$13},""Select Col2 Where Col1=""&amp;L816))"),"")</f>
        <v/>
      </c>
      <c r="N816" s="29" t="str">
        <f>IFERROR(__xludf.DUMMYFUNCTION("IF(ISBLANK(B816),"""",IF(ISDATE(B816),TEXT(B816,""yyyy""),""""))"),"")</f>
        <v/>
      </c>
    </row>
    <row r="817">
      <c r="B817" s="87"/>
      <c r="C817" s="85"/>
      <c r="D817" s="76"/>
      <c r="H817" s="88"/>
      <c r="J817" s="53" t="str">
        <f>IFERROR(__xludf.DUMMYFUNCTION("IF(ISBLANK(B817),"""",IF(ISDATE(B817),""X"",""""))"),"")</f>
        <v/>
      </c>
      <c r="K817" s="40" t="str">
        <f>IFERROR(__xludf.DUMMYFUNCTION("IF(ISBLANK(B817),"""",IF(ISDATE(B817),H817,""""))"),"")</f>
        <v/>
      </c>
      <c r="L817" s="40" t="str">
        <f>IFERROR(__xludf.DUMMYFUNCTION("IF(ISBLANK(B817),"""",IF(ISDATE(B817),TEXT(B817,""M""),""""))"),"")</f>
        <v/>
      </c>
      <c r="M817" s="29" t="str">
        <f>IFERROR(__xludf.DUMMYFUNCTION("IF(L817="""","""",QUERY({'Dashboard-Dados'!$Y$2:$AA$13},""Select Col2 Where Col1=""&amp;L817))"),"")</f>
        <v/>
      </c>
      <c r="N817" s="29" t="str">
        <f>IFERROR(__xludf.DUMMYFUNCTION("IF(ISBLANK(B817),"""",IF(ISDATE(B817),TEXT(B817,""yyyy""),""""))"),"")</f>
        <v/>
      </c>
    </row>
    <row r="818">
      <c r="B818" s="89"/>
      <c r="C818" s="86"/>
      <c r="D818" s="71"/>
      <c r="H818" s="90"/>
      <c r="J818" s="53" t="str">
        <f>IFERROR(__xludf.DUMMYFUNCTION("IF(ISBLANK(B818),"""",IF(ISDATE(B818),""X"",""""))"),"")</f>
        <v/>
      </c>
      <c r="K818" s="40" t="str">
        <f>IFERROR(__xludf.DUMMYFUNCTION("IF(ISBLANK(B818),"""",IF(ISDATE(B818),H818,""""))"),"")</f>
        <v/>
      </c>
      <c r="L818" s="40" t="str">
        <f>IFERROR(__xludf.DUMMYFUNCTION("IF(ISBLANK(B818),"""",IF(ISDATE(B818),TEXT(B818,""M""),""""))"),"")</f>
        <v/>
      </c>
      <c r="M818" s="29" t="str">
        <f>IFERROR(__xludf.DUMMYFUNCTION("IF(L818="""","""",QUERY({'Dashboard-Dados'!$Y$2:$AA$13},""Select Col2 Where Col1=""&amp;L818))"),"")</f>
        <v/>
      </c>
      <c r="N818" s="29" t="str">
        <f>IFERROR(__xludf.DUMMYFUNCTION("IF(ISBLANK(B818),"""",IF(ISDATE(B818),TEXT(B818,""yyyy""),""""))"),"")</f>
        <v/>
      </c>
    </row>
    <row r="819">
      <c r="B819" s="87"/>
      <c r="C819" s="85"/>
      <c r="D819" s="76"/>
      <c r="H819" s="88"/>
      <c r="J819" s="53" t="str">
        <f>IFERROR(__xludf.DUMMYFUNCTION("IF(ISBLANK(B819),"""",IF(ISDATE(B819),""X"",""""))"),"")</f>
        <v/>
      </c>
      <c r="K819" s="40" t="str">
        <f>IFERROR(__xludf.DUMMYFUNCTION("IF(ISBLANK(B819),"""",IF(ISDATE(B819),H819,""""))"),"")</f>
        <v/>
      </c>
      <c r="L819" s="40" t="str">
        <f>IFERROR(__xludf.DUMMYFUNCTION("IF(ISBLANK(B819),"""",IF(ISDATE(B819),TEXT(B819,""M""),""""))"),"")</f>
        <v/>
      </c>
      <c r="M819" s="29" t="str">
        <f>IFERROR(__xludf.DUMMYFUNCTION("IF(L819="""","""",QUERY({'Dashboard-Dados'!$Y$2:$AA$13},""Select Col2 Where Col1=""&amp;L819))"),"")</f>
        <v/>
      </c>
      <c r="N819" s="29" t="str">
        <f>IFERROR(__xludf.DUMMYFUNCTION("IF(ISBLANK(B819),"""",IF(ISDATE(B819),TEXT(B819,""yyyy""),""""))"),"")</f>
        <v/>
      </c>
    </row>
    <row r="820">
      <c r="B820" s="89"/>
      <c r="C820" s="86"/>
      <c r="D820" s="71"/>
      <c r="H820" s="90"/>
      <c r="J820" s="53" t="str">
        <f>IFERROR(__xludf.DUMMYFUNCTION("IF(ISBLANK(B820),"""",IF(ISDATE(B820),""X"",""""))"),"")</f>
        <v/>
      </c>
      <c r="K820" s="40" t="str">
        <f>IFERROR(__xludf.DUMMYFUNCTION("IF(ISBLANK(B820),"""",IF(ISDATE(B820),H820,""""))"),"")</f>
        <v/>
      </c>
      <c r="L820" s="40" t="str">
        <f>IFERROR(__xludf.DUMMYFUNCTION("IF(ISBLANK(B820),"""",IF(ISDATE(B820),TEXT(B820,""M""),""""))"),"")</f>
        <v/>
      </c>
      <c r="M820" s="29" t="str">
        <f>IFERROR(__xludf.DUMMYFUNCTION("IF(L820="""","""",QUERY({'Dashboard-Dados'!$Y$2:$AA$13},""Select Col2 Where Col1=""&amp;L820))"),"")</f>
        <v/>
      </c>
      <c r="N820" s="29" t="str">
        <f>IFERROR(__xludf.DUMMYFUNCTION("IF(ISBLANK(B820),"""",IF(ISDATE(B820),TEXT(B820,""yyyy""),""""))"),"")</f>
        <v/>
      </c>
    </row>
    <row r="821">
      <c r="B821" s="87"/>
      <c r="C821" s="85"/>
      <c r="D821" s="76"/>
      <c r="H821" s="88"/>
      <c r="J821" s="53" t="str">
        <f>IFERROR(__xludf.DUMMYFUNCTION("IF(ISBLANK(B821),"""",IF(ISDATE(B821),""X"",""""))"),"")</f>
        <v/>
      </c>
      <c r="K821" s="40" t="str">
        <f>IFERROR(__xludf.DUMMYFUNCTION("IF(ISBLANK(B821),"""",IF(ISDATE(B821),H821,""""))"),"")</f>
        <v/>
      </c>
      <c r="L821" s="40" t="str">
        <f>IFERROR(__xludf.DUMMYFUNCTION("IF(ISBLANK(B821),"""",IF(ISDATE(B821),TEXT(B821,""M""),""""))"),"")</f>
        <v/>
      </c>
      <c r="M821" s="29" t="str">
        <f>IFERROR(__xludf.DUMMYFUNCTION("IF(L821="""","""",QUERY({'Dashboard-Dados'!$Y$2:$AA$13},""Select Col2 Where Col1=""&amp;L821))"),"")</f>
        <v/>
      </c>
      <c r="N821" s="29" t="str">
        <f>IFERROR(__xludf.DUMMYFUNCTION("IF(ISBLANK(B821),"""",IF(ISDATE(B821),TEXT(B821,""yyyy""),""""))"),"")</f>
        <v/>
      </c>
    </row>
    <row r="822">
      <c r="B822" s="89"/>
      <c r="C822" s="86"/>
      <c r="D822" s="71"/>
      <c r="H822" s="90"/>
      <c r="J822" s="53" t="str">
        <f>IFERROR(__xludf.DUMMYFUNCTION("IF(ISBLANK(B822),"""",IF(ISDATE(B822),""X"",""""))"),"")</f>
        <v/>
      </c>
      <c r="K822" s="40" t="str">
        <f>IFERROR(__xludf.DUMMYFUNCTION("IF(ISBLANK(B822),"""",IF(ISDATE(B822),H822,""""))"),"")</f>
        <v/>
      </c>
      <c r="L822" s="40" t="str">
        <f>IFERROR(__xludf.DUMMYFUNCTION("IF(ISBLANK(B822),"""",IF(ISDATE(B822),TEXT(B822,""M""),""""))"),"")</f>
        <v/>
      </c>
      <c r="M822" s="29" t="str">
        <f>IFERROR(__xludf.DUMMYFUNCTION("IF(L822="""","""",QUERY({'Dashboard-Dados'!$Y$2:$AA$13},""Select Col2 Where Col1=""&amp;L822))"),"")</f>
        <v/>
      </c>
      <c r="N822" s="29" t="str">
        <f>IFERROR(__xludf.DUMMYFUNCTION("IF(ISBLANK(B822),"""",IF(ISDATE(B822),TEXT(B822,""yyyy""),""""))"),"")</f>
        <v/>
      </c>
    </row>
    <row r="823">
      <c r="B823" s="87"/>
      <c r="C823" s="85"/>
      <c r="D823" s="76"/>
      <c r="H823" s="88"/>
      <c r="J823" s="53" t="str">
        <f>IFERROR(__xludf.DUMMYFUNCTION("IF(ISBLANK(B823),"""",IF(ISDATE(B823),""X"",""""))"),"")</f>
        <v/>
      </c>
      <c r="K823" s="40" t="str">
        <f>IFERROR(__xludf.DUMMYFUNCTION("IF(ISBLANK(B823),"""",IF(ISDATE(B823),H823,""""))"),"")</f>
        <v/>
      </c>
      <c r="L823" s="40" t="str">
        <f>IFERROR(__xludf.DUMMYFUNCTION("IF(ISBLANK(B823),"""",IF(ISDATE(B823),TEXT(B823,""M""),""""))"),"")</f>
        <v/>
      </c>
      <c r="M823" s="29" t="str">
        <f>IFERROR(__xludf.DUMMYFUNCTION("IF(L823="""","""",QUERY({'Dashboard-Dados'!$Y$2:$AA$13},""Select Col2 Where Col1=""&amp;L823))"),"")</f>
        <v/>
      </c>
      <c r="N823" s="29" t="str">
        <f>IFERROR(__xludf.DUMMYFUNCTION("IF(ISBLANK(B823),"""",IF(ISDATE(B823),TEXT(B823,""yyyy""),""""))"),"")</f>
        <v/>
      </c>
    </row>
    <row r="824">
      <c r="B824" s="89"/>
      <c r="C824" s="86"/>
      <c r="D824" s="71"/>
      <c r="H824" s="90"/>
      <c r="J824" s="53" t="str">
        <f>IFERROR(__xludf.DUMMYFUNCTION("IF(ISBLANK(B824),"""",IF(ISDATE(B824),""X"",""""))"),"")</f>
        <v/>
      </c>
      <c r="K824" s="40" t="str">
        <f>IFERROR(__xludf.DUMMYFUNCTION("IF(ISBLANK(B824),"""",IF(ISDATE(B824),H824,""""))"),"")</f>
        <v/>
      </c>
      <c r="L824" s="40" t="str">
        <f>IFERROR(__xludf.DUMMYFUNCTION("IF(ISBLANK(B824),"""",IF(ISDATE(B824),TEXT(B824,""M""),""""))"),"")</f>
        <v/>
      </c>
      <c r="M824" s="29" t="str">
        <f>IFERROR(__xludf.DUMMYFUNCTION("IF(L824="""","""",QUERY({'Dashboard-Dados'!$Y$2:$AA$13},""Select Col2 Where Col1=""&amp;L824))"),"")</f>
        <v/>
      </c>
      <c r="N824" s="29" t="str">
        <f>IFERROR(__xludf.DUMMYFUNCTION("IF(ISBLANK(B824),"""",IF(ISDATE(B824),TEXT(B824,""yyyy""),""""))"),"")</f>
        <v/>
      </c>
    </row>
    <row r="825">
      <c r="B825" s="87"/>
      <c r="C825" s="85"/>
      <c r="D825" s="76"/>
      <c r="H825" s="88"/>
      <c r="J825" s="53" t="str">
        <f>IFERROR(__xludf.DUMMYFUNCTION("IF(ISBLANK(B825),"""",IF(ISDATE(B825),""X"",""""))"),"")</f>
        <v/>
      </c>
      <c r="K825" s="40" t="str">
        <f>IFERROR(__xludf.DUMMYFUNCTION("IF(ISBLANK(B825),"""",IF(ISDATE(B825),H825,""""))"),"")</f>
        <v/>
      </c>
      <c r="L825" s="40" t="str">
        <f>IFERROR(__xludf.DUMMYFUNCTION("IF(ISBLANK(B825),"""",IF(ISDATE(B825),TEXT(B825,""M""),""""))"),"")</f>
        <v/>
      </c>
      <c r="M825" s="29" t="str">
        <f>IFERROR(__xludf.DUMMYFUNCTION("IF(L825="""","""",QUERY({'Dashboard-Dados'!$Y$2:$AA$13},""Select Col2 Where Col1=""&amp;L825))"),"")</f>
        <v/>
      </c>
      <c r="N825" s="29" t="str">
        <f>IFERROR(__xludf.DUMMYFUNCTION("IF(ISBLANK(B825),"""",IF(ISDATE(B825),TEXT(B825,""yyyy""),""""))"),"")</f>
        <v/>
      </c>
    </row>
    <row r="826">
      <c r="B826" s="89"/>
      <c r="C826" s="86"/>
      <c r="D826" s="71"/>
      <c r="H826" s="90"/>
      <c r="J826" s="53" t="str">
        <f>IFERROR(__xludf.DUMMYFUNCTION("IF(ISBLANK(B826),"""",IF(ISDATE(B826),""X"",""""))"),"")</f>
        <v/>
      </c>
      <c r="K826" s="40" t="str">
        <f>IFERROR(__xludf.DUMMYFUNCTION("IF(ISBLANK(B826),"""",IF(ISDATE(B826),H826,""""))"),"")</f>
        <v/>
      </c>
      <c r="L826" s="40" t="str">
        <f>IFERROR(__xludf.DUMMYFUNCTION("IF(ISBLANK(B826),"""",IF(ISDATE(B826),TEXT(B826,""M""),""""))"),"")</f>
        <v/>
      </c>
      <c r="M826" s="29" t="str">
        <f>IFERROR(__xludf.DUMMYFUNCTION("IF(L826="""","""",QUERY({'Dashboard-Dados'!$Y$2:$AA$13},""Select Col2 Where Col1=""&amp;L826))"),"")</f>
        <v/>
      </c>
      <c r="N826" s="29" t="str">
        <f>IFERROR(__xludf.DUMMYFUNCTION("IF(ISBLANK(B826),"""",IF(ISDATE(B826),TEXT(B826,""yyyy""),""""))"),"")</f>
        <v/>
      </c>
    </row>
    <row r="827">
      <c r="B827" s="87"/>
      <c r="C827" s="85"/>
      <c r="D827" s="76"/>
      <c r="H827" s="88"/>
      <c r="J827" s="53" t="str">
        <f>IFERROR(__xludf.DUMMYFUNCTION("IF(ISBLANK(B827),"""",IF(ISDATE(B827),""X"",""""))"),"")</f>
        <v/>
      </c>
      <c r="K827" s="40" t="str">
        <f>IFERROR(__xludf.DUMMYFUNCTION("IF(ISBLANK(B827),"""",IF(ISDATE(B827),H827,""""))"),"")</f>
        <v/>
      </c>
      <c r="L827" s="40" t="str">
        <f>IFERROR(__xludf.DUMMYFUNCTION("IF(ISBLANK(B827),"""",IF(ISDATE(B827),TEXT(B827,""M""),""""))"),"")</f>
        <v/>
      </c>
      <c r="M827" s="29" t="str">
        <f>IFERROR(__xludf.DUMMYFUNCTION("IF(L827="""","""",QUERY({'Dashboard-Dados'!$Y$2:$AA$13},""Select Col2 Where Col1=""&amp;L827))"),"")</f>
        <v/>
      </c>
      <c r="N827" s="29" t="str">
        <f>IFERROR(__xludf.DUMMYFUNCTION("IF(ISBLANK(B827),"""",IF(ISDATE(B827),TEXT(B827,""yyyy""),""""))"),"")</f>
        <v/>
      </c>
    </row>
    <row r="828">
      <c r="B828" s="89"/>
      <c r="C828" s="86"/>
      <c r="D828" s="71"/>
      <c r="H828" s="90"/>
      <c r="J828" s="53" t="str">
        <f>IFERROR(__xludf.DUMMYFUNCTION("IF(ISBLANK(B828),"""",IF(ISDATE(B828),""X"",""""))"),"")</f>
        <v/>
      </c>
      <c r="K828" s="40" t="str">
        <f>IFERROR(__xludf.DUMMYFUNCTION("IF(ISBLANK(B828),"""",IF(ISDATE(B828),H828,""""))"),"")</f>
        <v/>
      </c>
      <c r="L828" s="40" t="str">
        <f>IFERROR(__xludf.DUMMYFUNCTION("IF(ISBLANK(B828),"""",IF(ISDATE(B828),TEXT(B828,""M""),""""))"),"")</f>
        <v/>
      </c>
      <c r="M828" s="29" t="str">
        <f>IFERROR(__xludf.DUMMYFUNCTION("IF(L828="""","""",QUERY({'Dashboard-Dados'!$Y$2:$AA$13},""Select Col2 Where Col1=""&amp;L828))"),"")</f>
        <v/>
      </c>
      <c r="N828" s="29" t="str">
        <f>IFERROR(__xludf.DUMMYFUNCTION("IF(ISBLANK(B828),"""",IF(ISDATE(B828),TEXT(B828,""yyyy""),""""))"),"")</f>
        <v/>
      </c>
    </row>
    <row r="829">
      <c r="B829" s="87"/>
      <c r="C829" s="85"/>
      <c r="D829" s="76"/>
      <c r="H829" s="88"/>
      <c r="J829" s="53" t="str">
        <f>IFERROR(__xludf.DUMMYFUNCTION("IF(ISBLANK(B829),"""",IF(ISDATE(B829),""X"",""""))"),"")</f>
        <v/>
      </c>
      <c r="K829" s="40" t="str">
        <f>IFERROR(__xludf.DUMMYFUNCTION("IF(ISBLANK(B829),"""",IF(ISDATE(B829),H829,""""))"),"")</f>
        <v/>
      </c>
      <c r="L829" s="40" t="str">
        <f>IFERROR(__xludf.DUMMYFUNCTION("IF(ISBLANK(B829),"""",IF(ISDATE(B829),TEXT(B829,""M""),""""))"),"")</f>
        <v/>
      </c>
      <c r="M829" s="29" t="str">
        <f>IFERROR(__xludf.DUMMYFUNCTION("IF(L829="""","""",QUERY({'Dashboard-Dados'!$Y$2:$AA$13},""Select Col2 Where Col1=""&amp;L829))"),"")</f>
        <v/>
      </c>
      <c r="N829" s="29" t="str">
        <f>IFERROR(__xludf.DUMMYFUNCTION("IF(ISBLANK(B829),"""",IF(ISDATE(B829),TEXT(B829,""yyyy""),""""))"),"")</f>
        <v/>
      </c>
    </row>
    <row r="830">
      <c r="B830" s="89"/>
      <c r="C830" s="86"/>
      <c r="D830" s="71"/>
      <c r="H830" s="90"/>
      <c r="J830" s="53" t="str">
        <f>IFERROR(__xludf.DUMMYFUNCTION("IF(ISBLANK(B830),"""",IF(ISDATE(B830),""X"",""""))"),"")</f>
        <v/>
      </c>
      <c r="K830" s="40" t="str">
        <f>IFERROR(__xludf.DUMMYFUNCTION("IF(ISBLANK(B830),"""",IF(ISDATE(B830),H830,""""))"),"")</f>
        <v/>
      </c>
      <c r="L830" s="40" t="str">
        <f>IFERROR(__xludf.DUMMYFUNCTION("IF(ISBLANK(B830),"""",IF(ISDATE(B830),TEXT(B830,""M""),""""))"),"")</f>
        <v/>
      </c>
      <c r="M830" s="29" t="str">
        <f>IFERROR(__xludf.DUMMYFUNCTION("IF(L830="""","""",QUERY({'Dashboard-Dados'!$Y$2:$AA$13},""Select Col2 Where Col1=""&amp;L830))"),"")</f>
        <v/>
      </c>
      <c r="N830" s="29" t="str">
        <f>IFERROR(__xludf.DUMMYFUNCTION("IF(ISBLANK(B830),"""",IF(ISDATE(B830),TEXT(B830,""yyyy""),""""))"),"")</f>
        <v/>
      </c>
    </row>
    <row r="831">
      <c r="B831" s="87"/>
      <c r="C831" s="85"/>
      <c r="D831" s="76"/>
      <c r="H831" s="88"/>
      <c r="J831" s="53" t="str">
        <f>IFERROR(__xludf.DUMMYFUNCTION("IF(ISBLANK(B831),"""",IF(ISDATE(B831),""X"",""""))"),"")</f>
        <v/>
      </c>
      <c r="K831" s="40" t="str">
        <f>IFERROR(__xludf.DUMMYFUNCTION("IF(ISBLANK(B831),"""",IF(ISDATE(B831),H831,""""))"),"")</f>
        <v/>
      </c>
      <c r="L831" s="40" t="str">
        <f>IFERROR(__xludf.DUMMYFUNCTION("IF(ISBLANK(B831),"""",IF(ISDATE(B831),TEXT(B831,""M""),""""))"),"")</f>
        <v/>
      </c>
      <c r="M831" s="29" t="str">
        <f>IFERROR(__xludf.DUMMYFUNCTION("IF(L831="""","""",QUERY({'Dashboard-Dados'!$Y$2:$AA$13},""Select Col2 Where Col1=""&amp;L831))"),"")</f>
        <v/>
      </c>
      <c r="N831" s="29" t="str">
        <f>IFERROR(__xludf.DUMMYFUNCTION("IF(ISBLANK(B831),"""",IF(ISDATE(B831),TEXT(B831,""yyyy""),""""))"),"")</f>
        <v/>
      </c>
    </row>
    <row r="832">
      <c r="B832" s="89"/>
      <c r="C832" s="86"/>
      <c r="D832" s="71"/>
      <c r="H832" s="90"/>
      <c r="J832" s="53" t="str">
        <f>IFERROR(__xludf.DUMMYFUNCTION("IF(ISBLANK(B832),"""",IF(ISDATE(B832),""X"",""""))"),"")</f>
        <v/>
      </c>
      <c r="K832" s="40" t="str">
        <f>IFERROR(__xludf.DUMMYFUNCTION("IF(ISBLANK(B832),"""",IF(ISDATE(B832),H832,""""))"),"")</f>
        <v/>
      </c>
      <c r="L832" s="40" t="str">
        <f>IFERROR(__xludf.DUMMYFUNCTION("IF(ISBLANK(B832),"""",IF(ISDATE(B832),TEXT(B832,""M""),""""))"),"")</f>
        <v/>
      </c>
      <c r="M832" s="29" t="str">
        <f>IFERROR(__xludf.DUMMYFUNCTION("IF(L832="""","""",QUERY({'Dashboard-Dados'!$Y$2:$AA$13},""Select Col2 Where Col1=""&amp;L832))"),"")</f>
        <v/>
      </c>
      <c r="N832" s="29" t="str">
        <f>IFERROR(__xludf.DUMMYFUNCTION("IF(ISBLANK(B832),"""",IF(ISDATE(B832),TEXT(B832,""yyyy""),""""))"),"")</f>
        <v/>
      </c>
    </row>
    <row r="833">
      <c r="B833" s="87"/>
      <c r="C833" s="85"/>
      <c r="D833" s="76"/>
      <c r="H833" s="88"/>
      <c r="J833" s="53" t="str">
        <f>IFERROR(__xludf.DUMMYFUNCTION("IF(ISBLANK(B833),"""",IF(ISDATE(B833),""X"",""""))"),"")</f>
        <v/>
      </c>
      <c r="K833" s="40" t="str">
        <f>IFERROR(__xludf.DUMMYFUNCTION("IF(ISBLANK(B833),"""",IF(ISDATE(B833),H833,""""))"),"")</f>
        <v/>
      </c>
      <c r="L833" s="40" t="str">
        <f>IFERROR(__xludf.DUMMYFUNCTION("IF(ISBLANK(B833),"""",IF(ISDATE(B833),TEXT(B833,""M""),""""))"),"")</f>
        <v/>
      </c>
      <c r="M833" s="29" t="str">
        <f>IFERROR(__xludf.DUMMYFUNCTION("IF(L833="""","""",QUERY({'Dashboard-Dados'!$Y$2:$AA$13},""Select Col2 Where Col1=""&amp;L833))"),"")</f>
        <v/>
      </c>
      <c r="N833" s="29" t="str">
        <f>IFERROR(__xludf.DUMMYFUNCTION("IF(ISBLANK(B833),"""",IF(ISDATE(B833),TEXT(B833,""yyyy""),""""))"),"")</f>
        <v/>
      </c>
    </row>
    <row r="834">
      <c r="B834" s="89"/>
      <c r="C834" s="86"/>
      <c r="D834" s="71"/>
      <c r="H834" s="90"/>
      <c r="J834" s="53" t="str">
        <f>IFERROR(__xludf.DUMMYFUNCTION("IF(ISBLANK(B834),"""",IF(ISDATE(B834),""X"",""""))"),"")</f>
        <v/>
      </c>
      <c r="K834" s="40" t="str">
        <f>IFERROR(__xludf.DUMMYFUNCTION("IF(ISBLANK(B834),"""",IF(ISDATE(B834),H834,""""))"),"")</f>
        <v/>
      </c>
      <c r="L834" s="40" t="str">
        <f>IFERROR(__xludf.DUMMYFUNCTION("IF(ISBLANK(B834),"""",IF(ISDATE(B834),TEXT(B834,""M""),""""))"),"")</f>
        <v/>
      </c>
      <c r="M834" s="29" t="str">
        <f>IFERROR(__xludf.DUMMYFUNCTION("IF(L834="""","""",QUERY({'Dashboard-Dados'!$Y$2:$AA$13},""Select Col2 Where Col1=""&amp;L834))"),"")</f>
        <v/>
      </c>
      <c r="N834" s="29" t="str">
        <f>IFERROR(__xludf.DUMMYFUNCTION("IF(ISBLANK(B834),"""",IF(ISDATE(B834),TEXT(B834,""yyyy""),""""))"),"")</f>
        <v/>
      </c>
    </row>
    <row r="835">
      <c r="B835" s="87"/>
      <c r="C835" s="85"/>
      <c r="D835" s="76"/>
      <c r="H835" s="88"/>
      <c r="J835" s="53" t="str">
        <f>IFERROR(__xludf.DUMMYFUNCTION("IF(ISBLANK(B835),"""",IF(ISDATE(B835),""X"",""""))"),"")</f>
        <v/>
      </c>
      <c r="K835" s="40" t="str">
        <f>IFERROR(__xludf.DUMMYFUNCTION("IF(ISBLANK(B835),"""",IF(ISDATE(B835),H835,""""))"),"")</f>
        <v/>
      </c>
      <c r="L835" s="40" t="str">
        <f>IFERROR(__xludf.DUMMYFUNCTION("IF(ISBLANK(B835),"""",IF(ISDATE(B835),TEXT(B835,""M""),""""))"),"")</f>
        <v/>
      </c>
      <c r="M835" s="29" t="str">
        <f>IFERROR(__xludf.DUMMYFUNCTION("IF(L835="""","""",QUERY({'Dashboard-Dados'!$Y$2:$AA$13},""Select Col2 Where Col1=""&amp;L835))"),"")</f>
        <v/>
      </c>
      <c r="N835" s="29" t="str">
        <f>IFERROR(__xludf.DUMMYFUNCTION("IF(ISBLANK(B835),"""",IF(ISDATE(B835),TEXT(B835,""yyyy""),""""))"),"")</f>
        <v/>
      </c>
    </row>
    <row r="836">
      <c r="B836" s="89"/>
      <c r="C836" s="86"/>
      <c r="D836" s="71"/>
      <c r="H836" s="90"/>
      <c r="J836" s="53" t="str">
        <f>IFERROR(__xludf.DUMMYFUNCTION("IF(ISBLANK(B836),"""",IF(ISDATE(B836),""X"",""""))"),"")</f>
        <v/>
      </c>
      <c r="K836" s="40" t="str">
        <f>IFERROR(__xludf.DUMMYFUNCTION("IF(ISBLANK(B836),"""",IF(ISDATE(B836),H836,""""))"),"")</f>
        <v/>
      </c>
      <c r="L836" s="40" t="str">
        <f>IFERROR(__xludf.DUMMYFUNCTION("IF(ISBLANK(B836),"""",IF(ISDATE(B836),TEXT(B836,""M""),""""))"),"")</f>
        <v/>
      </c>
      <c r="M836" s="29" t="str">
        <f>IFERROR(__xludf.DUMMYFUNCTION("IF(L836="""","""",QUERY({'Dashboard-Dados'!$Y$2:$AA$13},""Select Col2 Where Col1=""&amp;L836))"),"")</f>
        <v/>
      </c>
      <c r="N836" s="29" t="str">
        <f>IFERROR(__xludf.DUMMYFUNCTION("IF(ISBLANK(B836),"""",IF(ISDATE(B836),TEXT(B836,""yyyy""),""""))"),"")</f>
        <v/>
      </c>
    </row>
    <row r="837">
      <c r="B837" s="87"/>
      <c r="C837" s="85"/>
      <c r="D837" s="76"/>
      <c r="H837" s="88"/>
      <c r="J837" s="53" t="str">
        <f>IFERROR(__xludf.DUMMYFUNCTION("IF(ISBLANK(B837),"""",IF(ISDATE(B837),""X"",""""))"),"")</f>
        <v/>
      </c>
      <c r="K837" s="40" t="str">
        <f>IFERROR(__xludf.DUMMYFUNCTION("IF(ISBLANK(B837),"""",IF(ISDATE(B837),H837,""""))"),"")</f>
        <v/>
      </c>
      <c r="L837" s="40" t="str">
        <f>IFERROR(__xludf.DUMMYFUNCTION("IF(ISBLANK(B837),"""",IF(ISDATE(B837),TEXT(B837,""M""),""""))"),"")</f>
        <v/>
      </c>
      <c r="M837" s="29" t="str">
        <f>IFERROR(__xludf.DUMMYFUNCTION("IF(L837="""","""",QUERY({'Dashboard-Dados'!$Y$2:$AA$13},""Select Col2 Where Col1=""&amp;L837))"),"")</f>
        <v/>
      </c>
      <c r="N837" s="29" t="str">
        <f>IFERROR(__xludf.DUMMYFUNCTION("IF(ISBLANK(B837),"""",IF(ISDATE(B837),TEXT(B837,""yyyy""),""""))"),"")</f>
        <v/>
      </c>
    </row>
    <row r="838">
      <c r="B838" s="89"/>
      <c r="C838" s="86"/>
      <c r="D838" s="71"/>
      <c r="H838" s="90"/>
      <c r="J838" s="53" t="str">
        <f>IFERROR(__xludf.DUMMYFUNCTION("IF(ISBLANK(B838),"""",IF(ISDATE(B838),""X"",""""))"),"")</f>
        <v/>
      </c>
      <c r="K838" s="40" t="str">
        <f>IFERROR(__xludf.DUMMYFUNCTION("IF(ISBLANK(B838),"""",IF(ISDATE(B838),H838,""""))"),"")</f>
        <v/>
      </c>
      <c r="L838" s="40" t="str">
        <f>IFERROR(__xludf.DUMMYFUNCTION("IF(ISBLANK(B838),"""",IF(ISDATE(B838),TEXT(B838,""M""),""""))"),"")</f>
        <v/>
      </c>
      <c r="M838" s="29" t="str">
        <f>IFERROR(__xludf.DUMMYFUNCTION("IF(L838="""","""",QUERY({'Dashboard-Dados'!$Y$2:$AA$13},""Select Col2 Where Col1=""&amp;L838))"),"")</f>
        <v/>
      </c>
      <c r="N838" s="29" t="str">
        <f>IFERROR(__xludf.DUMMYFUNCTION("IF(ISBLANK(B838),"""",IF(ISDATE(B838),TEXT(B838,""yyyy""),""""))"),"")</f>
        <v/>
      </c>
    </row>
    <row r="839">
      <c r="B839" s="87"/>
      <c r="C839" s="85"/>
      <c r="D839" s="76"/>
      <c r="H839" s="88"/>
      <c r="J839" s="53" t="str">
        <f>IFERROR(__xludf.DUMMYFUNCTION("IF(ISBLANK(B839),"""",IF(ISDATE(B839),""X"",""""))"),"")</f>
        <v/>
      </c>
      <c r="K839" s="40" t="str">
        <f>IFERROR(__xludf.DUMMYFUNCTION("IF(ISBLANK(B839),"""",IF(ISDATE(B839),H839,""""))"),"")</f>
        <v/>
      </c>
      <c r="L839" s="40" t="str">
        <f>IFERROR(__xludf.DUMMYFUNCTION("IF(ISBLANK(B839),"""",IF(ISDATE(B839),TEXT(B839,""M""),""""))"),"")</f>
        <v/>
      </c>
      <c r="M839" s="29" t="str">
        <f>IFERROR(__xludf.DUMMYFUNCTION("IF(L839="""","""",QUERY({'Dashboard-Dados'!$Y$2:$AA$13},""Select Col2 Where Col1=""&amp;L839))"),"")</f>
        <v/>
      </c>
      <c r="N839" s="29" t="str">
        <f>IFERROR(__xludf.DUMMYFUNCTION("IF(ISBLANK(B839),"""",IF(ISDATE(B839),TEXT(B839,""yyyy""),""""))"),"")</f>
        <v/>
      </c>
    </row>
    <row r="840">
      <c r="B840" s="89"/>
      <c r="C840" s="86"/>
      <c r="D840" s="71"/>
      <c r="H840" s="90"/>
      <c r="J840" s="53" t="str">
        <f>IFERROR(__xludf.DUMMYFUNCTION("IF(ISBLANK(B840),"""",IF(ISDATE(B840),""X"",""""))"),"")</f>
        <v/>
      </c>
      <c r="K840" s="40" t="str">
        <f>IFERROR(__xludf.DUMMYFUNCTION("IF(ISBLANK(B840),"""",IF(ISDATE(B840),H840,""""))"),"")</f>
        <v/>
      </c>
      <c r="L840" s="40" t="str">
        <f>IFERROR(__xludf.DUMMYFUNCTION("IF(ISBLANK(B840),"""",IF(ISDATE(B840),TEXT(B840,""M""),""""))"),"")</f>
        <v/>
      </c>
      <c r="M840" s="29" t="str">
        <f>IFERROR(__xludf.DUMMYFUNCTION("IF(L840="""","""",QUERY({'Dashboard-Dados'!$Y$2:$AA$13},""Select Col2 Where Col1=""&amp;L840))"),"")</f>
        <v/>
      </c>
      <c r="N840" s="29" t="str">
        <f>IFERROR(__xludf.DUMMYFUNCTION("IF(ISBLANK(B840),"""",IF(ISDATE(B840),TEXT(B840,""yyyy""),""""))"),"")</f>
        <v/>
      </c>
    </row>
    <row r="841">
      <c r="B841" s="87"/>
      <c r="C841" s="85"/>
      <c r="D841" s="76"/>
      <c r="H841" s="88"/>
      <c r="J841" s="53" t="str">
        <f>IFERROR(__xludf.DUMMYFUNCTION("IF(ISBLANK(B841),"""",IF(ISDATE(B841),""X"",""""))"),"")</f>
        <v/>
      </c>
      <c r="K841" s="40" t="str">
        <f>IFERROR(__xludf.DUMMYFUNCTION("IF(ISBLANK(B841),"""",IF(ISDATE(B841),H841,""""))"),"")</f>
        <v/>
      </c>
      <c r="L841" s="40" t="str">
        <f>IFERROR(__xludf.DUMMYFUNCTION("IF(ISBLANK(B841),"""",IF(ISDATE(B841),TEXT(B841,""M""),""""))"),"")</f>
        <v/>
      </c>
      <c r="M841" s="29" t="str">
        <f>IFERROR(__xludf.DUMMYFUNCTION("IF(L841="""","""",QUERY({'Dashboard-Dados'!$Y$2:$AA$13},""Select Col2 Where Col1=""&amp;L841))"),"")</f>
        <v/>
      </c>
      <c r="N841" s="29" t="str">
        <f>IFERROR(__xludf.DUMMYFUNCTION("IF(ISBLANK(B841),"""",IF(ISDATE(B841),TEXT(B841,""yyyy""),""""))"),"")</f>
        <v/>
      </c>
    </row>
    <row r="842">
      <c r="B842" s="89"/>
      <c r="C842" s="86"/>
      <c r="D842" s="71"/>
      <c r="H842" s="90"/>
      <c r="J842" s="53" t="str">
        <f>IFERROR(__xludf.DUMMYFUNCTION("IF(ISBLANK(B842),"""",IF(ISDATE(B842),""X"",""""))"),"")</f>
        <v/>
      </c>
      <c r="K842" s="40" t="str">
        <f>IFERROR(__xludf.DUMMYFUNCTION("IF(ISBLANK(B842),"""",IF(ISDATE(B842),H842,""""))"),"")</f>
        <v/>
      </c>
      <c r="L842" s="40" t="str">
        <f>IFERROR(__xludf.DUMMYFUNCTION("IF(ISBLANK(B842),"""",IF(ISDATE(B842),TEXT(B842,""M""),""""))"),"")</f>
        <v/>
      </c>
      <c r="M842" s="29" t="str">
        <f>IFERROR(__xludf.DUMMYFUNCTION("IF(L842="""","""",QUERY({'Dashboard-Dados'!$Y$2:$AA$13},""Select Col2 Where Col1=""&amp;L842))"),"")</f>
        <v/>
      </c>
      <c r="N842" s="29" t="str">
        <f>IFERROR(__xludf.DUMMYFUNCTION("IF(ISBLANK(B842),"""",IF(ISDATE(B842),TEXT(B842,""yyyy""),""""))"),"")</f>
        <v/>
      </c>
    </row>
    <row r="843">
      <c r="B843" s="87"/>
      <c r="C843" s="85"/>
      <c r="D843" s="76"/>
      <c r="H843" s="88"/>
      <c r="J843" s="53" t="str">
        <f>IFERROR(__xludf.DUMMYFUNCTION("IF(ISBLANK(B843),"""",IF(ISDATE(B843),""X"",""""))"),"")</f>
        <v/>
      </c>
      <c r="K843" s="40" t="str">
        <f>IFERROR(__xludf.DUMMYFUNCTION("IF(ISBLANK(B843),"""",IF(ISDATE(B843),H843,""""))"),"")</f>
        <v/>
      </c>
      <c r="L843" s="40" t="str">
        <f>IFERROR(__xludf.DUMMYFUNCTION("IF(ISBLANK(B843),"""",IF(ISDATE(B843),TEXT(B843,""M""),""""))"),"")</f>
        <v/>
      </c>
      <c r="M843" s="29" t="str">
        <f>IFERROR(__xludf.DUMMYFUNCTION("IF(L843="""","""",QUERY({'Dashboard-Dados'!$Y$2:$AA$13},""Select Col2 Where Col1=""&amp;L843))"),"")</f>
        <v/>
      </c>
      <c r="N843" s="29" t="str">
        <f>IFERROR(__xludf.DUMMYFUNCTION("IF(ISBLANK(B843),"""",IF(ISDATE(B843),TEXT(B843,""yyyy""),""""))"),"")</f>
        <v/>
      </c>
    </row>
    <row r="844">
      <c r="B844" s="89"/>
      <c r="C844" s="86"/>
      <c r="D844" s="71"/>
      <c r="H844" s="90"/>
      <c r="J844" s="53" t="str">
        <f>IFERROR(__xludf.DUMMYFUNCTION("IF(ISBLANK(B844),"""",IF(ISDATE(B844),""X"",""""))"),"")</f>
        <v/>
      </c>
      <c r="K844" s="40" t="str">
        <f>IFERROR(__xludf.DUMMYFUNCTION("IF(ISBLANK(B844),"""",IF(ISDATE(B844),H844,""""))"),"")</f>
        <v/>
      </c>
      <c r="L844" s="40" t="str">
        <f>IFERROR(__xludf.DUMMYFUNCTION("IF(ISBLANK(B844),"""",IF(ISDATE(B844),TEXT(B844,""M""),""""))"),"")</f>
        <v/>
      </c>
      <c r="M844" s="29" t="str">
        <f>IFERROR(__xludf.DUMMYFUNCTION("IF(L844="""","""",QUERY({'Dashboard-Dados'!$Y$2:$AA$13},""Select Col2 Where Col1=""&amp;L844))"),"")</f>
        <v/>
      </c>
      <c r="N844" s="29" t="str">
        <f>IFERROR(__xludf.DUMMYFUNCTION("IF(ISBLANK(B844),"""",IF(ISDATE(B844),TEXT(B844,""yyyy""),""""))"),"")</f>
        <v/>
      </c>
    </row>
    <row r="845">
      <c r="B845" s="87"/>
      <c r="C845" s="85"/>
      <c r="D845" s="76"/>
      <c r="H845" s="88"/>
      <c r="J845" s="53" t="str">
        <f>IFERROR(__xludf.DUMMYFUNCTION("IF(ISBLANK(B845),"""",IF(ISDATE(B845),""X"",""""))"),"")</f>
        <v/>
      </c>
      <c r="K845" s="40" t="str">
        <f>IFERROR(__xludf.DUMMYFUNCTION("IF(ISBLANK(B845),"""",IF(ISDATE(B845),H845,""""))"),"")</f>
        <v/>
      </c>
      <c r="L845" s="40" t="str">
        <f>IFERROR(__xludf.DUMMYFUNCTION("IF(ISBLANK(B845),"""",IF(ISDATE(B845),TEXT(B845,""M""),""""))"),"")</f>
        <v/>
      </c>
      <c r="M845" s="29" t="str">
        <f>IFERROR(__xludf.DUMMYFUNCTION("IF(L845="""","""",QUERY({'Dashboard-Dados'!$Y$2:$AA$13},""Select Col2 Where Col1=""&amp;L845))"),"")</f>
        <v/>
      </c>
      <c r="N845" s="29" t="str">
        <f>IFERROR(__xludf.DUMMYFUNCTION("IF(ISBLANK(B845),"""",IF(ISDATE(B845),TEXT(B845,""yyyy""),""""))"),"")</f>
        <v/>
      </c>
    </row>
    <row r="846">
      <c r="B846" s="89"/>
      <c r="C846" s="86"/>
      <c r="D846" s="71"/>
      <c r="H846" s="90"/>
      <c r="J846" s="53" t="str">
        <f>IFERROR(__xludf.DUMMYFUNCTION("IF(ISBLANK(B846),"""",IF(ISDATE(B846),""X"",""""))"),"")</f>
        <v/>
      </c>
      <c r="K846" s="40" t="str">
        <f>IFERROR(__xludf.DUMMYFUNCTION("IF(ISBLANK(B846),"""",IF(ISDATE(B846),H846,""""))"),"")</f>
        <v/>
      </c>
      <c r="L846" s="40" t="str">
        <f>IFERROR(__xludf.DUMMYFUNCTION("IF(ISBLANK(B846),"""",IF(ISDATE(B846),TEXT(B846,""M""),""""))"),"")</f>
        <v/>
      </c>
      <c r="M846" s="29" t="str">
        <f>IFERROR(__xludf.DUMMYFUNCTION("IF(L846="""","""",QUERY({'Dashboard-Dados'!$Y$2:$AA$13},""Select Col2 Where Col1=""&amp;L846))"),"")</f>
        <v/>
      </c>
      <c r="N846" s="29" t="str">
        <f>IFERROR(__xludf.DUMMYFUNCTION("IF(ISBLANK(B846),"""",IF(ISDATE(B846),TEXT(B846,""yyyy""),""""))"),"")</f>
        <v/>
      </c>
    </row>
    <row r="847">
      <c r="B847" s="87"/>
      <c r="C847" s="85"/>
      <c r="D847" s="76"/>
      <c r="H847" s="88"/>
      <c r="J847" s="53" t="str">
        <f>IFERROR(__xludf.DUMMYFUNCTION("IF(ISBLANK(B847),"""",IF(ISDATE(B847),""X"",""""))"),"")</f>
        <v/>
      </c>
      <c r="K847" s="40" t="str">
        <f>IFERROR(__xludf.DUMMYFUNCTION("IF(ISBLANK(B847),"""",IF(ISDATE(B847),H847,""""))"),"")</f>
        <v/>
      </c>
      <c r="L847" s="40" t="str">
        <f>IFERROR(__xludf.DUMMYFUNCTION("IF(ISBLANK(B847),"""",IF(ISDATE(B847),TEXT(B847,""M""),""""))"),"")</f>
        <v/>
      </c>
      <c r="M847" s="29" t="str">
        <f>IFERROR(__xludf.DUMMYFUNCTION("IF(L847="""","""",QUERY({'Dashboard-Dados'!$Y$2:$AA$13},""Select Col2 Where Col1=""&amp;L847))"),"")</f>
        <v/>
      </c>
      <c r="N847" s="29" t="str">
        <f>IFERROR(__xludf.DUMMYFUNCTION("IF(ISBLANK(B847),"""",IF(ISDATE(B847),TEXT(B847,""yyyy""),""""))"),"")</f>
        <v/>
      </c>
    </row>
    <row r="848">
      <c r="B848" s="89"/>
      <c r="C848" s="86"/>
      <c r="D848" s="71"/>
      <c r="H848" s="90"/>
      <c r="J848" s="53" t="str">
        <f>IFERROR(__xludf.DUMMYFUNCTION("IF(ISBLANK(B848),"""",IF(ISDATE(B848),""X"",""""))"),"")</f>
        <v/>
      </c>
      <c r="K848" s="40" t="str">
        <f>IFERROR(__xludf.DUMMYFUNCTION("IF(ISBLANK(B848),"""",IF(ISDATE(B848),H848,""""))"),"")</f>
        <v/>
      </c>
      <c r="L848" s="40" t="str">
        <f>IFERROR(__xludf.DUMMYFUNCTION("IF(ISBLANK(B848),"""",IF(ISDATE(B848),TEXT(B848,""M""),""""))"),"")</f>
        <v/>
      </c>
      <c r="M848" s="29" t="str">
        <f>IFERROR(__xludf.DUMMYFUNCTION("IF(L848="""","""",QUERY({'Dashboard-Dados'!$Y$2:$AA$13},""Select Col2 Where Col1=""&amp;L848))"),"")</f>
        <v/>
      </c>
      <c r="N848" s="29" t="str">
        <f>IFERROR(__xludf.DUMMYFUNCTION("IF(ISBLANK(B848),"""",IF(ISDATE(B848),TEXT(B848,""yyyy""),""""))"),"")</f>
        <v/>
      </c>
    </row>
    <row r="849">
      <c r="B849" s="87"/>
      <c r="C849" s="85"/>
      <c r="D849" s="76"/>
      <c r="H849" s="88"/>
      <c r="J849" s="53" t="str">
        <f>IFERROR(__xludf.DUMMYFUNCTION("IF(ISBLANK(B849),"""",IF(ISDATE(B849),""X"",""""))"),"")</f>
        <v/>
      </c>
      <c r="K849" s="40" t="str">
        <f>IFERROR(__xludf.DUMMYFUNCTION("IF(ISBLANK(B849),"""",IF(ISDATE(B849),H849,""""))"),"")</f>
        <v/>
      </c>
      <c r="L849" s="40" t="str">
        <f>IFERROR(__xludf.DUMMYFUNCTION("IF(ISBLANK(B849),"""",IF(ISDATE(B849),TEXT(B849,""M""),""""))"),"")</f>
        <v/>
      </c>
      <c r="M849" s="29" t="str">
        <f>IFERROR(__xludf.DUMMYFUNCTION("IF(L849="""","""",QUERY({'Dashboard-Dados'!$Y$2:$AA$13},""Select Col2 Where Col1=""&amp;L849))"),"")</f>
        <v/>
      </c>
      <c r="N849" s="29" t="str">
        <f>IFERROR(__xludf.DUMMYFUNCTION("IF(ISBLANK(B849),"""",IF(ISDATE(B849),TEXT(B849,""yyyy""),""""))"),"")</f>
        <v/>
      </c>
    </row>
    <row r="850">
      <c r="B850" s="89"/>
      <c r="C850" s="86"/>
      <c r="D850" s="71"/>
      <c r="H850" s="90"/>
      <c r="J850" s="53" t="str">
        <f>IFERROR(__xludf.DUMMYFUNCTION("IF(ISBLANK(B850),"""",IF(ISDATE(B850),""X"",""""))"),"")</f>
        <v/>
      </c>
      <c r="K850" s="40" t="str">
        <f>IFERROR(__xludf.DUMMYFUNCTION("IF(ISBLANK(B850),"""",IF(ISDATE(B850),H850,""""))"),"")</f>
        <v/>
      </c>
      <c r="L850" s="40" t="str">
        <f>IFERROR(__xludf.DUMMYFUNCTION("IF(ISBLANK(B850),"""",IF(ISDATE(B850),TEXT(B850,""M""),""""))"),"")</f>
        <v/>
      </c>
      <c r="M850" s="29" t="str">
        <f>IFERROR(__xludf.DUMMYFUNCTION("IF(L850="""","""",QUERY({'Dashboard-Dados'!$Y$2:$AA$13},""Select Col2 Where Col1=""&amp;L850))"),"")</f>
        <v/>
      </c>
      <c r="N850" s="29" t="str">
        <f>IFERROR(__xludf.DUMMYFUNCTION("IF(ISBLANK(B850),"""",IF(ISDATE(B850),TEXT(B850,""yyyy""),""""))"),"")</f>
        <v/>
      </c>
    </row>
    <row r="851">
      <c r="B851" s="87"/>
      <c r="C851" s="85"/>
      <c r="D851" s="76"/>
      <c r="H851" s="88"/>
      <c r="J851" s="53" t="str">
        <f>IFERROR(__xludf.DUMMYFUNCTION("IF(ISBLANK(B851),"""",IF(ISDATE(B851),""X"",""""))"),"")</f>
        <v/>
      </c>
      <c r="K851" s="40" t="str">
        <f>IFERROR(__xludf.DUMMYFUNCTION("IF(ISBLANK(B851),"""",IF(ISDATE(B851),H851,""""))"),"")</f>
        <v/>
      </c>
      <c r="L851" s="40" t="str">
        <f>IFERROR(__xludf.DUMMYFUNCTION("IF(ISBLANK(B851),"""",IF(ISDATE(B851),TEXT(B851,""M""),""""))"),"")</f>
        <v/>
      </c>
      <c r="M851" s="29" t="str">
        <f>IFERROR(__xludf.DUMMYFUNCTION("IF(L851="""","""",QUERY({'Dashboard-Dados'!$Y$2:$AA$13},""Select Col2 Where Col1=""&amp;L851))"),"")</f>
        <v/>
      </c>
      <c r="N851" s="29" t="str">
        <f>IFERROR(__xludf.DUMMYFUNCTION("IF(ISBLANK(B851),"""",IF(ISDATE(B851),TEXT(B851,""yyyy""),""""))"),"")</f>
        <v/>
      </c>
    </row>
    <row r="852">
      <c r="B852" s="89"/>
      <c r="C852" s="86"/>
      <c r="D852" s="71"/>
      <c r="H852" s="90"/>
      <c r="J852" s="53" t="str">
        <f>IFERROR(__xludf.DUMMYFUNCTION("IF(ISBLANK(B852),"""",IF(ISDATE(B852),""X"",""""))"),"")</f>
        <v/>
      </c>
      <c r="K852" s="40" t="str">
        <f>IFERROR(__xludf.DUMMYFUNCTION("IF(ISBLANK(B852),"""",IF(ISDATE(B852),H852,""""))"),"")</f>
        <v/>
      </c>
      <c r="L852" s="40" t="str">
        <f>IFERROR(__xludf.DUMMYFUNCTION("IF(ISBLANK(B852),"""",IF(ISDATE(B852),TEXT(B852,""M""),""""))"),"")</f>
        <v/>
      </c>
      <c r="M852" s="29" t="str">
        <f>IFERROR(__xludf.DUMMYFUNCTION("IF(L852="""","""",QUERY({'Dashboard-Dados'!$Y$2:$AA$13},""Select Col2 Where Col1=""&amp;L852))"),"")</f>
        <v/>
      </c>
      <c r="N852" s="29" t="str">
        <f>IFERROR(__xludf.DUMMYFUNCTION("IF(ISBLANK(B852),"""",IF(ISDATE(B852),TEXT(B852,""yyyy""),""""))"),"")</f>
        <v/>
      </c>
    </row>
    <row r="853">
      <c r="B853" s="87"/>
      <c r="C853" s="85"/>
      <c r="D853" s="76"/>
      <c r="H853" s="88"/>
      <c r="J853" s="53" t="str">
        <f>IFERROR(__xludf.DUMMYFUNCTION("IF(ISBLANK(B853),"""",IF(ISDATE(B853),""X"",""""))"),"")</f>
        <v/>
      </c>
      <c r="K853" s="40" t="str">
        <f>IFERROR(__xludf.DUMMYFUNCTION("IF(ISBLANK(B853),"""",IF(ISDATE(B853),H853,""""))"),"")</f>
        <v/>
      </c>
      <c r="L853" s="40" t="str">
        <f>IFERROR(__xludf.DUMMYFUNCTION("IF(ISBLANK(B853),"""",IF(ISDATE(B853),TEXT(B853,""M""),""""))"),"")</f>
        <v/>
      </c>
      <c r="M853" s="29" t="str">
        <f>IFERROR(__xludf.DUMMYFUNCTION("IF(L853="""","""",QUERY({'Dashboard-Dados'!$Y$2:$AA$13},""Select Col2 Where Col1=""&amp;L853))"),"")</f>
        <v/>
      </c>
      <c r="N853" s="29" t="str">
        <f>IFERROR(__xludf.DUMMYFUNCTION("IF(ISBLANK(B853),"""",IF(ISDATE(B853),TEXT(B853,""yyyy""),""""))"),"")</f>
        <v/>
      </c>
    </row>
    <row r="854">
      <c r="B854" s="89"/>
      <c r="C854" s="86"/>
      <c r="D854" s="71"/>
      <c r="H854" s="90"/>
      <c r="J854" s="53" t="str">
        <f>IFERROR(__xludf.DUMMYFUNCTION("IF(ISBLANK(B854),"""",IF(ISDATE(B854),""X"",""""))"),"")</f>
        <v/>
      </c>
      <c r="K854" s="40" t="str">
        <f>IFERROR(__xludf.DUMMYFUNCTION("IF(ISBLANK(B854),"""",IF(ISDATE(B854),H854,""""))"),"")</f>
        <v/>
      </c>
      <c r="L854" s="40" t="str">
        <f>IFERROR(__xludf.DUMMYFUNCTION("IF(ISBLANK(B854),"""",IF(ISDATE(B854),TEXT(B854,""M""),""""))"),"")</f>
        <v/>
      </c>
      <c r="M854" s="29" t="str">
        <f>IFERROR(__xludf.DUMMYFUNCTION("IF(L854="""","""",QUERY({'Dashboard-Dados'!$Y$2:$AA$13},""Select Col2 Where Col1=""&amp;L854))"),"")</f>
        <v/>
      </c>
      <c r="N854" s="29" t="str">
        <f>IFERROR(__xludf.DUMMYFUNCTION("IF(ISBLANK(B854),"""",IF(ISDATE(B854),TEXT(B854,""yyyy""),""""))"),"")</f>
        <v/>
      </c>
    </row>
    <row r="855">
      <c r="B855" s="87"/>
      <c r="C855" s="85"/>
      <c r="D855" s="76"/>
      <c r="H855" s="88"/>
      <c r="J855" s="53" t="str">
        <f>IFERROR(__xludf.DUMMYFUNCTION("IF(ISBLANK(B855),"""",IF(ISDATE(B855),""X"",""""))"),"")</f>
        <v/>
      </c>
      <c r="K855" s="40" t="str">
        <f>IFERROR(__xludf.DUMMYFUNCTION("IF(ISBLANK(B855),"""",IF(ISDATE(B855),H855,""""))"),"")</f>
        <v/>
      </c>
      <c r="L855" s="40" t="str">
        <f>IFERROR(__xludf.DUMMYFUNCTION("IF(ISBLANK(B855),"""",IF(ISDATE(B855),TEXT(B855,""M""),""""))"),"")</f>
        <v/>
      </c>
      <c r="M855" s="29" t="str">
        <f>IFERROR(__xludf.DUMMYFUNCTION("IF(L855="""","""",QUERY({'Dashboard-Dados'!$Y$2:$AA$13},""Select Col2 Where Col1=""&amp;L855))"),"")</f>
        <v/>
      </c>
      <c r="N855" s="29" t="str">
        <f>IFERROR(__xludf.DUMMYFUNCTION("IF(ISBLANK(B855),"""",IF(ISDATE(B855),TEXT(B855,""yyyy""),""""))"),"")</f>
        <v/>
      </c>
    </row>
    <row r="856">
      <c r="B856" s="89"/>
      <c r="C856" s="86"/>
      <c r="D856" s="71"/>
      <c r="H856" s="90"/>
      <c r="J856" s="53" t="str">
        <f>IFERROR(__xludf.DUMMYFUNCTION("IF(ISBLANK(B856),"""",IF(ISDATE(B856),""X"",""""))"),"")</f>
        <v/>
      </c>
      <c r="K856" s="40" t="str">
        <f>IFERROR(__xludf.DUMMYFUNCTION("IF(ISBLANK(B856),"""",IF(ISDATE(B856),H856,""""))"),"")</f>
        <v/>
      </c>
      <c r="L856" s="40" t="str">
        <f>IFERROR(__xludf.DUMMYFUNCTION("IF(ISBLANK(B856),"""",IF(ISDATE(B856),TEXT(B856,""M""),""""))"),"")</f>
        <v/>
      </c>
      <c r="M856" s="29" t="str">
        <f>IFERROR(__xludf.DUMMYFUNCTION("IF(L856="""","""",QUERY({'Dashboard-Dados'!$Y$2:$AA$13},""Select Col2 Where Col1=""&amp;L856))"),"")</f>
        <v/>
      </c>
      <c r="N856" s="29" t="str">
        <f>IFERROR(__xludf.DUMMYFUNCTION("IF(ISBLANK(B856),"""",IF(ISDATE(B856),TEXT(B856,""yyyy""),""""))"),"")</f>
        <v/>
      </c>
    </row>
    <row r="857">
      <c r="B857" s="87"/>
      <c r="C857" s="85"/>
      <c r="D857" s="76"/>
      <c r="H857" s="88"/>
      <c r="J857" s="53" t="str">
        <f>IFERROR(__xludf.DUMMYFUNCTION("IF(ISBLANK(B857),"""",IF(ISDATE(B857),""X"",""""))"),"")</f>
        <v/>
      </c>
      <c r="K857" s="40" t="str">
        <f>IFERROR(__xludf.DUMMYFUNCTION("IF(ISBLANK(B857),"""",IF(ISDATE(B857),H857,""""))"),"")</f>
        <v/>
      </c>
      <c r="L857" s="40" t="str">
        <f>IFERROR(__xludf.DUMMYFUNCTION("IF(ISBLANK(B857),"""",IF(ISDATE(B857),TEXT(B857,""M""),""""))"),"")</f>
        <v/>
      </c>
      <c r="M857" s="29" t="str">
        <f>IFERROR(__xludf.DUMMYFUNCTION("IF(L857="""","""",QUERY({'Dashboard-Dados'!$Y$2:$AA$13},""Select Col2 Where Col1=""&amp;L857))"),"")</f>
        <v/>
      </c>
      <c r="N857" s="29" t="str">
        <f>IFERROR(__xludf.DUMMYFUNCTION("IF(ISBLANK(B857),"""",IF(ISDATE(B857),TEXT(B857,""yyyy""),""""))"),"")</f>
        <v/>
      </c>
    </row>
    <row r="858">
      <c r="B858" s="89"/>
      <c r="C858" s="86"/>
      <c r="D858" s="71"/>
      <c r="H858" s="90"/>
      <c r="J858" s="53" t="str">
        <f>IFERROR(__xludf.DUMMYFUNCTION("IF(ISBLANK(B858),"""",IF(ISDATE(B858),""X"",""""))"),"")</f>
        <v/>
      </c>
      <c r="K858" s="40" t="str">
        <f>IFERROR(__xludf.DUMMYFUNCTION("IF(ISBLANK(B858),"""",IF(ISDATE(B858),H858,""""))"),"")</f>
        <v/>
      </c>
      <c r="L858" s="40" t="str">
        <f>IFERROR(__xludf.DUMMYFUNCTION("IF(ISBLANK(B858),"""",IF(ISDATE(B858),TEXT(B858,""M""),""""))"),"")</f>
        <v/>
      </c>
      <c r="M858" s="29" t="str">
        <f>IFERROR(__xludf.DUMMYFUNCTION("IF(L858="""","""",QUERY({'Dashboard-Dados'!$Y$2:$AA$13},""Select Col2 Where Col1=""&amp;L858))"),"")</f>
        <v/>
      </c>
      <c r="N858" s="29" t="str">
        <f>IFERROR(__xludf.DUMMYFUNCTION("IF(ISBLANK(B858),"""",IF(ISDATE(B858),TEXT(B858,""yyyy""),""""))"),"")</f>
        <v/>
      </c>
    </row>
    <row r="859">
      <c r="B859" s="87"/>
      <c r="C859" s="85"/>
      <c r="D859" s="76"/>
      <c r="H859" s="88"/>
      <c r="J859" s="53" t="str">
        <f>IFERROR(__xludf.DUMMYFUNCTION("IF(ISBLANK(B859),"""",IF(ISDATE(B859),""X"",""""))"),"")</f>
        <v/>
      </c>
      <c r="K859" s="40" t="str">
        <f>IFERROR(__xludf.DUMMYFUNCTION("IF(ISBLANK(B859),"""",IF(ISDATE(B859),H859,""""))"),"")</f>
        <v/>
      </c>
      <c r="L859" s="40" t="str">
        <f>IFERROR(__xludf.DUMMYFUNCTION("IF(ISBLANK(B859),"""",IF(ISDATE(B859),TEXT(B859,""M""),""""))"),"")</f>
        <v/>
      </c>
      <c r="M859" s="29" t="str">
        <f>IFERROR(__xludf.DUMMYFUNCTION("IF(L859="""","""",QUERY({'Dashboard-Dados'!$Y$2:$AA$13},""Select Col2 Where Col1=""&amp;L859))"),"")</f>
        <v/>
      </c>
      <c r="N859" s="29" t="str">
        <f>IFERROR(__xludf.DUMMYFUNCTION("IF(ISBLANK(B859),"""",IF(ISDATE(B859),TEXT(B859,""yyyy""),""""))"),"")</f>
        <v/>
      </c>
    </row>
    <row r="860">
      <c r="B860" s="89"/>
      <c r="C860" s="86"/>
      <c r="D860" s="71"/>
      <c r="H860" s="90"/>
      <c r="J860" s="53" t="str">
        <f>IFERROR(__xludf.DUMMYFUNCTION("IF(ISBLANK(B860),"""",IF(ISDATE(B860),""X"",""""))"),"")</f>
        <v/>
      </c>
      <c r="K860" s="40" t="str">
        <f>IFERROR(__xludf.DUMMYFUNCTION("IF(ISBLANK(B860),"""",IF(ISDATE(B860),H860,""""))"),"")</f>
        <v/>
      </c>
      <c r="L860" s="40" t="str">
        <f>IFERROR(__xludf.DUMMYFUNCTION("IF(ISBLANK(B860),"""",IF(ISDATE(B860),TEXT(B860,""M""),""""))"),"")</f>
        <v/>
      </c>
      <c r="M860" s="29" t="str">
        <f>IFERROR(__xludf.DUMMYFUNCTION("IF(L860="""","""",QUERY({'Dashboard-Dados'!$Y$2:$AA$13},""Select Col2 Where Col1=""&amp;L860))"),"")</f>
        <v/>
      </c>
      <c r="N860" s="29" t="str">
        <f>IFERROR(__xludf.DUMMYFUNCTION("IF(ISBLANK(B860),"""",IF(ISDATE(B860),TEXT(B860,""yyyy""),""""))"),"")</f>
        <v/>
      </c>
    </row>
    <row r="861">
      <c r="B861" s="87"/>
      <c r="C861" s="85"/>
      <c r="D861" s="76"/>
      <c r="H861" s="88"/>
      <c r="J861" s="53" t="str">
        <f>IFERROR(__xludf.DUMMYFUNCTION("IF(ISBLANK(B861),"""",IF(ISDATE(B861),""X"",""""))"),"")</f>
        <v/>
      </c>
      <c r="K861" s="40" t="str">
        <f>IFERROR(__xludf.DUMMYFUNCTION("IF(ISBLANK(B861),"""",IF(ISDATE(B861),H861,""""))"),"")</f>
        <v/>
      </c>
      <c r="L861" s="40" t="str">
        <f>IFERROR(__xludf.DUMMYFUNCTION("IF(ISBLANK(B861),"""",IF(ISDATE(B861),TEXT(B861,""M""),""""))"),"")</f>
        <v/>
      </c>
      <c r="M861" s="29" t="str">
        <f>IFERROR(__xludf.DUMMYFUNCTION("IF(L861="""","""",QUERY({'Dashboard-Dados'!$Y$2:$AA$13},""Select Col2 Where Col1=""&amp;L861))"),"")</f>
        <v/>
      </c>
      <c r="N861" s="29" t="str">
        <f>IFERROR(__xludf.DUMMYFUNCTION("IF(ISBLANK(B861),"""",IF(ISDATE(B861),TEXT(B861,""yyyy""),""""))"),"")</f>
        <v/>
      </c>
    </row>
    <row r="862">
      <c r="B862" s="89"/>
      <c r="C862" s="86"/>
      <c r="D862" s="71"/>
      <c r="H862" s="90"/>
      <c r="J862" s="53" t="str">
        <f>IFERROR(__xludf.DUMMYFUNCTION("IF(ISBLANK(B862),"""",IF(ISDATE(B862),""X"",""""))"),"")</f>
        <v/>
      </c>
      <c r="K862" s="40" t="str">
        <f>IFERROR(__xludf.DUMMYFUNCTION("IF(ISBLANK(B862),"""",IF(ISDATE(B862),H862,""""))"),"")</f>
        <v/>
      </c>
      <c r="L862" s="40" t="str">
        <f>IFERROR(__xludf.DUMMYFUNCTION("IF(ISBLANK(B862),"""",IF(ISDATE(B862),TEXT(B862,""M""),""""))"),"")</f>
        <v/>
      </c>
      <c r="M862" s="29" t="str">
        <f>IFERROR(__xludf.DUMMYFUNCTION("IF(L862="""","""",QUERY({'Dashboard-Dados'!$Y$2:$AA$13},""Select Col2 Where Col1=""&amp;L862))"),"")</f>
        <v/>
      </c>
      <c r="N862" s="29" t="str">
        <f>IFERROR(__xludf.DUMMYFUNCTION("IF(ISBLANK(B862),"""",IF(ISDATE(B862),TEXT(B862,""yyyy""),""""))"),"")</f>
        <v/>
      </c>
    </row>
    <row r="863">
      <c r="B863" s="87"/>
      <c r="C863" s="85"/>
      <c r="D863" s="76"/>
      <c r="H863" s="88"/>
      <c r="J863" s="53" t="str">
        <f>IFERROR(__xludf.DUMMYFUNCTION("IF(ISBLANK(B863),"""",IF(ISDATE(B863),""X"",""""))"),"")</f>
        <v/>
      </c>
      <c r="K863" s="40" t="str">
        <f>IFERROR(__xludf.DUMMYFUNCTION("IF(ISBLANK(B863),"""",IF(ISDATE(B863),H863,""""))"),"")</f>
        <v/>
      </c>
      <c r="L863" s="40" t="str">
        <f>IFERROR(__xludf.DUMMYFUNCTION("IF(ISBLANK(B863),"""",IF(ISDATE(B863),TEXT(B863,""M""),""""))"),"")</f>
        <v/>
      </c>
      <c r="M863" s="29" t="str">
        <f>IFERROR(__xludf.DUMMYFUNCTION("IF(L863="""","""",QUERY({'Dashboard-Dados'!$Y$2:$AA$13},""Select Col2 Where Col1=""&amp;L863))"),"")</f>
        <v/>
      </c>
      <c r="N863" s="29" t="str">
        <f>IFERROR(__xludf.DUMMYFUNCTION("IF(ISBLANK(B863),"""",IF(ISDATE(B863),TEXT(B863,""yyyy""),""""))"),"")</f>
        <v/>
      </c>
    </row>
    <row r="864">
      <c r="B864" s="89"/>
      <c r="C864" s="86"/>
      <c r="D864" s="71"/>
      <c r="H864" s="90"/>
      <c r="J864" s="53" t="str">
        <f>IFERROR(__xludf.DUMMYFUNCTION("IF(ISBLANK(B864),"""",IF(ISDATE(B864),""X"",""""))"),"")</f>
        <v/>
      </c>
      <c r="K864" s="40" t="str">
        <f>IFERROR(__xludf.DUMMYFUNCTION("IF(ISBLANK(B864),"""",IF(ISDATE(B864),H864,""""))"),"")</f>
        <v/>
      </c>
      <c r="L864" s="40" t="str">
        <f>IFERROR(__xludf.DUMMYFUNCTION("IF(ISBLANK(B864),"""",IF(ISDATE(B864),TEXT(B864,""M""),""""))"),"")</f>
        <v/>
      </c>
      <c r="M864" s="29" t="str">
        <f>IFERROR(__xludf.DUMMYFUNCTION("IF(L864="""","""",QUERY({'Dashboard-Dados'!$Y$2:$AA$13},""Select Col2 Where Col1=""&amp;L864))"),"")</f>
        <v/>
      </c>
      <c r="N864" s="29" t="str">
        <f>IFERROR(__xludf.DUMMYFUNCTION("IF(ISBLANK(B864),"""",IF(ISDATE(B864),TEXT(B864,""yyyy""),""""))"),"")</f>
        <v/>
      </c>
    </row>
    <row r="865">
      <c r="B865" s="87"/>
      <c r="C865" s="85"/>
      <c r="D865" s="76"/>
      <c r="H865" s="88"/>
      <c r="J865" s="53" t="str">
        <f>IFERROR(__xludf.DUMMYFUNCTION("IF(ISBLANK(B865),"""",IF(ISDATE(B865),""X"",""""))"),"")</f>
        <v/>
      </c>
      <c r="K865" s="40" t="str">
        <f>IFERROR(__xludf.DUMMYFUNCTION("IF(ISBLANK(B865),"""",IF(ISDATE(B865),H865,""""))"),"")</f>
        <v/>
      </c>
      <c r="L865" s="40" t="str">
        <f>IFERROR(__xludf.DUMMYFUNCTION("IF(ISBLANK(B865),"""",IF(ISDATE(B865),TEXT(B865,""M""),""""))"),"")</f>
        <v/>
      </c>
      <c r="M865" s="29" t="str">
        <f>IFERROR(__xludf.DUMMYFUNCTION("IF(L865="""","""",QUERY({'Dashboard-Dados'!$Y$2:$AA$13},""Select Col2 Where Col1=""&amp;L865))"),"")</f>
        <v/>
      </c>
      <c r="N865" s="29" t="str">
        <f>IFERROR(__xludf.DUMMYFUNCTION("IF(ISBLANK(B865),"""",IF(ISDATE(B865),TEXT(B865,""yyyy""),""""))"),"")</f>
        <v/>
      </c>
    </row>
    <row r="866">
      <c r="B866" s="89"/>
      <c r="C866" s="86"/>
      <c r="D866" s="71"/>
      <c r="H866" s="90"/>
      <c r="J866" s="53" t="str">
        <f>IFERROR(__xludf.DUMMYFUNCTION("IF(ISBLANK(B866),"""",IF(ISDATE(B866),""X"",""""))"),"")</f>
        <v/>
      </c>
      <c r="K866" s="40" t="str">
        <f>IFERROR(__xludf.DUMMYFUNCTION("IF(ISBLANK(B866),"""",IF(ISDATE(B866),H866,""""))"),"")</f>
        <v/>
      </c>
      <c r="L866" s="40" t="str">
        <f>IFERROR(__xludf.DUMMYFUNCTION("IF(ISBLANK(B866),"""",IF(ISDATE(B866),TEXT(B866,""M""),""""))"),"")</f>
        <v/>
      </c>
      <c r="M866" s="29" t="str">
        <f>IFERROR(__xludf.DUMMYFUNCTION("IF(L866="""","""",QUERY({'Dashboard-Dados'!$Y$2:$AA$13},""Select Col2 Where Col1=""&amp;L866))"),"")</f>
        <v/>
      </c>
      <c r="N866" s="29" t="str">
        <f>IFERROR(__xludf.DUMMYFUNCTION("IF(ISBLANK(B866),"""",IF(ISDATE(B866),TEXT(B866,""yyyy""),""""))"),"")</f>
        <v/>
      </c>
    </row>
    <row r="867">
      <c r="B867" s="87"/>
      <c r="C867" s="85"/>
      <c r="D867" s="76"/>
      <c r="H867" s="88"/>
      <c r="J867" s="53" t="str">
        <f>IFERROR(__xludf.DUMMYFUNCTION("IF(ISBLANK(B867),"""",IF(ISDATE(B867),""X"",""""))"),"")</f>
        <v/>
      </c>
      <c r="K867" s="40" t="str">
        <f>IFERROR(__xludf.DUMMYFUNCTION("IF(ISBLANK(B867),"""",IF(ISDATE(B867),H867,""""))"),"")</f>
        <v/>
      </c>
      <c r="L867" s="40" t="str">
        <f>IFERROR(__xludf.DUMMYFUNCTION("IF(ISBLANK(B867),"""",IF(ISDATE(B867),TEXT(B867,""M""),""""))"),"")</f>
        <v/>
      </c>
      <c r="M867" s="29" t="str">
        <f>IFERROR(__xludf.DUMMYFUNCTION("IF(L867="""","""",QUERY({'Dashboard-Dados'!$Y$2:$AA$13},""Select Col2 Where Col1=""&amp;L867))"),"")</f>
        <v/>
      </c>
      <c r="N867" s="29" t="str">
        <f>IFERROR(__xludf.DUMMYFUNCTION("IF(ISBLANK(B867),"""",IF(ISDATE(B867),TEXT(B867,""yyyy""),""""))"),"")</f>
        <v/>
      </c>
    </row>
    <row r="868">
      <c r="B868" s="89"/>
      <c r="C868" s="86"/>
      <c r="D868" s="71"/>
      <c r="H868" s="90"/>
      <c r="J868" s="53" t="str">
        <f>IFERROR(__xludf.DUMMYFUNCTION("IF(ISBLANK(B868),"""",IF(ISDATE(B868),""X"",""""))"),"")</f>
        <v/>
      </c>
      <c r="K868" s="40" t="str">
        <f>IFERROR(__xludf.DUMMYFUNCTION("IF(ISBLANK(B868),"""",IF(ISDATE(B868),H868,""""))"),"")</f>
        <v/>
      </c>
      <c r="L868" s="40" t="str">
        <f>IFERROR(__xludf.DUMMYFUNCTION("IF(ISBLANK(B868),"""",IF(ISDATE(B868),TEXT(B868,""M""),""""))"),"")</f>
        <v/>
      </c>
      <c r="M868" s="29" t="str">
        <f>IFERROR(__xludf.DUMMYFUNCTION("IF(L868="""","""",QUERY({'Dashboard-Dados'!$Y$2:$AA$13},""Select Col2 Where Col1=""&amp;L868))"),"")</f>
        <v/>
      </c>
      <c r="N868" s="29" t="str">
        <f>IFERROR(__xludf.DUMMYFUNCTION("IF(ISBLANK(B868),"""",IF(ISDATE(B868),TEXT(B868,""yyyy""),""""))"),"")</f>
        <v/>
      </c>
    </row>
    <row r="869">
      <c r="B869" s="87"/>
      <c r="C869" s="85"/>
      <c r="D869" s="76"/>
      <c r="H869" s="88"/>
      <c r="J869" s="53" t="str">
        <f>IFERROR(__xludf.DUMMYFUNCTION("IF(ISBLANK(B869),"""",IF(ISDATE(B869),""X"",""""))"),"")</f>
        <v/>
      </c>
      <c r="K869" s="40" t="str">
        <f>IFERROR(__xludf.DUMMYFUNCTION("IF(ISBLANK(B869),"""",IF(ISDATE(B869),H869,""""))"),"")</f>
        <v/>
      </c>
      <c r="L869" s="40" t="str">
        <f>IFERROR(__xludf.DUMMYFUNCTION("IF(ISBLANK(B869),"""",IF(ISDATE(B869),TEXT(B869,""M""),""""))"),"")</f>
        <v/>
      </c>
      <c r="M869" s="29" t="str">
        <f>IFERROR(__xludf.DUMMYFUNCTION("IF(L869="""","""",QUERY({'Dashboard-Dados'!$Y$2:$AA$13},""Select Col2 Where Col1=""&amp;L869))"),"")</f>
        <v/>
      </c>
      <c r="N869" s="29" t="str">
        <f>IFERROR(__xludf.DUMMYFUNCTION("IF(ISBLANK(B869),"""",IF(ISDATE(B869),TEXT(B869,""yyyy""),""""))"),"")</f>
        <v/>
      </c>
    </row>
    <row r="870">
      <c r="B870" s="89"/>
      <c r="C870" s="86"/>
      <c r="D870" s="71"/>
      <c r="H870" s="90"/>
      <c r="J870" s="53" t="str">
        <f>IFERROR(__xludf.DUMMYFUNCTION("IF(ISBLANK(B870),"""",IF(ISDATE(B870),""X"",""""))"),"")</f>
        <v/>
      </c>
      <c r="K870" s="40" t="str">
        <f>IFERROR(__xludf.DUMMYFUNCTION("IF(ISBLANK(B870),"""",IF(ISDATE(B870),H870,""""))"),"")</f>
        <v/>
      </c>
      <c r="L870" s="40" t="str">
        <f>IFERROR(__xludf.DUMMYFUNCTION("IF(ISBLANK(B870),"""",IF(ISDATE(B870),TEXT(B870,""M""),""""))"),"")</f>
        <v/>
      </c>
      <c r="M870" s="29" t="str">
        <f>IFERROR(__xludf.DUMMYFUNCTION("IF(L870="""","""",QUERY({'Dashboard-Dados'!$Y$2:$AA$13},""Select Col2 Where Col1=""&amp;L870))"),"")</f>
        <v/>
      </c>
      <c r="N870" s="29" t="str">
        <f>IFERROR(__xludf.DUMMYFUNCTION("IF(ISBLANK(B870),"""",IF(ISDATE(B870),TEXT(B870,""yyyy""),""""))"),"")</f>
        <v/>
      </c>
    </row>
    <row r="871">
      <c r="B871" s="87"/>
      <c r="C871" s="85"/>
      <c r="D871" s="76"/>
      <c r="H871" s="88"/>
      <c r="J871" s="53" t="str">
        <f>IFERROR(__xludf.DUMMYFUNCTION("IF(ISBLANK(B871),"""",IF(ISDATE(B871),""X"",""""))"),"")</f>
        <v/>
      </c>
      <c r="K871" s="40" t="str">
        <f>IFERROR(__xludf.DUMMYFUNCTION("IF(ISBLANK(B871),"""",IF(ISDATE(B871),H871,""""))"),"")</f>
        <v/>
      </c>
      <c r="L871" s="40" t="str">
        <f>IFERROR(__xludf.DUMMYFUNCTION("IF(ISBLANK(B871),"""",IF(ISDATE(B871),TEXT(B871,""M""),""""))"),"")</f>
        <v/>
      </c>
      <c r="M871" s="29" t="str">
        <f>IFERROR(__xludf.DUMMYFUNCTION("IF(L871="""","""",QUERY({'Dashboard-Dados'!$Y$2:$AA$13},""Select Col2 Where Col1=""&amp;L871))"),"")</f>
        <v/>
      </c>
      <c r="N871" s="29" t="str">
        <f>IFERROR(__xludf.DUMMYFUNCTION("IF(ISBLANK(B871),"""",IF(ISDATE(B871),TEXT(B871,""yyyy""),""""))"),"")</f>
        <v/>
      </c>
    </row>
    <row r="872">
      <c r="B872" s="89"/>
      <c r="C872" s="86"/>
      <c r="D872" s="71"/>
      <c r="H872" s="90"/>
      <c r="J872" s="53" t="str">
        <f>IFERROR(__xludf.DUMMYFUNCTION("IF(ISBLANK(B872),"""",IF(ISDATE(B872),""X"",""""))"),"")</f>
        <v/>
      </c>
      <c r="K872" s="40" t="str">
        <f>IFERROR(__xludf.DUMMYFUNCTION("IF(ISBLANK(B872),"""",IF(ISDATE(B872),H872,""""))"),"")</f>
        <v/>
      </c>
      <c r="L872" s="40" t="str">
        <f>IFERROR(__xludf.DUMMYFUNCTION("IF(ISBLANK(B872),"""",IF(ISDATE(B872),TEXT(B872,""M""),""""))"),"")</f>
        <v/>
      </c>
      <c r="M872" s="29" t="str">
        <f>IFERROR(__xludf.DUMMYFUNCTION("IF(L872="""","""",QUERY({'Dashboard-Dados'!$Y$2:$AA$13},""Select Col2 Where Col1=""&amp;L872))"),"")</f>
        <v/>
      </c>
      <c r="N872" s="29" t="str">
        <f>IFERROR(__xludf.DUMMYFUNCTION("IF(ISBLANK(B872),"""",IF(ISDATE(B872),TEXT(B872,""yyyy""),""""))"),"")</f>
        <v/>
      </c>
    </row>
    <row r="873">
      <c r="B873" s="87"/>
      <c r="C873" s="85"/>
      <c r="D873" s="76"/>
      <c r="H873" s="88"/>
      <c r="J873" s="53" t="str">
        <f>IFERROR(__xludf.DUMMYFUNCTION("IF(ISBLANK(B873),"""",IF(ISDATE(B873),""X"",""""))"),"")</f>
        <v/>
      </c>
      <c r="K873" s="40" t="str">
        <f>IFERROR(__xludf.DUMMYFUNCTION("IF(ISBLANK(B873),"""",IF(ISDATE(B873),H873,""""))"),"")</f>
        <v/>
      </c>
      <c r="L873" s="40" t="str">
        <f>IFERROR(__xludf.DUMMYFUNCTION("IF(ISBLANK(B873),"""",IF(ISDATE(B873),TEXT(B873,""M""),""""))"),"")</f>
        <v/>
      </c>
      <c r="M873" s="29" t="str">
        <f>IFERROR(__xludf.DUMMYFUNCTION("IF(L873="""","""",QUERY({'Dashboard-Dados'!$Y$2:$AA$13},""Select Col2 Where Col1=""&amp;L873))"),"")</f>
        <v/>
      </c>
      <c r="N873" s="29" t="str">
        <f>IFERROR(__xludf.DUMMYFUNCTION("IF(ISBLANK(B873),"""",IF(ISDATE(B873),TEXT(B873,""yyyy""),""""))"),"")</f>
        <v/>
      </c>
    </row>
    <row r="874">
      <c r="B874" s="89"/>
      <c r="C874" s="86"/>
      <c r="D874" s="71"/>
      <c r="H874" s="90"/>
      <c r="J874" s="53" t="str">
        <f>IFERROR(__xludf.DUMMYFUNCTION("IF(ISBLANK(B874),"""",IF(ISDATE(B874),""X"",""""))"),"")</f>
        <v/>
      </c>
      <c r="K874" s="40" t="str">
        <f>IFERROR(__xludf.DUMMYFUNCTION("IF(ISBLANK(B874),"""",IF(ISDATE(B874),H874,""""))"),"")</f>
        <v/>
      </c>
      <c r="L874" s="40" t="str">
        <f>IFERROR(__xludf.DUMMYFUNCTION("IF(ISBLANK(B874),"""",IF(ISDATE(B874),TEXT(B874,""M""),""""))"),"")</f>
        <v/>
      </c>
      <c r="M874" s="29" t="str">
        <f>IFERROR(__xludf.DUMMYFUNCTION("IF(L874="""","""",QUERY({'Dashboard-Dados'!$Y$2:$AA$13},""Select Col2 Where Col1=""&amp;L874))"),"")</f>
        <v/>
      </c>
      <c r="N874" s="29" t="str">
        <f>IFERROR(__xludf.DUMMYFUNCTION("IF(ISBLANK(B874),"""",IF(ISDATE(B874),TEXT(B874,""yyyy""),""""))"),"")</f>
        <v/>
      </c>
    </row>
    <row r="875">
      <c r="B875" s="87"/>
      <c r="C875" s="85"/>
      <c r="D875" s="76"/>
      <c r="H875" s="88"/>
      <c r="J875" s="53" t="str">
        <f>IFERROR(__xludf.DUMMYFUNCTION("IF(ISBLANK(B875),"""",IF(ISDATE(B875),""X"",""""))"),"")</f>
        <v/>
      </c>
      <c r="K875" s="40" t="str">
        <f>IFERROR(__xludf.DUMMYFUNCTION("IF(ISBLANK(B875),"""",IF(ISDATE(B875),H875,""""))"),"")</f>
        <v/>
      </c>
      <c r="L875" s="40" t="str">
        <f>IFERROR(__xludf.DUMMYFUNCTION("IF(ISBLANK(B875),"""",IF(ISDATE(B875),TEXT(B875,""M""),""""))"),"")</f>
        <v/>
      </c>
      <c r="M875" s="29" t="str">
        <f>IFERROR(__xludf.DUMMYFUNCTION("IF(L875="""","""",QUERY({'Dashboard-Dados'!$Y$2:$AA$13},""Select Col2 Where Col1=""&amp;L875))"),"")</f>
        <v/>
      </c>
      <c r="N875" s="29" t="str">
        <f>IFERROR(__xludf.DUMMYFUNCTION("IF(ISBLANK(B875),"""",IF(ISDATE(B875),TEXT(B875,""yyyy""),""""))"),"")</f>
        <v/>
      </c>
    </row>
    <row r="876">
      <c r="B876" s="89"/>
      <c r="C876" s="86"/>
      <c r="D876" s="71"/>
      <c r="H876" s="90"/>
      <c r="J876" s="53" t="str">
        <f>IFERROR(__xludf.DUMMYFUNCTION("IF(ISBLANK(B876),"""",IF(ISDATE(B876),""X"",""""))"),"")</f>
        <v/>
      </c>
      <c r="K876" s="40" t="str">
        <f>IFERROR(__xludf.DUMMYFUNCTION("IF(ISBLANK(B876),"""",IF(ISDATE(B876),H876,""""))"),"")</f>
        <v/>
      </c>
      <c r="L876" s="40" t="str">
        <f>IFERROR(__xludf.DUMMYFUNCTION("IF(ISBLANK(B876),"""",IF(ISDATE(B876),TEXT(B876,""M""),""""))"),"")</f>
        <v/>
      </c>
      <c r="M876" s="29" t="str">
        <f>IFERROR(__xludf.DUMMYFUNCTION("IF(L876="""","""",QUERY({'Dashboard-Dados'!$Y$2:$AA$13},""Select Col2 Where Col1=""&amp;L876))"),"")</f>
        <v/>
      </c>
      <c r="N876" s="29" t="str">
        <f>IFERROR(__xludf.DUMMYFUNCTION("IF(ISBLANK(B876),"""",IF(ISDATE(B876),TEXT(B876,""yyyy""),""""))"),"")</f>
        <v/>
      </c>
    </row>
    <row r="877">
      <c r="B877" s="87"/>
      <c r="C877" s="85"/>
      <c r="D877" s="76"/>
      <c r="H877" s="88"/>
      <c r="J877" s="53" t="str">
        <f>IFERROR(__xludf.DUMMYFUNCTION("IF(ISBLANK(B877),"""",IF(ISDATE(B877),""X"",""""))"),"")</f>
        <v/>
      </c>
      <c r="K877" s="40" t="str">
        <f>IFERROR(__xludf.DUMMYFUNCTION("IF(ISBLANK(B877),"""",IF(ISDATE(B877),H877,""""))"),"")</f>
        <v/>
      </c>
      <c r="L877" s="40" t="str">
        <f>IFERROR(__xludf.DUMMYFUNCTION("IF(ISBLANK(B877),"""",IF(ISDATE(B877),TEXT(B877,""M""),""""))"),"")</f>
        <v/>
      </c>
      <c r="M877" s="29" t="str">
        <f>IFERROR(__xludf.DUMMYFUNCTION("IF(L877="""","""",QUERY({'Dashboard-Dados'!$Y$2:$AA$13},""Select Col2 Where Col1=""&amp;L877))"),"")</f>
        <v/>
      </c>
      <c r="N877" s="29" t="str">
        <f>IFERROR(__xludf.DUMMYFUNCTION("IF(ISBLANK(B877),"""",IF(ISDATE(B877),TEXT(B877,""yyyy""),""""))"),"")</f>
        <v/>
      </c>
    </row>
    <row r="878">
      <c r="B878" s="89"/>
      <c r="C878" s="86"/>
      <c r="D878" s="71"/>
      <c r="H878" s="90"/>
      <c r="J878" s="53" t="str">
        <f>IFERROR(__xludf.DUMMYFUNCTION("IF(ISBLANK(B878),"""",IF(ISDATE(B878),""X"",""""))"),"")</f>
        <v/>
      </c>
      <c r="K878" s="40" t="str">
        <f>IFERROR(__xludf.DUMMYFUNCTION("IF(ISBLANK(B878),"""",IF(ISDATE(B878),H878,""""))"),"")</f>
        <v/>
      </c>
      <c r="L878" s="40" t="str">
        <f>IFERROR(__xludf.DUMMYFUNCTION("IF(ISBLANK(B878),"""",IF(ISDATE(B878),TEXT(B878,""M""),""""))"),"")</f>
        <v/>
      </c>
      <c r="M878" s="29" t="str">
        <f>IFERROR(__xludf.DUMMYFUNCTION("IF(L878="""","""",QUERY({'Dashboard-Dados'!$Y$2:$AA$13},""Select Col2 Where Col1=""&amp;L878))"),"")</f>
        <v/>
      </c>
      <c r="N878" s="29" t="str">
        <f>IFERROR(__xludf.DUMMYFUNCTION("IF(ISBLANK(B878),"""",IF(ISDATE(B878),TEXT(B878,""yyyy""),""""))"),"")</f>
        <v/>
      </c>
    </row>
    <row r="879">
      <c r="B879" s="87"/>
      <c r="C879" s="85"/>
      <c r="D879" s="76"/>
      <c r="H879" s="88"/>
      <c r="J879" s="53" t="str">
        <f>IFERROR(__xludf.DUMMYFUNCTION("IF(ISBLANK(B879),"""",IF(ISDATE(B879),""X"",""""))"),"")</f>
        <v/>
      </c>
      <c r="K879" s="40" t="str">
        <f>IFERROR(__xludf.DUMMYFUNCTION("IF(ISBLANK(B879),"""",IF(ISDATE(B879),H879,""""))"),"")</f>
        <v/>
      </c>
      <c r="L879" s="40" t="str">
        <f>IFERROR(__xludf.DUMMYFUNCTION("IF(ISBLANK(B879),"""",IF(ISDATE(B879),TEXT(B879,""M""),""""))"),"")</f>
        <v/>
      </c>
      <c r="M879" s="29" t="str">
        <f>IFERROR(__xludf.DUMMYFUNCTION("IF(L879="""","""",QUERY({'Dashboard-Dados'!$Y$2:$AA$13},""Select Col2 Where Col1=""&amp;L879))"),"")</f>
        <v/>
      </c>
      <c r="N879" s="29" t="str">
        <f>IFERROR(__xludf.DUMMYFUNCTION("IF(ISBLANK(B879),"""",IF(ISDATE(B879),TEXT(B879,""yyyy""),""""))"),"")</f>
        <v/>
      </c>
    </row>
    <row r="880">
      <c r="B880" s="89"/>
      <c r="C880" s="86"/>
      <c r="D880" s="71"/>
      <c r="H880" s="90"/>
      <c r="J880" s="53" t="str">
        <f>IFERROR(__xludf.DUMMYFUNCTION("IF(ISBLANK(B880),"""",IF(ISDATE(B880),""X"",""""))"),"")</f>
        <v/>
      </c>
      <c r="K880" s="40" t="str">
        <f>IFERROR(__xludf.DUMMYFUNCTION("IF(ISBLANK(B880),"""",IF(ISDATE(B880),H880,""""))"),"")</f>
        <v/>
      </c>
      <c r="L880" s="40" t="str">
        <f>IFERROR(__xludf.DUMMYFUNCTION("IF(ISBLANK(B880),"""",IF(ISDATE(B880),TEXT(B880,""M""),""""))"),"")</f>
        <v/>
      </c>
      <c r="M880" s="29" t="str">
        <f>IFERROR(__xludf.DUMMYFUNCTION("IF(L880="""","""",QUERY({'Dashboard-Dados'!$Y$2:$AA$13},""Select Col2 Where Col1=""&amp;L880))"),"")</f>
        <v/>
      </c>
      <c r="N880" s="29" t="str">
        <f>IFERROR(__xludf.DUMMYFUNCTION("IF(ISBLANK(B880),"""",IF(ISDATE(B880),TEXT(B880,""yyyy""),""""))"),"")</f>
        <v/>
      </c>
    </row>
    <row r="881">
      <c r="B881" s="87"/>
      <c r="C881" s="85"/>
      <c r="D881" s="76"/>
      <c r="H881" s="88"/>
      <c r="J881" s="53" t="str">
        <f>IFERROR(__xludf.DUMMYFUNCTION("IF(ISBLANK(B881),"""",IF(ISDATE(B881),""X"",""""))"),"")</f>
        <v/>
      </c>
      <c r="K881" s="40" t="str">
        <f>IFERROR(__xludf.DUMMYFUNCTION("IF(ISBLANK(B881),"""",IF(ISDATE(B881),H881,""""))"),"")</f>
        <v/>
      </c>
      <c r="L881" s="40" t="str">
        <f>IFERROR(__xludf.DUMMYFUNCTION("IF(ISBLANK(B881),"""",IF(ISDATE(B881),TEXT(B881,""M""),""""))"),"")</f>
        <v/>
      </c>
      <c r="M881" s="29" t="str">
        <f>IFERROR(__xludf.DUMMYFUNCTION("IF(L881="""","""",QUERY({'Dashboard-Dados'!$Y$2:$AA$13},""Select Col2 Where Col1=""&amp;L881))"),"")</f>
        <v/>
      </c>
      <c r="N881" s="29" t="str">
        <f>IFERROR(__xludf.DUMMYFUNCTION("IF(ISBLANK(B881),"""",IF(ISDATE(B881),TEXT(B881,""yyyy""),""""))"),"")</f>
        <v/>
      </c>
    </row>
    <row r="882">
      <c r="B882" s="89"/>
      <c r="C882" s="86"/>
      <c r="D882" s="71"/>
      <c r="H882" s="90"/>
      <c r="J882" s="53" t="str">
        <f>IFERROR(__xludf.DUMMYFUNCTION("IF(ISBLANK(B882),"""",IF(ISDATE(B882),""X"",""""))"),"")</f>
        <v/>
      </c>
      <c r="K882" s="40" t="str">
        <f>IFERROR(__xludf.DUMMYFUNCTION("IF(ISBLANK(B882),"""",IF(ISDATE(B882),H882,""""))"),"")</f>
        <v/>
      </c>
      <c r="L882" s="40" t="str">
        <f>IFERROR(__xludf.DUMMYFUNCTION("IF(ISBLANK(B882),"""",IF(ISDATE(B882),TEXT(B882,""M""),""""))"),"")</f>
        <v/>
      </c>
      <c r="M882" s="29" t="str">
        <f>IFERROR(__xludf.DUMMYFUNCTION("IF(L882="""","""",QUERY({'Dashboard-Dados'!$Y$2:$AA$13},""Select Col2 Where Col1=""&amp;L882))"),"")</f>
        <v/>
      </c>
      <c r="N882" s="29" t="str">
        <f>IFERROR(__xludf.DUMMYFUNCTION("IF(ISBLANK(B882),"""",IF(ISDATE(B882),TEXT(B882,""yyyy""),""""))"),"")</f>
        <v/>
      </c>
    </row>
    <row r="883">
      <c r="B883" s="87"/>
      <c r="C883" s="85"/>
      <c r="D883" s="76"/>
      <c r="H883" s="88"/>
      <c r="J883" s="53" t="str">
        <f>IFERROR(__xludf.DUMMYFUNCTION("IF(ISBLANK(B883),"""",IF(ISDATE(B883),""X"",""""))"),"")</f>
        <v/>
      </c>
      <c r="K883" s="40" t="str">
        <f>IFERROR(__xludf.DUMMYFUNCTION("IF(ISBLANK(B883),"""",IF(ISDATE(B883),H883,""""))"),"")</f>
        <v/>
      </c>
      <c r="L883" s="40" t="str">
        <f>IFERROR(__xludf.DUMMYFUNCTION("IF(ISBLANK(B883),"""",IF(ISDATE(B883),TEXT(B883,""M""),""""))"),"")</f>
        <v/>
      </c>
      <c r="M883" s="29" t="str">
        <f>IFERROR(__xludf.DUMMYFUNCTION("IF(L883="""","""",QUERY({'Dashboard-Dados'!$Y$2:$AA$13},""Select Col2 Where Col1=""&amp;L883))"),"")</f>
        <v/>
      </c>
      <c r="N883" s="29" t="str">
        <f>IFERROR(__xludf.DUMMYFUNCTION("IF(ISBLANK(B883),"""",IF(ISDATE(B883),TEXT(B883,""yyyy""),""""))"),"")</f>
        <v/>
      </c>
    </row>
    <row r="884">
      <c r="B884" s="89"/>
      <c r="C884" s="86"/>
      <c r="D884" s="71"/>
      <c r="H884" s="90"/>
      <c r="J884" s="53" t="str">
        <f>IFERROR(__xludf.DUMMYFUNCTION("IF(ISBLANK(B884),"""",IF(ISDATE(B884),""X"",""""))"),"")</f>
        <v/>
      </c>
      <c r="K884" s="40" t="str">
        <f>IFERROR(__xludf.DUMMYFUNCTION("IF(ISBLANK(B884),"""",IF(ISDATE(B884),H884,""""))"),"")</f>
        <v/>
      </c>
      <c r="L884" s="40" t="str">
        <f>IFERROR(__xludf.DUMMYFUNCTION("IF(ISBLANK(B884),"""",IF(ISDATE(B884),TEXT(B884,""M""),""""))"),"")</f>
        <v/>
      </c>
      <c r="M884" s="29" t="str">
        <f>IFERROR(__xludf.DUMMYFUNCTION("IF(L884="""","""",QUERY({'Dashboard-Dados'!$Y$2:$AA$13},""Select Col2 Where Col1=""&amp;L884))"),"")</f>
        <v/>
      </c>
      <c r="N884" s="29" t="str">
        <f>IFERROR(__xludf.DUMMYFUNCTION("IF(ISBLANK(B884),"""",IF(ISDATE(B884),TEXT(B884,""yyyy""),""""))"),"")</f>
        <v/>
      </c>
    </row>
    <row r="885">
      <c r="B885" s="87"/>
      <c r="C885" s="85"/>
      <c r="D885" s="76"/>
      <c r="H885" s="88"/>
      <c r="J885" s="53" t="str">
        <f>IFERROR(__xludf.DUMMYFUNCTION("IF(ISBLANK(B885),"""",IF(ISDATE(B885),""X"",""""))"),"")</f>
        <v/>
      </c>
      <c r="K885" s="40" t="str">
        <f>IFERROR(__xludf.DUMMYFUNCTION("IF(ISBLANK(B885),"""",IF(ISDATE(B885),H885,""""))"),"")</f>
        <v/>
      </c>
      <c r="L885" s="40" t="str">
        <f>IFERROR(__xludf.DUMMYFUNCTION("IF(ISBLANK(B885),"""",IF(ISDATE(B885),TEXT(B885,""M""),""""))"),"")</f>
        <v/>
      </c>
      <c r="M885" s="29" t="str">
        <f>IFERROR(__xludf.DUMMYFUNCTION("IF(L885="""","""",QUERY({'Dashboard-Dados'!$Y$2:$AA$13},""Select Col2 Where Col1=""&amp;L885))"),"")</f>
        <v/>
      </c>
      <c r="N885" s="29" t="str">
        <f>IFERROR(__xludf.DUMMYFUNCTION("IF(ISBLANK(B885),"""",IF(ISDATE(B885),TEXT(B885,""yyyy""),""""))"),"")</f>
        <v/>
      </c>
    </row>
    <row r="886">
      <c r="B886" s="89"/>
      <c r="C886" s="86"/>
      <c r="D886" s="71"/>
      <c r="H886" s="90"/>
      <c r="J886" s="53" t="str">
        <f>IFERROR(__xludf.DUMMYFUNCTION("IF(ISBLANK(B886),"""",IF(ISDATE(B886),""X"",""""))"),"")</f>
        <v/>
      </c>
      <c r="K886" s="40" t="str">
        <f>IFERROR(__xludf.DUMMYFUNCTION("IF(ISBLANK(B886),"""",IF(ISDATE(B886),H886,""""))"),"")</f>
        <v/>
      </c>
      <c r="L886" s="40" t="str">
        <f>IFERROR(__xludf.DUMMYFUNCTION("IF(ISBLANK(B886),"""",IF(ISDATE(B886),TEXT(B886,""M""),""""))"),"")</f>
        <v/>
      </c>
      <c r="M886" s="29" t="str">
        <f>IFERROR(__xludf.DUMMYFUNCTION("IF(L886="""","""",QUERY({'Dashboard-Dados'!$Y$2:$AA$13},""Select Col2 Where Col1=""&amp;L886))"),"")</f>
        <v/>
      </c>
      <c r="N886" s="29" t="str">
        <f>IFERROR(__xludf.DUMMYFUNCTION("IF(ISBLANK(B886),"""",IF(ISDATE(B886),TEXT(B886,""yyyy""),""""))"),"")</f>
        <v/>
      </c>
    </row>
    <row r="887">
      <c r="B887" s="87"/>
      <c r="C887" s="85"/>
      <c r="D887" s="76"/>
      <c r="H887" s="88"/>
      <c r="J887" s="53" t="str">
        <f>IFERROR(__xludf.DUMMYFUNCTION("IF(ISBLANK(B887),"""",IF(ISDATE(B887),""X"",""""))"),"")</f>
        <v/>
      </c>
      <c r="K887" s="40" t="str">
        <f>IFERROR(__xludf.DUMMYFUNCTION("IF(ISBLANK(B887),"""",IF(ISDATE(B887),H887,""""))"),"")</f>
        <v/>
      </c>
      <c r="L887" s="40" t="str">
        <f>IFERROR(__xludf.DUMMYFUNCTION("IF(ISBLANK(B887),"""",IF(ISDATE(B887),TEXT(B887,""M""),""""))"),"")</f>
        <v/>
      </c>
      <c r="M887" s="29" t="str">
        <f>IFERROR(__xludf.DUMMYFUNCTION("IF(L887="""","""",QUERY({'Dashboard-Dados'!$Y$2:$AA$13},""Select Col2 Where Col1=""&amp;L887))"),"")</f>
        <v/>
      </c>
      <c r="N887" s="29" t="str">
        <f>IFERROR(__xludf.DUMMYFUNCTION("IF(ISBLANK(B887),"""",IF(ISDATE(B887),TEXT(B887,""yyyy""),""""))"),"")</f>
        <v/>
      </c>
    </row>
    <row r="888">
      <c r="B888" s="89"/>
      <c r="C888" s="86"/>
      <c r="D888" s="71"/>
      <c r="H888" s="90"/>
      <c r="J888" s="53" t="str">
        <f>IFERROR(__xludf.DUMMYFUNCTION("IF(ISBLANK(B888),"""",IF(ISDATE(B888),""X"",""""))"),"")</f>
        <v/>
      </c>
      <c r="K888" s="40" t="str">
        <f>IFERROR(__xludf.DUMMYFUNCTION("IF(ISBLANK(B888),"""",IF(ISDATE(B888),H888,""""))"),"")</f>
        <v/>
      </c>
      <c r="L888" s="40" t="str">
        <f>IFERROR(__xludf.DUMMYFUNCTION("IF(ISBLANK(B888),"""",IF(ISDATE(B888),TEXT(B888,""M""),""""))"),"")</f>
        <v/>
      </c>
      <c r="M888" s="29" t="str">
        <f>IFERROR(__xludf.DUMMYFUNCTION("IF(L888="""","""",QUERY({'Dashboard-Dados'!$Y$2:$AA$13},""Select Col2 Where Col1=""&amp;L888))"),"")</f>
        <v/>
      </c>
      <c r="N888" s="29" t="str">
        <f>IFERROR(__xludf.DUMMYFUNCTION("IF(ISBLANK(B888),"""",IF(ISDATE(B888),TEXT(B888,""yyyy""),""""))"),"")</f>
        <v/>
      </c>
    </row>
    <row r="889">
      <c r="B889" s="87"/>
      <c r="C889" s="85"/>
      <c r="D889" s="76"/>
      <c r="H889" s="88"/>
      <c r="J889" s="53" t="str">
        <f>IFERROR(__xludf.DUMMYFUNCTION("IF(ISBLANK(B889),"""",IF(ISDATE(B889),""X"",""""))"),"")</f>
        <v/>
      </c>
      <c r="K889" s="40" t="str">
        <f>IFERROR(__xludf.DUMMYFUNCTION("IF(ISBLANK(B889),"""",IF(ISDATE(B889),H889,""""))"),"")</f>
        <v/>
      </c>
      <c r="L889" s="40" t="str">
        <f>IFERROR(__xludf.DUMMYFUNCTION("IF(ISBLANK(B889),"""",IF(ISDATE(B889),TEXT(B889,""M""),""""))"),"")</f>
        <v/>
      </c>
      <c r="M889" s="29" t="str">
        <f>IFERROR(__xludf.DUMMYFUNCTION("IF(L889="""","""",QUERY({'Dashboard-Dados'!$Y$2:$AA$13},""Select Col2 Where Col1=""&amp;L889))"),"")</f>
        <v/>
      </c>
      <c r="N889" s="29" t="str">
        <f>IFERROR(__xludf.DUMMYFUNCTION("IF(ISBLANK(B889),"""",IF(ISDATE(B889),TEXT(B889,""yyyy""),""""))"),"")</f>
        <v/>
      </c>
    </row>
    <row r="890">
      <c r="B890" s="89"/>
      <c r="C890" s="86"/>
      <c r="D890" s="71"/>
      <c r="H890" s="90"/>
      <c r="J890" s="53" t="str">
        <f>IFERROR(__xludf.DUMMYFUNCTION("IF(ISBLANK(B890),"""",IF(ISDATE(B890),""X"",""""))"),"")</f>
        <v/>
      </c>
      <c r="K890" s="40" t="str">
        <f>IFERROR(__xludf.DUMMYFUNCTION("IF(ISBLANK(B890),"""",IF(ISDATE(B890),H890,""""))"),"")</f>
        <v/>
      </c>
      <c r="L890" s="40" t="str">
        <f>IFERROR(__xludf.DUMMYFUNCTION("IF(ISBLANK(B890),"""",IF(ISDATE(B890),TEXT(B890,""M""),""""))"),"")</f>
        <v/>
      </c>
      <c r="M890" s="29" t="str">
        <f>IFERROR(__xludf.DUMMYFUNCTION("IF(L890="""","""",QUERY({'Dashboard-Dados'!$Y$2:$AA$13},""Select Col2 Where Col1=""&amp;L890))"),"")</f>
        <v/>
      </c>
      <c r="N890" s="29" t="str">
        <f>IFERROR(__xludf.DUMMYFUNCTION("IF(ISBLANK(B890),"""",IF(ISDATE(B890),TEXT(B890,""yyyy""),""""))"),"")</f>
        <v/>
      </c>
    </row>
    <row r="891">
      <c r="B891" s="87"/>
      <c r="C891" s="85"/>
      <c r="D891" s="76"/>
      <c r="H891" s="88"/>
      <c r="J891" s="53" t="str">
        <f>IFERROR(__xludf.DUMMYFUNCTION("IF(ISBLANK(B891),"""",IF(ISDATE(B891),""X"",""""))"),"")</f>
        <v/>
      </c>
      <c r="K891" s="40" t="str">
        <f>IFERROR(__xludf.DUMMYFUNCTION("IF(ISBLANK(B891),"""",IF(ISDATE(B891),H891,""""))"),"")</f>
        <v/>
      </c>
      <c r="L891" s="40" t="str">
        <f>IFERROR(__xludf.DUMMYFUNCTION("IF(ISBLANK(B891),"""",IF(ISDATE(B891),TEXT(B891,""M""),""""))"),"")</f>
        <v/>
      </c>
      <c r="M891" s="29" t="str">
        <f>IFERROR(__xludf.DUMMYFUNCTION("IF(L891="""","""",QUERY({'Dashboard-Dados'!$Y$2:$AA$13},""Select Col2 Where Col1=""&amp;L891))"),"")</f>
        <v/>
      </c>
      <c r="N891" s="29" t="str">
        <f>IFERROR(__xludf.DUMMYFUNCTION("IF(ISBLANK(B891),"""",IF(ISDATE(B891),TEXT(B891,""yyyy""),""""))"),"")</f>
        <v/>
      </c>
    </row>
    <row r="892">
      <c r="B892" s="89"/>
      <c r="C892" s="86"/>
      <c r="D892" s="71"/>
      <c r="H892" s="90"/>
      <c r="J892" s="53" t="str">
        <f>IFERROR(__xludf.DUMMYFUNCTION("IF(ISBLANK(B892),"""",IF(ISDATE(B892),""X"",""""))"),"")</f>
        <v/>
      </c>
      <c r="K892" s="40" t="str">
        <f>IFERROR(__xludf.DUMMYFUNCTION("IF(ISBLANK(B892),"""",IF(ISDATE(B892),H892,""""))"),"")</f>
        <v/>
      </c>
      <c r="L892" s="40" t="str">
        <f>IFERROR(__xludf.DUMMYFUNCTION("IF(ISBLANK(B892),"""",IF(ISDATE(B892),TEXT(B892,""M""),""""))"),"")</f>
        <v/>
      </c>
      <c r="M892" s="29" t="str">
        <f>IFERROR(__xludf.DUMMYFUNCTION("IF(L892="""","""",QUERY({'Dashboard-Dados'!$Y$2:$AA$13},""Select Col2 Where Col1=""&amp;L892))"),"")</f>
        <v/>
      </c>
      <c r="N892" s="29" t="str">
        <f>IFERROR(__xludf.DUMMYFUNCTION("IF(ISBLANK(B892),"""",IF(ISDATE(B892),TEXT(B892,""yyyy""),""""))"),"")</f>
        <v/>
      </c>
    </row>
    <row r="893">
      <c r="B893" s="87"/>
      <c r="C893" s="85"/>
      <c r="D893" s="76"/>
      <c r="H893" s="88"/>
      <c r="J893" s="53" t="str">
        <f>IFERROR(__xludf.DUMMYFUNCTION("IF(ISBLANK(B893),"""",IF(ISDATE(B893),""X"",""""))"),"")</f>
        <v/>
      </c>
      <c r="K893" s="40" t="str">
        <f>IFERROR(__xludf.DUMMYFUNCTION("IF(ISBLANK(B893),"""",IF(ISDATE(B893),H893,""""))"),"")</f>
        <v/>
      </c>
      <c r="L893" s="40" t="str">
        <f>IFERROR(__xludf.DUMMYFUNCTION("IF(ISBLANK(B893),"""",IF(ISDATE(B893),TEXT(B893,""M""),""""))"),"")</f>
        <v/>
      </c>
      <c r="M893" s="29" t="str">
        <f>IFERROR(__xludf.DUMMYFUNCTION("IF(L893="""","""",QUERY({'Dashboard-Dados'!$Y$2:$AA$13},""Select Col2 Where Col1=""&amp;L893))"),"")</f>
        <v/>
      </c>
      <c r="N893" s="29" t="str">
        <f>IFERROR(__xludf.DUMMYFUNCTION("IF(ISBLANK(B893),"""",IF(ISDATE(B893),TEXT(B893,""yyyy""),""""))"),"")</f>
        <v/>
      </c>
    </row>
    <row r="894">
      <c r="B894" s="89"/>
      <c r="C894" s="86"/>
      <c r="D894" s="71"/>
      <c r="H894" s="90"/>
      <c r="J894" s="53" t="str">
        <f>IFERROR(__xludf.DUMMYFUNCTION("IF(ISBLANK(B894),"""",IF(ISDATE(B894),""X"",""""))"),"")</f>
        <v/>
      </c>
      <c r="K894" s="40" t="str">
        <f>IFERROR(__xludf.DUMMYFUNCTION("IF(ISBLANK(B894),"""",IF(ISDATE(B894),H894,""""))"),"")</f>
        <v/>
      </c>
      <c r="L894" s="40" t="str">
        <f>IFERROR(__xludf.DUMMYFUNCTION("IF(ISBLANK(B894),"""",IF(ISDATE(B894),TEXT(B894,""M""),""""))"),"")</f>
        <v/>
      </c>
      <c r="M894" s="29" t="str">
        <f>IFERROR(__xludf.DUMMYFUNCTION("IF(L894="""","""",QUERY({'Dashboard-Dados'!$Y$2:$AA$13},""Select Col2 Where Col1=""&amp;L894))"),"")</f>
        <v/>
      </c>
      <c r="N894" s="29" t="str">
        <f>IFERROR(__xludf.DUMMYFUNCTION("IF(ISBLANK(B894),"""",IF(ISDATE(B894),TEXT(B894,""yyyy""),""""))"),"")</f>
        <v/>
      </c>
    </row>
    <row r="895">
      <c r="B895" s="87"/>
      <c r="C895" s="85"/>
      <c r="D895" s="76"/>
      <c r="H895" s="88"/>
      <c r="J895" s="53" t="str">
        <f>IFERROR(__xludf.DUMMYFUNCTION("IF(ISBLANK(B895),"""",IF(ISDATE(B895),""X"",""""))"),"")</f>
        <v/>
      </c>
      <c r="K895" s="40" t="str">
        <f>IFERROR(__xludf.DUMMYFUNCTION("IF(ISBLANK(B895),"""",IF(ISDATE(B895),H895,""""))"),"")</f>
        <v/>
      </c>
      <c r="L895" s="40" t="str">
        <f>IFERROR(__xludf.DUMMYFUNCTION("IF(ISBLANK(B895),"""",IF(ISDATE(B895),TEXT(B895,""M""),""""))"),"")</f>
        <v/>
      </c>
      <c r="M895" s="29" t="str">
        <f>IFERROR(__xludf.DUMMYFUNCTION("IF(L895="""","""",QUERY({'Dashboard-Dados'!$Y$2:$AA$13},""Select Col2 Where Col1=""&amp;L895))"),"")</f>
        <v/>
      </c>
      <c r="N895" s="29" t="str">
        <f>IFERROR(__xludf.DUMMYFUNCTION("IF(ISBLANK(B895),"""",IF(ISDATE(B895),TEXT(B895,""yyyy""),""""))"),"")</f>
        <v/>
      </c>
    </row>
    <row r="896">
      <c r="B896" s="89"/>
      <c r="C896" s="86"/>
      <c r="D896" s="71"/>
      <c r="H896" s="90"/>
      <c r="J896" s="53" t="str">
        <f>IFERROR(__xludf.DUMMYFUNCTION("IF(ISBLANK(B896),"""",IF(ISDATE(B896),""X"",""""))"),"")</f>
        <v/>
      </c>
      <c r="K896" s="40" t="str">
        <f>IFERROR(__xludf.DUMMYFUNCTION("IF(ISBLANK(B896),"""",IF(ISDATE(B896),H896,""""))"),"")</f>
        <v/>
      </c>
      <c r="L896" s="40" t="str">
        <f>IFERROR(__xludf.DUMMYFUNCTION("IF(ISBLANK(B896),"""",IF(ISDATE(B896),TEXT(B896,""M""),""""))"),"")</f>
        <v/>
      </c>
      <c r="M896" s="29" t="str">
        <f>IFERROR(__xludf.DUMMYFUNCTION("IF(L896="""","""",QUERY({'Dashboard-Dados'!$Y$2:$AA$13},""Select Col2 Where Col1=""&amp;L896))"),"")</f>
        <v/>
      </c>
      <c r="N896" s="29" t="str">
        <f>IFERROR(__xludf.DUMMYFUNCTION("IF(ISBLANK(B896),"""",IF(ISDATE(B896),TEXT(B896,""yyyy""),""""))"),"")</f>
        <v/>
      </c>
    </row>
    <row r="897">
      <c r="B897" s="87"/>
      <c r="C897" s="85"/>
      <c r="D897" s="76"/>
      <c r="H897" s="88"/>
      <c r="J897" s="53" t="str">
        <f>IFERROR(__xludf.DUMMYFUNCTION("IF(ISBLANK(B897),"""",IF(ISDATE(B897),""X"",""""))"),"")</f>
        <v/>
      </c>
      <c r="K897" s="40" t="str">
        <f>IFERROR(__xludf.DUMMYFUNCTION("IF(ISBLANK(B897),"""",IF(ISDATE(B897),H897,""""))"),"")</f>
        <v/>
      </c>
      <c r="L897" s="40" t="str">
        <f>IFERROR(__xludf.DUMMYFUNCTION("IF(ISBLANK(B897),"""",IF(ISDATE(B897),TEXT(B897,""M""),""""))"),"")</f>
        <v/>
      </c>
      <c r="M897" s="29" t="str">
        <f>IFERROR(__xludf.DUMMYFUNCTION("IF(L897="""","""",QUERY({'Dashboard-Dados'!$Y$2:$AA$13},""Select Col2 Where Col1=""&amp;L897))"),"")</f>
        <v/>
      </c>
      <c r="N897" s="29" t="str">
        <f>IFERROR(__xludf.DUMMYFUNCTION("IF(ISBLANK(B897),"""",IF(ISDATE(B897),TEXT(B897,""yyyy""),""""))"),"")</f>
        <v/>
      </c>
    </row>
    <row r="898">
      <c r="B898" s="89"/>
      <c r="C898" s="86"/>
      <c r="D898" s="71"/>
      <c r="H898" s="90"/>
      <c r="J898" s="53" t="str">
        <f>IFERROR(__xludf.DUMMYFUNCTION("IF(ISBLANK(B898),"""",IF(ISDATE(B898),""X"",""""))"),"")</f>
        <v/>
      </c>
      <c r="K898" s="40" t="str">
        <f>IFERROR(__xludf.DUMMYFUNCTION("IF(ISBLANK(B898),"""",IF(ISDATE(B898),H898,""""))"),"")</f>
        <v/>
      </c>
      <c r="L898" s="40" t="str">
        <f>IFERROR(__xludf.DUMMYFUNCTION("IF(ISBLANK(B898),"""",IF(ISDATE(B898),TEXT(B898,""M""),""""))"),"")</f>
        <v/>
      </c>
      <c r="M898" s="29" t="str">
        <f>IFERROR(__xludf.DUMMYFUNCTION("IF(L898="""","""",QUERY({'Dashboard-Dados'!$Y$2:$AA$13},""Select Col2 Where Col1=""&amp;L898))"),"")</f>
        <v/>
      </c>
      <c r="N898" s="29" t="str">
        <f>IFERROR(__xludf.DUMMYFUNCTION("IF(ISBLANK(B898),"""",IF(ISDATE(B898),TEXT(B898,""yyyy""),""""))"),"")</f>
        <v/>
      </c>
    </row>
    <row r="899">
      <c r="B899" s="87"/>
      <c r="C899" s="85"/>
      <c r="D899" s="76"/>
      <c r="H899" s="88"/>
      <c r="J899" s="53" t="str">
        <f>IFERROR(__xludf.DUMMYFUNCTION("IF(ISBLANK(B899),"""",IF(ISDATE(B899),""X"",""""))"),"")</f>
        <v/>
      </c>
      <c r="K899" s="40" t="str">
        <f>IFERROR(__xludf.DUMMYFUNCTION("IF(ISBLANK(B899),"""",IF(ISDATE(B899),H899,""""))"),"")</f>
        <v/>
      </c>
      <c r="L899" s="40" t="str">
        <f>IFERROR(__xludf.DUMMYFUNCTION("IF(ISBLANK(B899),"""",IF(ISDATE(B899),TEXT(B899,""M""),""""))"),"")</f>
        <v/>
      </c>
      <c r="M899" s="29" t="str">
        <f>IFERROR(__xludf.DUMMYFUNCTION("IF(L899="""","""",QUERY({'Dashboard-Dados'!$Y$2:$AA$13},""Select Col2 Where Col1=""&amp;L899))"),"")</f>
        <v/>
      </c>
      <c r="N899" s="29" t="str">
        <f>IFERROR(__xludf.DUMMYFUNCTION("IF(ISBLANK(B899),"""",IF(ISDATE(B899),TEXT(B899,""yyyy""),""""))"),"")</f>
        <v/>
      </c>
    </row>
    <row r="900">
      <c r="B900" s="89"/>
      <c r="C900" s="86"/>
      <c r="D900" s="71"/>
      <c r="H900" s="90"/>
      <c r="J900" s="53" t="str">
        <f>IFERROR(__xludf.DUMMYFUNCTION("IF(ISBLANK(B900),"""",IF(ISDATE(B900),""X"",""""))"),"")</f>
        <v/>
      </c>
      <c r="K900" s="40" t="str">
        <f>IFERROR(__xludf.DUMMYFUNCTION("IF(ISBLANK(B900),"""",IF(ISDATE(B900),H900,""""))"),"")</f>
        <v/>
      </c>
      <c r="L900" s="40" t="str">
        <f>IFERROR(__xludf.DUMMYFUNCTION("IF(ISBLANK(B900),"""",IF(ISDATE(B900),TEXT(B900,""M""),""""))"),"")</f>
        <v/>
      </c>
      <c r="M900" s="29" t="str">
        <f>IFERROR(__xludf.DUMMYFUNCTION("IF(L900="""","""",QUERY({'Dashboard-Dados'!$Y$2:$AA$13},""Select Col2 Where Col1=""&amp;L900))"),"")</f>
        <v/>
      </c>
      <c r="N900" s="29" t="str">
        <f>IFERROR(__xludf.DUMMYFUNCTION("IF(ISBLANK(B900),"""",IF(ISDATE(B900),TEXT(B900,""yyyy""),""""))"),"")</f>
        <v/>
      </c>
    </row>
    <row r="901">
      <c r="B901" s="87"/>
      <c r="C901" s="85"/>
      <c r="D901" s="76"/>
      <c r="H901" s="88"/>
      <c r="J901" s="53" t="str">
        <f>IFERROR(__xludf.DUMMYFUNCTION("IF(ISBLANK(B901),"""",IF(ISDATE(B901),""X"",""""))"),"")</f>
        <v/>
      </c>
      <c r="K901" s="40" t="str">
        <f>IFERROR(__xludf.DUMMYFUNCTION("IF(ISBLANK(B901),"""",IF(ISDATE(B901),H901,""""))"),"")</f>
        <v/>
      </c>
      <c r="L901" s="40" t="str">
        <f>IFERROR(__xludf.DUMMYFUNCTION("IF(ISBLANK(B901),"""",IF(ISDATE(B901),TEXT(B901,""M""),""""))"),"")</f>
        <v/>
      </c>
      <c r="M901" s="29" t="str">
        <f>IFERROR(__xludf.DUMMYFUNCTION("IF(L901="""","""",QUERY({'Dashboard-Dados'!$Y$2:$AA$13},""Select Col2 Where Col1=""&amp;L901))"),"")</f>
        <v/>
      </c>
      <c r="N901" s="29" t="str">
        <f>IFERROR(__xludf.DUMMYFUNCTION("IF(ISBLANK(B901),"""",IF(ISDATE(B901),TEXT(B901,""yyyy""),""""))"),"")</f>
        <v/>
      </c>
    </row>
    <row r="902">
      <c r="B902" s="89"/>
      <c r="C902" s="86"/>
      <c r="D902" s="71"/>
      <c r="H902" s="90"/>
      <c r="J902" s="53" t="str">
        <f>IFERROR(__xludf.DUMMYFUNCTION("IF(ISBLANK(B902),"""",IF(ISDATE(B902),""X"",""""))"),"")</f>
        <v/>
      </c>
      <c r="K902" s="40" t="str">
        <f>IFERROR(__xludf.DUMMYFUNCTION("IF(ISBLANK(B902),"""",IF(ISDATE(B902),H902,""""))"),"")</f>
        <v/>
      </c>
      <c r="L902" s="40" t="str">
        <f>IFERROR(__xludf.DUMMYFUNCTION("IF(ISBLANK(B902),"""",IF(ISDATE(B902),TEXT(B902,""M""),""""))"),"")</f>
        <v/>
      </c>
      <c r="M902" s="29" t="str">
        <f>IFERROR(__xludf.DUMMYFUNCTION("IF(L902="""","""",QUERY({'Dashboard-Dados'!$Y$2:$AA$13},""Select Col2 Where Col1=""&amp;L902))"),"")</f>
        <v/>
      </c>
      <c r="N902" s="29" t="str">
        <f>IFERROR(__xludf.DUMMYFUNCTION("IF(ISBLANK(B902),"""",IF(ISDATE(B902),TEXT(B902,""yyyy""),""""))"),"")</f>
        <v/>
      </c>
    </row>
    <row r="903">
      <c r="B903" s="87"/>
      <c r="C903" s="85"/>
      <c r="D903" s="76"/>
      <c r="H903" s="88"/>
      <c r="J903" s="53" t="str">
        <f>IFERROR(__xludf.DUMMYFUNCTION("IF(ISBLANK(B903),"""",IF(ISDATE(B903),""X"",""""))"),"")</f>
        <v/>
      </c>
      <c r="K903" s="40" t="str">
        <f>IFERROR(__xludf.DUMMYFUNCTION("IF(ISBLANK(B903),"""",IF(ISDATE(B903),H903,""""))"),"")</f>
        <v/>
      </c>
      <c r="L903" s="40" t="str">
        <f>IFERROR(__xludf.DUMMYFUNCTION("IF(ISBLANK(B903),"""",IF(ISDATE(B903),TEXT(B903,""M""),""""))"),"")</f>
        <v/>
      </c>
      <c r="M903" s="29" t="str">
        <f>IFERROR(__xludf.DUMMYFUNCTION("IF(L903="""","""",QUERY({'Dashboard-Dados'!$Y$2:$AA$13},""Select Col2 Where Col1=""&amp;L903))"),"")</f>
        <v/>
      </c>
      <c r="N903" s="29" t="str">
        <f>IFERROR(__xludf.DUMMYFUNCTION("IF(ISBLANK(B903),"""",IF(ISDATE(B903),TEXT(B903,""yyyy""),""""))"),"")</f>
        <v/>
      </c>
    </row>
    <row r="904">
      <c r="B904" s="89"/>
      <c r="C904" s="86"/>
      <c r="D904" s="71"/>
      <c r="H904" s="90"/>
      <c r="J904" s="53" t="str">
        <f>IFERROR(__xludf.DUMMYFUNCTION("IF(ISBLANK(B904),"""",IF(ISDATE(B904),""X"",""""))"),"")</f>
        <v/>
      </c>
      <c r="K904" s="40" t="str">
        <f>IFERROR(__xludf.DUMMYFUNCTION("IF(ISBLANK(B904),"""",IF(ISDATE(B904),H904,""""))"),"")</f>
        <v/>
      </c>
      <c r="L904" s="40" t="str">
        <f>IFERROR(__xludf.DUMMYFUNCTION("IF(ISBLANK(B904),"""",IF(ISDATE(B904),TEXT(B904,""M""),""""))"),"")</f>
        <v/>
      </c>
      <c r="M904" s="29" t="str">
        <f>IFERROR(__xludf.DUMMYFUNCTION("IF(L904="""","""",QUERY({'Dashboard-Dados'!$Y$2:$AA$13},""Select Col2 Where Col1=""&amp;L904))"),"")</f>
        <v/>
      </c>
      <c r="N904" s="29" t="str">
        <f>IFERROR(__xludf.DUMMYFUNCTION("IF(ISBLANK(B904),"""",IF(ISDATE(B904),TEXT(B904,""yyyy""),""""))"),"")</f>
        <v/>
      </c>
    </row>
    <row r="905">
      <c r="B905" s="87"/>
      <c r="C905" s="85"/>
      <c r="D905" s="76"/>
      <c r="H905" s="88"/>
      <c r="J905" s="53" t="str">
        <f>IFERROR(__xludf.DUMMYFUNCTION("IF(ISBLANK(B905),"""",IF(ISDATE(B905),""X"",""""))"),"")</f>
        <v/>
      </c>
      <c r="K905" s="40" t="str">
        <f>IFERROR(__xludf.DUMMYFUNCTION("IF(ISBLANK(B905),"""",IF(ISDATE(B905),H905,""""))"),"")</f>
        <v/>
      </c>
      <c r="L905" s="40" t="str">
        <f>IFERROR(__xludf.DUMMYFUNCTION("IF(ISBLANK(B905),"""",IF(ISDATE(B905),TEXT(B905,""M""),""""))"),"")</f>
        <v/>
      </c>
      <c r="M905" s="29" t="str">
        <f>IFERROR(__xludf.DUMMYFUNCTION("IF(L905="""","""",QUERY({'Dashboard-Dados'!$Y$2:$AA$13},""Select Col2 Where Col1=""&amp;L905))"),"")</f>
        <v/>
      </c>
      <c r="N905" s="29" t="str">
        <f>IFERROR(__xludf.DUMMYFUNCTION("IF(ISBLANK(B905),"""",IF(ISDATE(B905),TEXT(B905,""yyyy""),""""))"),"")</f>
        <v/>
      </c>
    </row>
    <row r="906">
      <c r="B906" s="89"/>
      <c r="C906" s="86"/>
      <c r="D906" s="71"/>
      <c r="H906" s="90"/>
      <c r="J906" s="53" t="str">
        <f>IFERROR(__xludf.DUMMYFUNCTION("IF(ISBLANK(B906),"""",IF(ISDATE(B906),""X"",""""))"),"")</f>
        <v/>
      </c>
      <c r="K906" s="40" t="str">
        <f>IFERROR(__xludf.DUMMYFUNCTION("IF(ISBLANK(B906),"""",IF(ISDATE(B906),H906,""""))"),"")</f>
        <v/>
      </c>
      <c r="L906" s="40" t="str">
        <f>IFERROR(__xludf.DUMMYFUNCTION("IF(ISBLANK(B906),"""",IF(ISDATE(B906),TEXT(B906,""M""),""""))"),"")</f>
        <v/>
      </c>
      <c r="M906" s="29" t="str">
        <f>IFERROR(__xludf.DUMMYFUNCTION("IF(L906="""","""",QUERY({'Dashboard-Dados'!$Y$2:$AA$13},""Select Col2 Where Col1=""&amp;L906))"),"")</f>
        <v/>
      </c>
      <c r="N906" s="29" t="str">
        <f>IFERROR(__xludf.DUMMYFUNCTION("IF(ISBLANK(B906),"""",IF(ISDATE(B906),TEXT(B906,""yyyy""),""""))"),"")</f>
        <v/>
      </c>
    </row>
    <row r="907">
      <c r="B907" s="87"/>
      <c r="C907" s="85"/>
      <c r="D907" s="76"/>
      <c r="H907" s="88"/>
      <c r="J907" s="53" t="str">
        <f>IFERROR(__xludf.DUMMYFUNCTION("IF(ISBLANK(B907),"""",IF(ISDATE(B907),""X"",""""))"),"")</f>
        <v/>
      </c>
      <c r="K907" s="40" t="str">
        <f>IFERROR(__xludf.DUMMYFUNCTION("IF(ISBLANK(B907),"""",IF(ISDATE(B907),H907,""""))"),"")</f>
        <v/>
      </c>
      <c r="L907" s="40" t="str">
        <f>IFERROR(__xludf.DUMMYFUNCTION("IF(ISBLANK(B907),"""",IF(ISDATE(B907),TEXT(B907,""M""),""""))"),"")</f>
        <v/>
      </c>
      <c r="M907" s="29" t="str">
        <f>IFERROR(__xludf.DUMMYFUNCTION("IF(L907="""","""",QUERY({'Dashboard-Dados'!$Y$2:$AA$13},""Select Col2 Where Col1=""&amp;L907))"),"")</f>
        <v/>
      </c>
      <c r="N907" s="29" t="str">
        <f>IFERROR(__xludf.DUMMYFUNCTION("IF(ISBLANK(B907),"""",IF(ISDATE(B907),TEXT(B907,""yyyy""),""""))"),"")</f>
        <v/>
      </c>
    </row>
    <row r="908">
      <c r="B908" s="89"/>
      <c r="C908" s="86"/>
      <c r="D908" s="71"/>
      <c r="H908" s="90"/>
      <c r="J908" s="53" t="str">
        <f>IFERROR(__xludf.DUMMYFUNCTION("IF(ISBLANK(B908),"""",IF(ISDATE(B908),""X"",""""))"),"")</f>
        <v/>
      </c>
      <c r="K908" s="40" t="str">
        <f>IFERROR(__xludf.DUMMYFUNCTION("IF(ISBLANK(B908),"""",IF(ISDATE(B908),H908,""""))"),"")</f>
        <v/>
      </c>
      <c r="L908" s="40" t="str">
        <f>IFERROR(__xludf.DUMMYFUNCTION("IF(ISBLANK(B908),"""",IF(ISDATE(B908),TEXT(B908,""M""),""""))"),"")</f>
        <v/>
      </c>
      <c r="M908" s="29" t="str">
        <f>IFERROR(__xludf.DUMMYFUNCTION("IF(L908="""","""",QUERY({'Dashboard-Dados'!$Y$2:$AA$13},""Select Col2 Where Col1=""&amp;L908))"),"")</f>
        <v/>
      </c>
      <c r="N908" s="29" t="str">
        <f>IFERROR(__xludf.DUMMYFUNCTION("IF(ISBLANK(B908),"""",IF(ISDATE(B908),TEXT(B908,""yyyy""),""""))"),"")</f>
        <v/>
      </c>
    </row>
    <row r="909">
      <c r="B909" s="87"/>
      <c r="C909" s="85"/>
      <c r="D909" s="76"/>
      <c r="H909" s="88"/>
      <c r="J909" s="53" t="str">
        <f>IFERROR(__xludf.DUMMYFUNCTION("IF(ISBLANK(B909),"""",IF(ISDATE(B909),""X"",""""))"),"")</f>
        <v/>
      </c>
      <c r="K909" s="40" t="str">
        <f>IFERROR(__xludf.DUMMYFUNCTION("IF(ISBLANK(B909),"""",IF(ISDATE(B909),H909,""""))"),"")</f>
        <v/>
      </c>
      <c r="L909" s="40" t="str">
        <f>IFERROR(__xludf.DUMMYFUNCTION("IF(ISBLANK(B909),"""",IF(ISDATE(B909),TEXT(B909,""M""),""""))"),"")</f>
        <v/>
      </c>
      <c r="M909" s="29" t="str">
        <f>IFERROR(__xludf.DUMMYFUNCTION("IF(L909="""","""",QUERY({'Dashboard-Dados'!$Y$2:$AA$13},""Select Col2 Where Col1=""&amp;L909))"),"")</f>
        <v/>
      </c>
      <c r="N909" s="29" t="str">
        <f>IFERROR(__xludf.DUMMYFUNCTION("IF(ISBLANK(B909),"""",IF(ISDATE(B909),TEXT(B909,""yyyy""),""""))"),"")</f>
        <v/>
      </c>
    </row>
    <row r="910">
      <c r="B910" s="89"/>
      <c r="C910" s="86"/>
      <c r="D910" s="71"/>
      <c r="H910" s="90"/>
      <c r="J910" s="53" t="str">
        <f>IFERROR(__xludf.DUMMYFUNCTION("IF(ISBLANK(B910),"""",IF(ISDATE(B910),""X"",""""))"),"")</f>
        <v/>
      </c>
      <c r="K910" s="40" t="str">
        <f>IFERROR(__xludf.DUMMYFUNCTION("IF(ISBLANK(B910),"""",IF(ISDATE(B910),H910,""""))"),"")</f>
        <v/>
      </c>
      <c r="L910" s="40" t="str">
        <f>IFERROR(__xludf.DUMMYFUNCTION("IF(ISBLANK(B910),"""",IF(ISDATE(B910),TEXT(B910,""M""),""""))"),"")</f>
        <v/>
      </c>
      <c r="M910" s="29" t="str">
        <f>IFERROR(__xludf.DUMMYFUNCTION("IF(L910="""","""",QUERY({'Dashboard-Dados'!$Y$2:$AA$13},""Select Col2 Where Col1=""&amp;L910))"),"")</f>
        <v/>
      </c>
      <c r="N910" s="29" t="str">
        <f>IFERROR(__xludf.DUMMYFUNCTION("IF(ISBLANK(B910),"""",IF(ISDATE(B910),TEXT(B910,""yyyy""),""""))"),"")</f>
        <v/>
      </c>
    </row>
    <row r="911">
      <c r="B911" s="87"/>
      <c r="C911" s="85"/>
      <c r="D911" s="76"/>
      <c r="H911" s="88"/>
      <c r="J911" s="53" t="str">
        <f>IFERROR(__xludf.DUMMYFUNCTION("IF(ISBLANK(B911),"""",IF(ISDATE(B911),""X"",""""))"),"")</f>
        <v/>
      </c>
      <c r="K911" s="40" t="str">
        <f>IFERROR(__xludf.DUMMYFUNCTION("IF(ISBLANK(B911),"""",IF(ISDATE(B911),H911,""""))"),"")</f>
        <v/>
      </c>
      <c r="L911" s="40" t="str">
        <f>IFERROR(__xludf.DUMMYFUNCTION("IF(ISBLANK(B911),"""",IF(ISDATE(B911),TEXT(B911,""M""),""""))"),"")</f>
        <v/>
      </c>
      <c r="M911" s="29" t="str">
        <f>IFERROR(__xludf.DUMMYFUNCTION("IF(L911="""","""",QUERY({'Dashboard-Dados'!$Y$2:$AA$13},""Select Col2 Where Col1=""&amp;L911))"),"")</f>
        <v/>
      </c>
      <c r="N911" s="29" t="str">
        <f>IFERROR(__xludf.DUMMYFUNCTION("IF(ISBLANK(B911),"""",IF(ISDATE(B911),TEXT(B911,""yyyy""),""""))"),"")</f>
        <v/>
      </c>
    </row>
    <row r="912">
      <c r="B912" s="89"/>
      <c r="C912" s="86"/>
      <c r="D912" s="71"/>
      <c r="H912" s="90"/>
      <c r="J912" s="53" t="str">
        <f>IFERROR(__xludf.DUMMYFUNCTION("IF(ISBLANK(B912),"""",IF(ISDATE(B912),""X"",""""))"),"")</f>
        <v/>
      </c>
      <c r="K912" s="40" t="str">
        <f>IFERROR(__xludf.DUMMYFUNCTION("IF(ISBLANK(B912),"""",IF(ISDATE(B912),H912,""""))"),"")</f>
        <v/>
      </c>
      <c r="L912" s="40" t="str">
        <f>IFERROR(__xludf.DUMMYFUNCTION("IF(ISBLANK(B912),"""",IF(ISDATE(B912),TEXT(B912,""M""),""""))"),"")</f>
        <v/>
      </c>
      <c r="M912" s="29" t="str">
        <f>IFERROR(__xludf.DUMMYFUNCTION("IF(L912="""","""",QUERY({'Dashboard-Dados'!$Y$2:$AA$13},""Select Col2 Where Col1=""&amp;L912))"),"")</f>
        <v/>
      </c>
      <c r="N912" s="29" t="str">
        <f>IFERROR(__xludf.DUMMYFUNCTION("IF(ISBLANK(B912),"""",IF(ISDATE(B912),TEXT(B912,""yyyy""),""""))"),"")</f>
        <v/>
      </c>
    </row>
    <row r="913">
      <c r="B913" s="87"/>
      <c r="C913" s="85"/>
      <c r="D913" s="76"/>
      <c r="H913" s="88"/>
      <c r="J913" s="53" t="str">
        <f>IFERROR(__xludf.DUMMYFUNCTION("IF(ISBLANK(B913),"""",IF(ISDATE(B913),""X"",""""))"),"")</f>
        <v/>
      </c>
      <c r="K913" s="40" t="str">
        <f>IFERROR(__xludf.DUMMYFUNCTION("IF(ISBLANK(B913),"""",IF(ISDATE(B913),H913,""""))"),"")</f>
        <v/>
      </c>
      <c r="L913" s="40" t="str">
        <f>IFERROR(__xludf.DUMMYFUNCTION("IF(ISBLANK(B913),"""",IF(ISDATE(B913),TEXT(B913,""M""),""""))"),"")</f>
        <v/>
      </c>
      <c r="M913" s="29" t="str">
        <f>IFERROR(__xludf.DUMMYFUNCTION("IF(L913="""","""",QUERY({'Dashboard-Dados'!$Y$2:$AA$13},""Select Col2 Where Col1=""&amp;L913))"),"")</f>
        <v/>
      </c>
      <c r="N913" s="29" t="str">
        <f>IFERROR(__xludf.DUMMYFUNCTION("IF(ISBLANK(B913),"""",IF(ISDATE(B913),TEXT(B913,""yyyy""),""""))"),"")</f>
        <v/>
      </c>
    </row>
    <row r="914">
      <c r="B914" s="89"/>
      <c r="C914" s="86"/>
      <c r="D914" s="71"/>
      <c r="H914" s="90"/>
      <c r="J914" s="53" t="str">
        <f>IFERROR(__xludf.DUMMYFUNCTION("IF(ISBLANK(B914),"""",IF(ISDATE(B914),""X"",""""))"),"")</f>
        <v/>
      </c>
      <c r="K914" s="40" t="str">
        <f>IFERROR(__xludf.DUMMYFUNCTION("IF(ISBLANK(B914),"""",IF(ISDATE(B914),H914,""""))"),"")</f>
        <v/>
      </c>
      <c r="L914" s="40" t="str">
        <f>IFERROR(__xludf.DUMMYFUNCTION("IF(ISBLANK(B914),"""",IF(ISDATE(B914),TEXT(B914,""M""),""""))"),"")</f>
        <v/>
      </c>
      <c r="M914" s="29" t="str">
        <f>IFERROR(__xludf.DUMMYFUNCTION("IF(L914="""","""",QUERY({'Dashboard-Dados'!$Y$2:$AA$13},""Select Col2 Where Col1=""&amp;L914))"),"")</f>
        <v/>
      </c>
      <c r="N914" s="29" t="str">
        <f>IFERROR(__xludf.DUMMYFUNCTION("IF(ISBLANK(B914),"""",IF(ISDATE(B914),TEXT(B914,""yyyy""),""""))"),"")</f>
        <v/>
      </c>
    </row>
    <row r="915">
      <c r="B915" s="87"/>
      <c r="C915" s="85"/>
      <c r="D915" s="76"/>
      <c r="H915" s="88"/>
      <c r="J915" s="53" t="str">
        <f>IFERROR(__xludf.DUMMYFUNCTION("IF(ISBLANK(B915),"""",IF(ISDATE(B915),""X"",""""))"),"")</f>
        <v/>
      </c>
      <c r="K915" s="40" t="str">
        <f>IFERROR(__xludf.DUMMYFUNCTION("IF(ISBLANK(B915),"""",IF(ISDATE(B915),H915,""""))"),"")</f>
        <v/>
      </c>
      <c r="L915" s="40" t="str">
        <f>IFERROR(__xludf.DUMMYFUNCTION("IF(ISBLANK(B915),"""",IF(ISDATE(B915),TEXT(B915,""M""),""""))"),"")</f>
        <v/>
      </c>
      <c r="M915" s="29" t="str">
        <f>IFERROR(__xludf.DUMMYFUNCTION("IF(L915="""","""",QUERY({'Dashboard-Dados'!$Y$2:$AA$13},""Select Col2 Where Col1=""&amp;L915))"),"")</f>
        <v/>
      </c>
      <c r="N915" s="29" t="str">
        <f>IFERROR(__xludf.DUMMYFUNCTION("IF(ISBLANK(B915),"""",IF(ISDATE(B915),TEXT(B915,""yyyy""),""""))"),"")</f>
        <v/>
      </c>
    </row>
    <row r="916">
      <c r="B916" s="89"/>
      <c r="C916" s="86"/>
      <c r="D916" s="71"/>
      <c r="H916" s="90"/>
      <c r="J916" s="53" t="str">
        <f>IFERROR(__xludf.DUMMYFUNCTION("IF(ISBLANK(B916),"""",IF(ISDATE(B916),""X"",""""))"),"")</f>
        <v/>
      </c>
      <c r="K916" s="40" t="str">
        <f>IFERROR(__xludf.DUMMYFUNCTION("IF(ISBLANK(B916),"""",IF(ISDATE(B916),H916,""""))"),"")</f>
        <v/>
      </c>
      <c r="L916" s="40" t="str">
        <f>IFERROR(__xludf.DUMMYFUNCTION("IF(ISBLANK(B916),"""",IF(ISDATE(B916),TEXT(B916,""M""),""""))"),"")</f>
        <v/>
      </c>
      <c r="M916" s="29" t="str">
        <f>IFERROR(__xludf.DUMMYFUNCTION("IF(L916="""","""",QUERY({'Dashboard-Dados'!$Y$2:$AA$13},""Select Col2 Where Col1=""&amp;L916))"),"")</f>
        <v/>
      </c>
      <c r="N916" s="29" t="str">
        <f>IFERROR(__xludf.DUMMYFUNCTION("IF(ISBLANK(B916),"""",IF(ISDATE(B916),TEXT(B916,""yyyy""),""""))"),"")</f>
        <v/>
      </c>
    </row>
    <row r="917">
      <c r="B917" s="87"/>
      <c r="C917" s="85"/>
      <c r="D917" s="76"/>
      <c r="H917" s="88"/>
      <c r="J917" s="53" t="str">
        <f>IFERROR(__xludf.DUMMYFUNCTION("IF(ISBLANK(B917),"""",IF(ISDATE(B917),""X"",""""))"),"")</f>
        <v/>
      </c>
      <c r="K917" s="40" t="str">
        <f>IFERROR(__xludf.DUMMYFUNCTION("IF(ISBLANK(B917),"""",IF(ISDATE(B917),H917,""""))"),"")</f>
        <v/>
      </c>
      <c r="L917" s="40" t="str">
        <f>IFERROR(__xludf.DUMMYFUNCTION("IF(ISBLANK(B917),"""",IF(ISDATE(B917),TEXT(B917,""M""),""""))"),"")</f>
        <v/>
      </c>
      <c r="M917" s="29" t="str">
        <f>IFERROR(__xludf.DUMMYFUNCTION("IF(L917="""","""",QUERY({'Dashboard-Dados'!$Y$2:$AA$13},""Select Col2 Where Col1=""&amp;L917))"),"")</f>
        <v/>
      </c>
      <c r="N917" s="29" t="str">
        <f>IFERROR(__xludf.DUMMYFUNCTION("IF(ISBLANK(B917),"""",IF(ISDATE(B917),TEXT(B917,""yyyy""),""""))"),"")</f>
        <v/>
      </c>
    </row>
    <row r="918">
      <c r="B918" s="89"/>
      <c r="C918" s="86"/>
      <c r="D918" s="71"/>
      <c r="H918" s="90"/>
      <c r="J918" s="53" t="str">
        <f>IFERROR(__xludf.DUMMYFUNCTION("IF(ISBLANK(B918),"""",IF(ISDATE(B918),""X"",""""))"),"")</f>
        <v/>
      </c>
      <c r="K918" s="40" t="str">
        <f>IFERROR(__xludf.DUMMYFUNCTION("IF(ISBLANK(B918),"""",IF(ISDATE(B918),H918,""""))"),"")</f>
        <v/>
      </c>
      <c r="L918" s="40" t="str">
        <f>IFERROR(__xludf.DUMMYFUNCTION("IF(ISBLANK(B918),"""",IF(ISDATE(B918),TEXT(B918,""M""),""""))"),"")</f>
        <v/>
      </c>
      <c r="M918" s="29" t="str">
        <f>IFERROR(__xludf.DUMMYFUNCTION("IF(L918="""","""",QUERY({'Dashboard-Dados'!$Y$2:$AA$13},""Select Col2 Where Col1=""&amp;L918))"),"")</f>
        <v/>
      </c>
      <c r="N918" s="29" t="str">
        <f>IFERROR(__xludf.DUMMYFUNCTION("IF(ISBLANK(B918),"""",IF(ISDATE(B918),TEXT(B918,""yyyy""),""""))"),"")</f>
        <v/>
      </c>
    </row>
    <row r="919">
      <c r="B919" s="87"/>
      <c r="C919" s="85"/>
      <c r="D919" s="76"/>
      <c r="H919" s="88"/>
      <c r="J919" s="53" t="str">
        <f>IFERROR(__xludf.DUMMYFUNCTION("IF(ISBLANK(B919),"""",IF(ISDATE(B919),""X"",""""))"),"")</f>
        <v/>
      </c>
      <c r="K919" s="40" t="str">
        <f>IFERROR(__xludf.DUMMYFUNCTION("IF(ISBLANK(B919),"""",IF(ISDATE(B919),H919,""""))"),"")</f>
        <v/>
      </c>
      <c r="L919" s="40" t="str">
        <f>IFERROR(__xludf.DUMMYFUNCTION("IF(ISBLANK(B919),"""",IF(ISDATE(B919),TEXT(B919,""M""),""""))"),"")</f>
        <v/>
      </c>
      <c r="M919" s="29" t="str">
        <f>IFERROR(__xludf.DUMMYFUNCTION("IF(L919="""","""",QUERY({'Dashboard-Dados'!$Y$2:$AA$13},""Select Col2 Where Col1=""&amp;L919))"),"")</f>
        <v/>
      </c>
      <c r="N919" s="29" t="str">
        <f>IFERROR(__xludf.DUMMYFUNCTION("IF(ISBLANK(B919),"""",IF(ISDATE(B919),TEXT(B919,""yyyy""),""""))"),"")</f>
        <v/>
      </c>
    </row>
    <row r="920">
      <c r="B920" s="89"/>
      <c r="C920" s="86"/>
      <c r="D920" s="71"/>
      <c r="H920" s="90"/>
      <c r="J920" s="53" t="str">
        <f>IFERROR(__xludf.DUMMYFUNCTION("IF(ISBLANK(B920),"""",IF(ISDATE(B920),""X"",""""))"),"")</f>
        <v/>
      </c>
      <c r="K920" s="40" t="str">
        <f>IFERROR(__xludf.DUMMYFUNCTION("IF(ISBLANK(B920),"""",IF(ISDATE(B920),H920,""""))"),"")</f>
        <v/>
      </c>
      <c r="L920" s="40" t="str">
        <f>IFERROR(__xludf.DUMMYFUNCTION("IF(ISBLANK(B920),"""",IF(ISDATE(B920),TEXT(B920,""M""),""""))"),"")</f>
        <v/>
      </c>
      <c r="M920" s="29" t="str">
        <f>IFERROR(__xludf.DUMMYFUNCTION("IF(L920="""","""",QUERY({'Dashboard-Dados'!$Y$2:$AA$13},""Select Col2 Where Col1=""&amp;L920))"),"")</f>
        <v/>
      </c>
      <c r="N920" s="29" t="str">
        <f>IFERROR(__xludf.DUMMYFUNCTION("IF(ISBLANK(B920),"""",IF(ISDATE(B920),TEXT(B920,""yyyy""),""""))"),"")</f>
        <v/>
      </c>
    </row>
    <row r="921">
      <c r="B921" s="87"/>
      <c r="C921" s="85"/>
      <c r="D921" s="76"/>
      <c r="H921" s="88"/>
      <c r="J921" s="53" t="str">
        <f>IFERROR(__xludf.DUMMYFUNCTION("IF(ISBLANK(B921),"""",IF(ISDATE(B921),""X"",""""))"),"")</f>
        <v/>
      </c>
      <c r="K921" s="40" t="str">
        <f>IFERROR(__xludf.DUMMYFUNCTION("IF(ISBLANK(B921),"""",IF(ISDATE(B921),H921,""""))"),"")</f>
        <v/>
      </c>
      <c r="L921" s="40" t="str">
        <f>IFERROR(__xludf.DUMMYFUNCTION("IF(ISBLANK(B921),"""",IF(ISDATE(B921),TEXT(B921,""M""),""""))"),"")</f>
        <v/>
      </c>
      <c r="M921" s="29" t="str">
        <f>IFERROR(__xludf.DUMMYFUNCTION("IF(L921="""","""",QUERY({'Dashboard-Dados'!$Y$2:$AA$13},""Select Col2 Where Col1=""&amp;L921))"),"")</f>
        <v/>
      </c>
      <c r="N921" s="29" t="str">
        <f>IFERROR(__xludf.DUMMYFUNCTION("IF(ISBLANK(B921),"""",IF(ISDATE(B921),TEXT(B921,""yyyy""),""""))"),"")</f>
        <v/>
      </c>
    </row>
    <row r="922">
      <c r="B922" s="89"/>
      <c r="C922" s="86"/>
      <c r="D922" s="71"/>
      <c r="H922" s="90"/>
      <c r="J922" s="53" t="str">
        <f>IFERROR(__xludf.DUMMYFUNCTION("IF(ISBLANK(B922),"""",IF(ISDATE(B922),""X"",""""))"),"")</f>
        <v/>
      </c>
      <c r="K922" s="40" t="str">
        <f>IFERROR(__xludf.DUMMYFUNCTION("IF(ISBLANK(B922),"""",IF(ISDATE(B922),H922,""""))"),"")</f>
        <v/>
      </c>
      <c r="L922" s="40" t="str">
        <f>IFERROR(__xludf.DUMMYFUNCTION("IF(ISBLANK(B922),"""",IF(ISDATE(B922),TEXT(B922,""M""),""""))"),"")</f>
        <v/>
      </c>
      <c r="M922" s="29" t="str">
        <f>IFERROR(__xludf.DUMMYFUNCTION("IF(L922="""","""",QUERY({'Dashboard-Dados'!$Y$2:$AA$13},""Select Col2 Where Col1=""&amp;L922))"),"")</f>
        <v/>
      </c>
      <c r="N922" s="29" t="str">
        <f>IFERROR(__xludf.DUMMYFUNCTION("IF(ISBLANK(B922),"""",IF(ISDATE(B922),TEXT(B922,""yyyy""),""""))"),"")</f>
        <v/>
      </c>
    </row>
    <row r="923">
      <c r="B923" s="87"/>
      <c r="C923" s="85"/>
      <c r="D923" s="76"/>
      <c r="H923" s="88"/>
      <c r="J923" s="53" t="str">
        <f>IFERROR(__xludf.DUMMYFUNCTION("IF(ISBLANK(B923),"""",IF(ISDATE(B923),""X"",""""))"),"")</f>
        <v/>
      </c>
      <c r="K923" s="40" t="str">
        <f>IFERROR(__xludf.DUMMYFUNCTION("IF(ISBLANK(B923),"""",IF(ISDATE(B923),H923,""""))"),"")</f>
        <v/>
      </c>
      <c r="L923" s="40" t="str">
        <f>IFERROR(__xludf.DUMMYFUNCTION("IF(ISBLANK(B923),"""",IF(ISDATE(B923),TEXT(B923,""M""),""""))"),"")</f>
        <v/>
      </c>
      <c r="M923" s="29" t="str">
        <f>IFERROR(__xludf.DUMMYFUNCTION("IF(L923="""","""",QUERY({'Dashboard-Dados'!$Y$2:$AA$13},""Select Col2 Where Col1=""&amp;L923))"),"")</f>
        <v/>
      </c>
      <c r="N923" s="29" t="str">
        <f>IFERROR(__xludf.DUMMYFUNCTION("IF(ISBLANK(B923),"""",IF(ISDATE(B923),TEXT(B923,""yyyy""),""""))"),"")</f>
        <v/>
      </c>
    </row>
    <row r="924">
      <c r="B924" s="89"/>
      <c r="C924" s="86"/>
      <c r="D924" s="71"/>
      <c r="H924" s="90"/>
      <c r="J924" s="53" t="str">
        <f>IFERROR(__xludf.DUMMYFUNCTION("IF(ISBLANK(B924),"""",IF(ISDATE(B924),""X"",""""))"),"")</f>
        <v/>
      </c>
      <c r="K924" s="40" t="str">
        <f>IFERROR(__xludf.DUMMYFUNCTION("IF(ISBLANK(B924),"""",IF(ISDATE(B924),H924,""""))"),"")</f>
        <v/>
      </c>
      <c r="L924" s="40" t="str">
        <f>IFERROR(__xludf.DUMMYFUNCTION("IF(ISBLANK(B924),"""",IF(ISDATE(B924),TEXT(B924,""M""),""""))"),"")</f>
        <v/>
      </c>
      <c r="M924" s="29" t="str">
        <f>IFERROR(__xludf.DUMMYFUNCTION("IF(L924="""","""",QUERY({'Dashboard-Dados'!$Y$2:$AA$13},""Select Col2 Where Col1=""&amp;L924))"),"")</f>
        <v/>
      </c>
      <c r="N924" s="29" t="str">
        <f>IFERROR(__xludf.DUMMYFUNCTION("IF(ISBLANK(B924),"""",IF(ISDATE(B924),TEXT(B924,""yyyy""),""""))"),"")</f>
        <v/>
      </c>
    </row>
    <row r="925">
      <c r="B925" s="87"/>
      <c r="C925" s="85"/>
      <c r="D925" s="76"/>
      <c r="H925" s="88"/>
      <c r="J925" s="53" t="str">
        <f>IFERROR(__xludf.DUMMYFUNCTION("IF(ISBLANK(B925),"""",IF(ISDATE(B925),""X"",""""))"),"")</f>
        <v/>
      </c>
      <c r="K925" s="40" t="str">
        <f>IFERROR(__xludf.DUMMYFUNCTION("IF(ISBLANK(B925),"""",IF(ISDATE(B925),H925,""""))"),"")</f>
        <v/>
      </c>
      <c r="L925" s="40" t="str">
        <f>IFERROR(__xludf.DUMMYFUNCTION("IF(ISBLANK(B925),"""",IF(ISDATE(B925),TEXT(B925,""M""),""""))"),"")</f>
        <v/>
      </c>
      <c r="M925" s="29" t="str">
        <f>IFERROR(__xludf.DUMMYFUNCTION("IF(L925="""","""",QUERY({'Dashboard-Dados'!$Y$2:$AA$13},""Select Col2 Where Col1=""&amp;L925))"),"")</f>
        <v/>
      </c>
      <c r="N925" s="29" t="str">
        <f>IFERROR(__xludf.DUMMYFUNCTION("IF(ISBLANK(B925),"""",IF(ISDATE(B925),TEXT(B925,""yyyy""),""""))"),"")</f>
        <v/>
      </c>
    </row>
    <row r="926">
      <c r="B926" s="89"/>
      <c r="C926" s="86"/>
      <c r="D926" s="71"/>
      <c r="H926" s="90"/>
      <c r="J926" s="53" t="str">
        <f>IFERROR(__xludf.DUMMYFUNCTION("IF(ISBLANK(B926),"""",IF(ISDATE(B926),""X"",""""))"),"")</f>
        <v/>
      </c>
      <c r="K926" s="40" t="str">
        <f>IFERROR(__xludf.DUMMYFUNCTION("IF(ISBLANK(B926),"""",IF(ISDATE(B926),H926,""""))"),"")</f>
        <v/>
      </c>
      <c r="L926" s="40" t="str">
        <f>IFERROR(__xludf.DUMMYFUNCTION("IF(ISBLANK(B926),"""",IF(ISDATE(B926),TEXT(B926,""M""),""""))"),"")</f>
        <v/>
      </c>
      <c r="M926" s="29" t="str">
        <f>IFERROR(__xludf.DUMMYFUNCTION("IF(L926="""","""",QUERY({'Dashboard-Dados'!$Y$2:$AA$13},""Select Col2 Where Col1=""&amp;L926))"),"")</f>
        <v/>
      </c>
      <c r="N926" s="29" t="str">
        <f>IFERROR(__xludf.DUMMYFUNCTION("IF(ISBLANK(B926),"""",IF(ISDATE(B926),TEXT(B926,""yyyy""),""""))"),"")</f>
        <v/>
      </c>
    </row>
    <row r="927">
      <c r="B927" s="87"/>
      <c r="C927" s="85"/>
      <c r="D927" s="76"/>
      <c r="H927" s="88"/>
      <c r="J927" s="53" t="str">
        <f>IFERROR(__xludf.DUMMYFUNCTION("IF(ISBLANK(B927),"""",IF(ISDATE(B927),""X"",""""))"),"")</f>
        <v/>
      </c>
      <c r="K927" s="40" t="str">
        <f>IFERROR(__xludf.DUMMYFUNCTION("IF(ISBLANK(B927),"""",IF(ISDATE(B927),H927,""""))"),"")</f>
        <v/>
      </c>
      <c r="L927" s="40" t="str">
        <f>IFERROR(__xludf.DUMMYFUNCTION("IF(ISBLANK(B927),"""",IF(ISDATE(B927),TEXT(B927,""M""),""""))"),"")</f>
        <v/>
      </c>
      <c r="M927" s="29" t="str">
        <f>IFERROR(__xludf.DUMMYFUNCTION("IF(L927="""","""",QUERY({'Dashboard-Dados'!$Y$2:$AA$13},""Select Col2 Where Col1=""&amp;L927))"),"")</f>
        <v/>
      </c>
      <c r="N927" s="29" t="str">
        <f>IFERROR(__xludf.DUMMYFUNCTION("IF(ISBLANK(B927),"""",IF(ISDATE(B927),TEXT(B927,""yyyy""),""""))"),"")</f>
        <v/>
      </c>
    </row>
    <row r="928">
      <c r="B928" s="89"/>
      <c r="C928" s="86"/>
      <c r="D928" s="71"/>
      <c r="H928" s="90"/>
      <c r="J928" s="53" t="str">
        <f>IFERROR(__xludf.DUMMYFUNCTION("IF(ISBLANK(B928),"""",IF(ISDATE(B928),""X"",""""))"),"")</f>
        <v/>
      </c>
      <c r="K928" s="40" t="str">
        <f>IFERROR(__xludf.DUMMYFUNCTION("IF(ISBLANK(B928),"""",IF(ISDATE(B928),H928,""""))"),"")</f>
        <v/>
      </c>
      <c r="L928" s="40" t="str">
        <f>IFERROR(__xludf.DUMMYFUNCTION("IF(ISBLANK(B928),"""",IF(ISDATE(B928),TEXT(B928,""M""),""""))"),"")</f>
        <v/>
      </c>
      <c r="M928" s="29" t="str">
        <f>IFERROR(__xludf.DUMMYFUNCTION("IF(L928="""","""",QUERY({'Dashboard-Dados'!$Y$2:$AA$13},""Select Col2 Where Col1=""&amp;L928))"),"")</f>
        <v/>
      </c>
      <c r="N928" s="29" t="str">
        <f>IFERROR(__xludf.DUMMYFUNCTION("IF(ISBLANK(B928),"""",IF(ISDATE(B928),TEXT(B928,""yyyy""),""""))"),"")</f>
        <v/>
      </c>
    </row>
    <row r="929">
      <c r="B929" s="87"/>
      <c r="C929" s="85"/>
      <c r="D929" s="76"/>
      <c r="H929" s="88"/>
      <c r="J929" s="53" t="str">
        <f>IFERROR(__xludf.DUMMYFUNCTION("IF(ISBLANK(B929),"""",IF(ISDATE(B929),""X"",""""))"),"")</f>
        <v/>
      </c>
      <c r="K929" s="40" t="str">
        <f>IFERROR(__xludf.DUMMYFUNCTION("IF(ISBLANK(B929),"""",IF(ISDATE(B929),H929,""""))"),"")</f>
        <v/>
      </c>
      <c r="L929" s="40" t="str">
        <f>IFERROR(__xludf.DUMMYFUNCTION("IF(ISBLANK(B929),"""",IF(ISDATE(B929),TEXT(B929,""M""),""""))"),"")</f>
        <v/>
      </c>
      <c r="M929" s="29" t="str">
        <f>IFERROR(__xludf.DUMMYFUNCTION("IF(L929="""","""",QUERY({'Dashboard-Dados'!$Y$2:$AA$13},""Select Col2 Where Col1=""&amp;L929))"),"")</f>
        <v/>
      </c>
      <c r="N929" s="29" t="str">
        <f>IFERROR(__xludf.DUMMYFUNCTION("IF(ISBLANK(B929),"""",IF(ISDATE(B929),TEXT(B929,""yyyy""),""""))"),"")</f>
        <v/>
      </c>
    </row>
    <row r="930">
      <c r="B930" s="89"/>
      <c r="C930" s="86"/>
      <c r="D930" s="71"/>
      <c r="H930" s="90"/>
      <c r="J930" s="53" t="str">
        <f>IFERROR(__xludf.DUMMYFUNCTION("IF(ISBLANK(B930),"""",IF(ISDATE(B930),""X"",""""))"),"")</f>
        <v/>
      </c>
      <c r="K930" s="40" t="str">
        <f>IFERROR(__xludf.DUMMYFUNCTION("IF(ISBLANK(B930),"""",IF(ISDATE(B930),H930,""""))"),"")</f>
        <v/>
      </c>
      <c r="L930" s="40" t="str">
        <f>IFERROR(__xludf.DUMMYFUNCTION("IF(ISBLANK(B930),"""",IF(ISDATE(B930),TEXT(B930,""M""),""""))"),"")</f>
        <v/>
      </c>
      <c r="M930" s="29" t="str">
        <f>IFERROR(__xludf.DUMMYFUNCTION("IF(L930="""","""",QUERY({'Dashboard-Dados'!$Y$2:$AA$13},""Select Col2 Where Col1=""&amp;L930))"),"")</f>
        <v/>
      </c>
      <c r="N930" s="29" t="str">
        <f>IFERROR(__xludf.DUMMYFUNCTION("IF(ISBLANK(B930),"""",IF(ISDATE(B930),TEXT(B930,""yyyy""),""""))"),"")</f>
        <v/>
      </c>
    </row>
    <row r="931">
      <c r="B931" s="87"/>
      <c r="C931" s="85"/>
      <c r="D931" s="76"/>
      <c r="H931" s="88"/>
      <c r="J931" s="53" t="str">
        <f>IFERROR(__xludf.DUMMYFUNCTION("IF(ISBLANK(B931),"""",IF(ISDATE(B931),""X"",""""))"),"")</f>
        <v/>
      </c>
      <c r="K931" s="40" t="str">
        <f>IFERROR(__xludf.DUMMYFUNCTION("IF(ISBLANK(B931),"""",IF(ISDATE(B931),H931,""""))"),"")</f>
        <v/>
      </c>
      <c r="L931" s="40" t="str">
        <f>IFERROR(__xludf.DUMMYFUNCTION("IF(ISBLANK(B931),"""",IF(ISDATE(B931),TEXT(B931,""M""),""""))"),"")</f>
        <v/>
      </c>
      <c r="M931" s="29" t="str">
        <f>IFERROR(__xludf.DUMMYFUNCTION("IF(L931="""","""",QUERY({'Dashboard-Dados'!$Y$2:$AA$13},""Select Col2 Where Col1=""&amp;L931))"),"")</f>
        <v/>
      </c>
      <c r="N931" s="29" t="str">
        <f>IFERROR(__xludf.DUMMYFUNCTION("IF(ISBLANK(B931),"""",IF(ISDATE(B931),TEXT(B931,""yyyy""),""""))"),"")</f>
        <v/>
      </c>
    </row>
    <row r="932">
      <c r="B932" s="89"/>
      <c r="C932" s="86"/>
      <c r="D932" s="71"/>
      <c r="H932" s="90"/>
      <c r="J932" s="53" t="str">
        <f>IFERROR(__xludf.DUMMYFUNCTION("IF(ISBLANK(B932),"""",IF(ISDATE(B932),""X"",""""))"),"")</f>
        <v/>
      </c>
      <c r="K932" s="40" t="str">
        <f>IFERROR(__xludf.DUMMYFUNCTION("IF(ISBLANK(B932),"""",IF(ISDATE(B932),H932,""""))"),"")</f>
        <v/>
      </c>
      <c r="L932" s="40" t="str">
        <f>IFERROR(__xludf.DUMMYFUNCTION("IF(ISBLANK(B932),"""",IF(ISDATE(B932),TEXT(B932,""M""),""""))"),"")</f>
        <v/>
      </c>
      <c r="M932" s="29" t="str">
        <f>IFERROR(__xludf.DUMMYFUNCTION("IF(L932="""","""",QUERY({'Dashboard-Dados'!$Y$2:$AA$13},""Select Col2 Where Col1=""&amp;L932))"),"")</f>
        <v/>
      </c>
      <c r="N932" s="29" t="str">
        <f>IFERROR(__xludf.DUMMYFUNCTION("IF(ISBLANK(B932),"""",IF(ISDATE(B932),TEXT(B932,""yyyy""),""""))"),"")</f>
        <v/>
      </c>
    </row>
    <row r="933">
      <c r="B933" s="87"/>
      <c r="C933" s="85"/>
      <c r="D933" s="76"/>
      <c r="H933" s="88"/>
      <c r="J933" s="53" t="str">
        <f>IFERROR(__xludf.DUMMYFUNCTION("IF(ISBLANK(B933),"""",IF(ISDATE(B933),""X"",""""))"),"")</f>
        <v/>
      </c>
      <c r="K933" s="40" t="str">
        <f>IFERROR(__xludf.DUMMYFUNCTION("IF(ISBLANK(B933),"""",IF(ISDATE(B933),H933,""""))"),"")</f>
        <v/>
      </c>
      <c r="L933" s="40" t="str">
        <f>IFERROR(__xludf.DUMMYFUNCTION("IF(ISBLANK(B933),"""",IF(ISDATE(B933),TEXT(B933,""M""),""""))"),"")</f>
        <v/>
      </c>
      <c r="M933" s="29" t="str">
        <f>IFERROR(__xludf.DUMMYFUNCTION("IF(L933="""","""",QUERY({'Dashboard-Dados'!$Y$2:$AA$13},""Select Col2 Where Col1=""&amp;L933))"),"")</f>
        <v/>
      </c>
      <c r="N933" s="29" t="str">
        <f>IFERROR(__xludf.DUMMYFUNCTION("IF(ISBLANK(B933),"""",IF(ISDATE(B933),TEXT(B933,""yyyy""),""""))"),"")</f>
        <v/>
      </c>
    </row>
    <row r="934">
      <c r="B934" s="89"/>
      <c r="C934" s="86"/>
      <c r="D934" s="71"/>
      <c r="H934" s="90"/>
      <c r="J934" s="53" t="str">
        <f>IFERROR(__xludf.DUMMYFUNCTION("IF(ISBLANK(B934),"""",IF(ISDATE(B934),""X"",""""))"),"")</f>
        <v/>
      </c>
      <c r="K934" s="40" t="str">
        <f>IFERROR(__xludf.DUMMYFUNCTION("IF(ISBLANK(B934),"""",IF(ISDATE(B934),H934,""""))"),"")</f>
        <v/>
      </c>
      <c r="L934" s="40" t="str">
        <f>IFERROR(__xludf.DUMMYFUNCTION("IF(ISBLANK(B934),"""",IF(ISDATE(B934),TEXT(B934,""M""),""""))"),"")</f>
        <v/>
      </c>
      <c r="M934" s="29" t="str">
        <f>IFERROR(__xludf.DUMMYFUNCTION("IF(L934="""","""",QUERY({'Dashboard-Dados'!$Y$2:$AA$13},""Select Col2 Where Col1=""&amp;L934))"),"")</f>
        <v/>
      </c>
      <c r="N934" s="29" t="str">
        <f>IFERROR(__xludf.DUMMYFUNCTION("IF(ISBLANK(B934),"""",IF(ISDATE(B934),TEXT(B934,""yyyy""),""""))"),"")</f>
        <v/>
      </c>
    </row>
    <row r="935">
      <c r="B935" s="87"/>
      <c r="C935" s="85"/>
      <c r="D935" s="76"/>
      <c r="H935" s="88"/>
      <c r="J935" s="53" t="str">
        <f>IFERROR(__xludf.DUMMYFUNCTION("IF(ISBLANK(B935),"""",IF(ISDATE(B935),""X"",""""))"),"")</f>
        <v/>
      </c>
      <c r="K935" s="40" t="str">
        <f>IFERROR(__xludf.DUMMYFUNCTION("IF(ISBLANK(B935),"""",IF(ISDATE(B935),H935,""""))"),"")</f>
        <v/>
      </c>
      <c r="L935" s="40" t="str">
        <f>IFERROR(__xludf.DUMMYFUNCTION("IF(ISBLANK(B935),"""",IF(ISDATE(B935),TEXT(B935,""M""),""""))"),"")</f>
        <v/>
      </c>
      <c r="M935" s="29" t="str">
        <f>IFERROR(__xludf.DUMMYFUNCTION("IF(L935="""","""",QUERY({'Dashboard-Dados'!$Y$2:$AA$13},""Select Col2 Where Col1=""&amp;L935))"),"")</f>
        <v/>
      </c>
      <c r="N935" s="29" t="str">
        <f>IFERROR(__xludf.DUMMYFUNCTION("IF(ISBLANK(B935),"""",IF(ISDATE(B935),TEXT(B935,""yyyy""),""""))"),"")</f>
        <v/>
      </c>
    </row>
    <row r="936">
      <c r="B936" s="89"/>
      <c r="C936" s="86"/>
      <c r="D936" s="71"/>
      <c r="H936" s="90"/>
      <c r="J936" s="53" t="str">
        <f>IFERROR(__xludf.DUMMYFUNCTION("IF(ISBLANK(B936),"""",IF(ISDATE(B936),""X"",""""))"),"")</f>
        <v/>
      </c>
      <c r="K936" s="40" t="str">
        <f>IFERROR(__xludf.DUMMYFUNCTION("IF(ISBLANK(B936),"""",IF(ISDATE(B936),H936,""""))"),"")</f>
        <v/>
      </c>
      <c r="L936" s="40" t="str">
        <f>IFERROR(__xludf.DUMMYFUNCTION("IF(ISBLANK(B936),"""",IF(ISDATE(B936),TEXT(B936,""M""),""""))"),"")</f>
        <v/>
      </c>
      <c r="M936" s="29" t="str">
        <f>IFERROR(__xludf.DUMMYFUNCTION("IF(L936="""","""",QUERY({'Dashboard-Dados'!$Y$2:$AA$13},""Select Col2 Where Col1=""&amp;L936))"),"")</f>
        <v/>
      </c>
      <c r="N936" s="29" t="str">
        <f>IFERROR(__xludf.DUMMYFUNCTION("IF(ISBLANK(B936),"""",IF(ISDATE(B936),TEXT(B936,""yyyy""),""""))"),"")</f>
        <v/>
      </c>
    </row>
    <row r="937">
      <c r="B937" s="87"/>
      <c r="C937" s="85"/>
      <c r="D937" s="76"/>
      <c r="H937" s="88"/>
      <c r="J937" s="53" t="str">
        <f>IFERROR(__xludf.DUMMYFUNCTION("IF(ISBLANK(B937),"""",IF(ISDATE(B937),""X"",""""))"),"")</f>
        <v/>
      </c>
      <c r="K937" s="40" t="str">
        <f>IFERROR(__xludf.DUMMYFUNCTION("IF(ISBLANK(B937),"""",IF(ISDATE(B937),H937,""""))"),"")</f>
        <v/>
      </c>
      <c r="L937" s="40" t="str">
        <f>IFERROR(__xludf.DUMMYFUNCTION("IF(ISBLANK(B937),"""",IF(ISDATE(B937),TEXT(B937,""M""),""""))"),"")</f>
        <v/>
      </c>
      <c r="M937" s="29" t="str">
        <f>IFERROR(__xludf.DUMMYFUNCTION("IF(L937="""","""",QUERY({'Dashboard-Dados'!$Y$2:$AA$13},""Select Col2 Where Col1=""&amp;L937))"),"")</f>
        <v/>
      </c>
      <c r="N937" s="29" t="str">
        <f>IFERROR(__xludf.DUMMYFUNCTION("IF(ISBLANK(B937),"""",IF(ISDATE(B937),TEXT(B937,""yyyy""),""""))"),"")</f>
        <v/>
      </c>
    </row>
    <row r="938">
      <c r="B938" s="89"/>
      <c r="C938" s="86"/>
      <c r="D938" s="71"/>
      <c r="H938" s="90"/>
      <c r="J938" s="53" t="str">
        <f>IFERROR(__xludf.DUMMYFUNCTION("IF(ISBLANK(B938),"""",IF(ISDATE(B938),""X"",""""))"),"")</f>
        <v/>
      </c>
      <c r="K938" s="40" t="str">
        <f>IFERROR(__xludf.DUMMYFUNCTION("IF(ISBLANK(B938),"""",IF(ISDATE(B938),H938,""""))"),"")</f>
        <v/>
      </c>
      <c r="L938" s="40" t="str">
        <f>IFERROR(__xludf.DUMMYFUNCTION("IF(ISBLANK(B938),"""",IF(ISDATE(B938),TEXT(B938,""M""),""""))"),"")</f>
        <v/>
      </c>
      <c r="M938" s="29" t="str">
        <f>IFERROR(__xludf.DUMMYFUNCTION("IF(L938="""","""",QUERY({'Dashboard-Dados'!$Y$2:$AA$13},""Select Col2 Where Col1=""&amp;L938))"),"")</f>
        <v/>
      </c>
      <c r="N938" s="29" t="str">
        <f>IFERROR(__xludf.DUMMYFUNCTION("IF(ISBLANK(B938),"""",IF(ISDATE(B938),TEXT(B938,""yyyy""),""""))"),"")</f>
        <v/>
      </c>
    </row>
    <row r="939">
      <c r="B939" s="87"/>
      <c r="C939" s="85"/>
      <c r="D939" s="76"/>
      <c r="H939" s="88"/>
      <c r="J939" s="53" t="str">
        <f>IFERROR(__xludf.DUMMYFUNCTION("IF(ISBLANK(B939),"""",IF(ISDATE(B939),""X"",""""))"),"")</f>
        <v/>
      </c>
      <c r="K939" s="40" t="str">
        <f>IFERROR(__xludf.DUMMYFUNCTION("IF(ISBLANK(B939),"""",IF(ISDATE(B939),H939,""""))"),"")</f>
        <v/>
      </c>
      <c r="L939" s="40" t="str">
        <f>IFERROR(__xludf.DUMMYFUNCTION("IF(ISBLANK(B939),"""",IF(ISDATE(B939),TEXT(B939,""M""),""""))"),"")</f>
        <v/>
      </c>
      <c r="M939" s="29" t="str">
        <f>IFERROR(__xludf.DUMMYFUNCTION("IF(L939="""","""",QUERY({'Dashboard-Dados'!$Y$2:$AA$13},""Select Col2 Where Col1=""&amp;L939))"),"")</f>
        <v/>
      </c>
      <c r="N939" s="29" t="str">
        <f>IFERROR(__xludf.DUMMYFUNCTION("IF(ISBLANK(B939),"""",IF(ISDATE(B939),TEXT(B939,""yyyy""),""""))"),"")</f>
        <v/>
      </c>
    </row>
    <row r="940">
      <c r="B940" s="89"/>
      <c r="C940" s="86"/>
      <c r="D940" s="71"/>
      <c r="H940" s="90"/>
      <c r="J940" s="53" t="str">
        <f>IFERROR(__xludf.DUMMYFUNCTION("IF(ISBLANK(B940),"""",IF(ISDATE(B940),""X"",""""))"),"")</f>
        <v/>
      </c>
      <c r="K940" s="40" t="str">
        <f>IFERROR(__xludf.DUMMYFUNCTION("IF(ISBLANK(B940),"""",IF(ISDATE(B940),H940,""""))"),"")</f>
        <v/>
      </c>
      <c r="L940" s="40" t="str">
        <f>IFERROR(__xludf.DUMMYFUNCTION("IF(ISBLANK(B940),"""",IF(ISDATE(B940),TEXT(B940,""M""),""""))"),"")</f>
        <v/>
      </c>
      <c r="M940" s="29" t="str">
        <f>IFERROR(__xludf.DUMMYFUNCTION("IF(L940="""","""",QUERY({'Dashboard-Dados'!$Y$2:$AA$13},""Select Col2 Where Col1=""&amp;L940))"),"")</f>
        <v/>
      </c>
      <c r="N940" s="29" t="str">
        <f>IFERROR(__xludf.DUMMYFUNCTION("IF(ISBLANK(B940),"""",IF(ISDATE(B940),TEXT(B940,""yyyy""),""""))"),"")</f>
        <v/>
      </c>
    </row>
    <row r="941">
      <c r="B941" s="87"/>
      <c r="C941" s="85"/>
      <c r="D941" s="76"/>
      <c r="H941" s="88"/>
      <c r="J941" s="53" t="str">
        <f>IFERROR(__xludf.DUMMYFUNCTION("IF(ISBLANK(B941),"""",IF(ISDATE(B941),""X"",""""))"),"")</f>
        <v/>
      </c>
      <c r="K941" s="40" t="str">
        <f>IFERROR(__xludf.DUMMYFUNCTION("IF(ISBLANK(B941),"""",IF(ISDATE(B941),H941,""""))"),"")</f>
        <v/>
      </c>
      <c r="L941" s="40" t="str">
        <f>IFERROR(__xludf.DUMMYFUNCTION("IF(ISBLANK(B941),"""",IF(ISDATE(B941),TEXT(B941,""M""),""""))"),"")</f>
        <v/>
      </c>
      <c r="M941" s="29" t="str">
        <f>IFERROR(__xludf.DUMMYFUNCTION("IF(L941="""","""",QUERY({'Dashboard-Dados'!$Y$2:$AA$13},""Select Col2 Where Col1=""&amp;L941))"),"")</f>
        <v/>
      </c>
      <c r="N941" s="29" t="str">
        <f>IFERROR(__xludf.DUMMYFUNCTION("IF(ISBLANK(B941),"""",IF(ISDATE(B941),TEXT(B941,""yyyy""),""""))"),"")</f>
        <v/>
      </c>
    </row>
    <row r="942">
      <c r="B942" s="89"/>
      <c r="C942" s="86"/>
      <c r="D942" s="71"/>
      <c r="H942" s="90"/>
      <c r="J942" s="53" t="str">
        <f>IFERROR(__xludf.DUMMYFUNCTION("IF(ISBLANK(B942),"""",IF(ISDATE(B942),""X"",""""))"),"")</f>
        <v/>
      </c>
      <c r="K942" s="40" t="str">
        <f>IFERROR(__xludf.DUMMYFUNCTION("IF(ISBLANK(B942),"""",IF(ISDATE(B942),H942,""""))"),"")</f>
        <v/>
      </c>
      <c r="L942" s="40" t="str">
        <f>IFERROR(__xludf.DUMMYFUNCTION("IF(ISBLANK(B942),"""",IF(ISDATE(B942),TEXT(B942,""M""),""""))"),"")</f>
        <v/>
      </c>
      <c r="M942" s="29" t="str">
        <f>IFERROR(__xludf.DUMMYFUNCTION("IF(L942="""","""",QUERY({'Dashboard-Dados'!$Y$2:$AA$13},""Select Col2 Where Col1=""&amp;L942))"),"")</f>
        <v/>
      </c>
      <c r="N942" s="29" t="str">
        <f>IFERROR(__xludf.DUMMYFUNCTION("IF(ISBLANK(B942),"""",IF(ISDATE(B942),TEXT(B942,""yyyy""),""""))"),"")</f>
        <v/>
      </c>
    </row>
    <row r="943">
      <c r="B943" s="87"/>
      <c r="C943" s="85"/>
      <c r="D943" s="76"/>
      <c r="H943" s="88"/>
      <c r="J943" s="53" t="str">
        <f>IFERROR(__xludf.DUMMYFUNCTION("IF(ISBLANK(B943),"""",IF(ISDATE(B943),""X"",""""))"),"")</f>
        <v/>
      </c>
      <c r="K943" s="40" t="str">
        <f>IFERROR(__xludf.DUMMYFUNCTION("IF(ISBLANK(B943),"""",IF(ISDATE(B943),H943,""""))"),"")</f>
        <v/>
      </c>
      <c r="L943" s="40" t="str">
        <f>IFERROR(__xludf.DUMMYFUNCTION("IF(ISBLANK(B943),"""",IF(ISDATE(B943),TEXT(B943,""M""),""""))"),"")</f>
        <v/>
      </c>
      <c r="M943" s="29" t="str">
        <f>IFERROR(__xludf.DUMMYFUNCTION("IF(L943="""","""",QUERY({'Dashboard-Dados'!$Y$2:$AA$13},""Select Col2 Where Col1=""&amp;L943))"),"")</f>
        <v/>
      </c>
      <c r="N943" s="29" t="str">
        <f>IFERROR(__xludf.DUMMYFUNCTION("IF(ISBLANK(B943),"""",IF(ISDATE(B943),TEXT(B943,""yyyy""),""""))"),"")</f>
        <v/>
      </c>
    </row>
    <row r="944">
      <c r="B944" s="89"/>
      <c r="C944" s="86"/>
      <c r="D944" s="71"/>
      <c r="H944" s="90"/>
      <c r="J944" s="53" t="str">
        <f>IFERROR(__xludf.DUMMYFUNCTION("IF(ISBLANK(B944),"""",IF(ISDATE(B944),""X"",""""))"),"")</f>
        <v/>
      </c>
      <c r="K944" s="40" t="str">
        <f>IFERROR(__xludf.DUMMYFUNCTION("IF(ISBLANK(B944),"""",IF(ISDATE(B944),H944,""""))"),"")</f>
        <v/>
      </c>
      <c r="L944" s="40" t="str">
        <f>IFERROR(__xludf.DUMMYFUNCTION("IF(ISBLANK(B944),"""",IF(ISDATE(B944),TEXT(B944,""M""),""""))"),"")</f>
        <v/>
      </c>
      <c r="M944" s="29" t="str">
        <f>IFERROR(__xludf.DUMMYFUNCTION("IF(L944="""","""",QUERY({'Dashboard-Dados'!$Y$2:$AA$13},""Select Col2 Where Col1=""&amp;L944))"),"")</f>
        <v/>
      </c>
      <c r="N944" s="29" t="str">
        <f>IFERROR(__xludf.DUMMYFUNCTION("IF(ISBLANK(B944),"""",IF(ISDATE(B944),TEXT(B944,""yyyy""),""""))"),"")</f>
        <v/>
      </c>
    </row>
    <row r="945">
      <c r="B945" s="87"/>
      <c r="C945" s="85"/>
      <c r="D945" s="76"/>
      <c r="H945" s="88"/>
      <c r="J945" s="53" t="str">
        <f>IFERROR(__xludf.DUMMYFUNCTION("IF(ISBLANK(B945),"""",IF(ISDATE(B945),""X"",""""))"),"")</f>
        <v/>
      </c>
      <c r="K945" s="40" t="str">
        <f>IFERROR(__xludf.DUMMYFUNCTION("IF(ISBLANK(B945),"""",IF(ISDATE(B945),H945,""""))"),"")</f>
        <v/>
      </c>
      <c r="L945" s="40" t="str">
        <f>IFERROR(__xludf.DUMMYFUNCTION("IF(ISBLANK(B945),"""",IF(ISDATE(B945),TEXT(B945,""M""),""""))"),"")</f>
        <v/>
      </c>
      <c r="M945" s="29" t="str">
        <f>IFERROR(__xludf.DUMMYFUNCTION("IF(L945="""","""",QUERY({'Dashboard-Dados'!$Y$2:$AA$13},""Select Col2 Where Col1=""&amp;L945))"),"")</f>
        <v/>
      </c>
      <c r="N945" s="29" t="str">
        <f>IFERROR(__xludf.DUMMYFUNCTION("IF(ISBLANK(B945),"""",IF(ISDATE(B945),TEXT(B945,""yyyy""),""""))"),"")</f>
        <v/>
      </c>
    </row>
    <row r="946">
      <c r="B946" s="89"/>
      <c r="C946" s="86"/>
      <c r="D946" s="71"/>
      <c r="H946" s="90"/>
      <c r="J946" s="53" t="str">
        <f>IFERROR(__xludf.DUMMYFUNCTION("IF(ISBLANK(B946),"""",IF(ISDATE(B946),""X"",""""))"),"")</f>
        <v/>
      </c>
      <c r="K946" s="40" t="str">
        <f>IFERROR(__xludf.DUMMYFUNCTION("IF(ISBLANK(B946),"""",IF(ISDATE(B946),H946,""""))"),"")</f>
        <v/>
      </c>
      <c r="L946" s="40" t="str">
        <f>IFERROR(__xludf.DUMMYFUNCTION("IF(ISBLANK(B946),"""",IF(ISDATE(B946),TEXT(B946,""M""),""""))"),"")</f>
        <v/>
      </c>
      <c r="M946" s="29" t="str">
        <f>IFERROR(__xludf.DUMMYFUNCTION("IF(L946="""","""",QUERY({'Dashboard-Dados'!$Y$2:$AA$13},""Select Col2 Where Col1=""&amp;L946))"),"")</f>
        <v/>
      </c>
      <c r="N946" s="29" t="str">
        <f>IFERROR(__xludf.DUMMYFUNCTION("IF(ISBLANK(B946),"""",IF(ISDATE(B946),TEXT(B946,""yyyy""),""""))"),"")</f>
        <v/>
      </c>
    </row>
    <row r="947">
      <c r="B947" s="87"/>
      <c r="C947" s="85"/>
      <c r="D947" s="76"/>
      <c r="H947" s="88"/>
      <c r="J947" s="53" t="str">
        <f>IFERROR(__xludf.DUMMYFUNCTION("IF(ISBLANK(B947),"""",IF(ISDATE(B947),""X"",""""))"),"")</f>
        <v/>
      </c>
      <c r="K947" s="40" t="str">
        <f>IFERROR(__xludf.DUMMYFUNCTION("IF(ISBLANK(B947),"""",IF(ISDATE(B947),H947,""""))"),"")</f>
        <v/>
      </c>
      <c r="L947" s="40" t="str">
        <f>IFERROR(__xludf.DUMMYFUNCTION("IF(ISBLANK(B947),"""",IF(ISDATE(B947),TEXT(B947,""M""),""""))"),"")</f>
        <v/>
      </c>
      <c r="M947" s="29" t="str">
        <f>IFERROR(__xludf.DUMMYFUNCTION("IF(L947="""","""",QUERY({'Dashboard-Dados'!$Y$2:$AA$13},""Select Col2 Where Col1=""&amp;L947))"),"")</f>
        <v/>
      </c>
      <c r="N947" s="29" t="str">
        <f>IFERROR(__xludf.DUMMYFUNCTION("IF(ISBLANK(B947),"""",IF(ISDATE(B947),TEXT(B947,""yyyy""),""""))"),"")</f>
        <v/>
      </c>
    </row>
    <row r="948">
      <c r="B948" s="89"/>
      <c r="C948" s="86"/>
      <c r="D948" s="71"/>
      <c r="H948" s="90"/>
      <c r="J948" s="53" t="str">
        <f>IFERROR(__xludf.DUMMYFUNCTION("IF(ISBLANK(B948),"""",IF(ISDATE(B948),""X"",""""))"),"")</f>
        <v/>
      </c>
      <c r="K948" s="40" t="str">
        <f>IFERROR(__xludf.DUMMYFUNCTION("IF(ISBLANK(B948),"""",IF(ISDATE(B948),H948,""""))"),"")</f>
        <v/>
      </c>
      <c r="L948" s="40" t="str">
        <f>IFERROR(__xludf.DUMMYFUNCTION("IF(ISBLANK(B948),"""",IF(ISDATE(B948),TEXT(B948,""M""),""""))"),"")</f>
        <v/>
      </c>
      <c r="M948" s="29" t="str">
        <f>IFERROR(__xludf.DUMMYFUNCTION("IF(L948="""","""",QUERY({'Dashboard-Dados'!$Y$2:$AA$13},""Select Col2 Where Col1=""&amp;L948))"),"")</f>
        <v/>
      </c>
      <c r="N948" s="29" t="str">
        <f>IFERROR(__xludf.DUMMYFUNCTION("IF(ISBLANK(B948),"""",IF(ISDATE(B948),TEXT(B948,""yyyy""),""""))"),"")</f>
        <v/>
      </c>
    </row>
    <row r="949">
      <c r="B949" s="87"/>
      <c r="C949" s="85"/>
      <c r="D949" s="76"/>
      <c r="H949" s="88"/>
      <c r="J949" s="53" t="str">
        <f>IFERROR(__xludf.DUMMYFUNCTION("IF(ISBLANK(B949),"""",IF(ISDATE(B949),""X"",""""))"),"")</f>
        <v/>
      </c>
      <c r="K949" s="40" t="str">
        <f>IFERROR(__xludf.DUMMYFUNCTION("IF(ISBLANK(B949),"""",IF(ISDATE(B949),H949,""""))"),"")</f>
        <v/>
      </c>
      <c r="L949" s="40" t="str">
        <f>IFERROR(__xludf.DUMMYFUNCTION("IF(ISBLANK(B949),"""",IF(ISDATE(B949),TEXT(B949,""M""),""""))"),"")</f>
        <v/>
      </c>
      <c r="M949" s="29" t="str">
        <f>IFERROR(__xludf.DUMMYFUNCTION("IF(L949="""","""",QUERY({'Dashboard-Dados'!$Y$2:$AA$13},""Select Col2 Where Col1=""&amp;L949))"),"")</f>
        <v/>
      </c>
      <c r="N949" s="29" t="str">
        <f>IFERROR(__xludf.DUMMYFUNCTION("IF(ISBLANK(B949),"""",IF(ISDATE(B949),TEXT(B949,""yyyy""),""""))"),"")</f>
        <v/>
      </c>
    </row>
    <row r="950">
      <c r="B950" s="89"/>
      <c r="C950" s="86"/>
      <c r="D950" s="71"/>
      <c r="H950" s="90"/>
      <c r="J950" s="53" t="str">
        <f>IFERROR(__xludf.DUMMYFUNCTION("IF(ISBLANK(B950),"""",IF(ISDATE(B950),""X"",""""))"),"")</f>
        <v/>
      </c>
      <c r="K950" s="40" t="str">
        <f>IFERROR(__xludf.DUMMYFUNCTION("IF(ISBLANK(B950),"""",IF(ISDATE(B950),H950,""""))"),"")</f>
        <v/>
      </c>
      <c r="L950" s="40" t="str">
        <f>IFERROR(__xludf.DUMMYFUNCTION("IF(ISBLANK(B950),"""",IF(ISDATE(B950),TEXT(B950,""M""),""""))"),"")</f>
        <v/>
      </c>
      <c r="M950" s="29" t="str">
        <f>IFERROR(__xludf.DUMMYFUNCTION("IF(L950="""","""",QUERY({'Dashboard-Dados'!$Y$2:$AA$13},""Select Col2 Where Col1=""&amp;L950))"),"")</f>
        <v/>
      </c>
      <c r="N950" s="29" t="str">
        <f>IFERROR(__xludf.DUMMYFUNCTION("IF(ISBLANK(B950),"""",IF(ISDATE(B950),TEXT(B950,""yyyy""),""""))"),"")</f>
        <v/>
      </c>
    </row>
    <row r="951">
      <c r="B951" s="87"/>
      <c r="C951" s="85"/>
      <c r="D951" s="76"/>
      <c r="H951" s="88"/>
      <c r="J951" s="53" t="str">
        <f>IFERROR(__xludf.DUMMYFUNCTION("IF(ISBLANK(B951),"""",IF(ISDATE(B951),""X"",""""))"),"")</f>
        <v/>
      </c>
      <c r="K951" s="40" t="str">
        <f>IFERROR(__xludf.DUMMYFUNCTION("IF(ISBLANK(B951),"""",IF(ISDATE(B951),H951,""""))"),"")</f>
        <v/>
      </c>
      <c r="L951" s="40" t="str">
        <f>IFERROR(__xludf.DUMMYFUNCTION("IF(ISBLANK(B951),"""",IF(ISDATE(B951),TEXT(B951,""M""),""""))"),"")</f>
        <v/>
      </c>
      <c r="M951" s="29" t="str">
        <f>IFERROR(__xludf.DUMMYFUNCTION("IF(L951="""","""",QUERY({'Dashboard-Dados'!$Y$2:$AA$13},""Select Col2 Where Col1=""&amp;L951))"),"")</f>
        <v/>
      </c>
      <c r="N951" s="29" t="str">
        <f>IFERROR(__xludf.DUMMYFUNCTION("IF(ISBLANK(B951),"""",IF(ISDATE(B951),TEXT(B951,""yyyy""),""""))"),"")</f>
        <v/>
      </c>
    </row>
    <row r="952">
      <c r="B952" s="89"/>
      <c r="C952" s="86"/>
      <c r="D952" s="71"/>
      <c r="H952" s="90"/>
      <c r="J952" s="53" t="str">
        <f>IFERROR(__xludf.DUMMYFUNCTION("IF(ISBLANK(B952),"""",IF(ISDATE(B952),""X"",""""))"),"")</f>
        <v/>
      </c>
      <c r="K952" s="40" t="str">
        <f>IFERROR(__xludf.DUMMYFUNCTION("IF(ISBLANK(B952),"""",IF(ISDATE(B952),H952,""""))"),"")</f>
        <v/>
      </c>
      <c r="L952" s="40" t="str">
        <f>IFERROR(__xludf.DUMMYFUNCTION("IF(ISBLANK(B952),"""",IF(ISDATE(B952),TEXT(B952,""M""),""""))"),"")</f>
        <v/>
      </c>
      <c r="M952" s="29" t="str">
        <f>IFERROR(__xludf.DUMMYFUNCTION("IF(L952="""","""",QUERY({'Dashboard-Dados'!$Y$2:$AA$13},""Select Col2 Where Col1=""&amp;L952))"),"")</f>
        <v/>
      </c>
      <c r="N952" s="29" t="str">
        <f>IFERROR(__xludf.DUMMYFUNCTION("IF(ISBLANK(B952),"""",IF(ISDATE(B952),TEXT(B952,""yyyy""),""""))"),"")</f>
        <v/>
      </c>
    </row>
    <row r="953">
      <c r="B953" s="87"/>
      <c r="C953" s="85"/>
      <c r="D953" s="76"/>
      <c r="H953" s="88"/>
      <c r="J953" s="53" t="str">
        <f>IFERROR(__xludf.DUMMYFUNCTION("IF(ISBLANK(B953),"""",IF(ISDATE(B953),""X"",""""))"),"")</f>
        <v/>
      </c>
      <c r="K953" s="40" t="str">
        <f>IFERROR(__xludf.DUMMYFUNCTION("IF(ISBLANK(B953),"""",IF(ISDATE(B953),H953,""""))"),"")</f>
        <v/>
      </c>
      <c r="L953" s="40" t="str">
        <f>IFERROR(__xludf.DUMMYFUNCTION("IF(ISBLANK(B953),"""",IF(ISDATE(B953),TEXT(B953,""M""),""""))"),"")</f>
        <v/>
      </c>
      <c r="M953" s="29" t="str">
        <f>IFERROR(__xludf.DUMMYFUNCTION("IF(L953="""","""",QUERY({'Dashboard-Dados'!$Y$2:$AA$13},""Select Col2 Where Col1=""&amp;L953))"),"")</f>
        <v/>
      </c>
      <c r="N953" s="29" t="str">
        <f>IFERROR(__xludf.DUMMYFUNCTION("IF(ISBLANK(B953),"""",IF(ISDATE(B953),TEXT(B953,""yyyy""),""""))"),"")</f>
        <v/>
      </c>
    </row>
    <row r="954">
      <c r="B954" s="89"/>
      <c r="C954" s="86"/>
      <c r="D954" s="71"/>
      <c r="H954" s="90"/>
      <c r="J954" s="53" t="str">
        <f>IFERROR(__xludf.DUMMYFUNCTION("IF(ISBLANK(B954),"""",IF(ISDATE(B954),""X"",""""))"),"")</f>
        <v/>
      </c>
      <c r="K954" s="40" t="str">
        <f>IFERROR(__xludf.DUMMYFUNCTION("IF(ISBLANK(B954),"""",IF(ISDATE(B954),H954,""""))"),"")</f>
        <v/>
      </c>
      <c r="L954" s="40" t="str">
        <f>IFERROR(__xludf.DUMMYFUNCTION("IF(ISBLANK(B954),"""",IF(ISDATE(B954),TEXT(B954,""M""),""""))"),"")</f>
        <v/>
      </c>
      <c r="M954" s="29" t="str">
        <f>IFERROR(__xludf.DUMMYFUNCTION("IF(L954="""","""",QUERY({'Dashboard-Dados'!$Y$2:$AA$13},""Select Col2 Where Col1=""&amp;L954))"),"")</f>
        <v/>
      </c>
      <c r="N954" s="29" t="str">
        <f>IFERROR(__xludf.DUMMYFUNCTION("IF(ISBLANK(B954),"""",IF(ISDATE(B954),TEXT(B954,""yyyy""),""""))"),"")</f>
        <v/>
      </c>
    </row>
    <row r="955">
      <c r="B955" s="87"/>
      <c r="C955" s="85"/>
      <c r="D955" s="76"/>
      <c r="H955" s="88"/>
      <c r="J955" s="53" t="str">
        <f>IFERROR(__xludf.DUMMYFUNCTION("IF(ISBLANK(B955),"""",IF(ISDATE(B955),""X"",""""))"),"")</f>
        <v/>
      </c>
      <c r="K955" s="40" t="str">
        <f>IFERROR(__xludf.DUMMYFUNCTION("IF(ISBLANK(B955),"""",IF(ISDATE(B955),H955,""""))"),"")</f>
        <v/>
      </c>
      <c r="L955" s="40" t="str">
        <f>IFERROR(__xludf.DUMMYFUNCTION("IF(ISBLANK(B955),"""",IF(ISDATE(B955),TEXT(B955,""M""),""""))"),"")</f>
        <v/>
      </c>
      <c r="M955" s="29" t="str">
        <f>IFERROR(__xludf.DUMMYFUNCTION("IF(L955="""","""",QUERY({'Dashboard-Dados'!$Y$2:$AA$13},""Select Col2 Where Col1=""&amp;L955))"),"")</f>
        <v/>
      </c>
      <c r="N955" s="29" t="str">
        <f>IFERROR(__xludf.DUMMYFUNCTION("IF(ISBLANK(B955),"""",IF(ISDATE(B955),TEXT(B955,""yyyy""),""""))"),"")</f>
        <v/>
      </c>
    </row>
    <row r="956">
      <c r="B956" s="89"/>
      <c r="C956" s="86"/>
      <c r="D956" s="71"/>
      <c r="H956" s="90"/>
      <c r="J956" s="53" t="str">
        <f>IFERROR(__xludf.DUMMYFUNCTION("IF(ISBLANK(B956),"""",IF(ISDATE(B956),""X"",""""))"),"")</f>
        <v/>
      </c>
      <c r="K956" s="40" t="str">
        <f>IFERROR(__xludf.DUMMYFUNCTION("IF(ISBLANK(B956),"""",IF(ISDATE(B956),H956,""""))"),"")</f>
        <v/>
      </c>
      <c r="L956" s="40" t="str">
        <f>IFERROR(__xludf.DUMMYFUNCTION("IF(ISBLANK(B956),"""",IF(ISDATE(B956),TEXT(B956,""M""),""""))"),"")</f>
        <v/>
      </c>
      <c r="M956" s="29" t="str">
        <f>IFERROR(__xludf.DUMMYFUNCTION("IF(L956="""","""",QUERY({'Dashboard-Dados'!$Y$2:$AA$13},""Select Col2 Where Col1=""&amp;L956))"),"")</f>
        <v/>
      </c>
      <c r="N956" s="29" t="str">
        <f>IFERROR(__xludf.DUMMYFUNCTION("IF(ISBLANK(B956),"""",IF(ISDATE(B956),TEXT(B956,""yyyy""),""""))"),"")</f>
        <v/>
      </c>
    </row>
    <row r="957">
      <c r="B957" s="87"/>
      <c r="C957" s="85"/>
      <c r="D957" s="76"/>
      <c r="H957" s="88"/>
      <c r="J957" s="53" t="str">
        <f>IFERROR(__xludf.DUMMYFUNCTION("IF(ISBLANK(B957),"""",IF(ISDATE(B957),""X"",""""))"),"")</f>
        <v/>
      </c>
      <c r="K957" s="40" t="str">
        <f>IFERROR(__xludf.DUMMYFUNCTION("IF(ISBLANK(B957),"""",IF(ISDATE(B957),H957,""""))"),"")</f>
        <v/>
      </c>
      <c r="L957" s="40" t="str">
        <f>IFERROR(__xludf.DUMMYFUNCTION("IF(ISBLANK(B957),"""",IF(ISDATE(B957),TEXT(B957,""M""),""""))"),"")</f>
        <v/>
      </c>
      <c r="M957" s="29" t="str">
        <f>IFERROR(__xludf.DUMMYFUNCTION("IF(L957="""","""",QUERY({'Dashboard-Dados'!$Y$2:$AA$13},""Select Col2 Where Col1=""&amp;L957))"),"")</f>
        <v/>
      </c>
      <c r="N957" s="29" t="str">
        <f>IFERROR(__xludf.DUMMYFUNCTION("IF(ISBLANK(B957),"""",IF(ISDATE(B957),TEXT(B957,""yyyy""),""""))"),"")</f>
        <v/>
      </c>
    </row>
    <row r="958">
      <c r="B958" s="89"/>
      <c r="C958" s="86"/>
      <c r="D958" s="71"/>
      <c r="H958" s="90"/>
      <c r="J958" s="53" t="str">
        <f>IFERROR(__xludf.DUMMYFUNCTION("IF(ISBLANK(B958),"""",IF(ISDATE(B958),""X"",""""))"),"")</f>
        <v/>
      </c>
      <c r="K958" s="40" t="str">
        <f>IFERROR(__xludf.DUMMYFUNCTION("IF(ISBLANK(B958),"""",IF(ISDATE(B958),H958,""""))"),"")</f>
        <v/>
      </c>
      <c r="L958" s="40" t="str">
        <f>IFERROR(__xludf.DUMMYFUNCTION("IF(ISBLANK(B958),"""",IF(ISDATE(B958),TEXT(B958,""M""),""""))"),"")</f>
        <v/>
      </c>
      <c r="M958" s="29" t="str">
        <f>IFERROR(__xludf.DUMMYFUNCTION("IF(L958="""","""",QUERY({'Dashboard-Dados'!$Y$2:$AA$13},""Select Col2 Where Col1=""&amp;L958))"),"")</f>
        <v/>
      </c>
      <c r="N958" s="29" t="str">
        <f>IFERROR(__xludf.DUMMYFUNCTION("IF(ISBLANK(B958),"""",IF(ISDATE(B958),TEXT(B958,""yyyy""),""""))"),"")</f>
        <v/>
      </c>
    </row>
    <row r="959">
      <c r="B959" s="87"/>
      <c r="C959" s="85"/>
      <c r="D959" s="76"/>
      <c r="H959" s="88"/>
      <c r="J959" s="53" t="str">
        <f>IFERROR(__xludf.DUMMYFUNCTION("IF(ISBLANK(B959),"""",IF(ISDATE(B959),""X"",""""))"),"")</f>
        <v/>
      </c>
      <c r="K959" s="40" t="str">
        <f>IFERROR(__xludf.DUMMYFUNCTION("IF(ISBLANK(B959),"""",IF(ISDATE(B959),H959,""""))"),"")</f>
        <v/>
      </c>
      <c r="L959" s="40" t="str">
        <f>IFERROR(__xludf.DUMMYFUNCTION("IF(ISBLANK(B959),"""",IF(ISDATE(B959),TEXT(B959,""M""),""""))"),"")</f>
        <v/>
      </c>
      <c r="M959" s="29" t="str">
        <f>IFERROR(__xludf.DUMMYFUNCTION("IF(L959="""","""",QUERY({'Dashboard-Dados'!$Y$2:$AA$13},""Select Col2 Where Col1=""&amp;L959))"),"")</f>
        <v/>
      </c>
      <c r="N959" s="29" t="str">
        <f>IFERROR(__xludf.DUMMYFUNCTION("IF(ISBLANK(B959),"""",IF(ISDATE(B959),TEXT(B959,""yyyy""),""""))"),"")</f>
        <v/>
      </c>
    </row>
    <row r="960">
      <c r="B960" s="89"/>
      <c r="C960" s="86"/>
      <c r="D960" s="71"/>
      <c r="H960" s="90"/>
      <c r="J960" s="53" t="str">
        <f>IFERROR(__xludf.DUMMYFUNCTION("IF(ISBLANK(B960),"""",IF(ISDATE(B960),""X"",""""))"),"")</f>
        <v/>
      </c>
      <c r="K960" s="40" t="str">
        <f>IFERROR(__xludf.DUMMYFUNCTION("IF(ISBLANK(B960),"""",IF(ISDATE(B960),H960,""""))"),"")</f>
        <v/>
      </c>
      <c r="L960" s="40" t="str">
        <f>IFERROR(__xludf.DUMMYFUNCTION("IF(ISBLANK(B960),"""",IF(ISDATE(B960),TEXT(B960,""M""),""""))"),"")</f>
        <v/>
      </c>
      <c r="M960" s="29" t="str">
        <f>IFERROR(__xludf.DUMMYFUNCTION("IF(L960="""","""",QUERY({'Dashboard-Dados'!$Y$2:$AA$13},""Select Col2 Where Col1=""&amp;L960))"),"")</f>
        <v/>
      </c>
      <c r="N960" s="29" t="str">
        <f>IFERROR(__xludf.DUMMYFUNCTION("IF(ISBLANK(B960),"""",IF(ISDATE(B960),TEXT(B960,""yyyy""),""""))"),"")</f>
        <v/>
      </c>
    </row>
    <row r="961">
      <c r="B961" s="87"/>
      <c r="C961" s="85"/>
      <c r="D961" s="76"/>
      <c r="H961" s="88"/>
      <c r="J961" s="53" t="str">
        <f>IFERROR(__xludf.DUMMYFUNCTION("IF(ISBLANK(B961),"""",IF(ISDATE(B961),""X"",""""))"),"")</f>
        <v/>
      </c>
      <c r="K961" s="40" t="str">
        <f>IFERROR(__xludf.DUMMYFUNCTION("IF(ISBLANK(B961),"""",IF(ISDATE(B961),H961,""""))"),"")</f>
        <v/>
      </c>
      <c r="L961" s="40" t="str">
        <f>IFERROR(__xludf.DUMMYFUNCTION("IF(ISBLANK(B961),"""",IF(ISDATE(B961),TEXT(B961,""M""),""""))"),"")</f>
        <v/>
      </c>
      <c r="M961" s="29" t="str">
        <f>IFERROR(__xludf.DUMMYFUNCTION("IF(L961="""","""",QUERY({'Dashboard-Dados'!$Y$2:$AA$13},""Select Col2 Where Col1=""&amp;L961))"),"")</f>
        <v/>
      </c>
      <c r="N961" s="29" t="str">
        <f>IFERROR(__xludf.DUMMYFUNCTION("IF(ISBLANK(B961),"""",IF(ISDATE(B961),TEXT(B961,""yyyy""),""""))"),"")</f>
        <v/>
      </c>
    </row>
    <row r="962">
      <c r="B962" s="89"/>
      <c r="C962" s="86"/>
      <c r="D962" s="71"/>
      <c r="H962" s="90"/>
      <c r="J962" s="53" t="str">
        <f>IFERROR(__xludf.DUMMYFUNCTION("IF(ISBLANK(B962),"""",IF(ISDATE(B962),""X"",""""))"),"")</f>
        <v/>
      </c>
      <c r="K962" s="40" t="str">
        <f>IFERROR(__xludf.DUMMYFUNCTION("IF(ISBLANK(B962),"""",IF(ISDATE(B962),H962,""""))"),"")</f>
        <v/>
      </c>
      <c r="L962" s="40" t="str">
        <f>IFERROR(__xludf.DUMMYFUNCTION("IF(ISBLANK(B962),"""",IF(ISDATE(B962),TEXT(B962,""M""),""""))"),"")</f>
        <v/>
      </c>
      <c r="M962" s="29" t="str">
        <f>IFERROR(__xludf.DUMMYFUNCTION("IF(L962="""","""",QUERY({'Dashboard-Dados'!$Y$2:$AA$13},""Select Col2 Where Col1=""&amp;L962))"),"")</f>
        <v/>
      </c>
      <c r="N962" s="29" t="str">
        <f>IFERROR(__xludf.DUMMYFUNCTION("IF(ISBLANK(B962),"""",IF(ISDATE(B962),TEXT(B962,""yyyy""),""""))"),"")</f>
        <v/>
      </c>
    </row>
    <row r="963">
      <c r="B963" s="87"/>
      <c r="C963" s="85"/>
      <c r="D963" s="76"/>
      <c r="H963" s="88"/>
      <c r="J963" s="53" t="str">
        <f>IFERROR(__xludf.DUMMYFUNCTION("IF(ISBLANK(B963),"""",IF(ISDATE(B963),""X"",""""))"),"")</f>
        <v/>
      </c>
      <c r="K963" s="40" t="str">
        <f>IFERROR(__xludf.DUMMYFUNCTION("IF(ISBLANK(B963),"""",IF(ISDATE(B963),H963,""""))"),"")</f>
        <v/>
      </c>
      <c r="L963" s="40" t="str">
        <f>IFERROR(__xludf.DUMMYFUNCTION("IF(ISBLANK(B963),"""",IF(ISDATE(B963),TEXT(B963,""M""),""""))"),"")</f>
        <v/>
      </c>
      <c r="M963" s="29" t="str">
        <f>IFERROR(__xludf.DUMMYFUNCTION("IF(L963="""","""",QUERY({'Dashboard-Dados'!$Y$2:$AA$13},""Select Col2 Where Col1=""&amp;L963))"),"")</f>
        <v/>
      </c>
      <c r="N963" s="29" t="str">
        <f>IFERROR(__xludf.DUMMYFUNCTION("IF(ISBLANK(B963),"""",IF(ISDATE(B963),TEXT(B963,""yyyy""),""""))"),"")</f>
        <v/>
      </c>
    </row>
    <row r="964">
      <c r="B964" s="89"/>
      <c r="C964" s="86"/>
      <c r="D964" s="71"/>
      <c r="H964" s="90"/>
      <c r="J964" s="53" t="str">
        <f>IFERROR(__xludf.DUMMYFUNCTION("IF(ISBLANK(B964),"""",IF(ISDATE(B964),""X"",""""))"),"")</f>
        <v/>
      </c>
      <c r="K964" s="40" t="str">
        <f>IFERROR(__xludf.DUMMYFUNCTION("IF(ISBLANK(B964),"""",IF(ISDATE(B964),H964,""""))"),"")</f>
        <v/>
      </c>
      <c r="L964" s="40" t="str">
        <f>IFERROR(__xludf.DUMMYFUNCTION("IF(ISBLANK(B964),"""",IF(ISDATE(B964),TEXT(B964,""M""),""""))"),"")</f>
        <v/>
      </c>
      <c r="M964" s="29" t="str">
        <f>IFERROR(__xludf.DUMMYFUNCTION("IF(L964="""","""",QUERY({'Dashboard-Dados'!$Y$2:$AA$13},""Select Col2 Where Col1=""&amp;L964))"),"")</f>
        <v/>
      </c>
      <c r="N964" s="29" t="str">
        <f>IFERROR(__xludf.DUMMYFUNCTION("IF(ISBLANK(B964),"""",IF(ISDATE(B964),TEXT(B964,""yyyy""),""""))"),"")</f>
        <v/>
      </c>
    </row>
    <row r="965">
      <c r="B965" s="87"/>
      <c r="C965" s="85"/>
      <c r="D965" s="76"/>
      <c r="H965" s="88"/>
      <c r="J965" s="53" t="str">
        <f>IFERROR(__xludf.DUMMYFUNCTION("IF(ISBLANK(B965),"""",IF(ISDATE(B965),""X"",""""))"),"")</f>
        <v/>
      </c>
      <c r="K965" s="40" t="str">
        <f>IFERROR(__xludf.DUMMYFUNCTION("IF(ISBLANK(B965),"""",IF(ISDATE(B965),H965,""""))"),"")</f>
        <v/>
      </c>
      <c r="L965" s="40" t="str">
        <f>IFERROR(__xludf.DUMMYFUNCTION("IF(ISBLANK(B965),"""",IF(ISDATE(B965),TEXT(B965,""M""),""""))"),"")</f>
        <v/>
      </c>
      <c r="M965" s="29" t="str">
        <f>IFERROR(__xludf.DUMMYFUNCTION("IF(L965="""","""",QUERY({'Dashboard-Dados'!$Y$2:$AA$13},""Select Col2 Where Col1=""&amp;L965))"),"")</f>
        <v/>
      </c>
      <c r="N965" s="29" t="str">
        <f>IFERROR(__xludf.DUMMYFUNCTION("IF(ISBLANK(B965),"""",IF(ISDATE(B965),TEXT(B965,""yyyy""),""""))"),"")</f>
        <v/>
      </c>
    </row>
    <row r="966">
      <c r="B966" s="89"/>
      <c r="C966" s="86"/>
      <c r="D966" s="71"/>
      <c r="H966" s="90"/>
      <c r="J966" s="53" t="str">
        <f>IFERROR(__xludf.DUMMYFUNCTION("IF(ISBLANK(B966),"""",IF(ISDATE(B966),""X"",""""))"),"")</f>
        <v/>
      </c>
      <c r="K966" s="40" t="str">
        <f>IFERROR(__xludf.DUMMYFUNCTION("IF(ISBLANK(B966),"""",IF(ISDATE(B966),H966,""""))"),"")</f>
        <v/>
      </c>
      <c r="L966" s="40" t="str">
        <f>IFERROR(__xludf.DUMMYFUNCTION("IF(ISBLANK(B966),"""",IF(ISDATE(B966),TEXT(B966,""M""),""""))"),"")</f>
        <v/>
      </c>
      <c r="M966" s="29" t="str">
        <f>IFERROR(__xludf.DUMMYFUNCTION("IF(L966="""","""",QUERY({'Dashboard-Dados'!$Y$2:$AA$13},""Select Col2 Where Col1=""&amp;L966))"),"")</f>
        <v/>
      </c>
      <c r="N966" s="29" t="str">
        <f>IFERROR(__xludf.DUMMYFUNCTION("IF(ISBLANK(B966),"""",IF(ISDATE(B966),TEXT(B966,""yyyy""),""""))"),"")</f>
        <v/>
      </c>
    </row>
    <row r="967">
      <c r="B967" s="87"/>
      <c r="C967" s="85"/>
      <c r="D967" s="76"/>
      <c r="H967" s="88"/>
      <c r="J967" s="53" t="str">
        <f>IFERROR(__xludf.DUMMYFUNCTION("IF(ISBLANK(B967),"""",IF(ISDATE(B967),""X"",""""))"),"")</f>
        <v/>
      </c>
      <c r="K967" s="40" t="str">
        <f>IFERROR(__xludf.DUMMYFUNCTION("IF(ISBLANK(B967),"""",IF(ISDATE(B967),H967,""""))"),"")</f>
        <v/>
      </c>
      <c r="L967" s="40" t="str">
        <f>IFERROR(__xludf.DUMMYFUNCTION("IF(ISBLANK(B967),"""",IF(ISDATE(B967),TEXT(B967,""M""),""""))"),"")</f>
        <v/>
      </c>
      <c r="M967" s="29" t="str">
        <f>IFERROR(__xludf.DUMMYFUNCTION("IF(L967="""","""",QUERY({'Dashboard-Dados'!$Y$2:$AA$13},""Select Col2 Where Col1=""&amp;L967))"),"")</f>
        <v/>
      </c>
      <c r="N967" s="29" t="str">
        <f>IFERROR(__xludf.DUMMYFUNCTION("IF(ISBLANK(B967),"""",IF(ISDATE(B967),TEXT(B967,""yyyy""),""""))"),"")</f>
        <v/>
      </c>
    </row>
    <row r="968">
      <c r="B968" s="89"/>
      <c r="C968" s="86"/>
      <c r="D968" s="71"/>
      <c r="H968" s="90"/>
      <c r="J968" s="53" t="str">
        <f>IFERROR(__xludf.DUMMYFUNCTION("IF(ISBLANK(B968),"""",IF(ISDATE(B968),""X"",""""))"),"")</f>
        <v/>
      </c>
      <c r="K968" s="40" t="str">
        <f>IFERROR(__xludf.DUMMYFUNCTION("IF(ISBLANK(B968),"""",IF(ISDATE(B968),H968,""""))"),"")</f>
        <v/>
      </c>
      <c r="L968" s="40" t="str">
        <f>IFERROR(__xludf.DUMMYFUNCTION("IF(ISBLANK(B968),"""",IF(ISDATE(B968),TEXT(B968,""M""),""""))"),"")</f>
        <v/>
      </c>
      <c r="M968" s="29" t="str">
        <f>IFERROR(__xludf.DUMMYFUNCTION("IF(L968="""","""",QUERY({'Dashboard-Dados'!$Y$2:$AA$13},""Select Col2 Where Col1=""&amp;L968))"),"")</f>
        <v/>
      </c>
      <c r="N968" s="29" t="str">
        <f>IFERROR(__xludf.DUMMYFUNCTION("IF(ISBLANK(B968),"""",IF(ISDATE(B968),TEXT(B968,""yyyy""),""""))"),"")</f>
        <v/>
      </c>
    </row>
    <row r="969">
      <c r="B969" s="87"/>
      <c r="C969" s="85"/>
      <c r="D969" s="76"/>
      <c r="H969" s="88"/>
      <c r="J969" s="53" t="str">
        <f>IFERROR(__xludf.DUMMYFUNCTION("IF(ISBLANK(B969),"""",IF(ISDATE(B969),""X"",""""))"),"")</f>
        <v/>
      </c>
      <c r="K969" s="40" t="str">
        <f>IFERROR(__xludf.DUMMYFUNCTION("IF(ISBLANK(B969),"""",IF(ISDATE(B969),H969,""""))"),"")</f>
        <v/>
      </c>
      <c r="L969" s="40" t="str">
        <f>IFERROR(__xludf.DUMMYFUNCTION("IF(ISBLANK(B969),"""",IF(ISDATE(B969),TEXT(B969,""M""),""""))"),"")</f>
        <v/>
      </c>
      <c r="M969" s="29" t="str">
        <f>IFERROR(__xludf.DUMMYFUNCTION("IF(L969="""","""",QUERY({'Dashboard-Dados'!$Y$2:$AA$13},""Select Col2 Where Col1=""&amp;L969))"),"")</f>
        <v/>
      </c>
      <c r="N969" s="29" t="str">
        <f>IFERROR(__xludf.DUMMYFUNCTION("IF(ISBLANK(B969),"""",IF(ISDATE(B969),TEXT(B969,""yyyy""),""""))"),"")</f>
        <v/>
      </c>
    </row>
    <row r="970">
      <c r="B970" s="89"/>
      <c r="C970" s="86"/>
      <c r="D970" s="71"/>
      <c r="H970" s="90"/>
      <c r="J970" s="53" t="str">
        <f>IFERROR(__xludf.DUMMYFUNCTION("IF(ISBLANK(B970),"""",IF(ISDATE(B970),""X"",""""))"),"")</f>
        <v/>
      </c>
      <c r="K970" s="40" t="str">
        <f>IFERROR(__xludf.DUMMYFUNCTION("IF(ISBLANK(B970),"""",IF(ISDATE(B970),H970,""""))"),"")</f>
        <v/>
      </c>
      <c r="L970" s="40" t="str">
        <f>IFERROR(__xludf.DUMMYFUNCTION("IF(ISBLANK(B970),"""",IF(ISDATE(B970),TEXT(B970,""M""),""""))"),"")</f>
        <v/>
      </c>
      <c r="M970" s="29" t="str">
        <f>IFERROR(__xludf.DUMMYFUNCTION("IF(L970="""","""",QUERY({'Dashboard-Dados'!$Y$2:$AA$13},""Select Col2 Where Col1=""&amp;L970))"),"")</f>
        <v/>
      </c>
      <c r="N970" s="29" t="str">
        <f>IFERROR(__xludf.DUMMYFUNCTION("IF(ISBLANK(B970),"""",IF(ISDATE(B970),TEXT(B970,""yyyy""),""""))"),"")</f>
        <v/>
      </c>
    </row>
    <row r="971">
      <c r="B971" s="87"/>
      <c r="C971" s="85"/>
      <c r="D971" s="76"/>
      <c r="H971" s="88"/>
      <c r="J971" s="53" t="str">
        <f>IFERROR(__xludf.DUMMYFUNCTION("IF(ISBLANK(B971),"""",IF(ISDATE(B971),""X"",""""))"),"")</f>
        <v/>
      </c>
      <c r="K971" s="40" t="str">
        <f>IFERROR(__xludf.DUMMYFUNCTION("IF(ISBLANK(B971),"""",IF(ISDATE(B971),H971,""""))"),"")</f>
        <v/>
      </c>
      <c r="L971" s="40" t="str">
        <f>IFERROR(__xludf.DUMMYFUNCTION("IF(ISBLANK(B971),"""",IF(ISDATE(B971),TEXT(B971,""M""),""""))"),"")</f>
        <v/>
      </c>
      <c r="M971" s="29" t="str">
        <f>IFERROR(__xludf.DUMMYFUNCTION("IF(L971="""","""",QUERY({'Dashboard-Dados'!$Y$2:$AA$13},""Select Col2 Where Col1=""&amp;L971))"),"")</f>
        <v/>
      </c>
      <c r="N971" s="29" t="str">
        <f>IFERROR(__xludf.DUMMYFUNCTION("IF(ISBLANK(B971),"""",IF(ISDATE(B971),TEXT(B971,""yyyy""),""""))"),"")</f>
        <v/>
      </c>
    </row>
    <row r="972">
      <c r="B972" s="89"/>
      <c r="C972" s="86"/>
      <c r="D972" s="71"/>
      <c r="H972" s="90"/>
      <c r="J972" s="53" t="str">
        <f>IFERROR(__xludf.DUMMYFUNCTION("IF(ISBLANK(B972),"""",IF(ISDATE(B972),""X"",""""))"),"")</f>
        <v/>
      </c>
      <c r="K972" s="40" t="str">
        <f>IFERROR(__xludf.DUMMYFUNCTION("IF(ISBLANK(B972),"""",IF(ISDATE(B972),H972,""""))"),"")</f>
        <v/>
      </c>
      <c r="L972" s="40" t="str">
        <f>IFERROR(__xludf.DUMMYFUNCTION("IF(ISBLANK(B972),"""",IF(ISDATE(B972),TEXT(B972,""M""),""""))"),"")</f>
        <v/>
      </c>
      <c r="M972" s="29" t="str">
        <f>IFERROR(__xludf.DUMMYFUNCTION("IF(L972="""","""",QUERY({'Dashboard-Dados'!$Y$2:$AA$13},""Select Col2 Where Col1=""&amp;L972))"),"")</f>
        <v/>
      </c>
      <c r="N972" s="29" t="str">
        <f>IFERROR(__xludf.DUMMYFUNCTION("IF(ISBLANK(B972),"""",IF(ISDATE(B972),TEXT(B972,""yyyy""),""""))"),"")</f>
        <v/>
      </c>
    </row>
    <row r="973">
      <c r="B973" s="87"/>
      <c r="C973" s="85"/>
      <c r="D973" s="76"/>
      <c r="H973" s="88"/>
      <c r="J973" s="53" t="str">
        <f>IFERROR(__xludf.DUMMYFUNCTION("IF(ISBLANK(B973),"""",IF(ISDATE(B973),""X"",""""))"),"")</f>
        <v/>
      </c>
      <c r="K973" s="40" t="str">
        <f>IFERROR(__xludf.DUMMYFUNCTION("IF(ISBLANK(B973),"""",IF(ISDATE(B973),H973,""""))"),"")</f>
        <v/>
      </c>
      <c r="L973" s="40" t="str">
        <f>IFERROR(__xludf.DUMMYFUNCTION("IF(ISBLANK(B973),"""",IF(ISDATE(B973),TEXT(B973,""M""),""""))"),"")</f>
        <v/>
      </c>
      <c r="M973" s="29" t="str">
        <f>IFERROR(__xludf.DUMMYFUNCTION("IF(L973="""","""",QUERY({'Dashboard-Dados'!$Y$2:$AA$13},""Select Col2 Where Col1=""&amp;L973))"),"")</f>
        <v/>
      </c>
      <c r="N973" s="29" t="str">
        <f>IFERROR(__xludf.DUMMYFUNCTION("IF(ISBLANK(B973),"""",IF(ISDATE(B973),TEXT(B973,""yyyy""),""""))"),"")</f>
        <v/>
      </c>
    </row>
    <row r="974">
      <c r="B974" s="89"/>
      <c r="C974" s="86"/>
      <c r="D974" s="71"/>
      <c r="H974" s="90"/>
      <c r="J974" s="53" t="str">
        <f>IFERROR(__xludf.DUMMYFUNCTION("IF(ISBLANK(B974),"""",IF(ISDATE(B974),""X"",""""))"),"")</f>
        <v/>
      </c>
      <c r="K974" s="40" t="str">
        <f>IFERROR(__xludf.DUMMYFUNCTION("IF(ISBLANK(B974),"""",IF(ISDATE(B974),H974,""""))"),"")</f>
        <v/>
      </c>
      <c r="L974" s="40" t="str">
        <f>IFERROR(__xludf.DUMMYFUNCTION("IF(ISBLANK(B974),"""",IF(ISDATE(B974),TEXT(B974,""M""),""""))"),"")</f>
        <v/>
      </c>
      <c r="M974" s="29" t="str">
        <f>IFERROR(__xludf.DUMMYFUNCTION("IF(L974="""","""",QUERY({'Dashboard-Dados'!$Y$2:$AA$13},""Select Col2 Where Col1=""&amp;L974))"),"")</f>
        <v/>
      </c>
      <c r="N974" s="29" t="str">
        <f>IFERROR(__xludf.DUMMYFUNCTION("IF(ISBLANK(B974),"""",IF(ISDATE(B974),TEXT(B974,""yyyy""),""""))"),"")</f>
        <v/>
      </c>
    </row>
    <row r="975">
      <c r="B975" s="87"/>
      <c r="C975" s="85"/>
      <c r="D975" s="76"/>
      <c r="H975" s="88"/>
      <c r="J975" s="53" t="str">
        <f>IFERROR(__xludf.DUMMYFUNCTION("IF(ISBLANK(B975),"""",IF(ISDATE(B975),""X"",""""))"),"")</f>
        <v/>
      </c>
      <c r="K975" s="40" t="str">
        <f>IFERROR(__xludf.DUMMYFUNCTION("IF(ISBLANK(B975),"""",IF(ISDATE(B975),H975,""""))"),"")</f>
        <v/>
      </c>
      <c r="L975" s="40" t="str">
        <f>IFERROR(__xludf.DUMMYFUNCTION("IF(ISBLANK(B975),"""",IF(ISDATE(B975),TEXT(B975,""M""),""""))"),"")</f>
        <v/>
      </c>
      <c r="M975" s="29" t="str">
        <f>IFERROR(__xludf.DUMMYFUNCTION("IF(L975="""","""",QUERY({'Dashboard-Dados'!$Y$2:$AA$13},""Select Col2 Where Col1=""&amp;L975))"),"")</f>
        <v/>
      </c>
      <c r="N975" s="29" t="str">
        <f>IFERROR(__xludf.DUMMYFUNCTION("IF(ISBLANK(B975),"""",IF(ISDATE(B975),TEXT(B975,""yyyy""),""""))"),"")</f>
        <v/>
      </c>
    </row>
    <row r="976">
      <c r="B976" s="89"/>
      <c r="C976" s="86"/>
      <c r="D976" s="71"/>
      <c r="H976" s="90"/>
      <c r="J976" s="53" t="str">
        <f>IFERROR(__xludf.DUMMYFUNCTION("IF(ISBLANK(B976),"""",IF(ISDATE(B976),""X"",""""))"),"")</f>
        <v/>
      </c>
      <c r="K976" s="40" t="str">
        <f>IFERROR(__xludf.DUMMYFUNCTION("IF(ISBLANK(B976),"""",IF(ISDATE(B976),H976,""""))"),"")</f>
        <v/>
      </c>
      <c r="L976" s="40" t="str">
        <f>IFERROR(__xludf.DUMMYFUNCTION("IF(ISBLANK(B976),"""",IF(ISDATE(B976),TEXT(B976,""M""),""""))"),"")</f>
        <v/>
      </c>
      <c r="M976" s="29" t="str">
        <f>IFERROR(__xludf.DUMMYFUNCTION("IF(L976="""","""",QUERY({'Dashboard-Dados'!$Y$2:$AA$13},""Select Col2 Where Col1=""&amp;L976))"),"")</f>
        <v/>
      </c>
      <c r="N976" s="29" t="str">
        <f>IFERROR(__xludf.DUMMYFUNCTION("IF(ISBLANK(B976),"""",IF(ISDATE(B976),TEXT(B976,""yyyy""),""""))"),"")</f>
        <v/>
      </c>
    </row>
    <row r="977">
      <c r="B977" s="87"/>
      <c r="C977" s="85"/>
      <c r="D977" s="76"/>
      <c r="H977" s="88"/>
      <c r="J977" s="53" t="str">
        <f>IFERROR(__xludf.DUMMYFUNCTION("IF(ISBLANK(B977),"""",IF(ISDATE(B977),""X"",""""))"),"")</f>
        <v/>
      </c>
      <c r="K977" s="40" t="str">
        <f>IFERROR(__xludf.DUMMYFUNCTION("IF(ISBLANK(B977),"""",IF(ISDATE(B977),H977,""""))"),"")</f>
        <v/>
      </c>
      <c r="L977" s="40" t="str">
        <f>IFERROR(__xludf.DUMMYFUNCTION("IF(ISBLANK(B977),"""",IF(ISDATE(B977),TEXT(B977,""M""),""""))"),"")</f>
        <v/>
      </c>
      <c r="M977" s="29" t="str">
        <f>IFERROR(__xludf.DUMMYFUNCTION("IF(L977="""","""",QUERY({'Dashboard-Dados'!$Y$2:$AA$13},""Select Col2 Where Col1=""&amp;L977))"),"")</f>
        <v/>
      </c>
      <c r="N977" s="29" t="str">
        <f>IFERROR(__xludf.DUMMYFUNCTION("IF(ISBLANK(B977),"""",IF(ISDATE(B977),TEXT(B977,""yyyy""),""""))"),"")</f>
        <v/>
      </c>
    </row>
    <row r="978">
      <c r="B978" s="89"/>
      <c r="C978" s="86"/>
      <c r="D978" s="71"/>
      <c r="H978" s="90"/>
      <c r="J978" s="53" t="str">
        <f>IFERROR(__xludf.DUMMYFUNCTION("IF(ISBLANK(B978),"""",IF(ISDATE(B978),""X"",""""))"),"")</f>
        <v/>
      </c>
      <c r="K978" s="40" t="str">
        <f>IFERROR(__xludf.DUMMYFUNCTION("IF(ISBLANK(B978),"""",IF(ISDATE(B978),H978,""""))"),"")</f>
        <v/>
      </c>
      <c r="L978" s="40" t="str">
        <f>IFERROR(__xludf.DUMMYFUNCTION("IF(ISBLANK(B978),"""",IF(ISDATE(B978),TEXT(B978,""M""),""""))"),"")</f>
        <v/>
      </c>
      <c r="M978" s="29" t="str">
        <f>IFERROR(__xludf.DUMMYFUNCTION("IF(L978="""","""",QUERY({'Dashboard-Dados'!$Y$2:$AA$13},""Select Col2 Where Col1=""&amp;L978))"),"")</f>
        <v/>
      </c>
      <c r="N978" s="29" t="str">
        <f>IFERROR(__xludf.DUMMYFUNCTION("IF(ISBLANK(B978),"""",IF(ISDATE(B978),TEXT(B978,""yyyy""),""""))"),"")</f>
        <v/>
      </c>
    </row>
    <row r="979">
      <c r="B979" s="87"/>
      <c r="C979" s="85"/>
      <c r="D979" s="76"/>
      <c r="H979" s="88"/>
      <c r="J979" s="53" t="str">
        <f>IFERROR(__xludf.DUMMYFUNCTION("IF(ISBLANK(B979),"""",IF(ISDATE(B979),""X"",""""))"),"")</f>
        <v/>
      </c>
      <c r="K979" s="40" t="str">
        <f>IFERROR(__xludf.DUMMYFUNCTION("IF(ISBLANK(B979),"""",IF(ISDATE(B979),H979,""""))"),"")</f>
        <v/>
      </c>
      <c r="L979" s="40" t="str">
        <f>IFERROR(__xludf.DUMMYFUNCTION("IF(ISBLANK(B979),"""",IF(ISDATE(B979),TEXT(B979,""M""),""""))"),"")</f>
        <v/>
      </c>
      <c r="M979" s="29" t="str">
        <f>IFERROR(__xludf.DUMMYFUNCTION("IF(L979="""","""",QUERY({'Dashboard-Dados'!$Y$2:$AA$13},""Select Col2 Where Col1=""&amp;L979))"),"")</f>
        <v/>
      </c>
      <c r="N979" s="29" t="str">
        <f>IFERROR(__xludf.DUMMYFUNCTION("IF(ISBLANK(B979),"""",IF(ISDATE(B979),TEXT(B979,""yyyy""),""""))"),"")</f>
        <v/>
      </c>
    </row>
    <row r="980">
      <c r="B980" s="89"/>
      <c r="C980" s="86"/>
      <c r="D980" s="71"/>
      <c r="H980" s="90"/>
      <c r="J980" s="53" t="str">
        <f>IFERROR(__xludf.DUMMYFUNCTION("IF(ISBLANK(B980),"""",IF(ISDATE(B980),""X"",""""))"),"")</f>
        <v/>
      </c>
      <c r="K980" s="40" t="str">
        <f>IFERROR(__xludf.DUMMYFUNCTION("IF(ISBLANK(B980),"""",IF(ISDATE(B980),H980,""""))"),"")</f>
        <v/>
      </c>
      <c r="L980" s="40" t="str">
        <f>IFERROR(__xludf.DUMMYFUNCTION("IF(ISBLANK(B980),"""",IF(ISDATE(B980),TEXT(B980,""M""),""""))"),"")</f>
        <v/>
      </c>
      <c r="M980" s="29" t="str">
        <f>IFERROR(__xludf.DUMMYFUNCTION("IF(L980="""","""",QUERY({'Dashboard-Dados'!$Y$2:$AA$13},""Select Col2 Where Col1=""&amp;L980))"),"")</f>
        <v/>
      </c>
      <c r="N980" s="29" t="str">
        <f>IFERROR(__xludf.DUMMYFUNCTION("IF(ISBLANK(B980),"""",IF(ISDATE(B980),TEXT(B980,""yyyy""),""""))"),"")</f>
        <v/>
      </c>
    </row>
    <row r="981">
      <c r="B981" s="87"/>
      <c r="C981" s="85"/>
      <c r="D981" s="76"/>
      <c r="H981" s="88"/>
      <c r="J981" s="53" t="str">
        <f>IFERROR(__xludf.DUMMYFUNCTION("IF(ISBLANK(B981),"""",IF(ISDATE(B981),""X"",""""))"),"")</f>
        <v/>
      </c>
      <c r="K981" s="40" t="str">
        <f>IFERROR(__xludf.DUMMYFUNCTION("IF(ISBLANK(B981),"""",IF(ISDATE(B981),H981,""""))"),"")</f>
        <v/>
      </c>
      <c r="L981" s="40" t="str">
        <f>IFERROR(__xludf.DUMMYFUNCTION("IF(ISBLANK(B981),"""",IF(ISDATE(B981),TEXT(B981,""M""),""""))"),"")</f>
        <v/>
      </c>
      <c r="M981" s="29" t="str">
        <f>IFERROR(__xludf.DUMMYFUNCTION("IF(L981="""","""",QUERY({'Dashboard-Dados'!$Y$2:$AA$13},""Select Col2 Where Col1=""&amp;L981))"),"")</f>
        <v/>
      </c>
      <c r="N981" s="29" t="str">
        <f>IFERROR(__xludf.DUMMYFUNCTION("IF(ISBLANK(B981),"""",IF(ISDATE(B981),TEXT(B981,""yyyy""),""""))"),"")</f>
        <v/>
      </c>
    </row>
    <row r="982">
      <c r="B982" s="89"/>
      <c r="C982" s="86"/>
      <c r="D982" s="71"/>
      <c r="H982" s="90"/>
      <c r="J982" s="53" t="str">
        <f>IFERROR(__xludf.DUMMYFUNCTION("IF(ISBLANK(B982),"""",IF(ISDATE(B982),""X"",""""))"),"")</f>
        <v/>
      </c>
      <c r="K982" s="40" t="str">
        <f>IFERROR(__xludf.DUMMYFUNCTION("IF(ISBLANK(B982),"""",IF(ISDATE(B982),H982,""""))"),"")</f>
        <v/>
      </c>
      <c r="L982" s="40" t="str">
        <f>IFERROR(__xludf.DUMMYFUNCTION("IF(ISBLANK(B982),"""",IF(ISDATE(B982),TEXT(B982,""M""),""""))"),"")</f>
        <v/>
      </c>
      <c r="M982" s="29" t="str">
        <f>IFERROR(__xludf.DUMMYFUNCTION("IF(L982="""","""",QUERY({'Dashboard-Dados'!$Y$2:$AA$13},""Select Col2 Where Col1=""&amp;L982))"),"")</f>
        <v/>
      </c>
      <c r="N982" s="29" t="str">
        <f>IFERROR(__xludf.DUMMYFUNCTION("IF(ISBLANK(B982),"""",IF(ISDATE(B982),TEXT(B982,""yyyy""),""""))"),"")</f>
        <v/>
      </c>
    </row>
    <row r="983">
      <c r="B983" s="87"/>
      <c r="C983" s="85"/>
      <c r="D983" s="76"/>
      <c r="H983" s="88"/>
      <c r="J983" s="53" t="str">
        <f>IFERROR(__xludf.DUMMYFUNCTION("IF(ISBLANK(B983),"""",IF(ISDATE(B983),""X"",""""))"),"")</f>
        <v/>
      </c>
      <c r="K983" s="40" t="str">
        <f>IFERROR(__xludf.DUMMYFUNCTION("IF(ISBLANK(B983),"""",IF(ISDATE(B983),H983,""""))"),"")</f>
        <v/>
      </c>
      <c r="L983" s="40" t="str">
        <f>IFERROR(__xludf.DUMMYFUNCTION("IF(ISBLANK(B983),"""",IF(ISDATE(B983),TEXT(B983,""M""),""""))"),"")</f>
        <v/>
      </c>
      <c r="M983" s="29" t="str">
        <f>IFERROR(__xludf.DUMMYFUNCTION("IF(L983="""","""",QUERY({'Dashboard-Dados'!$Y$2:$AA$13},""Select Col2 Where Col1=""&amp;L983))"),"")</f>
        <v/>
      </c>
      <c r="N983" s="29" t="str">
        <f>IFERROR(__xludf.DUMMYFUNCTION("IF(ISBLANK(B983),"""",IF(ISDATE(B983),TEXT(B983,""yyyy""),""""))"),"")</f>
        <v/>
      </c>
    </row>
    <row r="984">
      <c r="B984" s="89"/>
      <c r="C984" s="86"/>
      <c r="D984" s="71"/>
      <c r="H984" s="90"/>
      <c r="J984" s="53" t="str">
        <f>IFERROR(__xludf.DUMMYFUNCTION("IF(ISBLANK(B984),"""",IF(ISDATE(B984),""X"",""""))"),"")</f>
        <v/>
      </c>
      <c r="K984" s="40" t="str">
        <f>IFERROR(__xludf.DUMMYFUNCTION("IF(ISBLANK(B984),"""",IF(ISDATE(B984),H984,""""))"),"")</f>
        <v/>
      </c>
      <c r="L984" s="40" t="str">
        <f>IFERROR(__xludf.DUMMYFUNCTION("IF(ISBLANK(B984),"""",IF(ISDATE(B984),TEXT(B984,""M""),""""))"),"")</f>
        <v/>
      </c>
      <c r="M984" s="29" t="str">
        <f>IFERROR(__xludf.DUMMYFUNCTION("IF(L984="""","""",QUERY({'Dashboard-Dados'!$Y$2:$AA$13},""Select Col2 Where Col1=""&amp;L984))"),"")</f>
        <v/>
      </c>
      <c r="N984" s="29" t="str">
        <f>IFERROR(__xludf.DUMMYFUNCTION("IF(ISBLANK(B984),"""",IF(ISDATE(B984),TEXT(B984,""yyyy""),""""))"),"")</f>
        <v/>
      </c>
    </row>
    <row r="985">
      <c r="B985" s="87"/>
      <c r="C985" s="85"/>
      <c r="D985" s="76"/>
      <c r="H985" s="88"/>
      <c r="J985" s="53" t="str">
        <f>IFERROR(__xludf.DUMMYFUNCTION("IF(ISBLANK(B985),"""",IF(ISDATE(B985),""X"",""""))"),"")</f>
        <v/>
      </c>
      <c r="K985" s="40" t="str">
        <f>IFERROR(__xludf.DUMMYFUNCTION("IF(ISBLANK(B985),"""",IF(ISDATE(B985),H985,""""))"),"")</f>
        <v/>
      </c>
      <c r="L985" s="40" t="str">
        <f>IFERROR(__xludf.DUMMYFUNCTION("IF(ISBLANK(B985),"""",IF(ISDATE(B985),TEXT(B985,""M""),""""))"),"")</f>
        <v/>
      </c>
      <c r="M985" s="29" t="str">
        <f>IFERROR(__xludf.DUMMYFUNCTION("IF(L985="""","""",QUERY({'Dashboard-Dados'!$Y$2:$AA$13},""Select Col2 Where Col1=""&amp;L985))"),"")</f>
        <v/>
      </c>
      <c r="N985" s="29" t="str">
        <f>IFERROR(__xludf.DUMMYFUNCTION("IF(ISBLANK(B985),"""",IF(ISDATE(B985),TEXT(B985,""yyyy""),""""))"),"")</f>
        <v/>
      </c>
    </row>
    <row r="986">
      <c r="B986" s="89"/>
      <c r="C986" s="86"/>
      <c r="D986" s="71"/>
      <c r="H986" s="90"/>
      <c r="J986" s="53" t="str">
        <f>IFERROR(__xludf.DUMMYFUNCTION("IF(ISBLANK(B986),"""",IF(ISDATE(B986),""X"",""""))"),"")</f>
        <v/>
      </c>
      <c r="K986" s="40" t="str">
        <f>IFERROR(__xludf.DUMMYFUNCTION("IF(ISBLANK(B986),"""",IF(ISDATE(B986),H986,""""))"),"")</f>
        <v/>
      </c>
      <c r="L986" s="40" t="str">
        <f>IFERROR(__xludf.DUMMYFUNCTION("IF(ISBLANK(B986),"""",IF(ISDATE(B986),TEXT(B986,""M""),""""))"),"")</f>
        <v/>
      </c>
      <c r="M986" s="29" t="str">
        <f>IFERROR(__xludf.DUMMYFUNCTION("IF(L986="""","""",QUERY({'Dashboard-Dados'!$Y$2:$AA$13},""Select Col2 Where Col1=""&amp;L986))"),"")</f>
        <v/>
      </c>
      <c r="N986" s="29" t="str">
        <f>IFERROR(__xludf.DUMMYFUNCTION("IF(ISBLANK(B986),"""",IF(ISDATE(B986),TEXT(B986,""yyyy""),""""))"),"")</f>
        <v/>
      </c>
    </row>
    <row r="987">
      <c r="B987" s="87"/>
      <c r="C987" s="85"/>
      <c r="D987" s="76"/>
      <c r="H987" s="88"/>
      <c r="J987" s="53" t="str">
        <f>IFERROR(__xludf.DUMMYFUNCTION("IF(ISBLANK(B987),"""",IF(ISDATE(B987),""X"",""""))"),"")</f>
        <v/>
      </c>
      <c r="K987" s="40" t="str">
        <f>IFERROR(__xludf.DUMMYFUNCTION("IF(ISBLANK(B987),"""",IF(ISDATE(B987),H987,""""))"),"")</f>
        <v/>
      </c>
      <c r="L987" s="40" t="str">
        <f>IFERROR(__xludf.DUMMYFUNCTION("IF(ISBLANK(B987),"""",IF(ISDATE(B987),TEXT(B987,""M""),""""))"),"")</f>
        <v/>
      </c>
      <c r="M987" s="29" t="str">
        <f>IFERROR(__xludf.DUMMYFUNCTION("IF(L987="""","""",QUERY({'Dashboard-Dados'!$Y$2:$AA$13},""Select Col2 Where Col1=""&amp;L987))"),"")</f>
        <v/>
      </c>
      <c r="N987" s="29" t="str">
        <f>IFERROR(__xludf.DUMMYFUNCTION("IF(ISBLANK(B987),"""",IF(ISDATE(B987),TEXT(B987,""yyyy""),""""))"),"")</f>
        <v/>
      </c>
    </row>
    <row r="988">
      <c r="B988" s="89"/>
      <c r="C988" s="86"/>
      <c r="D988" s="71"/>
      <c r="H988" s="90"/>
      <c r="J988" s="53" t="str">
        <f>IFERROR(__xludf.DUMMYFUNCTION("IF(ISBLANK(B988),"""",IF(ISDATE(B988),""X"",""""))"),"")</f>
        <v/>
      </c>
      <c r="K988" s="40" t="str">
        <f>IFERROR(__xludf.DUMMYFUNCTION("IF(ISBLANK(B988),"""",IF(ISDATE(B988),H988,""""))"),"")</f>
        <v/>
      </c>
      <c r="L988" s="40" t="str">
        <f>IFERROR(__xludf.DUMMYFUNCTION("IF(ISBLANK(B988),"""",IF(ISDATE(B988),TEXT(B988,""M""),""""))"),"")</f>
        <v/>
      </c>
      <c r="M988" s="29" t="str">
        <f>IFERROR(__xludf.DUMMYFUNCTION("IF(L988="""","""",QUERY({'Dashboard-Dados'!$Y$2:$AA$13},""Select Col2 Where Col1=""&amp;L988))"),"")</f>
        <v/>
      </c>
      <c r="N988" s="29" t="str">
        <f>IFERROR(__xludf.DUMMYFUNCTION("IF(ISBLANK(B988),"""",IF(ISDATE(B988),TEXT(B988,""yyyy""),""""))"),"")</f>
        <v/>
      </c>
    </row>
    <row r="989">
      <c r="B989" s="87"/>
      <c r="C989" s="85"/>
      <c r="D989" s="76"/>
      <c r="H989" s="88"/>
      <c r="J989" s="53" t="str">
        <f>IFERROR(__xludf.DUMMYFUNCTION("IF(ISBLANK(B989),"""",IF(ISDATE(B989),""X"",""""))"),"")</f>
        <v/>
      </c>
      <c r="K989" s="40" t="str">
        <f>IFERROR(__xludf.DUMMYFUNCTION("IF(ISBLANK(B989),"""",IF(ISDATE(B989),H989,""""))"),"")</f>
        <v/>
      </c>
      <c r="L989" s="40" t="str">
        <f>IFERROR(__xludf.DUMMYFUNCTION("IF(ISBLANK(B989),"""",IF(ISDATE(B989),TEXT(B989,""M""),""""))"),"")</f>
        <v/>
      </c>
      <c r="M989" s="29" t="str">
        <f>IFERROR(__xludf.DUMMYFUNCTION("IF(L989="""","""",QUERY({'Dashboard-Dados'!$Y$2:$AA$13},""Select Col2 Where Col1=""&amp;L989))"),"")</f>
        <v/>
      </c>
      <c r="N989" s="29" t="str">
        <f>IFERROR(__xludf.DUMMYFUNCTION("IF(ISBLANK(B989),"""",IF(ISDATE(B989),TEXT(B989,""yyyy""),""""))"),"")</f>
        <v/>
      </c>
    </row>
    <row r="990">
      <c r="B990" s="89"/>
      <c r="C990" s="86"/>
      <c r="D990" s="71"/>
      <c r="H990" s="90"/>
      <c r="J990" s="53" t="str">
        <f>IFERROR(__xludf.DUMMYFUNCTION("IF(ISBLANK(B990),"""",IF(ISDATE(B990),""X"",""""))"),"")</f>
        <v/>
      </c>
      <c r="K990" s="40" t="str">
        <f>IFERROR(__xludf.DUMMYFUNCTION("IF(ISBLANK(B990),"""",IF(ISDATE(B990),H990,""""))"),"")</f>
        <v/>
      </c>
      <c r="L990" s="40" t="str">
        <f>IFERROR(__xludf.DUMMYFUNCTION("IF(ISBLANK(B990),"""",IF(ISDATE(B990),TEXT(B990,""M""),""""))"),"")</f>
        <v/>
      </c>
      <c r="M990" s="29" t="str">
        <f>IFERROR(__xludf.DUMMYFUNCTION("IF(L990="""","""",QUERY({'Dashboard-Dados'!$Y$2:$AA$13},""Select Col2 Where Col1=""&amp;L990))"),"")</f>
        <v/>
      </c>
      <c r="N990" s="29" t="str">
        <f>IFERROR(__xludf.DUMMYFUNCTION("IF(ISBLANK(B990),"""",IF(ISDATE(B990),TEXT(B990,""yyyy""),""""))"),"")</f>
        <v/>
      </c>
    </row>
    <row r="991">
      <c r="B991" s="87"/>
      <c r="C991" s="85"/>
      <c r="D991" s="76"/>
      <c r="H991" s="88"/>
      <c r="J991" s="53" t="str">
        <f>IFERROR(__xludf.DUMMYFUNCTION("IF(ISBLANK(B991),"""",IF(ISDATE(B991),""X"",""""))"),"")</f>
        <v/>
      </c>
      <c r="K991" s="40" t="str">
        <f>IFERROR(__xludf.DUMMYFUNCTION("IF(ISBLANK(B991),"""",IF(ISDATE(B991),H991,""""))"),"")</f>
        <v/>
      </c>
      <c r="L991" s="40" t="str">
        <f>IFERROR(__xludf.DUMMYFUNCTION("IF(ISBLANK(B991),"""",IF(ISDATE(B991),TEXT(B991,""M""),""""))"),"")</f>
        <v/>
      </c>
      <c r="M991" s="29" t="str">
        <f>IFERROR(__xludf.DUMMYFUNCTION("IF(L991="""","""",QUERY({'Dashboard-Dados'!$Y$2:$AA$13},""Select Col2 Where Col1=""&amp;L991))"),"")</f>
        <v/>
      </c>
      <c r="N991" s="29" t="str">
        <f>IFERROR(__xludf.DUMMYFUNCTION("IF(ISBLANK(B991),"""",IF(ISDATE(B991),TEXT(B991,""yyyy""),""""))"),"")</f>
        <v/>
      </c>
    </row>
    <row r="992">
      <c r="B992" s="89"/>
      <c r="C992" s="86"/>
      <c r="D992" s="71"/>
      <c r="H992" s="90"/>
      <c r="J992" s="53" t="str">
        <f>IFERROR(__xludf.DUMMYFUNCTION("IF(ISBLANK(B992),"""",IF(ISDATE(B992),""X"",""""))"),"")</f>
        <v/>
      </c>
      <c r="K992" s="40" t="str">
        <f>IFERROR(__xludf.DUMMYFUNCTION("IF(ISBLANK(B992),"""",IF(ISDATE(B992),H992,""""))"),"")</f>
        <v/>
      </c>
      <c r="L992" s="40" t="str">
        <f>IFERROR(__xludf.DUMMYFUNCTION("IF(ISBLANK(B992),"""",IF(ISDATE(B992),TEXT(B992,""M""),""""))"),"")</f>
        <v/>
      </c>
      <c r="M992" s="29" t="str">
        <f>IFERROR(__xludf.DUMMYFUNCTION("IF(L992="""","""",QUERY({'Dashboard-Dados'!$Y$2:$AA$13},""Select Col2 Where Col1=""&amp;L992))"),"")</f>
        <v/>
      </c>
      <c r="N992" s="29" t="str">
        <f>IFERROR(__xludf.DUMMYFUNCTION("IF(ISBLANK(B992),"""",IF(ISDATE(B992),TEXT(B992,""yyyy""),""""))"),"")</f>
        <v/>
      </c>
    </row>
    <row r="993">
      <c r="B993" s="87"/>
      <c r="C993" s="85"/>
      <c r="D993" s="76"/>
      <c r="H993" s="88"/>
      <c r="J993" s="53" t="str">
        <f>IFERROR(__xludf.DUMMYFUNCTION("IF(ISBLANK(B993),"""",IF(ISDATE(B993),""X"",""""))"),"")</f>
        <v/>
      </c>
      <c r="K993" s="40" t="str">
        <f>IFERROR(__xludf.DUMMYFUNCTION("IF(ISBLANK(B993),"""",IF(ISDATE(B993),H993,""""))"),"")</f>
        <v/>
      </c>
      <c r="L993" s="40" t="str">
        <f>IFERROR(__xludf.DUMMYFUNCTION("IF(ISBLANK(B993),"""",IF(ISDATE(B993),TEXT(B993,""M""),""""))"),"")</f>
        <v/>
      </c>
      <c r="M993" s="29" t="str">
        <f>IFERROR(__xludf.DUMMYFUNCTION("IF(L993="""","""",QUERY({'Dashboard-Dados'!$Y$2:$AA$13},""Select Col2 Where Col1=""&amp;L993))"),"")</f>
        <v/>
      </c>
      <c r="N993" s="29" t="str">
        <f>IFERROR(__xludf.DUMMYFUNCTION("IF(ISBLANK(B993),"""",IF(ISDATE(B993),TEXT(B993,""yyyy""),""""))"),"")</f>
        <v/>
      </c>
    </row>
    <row r="994">
      <c r="B994" s="89"/>
      <c r="C994" s="86"/>
      <c r="D994" s="71"/>
      <c r="H994" s="90"/>
      <c r="J994" s="53" t="str">
        <f>IFERROR(__xludf.DUMMYFUNCTION("IF(ISBLANK(B994),"""",IF(ISDATE(B994),""X"",""""))"),"")</f>
        <v/>
      </c>
      <c r="K994" s="40" t="str">
        <f>IFERROR(__xludf.DUMMYFUNCTION("IF(ISBLANK(B994),"""",IF(ISDATE(B994),H994,""""))"),"")</f>
        <v/>
      </c>
      <c r="L994" s="40" t="str">
        <f>IFERROR(__xludf.DUMMYFUNCTION("IF(ISBLANK(B994),"""",IF(ISDATE(B994),TEXT(B994,""M""),""""))"),"")</f>
        <v/>
      </c>
      <c r="M994" s="29" t="str">
        <f>IFERROR(__xludf.DUMMYFUNCTION("IF(L994="""","""",QUERY({'Dashboard-Dados'!$Y$2:$AA$13},""Select Col2 Where Col1=""&amp;L994))"),"")</f>
        <v/>
      </c>
      <c r="N994" s="29" t="str">
        <f>IFERROR(__xludf.DUMMYFUNCTION("IF(ISBLANK(B994),"""",IF(ISDATE(B994),TEXT(B994,""yyyy""),""""))"),"")</f>
        <v/>
      </c>
    </row>
    <row r="995">
      <c r="B995" s="87"/>
      <c r="C995" s="85"/>
      <c r="D995" s="76"/>
      <c r="H995" s="88"/>
      <c r="J995" s="53" t="str">
        <f>IFERROR(__xludf.DUMMYFUNCTION("IF(ISBLANK(B995),"""",IF(ISDATE(B995),""X"",""""))"),"")</f>
        <v/>
      </c>
      <c r="K995" s="40" t="str">
        <f>IFERROR(__xludf.DUMMYFUNCTION("IF(ISBLANK(B995),"""",IF(ISDATE(B995),H995,""""))"),"")</f>
        <v/>
      </c>
      <c r="L995" s="40" t="str">
        <f>IFERROR(__xludf.DUMMYFUNCTION("IF(ISBLANK(B995),"""",IF(ISDATE(B995),TEXT(B995,""M""),""""))"),"")</f>
        <v/>
      </c>
      <c r="M995" s="29" t="str">
        <f>IFERROR(__xludf.DUMMYFUNCTION("IF(L995="""","""",QUERY({'Dashboard-Dados'!$Y$2:$AA$13},""Select Col2 Where Col1=""&amp;L995))"),"")</f>
        <v/>
      </c>
      <c r="N995" s="29" t="str">
        <f>IFERROR(__xludf.DUMMYFUNCTION("IF(ISBLANK(B995),"""",IF(ISDATE(B995),TEXT(B995,""yyyy""),""""))"),"")</f>
        <v/>
      </c>
    </row>
    <row r="996">
      <c r="B996" s="89"/>
      <c r="C996" s="86"/>
      <c r="D996" s="71"/>
      <c r="H996" s="90"/>
      <c r="J996" s="53" t="str">
        <f>IFERROR(__xludf.DUMMYFUNCTION("IF(ISBLANK(B996),"""",IF(ISDATE(B996),""X"",""""))"),"")</f>
        <v/>
      </c>
      <c r="K996" s="40" t="str">
        <f>IFERROR(__xludf.DUMMYFUNCTION("IF(ISBLANK(B996),"""",IF(ISDATE(B996),H996,""""))"),"")</f>
        <v/>
      </c>
      <c r="L996" s="40" t="str">
        <f>IFERROR(__xludf.DUMMYFUNCTION("IF(ISBLANK(B996),"""",IF(ISDATE(B996),TEXT(B996,""M""),""""))"),"")</f>
        <v/>
      </c>
      <c r="M996" s="29" t="str">
        <f>IFERROR(__xludf.DUMMYFUNCTION("IF(L996="""","""",QUERY({'Dashboard-Dados'!$Y$2:$AA$13},""Select Col2 Where Col1=""&amp;L996))"),"")</f>
        <v/>
      </c>
      <c r="N996" s="29" t="str">
        <f>IFERROR(__xludf.DUMMYFUNCTION("IF(ISBLANK(B996),"""",IF(ISDATE(B996),TEXT(B996,""yyyy""),""""))"),"")</f>
        <v/>
      </c>
    </row>
    <row r="997">
      <c r="B997" s="87"/>
      <c r="C997" s="85"/>
      <c r="D997" s="76"/>
      <c r="H997" s="88"/>
      <c r="J997" s="53" t="str">
        <f>IFERROR(__xludf.DUMMYFUNCTION("IF(ISBLANK(B997),"""",IF(ISDATE(B997),""X"",""""))"),"")</f>
        <v/>
      </c>
      <c r="K997" s="40" t="str">
        <f>IFERROR(__xludf.DUMMYFUNCTION("IF(ISBLANK(B997),"""",IF(ISDATE(B997),H997,""""))"),"")</f>
        <v/>
      </c>
      <c r="L997" s="40" t="str">
        <f>IFERROR(__xludf.DUMMYFUNCTION("IF(ISBLANK(B997),"""",IF(ISDATE(B997),TEXT(B997,""M""),""""))"),"")</f>
        <v/>
      </c>
      <c r="M997" s="29" t="str">
        <f>IFERROR(__xludf.DUMMYFUNCTION("IF(L997="""","""",QUERY({'Dashboard-Dados'!$Y$2:$AA$13},""Select Col2 Where Col1=""&amp;L997))"),"")</f>
        <v/>
      </c>
      <c r="N997" s="29" t="str">
        <f>IFERROR(__xludf.DUMMYFUNCTION("IF(ISBLANK(B997),"""",IF(ISDATE(B997),TEXT(B997,""yyyy""),""""))"),"")</f>
        <v/>
      </c>
    </row>
    <row r="998">
      <c r="B998" s="89"/>
      <c r="C998" s="86"/>
      <c r="D998" s="71"/>
      <c r="H998" s="90"/>
      <c r="J998" s="53" t="str">
        <f>IFERROR(__xludf.DUMMYFUNCTION("IF(ISBLANK(B998),"""",IF(ISDATE(B998),""X"",""""))"),"")</f>
        <v/>
      </c>
      <c r="K998" s="40" t="str">
        <f>IFERROR(__xludf.DUMMYFUNCTION("IF(ISBLANK(B998),"""",IF(ISDATE(B998),H998,""""))"),"")</f>
        <v/>
      </c>
      <c r="L998" s="40" t="str">
        <f>IFERROR(__xludf.DUMMYFUNCTION("IF(ISBLANK(B998),"""",IF(ISDATE(B998),TEXT(B998,""M""),""""))"),"")</f>
        <v/>
      </c>
      <c r="M998" s="29" t="str">
        <f>IFERROR(__xludf.DUMMYFUNCTION("IF(L998="""","""",QUERY({'Dashboard-Dados'!$Y$2:$AA$13},""Select Col2 Where Col1=""&amp;L998))"),"")</f>
        <v/>
      </c>
      <c r="N998" s="29" t="str">
        <f>IFERROR(__xludf.DUMMYFUNCTION("IF(ISBLANK(B998),"""",IF(ISDATE(B998),TEXT(B998,""yyyy""),""""))"),"")</f>
        <v/>
      </c>
    </row>
    <row r="999">
      <c r="B999" s="87"/>
      <c r="C999" s="85"/>
      <c r="D999" s="76"/>
      <c r="H999" s="88"/>
      <c r="J999" s="53" t="str">
        <f>IFERROR(__xludf.DUMMYFUNCTION("IF(ISBLANK(B999),"""",IF(ISDATE(B999),""X"",""""))"),"")</f>
        <v/>
      </c>
      <c r="K999" s="40" t="str">
        <f>IFERROR(__xludf.DUMMYFUNCTION("IF(ISBLANK(B999),"""",IF(ISDATE(B999),H999,""""))"),"")</f>
        <v/>
      </c>
      <c r="L999" s="40" t="str">
        <f>IFERROR(__xludf.DUMMYFUNCTION("IF(ISBLANK(B999),"""",IF(ISDATE(B999),TEXT(B999,""M""),""""))"),"")</f>
        <v/>
      </c>
      <c r="M999" s="29" t="str">
        <f>IFERROR(__xludf.DUMMYFUNCTION("IF(L999="""","""",QUERY({'Dashboard-Dados'!$Y$2:$AA$13},""Select Col2 Where Col1=""&amp;L999))"),"")</f>
        <v/>
      </c>
      <c r="N999" s="29" t="str">
        <f>IFERROR(__xludf.DUMMYFUNCTION("IF(ISBLANK(B999),"""",IF(ISDATE(B999),TEXT(B999,""yyyy""),""""))"),"")</f>
        <v/>
      </c>
    </row>
    <row r="1000">
      <c r="B1000" s="89"/>
      <c r="C1000" s="86"/>
      <c r="D1000" s="71"/>
      <c r="H1000" s="90"/>
      <c r="J1000" s="53" t="str">
        <f>IFERROR(__xludf.DUMMYFUNCTION("IF(ISBLANK(B1000),"""",IF(ISDATE(B1000),""X"",""""))"),"")</f>
        <v/>
      </c>
      <c r="K1000" s="40" t="str">
        <f>IFERROR(__xludf.DUMMYFUNCTION("IF(ISBLANK(B1000),"""",IF(ISDATE(B1000),H1000,""""))"),"")</f>
        <v/>
      </c>
      <c r="L1000" s="40" t="str">
        <f>IFERROR(__xludf.DUMMYFUNCTION("IF(ISBLANK(B1000),"""",IF(ISDATE(B1000),TEXT(B1000,""M""),""""))"),"")</f>
        <v/>
      </c>
      <c r="M1000" s="29" t="str">
        <f>IFERROR(__xludf.DUMMYFUNCTION("IF(L1000="""","""",QUERY({'Dashboard-Dados'!$Y$2:$AA$13},""Select Col2 Where Col1=""&amp;L1000))"),"")</f>
        <v/>
      </c>
      <c r="N1000" s="29" t="str">
        <f>IFERROR(__xludf.DUMMYFUNCTION("IF(ISBLANK(B1000),"""",IF(ISDATE(B1000),TEXT(B1000,""yyyy""),""""))"),"")</f>
        <v/>
      </c>
    </row>
    <row r="1001">
      <c r="B1001" s="87"/>
      <c r="C1001" s="85"/>
      <c r="D1001" s="76"/>
      <c r="H1001" s="88"/>
      <c r="J1001" s="53" t="str">
        <f>IFERROR(__xludf.DUMMYFUNCTION("IF(ISBLANK(B1001),"""",IF(ISDATE(B1001),""X"",""""))"),"")</f>
        <v/>
      </c>
      <c r="K1001" s="40" t="str">
        <f>IFERROR(__xludf.DUMMYFUNCTION("IF(ISBLANK(B1001),"""",IF(ISDATE(B1001),H1001,""""))"),"")</f>
        <v/>
      </c>
      <c r="L1001" s="40" t="str">
        <f>IFERROR(__xludf.DUMMYFUNCTION("IF(ISBLANK(B1001),"""",IF(ISDATE(B1001),TEXT(B1001,""M""),""""))"),"")</f>
        <v/>
      </c>
      <c r="M1001" s="29" t="str">
        <f>IFERROR(__xludf.DUMMYFUNCTION("IF(L1001="""","""",QUERY({'Dashboard-Dados'!$Y$2:$AA$13},""Select Col2 Where Col1=""&amp;L1001))"),"")</f>
        <v/>
      </c>
      <c r="N1001" s="29" t="str">
        <f>IFERROR(__xludf.DUMMYFUNCTION("IF(ISBLANK(B1001),"""",IF(ISDATE(B1001),TEXT(B1001,""yyyy""),""""))"),"")</f>
        <v/>
      </c>
    </row>
    <row r="1002">
      <c r="B1002" s="89"/>
      <c r="C1002" s="86"/>
      <c r="D1002" s="71"/>
      <c r="H1002" s="90"/>
      <c r="J1002" s="53" t="str">
        <f>IFERROR(__xludf.DUMMYFUNCTION("IF(ISBLANK(B1002),"""",IF(ISDATE(B1002),""X"",""""))"),"")</f>
        <v/>
      </c>
      <c r="K1002" s="40" t="str">
        <f>IFERROR(__xludf.DUMMYFUNCTION("IF(ISBLANK(B1002),"""",IF(ISDATE(B1002),H1002,""""))"),"")</f>
        <v/>
      </c>
      <c r="L1002" s="40" t="str">
        <f>IFERROR(__xludf.DUMMYFUNCTION("IF(ISBLANK(B1002),"""",IF(ISDATE(B1002),TEXT(B1002,""M""),""""))"),"")</f>
        <v/>
      </c>
      <c r="M1002" s="29" t="str">
        <f>IFERROR(__xludf.DUMMYFUNCTION("IF(L1002="""","""",QUERY({'Dashboard-Dados'!$Y$2:$AA$13},""Select Col2 Where Col1=""&amp;L1002))"),"")</f>
        <v/>
      </c>
      <c r="N1002" s="29" t="str">
        <f>IFERROR(__xludf.DUMMYFUNCTION("IF(ISBLANK(B1002),"""",IF(ISDATE(B1002),TEXT(B1002,""yyyy""),""""))"),"")</f>
        <v/>
      </c>
    </row>
    <row r="1003">
      <c r="B1003" s="87"/>
      <c r="C1003" s="85"/>
      <c r="D1003" s="76"/>
      <c r="H1003" s="88"/>
      <c r="J1003" s="53" t="str">
        <f>IFERROR(__xludf.DUMMYFUNCTION("IF(ISBLANK(B1003),"""",IF(ISDATE(B1003),""X"",""""))"),"")</f>
        <v/>
      </c>
      <c r="K1003" s="40" t="str">
        <f>IFERROR(__xludf.DUMMYFUNCTION("IF(ISBLANK(B1003),"""",IF(ISDATE(B1003),H1003,""""))"),"")</f>
        <v/>
      </c>
      <c r="L1003" s="40" t="str">
        <f>IFERROR(__xludf.DUMMYFUNCTION("IF(ISBLANK(B1003),"""",IF(ISDATE(B1003),TEXT(B1003,""M""),""""))"),"")</f>
        <v/>
      </c>
      <c r="M1003" s="29" t="str">
        <f>IFERROR(__xludf.DUMMYFUNCTION("IF(L1003="""","""",QUERY({'Dashboard-Dados'!$Y$2:$AA$13},""Select Col2 Where Col1=""&amp;L1003))"),"")</f>
        <v/>
      </c>
      <c r="N1003" s="29" t="str">
        <f>IFERROR(__xludf.DUMMYFUNCTION("IF(ISBLANK(B1003),"""",IF(ISDATE(B1003),TEXT(B1003,""yyyy""),""""))"),"")</f>
        <v/>
      </c>
    </row>
    <row r="1004">
      <c r="B1004" s="89"/>
      <c r="C1004" s="86"/>
      <c r="D1004" s="71"/>
      <c r="H1004" s="90"/>
      <c r="J1004" s="53" t="str">
        <f>IFERROR(__xludf.DUMMYFUNCTION("IF(ISBLANK(B1004),"""",IF(ISDATE(B1004),""X"",""""))"),"")</f>
        <v/>
      </c>
      <c r="K1004" s="40" t="str">
        <f>IFERROR(__xludf.DUMMYFUNCTION("IF(ISBLANK(B1004),"""",IF(ISDATE(B1004),H1004,""""))"),"")</f>
        <v/>
      </c>
      <c r="L1004" s="40" t="str">
        <f>IFERROR(__xludf.DUMMYFUNCTION("IF(ISBLANK(B1004),"""",IF(ISDATE(B1004),TEXT(B1004,""M""),""""))"),"")</f>
        <v/>
      </c>
      <c r="M1004" s="29" t="str">
        <f>IFERROR(__xludf.DUMMYFUNCTION("IF(L1004="""","""",QUERY({'Dashboard-Dados'!$Y$2:$AA$13},""Select Col2 Where Col1=""&amp;L1004))"),"")</f>
        <v/>
      </c>
      <c r="N1004" s="29" t="str">
        <f>IFERROR(__xludf.DUMMYFUNCTION("IF(ISBLANK(B1004),"""",IF(ISDATE(B1004),TEXT(B1004,""yyyy""),""""))"),"")</f>
        <v/>
      </c>
    </row>
    <row r="1005">
      <c r="B1005" s="87"/>
      <c r="C1005" s="85"/>
      <c r="D1005" s="76"/>
      <c r="H1005" s="88"/>
      <c r="J1005" s="53" t="str">
        <f>IFERROR(__xludf.DUMMYFUNCTION("IF(ISBLANK(B1005),"""",IF(ISDATE(B1005),""X"",""""))"),"")</f>
        <v/>
      </c>
      <c r="K1005" s="40" t="str">
        <f>IFERROR(__xludf.DUMMYFUNCTION("IF(ISBLANK(B1005),"""",IF(ISDATE(B1005),H1005,""""))"),"")</f>
        <v/>
      </c>
      <c r="L1005" s="40" t="str">
        <f>IFERROR(__xludf.DUMMYFUNCTION("IF(ISBLANK(B1005),"""",IF(ISDATE(B1005),TEXT(B1005,""M""),""""))"),"")</f>
        <v/>
      </c>
      <c r="M1005" s="29" t="str">
        <f>IFERROR(__xludf.DUMMYFUNCTION("IF(L1005="""","""",QUERY({'Dashboard-Dados'!$Y$2:$AA$13},""Select Col2 Where Col1=""&amp;L1005))"),"")</f>
        <v/>
      </c>
      <c r="N1005" s="29" t="str">
        <f>IFERROR(__xludf.DUMMYFUNCTION("IF(ISBLANK(B1005),"""",IF(ISDATE(B1005),TEXT(B1005,""yyyy""),""""))"),"")</f>
        <v/>
      </c>
    </row>
    <row r="1006">
      <c r="B1006" s="89"/>
      <c r="C1006" s="86"/>
      <c r="D1006" s="71"/>
      <c r="H1006" s="90"/>
      <c r="J1006" s="53" t="str">
        <f>IFERROR(__xludf.DUMMYFUNCTION("IF(ISBLANK(B1006),"""",IF(ISDATE(B1006),""X"",""""))"),"")</f>
        <v/>
      </c>
      <c r="K1006" s="40" t="str">
        <f>IFERROR(__xludf.DUMMYFUNCTION("IF(ISBLANK(B1006),"""",IF(ISDATE(B1006),H1006,""""))"),"")</f>
        <v/>
      </c>
      <c r="L1006" s="40" t="str">
        <f>IFERROR(__xludf.DUMMYFUNCTION("IF(ISBLANK(B1006),"""",IF(ISDATE(B1006),TEXT(B1006,""M""),""""))"),"")</f>
        <v/>
      </c>
      <c r="M1006" s="29" t="str">
        <f>IFERROR(__xludf.DUMMYFUNCTION("IF(L1006="""","""",QUERY({'Dashboard-Dados'!$Y$2:$AA$13},""Select Col2 Where Col1=""&amp;L1006))"),"")</f>
        <v/>
      </c>
      <c r="N1006" s="29" t="str">
        <f>IFERROR(__xludf.DUMMYFUNCTION("IF(ISBLANK(B1006),"""",IF(ISDATE(B1006),TEXT(B1006,""yyyy""),""""))"),"")</f>
        <v/>
      </c>
    </row>
    <row r="1007">
      <c r="B1007" s="87"/>
      <c r="C1007" s="85"/>
      <c r="D1007" s="76"/>
      <c r="H1007" s="88"/>
      <c r="J1007" s="53" t="str">
        <f>IFERROR(__xludf.DUMMYFUNCTION("IF(ISBLANK(B1007),"""",IF(ISDATE(B1007),""X"",""""))"),"")</f>
        <v/>
      </c>
      <c r="K1007" s="40" t="str">
        <f>IFERROR(__xludf.DUMMYFUNCTION("IF(ISBLANK(B1007),"""",IF(ISDATE(B1007),H1007,""""))"),"")</f>
        <v/>
      </c>
      <c r="L1007" s="40" t="str">
        <f>IFERROR(__xludf.DUMMYFUNCTION("IF(ISBLANK(B1007),"""",IF(ISDATE(B1007),TEXT(B1007,""M""),""""))"),"")</f>
        <v/>
      </c>
      <c r="M1007" s="29" t="str">
        <f>IFERROR(__xludf.DUMMYFUNCTION("IF(L1007="""","""",QUERY({'Dashboard-Dados'!$Y$2:$AA$13},""Select Col2 Where Col1=""&amp;L1007))"),"")</f>
        <v/>
      </c>
      <c r="N1007" s="29" t="str">
        <f>IFERROR(__xludf.DUMMYFUNCTION("IF(ISBLANK(B1007),"""",IF(ISDATE(B1007),TEXT(B1007,""yyyy""),""""))"),"")</f>
        <v/>
      </c>
    </row>
    <row r="1008">
      <c r="B1008" s="89"/>
      <c r="C1008" s="86"/>
      <c r="D1008" s="71"/>
      <c r="H1008" s="90"/>
      <c r="J1008" s="53" t="str">
        <f>IFERROR(__xludf.DUMMYFUNCTION("IF(ISBLANK(B1008),"""",IF(ISDATE(B1008),""X"",""""))"),"")</f>
        <v/>
      </c>
      <c r="K1008" s="40" t="str">
        <f>IFERROR(__xludf.DUMMYFUNCTION("IF(ISBLANK(B1008),"""",IF(ISDATE(B1008),H1008,""""))"),"")</f>
        <v/>
      </c>
      <c r="L1008" s="40" t="str">
        <f>IFERROR(__xludf.DUMMYFUNCTION("IF(ISBLANK(B1008),"""",IF(ISDATE(B1008),TEXT(B1008,""M""),""""))"),"")</f>
        <v/>
      </c>
      <c r="M1008" s="29" t="str">
        <f>IFERROR(__xludf.DUMMYFUNCTION("IF(L1008="""","""",QUERY({'Dashboard-Dados'!$Y$2:$AA$13},""Select Col2 Where Col1=""&amp;L1008))"),"")</f>
        <v/>
      </c>
      <c r="N1008" s="29" t="str">
        <f>IFERROR(__xludf.DUMMYFUNCTION("IF(ISBLANK(B1008),"""",IF(ISDATE(B1008),TEXT(B1008,""yyyy""),""""))"),"")</f>
        <v/>
      </c>
    </row>
    <row r="1009">
      <c r="B1009" s="87"/>
      <c r="C1009" s="85"/>
      <c r="D1009" s="76"/>
      <c r="H1009" s="88"/>
      <c r="J1009" s="53" t="str">
        <f>IFERROR(__xludf.DUMMYFUNCTION("IF(ISBLANK(B1009),"""",IF(ISDATE(B1009),""X"",""""))"),"")</f>
        <v/>
      </c>
      <c r="K1009" s="40" t="str">
        <f>IFERROR(__xludf.DUMMYFUNCTION("IF(ISBLANK(B1009),"""",IF(ISDATE(B1009),H1009,""""))"),"")</f>
        <v/>
      </c>
      <c r="L1009" s="40" t="str">
        <f>IFERROR(__xludf.DUMMYFUNCTION("IF(ISBLANK(B1009),"""",IF(ISDATE(B1009),TEXT(B1009,""M""),""""))"),"")</f>
        <v/>
      </c>
      <c r="M1009" s="29" t="str">
        <f>IFERROR(__xludf.DUMMYFUNCTION("IF(L1009="""","""",QUERY({'Dashboard-Dados'!$Y$2:$AA$13},""Select Col2 Where Col1=""&amp;L1009))"),"")</f>
        <v/>
      </c>
      <c r="N1009" s="29" t="str">
        <f>IFERROR(__xludf.DUMMYFUNCTION("IF(ISBLANK(B1009),"""",IF(ISDATE(B1009),TEXT(B1009,""yyyy""),""""))"),"")</f>
        <v/>
      </c>
    </row>
    <row r="1010">
      <c r="B1010" s="89"/>
      <c r="C1010" s="86"/>
      <c r="D1010" s="71"/>
      <c r="H1010" s="90"/>
      <c r="J1010" s="53" t="str">
        <f>IFERROR(__xludf.DUMMYFUNCTION("IF(ISBLANK(B1010),"""",IF(ISDATE(B1010),""X"",""""))"),"")</f>
        <v/>
      </c>
      <c r="K1010" s="40" t="str">
        <f>IFERROR(__xludf.DUMMYFUNCTION("IF(ISBLANK(B1010),"""",IF(ISDATE(B1010),H1010,""""))"),"")</f>
        <v/>
      </c>
      <c r="L1010" s="40" t="str">
        <f>IFERROR(__xludf.DUMMYFUNCTION("IF(ISBLANK(B1010),"""",IF(ISDATE(B1010),TEXT(B1010,""M""),""""))"),"")</f>
        <v/>
      </c>
      <c r="M1010" s="29" t="str">
        <f>IFERROR(__xludf.DUMMYFUNCTION("IF(L1010="""","""",QUERY({'Dashboard-Dados'!$Y$2:$AA$13},""Select Col2 Where Col1=""&amp;L1010))"),"")</f>
        <v/>
      </c>
      <c r="N1010" s="29" t="str">
        <f>IFERROR(__xludf.DUMMYFUNCTION("IF(ISBLANK(B1010),"""",IF(ISDATE(B1010),TEXT(B1010,""yyyy""),""""))"),"")</f>
        <v/>
      </c>
    </row>
    <row r="1011">
      <c r="B1011" s="87"/>
      <c r="C1011" s="85"/>
      <c r="D1011" s="76"/>
      <c r="H1011" s="88"/>
      <c r="J1011" s="53" t="str">
        <f>IFERROR(__xludf.DUMMYFUNCTION("IF(ISBLANK(B1011),"""",IF(ISDATE(B1011),""X"",""""))"),"")</f>
        <v/>
      </c>
      <c r="K1011" s="40" t="str">
        <f>IFERROR(__xludf.DUMMYFUNCTION("IF(ISBLANK(B1011),"""",IF(ISDATE(B1011),H1011,""""))"),"")</f>
        <v/>
      </c>
      <c r="L1011" s="40" t="str">
        <f>IFERROR(__xludf.DUMMYFUNCTION("IF(ISBLANK(B1011),"""",IF(ISDATE(B1011),TEXT(B1011,""M""),""""))"),"")</f>
        <v/>
      </c>
      <c r="M1011" s="29" t="str">
        <f>IFERROR(__xludf.DUMMYFUNCTION("IF(L1011="""","""",QUERY({'Dashboard-Dados'!$Y$2:$AA$13},""Select Col2 Where Col1=""&amp;L1011))"),"")</f>
        <v/>
      </c>
      <c r="N1011" s="29" t="str">
        <f>IFERROR(__xludf.DUMMYFUNCTION("IF(ISBLANK(B1011),"""",IF(ISDATE(B1011),TEXT(B1011,""yyyy""),""""))"),"")</f>
        <v/>
      </c>
    </row>
    <row r="1012">
      <c r="B1012" s="89"/>
      <c r="C1012" s="86"/>
      <c r="D1012" s="71"/>
      <c r="H1012" s="90"/>
      <c r="J1012" s="53" t="str">
        <f>IFERROR(__xludf.DUMMYFUNCTION("IF(ISBLANK(B1012),"""",IF(ISDATE(B1012),""X"",""""))"),"")</f>
        <v/>
      </c>
      <c r="K1012" s="40" t="str">
        <f>IFERROR(__xludf.DUMMYFUNCTION("IF(ISBLANK(B1012),"""",IF(ISDATE(B1012),H1012,""""))"),"")</f>
        <v/>
      </c>
      <c r="L1012" s="40" t="str">
        <f>IFERROR(__xludf.DUMMYFUNCTION("IF(ISBLANK(B1012),"""",IF(ISDATE(B1012),TEXT(B1012,""M""),""""))"),"")</f>
        <v/>
      </c>
      <c r="M1012" s="29" t="str">
        <f>IFERROR(__xludf.DUMMYFUNCTION("IF(L1012="""","""",QUERY({'Dashboard-Dados'!$Y$2:$AA$13},""Select Col2 Where Col1=""&amp;L1012))"),"")</f>
        <v/>
      </c>
      <c r="N1012" s="29" t="str">
        <f>IFERROR(__xludf.DUMMYFUNCTION("IF(ISBLANK(B1012),"""",IF(ISDATE(B1012),TEXT(B1012,""yyyy""),""""))"),"")</f>
        <v/>
      </c>
    </row>
    <row r="1013">
      <c r="B1013" s="87"/>
      <c r="C1013" s="85"/>
      <c r="D1013" s="76"/>
      <c r="H1013" s="88"/>
      <c r="J1013" s="53" t="str">
        <f>IFERROR(__xludf.DUMMYFUNCTION("IF(ISBLANK(B1013),"""",IF(ISDATE(B1013),""X"",""""))"),"")</f>
        <v/>
      </c>
      <c r="K1013" s="40" t="str">
        <f>IFERROR(__xludf.DUMMYFUNCTION("IF(ISBLANK(B1013),"""",IF(ISDATE(B1013),H1013,""""))"),"")</f>
        <v/>
      </c>
      <c r="L1013" s="40" t="str">
        <f>IFERROR(__xludf.DUMMYFUNCTION("IF(ISBLANK(B1013),"""",IF(ISDATE(B1013),TEXT(B1013,""M""),""""))"),"")</f>
        <v/>
      </c>
      <c r="M1013" s="29" t="str">
        <f>IFERROR(__xludf.DUMMYFUNCTION("IF(L1013="""","""",QUERY({'Dashboard-Dados'!$Y$2:$AA$13},""Select Col2 Where Col1=""&amp;L1013))"),"")</f>
        <v/>
      </c>
      <c r="N1013" s="29" t="str">
        <f>IFERROR(__xludf.DUMMYFUNCTION("IF(ISBLANK(B1013),"""",IF(ISDATE(B1013),TEXT(B1013,""yyyy""),""""))"),"")</f>
        <v/>
      </c>
    </row>
    <row r="1014">
      <c r="B1014" s="89"/>
      <c r="C1014" s="86"/>
      <c r="D1014" s="71"/>
      <c r="H1014" s="90"/>
      <c r="J1014" s="53" t="str">
        <f>IFERROR(__xludf.DUMMYFUNCTION("IF(ISBLANK(B1014),"""",IF(ISDATE(B1014),""X"",""""))"),"")</f>
        <v/>
      </c>
      <c r="K1014" s="40" t="str">
        <f>IFERROR(__xludf.DUMMYFUNCTION("IF(ISBLANK(B1014),"""",IF(ISDATE(B1014),H1014,""""))"),"")</f>
        <v/>
      </c>
      <c r="L1014" s="40" t="str">
        <f>IFERROR(__xludf.DUMMYFUNCTION("IF(ISBLANK(B1014),"""",IF(ISDATE(B1014),TEXT(B1014,""M""),""""))"),"")</f>
        <v/>
      </c>
      <c r="M1014" s="29" t="str">
        <f>IFERROR(__xludf.DUMMYFUNCTION("IF(L1014="""","""",QUERY({'Dashboard-Dados'!$Y$2:$AA$13},""Select Col2 Where Col1=""&amp;L1014))"),"")</f>
        <v/>
      </c>
      <c r="N1014" s="29" t="str">
        <f>IFERROR(__xludf.DUMMYFUNCTION("IF(ISBLANK(B1014),"""",IF(ISDATE(B1014),TEXT(B1014,""yyyy""),""""))"),"")</f>
        <v/>
      </c>
    </row>
    <row r="1015">
      <c r="B1015" s="87"/>
      <c r="C1015" s="85"/>
      <c r="D1015" s="76"/>
      <c r="H1015" s="88"/>
      <c r="J1015" s="53" t="str">
        <f>IFERROR(__xludf.DUMMYFUNCTION("IF(ISBLANK(B1015),"""",IF(ISDATE(B1015),""X"",""""))"),"")</f>
        <v/>
      </c>
      <c r="K1015" s="40" t="str">
        <f>IFERROR(__xludf.DUMMYFUNCTION("IF(ISBLANK(B1015),"""",IF(ISDATE(B1015),H1015,""""))"),"")</f>
        <v/>
      </c>
      <c r="L1015" s="40" t="str">
        <f>IFERROR(__xludf.DUMMYFUNCTION("IF(ISBLANK(B1015),"""",IF(ISDATE(B1015),TEXT(B1015,""M""),""""))"),"")</f>
        <v/>
      </c>
      <c r="M1015" s="29" t="str">
        <f>IFERROR(__xludf.DUMMYFUNCTION("IF(L1015="""","""",QUERY({'Dashboard-Dados'!$Y$2:$AA$13},""Select Col2 Where Col1=""&amp;L1015))"),"")</f>
        <v/>
      </c>
      <c r="N1015" s="29" t="str">
        <f>IFERROR(__xludf.DUMMYFUNCTION("IF(ISBLANK(B1015),"""",IF(ISDATE(B1015),TEXT(B1015,""yyyy""),""""))"),"")</f>
        <v/>
      </c>
    </row>
    <row r="1016">
      <c r="B1016" s="89"/>
      <c r="C1016" s="86"/>
      <c r="D1016" s="71"/>
      <c r="H1016" s="90"/>
      <c r="J1016" s="53" t="str">
        <f>IFERROR(__xludf.DUMMYFUNCTION("IF(ISBLANK(B1016),"""",IF(ISDATE(B1016),""X"",""""))"),"")</f>
        <v/>
      </c>
      <c r="K1016" s="40" t="str">
        <f>IFERROR(__xludf.DUMMYFUNCTION("IF(ISBLANK(B1016),"""",IF(ISDATE(B1016),H1016,""""))"),"")</f>
        <v/>
      </c>
      <c r="L1016" s="40" t="str">
        <f>IFERROR(__xludf.DUMMYFUNCTION("IF(ISBLANK(B1016),"""",IF(ISDATE(B1016),TEXT(B1016,""M""),""""))"),"")</f>
        <v/>
      </c>
      <c r="M1016" s="29" t="str">
        <f>IFERROR(__xludf.DUMMYFUNCTION("IF(L1016="""","""",QUERY({'Dashboard-Dados'!$Y$2:$AA$13},""Select Col2 Where Col1=""&amp;L1016))"),"")</f>
        <v/>
      </c>
      <c r="N1016" s="29" t="str">
        <f>IFERROR(__xludf.DUMMYFUNCTION("IF(ISBLANK(B1016),"""",IF(ISDATE(B1016),TEXT(B1016,""yyyy""),""""))"),"")</f>
        <v/>
      </c>
    </row>
    <row r="1017">
      <c r="B1017" s="87"/>
      <c r="C1017" s="85"/>
      <c r="D1017" s="76"/>
      <c r="H1017" s="88"/>
      <c r="J1017" s="53" t="str">
        <f>IFERROR(__xludf.DUMMYFUNCTION("IF(ISBLANK(B1017),"""",IF(ISDATE(B1017),""X"",""""))"),"")</f>
        <v/>
      </c>
      <c r="K1017" s="40" t="str">
        <f>IFERROR(__xludf.DUMMYFUNCTION("IF(ISBLANK(B1017),"""",IF(ISDATE(B1017),H1017,""""))"),"")</f>
        <v/>
      </c>
      <c r="L1017" s="40" t="str">
        <f>IFERROR(__xludf.DUMMYFUNCTION("IF(ISBLANK(B1017),"""",IF(ISDATE(B1017),TEXT(B1017,""M""),""""))"),"")</f>
        <v/>
      </c>
      <c r="M1017" s="29" t="str">
        <f>IFERROR(__xludf.DUMMYFUNCTION("IF(L1017="""","""",QUERY({'Dashboard-Dados'!$Y$2:$AA$13},""Select Col2 Where Col1=""&amp;L1017))"),"")</f>
        <v/>
      </c>
      <c r="N1017" s="29" t="str">
        <f>IFERROR(__xludf.DUMMYFUNCTION("IF(ISBLANK(B1017),"""",IF(ISDATE(B1017),TEXT(B1017,""yyyy""),""""))"),"")</f>
        <v/>
      </c>
    </row>
    <row r="1018">
      <c r="B1018" s="89"/>
      <c r="C1018" s="86"/>
      <c r="D1018" s="71"/>
      <c r="H1018" s="90"/>
      <c r="J1018" s="53" t="str">
        <f>IFERROR(__xludf.DUMMYFUNCTION("IF(ISBLANK(B1018),"""",IF(ISDATE(B1018),""X"",""""))"),"")</f>
        <v/>
      </c>
      <c r="K1018" s="40" t="str">
        <f>IFERROR(__xludf.DUMMYFUNCTION("IF(ISBLANK(B1018),"""",IF(ISDATE(B1018),H1018,""""))"),"")</f>
        <v/>
      </c>
      <c r="L1018" s="40" t="str">
        <f>IFERROR(__xludf.DUMMYFUNCTION("IF(ISBLANK(B1018),"""",IF(ISDATE(B1018),TEXT(B1018,""M""),""""))"),"")</f>
        <v/>
      </c>
      <c r="M1018" s="29" t="str">
        <f>IFERROR(__xludf.DUMMYFUNCTION("IF(L1018="""","""",QUERY({'Dashboard-Dados'!$Y$2:$AA$13},""Select Col2 Where Col1=""&amp;L1018))"),"")</f>
        <v/>
      </c>
      <c r="N1018" s="29" t="str">
        <f>IFERROR(__xludf.DUMMYFUNCTION("IF(ISBLANK(B1018),"""",IF(ISDATE(B1018),TEXT(B1018,""yyyy""),""""))"),"")</f>
        <v/>
      </c>
    </row>
    <row r="1019">
      <c r="B1019" s="87"/>
      <c r="C1019" s="85"/>
      <c r="D1019" s="76"/>
      <c r="H1019" s="88"/>
      <c r="J1019" s="53" t="str">
        <f>IFERROR(__xludf.DUMMYFUNCTION("IF(ISBLANK(B1019),"""",IF(ISDATE(B1019),""X"",""""))"),"")</f>
        <v/>
      </c>
      <c r="K1019" s="40" t="str">
        <f>IFERROR(__xludf.DUMMYFUNCTION("IF(ISBLANK(B1019),"""",IF(ISDATE(B1019),H1019,""""))"),"")</f>
        <v/>
      </c>
      <c r="L1019" s="40" t="str">
        <f>IFERROR(__xludf.DUMMYFUNCTION("IF(ISBLANK(B1019),"""",IF(ISDATE(B1019),TEXT(B1019,""M""),""""))"),"")</f>
        <v/>
      </c>
      <c r="M1019" s="29" t="str">
        <f>IFERROR(__xludf.DUMMYFUNCTION("IF(L1019="""","""",QUERY({'Dashboard-Dados'!$Y$2:$AA$13},""Select Col2 Where Col1=""&amp;L1019))"),"")</f>
        <v/>
      </c>
      <c r="N1019" s="29" t="str">
        <f>IFERROR(__xludf.DUMMYFUNCTION("IF(ISBLANK(B1019),"""",IF(ISDATE(B1019),TEXT(B1019,""yyyy""),""""))"),"")</f>
        <v/>
      </c>
    </row>
    <row r="1020">
      <c r="B1020" s="89"/>
      <c r="C1020" s="86"/>
      <c r="D1020" s="71"/>
      <c r="H1020" s="90"/>
      <c r="J1020" s="53" t="str">
        <f>IFERROR(__xludf.DUMMYFUNCTION("IF(ISBLANK(B1020),"""",IF(ISDATE(B1020),""X"",""""))"),"")</f>
        <v/>
      </c>
      <c r="K1020" s="40" t="str">
        <f>IFERROR(__xludf.DUMMYFUNCTION("IF(ISBLANK(B1020),"""",IF(ISDATE(B1020),H1020,""""))"),"")</f>
        <v/>
      </c>
      <c r="L1020" s="40" t="str">
        <f>IFERROR(__xludf.DUMMYFUNCTION("IF(ISBLANK(B1020),"""",IF(ISDATE(B1020),TEXT(B1020,""M""),""""))"),"")</f>
        <v/>
      </c>
      <c r="M1020" s="29" t="str">
        <f>IFERROR(__xludf.DUMMYFUNCTION("IF(L1020="""","""",QUERY({'Dashboard-Dados'!$Y$2:$AA$13},""Select Col2 Where Col1=""&amp;L1020))"),"")</f>
        <v/>
      </c>
      <c r="N1020" s="29" t="str">
        <f>IFERROR(__xludf.DUMMYFUNCTION("IF(ISBLANK(B1020),"""",IF(ISDATE(B1020),TEXT(B1020,""yyyy""),""""))"),"")</f>
        <v/>
      </c>
    </row>
    <row r="1021">
      <c r="B1021" s="87"/>
      <c r="C1021" s="85"/>
      <c r="D1021" s="76"/>
      <c r="H1021" s="88"/>
      <c r="J1021" s="53" t="str">
        <f>IFERROR(__xludf.DUMMYFUNCTION("IF(ISBLANK(B1021),"""",IF(ISDATE(B1021),""X"",""""))"),"")</f>
        <v/>
      </c>
      <c r="K1021" s="40" t="str">
        <f>IFERROR(__xludf.DUMMYFUNCTION("IF(ISBLANK(B1021),"""",IF(ISDATE(B1021),H1021,""""))"),"")</f>
        <v/>
      </c>
      <c r="L1021" s="40" t="str">
        <f>IFERROR(__xludf.DUMMYFUNCTION("IF(ISBLANK(B1021),"""",IF(ISDATE(B1021),TEXT(B1021,""M""),""""))"),"")</f>
        <v/>
      </c>
      <c r="M1021" s="29" t="str">
        <f>IFERROR(__xludf.DUMMYFUNCTION("IF(L1021="""","""",QUERY({'Dashboard-Dados'!$Y$2:$AA$13},""Select Col2 Where Col1=""&amp;L1021))"),"")</f>
        <v/>
      </c>
      <c r="N1021" s="29" t="str">
        <f>IFERROR(__xludf.DUMMYFUNCTION("IF(ISBLANK(B1021),"""",IF(ISDATE(B1021),TEXT(B1021,""yyyy""),""""))"),"")</f>
        <v/>
      </c>
    </row>
    <row r="1022">
      <c r="B1022" s="89"/>
      <c r="C1022" s="86"/>
      <c r="D1022" s="71"/>
      <c r="H1022" s="90"/>
      <c r="J1022" s="53" t="str">
        <f>IFERROR(__xludf.DUMMYFUNCTION("IF(ISBLANK(B1022),"""",IF(ISDATE(B1022),""X"",""""))"),"")</f>
        <v/>
      </c>
      <c r="K1022" s="40" t="str">
        <f>IFERROR(__xludf.DUMMYFUNCTION("IF(ISBLANK(B1022),"""",IF(ISDATE(B1022),H1022,""""))"),"")</f>
        <v/>
      </c>
      <c r="L1022" s="40" t="str">
        <f>IFERROR(__xludf.DUMMYFUNCTION("IF(ISBLANK(B1022),"""",IF(ISDATE(B1022),TEXT(B1022,""M""),""""))"),"")</f>
        <v/>
      </c>
      <c r="M1022" s="29" t="str">
        <f>IFERROR(__xludf.DUMMYFUNCTION("IF(L1022="""","""",QUERY({'Dashboard-Dados'!$Y$2:$AA$13},""Select Col2 Where Col1=""&amp;L1022))"),"")</f>
        <v/>
      </c>
      <c r="N1022" s="29" t="str">
        <f>IFERROR(__xludf.DUMMYFUNCTION("IF(ISBLANK(B1022),"""",IF(ISDATE(B1022),TEXT(B1022,""yyyy""),""""))"),"")</f>
        <v/>
      </c>
    </row>
    <row r="1023">
      <c r="B1023" s="87"/>
      <c r="C1023" s="85"/>
      <c r="D1023" s="76"/>
      <c r="H1023" s="88"/>
      <c r="J1023" s="53" t="str">
        <f>IFERROR(__xludf.DUMMYFUNCTION("IF(ISBLANK(B1023),"""",IF(ISDATE(B1023),""X"",""""))"),"")</f>
        <v/>
      </c>
      <c r="K1023" s="40" t="str">
        <f>IFERROR(__xludf.DUMMYFUNCTION("IF(ISBLANK(B1023),"""",IF(ISDATE(B1023),H1023,""""))"),"")</f>
        <v/>
      </c>
      <c r="L1023" s="40" t="str">
        <f>IFERROR(__xludf.DUMMYFUNCTION("IF(ISBLANK(B1023),"""",IF(ISDATE(B1023),TEXT(B1023,""M""),""""))"),"")</f>
        <v/>
      </c>
      <c r="M1023" s="29" t="str">
        <f>IFERROR(__xludf.DUMMYFUNCTION("IF(L1023="""","""",QUERY({'Dashboard-Dados'!$Y$2:$AA$13},""Select Col2 Where Col1=""&amp;L1023))"),"")</f>
        <v/>
      </c>
      <c r="N1023" s="29" t="str">
        <f>IFERROR(__xludf.DUMMYFUNCTION("IF(ISBLANK(B1023),"""",IF(ISDATE(B1023),TEXT(B1023,""yyyy""),""""))"),"")</f>
        <v/>
      </c>
    </row>
    <row r="1024">
      <c r="B1024" s="89"/>
      <c r="C1024" s="86"/>
      <c r="D1024" s="71"/>
      <c r="H1024" s="90"/>
      <c r="J1024" s="53" t="str">
        <f>IFERROR(__xludf.DUMMYFUNCTION("IF(ISBLANK(B1024),"""",IF(ISDATE(B1024),""X"",""""))"),"")</f>
        <v/>
      </c>
      <c r="K1024" s="40" t="str">
        <f>IFERROR(__xludf.DUMMYFUNCTION("IF(ISBLANK(B1024),"""",IF(ISDATE(B1024),H1024,""""))"),"")</f>
        <v/>
      </c>
      <c r="L1024" s="40" t="str">
        <f>IFERROR(__xludf.DUMMYFUNCTION("IF(ISBLANK(B1024),"""",IF(ISDATE(B1024),TEXT(B1024,""M""),""""))"),"")</f>
        <v/>
      </c>
      <c r="M1024" s="29" t="str">
        <f>IFERROR(__xludf.DUMMYFUNCTION("IF(L1024="""","""",QUERY({'Dashboard-Dados'!$Y$2:$AA$13},""Select Col2 Where Col1=""&amp;L1024))"),"")</f>
        <v/>
      </c>
      <c r="N1024" s="29" t="str">
        <f>IFERROR(__xludf.DUMMYFUNCTION("IF(ISBLANK(B1024),"""",IF(ISDATE(B1024),TEXT(B1024,""yyyy""),""""))"),"")</f>
        <v/>
      </c>
    </row>
    <row r="1025">
      <c r="B1025" s="87"/>
      <c r="C1025" s="85"/>
      <c r="D1025" s="76"/>
      <c r="H1025" s="88"/>
      <c r="J1025" s="53" t="str">
        <f>IFERROR(__xludf.DUMMYFUNCTION("IF(ISBLANK(B1025),"""",IF(ISDATE(B1025),""X"",""""))"),"")</f>
        <v/>
      </c>
      <c r="K1025" s="40" t="str">
        <f>IFERROR(__xludf.DUMMYFUNCTION("IF(ISBLANK(B1025),"""",IF(ISDATE(B1025),H1025,""""))"),"")</f>
        <v/>
      </c>
      <c r="L1025" s="40" t="str">
        <f>IFERROR(__xludf.DUMMYFUNCTION("IF(ISBLANK(B1025),"""",IF(ISDATE(B1025),TEXT(B1025,""M""),""""))"),"")</f>
        <v/>
      </c>
      <c r="M1025" s="29" t="str">
        <f>IFERROR(__xludf.DUMMYFUNCTION("IF(L1025="""","""",QUERY({'Dashboard-Dados'!$Y$2:$AA$13},""Select Col2 Where Col1=""&amp;L1025))"),"")</f>
        <v/>
      </c>
      <c r="N1025" s="29" t="str">
        <f>IFERROR(__xludf.DUMMYFUNCTION("IF(ISBLANK(B1025),"""",IF(ISDATE(B1025),TEXT(B1025,""yyyy""),""""))"),"")</f>
        <v/>
      </c>
    </row>
    <row r="1026">
      <c r="B1026" s="89"/>
      <c r="C1026" s="86"/>
      <c r="D1026" s="71"/>
      <c r="H1026" s="90"/>
      <c r="J1026" s="53" t="str">
        <f>IFERROR(__xludf.DUMMYFUNCTION("IF(ISBLANK(B1026),"""",IF(ISDATE(B1026),""X"",""""))"),"")</f>
        <v/>
      </c>
      <c r="K1026" s="40" t="str">
        <f>IFERROR(__xludf.DUMMYFUNCTION("IF(ISBLANK(B1026),"""",IF(ISDATE(B1026),H1026,""""))"),"")</f>
        <v/>
      </c>
      <c r="L1026" s="40" t="str">
        <f>IFERROR(__xludf.DUMMYFUNCTION("IF(ISBLANK(B1026),"""",IF(ISDATE(B1026),TEXT(B1026,""M""),""""))"),"")</f>
        <v/>
      </c>
      <c r="M1026" s="29" t="str">
        <f>IFERROR(__xludf.DUMMYFUNCTION("IF(L1026="""","""",QUERY({'Dashboard-Dados'!$Y$2:$AA$13},""Select Col2 Where Col1=""&amp;L1026))"),"")</f>
        <v/>
      </c>
      <c r="N1026" s="29" t="str">
        <f>IFERROR(__xludf.DUMMYFUNCTION("IF(ISBLANK(B1026),"""",IF(ISDATE(B1026),TEXT(B1026,""yyyy""),""""))"),"")</f>
        <v/>
      </c>
    </row>
    <row r="1027">
      <c r="B1027" s="87"/>
      <c r="C1027" s="85"/>
      <c r="D1027" s="76"/>
      <c r="H1027" s="88"/>
      <c r="J1027" s="53" t="str">
        <f>IFERROR(__xludf.DUMMYFUNCTION("IF(ISBLANK(B1027),"""",IF(ISDATE(B1027),""X"",""""))"),"")</f>
        <v/>
      </c>
      <c r="K1027" s="40" t="str">
        <f>IFERROR(__xludf.DUMMYFUNCTION("IF(ISBLANK(B1027),"""",IF(ISDATE(B1027),H1027,""""))"),"")</f>
        <v/>
      </c>
      <c r="L1027" s="40" t="str">
        <f>IFERROR(__xludf.DUMMYFUNCTION("IF(ISBLANK(B1027),"""",IF(ISDATE(B1027),TEXT(B1027,""M""),""""))"),"")</f>
        <v/>
      </c>
      <c r="M1027" s="29" t="str">
        <f>IFERROR(__xludf.DUMMYFUNCTION("IF(L1027="""","""",QUERY({'Dashboard-Dados'!$Y$2:$AA$13},""Select Col2 Where Col1=""&amp;L1027))"),"")</f>
        <v/>
      </c>
      <c r="N1027" s="29" t="str">
        <f>IFERROR(__xludf.DUMMYFUNCTION("IF(ISBLANK(B1027),"""",IF(ISDATE(B1027),TEXT(B1027,""yyyy""),""""))"),"")</f>
        <v/>
      </c>
    </row>
    <row r="1028">
      <c r="B1028" s="89"/>
      <c r="C1028" s="86"/>
      <c r="D1028" s="71"/>
      <c r="H1028" s="90"/>
      <c r="J1028" s="53" t="str">
        <f>IFERROR(__xludf.DUMMYFUNCTION("IF(ISBLANK(B1028),"""",IF(ISDATE(B1028),""X"",""""))"),"")</f>
        <v/>
      </c>
      <c r="K1028" s="40" t="str">
        <f>IFERROR(__xludf.DUMMYFUNCTION("IF(ISBLANK(B1028),"""",IF(ISDATE(B1028),H1028,""""))"),"")</f>
        <v/>
      </c>
      <c r="L1028" s="40" t="str">
        <f>IFERROR(__xludf.DUMMYFUNCTION("IF(ISBLANK(B1028),"""",IF(ISDATE(B1028),TEXT(B1028,""M""),""""))"),"")</f>
        <v/>
      </c>
      <c r="M1028" s="29" t="str">
        <f>IFERROR(__xludf.DUMMYFUNCTION("IF(L1028="""","""",QUERY({'Dashboard-Dados'!$Y$2:$AA$13},""Select Col2 Where Col1=""&amp;L1028))"),"")</f>
        <v/>
      </c>
      <c r="N1028" s="29" t="str">
        <f>IFERROR(__xludf.DUMMYFUNCTION("IF(ISBLANK(B1028),"""",IF(ISDATE(B1028),TEXT(B1028,""yyyy""),""""))"),"")</f>
        <v/>
      </c>
    </row>
    <row r="1029">
      <c r="B1029" s="87"/>
      <c r="C1029" s="85"/>
      <c r="D1029" s="76"/>
      <c r="H1029" s="88"/>
      <c r="J1029" s="53" t="str">
        <f>IFERROR(__xludf.DUMMYFUNCTION("IF(ISBLANK(B1029),"""",IF(ISDATE(B1029),""X"",""""))"),"")</f>
        <v/>
      </c>
      <c r="K1029" s="40" t="str">
        <f>IFERROR(__xludf.DUMMYFUNCTION("IF(ISBLANK(B1029),"""",IF(ISDATE(B1029),H1029,""""))"),"")</f>
        <v/>
      </c>
      <c r="L1029" s="40" t="str">
        <f>IFERROR(__xludf.DUMMYFUNCTION("IF(ISBLANK(B1029),"""",IF(ISDATE(B1029),TEXT(B1029,""M""),""""))"),"")</f>
        <v/>
      </c>
      <c r="M1029" s="29" t="str">
        <f>IFERROR(__xludf.DUMMYFUNCTION("IF(L1029="""","""",QUERY({'Dashboard-Dados'!$Y$2:$AA$13},""Select Col2 Where Col1=""&amp;L1029))"),"")</f>
        <v/>
      </c>
      <c r="N1029" s="29" t="str">
        <f>IFERROR(__xludf.DUMMYFUNCTION("IF(ISBLANK(B1029),"""",IF(ISDATE(B1029),TEXT(B1029,""yyyy""),""""))"),"")</f>
        <v/>
      </c>
    </row>
    <row r="1030">
      <c r="B1030" s="89"/>
      <c r="C1030" s="86"/>
      <c r="D1030" s="71"/>
      <c r="H1030" s="90"/>
      <c r="J1030" s="53" t="str">
        <f>IFERROR(__xludf.DUMMYFUNCTION("IF(ISBLANK(B1030),"""",IF(ISDATE(B1030),""X"",""""))"),"")</f>
        <v/>
      </c>
      <c r="K1030" s="40" t="str">
        <f>IFERROR(__xludf.DUMMYFUNCTION("IF(ISBLANK(B1030),"""",IF(ISDATE(B1030),H1030,""""))"),"")</f>
        <v/>
      </c>
      <c r="L1030" s="40" t="str">
        <f>IFERROR(__xludf.DUMMYFUNCTION("IF(ISBLANK(B1030),"""",IF(ISDATE(B1030),TEXT(B1030,""M""),""""))"),"")</f>
        <v/>
      </c>
      <c r="M1030" s="29" t="str">
        <f>IFERROR(__xludf.DUMMYFUNCTION("IF(L1030="""","""",QUERY({'Dashboard-Dados'!$Y$2:$AA$13},""Select Col2 Where Col1=""&amp;L1030))"),"")</f>
        <v/>
      </c>
      <c r="N1030" s="29" t="str">
        <f>IFERROR(__xludf.DUMMYFUNCTION("IF(ISBLANK(B1030),"""",IF(ISDATE(B1030),TEXT(B1030,""yyyy""),""""))"),"")</f>
        <v/>
      </c>
    </row>
    <row r="1031">
      <c r="B1031" s="87"/>
      <c r="C1031" s="85"/>
      <c r="D1031" s="76"/>
      <c r="H1031" s="88"/>
      <c r="J1031" s="53" t="str">
        <f>IFERROR(__xludf.DUMMYFUNCTION("IF(ISBLANK(B1031),"""",IF(ISDATE(B1031),""X"",""""))"),"")</f>
        <v/>
      </c>
      <c r="K1031" s="40" t="str">
        <f>IFERROR(__xludf.DUMMYFUNCTION("IF(ISBLANK(B1031),"""",IF(ISDATE(B1031),H1031,""""))"),"")</f>
        <v/>
      </c>
      <c r="L1031" s="40" t="str">
        <f>IFERROR(__xludf.DUMMYFUNCTION("IF(ISBLANK(B1031),"""",IF(ISDATE(B1031),TEXT(B1031,""M""),""""))"),"")</f>
        <v/>
      </c>
      <c r="M1031" s="29" t="str">
        <f>IFERROR(__xludf.DUMMYFUNCTION("IF(L1031="""","""",QUERY({'Dashboard-Dados'!$Y$2:$AA$13},""Select Col2 Where Col1=""&amp;L1031))"),"")</f>
        <v/>
      </c>
      <c r="N1031" s="29" t="str">
        <f>IFERROR(__xludf.DUMMYFUNCTION("IF(ISBLANK(B1031),"""",IF(ISDATE(B1031),TEXT(B1031,""yyyy""),""""))"),"")</f>
        <v/>
      </c>
    </row>
    <row r="1032">
      <c r="B1032" s="89"/>
      <c r="C1032" s="86"/>
      <c r="D1032" s="71"/>
      <c r="H1032" s="90"/>
      <c r="J1032" s="53" t="str">
        <f>IFERROR(__xludf.DUMMYFUNCTION("IF(ISBLANK(B1032),"""",IF(ISDATE(B1032),""X"",""""))"),"")</f>
        <v/>
      </c>
      <c r="K1032" s="40" t="str">
        <f>IFERROR(__xludf.DUMMYFUNCTION("IF(ISBLANK(B1032),"""",IF(ISDATE(B1032),H1032,""""))"),"")</f>
        <v/>
      </c>
      <c r="L1032" s="40" t="str">
        <f>IFERROR(__xludf.DUMMYFUNCTION("IF(ISBLANK(B1032),"""",IF(ISDATE(B1032),TEXT(B1032,""M""),""""))"),"")</f>
        <v/>
      </c>
      <c r="M1032" s="29" t="str">
        <f>IFERROR(__xludf.DUMMYFUNCTION("IF(L1032="""","""",QUERY({'Dashboard-Dados'!$Y$2:$AA$13},""Select Col2 Where Col1=""&amp;L1032))"),"")</f>
        <v/>
      </c>
      <c r="N1032" s="29" t="str">
        <f>IFERROR(__xludf.DUMMYFUNCTION("IF(ISBLANK(B1032),"""",IF(ISDATE(B1032),TEXT(B1032,""yyyy""),""""))"),"")</f>
        <v/>
      </c>
    </row>
    <row r="1033">
      <c r="B1033" s="87"/>
      <c r="C1033" s="85"/>
      <c r="D1033" s="76"/>
      <c r="H1033" s="88"/>
      <c r="J1033" s="53" t="str">
        <f>IFERROR(__xludf.DUMMYFUNCTION("IF(ISBLANK(B1033),"""",IF(ISDATE(B1033),""X"",""""))"),"")</f>
        <v/>
      </c>
      <c r="K1033" s="40" t="str">
        <f>IFERROR(__xludf.DUMMYFUNCTION("IF(ISBLANK(B1033),"""",IF(ISDATE(B1033),H1033,""""))"),"")</f>
        <v/>
      </c>
      <c r="L1033" s="40" t="str">
        <f>IFERROR(__xludf.DUMMYFUNCTION("IF(ISBLANK(B1033),"""",IF(ISDATE(B1033),TEXT(B1033,""M""),""""))"),"")</f>
        <v/>
      </c>
      <c r="M1033" s="29" t="str">
        <f>IFERROR(__xludf.DUMMYFUNCTION("IF(L1033="""","""",QUERY({'Dashboard-Dados'!$Y$2:$AA$13},""Select Col2 Where Col1=""&amp;L1033))"),"")</f>
        <v/>
      </c>
      <c r="N1033" s="29" t="str">
        <f>IFERROR(__xludf.DUMMYFUNCTION("IF(ISBLANK(B1033),"""",IF(ISDATE(B1033),TEXT(B1033,""yyyy""),""""))"),"")</f>
        <v/>
      </c>
    </row>
    <row r="1034">
      <c r="B1034" s="89"/>
      <c r="C1034" s="86"/>
      <c r="D1034" s="71"/>
      <c r="H1034" s="90"/>
      <c r="J1034" s="53" t="str">
        <f>IFERROR(__xludf.DUMMYFUNCTION("IF(ISBLANK(B1034),"""",IF(ISDATE(B1034),""X"",""""))"),"")</f>
        <v/>
      </c>
      <c r="K1034" s="40" t="str">
        <f>IFERROR(__xludf.DUMMYFUNCTION("IF(ISBLANK(B1034),"""",IF(ISDATE(B1034),H1034,""""))"),"")</f>
        <v/>
      </c>
      <c r="L1034" s="40" t="str">
        <f>IFERROR(__xludf.DUMMYFUNCTION("IF(ISBLANK(B1034),"""",IF(ISDATE(B1034),TEXT(B1034,""M""),""""))"),"")</f>
        <v/>
      </c>
      <c r="M1034" s="29" t="str">
        <f>IFERROR(__xludf.DUMMYFUNCTION("IF(L1034="""","""",QUERY({'Dashboard-Dados'!$Y$2:$AA$13},""Select Col2 Where Col1=""&amp;L1034))"),"")</f>
        <v/>
      </c>
      <c r="N1034" s="29" t="str">
        <f>IFERROR(__xludf.DUMMYFUNCTION("IF(ISBLANK(B1034),"""",IF(ISDATE(B1034),TEXT(B1034,""yyyy""),""""))"),"")</f>
        <v/>
      </c>
    </row>
    <row r="1035">
      <c r="B1035" s="87"/>
      <c r="C1035" s="85"/>
      <c r="D1035" s="76"/>
      <c r="H1035" s="88"/>
      <c r="J1035" s="53" t="str">
        <f>IFERROR(__xludf.DUMMYFUNCTION("IF(ISBLANK(B1035),"""",IF(ISDATE(B1035),""X"",""""))"),"")</f>
        <v/>
      </c>
      <c r="K1035" s="40" t="str">
        <f>IFERROR(__xludf.DUMMYFUNCTION("IF(ISBLANK(B1035),"""",IF(ISDATE(B1035),H1035,""""))"),"")</f>
        <v/>
      </c>
      <c r="L1035" s="40" t="str">
        <f>IFERROR(__xludf.DUMMYFUNCTION("IF(ISBLANK(B1035),"""",IF(ISDATE(B1035),TEXT(B1035,""M""),""""))"),"")</f>
        <v/>
      </c>
      <c r="M1035" s="29" t="str">
        <f>IFERROR(__xludf.DUMMYFUNCTION("IF(L1035="""","""",QUERY({'Dashboard-Dados'!$Y$2:$AA$13},""Select Col2 Where Col1=""&amp;L1035))"),"")</f>
        <v/>
      </c>
      <c r="N1035" s="29" t="str">
        <f>IFERROR(__xludf.DUMMYFUNCTION("IF(ISBLANK(B1035),"""",IF(ISDATE(B1035),TEXT(B1035,""yyyy""),""""))"),"")</f>
        <v/>
      </c>
    </row>
    <row r="1036">
      <c r="B1036" s="89"/>
      <c r="C1036" s="86"/>
      <c r="D1036" s="71"/>
      <c r="H1036" s="90"/>
      <c r="J1036" s="53" t="str">
        <f>IFERROR(__xludf.DUMMYFUNCTION("IF(ISBLANK(B1036),"""",IF(ISDATE(B1036),""X"",""""))"),"")</f>
        <v/>
      </c>
      <c r="K1036" s="40" t="str">
        <f>IFERROR(__xludf.DUMMYFUNCTION("IF(ISBLANK(B1036),"""",IF(ISDATE(B1036),H1036,""""))"),"")</f>
        <v/>
      </c>
      <c r="L1036" s="40" t="str">
        <f>IFERROR(__xludf.DUMMYFUNCTION("IF(ISBLANK(B1036),"""",IF(ISDATE(B1036),TEXT(B1036,""M""),""""))"),"")</f>
        <v/>
      </c>
      <c r="M1036" s="29" t="str">
        <f>IFERROR(__xludf.DUMMYFUNCTION("IF(L1036="""","""",QUERY({'Dashboard-Dados'!$Y$2:$AA$13},""Select Col2 Where Col1=""&amp;L1036))"),"")</f>
        <v/>
      </c>
      <c r="N1036" s="29" t="str">
        <f>IFERROR(__xludf.DUMMYFUNCTION("IF(ISBLANK(B1036),"""",IF(ISDATE(B1036),TEXT(B1036,""yyyy""),""""))"),"")</f>
        <v/>
      </c>
    </row>
    <row r="1037">
      <c r="B1037" s="87"/>
      <c r="C1037" s="85"/>
      <c r="D1037" s="76"/>
      <c r="H1037" s="88"/>
      <c r="J1037" s="53" t="str">
        <f>IFERROR(__xludf.DUMMYFUNCTION("IF(ISBLANK(B1037),"""",IF(ISDATE(B1037),""X"",""""))"),"")</f>
        <v/>
      </c>
      <c r="K1037" s="40" t="str">
        <f>IFERROR(__xludf.DUMMYFUNCTION("IF(ISBLANK(B1037),"""",IF(ISDATE(B1037),H1037,""""))"),"")</f>
        <v/>
      </c>
      <c r="L1037" s="40" t="str">
        <f>IFERROR(__xludf.DUMMYFUNCTION("IF(ISBLANK(B1037),"""",IF(ISDATE(B1037),TEXT(B1037,""M""),""""))"),"")</f>
        <v/>
      </c>
      <c r="M1037" s="29" t="str">
        <f>IFERROR(__xludf.DUMMYFUNCTION("IF(L1037="""","""",QUERY({'Dashboard-Dados'!$Y$2:$AA$13},""Select Col2 Where Col1=""&amp;L1037))"),"")</f>
        <v/>
      </c>
      <c r="N1037" s="29" t="str">
        <f>IFERROR(__xludf.DUMMYFUNCTION("IF(ISBLANK(B1037),"""",IF(ISDATE(B1037),TEXT(B1037,""yyyy""),""""))"),"")</f>
        <v/>
      </c>
    </row>
    <row r="1038">
      <c r="B1038" s="89"/>
      <c r="C1038" s="86"/>
      <c r="D1038" s="71"/>
      <c r="H1038" s="90"/>
      <c r="J1038" s="53" t="str">
        <f>IFERROR(__xludf.DUMMYFUNCTION("IF(ISBLANK(B1038),"""",IF(ISDATE(B1038),""X"",""""))"),"")</f>
        <v/>
      </c>
      <c r="K1038" s="40" t="str">
        <f>IFERROR(__xludf.DUMMYFUNCTION("IF(ISBLANK(B1038),"""",IF(ISDATE(B1038),H1038,""""))"),"")</f>
        <v/>
      </c>
      <c r="L1038" s="40" t="str">
        <f>IFERROR(__xludf.DUMMYFUNCTION("IF(ISBLANK(B1038),"""",IF(ISDATE(B1038),TEXT(B1038,""M""),""""))"),"")</f>
        <v/>
      </c>
      <c r="M1038" s="29" t="str">
        <f>IFERROR(__xludf.DUMMYFUNCTION("IF(L1038="""","""",QUERY({'Dashboard-Dados'!$Y$2:$AA$13},""Select Col2 Where Col1=""&amp;L1038))"),"")</f>
        <v/>
      </c>
      <c r="N1038" s="29" t="str">
        <f>IFERROR(__xludf.DUMMYFUNCTION("IF(ISBLANK(B1038),"""",IF(ISDATE(B1038),TEXT(B1038,""yyyy""),""""))"),"")</f>
        <v/>
      </c>
    </row>
    <row r="1039">
      <c r="B1039" s="87"/>
      <c r="C1039" s="85"/>
      <c r="D1039" s="76"/>
      <c r="H1039" s="88"/>
      <c r="J1039" s="53" t="str">
        <f>IFERROR(__xludf.DUMMYFUNCTION("IF(ISBLANK(B1039),"""",IF(ISDATE(B1039),""X"",""""))"),"")</f>
        <v/>
      </c>
      <c r="K1039" s="40" t="str">
        <f>IFERROR(__xludf.DUMMYFUNCTION("IF(ISBLANK(B1039),"""",IF(ISDATE(B1039),H1039,""""))"),"")</f>
        <v/>
      </c>
      <c r="L1039" s="40" t="str">
        <f>IFERROR(__xludf.DUMMYFUNCTION("IF(ISBLANK(B1039),"""",IF(ISDATE(B1039),TEXT(B1039,""M""),""""))"),"")</f>
        <v/>
      </c>
      <c r="M1039" s="29" t="str">
        <f>IFERROR(__xludf.DUMMYFUNCTION("IF(L1039="""","""",QUERY({'Dashboard-Dados'!$Y$2:$AA$13},""Select Col2 Where Col1=""&amp;L1039))"),"")</f>
        <v/>
      </c>
      <c r="N1039" s="29" t="str">
        <f>IFERROR(__xludf.DUMMYFUNCTION("IF(ISBLANK(B1039),"""",IF(ISDATE(B1039),TEXT(B1039,""yyyy""),""""))"),"")</f>
        <v/>
      </c>
    </row>
    <row r="1040">
      <c r="B1040" s="89"/>
      <c r="C1040" s="86"/>
      <c r="D1040" s="71"/>
      <c r="H1040" s="90"/>
      <c r="J1040" s="53" t="str">
        <f>IFERROR(__xludf.DUMMYFUNCTION("IF(ISBLANK(B1040),"""",IF(ISDATE(B1040),""X"",""""))"),"")</f>
        <v/>
      </c>
      <c r="K1040" s="40" t="str">
        <f>IFERROR(__xludf.DUMMYFUNCTION("IF(ISBLANK(B1040),"""",IF(ISDATE(B1040),H1040,""""))"),"")</f>
        <v/>
      </c>
      <c r="L1040" s="40" t="str">
        <f>IFERROR(__xludf.DUMMYFUNCTION("IF(ISBLANK(B1040),"""",IF(ISDATE(B1040),TEXT(B1040,""M""),""""))"),"")</f>
        <v/>
      </c>
      <c r="M1040" s="29" t="str">
        <f>IFERROR(__xludf.DUMMYFUNCTION("IF(L1040="""","""",QUERY({'Dashboard-Dados'!$Y$2:$AA$13},""Select Col2 Where Col1=""&amp;L1040))"),"")</f>
        <v/>
      </c>
      <c r="N1040" s="29" t="str">
        <f>IFERROR(__xludf.DUMMYFUNCTION("IF(ISBLANK(B1040),"""",IF(ISDATE(B1040),TEXT(B1040,""yyyy""),""""))"),"")</f>
        <v/>
      </c>
    </row>
    <row r="1041">
      <c r="B1041" s="87"/>
      <c r="C1041" s="85"/>
      <c r="D1041" s="76"/>
      <c r="H1041" s="88"/>
      <c r="J1041" s="53" t="str">
        <f>IFERROR(__xludf.DUMMYFUNCTION("IF(ISBLANK(B1041),"""",IF(ISDATE(B1041),""X"",""""))"),"")</f>
        <v/>
      </c>
      <c r="K1041" s="40" t="str">
        <f>IFERROR(__xludf.DUMMYFUNCTION("IF(ISBLANK(B1041),"""",IF(ISDATE(B1041),H1041,""""))"),"")</f>
        <v/>
      </c>
      <c r="L1041" s="40" t="str">
        <f>IFERROR(__xludf.DUMMYFUNCTION("IF(ISBLANK(B1041),"""",IF(ISDATE(B1041),TEXT(B1041,""M""),""""))"),"")</f>
        <v/>
      </c>
      <c r="M1041" s="29" t="str">
        <f>IFERROR(__xludf.DUMMYFUNCTION("IF(L1041="""","""",QUERY({'Dashboard-Dados'!$Y$2:$AA$13},""Select Col2 Where Col1=""&amp;L1041))"),"")</f>
        <v/>
      </c>
      <c r="N1041" s="29" t="str">
        <f>IFERROR(__xludf.DUMMYFUNCTION("IF(ISBLANK(B1041),"""",IF(ISDATE(B1041),TEXT(B1041,""yyyy""),""""))"),"")</f>
        <v/>
      </c>
    </row>
    <row r="1042">
      <c r="B1042" s="89"/>
      <c r="C1042" s="86"/>
      <c r="D1042" s="71"/>
      <c r="H1042" s="90"/>
      <c r="J1042" s="53" t="str">
        <f>IFERROR(__xludf.DUMMYFUNCTION("IF(ISBLANK(B1042),"""",IF(ISDATE(B1042),""X"",""""))"),"")</f>
        <v/>
      </c>
      <c r="K1042" s="40" t="str">
        <f>IFERROR(__xludf.DUMMYFUNCTION("IF(ISBLANK(B1042),"""",IF(ISDATE(B1042),H1042,""""))"),"")</f>
        <v/>
      </c>
      <c r="L1042" s="40" t="str">
        <f>IFERROR(__xludf.DUMMYFUNCTION("IF(ISBLANK(B1042),"""",IF(ISDATE(B1042),TEXT(B1042,""M""),""""))"),"")</f>
        <v/>
      </c>
      <c r="M1042" s="29" t="str">
        <f>IFERROR(__xludf.DUMMYFUNCTION("IF(L1042="""","""",QUERY({'Dashboard-Dados'!$Y$2:$AA$13},""Select Col2 Where Col1=""&amp;L1042))"),"")</f>
        <v/>
      </c>
      <c r="N1042" s="29" t="str">
        <f>IFERROR(__xludf.DUMMYFUNCTION("IF(ISBLANK(B1042),"""",IF(ISDATE(B1042),TEXT(B1042,""yyyy""),""""))"),"")</f>
        <v/>
      </c>
    </row>
    <row r="1043">
      <c r="B1043" s="87"/>
      <c r="C1043" s="85"/>
      <c r="D1043" s="76"/>
      <c r="H1043" s="88"/>
      <c r="J1043" s="53" t="str">
        <f>IFERROR(__xludf.DUMMYFUNCTION("IF(ISBLANK(B1043),"""",IF(ISDATE(B1043),""X"",""""))"),"")</f>
        <v/>
      </c>
      <c r="K1043" s="40" t="str">
        <f>IFERROR(__xludf.DUMMYFUNCTION("IF(ISBLANK(B1043),"""",IF(ISDATE(B1043),H1043,""""))"),"")</f>
        <v/>
      </c>
      <c r="L1043" s="40" t="str">
        <f>IFERROR(__xludf.DUMMYFUNCTION("IF(ISBLANK(B1043),"""",IF(ISDATE(B1043),TEXT(B1043,""M""),""""))"),"")</f>
        <v/>
      </c>
      <c r="M1043" s="29" t="str">
        <f>IFERROR(__xludf.DUMMYFUNCTION("IF(L1043="""","""",QUERY({'Dashboard-Dados'!$Y$2:$AA$13},""Select Col2 Where Col1=""&amp;L1043))"),"")</f>
        <v/>
      </c>
      <c r="N1043" s="29" t="str">
        <f>IFERROR(__xludf.DUMMYFUNCTION("IF(ISBLANK(B1043),"""",IF(ISDATE(B1043),TEXT(B1043,""yyyy""),""""))"),"")</f>
        <v/>
      </c>
    </row>
    <row r="1044">
      <c r="B1044" s="89"/>
      <c r="C1044" s="86"/>
      <c r="D1044" s="71"/>
      <c r="H1044" s="90"/>
      <c r="J1044" s="53" t="str">
        <f>IFERROR(__xludf.DUMMYFUNCTION("IF(ISBLANK(B1044),"""",IF(ISDATE(B1044),""X"",""""))"),"")</f>
        <v/>
      </c>
      <c r="K1044" s="40" t="str">
        <f>IFERROR(__xludf.DUMMYFUNCTION("IF(ISBLANK(B1044),"""",IF(ISDATE(B1044),H1044,""""))"),"")</f>
        <v/>
      </c>
      <c r="L1044" s="40" t="str">
        <f>IFERROR(__xludf.DUMMYFUNCTION("IF(ISBLANK(B1044),"""",IF(ISDATE(B1044),TEXT(B1044,""M""),""""))"),"")</f>
        <v/>
      </c>
      <c r="M1044" s="29" t="str">
        <f>IFERROR(__xludf.DUMMYFUNCTION("IF(L1044="""","""",QUERY({'Dashboard-Dados'!$Y$2:$AA$13},""Select Col2 Where Col1=""&amp;L1044))"),"")</f>
        <v/>
      </c>
      <c r="N1044" s="29" t="str">
        <f>IFERROR(__xludf.DUMMYFUNCTION("IF(ISBLANK(B1044),"""",IF(ISDATE(B1044),TEXT(B1044,""yyyy""),""""))"),"")</f>
        <v/>
      </c>
    </row>
    <row r="1045">
      <c r="B1045" s="87"/>
      <c r="C1045" s="85"/>
      <c r="D1045" s="76"/>
      <c r="H1045" s="88"/>
      <c r="J1045" s="53" t="str">
        <f>IFERROR(__xludf.DUMMYFUNCTION("IF(ISBLANK(B1045),"""",IF(ISDATE(B1045),""X"",""""))"),"")</f>
        <v/>
      </c>
      <c r="K1045" s="40" t="str">
        <f>IFERROR(__xludf.DUMMYFUNCTION("IF(ISBLANK(B1045),"""",IF(ISDATE(B1045),H1045,""""))"),"")</f>
        <v/>
      </c>
      <c r="L1045" s="40" t="str">
        <f>IFERROR(__xludf.DUMMYFUNCTION("IF(ISBLANK(B1045),"""",IF(ISDATE(B1045),TEXT(B1045,""M""),""""))"),"")</f>
        <v/>
      </c>
      <c r="M1045" s="29" t="str">
        <f>IFERROR(__xludf.DUMMYFUNCTION("IF(L1045="""","""",QUERY({'Dashboard-Dados'!$Y$2:$AA$13},""Select Col2 Where Col1=""&amp;L1045))"),"")</f>
        <v/>
      </c>
      <c r="N1045" s="29" t="str">
        <f>IFERROR(__xludf.DUMMYFUNCTION("IF(ISBLANK(B1045),"""",IF(ISDATE(B1045),TEXT(B1045,""yyyy""),""""))"),"")</f>
        <v/>
      </c>
    </row>
    <row r="1046">
      <c r="B1046" s="89"/>
      <c r="C1046" s="86"/>
      <c r="D1046" s="71"/>
      <c r="H1046" s="90"/>
      <c r="J1046" s="53" t="str">
        <f>IFERROR(__xludf.DUMMYFUNCTION("IF(ISBLANK(B1046),"""",IF(ISDATE(B1046),""X"",""""))"),"")</f>
        <v/>
      </c>
      <c r="K1046" s="40" t="str">
        <f>IFERROR(__xludf.DUMMYFUNCTION("IF(ISBLANK(B1046),"""",IF(ISDATE(B1046),H1046,""""))"),"")</f>
        <v/>
      </c>
      <c r="L1046" s="40" t="str">
        <f>IFERROR(__xludf.DUMMYFUNCTION("IF(ISBLANK(B1046),"""",IF(ISDATE(B1046),TEXT(B1046,""M""),""""))"),"")</f>
        <v/>
      </c>
      <c r="M1046" s="29" t="str">
        <f>IFERROR(__xludf.DUMMYFUNCTION("IF(L1046="""","""",QUERY({'Dashboard-Dados'!$Y$2:$AA$13},""Select Col2 Where Col1=""&amp;L1046))"),"")</f>
        <v/>
      </c>
      <c r="N1046" s="29" t="str">
        <f>IFERROR(__xludf.DUMMYFUNCTION("IF(ISBLANK(B1046),"""",IF(ISDATE(B1046),TEXT(B1046,""yyyy""),""""))"),"")</f>
        <v/>
      </c>
    </row>
    <row r="1047">
      <c r="B1047" s="87"/>
      <c r="C1047" s="85"/>
      <c r="D1047" s="76"/>
      <c r="H1047" s="88"/>
      <c r="J1047" s="53" t="str">
        <f>IFERROR(__xludf.DUMMYFUNCTION("IF(ISBLANK(B1047),"""",IF(ISDATE(B1047),""X"",""""))"),"")</f>
        <v/>
      </c>
      <c r="K1047" s="40" t="str">
        <f>IFERROR(__xludf.DUMMYFUNCTION("IF(ISBLANK(B1047),"""",IF(ISDATE(B1047),H1047,""""))"),"")</f>
        <v/>
      </c>
      <c r="L1047" s="40" t="str">
        <f>IFERROR(__xludf.DUMMYFUNCTION("IF(ISBLANK(B1047),"""",IF(ISDATE(B1047),TEXT(B1047,""M""),""""))"),"")</f>
        <v/>
      </c>
      <c r="M1047" s="29" t="str">
        <f>IFERROR(__xludf.DUMMYFUNCTION("IF(L1047="""","""",QUERY({'Dashboard-Dados'!$Y$2:$AA$13},""Select Col2 Where Col1=""&amp;L1047))"),"")</f>
        <v/>
      </c>
      <c r="N1047" s="29" t="str">
        <f>IFERROR(__xludf.DUMMYFUNCTION("IF(ISBLANK(B1047),"""",IF(ISDATE(B1047),TEXT(B1047,""yyyy""),""""))"),"")</f>
        <v/>
      </c>
    </row>
    <row r="1048">
      <c r="B1048" s="89"/>
      <c r="C1048" s="86"/>
      <c r="D1048" s="71"/>
      <c r="H1048" s="90"/>
      <c r="J1048" s="53" t="str">
        <f>IFERROR(__xludf.DUMMYFUNCTION("IF(ISBLANK(B1048),"""",IF(ISDATE(B1048),""X"",""""))"),"")</f>
        <v/>
      </c>
      <c r="K1048" s="40" t="str">
        <f>IFERROR(__xludf.DUMMYFUNCTION("IF(ISBLANK(B1048),"""",IF(ISDATE(B1048),H1048,""""))"),"")</f>
        <v/>
      </c>
      <c r="L1048" s="40" t="str">
        <f>IFERROR(__xludf.DUMMYFUNCTION("IF(ISBLANK(B1048),"""",IF(ISDATE(B1048),TEXT(B1048,""M""),""""))"),"")</f>
        <v/>
      </c>
      <c r="M1048" s="29" t="str">
        <f>IFERROR(__xludf.DUMMYFUNCTION("IF(L1048="""","""",QUERY({'Dashboard-Dados'!$Y$2:$AA$13},""Select Col2 Where Col1=""&amp;L1048))"),"")</f>
        <v/>
      </c>
      <c r="N1048" s="29" t="str">
        <f>IFERROR(__xludf.DUMMYFUNCTION("IF(ISBLANK(B1048),"""",IF(ISDATE(B1048),TEXT(B1048,""yyyy""),""""))"),"")</f>
        <v/>
      </c>
    </row>
    <row r="1049">
      <c r="B1049" s="87"/>
      <c r="C1049" s="85"/>
      <c r="D1049" s="76"/>
      <c r="H1049" s="88"/>
      <c r="J1049" s="53" t="str">
        <f>IFERROR(__xludf.DUMMYFUNCTION("IF(ISBLANK(B1049),"""",IF(ISDATE(B1049),""X"",""""))"),"")</f>
        <v/>
      </c>
      <c r="K1049" s="40" t="str">
        <f>IFERROR(__xludf.DUMMYFUNCTION("IF(ISBLANK(B1049),"""",IF(ISDATE(B1049),H1049,""""))"),"")</f>
        <v/>
      </c>
      <c r="L1049" s="40" t="str">
        <f>IFERROR(__xludf.DUMMYFUNCTION("IF(ISBLANK(B1049),"""",IF(ISDATE(B1049),TEXT(B1049,""M""),""""))"),"")</f>
        <v/>
      </c>
      <c r="M1049" s="29" t="str">
        <f>IFERROR(__xludf.DUMMYFUNCTION("IF(L1049="""","""",QUERY({'Dashboard-Dados'!$Y$2:$AA$13},""Select Col2 Where Col1=""&amp;L1049))"),"")</f>
        <v/>
      </c>
      <c r="N1049" s="29" t="str">
        <f>IFERROR(__xludf.DUMMYFUNCTION("IF(ISBLANK(B1049),"""",IF(ISDATE(B1049),TEXT(B1049,""yyyy""),""""))"),"")</f>
        <v/>
      </c>
    </row>
    <row r="1050">
      <c r="B1050" s="89"/>
      <c r="C1050" s="86"/>
      <c r="D1050" s="71"/>
      <c r="H1050" s="90"/>
      <c r="J1050" s="53" t="str">
        <f>IFERROR(__xludf.DUMMYFUNCTION("IF(ISBLANK(B1050),"""",IF(ISDATE(B1050),""X"",""""))"),"")</f>
        <v/>
      </c>
      <c r="K1050" s="40" t="str">
        <f>IFERROR(__xludf.DUMMYFUNCTION("IF(ISBLANK(B1050),"""",IF(ISDATE(B1050),H1050,""""))"),"")</f>
        <v/>
      </c>
      <c r="L1050" s="40" t="str">
        <f>IFERROR(__xludf.DUMMYFUNCTION("IF(ISBLANK(B1050),"""",IF(ISDATE(B1050),TEXT(B1050,""M""),""""))"),"")</f>
        <v/>
      </c>
      <c r="M1050" s="29" t="str">
        <f>IFERROR(__xludf.DUMMYFUNCTION("IF(L1050="""","""",QUERY({'Dashboard-Dados'!$Y$2:$AA$13},""Select Col2 Where Col1=""&amp;L1050))"),"")</f>
        <v/>
      </c>
      <c r="N1050" s="29" t="str">
        <f>IFERROR(__xludf.DUMMYFUNCTION("IF(ISBLANK(B1050),"""",IF(ISDATE(B1050),TEXT(B1050,""yyyy""),""""))"),"")</f>
        <v/>
      </c>
    </row>
    <row r="1051">
      <c r="B1051" s="87"/>
      <c r="C1051" s="85"/>
      <c r="D1051" s="76"/>
      <c r="H1051" s="88"/>
      <c r="J1051" s="53" t="str">
        <f>IFERROR(__xludf.DUMMYFUNCTION("IF(ISBLANK(B1051),"""",IF(ISDATE(B1051),""X"",""""))"),"")</f>
        <v/>
      </c>
      <c r="K1051" s="40" t="str">
        <f>IFERROR(__xludf.DUMMYFUNCTION("IF(ISBLANK(B1051),"""",IF(ISDATE(B1051),H1051,""""))"),"")</f>
        <v/>
      </c>
      <c r="L1051" s="40" t="str">
        <f>IFERROR(__xludf.DUMMYFUNCTION("IF(ISBLANK(B1051),"""",IF(ISDATE(B1051),TEXT(B1051,""M""),""""))"),"")</f>
        <v/>
      </c>
      <c r="M1051" s="29" t="str">
        <f>IFERROR(__xludf.DUMMYFUNCTION("IF(L1051="""","""",QUERY({'Dashboard-Dados'!$Y$2:$AA$13},""Select Col2 Where Col1=""&amp;L1051))"),"")</f>
        <v/>
      </c>
      <c r="N1051" s="29" t="str">
        <f>IFERROR(__xludf.DUMMYFUNCTION("IF(ISBLANK(B1051),"""",IF(ISDATE(B1051),TEXT(B1051,""yyyy""),""""))"),"")</f>
        <v/>
      </c>
    </row>
    <row r="1052">
      <c r="B1052" s="89"/>
      <c r="C1052" s="86"/>
      <c r="D1052" s="71"/>
      <c r="H1052" s="90"/>
      <c r="J1052" s="53" t="str">
        <f>IFERROR(__xludf.DUMMYFUNCTION("IF(ISBLANK(B1052),"""",IF(ISDATE(B1052),""X"",""""))"),"")</f>
        <v/>
      </c>
      <c r="K1052" s="40" t="str">
        <f>IFERROR(__xludf.DUMMYFUNCTION("IF(ISBLANK(B1052),"""",IF(ISDATE(B1052),H1052,""""))"),"")</f>
        <v/>
      </c>
      <c r="L1052" s="40" t="str">
        <f>IFERROR(__xludf.DUMMYFUNCTION("IF(ISBLANK(B1052),"""",IF(ISDATE(B1052),TEXT(B1052,""M""),""""))"),"")</f>
        <v/>
      </c>
      <c r="M1052" s="29" t="str">
        <f>IFERROR(__xludf.DUMMYFUNCTION("IF(L1052="""","""",QUERY({'Dashboard-Dados'!$Y$2:$AA$13},""Select Col2 Where Col1=""&amp;L1052))"),"")</f>
        <v/>
      </c>
      <c r="N1052" s="29" t="str">
        <f>IFERROR(__xludf.DUMMYFUNCTION("IF(ISBLANK(B1052),"""",IF(ISDATE(B1052),TEXT(B1052,""yyyy""),""""))"),"")</f>
        <v/>
      </c>
    </row>
    <row r="1053">
      <c r="B1053" s="87"/>
      <c r="C1053" s="85"/>
      <c r="D1053" s="76"/>
      <c r="H1053" s="88"/>
      <c r="J1053" s="53" t="str">
        <f>IFERROR(__xludf.DUMMYFUNCTION("IF(ISBLANK(B1053),"""",IF(ISDATE(B1053),""X"",""""))"),"")</f>
        <v/>
      </c>
      <c r="K1053" s="40" t="str">
        <f>IFERROR(__xludf.DUMMYFUNCTION("IF(ISBLANK(B1053),"""",IF(ISDATE(B1053),H1053,""""))"),"")</f>
        <v/>
      </c>
      <c r="L1053" s="40" t="str">
        <f>IFERROR(__xludf.DUMMYFUNCTION("IF(ISBLANK(B1053),"""",IF(ISDATE(B1053),TEXT(B1053,""M""),""""))"),"")</f>
        <v/>
      </c>
      <c r="M1053" s="29" t="str">
        <f>IFERROR(__xludf.DUMMYFUNCTION("IF(L1053="""","""",QUERY({'Dashboard-Dados'!$Y$2:$AA$13},""Select Col2 Where Col1=""&amp;L1053))"),"")</f>
        <v/>
      </c>
      <c r="N1053" s="29" t="str">
        <f>IFERROR(__xludf.DUMMYFUNCTION("IF(ISBLANK(B1053),"""",IF(ISDATE(B1053),TEXT(B1053,""yyyy""),""""))"),"")</f>
        <v/>
      </c>
    </row>
    <row r="1054">
      <c r="B1054" s="89"/>
      <c r="C1054" s="86"/>
      <c r="D1054" s="71"/>
      <c r="H1054" s="90"/>
      <c r="J1054" s="53" t="str">
        <f>IFERROR(__xludf.DUMMYFUNCTION("IF(ISBLANK(B1054),"""",IF(ISDATE(B1054),""X"",""""))"),"")</f>
        <v/>
      </c>
      <c r="K1054" s="40" t="str">
        <f>IFERROR(__xludf.DUMMYFUNCTION("IF(ISBLANK(B1054),"""",IF(ISDATE(B1054),H1054,""""))"),"")</f>
        <v/>
      </c>
      <c r="L1054" s="40" t="str">
        <f>IFERROR(__xludf.DUMMYFUNCTION("IF(ISBLANK(B1054),"""",IF(ISDATE(B1054),TEXT(B1054,""M""),""""))"),"")</f>
        <v/>
      </c>
      <c r="M1054" s="29" t="str">
        <f>IFERROR(__xludf.DUMMYFUNCTION("IF(L1054="""","""",QUERY({'Dashboard-Dados'!$Y$2:$AA$13},""Select Col2 Where Col1=""&amp;L1054))"),"")</f>
        <v/>
      </c>
      <c r="N1054" s="29" t="str">
        <f>IFERROR(__xludf.DUMMYFUNCTION("IF(ISBLANK(B1054),"""",IF(ISDATE(B1054),TEXT(B1054,""yyyy""),""""))"),"")</f>
        <v/>
      </c>
    </row>
    <row r="1055">
      <c r="B1055" s="87"/>
      <c r="C1055" s="85"/>
      <c r="D1055" s="76"/>
      <c r="H1055" s="88"/>
      <c r="J1055" s="53" t="str">
        <f>IFERROR(__xludf.DUMMYFUNCTION("IF(ISBLANK(B1055),"""",IF(ISDATE(B1055),""X"",""""))"),"")</f>
        <v/>
      </c>
      <c r="K1055" s="40" t="str">
        <f>IFERROR(__xludf.DUMMYFUNCTION("IF(ISBLANK(B1055),"""",IF(ISDATE(B1055),H1055,""""))"),"")</f>
        <v/>
      </c>
      <c r="L1055" s="40" t="str">
        <f>IFERROR(__xludf.DUMMYFUNCTION("IF(ISBLANK(B1055),"""",IF(ISDATE(B1055),TEXT(B1055,""M""),""""))"),"")</f>
        <v/>
      </c>
      <c r="M1055" s="29" t="str">
        <f>IFERROR(__xludf.DUMMYFUNCTION("IF(L1055="""","""",QUERY({'Dashboard-Dados'!$Y$2:$AA$13},""Select Col2 Where Col1=""&amp;L1055))"),"")</f>
        <v/>
      </c>
      <c r="N1055" s="29" t="str">
        <f>IFERROR(__xludf.DUMMYFUNCTION("IF(ISBLANK(B1055),"""",IF(ISDATE(B1055),TEXT(B1055,""yyyy""),""""))"),"")</f>
        <v/>
      </c>
    </row>
    <row r="1056">
      <c r="B1056" s="89"/>
      <c r="C1056" s="86"/>
      <c r="D1056" s="71"/>
      <c r="H1056" s="90"/>
      <c r="J1056" s="53" t="str">
        <f>IFERROR(__xludf.DUMMYFUNCTION("IF(ISBLANK(B1056),"""",IF(ISDATE(B1056),""X"",""""))"),"")</f>
        <v/>
      </c>
      <c r="K1056" s="40" t="str">
        <f>IFERROR(__xludf.DUMMYFUNCTION("IF(ISBLANK(B1056),"""",IF(ISDATE(B1056),H1056,""""))"),"")</f>
        <v/>
      </c>
      <c r="L1056" s="40" t="str">
        <f>IFERROR(__xludf.DUMMYFUNCTION("IF(ISBLANK(B1056),"""",IF(ISDATE(B1056),TEXT(B1056,""M""),""""))"),"")</f>
        <v/>
      </c>
      <c r="M1056" s="29" t="str">
        <f>IFERROR(__xludf.DUMMYFUNCTION("IF(L1056="""","""",QUERY({'Dashboard-Dados'!$Y$2:$AA$13},""Select Col2 Where Col1=""&amp;L1056))"),"")</f>
        <v/>
      </c>
      <c r="N1056" s="29" t="str">
        <f>IFERROR(__xludf.DUMMYFUNCTION("IF(ISBLANK(B1056),"""",IF(ISDATE(B1056),TEXT(B1056,""yyyy""),""""))"),"")</f>
        <v/>
      </c>
    </row>
    <row r="1057">
      <c r="B1057" s="87"/>
      <c r="C1057" s="85"/>
      <c r="D1057" s="76"/>
      <c r="H1057" s="88"/>
      <c r="J1057" s="53" t="str">
        <f>IFERROR(__xludf.DUMMYFUNCTION("IF(ISBLANK(B1057),"""",IF(ISDATE(B1057),""X"",""""))"),"")</f>
        <v/>
      </c>
      <c r="K1057" s="40" t="str">
        <f>IFERROR(__xludf.DUMMYFUNCTION("IF(ISBLANK(B1057),"""",IF(ISDATE(B1057),H1057,""""))"),"")</f>
        <v/>
      </c>
      <c r="L1057" s="40" t="str">
        <f>IFERROR(__xludf.DUMMYFUNCTION("IF(ISBLANK(B1057),"""",IF(ISDATE(B1057),TEXT(B1057,""M""),""""))"),"")</f>
        <v/>
      </c>
      <c r="M1057" s="29" t="str">
        <f>IFERROR(__xludf.DUMMYFUNCTION("IF(L1057="""","""",QUERY({'Dashboard-Dados'!$Y$2:$AA$13},""Select Col2 Where Col1=""&amp;L1057))"),"")</f>
        <v/>
      </c>
      <c r="N1057" s="29" t="str">
        <f>IFERROR(__xludf.DUMMYFUNCTION("IF(ISBLANK(B1057),"""",IF(ISDATE(B1057),TEXT(B1057,""yyyy""),""""))"),"")</f>
        <v/>
      </c>
    </row>
    <row r="1058">
      <c r="B1058" s="89"/>
      <c r="C1058" s="86"/>
      <c r="D1058" s="71"/>
      <c r="H1058" s="90"/>
      <c r="J1058" s="53" t="str">
        <f>IFERROR(__xludf.DUMMYFUNCTION("IF(ISBLANK(B1058),"""",IF(ISDATE(B1058),""X"",""""))"),"")</f>
        <v/>
      </c>
      <c r="K1058" s="40" t="str">
        <f>IFERROR(__xludf.DUMMYFUNCTION("IF(ISBLANK(B1058),"""",IF(ISDATE(B1058),H1058,""""))"),"")</f>
        <v/>
      </c>
      <c r="L1058" s="40" t="str">
        <f>IFERROR(__xludf.DUMMYFUNCTION("IF(ISBLANK(B1058),"""",IF(ISDATE(B1058),TEXT(B1058,""M""),""""))"),"")</f>
        <v/>
      </c>
      <c r="M1058" s="29" t="str">
        <f>IFERROR(__xludf.DUMMYFUNCTION("IF(L1058="""","""",QUERY({'Dashboard-Dados'!$Y$2:$AA$13},""Select Col2 Where Col1=""&amp;L1058))"),"")</f>
        <v/>
      </c>
      <c r="N1058" s="29" t="str">
        <f>IFERROR(__xludf.DUMMYFUNCTION("IF(ISBLANK(B1058),"""",IF(ISDATE(B1058),TEXT(B1058,""yyyy""),""""))"),"")</f>
        <v/>
      </c>
    </row>
    <row r="1059">
      <c r="B1059" s="87"/>
      <c r="C1059" s="85"/>
      <c r="D1059" s="76"/>
      <c r="H1059" s="88"/>
      <c r="J1059" s="53" t="str">
        <f>IFERROR(__xludf.DUMMYFUNCTION("IF(ISBLANK(B1059),"""",IF(ISDATE(B1059),""X"",""""))"),"")</f>
        <v/>
      </c>
      <c r="K1059" s="40" t="str">
        <f>IFERROR(__xludf.DUMMYFUNCTION("IF(ISBLANK(B1059),"""",IF(ISDATE(B1059),H1059,""""))"),"")</f>
        <v/>
      </c>
      <c r="L1059" s="40" t="str">
        <f>IFERROR(__xludf.DUMMYFUNCTION("IF(ISBLANK(B1059),"""",IF(ISDATE(B1059),TEXT(B1059,""M""),""""))"),"")</f>
        <v/>
      </c>
      <c r="M1059" s="29" t="str">
        <f>IFERROR(__xludf.DUMMYFUNCTION("IF(L1059="""","""",QUERY({'Dashboard-Dados'!$Y$2:$AA$13},""Select Col2 Where Col1=""&amp;L1059))"),"")</f>
        <v/>
      </c>
      <c r="N1059" s="29" t="str">
        <f>IFERROR(__xludf.DUMMYFUNCTION("IF(ISBLANK(B1059),"""",IF(ISDATE(B1059),TEXT(B1059,""yyyy""),""""))"),"")</f>
        <v/>
      </c>
    </row>
    <row r="1060">
      <c r="B1060" s="89"/>
      <c r="C1060" s="86"/>
      <c r="D1060" s="71"/>
      <c r="H1060" s="90"/>
      <c r="J1060" s="53" t="str">
        <f>IFERROR(__xludf.DUMMYFUNCTION("IF(ISBLANK(B1060),"""",IF(ISDATE(B1060),""X"",""""))"),"")</f>
        <v/>
      </c>
      <c r="K1060" s="40" t="str">
        <f>IFERROR(__xludf.DUMMYFUNCTION("IF(ISBLANK(B1060),"""",IF(ISDATE(B1060),H1060,""""))"),"")</f>
        <v/>
      </c>
      <c r="L1060" s="40" t="str">
        <f>IFERROR(__xludf.DUMMYFUNCTION("IF(ISBLANK(B1060),"""",IF(ISDATE(B1060),TEXT(B1060,""M""),""""))"),"")</f>
        <v/>
      </c>
      <c r="M1060" s="29" t="str">
        <f>IFERROR(__xludf.DUMMYFUNCTION("IF(L1060="""","""",QUERY({'Dashboard-Dados'!$Y$2:$AA$13},""Select Col2 Where Col1=""&amp;L1060))"),"")</f>
        <v/>
      </c>
      <c r="N1060" s="29" t="str">
        <f>IFERROR(__xludf.DUMMYFUNCTION("IF(ISBLANK(B1060),"""",IF(ISDATE(B1060),TEXT(B1060,""yyyy""),""""))"),"")</f>
        <v/>
      </c>
    </row>
    <row r="1061">
      <c r="B1061" s="87"/>
      <c r="C1061" s="85"/>
      <c r="D1061" s="76"/>
      <c r="H1061" s="88"/>
      <c r="J1061" s="53" t="str">
        <f>IFERROR(__xludf.DUMMYFUNCTION("IF(ISBLANK(B1061),"""",IF(ISDATE(B1061),""X"",""""))"),"")</f>
        <v/>
      </c>
      <c r="K1061" s="40" t="str">
        <f>IFERROR(__xludf.DUMMYFUNCTION("IF(ISBLANK(B1061),"""",IF(ISDATE(B1061),H1061,""""))"),"")</f>
        <v/>
      </c>
      <c r="L1061" s="40" t="str">
        <f>IFERROR(__xludf.DUMMYFUNCTION("IF(ISBLANK(B1061),"""",IF(ISDATE(B1061),TEXT(B1061,""M""),""""))"),"")</f>
        <v/>
      </c>
      <c r="M1061" s="29" t="str">
        <f>IFERROR(__xludf.DUMMYFUNCTION("IF(L1061="""","""",QUERY({'Dashboard-Dados'!$Y$2:$AA$13},""Select Col2 Where Col1=""&amp;L1061))"),"")</f>
        <v/>
      </c>
      <c r="N1061" s="29" t="str">
        <f>IFERROR(__xludf.DUMMYFUNCTION("IF(ISBLANK(B1061),"""",IF(ISDATE(B1061),TEXT(B1061,""yyyy""),""""))"),"")</f>
        <v/>
      </c>
    </row>
    <row r="1062">
      <c r="B1062" s="89"/>
      <c r="C1062" s="86"/>
      <c r="D1062" s="71"/>
      <c r="H1062" s="90"/>
      <c r="J1062" s="53" t="str">
        <f>IFERROR(__xludf.DUMMYFUNCTION("IF(ISBLANK(B1062),"""",IF(ISDATE(B1062),""X"",""""))"),"")</f>
        <v/>
      </c>
      <c r="K1062" s="40" t="str">
        <f>IFERROR(__xludf.DUMMYFUNCTION("IF(ISBLANK(B1062),"""",IF(ISDATE(B1062),H1062,""""))"),"")</f>
        <v/>
      </c>
      <c r="L1062" s="40" t="str">
        <f>IFERROR(__xludf.DUMMYFUNCTION("IF(ISBLANK(B1062),"""",IF(ISDATE(B1062),TEXT(B1062,""M""),""""))"),"")</f>
        <v/>
      </c>
      <c r="M1062" s="29" t="str">
        <f>IFERROR(__xludf.DUMMYFUNCTION("IF(L1062="""","""",QUERY({'Dashboard-Dados'!$Y$2:$AA$13},""Select Col2 Where Col1=""&amp;L1062))"),"")</f>
        <v/>
      </c>
      <c r="N1062" s="29" t="str">
        <f>IFERROR(__xludf.DUMMYFUNCTION("IF(ISBLANK(B1062),"""",IF(ISDATE(B1062),TEXT(B1062,""yyyy""),""""))"),"")</f>
        <v/>
      </c>
    </row>
    <row r="1063">
      <c r="B1063" s="87"/>
      <c r="C1063" s="85"/>
      <c r="D1063" s="76"/>
      <c r="H1063" s="88"/>
      <c r="J1063" s="53" t="str">
        <f>IFERROR(__xludf.DUMMYFUNCTION("IF(ISBLANK(B1063),"""",IF(ISDATE(B1063),""X"",""""))"),"")</f>
        <v/>
      </c>
      <c r="K1063" s="40" t="str">
        <f>IFERROR(__xludf.DUMMYFUNCTION("IF(ISBLANK(B1063),"""",IF(ISDATE(B1063),H1063,""""))"),"")</f>
        <v/>
      </c>
      <c r="L1063" s="40" t="str">
        <f>IFERROR(__xludf.DUMMYFUNCTION("IF(ISBLANK(B1063),"""",IF(ISDATE(B1063),TEXT(B1063,""M""),""""))"),"")</f>
        <v/>
      </c>
      <c r="M1063" s="29" t="str">
        <f>IFERROR(__xludf.DUMMYFUNCTION("IF(L1063="""","""",QUERY({'Dashboard-Dados'!$Y$2:$AA$13},""Select Col2 Where Col1=""&amp;L1063))"),"")</f>
        <v/>
      </c>
      <c r="N1063" s="29" t="str">
        <f>IFERROR(__xludf.DUMMYFUNCTION("IF(ISBLANK(B1063),"""",IF(ISDATE(B1063),TEXT(B1063,""yyyy""),""""))"),"")</f>
        <v/>
      </c>
    </row>
    <row r="1064">
      <c r="B1064" s="89"/>
      <c r="C1064" s="86"/>
      <c r="D1064" s="71"/>
      <c r="H1064" s="90"/>
      <c r="J1064" s="53" t="str">
        <f>IFERROR(__xludf.DUMMYFUNCTION("IF(ISBLANK(B1064),"""",IF(ISDATE(B1064),""X"",""""))"),"")</f>
        <v/>
      </c>
      <c r="K1064" s="40" t="str">
        <f>IFERROR(__xludf.DUMMYFUNCTION("IF(ISBLANK(B1064),"""",IF(ISDATE(B1064),H1064,""""))"),"")</f>
        <v/>
      </c>
      <c r="L1064" s="40" t="str">
        <f>IFERROR(__xludf.DUMMYFUNCTION("IF(ISBLANK(B1064),"""",IF(ISDATE(B1064),TEXT(B1064,""M""),""""))"),"")</f>
        <v/>
      </c>
      <c r="M1064" s="29" t="str">
        <f>IFERROR(__xludf.DUMMYFUNCTION("IF(L1064="""","""",QUERY({'Dashboard-Dados'!$Y$2:$AA$13},""Select Col2 Where Col1=""&amp;L1064))"),"")</f>
        <v/>
      </c>
      <c r="N1064" s="29" t="str">
        <f>IFERROR(__xludf.DUMMYFUNCTION("IF(ISBLANK(B1064),"""",IF(ISDATE(B1064),TEXT(B1064,""yyyy""),""""))"),"")</f>
        <v/>
      </c>
    </row>
    <row r="1065">
      <c r="B1065" s="87"/>
      <c r="C1065" s="85"/>
      <c r="D1065" s="76"/>
      <c r="H1065" s="88"/>
      <c r="J1065" s="53" t="str">
        <f>IFERROR(__xludf.DUMMYFUNCTION("IF(ISBLANK(B1065),"""",IF(ISDATE(B1065),""X"",""""))"),"")</f>
        <v/>
      </c>
      <c r="K1065" s="40" t="str">
        <f>IFERROR(__xludf.DUMMYFUNCTION("IF(ISBLANK(B1065),"""",IF(ISDATE(B1065),H1065,""""))"),"")</f>
        <v/>
      </c>
      <c r="L1065" s="40" t="str">
        <f>IFERROR(__xludf.DUMMYFUNCTION("IF(ISBLANK(B1065),"""",IF(ISDATE(B1065),TEXT(B1065,""M""),""""))"),"")</f>
        <v/>
      </c>
      <c r="M1065" s="29" t="str">
        <f>IFERROR(__xludf.DUMMYFUNCTION("IF(L1065="""","""",QUERY({'Dashboard-Dados'!$Y$2:$AA$13},""Select Col2 Where Col1=""&amp;L1065))"),"")</f>
        <v/>
      </c>
      <c r="N1065" s="29" t="str">
        <f>IFERROR(__xludf.DUMMYFUNCTION("IF(ISBLANK(B1065),"""",IF(ISDATE(B1065),TEXT(B1065,""yyyy""),""""))"),"")</f>
        <v/>
      </c>
    </row>
    <row r="1066">
      <c r="B1066" s="89"/>
      <c r="C1066" s="86"/>
      <c r="D1066" s="71"/>
      <c r="H1066" s="90"/>
      <c r="J1066" s="53" t="str">
        <f>IFERROR(__xludf.DUMMYFUNCTION("IF(ISBLANK(B1066),"""",IF(ISDATE(B1066),""X"",""""))"),"")</f>
        <v/>
      </c>
      <c r="K1066" s="40" t="str">
        <f>IFERROR(__xludf.DUMMYFUNCTION("IF(ISBLANK(B1066),"""",IF(ISDATE(B1066),H1066,""""))"),"")</f>
        <v/>
      </c>
      <c r="L1066" s="40" t="str">
        <f>IFERROR(__xludf.DUMMYFUNCTION("IF(ISBLANK(B1066),"""",IF(ISDATE(B1066),TEXT(B1066,""M""),""""))"),"")</f>
        <v/>
      </c>
      <c r="M1066" s="29" t="str">
        <f>IFERROR(__xludf.DUMMYFUNCTION("IF(L1066="""","""",QUERY({'Dashboard-Dados'!$Y$2:$AA$13},""Select Col2 Where Col1=""&amp;L1066))"),"")</f>
        <v/>
      </c>
      <c r="N1066" s="29" t="str">
        <f>IFERROR(__xludf.DUMMYFUNCTION("IF(ISBLANK(B1066),"""",IF(ISDATE(B1066),TEXT(B1066,""yyyy""),""""))"),"")</f>
        <v/>
      </c>
    </row>
    <row r="1067">
      <c r="B1067" s="87"/>
      <c r="C1067" s="85"/>
      <c r="D1067" s="76"/>
      <c r="H1067" s="88"/>
      <c r="J1067" s="53" t="str">
        <f>IFERROR(__xludf.DUMMYFUNCTION("IF(ISBLANK(B1067),"""",IF(ISDATE(B1067),""X"",""""))"),"")</f>
        <v/>
      </c>
      <c r="K1067" s="40" t="str">
        <f>IFERROR(__xludf.DUMMYFUNCTION("IF(ISBLANK(B1067),"""",IF(ISDATE(B1067),H1067,""""))"),"")</f>
        <v/>
      </c>
      <c r="L1067" s="40" t="str">
        <f>IFERROR(__xludf.DUMMYFUNCTION("IF(ISBLANK(B1067),"""",IF(ISDATE(B1067),TEXT(B1067,""M""),""""))"),"")</f>
        <v/>
      </c>
      <c r="M1067" s="29" t="str">
        <f>IFERROR(__xludf.DUMMYFUNCTION("IF(L1067="""","""",QUERY({'Dashboard-Dados'!$Y$2:$AA$13},""Select Col2 Where Col1=""&amp;L1067))"),"")</f>
        <v/>
      </c>
      <c r="N1067" s="29" t="str">
        <f>IFERROR(__xludf.DUMMYFUNCTION("IF(ISBLANK(B1067),"""",IF(ISDATE(B1067),TEXT(B1067,""yyyy""),""""))"),"")</f>
        <v/>
      </c>
    </row>
    <row r="1068">
      <c r="B1068" s="89"/>
      <c r="C1068" s="86"/>
      <c r="D1068" s="71"/>
      <c r="H1068" s="90"/>
      <c r="J1068" s="53" t="str">
        <f>IFERROR(__xludf.DUMMYFUNCTION("IF(ISBLANK(B1068),"""",IF(ISDATE(B1068),""X"",""""))"),"")</f>
        <v/>
      </c>
      <c r="K1068" s="40" t="str">
        <f>IFERROR(__xludf.DUMMYFUNCTION("IF(ISBLANK(B1068),"""",IF(ISDATE(B1068),H1068,""""))"),"")</f>
        <v/>
      </c>
      <c r="L1068" s="40" t="str">
        <f>IFERROR(__xludf.DUMMYFUNCTION("IF(ISBLANK(B1068),"""",IF(ISDATE(B1068),TEXT(B1068,""M""),""""))"),"")</f>
        <v/>
      </c>
      <c r="M1068" s="29" t="str">
        <f>IFERROR(__xludf.DUMMYFUNCTION("IF(L1068="""","""",QUERY({'Dashboard-Dados'!$Y$2:$AA$13},""Select Col2 Where Col1=""&amp;L1068))"),"")</f>
        <v/>
      </c>
      <c r="N1068" s="29" t="str">
        <f>IFERROR(__xludf.DUMMYFUNCTION("IF(ISBLANK(B1068),"""",IF(ISDATE(B1068),TEXT(B1068,""yyyy""),""""))"),"")</f>
        <v/>
      </c>
    </row>
    <row r="1069">
      <c r="B1069" s="87"/>
      <c r="C1069" s="85"/>
      <c r="D1069" s="76"/>
      <c r="H1069" s="88"/>
      <c r="J1069" s="53" t="str">
        <f>IFERROR(__xludf.DUMMYFUNCTION("IF(ISBLANK(B1069),"""",IF(ISDATE(B1069),""X"",""""))"),"")</f>
        <v/>
      </c>
      <c r="K1069" s="40" t="str">
        <f>IFERROR(__xludf.DUMMYFUNCTION("IF(ISBLANK(B1069),"""",IF(ISDATE(B1069),H1069,""""))"),"")</f>
        <v/>
      </c>
      <c r="L1069" s="40" t="str">
        <f>IFERROR(__xludf.DUMMYFUNCTION("IF(ISBLANK(B1069),"""",IF(ISDATE(B1069),TEXT(B1069,""M""),""""))"),"")</f>
        <v/>
      </c>
      <c r="M1069" s="29" t="str">
        <f>IFERROR(__xludf.DUMMYFUNCTION("IF(L1069="""","""",QUERY({'Dashboard-Dados'!$Y$2:$AA$13},""Select Col2 Where Col1=""&amp;L1069))"),"")</f>
        <v/>
      </c>
      <c r="N1069" s="29" t="str">
        <f>IFERROR(__xludf.DUMMYFUNCTION("IF(ISBLANK(B1069),"""",IF(ISDATE(B1069),TEXT(B1069,""yyyy""),""""))"),"")</f>
        <v/>
      </c>
    </row>
    <row r="1070">
      <c r="B1070" s="89"/>
      <c r="C1070" s="86"/>
      <c r="D1070" s="71"/>
      <c r="H1070" s="90"/>
      <c r="J1070" s="53" t="str">
        <f>IFERROR(__xludf.DUMMYFUNCTION("IF(ISBLANK(B1070),"""",IF(ISDATE(B1070),""X"",""""))"),"")</f>
        <v/>
      </c>
      <c r="K1070" s="40" t="str">
        <f>IFERROR(__xludf.DUMMYFUNCTION("IF(ISBLANK(B1070),"""",IF(ISDATE(B1070),H1070,""""))"),"")</f>
        <v/>
      </c>
      <c r="L1070" s="40" t="str">
        <f>IFERROR(__xludf.DUMMYFUNCTION("IF(ISBLANK(B1070),"""",IF(ISDATE(B1070),TEXT(B1070,""M""),""""))"),"")</f>
        <v/>
      </c>
      <c r="M1070" s="29" t="str">
        <f>IFERROR(__xludf.DUMMYFUNCTION("IF(L1070="""","""",QUERY({'Dashboard-Dados'!$Y$2:$AA$13},""Select Col2 Where Col1=""&amp;L1070))"),"")</f>
        <v/>
      </c>
      <c r="N1070" s="29" t="str">
        <f>IFERROR(__xludf.DUMMYFUNCTION("IF(ISBLANK(B1070),"""",IF(ISDATE(B1070),TEXT(B1070,""yyyy""),""""))"),"")</f>
        <v/>
      </c>
    </row>
    <row r="1071">
      <c r="B1071" s="87"/>
      <c r="C1071" s="85"/>
      <c r="D1071" s="76"/>
      <c r="H1071" s="88"/>
      <c r="J1071" s="53" t="str">
        <f>IFERROR(__xludf.DUMMYFUNCTION("IF(ISBLANK(B1071),"""",IF(ISDATE(B1071),""X"",""""))"),"")</f>
        <v/>
      </c>
      <c r="K1071" s="40" t="str">
        <f>IFERROR(__xludf.DUMMYFUNCTION("IF(ISBLANK(B1071),"""",IF(ISDATE(B1071),H1071,""""))"),"")</f>
        <v/>
      </c>
      <c r="L1071" s="40" t="str">
        <f>IFERROR(__xludf.DUMMYFUNCTION("IF(ISBLANK(B1071),"""",IF(ISDATE(B1071),TEXT(B1071,""M""),""""))"),"")</f>
        <v/>
      </c>
      <c r="M1071" s="29" t="str">
        <f>IFERROR(__xludf.DUMMYFUNCTION("IF(L1071="""","""",QUERY({'Dashboard-Dados'!$Y$2:$AA$13},""Select Col2 Where Col1=""&amp;L1071))"),"")</f>
        <v/>
      </c>
      <c r="N1071" s="29" t="str">
        <f>IFERROR(__xludf.DUMMYFUNCTION("IF(ISBLANK(B1071),"""",IF(ISDATE(B1071),TEXT(B1071,""yyyy""),""""))"),"")</f>
        <v/>
      </c>
    </row>
    <row r="1072">
      <c r="B1072" s="89"/>
      <c r="C1072" s="86"/>
      <c r="D1072" s="71"/>
      <c r="H1072" s="90"/>
      <c r="J1072" s="53" t="str">
        <f>IFERROR(__xludf.DUMMYFUNCTION("IF(ISBLANK(B1072),"""",IF(ISDATE(B1072),""X"",""""))"),"")</f>
        <v/>
      </c>
      <c r="K1072" s="40" t="str">
        <f>IFERROR(__xludf.DUMMYFUNCTION("IF(ISBLANK(B1072),"""",IF(ISDATE(B1072),H1072,""""))"),"")</f>
        <v/>
      </c>
      <c r="L1072" s="40" t="str">
        <f>IFERROR(__xludf.DUMMYFUNCTION("IF(ISBLANK(B1072),"""",IF(ISDATE(B1072),TEXT(B1072,""M""),""""))"),"")</f>
        <v/>
      </c>
      <c r="M1072" s="29" t="str">
        <f>IFERROR(__xludf.DUMMYFUNCTION("IF(L1072="""","""",QUERY({'Dashboard-Dados'!$Y$2:$AA$13},""Select Col2 Where Col1=""&amp;L1072))"),"")</f>
        <v/>
      </c>
      <c r="N1072" s="29" t="str">
        <f>IFERROR(__xludf.DUMMYFUNCTION("IF(ISBLANK(B1072),"""",IF(ISDATE(B1072),TEXT(B1072,""yyyy""),""""))"),"")</f>
        <v/>
      </c>
    </row>
    <row r="1073">
      <c r="B1073" s="87"/>
      <c r="C1073" s="85"/>
      <c r="D1073" s="76"/>
      <c r="H1073" s="88"/>
      <c r="J1073" s="53" t="str">
        <f>IFERROR(__xludf.DUMMYFUNCTION("IF(ISBLANK(B1073),"""",IF(ISDATE(B1073),""X"",""""))"),"")</f>
        <v/>
      </c>
      <c r="K1073" s="40" t="str">
        <f>IFERROR(__xludf.DUMMYFUNCTION("IF(ISBLANK(B1073),"""",IF(ISDATE(B1073),H1073,""""))"),"")</f>
        <v/>
      </c>
      <c r="L1073" s="40" t="str">
        <f>IFERROR(__xludf.DUMMYFUNCTION("IF(ISBLANK(B1073),"""",IF(ISDATE(B1073),TEXT(B1073,""M""),""""))"),"")</f>
        <v/>
      </c>
      <c r="M1073" s="29" t="str">
        <f>IFERROR(__xludf.DUMMYFUNCTION("IF(L1073="""","""",QUERY({'Dashboard-Dados'!$Y$2:$AA$13},""Select Col2 Where Col1=""&amp;L1073))"),"")</f>
        <v/>
      </c>
      <c r="N1073" s="29" t="str">
        <f>IFERROR(__xludf.DUMMYFUNCTION("IF(ISBLANK(B1073),"""",IF(ISDATE(B1073),TEXT(B1073,""yyyy""),""""))"),"")</f>
        <v/>
      </c>
    </row>
    <row r="1074">
      <c r="B1074" s="89"/>
      <c r="C1074" s="86"/>
      <c r="D1074" s="71"/>
      <c r="H1074" s="90"/>
      <c r="J1074" s="53" t="str">
        <f>IFERROR(__xludf.DUMMYFUNCTION("IF(ISBLANK(B1074),"""",IF(ISDATE(B1074),""X"",""""))"),"")</f>
        <v/>
      </c>
      <c r="K1074" s="40" t="str">
        <f>IFERROR(__xludf.DUMMYFUNCTION("IF(ISBLANK(B1074),"""",IF(ISDATE(B1074),H1074,""""))"),"")</f>
        <v/>
      </c>
      <c r="L1074" s="40" t="str">
        <f>IFERROR(__xludf.DUMMYFUNCTION("IF(ISBLANK(B1074),"""",IF(ISDATE(B1074),TEXT(B1074,""M""),""""))"),"")</f>
        <v/>
      </c>
      <c r="M1074" s="29" t="str">
        <f>IFERROR(__xludf.DUMMYFUNCTION("IF(L1074="""","""",QUERY({'Dashboard-Dados'!$Y$2:$AA$13},""Select Col2 Where Col1=""&amp;L1074))"),"")</f>
        <v/>
      </c>
      <c r="N1074" s="29" t="str">
        <f>IFERROR(__xludf.DUMMYFUNCTION("IF(ISBLANK(B1074),"""",IF(ISDATE(B1074),TEXT(B1074,""yyyy""),""""))"),"")</f>
        <v/>
      </c>
    </row>
    <row r="1075">
      <c r="B1075" s="87"/>
      <c r="C1075" s="85"/>
      <c r="D1075" s="76"/>
      <c r="H1075" s="88"/>
      <c r="J1075" s="53" t="str">
        <f>IFERROR(__xludf.DUMMYFUNCTION("IF(ISBLANK(B1075),"""",IF(ISDATE(B1075),""X"",""""))"),"")</f>
        <v/>
      </c>
      <c r="K1075" s="40" t="str">
        <f>IFERROR(__xludf.DUMMYFUNCTION("IF(ISBLANK(B1075),"""",IF(ISDATE(B1075),H1075,""""))"),"")</f>
        <v/>
      </c>
      <c r="L1075" s="40" t="str">
        <f>IFERROR(__xludf.DUMMYFUNCTION("IF(ISBLANK(B1075),"""",IF(ISDATE(B1075),TEXT(B1075,""M""),""""))"),"")</f>
        <v/>
      </c>
      <c r="M1075" s="29" t="str">
        <f>IFERROR(__xludf.DUMMYFUNCTION("IF(L1075="""","""",QUERY({'Dashboard-Dados'!$Y$2:$AA$13},""Select Col2 Where Col1=""&amp;L1075))"),"")</f>
        <v/>
      </c>
      <c r="N1075" s="29" t="str">
        <f>IFERROR(__xludf.DUMMYFUNCTION("IF(ISBLANK(B1075),"""",IF(ISDATE(B1075),TEXT(B1075,""yyyy""),""""))"),"")</f>
        <v/>
      </c>
    </row>
    <row r="1076">
      <c r="B1076" s="89"/>
      <c r="C1076" s="86"/>
      <c r="D1076" s="71"/>
      <c r="H1076" s="90"/>
      <c r="J1076" s="53" t="str">
        <f>IFERROR(__xludf.DUMMYFUNCTION("IF(ISBLANK(B1076),"""",IF(ISDATE(B1076),""X"",""""))"),"")</f>
        <v/>
      </c>
      <c r="K1076" s="40" t="str">
        <f>IFERROR(__xludf.DUMMYFUNCTION("IF(ISBLANK(B1076),"""",IF(ISDATE(B1076),H1076,""""))"),"")</f>
        <v/>
      </c>
      <c r="L1076" s="40" t="str">
        <f>IFERROR(__xludf.DUMMYFUNCTION("IF(ISBLANK(B1076),"""",IF(ISDATE(B1076),TEXT(B1076,""M""),""""))"),"")</f>
        <v/>
      </c>
      <c r="M1076" s="29" t="str">
        <f>IFERROR(__xludf.DUMMYFUNCTION("IF(L1076="""","""",QUERY({'Dashboard-Dados'!$Y$2:$AA$13},""Select Col2 Where Col1=""&amp;L1076))"),"")</f>
        <v/>
      </c>
      <c r="N1076" s="29" t="str">
        <f>IFERROR(__xludf.DUMMYFUNCTION("IF(ISBLANK(B1076),"""",IF(ISDATE(B1076),TEXT(B1076,""yyyy""),""""))"),"")</f>
        <v/>
      </c>
    </row>
    <row r="1077">
      <c r="B1077" s="87"/>
      <c r="C1077" s="85"/>
      <c r="D1077" s="76"/>
      <c r="H1077" s="88"/>
      <c r="J1077" s="53" t="str">
        <f>IFERROR(__xludf.DUMMYFUNCTION("IF(ISBLANK(B1077),"""",IF(ISDATE(B1077),""X"",""""))"),"")</f>
        <v/>
      </c>
      <c r="K1077" s="40" t="str">
        <f>IFERROR(__xludf.DUMMYFUNCTION("IF(ISBLANK(B1077),"""",IF(ISDATE(B1077),H1077,""""))"),"")</f>
        <v/>
      </c>
      <c r="L1077" s="40" t="str">
        <f>IFERROR(__xludf.DUMMYFUNCTION("IF(ISBLANK(B1077),"""",IF(ISDATE(B1077),TEXT(B1077,""M""),""""))"),"")</f>
        <v/>
      </c>
      <c r="M1077" s="29" t="str">
        <f>IFERROR(__xludf.DUMMYFUNCTION("IF(L1077="""","""",QUERY({'Dashboard-Dados'!$Y$2:$AA$13},""Select Col2 Where Col1=""&amp;L1077))"),"")</f>
        <v/>
      </c>
      <c r="N1077" s="29" t="str">
        <f>IFERROR(__xludf.DUMMYFUNCTION("IF(ISBLANK(B1077),"""",IF(ISDATE(B1077),TEXT(B1077,""yyyy""),""""))"),"")</f>
        <v/>
      </c>
    </row>
    <row r="1078">
      <c r="B1078" s="89"/>
      <c r="C1078" s="86"/>
      <c r="D1078" s="71"/>
      <c r="H1078" s="90"/>
      <c r="J1078" s="53" t="str">
        <f>IFERROR(__xludf.DUMMYFUNCTION("IF(ISBLANK(B1078),"""",IF(ISDATE(B1078),""X"",""""))"),"")</f>
        <v/>
      </c>
      <c r="K1078" s="40" t="str">
        <f>IFERROR(__xludf.DUMMYFUNCTION("IF(ISBLANK(B1078),"""",IF(ISDATE(B1078),H1078,""""))"),"")</f>
        <v/>
      </c>
      <c r="L1078" s="40" t="str">
        <f>IFERROR(__xludf.DUMMYFUNCTION("IF(ISBLANK(B1078),"""",IF(ISDATE(B1078),TEXT(B1078,""M""),""""))"),"")</f>
        <v/>
      </c>
      <c r="M1078" s="29" t="str">
        <f>IFERROR(__xludf.DUMMYFUNCTION("IF(L1078="""","""",QUERY({'Dashboard-Dados'!$Y$2:$AA$13},""Select Col2 Where Col1=""&amp;L1078))"),"")</f>
        <v/>
      </c>
      <c r="N1078" s="29" t="str">
        <f>IFERROR(__xludf.DUMMYFUNCTION("IF(ISBLANK(B1078),"""",IF(ISDATE(B1078),TEXT(B1078,""yyyy""),""""))"),"")</f>
        <v/>
      </c>
    </row>
    <row r="1079">
      <c r="B1079" s="87"/>
      <c r="C1079" s="85"/>
      <c r="D1079" s="76"/>
      <c r="H1079" s="88"/>
      <c r="J1079" s="53" t="str">
        <f>IFERROR(__xludf.DUMMYFUNCTION("IF(ISBLANK(B1079),"""",IF(ISDATE(B1079),""X"",""""))"),"")</f>
        <v/>
      </c>
      <c r="K1079" s="40" t="str">
        <f>IFERROR(__xludf.DUMMYFUNCTION("IF(ISBLANK(B1079),"""",IF(ISDATE(B1079),H1079,""""))"),"")</f>
        <v/>
      </c>
      <c r="L1079" s="40" t="str">
        <f>IFERROR(__xludf.DUMMYFUNCTION("IF(ISBLANK(B1079),"""",IF(ISDATE(B1079),TEXT(B1079,""M""),""""))"),"")</f>
        <v/>
      </c>
      <c r="M1079" s="29" t="str">
        <f>IFERROR(__xludf.DUMMYFUNCTION("IF(L1079="""","""",QUERY({'Dashboard-Dados'!$Y$2:$AA$13},""Select Col2 Where Col1=""&amp;L1079))"),"")</f>
        <v/>
      </c>
      <c r="N1079" s="29" t="str">
        <f>IFERROR(__xludf.DUMMYFUNCTION("IF(ISBLANK(B1079),"""",IF(ISDATE(B1079),TEXT(B1079,""yyyy""),""""))"),"")</f>
        <v/>
      </c>
    </row>
    <row r="1080">
      <c r="B1080" s="89"/>
      <c r="C1080" s="86"/>
      <c r="D1080" s="71"/>
      <c r="H1080" s="90"/>
      <c r="J1080" s="53" t="str">
        <f>IFERROR(__xludf.DUMMYFUNCTION("IF(ISBLANK(B1080),"""",IF(ISDATE(B1080),""X"",""""))"),"")</f>
        <v/>
      </c>
      <c r="K1080" s="40" t="str">
        <f>IFERROR(__xludf.DUMMYFUNCTION("IF(ISBLANK(B1080),"""",IF(ISDATE(B1080),H1080,""""))"),"")</f>
        <v/>
      </c>
      <c r="L1080" s="40" t="str">
        <f>IFERROR(__xludf.DUMMYFUNCTION("IF(ISBLANK(B1080),"""",IF(ISDATE(B1080),TEXT(B1080,""M""),""""))"),"")</f>
        <v/>
      </c>
      <c r="M1080" s="29" t="str">
        <f>IFERROR(__xludf.DUMMYFUNCTION("IF(L1080="""","""",QUERY({'Dashboard-Dados'!$Y$2:$AA$13},""Select Col2 Where Col1=""&amp;L1080))"),"")</f>
        <v/>
      </c>
      <c r="N1080" s="29" t="str">
        <f>IFERROR(__xludf.DUMMYFUNCTION("IF(ISBLANK(B1080),"""",IF(ISDATE(B1080),TEXT(B1080,""yyyy""),""""))"),"")</f>
        <v/>
      </c>
    </row>
    <row r="1081">
      <c r="B1081" s="87"/>
      <c r="C1081" s="85"/>
      <c r="D1081" s="76"/>
      <c r="H1081" s="88"/>
      <c r="J1081" s="53" t="str">
        <f>IFERROR(__xludf.DUMMYFUNCTION("IF(ISBLANK(B1081),"""",IF(ISDATE(B1081),""X"",""""))"),"")</f>
        <v/>
      </c>
      <c r="K1081" s="40" t="str">
        <f>IFERROR(__xludf.DUMMYFUNCTION("IF(ISBLANK(B1081),"""",IF(ISDATE(B1081),H1081,""""))"),"")</f>
        <v/>
      </c>
      <c r="L1081" s="40" t="str">
        <f>IFERROR(__xludf.DUMMYFUNCTION("IF(ISBLANK(B1081),"""",IF(ISDATE(B1081),TEXT(B1081,""M""),""""))"),"")</f>
        <v/>
      </c>
      <c r="M1081" s="29" t="str">
        <f>IFERROR(__xludf.DUMMYFUNCTION("IF(L1081="""","""",QUERY({'Dashboard-Dados'!$Y$2:$AA$13},""Select Col2 Where Col1=""&amp;L1081))"),"")</f>
        <v/>
      </c>
      <c r="N1081" s="29" t="str">
        <f>IFERROR(__xludf.DUMMYFUNCTION("IF(ISBLANK(B1081),"""",IF(ISDATE(B1081),TEXT(B1081,""yyyy""),""""))"),"")</f>
        <v/>
      </c>
    </row>
    <row r="1082">
      <c r="B1082" s="89"/>
      <c r="C1082" s="86"/>
      <c r="D1082" s="71"/>
      <c r="H1082" s="90"/>
      <c r="J1082" s="53" t="str">
        <f>IFERROR(__xludf.DUMMYFUNCTION("IF(ISBLANK(B1082),"""",IF(ISDATE(B1082),""X"",""""))"),"")</f>
        <v/>
      </c>
      <c r="K1082" s="40" t="str">
        <f>IFERROR(__xludf.DUMMYFUNCTION("IF(ISBLANK(B1082),"""",IF(ISDATE(B1082),H1082,""""))"),"")</f>
        <v/>
      </c>
      <c r="L1082" s="40" t="str">
        <f>IFERROR(__xludf.DUMMYFUNCTION("IF(ISBLANK(B1082),"""",IF(ISDATE(B1082),TEXT(B1082,""M""),""""))"),"")</f>
        <v/>
      </c>
      <c r="M1082" s="29" t="str">
        <f>IFERROR(__xludf.DUMMYFUNCTION("IF(L1082="""","""",QUERY({'Dashboard-Dados'!$Y$2:$AA$13},""Select Col2 Where Col1=""&amp;L1082))"),"")</f>
        <v/>
      </c>
      <c r="N1082" s="29" t="str">
        <f>IFERROR(__xludf.DUMMYFUNCTION("IF(ISBLANK(B1082),"""",IF(ISDATE(B1082),TEXT(B1082,""yyyy""),""""))"),"")</f>
        <v/>
      </c>
    </row>
    <row r="1083">
      <c r="B1083" s="87"/>
      <c r="C1083" s="85"/>
      <c r="D1083" s="76"/>
      <c r="H1083" s="88"/>
      <c r="J1083" s="53" t="str">
        <f>IFERROR(__xludf.DUMMYFUNCTION("IF(ISBLANK(B1083),"""",IF(ISDATE(B1083),""X"",""""))"),"")</f>
        <v/>
      </c>
      <c r="K1083" s="40" t="str">
        <f>IFERROR(__xludf.DUMMYFUNCTION("IF(ISBLANK(B1083),"""",IF(ISDATE(B1083),H1083,""""))"),"")</f>
        <v/>
      </c>
      <c r="L1083" s="40" t="str">
        <f>IFERROR(__xludf.DUMMYFUNCTION("IF(ISBLANK(B1083),"""",IF(ISDATE(B1083),TEXT(B1083,""M""),""""))"),"")</f>
        <v/>
      </c>
      <c r="M1083" s="29" t="str">
        <f>IFERROR(__xludf.DUMMYFUNCTION("IF(L1083="""","""",QUERY({'Dashboard-Dados'!$Y$2:$AA$13},""Select Col2 Where Col1=""&amp;L1083))"),"")</f>
        <v/>
      </c>
      <c r="N1083" s="29" t="str">
        <f>IFERROR(__xludf.DUMMYFUNCTION("IF(ISBLANK(B1083),"""",IF(ISDATE(B1083),TEXT(B1083,""yyyy""),""""))"),"")</f>
        <v/>
      </c>
    </row>
    <row r="1084">
      <c r="B1084" s="89"/>
      <c r="C1084" s="86"/>
      <c r="D1084" s="71"/>
      <c r="H1084" s="90"/>
      <c r="J1084" s="53" t="str">
        <f>IFERROR(__xludf.DUMMYFUNCTION("IF(ISBLANK(B1084),"""",IF(ISDATE(B1084),""X"",""""))"),"")</f>
        <v/>
      </c>
      <c r="K1084" s="40" t="str">
        <f>IFERROR(__xludf.DUMMYFUNCTION("IF(ISBLANK(B1084),"""",IF(ISDATE(B1084),H1084,""""))"),"")</f>
        <v/>
      </c>
      <c r="L1084" s="40" t="str">
        <f>IFERROR(__xludf.DUMMYFUNCTION("IF(ISBLANK(B1084),"""",IF(ISDATE(B1084),TEXT(B1084,""M""),""""))"),"")</f>
        <v/>
      </c>
      <c r="M1084" s="29" t="str">
        <f>IFERROR(__xludf.DUMMYFUNCTION("IF(L1084="""","""",QUERY({'Dashboard-Dados'!$Y$2:$AA$13},""Select Col2 Where Col1=""&amp;L1084))"),"")</f>
        <v/>
      </c>
      <c r="N1084" s="29" t="str">
        <f>IFERROR(__xludf.DUMMYFUNCTION("IF(ISBLANK(B1084),"""",IF(ISDATE(B1084),TEXT(B1084,""yyyy""),""""))"),"")</f>
        <v/>
      </c>
    </row>
    <row r="1085">
      <c r="B1085" s="87"/>
      <c r="C1085" s="85"/>
      <c r="D1085" s="76"/>
      <c r="H1085" s="88"/>
      <c r="J1085" s="53" t="str">
        <f>IFERROR(__xludf.DUMMYFUNCTION("IF(ISBLANK(B1085),"""",IF(ISDATE(B1085),""X"",""""))"),"")</f>
        <v/>
      </c>
      <c r="K1085" s="40" t="str">
        <f>IFERROR(__xludf.DUMMYFUNCTION("IF(ISBLANK(B1085),"""",IF(ISDATE(B1085),H1085,""""))"),"")</f>
        <v/>
      </c>
      <c r="L1085" s="40" t="str">
        <f>IFERROR(__xludf.DUMMYFUNCTION("IF(ISBLANK(B1085),"""",IF(ISDATE(B1085),TEXT(B1085,""M""),""""))"),"")</f>
        <v/>
      </c>
      <c r="M1085" s="29" t="str">
        <f>IFERROR(__xludf.DUMMYFUNCTION("IF(L1085="""","""",QUERY({'Dashboard-Dados'!$Y$2:$AA$13},""Select Col2 Where Col1=""&amp;L1085))"),"")</f>
        <v/>
      </c>
      <c r="N1085" s="29" t="str">
        <f>IFERROR(__xludf.DUMMYFUNCTION("IF(ISBLANK(B1085),"""",IF(ISDATE(B1085),TEXT(B1085,""yyyy""),""""))"),"")</f>
        <v/>
      </c>
    </row>
    <row r="1086">
      <c r="B1086" s="89"/>
      <c r="C1086" s="86"/>
      <c r="D1086" s="71"/>
      <c r="H1086" s="90"/>
      <c r="J1086" s="53" t="str">
        <f>IFERROR(__xludf.DUMMYFUNCTION("IF(ISBLANK(B1086),"""",IF(ISDATE(B1086),""X"",""""))"),"")</f>
        <v/>
      </c>
      <c r="K1086" s="40" t="str">
        <f>IFERROR(__xludf.DUMMYFUNCTION("IF(ISBLANK(B1086),"""",IF(ISDATE(B1086),H1086,""""))"),"")</f>
        <v/>
      </c>
      <c r="L1086" s="40" t="str">
        <f>IFERROR(__xludf.DUMMYFUNCTION("IF(ISBLANK(B1086),"""",IF(ISDATE(B1086),TEXT(B1086,""M""),""""))"),"")</f>
        <v/>
      </c>
      <c r="M1086" s="29" t="str">
        <f>IFERROR(__xludf.DUMMYFUNCTION("IF(L1086="""","""",QUERY({'Dashboard-Dados'!$Y$2:$AA$13},""Select Col2 Where Col1=""&amp;L1086))"),"")</f>
        <v/>
      </c>
      <c r="N1086" s="29" t="str">
        <f>IFERROR(__xludf.DUMMYFUNCTION("IF(ISBLANK(B1086),"""",IF(ISDATE(B1086),TEXT(B1086,""yyyy""),""""))"),"")</f>
        <v/>
      </c>
    </row>
    <row r="1087">
      <c r="B1087" s="87"/>
      <c r="C1087" s="85"/>
      <c r="D1087" s="76"/>
      <c r="H1087" s="88"/>
      <c r="J1087" s="53" t="str">
        <f>IFERROR(__xludf.DUMMYFUNCTION("IF(ISBLANK(B1087),"""",IF(ISDATE(B1087),""X"",""""))"),"")</f>
        <v/>
      </c>
      <c r="K1087" s="40" t="str">
        <f>IFERROR(__xludf.DUMMYFUNCTION("IF(ISBLANK(B1087),"""",IF(ISDATE(B1087),H1087,""""))"),"")</f>
        <v/>
      </c>
      <c r="L1087" s="40" t="str">
        <f>IFERROR(__xludf.DUMMYFUNCTION("IF(ISBLANK(B1087),"""",IF(ISDATE(B1087),TEXT(B1087,""M""),""""))"),"")</f>
        <v/>
      </c>
      <c r="M1087" s="29" t="str">
        <f>IFERROR(__xludf.DUMMYFUNCTION("IF(L1087="""","""",QUERY({'Dashboard-Dados'!$Y$2:$AA$13},""Select Col2 Where Col1=""&amp;L1087))"),"")</f>
        <v/>
      </c>
      <c r="N1087" s="29" t="str">
        <f>IFERROR(__xludf.DUMMYFUNCTION("IF(ISBLANK(B1087),"""",IF(ISDATE(B1087),TEXT(B1087,""yyyy""),""""))"),"")</f>
        <v/>
      </c>
    </row>
    <row r="1088">
      <c r="B1088" s="89"/>
      <c r="C1088" s="86"/>
      <c r="D1088" s="71"/>
      <c r="H1088" s="90"/>
      <c r="J1088" s="53" t="str">
        <f>IFERROR(__xludf.DUMMYFUNCTION("IF(ISBLANK(B1088),"""",IF(ISDATE(B1088),""X"",""""))"),"")</f>
        <v/>
      </c>
      <c r="K1088" s="40" t="str">
        <f>IFERROR(__xludf.DUMMYFUNCTION("IF(ISBLANK(B1088),"""",IF(ISDATE(B1088),H1088,""""))"),"")</f>
        <v/>
      </c>
      <c r="L1088" s="40" t="str">
        <f>IFERROR(__xludf.DUMMYFUNCTION("IF(ISBLANK(B1088),"""",IF(ISDATE(B1088),TEXT(B1088,""M""),""""))"),"")</f>
        <v/>
      </c>
      <c r="M1088" s="29" t="str">
        <f>IFERROR(__xludf.DUMMYFUNCTION("IF(L1088="""","""",QUERY({'Dashboard-Dados'!$Y$2:$AA$13},""Select Col2 Where Col1=""&amp;L1088))"),"")</f>
        <v/>
      </c>
      <c r="N1088" s="29" t="str">
        <f>IFERROR(__xludf.DUMMYFUNCTION("IF(ISBLANK(B1088),"""",IF(ISDATE(B1088),TEXT(B1088,""yyyy""),""""))"),"")</f>
        <v/>
      </c>
    </row>
    <row r="1089">
      <c r="B1089" s="87"/>
      <c r="C1089" s="85"/>
      <c r="D1089" s="76"/>
      <c r="H1089" s="88"/>
      <c r="J1089" s="53" t="str">
        <f>IFERROR(__xludf.DUMMYFUNCTION("IF(ISBLANK(B1089),"""",IF(ISDATE(B1089),""X"",""""))"),"")</f>
        <v/>
      </c>
      <c r="K1089" s="40" t="str">
        <f>IFERROR(__xludf.DUMMYFUNCTION("IF(ISBLANK(B1089),"""",IF(ISDATE(B1089),H1089,""""))"),"")</f>
        <v/>
      </c>
      <c r="L1089" s="40" t="str">
        <f>IFERROR(__xludf.DUMMYFUNCTION("IF(ISBLANK(B1089),"""",IF(ISDATE(B1089),TEXT(B1089,""M""),""""))"),"")</f>
        <v/>
      </c>
      <c r="M1089" s="29" t="str">
        <f>IFERROR(__xludf.DUMMYFUNCTION("IF(L1089="""","""",QUERY({'Dashboard-Dados'!$Y$2:$AA$13},""Select Col2 Where Col1=""&amp;L1089))"),"")</f>
        <v/>
      </c>
      <c r="N1089" s="29" t="str">
        <f>IFERROR(__xludf.DUMMYFUNCTION("IF(ISBLANK(B1089),"""",IF(ISDATE(B1089),TEXT(B1089,""yyyy""),""""))"),"")</f>
        <v/>
      </c>
    </row>
    <row r="1090">
      <c r="B1090" s="89"/>
      <c r="C1090" s="86"/>
      <c r="D1090" s="71"/>
      <c r="H1090" s="90"/>
      <c r="J1090" s="53" t="str">
        <f>IFERROR(__xludf.DUMMYFUNCTION("IF(ISBLANK(B1090),"""",IF(ISDATE(B1090),""X"",""""))"),"")</f>
        <v/>
      </c>
      <c r="K1090" s="40" t="str">
        <f>IFERROR(__xludf.DUMMYFUNCTION("IF(ISBLANK(B1090),"""",IF(ISDATE(B1090),H1090,""""))"),"")</f>
        <v/>
      </c>
      <c r="L1090" s="40" t="str">
        <f>IFERROR(__xludf.DUMMYFUNCTION("IF(ISBLANK(B1090),"""",IF(ISDATE(B1090),TEXT(B1090,""M""),""""))"),"")</f>
        <v/>
      </c>
      <c r="M1090" s="29" t="str">
        <f>IFERROR(__xludf.DUMMYFUNCTION("IF(L1090="""","""",QUERY({'Dashboard-Dados'!$Y$2:$AA$13},""Select Col2 Where Col1=""&amp;L1090))"),"")</f>
        <v/>
      </c>
      <c r="N1090" s="29" t="str">
        <f>IFERROR(__xludf.DUMMYFUNCTION("IF(ISBLANK(B1090),"""",IF(ISDATE(B1090),TEXT(B1090,""yyyy""),""""))"),"")</f>
        <v/>
      </c>
    </row>
    <row r="1091">
      <c r="B1091" s="87"/>
      <c r="C1091" s="85"/>
      <c r="D1091" s="76"/>
      <c r="H1091" s="88"/>
      <c r="J1091" s="53" t="str">
        <f>IFERROR(__xludf.DUMMYFUNCTION("IF(ISBLANK(B1091),"""",IF(ISDATE(B1091),""X"",""""))"),"")</f>
        <v/>
      </c>
      <c r="K1091" s="40" t="str">
        <f>IFERROR(__xludf.DUMMYFUNCTION("IF(ISBLANK(B1091),"""",IF(ISDATE(B1091),H1091,""""))"),"")</f>
        <v/>
      </c>
      <c r="L1091" s="40" t="str">
        <f>IFERROR(__xludf.DUMMYFUNCTION("IF(ISBLANK(B1091),"""",IF(ISDATE(B1091),TEXT(B1091,""M""),""""))"),"")</f>
        <v/>
      </c>
      <c r="M1091" s="29" t="str">
        <f>IFERROR(__xludf.DUMMYFUNCTION("IF(L1091="""","""",QUERY({'Dashboard-Dados'!$Y$2:$AA$13},""Select Col2 Where Col1=""&amp;L1091))"),"")</f>
        <v/>
      </c>
      <c r="N1091" s="29" t="str">
        <f>IFERROR(__xludf.DUMMYFUNCTION("IF(ISBLANK(B1091),"""",IF(ISDATE(B1091),TEXT(B1091,""yyyy""),""""))"),"")</f>
        <v/>
      </c>
    </row>
    <row r="1092">
      <c r="B1092" s="89"/>
      <c r="C1092" s="86"/>
      <c r="D1092" s="71"/>
      <c r="H1092" s="90"/>
      <c r="J1092" s="53" t="str">
        <f>IFERROR(__xludf.DUMMYFUNCTION("IF(ISBLANK(B1092),"""",IF(ISDATE(B1092),""X"",""""))"),"")</f>
        <v/>
      </c>
      <c r="K1092" s="40" t="str">
        <f>IFERROR(__xludf.DUMMYFUNCTION("IF(ISBLANK(B1092),"""",IF(ISDATE(B1092),H1092,""""))"),"")</f>
        <v/>
      </c>
      <c r="L1092" s="40" t="str">
        <f>IFERROR(__xludf.DUMMYFUNCTION("IF(ISBLANK(B1092),"""",IF(ISDATE(B1092),TEXT(B1092,""M""),""""))"),"")</f>
        <v/>
      </c>
      <c r="M1092" s="29" t="str">
        <f>IFERROR(__xludf.DUMMYFUNCTION("IF(L1092="""","""",QUERY({'Dashboard-Dados'!$Y$2:$AA$13},""Select Col2 Where Col1=""&amp;L1092))"),"")</f>
        <v/>
      </c>
      <c r="N1092" s="29" t="str">
        <f>IFERROR(__xludf.DUMMYFUNCTION("IF(ISBLANK(B1092),"""",IF(ISDATE(B1092),TEXT(B1092,""yyyy""),""""))"),"")</f>
        <v/>
      </c>
    </row>
    <row r="1093">
      <c r="B1093" s="87"/>
      <c r="C1093" s="85"/>
      <c r="D1093" s="76"/>
      <c r="H1093" s="88"/>
      <c r="J1093" s="53" t="str">
        <f>IFERROR(__xludf.DUMMYFUNCTION("IF(ISBLANK(B1093),"""",IF(ISDATE(B1093),""X"",""""))"),"")</f>
        <v/>
      </c>
      <c r="K1093" s="40" t="str">
        <f>IFERROR(__xludf.DUMMYFUNCTION("IF(ISBLANK(B1093),"""",IF(ISDATE(B1093),H1093,""""))"),"")</f>
        <v/>
      </c>
      <c r="L1093" s="40" t="str">
        <f>IFERROR(__xludf.DUMMYFUNCTION("IF(ISBLANK(B1093),"""",IF(ISDATE(B1093),TEXT(B1093,""M""),""""))"),"")</f>
        <v/>
      </c>
      <c r="M1093" s="29" t="str">
        <f>IFERROR(__xludf.DUMMYFUNCTION("IF(L1093="""","""",QUERY({'Dashboard-Dados'!$Y$2:$AA$13},""Select Col2 Where Col1=""&amp;L1093))"),"")</f>
        <v/>
      </c>
      <c r="N1093" s="29" t="str">
        <f>IFERROR(__xludf.DUMMYFUNCTION("IF(ISBLANK(B1093),"""",IF(ISDATE(B1093),TEXT(B1093,""yyyy""),""""))"),"")</f>
        <v/>
      </c>
    </row>
    <row r="1094">
      <c r="B1094" s="89"/>
      <c r="C1094" s="86"/>
      <c r="D1094" s="71"/>
      <c r="H1094" s="90"/>
      <c r="J1094" s="53" t="str">
        <f>IFERROR(__xludf.DUMMYFUNCTION("IF(ISBLANK(B1094),"""",IF(ISDATE(B1094),""X"",""""))"),"")</f>
        <v/>
      </c>
      <c r="K1094" s="40" t="str">
        <f>IFERROR(__xludf.DUMMYFUNCTION("IF(ISBLANK(B1094),"""",IF(ISDATE(B1094),H1094,""""))"),"")</f>
        <v/>
      </c>
      <c r="L1094" s="40" t="str">
        <f>IFERROR(__xludf.DUMMYFUNCTION("IF(ISBLANK(B1094),"""",IF(ISDATE(B1094),TEXT(B1094,""M""),""""))"),"")</f>
        <v/>
      </c>
      <c r="M1094" s="29" t="str">
        <f>IFERROR(__xludf.DUMMYFUNCTION("IF(L1094="""","""",QUERY({'Dashboard-Dados'!$Y$2:$AA$13},""Select Col2 Where Col1=""&amp;L1094))"),"")</f>
        <v/>
      </c>
      <c r="N1094" s="29" t="str">
        <f>IFERROR(__xludf.DUMMYFUNCTION("IF(ISBLANK(B1094),"""",IF(ISDATE(B1094),TEXT(B1094,""yyyy""),""""))"),"")</f>
        <v/>
      </c>
    </row>
    <row r="1095">
      <c r="B1095" s="87"/>
      <c r="C1095" s="85"/>
      <c r="D1095" s="76"/>
      <c r="H1095" s="88"/>
      <c r="J1095" s="53" t="str">
        <f>IFERROR(__xludf.DUMMYFUNCTION("IF(ISBLANK(B1095),"""",IF(ISDATE(B1095),""X"",""""))"),"")</f>
        <v/>
      </c>
      <c r="K1095" s="40" t="str">
        <f>IFERROR(__xludf.DUMMYFUNCTION("IF(ISBLANK(B1095),"""",IF(ISDATE(B1095),H1095,""""))"),"")</f>
        <v/>
      </c>
      <c r="L1095" s="40" t="str">
        <f>IFERROR(__xludf.DUMMYFUNCTION("IF(ISBLANK(B1095),"""",IF(ISDATE(B1095),TEXT(B1095,""M""),""""))"),"")</f>
        <v/>
      </c>
      <c r="M1095" s="29" t="str">
        <f>IFERROR(__xludf.DUMMYFUNCTION("IF(L1095="""","""",QUERY({'Dashboard-Dados'!$Y$2:$AA$13},""Select Col2 Where Col1=""&amp;L1095))"),"")</f>
        <v/>
      </c>
      <c r="N1095" s="29" t="str">
        <f>IFERROR(__xludf.DUMMYFUNCTION("IF(ISBLANK(B1095),"""",IF(ISDATE(B1095),TEXT(B1095,""yyyy""),""""))"),"")</f>
        <v/>
      </c>
    </row>
    <row r="1096">
      <c r="B1096" s="89"/>
      <c r="C1096" s="86"/>
      <c r="D1096" s="71"/>
      <c r="H1096" s="90"/>
      <c r="J1096" s="53" t="str">
        <f>IFERROR(__xludf.DUMMYFUNCTION("IF(ISBLANK(B1096),"""",IF(ISDATE(B1096),""X"",""""))"),"")</f>
        <v/>
      </c>
      <c r="K1096" s="40" t="str">
        <f>IFERROR(__xludf.DUMMYFUNCTION("IF(ISBLANK(B1096),"""",IF(ISDATE(B1096),H1096,""""))"),"")</f>
        <v/>
      </c>
      <c r="L1096" s="40" t="str">
        <f>IFERROR(__xludf.DUMMYFUNCTION("IF(ISBLANK(B1096),"""",IF(ISDATE(B1096),TEXT(B1096,""M""),""""))"),"")</f>
        <v/>
      </c>
      <c r="M1096" s="29" t="str">
        <f>IFERROR(__xludf.DUMMYFUNCTION("IF(L1096="""","""",QUERY({'Dashboard-Dados'!$Y$2:$AA$13},""Select Col2 Where Col1=""&amp;L1096))"),"")</f>
        <v/>
      </c>
      <c r="N1096" s="29" t="str">
        <f>IFERROR(__xludf.DUMMYFUNCTION("IF(ISBLANK(B1096),"""",IF(ISDATE(B1096),TEXT(B1096,""yyyy""),""""))"),"")</f>
        <v/>
      </c>
    </row>
    <row r="1097">
      <c r="B1097" s="87"/>
      <c r="C1097" s="85"/>
      <c r="D1097" s="76"/>
      <c r="H1097" s="88"/>
      <c r="J1097" s="53" t="str">
        <f>IFERROR(__xludf.DUMMYFUNCTION("IF(ISBLANK(B1097),"""",IF(ISDATE(B1097),""X"",""""))"),"")</f>
        <v/>
      </c>
      <c r="K1097" s="40" t="str">
        <f>IFERROR(__xludf.DUMMYFUNCTION("IF(ISBLANK(B1097),"""",IF(ISDATE(B1097),H1097,""""))"),"")</f>
        <v/>
      </c>
      <c r="L1097" s="40" t="str">
        <f>IFERROR(__xludf.DUMMYFUNCTION("IF(ISBLANK(B1097),"""",IF(ISDATE(B1097),TEXT(B1097,""M""),""""))"),"")</f>
        <v/>
      </c>
      <c r="M1097" s="29" t="str">
        <f>IFERROR(__xludf.DUMMYFUNCTION("IF(L1097="""","""",QUERY({'Dashboard-Dados'!$Y$2:$AA$13},""Select Col2 Where Col1=""&amp;L1097))"),"")</f>
        <v/>
      </c>
      <c r="N1097" s="29" t="str">
        <f>IFERROR(__xludf.DUMMYFUNCTION("IF(ISBLANK(B1097),"""",IF(ISDATE(B1097),TEXT(B1097,""yyyy""),""""))"),"")</f>
        <v/>
      </c>
    </row>
    <row r="1098">
      <c r="B1098" s="89"/>
      <c r="C1098" s="86"/>
      <c r="D1098" s="71"/>
      <c r="H1098" s="90"/>
      <c r="J1098" s="53" t="str">
        <f>IFERROR(__xludf.DUMMYFUNCTION("IF(ISBLANK(B1098),"""",IF(ISDATE(B1098),""X"",""""))"),"")</f>
        <v/>
      </c>
      <c r="K1098" s="40" t="str">
        <f>IFERROR(__xludf.DUMMYFUNCTION("IF(ISBLANK(B1098),"""",IF(ISDATE(B1098),H1098,""""))"),"")</f>
        <v/>
      </c>
      <c r="L1098" s="40" t="str">
        <f>IFERROR(__xludf.DUMMYFUNCTION("IF(ISBLANK(B1098),"""",IF(ISDATE(B1098),TEXT(B1098,""M""),""""))"),"")</f>
        <v/>
      </c>
      <c r="M1098" s="29" t="str">
        <f>IFERROR(__xludf.DUMMYFUNCTION("IF(L1098="""","""",QUERY({'Dashboard-Dados'!$Y$2:$AA$13},""Select Col2 Where Col1=""&amp;L1098))"),"")</f>
        <v/>
      </c>
      <c r="N1098" s="29" t="str">
        <f>IFERROR(__xludf.DUMMYFUNCTION("IF(ISBLANK(B1098),"""",IF(ISDATE(B1098),TEXT(B1098,""yyyy""),""""))"),"")</f>
        <v/>
      </c>
    </row>
    <row r="1099">
      <c r="B1099" s="87"/>
      <c r="C1099" s="85"/>
      <c r="D1099" s="76"/>
      <c r="H1099" s="88"/>
      <c r="J1099" s="53" t="str">
        <f>IFERROR(__xludf.DUMMYFUNCTION("IF(ISBLANK(B1099),"""",IF(ISDATE(B1099),""X"",""""))"),"")</f>
        <v/>
      </c>
      <c r="K1099" s="40" t="str">
        <f>IFERROR(__xludf.DUMMYFUNCTION("IF(ISBLANK(B1099),"""",IF(ISDATE(B1099),H1099,""""))"),"")</f>
        <v/>
      </c>
      <c r="L1099" s="40" t="str">
        <f>IFERROR(__xludf.DUMMYFUNCTION("IF(ISBLANK(B1099),"""",IF(ISDATE(B1099),TEXT(B1099,""M""),""""))"),"")</f>
        <v/>
      </c>
      <c r="M1099" s="29" t="str">
        <f>IFERROR(__xludf.DUMMYFUNCTION("IF(L1099="""","""",QUERY({'Dashboard-Dados'!$Y$2:$AA$13},""Select Col2 Where Col1=""&amp;L1099))"),"")</f>
        <v/>
      </c>
      <c r="N1099" s="29" t="str">
        <f>IFERROR(__xludf.DUMMYFUNCTION("IF(ISBLANK(B1099),"""",IF(ISDATE(B1099),TEXT(B1099,""yyyy""),""""))"),"")</f>
        <v/>
      </c>
    </row>
    <row r="1100">
      <c r="B1100" s="89"/>
      <c r="C1100" s="86"/>
      <c r="D1100" s="71"/>
      <c r="H1100" s="90"/>
      <c r="J1100" s="53" t="str">
        <f>IFERROR(__xludf.DUMMYFUNCTION("IF(ISBLANK(B1100),"""",IF(ISDATE(B1100),""X"",""""))"),"")</f>
        <v/>
      </c>
      <c r="K1100" s="40" t="str">
        <f>IFERROR(__xludf.DUMMYFUNCTION("IF(ISBLANK(B1100),"""",IF(ISDATE(B1100),H1100,""""))"),"")</f>
        <v/>
      </c>
      <c r="L1100" s="40" t="str">
        <f>IFERROR(__xludf.DUMMYFUNCTION("IF(ISBLANK(B1100),"""",IF(ISDATE(B1100),TEXT(B1100,""M""),""""))"),"")</f>
        <v/>
      </c>
      <c r="M1100" s="29" t="str">
        <f>IFERROR(__xludf.DUMMYFUNCTION("IF(L1100="""","""",QUERY({'Dashboard-Dados'!$Y$2:$AA$13},""Select Col2 Where Col1=""&amp;L1100))"),"")</f>
        <v/>
      </c>
      <c r="N1100" s="29" t="str">
        <f>IFERROR(__xludf.DUMMYFUNCTION("IF(ISBLANK(B1100),"""",IF(ISDATE(B1100),TEXT(B1100,""yyyy""),""""))"),"")</f>
        <v/>
      </c>
    </row>
    <row r="1101">
      <c r="B1101" s="87"/>
      <c r="C1101" s="85"/>
      <c r="D1101" s="76"/>
      <c r="H1101" s="88"/>
      <c r="J1101" s="53" t="str">
        <f>IFERROR(__xludf.DUMMYFUNCTION("IF(ISBLANK(B1101),"""",IF(ISDATE(B1101),""X"",""""))"),"")</f>
        <v/>
      </c>
      <c r="K1101" s="40" t="str">
        <f>IFERROR(__xludf.DUMMYFUNCTION("IF(ISBLANK(B1101),"""",IF(ISDATE(B1101),H1101,""""))"),"")</f>
        <v/>
      </c>
      <c r="L1101" s="40" t="str">
        <f>IFERROR(__xludf.DUMMYFUNCTION("IF(ISBLANK(B1101),"""",IF(ISDATE(B1101),TEXT(B1101,""M""),""""))"),"")</f>
        <v/>
      </c>
      <c r="M1101" s="29" t="str">
        <f>IFERROR(__xludf.DUMMYFUNCTION("IF(L1101="""","""",QUERY({'Dashboard-Dados'!$Y$2:$AA$13},""Select Col2 Where Col1=""&amp;L1101))"),"")</f>
        <v/>
      </c>
      <c r="N1101" s="29" t="str">
        <f>IFERROR(__xludf.DUMMYFUNCTION("IF(ISBLANK(B1101),"""",IF(ISDATE(B1101),TEXT(B1101,""yyyy""),""""))"),"")</f>
        <v/>
      </c>
    </row>
    <row r="1102">
      <c r="B1102" s="89"/>
      <c r="C1102" s="86"/>
      <c r="D1102" s="71"/>
      <c r="H1102" s="90"/>
      <c r="J1102" s="53" t="str">
        <f>IFERROR(__xludf.DUMMYFUNCTION("IF(ISBLANK(B1102),"""",IF(ISDATE(B1102),""X"",""""))"),"")</f>
        <v/>
      </c>
      <c r="K1102" s="40" t="str">
        <f>IFERROR(__xludf.DUMMYFUNCTION("IF(ISBLANK(B1102),"""",IF(ISDATE(B1102),H1102,""""))"),"")</f>
        <v/>
      </c>
      <c r="L1102" s="40" t="str">
        <f>IFERROR(__xludf.DUMMYFUNCTION("IF(ISBLANK(B1102),"""",IF(ISDATE(B1102),TEXT(B1102,""M""),""""))"),"")</f>
        <v/>
      </c>
      <c r="M1102" s="29" t="str">
        <f>IFERROR(__xludf.DUMMYFUNCTION("IF(L1102="""","""",QUERY({'Dashboard-Dados'!$Y$2:$AA$13},""Select Col2 Where Col1=""&amp;L1102))"),"")</f>
        <v/>
      </c>
      <c r="N1102" s="29" t="str">
        <f>IFERROR(__xludf.DUMMYFUNCTION("IF(ISBLANK(B1102),"""",IF(ISDATE(B1102),TEXT(B1102,""yyyy""),""""))"),"")</f>
        <v/>
      </c>
    </row>
    <row r="1103">
      <c r="B1103" s="87"/>
      <c r="C1103" s="85"/>
      <c r="D1103" s="76"/>
      <c r="H1103" s="88"/>
      <c r="J1103" s="53" t="str">
        <f>IFERROR(__xludf.DUMMYFUNCTION("IF(ISBLANK(B1103),"""",IF(ISDATE(B1103),""X"",""""))"),"")</f>
        <v/>
      </c>
      <c r="K1103" s="40" t="str">
        <f>IFERROR(__xludf.DUMMYFUNCTION("IF(ISBLANK(B1103),"""",IF(ISDATE(B1103),H1103,""""))"),"")</f>
        <v/>
      </c>
      <c r="L1103" s="40" t="str">
        <f>IFERROR(__xludf.DUMMYFUNCTION("IF(ISBLANK(B1103),"""",IF(ISDATE(B1103),TEXT(B1103,""M""),""""))"),"")</f>
        <v/>
      </c>
      <c r="M1103" s="29" t="str">
        <f>IFERROR(__xludf.DUMMYFUNCTION("IF(L1103="""","""",QUERY({'Dashboard-Dados'!$Y$2:$AA$13},""Select Col2 Where Col1=""&amp;L1103))"),"")</f>
        <v/>
      </c>
      <c r="N1103" s="29" t="str">
        <f>IFERROR(__xludf.DUMMYFUNCTION("IF(ISBLANK(B1103),"""",IF(ISDATE(B1103),TEXT(B1103,""yyyy""),""""))"),"")</f>
        <v/>
      </c>
    </row>
    <row r="1104">
      <c r="B1104" s="89"/>
      <c r="C1104" s="86"/>
      <c r="D1104" s="71"/>
      <c r="H1104" s="90"/>
      <c r="J1104" s="53" t="str">
        <f>IFERROR(__xludf.DUMMYFUNCTION("IF(ISBLANK(B1104),"""",IF(ISDATE(B1104),""X"",""""))"),"")</f>
        <v/>
      </c>
      <c r="K1104" s="40" t="str">
        <f>IFERROR(__xludf.DUMMYFUNCTION("IF(ISBLANK(B1104),"""",IF(ISDATE(B1104),H1104,""""))"),"")</f>
        <v/>
      </c>
      <c r="L1104" s="40" t="str">
        <f>IFERROR(__xludf.DUMMYFUNCTION("IF(ISBLANK(B1104),"""",IF(ISDATE(B1104),TEXT(B1104,""M""),""""))"),"")</f>
        <v/>
      </c>
      <c r="M1104" s="29" t="str">
        <f>IFERROR(__xludf.DUMMYFUNCTION("IF(L1104="""","""",QUERY({'Dashboard-Dados'!$Y$2:$AA$13},""Select Col2 Where Col1=""&amp;L1104))"),"")</f>
        <v/>
      </c>
      <c r="N1104" s="29" t="str">
        <f>IFERROR(__xludf.DUMMYFUNCTION("IF(ISBLANK(B1104),"""",IF(ISDATE(B1104),TEXT(B1104,""yyyy""),""""))"),"")</f>
        <v/>
      </c>
    </row>
    <row r="1105">
      <c r="B1105" s="87"/>
      <c r="C1105" s="85"/>
      <c r="D1105" s="76"/>
      <c r="H1105" s="88"/>
      <c r="J1105" s="53" t="str">
        <f>IFERROR(__xludf.DUMMYFUNCTION("IF(ISBLANK(B1105),"""",IF(ISDATE(B1105),""X"",""""))"),"")</f>
        <v/>
      </c>
      <c r="K1105" s="40" t="str">
        <f>IFERROR(__xludf.DUMMYFUNCTION("IF(ISBLANK(B1105),"""",IF(ISDATE(B1105),H1105,""""))"),"")</f>
        <v/>
      </c>
      <c r="L1105" s="40" t="str">
        <f>IFERROR(__xludf.DUMMYFUNCTION("IF(ISBLANK(B1105),"""",IF(ISDATE(B1105),TEXT(B1105,""M""),""""))"),"")</f>
        <v/>
      </c>
      <c r="M1105" s="29" t="str">
        <f>IFERROR(__xludf.DUMMYFUNCTION("IF(L1105="""","""",QUERY({'Dashboard-Dados'!$Y$2:$AA$13},""Select Col2 Where Col1=""&amp;L1105))"),"")</f>
        <v/>
      </c>
      <c r="N1105" s="29" t="str">
        <f>IFERROR(__xludf.DUMMYFUNCTION("IF(ISBLANK(B1105),"""",IF(ISDATE(B1105),TEXT(B1105,""yyyy""),""""))"),"")</f>
        <v/>
      </c>
    </row>
    <row r="1106">
      <c r="B1106" s="89"/>
      <c r="C1106" s="86"/>
      <c r="D1106" s="71"/>
      <c r="H1106" s="90"/>
      <c r="J1106" s="53" t="str">
        <f>IFERROR(__xludf.DUMMYFUNCTION("IF(ISBLANK(B1106),"""",IF(ISDATE(B1106),""X"",""""))"),"")</f>
        <v/>
      </c>
      <c r="K1106" s="40" t="str">
        <f>IFERROR(__xludf.DUMMYFUNCTION("IF(ISBLANK(B1106),"""",IF(ISDATE(B1106),H1106,""""))"),"")</f>
        <v/>
      </c>
      <c r="L1106" s="40" t="str">
        <f>IFERROR(__xludf.DUMMYFUNCTION("IF(ISBLANK(B1106),"""",IF(ISDATE(B1106),TEXT(B1106,""M""),""""))"),"")</f>
        <v/>
      </c>
      <c r="M1106" s="29" t="str">
        <f>IFERROR(__xludf.DUMMYFUNCTION("IF(L1106="""","""",QUERY({'Dashboard-Dados'!$Y$2:$AA$13},""Select Col2 Where Col1=""&amp;L1106))"),"")</f>
        <v/>
      </c>
      <c r="N1106" s="29" t="str">
        <f>IFERROR(__xludf.DUMMYFUNCTION("IF(ISBLANK(B1106),"""",IF(ISDATE(B1106),TEXT(B1106,""yyyy""),""""))"),"")</f>
        <v/>
      </c>
    </row>
    <row r="1107">
      <c r="B1107" s="87"/>
      <c r="C1107" s="85"/>
      <c r="D1107" s="76"/>
      <c r="H1107" s="88"/>
      <c r="J1107" s="53" t="str">
        <f>IFERROR(__xludf.DUMMYFUNCTION("IF(ISBLANK(B1107),"""",IF(ISDATE(B1107),""X"",""""))"),"")</f>
        <v/>
      </c>
      <c r="K1107" s="40" t="str">
        <f>IFERROR(__xludf.DUMMYFUNCTION("IF(ISBLANK(B1107),"""",IF(ISDATE(B1107),H1107,""""))"),"")</f>
        <v/>
      </c>
      <c r="L1107" s="40" t="str">
        <f>IFERROR(__xludf.DUMMYFUNCTION("IF(ISBLANK(B1107),"""",IF(ISDATE(B1107),TEXT(B1107,""M""),""""))"),"")</f>
        <v/>
      </c>
      <c r="M1107" s="29" t="str">
        <f>IFERROR(__xludf.DUMMYFUNCTION("IF(L1107="""","""",QUERY({'Dashboard-Dados'!$Y$2:$AA$13},""Select Col2 Where Col1=""&amp;L1107))"),"")</f>
        <v/>
      </c>
      <c r="N1107" s="29" t="str">
        <f>IFERROR(__xludf.DUMMYFUNCTION("IF(ISBLANK(B1107),"""",IF(ISDATE(B1107),TEXT(B1107,""yyyy""),""""))"),"")</f>
        <v/>
      </c>
    </row>
    <row r="1108">
      <c r="B1108" s="89"/>
      <c r="C1108" s="86"/>
      <c r="D1108" s="71"/>
      <c r="H1108" s="90"/>
      <c r="J1108" s="53" t="str">
        <f>IFERROR(__xludf.DUMMYFUNCTION("IF(ISBLANK(B1108),"""",IF(ISDATE(B1108),""X"",""""))"),"")</f>
        <v/>
      </c>
      <c r="K1108" s="40" t="str">
        <f>IFERROR(__xludf.DUMMYFUNCTION("IF(ISBLANK(B1108),"""",IF(ISDATE(B1108),H1108,""""))"),"")</f>
        <v/>
      </c>
      <c r="L1108" s="40" t="str">
        <f>IFERROR(__xludf.DUMMYFUNCTION("IF(ISBLANK(B1108),"""",IF(ISDATE(B1108),TEXT(B1108,""M""),""""))"),"")</f>
        <v/>
      </c>
      <c r="M1108" s="29" t="str">
        <f>IFERROR(__xludf.DUMMYFUNCTION("IF(L1108="""","""",QUERY({'Dashboard-Dados'!$Y$2:$AA$13},""Select Col2 Where Col1=""&amp;L1108))"),"")</f>
        <v/>
      </c>
      <c r="N1108" s="29" t="str">
        <f>IFERROR(__xludf.DUMMYFUNCTION("IF(ISBLANK(B1108),"""",IF(ISDATE(B1108),TEXT(B1108,""yyyy""),""""))"),"")</f>
        <v/>
      </c>
    </row>
    <row r="1109">
      <c r="B1109" s="87"/>
      <c r="C1109" s="85"/>
      <c r="D1109" s="76"/>
      <c r="H1109" s="88"/>
      <c r="J1109" s="53" t="str">
        <f>IFERROR(__xludf.DUMMYFUNCTION("IF(ISBLANK(B1109),"""",IF(ISDATE(B1109),""X"",""""))"),"")</f>
        <v/>
      </c>
      <c r="K1109" s="40" t="str">
        <f>IFERROR(__xludf.DUMMYFUNCTION("IF(ISBLANK(B1109),"""",IF(ISDATE(B1109),H1109,""""))"),"")</f>
        <v/>
      </c>
      <c r="L1109" s="40" t="str">
        <f>IFERROR(__xludf.DUMMYFUNCTION("IF(ISBLANK(B1109),"""",IF(ISDATE(B1109),TEXT(B1109,""M""),""""))"),"")</f>
        <v/>
      </c>
      <c r="M1109" s="29" t="str">
        <f>IFERROR(__xludf.DUMMYFUNCTION("IF(L1109="""","""",QUERY({'Dashboard-Dados'!$Y$2:$AA$13},""Select Col2 Where Col1=""&amp;L1109))"),"")</f>
        <v/>
      </c>
      <c r="N1109" s="29" t="str">
        <f>IFERROR(__xludf.DUMMYFUNCTION("IF(ISBLANK(B1109),"""",IF(ISDATE(B1109),TEXT(B1109,""yyyy""),""""))"),"")</f>
        <v/>
      </c>
    </row>
    <row r="1110">
      <c r="B1110" s="89"/>
      <c r="C1110" s="86"/>
      <c r="D1110" s="71"/>
      <c r="H1110" s="90"/>
      <c r="J1110" s="53" t="str">
        <f>IFERROR(__xludf.DUMMYFUNCTION("IF(ISBLANK(B1110),"""",IF(ISDATE(B1110),""X"",""""))"),"")</f>
        <v/>
      </c>
      <c r="K1110" s="40" t="str">
        <f>IFERROR(__xludf.DUMMYFUNCTION("IF(ISBLANK(B1110),"""",IF(ISDATE(B1110),H1110,""""))"),"")</f>
        <v/>
      </c>
      <c r="L1110" s="40" t="str">
        <f>IFERROR(__xludf.DUMMYFUNCTION("IF(ISBLANK(B1110),"""",IF(ISDATE(B1110),TEXT(B1110,""M""),""""))"),"")</f>
        <v/>
      </c>
      <c r="M1110" s="29" t="str">
        <f>IFERROR(__xludf.DUMMYFUNCTION("IF(L1110="""","""",QUERY({'Dashboard-Dados'!$Y$2:$AA$13},""Select Col2 Where Col1=""&amp;L1110))"),"")</f>
        <v/>
      </c>
      <c r="N1110" s="29" t="str">
        <f>IFERROR(__xludf.DUMMYFUNCTION("IF(ISBLANK(B1110),"""",IF(ISDATE(B1110),TEXT(B1110,""yyyy""),""""))"),"")</f>
        <v/>
      </c>
    </row>
    <row r="1111">
      <c r="B1111" s="87"/>
      <c r="C1111" s="85"/>
      <c r="D1111" s="76"/>
      <c r="H1111" s="88"/>
      <c r="J1111" s="53" t="str">
        <f>IFERROR(__xludf.DUMMYFUNCTION("IF(ISBLANK(B1111),"""",IF(ISDATE(B1111),""X"",""""))"),"")</f>
        <v/>
      </c>
      <c r="K1111" s="40" t="str">
        <f>IFERROR(__xludf.DUMMYFUNCTION("IF(ISBLANK(B1111),"""",IF(ISDATE(B1111),H1111,""""))"),"")</f>
        <v/>
      </c>
      <c r="L1111" s="40" t="str">
        <f>IFERROR(__xludf.DUMMYFUNCTION("IF(ISBLANK(B1111),"""",IF(ISDATE(B1111),TEXT(B1111,""M""),""""))"),"")</f>
        <v/>
      </c>
      <c r="M1111" s="29" t="str">
        <f>IFERROR(__xludf.DUMMYFUNCTION("IF(L1111="""","""",QUERY({'Dashboard-Dados'!$Y$2:$AA$13},""Select Col2 Where Col1=""&amp;L1111))"),"")</f>
        <v/>
      </c>
      <c r="N1111" s="29" t="str">
        <f>IFERROR(__xludf.DUMMYFUNCTION("IF(ISBLANK(B1111),"""",IF(ISDATE(B1111),TEXT(B1111,""yyyy""),""""))"),"")</f>
        <v/>
      </c>
    </row>
    <row r="1112">
      <c r="B1112" s="89"/>
      <c r="C1112" s="86"/>
      <c r="D1112" s="71"/>
      <c r="H1112" s="90"/>
      <c r="J1112" s="53" t="str">
        <f>IFERROR(__xludf.DUMMYFUNCTION("IF(ISBLANK(B1112),"""",IF(ISDATE(B1112),""X"",""""))"),"")</f>
        <v/>
      </c>
      <c r="K1112" s="40" t="str">
        <f>IFERROR(__xludf.DUMMYFUNCTION("IF(ISBLANK(B1112),"""",IF(ISDATE(B1112),H1112,""""))"),"")</f>
        <v/>
      </c>
      <c r="L1112" s="40" t="str">
        <f>IFERROR(__xludf.DUMMYFUNCTION("IF(ISBLANK(B1112),"""",IF(ISDATE(B1112),TEXT(B1112,""M""),""""))"),"")</f>
        <v/>
      </c>
      <c r="M1112" s="29" t="str">
        <f>IFERROR(__xludf.DUMMYFUNCTION("IF(L1112="""","""",QUERY({'Dashboard-Dados'!$Y$2:$AA$13},""Select Col2 Where Col1=""&amp;L1112))"),"")</f>
        <v/>
      </c>
      <c r="N1112" s="29" t="str">
        <f>IFERROR(__xludf.DUMMYFUNCTION("IF(ISBLANK(B1112),"""",IF(ISDATE(B1112),TEXT(B1112,""yyyy""),""""))"),"")</f>
        <v/>
      </c>
    </row>
    <row r="1113">
      <c r="B1113" s="87"/>
      <c r="C1113" s="85"/>
      <c r="D1113" s="76"/>
      <c r="H1113" s="88"/>
      <c r="J1113" s="53" t="str">
        <f>IFERROR(__xludf.DUMMYFUNCTION("IF(ISBLANK(B1113),"""",IF(ISDATE(B1113),""X"",""""))"),"")</f>
        <v/>
      </c>
      <c r="K1113" s="40" t="str">
        <f>IFERROR(__xludf.DUMMYFUNCTION("IF(ISBLANK(B1113),"""",IF(ISDATE(B1113),H1113,""""))"),"")</f>
        <v/>
      </c>
      <c r="L1113" s="40" t="str">
        <f>IFERROR(__xludf.DUMMYFUNCTION("IF(ISBLANK(B1113),"""",IF(ISDATE(B1113),TEXT(B1113,""M""),""""))"),"")</f>
        <v/>
      </c>
      <c r="M1113" s="29" t="str">
        <f>IFERROR(__xludf.DUMMYFUNCTION("IF(L1113="""","""",QUERY({'Dashboard-Dados'!$Y$2:$AA$13},""Select Col2 Where Col1=""&amp;L1113))"),"")</f>
        <v/>
      </c>
      <c r="N1113" s="29" t="str">
        <f>IFERROR(__xludf.DUMMYFUNCTION("IF(ISBLANK(B1113),"""",IF(ISDATE(B1113),TEXT(B1113,""yyyy""),""""))"),"")</f>
        <v/>
      </c>
    </row>
    <row r="1114">
      <c r="B1114" s="89"/>
      <c r="C1114" s="86"/>
      <c r="D1114" s="71"/>
      <c r="H1114" s="90"/>
      <c r="J1114" s="53" t="str">
        <f>IFERROR(__xludf.DUMMYFUNCTION("IF(ISBLANK(B1114),"""",IF(ISDATE(B1114),""X"",""""))"),"")</f>
        <v/>
      </c>
      <c r="K1114" s="40" t="str">
        <f>IFERROR(__xludf.DUMMYFUNCTION("IF(ISBLANK(B1114),"""",IF(ISDATE(B1114),H1114,""""))"),"")</f>
        <v/>
      </c>
      <c r="L1114" s="40" t="str">
        <f>IFERROR(__xludf.DUMMYFUNCTION("IF(ISBLANK(B1114),"""",IF(ISDATE(B1114),TEXT(B1114,""M""),""""))"),"")</f>
        <v/>
      </c>
      <c r="M1114" s="29" t="str">
        <f>IFERROR(__xludf.DUMMYFUNCTION("IF(L1114="""","""",QUERY({'Dashboard-Dados'!$Y$2:$AA$13},""Select Col2 Where Col1=""&amp;L1114))"),"")</f>
        <v/>
      </c>
      <c r="N1114" s="29" t="str">
        <f>IFERROR(__xludf.DUMMYFUNCTION("IF(ISBLANK(B1114),"""",IF(ISDATE(B1114),TEXT(B1114,""yyyy""),""""))"),"")</f>
        <v/>
      </c>
    </row>
    <row r="1115">
      <c r="B1115" s="87"/>
      <c r="C1115" s="85"/>
      <c r="D1115" s="76"/>
      <c r="H1115" s="88"/>
      <c r="J1115" s="53" t="str">
        <f>IFERROR(__xludf.DUMMYFUNCTION("IF(ISBLANK(B1115),"""",IF(ISDATE(B1115),""X"",""""))"),"")</f>
        <v/>
      </c>
      <c r="K1115" s="40" t="str">
        <f>IFERROR(__xludf.DUMMYFUNCTION("IF(ISBLANK(B1115),"""",IF(ISDATE(B1115),H1115,""""))"),"")</f>
        <v/>
      </c>
      <c r="L1115" s="40" t="str">
        <f>IFERROR(__xludf.DUMMYFUNCTION("IF(ISBLANK(B1115),"""",IF(ISDATE(B1115),TEXT(B1115,""M""),""""))"),"")</f>
        <v/>
      </c>
      <c r="M1115" s="29" t="str">
        <f>IFERROR(__xludf.DUMMYFUNCTION("IF(L1115="""","""",QUERY({'Dashboard-Dados'!$Y$2:$AA$13},""Select Col2 Where Col1=""&amp;L1115))"),"")</f>
        <v/>
      </c>
      <c r="N1115" s="29" t="str">
        <f>IFERROR(__xludf.DUMMYFUNCTION("IF(ISBLANK(B1115),"""",IF(ISDATE(B1115),TEXT(B1115,""yyyy""),""""))"),"")</f>
        <v/>
      </c>
    </row>
    <row r="1116">
      <c r="B1116" s="89"/>
      <c r="C1116" s="86"/>
      <c r="D1116" s="71"/>
      <c r="H1116" s="90"/>
      <c r="J1116" s="53" t="str">
        <f>IFERROR(__xludf.DUMMYFUNCTION("IF(ISBLANK(B1116),"""",IF(ISDATE(B1116),""X"",""""))"),"")</f>
        <v/>
      </c>
      <c r="K1116" s="40" t="str">
        <f>IFERROR(__xludf.DUMMYFUNCTION("IF(ISBLANK(B1116),"""",IF(ISDATE(B1116),H1116,""""))"),"")</f>
        <v/>
      </c>
      <c r="L1116" s="40" t="str">
        <f>IFERROR(__xludf.DUMMYFUNCTION("IF(ISBLANK(B1116),"""",IF(ISDATE(B1116),TEXT(B1116,""M""),""""))"),"")</f>
        <v/>
      </c>
      <c r="M1116" s="29" t="str">
        <f>IFERROR(__xludf.DUMMYFUNCTION("IF(L1116="""","""",QUERY({'Dashboard-Dados'!$Y$2:$AA$13},""Select Col2 Where Col1=""&amp;L1116))"),"")</f>
        <v/>
      </c>
      <c r="N1116" s="29" t="str">
        <f>IFERROR(__xludf.DUMMYFUNCTION("IF(ISBLANK(B1116),"""",IF(ISDATE(B1116),TEXT(B1116,""yyyy""),""""))"),"")</f>
        <v/>
      </c>
    </row>
    <row r="1117">
      <c r="B1117" s="87"/>
      <c r="C1117" s="85"/>
      <c r="D1117" s="76"/>
      <c r="H1117" s="88"/>
      <c r="J1117" s="53" t="str">
        <f>IFERROR(__xludf.DUMMYFUNCTION("IF(ISBLANK(B1117),"""",IF(ISDATE(B1117),""X"",""""))"),"")</f>
        <v/>
      </c>
      <c r="K1117" s="40" t="str">
        <f>IFERROR(__xludf.DUMMYFUNCTION("IF(ISBLANK(B1117),"""",IF(ISDATE(B1117),H1117,""""))"),"")</f>
        <v/>
      </c>
      <c r="L1117" s="40" t="str">
        <f>IFERROR(__xludf.DUMMYFUNCTION("IF(ISBLANK(B1117),"""",IF(ISDATE(B1117),TEXT(B1117,""M""),""""))"),"")</f>
        <v/>
      </c>
      <c r="M1117" s="29" t="str">
        <f>IFERROR(__xludf.DUMMYFUNCTION("IF(L1117="""","""",QUERY({'Dashboard-Dados'!$Y$2:$AA$13},""Select Col2 Where Col1=""&amp;L1117))"),"")</f>
        <v/>
      </c>
      <c r="N1117" s="29" t="str">
        <f>IFERROR(__xludf.DUMMYFUNCTION("IF(ISBLANK(B1117),"""",IF(ISDATE(B1117),TEXT(B1117,""yyyy""),""""))"),"")</f>
        <v/>
      </c>
    </row>
    <row r="1118">
      <c r="B1118" s="89"/>
      <c r="C1118" s="86"/>
      <c r="D1118" s="71"/>
      <c r="H1118" s="90"/>
      <c r="J1118" s="53" t="str">
        <f>IFERROR(__xludf.DUMMYFUNCTION("IF(ISBLANK(B1118),"""",IF(ISDATE(B1118),""X"",""""))"),"")</f>
        <v/>
      </c>
      <c r="K1118" s="40" t="str">
        <f>IFERROR(__xludf.DUMMYFUNCTION("IF(ISBLANK(B1118),"""",IF(ISDATE(B1118),H1118,""""))"),"")</f>
        <v/>
      </c>
      <c r="L1118" s="40" t="str">
        <f>IFERROR(__xludf.DUMMYFUNCTION("IF(ISBLANK(B1118),"""",IF(ISDATE(B1118),TEXT(B1118,""M""),""""))"),"")</f>
        <v/>
      </c>
      <c r="M1118" s="29" t="str">
        <f>IFERROR(__xludf.DUMMYFUNCTION("IF(L1118="""","""",QUERY({'Dashboard-Dados'!$Y$2:$AA$13},""Select Col2 Where Col1=""&amp;L1118))"),"")</f>
        <v/>
      </c>
      <c r="N1118" s="29" t="str">
        <f>IFERROR(__xludf.DUMMYFUNCTION("IF(ISBLANK(B1118),"""",IF(ISDATE(B1118),TEXT(B1118,""yyyy""),""""))"),"")</f>
        <v/>
      </c>
    </row>
    <row r="1119">
      <c r="B1119" s="87"/>
      <c r="C1119" s="85"/>
      <c r="D1119" s="76"/>
      <c r="H1119" s="88"/>
      <c r="J1119" s="53" t="str">
        <f>IFERROR(__xludf.DUMMYFUNCTION("IF(ISBLANK(B1119),"""",IF(ISDATE(B1119),""X"",""""))"),"")</f>
        <v/>
      </c>
      <c r="K1119" s="40" t="str">
        <f>IFERROR(__xludf.DUMMYFUNCTION("IF(ISBLANK(B1119),"""",IF(ISDATE(B1119),H1119,""""))"),"")</f>
        <v/>
      </c>
      <c r="L1119" s="40" t="str">
        <f>IFERROR(__xludf.DUMMYFUNCTION("IF(ISBLANK(B1119),"""",IF(ISDATE(B1119),TEXT(B1119,""M""),""""))"),"")</f>
        <v/>
      </c>
      <c r="M1119" s="29" t="str">
        <f>IFERROR(__xludf.DUMMYFUNCTION("IF(L1119="""","""",QUERY({'Dashboard-Dados'!$Y$2:$AA$13},""Select Col2 Where Col1=""&amp;L1119))"),"")</f>
        <v/>
      </c>
      <c r="N1119" s="29" t="str">
        <f>IFERROR(__xludf.DUMMYFUNCTION("IF(ISBLANK(B1119),"""",IF(ISDATE(B1119),TEXT(B1119,""yyyy""),""""))"),"")</f>
        <v/>
      </c>
    </row>
    <row r="1120">
      <c r="B1120" s="89"/>
      <c r="C1120" s="86"/>
      <c r="D1120" s="71"/>
      <c r="H1120" s="90"/>
      <c r="J1120" s="53" t="str">
        <f>IFERROR(__xludf.DUMMYFUNCTION("IF(ISBLANK(B1120),"""",IF(ISDATE(B1120),""X"",""""))"),"")</f>
        <v/>
      </c>
      <c r="K1120" s="40" t="str">
        <f>IFERROR(__xludf.DUMMYFUNCTION("IF(ISBLANK(B1120),"""",IF(ISDATE(B1120),H1120,""""))"),"")</f>
        <v/>
      </c>
      <c r="L1120" s="40" t="str">
        <f>IFERROR(__xludf.DUMMYFUNCTION("IF(ISBLANK(B1120),"""",IF(ISDATE(B1120),TEXT(B1120,""M""),""""))"),"")</f>
        <v/>
      </c>
      <c r="M1120" s="29" t="str">
        <f>IFERROR(__xludf.DUMMYFUNCTION("IF(L1120="""","""",QUERY({'Dashboard-Dados'!$Y$2:$AA$13},""Select Col2 Where Col1=""&amp;L1120))"),"")</f>
        <v/>
      </c>
      <c r="N1120" s="29" t="str">
        <f>IFERROR(__xludf.DUMMYFUNCTION("IF(ISBLANK(B1120),"""",IF(ISDATE(B1120),TEXT(B1120,""yyyy""),""""))"),"")</f>
        <v/>
      </c>
    </row>
    <row r="1121">
      <c r="B1121" s="87"/>
      <c r="C1121" s="85"/>
      <c r="D1121" s="76"/>
      <c r="H1121" s="88"/>
      <c r="J1121" s="53" t="str">
        <f>IFERROR(__xludf.DUMMYFUNCTION("IF(ISBLANK(B1121),"""",IF(ISDATE(B1121),""X"",""""))"),"")</f>
        <v/>
      </c>
      <c r="K1121" s="40" t="str">
        <f>IFERROR(__xludf.DUMMYFUNCTION("IF(ISBLANK(B1121),"""",IF(ISDATE(B1121),H1121,""""))"),"")</f>
        <v/>
      </c>
      <c r="L1121" s="40" t="str">
        <f>IFERROR(__xludf.DUMMYFUNCTION("IF(ISBLANK(B1121),"""",IF(ISDATE(B1121),TEXT(B1121,""M""),""""))"),"")</f>
        <v/>
      </c>
      <c r="M1121" s="29" t="str">
        <f>IFERROR(__xludf.DUMMYFUNCTION("IF(L1121="""","""",QUERY({'Dashboard-Dados'!$Y$2:$AA$13},""Select Col2 Where Col1=""&amp;L1121))"),"")</f>
        <v/>
      </c>
      <c r="N1121" s="29" t="str">
        <f>IFERROR(__xludf.DUMMYFUNCTION("IF(ISBLANK(B1121),"""",IF(ISDATE(B1121),TEXT(B1121,""yyyy""),""""))"),"")</f>
        <v/>
      </c>
    </row>
    <row r="1122">
      <c r="B1122" s="89"/>
      <c r="C1122" s="86"/>
      <c r="D1122" s="71"/>
      <c r="H1122" s="90"/>
      <c r="J1122" s="53" t="str">
        <f>IFERROR(__xludf.DUMMYFUNCTION("IF(ISBLANK(B1122),"""",IF(ISDATE(B1122),""X"",""""))"),"")</f>
        <v/>
      </c>
      <c r="K1122" s="40" t="str">
        <f>IFERROR(__xludf.DUMMYFUNCTION("IF(ISBLANK(B1122),"""",IF(ISDATE(B1122),H1122,""""))"),"")</f>
        <v/>
      </c>
      <c r="L1122" s="40" t="str">
        <f>IFERROR(__xludf.DUMMYFUNCTION("IF(ISBLANK(B1122),"""",IF(ISDATE(B1122),TEXT(B1122,""M""),""""))"),"")</f>
        <v/>
      </c>
      <c r="M1122" s="29" t="str">
        <f>IFERROR(__xludf.DUMMYFUNCTION("IF(L1122="""","""",QUERY({'Dashboard-Dados'!$Y$2:$AA$13},""Select Col2 Where Col1=""&amp;L1122))"),"")</f>
        <v/>
      </c>
      <c r="N1122" s="29" t="str">
        <f>IFERROR(__xludf.DUMMYFUNCTION("IF(ISBLANK(B1122),"""",IF(ISDATE(B1122),TEXT(B1122,""yyyy""),""""))"),"")</f>
        <v/>
      </c>
    </row>
    <row r="1123">
      <c r="B1123" s="87"/>
      <c r="C1123" s="85"/>
      <c r="D1123" s="76"/>
      <c r="H1123" s="88"/>
      <c r="J1123" s="53" t="str">
        <f>IFERROR(__xludf.DUMMYFUNCTION("IF(ISBLANK(B1123),"""",IF(ISDATE(B1123),""X"",""""))"),"")</f>
        <v/>
      </c>
      <c r="K1123" s="40" t="str">
        <f>IFERROR(__xludf.DUMMYFUNCTION("IF(ISBLANK(B1123),"""",IF(ISDATE(B1123),H1123,""""))"),"")</f>
        <v/>
      </c>
      <c r="L1123" s="40" t="str">
        <f>IFERROR(__xludf.DUMMYFUNCTION("IF(ISBLANK(B1123),"""",IF(ISDATE(B1123),TEXT(B1123,""M""),""""))"),"")</f>
        <v/>
      </c>
      <c r="M1123" s="29" t="str">
        <f>IFERROR(__xludf.DUMMYFUNCTION("IF(L1123="""","""",QUERY({'Dashboard-Dados'!$Y$2:$AA$13},""Select Col2 Where Col1=""&amp;L1123))"),"")</f>
        <v/>
      </c>
      <c r="N1123" s="29" t="str">
        <f>IFERROR(__xludf.DUMMYFUNCTION("IF(ISBLANK(B1123),"""",IF(ISDATE(B1123),TEXT(B1123,""yyyy""),""""))"),"")</f>
        <v/>
      </c>
    </row>
    <row r="1124">
      <c r="B1124" s="89"/>
      <c r="C1124" s="86"/>
      <c r="D1124" s="71"/>
      <c r="H1124" s="90"/>
      <c r="J1124" s="53" t="str">
        <f>IFERROR(__xludf.DUMMYFUNCTION("IF(ISBLANK(B1124),"""",IF(ISDATE(B1124),""X"",""""))"),"")</f>
        <v/>
      </c>
      <c r="K1124" s="40" t="str">
        <f>IFERROR(__xludf.DUMMYFUNCTION("IF(ISBLANK(B1124),"""",IF(ISDATE(B1124),H1124,""""))"),"")</f>
        <v/>
      </c>
      <c r="L1124" s="40" t="str">
        <f>IFERROR(__xludf.DUMMYFUNCTION("IF(ISBLANK(B1124),"""",IF(ISDATE(B1124),TEXT(B1124,""M""),""""))"),"")</f>
        <v/>
      </c>
      <c r="M1124" s="29" t="str">
        <f>IFERROR(__xludf.DUMMYFUNCTION("IF(L1124="""","""",QUERY({'Dashboard-Dados'!$Y$2:$AA$13},""Select Col2 Where Col1=""&amp;L1124))"),"")</f>
        <v/>
      </c>
      <c r="N1124" s="29" t="str">
        <f>IFERROR(__xludf.DUMMYFUNCTION("IF(ISBLANK(B1124),"""",IF(ISDATE(B1124),TEXT(B1124,""yyyy""),""""))"),"")</f>
        <v/>
      </c>
    </row>
    <row r="1125">
      <c r="B1125" s="87"/>
      <c r="C1125" s="85"/>
      <c r="D1125" s="76"/>
      <c r="H1125" s="88"/>
      <c r="J1125" s="53" t="str">
        <f>IFERROR(__xludf.DUMMYFUNCTION("IF(ISBLANK(B1125),"""",IF(ISDATE(B1125),""X"",""""))"),"")</f>
        <v/>
      </c>
      <c r="K1125" s="40" t="str">
        <f>IFERROR(__xludf.DUMMYFUNCTION("IF(ISBLANK(B1125),"""",IF(ISDATE(B1125),H1125,""""))"),"")</f>
        <v/>
      </c>
      <c r="L1125" s="40" t="str">
        <f>IFERROR(__xludf.DUMMYFUNCTION("IF(ISBLANK(B1125),"""",IF(ISDATE(B1125),TEXT(B1125,""M""),""""))"),"")</f>
        <v/>
      </c>
      <c r="M1125" s="29" t="str">
        <f>IFERROR(__xludf.DUMMYFUNCTION("IF(L1125="""","""",QUERY({'Dashboard-Dados'!$Y$2:$AA$13},""Select Col2 Where Col1=""&amp;L1125))"),"")</f>
        <v/>
      </c>
      <c r="N1125" s="29" t="str">
        <f>IFERROR(__xludf.DUMMYFUNCTION("IF(ISBLANK(B1125),"""",IF(ISDATE(B1125),TEXT(B1125,""yyyy""),""""))"),"")</f>
        <v/>
      </c>
    </row>
    <row r="1126">
      <c r="B1126" s="89"/>
      <c r="C1126" s="86"/>
      <c r="D1126" s="71"/>
      <c r="H1126" s="90"/>
      <c r="J1126" s="53" t="str">
        <f>IFERROR(__xludf.DUMMYFUNCTION("IF(ISBLANK(B1126),"""",IF(ISDATE(B1126),""X"",""""))"),"")</f>
        <v/>
      </c>
      <c r="K1126" s="40" t="str">
        <f>IFERROR(__xludf.DUMMYFUNCTION("IF(ISBLANK(B1126),"""",IF(ISDATE(B1126),H1126,""""))"),"")</f>
        <v/>
      </c>
      <c r="L1126" s="40" t="str">
        <f>IFERROR(__xludf.DUMMYFUNCTION("IF(ISBLANK(B1126),"""",IF(ISDATE(B1126),TEXT(B1126,""M""),""""))"),"")</f>
        <v/>
      </c>
      <c r="M1126" s="29" t="str">
        <f>IFERROR(__xludf.DUMMYFUNCTION("IF(L1126="""","""",QUERY({'Dashboard-Dados'!$Y$2:$AA$13},""Select Col2 Where Col1=""&amp;L1126))"),"")</f>
        <v/>
      </c>
      <c r="N1126" s="29" t="str">
        <f>IFERROR(__xludf.DUMMYFUNCTION("IF(ISBLANK(B1126),"""",IF(ISDATE(B1126),TEXT(B1126,""yyyy""),""""))"),"")</f>
        <v/>
      </c>
    </row>
    <row r="1127">
      <c r="B1127" s="87"/>
      <c r="C1127" s="85"/>
      <c r="D1127" s="76"/>
      <c r="H1127" s="88"/>
      <c r="J1127" s="53" t="str">
        <f>IFERROR(__xludf.DUMMYFUNCTION("IF(ISBLANK(B1127),"""",IF(ISDATE(B1127),""X"",""""))"),"")</f>
        <v/>
      </c>
      <c r="K1127" s="40" t="str">
        <f>IFERROR(__xludf.DUMMYFUNCTION("IF(ISBLANK(B1127),"""",IF(ISDATE(B1127),H1127,""""))"),"")</f>
        <v/>
      </c>
      <c r="L1127" s="40" t="str">
        <f>IFERROR(__xludf.DUMMYFUNCTION("IF(ISBLANK(B1127),"""",IF(ISDATE(B1127),TEXT(B1127,""M""),""""))"),"")</f>
        <v/>
      </c>
      <c r="M1127" s="29" t="str">
        <f>IFERROR(__xludf.DUMMYFUNCTION("IF(L1127="""","""",QUERY({'Dashboard-Dados'!$Y$2:$AA$13},""Select Col2 Where Col1=""&amp;L1127))"),"")</f>
        <v/>
      </c>
      <c r="N1127" s="29" t="str">
        <f>IFERROR(__xludf.DUMMYFUNCTION("IF(ISBLANK(B1127),"""",IF(ISDATE(B1127),TEXT(B1127,""yyyy""),""""))"),"")</f>
        <v/>
      </c>
    </row>
    <row r="1128">
      <c r="B1128" s="89"/>
      <c r="C1128" s="86"/>
      <c r="D1128" s="71"/>
      <c r="H1128" s="90"/>
      <c r="J1128" s="53" t="str">
        <f>IFERROR(__xludf.DUMMYFUNCTION("IF(ISBLANK(B1128),"""",IF(ISDATE(B1128),""X"",""""))"),"")</f>
        <v/>
      </c>
      <c r="K1128" s="40" t="str">
        <f>IFERROR(__xludf.DUMMYFUNCTION("IF(ISBLANK(B1128),"""",IF(ISDATE(B1128),H1128,""""))"),"")</f>
        <v/>
      </c>
      <c r="L1128" s="40" t="str">
        <f>IFERROR(__xludf.DUMMYFUNCTION("IF(ISBLANK(B1128),"""",IF(ISDATE(B1128),TEXT(B1128,""M""),""""))"),"")</f>
        <v/>
      </c>
      <c r="M1128" s="29" t="str">
        <f>IFERROR(__xludf.DUMMYFUNCTION("IF(L1128="""","""",QUERY({'Dashboard-Dados'!$Y$2:$AA$13},""Select Col2 Where Col1=""&amp;L1128))"),"")</f>
        <v/>
      </c>
      <c r="N1128" s="29" t="str">
        <f>IFERROR(__xludf.DUMMYFUNCTION("IF(ISBLANK(B1128),"""",IF(ISDATE(B1128),TEXT(B1128,""yyyy""),""""))"),"")</f>
        <v/>
      </c>
    </row>
    <row r="1129">
      <c r="B1129" s="87"/>
      <c r="C1129" s="85"/>
      <c r="D1129" s="76"/>
      <c r="H1129" s="88"/>
      <c r="J1129" s="53" t="str">
        <f>IFERROR(__xludf.DUMMYFUNCTION("IF(ISBLANK(B1129),"""",IF(ISDATE(B1129),""X"",""""))"),"")</f>
        <v/>
      </c>
      <c r="K1129" s="40" t="str">
        <f>IFERROR(__xludf.DUMMYFUNCTION("IF(ISBLANK(B1129),"""",IF(ISDATE(B1129),H1129,""""))"),"")</f>
        <v/>
      </c>
      <c r="L1129" s="40" t="str">
        <f>IFERROR(__xludf.DUMMYFUNCTION("IF(ISBLANK(B1129),"""",IF(ISDATE(B1129),TEXT(B1129,""M""),""""))"),"")</f>
        <v/>
      </c>
      <c r="M1129" s="29" t="str">
        <f>IFERROR(__xludf.DUMMYFUNCTION("IF(L1129="""","""",QUERY({'Dashboard-Dados'!$Y$2:$AA$13},""Select Col2 Where Col1=""&amp;L1129))"),"")</f>
        <v/>
      </c>
      <c r="N1129" s="29" t="str">
        <f>IFERROR(__xludf.DUMMYFUNCTION("IF(ISBLANK(B1129),"""",IF(ISDATE(B1129),TEXT(B1129,""yyyy""),""""))"),"")</f>
        <v/>
      </c>
    </row>
    <row r="1130">
      <c r="B1130" s="89"/>
      <c r="C1130" s="86"/>
      <c r="D1130" s="71"/>
      <c r="H1130" s="90"/>
      <c r="J1130" s="53" t="str">
        <f>IFERROR(__xludf.DUMMYFUNCTION("IF(ISBLANK(B1130),"""",IF(ISDATE(B1130),""X"",""""))"),"")</f>
        <v/>
      </c>
      <c r="K1130" s="40" t="str">
        <f>IFERROR(__xludf.DUMMYFUNCTION("IF(ISBLANK(B1130),"""",IF(ISDATE(B1130),H1130,""""))"),"")</f>
        <v/>
      </c>
      <c r="L1130" s="40" t="str">
        <f>IFERROR(__xludf.DUMMYFUNCTION("IF(ISBLANK(B1130),"""",IF(ISDATE(B1130),TEXT(B1130,""M""),""""))"),"")</f>
        <v/>
      </c>
      <c r="M1130" s="29" t="str">
        <f>IFERROR(__xludf.DUMMYFUNCTION("IF(L1130="""","""",QUERY({'Dashboard-Dados'!$Y$2:$AA$13},""Select Col2 Where Col1=""&amp;L1130))"),"")</f>
        <v/>
      </c>
      <c r="N1130" s="29" t="str">
        <f>IFERROR(__xludf.DUMMYFUNCTION("IF(ISBLANK(B1130),"""",IF(ISDATE(B1130),TEXT(B1130,""yyyy""),""""))"),"")</f>
        <v/>
      </c>
    </row>
    <row r="1131">
      <c r="B1131" s="87"/>
      <c r="C1131" s="85"/>
      <c r="D1131" s="76"/>
      <c r="H1131" s="88"/>
      <c r="J1131" s="53" t="str">
        <f>IFERROR(__xludf.DUMMYFUNCTION("IF(ISBLANK(B1131),"""",IF(ISDATE(B1131),""X"",""""))"),"")</f>
        <v/>
      </c>
      <c r="K1131" s="40" t="str">
        <f>IFERROR(__xludf.DUMMYFUNCTION("IF(ISBLANK(B1131),"""",IF(ISDATE(B1131),H1131,""""))"),"")</f>
        <v/>
      </c>
      <c r="L1131" s="40" t="str">
        <f>IFERROR(__xludf.DUMMYFUNCTION("IF(ISBLANK(B1131),"""",IF(ISDATE(B1131),TEXT(B1131,""M""),""""))"),"")</f>
        <v/>
      </c>
      <c r="M1131" s="29" t="str">
        <f>IFERROR(__xludf.DUMMYFUNCTION("IF(L1131="""","""",QUERY({'Dashboard-Dados'!$Y$2:$AA$13},""Select Col2 Where Col1=""&amp;L1131))"),"")</f>
        <v/>
      </c>
      <c r="N1131" s="29" t="str">
        <f>IFERROR(__xludf.DUMMYFUNCTION("IF(ISBLANK(B1131),"""",IF(ISDATE(B1131),TEXT(B1131,""yyyy""),""""))"),"")</f>
        <v/>
      </c>
    </row>
    <row r="1132">
      <c r="B1132" s="89"/>
      <c r="C1132" s="86"/>
      <c r="D1132" s="71"/>
      <c r="H1132" s="90"/>
      <c r="J1132" s="53" t="str">
        <f>IFERROR(__xludf.DUMMYFUNCTION("IF(ISBLANK(B1132),"""",IF(ISDATE(B1132),""X"",""""))"),"")</f>
        <v/>
      </c>
      <c r="K1132" s="40" t="str">
        <f>IFERROR(__xludf.DUMMYFUNCTION("IF(ISBLANK(B1132),"""",IF(ISDATE(B1132),H1132,""""))"),"")</f>
        <v/>
      </c>
      <c r="L1132" s="40" t="str">
        <f>IFERROR(__xludf.DUMMYFUNCTION("IF(ISBLANK(B1132),"""",IF(ISDATE(B1132),TEXT(B1132,""M""),""""))"),"")</f>
        <v/>
      </c>
      <c r="M1132" s="29" t="str">
        <f>IFERROR(__xludf.DUMMYFUNCTION("IF(L1132="""","""",QUERY({'Dashboard-Dados'!$Y$2:$AA$13},""Select Col2 Where Col1=""&amp;L1132))"),"")</f>
        <v/>
      </c>
      <c r="N1132" s="29" t="str">
        <f>IFERROR(__xludf.DUMMYFUNCTION("IF(ISBLANK(B1132),"""",IF(ISDATE(B1132),TEXT(B1132,""yyyy""),""""))"),"")</f>
        <v/>
      </c>
    </row>
    <row r="1133">
      <c r="B1133" s="87"/>
      <c r="C1133" s="85"/>
      <c r="D1133" s="76"/>
      <c r="H1133" s="88"/>
      <c r="J1133" s="53" t="str">
        <f>IFERROR(__xludf.DUMMYFUNCTION("IF(ISBLANK(B1133),"""",IF(ISDATE(B1133),""X"",""""))"),"")</f>
        <v/>
      </c>
      <c r="K1133" s="40" t="str">
        <f>IFERROR(__xludf.DUMMYFUNCTION("IF(ISBLANK(B1133),"""",IF(ISDATE(B1133),H1133,""""))"),"")</f>
        <v/>
      </c>
      <c r="L1133" s="40" t="str">
        <f>IFERROR(__xludf.DUMMYFUNCTION("IF(ISBLANK(B1133),"""",IF(ISDATE(B1133),TEXT(B1133,""M""),""""))"),"")</f>
        <v/>
      </c>
      <c r="M1133" s="29" t="str">
        <f>IFERROR(__xludf.DUMMYFUNCTION("IF(L1133="""","""",QUERY({'Dashboard-Dados'!$Y$2:$AA$13},""Select Col2 Where Col1=""&amp;L1133))"),"")</f>
        <v/>
      </c>
      <c r="N1133" s="29" t="str">
        <f>IFERROR(__xludf.DUMMYFUNCTION("IF(ISBLANK(B1133),"""",IF(ISDATE(B1133),TEXT(B1133,""yyyy""),""""))"),"")</f>
        <v/>
      </c>
    </row>
    <row r="1134">
      <c r="B1134" s="89"/>
      <c r="C1134" s="86"/>
      <c r="D1134" s="71"/>
      <c r="H1134" s="90"/>
      <c r="J1134" s="53" t="str">
        <f>IFERROR(__xludf.DUMMYFUNCTION("IF(ISBLANK(B1134),"""",IF(ISDATE(B1134),""X"",""""))"),"")</f>
        <v/>
      </c>
      <c r="K1134" s="40" t="str">
        <f>IFERROR(__xludf.DUMMYFUNCTION("IF(ISBLANK(B1134),"""",IF(ISDATE(B1134),H1134,""""))"),"")</f>
        <v/>
      </c>
      <c r="L1134" s="40" t="str">
        <f>IFERROR(__xludf.DUMMYFUNCTION("IF(ISBLANK(B1134),"""",IF(ISDATE(B1134),TEXT(B1134,""M""),""""))"),"")</f>
        <v/>
      </c>
      <c r="M1134" s="29" t="str">
        <f>IFERROR(__xludf.DUMMYFUNCTION("IF(L1134="""","""",QUERY({'Dashboard-Dados'!$Y$2:$AA$13},""Select Col2 Where Col1=""&amp;L1134))"),"")</f>
        <v/>
      </c>
      <c r="N1134" s="29" t="str">
        <f>IFERROR(__xludf.DUMMYFUNCTION("IF(ISBLANK(B1134),"""",IF(ISDATE(B1134),TEXT(B1134,""yyyy""),""""))"),"")</f>
        <v/>
      </c>
    </row>
    <row r="1135">
      <c r="B1135" s="87"/>
      <c r="C1135" s="85"/>
      <c r="D1135" s="76"/>
      <c r="H1135" s="88"/>
      <c r="J1135" s="53" t="str">
        <f>IFERROR(__xludf.DUMMYFUNCTION("IF(ISBLANK(B1135),"""",IF(ISDATE(B1135),""X"",""""))"),"")</f>
        <v/>
      </c>
      <c r="K1135" s="40" t="str">
        <f>IFERROR(__xludf.DUMMYFUNCTION("IF(ISBLANK(B1135),"""",IF(ISDATE(B1135),H1135,""""))"),"")</f>
        <v/>
      </c>
      <c r="L1135" s="40" t="str">
        <f>IFERROR(__xludf.DUMMYFUNCTION("IF(ISBLANK(B1135),"""",IF(ISDATE(B1135),TEXT(B1135,""M""),""""))"),"")</f>
        <v/>
      </c>
      <c r="M1135" s="29" t="str">
        <f>IFERROR(__xludf.DUMMYFUNCTION("IF(L1135="""","""",QUERY({'Dashboard-Dados'!$Y$2:$AA$13},""Select Col2 Where Col1=""&amp;L1135))"),"")</f>
        <v/>
      </c>
      <c r="N1135" s="29" t="str">
        <f>IFERROR(__xludf.DUMMYFUNCTION("IF(ISBLANK(B1135),"""",IF(ISDATE(B1135),TEXT(B1135,""yyyy""),""""))"),"")</f>
        <v/>
      </c>
    </row>
    <row r="1136">
      <c r="B1136" s="89"/>
      <c r="C1136" s="86"/>
      <c r="D1136" s="71"/>
      <c r="H1136" s="90"/>
      <c r="J1136" s="53" t="str">
        <f>IFERROR(__xludf.DUMMYFUNCTION("IF(ISBLANK(B1136),"""",IF(ISDATE(B1136),""X"",""""))"),"")</f>
        <v/>
      </c>
      <c r="K1136" s="40" t="str">
        <f>IFERROR(__xludf.DUMMYFUNCTION("IF(ISBLANK(B1136),"""",IF(ISDATE(B1136),H1136,""""))"),"")</f>
        <v/>
      </c>
      <c r="L1136" s="40" t="str">
        <f>IFERROR(__xludf.DUMMYFUNCTION("IF(ISBLANK(B1136),"""",IF(ISDATE(B1136),TEXT(B1136,""M""),""""))"),"")</f>
        <v/>
      </c>
      <c r="M1136" s="29" t="str">
        <f>IFERROR(__xludf.DUMMYFUNCTION("IF(L1136="""","""",QUERY({'Dashboard-Dados'!$Y$2:$AA$13},""Select Col2 Where Col1=""&amp;L1136))"),"")</f>
        <v/>
      </c>
      <c r="N1136" s="29" t="str">
        <f>IFERROR(__xludf.DUMMYFUNCTION("IF(ISBLANK(B1136),"""",IF(ISDATE(B1136),TEXT(B1136,""yyyy""),""""))"),"")</f>
        <v/>
      </c>
    </row>
    <row r="1137">
      <c r="B1137" s="87"/>
      <c r="C1137" s="85"/>
      <c r="D1137" s="76"/>
      <c r="H1137" s="88"/>
      <c r="J1137" s="53" t="str">
        <f>IFERROR(__xludf.DUMMYFUNCTION("IF(ISBLANK(B1137),"""",IF(ISDATE(B1137),""X"",""""))"),"")</f>
        <v/>
      </c>
      <c r="K1137" s="40" t="str">
        <f>IFERROR(__xludf.DUMMYFUNCTION("IF(ISBLANK(B1137),"""",IF(ISDATE(B1137),H1137,""""))"),"")</f>
        <v/>
      </c>
      <c r="L1137" s="40" t="str">
        <f>IFERROR(__xludf.DUMMYFUNCTION("IF(ISBLANK(B1137),"""",IF(ISDATE(B1137),TEXT(B1137,""M""),""""))"),"")</f>
        <v/>
      </c>
      <c r="M1137" s="29" t="str">
        <f>IFERROR(__xludf.DUMMYFUNCTION("IF(L1137="""","""",QUERY({'Dashboard-Dados'!$Y$2:$AA$13},""Select Col2 Where Col1=""&amp;L1137))"),"")</f>
        <v/>
      </c>
      <c r="N1137" s="29" t="str">
        <f>IFERROR(__xludf.DUMMYFUNCTION("IF(ISBLANK(B1137),"""",IF(ISDATE(B1137),TEXT(B1137,""yyyy""),""""))"),"")</f>
        <v/>
      </c>
    </row>
    <row r="1138">
      <c r="B1138" s="89"/>
      <c r="C1138" s="86"/>
      <c r="D1138" s="71"/>
      <c r="H1138" s="90"/>
      <c r="J1138" s="53" t="str">
        <f>IFERROR(__xludf.DUMMYFUNCTION("IF(ISBLANK(B1138),"""",IF(ISDATE(B1138),""X"",""""))"),"")</f>
        <v/>
      </c>
      <c r="K1138" s="40" t="str">
        <f>IFERROR(__xludf.DUMMYFUNCTION("IF(ISBLANK(B1138),"""",IF(ISDATE(B1138),H1138,""""))"),"")</f>
        <v/>
      </c>
      <c r="L1138" s="40" t="str">
        <f>IFERROR(__xludf.DUMMYFUNCTION("IF(ISBLANK(B1138),"""",IF(ISDATE(B1138),TEXT(B1138,""M""),""""))"),"")</f>
        <v/>
      </c>
      <c r="M1138" s="29" t="str">
        <f>IFERROR(__xludf.DUMMYFUNCTION("IF(L1138="""","""",QUERY({'Dashboard-Dados'!$Y$2:$AA$13},""Select Col2 Where Col1=""&amp;L1138))"),"")</f>
        <v/>
      </c>
      <c r="N1138" s="29" t="str">
        <f>IFERROR(__xludf.DUMMYFUNCTION("IF(ISBLANK(B1138),"""",IF(ISDATE(B1138),TEXT(B1138,""yyyy""),""""))"),"")</f>
        <v/>
      </c>
    </row>
    <row r="1139">
      <c r="B1139" s="87"/>
      <c r="C1139" s="85"/>
      <c r="D1139" s="76"/>
      <c r="H1139" s="88"/>
      <c r="J1139" s="53" t="str">
        <f>IFERROR(__xludf.DUMMYFUNCTION("IF(ISBLANK(B1139),"""",IF(ISDATE(B1139),""X"",""""))"),"")</f>
        <v/>
      </c>
      <c r="K1139" s="40" t="str">
        <f>IFERROR(__xludf.DUMMYFUNCTION("IF(ISBLANK(B1139),"""",IF(ISDATE(B1139),H1139,""""))"),"")</f>
        <v/>
      </c>
      <c r="L1139" s="40" t="str">
        <f>IFERROR(__xludf.DUMMYFUNCTION("IF(ISBLANK(B1139),"""",IF(ISDATE(B1139),TEXT(B1139,""M""),""""))"),"")</f>
        <v/>
      </c>
      <c r="M1139" s="29" t="str">
        <f>IFERROR(__xludf.DUMMYFUNCTION("IF(L1139="""","""",QUERY({'Dashboard-Dados'!$Y$2:$AA$13},""Select Col2 Where Col1=""&amp;L1139))"),"")</f>
        <v/>
      </c>
      <c r="N1139" s="29" t="str">
        <f>IFERROR(__xludf.DUMMYFUNCTION("IF(ISBLANK(B1139),"""",IF(ISDATE(B1139),TEXT(B1139,""yyyy""),""""))"),"")</f>
        <v/>
      </c>
    </row>
    <row r="1140">
      <c r="B1140" s="89"/>
      <c r="C1140" s="86"/>
      <c r="D1140" s="71"/>
      <c r="H1140" s="90"/>
      <c r="J1140" s="53" t="str">
        <f>IFERROR(__xludf.DUMMYFUNCTION("IF(ISBLANK(B1140),"""",IF(ISDATE(B1140),""X"",""""))"),"")</f>
        <v/>
      </c>
      <c r="K1140" s="40" t="str">
        <f>IFERROR(__xludf.DUMMYFUNCTION("IF(ISBLANK(B1140),"""",IF(ISDATE(B1140),H1140,""""))"),"")</f>
        <v/>
      </c>
      <c r="L1140" s="40" t="str">
        <f>IFERROR(__xludf.DUMMYFUNCTION("IF(ISBLANK(B1140),"""",IF(ISDATE(B1140),TEXT(B1140,""M""),""""))"),"")</f>
        <v/>
      </c>
      <c r="M1140" s="29" t="str">
        <f>IFERROR(__xludf.DUMMYFUNCTION("IF(L1140="""","""",QUERY({'Dashboard-Dados'!$Y$2:$AA$13},""Select Col2 Where Col1=""&amp;L1140))"),"")</f>
        <v/>
      </c>
      <c r="N1140" s="29" t="str">
        <f>IFERROR(__xludf.DUMMYFUNCTION("IF(ISBLANK(B1140),"""",IF(ISDATE(B1140),TEXT(B1140,""yyyy""),""""))"),"")</f>
        <v/>
      </c>
    </row>
    <row r="1141">
      <c r="B1141" s="87"/>
      <c r="C1141" s="85"/>
      <c r="D1141" s="76"/>
      <c r="H1141" s="88"/>
      <c r="J1141" s="53" t="str">
        <f>IFERROR(__xludf.DUMMYFUNCTION("IF(ISBLANK(B1141),"""",IF(ISDATE(B1141),""X"",""""))"),"")</f>
        <v/>
      </c>
      <c r="K1141" s="40" t="str">
        <f>IFERROR(__xludf.DUMMYFUNCTION("IF(ISBLANK(B1141),"""",IF(ISDATE(B1141),H1141,""""))"),"")</f>
        <v/>
      </c>
      <c r="L1141" s="40" t="str">
        <f>IFERROR(__xludf.DUMMYFUNCTION("IF(ISBLANK(B1141),"""",IF(ISDATE(B1141),TEXT(B1141,""M""),""""))"),"")</f>
        <v/>
      </c>
      <c r="M1141" s="29" t="str">
        <f>IFERROR(__xludf.DUMMYFUNCTION("IF(L1141="""","""",QUERY({'Dashboard-Dados'!$Y$2:$AA$13},""Select Col2 Where Col1=""&amp;L1141))"),"")</f>
        <v/>
      </c>
      <c r="N1141" s="29" t="str">
        <f>IFERROR(__xludf.DUMMYFUNCTION("IF(ISBLANK(B1141),"""",IF(ISDATE(B1141),TEXT(B1141,""yyyy""),""""))"),"")</f>
        <v/>
      </c>
    </row>
    <row r="1142">
      <c r="B1142" s="89"/>
      <c r="C1142" s="86"/>
      <c r="D1142" s="71"/>
      <c r="H1142" s="90"/>
      <c r="J1142" s="53" t="str">
        <f>IFERROR(__xludf.DUMMYFUNCTION("IF(ISBLANK(B1142),"""",IF(ISDATE(B1142),""X"",""""))"),"")</f>
        <v/>
      </c>
      <c r="K1142" s="40" t="str">
        <f>IFERROR(__xludf.DUMMYFUNCTION("IF(ISBLANK(B1142),"""",IF(ISDATE(B1142),H1142,""""))"),"")</f>
        <v/>
      </c>
      <c r="L1142" s="40" t="str">
        <f>IFERROR(__xludf.DUMMYFUNCTION("IF(ISBLANK(B1142),"""",IF(ISDATE(B1142),TEXT(B1142,""M""),""""))"),"")</f>
        <v/>
      </c>
      <c r="M1142" s="29" t="str">
        <f>IFERROR(__xludf.DUMMYFUNCTION("IF(L1142="""","""",QUERY({'Dashboard-Dados'!$Y$2:$AA$13},""Select Col2 Where Col1=""&amp;L1142))"),"")</f>
        <v/>
      </c>
      <c r="N1142" s="29" t="str">
        <f>IFERROR(__xludf.DUMMYFUNCTION("IF(ISBLANK(B1142),"""",IF(ISDATE(B1142),TEXT(B1142,""yyyy""),""""))"),"")</f>
        <v/>
      </c>
    </row>
    <row r="1143">
      <c r="B1143" s="87"/>
      <c r="C1143" s="85"/>
      <c r="D1143" s="76"/>
      <c r="H1143" s="88"/>
      <c r="J1143" s="53" t="str">
        <f>IFERROR(__xludf.DUMMYFUNCTION("IF(ISBLANK(B1143),"""",IF(ISDATE(B1143),""X"",""""))"),"")</f>
        <v/>
      </c>
      <c r="K1143" s="40" t="str">
        <f>IFERROR(__xludf.DUMMYFUNCTION("IF(ISBLANK(B1143),"""",IF(ISDATE(B1143),H1143,""""))"),"")</f>
        <v/>
      </c>
      <c r="L1143" s="40" t="str">
        <f>IFERROR(__xludf.DUMMYFUNCTION("IF(ISBLANK(B1143),"""",IF(ISDATE(B1143),TEXT(B1143,""M""),""""))"),"")</f>
        <v/>
      </c>
      <c r="M1143" s="29" t="str">
        <f>IFERROR(__xludf.DUMMYFUNCTION("IF(L1143="""","""",QUERY({'Dashboard-Dados'!$Y$2:$AA$13},""Select Col2 Where Col1=""&amp;L1143))"),"")</f>
        <v/>
      </c>
      <c r="N1143" s="29" t="str">
        <f>IFERROR(__xludf.DUMMYFUNCTION("IF(ISBLANK(B1143),"""",IF(ISDATE(B1143),TEXT(B1143,""yyyy""),""""))"),"")</f>
        <v/>
      </c>
    </row>
    <row r="1144">
      <c r="B1144" s="89"/>
      <c r="C1144" s="86"/>
      <c r="D1144" s="71"/>
      <c r="H1144" s="90"/>
      <c r="J1144" s="53" t="str">
        <f>IFERROR(__xludf.DUMMYFUNCTION("IF(ISBLANK(B1144),"""",IF(ISDATE(B1144),""X"",""""))"),"")</f>
        <v/>
      </c>
      <c r="K1144" s="40" t="str">
        <f>IFERROR(__xludf.DUMMYFUNCTION("IF(ISBLANK(B1144),"""",IF(ISDATE(B1144),H1144,""""))"),"")</f>
        <v/>
      </c>
      <c r="L1144" s="40" t="str">
        <f>IFERROR(__xludf.DUMMYFUNCTION("IF(ISBLANK(B1144),"""",IF(ISDATE(B1144),TEXT(B1144,""M""),""""))"),"")</f>
        <v/>
      </c>
      <c r="M1144" s="29" t="str">
        <f>IFERROR(__xludf.DUMMYFUNCTION("IF(L1144="""","""",QUERY({'Dashboard-Dados'!$Y$2:$AA$13},""Select Col2 Where Col1=""&amp;L1144))"),"")</f>
        <v/>
      </c>
      <c r="N1144" s="29" t="str">
        <f>IFERROR(__xludf.DUMMYFUNCTION("IF(ISBLANK(B1144),"""",IF(ISDATE(B1144),TEXT(B1144,""yyyy""),""""))"),"")</f>
        <v/>
      </c>
    </row>
    <row r="1145">
      <c r="B1145" s="87"/>
      <c r="C1145" s="85"/>
      <c r="D1145" s="76"/>
      <c r="H1145" s="88"/>
      <c r="J1145" s="53" t="str">
        <f>IFERROR(__xludf.DUMMYFUNCTION("IF(ISBLANK(B1145),"""",IF(ISDATE(B1145),""X"",""""))"),"")</f>
        <v/>
      </c>
      <c r="K1145" s="40" t="str">
        <f>IFERROR(__xludf.DUMMYFUNCTION("IF(ISBLANK(B1145),"""",IF(ISDATE(B1145),H1145,""""))"),"")</f>
        <v/>
      </c>
      <c r="L1145" s="40" t="str">
        <f>IFERROR(__xludf.DUMMYFUNCTION("IF(ISBLANK(B1145),"""",IF(ISDATE(B1145),TEXT(B1145,""M""),""""))"),"")</f>
        <v/>
      </c>
      <c r="M1145" s="29" t="str">
        <f>IFERROR(__xludf.DUMMYFUNCTION("IF(L1145="""","""",QUERY({'Dashboard-Dados'!$Y$2:$AA$13},""Select Col2 Where Col1=""&amp;L1145))"),"")</f>
        <v/>
      </c>
      <c r="N1145" s="29" t="str">
        <f>IFERROR(__xludf.DUMMYFUNCTION("IF(ISBLANK(B1145),"""",IF(ISDATE(B1145),TEXT(B1145,""yyyy""),""""))"),"")</f>
        <v/>
      </c>
    </row>
    <row r="1146">
      <c r="B1146" s="89"/>
      <c r="C1146" s="86"/>
      <c r="D1146" s="71"/>
      <c r="H1146" s="90"/>
      <c r="J1146" s="53" t="str">
        <f>IFERROR(__xludf.DUMMYFUNCTION("IF(ISBLANK(B1146),"""",IF(ISDATE(B1146),""X"",""""))"),"")</f>
        <v/>
      </c>
      <c r="K1146" s="40" t="str">
        <f>IFERROR(__xludf.DUMMYFUNCTION("IF(ISBLANK(B1146),"""",IF(ISDATE(B1146),H1146,""""))"),"")</f>
        <v/>
      </c>
      <c r="L1146" s="40" t="str">
        <f>IFERROR(__xludf.DUMMYFUNCTION("IF(ISBLANK(B1146),"""",IF(ISDATE(B1146),TEXT(B1146,""M""),""""))"),"")</f>
        <v/>
      </c>
      <c r="M1146" s="29" t="str">
        <f>IFERROR(__xludf.DUMMYFUNCTION("IF(L1146="""","""",QUERY({'Dashboard-Dados'!$Y$2:$AA$13},""Select Col2 Where Col1=""&amp;L1146))"),"")</f>
        <v/>
      </c>
      <c r="N1146" s="29" t="str">
        <f>IFERROR(__xludf.DUMMYFUNCTION("IF(ISBLANK(B1146),"""",IF(ISDATE(B1146),TEXT(B1146,""yyyy""),""""))"),"")</f>
        <v/>
      </c>
    </row>
    <row r="1147">
      <c r="B1147" s="87"/>
      <c r="C1147" s="85"/>
      <c r="D1147" s="76"/>
      <c r="H1147" s="88"/>
      <c r="J1147" s="53" t="str">
        <f>IFERROR(__xludf.DUMMYFUNCTION("IF(ISBLANK(B1147),"""",IF(ISDATE(B1147),""X"",""""))"),"")</f>
        <v/>
      </c>
      <c r="K1147" s="40" t="str">
        <f>IFERROR(__xludf.DUMMYFUNCTION("IF(ISBLANK(B1147),"""",IF(ISDATE(B1147),H1147,""""))"),"")</f>
        <v/>
      </c>
      <c r="L1147" s="40" t="str">
        <f>IFERROR(__xludf.DUMMYFUNCTION("IF(ISBLANK(B1147),"""",IF(ISDATE(B1147),TEXT(B1147,""M""),""""))"),"")</f>
        <v/>
      </c>
      <c r="M1147" s="29" t="str">
        <f>IFERROR(__xludf.DUMMYFUNCTION("IF(L1147="""","""",QUERY({'Dashboard-Dados'!$Y$2:$AA$13},""Select Col2 Where Col1=""&amp;L1147))"),"")</f>
        <v/>
      </c>
      <c r="N1147" s="29" t="str">
        <f>IFERROR(__xludf.DUMMYFUNCTION("IF(ISBLANK(B1147),"""",IF(ISDATE(B1147),TEXT(B1147,""yyyy""),""""))"),"")</f>
        <v/>
      </c>
    </row>
    <row r="1148">
      <c r="B1148" s="89"/>
      <c r="C1148" s="86"/>
      <c r="D1148" s="71"/>
      <c r="H1148" s="90"/>
      <c r="J1148" s="53" t="str">
        <f>IFERROR(__xludf.DUMMYFUNCTION("IF(ISBLANK(B1148),"""",IF(ISDATE(B1148),""X"",""""))"),"")</f>
        <v/>
      </c>
      <c r="K1148" s="40" t="str">
        <f>IFERROR(__xludf.DUMMYFUNCTION("IF(ISBLANK(B1148),"""",IF(ISDATE(B1148),H1148,""""))"),"")</f>
        <v/>
      </c>
      <c r="L1148" s="40" t="str">
        <f>IFERROR(__xludf.DUMMYFUNCTION("IF(ISBLANK(B1148),"""",IF(ISDATE(B1148),TEXT(B1148,""M""),""""))"),"")</f>
        <v/>
      </c>
      <c r="M1148" s="29" t="str">
        <f>IFERROR(__xludf.DUMMYFUNCTION("IF(L1148="""","""",QUERY({'Dashboard-Dados'!$Y$2:$AA$13},""Select Col2 Where Col1=""&amp;L1148))"),"")</f>
        <v/>
      </c>
      <c r="N1148" s="29" t="str">
        <f>IFERROR(__xludf.DUMMYFUNCTION("IF(ISBLANK(B1148),"""",IF(ISDATE(B1148),TEXT(B1148,""yyyy""),""""))"),"")</f>
        <v/>
      </c>
    </row>
    <row r="1149">
      <c r="B1149" s="87"/>
      <c r="C1149" s="85"/>
      <c r="D1149" s="76"/>
      <c r="H1149" s="88"/>
      <c r="J1149" s="53" t="str">
        <f>IFERROR(__xludf.DUMMYFUNCTION("IF(ISBLANK(B1149),"""",IF(ISDATE(B1149),""X"",""""))"),"")</f>
        <v/>
      </c>
      <c r="K1149" s="40" t="str">
        <f>IFERROR(__xludf.DUMMYFUNCTION("IF(ISBLANK(B1149),"""",IF(ISDATE(B1149),H1149,""""))"),"")</f>
        <v/>
      </c>
      <c r="L1149" s="40" t="str">
        <f>IFERROR(__xludf.DUMMYFUNCTION("IF(ISBLANK(B1149),"""",IF(ISDATE(B1149),TEXT(B1149,""M""),""""))"),"")</f>
        <v/>
      </c>
      <c r="M1149" s="29" t="str">
        <f>IFERROR(__xludf.DUMMYFUNCTION("IF(L1149="""","""",QUERY({'Dashboard-Dados'!$Y$2:$AA$13},""Select Col2 Where Col1=""&amp;L1149))"),"")</f>
        <v/>
      </c>
      <c r="N1149" s="29" t="str">
        <f>IFERROR(__xludf.DUMMYFUNCTION("IF(ISBLANK(B1149),"""",IF(ISDATE(B1149),TEXT(B1149,""yyyy""),""""))"),"")</f>
        <v/>
      </c>
    </row>
    <row r="1150">
      <c r="B1150" s="89"/>
      <c r="C1150" s="86"/>
      <c r="D1150" s="71"/>
      <c r="H1150" s="90"/>
      <c r="J1150" s="53" t="str">
        <f>IFERROR(__xludf.DUMMYFUNCTION("IF(ISBLANK(B1150),"""",IF(ISDATE(B1150),""X"",""""))"),"")</f>
        <v/>
      </c>
      <c r="K1150" s="40" t="str">
        <f>IFERROR(__xludf.DUMMYFUNCTION("IF(ISBLANK(B1150),"""",IF(ISDATE(B1150),H1150,""""))"),"")</f>
        <v/>
      </c>
      <c r="L1150" s="40" t="str">
        <f>IFERROR(__xludf.DUMMYFUNCTION("IF(ISBLANK(B1150),"""",IF(ISDATE(B1150),TEXT(B1150,""M""),""""))"),"")</f>
        <v/>
      </c>
      <c r="M1150" s="29" t="str">
        <f>IFERROR(__xludf.DUMMYFUNCTION("IF(L1150="""","""",QUERY({'Dashboard-Dados'!$Y$2:$AA$13},""Select Col2 Where Col1=""&amp;L1150))"),"")</f>
        <v/>
      </c>
      <c r="N1150" s="29" t="str">
        <f>IFERROR(__xludf.DUMMYFUNCTION("IF(ISBLANK(B1150),"""",IF(ISDATE(B1150),TEXT(B1150,""yyyy""),""""))"),"")</f>
        <v/>
      </c>
    </row>
    <row r="1151">
      <c r="B1151" s="87"/>
      <c r="C1151" s="85"/>
      <c r="D1151" s="76"/>
      <c r="H1151" s="88"/>
      <c r="J1151" s="53" t="str">
        <f>IFERROR(__xludf.DUMMYFUNCTION("IF(ISBLANK(B1151),"""",IF(ISDATE(B1151),""X"",""""))"),"")</f>
        <v/>
      </c>
      <c r="K1151" s="40" t="str">
        <f>IFERROR(__xludf.DUMMYFUNCTION("IF(ISBLANK(B1151),"""",IF(ISDATE(B1151),H1151,""""))"),"")</f>
        <v/>
      </c>
      <c r="L1151" s="40" t="str">
        <f>IFERROR(__xludf.DUMMYFUNCTION("IF(ISBLANK(B1151),"""",IF(ISDATE(B1151),TEXT(B1151,""M""),""""))"),"")</f>
        <v/>
      </c>
      <c r="M1151" s="29" t="str">
        <f>IFERROR(__xludf.DUMMYFUNCTION("IF(L1151="""","""",QUERY({'Dashboard-Dados'!$Y$2:$AA$13},""Select Col2 Where Col1=""&amp;L1151))"),"")</f>
        <v/>
      </c>
      <c r="N1151" s="29" t="str">
        <f>IFERROR(__xludf.DUMMYFUNCTION("IF(ISBLANK(B1151),"""",IF(ISDATE(B1151),TEXT(B1151,""yyyy""),""""))"),"")</f>
        <v/>
      </c>
    </row>
    <row r="1152">
      <c r="B1152" s="89"/>
      <c r="C1152" s="86"/>
      <c r="D1152" s="71"/>
      <c r="H1152" s="90"/>
      <c r="J1152" s="53" t="str">
        <f>IFERROR(__xludf.DUMMYFUNCTION("IF(ISBLANK(B1152),"""",IF(ISDATE(B1152),""X"",""""))"),"")</f>
        <v/>
      </c>
      <c r="K1152" s="40" t="str">
        <f>IFERROR(__xludf.DUMMYFUNCTION("IF(ISBLANK(B1152),"""",IF(ISDATE(B1152),H1152,""""))"),"")</f>
        <v/>
      </c>
      <c r="L1152" s="40" t="str">
        <f>IFERROR(__xludf.DUMMYFUNCTION("IF(ISBLANK(B1152),"""",IF(ISDATE(B1152),TEXT(B1152,""M""),""""))"),"")</f>
        <v/>
      </c>
      <c r="M1152" s="29" t="str">
        <f>IFERROR(__xludf.DUMMYFUNCTION("IF(L1152="""","""",QUERY({'Dashboard-Dados'!$Y$2:$AA$13},""Select Col2 Where Col1=""&amp;L1152))"),"")</f>
        <v/>
      </c>
      <c r="N1152" s="29" t="str">
        <f>IFERROR(__xludf.DUMMYFUNCTION("IF(ISBLANK(B1152),"""",IF(ISDATE(B1152),TEXT(B1152,""yyyy""),""""))"),"")</f>
        <v/>
      </c>
    </row>
    <row r="1153">
      <c r="B1153" s="87"/>
      <c r="C1153" s="85"/>
      <c r="D1153" s="76"/>
      <c r="H1153" s="88"/>
      <c r="J1153" s="53" t="str">
        <f>IFERROR(__xludf.DUMMYFUNCTION("IF(ISBLANK(B1153),"""",IF(ISDATE(B1153),""X"",""""))"),"")</f>
        <v/>
      </c>
      <c r="K1153" s="40" t="str">
        <f>IFERROR(__xludf.DUMMYFUNCTION("IF(ISBLANK(B1153),"""",IF(ISDATE(B1153),H1153,""""))"),"")</f>
        <v/>
      </c>
      <c r="L1153" s="40" t="str">
        <f>IFERROR(__xludf.DUMMYFUNCTION("IF(ISBLANK(B1153),"""",IF(ISDATE(B1153),TEXT(B1153,""M""),""""))"),"")</f>
        <v/>
      </c>
      <c r="M1153" s="29" t="str">
        <f>IFERROR(__xludf.DUMMYFUNCTION("IF(L1153="""","""",QUERY({'Dashboard-Dados'!$Y$2:$AA$13},""Select Col2 Where Col1=""&amp;L1153))"),"")</f>
        <v/>
      </c>
      <c r="N1153" s="29" t="str">
        <f>IFERROR(__xludf.DUMMYFUNCTION("IF(ISBLANK(B1153),"""",IF(ISDATE(B1153),TEXT(B1153,""yyyy""),""""))"),"")</f>
        <v/>
      </c>
    </row>
    <row r="1154">
      <c r="B1154" s="89"/>
      <c r="C1154" s="86"/>
      <c r="D1154" s="71"/>
      <c r="H1154" s="90"/>
      <c r="J1154" s="53" t="str">
        <f>IFERROR(__xludf.DUMMYFUNCTION("IF(ISBLANK(B1154),"""",IF(ISDATE(B1154),""X"",""""))"),"")</f>
        <v/>
      </c>
      <c r="K1154" s="40" t="str">
        <f>IFERROR(__xludf.DUMMYFUNCTION("IF(ISBLANK(B1154),"""",IF(ISDATE(B1154),H1154,""""))"),"")</f>
        <v/>
      </c>
      <c r="L1154" s="40" t="str">
        <f>IFERROR(__xludf.DUMMYFUNCTION("IF(ISBLANK(B1154),"""",IF(ISDATE(B1154),TEXT(B1154,""M""),""""))"),"")</f>
        <v/>
      </c>
      <c r="M1154" s="29" t="str">
        <f>IFERROR(__xludf.DUMMYFUNCTION("IF(L1154="""","""",QUERY({'Dashboard-Dados'!$Y$2:$AA$13},""Select Col2 Where Col1=""&amp;L1154))"),"")</f>
        <v/>
      </c>
      <c r="N1154" s="29" t="str">
        <f>IFERROR(__xludf.DUMMYFUNCTION("IF(ISBLANK(B1154),"""",IF(ISDATE(B1154),TEXT(B1154,""yyyy""),""""))"),"")</f>
        <v/>
      </c>
    </row>
    <row r="1155">
      <c r="B1155" s="87"/>
      <c r="C1155" s="85"/>
      <c r="D1155" s="76"/>
      <c r="H1155" s="88"/>
      <c r="J1155" s="53" t="str">
        <f>IFERROR(__xludf.DUMMYFUNCTION("IF(ISBLANK(B1155),"""",IF(ISDATE(B1155),""X"",""""))"),"")</f>
        <v/>
      </c>
      <c r="K1155" s="40" t="str">
        <f>IFERROR(__xludf.DUMMYFUNCTION("IF(ISBLANK(B1155),"""",IF(ISDATE(B1155),H1155,""""))"),"")</f>
        <v/>
      </c>
      <c r="L1155" s="40" t="str">
        <f>IFERROR(__xludf.DUMMYFUNCTION("IF(ISBLANK(B1155),"""",IF(ISDATE(B1155),TEXT(B1155,""M""),""""))"),"")</f>
        <v/>
      </c>
      <c r="M1155" s="29" t="str">
        <f>IFERROR(__xludf.DUMMYFUNCTION("IF(L1155="""","""",QUERY({'Dashboard-Dados'!$Y$2:$AA$13},""Select Col2 Where Col1=""&amp;L1155))"),"")</f>
        <v/>
      </c>
      <c r="N1155" s="29" t="str">
        <f>IFERROR(__xludf.DUMMYFUNCTION("IF(ISBLANK(B1155),"""",IF(ISDATE(B1155),TEXT(B1155,""yyyy""),""""))"),"")</f>
        <v/>
      </c>
    </row>
    <row r="1156">
      <c r="B1156" s="89"/>
      <c r="C1156" s="86"/>
      <c r="D1156" s="71"/>
      <c r="H1156" s="90"/>
      <c r="J1156" s="53" t="str">
        <f>IFERROR(__xludf.DUMMYFUNCTION("IF(ISBLANK(B1156),"""",IF(ISDATE(B1156),""X"",""""))"),"")</f>
        <v/>
      </c>
      <c r="K1156" s="40" t="str">
        <f>IFERROR(__xludf.DUMMYFUNCTION("IF(ISBLANK(B1156),"""",IF(ISDATE(B1156),H1156,""""))"),"")</f>
        <v/>
      </c>
      <c r="L1156" s="40" t="str">
        <f>IFERROR(__xludf.DUMMYFUNCTION("IF(ISBLANK(B1156),"""",IF(ISDATE(B1156),TEXT(B1156,""M""),""""))"),"")</f>
        <v/>
      </c>
      <c r="M1156" s="29" t="str">
        <f>IFERROR(__xludf.DUMMYFUNCTION("IF(L1156="""","""",QUERY({'Dashboard-Dados'!$Y$2:$AA$13},""Select Col2 Where Col1=""&amp;L1156))"),"")</f>
        <v/>
      </c>
      <c r="N1156" s="29" t="str">
        <f>IFERROR(__xludf.DUMMYFUNCTION("IF(ISBLANK(B1156),"""",IF(ISDATE(B1156),TEXT(B1156,""yyyy""),""""))"),"")</f>
        <v/>
      </c>
    </row>
    <row r="1157">
      <c r="B1157" s="87"/>
      <c r="C1157" s="85"/>
      <c r="D1157" s="76"/>
      <c r="H1157" s="88"/>
      <c r="J1157" s="53" t="str">
        <f>IFERROR(__xludf.DUMMYFUNCTION("IF(ISBLANK(B1157),"""",IF(ISDATE(B1157),""X"",""""))"),"")</f>
        <v/>
      </c>
      <c r="K1157" s="40" t="str">
        <f>IFERROR(__xludf.DUMMYFUNCTION("IF(ISBLANK(B1157),"""",IF(ISDATE(B1157),H1157,""""))"),"")</f>
        <v/>
      </c>
      <c r="L1157" s="40" t="str">
        <f>IFERROR(__xludf.DUMMYFUNCTION("IF(ISBLANK(B1157),"""",IF(ISDATE(B1157),TEXT(B1157,""M""),""""))"),"")</f>
        <v/>
      </c>
      <c r="M1157" s="29" t="str">
        <f>IFERROR(__xludf.DUMMYFUNCTION("IF(L1157="""","""",QUERY({'Dashboard-Dados'!$Y$2:$AA$13},""Select Col2 Where Col1=""&amp;L1157))"),"")</f>
        <v/>
      </c>
      <c r="N1157" s="29" t="str">
        <f>IFERROR(__xludf.DUMMYFUNCTION("IF(ISBLANK(B1157),"""",IF(ISDATE(B1157),TEXT(B1157,""yyyy""),""""))"),"")</f>
        <v/>
      </c>
    </row>
    <row r="1158">
      <c r="B1158" s="89"/>
      <c r="C1158" s="86"/>
      <c r="D1158" s="71"/>
      <c r="H1158" s="90"/>
      <c r="J1158" s="53" t="str">
        <f>IFERROR(__xludf.DUMMYFUNCTION("IF(ISBLANK(B1158),"""",IF(ISDATE(B1158),""X"",""""))"),"")</f>
        <v/>
      </c>
      <c r="K1158" s="40" t="str">
        <f>IFERROR(__xludf.DUMMYFUNCTION("IF(ISBLANK(B1158),"""",IF(ISDATE(B1158),H1158,""""))"),"")</f>
        <v/>
      </c>
      <c r="L1158" s="40" t="str">
        <f>IFERROR(__xludf.DUMMYFUNCTION("IF(ISBLANK(B1158),"""",IF(ISDATE(B1158),TEXT(B1158,""M""),""""))"),"")</f>
        <v/>
      </c>
      <c r="M1158" s="29" t="str">
        <f>IFERROR(__xludf.DUMMYFUNCTION("IF(L1158="""","""",QUERY({'Dashboard-Dados'!$Y$2:$AA$13},""Select Col2 Where Col1=""&amp;L1158))"),"")</f>
        <v/>
      </c>
      <c r="N1158" s="29" t="str">
        <f>IFERROR(__xludf.DUMMYFUNCTION("IF(ISBLANK(B1158),"""",IF(ISDATE(B1158),TEXT(B1158,""yyyy""),""""))"),"")</f>
        <v/>
      </c>
    </row>
    <row r="1159">
      <c r="B1159" s="87"/>
      <c r="C1159" s="85"/>
      <c r="D1159" s="76"/>
      <c r="H1159" s="88"/>
      <c r="J1159" s="53" t="str">
        <f>IFERROR(__xludf.DUMMYFUNCTION("IF(ISBLANK(B1159),"""",IF(ISDATE(B1159),""X"",""""))"),"")</f>
        <v/>
      </c>
      <c r="K1159" s="40" t="str">
        <f>IFERROR(__xludf.DUMMYFUNCTION("IF(ISBLANK(B1159),"""",IF(ISDATE(B1159),H1159,""""))"),"")</f>
        <v/>
      </c>
      <c r="L1159" s="40" t="str">
        <f>IFERROR(__xludf.DUMMYFUNCTION("IF(ISBLANK(B1159),"""",IF(ISDATE(B1159),TEXT(B1159,""M""),""""))"),"")</f>
        <v/>
      </c>
      <c r="M1159" s="29" t="str">
        <f>IFERROR(__xludf.DUMMYFUNCTION("IF(L1159="""","""",QUERY({'Dashboard-Dados'!$Y$2:$AA$13},""Select Col2 Where Col1=""&amp;L1159))"),"")</f>
        <v/>
      </c>
      <c r="N1159" s="29" t="str">
        <f>IFERROR(__xludf.DUMMYFUNCTION("IF(ISBLANK(B1159),"""",IF(ISDATE(B1159),TEXT(B1159,""yyyy""),""""))"),"")</f>
        <v/>
      </c>
    </row>
    <row r="1160">
      <c r="B1160" s="89"/>
      <c r="C1160" s="86"/>
      <c r="D1160" s="71"/>
      <c r="H1160" s="90"/>
      <c r="J1160" s="53" t="str">
        <f>IFERROR(__xludf.DUMMYFUNCTION("IF(ISBLANK(B1160),"""",IF(ISDATE(B1160),""X"",""""))"),"")</f>
        <v/>
      </c>
      <c r="K1160" s="40" t="str">
        <f>IFERROR(__xludf.DUMMYFUNCTION("IF(ISBLANK(B1160),"""",IF(ISDATE(B1160),H1160,""""))"),"")</f>
        <v/>
      </c>
      <c r="L1160" s="40" t="str">
        <f>IFERROR(__xludf.DUMMYFUNCTION("IF(ISBLANK(B1160),"""",IF(ISDATE(B1160),TEXT(B1160,""M""),""""))"),"")</f>
        <v/>
      </c>
      <c r="M1160" s="29" t="str">
        <f>IFERROR(__xludf.DUMMYFUNCTION("IF(L1160="""","""",QUERY({'Dashboard-Dados'!$Y$2:$AA$13},""Select Col2 Where Col1=""&amp;L1160))"),"")</f>
        <v/>
      </c>
      <c r="N1160" s="29" t="str">
        <f>IFERROR(__xludf.DUMMYFUNCTION("IF(ISBLANK(B1160),"""",IF(ISDATE(B1160),TEXT(B1160,""yyyy""),""""))"),"")</f>
        <v/>
      </c>
    </row>
    <row r="1161">
      <c r="B1161" s="87"/>
      <c r="C1161" s="85"/>
      <c r="D1161" s="76"/>
      <c r="H1161" s="88"/>
      <c r="J1161" s="53" t="str">
        <f>IFERROR(__xludf.DUMMYFUNCTION("IF(ISBLANK(B1161),"""",IF(ISDATE(B1161),""X"",""""))"),"")</f>
        <v/>
      </c>
      <c r="K1161" s="40" t="str">
        <f>IFERROR(__xludf.DUMMYFUNCTION("IF(ISBLANK(B1161),"""",IF(ISDATE(B1161),H1161,""""))"),"")</f>
        <v/>
      </c>
      <c r="L1161" s="40" t="str">
        <f>IFERROR(__xludf.DUMMYFUNCTION("IF(ISBLANK(B1161),"""",IF(ISDATE(B1161),TEXT(B1161,""M""),""""))"),"")</f>
        <v/>
      </c>
      <c r="M1161" s="29" t="str">
        <f>IFERROR(__xludf.DUMMYFUNCTION("IF(L1161="""","""",QUERY({'Dashboard-Dados'!$Y$2:$AA$13},""Select Col2 Where Col1=""&amp;L1161))"),"")</f>
        <v/>
      </c>
      <c r="N1161" s="29" t="str">
        <f>IFERROR(__xludf.DUMMYFUNCTION("IF(ISBLANK(B1161),"""",IF(ISDATE(B1161),TEXT(B1161,""yyyy""),""""))"),"")</f>
        <v/>
      </c>
    </row>
    <row r="1162">
      <c r="B1162" s="89"/>
      <c r="C1162" s="86"/>
      <c r="D1162" s="71"/>
      <c r="H1162" s="90"/>
      <c r="J1162" s="53" t="str">
        <f>IFERROR(__xludf.DUMMYFUNCTION("IF(ISBLANK(B1162),"""",IF(ISDATE(B1162),""X"",""""))"),"")</f>
        <v/>
      </c>
      <c r="K1162" s="40" t="str">
        <f>IFERROR(__xludf.DUMMYFUNCTION("IF(ISBLANK(B1162),"""",IF(ISDATE(B1162),H1162,""""))"),"")</f>
        <v/>
      </c>
      <c r="L1162" s="40" t="str">
        <f>IFERROR(__xludf.DUMMYFUNCTION("IF(ISBLANK(B1162),"""",IF(ISDATE(B1162),TEXT(B1162,""M""),""""))"),"")</f>
        <v/>
      </c>
      <c r="M1162" s="29" t="str">
        <f>IFERROR(__xludf.DUMMYFUNCTION("IF(L1162="""","""",QUERY({'Dashboard-Dados'!$Y$2:$AA$13},""Select Col2 Where Col1=""&amp;L1162))"),"")</f>
        <v/>
      </c>
      <c r="N1162" s="29" t="str">
        <f>IFERROR(__xludf.DUMMYFUNCTION("IF(ISBLANK(B1162),"""",IF(ISDATE(B1162),TEXT(B1162,""yyyy""),""""))"),"")</f>
        <v/>
      </c>
    </row>
    <row r="1163">
      <c r="B1163" s="87"/>
      <c r="C1163" s="85"/>
      <c r="D1163" s="76"/>
      <c r="H1163" s="88"/>
      <c r="J1163" s="53" t="str">
        <f>IFERROR(__xludf.DUMMYFUNCTION("IF(ISBLANK(B1163),"""",IF(ISDATE(B1163),""X"",""""))"),"")</f>
        <v/>
      </c>
      <c r="K1163" s="40" t="str">
        <f>IFERROR(__xludf.DUMMYFUNCTION("IF(ISBLANK(B1163),"""",IF(ISDATE(B1163),H1163,""""))"),"")</f>
        <v/>
      </c>
      <c r="L1163" s="40" t="str">
        <f>IFERROR(__xludf.DUMMYFUNCTION("IF(ISBLANK(B1163),"""",IF(ISDATE(B1163),TEXT(B1163,""M""),""""))"),"")</f>
        <v/>
      </c>
      <c r="M1163" s="29" t="str">
        <f>IFERROR(__xludf.DUMMYFUNCTION("IF(L1163="""","""",QUERY({'Dashboard-Dados'!$Y$2:$AA$13},""Select Col2 Where Col1=""&amp;L1163))"),"")</f>
        <v/>
      </c>
      <c r="N1163" s="29" t="str">
        <f>IFERROR(__xludf.DUMMYFUNCTION("IF(ISBLANK(B1163),"""",IF(ISDATE(B1163),TEXT(B1163,""yyyy""),""""))"),"")</f>
        <v/>
      </c>
    </row>
    <row r="1164">
      <c r="B1164" s="89"/>
      <c r="C1164" s="86"/>
      <c r="D1164" s="71"/>
      <c r="H1164" s="90"/>
      <c r="J1164" s="53" t="str">
        <f>IFERROR(__xludf.DUMMYFUNCTION("IF(ISBLANK(B1164),"""",IF(ISDATE(B1164),""X"",""""))"),"")</f>
        <v/>
      </c>
      <c r="K1164" s="40" t="str">
        <f>IFERROR(__xludf.DUMMYFUNCTION("IF(ISBLANK(B1164),"""",IF(ISDATE(B1164),H1164,""""))"),"")</f>
        <v/>
      </c>
      <c r="L1164" s="40" t="str">
        <f>IFERROR(__xludf.DUMMYFUNCTION("IF(ISBLANK(B1164),"""",IF(ISDATE(B1164),TEXT(B1164,""M""),""""))"),"")</f>
        <v/>
      </c>
      <c r="M1164" s="29" t="str">
        <f>IFERROR(__xludf.DUMMYFUNCTION("IF(L1164="""","""",QUERY({'Dashboard-Dados'!$Y$2:$AA$13},""Select Col2 Where Col1=""&amp;L1164))"),"")</f>
        <v/>
      </c>
      <c r="N1164" s="29" t="str">
        <f>IFERROR(__xludf.DUMMYFUNCTION("IF(ISBLANK(B1164),"""",IF(ISDATE(B1164),TEXT(B1164,""yyyy""),""""))"),"")</f>
        <v/>
      </c>
    </row>
    <row r="1165">
      <c r="B1165" s="87"/>
      <c r="C1165" s="85"/>
      <c r="D1165" s="76"/>
      <c r="H1165" s="88"/>
      <c r="J1165" s="53" t="str">
        <f>IFERROR(__xludf.DUMMYFUNCTION("IF(ISBLANK(B1165),"""",IF(ISDATE(B1165),""X"",""""))"),"")</f>
        <v/>
      </c>
      <c r="K1165" s="40" t="str">
        <f>IFERROR(__xludf.DUMMYFUNCTION("IF(ISBLANK(B1165),"""",IF(ISDATE(B1165),H1165,""""))"),"")</f>
        <v/>
      </c>
      <c r="L1165" s="40" t="str">
        <f>IFERROR(__xludf.DUMMYFUNCTION("IF(ISBLANK(B1165),"""",IF(ISDATE(B1165),TEXT(B1165,""M""),""""))"),"")</f>
        <v/>
      </c>
      <c r="M1165" s="29" t="str">
        <f>IFERROR(__xludf.DUMMYFUNCTION("IF(L1165="""","""",QUERY({'Dashboard-Dados'!$Y$2:$AA$13},""Select Col2 Where Col1=""&amp;L1165))"),"")</f>
        <v/>
      </c>
      <c r="N1165" s="29" t="str">
        <f>IFERROR(__xludf.DUMMYFUNCTION("IF(ISBLANK(B1165),"""",IF(ISDATE(B1165),TEXT(B1165,""yyyy""),""""))"),"")</f>
        <v/>
      </c>
    </row>
    <row r="1166">
      <c r="B1166" s="89"/>
      <c r="C1166" s="86"/>
      <c r="D1166" s="71"/>
      <c r="H1166" s="90"/>
      <c r="J1166" s="53" t="str">
        <f>IFERROR(__xludf.DUMMYFUNCTION("IF(ISBLANK(B1166),"""",IF(ISDATE(B1166),""X"",""""))"),"")</f>
        <v/>
      </c>
      <c r="K1166" s="40" t="str">
        <f>IFERROR(__xludf.DUMMYFUNCTION("IF(ISBLANK(B1166),"""",IF(ISDATE(B1166),H1166,""""))"),"")</f>
        <v/>
      </c>
      <c r="L1166" s="40" t="str">
        <f>IFERROR(__xludf.DUMMYFUNCTION("IF(ISBLANK(B1166),"""",IF(ISDATE(B1166),TEXT(B1166,""M""),""""))"),"")</f>
        <v/>
      </c>
      <c r="M1166" s="29" t="str">
        <f>IFERROR(__xludf.DUMMYFUNCTION("IF(L1166="""","""",QUERY({'Dashboard-Dados'!$Y$2:$AA$13},""Select Col2 Where Col1=""&amp;L1166))"),"")</f>
        <v/>
      </c>
      <c r="N1166" s="29" t="str">
        <f>IFERROR(__xludf.DUMMYFUNCTION("IF(ISBLANK(B1166),"""",IF(ISDATE(B1166),TEXT(B1166,""yyyy""),""""))"),"")</f>
        <v/>
      </c>
    </row>
    <row r="1167">
      <c r="B1167" s="87"/>
      <c r="C1167" s="85"/>
      <c r="D1167" s="76"/>
      <c r="H1167" s="88"/>
      <c r="J1167" s="53" t="str">
        <f>IFERROR(__xludf.DUMMYFUNCTION("IF(ISBLANK(B1167),"""",IF(ISDATE(B1167),""X"",""""))"),"")</f>
        <v/>
      </c>
      <c r="K1167" s="40" t="str">
        <f>IFERROR(__xludf.DUMMYFUNCTION("IF(ISBLANK(B1167),"""",IF(ISDATE(B1167),H1167,""""))"),"")</f>
        <v/>
      </c>
      <c r="L1167" s="40" t="str">
        <f>IFERROR(__xludf.DUMMYFUNCTION("IF(ISBLANK(B1167),"""",IF(ISDATE(B1167),TEXT(B1167,""M""),""""))"),"")</f>
        <v/>
      </c>
      <c r="M1167" s="29" t="str">
        <f>IFERROR(__xludf.DUMMYFUNCTION("IF(L1167="""","""",QUERY({'Dashboard-Dados'!$Y$2:$AA$13},""Select Col2 Where Col1=""&amp;L1167))"),"")</f>
        <v/>
      </c>
      <c r="N1167" s="29" t="str">
        <f>IFERROR(__xludf.DUMMYFUNCTION("IF(ISBLANK(B1167),"""",IF(ISDATE(B1167),TEXT(B1167,""yyyy""),""""))"),"")</f>
        <v/>
      </c>
    </row>
    <row r="1168">
      <c r="B1168" s="89"/>
      <c r="C1168" s="86"/>
      <c r="D1168" s="71"/>
      <c r="H1168" s="90"/>
      <c r="J1168" s="53" t="str">
        <f>IFERROR(__xludf.DUMMYFUNCTION("IF(ISBLANK(B1168),"""",IF(ISDATE(B1168),""X"",""""))"),"")</f>
        <v/>
      </c>
      <c r="K1168" s="40" t="str">
        <f>IFERROR(__xludf.DUMMYFUNCTION("IF(ISBLANK(B1168),"""",IF(ISDATE(B1168),H1168,""""))"),"")</f>
        <v/>
      </c>
      <c r="L1168" s="40" t="str">
        <f>IFERROR(__xludf.DUMMYFUNCTION("IF(ISBLANK(B1168),"""",IF(ISDATE(B1168),TEXT(B1168,""M""),""""))"),"")</f>
        <v/>
      </c>
      <c r="M1168" s="29" t="str">
        <f>IFERROR(__xludf.DUMMYFUNCTION("IF(L1168="""","""",QUERY({'Dashboard-Dados'!$Y$2:$AA$13},""Select Col2 Where Col1=""&amp;L1168))"),"")</f>
        <v/>
      </c>
      <c r="N1168" s="29" t="str">
        <f>IFERROR(__xludf.DUMMYFUNCTION("IF(ISBLANK(B1168),"""",IF(ISDATE(B1168),TEXT(B1168,""yyyy""),""""))"),"")</f>
        <v/>
      </c>
    </row>
    <row r="1169">
      <c r="B1169" s="87"/>
      <c r="C1169" s="85"/>
      <c r="D1169" s="76"/>
      <c r="H1169" s="88"/>
      <c r="J1169" s="53" t="str">
        <f>IFERROR(__xludf.DUMMYFUNCTION("IF(ISBLANK(B1169),"""",IF(ISDATE(B1169),""X"",""""))"),"")</f>
        <v/>
      </c>
      <c r="K1169" s="40" t="str">
        <f>IFERROR(__xludf.DUMMYFUNCTION("IF(ISBLANK(B1169),"""",IF(ISDATE(B1169),H1169,""""))"),"")</f>
        <v/>
      </c>
      <c r="L1169" s="40" t="str">
        <f>IFERROR(__xludf.DUMMYFUNCTION("IF(ISBLANK(B1169),"""",IF(ISDATE(B1169),TEXT(B1169,""M""),""""))"),"")</f>
        <v/>
      </c>
      <c r="M1169" s="29" t="str">
        <f>IFERROR(__xludf.DUMMYFUNCTION("IF(L1169="""","""",QUERY({'Dashboard-Dados'!$Y$2:$AA$13},""Select Col2 Where Col1=""&amp;L1169))"),"")</f>
        <v/>
      </c>
      <c r="N1169" s="29" t="str">
        <f>IFERROR(__xludf.DUMMYFUNCTION("IF(ISBLANK(B1169),"""",IF(ISDATE(B1169),TEXT(B1169,""yyyy""),""""))"),"")</f>
        <v/>
      </c>
    </row>
    <row r="1170">
      <c r="B1170" s="89"/>
      <c r="C1170" s="86"/>
      <c r="D1170" s="71"/>
      <c r="H1170" s="90"/>
      <c r="J1170" s="53" t="str">
        <f>IFERROR(__xludf.DUMMYFUNCTION("IF(ISBLANK(B1170),"""",IF(ISDATE(B1170),""X"",""""))"),"")</f>
        <v/>
      </c>
      <c r="K1170" s="40" t="str">
        <f>IFERROR(__xludf.DUMMYFUNCTION("IF(ISBLANK(B1170),"""",IF(ISDATE(B1170),H1170,""""))"),"")</f>
        <v/>
      </c>
      <c r="L1170" s="40" t="str">
        <f>IFERROR(__xludf.DUMMYFUNCTION("IF(ISBLANK(B1170),"""",IF(ISDATE(B1170),TEXT(B1170,""M""),""""))"),"")</f>
        <v/>
      </c>
      <c r="M1170" s="29" t="str">
        <f>IFERROR(__xludf.DUMMYFUNCTION("IF(L1170="""","""",QUERY({'Dashboard-Dados'!$Y$2:$AA$13},""Select Col2 Where Col1=""&amp;L1170))"),"")</f>
        <v/>
      </c>
      <c r="N1170" s="29" t="str">
        <f>IFERROR(__xludf.DUMMYFUNCTION("IF(ISBLANK(B1170),"""",IF(ISDATE(B1170),TEXT(B1170,""yyyy""),""""))"),"")</f>
        <v/>
      </c>
    </row>
    <row r="1171">
      <c r="B1171" s="87"/>
      <c r="C1171" s="85"/>
      <c r="D1171" s="76"/>
      <c r="H1171" s="88"/>
      <c r="J1171" s="53" t="str">
        <f>IFERROR(__xludf.DUMMYFUNCTION("IF(ISBLANK(B1171),"""",IF(ISDATE(B1171),""X"",""""))"),"")</f>
        <v/>
      </c>
      <c r="K1171" s="40" t="str">
        <f>IFERROR(__xludf.DUMMYFUNCTION("IF(ISBLANK(B1171),"""",IF(ISDATE(B1171),H1171,""""))"),"")</f>
        <v/>
      </c>
      <c r="L1171" s="40" t="str">
        <f>IFERROR(__xludf.DUMMYFUNCTION("IF(ISBLANK(B1171),"""",IF(ISDATE(B1171),TEXT(B1171,""M""),""""))"),"")</f>
        <v/>
      </c>
      <c r="M1171" s="29" t="str">
        <f>IFERROR(__xludf.DUMMYFUNCTION("IF(L1171="""","""",QUERY({'Dashboard-Dados'!$Y$2:$AA$13},""Select Col2 Where Col1=""&amp;L1171))"),"")</f>
        <v/>
      </c>
      <c r="N1171" s="29" t="str">
        <f>IFERROR(__xludf.DUMMYFUNCTION("IF(ISBLANK(B1171),"""",IF(ISDATE(B1171),TEXT(B1171,""yyyy""),""""))"),"")</f>
        <v/>
      </c>
    </row>
    <row r="1172">
      <c r="B1172" s="89"/>
      <c r="C1172" s="86"/>
      <c r="D1172" s="71"/>
      <c r="H1172" s="90"/>
      <c r="J1172" s="53" t="str">
        <f>IFERROR(__xludf.DUMMYFUNCTION("IF(ISBLANK(B1172),"""",IF(ISDATE(B1172),""X"",""""))"),"")</f>
        <v/>
      </c>
      <c r="K1172" s="40" t="str">
        <f>IFERROR(__xludf.DUMMYFUNCTION("IF(ISBLANK(B1172),"""",IF(ISDATE(B1172),H1172,""""))"),"")</f>
        <v/>
      </c>
      <c r="L1172" s="40" t="str">
        <f>IFERROR(__xludf.DUMMYFUNCTION("IF(ISBLANK(B1172),"""",IF(ISDATE(B1172),TEXT(B1172,""M""),""""))"),"")</f>
        <v/>
      </c>
      <c r="M1172" s="29" t="str">
        <f>IFERROR(__xludf.DUMMYFUNCTION("IF(L1172="""","""",QUERY({'Dashboard-Dados'!$Y$2:$AA$13},""Select Col2 Where Col1=""&amp;L1172))"),"")</f>
        <v/>
      </c>
      <c r="N1172" s="29" t="str">
        <f>IFERROR(__xludf.DUMMYFUNCTION("IF(ISBLANK(B1172),"""",IF(ISDATE(B1172),TEXT(B1172,""yyyy""),""""))"),"")</f>
        <v/>
      </c>
    </row>
    <row r="1173">
      <c r="B1173" s="87"/>
      <c r="C1173" s="85"/>
      <c r="D1173" s="76"/>
      <c r="H1173" s="88"/>
      <c r="J1173" s="53" t="str">
        <f>IFERROR(__xludf.DUMMYFUNCTION("IF(ISBLANK(B1173),"""",IF(ISDATE(B1173),""X"",""""))"),"")</f>
        <v/>
      </c>
      <c r="K1173" s="40" t="str">
        <f>IFERROR(__xludf.DUMMYFUNCTION("IF(ISBLANK(B1173),"""",IF(ISDATE(B1173),H1173,""""))"),"")</f>
        <v/>
      </c>
      <c r="L1173" s="40" t="str">
        <f>IFERROR(__xludf.DUMMYFUNCTION("IF(ISBLANK(B1173),"""",IF(ISDATE(B1173),TEXT(B1173,""M""),""""))"),"")</f>
        <v/>
      </c>
      <c r="M1173" s="29" t="str">
        <f>IFERROR(__xludf.DUMMYFUNCTION("IF(L1173="""","""",QUERY({'Dashboard-Dados'!$Y$2:$AA$13},""Select Col2 Where Col1=""&amp;L1173))"),"")</f>
        <v/>
      </c>
      <c r="N1173" s="29" t="str">
        <f>IFERROR(__xludf.DUMMYFUNCTION("IF(ISBLANK(B1173),"""",IF(ISDATE(B1173),TEXT(B1173,""yyyy""),""""))"),"")</f>
        <v/>
      </c>
    </row>
    <row r="1174">
      <c r="B1174" s="89"/>
      <c r="C1174" s="86"/>
      <c r="D1174" s="71"/>
      <c r="H1174" s="90"/>
      <c r="J1174" s="53" t="str">
        <f>IFERROR(__xludf.DUMMYFUNCTION("IF(ISBLANK(B1174),"""",IF(ISDATE(B1174),""X"",""""))"),"")</f>
        <v/>
      </c>
      <c r="K1174" s="40" t="str">
        <f>IFERROR(__xludf.DUMMYFUNCTION("IF(ISBLANK(B1174),"""",IF(ISDATE(B1174),H1174,""""))"),"")</f>
        <v/>
      </c>
      <c r="L1174" s="40" t="str">
        <f>IFERROR(__xludf.DUMMYFUNCTION("IF(ISBLANK(B1174),"""",IF(ISDATE(B1174),TEXT(B1174,""M""),""""))"),"")</f>
        <v/>
      </c>
      <c r="M1174" s="29" t="str">
        <f>IFERROR(__xludf.DUMMYFUNCTION("IF(L1174="""","""",QUERY({'Dashboard-Dados'!$Y$2:$AA$13},""Select Col2 Where Col1=""&amp;L1174))"),"")</f>
        <v/>
      </c>
      <c r="N1174" s="29" t="str">
        <f>IFERROR(__xludf.DUMMYFUNCTION("IF(ISBLANK(B1174),"""",IF(ISDATE(B1174),TEXT(B1174,""yyyy""),""""))"),"")</f>
        <v/>
      </c>
    </row>
    <row r="1175">
      <c r="B1175" s="87"/>
      <c r="C1175" s="85"/>
      <c r="D1175" s="76"/>
      <c r="H1175" s="88"/>
      <c r="J1175" s="53" t="str">
        <f>IFERROR(__xludf.DUMMYFUNCTION("IF(ISBLANK(B1175),"""",IF(ISDATE(B1175),""X"",""""))"),"")</f>
        <v/>
      </c>
      <c r="K1175" s="40" t="str">
        <f>IFERROR(__xludf.DUMMYFUNCTION("IF(ISBLANK(B1175),"""",IF(ISDATE(B1175),H1175,""""))"),"")</f>
        <v/>
      </c>
      <c r="L1175" s="40" t="str">
        <f>IFERROR(__xludf.DUMMYFUNCTION("IF(ISBLANK(B1175),"""",IF(ISDATE(B1175),TEXT(B1175,""M""),""""))"),"")</f>
        <v/>
      </c>
      <c r="M1175" s="29" t="str">
        <f>IFERROR(__xludf.DUMMYFUNCTION("IF(L1175="""","""",QUERY({'Dashboard-Dados'!$Y$2:$AA$13},""Select Col2 Where Col1=""&amp;L1175))"),"")</f>
        <v/>
      </c>
      <c r="N1175" s="29" t="str">
        <f>IFERROR(__xludf.DUMMYFUNCTION("IF(ISBLANK(B1175),"""",IF(ISDATE(B1175),TEXT(B1175,""yyyy""),""""))"),"")</f>
        <v/>
      </c>
    </row>
    <row r="1176">
      <c r="B1176" s="89"/>
      <c r="C1176" s="86"/>
      <c r="D1176" s="71"/>
      <c r="H1176" s="90"/>
      <c r="J1176" s="53" t="str">
        <f>IFERROR(__xludf.DUMMYFUNCTION("IF(ISBLANK(B1176),"""",IF(ISDATE(B1176),""X"",""""))"),"")</f>
        <v/>
      </c>
      <c r="K1176" s="40" t="str">
        <f>IFERROR(__xludf.DUMMYFUNCTION("IF(ISBLANK(B1176),"""",IF(ISDATE(B1176),H1176,""""))"),"")</f>
        <v/>
      </c>
      <c r="L1176" s="40" t="str">
        <f>IFERROR(__xludf.DUMMYFUNCTION("IF(ISBLANK(B1176),"""",IF(ISDATE(B1176),TEXT(B1176,""M""),""""))"),"")</f>
        <v/>
      </c>
      <c r="M1176" s="29" t="str">
        <f>IFERROR(__xludf.DUMMYFUNCTION("IF(L1176="""","""",QUERY({'Dashboard-Dados'!$Y$2:$AA$13},""Select Col2 Where Col1=""&amp;L1176))"),"")</f>
        <v/>
      </c>
      <c r="N1176" s="29" t="str">
        <f>IFERROR(__xludf.DUMMYFUNCTION("IF(ISBLANK(B1176),"""",IF(ISDATE(B1176),TEXT(B1176,""yyyy""),""""))"),"")</f>
        <v/>
      </c>
    </row>
    <row r="1177">
      <c r="B1177" s="87"/>
      <c r="C1177" s="85"/>
      <c r="D1177" s="76"/>
      <c r="H1177" s="88"/>
      <c r="J1177" s="53" t="str">
        <f>IFERROR(__xludf.DUMMYFUNCTION("IF(ISBLANK(B1177),"""",IF(ISDATE(B1177),""X"",""""))"),"")</f>
        <v/>
      </c>
      <c r="K1177" s="40" t="str">
        <f>IFERROR(__xludf.DUMMYFUNCTION("IF(ISBLANK(B1177),"""",IF(ISDATE(B1177),H1177,""""))"),"")</f>
        <v/>
      </c>
      <c r="L1177" s="40" t="str">
        <f>IFERROR(__xludf.DUMMYFUNCTION("IF(ISBLANK(B1177),"""",IF(ISDATE(B1177),TEXT(B1177,""M""),""""))"),"")</f>
        <v/>
      </c>
      <c r="M1177" s="29" t="str">
        <f>IFERROR(__xludf.DUMMYFUNCTION("IF(L1177="""","""",QUERY({'Dashboard-Dados'!$Y$2:$AA$13},""Select Col2 Where Col1=""&amp;L1177))"),"")</f>
        <v/>
      </c>
      <c r="N1177" s="29" t="str">
        <f>IFERROR(__xludf.DUMMYFUNCTION("IF(ISBLANK(B1177),"""",IF(ISDATE(B1177),TEXT(B1177,""yyyy""),""""))"),"")</f>
        <v/>
      </c>
    </row>
    <row r="1178">
      <c r="B1178" s="89"/>
      <c r="C1178" s="86"/>
      <c r="D1178" s="71"/>
      <c r="H1178" s="90"/>
      <c r="J1178" s="53" t="str">
        <f>IFERROR(__xludf.DUMMYFUNCTION("IF(ISBLANK(B1178),"""",IF(ISDATE(B1178),""X"",""""))"),"")</f>
        <v/>
      </c>
      <c r="K1178" s="40" t="str">
        <f>IFERROR(__xludf.DUMMYFUNCTION("IF(ISBLANK(B1178),"""",IF(ISDATE(B1178),H1178,""""))"),"")</f>
        <v/>
      </c>
      <c r="L1178" s="40" t="str">
        <f>IFERROR(__xludf.DUMMYFUNCTION("IF(ISBLANK(B1178),"""",IF(ISDATE(B1178),TEXT(B1178,""M""),""""))"),"")</f>
        <v/>
      </c>
      <c r="M1178" s="29" t="str">
        <f>IFERROR(__xludf.DUMMYFUNCTION("IF(L1178="""","""",QUERY({'Dashboard-Dados'!$Y$2:$AA$13},""Select Col2 Where Col1=""&amp;L1178))"),"")</f>
        <v/>
      </c>
      <c r="N1178" s="29" t="str">
        <f>IFERROR(__xludf.DUMMYFUNCTION("IF(ISBLANK(B1178),"""",IF(ISDATE(B1178),TEXT(B1178,""yyyy""),""""))"),"")</f>
        <v/>
      </c>
    </row>
    <row r="1179">
      <c r="B1179" s="87"/>
      <c r="C1179" s="85"/>
      <c r="D1179" s="76"/>
      <c r="H1179" s="88"/>
      <c r="J1179" s="53" t="str">
        <f>IFERROR(__xludf.DUMMYFUNCTION("IF(ISBLANK(B1179),"""",IF(ISDATE(B1179),""X"",""""))"),"")</f>
        <v/>
      </c>
      <c r="K1179" s="40" t="str">
        <f>IFERROR(__xludf.DUMMYFUNCTION("IF(ISBLANK(B1179),"""",IF(ISDATE(B1179),H1179,""""))"),"")</f>
        <v/>
      </c>
      <c r="L1179" s="40" t="str">
        <f>IFERROR(__xludf.DUMMYFUNCTION("IF(ISBLANK(B1179),"""",IF(ISDATE(B1179),TEXT(B1179,""M""),""""))"),"")</f>
        <v/>
      </c>
      <c r="M1179" s="29" t="str">
        <f>IFERROR(__xludf.DUMMYFUNCTION("IF(L1179="""","""",QUERY({'Dashboard-Dados'!$Y$2:$AA$13},""Select Col2 Where Col1=""&amp;L1179))"),"")</f>
        <v/>
      </c>
      <c r="N1179" s="29" t="str">
        <f>IFERROR(__xludf.DUMMYFUNCTION("IF(ISBLANK(B1179),"""",IF(ISDATE(B1179),TEXT(B1179,""yyyy""),""""))"),"")</f>
        <v/>
      </c>
    </row>
    <row r="1180">
      <c r="B1180" s="89"/>
      <c r="C1180" s="86"/>
      <c r="D1180" s="71"/>
      <c r="H1180" s="90"/>
      <c r="J1180" s="53" t="str">
        <f>IFERROR(__xludf.DUMMYFUNCTION("IF(ISBLANK(B1180),"""",IF(ISDATE(B1180),""X"",""""))"),"")</f>
        <v/>
      </c>
      <c r="K1180" s="40" t="str">
        <f>IFERROR(__xludf.DUMMYFUNCTION("IF(ISBLANK(B1180),"""",IF(ISDATE(B1180),H1180,""""))"),"")</f>
        <v/>
      </c>
      <c r="L1180" s="40" t="str">
        <f>IFERROR(__xludf.DUMMYFUNCTION("IF(ISBLANK(B1180),"""",IF(ISDATE(B1180),TEXT(B1180,""M""),""""))"),"")</f>
        <v/>
      </c>
      <c r="M1180" s="29" t="str">
        <f>IFERROR(__xludf.DUMMYFUNCTION("IF(L1180="""","""",QUERY({'Dashboard-Dados'!$Y$2:$AA$13},""Select Col2 Where Col1=""&amp;L1180))"),"")</f>
        <v/>
      </c>
      <c r="N1180" s="29" t="str">
        <f>IFERROR(__xludf.DUMMYFUNCTION("IF(ISBLANK(B1180),"""",IF(ISDATE(B1180),TEXT(B1180,""yyyy""),""""))"),"")</f>
        <v/>
      </c>
    </row>
    <row r="1181">
      <c r="B1181" s="87"/>
      <c r="C1181" s="85"/>
      <c r="D1181" s="76"/>
      <c r="H1181" s="88"/>
      <c r="J1181" s="53" t="str">
        <f>IFERROR(__xludf.DUMMYFUNCTION("IF(ISBLANK(B1181),"""",IF(ISDATE(B1181),""X"",""""))"),"")</f>
        <v/>
      </c>
      <c r="K1181" s="40" t="str">
        <f>IFERROR(__xludf.DUMMYFUNCTION("IF(ISBLANK(B1181),"""",IF(ISDATE(B1181),H1181,""""))"),"")</f>
        <v/>
      </c>
      <c r="L1181" s="40" t="str">
        <f>IFERROR(__xludf.DUMMYFUNCTION("IF(ISBLANK(B1181),"""",IF(ISDATE(B1181),TEXT(B1181,""M""),""""))"),"")</f>
        <v/>
      </c>
      <c r="M1181" s="29" t="str">
        <f>IFERROR(__xludf.DUMMYFUNCTION("IF(L1181="""","""",QUERY({'Dashboard-Dados'!$Y$2:$AA$13},""Select Col2 Where Col1=""&amp;L1181))"),"")</f>
        <v/>
      </c>
      <c r="N1181" s="29" t="str">
        <f>IFERROR(__xludf.DUMMYFUNCTION("IF(ISBLANK(B1181),"""",IF(ISDATE(B1181),TEXT(B1181,""yyyy""),""""))"),"")</f>
        <v/>
      </c>
    </row>
    <row r="1182">
      <c r="B1182" s="89"/>
      <c r="C1182" s="86"/>
      <c r="D1182" s="71"/>
      <c r="H1182" s="90"/>
      <c r="J1182" s="53" t="str">
        <f>IFERROR(__xludf.DUMMYFUNCTION("IF(ISBLANK(B1182),"""",IF(ISDATE(B1182),""X"",""""))"),"")</f>
        <v/>
      </c>
      <c r="K1182" s="40" t="str">
        <f>IFERROR(__xludf.DUMMYFUNCTION("IF(ISBLANK(B1182),"""",IF(ISDATE(B1182),H1182,""""))"),"")</f>
        <v/>
      </c>
      <c r="L1182" s="40" t="str">
        <f>IFERROR(__xludf.DUMMYFUNCTION("IF(ISBLANK(B1182),"""",IF(ISDATE(B1182),TEXT(B1182,""M""),""""))"),"")</f>
        <v/>
      </c>
      <c r="M1182" s="29" t="str">
        <f>IFERROR(__xludf.DUMMYFUNCTION("IF(L1182="""","""",QUERY({'Dashboard-Dados'!$Y$2:$AA$13},""Select Col2 Where Col1=""&amp;L1182))"),"")</f>
        <v/>
      </c>
      <c r="N1182" s="29" t="str">
        <f>IFERROR(__xludf.DUMMYFUNCTION("IF(ISBLANK(B1182),"""",IF(ISDATE(B1182),TEXT(B1182,""yyyy""),""""))"),"")</f>
        <v/>
      </c>
    </row>
    <row r="1183">
      <c r="B1183" s="87"/>
      <c r="C1183" s="85"/>
      <c r="D1183" s="76"/>
      <c r="H1183" s="88"/>
      <c r="J1183" s="53" t="str">
        <f>IFERROR(__xludf.DUMMYFUNCTION("IF(ISBLANK(B1183),"""",IF(ISDATE(B1183),""X"",""""))"),"")</f>
        <v/>
      </c>
      <c r="K1183" s="40" t="str">
        <f>IFERROR(__xludf.DUMMYFUNCTION("IF(ISBLANK(B1183),"""",IF(ISDATE(B1183),H1183,""""))"),"")</f>
        <v/>
      </c>
      <c r="L1183" s="40" t="str">
        <f>IFERROR(__xludf.DUMMYFUNCTION("IF(ISBLANK(B1183),"""",IF(ISDATE(B1183),TEXT(B1183,""M""),""""))"),"")</f>
        <v/>
      </c>
      <c r="M1183" s="29" t="str">
        <f>IFERROR(__xludf.DUMMYFUNCTION("IF(L1183="""","""",QUERY({'Dashboard-Dados'!$Y$2:$AA$13},""Select Col2 Where Col1=""&amp;L1183))"),"")</f>
        <v/>
      </c>
      <c r="N1183" s="29" t="str">
        <f>IFERROR(__xludf.DUMMYFUNCTION("IF(ISBLANK(B1183),"""",IF(ISDATE(B1183),TEXT(B1183,""yyyy""),""""))"),"")</f>
        <v/>
      </c>
    </row>
    <row r="1184">
      <c r="B1184" s="89"/>
      <c r="C1184" s="86"/>
      <c r="D1184" s="71"/>
      <c r="H1184" s="90"/>
      <c r="J1184" s="53" t="str">
        <f>IFERROR(__xludf.DUMMYFUNCTION("IF(ISBLANK(B1184),"""",IF(ISDATE(B1184),""X"",""""))"),"")</f>
        <v/>
      </c>
      <c r="K1184" s="40" t="str">
        <f>IFERROR(__xludf.DUMMYFUNCTION("IF(ISBLANK(B1184),"""",IF(ISDATE(B1184),H1184,""""))"),"")</f>
        <v/>
      </c>
      <c r="L1184" s="40" t="str">
        <f>IFERROR(__xludf.DUMMYFUNCTION("IF(ISBLANK(B1184),"""",IF(ISDATE(B1184),TEXT(B1184,""M""),""""))"),"")</f>
        <v/>
      </c>
      <c r="M1184" s="29" t="str">
        <f>IFERROR(__xludf.DUMMYFUNCTION("IF(L1184="""","""",QUERY({'Dashboard-Dados'!$Y$2:$AA$13},""Select Col2 Where Col1=""&amp;L1184))"),"")</f>
        <v/>
      </c>
      <c r="N1184" s="29" t="str">
        <f>IFERROR(__xludf.DUMMYFUNCTION("IF(ISBLANK(B1184),"""",IF(ISDATE(B1184),TEXT(B1184,""yyyy""),""""))"),"")</f>
        <v/>
      </c>
    </row>
    <row r="1185">
      <c r="B1185" s="87"/>
      <c r="C1185" s="85"/>
      <c r="D1185" s="76"/>
      <c r="H1185" s="88"/>
      <c r="J1185" s="53" t="str">
        <f>IFERROR(__xludf.DUMMYFUNCTION("IF(ISBLANK(B1185),"""",IF(ISDATE(B1185),""X"",""""))"),"")</f>
        <v/>
      </c>
      <c r="K1185" s="40" t="str">
        <f>IFERROR(__xludf.DUMMYFUNCTION("IF(ISBLANK(B1185),"""",IF(ISDATE(B1185),H1185,""""))"),"")</f>
        <v/>
      </c>
      <c r="L1185" s="40" t="str">
        <f>IFERROR(__xludf.DUMMYFUNCTION("IF(ISBLANK(B1185),"""",IF(ISDATE(B1185),TEXT(B1185,""M""),""""))"),"")</f>
        <v/>
      </c>
      <c r="M1185" s="29" t="str">
        <f>IFERROR(__xludf.DUMMYFUNCTION("IF(L1185="""","""",QUERY({'Dashboard-Dados'!$Y$2:$AA$13},""Select Col2 Where Col1=""&amp;L1185))"),"")</f>
        <v/>
      </c>
      <c r="N1185" s="29" t="str">
        <f>IFERROR(__xludf.DUMMYFUNCTION("IF(ISBLANK(B1185),"""",IF(ISDATE(B1185),TEXT(B1185,""yyyy""),""""))"),"")</f>
        <v/>
      </c>
    </row>
    <row r="1186">
      <c r="B1186" s="89"/>
      <c r="C1186" s="86"/>
      <c r="D1186" s="71"/>
      <c r="H1186" s="90"/>
      <c r="J1186" s="53" t="str">
        <f>IFERROR(__xludf.DUMMYFUNCTION("IF(ISBLANK(B1186),"""",IF(ISDATE(B1186),""X"",""""))"),"")</f>
        <v/>
      </c>
      <c r="K1186" s="40" t="str">
        <f>IFERROR(__xludf.DUMMYFUNCTION("IF(ISBLANK(B1186),"""",IF(ISDATE(B1186),H1186,""""))"),"")</f>
        <v/>
      </c>
      <c r="L1186" s="40" t="str">
        <f>IFERROR(__xludf.DUMMYFUNCTION("IF(ISBLANK(B1186),"""",IF(ISDATE(B1186),TEXT(B1186,""M""),""""))"),"")</f>
        <v/>
      </c>
      <c r="M1186" s="29" t="str">
        <f>IFERROR(__xludf.DUMMYFUNCTION("IF(L1186="""","""",QUERY({'Dashboard-Dados'!$Y$2:$AA$13},""Select Col2 Where Col1=""&amp;L1186))"),"")</f>
        <v/>
      </c>
      <c r="N1186" s="29" t="str">
        <f>IFERROR(__xludf.DUMMYFUNCTION("IF(ISBLANK(B1186),"""",IF(ISDATE(B1186),TEXT(B1186,""yyyy""),""""))"),"")</f>
        <v/>
      </c>
    </row>
    <row r="1187">
      <c r="B1187" s="87"/>
      <c r="C1187" s="85"/>
      <c r="D1187" s="76"/>
      <c r="H1187" s="88"/>
      <c r="J1187" s="53" t="str">
        <f>IFERROR(__xludf.DUMMYFUNCTION("IF(ISBLANK(B1187),"""",IF(ISDATE(B1187),""X"",""""))"),"")</f>
        <v/>
      </c>
      <c r="K1187" s="40" t="str">
        <f>IFERROR(__xludf.DUMMYFUNCTION("IF(ISBLANK(B1187),"""",IF(ISDATE(B1187),H1187,""""))"),"")</f>
        <v/>
      </c>
      <c r="L1187" s="40" t="str">
        <f>IFERROR(__xludf.DUMMYFUNCTION("IF(ISBLANK(B1187),"""",IF(ISDATE(B1187),TEXT(B1187,""M""),""""))"),"")</f>
        <v/>
      </c>
      <c r="M1187" s="29" t="str">
        <f>IFERROR(__xludf.DUMMYFUNCTION("IF(L1187="""","""",QUERY({'Dashboard-Dados'!$Y$2:$AA$13},""Select Col2 Where Col1=""&amp;L1187))"),"")</f>
        <v/>
      </c>
      <c r="N1187" s="29" t="str">
        <f>IFERROR(__xludf.DUMMYFUNCTION("IF(ISBLANK(B1187),"""",IF(ISDATE(B1187),TEXT(B1187,""yyyy""),""""))"),"")</f>
        <v/>
      </c>
    </row>
    <row r="1188">
      <c r="B1188" s="89"/>
      <c r="C1188" s="86"/>
      <c r="D1188" s="71"/>
      <c r="H1188" s="90"/>
      <c r="J1188" s="53" t="str">
        <f>IFERROR(__xludf.DUMMYFUNCTION("IF(ISBLANK(B1188),"""",IF(ISDATE(B1188),""X"",""""))"),"")</f>
        <v/>
      </c>
      <c r="K1188" s="40" t="str">
        <f>IFERROR(__xludf.DUMMYFUNCTION("IF(ISBLANK(B1188),"""",IF(ISDATE(B1188),H1188,""""))"),"")</f>
        <v/>
      </c>
      <c r="L1188" s="40" t="str">
        <f>IFERROR(__xludf.DUMMYFUNCTION("IF(ISBLANK(B1188),"""",IF(ISDATE(B1188),TEXT(B1188,""M""),""""))"),"")</f>
        <v/>
      </c>
      <c r="M1188" s="29" t="str">
        <f>IFERROR(__xludf.DUMMYFUNCTION("IF(L1188="""","""",QUERY({'Dashboard-Dados'!$Y$2:$AA$13},""Select Col2 Where Col1=""&amp;L1188))"),"")</f>
        <v/>
      </c>
      <c r="N1188" s="29" t="str">
        <f>IFERROR(__xludf.DUMMYFUNCTION("IF(ISBLANK(B1188),"""",IF(ISDATE(B1188),TEXT(B1188,""yyyy""),""""))"),"")</f>
        <v/>
      </c>
    </row>
    <row r="1189">
      <c r="B1189" s="87"/>
      <c r="C1189" s="85"/>
      <c r="D1189" s="76"/>
      <c r="H1189" s="88"/>
      <c r="J1189" s="53" t="str">
        <f>IFERROR(__xludf.DUMMYFUNCTION("IF(ISBLANK(B1189),"""",IF(ISDATE(B1189),""X"",""""))"),"")</f>
        <v/>
      </c>
      <c r="K1189" s="40" t="str">
        <f>IFERROR(__xludf.DUMMYFUNCTION("IF(ISBLANK(B1189),"""",IF(ISDATE(B1189),H1189,""""))"),"")</f>
        <v/>
      </c>
      <c r="L1189" s="40" t="str">
        <f>IFERROR(__xludf.DUMMYFUNCTION("IF(ISBLANK(B1189),"""",IF(ISDATE(B1189),TEXT(B1189,""M""),""""))"),"")</f>
        <v/>
      </c>
      <c r="M1189" s="29" t="str">
        <f>IFERROR(__xludf.DUMMYFUNCTION("IF(L1189="""","""",QUERY({'Dashboard-Dados'!$Y$2:$AA$13},""Select Col2 Where Col1=""&amp;L1189))"),"")</f>
        <v/>
      </c>
      <c r="N1189" s="29" t="str">
        <f>IFERROR(__xludf.DUMMYFUNCTION("IF(ISBLANK(B1189),"""",IF(ISDATE(B1189),TEXT(B1189,""yyyy""),""""))"),"")</f>
        <v/>
      </c>
    </row>
    <row r="1190">
      <c r="B1190" s="89"/>
      <c r="C1190" s="86"/>
      <c r="D1190" s="71"/>
      <c r="H1190" s="90"/>
      <c r="J1190" s="53" t="str">
        <f>IFERROR(__xludf.DUMMYFUNCTION("IF(ISBLANK(B1190),"""",IF(ISDATE(B1190),""X"",""""))"),"")</f>
        <v/>
      </c>
      <c r="K1190" s="40" t="str">
        <f>IFERROR(__xludf.DUMMYFUNCTION("IF(ISBLANK(B1190),"""",IF(ISDATE(B1190),H1190,""""))"),"")</f>
        <v/>
      </c>
      <c r="L1190" s="40" t="str">
        <f>IFERROR(__xludf.DUMMYFUNCTION("IF(ISBLANK(B1190),"""",IF(ISDATE(B1190),TEXT(B1190,""M""),""""))"),"")</f>
        <v/>
      </c>
      <c r="M1190" s="29" t="str">
        <f>IFERROR(__xludf.DUMMYFUNCTION("IF(L1190="""","""",QUERY({'Dashboard-Dados'!$Y$2:$AA$13},""Select Col2 Where Col1=""&amp;L1190))"),"")</f>
        <v/>
      </c>
      <c r="N1190" s="29" t="str">
        <f>IFERROR(__xludf.DUMMYFUNCTION("IF(ISBLANK(B1190),"""",IF(ISDATE(B1190),TEXT(B1190,""yyyy""),""""))"),"")</f>
        <v/>
      </c>
    </row>
    <row r="1191">
      <c r="B1191" s="87"/>
      <c r="C1191" s="85"/>
      <c r="D1191" s="76"/>
      <c r="H1191" s="88"/>
      <c r="J1191" s="53" t="str">
        <f>IFERROR(__xludf.DUMMYFUNCTION("IF(ISBLANK(B1191),"""",IF(ISDATE(B1191),""X"",""""))"),"")</f>
        <v/>
      </c>
      <c r="K1191" s="40" t="str">
        <f>IFERROR(__xludf.DUMMYFUNCTION("IF(ISBLANK(B1191),"""",IF(ISDATE(B1191),H1191,""""))"),"")</f>
        <v/>
      </c>
      <c r="L1191" s="40" t="str">
        <f>IFERROR(__xludf.DUMMYFUNCTION("IF(ISBLANK(B1191),"""",IF(ISDATE(B1191),TEXT(B1191,""M""),""""))"),"")</f>
        <v/>
      </c>
      <c r="M1191" s="29" t="str">
        <f>IFERROR(__xludf.DUMMYFUNCTION("IF(L1191="""","""",QUERY({'Dashboard-Dados'!$Y$2:$AA$13},""Select Col2 Where Col1=""&amp;L1191))"),"")</f>
        <v/>
      </c>
      <c r="N1191" s="29" t="str">
        <f>IFERROR(__xludf.DUMMYFUNCTION("IF(ISBLANK(B1191),"""",IF(ISDATE(B1191),TEXT(B1191,""yyyy""),""""))"),"")</f>
        <v/>
      </c>
    </row>
    <row r="1192">
      <c r="B1192" s="89"/>
      <c r="C1192" s="86"/>
      <c r="D1192" s="71"/>
      <c r="H1192" s="90"/>
      <c r="J1192" s="53" t="str">
        <f>IFERROR(__xludf.DUMMYFUNCTION("IF(ISBLANK(B1192),"""",IF(ISDATE(B1192),""X"",""""))"),"")</f>
        <v/>
      </c>
      <c r="K1192" s="40" t="str">
        <f>IFERROR(__xludf.DUMMYFUNCTION("IF(ISBLANK(B1192),"""",IF(ISDATE(B1192),H1192,""""))"),"")</f>
        <v/>
      </c>
      <c r="L1192" s="40" t="str">
        <f>IFERROR(__xludf.DUMMYFUNCTION("IF(ISBLANK(B1192),"""",IF(ISDATE(B1192),TEXT(B1192,""M""),""""))"),"")</f>
        <v/>
      </c>
      <c r="M1192" s="29" t="str">
        <f>IFERROR(__xludf.DUMMYFUNCTION("IF(L1192="""","""",QUERY({'Dashboard-Dados'!$Y$2:$AA$13},""Select Col2 Where Col1=""&amp;L1192))"),"")</f>
        <v/>
      </c>
      <c r="N1192" s="29" t="str">
        <f>IFERROR(__xludf.DUMMYFUNCTION("IF(ISBLANK(B1192),"""",IF(ISDATE(B1192),TEXT(B1192,""yyyy""),""""))"),"")</f>
        <v/>
      </c>
    </row>
    <row r="1193">
      <c r="B1193" s="87"/>
      <c r="C1193" s="85"/>
      <c r="D1193" s="76"/>
      <c r="H1193" s="88"/>
      <c r="J1193" s="53" t="str">
        <f>IFERROR(__xludf.DUMMYFUNCTION("IF(ISBLANK(B1193),"""",IF(ISDATE(B1193),""X"",""""))"),"")</f>
        <v/>
      </c>
      <c r="K1193" s="40" t="str">
        <f>IFERROR(__xludf.DUMMYFUNCTION("IF(ISBLANK(B1193),"""",IF(ISDATE(B1193),H1193,""""))"),"")</f>
        <v/>
      </c>
      <c r="L1193" s="40" t="str">
        <f>IFERROR(__xludf.DUMMYFUNCTION("IF(ISBLANK(B1193),"""",IF(ISDATE(B1193),TEXT(B1193,""M""),""""))"),"")</f>
        <v/>
      </c>
      <c r="M1193" s="29" t="str">
        <f>IFERROR(__xludf.DUMMYFUNCTION("IF(L1193="""","""",QUERY({'Dashboard-Dados'!$Y$2:$AA$13},""Select Col2 Where Col1=""&amp;L1193))"),"")</f>
        <v/>
      </c>
      <c r="N1193" s="29" t="str">
        <f>IFERROR(__xludf.DUMMYFUNCTION("IF(ISBLANK(B1193),"""",IF(ISDATE(B1193),TEXT(B1193,""yyyy""),""""))"),"")</f>
        <v/>
      </c>
    </row>
    <row r="1194">
      <c r="B1194" s="89"/>
      <c r="C1194" s="86"/>
      <c r="D1194" s="71"/>
      <c r="H1194" s="90"/>
      <c r="J1194" s="53" t="str">
        <f>IFERROR(__xludf.DUMMYFUNCTION("IF(ISBLANK(B1194),"""",IF(ISDATE(B1194),""X"",""""))"),"")</f>
        <v/>
      </c>
      <c r="K1194" s="40" t="str">
        <f>IFERROR(__xludf.DUMMYFUNCTION("IF(ISBLANK(B1194),"""",IF(ISDATE(B1194),H1194,""""))"),"")</f>
        <v/>
      </c>
      <c r="L1194" s="40" t="str">
        <f>IFERROR(__xludf.DUMMYFUNCTION("IF(ISBLANK(B1194),"""",IF(ISDATE(B1194),TEXT(B1194,""M""),""""))"),"")</f>
        <v/>
      </c>
      <c r="M1194" s="29" t="str">
        <f>IFERROR(__xludf.DUMMYFUNCTION("IF(L1194="""","""",QUERY({'Dashboard-Dados'!$Y$2:$AA$13},""Select Col2 Where Col1=""&amp;L1194))"),"")</f>
        <v/>
      </c>
      <c r="N1194" s="29" t="str">
        <f>IFERROR(__xludf.DUMMYFUNCTION("IF(ISBLANK(B1194),"""",IF(ISDATE(B1194),TEXT(B1194,""yyyy""),""""))"),"")</f>
        <v/>
      </c>
    </row>
    <row r="1195">
      <c r="B1195" s="87"/>
      <c r="C1195" s="85"/>
      <c r="D1195" s="76"/>
      <c r="H1195" s="88"/>
      <c r="J1195" s="53" t="str">
        <f>IFERROR(__xludf.DUMMYFUNCTION("IF(ISBLANK(B1195),"""",IF(ISDATE(B1195),""X"",""""))"),"")</f>
        <v/>
      </c>
      <c r="K1195" s="40" t="str">
        <f>IFERROR(__xludf.DUMMYFUNCTION("IF(ISBLANK(B1195),"""",IF(ISDATE(B1195),H1195,""""))"),"")</f>
        <v/>
      </c>
      <c r="L1195" s="40" t="str">
        <f>IFERROR(__xludf.DUMMYFUNCTION("IF(ISBLANK(B1195),"""",IF(ISDATE(B1195),TEXT(B1195,""M""),""""))"),"")</f>
        <v/>
      </c>
      <c r="M1195" s="29" t="str">
        <f>IFERROR(__xludf.DUMMYFUNCTION("IF(L1195="""","""",QUERY({'Dashboard-Dados'!$Y$2:$AA$13},""Select Col2 Where Col1=""&amp;L1195))"),"")</f>
        <v/>
      </c>
      <c r="N1195" s="29" t="str">
        <f>IFERROR(__xludf.DUMMYFUNCTION("IF(ISBLANK(B1195),"""",IF(ISDATE(B1195),TEXT(B1195,""yyyy""),""""))"),"")</f>
        <v/>
      </c>
    </row>
    <row r="1196">
      <c r="B1196" s="89"/>
      <c r="C1196" s="86"/>
      <c r="D1196" s="71"/>
      <c r="H1196" s="90"/>
      <c r="J1196" s="53" t="str">
        <f>IFERROR(__xludf.DUMMYFUNCTION("IF(ISBLANK(B1196),"""",IF(ISDATE(B1196),""X"",""""))"),"")</f>
        <v/>
      </c>
      <c r="K1196" s="40" t="str">
        <f>IFERROR(__xludf.DUMMYFUNCTION("IF(ISBLANK(B1196),"""",IF(ISDATE(B1196),H1196,""""))"),"")</f>
        <v/>
      </c>
      <c r="L1196" s="40" t="str">
        <f>IFERROR(__xludf.DUMMYFUNCTION("IF(ISBLANK(B1196),"""",IF(ISDATE(B1196),TEXT(B1196,""M""),""""))"),"")</f>
        <v/>
      </c>
      <c r="M1196" s="29" t="str">
        <f>IFERROR(__xludf.DUMMYFUNCTION("IF(L1196="""","""",QUERY({'Dashboard-Dados'!$Y$2:$AA$13},""Select Col2 Where Col1=""&amp;L1196))"),"")</f>
        <v/>
      </c>
      <c r="N1196" s="29" t="str">
        <f>IFERROR(__xludf.DUMMYFUNCTION("IF(ISBLANK(B1196),"""",IF(ISDATE(B1196),TEXT(B1196,""yyyy""),""""))"),"")</f>
        <v/>
      </c>
    </row>
    <row r="1197">
      <c r="B1197" s="87"/>
      <c r="C1197" s="85"/>
      <c r="D1197" s="76"/>
      <c r="H1197" s="88"/>
      <c r="J1197" s="53" t="str">
        <f>IFERROR(__xludf.DUMMYFUNCTION("IF(ISBLANK(B1197),"""",IF(ISDATE(B1197),""X"",""""))"),"")</f>
        <v/>
      </c>
      <c r="K1197" s="40" t="str">
        <f>IFERROR(__xludf.DUMMYFUNCTION("IF(ISBLANK(B1197),"""",IF(ISDATE(B1197),H1197,""""))"),"")</f>
        <v/>
      </c>
      <c r="L1197" s="40" t="str">
        <f>IFERROR(__xludf.DUMMYFUNCTION("IF(ISBLANK(B1197),"""",IF(ISDATE(B1197),TEXT(B1197,""M""),""""))"),"")</f>
        <v/>
      </c>
      <c r="M1197" s="29" t="str">
        <f>IFERROR(__xludf.DUMMYFUNCTION("IF(L1197="""","""",QUERY({'Dashboard-Dados'!$Y$2:$AA$13},""Select Col2 Where Col1=""&amp;L1197))"),"")</f>
        <v/>
      </c>
      <c r="N1197" s="29" t="str">
        <f>IFERROR(__xludf.DUMMYFUNCTION("IF(ISBLANK(B1197),"""",IF(ISDATE(B1197),TEXT(B1197,""yyyy""),""""))"),"")</f>
        <v/>
      </c>
    </row>
    <row r="1198">
      <c r="B1198" s="89"/>
      <c r="C1198" s="86"/>
      <c r="D1198" s="71"/>
      <c r="H1198" s="90"/>
      <c r="J1198" s="53" t="str">
        <f>IFERROR(__xludf.DUMMYFUNCTION("IF(ISBLANK(B1198),"""",IF(ISDATE(B1198),""X"",""""))"),"")</f>
        <v/>
      </c>
      <c r="K1198" s="40" t="str">
        <f>IFERROR(__xludf.DUMMYFUNCTION("IF(ISBLANK(B1198),"""",IF(ISDATE(B1198),H1198,""""))"),"")</f>
        <v/>
      </c>
      <c r="L1198" s="40" t="str">
        <f>IFERROR(__xludf.DUMMYFUNCTION("IF(ISBLANK(B1198),"""",IF(ISDATE(B1198),TEXT(B1198,""M""),""""))"),"")</f>
        <v/>
      </c>
      <c r="M1198" s="29" t="str">
        <f>IFERROR(__xludf.DUMMYFUNCTION("IF(L1198="""","""",QUERY({'Dashboard-Dados'!$Y$2:$AA$13},""Select Col2 Where Col1=""&amp;L1198))"),"")</f>
        <v/>
      </c>
      <c r="N1198" s="29" t="str">
        <f>IFERROR(__xludf.DUMMYFUNCTION("IF(ISBLANK(B1198),"""",IF(ISDATE(B1198),TEXT(B1198,""yyyy""),""""))"),"")</f>
        <v/>
      </c>
    </row>
    <row r="1199">
      <c r="B1199" s="87"/>
      <c r="C1199" s="85"/>
      <c r="D1199" s="76"/>
      <c r="H1199" s="88"/>
      <c r="J1199" s="53" t="str">
        <f>IFERROR(__xludf.DUMMYFUNCTION("IF(ISBLANK(B1199),"""",IF(ISDATE(B1199),""X"",""""))"),"")</f>
        <v/>
      </c>
      <c r="K1199" s="40" t="str">
        <f>IFERROR(__xludf.DUMMYFUNCTION("IF(ISBLANK(B1199),"""",IF(ISDATE(B1199),H1199,""""))"),"")</f>
        <v/>
      </c>
      <c r="L1199" s="40" t="str">
        <f>IFERROR(__xludf.DUMMYFUNCTION("IF(ISBLANK(B1199),"""",IF(ISDATE(B1199),TEXT(B1199,""M""),""""))"),"")</f>
        <v/>
      </c>
      <c r="M1199" s="29" t="str">
        <f>IFERROR(__xludf.DUMMYFUNCTION("IF(L1199="""","""",QUERY({'Dashboard-Dados'!$Y$2:$AA$13},""Select Col2 Where Col1=""&amp;L1199))"),"")</f>
        <v/>
      </c>
      <c r="N1199" s="29" t="str">
        <f>IFERROR(__xludf.DUMMYFUNCTION("IF(ISBLANK(B1199),"""",IF(ISDATE(B1199),TEXT(B1199,""yyyy""),""""))"),"")</f>
        <v/>
      </c>
    </row>
    <row r="1200">
      <c r="B1200" s="89"/>
      <c r="C1200" s="86"/>
      <c r="D1200" s="71"/>
      <c r="H1200" s="90"/>
      <c r="J1200" s="53" t="str">
        <f>IFERROR(__xludf.DUMMYFUNCTION("IF(ISBLANK(B1200),"""",IF(ISDATE(B1200),""X"",""""))"),"")</f>
        <v/>
      </c>
      <c r="K1200" s="40" t="str">
        <f>IFERROR(__xludf.DUMMYFUNCTION("IF(ISBLANK(B1200),"""",IF(ISDATE(B1200),H1200,""""))"),"")</f>
        <v/>
      </c>
      <c r="L1200" s="40" t="str">
        <f>IFERROR(__xludf.DUMMYFUNCTION("IF(ISBLANK(B1200),"""",IF(ISDATE(B1200),TEXT(B1200,""M""),""""))"),"")</f>
        <v/>
      </c>
      <c r="M1200" s="29" t="str">
        <f>IFERROR(__xludf.DUMMYFUNCTION("IF(L1200="""","""",QUERY({'Dashboard-Dados'!$Y$2:$AA$13},""Select Col2 Where Col1=""&amp;L1200))"),"")</f>
        <v/>
      </c>
      <c r="N1200" s="29" t="str">
        <f>IFERROR(__xludf.DUMMYFUNCTION("IF(ISBLANK(B1200),"""",IF(ISDATE(B1200),TEXT(B1200,""yyyy""),""""))"),"")</f>
        <v/>
      </c>
    </row>
    <row r="1201">
      <c r="B1201" s="87"/>
      <c r="C1201" s="85"/>
      <c r="D1201" s="76"/>
      <c r="H1201" s="88"/>
      <c r="J1201" s="53" t="str">
        <f>IFERROR(__xludf.DUMMYFUNCTION("IF(ISBLANK(B1201),"""",IF(ISDATE(B1201),""X"",""""))"),"")</f>
        <v/>
      </c>
      <c r="K1201" s="40" t="str">
        <f>IFERROR(__xludf.DUMMYFUNCTION("IF(ISBLANK(B1201),"""",IF(ISDATE(B1201),H1201,""""))"),"")</f>
        <v/>
      </c>
      <c r="L1201" s="40" t="str">
        <f>IFERROR(__xludf.DUMMYFUNCTION("IF(ISBLANK(B1201),"""",IF(ISDATE(B1201),TEXT(B1201,""M""),""""))"),"")</f>
        <v/>
      </c>
      <c r="M1201" s="29" t="str">
        <f>IFERROR(__xludf.DUMMYFUNCTION("IF(L1201="""","""",QUERY({'Dashboard-Dados'!$Y$2:$AA$13},""Select Col2 Where Col1=""&amp;L1201))"),"")</f>
        <v/>
      </c>
      <c r="N1201" s="29" t="str">
        <f>IFERROR(__xludf.DUMMYFUNCTION("IF(ISBLANK(B1201),"""",IF(ISDATE(B1201),TEXT(B1201,""yyyy""),""""))"),"")</f>
        <v/>
      </c>
    </row>
    <row r="1202">
      <c r="B1202" s="89"/>
      <c r="C1202" s="86"/>
      <c r="D1202" s="71"/>
      <c r="H1202" s="90"/>
      <c r="J1202" s="53" t="str">
        <f>IFERROR(__xludf.DUMMYFUNCTION("IF(ISBLANK(B1202),"""",IF(ISDATE(B1202),""X"",""""))"),"")</f>
        <v/>
      </c>
      <c r="K1202" s="40" t="str">
        <f>IFERROR(__xludf.DUMMYFUNCTION("IF(ISBLANK(B1202),"""",IF(ISDATE(B1202),H1202,""""))"),"")</f>
        <v/>
      </c>
      <c r="L1202" s="40" t="str">
        <f>IFERROR(__xludf.DUMMYFUNCTION("IF(ISBLANK(B1202),"""",IF(ISDATE(B1202),TEXT(B1202,""M""),""""))"),"")</f>
        <v/>
      </c>
      <c r="M1202" s="29" t="str">
        <f>IFERROR(__xludf.DUMMYFUNCTION("IF(L1202="""","""",QUERY({'Dashboard-Dados'!$Y$2:$AA$13},""Select Col2 Where Col1=""&amp;L1202))"),"")</f>
        <v/>
      </c>
      <c r="N1202" s="29" t="str">
        <f>IFERROR(__xludf.DUMMYFUNCTION("IF(ISBLANK(B1202),"""",IF(ISDATE(B1202),TEXT(B1202,""yyyy""),""""))"),"")</f>
        <v/>
      </c>
    </row>
    <row r="1203">
      <c r="B1203" s="87"/>
      <c r="C1203" s="85"/>
      <c r="D1203" s="76"/>
      <c r="H1203" s="88"/>
      <c r="J1203" s="53" t="str">
        <f>IFERROR(__xludf.DUMMYFUNCTION("IF(ISBLANK(B1203),"""",IF(ISDATE(B1203),""X"",""""))"),"")</f>
        <v/>
      </c>
      <c r="K1203" s="40" t="str">
        <f>IFERROR(__xludf.DUMMYFUNCTION("IF(ISBLANK(B1203),"""",IF(ISDATE(B1203),H1203,""""))"),"")</f>
        <v/>
      </c>
      <c r="L1203" s="40" t="str">
        <f>IFERROR(__xludf.DUMMYFUNCTION("IF(ISBLANK(B1203),"""",IF(ISDATE(B1203),TEXT(B1203,""M""),""""))"),"")</f>
        <v/>
      </c>
      <c r="M1203" s="29" t="str">
        <f>IFERROR(__xludf.DUMMYFUNCTION("IF(L1203="""","""",QUERY({'Dashboard-Dados'!$Y$2:$AA$13},""Select Col2 Where Col1=""&amp;L1203))"),"")</f>
        <v/>
      </c>
      <c r="N1203" s="29" t="str">
        <f>IFERROR(__xludf.DUMMYFUNCTION("IF(ISBLANK(B1203),"""",IF(ISDATE(B1203),TEXT(B1203,""yyyy""),""""))"),"")</f>
        <v/>
      </c>
    </row>
    <row r="1204">
      <c r="B1204" s="89"/>
      <c r="C1204" s="86"/>
      <c r="D1204" s="71"/>
      <c r="H1204" s="90"/>
      <c r="J1204" s="53" t="str">
        <f>IFERROR(__xludf.DUMMYFUNCTION("IF(ISBLANK(B1204),"""",IF(ISDATE(B1204),""X"",""""))"),"")</f>
        <v/>
      </c>
      <c r="K1204" s="40" t="str">
        <f>IFERROR(__xludf.DUMMYFUNCTION("IF(ISBLANK(B1204),"""",IF(ISDATE(B1204),H1204,""""))"),"")</f>
        <v/>
      </c>
      <c r="L1204" s="40" t="str">
        <f>IFERROR(__xludf.DUMMYFUNCTION("IF(ISBLANK(B1204),"""",IF(ISDATE(B1204),TEXT(B1204,""M""),""""))"),"")</f>
        <v/>
      </c>
      <c r="M1204" s="29" t="str">
        <f>IFERROR(__xludf.DUMMYFUNCTION("IF(L1204="""","""",QUERY({'Dashboard-Dados'!$Y$2:$AA$13},""Select Col2 Where Col1=""&amp;L1204))"),"")</f>
        <v/>
      </c>
      <c r="N1204" s="29" t="str">
        <f>IFERROR(__xludf.DUMMYFUNCTION("IF(ISBLANK(B1204),"""",IF(ISDATE(B1204),TEXT(B1204,""yyyy""),""""))"),"")</f>
        <v/>
      </c>
    </row>
    <row r="1205">
      <c r="B1205" s="87"/>
      <c r="C1205" s="85"/>
      <c r="D1205" s="76"/>
      <c r="H1205" s="88"/>
      <c r="J1205" s="53" t="str">
        <f>IFERROR(__xludf.DUMMYFUNCTION("IF(ISBLANK(B1205),"""",IF(ISDATE(B1205),""X"",""""))"),"")</f>
        <v/>
      </c>
      <c r="K1205" s="40" t="str">
        <f>IFERROR(__xludf.DUMMYFUNCTION("IF(ISBLANK(B1205),"""",IF(ISDATE(B1205),H1205,""""))"),"")</f>
        <v/>
      </c>
      <c r="L1205" s="40" t="str">
        <f>IFERROR(__xludf.DUMMYFUNCTION("IF(ISBLANK(B1205),"""",IF(ISDATE(B1205),TEXT(B1205,""M""),""""))"),"")</f>
        <v/>
      </c>
      <c r="M1205" s="29" t="str">
        <f>IFERROR(__xludf.DUMMYFUNCTION("IF(L1205="""","""",QUERY({'Dashboard-Dados'!$Y$2:$AA$13},""Select Col2 Where Col1=""&amp;L1205))"),"")</f>
        <v/>
      </c>
      <c r="N1205" s="29" t="str">
        <f>IFERROR(__xludf.DUMMYFUNCTION("IF(ISBLANK(B1205),"""",IF(ISDATE(B1205),TEXT(B1205,""yyyy""),""""))"),"")</f>
        <v/>
      </c>
    </row>
    <row r="1206">
      <c r="B1206" s="89"/>
      <c r="C1206" s="86"/>
      <c r="D1206" s="71"/>
      <c r="H1206" s="90"/>
      <c r="J1206" s="53" t="str">
        <f>IFERROR(__xludf.DUMMYFUNCTION("IF(ISBLANK(B1206),"""",IF(ISDATE(B1206),""X"",""""))"),"")</f>
        <v/>
      </c>
      <c r="K1206" s="40" t="str">
        <f>IFERROR(__xludf.DUMMYFUNCTION("IF(ISBLANK(B1206),"""",IF(ISDATE(B1206),H1206,""""))"),"")</f>
        <v/>
      </c>
      <c r="L1206" s="40" t="str">
        <f>IFERROR(__xludf.DUMMYFUNCTION("IF(ISBLANK(B1206),"""",IF(ISDATE(B1206),TEXT(B1206,""M""),""""))"),"")</f>
        <v/>
      </c>
      <c r="M1206" s="29" t="str">
        <f>IFERROR(__xludf.DUMMYFUNCTION("IF(L1206="""","""",QUERY({'Dashboard-Dados'!$Y$2:$AA$13},""Select Col2 Where Col1=""&amp;L1206))"),"")</f>
        <v/>
      </c>
      <c r="N1206" s="29" t="str">
        <f>IFERROR(__xludf.DUMMYFUNCTION("IF(ISBLANK(B1206),"""",IF(ISDATE(B1206),TEXT(B1206,""yyyy""),""""))"),"")</f>
        <v/>
      </c>
    </row>
    <row r="1207">
      <c r="B1207" s="87"/>
      <c r="C1207" s="85"/>
      <c r="D1207" s="76"/>
      <c r="H1207" s="88"/>
      <c r="J1207" s="53" t="str">
        <f>IFERROR(__xludf.DUMMYFUNCTION("IF(ISBLANK(B1207),"""",IF(ISDATE(B1207),""X"",""""))"),"")</f>
        <v/>
      </c>
      <c r="K1207" s="40" t="str">
        <f>IFERROR(__xludf.DUMMYFUNCTION("IF(ISBLANK(B1207),"""",IF(ISDATE(B1207),H1207,""""))"),"")</f>
        <v/>
      </c>
      <c r="L1207" s="40" t="str">
        <f>IFERROR(__xludf.DUMMYFUNCTION("IF(ISBLANK(B1207),"""",IF(ISDATE(B1207),TEXT(B1207,""M""),""""))"),"")</f>
        <v/>
      </c>
      <c r="M1207" s="29" t="str">
        <f>IFERROR(__xludf.DUMMYFUNCTION("IF(L1207="""","""",QUERY({'Dashboard-Dados'!$Y$2:$AA$13},""Select Col2 Where Col1=""&amp;L1207))"),"")</f>
        <v/>
      </c>
      <c r="N1207" s="29" t="str">
        <f>IFERROR(__xludf.DUMMYFUNCTION("IF(ISBLANK(B1207),"""",IF(ISDATE(B1207),TEXT(B1207,""yyyy""),""""))"),"")</f>
        <v/>
      </c>
    </row>
    <row r="1208">
      <c r="B1208" s="89"/>
      <c r="C1208" s="86"/>
      <c r="D1208" s="71"/>
      <c r="H1208" s="90"/>
      <c r="J1208" s="53" t="str">
        <f>IFERROR(__xludf.DUMMYFUNCTION("IF(ISBLANK(B1208),"""",IF(ISDATE(B1208),""X"",""""))"),"")</f>
        <v/>
      </c>
      <c r="K1208" s="40" t="str">
        <f>IFERROR(__xludf.DUMMYFUNCTION("IF(ISBLANK(B1208),"""",IF(ISDATE(B1208),H1208,""""))"),"")</f>
        <v/>
      </c>
      <c r="L1208" s="40" t="str">
        <f>IFERROR(__xludf.DUMMYFUNCTION("IF(ISBLANK(B1208),"""",IF(ISDATE(B1208),TEXT(B1208,""M""),""""))"),"")</f>
        <v/>
      </c>
      <c r="M1208" s="29" t="str">
        <f>IFERROR(__xludf.DUMMYFUNCTION("IF(L1208="""","""",QUERY({'Dashboard-Dados'!$Y$2:$AA$13},""Select Col2 Where Col1=""&amp;L1208))"),"")</f>
        <v/>
      </c>
      <c r="N1208" s="29" t="str">
        <f>IFERROR(__xludf.DUMMYFUNCTION("IF(ISBLANK(B1208),"""",IF(ISDATE(B1208),TEXT(B1208,""yyyy""),""""))"),"")</f>
        <v/>
      </c>
    </row>
    <row r="1209">
      <c r="B1209" s="87"/>
      <c r="C1209" s="85"/>
      <c r="D1209" s="76"/>
      <c r="H1209" s="88"/>
      <c r="J1209" s="53" t="str">
        <f>IFERROR(__xludf.DUMMYFUNCTION("IF(ISBLANK(B1209),"""",IF(ISDATE(B1209),""X"",""""))"),"")</f>
        <v/>
      </c>
      <c r="K1209" s="40" t="str">
        <f>IFERROR(__xludf.DUMMYFUNCTION("IF(ISBLANK(B1209),"""",IF(ISDATE(B1209),H1209,""""))"),"")</f>
        <v/>
      </c>
      <c r="L1209" s="40" t="str">
        <f>IFERROR(__xludf.DUMMYFUNCTION("IF(ISBLANK(B1209),"""",IF(ISDATE(B1209),TEXT(B1209,""M""),""""))"),"")</f>
        <v/>
      </c>
      <c r="M1209" s="29" t="str">
        <f>IFERROR(__xludf.DUMMYFUNCTION("IF(L1209="""","""",QUERY({'Dashboard-Dados'!$Y$2:$AA$13},""Select Col2 Where Col1=""&amp;L1209))"),"")</f>
        <v/>
      </c>
      <c r="N1209" s="29" t="str">
        <f>IFERROR(__xludf.DUMMYFUNCTION("IF(ISBLANK(B1209),"""",IF(ISDATE(B1209),TEXT(B1209,""yyyy""),""""))"),"")</f>
        <v/>
      </c>
    </row>
    <row r="1210">
      <c r="B1210" s="89"/>
      <c r="C1210" s="86"/>
      <c r="D1210" s="71"/>
      <c r="H1210" s="90"/>
      <c r="J1210" s="53" t="str">
        <f>IFERROR(__xludf.DUMMYFUNCTION("IF(ISBLANK(B1210),"""",IF(ISDATE(B1210),""X"",""""))"),"")</f>
        <v/>
      </c>
      <c r="K1210" s="40" t="str">
        <f>IFERROR(__xludf.DUMMYFUNCTION("IF(ISBLANK(B1210),"""",IF(ISDATE(B1210),H1210,""""))"),"")</f>
        <v/>
      </c>
      <c r="L1210" s="40" t="str">
        <f>IFERROR(__xludf.DUMMYFUNCTION("IF(ISBLANK(B1210),"""",IF(ISDATE(B1210),TEXT(B1210,""M""),""""))"),"")</f>
        <v/>
      </c>
      <c r="M1210" s="29" t="str">
        <f>IFERROR(__xludf.DUMMYFUNCTION("IF(L1210="""","""",QUERY({'Dashboard-Dados'!$Y$2:$AA$13},""Select Col2 Where Col1=""&amp;L1210))"),"")</f>
        <v/>
      </c>
      <c r="N1210" s="29" t="str">
        <f>IFERROR(__xludf.DUMMYFUNCTION("IF(ISBLANK(B1210),"""",IF(ISDATE(B1210),TEXT(B1210,""yyyy""),""""))"),"")</f>
        <v/>
      </c>
    </row>
    <row r="1211">
      <c r="B1211" s="87"/>
      <c r="C1211" s="85"/>
      <c r="D1211" s="76"/>
      <c r="H1211" s="88"/>
      <c r="J1211" s="53" t="str">
        <f>IFERROR(__xludf.DUMMYFUNCTION("IF(ISBLANK(B1211),"""",IF(ISDATE(B1211),""X"",""""))"),"")</f>
        <v/>
      </c>
      <c r="K1211" s="40" t="str">
        <f>IFERROR(__xludf.DUMMYFUNCTION("IF(ISBLANK(B1211),"""",IF(ISDATE(B1211),H1211,""""))"),"")</f>
        <v/>
      </c>
      <c r="L1211" s="40" t="str">
        <f>IFERROR(__xludf.DUMMYFUNCTION("IF(ISBLANK(B1211),"""",IF(ISDATE(B1211),TEXT(B1211,""M""),""""))"),"")</f>
        <v/>
      </c>
      <c r="M1211" s="29" t="str">
        <f>IFERROR(__xludf.DUMMYFUNCTION("IF(L1211="""","""",QUERY({'Dashboard-Dados'!$Y$2:$AA$13},""Select Col2 Where Col1=""&amp;L1211))"),"")</f>
        <v/>
      </c>
      <c r="N1211" s="29" t="str">
        <f>IFERROR(__xludf.DUMMYFUNCTION("IF(ISBLANK(B1211),"""",IF(ISDATE(B1211),TEXT(B1211,""yyyy""),""""))"),"")</f>
        <v/>
      </c>
    </row>
    <row r="1212">
      <c r="B1212" s="89"/>
      <c r="C1212" s="86"/>
      <c r="D1212" s="71"/>
      <c r="H1212" s="90"/>
      <c r="J1212" s="53" t="str">
        <f>IFERROR(__xludf.DUMMYFUNCTION("IF(ISBLANK(B1212),"""",IF(ISDATE(B1212),""X"",""""))"),"")</f>
        <v/>
      </c>
      <c r="K1212" s="40" t="str">
        <f>IFERROR(__xludf.DUMMYFUNCTION("IF(ISBLANK(B1212),"""",IF(ISDATE(B1212),H1212,""""))"),"")</f>
        <v/>
      </c>
      <c r="L1212" s="40" t="str">
        <f>IFERROR(__xludf.DUMMYFUNCTION("IF(ISBLANK(B1212),"""",IF(ISDATE(B1212),TEXT(B1212,""M""),""""))"),"")</f>
        <v/>
      </c>
      <c r="M1212" s="29" t="str">
        <f>IFERROR(__xludf.DUMMYFUNCTION("IF(L1212="""","""",QUERY({'Dashboard-Dados'!$Y$2:$AA$13},""Select Col2 Where Col1=""&amp;L1212))"),"")</f>
        <v/>
      </c>
      <c r="N1212" s="29" t="str">
        <f>IFERROR(__xludf.DUMMYFUNCTION("IF(ISBLANK(B1212),"""",IF(ISDATE(B1212),TEXT(B1212,""yyyy""),""""))"),"")</f>
        <v/>
      </c>
    </row>
    <row r="1213">
      <c r="B1213" s="87"/>
      <c r="C1213" s="85"/>
      <c r="D1213" s="76"/>
      <c r="H1213" s="88"/>
      <c r="J1213" s="53" t="str">
        <f>IFERROR(__xludf.DUMMYFUNCTION("IF(ISBLANK(B1213),"""",IF(ISDATE(B1213),""X"",""""))"),"")</f>
        <v/>
      </c>
      <c r="K1213" s="40" t="str">
        <f>IFERROR(__xludf.DUMMYFUNCTION("IF(ISBLANK(B1213),"""",IF(ISDATE(B1213),H1213,""""))"),"")</f>
        <v/>
      </c>
      <c r="L1213" s="40" t="str">
        <f>IFERROR(__xludf.DUMMYFUNCTION("IF(ISBLANK(B1213),"""",IF(ISDATE(B1213),TEXT(B1213,""M""),""""))"),"")</f>
        <v/>
      </c>
      <c r="M1213" s="29" t="str">
        <f>IFERROR(__xludf.DUMMYFUNCTION("IF(L1213="""","""",QUERY({'Dashboard-Dados'!$Y$2:$AA$13},""Select Col2 Where Col1=""&amp;L1213))"),"")</f>
        <v/>
      </c>
      <c r="N1213" s="29" t="str">
        <f>IFERROR(__xludf.DUMMYFUNCTION("IF(ISBLANK(B1213),"""",IF(ISDATE(B1213),TEXT(B1213,""yyyy""),""""))"),"")</f>
        <v/>
      </c>
    </row>
    <row r="1214">
      <c r="B1214" s="89"/>
      <c r="C1214" s="86"/>
      <c r="D1214" s="71"/>
      <c r="H1214" s="90"/>
      <c r="J1214" s="53" t="str">
        <f>IFERROR(__xludf.DUMMYFUNCTION("IF(ISBLANK(B1214),"""",IF(ISDATE(B1214),""X"",""""))"),"")</f>
        <v/>
      </c>
      <c r="K1214" s="40" t="str">
        <f>IFERROR(__xludf.DUMMYFUNCTION("IF(ISBLANK(B1214),"""",IF(ISDATE(B1214),H1214,""""))"),"")</f>
        <v/>
      </c>
      <c r="L1214" s="40" t="str">
        <f>IFERROR(__xludf.DUMMYFUNCTION("IF(ISBLANK(B1214),"""",IF(ISDATE(B1214),TEXT(B1214,""M""),""""))"),"")</f>
        <v/>
      </c>
      <c r="M1214" s="29" t="str">
        <f>IFERROR(__xludf.DUMMYFUNCTION("IF(L1214="""","""",QUERY({'Dashboard-Dados'!$Y$2:$AA$13},""Select Col2 Where Col1=""&amp;L1214))"),"")</f>
        <v/>
      </c>
      <c r="N1214" s="29" t="str">
        <f>IFERROR(__xludf.DUMMYFUNCTION("IF(ISBLANK(B1214),"""",IF(ISDATE(B1214),TEXT(B1214,""yyyy""),""""))"),"")</f>
        <v/>
      </c>
    </row>
    <row r="1215">
      <c r="B1215" s="87"/>
      <c r="C1215" s="85"/>
      <c r="D1215" s="76"/>
      <c r="H1215" s="88"/>
      <c r="J1215" s="53" t="str">
        <f>IFERROR(__xludf.DUMMYFUNCTION("IF(ISBLANK(B1215),"""",IF(ISDATE(B1215),""X"",""""))"),"")</f>
        <v/>
      </c>
      <c r="K1215" s="40" t="str">
        <f>IFERROR(__xludf.DUMMYFUNCTION("IF(ISBLANK(B1215),"""",IF(ISDATE(B1215),H1215,""""))"),"")</f>
        <v/>
      </c>
      <c r="L1215" s="40" t="str">
        <f>IFERROR(__xludf.DUMMYFUNCTION("IF(ISBLANK(B1215),"""",IF(ISDATE(B1215),TEXT(B1215,""M""),""""))"),"")</f>
        <v/>
      </c>
      <c r="M1215" s="29" t="str">
        <f>IFERROR(__xludf.DUMMYFUNCTION("IF(L1215="""","""",QUERY({'Dashboard-Dados'!$Y$2:$AA$13},""Select Col2 Where Col1=""&amp;L1215))"),"")</f>
        <v/>
      </c>
      <c r="N1215" s="29" t="str">
        <f>IFERROR(__xludf.DUMMYFUNCTION("IF(ISBLANK(B1215),"""",IF(ISDATE(B1215),TEXT(B1215,""yyyy""),""""))"),"")</f>
        <v/>
      </c>
    </row>
    <row r="1216">
      <c r="B1216" s="89"/>
      <c r="C1216" s="86"/>
      <c r="D1216" s="71"/>
      <c r="H1216" s="90"/>
      <c r="J1216" s="53" t="str">
        <f>IFERROR(__xludf.DUMMYFUNCTION("IF(ISBLANK(B1216),"""",IF(ISDATE(B1216),""X"",""""))"),"")</f>
        <v/>
      </c>
      <c r="K1216" s="40" t="str">
        <f>IFERROR(__xludf.DUMMYFUNCTION("IF(ISBLANK(B1216),"""",IF(ISDATE(B1216),H1216,""""))"),"")</f>
        <v/>
      </c>
      <c r="L1216" s="40" t="str">
        <f>IFERROR(__xludf.DUMMYFUNCTION("IF(ISBLANK(B1216),"""",IF(ISDATE(B1216),TEXT(B1216,""M""),""""))"),"")</f>
        <v/>
      </c>
      <c r="M1216" s="29" t="str">
        <f>IFERROR(__xludf.DUMMYFUNCTION("IF(L1216="""","""",QUERY({'Dashboard-Dados'!$Y$2:$AA$13},""Select Col2 Where Col1=""&amp;L1216))"),"")</f>
        <v/>
      </c>
      <c r="N1216" s="29" t="str">
        <f>IFERROR(__xludf.DUMMYFUNCTION("IF(ISBLANK(B1216),"""",IF(ISDATE(B1216),TEXT(B1216,""yyyy""),""""))"),"")</f>
        <v/>
      </c>
    </row>
    <row r="1217">
      <c r="B1217" s="87"/>
      <c r="C1217" s="85"/>
      <c r="D1217" s="76"/>
      <c r="H1217" s="88"/>
      <c r="J1217" s="53" t="str">
        <f>IFERROR(__xludf.DUMMYFUNCTION("IF(ISBLANK(B1217),"""",IF(ISDATE(B1217),""X"",""""))"),"")</f>
        <v/>
      </c>
      <c r="K1217" s="40" t="str">
        <f>IFERROR(__xludf.DUMMYFUNCTION("IF(ISBLANK(B1217),"""",IF(ISDATE(B1217),H1217,""""))"),"")</f>
        <v/>
      </c>
      <c r="L1217" s="40" t="str">
        <f>IFERROR(__xludf.DUMMYFUNCTION("IF(ISBLANK(B1217),"""",IF(ISDATE(B1217),TEXT(B1217,""M""),""""))"),"")</f>
        <v/>
      </c>
      <c r="M1217" s="29" t="str">
        <f>IFERROR(__xludf.DUMMYFUNCTION("IF(L1217="""","""",QUERY({'Dashboard-Dados'!$Y$2:$AA$13},""Select Col2 Where Col1=""&amp;L1217))"),"")</f>
        <v/>
      </c>
      <c r="N1217" s="29" t="str">
        <f>IFERROR(__xludf.DUMMYFUNCTION("IF(ISBLANK(B1217),"""",IF(ISDATE(B1217),TEXT(B1217,""yyyy""),""""))"),"")</f>
        <v/>
      </c>
    </row>
    <row r="1218">
      <c r="B1218" s="89"/>
      <c r="C1218" s="86"/>
      <c r="D1218" s="71"/>
      <c r="H1218" s="90"/>
      <c r="J1218" s="53" t="str">
        <f>IFERROR(__xludf.DUMMYFUNCTION("IF(ISBLANK(B1218),"""",IF(ISDATE(B1218),""X"",""""))"),"")</f>
        <v/>
      </c>
      <c r="K1218" s="40" t="str">
        <f>IFERROR(__xludf.DUMMYFUNCTION("IF(ISBLANK(B1218),"""",IF(ISDATE(B1218),H1218,""""))"),"")</f>
        <v/>
      </c>
      <c r="L1218" s="40" t="str">
        <f>IFERROR(__xludf.DUMMYFUNCTION("IF(ISBLANK(B1218),"""",IF(ISDATE(B1218),TEXT(B1218,""M""),""""))"),"")</f>
        <v/>
      </c>
      <c r="M1218" s="29" t="str">
        <f>IFERROR(__xludf.DUMMYFUNCTION("IF(L1218="""","""",QUERY({'Dashboard-Dados'!$Y$2:$AA$13},""Select Col2 Where Col1=""&amp;L1218))"),"")</f>
        <v/>
      </c>
      <c r="N1218" s="29" t="str">
        <f>IFERROR(__xludf.DUMMYFUNCTION("IF(ISBLANK(B1218),"""",IF(ISDATE(B1218),TEXT(B1218,""yyyy""),""""))"),"")</f>
        <v/>
      </c>
    </row>
    <row r="1219">
      <c r="B1219" s="87"/>
      <c r="C1219" s="85"/>
      <c r="D1219" s="76"/>
      <c r="H1219" s="88"/>
      <c r="J1219" s="53" t="str">
        <f>IFERROR(__xludf.DUMMYFUNCTION("IF(ISBLANK(B1219),"""",IF(ISDATE(B1219),""X"",""""))"),"")</f>
        <v/>
      </c>
      <c r="K1219" s="40" t="str">
        <f>IFERROR(__xludf.DUMMYFUNCTION("IF(ISBLANK(B1219),"""",IF(ISDATE(B1219),H1219,""""))"),"")</f>
        <v/>
      </c>
      <c r="L1219" s="40" t="str">
        <f>IFERROR(__xludf.DUMMYFUNCTION("IF(ISBLANK(B1219),"""",IF(ISDATE(B1219),TEXT(B1219,""M""),""""))"),"")</f>
        <v/>
      </c>
      <c r="M1219" s="29" t="str">
        <f>IFERROR(__xludf.DUMMYFUNCTION("IF(L1219="""","""",QUERY({'Dashboard-Dados'!$Y$2:$AA$13},""Select Col2 Where Col1=""&amp;L1219))"),"")</f>
        <v/>
      </c>
      <c r="N1219" s="29" t="str">
        <f>IFERROR(__xludf.DUMMYFUNCTION("IF(ISBLANK(B1219),"""",IF(ISDATE(B1219),TEXT(B1219,""yyyy""),""""))"),"")</f>
        <v/>
      </c>
    </row>
    <row r="1220">
      <c r="B1220" s="89"/>
      <c r="C1220" s="86"/>
      <c r="D1220" s="71"/>
      <c r="H1220" s="90"/>
      <c r="J1220" s="53" t="str">
        <f>IFERROR(__xludf.DUMMYFUNCTION("IF(ISBLANK(B1220),"""",IF(ISDATE(B1220),""X"",""""))"),"")</f>
        <v/>
      </c>
      <c r="K1220" s="40" t="str">
        <f>IFERROR(__xludf.DUMMYFUNCTION("IF(ISBLANK(B1220),"""",IF(ISDATE(B1220),H1220,""""))"),"")</f>
        <v/>
      </c>
      <c r="L1220" s="40" t="str">
        <f>IFERROR(__xludf.DUMMYFUNCTION("IF(ISBLANK(B1220),"""",IF(ISDATE(B1220),TEXT(B1220,""M""),""""))"),"")</f>
        <v/>
      </c>
      <c r="M1220" s="29" t="str">
        <f>IFERROR(__xludf.DUMMYFUNCTION("IF(L1220="""","""",QUERY({'Dashboard-Dados'!$Y$2:$AA$13},""Select Col2 Where Col1=""&amp;L1220))"),"")</f>
        <v/>
      </c>
      <c r="N1220" s="29" t="str">
        <f>IFERROR(__xludf.DUMMYFUNCTION("IF(ISBLANK(B1220),"""",IF(ISDATE(B1220),TEXT(B1220,""yyyy""),""""))"),"")</f>
        <v/>
      </c>
    </row>
    <row r="1221">
      <c r="B1221" s="87"/>
      <c r="C1221" s="85"/>
      <c r="D1221" s="76"/>
      <c r="H1221" s="88"/>
      <c r="J1221" s="53" t="str">
        <f>IFERROR(__xludf.DUMMYFUNCTION("IF(ISBLANK(B1221),"""",IF(ISDATE(B1221),""X"",""""))"),"")</f>
        <v/>
      </c>
      <c r="K1221" s="40" t="str">
        <f>IFERROR(__xludf.DUMMYFUNCTION("IF(ISBLANK(B1221),"""",IF(ISDATE(B1221),H1221,""""))"),"")</f>
        <v/>
      </c>
      <c r="L1221" s="40" t="str">
        <f>IFERROR(__xludf.DUMMYFUNCTION("IF(ISBLANK(B1221),"""",IF(ISDATE(B1221),TEXT(B1221,""M""),""""))"),"")</f>
        <v/>
      </c>
      <c r="M1221" s="29" t="str">
        <f>IFERROR(__xludf.DUMMYFUNCTION("IF(L1221="""","""",QUERY({'Dashboard-Dados'!$Y$2:$AA$13},""Select Col2 Where Col1=""&amp;L1221))"),"")</f>
        <v/>
      </c>
      <c r="N1221" s="29" t="str">
        <f>IFERROR(__xludf.DUMMYFUNCTION("IF(ISBLANK(B1221),"""",IF(ISDATE(B1221),TEXT(B1221,""yyyy""),""""))"),"")</f>
        <v/>
      </c>
    </row>
    <row r="1222">
      <c r="B1222" s="89"/>
      <c r="C1222" s="86"/>
      <c r="D1222" s="71"/>
      <c r="H1222" s="90"/>
      <c r="J1222" s="53" t="str">
        <f>IFERROR(__xludf.DUMMYFUNCTION("IF(ISBLANK(B1222),"""",IF(ISDATE(B1222),""X"",""""))"),"")</f>
        <v/>
      </c>
      <c r="K1222" s="40" t="str">
        <f>IFERROR(__xludf.DUMMYFUNCTION("IF(ISBLANK(B1222),"""",IF(ISDATE(B1222),H1222,""""))"),"")</f>
        <v/>
      </c>
      <c r="L1222" s="40" t="str">
        <f>IFERROR(__xludf.DUMMYFUNCTION("IF(ISBLANK(B1222),"""",IF(ISDATE(B1222),TEXT(B1222,""M""),""""))"),"")</f>
        <v/>
      </c>
      <c r="M1222" s="29" t="str">
        <f>IFERROR(__xludf.DUMMYFUNCTION("IF(L1222="""","""",QUERY({'Dashboard-Dados'!$Y$2:$AA$13},""Select Col2 Where Col1=""&amp;L1222))"),"")</f>
        <v/>
      </c>
      <c r="N1222" s="29" t="str">
        <f>IFERROR(__xludf.DUMMYFUNCTION("IF(ISBLANK(B1222),"""",IF(ISDATE(B1222),TEXT(B1222,""yyyy""),""""))"),"")</f>
        <v/>
      </c>
    </row>
    <row r="1223">
      <c r="B1223" s="87"/>
      <c r="C1223" s="85"/>
      <c r="D1223" s="76"/>
      <c r="H1223" s="88"/>
      <c r="J1223" s="53" t="str">
        <f>IFERROR(__xludf.DUMMYFUNCTION("IF(ISBLANK(B1223),"""",IF(ISDATE(B1223),""X"",""""))"),"")</f>
        <v/>
      </c>
      <c r="K1223" s="40" t="str">
        <f>IFERROR(__xludf.DUMMYFUNCTION("IF(ISBLANK(B1223),"""",IF(ISDATE(B1223),H1223,""""))"),"")</f>
        <v/>
      </c>
      <c r="L1223" s="40" t="str">
        <f>IFERROR(__xludf.DUMMYFUNCTION("IF(ISBLANK(B1223),"""",IF(ISDATE(B1223),TEXT(B1223,""M""),""""))"),"")</f>
        <v/>
      </c>
      <c r="M1223" s="29" t="str">
        <f>IFERROR(__xludf.DUMMYFUNCTION("IF(L1223="""","""",QUERY({'Dashboard-Dados'!$Y$2:$AA$13},""Select Col2 Where Col1=""&amp;L1223))"),"")</f>
        <v/>
      </c>
      <c r="N1223" s="29" t="str">
        <f>IFERROR(__xludf.DUMMYFUNCTION("IF(ISBLANK(B1223),"""",IF(ISDATE(B1223),TEXT(B1223,""yyyy""),""""))"),"")</f>
        <v/>
      </c>
    </row>
    <row r="1224">
      <c r="B1224" s="89"/>
      <c r="C1224" s="86"/>
      <c r="D1224" s="71"/>
      <c r="H1224" s="90"/>
      <c r="J1224" s="53" t="str">
        <f>IFERROR(__xludf.DUMMYFUNCTION("IF(ISBLANK(B1224),"""",IF(ISDATE(B1224),""X"",""""))"),"")</f>
        <v/>
      </c>
      <c r="K1224" s="40" t="str">
        <f>IFERROR(__xludf.DUMMYFUNCTION("IF(ISBLANK(B1224),"""",IF(ISDATE(B1224),H1224,""""))"),"")</f>
        <v/>
      </c>
      <c r="L1224" s="40" t="str">
        <f>IFERROR(__xludf.DUMMYFUNCTION("IF(ISBLANK(B1224),"""",IF(ISDATE(B1224),TEXT(B1224,""M""),""""))"),"")</f>
        <v/>
      </c>
      <c r="M1224" s="29" t="str">
        <f>IFERROR(__xludf.DUMMYFUNCTION("IF(L1224="""","""",QUERY({'Dashboard-Dados'!$Y$2:$AA$13},""Select Col2 Where Col1=""&amp;L1224))"),"")</f>
        <v/>
      </c>
      <c r="N1224" s="29" t="str">
        <f>IFERROR(__xludf.DUMMYFUNCTION("IF(ISBLANK(B1224),"""",IF(ISDATE(B1224),TEXT(B1224,""yyyy""),""""))"),"")</f>
        <v/>
      </c>
    </row>
    <row r="1225">
      <c r="B1225" s="87"/>
      <c r="C1225" s="85"/>
      <c r="D1225" s="76"/>
      <c r="H1225" s="88"/>
      <c r="J1225" s="53" t="str">
        <f>IFERROR(__xludf.DUMMYFUNCTION("IF(ISBLANK(B1225),"""",IF(ISDATE(B1225),""X"",""""))"),"")</f>
        <v/>
      </c>
      <c r="K1225" s="40" t="str">
        <f>IFERROR(__xludf.DUMMYFUNCTION("IF(ISBLANK(B1225),"""",IF(ISDATE(B1225),H1225,""""))"),"")</f>
        <v/>
      </c>
      <c r="L1225" s="40" t="str">
        <f>IFERROR(__xludf.DUMMYFUNCTION("IF(ISBLANK(B1225),"""",IF(ISDATE(B1225),TEXT(B1225,""M""),""""))"),"")</f>
        <v/>
      </c>
      <c r="M1225" s="29" t="str">
        <f>IFERROR(__xludf.DUMMYFUNCTION("IF(L1225="""","""",QUERY({'Dashboard-Dados'!$Y$2:$AA$13},""Select Col2 Where Col1=""&amp;L1225))"),"")</f>
        <v/>
      </c>
      <c r="N1225" s="29" t="str">
        <f>IFERROR(__xludf.DUMMYFUNCTION("IF(ISBLANK(B1225),"""",IF(ISDATE(B1225),TEXT(B1225,""yyyy""),""""))"),"")</f>
        <v/>
      </c>
    </row>
    <row r="1226">
      <c r="B1226" s="89"/>
      <c r="C1226" s="86"/>
      <c r="D1226" s="71"/>
      <c r="H1226" s="90"/>
      <c r="J1226" s="53" t="str">
        <f>IFERROR(__xludf.DUMMYFUNCTION("IF(ISBLANK(B1226),"""",IF(ISDATE(B1226),""X"",""""))"),"")</f>
        <v/>
      </c>
      <c r="K1226" s="40" t="str">
        <f>IFERROR(__xludf.DUMMYFUNCTION("IF(ISBLANK(B1226),"""",IF(ISDATE(B1226),H1226,""""))"),"")</f>
        <v/>
      </c>
      <c r="L1226" s="40" t="str">
        <f>IFERROR(__xludf.DUMMYFUNCTION("IF(ISBLANK(B1226),"""",IF(ISDATE(B1226),TEXT(B1226,""M""),""""))"),"")</f>
        <v/>
      </c>
      <c r="M1226" s="29" t="str">
        <f>IFERROR(__xludf.DUMMYFUNCTION("IF(L1226="""","""",QUERY({'Dashboard-Dados'!$Y$2:$AA$13},""Select Col2 Where Col1=""&amp;L1226))"),"")</f>
        <v/>
      </c>
      <c r="N1226" s="29" t="str">
        <f>IFERROR(__xludf.DUMMYFUNCTION("IF(ISBLANK(B1226),"""",IF(ISDATE(B1226),TEXT(B1226,""yyyy""),""""))"),"")</f>
        <v/>
      </c>
    </row>
    <row r="1227">
      <c r="B1227" s="87"/>
      <c r="C1227" s="85"/>
      <c r="D1227" s="76"/>
      <c r="H1227" s="88"/>
      <c r="J1227" s="53" t="str">
        <f>IFERROR(__xludf.DUMMYFUNCTION("IF(ISBLANK(B1227),"""",IF(ISDATE(B1227),""X"",""""))"),"")</f>
        <v/>
      </c>
      <c r="K1227" s="40" t="str">
        <f>IFERROR(__xludf.DUMMYFUNCTION("IF(ISBLANK(B1227),"""",IF(ISDATE(B1227),H1227,""""))"),"")</f>
        <v/>
      </c>
      <c r="L1227" s="40" t="str">
        <f>IFERROR(__xludf.DUMMYFUNCTION("IF(ISBLANK(B1227),"""",IF(ISDATE(B1227),TEXT(B1227,""M""),""""))"),"")</f>
        <v/>
      </c>
      <c r="M1227" s="29" t="str">
        <f>IFERROR(__xludf.DUMMYFUNCTION("IF(L1227="""","""",QUERY({'Dashboard-Dados'!$Y$2:$AA$13},""Select Col2 Where Col1=""&amp;L1227))"),"")</f>
        <v/>
      </c>
      <c r="N1227" s="29" t="str">
        <f>IFERROR(__xludf.DUMMYFUNCTION("IF(ISBLANK(B1227),"""",IF(ISDATE(B1227),TEXT(B1227,""yyyy""),""""))"),"")</f>
        <v/>
      </c>
    </row>
    <row r="1228">
      <c r="B1228" s="89"/>
      <c r="C1228" s="86"/>
      <c r="D1228" s="71"/>
      <c r="H1228" s="90"/>
      <c r="J1228" s="53" t="str">
        <f>IFERROR(__xludf.DUMMYFUNCTION("IF(ISBLANK(B1228),"""",IF(ISDATE(B1228),""X"",""""))"),"")</f>
        <v/>
      </c>
      <c r="K1228" s="40" t="str">
        <f>IFERROR(__xludf.DUMMYFUNCTION("IF(ISBLANK(B1228),"""",IF(ISDATE(B1228),H1228,""""))"),"")</f>
        <v/>
      </c>
      <c r="L1228" s="40" t="str">
        <f>IFERROR(__xludf.DUMMYFUNCTION("IF(ISBLANK(B1228),"""",IF(ISDATE(B1228),TEXT(B1228,""M""),""""))"),"")</f>
        <v/>
      </c>
      <c r="M1228" s="29" t="str">
        <f>IFERROR(__xludf.DUMMYFUNCTION("IF(L1228="""","""",QUERY({'Dashboard-Dados'!$Y$2:$AA$13},""Select Col2 Where Col1=""&amp;L1228))"),"")</f>
        <v/>
      </c>
      <c r="N1228" s="29" t="str">
        <f>IFERROR(__xludf.DUMMYFUNCTION("IF(ISBLANK(B1228),"""",IF(ISDATE(B1228),TEXT(B1228,""yyyy""),""""))"),"")</f>
        <v/>
      </c>
    </row>
    <row r="1229">
      <c r="B1229" s="87"/>
      <c r="C1229" s="85"/>
      <c r="D1229" s="76"/>
      <c r="H1229" s="88"/>
      <c r="J1229" s="53" t="str">
        <f>IFERROR(__xludf.DUMMYFUNCTION("IF(ISBLANK(B1229),"""",IF(ISDATE(B1229),""X"",""""))"),"")</f>
        <v/>
      </c>
      <c r="K1229" s="40" t="str">
        <f>IFERROR(__xludf.DUMMYFUNCTION("IF(ISBLANK(B1229),"""",IF(ISDATE(B1229),H1229,""""))"),"")</f>
        <v/>
      </c>
      <c r="L1229" s="40" t="str">
        <f>IFERROR(__xludf.DUMMYFUNCTION("IF(ISBLANK(B1229),"""",IF(ISDATE(B1229),TEXT(B1229,""M""),""""))"),"")</f>
        <v/>
      </c>
      <c r="M1229" s="29" t="str">
        <f>IFERROR(__xludf.DUMMYFUNCTION("IF(L1229="""","""",QUERY({'Dashboard-Dados'!$Y$2:$AA$13},""Select Col2 Where Col1=""&amp;L1229))"),"")</f>
        <v/>
      </c>
      <c r="N1229" s="29" t="str">
        <f>IFERROR(__xludf.DUMMYFUNCTION("IF(ISBLANK(B1229),"""",IF(ISDATE(B1229),TEXT(B1229,""yyyy""),""""))"),"")</f>
        <v/>
      </c>
    </row>
    <row r="1230">
      <c r="B1230" s="89"/>
      <c r="C1230" s="86"/>
      <c r="D1230" s="71"/>
      <c r="H1230" s="90"/>
      <c r="J1230" s="53" t="str">
        <f>IFERROR(__xludf.DUMMYFUNCTION("IF(ISBLANK(B1230),"""",IF(ISDATE(B1230),""X"",""""))"),"")</f>
        <v/>
      </c>
      <c r="K1230" s="40" t="str">
        <f>IFERROR(__xludf.DUMMYFUNCTION("IF(ISBLANK(B1230),"""",IF(ISDATE(B1230),H1230,""""))"),"")</f>
        <v/>
      </c>
      <c r="L1230" s="40" t="str">
        <f>IFERROR(__xludf.DUMMYFUNCTION("IF(ISBLANK(B1230),"""",IF(ISDATE(B1230),TEXT(B1230,""M""),""""))"),"")</f>
        <v/>
      </c>
      <c r="M1230" s="29" t="str">
        <f>IFERROR(__xludf.DUMMYFUNCTION("IF(L1230="""","""",QUERY({'Dashboard-Dados'!$Y$2:$AA$13},""Select Col2 Where Col1=""&amp;L1230))"),"")</f>
        <v/>
      </c>
      <c r="N1230" s="29" t="str">
        <f>IFERROR(__xludf.DUMMYFUNCTION("IF(ISBLANK(B1230),"""",IF(ISDATE(B1230),TEXT(B1230,""yyyy""),""""))"),"")</f>
        <v/>
      </c>
    </row>
    <row r="1231">
      <c r="B1231" s="87"/>
      <c r="C1231" s="85"/>
      <c r="D1231" s="76"/>
      <c r="H1231" s="88"/>
      <c r="J1231" s="53" t="str">
        <f>IFERROR(__xludf.DUMMYFUNCTION("IF(ISBLANK(B1231),"""",IF(ISDATE(B1231),""X"",""""))"),"")</f>
        <v/>
      </c>
      <c r="K1231" s="40" t="str">
        <f>IFERROR(__xludf.DUMMYFUNCTION("IF(ISBLANK(B1231),"""",IF(ISDATE(B1231),H1231,""""))"),"")</f>
        <v/>
      </c>
      <c r="L1231" s="40" t="str">
        <f>IFERROR(__xludf.DUMMYFUNCTION("IF(ISBLANK(B1231),"""",IF(ISDATE(B1231),TEXT(B1231,""M""),""""))"),"")</f>
        <v/>
      </c>
      <c r="M1231" s="29" t="str">
        <f>IFERROR(__xludf.DUMMYFUNCTION("IF(L1231="""","""",QUERY({'Dashboard-Dados'!$Y$2:$AA$13},""Select Col2 Where Col1=""&amp;L1231))"),"")</f>
        <v/>
      </c>
      <c r="N1231" s="29" t="str">
        <f>IFERROR(__xludf.DUMMYFUNCTION("IF(ISBLANK(B1231),"""",IF(ISDATE(B1231),TEXT(B1231,""yyyy""),""""))"),"")</f>
        <v/>
      </c>
    </row>
    <row r="1232">
      <c r="B1232" s="89"/>
      <c r="C1232" s="86"/>
      <c r="D1232" s="71"/>
      <c r="H1232" s="90"/>
      <c r="J1232" s="53" t="str">
        <f>IFERROR(__xludf.DUMMYFUNCTION("IF(ISBLANK(B1232),"""",IF(ISDATE(B1232),""X"",""""))"),"")</f>
        <v/>
      </c>
      <c r="K1232" s="40" t="str">
        <f>IFERROR(__xludf.DUMMYFUNCTION("IF(ISBLANK(B1232),"""",IF(ISDATE(B1232),H1232,""""))"),"")</f>
        <v/>
      </c>
      <c r="L1232" s="40" t="str">
        <f>IFERROR(__xludf.DUMMYFUNCTION("IF(ISBLANK(B1232),"""",IF(ISDATE(B1232),TEXT(B1232,""M""),""""))"),"")</f>
        <v/>
      </c>
      <c r="M1232" s="29" t="str">
        <f>IFERROR(__xludf.DUMMYFUNCTION("IF(L1232="""","""",QUERY({'Dashboard-Dados'!$Y$2:$AA$13},""Select Col2 Where Col1=""&amp;L1232))"),"")</f>
        <v/>
      </c>
      <c r="N1232" s="29" t="str">
        <f>IFERROR(__xludf.DUMMYFUNCTION("IF(ISBLANK(B1232),"""",IF(ISDATE(B1232),TEXT(B1232,""yyyy""),""""))"),"")</f>
        <v/>
      </c>
    </row>
    <row r="1233">
      <c r="B1233" s="87"/>
      <c r="C1233" s="85"/>
      <c r="D1233" s="76"/>
      <c r="H1233" s="88"/>
      <c r="J1233" s="53" t="str">
        <f>IFERROR(__xludf.DUMMYFUNCTION("IF(ISBLANK(B1233),"""",IF(ISDATE(B1233),""X"",""""))"),"")</f>
        <v/>
      </c>
      <c r="K1233" s="40" t="str">
        <f>IFERROR(__xludf.DUMMYFUNCTION("IF(ISBLANK(B1233),"""",IF(ISDATE(B1233),H1233,""""))"),"")</f>
        <v/>
      </c>
      <c r="L1233" s="40" t="str">
        <f>IFERROR(__xludf.DUMMYFUNCTION("IF(ISBLANK(B1233),"""",IF(ISDATE(B1233),TEXT(B1233,""M""),""""))"),"")</f>
        <v/>
      </c>
      <c r="M1233" s="29" t="str">
        <f>IFERROR(__xludf.DUMMYFUNCTION("IF(L1233="""","""",QUERY({'Dashboard-Dados'!$Y$2:$AA$13},""Select Col2 Where Col1=""&amp;L1233))"),"")</f>
        <v/>
      </c>
      <c r="N1233" s="29" t="str">
        <f>IFERROR(__xludf.DUMMYFUNCTION("IF(ISBLANK(B1233),"""",IF(ISDATE(B1233),TEXT(B1233,""yyyy""),""""))"),"")</f>
        <v/>
      </c>
    </row>
    <row r="1234">
      <c r="B1234" s="89"/>
      <c r="C1234" s="86"/>
      <c r="D1234" s="71"/>
      <c r="H1234" s="90"/>
      <c r="J1234" s="53" t="str">
        <f>IFERROR(__xludf.DUMMYFUNCTION("IF(ISBLANK(B1234),"""",IF(ISDATE(B1234),""X"",""""))"),"")</f>
        <v/>
      </c>
      <c r="K1234" s="40" t="str">
        <f>IFERROR(__xludf.DUMMYFUNCTION("IF(ISBLANK(B1234),"""",IF(ISDATE(B1234),H1234,""""))"),"")</f>
        <v/>
      </c>
      <c r="L1234" s="40" t="str">
        <f>IFERROR(__xludf.DUMMYFUNCTION("IF(ISBLANK(B1234),"""",IF(ISDATE(B1234),TEXT(B1234,""M""),""""))"),"")</f>
        <v/>
      </c>
      <c r="M1234" s="29" t="str">
        <f>IFERROR(__xludf.DUMMYFUNCTION("IF(L1234="""","""",QUERY({'Dashboard-Dados'!$Y$2:$AA$13},""Select Col2 Where Col1=""&amp;L1234))"),"")</f>
        <v/>
      </c>
      <c r="N1234" s="29" t="str">
        <f>IFERROR(__xludf.DUMMYFUNCTION("IF(ISBLANK(B1234),"""",IF(ISDATE(B1234),TEXT(B1234,""yyyy""),""""))"),"")</f>
        <v/>
      </c>
    </row>
    <row r="1235">
      <c r="B1235" s="87"/>
      <c r="C1235" s="85"/>
      <c r="D1235" s="76"/>
      <c r="H1235" s="88"/>
      <c r="J1235" s="53" t="str">
        <f>IFERROR(__xludf.DUMMYFUNCTION("IF(ISBLANK(B1235),"""",IF(ISDATE(B1235),""X"",""""))"),"")</f>
        <v/>
      </c>
      <c r="K1235" s="40" t="str">
        <f>IFERROR(__xludf.DUMMYFUNCTION("IF(ISBLANK(B1235),"""",IF(ISDATE(B1235),H1235,""""))"),"")</f>
        <v/>
      </c>
      <c r="L1235" s="40" t="str">
        <f>IFERROR(__xludf.DUMMYFUNCTION("IF(ISBLANK(B1235),"""",IF(ISDATE(B1235),TEXT(B1235,""M""),""""))"),"")</f>
        <v/>
      </c>
      <c r="M1235" s="29" t="str">
        <f>IFERROR(__xludf.DUMMYFUNCTION("IF(L1235="""","""",QUERY({'Dashboard-Dados'!$Y$2:$AA$13},""Select Col2 Where Col1=""&amp;L1235))"),"")</f>
        <v/>
      </c>
      <c r="N1235" s="29" t="str">
        <f>IFERROR(__xludf.DUMMYFUNCTION("IF(ISBLANK(B1235),"""",IF(ISDATE(B1235),TEXT(B1235,""yyyy""),""""))"),"")</f>
        <v/>
      </c>
    </row>
    <row r="1236">
      <c r="B1236" s="89"/>
      <c r="C1236" s="86"/>
      <c r="D1236" s="71"/>
      <c r="H1236" s="90"/>
      <c r="J1236" s="53" t="str">
        <f>IFERROR(__xludf.DUMMYFUNCTION("IF(ISBLANK(B1236),"""",IF(ISDATE(B1236),""X"",""""))"),"")</f>
        <v/>
      </c>
      <c r="K1236" s="40" t="str">
        <f>IFERROR(__xludf.DUMMYFUNCTION("IF(ISBLANK(B1236),"""",IF(ISDATE(B1236),H1236,""""))"),"")</f>
        <v/>
      </c>
      <c r="L1236" s="40" t="str">
        <f>IFERROR(__xludf.DUMMYFUNCTION("IF(ISBLANK(B1236),"""",IF(ISDATE(B1236),TEXT(B1236,""M""),""""))"),"")</f>
        <v/>
      </c>
      <c r="M1236" s="29" t="str">
        <f>IFERROR(__xludf.DUMMYFUNCTION("IF(L1236="""","""",QUERY({'Dashboard-Dados'!$Y$2:$AA$13},""Select Col2 Where Col1=""&amp;L1236))"),"")</f>
        <v/>
      </c>
      <c r="N1236" s="29" t="str">
        <f>IFERROR(__xludf.DUMMYFUNCTION("IF(ISBLANK(B1236),"""",IF(ISDATE(B1236),TEXT(B1236,""yyyy""),""""))"),"")</f>
        <v/>
      </c>
    </row>
    <row r="1237">
      <c r="B1237" s="87"/>
      <c r="C1237" s="85"/>
      <c r="D1237" s="76"/>
      <c r="H1237" s="88"/>
      <c r="J1237" s="53" t="str">
        <f>IFERROR(__xludf.DUMMYFUNCTION("IF(ISBLANK(B1237),"""",IF(ISDATE(B1237),""X"",""""))"),"")</f>
        <v/>
      </c>
      <c r="K1237" s="40" t="str">
        <f>IFERROR(__xludf.DUMMYFUNCTION("IF(ISBLANK(B1237),"""",IF(ISDATE(B1237),H1237,""""))"),"")</f>
        <v/>
      </c>
      <c r="L1237" s="40" t="str">
        <f>IFERROR(__xludf.DUMMYFUNCTION("IF(ISBLANK(B1237),"""",IF(ISDATE(B1237),TEXT(B1237,""M""),""""))"),"")</f>
        <v/>
      </c>
      <c r="M1237" s="29" t="str">
        <f>IFERROR(__xludf.DUMMYFUNCTION("IF(L1237="""","""",QUERY({'Dashboard-Dados'!$Y$2:$AA$13},""Select Col2 Where Col1=""&amp;L1237))"),"")</f>
        <v/>
      </c>
      <c r="N1237" s="29" t="str">
        <f>IFERROR(__xludf.DUMMYFUNCTION("IF(ISBLANK(B1237),"""",IF(ISDATE(B1237),TEXT(B1237,""yyyy""),""""))"),"")</f>
        <v/>
      </c>
    </row>
    <row r="1238">
      <c r="B1238" s="89"/>
      <c r="C1238" s="86"/>
      <c r="D1238" s="71"/>
      <c r="H1238" s="90"/>
      <c r="J1238" s="53" t="str">
        <f>IFERROR(__xludf.DUMMYFUNCTION("IF(ISBLANK(B1238),"""",IF(ISDATE(B1238),""X"",""""))"),"")</f>
        <v/>
      </c>
      <c r="K1238" s="40" t="str">
        <f>IFERROR(__xludf.DUMMYFUNCTION("IF(ISBLANK(B1238),"""",IF(ISDATE(B1238),H1238,""""))"),"")</f>
        <v/>
      </c>
      <c r="L1238" s="40" t="str">
        <f>IFERROR(__xludf.DUMMYFUNCTION("IF(ISBLANK(B1238),"""",IF(ISDATE(B1238),TEXT(B1238,""M""),""""))"),"")</f>
        <v/>
      </c>
      <c r="M1238" s="29" t="str">
        <f>IFERROR(__xludf.DUMMYFUNCTION("IF(L1238="""","""",QUERY({'Dashboard-Dados'!$Y$2:$AA$13},""Select Col2 Where Col1=""&amp;L1238))"),"")</f>
        <v/>
      </c>
      <c r="N1238" s="29" t="str">
        <f>IFERROR(__xludf.DUMMYFUNCTION("IF(ISBLANK(B1238),"""",IF(ISDATE(B1238),TEXT(B1238,""yyyy""),""""))"),"")</f>
        <v/>
      </c>
    </row>
    <row r="1239">
      <c r="B1239" s="87"/>
      <c r="C1239" s="85"/>
      <c r="D1239" s="76"/>
      <c r="H1239" s="88"/>
      <c r="J1239" s="53" t="str">
        <f>IFERROR(__xludf.DUMMYFUNCTION("IF(ISBLANK(B1239),"""",IF(ISDATE(B1239),""X"",""""))"),"")</f>
        <v/>
      </c>
      <c r="K1239" s="40" t="str">
        <f>IFERROR(__xludf.DUMMYFUNCTION("IF(ISBLANK(B1239),"""",IF(ISDATE(B1239),H1239,""""))"),"")</f>
        <v/>
      </c>
      <c r="L1239" s="40" t="str">
        <f>IFERROR(__xludf.DUMMYFUNCTION("IF(ISBLANK(B1239),"""",IF(ISDATE(B1239),TEXT(B1239,""M""),""""))"),"")</f>
        <v/>
      </c>
      <c r="M1239" s="29" t="str">
        <f>IFERROR(__xludf.DUMMYFUNCTION("IF(L1239="""","""",QUERY({'Dashboard-Dados'!$Y$2:$AA$13},""Select Col2 Where Col1=""&amp;L1239))"),"")</f>
        <v/>
      </c>
      <c r="N1239" s="29" t="str">
        <f>IFERROR(__xludf.DUMMYFUNCTION("IF(ISBLANK(B1239),"""",IF(ISDATE(B1239),TEXT(B1239,""yyyy""),""""))"),"")</f>
        <v/>
      </c>
    </row>
    <row r="1240">
      <c r="B1240" s="89"/>
      <c r="C1240" s="86"/>
      <c r="D1240" s="71"/>
      <c r="H1240" s="90"/>
      <c r="J1240" s="53" t="str">
        <f>IFERROR(__xludf.DUMMYFUNCTION("IF(ISBLANK(B1240),"""",IF(ISDATE(B1240),""X"",""""))"),"")</f>
        <v/>
      </c>
      <c r="K1240" s="40" t="str">
        <f>IFERROR(__xludf.DUMMYFUNCTION("IF(ISBLANK(B1240),"""",IF(ISDATE(B1240),H1240,""""))"),"")</f>
        <v/>
      </c>
      <c r="L1240" s="40" t="str">
        <f>IFERROR(__xludf.DUMMYFUNCTION("IF(ISBLANK(B1240),"""",IF(ISDATE(B1240),TEXT(B1240,""M""),""""))"),"")</f>
        <v/>
      </c>
      <c r="M1240" s="29" t="str">
        <f>IFERROR(__xludf.DUMMYFUNCTION("IF(L1240="""","""",QUERY({'Dashboard-Dados'!$Y$2:$AA$13},""Select Col2 Where Col1=""&amp;L1240))"),"")</f>
        <v/>
      </c>
      <c r="N1240" s="29" t="str">
        <f>IFERROR(__xludf.DUMMYFUNCTION("IF(ISBLANK(B1240),"""",IF(ISDATE(B1240),TEXT(B1240,""yyyy""),""""))"),"")</f>
        <v/>
      </c>
    </row>
    <row r="1241">
      <c r="B1241" s="87"/>
      <c r="C1241" s="85"/>
      <c r="D1241" s="76"/>
      <c r="H1241" s="88"/>
      <c r="J1241" s="53" t="str">
        <f>IFERROR(__xludf.DUMMYFUNCTION("IF(ISBLANK(B1241),"""",IF(ISDATE(B1241),""X"",""""))"),"")</f>
        <v/>
      </c>
      <c r="K1241" s="40" t="str">
        <f>IFERROR(__xludf.DUMMYFUNCTION("IF(ISBLANK(B1241),"""",IF(ISDATE(B1241),H1241,""""))"),"")</f>
        <v/>
      </c>
      <c r="L1241" s="40" t="str">
        <f>IFERROR(__xludf.DUMMYFUNCTION("IF(ISBLANK(B1241),"""",IF(ISDATE(B1241),TEXT(B1241,""M""),""""))"),"")</f>
        <v/>
      </c>
      <c r="M1241" s="29" t="str">
        <f>IFERROR(__xludf.DUMMYFUNCTION("IF(L1241="""","""",QUERY({'Dashboard-Dados'!$Y$2:$AA$13},""Select Col2 Where Col1=""&amp;L1241))"),"")</f>
        <v/>
      </c>
      <c r="N1241" s="29" t="str">
        <f>IFERROR(__xludf.DUMMYFUNCTION("IF(ISBLANK(B1241),"""",IF(ISDATE(B1241),TEXT(B1241,""yyyy""),""""))"),"")</f>
        <v/>
      </c>
    </row>
    <row r="1242">
      <c r="B1242" s="89"/>
      <c r="C1242" s="86"/>
      <c r="D1242" s="71"/>
      <c r="H1242" s="90"/>
      <c r="J1242" s="53" t="str">
        <f>IFERROR(__xludf.DUMMYFUNCTION("IF(ISBLANK(B1242),"""",IF(ISDATE(B1242),""X"",""""))"),"")</f>
        <v/>
      </c>
      <c r="K1242" s="40" t="str">
        <f>IFERROR(__xludf.DUMMYFUNCTION("IF(ISBLANK(B1242),"""",IF(ISDATE(B1242),H1242,""""))"),"")</f>
        <v/>
      </c>
      <c r="L1242" s="40" t="str">
        <f>IFERROR(__xludf.DUMMYFUNCTION("IF(ISBLANK(B1242),"""",IF(ISDATE(B1242),TEXT(B1242,""M""),""""))"),"")</f>
        <v/>
      </c>
      <c r="M1242" s="29" t="str">
        <f>IFERROR(__xludf.DUMMYFUNCTION("IF(L1242="""","""",QUERY({'Dashboard-Dados'!$Y$2:$AA$13},""Select Col2 Where Col1=""&amp;L1242))"),"")</f>
        <v/>
      </c>
      <c r="N1242" s="29" t="str">
        <f>IFERROR(__xludf.DUMMYFUNCTION("IF(ISBLANK(B1242),"""",IF(ISDATE(B1242),TEXT(B1242,""yyyy""),""""))"),"")</f>
        <v/>
      </c>
    </row>
    <row r="1243">
      <c r="B1243" s="87"/>
      <c r="C1243" s="85"/>
      <c r="D1243" s="76"/>
      <c r="H1243" s="88"/>
      <c r="J1243" s="53" t="str">
        <f>IFERROR(__xludf.DUMMYFUNCTION("IF(ISBLANK(B1243),"""",IF(ISDATE(B1243),""X"",""""))"),"")</f>
        <v/>
      </c>
      <c r="K1243" s="40" t="str">
        <f>IFERROR(__xludf.DUMMYFUNCTION("IF(ISBLANK(B1243),"""",IF(ISDATE(B1243),H1243,""""))"),"")</f>
        <v/>
      </c>
      <c r="L1243" s="40" t="str">
        <f>IFERROR(__xludf.DUMMYFUNCTION("IF(ISBLANK(B1243),"""",IF(ISDATE(B1243),TEXT(B1243,""M""),""""))"),"")</f>
        <v/>
      </c>
      <c r="M1243" s="29" t="str">
        <f>IFERROR(__xludf.DUMMYFUNCTION("IF(L1243="""","""",QUERY({'Dashboard-Dados'!$Y$2:$AA$13},""Select Col2 Where Col1=""&amp;L1243))"),"")</f>
        <v/>
      </c>
      <c r="N1243" s="29" t="str">
        <f>IFERROR(__xludf.DUMMYFUNCTION("IF(ISBLANK(B1243),"""",IF(ISDATE(B1243),TEXT(B1243,""yyyy""),""""))"),"")</f>
        <v/>
      </c>
    </row>
    <row r="1244">
      <c r="B1244" s="89"/>
      <c r="C1244" s="86"/>
      <c r="D1244" s="71"/>
      <c r="H1244" s="90"/>
      <c r="J1244" s="53" t="str">
        <f>IFERROR(__xludf.DUMMYFUNCTION("IF(ISBLANK(B1244),"""",IF(ISDATE(B1244),""X"",""""))"),"")</f>
        <v/>
      </c>
      <c r="K1244" s="40" t="str">
        <f>IFERROR(__xludf.DUMMYFUNCTION("IF(ISBLANK(B1244),"""",IF(ISDATE(B1244),H1244,""""))"),"")</f>
        <v/>
      </c>
      <c r="L1244" s="40" t="str">
        <f>IFERROR(__xludf.DUMMYFUNCTION("IF(ISBLANK(B1244),"""",IF(ISDATE(B1244),TEXT(B1244,""M""),""""))"),"")</f>
        <v/>
      </c>
      <c r="M1244" s="29" t="str">
        <f>IFERROR(__xludf.DUMMYFUNCTION("IF(L1244="""","""",QUERY({'Dashboard-Dados'!$Y$2:$AA$13},""Select Col2 Where Col1=""&amp;L1244))"),"")</f>
        <v/>
      </c>
      <c r="N1244" s="29" t="str">
        <f>IFERROR(__xludf.DUMMYFUNCTION("IF(ISBLANK(B1244),"""",IF(ISDATE(B1244),TEXT(B1244,""yyyy""),""""))"),"")</f>
        <v/>
      </c>
    </row>
    <row r="1245">
      <c r="B1245" s="87"/>
      <c r="C1245" s="85"/>
      <c r="D1245" s="76"/>
      <c r="H1245" s="88"/>
      <c r="J1245" s="53" t="str">
        <f>IFERROR(__xludf.DUMMYFUNCTION("IF(ISBLANK(B1245),"""",IF(ISDATE(B1245),""X"",""""))"),"")</f>
        <v/>
      </c>
      <c r="K1245" s="40" t="str">
        <f>IFERROR(__xludf.DUMMYFUNCTION("IF(ISBLANK(B1245),"""",IF(ISDATE(B1245),H1245,""""))"),"")</f>
        <v/>
      </c>
      <c r="L1245" s="40" t="str">
        <f>IFERROR(__xludf.DUMMYFUNCTION("IF(ISBLANK(B1245),"""",IF(ISDATE(B1245),TEXT(B1245,""M""),""""))"),"")</f>
        <v/>
      </c>
      <c r="M1245" s="29" t="str">
        <f>IFERROR(__xludf.DUMMYFUNCTION("IF(L1245="""","""",QUERY({'Dashboard-Dados'!$Y$2:$AA$13},""Select Col2 Where Col1=""&amp;L1245))"),"")</f>
        <v/>
      </c>
      <c r="N1245" s="29" t="str">
        <f>IFERROR(__xludf.DUMMYFUNCTION("IF(ISBLANK(B1245),"""",IF(ISDATE(B1245),TEXT(B1245,""yyyy""),""""))"),"")</f>
        <v/>
      </c>
    </row>
    <row r="1246">
      <c r="B1246" s="89"/>
      <c r="C1246" s="86"/>
      <c r="D1246" s="71"/>
      <c r="H1246" s="90"/>
      <c r="J1246" s="53" t="str">
        <f>IFERROR(__xludf.DUMMYFUNCTION("IF(ISBLANK(B1246),"""",IF(ISDATE(B1246),""X"",""""))"),"")</f>
        <v/>
      </c>
      <c r="K1246" s="40" t="str">
        <f>IFERROR(__xludf.DUMMYFUNCTION("IF(ISBLANK(B1246),"""",IF(ISDATE(B1246),H1246,""""))"),"")</f>
        <v/>
      </c>
      <c r="L1246" s="40" t="str">
        <f>IFERROR(__xludf.DUMMYFUNCTION("IF(ISBLANK(B1246),"""",IF(ISDATE(B1246),TEXT(B1246,""M""),""""))"),"")</f>
        <v/>
      </c>
      <c r="M1246" s="29" t="str">
        <f>IFERROR(__xludf.DUMMYFUNCTION("IF(L1246="""","""",QUERY({'Dashboard-Dados'!$Y$2:$AA$13},""Select Col2 Where Col1=""&amp;L1246))"),"")</f>
        <v/>
      </c>
      <c r="N1246" s="29" t="str">
        <f>IFERROR(__xludf.DUMMYFUNCTION("IF(ISBLANK(B1246),"""",IF(ISDATE(B1246),TEXT(B1246,""yyyy""),""""))"),"")</f>
        <v/>
      </c>
    </row>
    <row r="1247">
      <c r="B1247" s="87"/>
      <c r="C1247" s="85"/>
      <c r="D1247" s="76"/>
      <c r="H1247" s="88"/>
      <c r="J1247" s="53" t="str">
        <f>IFERROR(__xludf.DUMMYFUNCTION("IF(ISBLANK(B1247),"""",IF(ISDATE(B1247),""X"",""""))"),"")</f>
        <v/>
      </c>
      <c r="K1247" s="40" t="str">
        <f>IFERROR(__xludf.DUMMYFUNCTION("IF(ISBLANK(B1247),"""",IF(ISDATE(B1247),H1247,""""))"),"")</f>
        <v/>
      </c>
      <c r="L1247" s="40" t="str">
        <f>IFERROR(__xludf.DUMMYFUNCTION("IF(ISBLANK(B1247),"""",IF(ISDATE(B1247),TEXT(B1247,""M""),""""))"),"")</f>
        <v/>
      </c>
      <c r="M1247" s="29" t="str">
        <f>IFERROR(__xludf.DUMMYFUNCTION("IF(L1247="""","""",QUERY({'Dashboard-Dados'!$Y$2:$AA$13},""Select Col2 Where Col1=""&amp;L1247))"),"")</f>
        <v/>
      </c>
      <c r="N1247" s="29" t="str">
        <f>IFERROR(__xludf.DUMMYFUNCTION("IF(ISBLANK(B1247),"""",IF(ISDATE(B1247),TEXT(B1247,""yyyy""),""""))"),"")</f>
        <v/>
      </c>
    </row>
    <row r="1248">
      <c r="B1248" s="89"/>
      <c r="C1248" s="86"/>
      <c r="D1248" s="71"/>
      <c r="H1248" s="90"/>
      <c r="J1248" s="53" t="str">
        <f>IFERROR(__xludf.DUMMYFUNCTION("IF(ISBLANK(B1248),"""",IF(ISDATE(B1248),""X"",""""))"),"")</f>
        <v/>
      </c>
      <c r="K1248" s="40" t="str">
        <f>IFERROR(__xludf.DUMMYFUNCTION("IF(ISBLANK(B1248),"""",IF(ISDATE(B1248),H1248,""""))"),"")</f>
        <v/>
      </c>
      <c r="L1248" s="40" t="str">
        <f>IFERROR(__xludf.DUMMYFUNCTION("IF(ISBLANK(B1248),"""",IF(ISDATE(B1248),TEXT(B1248,""M""),""""))"),"")</f>
        <v/>
      </c>
      <c r="M1248" s="29" t="str">
        <f>IFERROR(__xludf.DUMMYFUNCTION("IF(L1248="""","""",QUERY({'Dashboard-Dados'!$Y$2:$AA$13},""Select Col2 Where Col1=""&amp;L1248))"),"")</f>
        <v/>
      </c>
      <c r="N1248" s="29" t="str">
        <f>IFERROR(__xludf.DUMMYFUNCTION("IF(ISBLANK(B1248),"""",IF(ISDATE(B1248),TEXT(B1248,""yyyy""),""""))"),"")</f>
        <v/>
      </c>
    </row>
    <row r="1249">
      <c r="B1249" s="87"/>
      <c r="C1249" s="85"/>
      <c r="D1249" s="76"/>
      <c r="H1249" s="88"/>
      <c r="J1249" s="53" t="str">
        <f>IFERROR(__xludf.DUMMYFUNCTION("IF(ISBLANK(B1249),"""",IF(ISDATE(B1249),""X"",""""))"),"")</f>
        <v/>
      </c>
      <c r="K1249" s="40" t="str">
        <f>IFERROR(__xludf.DUMMYFUNCTION("IF(ISBLANK(B1249),"""",IF(ISDATE(B1249),H1249,""""))"),"")</f>
        <v/>
      </c>
      <c r="L1249" s="40" t="str">
        <f>IFERROR(__xludf.DUMMYFUNCTION("IF(ISBLANK(B1249),"""",IF(ISDATE(B1249),TEXT(B1249,""M""),""""))"),"")</f>
        <v/>
      </c>
      <c r="M1249" s="29" t="str">
        <f>IFERROR(__xludf.DUMMYFUNCTION("IF(L1249="""","""",QUERY({'Dashboard-Dados'!$Y$2:$AA$13},""Select Col2 Where Col1=""&amp;L1249))"),"")</f>
        <v/>
      </c>
      <c r="N1249" s="29" t="str">
        <f>IFERROR(__xludf.DUMMYFUNCTION("IF(ISBLANK(B1249),"""",IF(ISDATE(B1249),TEXT(B1249,""yyyy""),""""))"),"")</f>
        <v/>
      </c>
    </row>
    <row r="1250">
      <c r="B1250" s="89"/>
      <c r="C1250" s="86"/>
      <c r="D1250" s="71"/>
      <c r="H1250" s="90"/>
      <c r="J1250" s="53" t="str">
        <f>IFERROR(__xludf.DUMMYFUNCTION("IF(ISBLANK(B1250),"""",IF(ISDATE(B1250),""X"",""""))"),"")</f>
        <v/>
      </c>
      <c r="K1250" s="40" t="str">
        <f>IFERROR(__xludf.DUMMYFUNCTION("IF(ISBLANK(B1250),"""",IF(ISDATE(B1250),H1250,""""))"),"")</f>
        <v/>
      </c>
      <c r="L1250" s="40" t="str">
        <f>IFERROR(__xludf.DUMMYFUNCTION("IF(ISBLANK(B1250),"""",IF(ISDATE(B1250),TEXT(B1250,""M""),""""))"),"")</f>
        <v/>
      </c>
      <c r="M1250" s="29" t="str">
        <f>IFERROR(__xludf.DUMMYFUNCTION("IF(L1250="""","""",QUERY({'Dashboard-Dados'!$Y$2:$AA$13},""Select Col2 Where Col1=""&amp;L1250))"),"")</f>
        <v/>
      </c>
      <c r="N1250" s="29" t="str">
        <f>IFERROR(__xludf.DUMMYFUNCTION("IF(ISBLANK(B1250),"""",IF(ISDATE(B1250),TEXT(B1250,""yyyy""),""""))"),"")</f>
        <v/>
      </c>
    </row>
    <row r="1251">
      <c r="B1251" s="87"/>
      <c r="C1251" s="85"/>
      <c r="D1251" s="76"/>
      <c r="H1251" s="88"/>
      <c r="J1251" s="53" t="str">
        <f>IFERROR(__xludf.DUMMYFUNCTION("IF(ISBLANK(B1251),"""",IF(ISDATE(B1251),""X"",""""))"),"")</f>
        <v/>
      </c>
      <c r="K1251" s="40" t="str">
        <f>IFERROR(__xludf.DUMMYFUNCTION("IF(ISBLANK(B1251),"""",IF(ISDATE(B1251),H1251,""""))"),"")</f>
        <v/>
      </c>
      <c r="L1251" s="40" t="str">
        <f>IFERROR(__xludf.DUMMYFUNCTION("IF(ISBLANK(B1251),"""",IF(ISDATE(B1251),TEXT(B1251,""M""),""""))"),"")</f>
        <v/>
      </c>
      <c r="M1251" s="29" t="str">
        <f>IFERROR(__xludf.DUMMYFUNCTION("IF(L1251="""","""",QUERY({'Dashboard-Dados'!$Y$2:$AA$13},""Select Col2 Where Col1=""&amp;L1251))"),"")</f>
        <v/>
      </c>
      <c r="N1251" s="29" t="str">
        <f>IFERROR(__xludf.DUMMYFUNCTION("IF(ISBLANK(B1251),"""",IF(ISDATE(B1251),TEXT(B1251,""yyyy""),""""))"),"")</f>
        <v/>
      </c>
    </row>
    <row r="1252">
      <c r="B1252" s="89"/>
      <c r="C1252" s="86"/>
      <c r="D1252" s="71"/>
      <c r="H1252" s="90"/>
      <c r="J1252" s="53" t="str">
        <f>IFERROR(__xludf.DUMMYFUNCTION("IF(ISBLANK(B1252),"""",IF(ISDATE(B1252),""X"",""""))"),"")</f>
        <v/>
      </c>
      <c r="K1252" s="40" t="str">
        <f>IFERROR(__xludf.DUMMYFUNCTION("IF(ISBLANK(B1252),"""",IF(ISDATE(B1252),H1252,""""))"),"")</f>
        <v/>
      </c>
      <c r="L1252" s="40" t="str">
        <f>IFERROR(__xludf.DUMMYFUNCTION("IF(ISBLANK(B1252),"""",IF(ISDATE(B1252),TEXT(B1252,""M""),""""))"),"")</f>
        <v/>
      </c>
      <c r="M1252" s="29" t="str">
        <f>IFERROR(__xludf.DUMMYFUNCTION("IF(L1252="""","""",QUERY({'Dashboard-Dados'!$Y$2:$AA$13},""Select Col2 Where Col1=""&amp;L1252))"),"")</f>
        <v/>
      </c>
      <c r="N1252" s="29" t="str">
        <f>IFERROR(__xludf.DUMMYFUNCTION("IF(ISBLANK(B1252),"""",IF(ISDATE(B1252),TEXT(B1252,""yyyy""),""""))"),"")</f>
        <v/>
      </c>
    </row>
    <row r="1253">
      <c r="B1253" s="87"/>
      <c r="C1253" s="85"/>
      <c r="D1253" s="76"/>
      <c r="H1253" s="88"/>
      <c r="J1253" s="53" t="str">
        <f>IFERROR(__xludf.DUMMYFUNCTION("IF(ISBLANK(B1253),"""",IF(ISDATE(B1253),""X"",""""))"),"")</f>
        <v/>
      </c>
      <c r="K1253" s="40" t="str">
        <f>IFERROR(__xludf.DUMMYFUNCTION("IF(ISBLANK(B1253),"""",IF(ISDATE(B1253),H1253,""""))"),"")</f>
        <v/>
      </c>
      <c r="L1253" s="40" t="str">
        <f>IFERROR(__xludf.DUMMYFUNCTION("IF(ISBLANK(B1253),"""",IF(ISDATE(B1253),TEXT(B1253,""M""),""""))"),"")</f>
        <v/>
      </c>
      <c r="M1253" s="29" t="str">
        <f>IFERROR(__xludf.DUMMYFUNCTION("IF(L1253="""","""",QUERY({'Dashboard-Dados'!$Y$2:$AA$13},""Select Col2 Where Col1=""&amp;L1253))"),"")</f>
        <v/>
      </c>
      <c r="N1253" s="29" t="str">
        <f>IFERROR(__xludf.DUMMYFUNCTION("IF(ISBLANK(B1253),"""",IF(ISDATE(B1253),TEXT(B1253,""yyyy""),""""))"),"")</f>
        <v/>
      </c>
    </row>
    <row r="1254">
      <c r="B1254" s="89"/>
      <c r="C1254" s="86"/>
      <c r="D1254" s="71"/>
      <c r="H1254" s="90"/>
      <c r="J1254" s="53" t="str">
        <f>IFERROR(__xludf.DUMMYFUNCTION("IF(ISBLANK(B1254),"""",IF(ISDATE(B1254),""X"",""""))"),"")</f>
        <v/>
      </c>
      <c r="K1254" s="40" t="str">
        <f>IFERROR(__xludf.DUMMYFUNCTION("IF(ISBLANK(B1254),"""",IF(ISDATE(B1254),H1254,""""))"),"")</f>
        <v/>
      </c>
      <c r="L1254" s="40" t="str">
        <f>IFERROR(__xludf.DUMMYFUNCTION("IF(ISBLANK(B1254),"""",IF(ISDATE(B1254),TEXT(B1254,""M""),""""))"),"")</f>
        <v/>
      </c>
      <c r="M1254" s="29" t="str">
        <f>IFERROR(__xludf.DUMMYFUNCTION("IF(L1254="""","""",QUERY({'Dashboard-Dados'!$Y$2:$AA$13},""Select Col2 Where Col1=""&amp;L1254))"),"")</f>
        <v/>
      </c>
      <c r="N1254" s="29" t="str">
        <f>IFERROR(__xludf.DUMMYFUNCTION("IF(ISBLANK(B1254),"""",IF(ISDATE(B1254),TEXT(B1254,""yyyy""),""""))"),"")</f>
        <v/>
      </c>
    </row>
    <row r="1255">
      <c r="B1255" s="87"/>
      <c r="C1255" s="85"/>
      <c r="D1255" s="76"/>
      <c r="H1255" s="88"/>
      <c r="J1255" s="53" t="str">
        <f>IFERROR(__xludf.DUMMYFUNCTION("IF(ISBLANK(B1255),"""",IF(ISDATE(B1255),""X"",""""))"),"")</f>
        <v/>
      </c>
      <c r="K1255" s="40" t="str">
        <f>IFERROR(__xludf.DUMMYFUNCTION("IF(ISBLANK(B1255),"""",IF(ISDATE(B1255),H1255,""""))"),"")</f>
        <v/>
      </c>
      <c r="L1255" s="40" t="str">
        <f>IFERROR(__xludf.DUMMYFUNCTION("IF(ISBLANK(B1255),"""",IF(ISDATE(B1255),TEXT(B1255,""M""),""""))"),"")</f>
        <v/>
      </c>
      <c r="M1255" s="29" t="str">
        <f>IFERROR(__xludf.DUMMYFUNCTION("IF(L1255="""","""",QUERY({'Dashboard-Dados'!$Y$2:$AA$13},""Select Col2 Where Col1=""&amp;L1255))"),"")</f>
        <v/>
      </c>
      <c r="N1255" s="29" t="str">
        <f>IFERROR(__xludf.DUMMYFUNCTION("IF(ISBLANK(B1255),"""",IF(ISDATE(B1255),TEXT(B1255,""yyyy""),""""))"),"")</f>
        <v/>
      </c>
    </row>
    <row r="1256">
      <c r="B1256" s="89"/>
      <c r="C1256" s="86"/>
      <c r="D1256" s="71"/>
      <c r="H1256" s="90"/>
      <c r="J1256" s="53" t="str">
        <f>IFERROR(__xludf.DUMMYFUNCTION("IF(ISBLANK(B1256),"""",IF(ISDATE(B1256),""X"",""""))"),"")</f>
        <v/>
      </c>
      <c r="K1256" s="40" t="str">
        <f>IFERROR(__xludf.DUMMYFUNCTION("IF(ISBLANK(B1256),"""",IF(ISDATE(B1256),H1256,""""))"),"")</f>
        <v/>
      </c>
      <c r="L1256" s="40" t="str">
        <f>IFERROR(__xludf.DUMMYFUNCTION("IF(ISBLANK(B1256),"""",IF(ISDATE(B1256),TEXT(B1256,""M""),""""))"),"")</f>
        <v/>
      </c>
      <c r="M1256" s="29" t="str">
        <f>IFERROR(__xludf.DUMMYFUNCTION("IF(L1256="""","""",QUERY({'Dashboard-Dados'!$Y$2:$AA$13},""Select Col2 Where Col1=""&amp;L1256))"),"")</f>
        <v/>
      </c>
      <c r="N1256" s="29" t="str">
        <f>IFERROR(__xludf.DUMMYFUNCTION("IF(ISBLANK(B1256),"""",IF(ISDATE(B1256),TEXT(B1256,""yyyy""),""""))"),"")</f>
        <v/>
      </c>
    </row>
    <row r="1257">
      <c r="B1257" s="87"/>
      <c r="C1257" s="85"/>
      <c r="D1257" s="76"/>
      <c r="H1257" s="88"/>
      <c r="J1257" s="53" t="str">
        <f>IFERROR(__xludf.DUMMYFUNCTION("IF(ISBLANK(B1257),"""",IF(ISDATE(B1257),""X"",""""))"),"")</f>
        <v/>
      </c>
      <c r="K1257" s="40" t="str">
        <f>IFERROR(__xludf.DUMMYFUNCTION("IF(ISBLANK(B1257),"""",IF(ISDATE(B1257),H1257,""""))"),"")</f>
        <v/>
      </c>
      <c r="L1257" s="40" t="str">
        <f>IFERROR(__xludf.DUMMYFUNCTION("IF(ISBLANK(B1257),"""",IF(ISDATE(B1257),TEXT(B1257,""M""),""""))"),"")</f>
        <v/>
      </c>
      <c r="M1257" s="29" t="str">
        <f>IFERROR(__xludf.DUMMYFUNCTION("IF(L1257="""","""",QUERY({'Dashboard-Dados'!$Y$2:$AA$13},""Select Col2 Where Col1=""&amp;L1257))"),"")</f>
        <v/>
      </c>
      <c r="N1257" s="29" t="str">
        <f>IFERROR(__xludf.DUMMYFUNCTION("IF(ISBLANK(B1257),"""",IF(ISDATE(B1257),TEXT(B1257,""yyyy""),""""))"),"")</f>
        <v/>
      </c>
    </row>
    <row r="1258">
      <c r="B1258" s="89"/>
      <c r="C1258" s="86"/>
      <c r="D1258" s="71"/>
      <c r="H1258" s="90"/>
      <c r="J1258" s="53" t="str">
        <f>IFERROR(__xludf.DUMMYFUNCTION("IF(ISBLANK(B1258),"""",IF(ISDATE(B1258),""X"",""""))"),"")</f>
        <v/>
      </c>
      <c r="K1258" s="40" t="str">
        <f>IFERROR(__xludf.DUMMYFUNCTION("IF(ISBLANK(B1258),"""",IF(ISDATE(B1258),H1258,""""))"),"")</f>
        <v/>
      </c>
      <c r="L1258" s="40" t="str">
        <f>IFERROR(__xludf.DUMMYFUNCTION("IF(ISBLANK(B1258),"""",IF(ISDATE(B1258),TEXT(B1258,""M""),""""))"),"")</f>
        <v/>
      </c>
      <c r="M1258" s="29" t="str">
        <f>IFERROR(__xludf.DUMMYFUNCTION("IF(L1258="""","""",QUERY({'Dashboard-Dados'!$Y$2:$AA$13},""Select Col2 Where Col1=""&amp;L1258))"),"")</f>
        <v/>
      </c>
      <c r="N1258" s="29" t="str">
        <f>IFERROR(__xludf.DUMMYFUNCTION("IF(ISBLANK(B1258),"""",IF(ISDATE(B1258),TEXT(B1258,""yyyy""),""""))"),"")</f>
        <v/>
      </c>
    </row>
    <row r="1259">
      <c r="B1259" s="87"/>
      <c r="C1259" s="85"/>
      <c r="D1259" s="76"/>
      <c r="H1259" s="88"/>
      <c r="J1259" s="53" t="str">
        <f>IFERROR(__xludf.DUMMYFUNCTION("IF(ISBLANK(B1259),"""",IF(ISDATE(B1259),""X"",""""))"),"")</f>
        <v/>
      </c>
      <c r="K1259" s="40" t="str">
        <f>IFERROR(__xludf.DUMMYFUNCTION("IF(ISBLANK(B1259),"""",IF(ISDATE(B1259),H1259,""""))"),"")</f>
        <v/>
      </c>
      <c r="L1259" s="40" t="str">
        <f>IFERROR(__xludf.DUMMYFUNCTION("IF(ISBLANK(B1259),"""",IF(ISDATE(B1259),TEXT(B1259,""M""),""""))"),"")</f>
        <v/>
      </c>
      <c r="M1259" s="29" t="str">
        <f>IFERROR(__xludf.DUMMYFUNCTION("IF(L1259="""","""",QUERY({'Dashboard-Dados'!$Y$2:$AA$13},""Select Col2 Where Col1=""&amp;L1259))"),"")</f>
        <v/>
      </c>
      <c r="N1259" s="29" t="str">
        <f>IFERROR(__xludf.DUMMYFUNCTION("IF(ISBLANK(B1259),"""",IF(ISDATE(B1259),TEXT(B1259,""yyyy""),""""))"),"")</f>
        <v/>
      </c>
    </row>
    <row r="1260">
      <c r="B1260" s="89"/>
      <c r="C1260" s="86"/>
      <c r="D1260" s="71"/>
      <c r="H1260" s="90"/>
      <c r="J1260" s="53" t="str">
        <f>IFERROR(__xludf.DUMMYFUNCTION("IF(ISBLANK(B1260),"""",IF(ISDATE(B1260),""X"",""""))"),"")</f>
        <v/>
      </c>
      <c r="K1260" s="40" t="str">
        <f>IFERROR(__xludf.DUMMYFUNCTION("IF(ISBLANK(B1260),"""",IF(ISDATE(B1260),H1260,""""))"),"")</f>
        <v/>
      </c>
      <c r="L1260" s="40" t="str">
        <f>IFERROR(__xludf.DUMMYFUNCTION("IF(ISBLANK(B1260),"""",IF(ISDATE(B1260),TEXT(B1260,""M""),""""))"),"")</f>
        <v/>
      </c>
      <c r="M1260" s="29" t="str">
        <f>IFERROR(__xludf.DUMMYFUNCTION("IF(L1260="""","""",QUERY({'Dashboard-Dados'!$Y$2:$AA$13},""Select Col2 Where Col1=""&amp;L1260))"),"")</f>
        <v/>
      </c>
      <c r="N1260" s="29" t="str">
        <f>IFERROR(__xludf.DUMMYFUNCTION("IF(ISBLANK(B1260),"""",IF(ISDATE(B1260),TEXT(B1260,""yyyy""),""""))"),"")</f>
        <v/>
      </c>
    </row>
    <row r="1261">
      <c r="B1261" s="87"/>
      <c r="C1261" s="85"/>
      <c r="D1261" s="76"/>
      <c r="H1261" s="88"/>
      <c r="J1261" s="53" t="str">
        <f>IFERROR(__xludf.DUMMYFUNCTION("IF(ISBLANK(B1261),"""",IF(ISDATE(B1261),""X"",""""))"),"")</f>
        <v/>
      </c>
      <c r="K1261" s="40" t="str">
        <f>IFERROR(__xludf.DUMMYFUNCTION("IF(ISBLANK(B1261),"""",IF(ISDATE(B1261),H1261,""""))"),"")</f>
        <v/>
      </c>
      <c r="L1261" s="40" t="str">
        <f>IFERROR(__xludf.DUMMYFUNCTION("IF(ISBLANK(B1261),"""",IF(ISDATE(B1261),TEXT(B1261,""M""),""""))"),"")</f>
        <v/>
      </c>
      <c r="M1261" s="29" t="str">
        <f>IFERROR(__xludf.DUMMYFUNCTION("IF(L1261="""","""",QUERY({'Dashboard-Dados'!$Y$2:$AA$13},""Select Col2 Where Col1=""&amp;L1261))"),"")</f>
        <v/>
      </c>
      <c r="N1261" s="29" t="str">
        <f>IFERROR(__xludf.DUMMYFUNCTION("IF(ISBLANK(B1261),"""",IF(ISDATE(B1261),TEXT(B1261,""yyyy""),""""))"),"")</f>
        <v/>
      </c>
    </row>
    <row r="1262">
      <c r="B1262" s="89"/>
      <c r="C1262" s="86"/>
      <c r="D1262" s="71"/>
      <c r="H1262" s="90"/>
      <c r="J1262" s="53" t="str">
        <f>IFERROR(__xludf.DUMMYFUNCTION("IF(ISBLANK(B1262),"""",IF(ISDATE(B1262),""X"",""""))"),"")</f>
        <v/>
      </c>
      <c r="K1262" s="40" t="str">
        <f>IFERROR(__xludf.DUMMYFUNCTION("IF(ISBLANK(B1262),"""",IF(ISDATE(B1262),H1262,""""))"),"")</f>
        <v/>
      </c>
      <c r="L1262" s="40" t="str">
        <f>IFERROR(__xludf.DUMMYFUNCTION("IF(ISBLANK(B1262),"""",IF(ISDATE(B1262),TEXT(B1262,""M""),""""))"),"")</f>
        <v/>
      </c>
      <c r="M1262" s="29" t="str">
        <f>IFERROR(__xludf.DUMMYFUNCTION("IF(L1262="""","""",QUERY({'Dashboard-Dados'!$Y$2:$AA$13},""Select Col2 Where Col1=""&amp;L1262))"),"")</f>
        <v/>
      </c>
      <c r="N1262" s="29" t="str">
        <f>IFERROR(__xludf.DUMMYFUNCTION("IF(ISBLANK(B1262),"""",IF(ISDATE(B1262),TEXT(B1262,""yyyy""),""""))"),"")</f>
        <v/>
      </c>
    </row>
    <row r="1263">
      <c r="B1263" s="87"/>
      <c r="C1263" s="85"/>
      <c r="D1263" s="76"/>
      <c r="H1263" s="88"/>
      <c r="J1263" s="53" t="str">
        <f>IFERROR(__xludf.DUMMYFUNCTION("IF(ISBLANK(B1263),"""",IF(ISDATE(B1263),""X"",""""))"),"")</f>
        <v/>
      </c>
      <c r="K1263" s="40" t="str">
        <f>IFERROR(__xludf.DUMMYFUNCTION("IF(ISBLANK(B1263),"""",IF(ISDATE(B1263),H1263,""""))"),"")</f>
        <v/>
      </c>
      <c r="L1263" s="40" t="str">
        <f>IFERROR(__xludf.DUMMYFUNCTION("IF(ISBLANK(B1263),"""",IF(ISDATE(B1263),TEXT(B1263,""M""),""""))"),"")</f>
        <v/>
      </c>
      <c r="M1263" s="29" t="str">
        <f>IFERROR(__xludf.DUMMYFUNCTION("IF(L1263="""","""",QUERY({'Dashboard-Dados'!$Y$2:$AA$13},""Select Col2 Where Col1=""&amp;L1263))"),"")</f>
        <v/>
      </c>
      <c r="N1263" s="29" t="str">
        <f>IFERROR(__xludf.DUMMYFUNCTION("IF(ISBLANK(B1263),"""",IF(ISDATE(B1263),TEXT(B1263,""yyyy""),""""))"),"")</f>
        <v/>
      </c>
    </row>
    <row r="1264">
      <c r="B1264" s="89"/>
      <c r="C1264" s="86"/>
      <c r="D1264" s="71"/>
      <c r="H1264" s="90"/>
      <c r="J1264" s="53" t="str">
        <f>IFERROR(__xludf.DUMMYFUNCTION("IF(ISBLANK(B1264),"""",IF(ISDATE(B1264),""X"",""""))"),"")</f>
        <v/>
      </c>
      <c r="K1264" s="40" t="str">
        <f>IFERROR(__xludf.DUMMYFUNCTION("IF(ISBLANK(B1264),"""",IF(ISDATE(B1264),H1264,""""))"),"")</f>
        <v/>
      </c>
      <c r="L1264" s="40" t="str">
        <f>IFERROR(__xludf.DUMMYFUNCTION("IF(ISBLANK(B1264),"""",IF(ISDATE(B1264),TEXT(B1264,""M""),""""))"),"")</f>
        <v/>
      </c>
      <c r="M1264" s="29" t="str">
        <f>IFERROR(__xludf.DUMMYFUNCTION("IF(L1264="""","""",QUERY({'Dashboard-Dados'!$Y$2:$AA$13},""Select Col2 Where Col1=""&amp;L1264))"),"")</f>
        <v/>
      </c>
      <c r="N1264" s="29" t="str">
        <f>IFERROR(__xludf.DUMMYFUNCTION("IF(ISBLANK(B1264),"""",IF(ISDATE(B1264),TEXT(B1264,""yyyy""),""""))"),"")</f>
        <v/>
      </c>
    </row>
    <row r="1265">
      <c r="B1265" s="87"/>
      <c r="C1265" s="85"/>
      <c r="D1265" s="76"/>
      <c r="H1265" s="88"/>
      <c r="J1265" s="53" t="str">
        <f>IFERROR(__xludf.DUMMYFUNCTION("IF(ISBLANK(B1265),"""",IF(ISDATE(B1265),""X"",""""))"),"")</f>
        <v/>
      </c>
      <c r="K1265" s="40" t="str">
        <f>IFERROR(__xludf.DUMMYFUNCTION("IF(ISBLANK(B1265),"""",IF(ISDATE(B1265),H1265,""""))"),"")</f>
        <v/>
      </c>
      <c r="L1265" s="40" t="str">
        <f>IFERROR(__xludf.DUMMYFUNCTION("IF(ISBLANK(B1265),"""",IF(ISDATE(B1265),TEXT(B1265,""M""),""""))"),"")</f>
        <v/>
      </c>
      <c r="M1265" s="29" t="str">
        <f>IFERROR(__xludf.DUMMYFUNCTION("IF(L1265="""","""",QUERY({'Dashboard-Dados'!$Y$2:$AA$13},""Select Col2 Where Col1=""&amp;L1265))"),"")</f>
        <v/>
      </c>
      <c r="N1265" s="29" t="str">
        <f>IFERROR(__xludf.DUMMYFUNCTION("IF(ISBLANK(B1265),"""",IF(ISDATE(B1265),TEXT(B1265,""yyyy""),""""))"),"")</f>
        <v/>
      </c>
    </row>
    <row r="1266">
      <c r="B1266" s="89"/>
      <c r="C1266" s="86"/>
      <c r="D1266" s="71"/>
      <c r="H1266" s="90"/>
      <c r="J1266" s="53" t="str">
        <f>IFERROR(__xludf.DUMMYFUNCTION("IF(ISBLANK(B1266),"""",IF(ISDATE(B1266),""X"",""""))"),"")</f>
        <v/>
      </c>
      <c r="K1266" s="40" t="str">
        <f>IFERROR(__xludf.DUMMYFUNCTION("IF(ISBLANK(B1266),"""",IF(ISDATE(B1266),H1266,""""))"),"")</f>
        <v/>
      </c>
      <c r="L1266" s="40" t="str">
        <f>IFERROR(__xludf.DUMMYFUNCTION("IF(ISBLANK(B1266),"""",IF(ISDATE(B1266),TEXT(B1266,""M""),""""))"),"")</f>
        <v/>
      </c>
      <c r="M1266" s="29" t="str">
        <f>IFERROR(__xludf.DUMMYFUNCTION("IF(L1266="""","""",QUERY({'Dashboard-Dados'!$Y$2:$AA$13},""Select Col2 Where Col1=""&amp;L1266))"),"")</f>
        <v/>
      </c>
      <c r="N1266" s="29" t="str">
        <f>IFERROR(__xludf.DUMMYFUNCTION("IF(ISBLANK(B1266),"""",IF(ISDATE(B1266),TEXT(B1266,""yyyy""),""""))"),"")</f>
        <v/>
      </c>
    </row>
    <row r="1267">
      <c r="B1267" s="87"/>
      <c r="C1267" s="85"/>
      <c r="D1267" s="76"/>
      <c r="H1267" s="88"/>
      <c r="J1267" s="53" t="str">
        <f>IFERROR(__xludf.DUMMYFUNCTION("IF(ISBLANK(B1267),"""",IF(ISDATE(B1267),""X"",""""))"),"")</f>
        <v/>
      </c>
      <c r="K1267" s="40" t="str">
        <f>IFERROR(__xludf.DUMMYFUNCTION("IF(ISBLANK(B1267),"""",IF(ISDATE(B1267),H1267,""""))"),"")</f>
        <v/>
      </c>
      <c r="L1267" s="40" t="str">
        <f>IFERROR(__xludf.DUMMYFUNCTION("IF(ISBLANK(B1267),"""",IF(ISDATE(B1267),TEXT(B1267,""M""),""""))"),"")</f>
        <v/>
      </c>
      <c r="M1267" s="29" t="str">
        <f>IFERROR(__xludf.DUMMYFUNCTION("IF(L1267="""","""",QUERY({'Dashboard-Dados'!$Y$2:$AA$13},""Select Col2 Where Col1=""&amp;L1267))"),"")</f>
        <v/>
      </c>
      <c r="N1267" s="29" t="str">
        <f>IFERROR(__xludf.DUMMYFUNCTION("IF(ISBLANK(B1267),"""",IF(ISDATE(B1267),TEXT(B1267,""yyyy""),""""))"),"")</f>
        <v/>
      </c>
    </row>
    <row r="1268">
      <c r="B1268" s="89"/>
      <c r="C1268" s="86"/>
      <c r="D1268" s="71"/>
      <c r="H1268" s="90"/>
      <c r="J1268" s="53" t="str">
        <f>IFERROR(__xludf.DUMMYFUNCTION("IF(ISBLANK(B1268),"""",IF(ISDATE(B1268),""X"",""""))"),"")</f>
        <v/>
      </c>
      <c r="K1268" s="40" t="str">
        <f>IFERROR(__xludf.DUMMYFUNCTION("IF(ISBLANK(B1268),"""",IF(ISDATE(B1268),H1268,""""))"),"")</f>
        <v/>
      </c>
      <c r="L1268" s="40" t="str">
        <f>IFERROR(__xludf.DUMMYFUNCTION("IF(ISBLANK(B1268),"""",IF(ISDATE(B1268),TEXT(B1268,""M""),""""))"),"")</f>
        <v/>
      </c>
      <c r="M1268" s="29" t="str">
        <f>IFERROR(__xludf.DUMMYFUNCTION("IF(L1268="""","""",QUERY({'Dashboard-Dados'!$Y$2:$AA$13},""Select Col2 Where Col1=""&amp;L1268))"),"")</f>
        <v/>
      </c>
      <c r="N1268" s="29" t="str">
        <f>IFERROR(__xludf.DUMMYFUNCTION("IF(ISBLANK(B1268),"""",IF(ISDATE(B1268),TEXT(B1268,""yyyy""),""""))"),"")</f>
        <v/>
      </c>
    </row>
    <row r="1269">
      <c r="B1269" s="87"/>
      <c r="C1269" s="85"/>
      <c r="D1269" s="76"/>
      <c r="H1269" s="88"/>
      <c r="J1269" s="53" t="str">
        <f>IFERROR(__xludf.DUMMYFUNCTION("IF(ISBLANK(B1269),"""",IF(ISDATE(B1269),""X"",""""))"),"")</f>
        <v/>
      </c>
      <c r="K1269" s="40" t="str">
        <f>IFERROR(__xludf.DUMMYFUNCTION("IF(ISBLANK(B1269),"""",IF(ISDATE(B1269),H1269,""""))"),"")</f>
        <v/>
      </c>
      <c r="L1269" s="40" t="str">
        <f>IFERROR(__xludf.DUMMYFUNCTION("IF(ISBLANK(B1269),"""",IF(ISDATE(B1269),TEXT(B1269,""M""),""""))"),"")</f>
        <v/>
      </c>
      <c r="M1269" s="29" t="str">
        <f>IFERROR(__xludf.DUMMYFUNCTION("IF(L1269="""","""",QUERY({'Dashboard-Dados'!$Y$2:$AA$13},""Select Col2 Where Col1=""&amp;L1269))"),"")</f>
        <v/>
      </c>
      <c r="N1269" s="29" t="str">
        <f>IFERROR(__xludf.DUMMYFUNCTION("IF(ISBLANK(B1269),"""",IF(ISDATE(B1269),TEXT(B1269,""yyyy""),""""))"),"")</f>
        <v/>
      </c>
    </row>
    <row r="1270">
      <c r="B1270" s="89"/>
      <c r="C1270" s="86"/>
      <c r="D1270" s="71"/>
      <c r="H1270" s="90"/>
      <c r="J1270" s="53" t="str">
        <f>IFERROR(__xludf.DUMMYFUNCTION("IF(ISBLANK(B1270),"""",IF(ISDATE(B1270),""X"",""""))"),"")</f>
        <v/>
      </c>
      <c r="K1270" s="40" t="str">
        <f>IFERROR(__xludf.DUMMYFUNCTION("IF(ISBLANK(B1270),"""",IF(ISDATE(B1270),H1270,""""))"),"")</f>
        <v/>
      </c>
      <c r="L1270" s="40" t="str">
        <f>IFERROR(__xludf.DUMMYFUNCTION("IF(ISBLANK(B1270),"""",IF(ISDATE(B1270),TEXT(B1270,""M""),""""))"),"")</f>
        <v/>
      </c>
      <c r="M1270" s="29" t="str">
        <f>IFERROR(__xludf.DUMMYFUNCTION("IF(L1270="""","""",QUERY({'Dashboard-Dados'!$Y$2:$AA$13},""Select Col2 Where Col1=""&amp;L1270))"),"")</f>
        <v/>
      </c>
      <c r="N1270" s="29" t="str">
        <f>IFERROR(__xludf.DUMMYFUNCTION("IF(ISBLANK(B1270),"""",IF(ISDATE(B1270),TEXT(B1270,""yyyy""),""""))"),"")</f>
        <v/>
      </c>
    </row>
    <row r="1271">
      <c r="B1271" s="87"/>
      <c r="C1271" s="85"/>
      <c r="D1271" s="76"/>
      <c r="H1271" s="88"/>
      <c r="J1271" s="53" t="str">
        <f>IFERROR(__xludf.DUMMYFUNCTION("IF(ISBLANK(B1271),"""",IF(ISDATE(B1271),""X"",""""))"),"")</f>
        <v/>
      </c>
      <c r="K1271" s="40" t="str">
        <f>IFERROR(__xludf.DUMMYFUNCTION("IF(ISBLANK(B1271),"""",IF(ISDATE(B1271),H1271,""""))"),"")</f>
        <v/>
      </c>
      <c r="L1271" s="40" t="str">
        <f>IFERROR(__xludf.DUMMYFUNCTION("IF(ISBLANK(B1271),"""",IF(ISDATE(B1271),TEXT(B1271,""M""),""""))"),"")</f>
        <v/>
      </c>
      <c r="M1271" s="29" t="str">
        <f>IFERROR(__xludf.DUMMYFUNCTION("IF(L1271="""","""",QUERY({'Dashboard-Dados'!$Y$2:$AA$13},""Select Col2 Where Col1=""&amp;L1271))"),"")</f>
        <v/>
      </c>
      <c r="N1271" s="29" t="str">
        <f>IFERROR(__xludf.DUMMYFUNCTION("IF(ISBLANK(B1271),"""",IF(ISDATE(B1271),TEXT(B1271,""yyyy""),""""))"),"")</f>
        <v/>
      </c>
    </row>
    <row r="1272">
      <c r="B1272" s="89"/>
      <c r="C1272" s="86"/>
      <c r="D1272" s="71"/>
      <c r="H1272" s="90"/>
      <c r="J1272" s="53" t="str">
        <f>IFERROR(__xludf.DUMMYFUNCTION("IF(ISBLANK(B1272),"""",IF(ISDATE(B1272),""X"",""""))"),"")</f>
        <v/>
      </c>
      <c r="K1272" s="40" t="str">
        <f>IFERROR(__xludf.DUMMYFUNCTION("IF(ISBLANK(B1272),"""",IF(ISDATE(B1272),H1272,""""))"),"")</f>
        <v/>
      </c>
      <c r="L1272" s="40" t="str">
        <f>IFERROR(__xludf.DUMMYFUNCTION("IF(ISBLANK(B1272),"""",IF(ISDATE(B1272),TEXT(B1272,""M""),""""))"),"")</f>
        <v/>
      </c>
      <c r="M1272" s="29" t="str">
        <f>IFERROR(__xludf.DUMMYFUNCTION("IF(L1272="""","""",QUERY({'Dashboard-Dados'!$Y$2:$AA$13},""Select Col2 Where Col1=""&amp;L1272))"),"")</f>
        <v/>
      </c>
      <c r="N1272" s="29" t="str">
        <f>IFERROR(__xludf.DUMMYFUNCTION("IF(ISBLANK(B1272),"""",IF(ISDATE(B1272),TEXT(B1272,""yyyy""),""""))"),"")</f>
        <v/>
      </c>
    </row>
    <row r="1273">
      <c r="B1273" s="87"/>
      <c r="C1273" s="85"/>
      <c r="D1273" s="76"/>
      <c r="H1273" s="88"/>
      <c r="J1273" s="53" t="str">
        <f>IFERROR(__xludf.DUMMYFUNCTION("IF(ISBLANK(B1273),"""",IF(ISDATE(B1273),""X"",""""))"),"")</f>
        <v/>
      </c>
      <c r="K1273" s="40" t="str">
        <f>IFERROR(__xludf.DUMMYFUNCTION("IF(ISBLANK(B1273),"""",IF(ISDATE(B1273),H1273,""""))"),"")</f>
        <v/>
      </c>
      <c r="L1273" s="40" t="str">
        <f>IFERROR(__xludf.DUMMYFUNCTION("IF(ISBLANK(B1273),"""",IF(ISDATE(B1273),TEXT(B1273,""M""),""""))"),"")</f>
        <v/>
      </c>
      <c r="M1273" s="29" t="str">
        <f>IFERROR(__xludf.DUMMYFUNCTION("IF(L1273="""","""",QUERY({'Dashboard-Dados'!$Y$2:$AA$13},""Select Col2 Where Col1=""&amp;L1273))"),"")</f>
        <v/>
      </c>
      <c r="N1273" s="29" t="str">
        <f>IFERROR(__xludf.DUMMYFUNCTION("IF(ISBLANK(B1273),"""",IF(ISDATE(B1273),TEXT(B1273,""yyyy""),""""))"),"")</f>
        <v/>
      </c>
    </row>
    <row r="1274">
      <c r="B1274" s="89"/>
      <c r="C1274" s="86"/>
      <c r="D1274" s="71"/>
      <c r="H1274" s="90"/>
      <c r="J1274" s="53" t="str">
        <f>IFERROR(__xludf.DUMMYFUNCTION("IF(ISBLANK(B1274),"""",IF(ISDATE(B1274),""X"",""""))"),"")</f>
        <v/>
      </c>
      <c r="K1274" s="40" t="str">
        <f>IFERROR(__xludf.DUMMYFUNCTION("IF(ISBLANK(B1274),"""",IF(ISDATE(B1274),H1274,""""))"),"")</f>
        <v/>
      </c>
      <c r="L1274" s="40" t="str">
        <f>IFERROR(__xludf.DUMMYFUNCTION("IF(ISBLANK(B1274),"""",IF(ISDATE(B1274),TEXT(B1274,""M""),""""))"),"")</f>
        <v/>
      </c>
      <c r="M1274" s="29" t="str">
        <f>IFERROR(__xludf.DUMMYFUNCTION("IF(L1274="""","""",QUERY({'Dashboard-Dados'!$Y$2:$AA$13},""Select Col2 Where Col1=""&amp;L1274))"),"")</f>
        <v/>
      </c>
      <c r="N1274" s="29" t="str">
        <f>IFERROR(__xludf.DUMMYFUNCTION("IF(ISBLANK(B1274),"""",IF(ISDATE(B1274),TEXT(B1274,""yyyy""),""""))"),"")</f>
        <v/>
      </c>
    </row>
    <row r="1275">
      <c r="B1275" s="87"/>
      <c r="C1275" s="85"/>
      <c r="D1275" s="76"/>
      <c r="H1275" s="88"/>
      <c r="J1275" s="53" t="str">
        <f>IFERROR(__xludf.DUMMYFUNCTION("IF(ISBLANK(B1275),"""",IF(ISDATE(B1275),""X"",""""))"),"")</f>
        <v/>
      </c>
      <c r="K1275" s="40" t="str">
        <f>IFERROR(__xludf.DUMMYFUNCTION("IF(ISBLANK(B1275),"""",IF(ISDATE(B1275),H1275,""""))"),"")</f>
        <v/>
      </c>
      <c r="L1275" s="40" t="str">
        <f>IFERROR(__xludf.DUMMYFUNCTION("IF(ISBLANK(B1275),"""",IF(ISDATE(B1275),TEXT(B1275,""M""),""""))"),"")</f>
        <v/>
      </c>
      <c r="M1275" s="29" t="str">
        <f>IFERROR(__xludf.DUMMYFUNCTION("IF(L1275="""","""",QUERY({'Dashboard-Dados'!$Y$2:$AA$13},""Select Col2 Where Col1=""&amp;L1275))"),"")</f>
        <v/>
      </c>
      <c r="N1275" s="29" t="str">
        <f>IFERROR(__xludf.DUMMYFUNCTION("IF(ISBLANK(B1275),"""",IF(ISDATE(B1275),TEXT(B1275,""yyyy""),""""))"),"")</f>
        <v/>
      </c>
    </row>
    <row r="1276">
      <c r="B1276" s="89"/>
      <c r="C1276" s="86"/>
      <c r="D1276" s="71"/>
      <c r="H1276" s="90"/>
      <c r="J1276" s="53" t="str">
        <f>IFERROR(__xludf.DUMMYFUNCTION("IF(ISBLANK(B1276),"""",IF(ISDATE(B1276),""X"",""""))"),"")</f>
        <v/>
      </c>
      <c r="K1276" s="40" t="str">
        <f>IFERROR(__xludf.DUMMYFUNCTION("IF(ISBLANK(B1276),"""",IF(ISDATE(B1276),H1276,""""))"),"")</f>
        <v/>
      </c>
      <c r="L1276" s="40" t="str">
        <f>IFERROR(__xludf.DUMMYFUNCTION("IF(ISBLANK(B1276),"""",IF(ISDATE(B1276),TEXT(B1276,""M""),""""))"),"")</f>
        <v/>
      </c>
      <c r="M1276" s="29" t="str">
        <f>IFERROR(__xludf.DUMMYFUNCTION("IF(L1276="""","""",QUERY({'Dashboard-Dados'!$Y$2:$AA$13},""Select Col2 Where Col1=""&amp;L1276))"),"")</f>
        <v/>
      </c>
      <c r="N1276" s="29" t="str">
        <f>IFERROR(__xludf.DUMMYFUNCTION("IF(ISBLANK(B1276),"""",IF(ISDATE(B1276),TEXT(B1276,""yyyy""),""""))"),"")</f>
        <v/>
      </c>
    </row>
    <row r="1277">
      <c r="B1277" s="87"/>
      <c r="C1277" s="85"/>
      <c r="D1277" s="76"/>
      <c r="H1277" s="88"/>
      <c r="J1277" s="53" t="str">
        <f>IFERROR(__xludf.DUMMYFUNCTION("IF(ISBLANK(B1277),"""",IF(ISDATE(B1277),""X"",""""))"),"")</f>
        <v/>
      </c>
      <c r="K1277" s="40" t="str">
        <f>IFERROR(__xludf.DUMMYFUNCTION("IF(ISBLANK(B1277),"""",IF(ISDATE(B1277),H1277,""""))"),"")</f>
        <v/>
      </c>
      <c r="L1277" s="40" t="str">
        <f>IFERROR(__xludf.DUMMYFUNCTION("IF(ISBLANK(B1277),"""",IF(ISDATE(B1277),TEXT(B1277,""M""),""""))"),"")</f>
        <v/>
      </c>
      <c r="M1277" s="29" t="str">
        <f>IFERROR(__xludf.DUMMYFUNCTION("IF(L1277="""","""",QUERY({'Dashboard-Dados'!$Y$2:$AA$13},""Select Col2 Where Col1=""&amp;L1277))"),"")</f>
        <v/>
      </c>
      <c r="N1277" s="29" t="str">
        <f>IFERROR(__xludf.DUMMYFUNCTION("IF(ISBLANK(B1277),"""",IF(ISDATE(B1277),TEXT(B1277,""yyyy""),""""))"),"")</f>
        <v/>
      </c>
    </row>
    <row r="1278">
      <c r="B1278" s="89"/>
      <c r="C1278" s="86"/>
      <c r="D1278" s="71"/>
      <c r="H1278" s="90"/>
      <c r="J1278" s="53" t="str">
        <f>IFERROR(__xludf.DUMMYFUNCTION("IF(ISBLANK(B1278),"""",IF(ISDATE(B1278),""X"",""""))"),"")</f>
        <v/>
      </c>
      <c r="K1278" s="40" t="str">
        <f>IFERROR(__xludf.DUMMYFUNCTION("IF(ISBLANK(B1278),"""",IF(ISDATE(B1278),H1278,""""))"),"")</f>
        <v/>
      </c>
      <c r="L1278" s="40" t="str">
        <f>IFERROR(__xludf.DUMMYFUNCTION("IF(ISBLANK(B1278),"""",IF(ISDATE(B1278),TEXT(B1278,""M""),""""))"),"")</f>
        <v/>
      </c>
      <c r="M1278" s="29" t="str">
        <f>IFERROR(__xludf.DUMMYFUNCTION("IF(L1278="""","""",QUERY({'Dashboard-Dados'!$Y$2:$AA$13},""Select Col2 Where Col1=""&amp;L1278))"),"")</f>
        <v/>
      </c>
      <c r="N1278" s="29" t="str">
        <f>IFERROR(__xludf.DUMMYFUNCTION("IF(ISBLANK(B1278),"""",IF(ISDATE(B1278),TEXT(B1278,""yyyy""),""""))"),"")</f>
        <v/>
      </c>
    </row>
    <row r="1279">
      <c r="B1279" s="87"/>
      <c r="C1279" s="85"/>
      <c r="D1279" s="76"/>
      <c r="H1279" s="88"/>
      <c r="J1279" s="53" t="str">
        <f>IFERROR(__xludf.DUMMYFUNCTION("IF(ISBLANK(B1279),"""",IF(ISDATE(B1279),""X"",""""))"),"")</f>
        <v/>
      </c>
      <c r="K1279" s="40" t="str">
        <f>IFERROR(__xludf.DUMMYFUNCTION("IF(ISBLANK(B1279),"""",IF(ISDATE(B1279),H1279,""""))"),"")</f>
        <v/>
      </c>
      <c r="L1279" s="40" t="str">
        <f>IFERROR(__xludf.DUMMYFUNCTION("IF(ISBLANK(B1279),"""",IF(ISDATE(B1279),TEXT(B1279,""M""),""""))"),"")</f>
        <v/>
      </c>
      <c r="M1279" s="29" t="str">
        <f>IFERROR(__xludf.DUMMYFUNCTION("IF(L1279="""","""",QUERY({'Dashboard-Dados'!$Y$2:$AA$13},""Select Col2 Where Col1=""&amp;L1279))"),"")</f>
        <v/>
      </c>
      <c r="N1279" s="29" t="str">
        <f>IFERROR(__xludf.DUMMYFUNCTION("IF(ISBLANK(B1279),"""",IF(ISDATE(B1279),TEXT(B1279,""yyyy""),""""))"),"")</f>
        <v/>
      </c>
    </row>
    <row r="1280">
      <c r="B1280" s="89"/>
      <c r="C1280" s="86"/>
      <c r="D1280" s="71"/>
      <c r="H1280" s="90"/>
      <c r="J1280" s="53" t="str">
        <f>IFERROR(__xludf.DUMMYFUNCTION("IF(ISBLANK(B1280),"""",IF(ISDATE(B1280),""X"",""""))"),"")</f>
        <v/>
      </c>
      <c r="K1280" s="40" t="str">
        <f>IFERROR(__xludf.DUMMYFUNCTION("IF(ISBLANK(B1280),"""",IF(ISDATE(B1280),H1280,""""))"),"")</f>
        <v/>
      </c>
      <c r="L1280" s="40" t="str">
        <f>IFERROR(__xludf.DUMMYFUNCTION("IF(ISBLANK(B1280),"""",IF(ISDATE(B1280),TEXT(B1280,""M""),""""))"),"")</f>
        <v/>
      </c>
      <c r="M1280" s="29" t="str">
        <f>IFERROR(__xludf.DUMMYFUNCTION("IF(L1280="""","""",QUERY({'Dashboard-Dados'!$Y$2:$AA$13},""Select Col2 Where Col1=""&amp;L1280))"),"")</f>
        <v/>
      </c>
      <c r="N1280" s="29" t="str">
        <f>IFERROR(__xludf.DUMMYFUNCTION("IF(ISBLANK(B1280),"""",IF(ISDATE(B1280),TEXT(B1280,""yyyy""),""""))"),"")</f>
        <v/>
      </c>
    </row>
    <row r="1281">
      <c r="B1281" s="87"/>
      <c r="C1281" s="85"/>
      <c r="D1281" s="76"/>
      <c r="H1281" s="88"/>
      <c r="J1281" s="53" t="str">
        <f>IFERROR(__xludf.DUMMYFUNCTION("IF(ISBLANK(B1281),"""",IF(ISDATE(B1281),""X"",""""))"),"")</f>
        <v/>
      </c>
      <c r="K1281" s="40" t="str">
        <f>IFERROR(__xludf.DUMMYFUNCTION("IF(ISBLANK(B1281),"""",IF(ISDATE(B1281),H1281,""""))"),"")</f>
        <v/>
      </c>
      <c r="L1281" s="40" t="str">
        <f>IFERROR(__xludf.DUMMYFUNCTION("IF(ISBLANK(B1281),"""",IF(ISDATE(B1281),TEXT(B1281,""M""),""""))"),"")</f>
        <v/>
      </c>
      <c r="M1281" s="29" t="str">
        <f>IFERROR(__xludf.DUMMYFUNCTION("IF(L1281="""","""",QUERY({'Dashboard-Dados'!$Y$2:$AA$13},""Select Col2 Where Col1=""&amp;L1281))"),"")</f>
        <v/>
      </c>
      <c r="N1281" s="29" t="str">
        <f>IFERROR(__xludf.DUMMYFUNCTION("IF(ISBLANK(B1281),"""",IF(ISDATE(B1281),TEXT(B1281,""yyyy""),""""))"),"")</f>
        <v/>
      </c>
    </row>
    <row r="1282">
      <c r="B1282" s="89"/>
      <c r="C1282" s="86"/>
      <c r="D1282" s="71"/>
      <c r="H1282" s="90"/>
      <c r="J1282" s="53" t="str">
        <f>IFERROR(__xludf.DUMMYFUNCTION("IF(ISBLANK(B1282),"""",IF(ISDATE(B1282),""X"",""""))"),"")</f>
        <v/>
      </c>
      <c r="K1282" s="40" t="str">
        <f>IFERROR(__xludf.DUMMYFUNCTION("IF(ISBLANK(B1282),"""",IF(ISDATE(B1282),H1282,""""))"),"")</f>
        <v/>
      </c>
      <c r="L1282" s="40" t="str">
        <f>IFERROR(__xludf.DUMMYFUNCTION("IF(ISBLANK(B1282),"""",IF(ISDATE(B1282),TEXT(B1282,""M""),""""))"),"")</f>
        <v/>
      </c>
      <c r="M1282" s="29" t="str">
        <f>IFERROR(__xludf.DUMMYFUNCTION("IF(L1282="""","""",QUERY({'Dashboard-Dados'!$Y$2:$AA$13},""Select Col2 Where Col1=""&amp;L1282))"),"")</f>
        <v/>
      </c>
      <c r="N1282" s="29" t="str">
        <f>IFERROR(__xludf.DUMMYFUNCTION("IF(ISBLANK(B1282),"""",IF(ISDATE(B1282),TEXT(B1282,""yyyy""),""""))"),"")</f>
        <v/>
      </c>
    </row>
    <row r="1283">
      <c r="B1283" s="87"/>
      <c r="C1283" s="85"/>
      <c r="D1283" s="76"/>
      <c r="H1283" s="88"/>
      <c r="J1283" s="53" t="str">
        <f>IFERROR(__xludf.DUMMYFUNCTION("IF(ISBLANK(B1283),"""",IF(ISDATE(B1283),""X"",""""))"),"")</f>
        <v/>
      </c>
      <c r="K1283" s="40" t="str">
        <f>IFERROR(__xludf.DUMMYFUNCTION("IF(ISBLANK(B1283),"""",IF(ISDATE(B1283),H1283,""""))"),"")</f>
        <v/>
      </c>
      <c r="L1283" s="40" t="str">
        <f>IFERROR(__xludf.DUMMYFUNCTION("IF(ISBLANK(B1283),"""",IF(ISDATE(B1283),TEXT(B1283,""M""),""""))"),"")</f>
        <v/>
      </c>
      <c r="M1283" s="29" t="str">
        <f>IFERROR(__xludf.DUMMYFUNCTION("IF(L1283="""","""",QUERY({'Dashboard-Dados'!$Y$2:$AA$13},""Select Col2 Where Col1=""&amp;L1283))"),"")</f>
        <v/>
      </c>
      <c r="N1283" s="29" t="str">
        <f>IFERROR(__xludf.DUMMYFUNCTION("IF(ISBLANK(B1283),"""",IF(ISDATE(B1283),TEXT(B1283,""yyyy""),""""))"),"")</f>
        <v/>
      </c>
    </row>
    <row r="1284">
      <c r="B1284" s="89"/>
      <c r="C1284" s="86"/>
      <c r="D1284" s="71"/>
      <c r="H1284" s="90"/>
      <c r="J1284" s="53" t="str">
        <f>IFERROR(__xludf.DUMMYFUNCTION("IF(ISBLANK(B1284),"""",IF(ISDATE(B1284),""X"",""""))"),"")</f>
        <v/>
      </c>
      <c r="K1284" s="40" t="str">
        <f>IFERROR(__xludf.DUMMYFUNCTION("IF(ISBLANK(B1284),"""",IF(ISDATE(B1284),H1284,""""))"),"")</f>
        <v/>
      </c>
      <c r="L1284" s="40" t="str">
        <f>IFERROR(__xludf.DUMMYFUNCTION("IF(ISBLANK(B1284),"""",IF(ISDATE(B1284),TEXT(B1284,""M""),""""))"),"")</f>
        <v/>
      </c>
      <c r="M1284" s="29" t="str">
        <f>IFERROR(__xludf.DUMMYFUNCTION("IF(L1284="""","""",QUERY({'Dashboard-Dados'!$Y$2:$AA$13},""Select Col2 Where Col1=""&amp;L1284))"),"")</f>
        <v/>
      </c>
      <c r="N1284" s="29" t="str">
        <f>IFERROR(__xludf.DUMMYFUNCTION("IF(ISBLANK(B1284),"""",IF(ISDATE(B1284),TEXT(B1284,""yyyy""),""""))"),"")</f>
        <v/>
      </c>
    </row>
    <row r="1285">
      <c r="B1285" s="87"/>
      <c r="C1285" s="85"/>
      <c r="D1285" s="76"/>
      <c r="H1285" s="88"/>
      <c r="J1285" s="53" t="str">
        <f>IFERROR(__xludf.DUMMYFUNCTION("IF(ISBLANK(B1285),"""",IF(ISDATE(B1285),""X"",""""))"),"")</f>
        <v/>
      </c>
      <c r="K1285" s="40" t="str">
        <f>IFERROR(__xludf.DUMMYFUNCTION("IF(ISBLANK(B1285),"""",IF(ISDATE(B1285),H1285,""""))"),"")</f>
        <v/>
      </c>
      <c r="L1285" s="40" t="str">
        <f>IFERROR(__xludf.DUMMYFUNCTION("IF(ISBLANK(B1285),"""",IF(ISDATE(B1285),TEXT(B1285,""M""),""""))"),"")</f>
        <v/>
      </c>
      <c r="M1285" s="29" t="str">
        <f>IFERROR(__xludf.DUMMYFUNCTION("IF(L1285="""","""",QUERY({'Dashboard-Dados'!$Y$2:$AA$13},""Select Col2 Where Col1=""&amp;L1285))"),"")</f>
        <v/>
      </c>
      <c r="N1285" s="29" t="str">
        <f>IFERROR(__xludf.DUMMYFUNCTION("IF(ISBLANK(B1285),"""",IF(ISDATE(B1285),TEXT(B1285,""yyyy""),""""))"),"")</f>
        <v/>
      </c>
    </row>
    <row r="1286">
      <c r="B1286" s="89"/>
      <c r="C1286" s="86"/>
      <c r="D1286" s="71"/>
      <c r="H1286" s="90"/>
      <c r="J1286" s="53" t="str">
        <f>IFERROR(__xludf.DUMMYFUNCTION("IF(ISBLANK(B1286),"""",IF(ISDATE(B1286),""X"",""""))"),"")</f>
        <v/>
      </c>
      <c r="K1286" s="40" t="str">
        <f>IFERROR(__xludf.DUMMYFUNCTION("IF(ISBLANK(B1286),"""",IF(ISDATE(B1286),H1286,""""))"),"")</f>
        <v/>
      </c>
      <c r="L1286" s="40" t="str">
        <f>IFERROR(__xludf.DUMMYFUNCTION("IF(ISBLANK(B1286),"""",IF(ISDATE(B1286),TEXT(B1286,""M""),""""))"),"")</f>
        <v/>
      </c>
      <c r="M1286" s="29" t="str">
        <f>IFERROR(__xludf.DUMMYFUNCTION("IF(L1286="""","""",QUERY({'Dashboard-Dados'!$Y$2:$AA$13},""Select Col2 Where Col1=""&amp;L1286))"),"")</f>
        <v/>
      </c>
      <c r="N1286" s="29" t="str">
        <f>IFERROR(__xludf.DUMMYFUNCTION("IF(ISBLANK(B1286),"""",IF(ISDATE(B1286),TEXT(B1286,""yyyy""),""""))"),"")</f>
        <v/>
      </c>
    </row>
    <row r="1287">
      <c r="B1287" s="87"/>
      <c r="C1287" s="85"/>
      <c r="D1287" s="76"/>
      <c r="H1287" s="88"/>
      <c r="J1287" s="53" t="str">
        <f>IFERROR(__xludf.DUMMYFUNCTION("IF(ISBLANK(B1287),"""",IF(ISDATE(B1287),""X"",""""))"),"")</f>
        <v/>
      </c>
      <c r="K1287" s="40" t="str">
        <f>IFERROR(__xludf.DUMMYFUNCTION("IF(ISBLANK(B1287),"""",IF(ISDATE(B1287),H1287,""""))"),"")</f>
        <v/>
      </c>
      <c r="L1287" s="40" t="str">
        <f>IFERROR(__xludf.DUMMYFUNCTION("IF(ISBLANK(B1287),"""",IF(ISDATE(B1287),TEXT(B1287,""M""),""""))"),"")</f>
        <v/>
      </c>
      <c r="M1287" s="29" t="str">
        <f>IFERROR(__xludf.DUMMYFUNCTION("IF(L1287="""","""",QUERY({'Dashboard-Dados'!$Y$2:$AA$13},""Select Col2 Where Col1=""&amp;L1287))"),"")</f>
        <v/>
      </c>
      <c r="N1287" s="29" t="str">
        <f>IFERROR(__xludf.DUMMYFUNCTION("IF(ISBLANK(B1287),"""",IF(ISDATE(B1287),TEXT(B1287,""yyyy""),""""))"),"")</f>
        <v/>
      </c>
    </row>
    <row r="1288">
      <c r="B1288" s="89"/>
      <c r="C1288" s="86"/>
      <c r="D1288" s="71"/>
      <c r="H1288" s="90"/>
      <c r="J1288" s="53" t="str">
        <f>IFERROR(__xludf.DUMMYFUNCTION("IF(ISBLANK(B1288),"""",IF(ISDATE(B1288),""X"",""""))"),"")</f>
        <v/>
      </c>
      <c r="K1288" s="40" t="str">
        <f>IFERROR(__xludf.DUMMYFUNCTION("IF(ISBLANK(B1288),"""",IF(ISDATE(B1288),H1288,""""))"),"")</f>
        <v/>
      </c>
      <c r="L1288" s="40" t="str">
        <f>IFERROR(__xludf.DUMMYFUNCTION("IF(ISBLANK(B1288),"""",IF(ISDATE(B1288),TEXT(B1288,""M""),""""))"),"")</f>
        <v/>
      </c>
      <c r="M1288" s="29" t="str">
        <f>IFERROR(__xludf.DUMMYFUNCTION("IF(L1288="""","""",QUERY({'Dashboard-Dados'!$Y$2:$AA$13},""Select Col2 Where Col1=""&amp;L1288))"),"")</f>
        <v/>
      </c>
      <c r="N1288" s="29" t="str">
        <f>IFERROR(__xludf.DUMMYFUNCTION("IF(ISBLANK(B1288),"""",IF(ISDATE(B1288),TEXT(B1288,""yyyy""),""""))"),"")</f>
        <v/>
      </c>
    </row>
    <row r="1289">
      <c r="B1289" s="87"/>
      <c r="C1289" s="85"/>
      <c r="D1289" s="76"/>
      <c r="H1289" s="88"/>
      <c r="J1289" s="53" t="str">
        <f>IFERROR(__xludf.DUMMYFUNCTION("IF(ISBLANK(B1289),"""",IF(ISDATE(B1289),""X"",""""))"),"")</f>
        <v/>
      </c>
      <c r="K1289" s="40" t="str">
        <f>IFERROR(__xludf.DUMMYFUNCTION("IF(ISBLANK(B1289),"""",IF(ISDATE(B1289),H1289,""""))"),"")</f>
        <v/>
      </c>
      <c r="L1289" s="40" t="str">
        <f>IFERROR(__xludf.DUMMYFUNCTION("IF(ISBLANK(B1289),"""",IF(ISDATE(B1289),TEXT(B1289,""M""),""""))"),"")</f>
        <v/>
      </c>
      <c r="M1289" s="29" t="str">
        <f>IFERROR(__xludf.DUMMYFUNCTION("IF(L1289="""","""",QUERY({'Dashboard-Dados'!$Y$2:$AA$13},""Select Col2 Where Col1=""&amp;L1289))"),"")</f>
        <v/>
      </c>
      <c r="N1289" s="29" t="str">
        <f>IFERROR(__xludf.DUMMYFUNCTION("IF(ISBLANK(B1289),"""",IF(ISDATE(B1289),TEXT(B1289,""yyyy""),""""))"),"")</f>
        <v/>
      </c>
    </row>
    <row r="1290">
      <c r="B1290" s="89"/>
      <c r="C1290" s="86"/>
      <c r="D1290" s="71"/>
      <c r="H1290" s="90"/>
      <c r="J1290" s="53" t="str">
        <f>IFERROR(__xludf.DUMMYFUNCTION("IF(ISBLANK(B1290),"""",IF(ISDATE(B1290),""X"",""""))"),"")</f>
        <v/>
      </c>
      <c r="K1290" s="40" t="str">
        <f>IFERROR(__xludf.DUMMYFUNCTION("IF(ISBLANK(B1290),"""",IF(ISDATE(B1290),H1290,""""))"),"")</f>
        <v/>
      </c>
      <c r="L1290" s="40" t="str">
        <f>IFERROR(__xludf.DUMMYFUNCTION("IF(ISBLANK(B1290),"""",IF(ISDATE(B1290),TEXT(B1290,""M""),""""))"),"")</f>
        <v/>
      </c>
      <c r="M1290" s="29" t="str">
        <f>IFERROR(__xludf.DUMMYFUNCTION("IF(L1290="""","""",QUERY({'Dashboard-Dados'!$Y$2:$AA$13},""Select Col2 Where Col1=""&amp;L1290))"),"")</f>
        <v/>
      </c>
      <c r="N1290" s="29" t="str">
        <f>IFERROR(__xludf.DUMMYFUNCTION("IF(ISBLANK(B1290),"""",IF(ISDATE(B1290),TEXT(B1290,""yyyy""),""""))"),"")</f>
        <v/>
      </c>
    </row>
    <row r="1291">
      <c r="B1291" s="87"/>
      <c r="C1291" s="85"/>
      <c r="D1291" s="76"/>
      <c r="H1291" s="88"/>
      <c r="J1291" s="53" t="str">
        <f>IFERROR(__xludf.DUMMYFUNCTION("IF(ISBLANK(B1291),"""",IF(ISDATE(B1291),""X"",""""))"),"")</f>
        <v/>
      </c>
      <c r="K1291" s="40" t="str">
        <f>IFERROR(__xludf.DUMMYFUNCTION("IF(ISBLANK(B1291),"""",IF(ISDATE(B1291),H1291,""""))"),"")</f>
        <v/>
      </c>
      <c r="L1291" s="40" t="str">
        <f>IFERROR(__xludf.DUMMYFUNCTION("IF(ISBLANK(B1291),"""",IF(ISDATE(B1291),TEXT(B1291,""M""),""""))"),"")</f>
        <v/>
      </c>
      <c r="M1291" s="29" t="str">
        <f>IFERROR(__xludf.DUMMYFUNCTION("IF(L1291="""","""",QUERY({'Dashboard-Dados'!$Y$2:$AA$13},""Select Col2 Where Col1=""&amp;L1291))"),"")</f>
        <v/>
      </c>
      <c r="N1291" s="29" t="str">
        <f>IFERROR(__xludf.DUMMYFUNCTION("IF(ISBLANK(B1291),"""",IF(ISDATE(B1291),TEXT(B1291,""yyyy""),""""))"),"")</f>
        <v/>
      </c>
    </row>
    <row r="1292">
      <c r="B1292" s="89"/>
      <c r="C1292" s="86"/>
      <c r="D1292" s="71"/>
      <c r="H1292" s="90"/>
      <c r="J1292" s="53" t="str">
        <f>IFERROR(__xludf.DUMMYFUNCTION("IF(ISBLANK(B1292),"""",IF(ISDATE(B1292),""X"",""""))"),"")</f>
        <v/>
      </c>
      <c r="K1292" s="40" t="str">
        <f>IFERROR(__xludf.DUMMYFUNCTION("IF(ISBLANK(B1292),"""",IF(ISDATE(B1292),H1292,""""))"),"")</f>
        <v/>
      </c>
      <c r="L1292" s="40" t="str">
        <f>IFERROR(__xludf.DUMMYFUNCTION("IF(ISBLANK(B1292),"""",IF(ISDATE(B1292),TEXT(B1292,""M""),""""))"),"")</f>
        <v/>
      </c>
      <c r="M1292" s="29" t="str">
        <f>IFERROR(__xludf.DUMMYFUNCTION("IF(L1292="""","""",QUERY({'Dashboard-Dados'!$Y$2:$AA$13},""Select Col2 Where Col1=""&amp;L1292))"),"")</f>
        <v/>
      </c>
      <c r="N1292" s="29" t="str">
        <f>IFERROR(__xludf.DUMMYFUNCTION("IF(ISBLANK(B1292),"""",IF(ISDATE(B1292),TEXT(B1292,""yyyy""),""""))"),"")</f>
        <v/>
      </c>
    </row>
    <row r="1293">
      <c r="B1293" s="87"/>
      <c r="C1293" s="85"/>
      <c r="D1293" s="76"/>
      <c r="H1293" s="88"/>
      <c r="J1293" s="53" t="str">
        <f>IFERROR(__xludf.DUMMYFUNCTION("IF(ISBLANK(B1293),"""",IF(ISDATE(B1293),""X"",""""))"),"")</f>
        <v/>
      </c>
      <c r="K1293" s="40" t="str">
        <f>IFERROR(__xludf.DUMMYFUNCTION("IF(ISBLANK(B1293),"""",IF(ISDATE(B1293),H1293,""""))"),"")</f>
        <v/>
      </c>
      <c r="L1293" s="40" t="str">
        <f>IFERROR(__xludf.DUMMYFUNCTION("IF(ISBLANK(B1293),"""",IF(ISDATE(B1293),TEXT(B1293,""M""),""""))"),"")</f>
        <v/>
      </c>
      <c r="M1293" s="29" t="str">
        <f>IFERROR(__xludf.DUMMYFUNCTION("IF(L1293="""","""",QUERY({'Dashboard-Dados'!$Y$2:$AA$13},""Select Col2 Where Col1=""&amp;L1293))"),"")</f>
        <v/>
      </c>
      <c r="N1293" s="29" t="str">
        <f>IFERROR(__xludf.DUMMYFUNCTION("IF(ISBLANK(B1293),"""",IF(ISDATE(B1293),TEXT(B1293,""yyyy""),""""))"),"")</f>
        <v/>
      </c>
    </row>
    <row r="1294">
      <c r="B1294" s="89"/>
      <c r="C1294" s="86"/>
      <c r="D1294" s="71"/>
      <c r="H1294" s="90"/>
      <c r="J1294" s="53" t="str">
        <f>IFERROR(__xludf.DUMMYFUNCTION("IF(ISBLANK(B1294),"""",IF(ISDATE(B1294),""X"",""""))"),"")</f>
        <v/>
      </c>
      <c r="K1294" s="40" t="str">
        <f>IFERROR(__xludf.DUMMYFUNCTION("IF(ISBLANK(B1294),"""",IF(ISDATE(B1294),H1294,""""))"),"")</f>
        <v/>
      </c>
      <c r="L1294" s="40" t="str">
        <f>IFERROR(__xludf.DUMMYFUNCTION("IF(ISBLANK(B1294),"""",IF(ISDATE(B1294),TEXT(B1294,""M""),""""))"),"")</f>
        <v/>
      </c>
      <c r="M1294" s="29" t="str">
        <f>IFERROR(__xludf.DUMMYFUNCTION("IF(L1294="""","""",QUERY({'Dashboard-Dados'!$Y$2:$AA$13},""Select Col2 Where Col1=""&amp;L1294))"),"")</f>
        <v/>
      </c>
      <c r="N1294" s="29" t="str">
        <f>IFERROR(__xludf.DUMMYFUNCTION("IF(ISBLANK(B1294),"""",IF(ISDATE(B1294),TEXT(B1294,""yyyy""),""""))"),"")</f>
        <v/>
      </c>
    </row>
    <row r="1295">
      <c r="B1295" s="87"/>
      <c r="C1295" s="85"/>
      <c r="D1295" s="76"/>
      <c r="H1295" s="88"/>
      <c r="J1295" s="53" t="str">
        <f>IFERROR(__xludf.DUMMYFUNCTION("IF(ISBLANK(B1295),"""",IF(ISDATE(B1295),""X"",""""))"),"")</f>
        <v/>
      </c>
      <c r="K1295" s="40" t="str">
        <f>IFERROR(__xludf.DUMMYFUNCTION("IF(ISBLANK(B1295),"""",IF(ISDATE(B1295),H1295,""""))"),"")</f>
        <v/>
      </c>
      <c r="L1295" s="40" t="str">
        <f>IFERROR(__xludf.DUMMYFUNCTION("IF(ISBLANK(B1295),"""",IF(ISDATE(B1295),TEXT(B1295,""M""),""""))"),"")</f>
        <v/>
      </c>
      <c r="M1295" s="29" t="str">
        <f>IFERROR(__xludf.DUMMYFUNCTION("IF(L1295="""","""",QUERY({'Dashboard-Dados'!$Y$2:$AA$13},""Select Col2 Where Col1=""&amp;L1295))"),"")</f>
        <v/>
      </c>
      <c r="N1295" s="29" t="str">
        <f>IFERROR(__xludf.DUMMYFUNCTION("IF(ISBLANK(B1295),"""",IF(ISDATE(B1295),TEXT(B1295,""yyyy""),""""))"),"")</f>
        <v/>
      </c>
    </row>
    <row r="1296">
      <c r="B1296" s="89"/>
      <c r="C1296" s="86"/>
      <c r="D1296" s="71"/>
      <c r="H1296" s="90"/>
      <c r="J1296" s="53" t="str">
        <f>IFERROR(__xludf.DUMMYFUNCTION("IF(ISBLANK(B1296),"""",IF(ISDATE(B1296),""X"",""""))"),"")</f>
        <v/>
      </c>
      <c r="K1296" s="40" t="str">
        <f>IFERROR(__xludf.DUMMYFUNCTION("IF(ISBLANK(B1296),"""",IF(ISDATE(B1296),H1296,""""))"),"")</f>
        <v/>
      </c>
      <c r="L1296" s="40" t="str">
        <f>IFERROR(__xludf.DUMMYFUNCTION("IF(ISBLANK(B1296),"""",IF(ISDATE(B1296),TEXT(B1296,""M""),""""))"),"")</f>
        <v/>
      </c>
      <c r="M1296" s="29" t="str">
        <f>IFERROR(__xludf.DUMMYFUNCTION("IF(L1296="""","""",QUERY({'Dashboard-Dados'!$Y$2:$AA$13},""Select Col2 Where Col1=""&amp;L1296))"),"")</f>
        <v/>
      </c>
      <c r="N1296" s="29" t="str">
        <f>IFERROR(__xludf.DUMMYFUNCTION("IF(ISBLANK(B1296),"""",IF(ISDATE(B1296),TEXT(B1296,""yyyy""),""""))"),"")</f>
        <v/>
      </c>
    </row>
    <row r="1297">
      <c r="B1297" s="87"/>
      <c r="C1297" s="85"/>
      <c r="D1297" s="76"/>
      <c r="H1297" s="88"/>
      <c r="J1297" s="53" t="str">
        <f>IFERROR(__xludf.DUMMYFUNCTION("IF(ISBLANK(B1297),"""",IF(ISDATE(B1297),""X"",""""))"),"")</f>
        <v/>
      </c>
      <c r="K1297" s="40" t="str">
        <f>IFERROR(__xludf.DUMMYFUNCTION("IF(ISBLANK(B1297),"""",IF(ISDATE(B1297),H1297,""""))"),"")</f>
        <v/>
      </c>
      <c r="L1297" s="40" t="str">
        <f>IFERROR(__xludf.DUMMYFUNCTION("IF(ISBLANK(B1297),"""",IF(ISDATE(B1297),TEXT(B1297,""M""),""""))"),"")</f>
        <v/>
      </c>
      <c r="M1297" s="29" t="str">
        <f>IFERROR(__xludf.DUMMYFUNCTION("IF(L1297="""","""",QUERY({'Dashboard-Dados'!$Y$2:$AA$13},""Select Col2 Where Col1=""&amp;L1297))"),"")</f>
        <v/>
      </c>
      <c r="N1297" s="29" t="str">
        <f>IFERROR(__xludf.DUMMYFUNCTION("IF(ISBLANK(B1297),"""",IF(ISDATE(B1297),TEXT(B1297,""yyyy""),""""))"),"")</f>
        <v/>
      </c>
    </row>
    <row r="1298">
      <c r="B1298" s="89"/>
      <c r="C1298" s="86"/>
      <c r="D1298" s="71"/>
      <c r="H1298" s="90"/>
      <c r="J1298" s="53" t="str">
        <f>IFERROR(__xludf.DUMMYFUNCTION("IF(ISBLANK(B1298),"""",IF(ISDATE(B1298),""X"",""""))"),"")</f>
        <v/>
      </c>
      <c r="K1298" s="40" t="str">
        <f>IFERROR(__xludf.DUMMYFUNCTION("IF(ISBLANK(B1298),"""",IF(ISDATE(B1298),H1298,""""))"),"")</f>
        <v/>
      </c>
      <c r="L1298" s="40" t="str">
        <f>IFERROR(__xludf.DUMMYFUNCTION("IF(ISBLANK(B1298),"""",IF(ISDATE(B1298),TEXT(B1298,""M""),""""))"),"")</f>
        <v/>
      </c>
      <c r="M1298" s="29" t="str">
        <f>IFERROR(__xludf.DUMMYFUNCTION("IF(L1298="""","""",QUERY({'Dashboard-Dados'!$Y$2:$AA$13},""Select Col2 Where Col1=""&amp;L1298))"),"")</f>
        <v/>
      </c>
      <c r="N1298" s="29" t="str">
        <f>IFERROR(__xludf.DUMMYFUNCTION("IF(ISBLANK(B1298),"""",IF(ISDATE(B1298),TEXT(B1298,""yyyy""),""""))"),"")</f>
        <v/>
      </c>
    </row>
    <row r="1299">
      <c r="B1299" s="87"/>
      <c r="C1299" s="85"/>
      <c r="D1299" s="76"/>
      <c r="H1299" s="88"/>
      <c r="J1299" s="53" t="str">
        <f>IFERROR(__xludf.DUMMYFUNCTION("IF(ISBLANK(B1299),"""",IF(ISDATE(B1299),""X"",""""))"),"")</f>
        <v/>
      </c>
      <c r="K1299" s="40" t="str">
        <f>IFERROR(__xludf.DUMMYFUNCTION("IF(ISBLANK(B1299),"""",IF(ISDATE(B1299),H1299,""""))"),"")</f>
        <v/>
      </c>
      <c r="L1299" s="40" t="str">
        <f>IFERROR(__xludf.DUMMYFUNCTION("IF(ISBLANK(B1299),"""",IF(ISDATE(B1299),TEXT(B1299,""M""),""""))"),"")</f>
        <v/>
      </c>
      <c r="M1299" s="29" t="str">
        <f>IFERROR(__xludf.DUMMYFUNCTION("IF(L1299="""","""",QUERY({'Dashboard-Dados'!$Y$2:$AA$13},""Select Col2 Where Col1=""&amp;L1299))"),"")</f>
        <v/>
      </c>
      <c r="N1299" s="29" t="str">
        <f>IFERROR(__xludf.DUMMYFUNCTION("IF(ISBLANK(B1299),"""",IF(ISDATE(B1299),TEXT(B1299,""yyyy""),""""))"),"")</f>
        <v/>
      </c>
    </row>
    <row r="1300">
      <c r="B1300" s="89"/>
      <c r="C1300" s="86"/>
      <c r="D1300" s="71"/>
      <c r="H1300" s="90"/>
      <c r="J1300" s="53" t="str">
        <f>IFERROR(__xludf.DUMMYFUNCTION("IF(ISBLANK(B1300),"""",IF(ISDATE(B1300),""X"",""""))"),"")</f>
        <v/>
      </c>
      <c r="K1300" s="40" t="str">
        <f>IFERROR(__xludf.DUMMYFUNCTION("IF(ISBLANK(B1300),"""",IF(ISDATE(B1300),H1300,""""))"),"")</f>
        <v/>
      </c>
      <c r="L1300" s="40" t="str">
        <f>IFERROR(__xludf.DUMMYFUNCTION("IF(ISBLANK(B1300),"""",IF(ISDATE(B1300),TEXT(B1300,""M""),""""))"),"")</f>
        <v/>
      </c>
      <c r="M1300" s="29" t="str">
        <f>IFERROR(__xludf.DUMMYFUNCTION("IF(L1300="""","""",QUERY({'Dashboard-Dados'!$Y$2:$AA$13},""Select Col2 Where Col1=""&amp;L1300))"),"")</f>
        <v/>
      </c>
      <c r="N1300" s="29" t="str">
        <f>IFERROR(__xludf.DUMMYFUNCTION("IF(ISBLANK(B1300),"""",IF(ISDATE(B1300),TEXT(B1300,""yyyy""),""""))"),"")</f>
        <v/>
      </c>
    </row>
    <row r="1301">
      <c r="B1301" s="87"/>
      <c r="C1301" s="85"/>
      <c r="D1301" s="76"/>
      <c r="H1301" s="88"/>
      <c r="J1301" s="53" t="str">
        <f>IFERROR(__xludf.DUMMYFUNCTION("IF(ISBLANK(B1301),"""",IF(ISDATE(B1301),""X"",""""))"),"")</f>
        <v/>
      </c>
      <c r="K1301" s="40" t="str">
        <f>IFERROR(__xludf.DUMMYFUNCTION("IF(ISBLANK(B1301),"""",IF(ISDATE(B1301),H1301,""""))"),"")</f>
        <v/>
      </c>
      <c r="L1301" s="40" t="str">
        <f>IFERROR(__xludf.DUMMYFUNCTION("IF(ISBLANK(B1301),"""",IF(ISDATE(B1301),TEXT(B1301,""M""),""""))"),"")</f>
        <v/>
      </c>
      <c r="M1301" s="29" t="str">
        <f>IFERROR(__xludf.DUMMYFUNCTION("IF(L1301="""","""",QUERY({'Dashboard-Dados'!$Y$2:$AA$13},""Select Col2 Where Col1=""&amp;L1301))"),"")</f>
        <v/>
      </c>
      <c r="N1301" s="29" t="str">
        <f>IFERROR(__xludf.DUMMYFUNCTION("IF(ISBLANK(B1301),"""",IF(ISDATE(B1301),TEXT(B1301,""yyyy""),""""))"),"")</f>
        <v/>
      </c>
    </row>
    <row r="1302">
      <c r="B1302" s="89"/>
      <c r="C1302" s="86"/>
      <c r="D1302" s="71"/>
      <c r="H1302" s="90"/>
      <c r="J1302" s="53" t="str">
        <f>IFERROR(__xludf.DUMMYFUNCTION("IF(ISBLANK(B1302),"""",IF(ISDATE(B1302),""X"",""""))"),"")</f>
        <v/>
      </c>
      <c r="K1302" s="40" t="str">
        <f>IFERROR(__xludf.DUMMYFUNCTION("IF(ISBLANK(B1302),"""",IF(ISDATE(B1302),H1302,""""))"),"")</f>
        <v/>
      </c>
      <c r="L1302" s="40" t="str">
        <f>IFERROR(__xludf.DUMMYFUNCTION("IF(ISBLANK(B1302),"""",IF(ISDATE(B1302),TEXT(B1302,""M""),""""))"),"")</f>
        <v/>
      </c>
      <c r="M1302" s="29" t="str">
        <f>IFERROR(__xludf.DUMMYFUNCTION("IF(L1302="""","""",QUERY({'Dashboard-Dados'!$Y$2:$AA$13},""Select Col2 Where Col1=""&amp;L1302))"),"")</f>
        <v/>
      </c>
      <c r="N1302" s="29" t="str">
        <f>IFERROR(__xludf.DUMMYFUNCTION("IF(ISBLANK(B1302),"""",IF(ISDATE(B1302),TEXT(B1302,""yyyy""),""""))"),"")</f>
        <v/>
      </c>
    </row>
    <row r="1303">
      <c r="B1303" s="87"/>
      <c r="C1303" s="85"/>
      <c r="D1303" s="76"/>
      <c r="H1303" s="88"/>
      <c r="J1303" s="53" t="str">
        <f>IFERROR(__xludf.DUMMYFUNCTION("IF(ISBLANK(B1303),"""",IF(ISDATE(B1303),""X"",""""))"),"")</f>
        <v/>
      </c>
      <c r="K1303" s="40" t="str">
        <f>IFERROR(__xludf.DUMMYFUNCTION("IF(ISBLANK(B1303),"""",IF(ISDATE(B1303),H1303,""""))"),"")</f>
        <v/>
      </c>
      <c r="L1303" s="40" t="str">
        <f>IFERROR(__xludf.DUMMYFUNCTION("IF(ISBLANK(B1303),"""",IF(ISDATE(B1303),TEXT(B1303,""M""),""""))"),"")</f>
        <v/>
      </c>
      <c r="M1303" s="29" t="str">
        <f>IFERROR(__xludf.DUMMYFUNCTION("IF(L1303="""","""",QUERY({'Dashboard-Dados'!$Y$2:$AA$13},""Select Col2 Where Col1=""&amp;L1303))"),"")</f>
        <v/>
      </c>
      <c r="N1303" s="29" t="str">
        <f>IFERROR(__xludf.DUMMYFUNCTION("IF(ISBLANK(B1303),"""",IF(ISDATE(B1303),TEXT(B1303,""yyyy""),""""))"),"")</f>
        <v/>
      </c>
    </row>
    <row r="1304">
      <c r="B1304" s="89"/>
      <c r="C1304" s="86"/>
      <c r="D1304" s="71"/>
      <c r="H1304" s="90"/>
      <c r="J1304" s="53" t="str">
        <f>IFERROR(__xludf.DUMMYFUNCTION("IF(ISBLANK(B1304),"""",IF(ISDATE(B1304),""X"",""""))"),"")</f>
        <v/>
      </c>
      <c r="K1304" s="40" t="str">
        <f>IFERROR(__xludf.DUMMYFUNCTION("IF(ISBLANK(B1304),"""",IF(ISDATE(B1304),H1304,""""))"),"")</f>
        <v/>
      </c>
      <c r="L1304" s="40" t="str">
        <f>IFERROR(__xludf.DUMMYFUNCTION("IF(ISBLANK(B1304),"""",IF(ISDATE(B1304),TEXT(B1304,""M""),""""))"),"")</f>
        <v/>
      </c>
      <c r="M1304" s="29" t="str">
        <f>IFERROR(__xludf.DUMMYFUNCTION("IF(L1304="""","""",QUERY({'Dashboard-Dados'!$Y$2:$AA$13},""Select Col2 Where Col1=""&amp;L1304))"),"")</f>
        <v/>
      </c>
      <c r="N1304" s="29" t="str">
        <f>IFERROR(__xludf.DUMMYFUNCTION("IF(ISBLANK(B1304),"""",IF(ISDATE(B1304),TEXT(B1304,""yyyy""),""""))"),"")</f>
        <v/>
      </c>
    </row>
    <row r="1305">
      <c r="B1305" s="87"/>
      <c r="C1305" s="85"/>
      <c r="D1305" s="76"/>
      <c r="H1305" s="88"/>
      <c r="J1305" s="53" t="str">
        <f>IFERROR(__xludf.DUMMYFUNCTION("IF(ISBLANK(B1305),"""",IF(ISDATE(B1305),""X"",""""))"),"")</f>
        <v/>
      </c>
      <c r="K1305" s="40" t="str">
        <f>IFERROR(__xludf.DUMMYFUNCTION("IF(ISBLANK(B1305),"""",IF(ISDATE(B1305),H1305,""""))"),"")</f>
        <v/>
      </c>
      <c r="L1305" s="40" t="str">
        <f>IFERROR(__xludf.DUMMYFUNCTION("IF(ISBLANK(B1305),"""",IF(ISDATE(B1305),TEXT(B1305,""M""),""""))"),"")</f>
        <v/>
      </c>
      <c r="M1305" s="29" t="str">
        <f>IFERROR(__xludf.DUMMYFUNCTION("IF(L1305="""","""",QUERY({'Dashboard-Dados'!$Y$2:$AA$13},""Select Col2 Where Col1=""&amp;L1305))"),"")</f>
        <v/>
      </c>
      <c r="N1305" s="29" t="str">
        <f>IFERROR(__xludf.DUMMYFUNCTION("IF(ISBLANK(B1305),"""",IF(ISDATE(B1305),TEXT(B1305,""yyyy""),""""))"),"")</f>
        <v/>
      </c>
    </row>
    <row r="1306">
      <c r="B1306" s="89"/>
      <c r="C1306" s="86"/>
      <c r="D1306" s="71"/>
      <c r="H1306" s="90"/>
      <c r="J1306" s="53" t="str">
        <f>IFERROR(__xludf.DUMMYFUNCTION("IF(ISBLANK(B1306),"""",IF(ISDATE(B1306),""X"",""""))"),"")</f>
        <v/>
      </c>
      <c r="K1306" s="40" t="str">
        <f>IFERROR(__xludf.DUMMYFUNCTION("IF(ISBLANK(B1306),"""",IF(ISDATE(B1306),H1306,""""))"),"")</f>
        <v/>
      </c>
      <c r="L1306" s="40" t="str">
        <f>IFERROR(__xludf.DUMMYFUNCTION("IF(ISBLANK(B1306),"""",IF(ISDATE(B1306),TEXT(B1306,""M""),""""))"),"")</f>
        <v/>
      </c>
      <c r="M1306" s="29" t="str">
        <f>IFERROR(__xludf.DUMMYFUNCTION("IF(L1306="""","""",QUERY({'Dashboard-Dados'!$Y$2:$AA$13},""Select Col2 Where Col1=""&amp;L1306))"),"")</f>
        <v/>
      </c>
      <c r="N1306" s="29" t="str">
        <f>IFERROR(__xludf.DUMMYFUNCTION("IF(ISBLANK(B1306),"""",IF(ISDATE(B1306),TEXT(B1306,""yyyy""),""""))"),"")</f>
        <v/>
      </c>
    </row>
    <row r="1307">
      <c r="B1307" s="87"/>
      <c r="C1307" s="85"/>
      <c r="D1307" s="76"/>
      <c r="H1307" s="88"/>
      <c r="J1307" s="53" t="str">
        <f>IFERROR(__xludf.DUMMYFUNCTION("IF(ISBLANK(B1307),"""",IF(ISDATE(B1307),""X"",""""))"),"")</f>
        <v/>
      </c>
      <c r="K1307" s="40" t="str">
        <f>IFERROR(__xludf.DUMMYFUNCTION("IF(ISBLANK(B1307),"""",IF(ISDATE(B1307),H1307,""""))"),"")</f>
        <v/>
      </c>
      <c r="L1307" s="40" t="str">
        <f>IFERROR(__xludf.DUMMYFUNCTION("IF(ISBLANK(B1307),"""",IF(ISDATE(B1307),TEXT(B1307,""M""),""""))"),"")</f>
        <v/>
      </c>
      <c r="M1307" s="29" t="str">
        <f>IFERROR(__xludf.DUMMYFUNCTION("IF(L1307="""","""",QUERY({'Dashboard-Dados'!$Y$2:$AA$13},""Select Col2 Where Col1=""&amp;L1307))"),"")</f>
        <v/>
      </c>
      <c r="N1307" s="29" t="str">
        <f>IFERROR(__xludf.DUMMYFUNCTION("IF(ISBLANK(B1307),"""",IF(ISDATE(B1307),TEXT(B1307,""yyyy""),""""))"),"")</f>
        <v/>
      </c>
    </row>
    <row r="1308">
      <c r="B1308" s="89"/>
      <c r="C1308" s="86"/>
      <c r="D1308" s="71"/>
      <c r="H1308" s="90"/>
      <c r="J1308" s="53" t="str">
        <f>IFERROR(__xludf.DUMMYFUNCTION("IF(ISBLANK(B1308),"""",IF(ISDATE(B1308),""X"",""""))"),"")</f>
        <v/>
      </c>
      <c r="K1308" s="40" t="str">
        <f>IFERROR(__xludf.DUMMYFUNCTION("IF(ISBLANK(B1308),"""",IF(ISDATE(B1308),H1308,""""))"),"")</f>
        <v/>
      </c>
      <c r="L1308" s="40" t="str">
        <f>IFERROR(__xludf.DUMMYFUNCTION("IF(ISBLANK(B1308),"""",IF(ISDATE(B1308),TEXT(B1308,""M""),""""))"),"")</f>
        <v/>
      </c>
      <c r="M1308" s="29" t="str">
        <f>IFERROR(__xludf.DUMMYFUNCTION("IF(L1308="""","""",QUERY({'Dashboard-Dados'!$Y$2:$AA$13},""Select Col2 Where Col1=""&amp;L1308))"),"")</f>
        <v/>
      </c>
      <c r="N1308" s="29" t="str">
        <f>IFERROR(__xludf.DUMMYFUNCTION("IF(ISBLANK(B1308),"""",IF(ISDATE(B1308),TEXT(B1308,""yyyy""),""""))"),"")</f>
        <v/>
      </c>
    </row>
    <row r="1309">
      <c r="B1309" s="87"/>
      <c r="C1309" s="85"/>
      <c r="D1309" s="76"/>
      <c r="H1309" s="88"/>
      <c r="J1309" s="53" t="str">
        <f>IFERROR(__xludf.DUMMYFUNCTION("IF(ISBLANK(B1309),"""",IF(ISDATE(B1309),""X"",""""))"),"")</f>
        <v/>
      </c>
      <c r="K1309" s="40" t="str">
        <f>IFERROR(__xludf.DUMMYFUNCTION("IF(ISBLANK(B1309),"""",IF(ISDATE(B1309),H1309,""""))"),"")</f>
        <v/>
      </c>
      <c r="L1309" s="40" t="str">
        <f>IFERROR(__xludf.DUMMYFUNCTION("IF(ISBLANK(B1309),"""",IF(ISDATE(B1309),TEXT(B1309,""M""),""""))"),"")</f>
        <v/>
      </c>
      <c r="M1309" s="29" t="str">
        <f>IFERROR(__xludf.DUMMYFUNCTION("IF(L1309="""","""",QUERY({'Dashboard-Dados'!$Y$2:$AA$13},""Select Col2 Where Col1=""&amp;L1309))"),"")</f>
        <v/>
      </c>
      <c r="N1309" s="29" t="str">
        <f>IFERROR(__xludf.DUMMYFUNCTION("IF(ISBLANK(B1309),"""",IF(ISDATE(B1309),TEXT(B1309,""yyyy""),""""))"),"")</f>
        <v/>
      </c>
    </row>
    <row r="1310">
      <c r="B1310" s="89"/>
      <c r="C1310" s="86"/>
      <c r="D1310" s="71"/>
      <c r="H1310" s="90"/>
      <c r="J1310" s="53" t="str">
        <f>IFERROR(__xludf.DUMMYFUNCTION("IF(ISBLANK(B1310),"""",IF(ISDATE(B1310),""X"",""""))"),"")</f>
        <v/>
      </c>
      <c r="K1310" s="40" t="str">
        <f>IFERROR(__xludf.DUMMYFUNCTION("IF(ISBLANK(B1310),"""",IF(ISDATE(B1310),H1310,""""))"),"")</f>
        <v/>
      </c>
      <c r="L1310" s="40" t="str">
        <f>IFERROR(__xludf.DUMMYFUNCTION("IF(ISBLANK(B1310),"""",IF(ISDATE(B1310),TEXT(B1310,""M""),""""))"),"")</f>
        <v/>
      </c>
      <c r="M1310" s="29" t="str">
        <f>IFERROR(__xludf.DUMMYFUNCTION("IF(L1310="""","""",QUERY({'Dashboard-Dados'!$Y$2:$AA$13},""Select Col2 Where Col1=""&amp;L1310))"),"")</f>
        <v/>
      </c>
      <c r="N1310" s="29" t="str">
        <f>IFERROR(__xludf.DUMMYFUNCTION("IF(ISBLANK(B1310),"""",IF(ISDATE(B1310),TEXT(B1310,""yyyy""),""""))"),"")</f>
        <v/>
      </c>
    </row>
    <row r="1311">
      <c r="B1311" s="87"/>
      <c r="C1311" s="85"/>
      <c r="D1311" s="76"/>
      <c r="H1311" s="88"/>
      <c r="J1311" s="53" t="str">
        <f>IFERROR(__xludf.DUMMYFUNCTION("IF(ISBLANK(B1311),"""",IF(ISDATE(B1311),""X"",""""))"),"")</f>
        <v/>
      </c>
      <c r="K1311" s="40" t="str">
        <f>IFERROR(__xludf.DUMMYFUNCTION("IF(ISBLANK(B1311),"""",IF(ISDATE(B1311),H1311,""""))"),"")</f>
        <v/>
      </c>
      <c r="L1311" s="40" t="str">
        <f>IFERROR(__xludf.DUMMYFUNCTION("IF(ISBLANK(B1311),"""",IF(ISDATE(B1311),TEXT(B1311,""M""),""""))"),"")</f>
        <v/>
      </c>
      <c r="M1311" s="29" t="str">
        <f>IFERROR(__xludf.DUMMYFUNCTION("IF(L1311="""","""",QUERY({'Dashboard-Dados'!$Y$2:$AA$13},""Select Col2 Where Col1=""&amp;L1311))"),"")</f>
        <v/>
      </c>
      <c r="N1311" s="29" t="str">
        <f>IFERROR(__xludf.DUMMYFUNCTION("IF(ISBLANK(B1311),"""",IF(ISDATE(B1311),TEXT(B1311,""yyyy""),""""))"),"")</f>
        <v/>
      </c>
    </row>
    <row r="1312">
      <c r="B1312" s="89"/>
      <c r="C1312" s="86"/>
      <c r="D1312" s="71"/>
      <c r="H1312" s="90"/>
      <c r="J1312" s="53" t="str">
        <f>IFERROR(__xludf.DUMMYFUNCTION("IF(ISBLANK(B1312),"""",IF(ISDATE(B1312),""X"",""""))"),"")</f>
        <v/>
      </c>
      <c r="K1312" s="40" t="str">
        <f>IFERROR(__xludf.DUMMYFUNCTION("IF(ISBLANK(B1312),"""",IF(ISDATE(B1312),H1312,""""))"),"")</f>
        <v/>
      </c>
      <c r="L1312" s="40" t="str">
        <f>IFERROR(__xludf.DUMMYFUNCTION("IF(ISBLANK(B1312),"""",IF(ISDATE(B1312),TEXT(B1312,""M""),""""))"),"")</f>
        <v/>
      </c>
      <c r="M1312" s="29" t="str">
        <f>IFERROR(__xludf.DUMMYFUNCTION("IF(L1312="""","""",QUERY({'Dashboard-Dados'!$Y$2:$AA$13},""Select Col2 Where Col1=""&amp;L1312))"),"")</f>
        <v/>
      </c>
      <c r="N1312" s="29" t="str">
        <f>IFERROR(__xludf.DUMMYFUNCTION("IF(ISBLANK(B1312),"""",IF(ISDATE(B1312),TEXT(B1312,""yyyy""),""""))"),"")</f>
        <v/>
      </c>
    </row>
    <row r="1313">
      <c r="B1313" s="87"/>
      <c r="C1313" s="85"/>
      <c r="D1313" s="76"/>
      <c r="H1313" s="88"/>
      <c r="J1313" s="53" t="str">
        <f>IFERROR(__xludf.DUMMYFUNCTION("IF(ISBLANK(B1313),"""",IF(ISDATE(B1313),""X"",""""))"),"")</f>
        <v/>
      </c>
      <c r="K1313" s="40" t="str">
        <f>IFERROR(__xludf.DUMMYFUNCTION("IF(ISBLANK(B1313),"""",IF(ISDATE(B1313),H1313,""""))"),"")</f>
        <v/>
      </c>
      <c r="L1313" s="40" t="str">
        <f>IFERROR(__xludf.DUMMYFUNCTION("IF(ISBLANK(B1313),"""",IF(ISDATE(B1313),TEXT(B1313,""M""),""""))"),"")</f>
        <v/>
      </c>
      <c r="M1313" s="29" t="str">
        <f>IFERROR(__xludf.DUMMYFUNCTION("IF(L1313="""","""",QUERY({'Dashboard-Dados'!$Y$2:$AA$13},""Select Col2 Where Col1=""&amp;L1313))"),"")</f>
        <v/>
      </c>
      <c r="N1313" s="29" t="str">
        <f>IFERROR(__xludf.DUMMYFUNCTION("IF(ISBLANK(B1313),"""",IF(ISDATE(B1313),TEXT(B1313,""yyyy""),""""))"),"")</f>
        <v/>
      </c>
    </row>
    <row r="1314">
      <c r="B1314" s="89"/>
      <c r="C1314" s="86"/>
      <c r="D1314" s="71"/>
      <c r="H1314" s="90"/>
      <c r="J1314" s="53" t="str">
        <f>IFERROR(__xludf.DUMMYFUNCTION("IF(ISBLANK(B1314),"""",IF(ISDATE(B1314),""X"",""""))"),"")</f>
        <v/>
      </c>
      <c r="K1314" s="40" t="str">
        <f>IFERROR(__xludf.DUMMYFUNCTION("IF(ISBLANK(B1314),"""",IF(ISDATE(B1314),H1314,""""))"),"")</f>
        <v/>
      </c>
      <c r="L1314" s="40" t="str">
        <f>IFERROR(__xludf.DUMMYFUNCTION("IF(ISBLANK(B1314),"""",IF(ISDATE(B1314),TEXT(B1314,""M""),""""))"),"")</f>
        <v/>
      </c>
      <c r="M1314" s="29" t="str">
        <f>IFERROR(__xludf.DUMMYFUNCTION("IF(L1314="""","""",QUERY({'Dashboard-Dados'!$Y$2:$AA$13},""Select Col2 Where Col1=""&amp;L1314))"),"")</f>
        <v/>
      </c>
      <c r="N1314" s="29" t="str">
        <f>IFERROR(__xludf.DUMMYFUNCTION("IF(ISBLANK(B1314),"""",IF(ISDATE(B1314),TEXT(B1314,""yyyy""),""""))"),"")</f>
        <v/>
      </c>
    </row>
    <row r="1315">
      <c r="B1315" s="87"/>
      <c r="C1315" s="85"/>
      <c r="D1315" s="76"/>
      <c r="H1315" s="88"/>
      <c r="J1315" s="53" t="str">
        <f>IFERROR(__xludf.DUMMYFUNCTION("IF(ISBLANK(B1315),"""",IF(ISDATE(B1315),""X"",""""))"),"")</f>
        <v/>
      </c>
      <c r="K1315" s="40" t="str">
        <f>IFERROR(__xludf.DUMMYFUNCTION("IF(ISBLANK(B1315),"""",IF(ISDATE(B1315),H1315,""""))"),"")</f>
        <v/>
      </c>
      <c r="L1315" s="40" t="str">
        <f>IFERROR(__xludf.DUMMYFUNCTION("IF(ISBLANK(B1315),"""",IF(ISDATE(B1315),TEXT(B1315,""M""),""""))"),"")</f>
        <v/>
      </c>
      <c r="M1315" s="29" t="str">
        <f>IFERROR(__xludf.DUMMYFUNCTION("IF(L1315="""","""",QUERY({'Dashboard-Dados'!$Y$2:$AA$13},""Select Col2 Where Col1=""&amp;L1315))"),"")</f>
        <v/>
      </c>
      <c r="N1315" s="29" t="str">
        <f>IFERROR(__xludf.DUMMYFUNCTION("IF(ISBLANK(B1315),"""",IF(ISDATE(B1315),TEXT(B1315,""yyyy""),""""))"),"")</f>
        <v/>
      </c>
    </row>
    <row r="1316">
      <c r="B1316" s="89"/>
      <c r="C1316" s="86"/>
      <c r="D1316" s="71"/>
      <c r="H1316" s="90"/>
      <c r="J1316" s="53" t="str">
        <f>IFERROR(__xludf.DUMMYFUNCTION("IF(ISBLANK(B1316),"""",IF(ISDATE(B1316),""X"",""""))"),"")</f>
        <v/>
      </c>
      <c r="K1316" s="40" t="str">
        <f>IFERROR(__xludf.DUMMYFUNCTION("IF(ISBLANK(B1316),"""",IF(ISDATE(B1316),H1316,""""))"),"")</f>
        <v/>
      </c>
      <c r="L1316" s="40" t="str">
        <f>IFERROR(__xludf.DUMMYFUNCTION("IF(ISBLANK(B1316),"""",IF(ISDATE(B1316),TEXT(B1316,""M""),""""))"),"")</f>
        <v/>
      </c>
      <c r="M1316" s="29" t="str">
        <f>IFERROR(__xludf.DUMMYFUNCTION("IF(L1316="""","""",QUERY({'Dashboard-Dados'!$Y$2:$AA$13},""Select Col2 Where Col1=""&amp;L1316))"),"")</f>
        <v/>
      </c>
      <c r="N1316" s="29" t="str">
        <f>IFERROR(__xludf.DUMMYFUNCTION("IF(ISBLANK(B1316),"""",IF(ISDATE(B1316),TEXT(B1316,""yyyy""),""""))"),"")</f>
        <v/>
      </c>
    </row>
    <row r="1317">
      <c r="B1317" s="87"/>
      <c r="C1317" s="85"/>
      <c r="D1317" s="76"/>
      <c r="H1317" s="88"/>
      <c r="J1317" s="53" t="str">
        <f>IFERROR(__xludf.DUMMYFUNCTION("IF(ISBLANK(B1317),"""",IF(ISDATE(B1317),""X"",""""))"),"")</f>
        <v/>
      </c>
      <c r="K1317" s="40" t="str">
        <f>IFERROR(__xludf.DUMMYFUNCTION("IF(ISBLANK(B1317),"""",IF(ISDATE(B1317),H1317,""""))"),"")</f>
        <v/>
      </c>
      <c r="L1317" s="40" t="str">
        <f>IFERROR(__xludf.DUMMYFUNCTION("IF(ISBLANK(B1317),"""",IF(ISDATE(B1317),TEXT(B1317,""M""),""""))"),"")</f>
        <v/>
      </c>
      <c r="M1317" s="29" t="str">
        <f>IFERROR(__xludf.DUMMYFUNCTION("IF(L1317="""","""",QUERY({'Dashboard-Dados'!$Y$2:$AA$13},""Select Col2 Where Col1=""&amp;L1317))"),"")</f>
        <v/>
      </c>
      <c r="N1317" s="29" t="str">
        <f>IFERROR(__xludf.DUMMYFUNCTION("IF(ISBLANK(B1317),"""",IF(ISDATE(B1317),TEXT(B1317,""yyyy""),""""))"),"")</f>
        <v/>
      </c>
    </row>
    <row r="1318">
      <c r="B1318" s="89"/>
      <c r="C1318" s="86"/>
      <c r="D1318" s="71"/>
      <c r="H1318" s="90"/>
      <c r="J1318" s="53" t="str">
        <f>IFERROR(__xludf.DUMMYFUNCTION("IF(ISBLANK(B1318),"""",IF(ISDATE(B1318),""X"",""""))"),"")</f>
        <v/>
      </c>
      <c r="K1318" s="40" t="str">
        <f>IFERROR(__xludf.DUMMYFUNCTION("IF(ISBLANK(B1318),"""",IF(ISDATE(B1318),H1318,""""))"),"")</f>
        <v/>
      </c>
      <c r="L1318" s="40" t="str">
        <f>IFERROR(__xludf.DUMMYFUNCTION("IF(ISBLANK(B1318),"""",IF(ISDATE(B1318),TEXT(B1318,""M""),""""))"),"")</f>
        <v/>
      </c>
      <c r="M1318" s="29" t="str">
        <f>IFERROR(__xludf.DUMMYFUNCTION("IF(L1318="""","""",QUERY({'Dashboard-Dados'!$Y$2:$AA$13},""Select Col2 Where Col1=""&amp;L1318))"),"")</f>
        <v/>
      </c>
      <c r="N1318" s="29" t="str">
        <f>IFERROR(__xludf.DUMMYFUNCTION("IF(ISBLANK(B1318),"""",IF(ISDATE(B1318),TEXT(B1318,""yyyy""),""""))"),"")</f>
        <v/>
      </c>
    </row>
    <row r="1319">
      <c r="B1319" s="87"/>
      <c r="C1319" s="85"/>
      <c r="D1319" s="76"/>
      <c r="H1319" s="88"/>
      <c r="J1319" s="53" t="str">
        <f>IFERROR(__xludf.DUMMYFUNCTION("IF(ISBLANK(B1319),"""",IF(ISDATE(B1319),""X"",""""))"),"")</f>
        <v/>
      </c>
      <c r="K1319" s="40" t="str">
        <f>IFERROR(__xludf.DUMMYFUNCTION("IF(ISBLANK(B1319),"""",IF(ISDATE(B1319),H1319,""""))"),"")</f>
        <v/>
      </c>
      <c r="L1319" s="40" t="str">
        <f>IFERROR(__xludf.DUMMYFUNCTION("IF(ISBLANK(B1319),"""",IF(ISDATE(B1319),TEXT(B1319,""M""),""""))"),"")</f>
        <v/>
      </c>
      <c r="M1319" s="29" t="str">
        <f>IFERROR(__xludf.DUMMYFUNCTION("IF(L1319="""","""",QUERY({'Dashboard-Dados'!$Y$2:$AA$13},""Select Col2 Where Col1=""&amp;L1319))"),"")</f>
        <v/>
      </c>
      <c r="N1319" s="29" t="str">
        <f>IFERROR(__xludf.DUMMYFUNCTION("IF(ISBLANK(B1319),"""",IF(ISDATE(B1319),TEXT(B1319,""yyyy""),""""))"),"")</f>
        <v/>
      </c>
    </row>
    <row r="1320">
      <c r="B1320" s="89"/>
      <c r="C1320" s="86"/>
      <c r="D1320" s="71"/>
      <c r="H1320" s="90"/>
      <c r="J1320" s="53" t="str">
        <f>IFERROR(__xludf.DUMMYFUNCTION("IF(ISBLANK(B1320),"""",IF(ISDATE(B1320),""X"",""""))"),"")</f>
        <v/>
      </c>
      <c r="K1320" s="40" t="str">
        <f>IFERROR(__xludf.DUMMYFUNCTION("IF(ISBLANK(B1320),"""",IF(ISDATE(B1320),H1320,""""))"),"")</f>
        <v/>
      </c>
      <c r="L1320" s="40" t="str">
        <f>IFERROR(__xludf.DUMMYFUNCTION("IF(ISBLANK(B1320),"""",IF(ISDATE(B1320),TEXT(B1320,""M""),""""))"),"")</f>
        <v/>
      </c>
      <c r="M1320" s="29" t="str">
        <f>IFERROR(__xludf.DUMMYFUNCTION("IF(L1320="""","""",QUERY({'Dashboard-Dados'!$Y$2:$AA$13},""Select Col2 Where Col1=""&amp;L1320))"),"")</f>
        <v/>
      </c>
      <c r="N1320" s="29" t="str">
        <f>IFERROR(__xludf.DUMMYFUNCTION("IF(ISBLANK(B1320),"""",IF(ISDATE(B1320),TEXT(B1320,""yyyy""),""""))"),"")</f>
        <v/>
      </c>
    </row>
    <row r="1321">
      <c r="B1321" s="87"/>
      <c r="C1321" s="85"/>
      <c r="D1321" s="76"/>
      <c r="H1321" s="88"/>
      <c r="J1321" s="53" t="str">
        <f>IFERROR(__xludf.DUMMYFUNCTION("IF(ISBLANK(B1321),"""",IF(ISDATE(B1321),""X"",""""))"),"")</f>
        <v/>
      </c>
      <c r="K1321" s="40" t="str">
        <f>IFERROR(__xludf.DUMMYFUNCTION("IF(ISBLANK(B1321),"""",IF(ISDATE(B1321),H1321,""""))"),"")</f>
        <v/>
      </c>
      <c r="L1321" s="40" t="str">
        <f>IFERROR(__xludf.DUMMYFUNCTION("IF(ISBLANK(B1321),"""",IF(ISDATE(B1321),TEXT(B1321,""M""),""""))"),"")</f>
        <v/>
      </c>
      <c r="M1321" s="29" t="str">
        <f>IFERROR(__xludf.DUMMYFUNCTION("IF(L1321="""","""",QUERY({'Dashboard-Dados'!$Y$2:$AA$13},""Select Col2 Where Col1=""&amp;L1321))"),"")</f>
        <v/>
      </c>
      <c r="N1321" s="29" t="str">
        <f>IFERROR(__xludf.DUMMYFUNCTION("IF(ISBLANK(B1321),"""",IF(ISDATE(B1321),TEXT(B1321,""yyyy""),""""))"),"")</f>
        <v/>
      </c>
    </row>
    <row r="1322">
      <c r="B1322" s="89"/>
      <c r="C1322" s="86"/>
      <c r="D1322" s="71"/>
      <c r="H1322" s="90"/>
      <c r="J1322" s="53" t="str">
        <f>IFERROR(__xludf.DUMMYFUNCTION("IF(ISBLANK(B1322),"""",IF(ISDATE(B1322),""X"",""""))"),"")</f>
        <v/>
      </c>
      <c r="K1322" s="40" t="str">
        <f>IFERROR(__xludf.DUMMYFUNCTION("IF(ISBLANK(B1322),"""",IF(ISDATE(B1322),H1322,""""))"),"")</f>
        <v/>
      </c>
      <c r="L1322" s="40" t="str">
        <f>IFERROR(__xludf.DUMMYFUNCTION("IF(ISBLANK(B1322),"""",IF(ISDATE(B1322),TEXT(B1322,""M""),""""))"),"")</f>
        <v/>
      </c>
      <c r="M1322" s="29" t="str">
        <f>IFERROR(__xludf.DUMMYFUNCTION("IF(L1322="""","""",QUERY({'Dashboard-Dados'!$Y$2:$AA$13},""Select Col2 Where Col1=""&amp;L1322))"),"")</f>
        <v/>
      </c>
      <c r="N1322" s="29" t="str">
        <f>IFERROR(__xludf.DUMMYFUNCTION("IF(ISBLANK(B1322),"""",IF(ISDATE(B1322),TEXT(B1322,""yyyy""),""""))"),"")</f>
        <v/>
      </c>
    </row>
    <row r="1323">
      <c r="B1323" s="87"/>
      <c r="C1323" s="85"/>
      <c r="D1323" s="76"/>
      <c r="H1323" s="88"/>
      <c r="J1323" s="53" t="str">
        <f>IFERROR(__xludf.DUMMYFUNCTION("IF(ISBLANK(B1323),"""",IF(ISDATE(B1323),""X"",""""))"),"")</f>
        <v/>
      </c>
      <c r="K1323" s="40" t="str">
        <f>IFERROR(__xludf.DUMMYFUNCTION("IF(ISBLANK(B1323),"""",IF(ISDATE(B1323),H1323,""""))"),"")</f>
        <v/>
      </c>
      <c r="L1323" s="40" t="str">
        <f>IFERROR(__xludf.DUMMYFUNCTION("IF(ISBLANK(B1323),"""",IF(ISDATE(B1323),TEXT(B1323,""M""),""""))"),"")</f>
        <v/>
      </c>
      <c r="M1323" s="29" t="str">
        <f>IFERROR(__xludf.DUMMYFUNCTION("IF(L1323="""","""",QUERY({'Dashboard-Dados'!$Y$2:$AA$13},""Select Col2 Where Col1=""&amp;L1323))"),"")</f>
        <v/>
      </c>
      <c r="N1323" s="29" t="str">
        <f>IFERROR(__xludf.DUMMYFUNCTION("IF(ISBLANK(B1323),"""",IF(ISDATE(B1323),TEXT(B1323,""yyyy""),""""))"),"")</f>
        <v/>
      </c>
    </row>
    <row r="1324">
      <c r="B1324" s="89"/>
      <c r="C1324" s="86"/>
      <c r="D1324" s="71"/>
      <c r="H1324" s="90"/>
      <c r="J1324" s="53" t="str">
        <f>IFERROR(__xludf.DUMMYFUNCTION("IF(ISBLANK(B1324),"""",IF(ISDATE(B1324),""X"",""""))"),"")</f>
        <v/>
      </c>
      <c r="K1324" s="40" t="str">
        <f>IFERROR(__xludf.DUMMYFUNCTION("IF(ISBLANK(B1324),"""",IF(ISDATE(B1324),H1324,""""))"),"")</f>
        <v/>
      </c>
      <c r="L1324" s="40" t="str">
        <f>IFERROR(__xludf.DUMMYFUNCTION("IF(ISBLANK(B1324),"""",IF(ISDATE(B1324),TEXT(B1324,""M""),""""))"),"")</f>
        <v/>
      </c>
      <c r="M1324" s="29" t="str">
        <f>IFERROR(__xludf.DUMMYFUNCTION("IF(L1324="""","""",QUERY({'Dashboard-Dados'!$Y$2:$AA$13},""Select Col2 Where Col1=""&amp;L1324))"),"")</f>
        <v/>
      </c>
      <c r="N1324" s="29" t="str">
        <f>IFERROR(__xludf.DUMMYFUNCTION("IF(ISBLANK(B1324),"""",IF(ISDATE(B1324),TEXT(B1324,""yyyy""),""""))"),"")</f>
        <v/>
      </c>
    </row>
    <row r="1325">
      <c r="B1325" s="87"/>
      <c r="C1325" s="85"/>
      <c r="D1325" s="76"/>
      <c r="H1325" s="88"/>
      <c r="J1325" s="53" t="str">
        <f>IFERROR(__xludf.DUMMYFUNCTION("IF(ISBLANK(B1325),"""",IF(ISDATE(B1325),""X"",""""))"),"")</f>
        <v/>
      </c>
      <c r="K1325" s="40" t="str">
        <f>IFERROR(__xludf.DUMMYFUNCTION("IF(ISBLANK(B1325),"""",IF(ISDATE(B1325),H1325,""""))"),"")</f>
        <v/>
      </c>
      <c r="L1325" s="40" t="str">
        <f>IFERROR(__xludf.DUMMYFUNCTION("IF(ISBLANK(B1325),"""",IF(ISDATE(B1325),TEXT(B1325,""M""),""""))"),"")</f>
        <v/>
      </c>
      <c r="M1325" s="29" t="str">
        <f>IFERROR(__xludf.DUMMYFUNCTION("IF(L1325="""","""",QUERY({'Dashboard-Dados'!$Y$2:$AA$13},""Select Col2 Where Col1=""&amp;L1325))"),"")</f>
        <v/>
      </c>
      <c r="N1325" s="29" t="str">
        <f>IFERROR(__xludf.DUMMYFUNCTION("IF(ISBLANK(B1325),"""",IF(ISDATE(B1325),TEXT(B1325,""yyyy""),""""))"),"")</f>
        <v/>
      </c>
    </row>
    <row r="1326">
      <c r="B1326" s="89"/>
      <c r="C1326" s="86"/>
      <c r="D1326" s="71"/>
      <c r="H1326" s="90"/>
      <c r="J1326" s="53" t="str">
        <f>IFERROR(__xludf.DUMMYFUNCTION("IF(ISBLANK(B1326),"""",IF(ISDATE(B1326),""X"",""""))"),"")</f>
        <v/>
      </c>
      <c r="K1326" s="40" t="str">
        <f>IFERROR(__xludf.DUMMYFUNCTION("IF(ISBLANK(B1326),"""",IF(ISDATE(B1326),H1326,""""))"),"")</f>
        <v/>
      </c>
      <c r="L1326" s="40" t="str">
        <f>IFERROR(__xludf.DUMMYFUNCTION("IF(ISBLANK(B1326),"""",IF(ISDATE(B1326),TEXT(B1326,""M""),""""))"),"")</f>
        <v/>
      </c>
      <c r="M1326" s="29" t="str">
        <f>IFERROR(__xludf.DUMMYFUNCTION("IF(L1326="""","""",QUERY({'Dashboard-Dados'!$Y$2:$AA$13},""Select Col2 Where Col1=""&amp;L1326))"),"")</f>
        <v/>
      </c>
      <c r="N1326" s="29" t="str">
        <f>IFERROR(__xludf.DUMMYFUNCTION("IF(ISBLANK(B1326),"""",IF(ISDATE(B1326),TEXT(B1326,""yyyy""),""""))"),"")</f>
        <v/>
      </c>
    </row>
    <row r="1327">
      <c r="B1327" s="87"/>
      <c r="C1327" s="85"/>
      <c r="D1327" s="76"/>
      <c r="H1327" s="88"/>
      <c r="J1327" s="53" t="str">
        <f>IFERROR(__xludf.DUMMYFUNCTION("IF(ISBLANK(B1327),"""",IF(ISDATE(B1327),""X"",""""))"),"")</f>
        <v/>
      </c>
      <c r="K1327" s="40" t="str">
        <f>IFERROR(__xludf.DUMMYFUNCTION("IF(ISBLANK(B1327),"""",IF(ISDATE(B1327),H1327,""""))"),"")</f>
        <v/>
      </c>
      <c r="L1327" s="40" t="str">
        <f>IFERROR(__xludf.DUMMYFUNCTION("IF(ISBLANK(B1327),"""",IF(ISDATE(B1327),TEXT(B1327,""M""),""""))"),"")</f>
        <v/>
      </c>
      <c r="M1327" s="29" t="str">
        <f>IFERROR(__xludf.DUMMYFUNCTION("IF(L1327="""","""",QUERY({'Dashboard-Dados'!$Y$2:$AA$13},""Select Col2 Where Col1=""&amp;L1327))"),"")</f>
        <v/>
      </c>
      <c r="N1327" s="29" t="str">
        <f>IFERROR(__xludf.DUMMYFUNCTION("IF(ISBLANK(B1327),"""",IF(ISDATE(B1327),TEXT(B1327,""yyyy""),""""))"),"")</f>
        <v/>
      </c>
    </row>
    <row r="1328">
      <c r="B1328" s="89"/>
      <c r="C1328" s="86"/>
      <c r="D1328" s="71"/>
      <c r="H1328" s="90"/>
      <c r="J1328" s="53" t="str">
        <f>IFERROR(__xludf.DUMMYFUNCTION("IF(ISBLANK(B1328),"""",IF(ISDATE(B1328),""X"",""""))"),"")</f>
        <v/>
      </c>
      <c r="K1328" s="40" t="str">
        <f>IFERROR(__xludf.DUMMYFUNCTION("IF(ISBLANK(B1328),"""",IF(ISDATE(B1328),H1328,""""))"),"")</f>
        <v/>
      </c>
      <c r="L1328" s="40" t="str">
        <f>IFERROR(__xludf.DUMMYFUNCTION("IF(ISBLANK(B1328),"""",IF(ISDATE(B1328),TEXT(B1328,""M""),""""))"),"")</f>
        <v/>
      </c>
      <c r="M1328" s="29" t="str">
        <f>IFERROR(__xludf.DUMMYFUNCTION("IF(L1328="""","""",QUERY({'Dashboard-Dados'!$Y$2:$AA$13},""Select Col2 Where Col1=""&amp;L1328))"),"")</f>
        <v/>
      </c>
      <c r="N1328" s="29" t="str">
        <f>IFERROR(__xludf.DUMMYFUNCTION("IF(ISBLANK(B1328),"""",IF(ISDATE(B1328),TEXT(B1328,""yyyy""),""""))"),"")</f>
        <v/>
      </c>
    </row>
    <row r="1329">
      <c r="B1329" s="87"/>
      <c r="C1329" s="85"/>
      <c r="D1329" s="76"/>
      <c r="H1329" s="88"/>
      <c r="J1329" s="53" t="str">
        <f>IFERROR(__xludf.DUMMYFUNCTION("IF(ISBLANK(B1329),"""",IF(ISDATE(B1329),""X"",""""))"),"")</f>
        <v/>
      </c>
      <c r="K1329" s="40" t="str">
        <f>IFERROR(__xludf.DUMMYFUNCTION("IF(ISBLANK(B1329),"""",IF(ISDATE(B1329),H1329,""""))"),"")</f>
        <v/>
      </c>
      <c r="L1329" s="40" t="str">
        <f>IFERROR(__xludf.DUMMYFUNCTION("IF(ISBLANK(B1329),"""",IF(ISDATE(B1329),TEXT(B1329,""M""),""""))"),"")</f>
        <v/>
      </c>
      <c r="M1329" s="29" t="str">
        <f>IFERROR(__xludf.DUMMYFUNCTION("IF(L1329="""","""",QUERY({'Dashboard-Dados'!$Y$2:$AA$13},""Select Col2 Where Col1=""&amp;L1329))"),"")</f>
        <v/>
      </c>
      <c r="N1329" s="29" t="str">
        <f>IFERROR(__xludf.DUMMYFUNCTION("IF(ISBLANK(B1329),"""",IF(ISDATE(B1329),TEXT(B1329,""yyyy""),""""))"),"")</f>
        <v/>
      </c>
    </row>
    <row r="1330">
      <c r="B1330" s="89"/>
      <c r="C1330" s="86"/>
      <c r="D1330" s="71"/>
      <c r="H1330" s="90"/>
      <c r="J1330" s="53" t="str">
        <f>IFERROR(__xludf.DUMMYFUNCTION("IF(ISBLANK(B1330),"""",IF(ISDATE(B1330),""X"",""""))"),"")</f>
        <v/>
      </c>
      <c r="K1330" s="40" t="str">
        <f>IFERROR(__xludf.DUMMYFUNCTION("IF(ISBLANK(B1330),"""",IF(ISDATE(B1330),H1330,""""))"),"")</f>
        <v/>
      </c>
      <c r="L1330" s="40" t="str">
        <f>IFERROR(__xludf.DUMMYFUNCTION("IF(ISBLANK(B1330),"""",IF(ISDATE(B1330),TEXT(B1330,""M""),""""))"),"")</f>
        <v/>
      </c>
      <c r="M1330" s="29" t="str">
        <f>IFERROR(__xludf.DUMMYFUNCTION("IF(L1330="""","""",QUERY({'Dashboard-Dados'!$Y$2:$AA$13},""Select Col2 Where Col1=""&amp;L1330))"),"")</f>
        <v/>
      </c>
      <c r="N1330" s="29" t="str">
        <f>IFERROR(__xludf.DUMMYFUNCTION("IF(ISBLANK(B1330),"""",IF(ISDATE(B1330),TEXT(B1330,""yyyy""),""""))"),"")</f>
        <v/>
      </c>
    </row>
    <row r="1331">
      <c r="B1331" s="87"/>
      <c r="C1331" s="85"/>
      <c r="D1331" s="76"/>
      <c r="H1331" s="88"/>
      <c r="J1331" s="53" t="str">
        <f>IFERROR(__xludf.DUMMYFUNCTION("IF(ISBLANK(B1331),"""",IF(ISDATE(B1331),""X"",""""))"),"")</f>
        <v/>
      </c>
      <c r="K1331" s="40" t="str">
        <f>IFERROR(__xludf.DUMMYFUNCTION("IF(ISBLANK(B1331),"""",IF(ISDATE(B1331),H1331,""""))"),"")</f>
        <v/>
      </c>
      <c r="L1331" s="40" t="str">
        <f>IFERROR(__xludf.DUMMYFUNCTION("IF(ISBLANK(B1331),"""",IF(ISDATE(B1331),TEXT(B1331,""M""),""""))"),"")</f>
        <v/>
      </c>
      <c r="M1331" s="29" t="str">
        <f>IFERROR(__xludf.DUMMYFUNCTION("IF(L1331="""","""",QUERY({'Dashboard-Dados'!$Y$2:$AA$13},""Select Col2 Where Col1=""&amp;L1331))"),"")</f>
        <v/>
      </c>
      <c r="N1331" s="29" t="str">
        <f>IFERROR(__xludf.DUMMYFUNCTION("IF(ISBLANK(B1331),"""",IF(ISDATE(B1331),TEXT(B1331,""yyyy""),""""))"),"")</f>
        <v/>
      </c>
    </row>
    <row r="1332">
      <c r="B1332" s="89"/>
      <c r="C1332" s="86"/>
      <c r="D1332" s="71"/>
      <c r="H1332" s="90"/>
      <c r="J1332" s="53" t="str">
        <f>IFERROR(__xludf.DUMMYFUNCTION("IF(ISBLANK(B1332),"""",IF(ISDATE(B1332),""X"",""""))"),"")</f>
        <v/>
      </c>
      <c r="K1332" s="40" t="str">
        <f>IFERROR(__xludf.DUMMYFUNCTION("IF(ISBLANK(B1332),"""",IF(ISDATE(B1332),H1332,""""))"),"")</f>
        <v/>
      </c>
      <c r="L1332" s="40" t="str">
        <f>IFERROR(__xludf.DUMMYFUNCTION("IF(ISBLANK(B1332),"""",IF(ISDATE(B1332),TEXT(B1332,""M""),""""))"),"")</f>
        <v/>
      </c>
      <c r="M1332" s="29" t="str">
        <f>IFERROR(__xludf.DUMMYFUNCTION("IF(L1332="""","""",QUERY({'Dashboard-Dados'!$Y$2:$AA$13},""Select Col2 Where Col1=""&amp;L1332))"),"")</f>
        <v/>
      </c>
      <c r="N1332" s="29" t="str">
        <f>IFERROR(__xludf.DUMMYFUNCTION("IF(ISBLANK(B1332),"""",IF(ISDATE(B1332),TEXT(B1332,""yyyy""),""""))"),"")</f>
        <v/>
      </c>
    </row>
    <row r="1333">
      <c r="B1333" s="87"/>
      <c r="C1333" s="85"/>
      <c r="D1333" s="76"/>
      <c r="H1333" s="88"/>
      <c r="J1333" s="53" t="str">
        <f>IFERROR(__xludf.DUMMYFUNCTION("IF(ISBLANK(B1333),"""",IF(ISDATE(B1333),""X"",""""))"),"")</f>
        <v/>
      </c>
      <c r="K1333" s="40" t="str">
        <f>IFERROR(__xludf.DUMMYFUNCTION("IF(ISBLANK(B1333),"""",IF(ISDATE(B1333),H1333,""""))"),"")</f>
        <v/>
      </c>
      <c r="L1333" s="40" t="str">
        <f>IFERROR(__xludf.DUMMYFUNCTION("IF(ISBLANK(B1333),"""",IF(ISDATE(B1333),TEXT(B1333,""M""),""""))"),"")</f>
        <v/>
      </c>
      <c r="M1333" s="29" t="str">
        <f>IFERROR(__xludf.DUMMYFUNCTION("IF(L1333="""","""",QUERY({'Dashboard-Dados'!$Y$2:$AA$13},""Select Col2 Where Col1=""&amp;L1333))"),"")</f>
        <v/>
      </c>
      <c r="N1333" s="29" t="str">
        <f>IFERROR(__xludf.DUMMYFUNCTION("IF(ISBLANK(B1333),"""",IF(ISDATE(B1333),TEXT(B1333,""yyyy""),""""))"),"")</f>
        <v/>
      </c>
    </row>
    <row r="1334">
      <c r="B1334" s="89"/>
      <c r="C1334" s="86"/>
      <c r="D1334" s="71"/>
      <c r="H1334" s="90"/>
      <c r="J1334" s="53" t="str">
        <f>IFERROR(__xludf.DUMMYFUNCTION("IF(ISBLANK(B1334),"""",IF(ISDATE(B1334),""X"",""""))"),"")</f>
        <v/>
      </c>
      <c r="K1334" s="40" t="str">
        <f>IFERROR(__xludf.DUMMYFUNCTION("IF(ISBLANK(B1334),"""",IF(ISDATE(B1334),H1334,""""))"),"")</f>
        <v/>
      </c>
      <c r="L1334" s="40" t="str">
        <f>IFERROR(__xludf.DUMMYFUNCTION("IF(ISBLANK(B1334),"""",IF(ISDATE(B1334),TEXT(B1334,""M""),""""))"),"")</f>
        <v/>
      </c>
      <c r="M1334" s="29" t="str">
        <f>IFERROR(__xludf.DUMMYFUNCTION("IF(L1334="""","""",QUERY({'Dashboard-Dados'!$Y$2:$AA$13},""Select Col2 Where Col1=""&amp;L1334))"),"")</f>
        <v/>
      </c>
      <c r="N1334" s="29" t="str">
        <f>IFERROR(__xludf.DUMMYFUNCTION("IF(ISBLANK(B1334),"""",IF(ISDATE(B1334),TEXT(B1334,""yyyy""),""""))"),"")</f>
        <v/>
      </c>
    </row>
    <row r="1335">
      <c r="B1335" s="87"/>
      <c r="C1335" s="85"/>
      <c r="D1335" s="76"/>
      <c r="H1335" s="88"/>
      <c r="J1335" s="53" t="str">
        <f>IFERROR(__xludf.DUMMYFUNCTION("IF(ISBLANK(B1335),"""",IF(ISDATE(B1335),""X"",""""))"),"")</f>
        <v/>
      </c>
      <c r="K1335" s="40" t="str">
        <f>IFERROR(__xludf.DUMMYFUNCTION("IF(ISBLANK(B1335),"""",IF(ISDATE(B1335),H1335,""""))"),"")</f>
        <v/>
      </c>
      <c r="L1335" s="40" t="str">
        <f>IFERROR(__xludf.DUMMYFUNCTION("IF(ISBLANK(B1335),"""",IF(ISDATE(B1335),TEXT(B1335,""M""),""""))"),"")</f>
        <v/>
      </c>
      <c r="M1335" s="29" t="str">
        <f>IFERROR(__xludf.DUMMYFUNCTION("IF(L1335="""","""",QUERY({'Dashboard-Dados'!$Y$2:$AA$13},""Select Col2 Where Col1=""&amp;L1335))"),"")</f>
        <v/>
      </c>
      <c r="N1335" s="29" t="str">
        <f>IFERROR(__xludf.DUMMYFUNCTION("IF(ISBLANK(B1335),"""",IF(ISDATE(B1335),TEXT(B1335,""yyyy""),""""))"),"")</f>
        <v/>
      </c>
    </row>
    <row r="1336">
      <c r="B1336" s="89"/>
      <c r="C1336" s="86"/>
      <c r="D1336" s="71"/>
      <c r="H1336" s="90"/>
      <c r="J1336" s="53" t="str">
        <f>IFERROR(__xludf.DUMMYFUNCTION("IF(ISBLANK(B1336),"""",IF(ISDATE(B1336),""X"",""""))"),"")</f>
        <v/>
      </c>
      <c r="K1336" s="40" t="str">
        <f>IFERROR(__xludf.DUMMYFUNCTION("IF(ISBLANK(B1336),"""",IF(ISDATE(B1336),H1336,""""))"),"")</f>
        <v/>
      </c>
      <c r="L1336" s="40" t="str">
        <f>IFERROR(__xludf.DUMMYFUNCTION("IF(ISBLANK(B1336),"""",IF(ISDATE(B1336),TEXT(B1336,""M""),""""))"),"")</f>
        <v/>
      </c>
      <c r="M1336" s="29" t="str">
        <f>IFERROR(__xludf.DUMMYFUNCTION("IF(L1336="""","""",QUERY({'Dashboard-Dados'!$Y$2:$AA$13},""Select Col2 Where Col1=""&amp;L1336))"),"")</f>
        <v/>
      </c>
      <c r="N1336" s="29" t="str">
        <f>IFERROR(__xludf.DUMMYFUNCTION("IF(ISBLANK(B1336),"""",IF(ISDATE(B1336),TEXT(B1336,""yyyy""),""""))"),"")</f>
        <v/>
      </c>
    </row>
    <row r="1337">
      <c r="B1337" s="87"/>
      <c r="C1337" s="85"/>
      <c r="D1337" s="76"/>
      <c r="H1337" s="88"/>
      <c r="J1337" s="53" t="str">
        <f>IFERROR(__xludf.DUMMYFUNCTION("IF(ISBLANK(B1337),"""",IF(ISDATE(B1337),""X"",""""))"),"")</f>
        <v/>
      </c>
      <c r="K1337" s="40" t="str">
        <f>IFERROR(__xludf.DUMMYFUNCTION("IF(ISBLANK(B1337),"""",IF(ISDATE(B1337),H1337,""""))"),"")</f>
        <v/>
      </c>
      <c r="L1337" s="40" t="str">
        <f>IFERROR(__xludf.DUMMYFUNCTION("IF(ISBLANK(B1337),"""",IF(ISDATE(B1337),TEXT(B1337,""M""),""""))"),"")</f>
        <v/>
      </c>
      <c r="M1337" s="29" t="str">
        <f>IFERROR(__xludf.DUMMYFUNCTION("IF(L1337="""","""",QUERY({'Dashboard-Dados'!$Y$2:$AA$13},""Select Col2 Where Col1=""&amp;L1337))"),"")</f>
        <v/>
      </c>
      <c r="N1337" s="29" t="str">
        <f>IFERROR(__xludf.DUMMYFUNCTION("IF(ISBLANK(B1337),"""",IF(ISDATE(B1337),TEXT(B1337,""yyyy""),""""))"),"")</f>
        <v/>
      </c>
    </row>
    <row r="1338">
      <c r="B1338" s="89"/>
      <c r="C1338" s="86"/>
      <c r="D1338" s="71"/>
      <c r="H1338" s="90"/>
      <c r="J1338" s="53" t="str">
        <f>IFERROR(__xludf.DUMMYFUNCTION("IF(ISBLANK(B1338),"""",IF(ISDATE(B1338),""X"",""""))"),"")</f>
        <v/>
      </c>
      <c r="K1338" s="40" t="str">
        <f>IFERROR(__xludf.DUMMYFUNCTION("IF(ISBLANK(B1338),"""",IF(ISDATE(B1338),H1338,""""))"),"")</f>
        <v/>
      </c>
      <c r="L1338" s="40" t="str">
        <f>IFERROR(__xludf.DUMMYFUNCTION("IF(ISBLANK(B1338),"""",IF(ISDATE(B1338),TEXT(B1338,""M""),""""))"),"")</f>
        <v/>
      </c>
      <c r="M1338" s="29" t="str">
        <f>IFERROR(__xludf.DUMMYFUNCTION("IF(L1338="""","""",QUERY({'Dashboard-Dados'!$Y$2:$AA$13},""Select Col2 Where Col1=""&amp;L1338))"),"")</f>
        <v/>
      </c>
      <c r="N1338" s="29" t="str">
        <f>IFERROR(__xludf.DUMMYFUNCTION("IF(ISBLANK(B1338),"""",IF(ISDATE(B1338),TEXT(B1338,""yyyy""),""""))"),"")</f>
        <v/>
      </c>
    </row>
    <row r="1339">
      <c r="B1339" s="87"/>
      <c r="C1339" s="85"/>
      <c r="D1339" s="76"/>
      <c r="H1339" s="88"/>
      <c r="J1339" s="53" t="str">
        <f>IFERROR(__xludf.DUMMYFUNCTION("IF(ISBLANK(B1339),"""",IF(ISDATE(B1339),""X"",""""))"),"")</f>
        <v/>
      </c>
      <c r="K1339" s="40" t="str">
        <f>IFERROR(__xludf.DUMMYFUNCTION("IF(ISBLANK(B1339),"""",IF(ISDATE(B1339),H1339,""""))"),"")</f>
        <v/>
      </c>
      <c r="L1339" s="40" t="str">
        <f>IFERROR(__xludf.DUMMYFUNCTION("IF(ISBLANK(B1339),"""",IF(ISDATE(B1339),TEXT(B1339,""M""),""""))"),"")</f>
        <v/>
      </c>
      <c r="M1339" s="29" t="str">
        <f>IFERROR(__xludf.DUMMYFUNCTION("IF(L1339="""","""",QUERY({'Dashboard-Dados'!$Y$2:$AA$13},""Select Col2 Where Col1=""&amp;L1339))"),"")</f>
        <v/>
      </c>
      <c r="N1339" s="29" t="str">
        <f>IFERROR(__xludf.DUMMYFUNCTION("IF(ISBLANK(B1339),"""",IF(ISDATE(B1339),TEXT(B1339,""yyyy""),""""))"),"")</f>
        <v/>
      </c>
    </row>
    <row r="1340">
      <c r="B1340" s="89"/>
      <c r="C1340" s="86"/>
      <c r="D1340" s="71"/>
      <c r="H1340" s="90"/>
      <c r="J1340" s="53" t="str">
        <f>IFERROR(__xludf.DUMMYFUNCTION("IF(ISBLANK(B1340),"""",IF(ISDATE(B1340),""X"",""""))"),"")</f>
        <v/>
      </c>
      <c r="K1340" s="40" t="str">
        <f>IFERROR(__xludf.DUMMYFUNCTION("IF(ISBLANK(B1340),"""",IF(ISDATE(B1340),H1340,""""))"),"")</f>
        <v/>
      </c>
      <c r="L1340" s="40" t="str">
        <f>IFERROR(__xludf.DUMMYFUNCTION("IF(ISBLANK(B1340),"""",IF(ISDATE(B1340),TEXT(B1340,""M""),""""))"),"")</f>
        <v/>
      </c>
      <c r="M1340" s="29" t="str">
        <f>IFERROR(__xludf.DUMMYFUNCTION("IF(L1340="""","""",QUERY({'Dashboard-Dados'!$Y$2:$AA$13},""Select Col2 Where Col1=""&amp;L1340))"),"")</f>
        <v/>
      </c>
      <c r="N1340" s="29" t="str">
        <f>IFERROR(__xludf.DUMMYFUNCTION("IF(ISBLANK(B1340),"""",IF(ISDATE(B1340),TEXT(B1340,""yyyy""),""""))"),"")</f>
        <v/>
      </c>
    </row>
    <row r="1341">
      <c r="B1341" s="87"/>
      <c r="C1341" s="85"/>
      <c r="D1341" s="76"/>
      <c r="H1341" s="88"/>
      <c r="J1341" s="53" t="str">
        <f>IFERROR(__xludf.DUMMYFUNCTION("IF(ISBLANK(B1341),"""",IF(ISDATE(B1341),""X"",""""))"),"")</f>
        <v/>
      </c>
      <c r="K1341" s="40" t="str">
        <f>IFERROR(__xludf.DUMMYFUNCTION("IF(ISBLANK(B1341),"""",IF(ISDATE(B1341),H1341,""""))"),"")</f>
        <v/>
      </c>
      <c r="L1341" s="40" t="str">
        <f>IFERROR(__xludf.DUMMYFUNCTION("IF(ISBLANK(B1341),"""",IF(ISDATE(B1341),TEXT(B1341,""M""),""""))"),"")</f>
        <v/>
      </c>
      <c r="M1341" s="29" t="str">
        <f>IFERROR(__xludf.DUMMYFUNCTION("IF(L1341="""","""",QUERY({'Dashboard-Dados'!$Y$2:$AA$13},""Select Col2 Where Col1=""&amp;L1341))"),"")</f>
        <v/>
      </c>
      <c r="N1341" s="29" t="str">
        <f>IFERROR(__xludf.DUMMYFUNCTION("IF(ISBLANK(B1341),"""",IF(ISDATE(B1341),TEXT(B1341,""yyyy""),""""))"),"")</f>
        <v/>
      </c>
    </row>
    <row r="1342">
      <c r="B1342" s="89"/>
      <c r="C1342" s="86"/>
      <c r="D1342" s="71"/>
      <c r="H1342" s="90"/>
      <c r="J1342" s="53" t="str">
        <f>IFERROR(__xludf.DUMMYFUNCTION("IF(ISBLANK(B1342),"""",IF(ISDATE(B1342),""X"",""""))"),"")</f>
        <v/>
      </c>
      <c r="K1342" s="40" t="str">
        <f>IFERROR(__xludf.DUMMYFUNCTION("IF(ISBLANK(B1342),"""",IF(ISDATE(B1342),H1342,""""))"),"")</f>
        <v/>
      </c>
      <c r="L1342" s="40" t="str">
        <f>IFERROR(__xludf.DUMMYFUNCTION("IF(ISBLANK(B1342),"""",IF(ISDATE(B1342),TEXT(B1342,""M""),""""))"),"")</f>
        <v/>
      </c>
      <c r="M1342" s="29" t="str">
        <f>IFERROR(__xludf.DUMMYFUNCTION("IF(L1342="""","""",QUERY({'Dashboard-Dados'!$Y$2:$AA$13},""Select Col2 Where Col1=""&amp;L1342))"),"")</f>
        <v/>
      </c>
      <c r="N1342" s="29" t="str">
        <f>IFERROR(__xludf.DUMMYFUNCTION("IF(ISBLANK(B1342),"""",IF(ISDATE(B1342),TEXT(B1342,""yyyy""),""""))"),"")</f>
        <v/>
      </c>
    </row>
    <row r="1343">
      <c r="B1343" s="87"/>
      <c r="C1343" s="85"/>
      <c r="D1343" s="76"/>
      <c r="H1343" s="88"/>
      <c r="J1343" s="53" t="str">
        <f>IFERROR(__xludf.DUMMYFUNCTION("IF(ISBLANK(B1343),"""",IF(ISDATE(B1343),""X"",""""))"),"")</f>
        <v/>
      </c>
      <c r="K1343" s="40" t="str">
        <f>IFERROR(__xludf.DUMMYFUNCTION("IF(ISBLANK(B1343),"""",IF(ISDATE(B1343),H1343,""""))"),"")</f>
        <v/>
      </c>
      <c r="L1343" s="40" t="str">
        <f>IFERROR(__xludf.DUMMYFUNCTION("IF(ISBLANK(B1343),"""",IF(ISDATE(B1343),TEXT(B1343,""M""),""""))"),"")</f>
        <v/>
      </c>
      <c r="M1343" s="29" t="str">
        <f>IFERROR(__xludf.DUMMYFUNCTION("IF(L1343="""","""",QUERY({'Dashboard-Dados'!$Y$2:$AA$13},""Select Col2 Where Col1=""&amp;L1343))"),"")</f>
        <v/>
      </c>
      <c r="N1343" s="29" t="str">
        <f>IFERROR(__xludf.DUMMYFUNCTION("IF(ISBLANK(B1343),"""",IF(ISDATE(B1343),TEXT(B1343,""yyyy""),""""))"),"")</f>
        <v/>
      </c>
    </row>
    <row r="1344">
      <c r="B1344" s="89"/>
      <c r="C1344" s="86"/>
      <c r="D1344" s="71"/>
      <c r="H1344" s="90"/>
      <c r="J1344" s="53" t="str">
        <f>IFERROR(__xludf.DUMMYFUNCTION("IF(ISBLANK(B1344),"""",IF(ISDATE(B1344),""X"",""""))"),"")</f>
        <v/>
      </c>
      <c r="K1344" s="40" t="str">
        <f>IFERROR(__xludf.DUMMYFUNCTION("IF(ISBLANK(B1344),"""",IF(ISDATE(B1344),H1344,""""))"),"")</f>
        <v/>
      </c>
      <c r="L1344" s="40" t="str">
        <f>IFERROR(__xludf.DUMMYFUNCTION("IF(ISBLANK(B1344),"""",IF(ISDATE(B1344),TEXT(B1344,""M""),""""))"),"")</f>
        <v/>
      </c>
      <c r="M1344" s="29" t="str">
        <f>IFERROR(__xludf.DUMMYFUNCTION("IF(L1344="""","""",QUERY({'Dashboard-Dados'!$Y$2:$AA$13},""Select Col2 Where Col1=""&amp;L1344))"),"")</f>
        <v/>
      </c>
      <c r="N1344" s="29" t="str">
        <f>IFERROR(__xludf.DUMMYFUNCTION("IF(ISBLANK(B1344),"""",IF(ISDATE(B1344),TEXT(B1344,""yyyy""),""""))"),"")</f>
        <v/>
      </c>
    </row>
    <row r="1345">
      <c r="B1345" s="87"/>
      <c r="C1345" s="85"/>
      <c r="D1345" s="76"/>
      <c r="H1345" s="88"/>
      <c r="J1345" s="53" t="str">
        <f>IFERROR(__xludf.DUMMYFUNCTION("IF(ISBLANK(B1345),"""",IF(ISDATE(B1345),""X"",""""))"),"")</f>
        <v/>
      </c>
      <c r="K1345" s="40" t="str">
        <f>IFERROR(__xludf.DUMMYFUNCTION("IF(ISBLANK(B1345),"""",IF(ISDATE(B1345),H1345,""""))"),"")</f>
        <v/>
      </c>
      <c r="L1345" s="40" t="str">
        <f>IFERROR(__xludf.DUMMYFUNCTION("IF(ISBLANK(B1345),"""",IF(ISDATE(B1345),TEXT(B1345,""M""),""""))"),"")</f>
        <v/>
      </c>
      <c r="M1345" s="29" t="str">
        <f>IFERROR(__xludf.DUMMYFUNCTION("IF(L1345="""","""",QUERY({'Dashboard-Dados'!$Y$2:$AA$13},""Select Col2 Where Col1=""&amp;L1345))"),"")</f>
        <v/>
      </c>
      <c r="N1345" s="29" t="str">
        <f>IFERROR(__xludf.DUMMYFUNCTION("IF(ISBLANK(B1345),"""",IF(ISDATE(B1345),TEXT(B1345,""yyyy""),""""))"),"")</f>
        <v/>
      </c>
    </row>
    <row r="1346">
      <c r="B1346" s="89"/>
      <c r="C1346" s="86"/>
      <c r="D1346" s="71"/>
      <c r="H1346" s="90"/>
      <c r="J1346" s="53" t="str">
        <f>IFERROR(__xludf.DUMMYFUNCTION("IF(ISBLANK(B1346),"""",IF(ISDATE(B1346),""X"",""""))"),"")</f>
        <v/>
      </c>
      <c r="K1346" s="40" t="str">
        <f>IFERROR(__xludf.DUMMYFUNCTION("IF(ISBLANK(B1346),"""",IF(ISDATE(B1346),H1346,""""))"),"")</f>
        <v/>
      </c>
      <c r="L1346" s="40" t="str">
        <f>IFERROR(__xludf.DUMMYFUNCTION("IF(ISBLANK(B1346),"""",IF(ISDATE(B1346),TEXT(B1346,""M""),""""))"),"")</f>
        <v/>
      </c>
      <c r="M1346" s="29" t="str">
        <f>IFERROR(__xludf.DUMMYFUNCTION("IF(L1346="""","""",QUERY({'Dashboard-Dados'!$Y$2:$AA$13},""Select Col2 Where Col1=""&amp;L1346))"),"")</f>
        <v/>
      </c>
      <c r="N1346" s="29" t="str">
        <f>IFERROR(__xludf.DUMMYFUNCTION("IF(ISBLANK(B1346),"""",IF(ISDATE(B1346),TEXT(B1346,""yyyy""),""""))"),"")</f>
        <v/>
      </c>
    </row>
    <row r="1347">
      <c r="B1347" s="87"/>
      <c r="C1347" s="85"/>
      <c r="D1347" s="76"/>
      <c r="H1347" s="88"/>
      <c r="J1347" s="53" t="str">
        <f>IFERROR(__xludf.DUMMYFUNCTION("IF(ISBLANK(B1347),"""",IF(ISDATE(B1347),""X"",""""))"),"")</f>
        <v/>
      </c>
      <c r="K1347" s="40" t="str">
        <f>IFERROR(__xludf.DUMMYFUNCTION("IF(ISBLANK(B1347),"""",IF(ISDATE(B1347),H1347,""""))"),"")</f>
        <v/>
      </c>
      <c r="L1347" s="40" t="str">
        <f>IFERROR(__xludf.DUMMYFUNCTION("IF(ISBLANK(B1347),"""",IF(ISDATE(B1347),TEXT(B1347,""M""),""""))"),"")</f>
        <v/>
      </c>
      <c r="M1347" s="29" t="str">
        <f>IFERROR(__xludf.DUMMYFUNCTION("IF(L1347="""","""",QUERY({'Dashboard-Dados'!$Y$2:$AA$13},""Select Col2 Where Col1=""&amp;L1347))"),"")</f>
        <v/>
      </c>
      <c r="N1347" s="29" t="str">
        <f>IFERROR(__xludf.DUMMYFUNCTION("IF(ISBLANK(B1347),"""",IF(ISDATE(B1347),TEXT(B1347,""yyyy""),""""))"),"")</f>
        <v/>
      </c>
    </row>
    <row r="1348">
      <c r="B1348" s="89"/>
      <c r="C1348" s="86"/>
      <c r="D1348" s="71"/>
      <c r="H1348" s="90"/>
      <c r="J1348" s="53" t="str">
        <f>IFERROR(__xludf.DUMMYFUNCTION("IF(ISBLANK(B1348),"""",IF(ISDATE(B1348),""X"",""""))"),"")</f>
        <v/>
      </c>
      <c r="K1348" s="40" t="str">
        <f>IFERROR(__xludf.DUMMYFUNCTION("IF(ISBLANK(B1348),"""",IF(ISDATE(B1348),H1348,""""))"),"")</f>
        <v/>
      </c>
      <c r="L1348" s="40" t="str">
        <f>IFERROR(__xludf.DUMMYFUNCTION("IF(ISBLANK(B1348),"""",IF(ISDATE(B1348),TEXT(B1348,""M""),""""))"),"")</f>
        <v/>
      </c>
      <c r="M1348" s="29" t="str">
        <f>IFERROR(__xludf.DUMMYFUNCTION("IF(L1348="""","""",QUERY({'Dashboard-Dados'!$Y$2:$AA$13},""Select Col2 Where Col1=""&amp;L1348))"),"")</f>
        <v/>
      </c>
      <c r="N1348" s="29" t="str">
        <f>IFERROR(__xludf.DUMMYFUNCTION("IF(ISBLANK(B1348),"""",IF(ISDATE(B1348),TEXT(B1348,""yyyy""),""""))"),"")</f>
        <v/>
      </c>
    </row>
    <row r="1349">
      <c r="B1349" s="87"/>
      <c r="C1349" s="85"/>
      <c r="D1349" s="76"/>
      <c r="H1349" s="88"/>
      <c r="J1349" s="53" t="str">
        <f>IFERROR(__xludf.DUMMYFUNCTION("IF(ISBLANK(B1349),"""",IF(ISDATE(B1349),""X"",""""))"),"")</f>
        <v/>
      </c>
      <c r="K1349" s="40" t="str">
        <f>IFERROR(__xludf.DUMMYFUNCTION("IF(ISBLANK(B1349),"""",IF(ISDATE(B1349),H1349,""""))"),"")</f>
        <v/>
      </c>
      <c r="L1349" s="40" t="str">
        <f>IFERROR(__xludf.DUMMYFUNCTION("IF(ISBLANK(B1349),"""",IF(ISDATE(B1349),TEXT(B1349,""M""),""""))"),"")</f>
        <v/>
      </c>
      <c r="M1349" s="29" t="str">
        <f>IFERROR(__xludf.DUMMYFUNCTION("IF(L1349="""","""",QUERY({'Dashboard-Dados'!$Y$2:$AA$13},""Select Col2 Where Col1=""&amp;L1349))"),"")</f>
        <v/>
      </c>
      <c r="N1349" s="29" t="str">
        <f>IFERROR(__xludf.DUMMYFUNCTION("IF(ISBLANK(B1349),"""",IF(ISDATE(B1349),TEXT(B1349,""yyyy""),""""))"),"")</f>
        <v/>
      </c>
    </row>
    <row r="1350">
      <c r="B1350" s="89"/>
      <c r="C1350" s="86"/>
      <c r="D1350" s="71"/>
      <c r="H1350" s="90"/>
      <c r="J1350" s="53" t="str">
        <f>IFERROR(__xludf.DUMMYFUNCTION("IF(ISBLANK(B1350),"""",IF(ISDATE(B1350),""X"",""""))"),"")</f>
        <v/>
      </c>
      <c r="K1350" s="40" t="str">
        <f>IFERROR(__xludf.DUMMYFUNCTION("IF(ISBLANK(B1350),"""",IF(ISDATE(B1350),H1350,""""))"),"")</f>
        <v/>
      </c>
      <c r="L1350" s="40" t="str">
        <f>IFERROR(__xludf.DUMMYFUNCTION("IF(ISBLANK(B1350),"""",IF(ISDATE(B1350),TEXT(B1350,""M""),""""))"),"")</f>
        <v/>
      </c>
      <c r="M1350" s="29" t="str">
        <f>IFERROR(__xludf.DUMMYFUNCTION("IF(L1350="""","""",QUERY({'Dashboard-Dados'!$Y$2:$AA$13},""Select Col2 Where Col1=""&amp;L1350))"),"")</f>
        <v/>
      </c>
      <c r="N1350" s="29" t="str">
        <f>IFERROR(__xludf.DUMMYFUNCTION("IF(ISBLANK(B1350),"""",IF(ISDATE(B1350),TEXT(B1350,""yyyy""),""""))"),"")</f>
        <v/>
      </c>
    </row>
    <row r="1351">
      <c r="B1351" s="87"/>
      <c r="C1351" s="85"/>
      <c r="D1351" s="76"/>
      <c r="H1351" s="88"/>
      <c r="J1351" s="53" t="str">
        <f>IFERROR(__xludf.DUMMYFUNCTION("IF(ISBLANK(B1351),"""",IF(ISDATE(B1351),""X"",""""))"),"")</f>
        <v/>
      </c>
      <c r="K1351" s="40" t="str">
        <f>IFERROR(__xludf.DUMMYFUNCTION("IF(ISBLANK(B1351),"""",IF(ISDATE(B1351),H1351,""""))"),"")</f>
        <v/>
      </c>
      <c r="L1351" s="40" t="str">
        <f>IFERROR(__xludf.DUMMYFUNCTION("IF(ISBLANK(B1351),"""",IF(ISDATE(B1351),TEXT(B1351,""M""),""""))"),"")</f>
        <v/>
      </c>
      <c r="M1351" s="29" t="str">
        <f>IFERROR(__xludf.DUMMYFUNCTION("IF(L1351="""","""",QUERY({'Dashboard-Dados'!$Y$2:$AA$13},""Select Col2 Where Col1=""&amp;L1351))"),"")</f>
        <v/>
      </c>
      <c r="N1351" s="29" t="str">
        <f>IFERROR(__xludf.DUMMYFUNCTION("IF(ISBLANK(B1351),"""",IF(ISDATE(B1351),TEXT(B1351,""yyyy""),""""))"),"")</f>
        <v/>
      </c>
    </row>
    <row r="1352">
      <c r="B1352" s="89"/>
      <c r="C1352" s="86"/>
      <c r="D1352" s="71"/>
      <c r="H1352" s="90"/>
      <c r="J1352" s="53" t="str">
        <f>IFERROR(__xludf.DUMMYFUNCTION("IF(ISBLANK(B1352),"""",IF(ISDATE(B1352),""X"",""""))"),"")</f>
        <v/>
      </c>
      <c r="K1352" s="40" t="str">
        <f>IFERROR(__xludf.DUMMYFUNCTION("IF(ISBLANK(B1352),"""",IF(ISDATE(B1352),H1352,""""))"),"")</f>
        <v/>
      </c>
      <c r="L1352" s="40" t="str">
        <f>IFERROR(__xludf.DUMMYFUNCTION("IF(ISBLANK(B1352),"""",IF(ISDATE(B1352),TEXT(B1352,""M""),""""))"),"")</f>
        <v/>
      </c>
      <c r="M1352" s="29" t="str">
        <f>IFERROR(__xludf.DUMMYFUNCTION("IF(L1352="""","""",QUERY({'Dashboard-Dados'!$Y$2:$AA$13},""Select Col2 Where Col1=""&amp;L1352))"),"")</f>
        <v/>
      </c>
      <c r="N1352" s="29" t="str">
        <f>IFERROR(__xludf.DUMMYFUNCTION("IF(ISBLANK(B1352),"""",IF(ISDATE(B1352),TEXT(B1352,""yyyy""),""""))"),"")</f>
        <v/>
      </c>
    </row>
    <row r="1353">
      <c r="B1353" s="87"/>
      <c r="C1353" s="85"/>
      <c r="D1353" s="76"/>
      <c r="H1353" s="88"/>
      <c r="J1353" s="53" t="str">
        <f>IFERROR(__xludf.DUMMYFUNCTION("IF(ISBLANK(B1353),"""",IF(ISDATE(B1353),""X"",""""))"),"")</f>
        <v/>
      </c>
      <c r="K1353" s="40" t="str">
        <f>IFERROR(__xludf.DUMMYFUNCTION("IF(ISBLANK(B1353),"""",IF(ISDATE(B1353),H1353,""""))"),"")</f>
        <v/>
      </c>
      <c r="L1353" s="40" t="str">
        <f>IFERROR(__xludf.DUMMYFUNCTION("IF(ISBLANK(B1353),"""",IF(ISDATE(B1353),TEXT(B1353,""M""),""""))"),"")</f>
        <v/>
      </c>
      <c r="M1353" s="29" t="str">
        <f>IFERROR(__xludf.DUMMYFUNCTION("IF(L1353="""","""",QUERY({'Dashboard-Dados'!$Y$2:$AA$13},""Select Col2 Where Col1=""&amp;L1353))"),"")</f>
        <v/>
      </c>
      <c r="N1353" s="29" t="str">
        <f>IFERROR(__xludf.DUMMYFUNCTION("IF(ISBLANK(B1353),"""",IF(ISDATE(B1353),TEXT(B1353,""yyyy""),""""))"),"")</f>
        <v/>
      </c>
    </row>
    <row r="1354">
      <c r="B1354" s="89"/>
      <c r="C1354" s="86"/>
      <c r="D1354" s="71"/>
      <c r="H1354" s="90"/>
      <c r="J1354" s="53" t="str">
        <f>IFERROR(__xludf.DUMMYFUNCTION("IF(ISBLANK(B1354),"""",IF(ISDATE(B1354),""X"",""""))"),"")</f>
        <v/>
      </c>
      <c r="K1354" s="40" t="str">
        <f>IFERROR(__xludf.DUMMYFUNCTION("IF(ISBLANK(B1354),"""",IF(ISDATE(B1354),H1354,""""))"),"")</f>
        <v/>
      </c>
      <c r="L1354" s="40" t="str">
        <f>IFERROR(__xludf.DUMMYFUNCTION("IF(ISBLANK(B1354),"""",IF(ISDATE(B1354),TEXT(B1354,""M""),""""))"),"")</f>
        <v/>
      </c>
      <c r="M1354" s="29" t="str">
        <f>IFERROR(__xludf.DUMMYFUNCTION("IF(L1354="""","""",QUERY({'Dashboard-Dados'!$Y$2:$AA$13},""Select Col2 Where Col1=""&amp;L1354))"),"")</f>
        <v/>
      </c>
      <c r="N1354" s="29" t="str">
        <f>IFERROR(__xludf.DUMMYFUNCTION("IF(ISBLANK(B1354),"""",IF(ISDATE(B1354),TEXT(B1354,""yyyy""),""""))"),"")</f>
        <v/>
      </c>
    </row>
    <row r="1355">
      <c r="B1355" s="87"/>
      <c r="C1355" s="85"/>
      <c r="D1355" s="76"/>
      <c r="H1355" s="88"/>
      <c r="J1355" s="53" t="str">
        <f>IFERROR(__xludf.DUMMYFUNCTION("IF(ISBLANK(B1355),"""",IF(ISDATE(B1355),""X"",""""))"),"")</f>
        <v/>
      </c>
      <c r="K1355" s="40" t="str">
        <f>IFERROR(__xludf.DUMMYFUNCTION("IF(ISBLANK(B1355),"""",IF(ISDATE(B1355),H1355,""""))"),"")</f>
        <v/>
      </c>
      <c r="L1355" s="40" t="str">
        <f>IFERROR(__xludf.DUMMYFUNCTION("IF(ISBLANK(B1355),"""",IF(ISDATE(B1355),TEXT(B1355,""M""),""""))"),"")</f>
        <v/>
      </c>
      <c r="M1355" s="29" t="str">
        <f>IFERROR(__xludf.DUMMYFUNCTION("IF(L1355="""","""",QUERY({'Dashboard-Dados'!$Y$2:$AA$13},""Select Col2 Where Col1=""&amp;L1355))"),"")</f>
        <v/>
      </c>
      <c r="N1355" s="29" t="str">
        <f>IFERROR(__xludf.DUMMYFUNCTION("IF(ISBLANK(B1355),"""",IF(ISDATE(B1355),TEXT(B1355,""yyyy""),""""))"),"")</f>
        <v/>
      </c>
    </row>
    <row r="1356">
      <c r="B1356" s="89"/>
      <c r="C1356" s="86"/>
      <c r="D1356" s="71"/>
      <c r="H1356" s="90"/>
      <c r="J1356" s="53" t="str">
        <f>IFERROR(__xludf.DUMMYFUNCTION("IF(ISBLANK(B1356),"""",IF(ISDATE(B1356),""X"",""""))"),"")</f>
        <v/>
      </c>
      <c r="K1356" s="40" t="str">
        <f>IFERROR(__xludf.DUMMYFUNCTION("IF(ISBLANK(B1356),"""",IF(ISDATE(B1356),H1356,""""))"),"")</f>
        <v/>
      </c>
      <c r="L1356" s="40" t="str">
        <f>IFERROR(__xludf.DUMMYFUNCTION("IF(ISBLANK(B1356),"""",IF(ISDATE(B1356),TEXT(B1356,""M""),""""))"),"")</f>
        <v/>
      </c>
      <c r="M1356" s="29" t="str">
        <f>IFERROR(__xludf.DUMMYFUNCTION("IF(L1356="""","""",QUERY({'Dashboard-Dados'!$Y$2:$AA$13},""Select Col2 Where Col1=""&amp;L1356))"),"")</f>
        <v/>
      </c>
      <c r="N1356" s="29" t="str">
        <f>IFERROR(__xludf.DUMMYFUNCTION("IF(ISBLANK(B1356),"""",IF(ISDATE(B1356),TEXT(B1356,""yyyy""),""""))"),"")</f>
        <v/>
      </c>
    </row>
    <row r="1357">
      <c r="B1357" s="87"/>
      <c r="C1357" s="85"/>
      <c r="D1357" s="76"/>
      <c r="H1357" s="88"/>
      <c r="J1357" s="53" t="str">
        <f>IFERROR(__xludf.DUMMYFUNCTION("IF(ISBLANK(B1357),"""",IF(ISDATE(B1357),""X"",""""))"),"")</f>
        <v/>
      </c>
      <c r="K1357" s="40" t="str">
        <f>IFERROR(__xludf.DUMMYFUNCTION("IF(ISBLANK(B1357),"""",IF(ISDATE(B1357),H1357,""""))"),"")</f>
        <v/>
      </c>
      <c r="L1357" s="40" t="str">
        <f>IFERROR(__xludf.DUMMYFUNCTION("IF(ISBLANK(B1357),"""",IF(ISDATE(B1357),TEXT(B1357,""M""),""""))"),"")</f>
        <v/>
      </c>
      <c r="M1357" s="29" t="str">
        <f>IFERROR(__xludf.DUMMYFUNCTION("IF(L1357="""","""",QUERY({'Dashboard-Dados'!$Y$2:$AA$13},""Select Col2 Where Col1=""&amp;L1357))"),"")</f>
        <v/>
      </c>
      <c r="N1357" s="29" t="str">
        <f>IFERROR(__xludf.DUMMYFUNCTION("IF(ISBLANK(B1357),"""",IF(ISDATE(B1357),TEXT(B1357,""yyyy""),""""))"),"")</f>
        <v/>
      </c>
    </row>
    <row r="1358">
      <c r="B1358" s="89"/>
      <c r="C1358" s="86"/>
      <c r="D1358" s="71"/>
      <c r="H1358" s="90"/>
      <c r="J1358" s="53" t="str">
        <f>IFERROR(__xludf.DUMMYFUNCTION("IF(ISBLANK(B1358),"""",IF(ISDATE(B1358),""X"",""""))"),"")</f>
        <v/>
      </c>
      <c r="K1358" s="40" t="str">
        <f>IFERROR(__xludf.DUMMYFUNCTION("IF(ISBLANK(B1358),"""",IF(ISDATE(B1358),H1358,""""))"),"")</f>
        <v/>
      </c>
      <c r="L1358" s="40" t="str">
        <f>IFERROR(__xludf.DUMMYFUNCTION("IF(ISBLANK(B1358),"""",IF(ISDATE(B1358),TEXT(B1358,""M""),""""))"),"")</f>
        <v/>
      </c>
      <c r="M1358" s="29" t="str">
        <f>IFERROR(__xludf.DUMMYFUNCTION("IF(L1358="""","""",QUERY({'Dashboard-Dados'!$Y$2:$AA$13},""Select Col2 Where Col1=""&amp;L1358))"),"")</f>
        <v/>
      </c>
      <c r="N1358" s="29" t="str">
        <f>IFERROR(__xludf.DUMMYFUNCTION("IF(ISBLANK(B1358),"""",IF(ISDATE(B1358),TEXT(B1358,""yyyy""),""""))"),"")</f>
        <v/>
      </c>
    </row>
    <row r="1359">
      <c r="B1359" s="87"/>
      <c r="C1359" s="85"/>
      <c r="D1359" s="76"/>
      <c r="H1359" s="88"/>
      <c r="J1359" s="53" t="str">
        <f>IFERROR(__xludf.DUMMYFUNCTION("IF(ISBLANK(B1359),"""",IF(ISDATE(B1359),""X"",""""))"),"")</f>
        <v/>
      </c>
      <c r="K1359" s="40" t="str">
        <f>IFERROR(__xludf.DUMMYFUNCTION("IF(ISBLANK(B1359),"""",IF(ISDATE(B1359),H1359,""""))"),"")</f>
        <v/>
      </c>
      <c r="L1359" s="40" t="str">
        <f>IFERROR(__xludf.DUMMYFUNCTION("IF(ISBLANK(B1359),"""",IF(ISDATE(B1359),TEXT(B1359,""M""),""""))"),"")</f>
        <v/>
      </c>
      <c r="M1359" s="29" t="str">
        <f>IFERROR(__xludf.DUMMYFUNCTION("IF(L1359="""","""",QUERY({'Dashboard-Dados'!$Y$2:$AA$13},""Select Col2 Where Col1=""&amp;L1359))"),"")</f>
        <v/>
      </c>
      <c r="N1359" s="29" t="str">
        <f>IFERROR(__xludf.DUMMYFUNCTION("IF(ISBLANK(B1359),"""",IF(ISDATE(B1359),TEXT(B1359,""yyyy""),""""))"),"")</f>
        <v/>
      </c>
    </row>
    <row r="1360">
      <c r="B1360" s="89"/>
      <c r="C1360" s="86"/>
      <c r="D1360" s="71"/>
      <c r="H1360" s="90"/>
      <c r="J1360" s="53" t="str">
        <f>IFERROR(__xludf.DUMMYFUNCTION("IF(ISBLANK(B1360),"""",IF(ISDATE(B1360),""X"",""""))"),"")</f>
        <v/>
      </c>
      <c r="K1360" s="40" t="str">
        <f>IFERROR(__xludf.DUMMYFUNCTION("IF(ISBLANK(B1360),"""",IF(ISDATE(B1360),H1360,""""))"),"")</f>
        <v/>
      </c>
      <c r="L1360" s="40" t="str">
        <f>IFERROR(__xludf.DUMMYFUNCTION("IF(ISBLANK(B1360),"""",IF(ISDATE(B1360),TEXT(B1360,""M""),""""))"),"")</f>
        <v/>
      </c>
      <c r="M1360" s="29" t="str">
        <f>IFERROR(__xludf.DUMMYFUNCTION("IF(L1360="""","""",QUERY({'Dashboard-Dados'!$Y$2:$AA$13},""Select Col2 Where Col1=""&amp;L1360))"),"")</f>
        <v/>
      </c>
      <c r="N1360" s="29" t="str">
        <f>IFERROR(__xludf.DUMMYFUNCTION("IF(ISBLANK(B1360),"""",IF(ISDATE(B1360),TEXT(B1360,""yyyy""),""""))"),"")</f>
        <v/>
      </c>
    </row>
    <row r="1361">
      <c r="B1361" s="87"/>
      <c r="C1361" s="85"/>
      <c r="D1361" s="76"/>
      <c r="H1361" s="88"/>
      <c r="J1361" s="53" t="str">
        <f>IFERROR(__xludf.DUMMYFUNCTION("IF(ISBLANK(B1361),"""",IF(ISDATE(B1361),""X"",""""))"),"")</f>
        <v/>
      </c>
      <c r="K1361" s="40" t="str">
        <f>IFERROR(__xludf.DUMMYFUNCTION("IF(ISBLANK(B1361),"""",IF(ISDATE(B1361),H1361,""""))"),"")</f>
        <v/>
      </c>
      <c r="L1361" s="40" t="str">
        <f>IFERROR(__xludf.DUMMYFUNCTION("IF(ISBLANK(B1361),"""",IF(ISDATE(B1361),TEXT(B1361,""M""),""""))"),"")</f>
        <v/>
      </c>
      <c r="M1361" s="29" t="str">
        <f>IFERROR(__xludf.DUMMYFUNCTION("IF(L1361="""","""",QUERY({'Dashboard-Dados'!$Y$2:$AA$13},""Select Col2 Where Col1=""&amp;L1361))"),"")</f>
        <v/>
      </c>
      <c r="N1361" s="29" t="str">
        <f>IFERROR(__xludf.DUMMYFUNCTION("IF(ISBLANK(B1361),"""",IF(ISDATE(B1361),TEXT(B1361,""yyyy""),""""))"),"")</f>
        <v/>
      </c>
    </row>
    <row r="1362">
      <c r="B1362" s="89"/>
      <c r="C1362" s="86"/>
      <c r="D1362" s="71"/>
      <c r="H1362" s="90"/>
      <c r="J1362" s="53" t="str">
        <f>IFERROR(__xludf.DUMMYFUNCTION("IF(ISBLANK(B1362),"""",IF(ISDATE(B1362),""X"",""""))"),"")</f>
        <v/>
      </c>
      <c r="K1362" s="40" t="str">
        <f>IFERROR(__xludf.DUMMYFUNCTION("IF(ISBLANK(B1362),"""",IF(ISDATE(B1362),H1362,""""))"),"")</f>
        <v/>
      </c>
      <c r="L1362" s="40" t="str">
        <f>IFERROR(__xludf.DUMMYFUNCTION("IF(ISBLANK(B1362),"""",IF(ISDATE(B1362),TEXT(B1362,""M""),""""))"),"")</f>
        <v/>
      </c>
      <c r="M1362" s="29" t="str">
        <f>IFERROR(__xludf.DUMMYFUNCTION("IF(L1362="""","""",QUERY({'Dashboard-Dados'!$Y$2:$AA$13},""Select Col2 Where Col1=""&amp;L1362))"),"")</f>
        <v/>
      </c>
      <c r="N1362" s="29" t="str">
        <f>IFERROR(__xludf.DUMMYFUNCTION("IF(ISBLANK(B1362),"""",IF(ISDATE(B1362),TEXT(B1362,""yyyy""),""""))"),"")</f>
        <v/>
      </c>
    </row>
    <row r="1363">
      <c r="B1363" s="87"/>
      <c r="C1363" s="85"/>
      <c r="D1363" s="76"/>
      <c r="H1363" s="88"/>
      <c r="J1363" s="53" t="str">
        <f>IFERROR(__xludf.DUMMYFUNCTION("IF(ISBLANK(B1363),"""",IF(ISDATE(B1363),""X"",""""))"),"")</f>
        <v/>
      </c>
      <c r="K1363" s="40" t="str">
        <f>IFERROR(__xludf.DUMMYFUNCTION("IF(ISBLANK(B1363),"""",IF(ISDATE(B1363),H1363,""""))"),"")</f>
        <v/>
      </c>
      <c r="L1363" s="40" t="str">
        <f>IFERROR(__xludf.DUMMYFUNCTION("IF(ISBLANK(B1363),"""",IF(ISDATE(B1363),TEXT(B1363,""M""),""""))"),"")</f>
        <v/>
      </c>
      <c r="M1363" s="29" t="str">
        <f>IFERROR(__xludf.DUMMYFUNCTION("IF(L1363="""","""",QUERY({'Dashboard-Dados'!$Y$2:$AA$13},""Select Col2 Where Col1=""&amp;L1363))"),"")</f>
        <v/>
      </c>
      <c r="N1363" s="29" t="str">
        <f>IFERROR(__xludf.DUMMYFUNCTION("IF(ISBLANK(B1363),"""",IF(ISDATE(B1363),TEXT(B1363,""yyyy""),""""))"),"")</f>
        <v/>
      </c>
    </row>
    <row r="1364">
      <c r="B1364" s="89"/>
      <c r="C1364" s="86"/>
      <c r="D1364" s="71"/>
      <c r="H1364" s="90"/>
      <c r="J1364" s="53" t="str">
        <f>IFERROR(__xludf.DUMMYFUNCTION("IF(ISBLANK(B1364),"""",IF(ISDATE(B1364),""X"",""""))"),"")</f>
        <v/>
      </c>
      <c r="K1364" s="40" t="str">
        <f>IFERROR(__xludf.DUMMYFUNCTION("IF(ISBLANK(B1364),"""",IF(ISDATE(B1364),H1364,""""))"),"")</f>
        <v/>
      </c>
      <c r="L1364" s="40" t="str">
        <f>IFERROR(__xludf.DUMMYFUNCTION("IF(ISBLANK(B1364),"""",IF(ISDATE(B1364),TEXT(B1364,""M""),""""))"),"")</f>
        <v/>
      </c>
      <c r="M1364" s="29" t="str">
        <f>IFERROR(__xludf.DUMMYFUNCTION("IF(L1364="""","""",QUERY({'Dashboard-Dados'!$Y$2:$AA$13},""Select Col2 Where Col1=""&amp;L1364))"),"")</f>
        <v/>
      </c>
      <c r="N1364" s="29" t="str">
        <f>IFERROR(__xludf.DUMMYFUNCTION("IF(ISBLANK(B1364),"""",IF(ISDATE(B1364),TEXT(B1364,""yyyy""),""""))"),"")</f>
        <v/>
      </c>
    </row>
    <row r="1365">
      <c r="B1365" s="87"/>
      <c r="C1365" s="85"/>
      <c r="D1365" s="76"/>
      <c r="H1365" s="88"/>
      <c r="J1365" s="53" t="str">
        <f>IFERROR(__xludf.DUMMYFUNCTION("IF(ISBLANK(B1365),"""",IF(ISDATE(B1365),""X"",""""))"),"")</f>
        <v/>
      </c>
      <c r="K1365" s="40" t="str">
        <f>IFERROR(__xludf.DUMMYFUNCTION("IF(ISBLANK(B1365),"""",IF(ISDATE(B1365),H1365,""""))"),"")</f>
        <v/>
      </c>
      <c r="L1365" s="40" t="str">
        <f>IFERROR(__xludf.DUMMYFUNCTION("IF(ISBLANK(B1365),"""",IF(ISDATE(B1365),TEXT(B1365,""M""),""""))"),"")</f>
        <v/>
      </c>
      <c r="M1365" s="29" t="str">
        <f>IFERROR(__xludf.DUMMYFUNCTION("IF(L1365="""","""",QUERY({'Dashboard-Dados'!$Y$2:$AA$13},""Select Col2 Where Col1=""&amp;L1365))"),"")</f>
        <v/>
      </c>
      <c r="N1365" s="29" t="str">
        <f>IFERROR(__xludf.DUMMYFUNCTION("IF(ISBLANK(B1365),"""",IF(ISDATE(B1365),TEXT(B1365,""yyyy""),""""))"),"")</f>
        <v/>
      </c>
    </row>
    <row r="1366">
      <c r="B1366" s="89"/>
      <c r="C1366" s="86"/>
      <c r="D1366" s="71"/>
      <c r="H1366" s="90"/>
      <c r="J1366" s="53" t="str">
        <f>IFERROR(__xludf.DUMMYFUNCTION("IF(ISBLANK(B1366),"""",IF(ISDATE(B1366),""X"",""""))"),"")</f>
        <v/>
      </c>
      <c r="K1366" s="40" t="str">
        <f>IFERROR(__xludf.DUMMYFUNCTION("IF(ISBLANK(B1366),"""",IF(ISDATE(B1366),H1366,""""))"),"")</f>
        <v/>
      </c>
      <c r="L1366" s="40" t="str">
        <f>IFERROR(__xludf.DUMMYFUNCTION("IF(ISBLANK(B1366),"""",IF(ISDATE(B1366),TEXT(B1366,""M""),""""))"),"")</f>
        <v/>
      </c>
      <c r="M1366" s="29" t="str">
        <f>IFERROR(__xludf.DUMMYFUNCTION("IF(L1366="""","""",QUERY({'Dashboard-Dados'!$Y$2:$AA$13},""Select Col2 Where Col1=""&amp;L1366))"),"")</f>
        <v/>
      </c>
      <c r="N1366" s="29" t="str">
        <f>IFERROR(__xludf.DUMMYFUNCTION("IF(ISBLANK(B1366),"""",IF(ISDATE(B1366),TEXT(B1366,""yyyy""),""""))"),"")</f>
        <v/>
      </c>
    </row>
    <row r="1367">
      <c r="B1367" s="87"/>
      <c r="C1367" s="85"/>
      <c r="D1367" s="76"/>
      <c r="H1367" s="88"/>
      <c r="J1367" s="53" t="str">
        <f>IFERROR(__xludf.DUMMYFUNCTION("IF(ISBLANK(B1367),"""",IF(ISDATE(B1367),""X"",""""))"),"")</f>
        <v/>
      </c>
      <c r="K1367" s="40" t="str">
        <f>IFERROR(__xludf.DUMMYFUNCTION("IF(ISBLANK(B1367),"""",IF(ISDATE(B1367),H1367,""""))"),"")</f>
        <v/>
      </c>
      <c r="L1367" s="40" t="str">
        <f>IFERROR(__xludf.DUMMYFUNCTION("IF(ISBLANK(B1367),"""",IF(ISDATE(B1367),TEXT(B1367,""M""),""""))"),"")</f>
        <v/>
      </c>
      <c r="M1367" s="29" t="str">
        <f>IFERROR(__xludf.DUMMYFUNCTION("IF(L1367="""","""",QUERY({'Dashboard-Dados'!$Y$2:$AA$13},""Select Col2 Where Col1=""&amp;L1367))"),"")</f>
        <v/>
      </c>
      <c r="N1367" s="29" t="str">
        <f>IFERROR(__xludf.DUMMYFUNCTION("IF(ISBLANK(B1367),"""",IF(ISDATE(B1367),TEXT(B1367,""yyyy""),""""))"),"")</f>
        <v/>
      </c>
    </row>
    <row r="1368">
      <c r="B1368" s="89"/>
      <c r="C1368" s="86"/>
      <c r="D1368" s="71"/>
      <c r="H1368" s="90"/>
      <c r="J1368" s="53" t="str">
        <f>IFERROR(__xludf.DUMMYFUNCTION("IF(ISBLANK(B1368),"""",IF(ISDATE(B1368),""X"",""""))"),"")</f>
        <v/>
      </c>
      <c r="K1368" s="40" t="str">
        <f>IFERROR(__xludf.DUMMYFUNCTION("IF(ISBLANK(B1368),"""",IF(ISDATE(B1368),H1368,""""))"),"")</f>
        <v/>
      </c>
      <c r="L1368" s="40" t="str">
        <f>IFERROR(__xludf.DUMMYFUNCTION("IF(ISBLANK(B1368),"""",IF(ISDATE(B1368),TEXT(B1368,""M""),""""))"),"")</f>
        <v/>
      </c>
      <c r="M1368" s="29" t="str">
        <f>IFERROR(__xludf.DUMMYFUNCTION("IF(L1368="""","""",QUERY({'Dashboard-Dados'!$Y$2:$AA$13},""Select Col2 Where Col1=""&amp;L1368))"),"")</f>
        <v/>
      </c>
      <c r="N1368" s="29" t="str">
        <f>IFERROR(__xludf.DUMMYFUNCTION("IF(ISBLANK(B1368),"""",IF(ISDATE(B1368),TEXT(B1368,""yyyy""),""""))"),"")</f>
        <v/>
      </c>
    </row>
    <row r="1369">
      <c r="B1369" s="87"/>
      <c r="C1369" s="85"/>
      <c r="D1369" s="76"/>
      <c r="H1369" s="88"/>
      <c r="J1369" s="53" t="str">
        <f>IFERROR(__xludf.DUMMYFUNCTION("IF(ISBLANK(B1369),"""",IF(ISDATE(B1369),""X"",""""))"),"")</f>
        <v/>
      </c>
      <c r="K1369" s="40" t="str">
        <f>IFERROR(__xludf.DUMMYFUNCTION("IF(ISBLANK(B1369),"""",IF(ISDATE(B1369),H1369,""""))"),"")</f>
        <v/>
      </c>
      <c r="L1369" s="40" t="str">
        <f>IFERROR(__xludf.DUMMYFUNCTION("IF(ISBLANK(B1369),"""",IF(ISDATE(B1369),TEXT(B1369,""M""),""""))"),"")</f>
        <v/>
      </c>
      <c r="M1369" s="29" t="str">
        <f>IFERROR(__xludf.DUMMYFUNCTION("IF(L1369="""","""",QUERY({'Dashboard-Dados'!$Y$2:$AA$13},""Select Col2 Where Col1=""&amp;L1369))"),"")</f>
        <v/>
      </c>
      <c r="N1369" s="29" t="str">
        <f>IFERROR(__xludf.DUMMYFUNCTION("IF(ISBLANK(B1369),"""",IF(ISDATE(B1369),TEXT(B1369,""yyyy""),""""))"),"")</f>
        <v/>
      </c>
    </row>
    <row r="1370">
      <c r="B1370" s="89"/>
      <c r="C1370" s="86"/>
      <c r="D1370" s="71"/>
      <c r="H1370" s="90"/>
      <c r="J1370" s="53" t="str">
        <f>IFERROR(__xludf.DUMMYFUNCTION("IF(ISBLANK(B1370),"""",IF(ISDATE(B1370),""X"",""""))"),"")</f>
        <v/>
      </c>
      <c r="K1370" s="40" t="str">
        <f>IFERROR(__xludf.DUMMYFUNCTION("IF(ISBLANK(B1370),"""",IF(ISDATE(B1370),H1370,""""))"),"")</f>
        <v/>
      </c>
      <c r="L1370" s="40" t="str">
        <f>IFERROR(__xludf.DUMMYFUNCTION("IF(ISBLANK(B1370),"""",IF(ISDATE(B1370),TEXT(B1370,""M""),""""))"),"")</f>
        <v/>
      </c>
      <c r="M1370" s="29" t="str">
        <f>IFERROR(__xludf.DUMMYFUNCTION("IF(L1370="""","""",QUERY({'Dashboard-Dados'!$Y$2:$AA$13},""Select Col2 Where Col1=""&amp;L1370))"),"")</f>
        <v/>
      </c>
      <c r="N1370" s="29" t="str">
        <f>IFERROR(__xludf.DUMMYFUNCTION("IF(ISBLANK(B1370),"""",IF(ISDATE(B1370),TEXT(B1370,""yyyy""),""""))"),"")</f>
        <v/>
      </c>
    </row>
    <row r="1371">
      <c r="B1371" s="87"/>
      <c r="C1371" s="85"/>
      <c r="D1371" s="76"/>
      <c r="H1371" s="88"/>
      <c r="J1371" s="53" t="str">
        <f>IFERROR(__xludf.DUMMYFUNCTION("IF(ISBLANK(B1371),"""",IF(ISDATE(B1371),""X"",""""))"),"")</f>
        <v/>
      </c>
      <c r="K1371" s="40" t="str">
        <f>IFERROR(__xludf.DUMMYFUNCTION("IF(ISBLANK(B1371),"""",IF(ISDATE(B1371),H1371,""""))"),"")</f>
        <v/>
      </c>
      <c r="L1371" s="40" t="str">
        <f>IFERROR(__xludf.DUMMYFUNCTION("IF(ISBLANK(B1371),"""",IF(ISDATE(B1371),TEXT(B1371,""M""),""""))"),"")</f>
        <v/>
      </c>
      <c r="M1371" s="29" t="str">
        <f>IFERROR(__xludf.DUMMYFUNCTION("IF(L1371="""","""",QUERY({'Dashboard-Dados'!$Y$2:$AA$13},""Select Col2 Where Col1=""&amp;L1371))"),"")</f>
        <v/>
      </c>
      <c r="N1371" s="29" t="str">
        <f>IFERROR(__xludf.DUMMYFUNCTION("IF(ISBLANK(B1371),"""",IF(ISDATE(B1371),TEXT(B1371,""yyyy""),""""))"),"")</f>
        <v/>
      </c>
    </row>
    <row r="1372">
      <c r="B1372" s="89"/>
      <c r="C1372" s="86"/>
      <c r="D1372" s="71"/>
      <c r="H1372" s="90"/>
      <c r="J1372" s="53" t="str">
        <f>IFERROR(__xludf.DUMMYFUNCTION("IF(ISBLANK(B1372),"""",IF(ISDATE(B1372),""X"",""""))"),"")</f>
        <v/>
      </c>
      <c r="K1372" s="40" t="str">
        <f>IFERROR(__xludf.DUMMYFUNCTION("IF(ISBLANK(B1372),"""",IF(ISDATE(B1372),H1372,""""))"),"")</f>
        <v/>
      </c>
      <c r="L1372" s="40" t="str">
        <f>IFERROR(__xludf.DUMMYFUNCTION("IF(ISBLANK(B1372),"""",IF(ISDATE(B1372),TEXT(B1372,""M""),""""))"),"")</f>
        <v/>
      </c>
      <c r="M1372" s="29" t="str">
        <f>IFERROR(__xludf.DUMMYFUNCTION("IF(L1372="""","""",QUERY({'Dashboard-Dados'!$Y$2:$AA$13},""Select Col2 Where Col1=""&amp;L1372))"),"")</f>
        <v/>
      </c>
      <c r="N1372" s="29" t="str">
        <f>IFERROR(__xludf.DUMMYFUNCTION("IF(ISBLANK(B1372),"""",IF(ISDATE(B1372),TEXT(B1372,""yyyy""),""""))"),"")</f>
        <v/>
      </c>
    </row>
    <row r="1373">
      <c r="B1373" s="87"/>
      <c r="C1373" s="85"/>
      <c r="D1373" s="76"/>
      <c r="H1373" s="88"/>
      <c r="J1373" s="53" t="str">
        <f>IFERROR(__xludf.DUMMYFUNCTION("IF(ISBLANK(B1373),"""",IF(ISDATE(B1373),""X"",""""))"),"")</f>
        <v/>
      </c>
      <c r="K1373" s="40" t="str">
        <f>IFERROR(__xludf.DUMMYFUNCTION("IF(ISBLANK(B1373),"""",IF(ISDATE(B1373),H1373,""""))"),"")</f>
        <v/>
      </c>
      <c r="L1373" s="40" t="str">
        <f>IFERROR(__xludf.DUMMYFUNCTION("IF(ISBLANK(B1373),"""",IF(ISDATE(B1373),TEXT(B1373,""M""),""""))"),"")</f>
        <v/>
      </c>
      <c r="M1373" s="29" t="str">
        <f>IFERROR(__xludf.DUMMYFUNCTION("IF(L1373="""","""",QUERY({'Dashboard-Dados'!$Y$2:$AA$13},""Select Col2 Where Col1=""&amp;L1373))"),"")</f>
        <v/>
      </c>
      <c r="N1373" s="29" t="str">
        <f>IFERROR(__xludf.DUMMYFUNCTION("IF(ISBLANK(B1373),"""",IF(ISDATE(B1373),TEXT(B1373,""yyyy""),""""))"),"")</f>
        <v/>
      </c>
    </row>
    <row r="1374">
      <c r="B1374" s="89"/>
      <c r="C1374" s="86"/>
      <c r="D1374" s="71"/>
      <c r="H1374" s="90"/>
      <c r="J1374" s="53" t="str">
        <f>IFERROR(__xludf.DUMMYFUNCTION("IF(ISBLANK(B1374),"""",IF(ISDATE(B1374),""X"",""""))"),"")</f>
        <v/>
      </c>
      <c r="K1374" s="40" t="str">
        <f>IFERROR(__xludf.DUMMYFUNCTION("IF(ISBLANK(B1374),"""",IF(ISDATE(B1374),H1374,""""))"),"")</f>
        <v/>
      </c>
      <c r="L1374" s="40" t="str">
        <f>IFERROR(__xludf.DUMMYFUNCTION("IF(ISBLANK(B1374),"""",IF(ISDATE(B1374),TEXT(B1374,""M""),""""))"),"")</f>
        <v/>
      </c>
      <c r="M1374" s="29" t="str">
        <f>IFERROR(__xludf.DUMMYFUNCTION("IF(L1374="""","""",QUERY({'Dashboard-Dados'!$Y$2:$AA$13},""Select Col2 Where Col1=""&amp;L1374))"),"")</f>
        <v/>
      </c>
      <c r="N1374" s="29" t="str">
        <f>IFERROR(__xludf.DUMMYFUNCTION("IF(ISBLANK(B1374),"""",IF(ISDATE(B1374),TEXT(B1374,""yyyy""),""""))"),"")</f>
        <v/>
      </c>
    </row>
    <row r="1375">
      <c r="B1375" s="87"/>
      <c r="C1375" s="85"/>
      <c r="D1375" s="76"/>
      <c r="H1375" s="88"/>
      <c r="J1375" s="53" t="str">
        <f>IFERROR(__xludf.DUMMYFUNCTION("IF(ISBLANK(B1375),"""",IF(ISDATE(B1375),""X"",""""))"),"")</f>
        <v/>
      </c>
      <c r="K1375" s="40" t="str">
        <f>IFERROR(__xludf.DUMMYFUNCTION("IF(ISBLANK(B1375),"""",IF(ISDATE(B1375),H1375,""""))"),"")</f>
        <v/>
      </c>
      <c r="L1375" s="40" t="str">
        <f>IFERROR(__xludf.DUMMYFUNCTION("IF(ISBLANK(B1375),"""",IF(ISDATE(B1375),TEXT(B1375,""M""),""""))"),"")</f>
        <v/>
      </c>
      <c r="M1375" s="29" t="str">
        <f>IFERROR(__xludf.DUMMYFUNCTION("IF(L1375="""","""",QUERY({'Dashboard-Dados'!$Y$2:$AA$13},""Select Col2 Where Col1=""&amp;L1375))"),"")</f>
        <v/>
      </c>
      <c r="N1375" s="29" t="str">
        <f>IFERROR(__xludf.DUMMYFUNCTION("IF(ISBLANK(B1375),"""",IF(ISDATE(B1375),TEXT(B1375,""yyyy""),""""))"),"")</f>
        <v/>
      </c>
    </row>
    <row r="1376">
      <c r="B1376" s="89"/>
      <c r="C1376" s="86"/>
      <c r="D1376" s="71"/>
      <c r="H1376" s="90"/>
      <c r="J1376" s="53" t="str">
        <f>IFERROR(__xludf.DUMMYFUNCTION("IF(ISBLANK(B1376),"""",IF(ISDATE(B1376),""X"",""""))"),"")</f>
        <v/>
      </c>
      <c r="K1376" s="40" t="str">
        <f>IFERROR(__xludf.DUMMYFUNCTION("IF(ISBLANK(B1376),"""",IF(ISDATE(B1376),H1376,""""))"),"")</f>
        <v/>
      </c>
      <c r="L1376" s="40" t="str">
        <f>IFERROR(__xludf.DUMMYFUNCTION("IF(ISBLANK(B1376),"""",IF(ISDATE(B1376),TEXT(B1376,""M""),""""))"),"")</f>
        <v/>
      </c>
      <c r="M1376" s="29" t="str">
        <f>IFERROR(__xludf.DUMMYFUNCTION("IF(L1376="""","""",QUERY({'Dashboard-Dados'!$Y$2:$AA$13},""Select Col2 Where Col1=""&amp;L1376))"),"")</f>
        <v/>
      </c>
      <c r="N1376" s="29" t="str">
        <f>IFERROR(__xludf.DUMMYFUNCTION("IF(ISBLANK(B1376),"""",IF(ISDATE(B1376),TEXT(B1376,""yyyy""),""""))"),"")</f>
        <v/>
      </c>
    </row>
    <row r="1377">
      <c r="B1377" s="87"/>
      <c r="C1377" s="85"/>
      <c r="D1377" s="76"/>
      <c r="H1377" s="88"/>
      <c r="J1377" s="53" t="str">
        <f>IFERROR(__xludf.DUMMYFUNCTION("IF(ISBLANK(B1377),"""",IF(ISDATE(B1377),""X"",""""))"),"")</f>
        <v/>
      </c>
      <c r="K1377" s="40" t="str">
        <f>IFERROR(__xludf.DUMMYFUNCTION("IF(ISBLANK(B1377),"""",IF(ISDATE(B1377),H1377,""""))"),"")</f>
        <v/>
      </c>
      <c r="L1377" s="40" t="str">
        <f>IFERROR(__xludf.DUMMYFUNCTION("IF(ISBLANK(B1377),"""",IF(ISDATE(B1377),TEXT(B1377,""M""),""""))"),"")</f>
        <v/>
      </c>
      <c r="M1377" s="29" t="str">
        <f>IFERROR(__xludf.DUMMYFUNCTION("IF(L1377="""","""",QUERY({'Dashboard-Dados'!$Y$2:$AA$13},""Select Col2 Where Col1=""&amp;L1377))"),"")</f>
        <v/>
      </c>
      <c r="N1377" s="29" t="str">
        <f>IFERROR(__xludf.DUMMYFUNCTION("IF(ISBLANK(B1377),"""",IF(ISDATE(B1377),TEXT(B1377,""yyyy""),""""))"),"")</f>
        <v/>
      </c>
    </row>
    <row r="1378">
      <c r="B1378" s="89"/>
      <c r="C1378" s="86"/>
      <c r="D1378" s="71"/>
      <c r="H1378" s="90"/>
      <c r="J1378" s="53" t="str">
        <f>IFERROR(__xludf.DUMMYFUNCTION("IF(ISBLANK(B1378),"""",IF(ISDATE(B1378),""X"",""""))"),"")</f>
        <v/>
      </c>
      <c r="K1378" s="40" t="str">
        <f>IFERROR(__xludf.DUMMYFUNCTION("IF(ISBLANK(B1378),"""",IF(ISDATE(B1378),H1378,""""))"),"")</f>
        <v/>
      </c>
      <c r="L1378" s="40" t="str">
        <f>IFERROR(__xludf.DUMMYFUNCTION("IF(ISBLANK(B1378),"""",IF(ISDATE(B1378),TEXT(B1378,""M""),""""))"),"")</f>
        <v/>
      </c>
      <c r="M1378" s="29" t="str">
        <f>IFERROR(__xludf.DUMMYFUNCTION("IF(L1378="""","""",QUERY({'Dashboard-Dados'!$Y$2:$AA$13},""Select Col2 Where Col1=""&amp;L1378))"),"")</f>
        <v/>
      </c>
      <c r="N1378" s="29" t="str">
        <f>IFERROR(__xludf.DUMMYFUNCTION("IF(ISBLANK(B1378),"""",IF(ISDATE(B1378),TEXT(B1378,""yyyy""),""""))"),"")</f>
        <v/>
      </c>
    </row>
    <row r="1379">
      <c r="B1379" s="87"/>
      <c r="C1379" s="85"/>
      <c r="D1379" s="76"/>
      <c r="H1379" s="88"/>
      <c r="J1379" s="53" t="str">
        <f>IFERROR(__xludf.DUMMYFUNCTION("IF(ISBLANK(B1379),"""",IF(ISDATE(B1379),""X"",""""))"),"")</f>
        <v/>
      </c>
      <c r="K1379" s="40" t="str">
        <f>IFERROR(__xludf.DUMMYFUNCTION("IF(ISBLANK(B1379),"""",IF(ISDATE(B1379),H1379,""""))"),"")</f>
        <v/>
      </c>
      <c r="L1379" s="40" t="str">
        <f>IFERROR(__xludf.DUMMYFUNCTION("IF(ISBLANK(B1379),"""",IF(ISDATE(B1379),TEXT(B1379,""M""),""""))"),"")</f>
        <v/>
      </c>
      <c r="M1379" s="29" t="str">
        <f>IFERROR(__xludf.DUMMYFUNCTION("IF(L1379="""","""",QUERY({'Dashboard-Dados'!$Y$2:$AA$13},""Select Col2 Where Col1=""&amp;L1379))"),"")</f>
        <v/>
      </c>
      <c r="N1379" s="29" t="str">
        <f>IFERROR(__xludf.DUMMYFUNCTION("IF(ISBLANK(B1379),"""",IF(ISDATE(B1379),TEXT(B1379,""yyyy""),""""))"),"")</f>
        <v/>
      </c>
    </row>
    <row r="1380">
      <c r="B1380" s="89"/>
      <c r="C1380" s="86"/>
      <c r="D1380" s="71"/>
      <c r="H1380" s="90"/>
      <c r="J1380" s="53" t="str">
        <f>IFERROR(__xludf.DUMMYFUNCTION("IF(ISBLANK(B1380),"""",IF(ISDATE(B1380),""X"",""""))"),"")</f>
        <v/>
      </c>
      <c r="K1380" s="40" t="str">
        <f>IFERROR(__xludf.DUMMYFUNCTION("IF(ISBLANK(B1380),"""",IF(ISDATE(B1380),H1380,""""))"),"")</f>
        <v/>
      </c>
      <c r="L1380" s="40" t="str">
        <f>IFERROR(__xludf.DUMMYFUNCTION("IF(ISBLANK(B1380),"""",IF(ISDATE(B1380),TEXT(B1380,""M""),""""))"),"")</f>
        <v/>
      </c>
      <c r="M1380" s="29" t="str">
        <f>IFERROR(__xludf.DUMMYFUNCTION("IF(L1380="""","""",QUERY({'Dashboard-Dados'!$Y$2:$AA$13},""Select Col2 Where Col1=""&amp;L1380))"),"")</f>
        <v/>
      </c>
      <c r="N1380" s="29" t="str">
        <f>IFERROR(__xludf.DUMMYFUNCTION("IF(ISBLANK(B1380),"""",IF(ISDATE(B1380),TEXT(B1380,""yyyy""),""""))"),"")</f>
        <v/>
      </c>
    </row>
    <row r="1381">
      <c r="B1381" s="87"/>
      <c r="C1381" s="85"/>
      <c r="D1381" s="76"/>
      <c r="H1381" s="88"/>
      <c r="J1381" s="53" t="str">
        <f>IFERROR(__xludf.DUMMYFUNCTION("IF(ISBLANK(B1381),"""",IF(ISDATE(B1381),""X"",""""))"),"")</f>
        <v/>
      </c>
      <c r="K1381" s="40" t="str">
        <f>IFERROR(__xludf.DUMMYFUNCTION("IF(ISBLANK(B1381),"""",IF(ISDATE(B1381),H1381,""""))"),"")</f>
        <v/>
      </c>
      <c r="L1381" s="40" t="str">
        <f>IFERROR(__xludf.DUMMYFUNCTION("IF(ISBLANK(B1381),"""",IF(ISDATE(B1381),TEXT(B1381,""M""),""""))"),"")</f>
        <v/>
      </c>
      <c r="M1381" s="29" t="str">
        <f>IFERROR(__xludf.DUMMYFUNCTION("IF(L1381="""","""",QUERY({'Dashboard-Dados'!$Y$2:$AA$13},""Select Col2 Where Col1=""&amp;L1381))"),"")</f>
        <v/>
      </c>
      <c r="N1381" s="29" t="str">
        <f>IFERROR(__xludf.DUMMYFUNCTION("IF(ISBLANK(B1381),"""",IF(ISDATE(B1381),TEXT(B1381,""yyyy""),""""))"),"")</f>
        <v/>
      </c>
    </row>
    <row r="1382">
      <c r="B1382" s="89"/>
      <c r="C1382" s="86"/>
      <c r="D1382" s="71"/>
      <c r="H1382" s="90"/>
      <c r="J1382" s="53" t="str">
        <f>IFERROR(__xludf.DUMMYFUNCTION("IF(ISBLANK(B1382),"""",IF(ISDATE(B1382),""X"",""""))"),"")</f>
        <v/>
      </c>
      <c r="K1382" s="40" t="str">
        <f>IFERROR(__xludf.DUMMYFUNCTION("IF(ISBLANK(B1382),"""",IF(ISDATE(B1382),H1382,""""))"),"")</f>
        <v/>
      </c>
      <c r="L1382" s="40" t="str">
        <f>IFERROR(__xludf.DUMMYFUNCTION("IF(ISBLANK(B1382),"""",IF(ISDATE(B1382),TEXT(B1382,""M""),""""))"),"")</f>
        <v/>
      </c>
      <c r="M1382" s="29" t="str">
        <f>IFERROR(__xludf.DUMMYFUNCTION("IF(L1382="""","""",QUERY({'Dashboard-Dados'!$Y$2:$AA$13},""Select Col2 Where Col1=""&amp;L1382))"),"")</f>
        <v/>
      </c>
      <c r="N1382" s="29" t="str">
        <f>IFERROR(__xludf.DUMMYFUNCTION("IF(ISBLANK(B1382),"""",IF(ISDATE(B1382),TEXT(B1382,""yyyy""),""""))"),"")</f>
        <v/>
      </c>
    </row>
    <row r="1383">
      <c r="B1383" s="87"/>
      <c r="C1383" s="85"/>
      <c r="D1383" s="76"/>
      <c r="H1383" s="88"/>
      <c r="J1383" s="53" t="str">
        <f>IFERROR(__xludf.DUMMYFUNCTION("IF(ISBLANK(B1383),"""",IF(ISDATE(B1383),""X"",""""))"),"")</f>
        <v/>
      </c>
      <c r="K1383" s="40" t="str">
        <f>IFERROR(__xludf.DUMMYFUNCTION("IF(ISBLANK(B1383),"""",IF(ISDATE(B1383),H1383,""""))"),"")</f>
        <v/>
      </c>
      <c r="L1383" s="40" t="str">
        <f>IFERROR(__xludf.DUMMYFUNCTION("IF(ISBLANK(B1383),"""",IF(ISDATE(B1383),TEXT(B1383,""M""),""""))"),"")</f>
        <v/>
      </c>
      <c r="M1383" s="29" t="str">
        <f>IFERROR(__xludf.DUMMYFUNCTION("IF(L1383="""","""",QUERY({'Dashboard-Dados'!$Y$2:$AA$13},""Select Col2 Where Col1=""&amp;L1383))"),"")</f>
        <v/>
      </c>
      <c r="N1383" s="29" t="str">
        <f>IFERROR(__xludf.DUMMYFUNCTION("IF(ISBLANK(B1383),"""",IF(ISDATE(B1383),TEXT(B1383,""yyyy""),""""))"),"")</f>
        <v/>
      </c>
    </row>
    <row r="1384">
      <c r="B1384" s="89"/>
      <c r="C1384" s="86"/>
      <c r="D1384" s="71"/>
      <c r="H1384" s="90"/>
      <c r="J1384" s="53" t="str">
        <f>IFERROR(__xludf.DUMMYFUNCTION("IF(ISBLANK(B1384),"""",IF(ISDATE(B1384),""X"",""""))"),"")</f>
        <v/>
      </c>
      <c r="K1384" s="40" t="str">
        <f>IFERROR(__xludf.DUMMYFUNCTION("IF(ISBLANK(B1384),"""",IF(ISDATE(B1384),H1384,""""))"),"")</f>
        <v/>
      </c>
      <c r="L1384" s="40" t="str">
        <f>IFERROR(__xludf.DUMMYFUNCTION("IF(ISBLANK(B1384),"""",IF(ISDATE(B1384),TEXT(B1384,""M""),""""))"),"")</f>
        <v/>
      </c>
      <c r="M1384" s="29" t="str">
        <f>IFERROR(__xludf.DUMMYFUNCTION("IF(L1384="""","""",QUERY({'Dashboard-Dados'!$Y$2:$AA$13},""Select Col2 Where Col1=""&amp;L1384))"),"")</f>
        <v/>
      </c>
      <c r="N1384" s="29" t="str">
        <f>IFERROR(__xludf.DUMMYFUNCTION("IF(ISBLANK(B1384),"""",IF(ISDATE(B1384),TEXT(B1384,""yyyy""),""""))"),"")</f>
        <v/>
      </c>
    </row>
    <row r="1385">
      <c r="B1385" s="87"/>
      <c r="C1385" s="85"/>
      <c r="D1385" s="76"/>
      <c r="H1385" s="88"/>
      <c r="J1385" s="53" t="str">
        <f>IFERROR(__xludf.DUMMYFUNCTION("IF(ISBLANK(B1385),"""",IF(ISDATE(B1385),""X"",""""))"),"")</f>
        <v/>
      </c>
      <c r="K1385" s="40" t="str">
        <f>IFERROR(__xludf.DUMMYFUNCTION("IF(ISBLANK(B1385),"""",IF(ISDATE(B1385),H1385,""""))"),"")</f>
        <v/>
      </c>
      <c r="L1385" s="40" t="str">
        <f>IFERROR(__xludf.DUMMYFUNCTION("IF(ISBLANK(B1385),"""",IF(ISDATE(B1385),TEXT(B1385,""M""),""""))"),"")</f>
        <v/>
      </c>
      <c r="M1385" s="29" t="str">
        <f>IFERROR(__xludf.DUMMYFUNCTION("IF(L1385="""","""",QUERY({'Dashboard-Dados'!$Y$2:$AA$13},""Select Col2 Where Col1=""&amp;L1385))"),"")</f>
        <v/>
      </c>
      <c r="N1385" s="29" t="str">
        <f>IFERROR(__xludf.DUMMYFUNCTION("IF(ISBLANK(B1385),"""",IF(ISDATE(B1385),TEXT(B1385,""yyyy""),""""))"),"")</f>
        <v/>
      </c>
    </row>
    <row r="1386">
      <c r="B1386" s="89"/>
      <c r="C1386" s="86"/>
      <c r="D1386" s="71"/>
      <c r="H1386" s="90"/>
      <c r="J1386" s="53" t="str">
        <f>IFERROR(__xludf.DUMMYFUNCTION("IF(ISBLANK(B1386),"""",IF(ISDATE(B1386),""X"",""""))"),"")</f>
        <v/>
      </c>
      <c r="K1386" s="40" t="str">
        <f>IFERROR(__xludf.DUMMYFUNCTION("IF(ISBLANK(B1386),"""",IF(ISDATE(B1386),H1386,""""))"),"")</f>
        <v/>
      </c>
      <c r="L1386" s="40" t="str">
        <f>IFERROR(__xludf.DUMMYFUNCTION("IF(ISBLANK(B1386),"""",IF(ISDATE(B1386),TEXT(B1386,""M""),""""))"),"")</f>
        <v/>
      </c>
      <c r="M1386" s="29" t="str">
        <f>IFERROR(__xludf.DUMMYFUNCTION("IF(L1386="""","""",QUERY({'Dashboard-Dados'!$Y$2:$AA$13},""Select Col2 Where Col1=""&amp;L1386))"),"")</f>
        <v/>
      </c>
      <c r="N1386" s="29" t="str">
        <f>IFERROR(__xludf.DUMMYFUNCTION("IF(ISBLANK(B1386),"""",IF(ISDATE(B1386),TEXT(B1386,""yyyy""),""""))"),"")</f>
        <v/>
      </c>
    </row>
    <row r="1387">
      <c r="B1387" s="87"/>
      <c r="C1387" s="85"/>
      <c r="D1387" s="76"/>
      <c r="H1387" s="88"/>
      <c r="J1387" s="53" t="str">
        <f>IFERROR(__xludf.DUMMYFUNCTION("IF(ISBLANK(B1387),"""",IF(ISDATE(B1387),""X"",""""))"),"")</f>
        <v/>
      </c>
      <c r="K1387" s="40" t="str">
        <f>IFERROR(__xludf.DUMMYFUNCTION("IF(ISBLANK(B1387),"""",IF(ISDATE(B1387),H1387,""""))"),"")</f>
        <v/>
      </c>
      <c r="L1387" s="40" t="str">
        <f>IFERROR(__xludf.DUMMYFUNCTION("IF(ISBLANK(B1387),"""",IF(ISDATE(B1387),TEXT(B1387,""M""),""""))"),"")</f>
        <v/>
      </c>
      <c r="M1387" s="29" t="str">
        <f>IFERROR(__xludf.DUMMYFUNCTION("IF(L1387="""","""",QUERY({'Dashboard-Dados'!$Y$2:$AA$13},""Select Col2 Where Col1=""&amp;L1387))"),"")</f>
        <v/>
      </c>
      <c r="N1387" s="29" t="str">
        <f>IFERROR(__xludf.DUMMYFUNCTION("IF(ISBLANK(B1387),"""",IF(ISDATE(B1387),TEXT(B1387,""yyyy""),""""))"),"")</f>
        <v/>
      </c>
    </row>
    <row r="1388">
      <c r="B1388" s="89"/>
      <c r="C1388" s="86"/>
      <c r="D1388" s="71"/>
      <c r="H1388" s="90"/>
      <c r="J1388" s="53" t="str">
        <f>IFERROR(__xludf.DUMMYFUNCTION("IF(ISBLANK(B1388),"""",IF(ISDATE(B1388),""X"",""""))"),"")</f>
        <v/>
      </c>
      <c r="K1388" s="40" t="str">
        <f>IFERROR(__xludf.DUMMYFUNCTION("IF(ISBLANK(B1388),"""",IF(ISDATE(B1388),H1388,""""))"),"")</f>
        <v/>
      </c>
      <c r="L1388" s="40" t="str">
        <f>IFERROR(__xludf.DUMMYFUNCTION("IF(ISBLANK(B1388),"""",IF(ISDATE(B1388),TEXT(B1388,""M""),""""))"),"")</f>
        <v/>
      </c>
      <c r="M1388" s="29" t="str">
        <f>IFERROR(__xludf.DUMMYFUNCTION("IF(L1388="""","""",QUERY({'Dashboard-Dados'!$Y$2:$AA$13},""Select Col2 Where Col1=""&amp;L1388))"),"")</f>
        <v/>
      </c>
      <c r="N1388" s="29" t="str">
        <f>IFERROR(__xludf.DUMMYFUNCTION("IF(ISBLANK(B1388),"""",IF(ISDATE(B1388),TEXT(B1388,""yyyy""),""""))"),"")</f>
        <v/>
      </c>
    </row>
    <row r="1389">
      <c r="B1389" s="87"/>
      <c r="C1389" s="85"/>
      <c r="D1389" s="76"/>
      <c r="H1389" s="88"/>
      <c r="J1389" s="53" t="str">
        <f>IFERROR(__xludf.DUMMYFUNCTION("IF(ISBLANK(B1389),"""",IF(ISDATE(B1389),""X"",""""))"),"")</f>
        <v/>
      </c>
      <c r="K1389" s="40" t="str">
        <f>IFERROR(__xludf.DUMMYFUNCTION("IF(ISBLANK(B1389),"""",IF(ISDATE(B1389),H1389,""""))"),"")</f>
        <v/>
      </c>
      <c r="L1389" s="40" t="str">
        <f>IFERROR(__xludf.DUMMYFUNCTION("IF(ISBLANK(B1389),"""",IF(ISDATE(B1389),TEXT(B1389,""M""),""""))"),"")</f>
        <v/>
      </c>
      <c r="M1389" s="29" t="str">
        <f>IFERROR(__xludf.DUMMYFUNCTION("IF(L1389="""","""",QUERY({'Dashboard-Dados'!$Y$2:$AA$13},""Select Col2 Where Col1=""&amp;L1389))"),"")</f>
        <v/>
      </c>
      <c r="N1389" s="29" t="str">
        <f>IFERROR(__xludf.DUMMYFUNCTION("IF(ISBLANK(B1389),"""",IF(ISDATE(B1389),TEXT(B1389,""yyyy""),""""))"),"")</f>
        <v/>
      </c>
    </row>
    <row r="1390">
      <c r="B1390" s="89"/>
      <c r="C1390" s="86"/>
      <c r="D1390" s="71"/>
      <c r="H1390" s="90"/>
      <c r="J1390" s="53" t="str">
        <f>IFERROR(__xludf.DUMMYFUNCTION("IF(ISBLANK(B1390),"""",IF(ISDATE(B1390),""X"",""""))"),"")</f>
        <v/>
      </c>
      <c r="K1390" s="40" t="str">
        <f>IFERROR(__xludf.DUMMYFUNCTION("IF(ISBLANK(B1390),"""",IF(ISDATE(B1390),H1390,""""))"),"")</f>
        <v/>
      </c>
      <c r="L1390" s="40" t="str">
        <f>IFERROR(__xludf.DUMMYFUNCTION("IF(ISBLANK(B1390),"""",IF(ISDATE(B1390),TEXT(B1390,""M""),""""))"),"")</f>
        <v/>
      </c>
      <c r="M1390" s="29" t="str">
        <f>IFERROR(__xludf.DUMMYFUNCTION("IF(L1390="""","""",QUERY({'Dashboard-Dados'!$Y$2:$AA$13},""Select Col2 Where Col1=""&amp;L1390))"),"")</f>
        <v/>
      </c>
      <c r="N1390" s="29" t="str">
        <f>IFERROR(__xludf.DUMMYFUNCTION("IF(ISBLANK(B1390),"""",IF(ISDATE(B1390),TEXT(B1390,""yyyy""),""""))"),"")</f>
        <v/>
      </c>
    </row>
    <row r="1391">
      <c r="B1391" s="87"/>
      <c r="C1391" s="85"/>
      <c r="D1391" s="76"/>
      <c r="H1391" s="88"/>
      <c r="J1391" s="53" t="str">
        <f>IFERROR(__xludf.DUMMYFUNCTION("IF(ISBLANK(B1391),"""",IF(ISDATE(B1391),""X"",""""))"),"")</f>
        <v/>
      </c>
      <c r="K1391" s="40" t="str">
        <f>IFERROR(__xludf.DUMMYFUNCTION("IF(ISBLANK(B1391),"""",IF(ISDATE(B1391),H1391,""""))"),"")</f>
        <v/>
      </c>
      <c r="L1391" s="40" t="str">
        <f>IFERROR(__xludf.DUMMYFUNCTION("IF(ISBLANK(B1391),"""",IF(ISDATE(B1391),TEXT(B1391,""M""),""""))"),"")</f>
        <v/>
      </c>
      <c r="M1391" s="29" t="str">
        <f>IFERROR(__xludf.DUMMYFUNCTION("IF(L1391="""","""",QUERY({'Dashboard-Dados'!$Y$2:$AA$13},""Select Col2 Where Col1=""&amp;L1391))"),"")</f>
        <v/>
      </c>
      <c r="N1391" s="29" t="str">
        <f>IFERROR(__xludf.DUMMYFUNCTION("IF(ISBLANK(B1391),"""",IF(ISDATE(B1391),TEXT(B1391,""yyyy""),""""))"),"")</f>
        <v/>
      </c>
    </row>
    <row r="1392">
      <c r="B1392" s="89"/>
      <c r="C1392" s="86"/>
      <c r="D1392" s="71"/>
      <c r="H1392" s="90"/>
      <c r="J1392" s="53" t="str">
        <f>IFERROR(__xludf.DUMMYFUNCTION("IF(ISBLANK(B1392),"""",IF(ISDATE(B1392),""X"",""""))"),"")</f>
        <v/>
      </c>
      <c r="K1392" s="40" t="str">
        <f>IFERROR(__xludf.DUMMYFUNCTION("IF(ISBLANK(B1392),"""",IF(ISDATE(B1392),H1392,""""))"),"")</f>
        <v/>
      </c>
      <c r="L1392" s="40" t="str">
        <f>IFERROR(__xludf.DUMMYFUNCTION("IF(ISBLANK(B1392),"""",IF(ISDATE(B1392),TEXT(B1392,""M""),""""))"),"")</f>
        <v/>
      </c>
      <c r="M1392" s="29" t="str">
        <f>IFERROR(__xludf.DUMMYFUNCTION("IF(L1392="""","""",QUERY({'Dashboard-Dados'!$Y$2:$AA$13},""Select Col2 Where Col1=""&amp;L1392))"),"")</f>
        <v/>
      </c>
      <c r="N1392" s="29" t="str">
        <f>IFERROR(__xludf.DUMMYFUNCTION("IF(ISBLANK(B1392),"""",IF(ISDATE(B1392),TEXT(B1392,""yyyy""),""""))"),"")</f>
        <v/>
      </c>
    </row>
    <row r="1393">
      <c r="B1393" s="87"/>
      <c r="C1393" s="85"/>
      <c r="D1393" s="76"/>
      <c r="H1393" s="88"/>
      <c r="J1393" s="53" t="str">
        <f>IFERROR(__xludf.DUMMYFUNCTION("IF(ISBLANK(B1393),"""",IF(ISDATE(B1393),""X"",""""))"),"")</f>
        <v/>
      </c>
      <c r="K1393" s="40" t="str">
        <f>IFERROR(__xludf.DUMMYFUNCTION("IF(ISBLANK(B1393),"""",IF(ISDATE(B1393),H1393,""""))"),"")</f>
        <v/>
      </c>
      <c r="L1393" s="40" t="str">
        <f>IFERROR(__xludf.DUMMYFUNCTION("IF(ISBLANK(B1393),"""",IF(ISDATE(B1393),TEXT(B1393,""M""),""""))"),"")</f>
        <v/>
      </c>
      <c r="M1393" s="29" t="str">
        <f>IFERROR(__xludf.DUMMYFUNCTION("IF(L1393="""","""",QUERY({'Dashboard-Dados'!$Y$2:$AA$13},""Select Col2 Where Col1=""&amp;L1393))"),"")</f>
        <v/>
      </c>
      <c r="N1393" s="29" t="str">
        <f>IFERROR(__xludf.DUMMYFUNCTION("IF(ISBLANK(B1393),"""",IF(ISDATE(B1393),TEXT(B1393,""yyyy""),""""))"),"")</f>
        <v/>
      </c>
    </row>
    <row r="1394">
      <c r="B1394" s="89"/>
      <c r="C1394" s="86"/>
      <c r="D1394" s="71"/>
      <c r="H1394" s="90"/>
      <c r="J1394" s="53" t="str">
        <f>IFERROR(__xludf.DUMMYFUNCTION("IF(ISBLANK(B1394),"""",IF(ISDATE(B1394),""X"",""""))"),"")</f>
        <v/>
      </c>
      <c r="K1394" s="40" t="str">
        <f>IFERROR(__xludf.DUMMYFUNCTION("IF(ISBLANK(B1394),"""",IF(ISDATE(B1394),H1394,""""))"),"")</f>
        <v/>
      </c>
      <c r="L1394" s="40" t="str">
        <f>IFERROR(__xludf.DUMMYFUNCTION("IF(ISBLANK(B1394),"""",IF(ISDATE(B1394),TEXT(B1394,""M""),""""))"),"")</f>
        <v/>
      </c>
      <c r="M1394" s="29" t="str">
        <f>IFERROR(__xludf.DUMMYFUNCTION("IF(L1394="""","""",QUERY({'Dashboard-Dados'!$Y$2:$AA$13},""Select Col2 Where Col1=""&amp;L1394))"),"")</f>
        <v/>
      </c>
      <c r="N1394" s="29" t="str">
        <f>IFERROR(__xludf.DUMMYFUNCTION("IF(ISBLANK(B1394),"""",IF(ISDATE(B1394),TEXT(B1394,""yyyy""),""""))"),"")</f>
        <v/>
      </c>
    </row>
    <row r="1395">
      <c r="B1395" s="87"/>
      <c r="C1395" s="85"/>
      <c r="D1395" s="76"/>
      <c r="H1395" s="88"/>
      <c r="J1395" s="53" t="str">
        <f>IFERROR(__xludf.DUMMYFUNCTION("IF(ISBLANK(B1395),"""",IF(ISDATE(B1395),""X"",""""))"),"")</f>
        <v/>
      </c>
      <c r="K1395" s="40" t="str">
        <f>IFERROR(__xludf.DUMMYFUNCTION("IF(ISBLANK(B1395),"""",IF(ISDATE(B1395),H1395,""""))"),"")</f>
        <v/>
      </c>
      <c r="L1395" s="40" t="str">
        <f>IFERROR(__xludf.DUMMYFUNCTION("IF(ISBLANK(B1395),"""",IF(ISDATE(B1395),TEXT(B1395,""M""),""""))"),"")</f>
        <v/>
      </c>
      <c r="M1395" s="29" t="str">
        <f>IFERROR(__xludf.DUMMYFUNCTION("IF(L1395="""","""",QUERY({'Dashboard-Dados'!$Y$2:$AA$13},""Select Col2 Where Col1=""&amp;L1395))"),"")</f>
        <v/>
      </c>
      <c r="N1395" s="29" t="str">
        <f>IFERROR(__xludf.DUMMYFUNCTION("IF(ISBLANK(B1395),"""",IF(ISDATE(B1395),TEXT(B1395,""yyyy""),""""))"),"")</f>
        <v/>
      </c>
    </row>
    <row r="1396">
      <c r="B1396" s="89"/>
      <c r="C1396" s="86"/>
      <c r="D1396" s="71"/>
      <c r="H1396" s="90"/>
      <c r="J1396" s="53" t="str">
        <f>IFERROR(__xludf.DUMMYFUNCTION("IF(ISBLANK(B1396),"""",IF(ISDATE(B1396),""X"",""""))"),"")</f>
        <v/>
      </c>
      <c r="K1396" s="40" t="str">
        <f>IFERROR(__xludf.DUMMYFUNCTION("IF(ISBLANK(B1396),"""",IF(ISDATE(B1396),H1396,""""))"),"")</f>
        <v/>
      </c>
      <c r="L1396" s="40" t="str">
        <f>IFERROR(__xludf.DUMMYFUNCTION("IF(ISBLANK(B1396),"""",IF(ISDATE(B1396),TEXT(B1396,""M""),""""))"),"")</f>
        <v/>
      </c>
      <c r="M1396" s="29" t="str">
        <f>IFERROR(__xludf.DUMMYFUNCTION("IF(L1396="""","""",QUERY({'Dashboard-Dados'!$Y$2:$AA$13},""Select Col2 Where Col1=""&amp;L1396))"),"")</f>
        <v/>
      </c>
      <c r="N1396" s="29" t="str">
        <f>IFERROR(__xludf.DUMMYFUNCTION("IF(ISBLANK(B1396),"""",IF(ISDATE(B1396),TEXT(B1396,""yyyy""),""""))"),"")</f>
        <v/>
      </c>
    </row>
    <row r="1397">
      <c r="B1397" s="87"/>
      <c r="C1397" s="85"/>
      <c r="D1397" s="76"/>
      <c r="H1397" s="88"/>
      <c r="J1397" s="53" t="str">
        <f>IFERROR(__xludf.DUMMYFUNCTION("IF(ISBLANK(B1397),"""",IF(ISDATE(B1397),""X"",""""))"),"")</f>
        <v/>
      </c>
      <c r="K1397" s="40" t="str">
        <f>IFERROR(__xludf.DUMMYFUNCTION("IF(ISBLANK(B1397),"""",IF(ISDATE(B1397),H1397,""""))"),"")</f>
        <v/>
      </c>
      <c r="L1397" s="40" t="str">
        <f>IFERROR(__xludf.DUMMYFUNCTION("IF(ISBLANK(B1397),"""",IF(ISDATE(B1397),TEXT(B1397,""M""),""""))"),"")</f>
        <v/>
      </c>
      <c r="M1397" s="29" t="str">
        <f>IFERROR(__xludf.DUMMYFUNCTION("IF(L1397="""","""",QUERY({'Dashboard-Dados'!$Y$2:$AA$13},""Select Col2 Where Col1=""&amp;L1397))"),"")</f>
        <v/>
      </c>
      <c r="N1397" s="29" t="str">
        <f>IFERROR(__xludf.DUMMYFUNCTION("IF(ISBLANK(B1397),"""",IF(ISDATE(B1397),TEXT(B1397,""yyyy""),""""))"),"")</f>
        <v/>
      </c>
    </row>
    <row r="1398">
      <c r="B1398" s="89"/>
      <c r="C1398" s="86"/>
      <c r="D1398" s="71"/>
      <c r="H1398" s="90"/>
      <c r="J1398" s="53" t="str">
        <f>IFERROR(__xludf.DUMMYFUNCTION("IF(ISBLANK(B1398),"""",IF(ISDATE(B1398),""X"",""""))"),"")</f>
        <v/>
      </c>
      <c r="K1398" s="40" t="str">
        <f>IFERROR(__xludf.DUMMYFUNCTION("IF(ISBLANK(B1398),"""",IF(ISDATE(B1398),H1398,""""))"),"")</f>
        <v/>
      </c>
      <c r="L1398" s="40" t="str">
        <f>IFERROR(__xludf.DUMMYFUNCTION("IF(ISBLANK(B1398),"""",IF(ISDATE(B1398),TEXT(B1398,""M""),""""))"),"")</f>
        <v/>
      </c>
      <c r="M1398" s="29" t="str">
        <f>IFERROR(__xludf.DUMMYFUNCTION("IF(L1398="""","""",QUERY({'Dashboard-Dados'!$Y$2:$AA$13},""Select Col2 Where Col1=""&amp;L1398))"),"")</f>
        <v/>
      </c>
      <c r="N1398" s="29" t="str">
        <f>IFERROR(__xludf.DUMMYFUNCTION("IF(ISBLANK(B1398),"""",IF(ISDATE(B1398),TEXT(B1398,""yyyy""),""""))"),"")</f>
        <v/>
      </c>
    </row>
    <row r="1399">
      <c r="B1399" s="87"/>
      <c r="C1399" s="85"/>
      <c r="D1399" s="76"/>
      <c r="H1399" s="88"/>
      <c r="J1399" s="53" t="str">
        <f>IFERROR(__xludf.DUMMYFUNCTION("IF(ISBLANK(B1399),"""",IF(ISDATE(B1399),""X"",""""))"),"")</f>
        <v/>
      </c>
      <c r="K1399" s="40" t="str">
        <f>IFERROR(__xludf.DUMMYFUNCTION("IF(ISBLANK(B1399),"""",IF(ISDATE(B1399),H1399,""""))"),"")</f>
        <v/>
      </c>
      <c r="L1399" s="40" t="str">
        <f>IFERROR(__xludf.DUMMYFUNCTION("IF(ISBLANK(B1399),"""",IF(ISDATE(B1399),TEXT(B1399,""M""),""""))"),"")</f>
        <v/>
      </c>
      <c r="M1399" s="29" t="str">
        <f>IFERROR(__xludf.DUMMYFUNCTION("IF(L1399="""","""",QUERY({'Dashboard-Dados'!$Y$2:$AA$13},""Select Col2 Where Col1=""&amp;L1399))"),"")</f>
        <v/>
      </c>
      <c r="N1399" s="29" t="str">
        <f>IFERROR(__xludf.DUMMYFUNCTION("IF(ISBLANK(B1399),"""",IF(ISDATE(B1399),TEXT(B1399,""yyyy""),""""))"),"")</f>
        <v/>
      </c>
    </row>
    <row r="1400">
      <c r="B1400" s="89"/>
      <c r="C1400" s="86"/>
      <c r="D1400" s="71"/>
      <c r="H1400" s="90"/>
      <c r="J1400" s="53" t="str">
        <f>IFERROR(__xludf.DUMMYFUNCTION("IF(ISBLANK(B1400),"""",IF(ISDATE(B1400),""X"",""""))"),"")</f>
        <v/>
      </c>
      <c r="K1400" s="40" t="str">
        <f>IFERROR(__xludf.DUMMYFUNCTION("IF(ISBLANK(B1400),"""",IF(ISDATE(B1400),H1400,""""))"),"")</f>
        <v/>
      </c>
      <c r="L1400" s="40" t="str">
        <f>IFERROR(__xludf.DUMMYFUNCTION("IF(ISBLANK(B1400),"""",IF(ISDATE(B1400),TEXT(B1400,""M""),""""))"),"")</f>
        <v/>
      </c>
      <c r="M1400" s="29" t="str">
        <f>IFERROR(__xludf.DUMMYFUNCTION("IF(L1400="""","""",QUERY({'Dashboard-Dados'!$Y$2:$AA$13},""Select Col2 Where Col1=""&amp;L1400))"),"")</f>
        <v/>
      </c>
      <c r="N1400" s="29" t="str">
        <f>IFERROR(__xludf.DUMMYFUNCTION("IF(ISBLANK(B1400),"""",IF(ISDATE(B1400),TEXT(B1400,""yyyy""),""""))"),"")</f>
        <v/>
      </c>
    </row>
    <row r="1401">
      <c r="B1401" s="87"/>
      <c r="C1401" s="85"/>
      <c r="D1401" s="76"/>
      <c r="H1401" s="88"/>
      <c r="J1401" s="53" t="str">
        <f>IFERROR(__xludf.DUMMYFUNCTION("IF(ISBLANK(B1401),"""",IF(ISDATE(B1401),""X"",""""))"),"")</f>
        <v/>
      </c>
      <c r="K1401" s="40" t="str">
        <f>IFERROR(__xludf.DUMMYFUNCTION("IF(ISBLANK(B1401),"""",IF(ISDATE(B1401),H1401,""""))"),"")</f>
        <v/>
      </c>
      <c r="L1401" s="40" t="str">
        <f>IFERROR(__xludf.DUMMYFUNCTION("IF(ISBLANK(B1401),"""",IF(ISDATE(B1401),TEXT(B1401,""M""),""""))"),"")</f>
        <v/>
      </c>
      <c r="M1401" s="29" t="str">
        <f>IFERROR(__xludf.DUMMYFUNCTION("IF(L1401="""","""",QUERY({'Dashboard-Dados'!$Y$2:$AA$13},""Select Col2 Where Col1=""&amp;L1401))"),"")</f>
        <v/>
      </c>
      <c r="N1401" s="29" t="str">
        <f>IFERROR(__xludf.DUMMYFUNCTION("IF(ISBLANK(B1401),"""",IF(ISDATE(B1401),TEXT(B1401,""yyyy""),""""))"),"")</f>
        <v/>
      </c>
    </row>
    <row r="1402">
      <c r="B1402" s="89"/>
      <c r="C1402" s="86"/>
      <c r="D1402" s="71"/>
      <c r="H1402" s="90"/>
      <c r="J1402" s="53" t="str">
        <f>IFERROR(__xludf.DUMMYFUNCTION("IF(ISBLANK(B1402),"""",IF(ISDATE(B1402),""X"",""""))"),"")</f>
        <v/>
      </c>
      <c r="K1402" s="40" t="str">
        <f>IFERROR(__xludf.DUMMYFUNCTION("IF(ISBLANK(B1402),"""",IF(ISDATE(B1402),H1402,""""))"),"")</f>
        <v/>
      </c>
      <c r="L1402" s="40" t="str">
        <f>IFERROR(__xludf.DUMMYFUNCTION("IF(ISBLANK(B1402),"""",IF(ISDATE(B1402),TEXT(B1402,""M""),""""))"),"")</f>
        <v/>
      </c>
      <c r="M1402" s="29" t="str">
        <f>IFERROR(__xludf.DUMMYFUNCTION("IF(L1402="""","""",QUERY({'Dashboard-Dados'!$Y$2:$AA$13},""Select Col2 Where Col1=""&amp;L1402))"),"")</f>
        <v/>
      </c>
      <c r="N1402" s="29" t="str">
        <f>IFERROR(__xludf.DUMMYFUNCTION("IF(ISBLANK(B1402),"""",IF(ISDATE(B1402),TEXT(B1402,""yyyy""),""""))"),"")</f>
        <v/>
      </c>
    </row>
    <row r="1403">
      <c r="B1403" s="87"/>
      <c r="C1403" s="85"/>
      <c r="D1403" s="76"/>
      <c r="H1403" s="88"/>
      <c r="J1403" s="53" t="str">
        <f>IFERROR(__xludf.DUMMYFUNCTION("IF(ISBLANK(B1403),"""",IF(ISDATE(B1403),""X"",""""))"),"")</f>
        <v/>
      </c>
      <c r="K1403" s="40" t="str">
        <f>IFERROR(__xludf.DUMMYFUNCTION("IF(ISBLANK(B1403),"""",IF(ISDATE(B1403),H1403,""""))"),"")</f>
        <v/>
      </c>
      <c r="L1403" s="40" t="str">
        <f>IFERROR(__xludf.DUMMYFUNCTION("IF(ISBLANK(B1403),"""",IF(ISDATE(B1403),TEXT(B1403,""M""),""""))"),"")</f>
        <v/>
      </c>
      <c r="M1403" s="29" t="str">
        <f>IFERROR(__xludf.DUMMYFUNCTION("IF(L1403="""","""",QUERY({'Dashboard-Dados'!$Y$2:$AA$13},""Select Col2 Where Col1=""&amp;L1403))"),"")</f>
        <v/>
      </c>
      <c r="N1403" s="29" t="str">
        <f>IFERROR(__xludf.DUMMYFUNCTION("IF(ISBLANK(B1403),"""",IF(ISDATE(B1403),TEXT(B1403,""yyyy""),""""))"),"")</f>
        <v/>
      </c>
    </row>
    <row r="1404">
      <c r="B1404" s="89"/>
      <c r="C1404" s="86"/>
      <c r="D1404" s="71"/>
      <c r="H1404" s="90"/>
      <c r="J1404" s="53" t="str">
        <f>IFERROR(__xludf.DUMMYFUNCTION("IF(ISBLANK(B1404),"""",IF(ISDATE(B1404),""X"",""""))"),"")</f>
        <v/>
      </c>
      <c r="K1404" s="40" t="str">
        <f>IFERROR(__xludf.DUMMYFUNCTION("IF(ISBLANK(B1404),"""",IF(ISDATE(B1404),H1404,""""))"),"")</f>
        <v/>
      </c>
      <c r="L1404" s="40" t="str">
        <f>IFERROR(__xludf.DUMMYFUNCTION("IF(ISBLANK(B1404),"""",IF(ISDATE(B1404),TEXT(B1404,""M""),""""))"),"")</f>
        <v/>
      </c>
      <c r="M1404" s="29" t="str">
        <f>IFERROR(__xludf.DUMMYFUNCTION("IF(L1404="""","""",QUERY({'Dashboard-Dados'!$Y$2:$AA$13},""Select Col2 Where Col1=""&amp;L1404))"),"")</f>
        <v/>
      </c>
      <c r="N1404" s="29" t="str">
        <f>IFERROR(__xludf.DUMMYFUNCTION("IF(ISBLANK(B1404),"""",IF(ISDATE(B1404),TEXT(B1404,""yyyy""),""""))"),"")</f>
        <v/>
      </c>
    </row>
    <row r="1405">
      <c r="B1405" s="87"/>
      <c r="C1405" s="85"/>
      <c r="D1405" s="76"/>
      <c r="H1405" s="88"/>
      <c r="J1405" s="53" t="str">
        <f>IFERROR(__xludf.DUMMYFUNCTION("IF(ISBLANK(B1405),"""",IF(ISDATE(B1405),""X"",""""))"),"")</f>
        <v/>
      </c>
      <c r="K1405" s="40" t="str">
        <f>IFERROR(__xludf.DUMMYFUNCTION("IF(ISBLANK(B1405),"""",IF(ISDATE(B1405),H1405,""""))"),"")</f>
        <v/>
      </c>
      <c r="L1405" s="40" t="str">
        <f>IFERROR(__xludf.DUMMYFUNCTION("IF(ISBLANK(B1405),"""",IF(ISDATE(B1405),TEXT(B1405,""M""),""""))"),"")</f>
        <v/>
      </c>
      <c r="M1405" s="29" t="str">
        <f>IFERROR(__xludf.DUMMYFUNCTION("IF(L1405="""","""",QUERY({'Dashboard-Dados'!$Y$2:$AA$13},""Select Col2 Where Col1=""&amp;L1405))"),"")</f>
        <v/>
      </c>
      <c r="N1405" s="29" t="str">
        <f>IFERROR(__xludf.DUMMYFUNCTION("IF(ISBLANK(B1405),"""",IF(ISDATE(B1405),TEXT(B1405,""yyyy""),""""))"),"")</f>
        <v/>
      </c>
    </row>
    <row r="1406">
      <c r="B1406" s="89"/>
      <c r="C1406" s="86"/>
      <c r="D1406" s="71"/>
      <c r="H1406" s="90"/>
      <c r="J1406" s="53" t="str">
        <f>IFERROR(__xludf.DUMMYFUNCTION("IF(ISBLANK(B1406),"""",IF(ISDATE(B1406),""X"",""""))"),"")</f>
        <v/>
      </c>
      <c r="K1406" s="40" t="str">
        <f>IFERROR(__xludf.DUMMYFUNCTION("IF(ISBLANK(B1406),"""",IF(ISDATE(B1406),H1406,""""))"),"")</f>
        <v/>
      </c>
      <c r="L1406" s="40" t="str">
        <f>IFERROR(__xludf.DUMMYFUNCTION("IF(ISBLANK(B1406),"""",IF(ISDATE(B1406),TEXT(B1406,""M""),""""))"),"")</f>
        <v/>
      </c>
      <c r="M1406" s="29" t="str">
        <f>IFERROR(__xludf.DUMMYFUNCTION("IF(L1406="""","""",QUERY({'Dashboard-Dados'!$Y$2:$AA$13},""Select Col2 Where Col1=""&amp;L1406))"),"")</f>
        <v/>
      </c>
      <c r="N1406" s="29" t="str">
        <f>IFERROR(__xludf.DUMMYFUNCTION("IF(ISBLANK(B1406),"""",IF(ISDATE(B1406),TEXT(B1406,""yyyy""),""""))"),"")</f>
        <v/>
      </c>
    </row>
    <row r="1407">
      <c r="B1407" s="87"/>
      <c r="C1407" s="85"/>
      <c r="D1407" s="76"/>
      <c r="H1407" s="88"/>
      <c r="J1407" s="53" t="str">
        <f>IFERROR(__xludf.DUMMYFUNCTION("IF(ISBLANK(B1407),"""",IF(ISDATE(B1407),""X"",""""))"),"")</f>
        <v/>
      </c>
      <c r="K1407" s="40" t="str">
        <f>IFERROR(__xludf.DUMMYFUNCTION("IF(ISBLANK(B1407),"""",IF(ISDATE(B1407),H1407,""""))"),"")</f>
        <v/>
      </c>
      <c r="L1407" s="40" t="str">
        <f>IFERROR(__xludf.DUMMYFUNCTION("IF(ISBLANK(B1407),"""",IF(ISDATE(B1407),TEXT(B1407,""M""),""""))"),"")</f>
        <v/>
      </c>
      <c r="M1407" s="29" t="str">
        <f>IFERROR(__xludf.DUMMYFUNCTION("IF(L1407="""","""",QUERY({'Dashboard-Dados'!$Y$2:$AA$13},""Select Col2 Where Col1=""&amp;L1407))"),"")</f>
        <v/>
      </c>
      <c r="N1407" s="29" t="str">
        <f>IFERROR(__xludf.DUMMYFUNCTION("IF(ISBLANK(B1407),"""",IF(ISDATE(B1407),TEXT(B1407,""yyyy""),""""))"),"")</f>
        <v/>
      </c>
    </row>
    <row r="1408">
      <c r="B1408" s="89"/>
      <c r="C1408" s="86"/>
      <c r="D1408" s="71"/>
      <c r="H1408" s="90"/>
      <c r="J1408" s="53" t="str">
        <f>IFERROR(__xludf.DUMMYFUNCTION("IF(ISBLANK(B1408),"""",IF(ISDATE(B1408),""X"",""""))"),"")</f>
        <v/>
      </c>
      <c r="K1408" s="40" t="str">
        <f>IFERROR(__xludf.DUMMYFUNCTION("IF(ISBLANK(B1408),"""",IF(ISDATE(B1408),H1408,""""))"),"")</f>
        <v/>
      </c>
      <c r="L1408" s="40" t="str">
        <f>IFERROR(__xludf.DUMMYFUNCTION("IF(ISBLANK(B1408),"""",IF(ISDATE(B1408),TEXT(B1408,""M""),""""))"),"")</f>
        <v/>
      </c>
      <c r="M1408" s="29" t="str">
        <f>IFERROR(__xludf.DUMMYFUNCTION("IF(L1408="""","""",QUERY({'Dashboard-Dados'!$Y$2:$AA$13},""Select Col2 Where Col1=""&amp;L1408))"),"")</f>
        <v/>
      </c>
      <c r="N1408" s="29" t="str">
        <f>IFERROR(__xludf.DUMMYFUNCTION("IF(ISBLANK(B1408),"""",IF(ISDATE(B1408),TEXT(B1408,""yyyy""),""""))"),"")</f>
        <v/>
      </c>
    </row>
    <row r="1409">
      <c r="B1409" s="87"/>
      <c r="C1409" s="85"/>
      <c r="D1409" s="76"/>
      <c r="H1409" s="88"/>
      <c r="J1409" s="53" t="str">
        <f>IFERROR(__xludf.DUMMYFUNCTION("IF(ISBLANK(B1409),"""",IF(ISDATE(B1409),""X"",""""))"),"")</f>
        <v/>
      </c>
      <c r="K1409" s="40" t="str">
        <f>IFERROR(__xludf.DUMMYFUNCTION("IF(ISBLANK(B1409),"""",IF(ISDATE(B1409),H1409,""""))"),"")</f>
        <v/>
      </c>
      <c r="L1409" s="40" t="str">
        <f>IFERROR(__xludf.DUMMYFUNCTION("IF(ISBLANK(B1409),"""",IF(ISDATE(B1409),TEXT(B1409,""M""),""""))"),"")</f>
        <v/>
      </c>
      <c r="M1409" s="29" t="str">
        <f>IFERROR(__xludf.DUMMYFUNCTION("IF(L1409="""","""",QUERY({'Dashboard-Dados'!$Y$2:$AA$13},""Select Col2 Where Col1=""&amp;L1409))"),"")</f>
        <v/>
      </c>
      <c r="N1409" s="29" t="str">
        <f>IFERROR(__xludf.DUMMYFUNCTION("IF(ISBLANK(B1409),"""",IF(ISDATE(B1409),TEXT(B1409,""yyyy""),""""))"),"")</f>
        <v/>
      </c>
    </row>
    <row r="1410">
      <c r="B1410" s="89"/>
      <c r="C1410" s="86"/>
      <c r="D1410" s="71"/>
      <c r="H1410" s="90"/>
      <c r="J1410" s="53" t="str">
        <f>IFERROR(__xludf.DUMMYFUNCTION("IF(ISBLANK(B1410),"""",IF(ISDATE(B1410),""X"",""""))"),"")</f>
        <v/>
      </c>
      <c r="K1410" s="40" t="str">
        <f>IFERROR(__xludf.DUMMYFUNCTION("IF(ISBLANK(B1410),"""",IF(ISDATE(B1410),H1410,""""))"),"")</f>
        <v/>
      </c>
      <c r="L1410" s="40" t="str">
        <f>IFERROR(__xludf.DUMMYFUNCTION("IF(ISBLANK(B1410),"""",IF(ISDATE(B1410),TEXT(B1410,""M""),""""))"),"")</f>
        <v/>
      </c>
      <c r="M1410" s="29" t="str">
        <f>IFERROR(__xludf.DUMMYFUNCTION("IF(L1410="""","""",QUERY({'Dashboard-Dados'!$Y$2:$AA$13},""Select Col2 Where Col1=""&amp;L1410))"),"")</f>
        <v/>
      </c>
      <c r="N1410" s="29" t="str">
        <f>IFERROR(__xludf.DUMMYFUNCTION("IF(ISBLANK(B1410),"""",IF(ISDATE(B1410),TEXT(B1410,""yyyy""),""""))"),"")</f>
        <v/>
      </c>
    </row>
    <row r="1411">
      <c r="B1411" s="87"/>
      <c r="C1411" s="85"/>
      <c r="D1411" s="76"/>
      <c r="H1411" s="88"/>
      <c r="J1411" s="53" t="str">
        <f>IFERROR(__xludf.DUMMYFUNCTION("IF(ISBLANK(B1411),"""",IF(ISDATE(B1411),""X"",""""))"),"")</f>
        <v/>
      </c>
      <c r="K1411" s="40" t="str">
        <f>IFERROR(__xludf.DUMMYFUNCTION("IF(ISBLANK(B1411),"""",IF(ISDATE(B1411),H1411,""""))"),"")</f>
        <v/>
      </c>
      <c r="L1411" s="40" t="str">
        <f>IFERROR(__xludf.DUMMYFUNCTION("IF(ISBLANK(B1411),"""",IF(ISDATE(B1411),TEXT(B1411,""M""),""""))"),"")</f>
        <v/>
      </c>
      <c r="M1411" s="29" t="str">
        <f>IFERROR(__xludf.DUMMYFUNCTION("IF(L1411="""","""",QUERY({'Dashboard-Dados'!$Y$2:$AA$13},""Select Col2 Where Col1=""&amp;L1411))"),"")</f>
        <v/>
      </c>
      <c r="N1411" s="29" t="str">
        <f>IFERROR(__xludf.DUMMYFUNCTION("IF(ISBLANK(B1411),"""",IF(ISDATE(B1411),TEXT(B1411,""yyyy""),""""))"),"")</f>
        <v/>
      </c>
    </row>
    <row r="1412">
      <c r="B1412" s="89"/>
      <c r="C1412" s="86"/>
      <c r="D1412" s="71"/>
      <c r="H1412" s="90"/>
      <c r="J1412" s="53" t="str">
        <f>IFERROR(__xludf.DUMMYFUNCTION("IF(ISBLANK(B1412),"""",IF(ISDATE(B1412),""X"",""""))"),"")</f>
        <v/>
      </c>
      <c r="K1412" s="40" t="str">
        <f>IFERROR(__xludf.DUMMYFUNCTION("IF(ISBLANK(B1412),"""",IF(ISDATE(B1412),H1412,""""))"),"")</f>
        <v/>
      </c>
      <c r="L1412" s="40" t="str">
        <f>IFERROR(__xludf.DUMMYFUNCTION("IF(ISBLANK(B1412),"""",IF(ISDATE(B1412),TEXT(B1412,""M""),""""))"),"")</f>
        <v/>
      </c>
      <c r="M1412" s="29" t="str">
        <f>IFERROR(__xludf.DUMMYFUNCTION("IF(L1412="""","""",QUERY({'Dashboard-Dados'!$Y$2:$AA$13},""Select Col2 Where Col1=""&amp;L1412))"),"")</f>
        <v/>
      </c>
      <c r="N1412" s="29" t="str">
        <f>IFERROR(__xludf.DUMMYFUNCTION("IF(ISBLANK(B1412),"""",IF(ISDATE(B1412),TEXT(B1412,""yyyy""),""""))"),"")</f>
        <v/>
      </c>
    </row>
    <row r="1413">
      <c r="B1413" s="87"/>
      <c r="C1413" s="85"/>
      <c r="D1413" s="76"/>
      <c r="H1413" s="88"/>
      <c r="J1413" s="53" t="str">
        <f>IFERROR(__xludf.DUMMYFUNCTION("IF(ISBLANK(B1413),"""",IF(ISDATE(B1413),""X"",""""))"),"")</f>
        <v/>
      </c>
      <c r="K1413" s="40" t="str">
        <f>IFERROR(__xludf.DUMMYFUNCTION("IF(ISBLANK(B1413),"""",IF(ISDATE(B1413),H1413,""""))"),"")</f>
        <v/>
      </c>
      <c r="L1413" s="40" t="str">
        <f>IFERROR(__xludf.DUMMYFUNCTION("IF(ISBLANK(B1413),"""",IF(ISDATE(B1413),TEXT(B1413,""M""),""""))"),"")</f>
        <v/>
      </c>
      <c r="M1413" s="29" t="str">
        <f>IFERROR(__xludf.DUMMYFUNCTION("IF(L1413="""","""",QUERY({'Dashboard-Dados'!$Y$2:$AA$13},""Select Col2 Where Col1=""&amp;L1413))"),"")</f>
        <v/>
      </c>
      <c r="N1413" s="29" t="str">
        <f>IFERROR(__xludf.DUMMYFUNCTION("IF(ISBLANK(B1413),"""",IF(ISDATE(B1413),TEXT(B1413,""yyyy""),""""))"),"")</f>
        <v/>
      </c>
    </row>
    <row r="1414">
      <c r="B1414" s="89"/>
      <c r="C1414" s="86"/>
      <c r="D1414" s="71"/>
      <c r="H1414" s="90"/>
      <c r="J1414" s="53" t="str">
        <f>IFERROR(__xludf.DUMMYFUNCTION("IF(ISBLANK(B1414),"""",IF(ISDATE(B1414),""X"",""""))"),"")</f>
        <v/>
      </c>
      <c r="K1414" s="40" t="str">
        <f>IFERROR(__xludf.DUMMYFUNCTION("IF(ISBLANK(B1414),"""",IF(ISDATE(B1414),H1414,""""))"),"")</f>
        <v/>
      </c>
      <c r="L1414" s="40" t="str">
        <f>IFERROR(__xludf.DUMMYFUNCTION("IF(ISBLANK(B1414),"""",IF(ISDATE(B1414),TEXT(B1414,""M""),""""))"),"")</f>
        <v/>
      </c>
      <c r="M1414" s="29" t="str">
        <f>IFERROR(__xludf.DUMMYFUNCTION("IF(L1414="""","""",QUERY({'Dashboard-Dados'!$Y$2:$AA$13},""Select Col2 Where Col1=""&amp;L1414))"),"")</f>
        <v/>
      </c>
      <c r="N1414" s="29" t="str">
        <f>IFERROR(__xludf.DUMMYFUNCTION("IF(ISBLANK(B1414),"""",IF(ISDATE(B1414),TEXT(B1414,""yyyy""),""""))"),"")</f>
        <v/>
      </c>
    </row>
    <row r="1415">
      <c r="B1415" s="87"/>
      <c r="C1415" s="85"/>
      <c r="D1415" s="76"/>
      <c r="H1415" s="88"/>
      <c r="J1415" s="53" t="str">
        <f>IFERROR(__xludf.DUMMYFUNCTION("IF(ISBLANK(B1415),"""",IF(ISDATE(B1415),""X"",""""))"),"")</f>
        <v/>
      </c>
      <c r="K1415" s="40" t="str">
        <f>IFERROR(__xludf.DUMMYFUNCTION("IF(ISBLANK(B1415),"""",IF(ISDATE(B1415),H1415,""""))"),"")</f>
        <v/>
      </c>
      <c r="L1415" s="40" t="str">
        <f>IFERROR(__xludf.DUMMYFUNCTION("IF(ISBLANK(B1415),"""",IF(ISDATE(B1415),TEXT(B1415,""M""),""""))"),"")</f>
        <v/>
      </c>
      <c r="M1415" s="29" t="str">
        <f>IFERROR(__xludf.DUMMYFUNCTION("IF(L1415="""","""",QUERY({'Dashboard-Dados'!$Y$2:$AA$13},""Select Col2 Where Col1=""&amp;L1415))"),"")</f>
        <v/>
      </c>
      <c r="N1415" s="29" t="str">
        <f>IFERROR(__xludf.DUMMYFUNCTION("IF(ISBLANK(B1415),"""",IF(ISDATE(B1415),TEXT(B1415,""yyyy""),""""))"),"")</f>
        <v/>
      </c>
    </row>
    <row r="1416">
      <c r="B1416" s="89"/>
      <c r="C1416" s="86"/>
      <c r="D1416" s="71"/>
      <c r="H1416" s="90"/>
      <c r="J1416" s="53" t="str">
        <f>IFERROR(__xludf.DUMMYFUNCTION("IF(ISBLANK(B1416),"""",IF(ISDATE(B1416),""X"",""""))"),"")</f>
        <v/>
      </c>
      <c r="K1416" s="40" t="str">
        <f>IFERROR(__xludf.DUMMYFUNCTION("IF(ISBLANK(B1416),"""",IF(ISDATE(B1416),H1416,""""))"),"")</f>
        <v/>
      </c>
      <c r="L1416" s="40" t="str">
        <f>IFERROR(__xludf.DUMMYFUNCTION("IF(ISBLANK(B1416),"""",IF(ISDATE(B1416),TEXT(B1416,""M""),""""))"),"")</f>
        <v/>
      </c>
      <c r="M1416" s="29" t="str">
        <f>IFERROR(__xludf.DUMMYFUNCTION("IF(L1416="""","""",QUERY({'Dashboard-Dados'!$Y$2:$AA$13},""Select Col2 Where Col1=""&amp;L1416))"),"")</f>
        <v/>
      </c>
      <c r="N1416" s="29" t="str">
        <f>IFERROR(__xludf.DUMMYFUNCTION("IF(ISBLANK(B1416),"""",IF(ISDATE(B1416),TEXT(B1416,""yyyy""),""""))"),"")</f>
        <v/>
      </c>
    </row>
    <row r="1417">
      <c r="B1417" s="87"/>
      <c r="C1417" s="85"/>
      <c r="D1417" s="76"/>
      <c r="H1417" s="88"/>
      <c r="J1417" s="53" t="str">
        <f>IFERROR(__xludf.DUMMYFUNCTION("IF(ISBLANK(B1417),"""",IF(ISDATE(B1417),""X"",""""))"),"")</f>
        <v/>
      </c>
      <c r="K1417" s="40" t="str">
        <f>IFERROR(__xludf.DUMMYFUNCTION("IF(ISBLANK(B1417),"""",IF(ISDATE(B1417),H1417,""""))"),"")</f>
        <v/>
      </c>
      <c r="L1417" s="40" t="str">
        <f>IFERROR(__xludf.DUMMYFUNCTION("IF(ISBLANK(B1417),"""",IF(ISDATE(B1417),TEXT(B1417,""M""),""""))"),"")</f>
        <v/>
      </c>
      <c r="M1417" s="29" t="str">
        <f>IFERROR(__xludf.DUMMYFUNCTION("IF(L1417="""","""",QUERY({'Dashboard-Dados'!$Y$2:$AA$13},""Select Col2 Where Col1=""&amp;L1417))"),"")</f>
        <v/>
      </c>
      <c r="N1417" s="29" t="str">
        <f>IFERROR(__xludf.DUMMYFUNCTION("IF(ISBLANK(B1417),"""",IF(ISDATE(B1417),TEXT(B1417,""yyyy""),""""))"),"")</f>
        <v/>
      </c>
    </row>
    <row r="1418">
      <c r="B1418" s="89"/>
      <c r="C1418" s="86"/>
      <c r="D1418" s="71"/>
      <c r="H1418" s="90"/>
      <c r="J1418" s="53" t="str">
        <f>IFERROR(__xludf.DUMMYFUNCTION("IF(ISBLANK(B1418),"""",IF(ISDATE(B1418),""X"",""""))"),"")</f>
        <v/>
      </c>
      <c r="K1418" s="40" t="str">
        <f>IFERROR(__xludf.DUMMYFUNCTION("IF(ISBLANK(B1418),"""",IF(ISDATE(B1418),H1418,""""))"),"")</f>
        <v/>
      </c>
      <c r="L1418" s="40" t="str">
        <f>IFERROR(__xludf.DUMMYFUNCTION("IF(ISBLANK(B1418),"""",IF(ISDATE(B1418),TEXT(B1418,""M""),""""))"),"")</f>
        <v/>
      </c>
      <c r="M1418" s="29" t="str">
        <f>IFERROR(__xludf.DUMMYFUNCTION("IF(L1418="""","""",QUERY({'Dashboard-Dados'!$Y$2:$AA$13},""Select Col2 Where Col1=""&amp;L1418))"),"")</f>
        <v/>
      </c>
      <c r="N1418" s="29" t="str">
        <f>IFERROR(__xludf.DUMMYFUNCTION("IF(ISBLANK(B1418),"""",IF(ISDATE(B1418),TEXT(B1418,""yyyy""),""""))"),"")</f>
        <v/>
      </c>
    </row>
    <row r="1419">
      <c r="B1419" s="87"/>
      <c r="C1419" s="85"/>
      <c r="D1419" s="76"/>
      <c r="H1419" s="88"/>
      <c r="J1419" s="53" t="str">
        <f>IFERROR(__xludf.DUMMYFUNCTION("IF(ISBLANK(B1419),"""",IF(ISDATE(B1419),""X"",""""))"),"")</f>
        <v/>
      </c>
      <c r="K1419" s="40" t="str">
        <f>IFERROR(__xludf.DUMMYFUNCTION("IF(ISBLANK(B1419),"""",IF(ISDATE(B1419),H1419,""""))"),"")</f>
        <v/>
      </c>
      <c r="L1419" s="40" t="str">
        <f>IFERROR(__xludf.DUMMYFUNCTION("IF(ISBLANK(B1419),"""",IF(ISDATE(B1419),TEXT(B1419,""M""),""""))"),"")</f>
        <v/>
      </c>
      <c r="M1419" s="29" t="str">
        <f>IFERROR(__xludf.DUMMYFUNCTION("IF(L1419="""","""",QUERY({'Dashboard-Dados'!$Y$2:$AA$13},""Select Col2 Where Col1=""&amp;L1419))"),"")</f>
        <v/>
      </c>
      <c r="N1419" s="29" t="str">
        <f>IFERROR(__xludf.DUMMYFUNCTION("IF(ISBLANK(B1419),"""",IF(ISDATE(B1419),TEXT(B1419,""yyyy""),""""))"),"")</f>
        <v/>
      </c>
    </row>
    <row r="1420">
      <c r="B1420" s="89"/>
      <c r="C1420" s="86"/>
      <c r="D1420" s="71"/>
      <c r="H1420" s="90"/>
      <c r="J1420" s="53" t="str">
        <f>IFERROR(__xludf.DUMMYFUNCTION("IF(ISBLANK(B1420),"""",IF(ISDATE(B1420),""X"",""""))"),"")</f>
        <v/>
      </c>
      <c r="K1420" s="40" t="str">
        <f>IFERROR(__xludf.DUMMYFUNCTION("IF(ISBLANK(B1420),"""",IF(ISDATE(B1420),H1420,""""))"),"")</f>
        <v/>
      </c>
      <c r="L1420" s="40" t="str">
        <f>IFERROR(__xludf.DUMMYFUNCTION("IF(ISBLANK(B1420),"""",IF(ISDATE(B1420),TEXT(B1420,""M""),""""))"),"")</f>
        <v/>
      </c>
      <c r="M1420" s="29" t="str">
        <f>IFERROR(__xludf.DUMMYFUNCTION("IF(L1420="""","""",QUERY({'Dashboard-Dados'!$Y$2:$AA$13},""Select Col2 Where Col1=""&amp;L1420))"),"")</f>
        <v/>
      </c>
      <c r="N1420" s="29" t="str">
        <f>IFERROR(__xludf.DUMMYFUNCTION("IF(ISBLANK(B1420),"""",IF(ISDATE(B1420),TEXT(B1420,""yyyy""),""""))"),"")</f>
        <v/>
      </c>
    </row>
    <row r="1421">
      <c r="B1421" s="87"/>
      <c r="C1421" s="85"/>
      <c r="D1421" s="76"/>
      <c r="H1421" s="88"/>
      <c r="J1421" s="53" t="str">
        <f>IFERROR(__xludf.DUMMYFUNCTION("IF(ISBLANK(B1421),"""",IF(ISDATE(B1421),""X"",""""))"),"")</f>
        <v/>
      </c>
      <c r="K1421" s="40" t="str">
        <f>IFERROR(__xludf.DUMMYFUNCTION("IF(ISBLANK(B1421),"""",IF(ISDATE(B1421),H1421,""""))"),"")</f>
        <v/>
      </c>
      <c r="L1421" s="40" t="str">
        <f>IFERROR(__xludf.DUMMYFUNCTION("IF(ISBLANK(B1421),"""",IF(ISDATE(B1421),TEXT(B1421,""M""),""""))"),"")</f>
        <v/>
      </c>
      <c r="M1421" s="29" t="str">
        <f>IFERROR(__xludf.DUMMYFUNCTION("IF(L1421="""","""",QUERY({'Dashboard-Dados'!$Y$2:$AA$13},""Select Col2 Where Col1=""&amp;L1421))"),"")</f>
        <v/>
      </c>
      <c r="N1421" s="29" t="str">
        <f>IFERROR(__xludf.DUMMYFUNCTION("IF(ISBLANK(B1421),"""",IF(ISDATE(B1421),TEXT(B1421,""yyyy""),""""))"),"")</f>
        <v/>
      </c>
    </row>
    <row r="1422">
      <c r="B1422" s="89"/>
      <c r="C1422" s="86"/>
      <c r="D1422" s="71"/>
      <c r="H1422" s="90"/>
      <c r="J1422" s="53" t="str">
        <f>IFERROR(__xludf.DUMMYFUNCTION("IF(ISBLANK(B1422),"""",IF(ISDATE(B1422),""X"",""""))"),"")</f>
        <v/>
      </c>
      <c r="K1422" s="40" t="str">
        <f>IFERROR(__xludf.DUMMYFUNCTION("IF(ISBLANK(B1422),"""",IF(ISDATE(B1422),H1422,""""))"),"")</f>
        <v/>
      </c>
      <c r="L1422" s="40" t="str">
        <f>IFERROR(__xludf.DUMMYFUNCTION("IF(ISBLANK(B1422),"""",IF(ISDATE(B1422),TEXT(B1422,""M""),""""))"),"")</f>
        <v/>
      </c>
      <c r="M1422" s="29" t="str">
        <f>IFERROR(__xludf.DUMMYFUNCTION("IF(L1422="""","""",QUERY({'Dashboard-Dados'!$Y$2:$AA$13},""Select Col2 Where Col1=""&amp;L1422))"),"")</f>
        <v/>
      </c>
      <c r="N1422" s="29" t="str">
        <f>IFERROR(__xludf.DUMMYFUNCTION("IF(ISBLANK(B1422),"""",IF(ISDATE(B1422),TEXT(B1422,""yyyy""),""""))"),"")</f>
        <v/>
      </c>
    </row>
    <row r="1423">
      <c r="B1423" s="87"/>
      <c r="C1423" s="85"/>
      <c r="D1423" s="76"/>
      <c r="H1423" s="88"/>
      <c r="J1423" s="53" t="str">
        <f>IFERROR(__xludf.DUMMYFUNCTION("IF(ISBLANK(B1423),"""",IF(ISDATE(B1423),""X"",""""))"),"")</f>
        <v/>
      </c>
      <c r="K1423" s="40" t="str">
        <f>IFERROR(__xludf.DUMMYFUNCTION("IF(ISBLANK(B1423),"""",IF(ISDATE(B1423),H1423,""""))"),"")</f>
        <v/>
      </c>
      <c r="L1423" s="40" t="str">
        <f>IFERROR(__xludf.DUMMYFUNCTION("IF(ISBLANK(B1423),"""",IF(ISDATE(B1423),TEXT(B1423,""M""),""""))"),"")</f>
        <v/>
      </c>
      <c r="M1423" s="29" t="str">
        <f>IFERROR(__xludf.DUMMYFUNCTION("IF(L1423="""","""",QUERY({'Dashboard-Dados'!$Y$2:$AA$13},""Select Col2 Where Col1=""&amp;L1423))"),"")</f>
        <v/>
      </c>
      <c r="N1423" s="29" t="str">
        <f>IFERROR(__xludf.DUMMYFUNCTION("IF(ISBLANK(B1423),"""",IF(ISDATE(B1423),TEXT(B1423,""yyyy""),""""))"),"")</f>
        <v/>
      </c>
    </row>
    <row r="1424">
      <c r="B1424" s="89"/>
      <c r="C1424" s="86"/>
      <c r="D1424" s="71"/>
      <c r="H1424" s="90"/>
      <c r="J1424" s="53" t="str">
        <f>IFERROR(__xludf.DUMMYFUNCTION("IF(ISBLANK(B1424),"""",IF(ISDATE(B1424),""X"",""""))"),"")</f>
        <v/>
      </c>
      <c r="K1424" s="40" t="str">
        <f>IFERROR(__xludf.DUMMYFUNCTION("IF(ISBLANK(B1424),"""",IF(ISDATE(B1424),H1424,""""))"),"")</f>
        <v/>
      </c>
      <c r="L1424" s="40" t="str">
        <f>IFERROR(__xludf.DUMMYFUNCTION("IF(ISBLANK(B1424),"""",IF(ISDATE(B1424),TEXT(B1424,""M""),""""))"),"")</f>
        <v/>
      </c>
      <c r="M1424" s="29" t="str">
        <f>IFERROR(__xludf.DUMMYFUNCTION("IF(L1424="""","""",QUERY({'Dashboard-Dados'!$Y$2:$AA$13},""Select Col2 Where Col1=""&amp;L1424))"),"")</f>
        <v/>
      </c>
      <c r="N1424" s="29" t="str">
        <f>IFERROR(__xludf.DUMMYFUNCTION("IF(ISBLANK(B1424),"""",IF(ISDATE(B1424),TEXT(B1424,""yyyy""),""""))"),"")</f>
        <v/>
      </c>
    </row>
    <row r="1425">
      <c r="B1425" s="87"/>
      <c r="C1425" s="85"/>
      <c r="D1425" s="76"/>
      <c r="H1425" s="88"/>
      <c r="J1425" s="53" t="str">
        <f>IFERROR(__xludf.DUMMYFUNCTION("IF(ISBLANK(B1425),"""",IF(ISDATE(B1425),""X"",""""))"),"")</f>
        <v/>
      </c>
      <c r="K1425" s="40" t="str">
        <f>IFERROR(__xludf.DUMMYFUNCTION("IF(ISBLANK(B1425),"""",IF(ISDATE(B1425),H1425,""""))"),"")</f>
        <v/>
      </c>
      <c r="L1425" s="40" t="str">
        <f>IFERROR(__xludf.DUMMYFUNCTION("IF(ISBLANK(B1425),"""",IF(ISDATE(B1425),TEXT(B1425,""M""),""""))"),"")</f>
        <v/>
      </c>
      <c r="M1425" s="29" t="str">
        <f>IFERROR(__xludf.DUMMYFUNCTION("IF(L1425="""","""",QUERY({'Dashboard-Dados'!$Y$2:$AA$13},""Select Col2 Where Col1=""&amp;L1425))"),"")</f>
        <v/>
      </c>
      <c r="N1425" s="29" t="str">
        <f>IFERROR(__xludf.DUMMYFUNCTION("IF(ISBLANK(B1425),"""",IF(ISDATE(B1425),TEXT(B1425,""yyyy""),""""))"),"")</f>
        <v/>
      </c>
    </row>
    <row r="1426">
      <c r="B1426" s="89"/>
      <c r="C1426" s="86"/>
      <c r="D1426" s="71"/>
      <c r="H1426" s="90"/>
      <c r="J1426" s="53" t="str">
        <f>IFERROR(__xludf.DUMMYFUNCTION("IF(ISBLANK(B1426),"""",IF(ISDATE(B1426),""X"",""""))"),"")</f>
        <v/>
      </c>
      <c r="K1426" s="40" t="str">
        <f>IFERROR(__xludf.DUMMYFUNCTION("IF(ISBLANK(B1426),"""",IF(ISDATE(B1426),H1426,""""))"),"")</f>
        <v/>
      </c>
      <c r="L1426" s="40" t="str">
        <f>IFERROR(__xludf.DUMMYFUNCTION("IF(ISBLANK(B1426),"""",IF(ISDATE(B1426),TEXT(B1426,""M""),""""))"),"")</f>
        <v/>
      </c>
      <c r="M1426" s="29" t="str">
        <f>IFERROR(__xludf.DUMMYFUNCTION("IF(L1426="""","""",QUERY({'Dashboard-Dados'!$Y$2:$AA$13},""Select Col2 Where Col1=""&amp;L1426))"),"")</f>
        <v/>
      </c>
      <c r="N1426" s="29" t="str">
        <f>IFERROR(__xludf.DUMMYFUNCTION("IF(ISBLANK(B1426),"""",IF(ISDATE(B1426),TEXT(B1426,""yyyy""),""""))"),"")</f>
        <v/>
      </c>
    </row>
    <row r="1427">
      <c r="B1427" s="87"/>
      <c r="C1427" s="85"/>
      <c r="D1427" s="76"/>
      <c r="H1427" s="88"/>
      <c r="J1427" s="53" t="str">
        <f>IFERROR(__xludf.DUMMYFUNCTION("IF(ISBLANK(B1427),"""",IF(ISDATE(B1427),""X"",""""))"),"")</f>
        <v/>
      </c>
      <c r="K1427" s="40" t="str">
        <f>IFERROR(__xludf.DUMMYFUNCTION("IF(ISBLANK(B1427),"""",IF(ISDATE(B1427),H1427,""""))"),"")</f>
        <v/>
      </c>
      <c r="L1427" s="40" t="str">
        <f>IFERROR(__xludf.DUMMYFUNCTION("IF(ISBLANK(B1427),"""",IF(ISDATE(B1427),TEXT(B1427,""M""),""""))"),"")</f>
        <v/>
      </c>
      <c r="M1427" s="29" t="str">
        <f>IFERROR(__xludf.DUMMYFUNCTION("IF(L1427="""","""",QUERY({'Dashboard-Dados'!$Y$2:$AA$13},""Select Col2 Where Col1=""&amp;L1427))"),"")</f>
        <v/>
      </c>
      <c r="N1427" s="29" t="str">
        <f>IFERROR(__xludf.DUMMYFUNCTION("IF(ISBLANK(B1427),"""",IF(ISDATE(B1427),TEXT(B1427,""yyyy""),""""))"),"")</f>
        <v/>
      </c>
    </row>
    <row r="1428">
      <c r="B1428" s="89"/>
      <c r="C1428" s="86"/>
      <c r="D1428" s="71"/>
      <c r="H1428" s="90"/>
      <c r="J1428" s="53" t="str">
        <f>IFERROR(__xludf.DUMMYFUNCTION("IF(ISBLANK(B1428),"""",IF(ISDATE(B1428),""X"",""""))"),"")</f>
        <v/>
      </c>
      <c r="K1428" s="40" t="str">
        <f>IFERROR(__xludf.DUMMYFUNCTION("IF(ISBLANK(B1428),"""",IF(ISDATE(B1428),H1428,""""))"),"")</f>
        <v/>
      </c>
      <c r="L1428" s="40" t="str">
        <f>IFERROR(__xludf.DUMMYFUNCTION("IF(ISBLANK(B1428),"""",IF(ISDATE(B1428),TEXT(B1428,""M""),""""))"),"")</f>
        <v/>
      </c>
      <c r="M1428" s="29" t="str">
        <f>IFERROR(__xludf.DUMMYFUNCTION("IF(L1428="""","""",QUERY({'Dashboard-Dados'!$Y$2:$AA$13},""Select Col2 Where Col1=""&amp;L1428))"),"")</f>
        <v/>
      </c>
      <c r="N1428" s="29" t="str">
        <f>IFERROR(__xludf.DUMMYFUNCTION("IF(ISBLANK(B1428),"""",IF(ISDATE(B1428),TEXT(B1428,""yyyy""),""""))"),"")</f>
        <v/>
      </c>
    </row>
    <row r="1429">
      <c r="B1429" s="87"/>
      <c r="C1429" s="85"/>
      <c r="D1429" s="76"/>
      <c r="H1429" s="88"/>
      <c r="J1429" s="53" t="str">
        <f>IFERROR(__xludf.DUMMYFUNCTION("IF(ISBLANK(B1429),"""",IF(ISDATE(B1429),""X"",""""))"),"")</f>
        <v/>
      </c>
      <c r="K1429" s="40" t="str">
        <f>IFERROR(__xludf.DUMMYFUNCTION("IF(ISBLANK(B1429),"""",IF(ISDATE(B1429),H1429,""""))"),"")</f>
        <v/>
      </c>
      <c r="L1429" s="40" t="str">
        <f>IFERROR(__xludf.DUMMYFUNCTION("IF(ISBLANK(B1429),"""",IF(ISDATE(B1429),TEXT(B1429,""M""),""""))"),"")</f>
        <v/>
      </c>
      <c r="M1429" s="29" t="str">
        <f>IFERROR(__xludf.DUMMYFUNCTION("IF(L1429="""","""",QUERY({'Dashboard-Dados'!$Y$2:$AA$13},""Select Col2 Where Col1=""&amp;L1429))"),"")</f>
        <v/>
      </c>
      <c r="N1429" s="29" t="str">
        <f>IFERROR(__xludf.DUMMYFUNCTION("IF(ISBLANK(B1429),"""",IF(ISDATE(B1429),TEXT(B1429,""yyyy""),""""))"),"")</f>
        <v/>
      </c>
    </row>
    <row r="1430">
      <c r="B1430" s="89"/>
      <c r="C1430" s="86"/>
      <c r="D1430" s="71"/>
      <c r="H1430" s="90"/>
      <c r="J1430" s="53" t="str">
        <f>IFERROR(__xludf.DUMMYFUNCTION("IF(ISBLANK(B1430),"""",IF(ISDATE(B1430),""X"",""""))"),"")</f>
        <v/>
      </c>
      <c r="K1430" s="40" t="str">
        <f>IFERROR(__xludf.DUMMYFUNCTION("IF(ISBLANK(B1430),"""",IF(ISDATE(B1430),H1430,""""))"),"")</f>
        <v/>
      </c>
      <c r="L1430" s="40" t="str">
        <f>IFERROR(__xludf.DUMMYFUNCTION("IF(ISBLANK(B1430),"""",IF(ISDATE(B1430),TEXT(B1430,""M""),""""))"),"")</f>
        <v/>
      </c>
      <c r="M1430" s="29" t="str">
        <f>IFERROR(__xludf.DUMMYFUNCTION("IF(L1430="""","""",QUERY({'Dashboard-Dados'!$Y$2:$AA$13},""Select Col2 Where Col1=""&amp;L1430))"),"")</f>
        <v/>
      </c>
      <c r="N1430" s="29" t="str">
        <f>IFERROR(__xludf.DUMMYFUNCTION("IF(ISBLANK(B1430),"""",IF(ISDATE(B1430),TEXT(B1430,""yyyy""),""""))"),"")</f>
        <v/>
      </c>
    </row>
    <row r="1431">
      <c r="B1431" s="87"/>
      <c r="C1431" s="85"/>
      <c r="D1431" s="76"/>
      <c r="H1431" s="88"/>
      <c r="J1431" s="53" t="str">
        <f>IFERROR(__xludf.DUMMYFUNCTION("IF(ISBLANK(B1431),"""",IF(ISDATE(B1431),""X"",""""))"),"")</f>
        <v/>
      </c>
      <c r="K1431" s="40" t="str">
        <f>IFERROR(__xludf.DUMMYFUNCTION("IF(ISBLANK(B1431),"""",IF(ISDATE(B1431),H1431,""""))"),"")</f>
        <v/>
      </c>
      <c r="L1431" s="40" t="str">
        <f>IFERROR(__xludf.DUMMYFUNCTION("IF(ISBLANK(B1431),"""",IF(ISDATE(B1431),TEXT(B1431,""M""),""""))"),"")</f>
        <v/>
      </c>
      <c r="M1431" s="29" t="str">
        <f>IFERROR(__xludf.DUMMYFUNCTION("IF(L1431="""","""",QUERY({'Dashboard-Dados'!$Y$2:$AA$13},""Select Col2 Where Col1=""&amp;L1431))"),"")</f>
        <v/>
      </c>
      <c r="N1431" s="29" t="str">
        <f>IFERROR(__xludf.DUMMYFUNCTION("IF(ISBLANK(B1431),"""",IF(ISDATE(B1431),TEXT(B1431,""yyyy""),""""))"),"")</f>
        <v/>
      </c>
    </row>
    <row r="1432">
      <c r="B1432" s="89"/>
      <c r="C1432" s="86"/>
      <c r="D1432" s="71"/>
      <c r="H1432" s="90"/>
      <c r="J1432" s="53" t="str">
        <f>IFERROR(__xludf.DUMMYFUNCTION("IF(ISBLANK(B1432),"""",IF(ISDATE(B1432),""X"",""""))"),"")</f>
        <v/>
      </c>
      <c r="K1432" s="40" t="str">
        <f>IFERROR(__xludf.DUMMYFUNCTION("IF(ISBLANK(B1432),"""",IF(ISDATE(B1432),H1432,""""))"),"")</f>
        <v/>
      </c>
      <c r="L1432" s="40" t="str">
        <f>IFERROR(__xludf.DUMMYFUNCTION("IF(ISBLANK(B1432),"""",IF(ISDATE(B1432),TEXT(B1432,""M""),""""))"),"")</f>
        <v/>
      </c>
      <c r="M1432" s="29" t="str">
        <f>IFERROR(__xludf.DUMMYFUNCTION("IF(L1432="""","""",QUERY({'Dashboard-Dados'!$Y$2:$AA$13},""Select Col2 Where Col1=""&amp;L1432))"),"")</f>
        <v/>
      </c>
      <c r="N1432" s="29" t="str">
        <f>IFERROR(__xludf.DUMMYFUNCTION("IF(ISBLANK(B1432),"""",IF(ISDATE(B1432),TEXT(B1432,""yyyy""),""""))"),"")</f>
        <v/>
      </c>
    </row>
    <row r="1433">
      <c r="B1433" s="87"/>
      <c r="C1433" s="85"/>
      <c r="D1433" s="76"/>
      <c r="H1433" s="88"/>
      <c r="J1433" s="53" t="str">
        <f>IFERROR(__xludf.DUMMYFUNCTION("IF(ISBLANK(B1433),"""",IF(ISDATE(B1433),""X"",""""))"),"")</f>
        <v/>
      </c>
      <c r="K1433" s="40" t="str">
        <f>IFERROR(__xludf.DUMMYFUNCTION("IF(ISBLANK(B1433),"""",IF(ISDATE(B1433),H1433,""""))"),"")</f>
        <v/>
      </c>
      <c r="L1433" s="40" t="str">
        <f>IFERROR(__xludf.DUMMYFUNCTION("IF(ISBLANK(B1433),"""",IF(ISDATE(B1433),TEXT(B1433,""M""),""""))"),"")</f>
        <v/>
      </c>
      <c r="M1433" s="29" t="str">
        <f>IFERROR(__xludf.DUMMYFUNCTION("IF(L1433="""","""",QUERY({'Dashboard-Dados'!$Y$2:$AA$13},""Select Col2 Where Col1=""&amp;L1433))"),"")</f>
        <v/>
      </c>
      <c r="N1433" s="29" t="str">
        <f>IFERROR(__xludf.DUMMYFUNCTION("IF(ISBLANK(B1433),"""",IF(ISDATE(B1433),TEXT(B1433,""yyyy""),""""))"),"")</f>
        <v/>
      </c>
    </row>
    <row r="1434">
      <c r="B1434" s="89"/>
      <c r="C1434" s="86"/>
      <c r="D1434" s="71"/>
      <c r="H1434" s="90"/>
      <c r="J1434" s="53" t="str">
        <f>IFERROR(__xludf.DUMMYFUNCTION("IF(ISBLANK(B1434),"""",IF(ISDATE(B1434),""X"",""""))"),"")</f>
        <v/>
      </c>
      <c r="K1434" s="40" t="str">
        <f>IFERROR(__xludf.DUMMYFUNCTION("IF(ISBLANK(B1434),"""",IF(ISDATE(B1434),H1434,""""))"),"")</f>
        <v/>
      </c>
      <c r="L1434" s="40" t="str">
        <f>IFERROR(__xludf.DUMMYFUNCTION("IF(ISBLANK(B1434),"""",IF(ISDATE(B1434),TEXT(B1434,""M""),""""))"),"")</f>
        <v/>
      </c>
      <c r="M1434" s="29" t="str">
        <f>IFERROR(__xludf.DUMMYFUNCTION("IF(L1434="""","""",QUERY({'Dashboard-Dados'!$Y$2:$AA$13},""Select Col2 Where Col1=""&amp;L1434))"),"")</f>
        <v/>
      </c>
      <c r="N1434" s="29" t="str">
        <f>IFERROR(__xludf.DUMMYFUNCTION("IF(ISBLANK(B1434),"""",IF(ISDATE(B1434),TEXT(B1434,""yyyy""),""""))"),"")</f>
        <v/>
      </c>
    </row>
    <row r="1435">
      <c r="B1435" s="87"/>
      <c r="C1435" s="85"/>
      <c r="D1435" s="76"/>
      <c r="H1435" s="88"/>
      <c r="J1435" s="53" t="str">
        <f>IFERROR(__xludf.DUMMYFUNCTION("IF(ISBLANK(B1435),"""",IF(ISDATE(B1435),""X"",""""))"),"")</f>
        <v/>
      </c>
      <c r="K1435" s="40" t="str">
        <f>IFERROR(__xludf.DUMMYFUNCTION("IF(ISBLANK(B1435),"""",IF(ISDATE(B1435),H1435,""""))"),"")</f>
        <v/>
      </c>
      <c r="L1435" s="40" t="str">
        <f>IFERROR(__xludf.DUMMYFUNCTION("IF(ISBLANK(B1435),"""",IF(ISDATE(B1435),TEXT(B1435,""M""),""""))"),"")</f>
        <v/>
      </c>
      <c r="M1435" s="29" t="str">
        <f>IFERROR(__xludf.DUMMYFUNCTION("IF(L1435="""","""",QUERY({'Dashboard-Dados'!$Y$2:$AA$13},""Select Col2 Where Col1=""&amp;L1435))"),"")</f>
        <v/>
      </c>
      <c r="N1435" s="29" t="str">
        <f>IFERROR(__xludf.DUMMYFUNCTION("IF(ISBLANK(B1435),"""",IF(ISDATE(B1435),TEXT(B1435,""yyyy""),""""))"),"")</f>
        <v/>
      </c>
    </row>
    <row r="1436">
      <c r="B1436" s="89"/>
      <c r="C1436" s="86"/>
      <c r="D1436" s="71"/>
      <c r="H1436" s="90"/>
      <c r="J1436" s="53" t="str">
        <f>IFERROR(__xludf.DUMMYFUNCTION("IF(ISBLANK(B1436),"""",IF(ISDATE(B1436),""X"",""""))"),"")</f>
        <v/>
      </c>
      <c r="K1436" s="40" t="str">
        <f>IFERROR(__xludf.DUMMYFUNCTION("IF(ISBLANK(B1436),"""",IF(ISDATE(B1436),H1436,""""))"),"")</f>
        <v/>
      </c>
      <c r="L1436" s="40" t="str">
        <f>IFERROR(__xludf.DUMMYFUNCTION("IF(ISBLANK(B1436),"""",IF(ISDATE(B1436),TEXT(B1436,""M""),""""))"),"")</f>
        <v/>
      </c>
      <c r="M1436" s="29" t="str">
        <f>IFERROR(__xludf.DUMMYFUNCTION("IF(L1436="""","""",QUERY({'Dashboard-Dados'!$Y$2:$AA$13},""Select Col2 Where Col1=""&amp;L1436))"),"")</f>
        <v/>
      </c>
      <c r="N1436" s="29" t="str">
        <f>IFERROR(__xludf.DUMMYFUNCTION("IF(ISBLANK(B1436),"""",IF(ISDATE(B1436),TEXT(B1436,""yyyy""),""""))"),"")</f>
        <v/>
      </c>
    </row>
    <row r="1437">
      <c r="B1437" s="87"/>
      <c r="C1437" s="85"/>
      <c r="D1437" s="76"/>
      <c r="H1437" s="88"/>
      <c r="J1437" s="53" t="str">
        <f>IFERROR(__xludf.DUMMYFUNCTION("IF(ISBLANK(B1437),"""",IF(ISDATE(B1437),""X"",""""))"),"")</f>
        <v/>
      </c>
      <c r="K1437" s="40" t="str">
        <f>IFERROR(__xludf.DUMMYFUNCTION("IF(ISBLANK(B1437),"""",IF(ISDATE(B1437),H1437,""""))"),"")</f>
        <v/>
      </c>
      <c r="L1437" s="40" t="str">
        <f>IFERROR(__xludf.DUMMYFUNCTION("IF(ISBLANK(B1437),"""",IF(ISDATE(B1437),TEXT(B1437,""M""),""""))"),"")</f>
        <v/>
      </c>
      <c r="M1437" s="29" t="str">
        <f>IFERROR(__xludf.DUMMYFUNCTION("IF(L1437="""","""",QUERY({'Dashboard-Dados'!$Y$2:$AA$13},""Select Col2 Where Col1=""&amp;L1437))"),"")</f>
        <v/>
      </c>
      <c r="N1437" s="29" t="str">
        <f>IFERROR(__xludf.DUMMYFUNCTION("IF(ISBLANK(B1437),"""",IF(ISDATE(B1437),TEXT(B1437,""yyyy""),""""))"),"")</f>
        <v/>
      </c>
    </row>
    <row r="1438">
      <c r="B1438" s="89"/>
      <c r="C1438" s="86"/>
      <c r="D1438" s="71"/>
      <c r="H1438" s="90"/>
      <c r="J1438" s="53" t="str">
        <f>IFERROR(__xludf.DUMMYFUNCTION("IF(ISBLANK(B1438),"""",IF(ISDATE(B1438),""X"",""""))"),"")</f>
        <v/>
      </c>
      <c r="K1438" s="40" t="str">
        <f>IFERROR(__xludf.DUMMYFUNCTION("IF(ISBLANK(B1438),"""",IF(ISDATE(B1438),H1438,""""))"),"")</f>
        <v/>
      </c>
      <c r="L1438" s="40" t="str">
        <f>IFERROR(__xludf.DUMMYFUNCTION("IF(ISBLANK(B1438),"""",IF(ISDATE(B1438),TEXT(B1438,""M""),""""))"),"")</f>
        <v/>
      </c>
      <c r="M1438" s="29" t="str">
        <f>IFERROR(__xludf.DUMMYFUNCTION("IF(L1438="""","""",QUERY({'Dashboard-Dados'!$Y$2:$AA$13},""Select Col2 Where Col1=""&amp;L1438))"),"")</f>
        <v/>
      </c>
      <c r="N1438" s="29" t="str">
        <f>IFERROR(__xludf.DUMMYFUNCTION("IF(ISBLANK(B1438),"""",IF(ISDATE(B1438),TEXT(B1438,""yyyy""),""""))"),"")</f>
        <v/>
      </c>
    </row>
    <row r="1439">
      <c r="B1439" s="87"/>
      <c r="C1439" s="85"/>
      <c r="D1439" s="76"/>
      <c r="H1439" s="88"/>
      <c r="J1439" s="53" t="str">
        <f>IFERROR(__xludf.DUMMYFUNCTION("IF(ISBLANK(B1439),"""",IF(ISDATE(B1439),""X"",""""))"),"")</f>
        <v/>
      </c>
      <c r="K1439" s="40" t="str">
        <f>IFERROR(__xludf.DUMMYFUNCTION("IF(ISBLANK(B1439),"""",IF(ISDATE(B1439),H1439,""""))"),"")</f>
        <v/>
      </c>
      <c r="L1439" s="40" t="str">
        <f>IFERROR(__xludf.DUMMYFUNCTION("IF(ISBLANK(B1439),"""",IF(ISDATE(B1439),TEXT(B1439,""M""),""""))"),"")</f>
        <v/>
      </c>
      <c r="M1439" s="29" t="str">
        <f>IFERROR(__xludf.DUMMYFUNCTION("IF(L1439="""","""",QUERY({'Dashboard-Dados'!$Y$2:$AA$13},""Select Col2 Where Col1=""&amp;L1439))"),"")</f>
        <v/>
      </c>
      <c r="N1439" s="29" t="str">
        <f>IFERROR(__xludf.DUMMYFUNCTION("IF(ISBLANK(B1439),"""",IF(ISDATE(B1439),TEXT(B1439,""yyyy""),""""))"),"")</f>
        <v/>
      </c>
    </row>
    <row r="1440">
      <c r="B1440" s="89"/>
      <c r="C1440" s="86"/>
      <c r="D1440" s="71"/>
      <c r="H1440" s="90"/>
      <c r="J1440" s="53" t="str">
        <f>IFERROR(__xludf.DUMMYFUNCTION("IF(ISBLANK(B1440),"""",IF(ISDATE(B1440),""X"",""""))"),"")</f>
        <v/>
      </c>
      <c r="K1440" s="40" t="str">
        <f>IFERROR(__xludf.DUMMYFUNCTION("IF(ISBLANK(B1440),"""",IF(ISDATE(B1440),H1440,""""))"),"")</f>
        <v/>
      </c>
      <c r="L1440" s="40" t="str">
        <f>IFERROR(__xludf.DUMMYFUNCTION("IF(ISBLANK(B1440),"""",IF(ISDATE(B1440),TEXT(B1440,""M""),""""))"),"")</f>
        <v/>
      </c>
      <c r="M1440" s="29" t="str">
        <f>IFERROR(__xludf.DUMMYFUNCTION("IF(L1440="""","""",QUERY({'Dashboard-Dados'!$Y$2:$AA$13},""Select Col2 Where Col1=""&amp;L1440))"),"")</f>
        <v/>
      </c>
      <c r="N1440" s="29" t="str">
        <f>IFERROR(__xludf.DUMMYFUNCTION("IF(ISBLANK(B1440),"""",IF(ISDATE(B1440),TEXT(B1440,""yyyy""),""""))"),"")</f>
        <v/>
      </c>
    </row>
    <row r="1441">
      <c r="B1441" s="87"/>
      <c r="C1441" s="85"/>
      <c r="D1441" s="76"/>
      <c r="H1441" s="88"/>
      <c r="J1441" s="53" t="str">
        <f>IFERROR(__xludf.DUMMYFUNCTION("IF(ISBLANK(B1441),"""",IF(ISDATE(B1441),""X"",""""))"),"")</f>
        <v/>
      </c>
      <c r="K1441" s="40" t="str">
        <f>IFERROR(__xludf.DUMMYFUNCTION("IF(ISBLANK(B1441),"""",IF(ISDATE(B1441),H1441,""""))"),"")</f>
        <v/>
      </c>
      <c r="L1441" s="40" t="str">
        <f>IFERROR(__xludf.DUMMYFUNCTION("IF(ISBLANK(B1441),"""",IF(ISDATE(B1441),TEXT(B1441,""M""),""""))"),"")</f>
        <v/>
      </c>
      <c r="M1441" s="29" t="str">
        <f>IFERROR(__xludf.DUMMYFUNCTION("IF(L1441="""","""",QUERY({'Dashboard-Dados'!$Y$2:$AA$13},""Select Col2 Where Col1=""&amp;L1441))"),"")</f>
        <v/>
      </c>
      <c r="N1441" s="29" t="str">
        <f>IFERROR(__xludf.DUMMYFUNCTION("IF(ISBLANK(B1441),"""",IF(ISDATE(B1441),TEXT(B1441,""yyyy""),""""))"),"")</f>
        <v/>
      </c>
    </row>
    <row r="1442">
      <c r="B1442" s="89"/>
      <c r="C1442" s="86"/>
      <c r="D1442" s="71"/>
      <c r="H1442" s="90"/>
      <c r="J1442" s="53" t="str">
        <f>IFERROR(__xludf.DUMMYFUNCTION("IF(ISBLANK(B1442),"""",IF(ISDATE(B1442),""X"",""""))"),"")</f>
        <v/>
      </c>
      <c r="K1442" s="40" t="str">
        <f>IFERROR(__xludf.DUMMYFUNCTION("IF(ISBLANK(B1442),"""",IF(ISDATE(B1442),H1442,""""))"),"")</f>
        <v/>
      </c>
      <c r="L1442" s="40" t="str">
        <f>IFERROR(__xludf.DUMMYFUNCTION("IF(ISBLANK(B1442),"""",IF(ISDATE(B1442),TEXT(B1442,""M""),""""))"),"")</f>
        <v/>
      </c>
      <c r="M1442" s="29" t="str">
        <f>IFERROR(__xludf.DUMMYFUNCTION("IF(L1442="""","""",QUERY({'Dashboard-Dados'!$Y$2:$AA$13},""Select Col2 Where Col1=""&amp;L1442))"),"")</f>
        <v/>
      </c>
      <c r="N1442" s="29" t="str">
        <f>IFERROR(__xludf.DUMMYFUNCTION("IF(ISBLANK(B1442),"""",IF(ISDATE(B1442),TEXT(B1442,""yyyy""),""""))"),"")</f>
        <v/>
      </c>
    </row>
    <row r="1443">
      <c r="B1443" s="87"/>
      <c r="C1443" s="85"/>
      <c r="D1443" s="76"/>
      <c r="H1443" s="88"/>
      <c r="J1443" s="53" t="str">
        <f>IFERROR(__xludf.DUMMYFUNCTION("IF(ISBLANK(B1443),"""",IF(ISDATE(B1443),""X"",""""))"),"")</f>
        <v/>
      </c>
      <c r="K1443" s="40" t="str">
        <f>IFERROR(__xludf.DUMMYFUNCTION("IF(ISBLANK(B1443),"""",IF(ISDATE(B1443),H1443,""""))"),"")</f>
        <v/>
      </c>
      <c r="L1443" s="40" t="str">
        <f>IFERROR(__xludf.DUMMYFUNCTION("IF(ISBLANK(B1443),"""",IF(ISDATE(B1443),TEXT(B1443,""M""),""""))"),"")</f>
        <v/>
      </c>
      <c r="M1443" s="29" t="str">
        <f>IFERROR(__xludf.DUMMYFUNCTION("IF(L1443="""","""",QUERY({'Dashboard-Dados'!$Y$2:$AA$13},""Select Col2 Where Col1=""&amp;L1443))"),"")</f>
        <v/>
      </c>
      <c r="N1443" s="29" t="str">
        <f>IFERROR(__xludf.DUMMYFUNCTION("IF(ISBLANK(B1443),"""",IF(ISDATE(B1443),TEXT(B1443,""yyyy""),""""))"),"")</f>
        <v/>
      </c>
    </row>
    <row r="1444">
      <c r="B1444" s="89"/>
      <c r="C1444" s="86"/>
      <c r="D1444" s="71"/>
      <c r="H1444" s="90"/>
      <c r="J1444" s="53" t="str">
        <f>IFERROR(__xludf.DUMMYFUNCTION("IF(ISBLANK(B1444),"""",IF(ISDATE(B1444),""X"",""""))"),"")</f>
        <v/>
      </c>
      <c r="K1444" s="40" t="str">
        <f>IFERROR(__xludf.DUMMYFUNCTION("IF(ISBLANK(B1444),"""",IF(ISDATE(B1444),H1444,""""))"),"")</f>
        <v/>
      </c>
      <c r="L1444" s="40" t="str">
        <f>IFERROR(__xludf.DUMMYFUNCTION("IF(ISBLANK(B1444),"""",IF(ISDATE(B1444),TEXT(B1444,""M""),""""))"),"")</f>
        <v/>
      </c>
      <c r="M1444" s="29" t="str">
        <f>IFERROR(__xludf.DUMMYFUNCTION("IF(L1444="""","""",QUERY({'Dashboard-Dados'!$Y$2:$AA$13},""Select Col2 Where Col1=""&amp;L1444))"),"")</f>
        <v/>
      </c>
      <c r="N1444" s="29" t="str">
        <f>IFERROR(__xludf.DUMMYFUNCTION("IF(ISBLANK(B1444),"""",IF(ISDATE(B1444),TEXT(B1444,""yyyy""),""""))"),"")</f>
        <v/>
      </c>
    </row>
    <row r="1445">
      <c r="B1445" s="87"/>
      <c r="C1445" s="85"/>
      <c r="D1445" s="76"/>
      <c r="H1445" s="88"/>
      <c r="J1445" s="53" t="str">
        <f>IFERROR(__xludf.DUMMYFUNCTION("IF(ISBLANK(B1445),"""",IF(ISDATE(B1445),""X"",""""))"),"")</f>
        <v/>
      </c>
      <c r="K1445" s="40" t="str">
        <f>IFERROR(__xludf.DUMMYFUNCTION("IF(ISBLANK(B1445),"""",IF(ISDATE(B1445),H1445,""""))"),"")</f>
        <v/>
      </c>
      <c r="L1445" s="40" t="str">
        <f>IFERROR(__xludf.DUMMYFUNCTION("IF(ISBLANK(B1445),"""",IF(ISDATE(B1445),TEXT(B1445,""M""),""""))"),"")</f>
        <v/>
      </c>
      <c r="M1445" s="29" t="str">
        <f>IFERROR(__xludf.DUMMYFUNCTION("IF(L1445="""","""",QUERY({'Dashboard-Dados'!$Y$2:$AA$13},""Select Col2 Where Col1=""&amp;L1445))"),"")</f>
        <v/>
      </c>
      <c r="N1445" s="29" t="str">
        <f>IFERROR(__xludf.DUMMYFUNCTION("IF(ISBLANK(B1445),"""",IF(ISDATE(B1445),TEXT(B1445,""yyyy""),""""))"),"")</f>
        <v/>
      </c>
    </row>
    <row r="1446">
      <c r="B1446" s="89"/>
      <c r="C1446" s="86"/>
      <c r="D1446" s="71"/>
      <c r="H1446" s="90"/>
      <c r="J1446" s="53" t="str">
        <f>IFERROR(__xludf.DUMMYFUNCTION("IF(ISBLANK(B1446),"""",IF(ISDATE(B1446),""X"",""""))"),"")</f>
        <v/>
      </c>
      <c r="K1446" s="40" t="str">
        <f>IFERROR(__xludf.DUMMYFUNCTION("IF(ISBLANK(B1446),"""",IF(ISDATE(B1446),H1446,""""))"),"")</f>
        <v/>
      </c>
      <c r="L1446" s="40" t="str">
        <f>IFERROR(__xludf.DUMMYFUNCTION("IF(ISBLANK(B1446),"""",IF(ISDATE(B1446),TEXT(B1446,""M""),""""))"),"")</f>
        <v/>
      </c>
      <c r="M1446" s="29" t="str">
        <f>IFERROR(__xludf.DUMMYFUNCTION("IF(L1446="""","""",QUERY({'Dashboard-Dados'!$Y$2:$AA$13},""Select Col2 Where Col1=""&amp;L1446))"),"")</f>
        <v/>
      </c>
      <c r="N1446" s="29" t="str">
        <f>IFERROR(__xludf.DUMMYFUNCTION("IF(ISBLANK(B1446),"""",IF(ISDATE(B1446),TEXT(B1446,""yyyy""),""""))"),"")</f>
        <v/>
      </c>
    </row>
    <row r="1447">
      <c r="B1447" s="87"/>
      <c r="C1447" s="85"/>
      <c r="D1447" s="76"/>
      <c r="H1447" s="88"/>
      <c r="J1447" s="53" t="str">
        <f>IFERROR(__xludf.DUMMYFUNCTION("IF(ISBLANK(B1447),"""",IF(ISDATE(B1447),""X"",""""))"),"")</f>
        <v/>
      </c>
      <c r="K1447" s="40" t="str">
        <f>IFERROR(__xludf.DUMMYFUNCTION("IF(ISBLANK(B1447),"""",IF(ISDATE(B1447),H1447,""""))"),"")</f>
        <v/>
      </c>
      <c r="L1447" s="40" t="str">
        <f>IFERROR(__xludf.DUMMYFUNCTION("IF(ISBLANK(B1447),"""",IF(ISDATE(B1447),TEXT(B1447,""M""),""""))"),"")</f>
        <v/>
      </c>
      <c r="M1447" s="29" t="str">
        <f>IFERROR(__xludf.DUMMYFUNCTION("IF(L1447="""","""",QUERY({'Dashboard-Dados'!$Y$2:$AA$13},""Select Col2 Where Col1=""&amp;L1447))"),"")</f>
        <v/>
      </c>
      <c r="N1447" s="29" t="str">
        <f>IFERROR(__xludf.DUMMYFUNCTION("IF(ISBLANK(B1447),"""",IF(ISDATE(B1447),TEXT(B1447,""yyyy""),""""))"),"")</f>
        <v/>
      </c>
    </row>
    <row r="1448">
      <c r="B1448" s="89"/>
      <c r="C1448" s="86"/>
      <c r="D1448" s="71"/>
      <c r="H1448" s="90"/>
      <c r="J1448" s="53" t="str">
        <f>IFERROR(__xludf.DUMMYFUNCTION("IF(ISBLANK(B1448),"""",IF(ISDATE(B1448),""X"",""""))"),"")</f>
        <v/>
      </c>
      <c r="K1448" s="40" t="str">
        <f>IFERROR(__xludf.DUMMYFUNCTION("IF(ISBLANK(B1448),"""",IF(ISDATE(B1448),H1448,""""))"),"")</f>
        <v/>
      </c>
      <c r="L1448" s="40" t="str">
        <f>IFERROR(__xludf.DUMMYFUNCTION("IF(ISBLANK(B1448),"""",IF(ISDATE(B1448),TEXT(B1448,""M""),""""))"),"")</f>
        <v/>
      </c>
      <c r="M1448" s="29" t="str">
        <f>IFERROR(__xludf.DUMMYFUNCTION("IF(L1448="""","""",QUERY({'Dashboard-Dados'!$Y$2:$AA$13},""Select Col2 Where Col1=""&amp;L1448))"),"")</f>
        <v/>
      </c>
      <c r="N1448" s="29" t="str">
        <f>IFERROR(__xludf.DUMMYFUNCTION("IF(ISBLANK(B1448),"""",IF(ISDATE(B1448),TEXT(B1448,""yyyy""),""""))"),"")</f>
        <v/>
      </c>
    </row>
    <row r="1449">
      <c r="B1449" s="87"/>
      <c r="C1449" s="85"/>
      <c r="D1449" s="76"/>
      <c r="H1449" s="88"/>
      <c r="J1449" s="53" t="str">
        <f>IFERROR(__xludf.DUMMYFUNCTION("IF(ISBLANK(B1449),"""",IF(ISDATE(B1449),""X"",""""))"),"")</f>
        <v/>
      </c>
      <c r="K1449" s="40" t="str">
        <f>IFERROR(__xludf.DUMMYFUNCTION("IF(ISBLANK(B1449),"""",IF(ISDATE(B1449),H1449,""""))"),"")</f>
        <v/>
      </c>
      <c r="L1449" s="40" t="str">
        <f>IFERROR(__xludf.DUMMYFUNCTION("IF(ISBLANK(B1449),"""",IF(ISDATE(B1449),TEXT(B1449,""M""),""""))"),"")</f>
        <v/>
      </c>
      <c r="M1449" s="29" t="str">
        <f>IFERROR(__xludf.DUMMYFUNCTION("IF(L1449="""","""",QUERY({'Dashboard-Dados'!$Y$2:$AA$13},""Select Col2 Where Col1=""&amp;L1449))"),"")</f>
        <v/>
      </c>
      <c r="N1449" s="29" t="str">
        <f>IFERROR(__xludf.DUMMYFUNCTION("IF(ISBLANK(B1449),"""",IF(ISDATE(B1449),TEXT(B1449,""yyyy""),""""))"),"")</f>
        <v/>
      </c>
    </row>
    <row r="1450">
      <c r="B1450" s="89"/>
      <c r="C1450" s="86"/>
      <c r="D1450" s="71"/>
      <c r="H1450" s="90"/>
      <c r="J1450" s="53" t="str">
        <f>IFERROR(__xludf.DUMMYFUNCTION("IF(ISBLANK(B1450),"""",IF(ISDATE(B1450),""X"",""""))"),"")</f>
        <v/>
      </c>
      <c r="K1450" s="40" t="str">
        <f>IFERROR(__xludf.DUMMYFUNCTION("IF(ISBLANK(B1450),"""",IF(ISDATE(B1450),H1450,""""))"),"")</f>
        <v/>
      </c>
      <c r="L1450" s="40" t="str">
        <f>IFERROR(__xludf.DUMMYFUNCTION("IF(ISBLANK(B1450),"""",IF(ISDATE(B1450),TEXT(B1450,""M""),""""))"),"")</f>
        <v/>
      </c>
      <c r="M1450" s="29" t="str">
        <f>IFERROR(__xludf.DUMMYFUNCTION("IF(L1450="""","""",QUERY({'Dashboard-Dados'!$Y$2:$AA$13},""Select Col2 Where Col1=""&amp;L1450))"),"")</f>
        <v/>
      </c>
      <c r="N1450" s="29" t="str">
        <f>IFERROR(__xludf.DUMMYFUNCTION("IF(ISBLANK(B1450),"""",IF(ISDATE(B1450),TEXT(B1450,""yyyy""),""""))"),"")</f>
        <v/>
      </c>
    </row>
    <row r="1451">
      <c r="B1451" s="87"/>
      <c r="C1451" s="85"/>
      <c r="D1451" s="76"/>
      <c r="H1451" s="88"/>
      <c r="J1451" s="53" t="str">
        <f>IFERROR(__xludf.DUMMYFUNCTION("IF(ISBLANK(B1451),"""",IF(ISDATE(B1451),""X"",""""))"),"")</f>
        <v/>
      </c>
      <c r="K1451" s="40" t="str">
        <f>IFERROR(__xludf.DUMMYFUNCTION("IF(ISBLANK(B1451),"""",IF(ISDATE(B1451),H1451,""""))"),"")</f>
        <v/>
      </c>
      <c r="L1451" s="40" t="str">
        <f>IFERROR(__xludf.DUMMYFUNCTION("IF(ISBLANK(B1451),"""",IF(ISDATE(B1451),TEXT(B1451,""M""),""""))"),"")</f>
        <v/>
      </c>
      <c r="M1451" s="29" t="str">
        <f>IFERROR(__xludf.DUMMYFUNCTION("IF(L1451="""","""",QUERY({'Dashboard-Dados'!$Y$2:$AA$13},""Select Col2 Where Col1=""&amp;L1451))"),"")</f>
        <v/>
      </c>
      <c r="N1451" s="29" t="str">
        <f>IFERROR(__xludf.DUMMYFUNCTION("IF(ISBLANK(B1451),"""",IF(ISDATE(B1451),TEXT(B1451,""yyyy""),""""))"),"")</f>
        <v/>
      </c>
    </row>
    <row r="1452">
      <c r="B1452" s="89"/>
      <c r="C1452" s="86"/>
      <c r="D1452" s="71"/>
      <c r="H1452" s="90"/>
      <c r="J1452" s="53" t="str">
        <f>IFERROR(__xludf.DUMMYFUNCTION("IF(ISBLANK(B1452),"""",IF(ISDATE(B1452),""X"",""""))"),"")</f>
        <v/>
      </c>
      <c r="K1452" s="40" t="str">
        <f>IFERROR(__xludf.DUMMYFUNCTION("IF(ISBLANK(B1452),"""",IF(ISDATE(B1452),H1452,""""))"),"")</f>
        <v/>
      </c>
      <c r="L1452" s="40" t="str">
        <f>IFERROR(__xludf.DUMMYFUNCTION("IF(ISBLANK(B1452),"""",IF(ISDATE(B1452),TEXT(B1452,""M""),""""))"),"")</f>
        <v/>
      </c>
      <c r="M1452" s="29" t="str">
        <f>IFERROR(__xludf.DUMMYFUNCTION("IF(L1452="""","""",QUERY({'Dashboard-Dados'!$Y$2:$AA$13},""Select Col2 Where Col1=""&amp;L1452))"),"")</f>
        <v/>
      </c>
      <c r="N1452" s="29" t="str">
        <f>IFERROR(__xludf.DUMMYFUNCTION("IF(ISBLANK(B1452),"""",IF(ISDATE(B1452),TEXT(B1452,""yyyy""),""""))"),"")</f>
        <v/>
      </c>
    </row>
    <row r="1453">
      <c r="B1453" s="87"/>
      <c r="C1453" s="85"/>
      <c r="D1453" s="76"/>
      <c r="H1453" s="88"/>
      <c r="J1453" s="53" t="str">
        <f>IFERROR(__xludf.DUMMYFUNCTION("IF(ISBLANK(B1453),"""",IF(ISDATE(B1453),""X"",""""))"),"")</f>
        <v/>
      </c>
      <c r="K1453" s="40" t="str">
        <f>IFERROR(__xludf.DUMMYFUNCTION("IF(ISBLANK(B1453),"""",IF(ISDATE(B1453),H1453,""""))"),"")</f>
        <v/>
      </c>
      <c r="L1453" s="40" t="str">
        <f>IFERROR(__xludf.DUMMYFUNCTION("IF(ISBLANK(B1453),"""",IF(ISDATE(B1453),TEXT(B1453,""M""),""""))"),"")</f>
        <v/>
      </c>
      <c r="M1453" s="29" t="str">
        <f>IFERROR(__xludf.DUMMYFUNCTION("IF(L1453="""","""",QUERY({'Dashboard-Dados'!$Y$2:$AA$13},""Select Col2 Where Col1=""&amp;L1453))"),"")</f>
        <v/>
      </c>
      <c r="N1453" s="29" t="str">
        <f>IFERROR(__xludf.DUMMYFUNCTION("IF(ISBLANK(B1453),"""",IF(ISDATE(B1453),TEXT(B1453,""yyyy""),""""))"),"")</f>
        <v/>
      </c>
    </row>
    <row r="1454">
      <c r="B1454" s="89"/>
      <c r="C1454" s="86"/>
      <c r="D1454" s="71"/>
      <c r="H1454" s="90"/>
      <c r="J1454" s="53" t="str">
        <f>IFERROR(__xludf.DUMMYFUNCTION("IF(ISBLANK(B1454),"""",IF(ISDATE(B1454),""X"",""""))"),"")</f>
        <v/>
      </c>
      <c r="K1454" s="40" t="str">
        <f>IFERROR(__xludf.DUMMYFUNCTION("IF(ISBLANK(B1454),"""",IF(ISDATE(B1454),H1454,""""))"),"")</f>
        <v/>
      </c>
      <c r="L1454" s="40" t="str">
        <f>IFERROR(__xludf.DUMMYFUNCTION("IF(ISBLANK(B1454),"""",IF(ISDATE(B1454),TEXT(B1454,""M""),""""))"),"")</f>
        <v/>
      </c>
      <c r="M1454" s="29" t="str">
        <f>IFERROR(__xludf.DUMMYFUNCTION("IF(L1454="""","""",QUERY({'Dashboard-Dados'!$Y$2:$AA$13},""Select Col2 Where Col1=""&amp;L1454))"),"")</f>
        <v/>
      </c>
      <c r="N1454" s="29" t="str">
        <f>IFERROR(__xludf.DUMMYFUNCTION("IF(ISBLANK(B1454),"""",IF(ISDATE(B1454),TEXT(B1454,""yyyy""),""""))"),"")</f>
        <v/>
      </c>
    </row>
    <row r="1455">
      <c r="B1455" s="87"/>
      <c r="C1455" s="85"/>
      <c r="D1455" s="76"/>
      <c r="H1455" s="88"/>
      <c r="J1455" s="53" t="str">
        <f>IFERROR(__xludf.DUMMYFUNCTION("IF(ISBLANK(B1455),"""",IF(ISDATE(B1455),""X"",""""))"),"")</f>
        <v/>
      </c>
      <c r="K1455" s="40" t="str">
        <f>IFERROR(__xludf.DUMMYFUNCTION("IF(ISBLANK(B1455),"""",IF(ISDATE(B1455),H1455,""""))"),"")</f>
        <v/>
      </c>
      <c r="L1455" s="40" t="str">
        <f>IFERROR(__xludf.DUMMYFUNCTION("IF(ISBLANK(B1455),"""",IF(ISDATE(B1455),TEXT(B1455,""M""),""""))"),"")</f>
        <v/>
      </c>
      <c r="M1455" s="29" t="str">
        <f>IFERROR(__xludf.DUMMYFUNCTION("IF(L1455="""","""",QUERY({'Dashboard-Dados'!$Y$2:$AA$13},""Select Col2 Where Col1=""&amp;L1455))"),"")</f>
        <v/>
      </c>
      <c r="N1455" s="29" t="str">
        <f>IFERROR(__xludf.DUMMYFUNCTION("IF(ISBLANK(B1455),"""",IF(ISDATE(B1455),TEXT(B1455,""yyyy""),""""))"),"")</f>
        <v/>
      </c>
    </row>
    <row r="1456">
      <c r="B1456" s="89"/>
      <c r="C1456" s="86"/>
      <c r="D1456" s="71"/>
      <c r="H1456" s="90"/>
      <c r="J1456" s="53" t="str">
        <f>IFERROR(__xludf.DUMMYFUNCTION("IF(ISBLANK(B1456),"""",IF(ISDATE(B1456),""X"",""""))"),"")</f>
        <v/>
      </c>
      <c r="K1456" s="40" t="str">
        <f>IFERROR(__xludf.DUMMYFUNCTION("IF(ISBLANK(B1456),"""",IF(ISDATE(B1456),H1456,""""))"),"")</f>
        <v/>
      </c>
      <c r="L1456" s="40" t="str">
        <f>IFERROR(__xludf.DUMMYFUNCTION("IF(ISBLANK(B1456),"""",IF(ISDATE(B1456),TEXT(B1456,""M""),""""))"),"")</f>
        <v/>
      </c>
      <c r="M1456" s="29" t="str">
        <f>IFERROR(__xludf.DUMMYFUNCTION("IF(L1456="""","""",QUERY({'Dashboard-Dados'!$Y$2:$AA$13},""Select Col2 Where Col1=""&amp;L1456))"),"")</f>
        <v/>
      </c>
      <c r="N1456" s="29" t="str">
        <f>IFERROR(__xludf.DUMMYFUNCTION("IF(ISBLANK(B1456),"""",IF(ISDATE(B1456),TEXT(B1456,""yyyy""),""""))"),"")</f>
        <v/>
      </c>
    </row>
    <row r="1457">
      <c r="B1457" s="87"/>
      <c r="C1457" s="85"/>
      <c r="D1457" s="76"/>
      <c r="H1457" s="88"/>
      <c r="J1457" s="53" t="str">
        <f>IFERROR(__xludf.DUMMYFUNCTION("IF(ISBLANK(B1457),"""",IF(ISDATE(B1457),""X"",""""))"),"")</f>
        <v/>
      </c>
      <c r="K1457" s="40" t="str">
        <f>IFERROR(__xludf.DUMMYFUNCTION("IF(ISBLANK(B1457),"""",IF(ISDATE(B1457),H1457,""""))"),"")</f>
        <v/>
      </c>
      <c r="L1457" s="40" t="str">
        <f>IFERROR(__xludf.DUMMYFUNCTION("IF(ISBLANK(B1457),"""",IF(ISDATE(B1457),TEXT(B1457,""M""),""""))"),"")</f>
        <v/>
      </c>
      <c r="M1457" s="29" t="str">
        <f>IFERROR(__xludf.DUMMYFUNCTION("IF(L1457="""","""",QUERY({'Dashboard-Dados'!$Y$2:$AA$13},""Select Col2 Where Col1=""&amp;L1457))"),"")</f>
        <v/>
      </c>
      <c r="N1457" s="29" t="str">
        <f>IFERROR(__xludf.DUMMYFUNCTION("IF(ISBLANK(B1457),"""",IF(ISDATE(B1457),TEXT(B1457,""yyyy""),""""))"),"")</f>
        <v/>
      </c>
    </row>
    <row r="1458">
      <c r="B1458" s="89"/>
      <c r="C1458" s="86"/>
      <c r="D1458" s="71"/>
      <c r="H1458" s="90"/>
      <c r="J1458" s="53" t="str">
        <f>IFERROR(__xludf.DUMMYFUNCTION("IF(ISBLANK(B1458),"""",IF(ISDATE(B1458),""X"",""""))"),"")</f>
        <v/>
      </c>
      <c r="K1458" s="40" t="str">
        <f>IFERROR(__xludf.DUMMYFUNCTION("IF(ISBLANK(B1458),"""",IF(ISDATE(B1458),H1458,""""))"),"")</f>
        <v/>
      </c>
      <c r="L1458" s="40" t="str">
        <f>IFERROR(__xludf.DUMMYFUNCTION("IF(ISBLANK(B1458),"""",IF(ISDATE(B1458),TEXT(B1458,""M""),""""))"),"")</f>
        <v/>
      </c>
      <c r="M1458" s="29" t="str">
        <f>IFERROR(__xludf.DUMMYFUNCTION("IF(L1458="""","""",QUERY({'Dashboard-Dados'!$Y$2:$AA$13},""Select Col2 Where Col1=""&amp;L1458))"),"")</f>
        <v/>
      </c>
      <c r="N1458" s="29" t="str">
        <f>IFERROR(__xludf.DUMMYFUNCTION("IF(ISBLANK(B1458),"""",IF(ISDATE(B1458),TEXT(B1458,""yyyy""),""""))"),"")</f>
        <v/>
      </c>
    </row>
    <row r="1459">
      <c r="B1459" s="87"/>
      <c r="C1459" s="85"/>
      <c r="D1459" s="76"/>
      <c r="H1459" s="88"/>
      <c r="J1459" s="53" t="str">
        <f>IFERROR(__xludf.DUMMYFUNCTION("IF(ISBLANK(B1459),"""",IF(ISDATE(B1459),""X"",""""))"),"")</f>
        <v/>
      </c>
      <c r="K1459" s="40" t="str">
        <f>IFERROR(__xludf.DUMMYFUNCTION("IF(ISBLANK(B1459),"""",IF(ISDATE(B1459),H1459,""""))"),"")</f>
        <v/>
      </c>
      <c r="L1459" s="40" t="str">
        <f>IFERROR(__xludf.DUMMYFUNCTION("IF(ISBLANK(B1459),"""",IF(ISDATE(B1459),TEXT(B1459,""M""),""""))"),"")</f>
        <v/>
      </c>
      <c r="M1459" s="29" t="str">
        <f>IFERROR(__xludf.DUMMYFUNCTION("IF(L1459="""","""",QUERY({'Dashboard-Dados'!$Y$2:$AA$13},""Select Col2 Where Col1=""&amp;L1459))"),"")</f>
        <v/>
      </c>
      <c r="N1459" s="29" t="str">
        <f>IFERROR(__xludf.DUMMYFUNCTION("IF(ISBLANK(B1459),"""",IF(ISDATE(B1459),TEXT(B1459,""yyyy""),""""))"),"")</f>
        <v/>
      </c>
    </row>
    <row r="1460">
      <c r="B1460" s="89"/>
      <c r="C1460" s="86"/>
      <c r="D1460" s="71"/>
      <c r="H1460" s="90"/>
      <c r="J1460" s="53" t="str">
        <f>IFERROR(__xludf.DUMMYFUNCTION("IF(ISBLANK(B1460),"""",IF(ISDATE(B1460),""X"",""""))"),"")</f>
        <v/>
      </c>
      <c r="K1460" s="40" t="str">
        <f>IFERROR(__xludf.DUMMYFUNCTION("IF(ISBLANK(B1460),"""",IF(ISDATE(B1460),H1460,""""))"),"")</f>
        <v/>
      </c>
      <c r="L1460" s="40" t="str">
        <f>IFERROR(__xludf.DUMMYFUNCTION("IF(ISBLANK(B1460),"""",IF(ISDATE(B1460),TEXT(B1460,""M""),""""))"),"")</f>
        <v/>
      </c>
      <c r="M1460" s="29" t="str">
        <f>IFERROR(__xludf.DUMMYFUNCTION("IF(L1460="""","""",QUERY({'Dashboard-Dados'!$Y$2:$AA$13},""Select Col2 Where Col1=""&amp;L1460))"),"")</f>
        <v/>
      </c>
      <c r="N1460" s="29" t="str">
        <f>IFERROR(__xludf.DUMMYFUNCTION("IF(ISBLANK(B1460),"""",IF(ISDATE(B1460),TEXT(B1460,""yyyy""),""""))"),"")</f>
        <v/>
      </c>
    </row>
    <row r="1461">
      <c r="B1461" s="87"/>
      <c r="C1461" s="85"/>
      <c r="D1461" s="76"/>
      <c r="H1461" s="88"/>
      <c r="J1461" s="53" t="str">
        <f>IFERROR(__xludf.DUMMYFUNCTION("IF(ISBLANK(B1461),"""",IF(ISDATE(B1461),""X"",""""))"),"")</f>
        <v/>
      </c>
      <c r="K1461" s="40" t="str">
        <f>IFERROR(__xludf.DUMMYFUNCTION("IF(ISBLANK(B1461),"""",IF(ISDATE(B1461),H1461,""""))"),"")</f>
        <v/>
      </c>
      <c r="L1461" s="40" t="str">
        <f>IFERROR(__xludf.DUMMYFUNCTION("IF(ISBLANK(B1461),"""",IF(ISDATE(B1461),TEXT(B1461,""M""),""""))"),"")</f>
        <v/>
      </c>
      <c r="M1461" s="29" t="str">
        <f>IFERROR(__xludf.DUMMYFUNCTION("IF(L1461="""","""",QUERY({'Dashboard-Dados'!$Y$2:$AA$13},""Select Col2 Where Col1=""&amp;L1461))"),"")</f>
        <v/>
      </c>
      <c r="N1461" s="29" t="str">
        <f>IFERROR(__xludf.DUMMYFUNCTION("IF(ISBLANK(B1461),"""",IF(ISDATE(B1461),TEXT(B1461,""yyyy""),""""))"),"")</f>
        <v/>
      </c>
    </row>
    <row r="1462">
      <c r="B1462" s="89"/>
      <c r="C1462" s="86"/>
      <c r="D1462" s="71"/>
      <c r="H1462" s="90"/>
      <c r="J1462" s="53" t="str">
        <f>IFERROR(__xludf.DUMMYFUNCTION("IF(ISBLANK(B1462),"""",IF(ISDATE(B1462),""X"",""""))"),"")</f>
        <v/>
      </c>
      <c r="K1462" s="40" t="str">
        <f>IFERROR(__xludf.DUMMYFUNCTION("IF(ISBLANK(B1462),"""",IF(ISDATE(B1462),H1462,""""))"),"")</f>
        <v/>
      </c>
      <c r="L1462" s="40" t="str">
        <f>IFERROR(__xludf.DUMMYFUNCTION("IF(ISBLANK(B1462),"""",IF(ISDATE(B1462),TEXT(B1462,""M""),""""))"),"")</f>
        <v/>
      </c>
      <c r="M1462" s="29" t="str">
        <f>IFERROR(__xludf.DUMMYFUNCTION("IF(L1462="""","""",QUERY({'Dashboard-Dados'!$Y$2:$AA$13},""Select Col2 Where Col1=""&amp;L1462))"),"")</f>
        <v/>
      </c>
      <c r="N1462" s="29" t="str">
        <f>IFERROR(__xludf.DUMMYFUNCTION("IF(ISBLANK(B1462),"""",IF(ISDATE(B1462),TEXT(B1462,""yyyy""),""""))"),"")</f>
        <v/>
      </c>
    </row>
    <row r="1463">
      <c r="B1463" s="87"/>
      <c r="C1463" s="85"/>
      <c r="D1463" s="76"/>
      <c r="H1463" s="88"/>
      <c r="J1463" s="53" t="str">
        <f>IFERROR(__xludf.DUMMYFUNCTION("IF(ISBLANK(B1463),"""",IF(ISDATE(B1463),""X"",""""))"),"")</f>
        <v/>
      </c>
      <c r="K1463" s="40" t="str">
        <f>IFERROR(__xludf.DUMMYFUNCTION("IF(ISBLANK(B1463),"""",IF(ISDATE(B1463),H1463,""""))"),"")</f>
        <v/>
      </c>
      <c r="L1463" s="40" t="str">
        <f>IFERROR(__xludf.DUMMYFUNCTION("IF(ISBLANK(B1463),"""",IF(ISDATE(B1463),TEXT(B1463,""M""),""""))"),"")</f>
        <v/>
      </c>
      <c r="M1463" s="29" t="str">
        <f>IFERROR(__xludf.DUMMYFUNCTION("IF(L1463="""","""",QUERY({'Dashboard-Dados'!$Y$2:$AA$13},""Select Col2 Where Col1=""&amp;L1463))"),"")</f>
        <v/>
      </c>
      <c r="N1463" s="29" t="str">
        <f>IFERROR(__xludf.DUMMYFUNCTION("IF(ISBLANK(B1463),"""",IF(ISDATE(B1463),TEXT(B1463,""yyyy""),""""))"),"")</f>
        <v/>
      </c>
    </row>
    <row r="1464">
      <c r="B1464" s="89"/>
      <c r="C1464" s="86"/>
      <c r="D1464" s="71"/>
      <c r="H1464" s="90"/>
      <c r="J1464" s="53" t="str">
        <f>IFERROR(__xludf.DUMMYFUNCTION("IF(ISBLANK(B1464),"""",IF(ISDATE(B1464),""X"",""""))"),"")</f>
        <v/>
      </c>
      <c r="K1464" s="40" t="str">
        <f>IFERROR(__xludf.DUMMYFUNCTION("IF(ISBLANK(B1464),"""",IF(ISDATE(B1464),H1464,""""))"),"")</f>
        <v/>
      </c>
      <c r="L1464" s="40" t="str">
        <f>IFERROR(__xludf.DUMMYFUNCTION("IF(ISBLANK(B1464),"""",IF(ISDATE(B1464),TEXT(B1464,""M""),""""))"),"")</f>
        <v/>
      </c>
      <c r="M1464" s="29" t="str">
        <f>IFERROR(__xludf.DUMMYFUNCTION("IF(L1464="""","""",QUERY({'Dashboard-Dados'!$Y$2:$AA$13},""Select Col2 Where Col1=""&amp;L1464))"),"")</f>
        <v/>
      </c>
      <c r="N1464" s="29" t="str">
        <f>IFERROR(__xludf.DUMMYFUNCTION("IF(ISBLANK(B1464),"""",IF(ISDATE(B1464),TEXT(B1464,""yyyy""),""""))"),"")</f>
        <v/>
      </c>
    </row>
    <row r="1465">
      <c r="B1465" s="87"/>
      <c r="C1465" s="85"/>
      <c r="D1465" s="76"/>
      <c r="H1465" s="88"/>
      <c r="J1465" s="53" t="str">
        <f>IFERROR(__xludf.DUMMYFUNCTION("IF(ISBLANK(B1465),"""",IF(ISDATE(B1465),""X"",""""))"),"")</f>
        <v/>
      </c>
      <c r="K1465" s="40" t="str">
        <f>IFERROR(__xludf.DUMMYFUNCTION("IF(ISBLANK(B1465),"""",IF(ISDATE(B1465),H1465,""""))"),"")</f>
        <v/>
      </c>
      <c r="L1465" s="40" t="str">
        <f>IFERROR(__xludf.DUMMYFUNCTION("IF(ISBLANK(B1465),"""",IF(ISDATE(B1465),TEXT(B1465,""M""),""""))"),"")</f>
        <v/>
      </c>
      <c r="M1465" s="29" t="str">
        <f>IFERROR(__xludf.DUMMYFUNCTION("IF(L1465="""","""",QUERY({'Dashboard-Dados'!$Y$2:$AA$13},""Select Col2 Where Col1=""&amp;L1465))"),"")</f>
        <v/>
      </c>
      <c r="N1465" s="29" t="str">
        <f>IFERROR(__xludf.DUMMYFUNCTION("IF(ISBLANK(B1465),"""",IF(ISDATE(B1465),TEXT(B1465,""yyyy""),""""))"),"")</f>
        <v/>
      </c>
    </row>
    <row r="1466">
      <c r="B1466" s="89"/>
      <c r="C1466" s="86"/>
      <c r="D1466" s="71"/>
      <c r="H1466" s="90"/>
      <c r="J1466" s="53" t="str">
        <f>IFERROR(__xludf.DUMMYFUNCTION("IF(ISBLANK(B1466),"""",IF(ISDATE(B1466),""X"",""""))"),"")</f>
        <v/>
      </c>
      <c r="K1466" s="40" t="str">
        <f>IFERROR(__xludf.DUMMYFUNCTION("IF(ISBLANK(B1466),"""",IF(ISDATE(B1466),H1466,""""))"),"")</f>
        <v/>
      </c>
      <c r="L1466" s="40" t="str">
        <f>IFERROR(__xludf.DUMMYFUNCTION("IF(ISBLANK(B1466),"""",IF(ISDATE(B1466),TEXT(B1466,""M""),""""))"),"")</f>
        <v/>
      </c>
      <c r="M1466" s="29" t="str">
        <f>IFERROR(__xludf.DUMMYFUNCTION("IF(L1466="""","""",QUERY({'Dashboard-Dados'!$Y$2:$AA$13},""Select Col2 Where Col1=""&amp;L1466))"),"")</f>
        <v/>
      </c>
      <c r="N1466" s="29" t="str">
        <f>IFERROR(__xludf.DUMMYFUNCTION("IF(ISBLANK(B1466),"""",IF(ISDATE(B1466),TEXT(B1466,""yyyy""),""""))"),"")</f>
        <v/>
      </c>
    </row>
    <row r="1467">
      <c r="B1467" s="87"/>
      <c r="C1467" s="85"/>
      <c r="D1467" s="76"/>
      <c r="H1467" s="88"/>
      <c r="J1467" s="53" t="str">
        <f>IFERROR(__xludf.DUMMYFUNCTION("IF(ISBLANK(B1467),"""",IF(ISDATE(B1467),""X"",""""))"),"")</f>
        <v/>
      </c>
      <c r="K1467" s="40" t="str">
        <f>IFERROR(__xludf.DUMMYFUNCTION("IF(ISBLANK(B1467),"""",IF(ISDATE(B1467),H1467,""""))"),"")</f>
        <v/>
      </c>
      <c r="L1467" s="40" t="str">
        <f>IFERROR(__xludf.DUMMYFUNCTION("IF(ISBLANK(B1467),"""",IF(ISDATE(B1467),TEXT(B1467,""M""),""""))"),"")</f>
        <v/>
      </c>
      <c r="M1467" s="29" t="str">
        <f>IFERROR(__xludf.DUMMYFUNCTION("IF(L1467="""","""",QUERY({'Dashboard-Dados'!$Y$2:$AA$13},""Select Col2 Where Col1=""&amp;L1467))"),"")</f>
        <v/>
      </c>
      <c r="N1467" s="29" t="str">
        <f>IFERROR(__xludf.DUMMYFUNCTION("IF(ISBLANK(B1467),"""",IF(ISDATE(B1467),TEXT(B1467,""yyyy""),""""))"),"")</f>
        <v/>
      </c>
    </row>
    <row r="1468">
      <c r="B1468" s="89"/>
      <c r="C1468" s="86"/>
      <c r="D1468" s="71"/>
      <c r="H1468" s="90"/>
      <c r="J1468" s="53" t="str">
        <f>IFERROR(__xludf.DUMMYFUNCTION("IF(ISBLANK(B1468),"""",IF(ISDATE(B1468),""X"",""""))"),"")</f>
        <v/>
      </c>
      <c r="K1468" s="40" t="str">
        <f>IFERROR(__xludf.DUMMYFUNCTION("IF(ISBLANK(B1468),"""",IF(ISDATE(B1468),H1468,""""))"),"")</f>
        <v/>
      </c>
      <c r="L1468" s="40" t="str">
        <f>IFERROR(__xludf.DUMMYFUNCTION("IF(ISBLANK(B1468),"""",IF(ISDATE(B1468),TEXT(B1468,""M""),""""))"),"")</f>
        <v/>
      </c>
      <c r="M1468" s="29" t="str">
        <f>IFERROR(__xludf.DUMMYFUNCTION("IF(L1468="""","""",QUERY({'Dashboard-Dados'!$Y$2:$AA$13},""Select Col2 Where Col1=""&amp;L1468))"),"")</f>
        <v/>
      </c>
      <c r="N1468" s="29" t="str">
        <f>IFERROR(__xludf.DUMMYFUNCTION("IF(ISBLANK(B1468),"""",IF(ISDATE(B1468),TEXT(B1468,""yyyy""),""""))"),"")</f>
        <v/>
      </c>
    </row>
    <row r="1469">
      <c r="B1469" s="87"/>
      <c r="C1469" s="85"/>
      <c r="D1469" s="76"/>
      <c r="H1469" s="88"/>
      <c r="J1469" s="53" t="str">
        <f>IFERROR(__xludf.DUMMYFUNCTION("IF(ISBLANK(B1469),"""",IF(ISDATE(B1469),""X"",""""))"),"")</f>
        <v/>
      </c>
      <c r="K1469" s="40" t="str">
        <f>IFERROR(__xludf.DUMMYFUNCTION("IF(ISBLANK(B1469),"""",IF(ISDATE(B1469),H1469,""""))"),"")</f>
        <v/>
      </c>
      <c r="L1469" s="40" t="str">
        <f>IFERROR(__xludf.DUMMYFUNCTION("IF(ISBLANK(B1469),"""",IF(ISDATE(B1469),TEXT(B1469,""M""),""""))"),"")</f>
        <v/>
      </c>
      <c r="M1469" s="29" t="str">
        <f>IFERROR(__xludf.DUMMYFUNCTION("IF(L1469="""","""",QUERY({'Dashboard-Dados'!$Y$2:$AA$13},""Select Col2 Where Col1=""&amp;L1469))"),"")</f>
        <v/>
      </c>
      <c r="N1469" s="29" t="str">
        <f>IFERROR(__xludf.DUMMYFUNCTION("IF(ISBLANK(B1469),"""",IF(ISDATE(B1469),TEXT(B1469,""yyyy""),""""))"),"")</f>
        <v/>
      </c>
    </row>
    <row r="1470">
      <c r="B1470" s="89"/>
      <c r="C1470" s="86"/>
      <c r="D1470" s="71"/>
      <c r="H1470" s="90"/>
      <c r="J1470" s="53" t="str">
        <f>IFERROR(__xludf.DUMMYFUNCTION("IF(ISBLANK(B1470),"""",IF(ISDATE(B1470),""X"",""""))"),"")</f>
        <v/>
      </c>
      <c r="K1470" s="40" t="str">
        <f>IFERROR(__xludf.DUMMYFUNCTION("IF(ISBLANK(B1470),"""",IF(ISDATE(B1470),H1470,""""))"),"")</f>
        <v/>
      </c>
      <c r="L1470" s="40" t="str">
        <f>IFERROR(__xludf.DUMMYFUNCTION("IF(ISBLANK(B1470),"""",IF(ISDATE(B1470),TEXT(B1470,""M""),""""))"),"")</f>
        <v/>
      </c>
      <c r="M1470" s="29" t="str">
        <f>IFERROR(__xludf.DUMMYFUNCTION("IF(L1470="""","""",QUERY({'Dashboard-Dados'!$Y$2:$AA$13},""Select Col2 Where Col1=""&amp;L1470))"),"")</f>
        <v/>
      </c>
      <c r="N1470" s="29" t="str">
        <f>IFERROR(__xludf.DUMMYFUNCTION("IF(ISBLANK(B1470),"""",IF(ISDATE(B1470),TEXT(B1470,""yyyy""),""""))"),"")</f>
        <v/>
      </c>
    </row>
    <row r="1471">
      <c r="B1471" s="87"/>
      <c r="C1471" s="85"/>
      <c r="D1471" s="76"/>
      <c r="H1471" s="88"/>
      <c r="J1471" s="53" t="str">
        <f>IFERROR(__xludf.DUMMYFUNCTION("IF(ISBLANK(B1471),"""",IF(ISDATE(B1471),""X"",""""))"),"")</f>
        <v/>
      </c>
      <c r="K1471" s="40" t="str">
        <f>IFERROR(__xludf.DUMMYFUNCTION("IF(ISBLANK(B1471),"""",IF(ISDATE(B1471),H1471,""""))"),"")</f>
        <v/>
      </c>
      <c r="L1471" s="40" t="str">
        <f>IFERROR(__xludf.DUMMYFUNCTION("IF(ISBLANK(B1471),"""",IF(ISDATE(B1471),TEXT(B1471,""M""),""""))"),"")</f>
        <v/>
      </c>
      <c r="M1471" s="29" t="str">
        <f>IFERROR(__xludf.DUMMYFUNCTION("IF(L1471="""","""",QUERY({'Dashboard-Dados'!$Y$2:$AA$13},""Select Col2 Where Col1=""&amp;L1471))"),"")</f>
        <v/>
      </c>
      <c r="N1471" s="29" t="str">
        <f>IFERROR(__xludf.DUMMYFUNCTION("IF(ISBLANK(B1471),"""",IF(ISDATE(B1471),TEXT(B1471,""yyyy""),""""))"),"")</f>
        <v/>
      </c>
    </row>
    <row r="1472">
      <c r="B1472" s="89"/>
      <c r="C1472" s="86"/>
      <c r="D1472" s="71"/>
      <c r="H1472" s="90"/>
      <c r="J1472" s="53" t="str">
        <f>IFERROR(__xludf.DUMMYFUNCTION("IF(ISBLANK(B1472),"""",IF(ISDATE(B1472),""X"",""""))"),"")</f>
        <v/>
      </c>
      <c r="K1472" s="40" t="str">
        <f>IFERROR(__xludf.DUMMYFUNCTION("IF(ISBLANK(B1472),"""",IF(ISDATE(B1472),H1472,""""))"),"")</f>
        <v/>
      </c>
      <c r="L1472" s="40" t="str">
        <f>IFERROR(__xludf.DUMMYFUNCTION("IF(ISBLANK(B1472),"""",IF(ISDATE(B1472),TEXT(B1472,""M""),""""))"),"")</f>
        <v/>
      </c>
      <c r="M1472" s="29" t="str">
        <f>IFERROR(__xludf.DUMMYFUNCTION("IF(L1472="""","""",QUERY({'Dashboard-Dados'!$Y$2:$AA$13},""Select Col2 Where Col1=""&amp;L1472))"),"")</f>
        <v/>
      </c>
      <c r="N1472" s="29" t="str">
        <f>IFERROR(__xludf.DUMMYFUNCTION("IF(ISBLANK(B1472),"""",IF(ISDATE(B1472),TEXT(B1472,""yyyy""),""""))"),"")</f>
        <v/>
      </c>
    </row>
    <row r="1473">
      <c r="B1473" s="87"/>
      <c r="C1473" s="85"/>
      <c r="D1473" s="76"/>
      <c r="H1473" s="88"/>
      <c r="J1473" s="53" t="str">
        <f>IFERROR(__xludf.DUMMYFUNCTION("IF(ISBLANK(B1473),"""",IF(ISDATE(B1473),""X"",""""))"),"")</f>
        <v/>
      </c>
      <c r="K1473" s="40" t="str">
        <f>IFERROR(__xludf.DUMMYFUNCTION("IF(ISBLANK(B1473),"""",IF(ISDATE(B1473),H1473,""""))"),"")</f>
        <v/>
      </c>
      <c r="L1473" s="40" t="str">
        <f>IFERROR(__xludf.DUMMYFUNCTION("IF(ISBLANK(B1473),"""",IF(ISDATE(B1473),TEXT(B1473,""M""),""""))"),"")</f>
        <v/>
      </c>
      <c r="M1473" s="29" t="str">
        <f>IFERROR(__xludf.DUMMYFUNCTION("IF(L1473="""","""",QUERY({'Dashboard-Dados'!$Y$2:$AA$13},""Select Col2 Where Col1=""&amp;L1473))"),"")</f>
        <v/>
      </c>
      <c r="N1473" s="29" t="str">
        <f>IFERROR(__xludf.DUMMYFUNCTION("IF(ISBLANK(B1473),"""",IF(ISDATE(B1473),TEXT(B1473,""yyyy""),""""))"),"")</f>
        <v/>
      </c>
    </row>
    <row r="1474">
      <c r="B1474" s="89"/>
      <c r="C1474" s="86"/>
      <c r="D1474" s="71"/>
      <c r="H1474" s="90"/>
      <c r="J1474" s="53" t="str">
        <f>IFERROR(__xludf.DUMMYFUNCTION("IF(ISBLANK(B1474),"""",IF(ISDATE(B1474),""X"",""""))"),"")</f>
        <v/>
      </c>
      <c r="K1474" s="40" t="str">
        <f>IFERROR(__xludf.DUMMYFUNCTION("IF(ISBLANK(B1474),"""",IF(ISDATE(B1474),H1474,""""))"),"")</f>
        <v/>
      </c>
      <c r="L1474" s="40" t="str">
        <f>IFERROR(__xludf.DUMMYFUNCTION("IF(ISBLANK(B1474),"""",IF(ISDATE(B1474),TEXT(B1474,""M""),""""))"),"")</f>
        <v/>
      </c>
      <c r="M1474" s="29" t="str">
        <f>IFERROR(__xludf.DUMMYFUNCTION("IF(L1474="""","""",QUERY({'Dashboard-Dados'!$Y$2:$AA$13},""Select Col2 Where Col1=""&amp;L1474))"),"")</f>
        <v/>
      </c>
      <c r="N1474" s="29" t="str">
        <f>IFERROR(__xludf.DUMMYFUNCTION("IF(ISBLANK(B1474),"""",IF(ISDATE(B1474),TEXT(B1474,""yyyy""),""""))"),"")</f>
        <v/>
      </c>
    </row>
    <row r="1475">
      <c r="B1475" s="87"/>
      <c r="C1475" s="85"/>
      <c r="D1475" s="76"/>
      <c r="H1475" s="88"/>
      <c r="J1475" s="53" t="str">
        <f>IFERROR(__xludf.DUMMYFUNCTION("IF(ISBLANK(B1475),"""",IF(ISDATE(B1475),""X"",""""))"),"")</f>
        <v/>
      </c>
      <c r="K1475" s="40" t="str">
        <f>IFERROR(__xludf.DUMMYFUNCTION("IF(ISBLANK(B1475),"""",IF(ISDATE(B1475),H1475,""""))"),"")</f>
        <v/>
      </c>
      <c r="L1475" s="40" t="str">
        <f>IFERROR(__xludf.DUMMYFUNCTION("IF(ISBLANK(B1475),"""",IF(ISDATE(B1475),TEXT(B1475,""M""),""""))"),"")</f>
        <v/>
      </c>
      <c r="M1475" s="29" t="str">
        <f>IFERROR(__xludf.DUMMYFUNCTION("IF(L1475="""","""",QUERY({'Dashboard-Dados'!$Y$2:$AA$13},""Select Col2 Where Col1=""&amp;L1475))"),"")</f>
        <v/>
      </c>
      <c r="N1475" s="29" t="str">
        <f>IFERROR(__xludf.DUMMYFUNCTION("IF(ISBLANK(B1475),"""",IF(ISDATE(B1475),TEXT(B1475,""yyyy""),""""))"),"")</f>
        <v/>
      </c>
    </row>
    <row r="1476">
      <c r="B1476" s="89"/>
      <c r="C1476" s="86"/>
      <c r="D1476" s="71"/>
      <c r="H1476" s="90"/>
      <c r="J1476" s="53" t="str">
        <f>IFERROR(__xludf.DUMMYFUNCTION("IF(ISBLANK(B1476),"""",IF(ISDATE(B1476),""X"",""""))"),"")</f>
        <v/>
      </c>
      <c r="K1476" s="40" t="str">
        <f>IFERROR(__xludf.DUMMYFUNCTION("IF(ISBLANK(B1476),"""",IF(ISDATE(B1476),H1476,""""))"),"")</f>
        <v/>
      </c>
      <c r="L1476" s="40" t="str">
        <f>IFERROR(__xludf.DUMMYFUNCTION("IF(ISBLANK(B1476),"""",IF(ISDATE(B1476),TEXT(B1476,""M""),""""))"),"")</f>
        <v/>
      </c>
      <c r="M1476" s="29" t="str">
        <f>IFERROR(__xludf.DUMMYFUNCTION("IF(L1476="""","""",QUERY({'Dashboard-Dados'!$Y$2:$AA$13},""Select Col2 Where Col1=""&amp;L1476))"),"")</f>
        <v/>
      </c>
      <c r="N1476" s="29" t="str">
        <f>IFERROR(__xludf.DUMMYFUNCTION("IF(ISBLANK(B1476),"""",IF(ISDATE(B1476),TEXT(B1476,""yyyy""),""""))"),"")</f>
        <v/>
      </c>
    </row>
    <row r="1477">
      <c r="B1477" s="87"/>
      <c r="C1477" s="85"/>
      <c r="D1477" s="76"/>
      <c r="H1477" s="88"/>
      <c r="J1477" s="53" t="str">
        <f>IFERROR(__xludf.DUMMYFUNCTION("IF(ISBLANK(B1477),"""",IF(ISDATE(B1477),""X"",""""))"),"")</f>
        <v/>
      </c>
      <c r="K1477" s="40" t="str">
        <f>IFERROR(__xludf.DUMMYFUNCTION("IF(ISBLANK(B1477),"""",IF(ISDATE(B1477),H1477,""""))"),"")</f>
        <v/>
      </c>
      <c r="L1477" s="40" t="str">
        <f>IFERROR(__xludf.DUMMYFUNCTION("IF(ISBLANK(B1477),"""",IF(ISDATE(B1477),TEXT(B1477,""M""),""""))"),"")</f>
        <v/>
      </c>
      <c r="M1477" s="29" t="str">
        <f>IFERROR(__xludf.DUMMYFUNCTION("IF(L1477="""","""",QUERY({'Dashboard-Dados'!$Y$2:$AA$13},""Select Col2 Where Col1=""&amp;L1477))"),"")</f>
        <v/>
      </c>
      <c r="N1477" s="29" t="str">
        <f>IFERROR(__xludf.DUMMYFUNCTION("IF(ISBLANK(B1477),"""",IF(ISDATE(B1477),TEXT(B1477,""yyyy""),""""))"),"")</f>
        <v/>
      </c>
    </row>
    <row r="1478">
      <c r="B1478" s="89"/>
      <c r="C1478" s="86"/>
      <c r="D1478" s="71"/>
      <c r="H1478" s="90"/>
      <c r="J1478" s="53" t="str">
        <f>IFERROR(__xludf.DUMMYFUNCTION("IF(ISBLANK(B1478),"""",IF(ISDATE(B1478),""X"",""""))"),"")</f>
        <v/>
      </c>
      <c r="K1478" s="40" t="str">
        <f>IFERROR(__xludf.DUMMYFUNCTION("IF(ISBLANK(B1478),"""",IF(ISDATE(B1478),H1478,""""))"),"")</f>
        <v/>
      </c>
      <c r="L1478" s="40" t="str">
        <f>IFERROR(__xludf.DUMMYFUNCTION("IF(ISBLANK(B1478),"""",IF(ISDATE(B1478),TEXT(B1478,""M""),""""))"),"")</f>
        <v/>
      </c>
      <c r="M1478" s="29" t="str">
        <f>IFERROR(__xludf.DUMMYFUNCTION("IF(L1478="""","""",QUERY({'Dashboard-Dados'!$Y$2:$AA$13},""Select Col2 Where Col1=""&amp;L1478))"),"")</f>
        <v/>
      </c>
      <c r="N1478" s="29" t="str">
        <f>IFERROR(__xludf.DUMMYFUNCTION("IF(ISBLANK(B1478),"""",IF(ISDATE(B1478),TEXT(B1478,""yyyy""),""""))"),"")</f>
        <v/>
      </c>
    </row>
    <row r="1479">
      <c r="B1479" s="87"/>
      <c r="C1479" s="85"/>
      <c r="D1479" s="76"/>
      <c r="H1479" s="88"/>
      <c r="J1479" s="53" t="str">
        <f>IFERROR(__xludf.DUMMYFUNCTION("IF(ISBLANK(B1479),"""",IF(ISDATE(B1479),""X"",""""))"),"")</f>
        <v/>
      </c>
      <c r="K1479" s="40" t="str">
        <f>IFERROR(__xludf.DUMMYFUNCTION("IF(ISBLANK(B1479),"""",IF(ISDATE(B1479),H1479,""""))"),"")</f>
        <v/>
      </c>
      <c r="L1479" s="40" t="str">
        <f>IFERROR(__xludf.DUMMYFUNCTION("IF(ISBLANK(B1479),"""",IF(ISDATE(B1479),TEXT(B1479,""M""),""""))"),"")</f>
        <v/>
      </c>
      <c r="M1479" s="29" t="str">
        <f>IFERROR(__xludf.DUMMYFUNCTION("IF(L1479="""","""",QUERY({'Dashboard-Dados'!$Y$2:$AA$13},""Select Col2 Where Col1=""&amp;L1479))"),"")</f>
        <v/>
      </c>
      <c r="N1479" s="29" t="str">
        <f>IFERROR(__xludf.DUMMYFUNCTION("IF(ISBLANK(B1479),"""",IF(ISDATE(B1479),TEXT(B1479,""yyyy""),""""))"),"")</f>
        <v/>
      </c>
    </row>
    <row r="1480">
      <c r="B1480" s="89"/>
      <c r="C1480" s="86"/>
      <c r="D1480" s="71"/>
      <c r="H1480" s="90"/>
      <c r="J1480" s="53" t="str">
        <f>IFERROR(__xludf.DUMMYFUNCTION("IF(ISBLANK(B1480),"""",IF(ISDATE(B1480),""X"",""""))"),"")</f>
        <v/>
      </c>
      <c r="K1480" s="40" t="str">
        <f>IFERROR(__xludf.DUMMYFUNCTION("IF(ISBLANK(B1480),"""",IF(ISDATE(B1480),H1480,""""))"),"")</f>
        <v/>
      </c>
      <c r="L1480" s="40" t="str">
        <f>IFERROR(__xludf.DUMMYFUNCTION("IF(ISBLANK(B1480),"""",IF(ISDATE(B1480),TEXT(B1480,""M""),""""))"),"")</f>
        <v/>
      </c>
      <c r="M1480" s="29" t="str">
        <f>IFERROR(__xludf.DUMMYFUNCTION("IF(L1480="""","""",QUERY({'Dashboard-Dados'!$Y$2:$AA$13},""Select Col2 Where Col1=""&amp;L1480))"),"")</f>
        <v/>
      </c>
      <c r="N1480" s="29" t="str">
        <f>IFERROR(__xludf.DUMMYFUNCTION("IF(ISBLANK(B1480),"""",IF(ISDATE(B1480),TEXT(B1480,""yyyy""),""""))"),"")</f>
        <v/>
      </c>
    </row>
    <row r="1481">
      <c r="B1481" s="87"/>
      <c r="C1481" s="85"/>
      <c r="D1481" s="76"/>
      <c r="H1481" s="88"/>
      <c r="J1481" s="53" t="str">
        <f>IFERROR(__xludf.DUMMYFUNCTION("IF(ISBLANK(B1481),"""",IF(ISDATE(B1481),""X"",""""))"),"")</f>
        <v/>
      </c>
      <c r="K1481" s="40" t="str">
        <f>IFERROR(__xludf.DUMMYFUNCTION("IF(ISBLANK(B1481),"""",IF(ISDATE(B1481),H1481,""""))"),"")</f>
        <v/>
      </c>
      <c r="L1481" s="40" t="str">
        <f>IFERROR(__xludf.DUMMYFUNCTION("IF(ISBLANK(B1481),"""",IF(ISDATE(B1481),TEXT(B1481,""M""),""""))"),"")</f>
        <v/>
      </c>
      <c r="M1481" s="29" t="str">
        <f>IFERROR(__xludf.DUMMYFUNCTION("IF(L1481="""","""",QUERY({'Dashboard-Dados'!$Y$2:$AA$13},""Select Col2 Where Col1=""&amp;L1481))"),"")</f>
        <v/>
      </c>
      <c r="N1481" s="29" t="str">
        <f>IFERROR(__xludf.DUMMYFUNCTION("IF(ISBLANK(B1481),"""",IF(ISDATE(B1481),TEXT(B1481,""yyyy""),""""))"),"")</f>
        <v/>
      </c>
    </row>
    <row r="1482">
      <c r="B1482" s="89"/>
      <c r="C1482" s="86"/>
      <c r="D1482" s="71"/>
      <c r="H1482" s="90"/>
      <c r="J1482" s="53" t="str">
        <f>IFERROR(__xludf.DUMMYFUNCTION("IF(ISBLANK(B1482),"""",IF(ISDATE(B1482),""X"",""""))"),"")</f>
        <v/>
      </c>
      <c r="K1482" s="40" t="str">
        <f>IFERROR(__xludf.DUMMYFUNCTION("IF(ISBLANK(B1482),"""",IF(ISDATE(B1482),H1482,""""))"),"")</f>
        <v/>
      </c>
      <c r="L1482" s="40" t="str">
        <f>IFERROR(__xludf.DUMMYFUNCTION("IF(ISBLANK(B1482),"""",IF(ISDATE(B1482),TEXT(B1482,""M""),""""))"),"")</f>
        <v/>
      </c>
      <c r="M1482" s="29" t="str">
        <f>IFERROR(__xludf.DUMMYFUNCTION("IF(L1482="""","""",QUERY({'Dashboard-Dados'!$Y$2:$AA$13},""Select Col2 Where Col1=""&amp;L1482))"),"")</f>
        <v/>
      </c>
      <c r="N1482" s="29" t="str">
        <f>IFERROR(__xludf.DUMMYFUNCTION("IF(ISBLANK(B1482),"""",IF(ISDATE(B1482),TEXT(B1482,""yyyy""),""""))"),"")</f>
        <v/>
      </c>
    </row>
    <row r="1483">
      <c r="B1483" s="87"/>
      <c r="C1483" s="85"/>
      <c r="D1483" s="76"/>
      <c r="H1483" s="88"/>
      <c r="J1483" s="53" t="str">
        <f>IFERROR(__xludf.DUMMYFUNCTION("IF(ISBLANK(B1483),"""",IF(ISDATE(B1483),""X"",""""))"),"")</f>
        <v/>
      </c>
      <c r="K1483" s="40" t="str">
        <f>IFERROR(__xludf.DUMMYFUNCTION("IF(ISBLANK(B1483),"""",IF(ISDATE(B1483),H1483,""""))"),"")</f>
        <v/>
      </c>
      <c r="L1483" s="40" t="str">
        <f>IFERROR(__xludf.DUMMYFUNCTION("IF(ISBLANK(B1483),"""",IF(ISDATE(B1483),TEXT(B1483,""M""),""""))"),"")</f>
        <v/>
      </c>
      <c r="M1483" s="29" t="str">
        <f>IFERROR(__xludf.DUMMYFUNCTION("IF(L1483="""","""",QUERY({'Dashboard-Dados'!$Y$2:$AA$13},""Select Col2 Where Col1=""&amp;L1483))"),"")</f>
        <v/>
      </c>
      <c r="N1483" s="29" t="str">
        <f>IFERROR(__xludf.DUMMYFUNCTION("IF(ISBLANK(B1483),"""",IF(ISDATE(B1483),TEXT(B1483,""yyyy""),""""))"),"")</f>
        <v/>
      </c>
    </row>
    <row r="1484">
      <c r="B1484" s="89"/>
      <c r="C1484" s="86"/>
      <c r="D1484" s="71"/>
      <c r="H1484" s="90"/>
      <c r="J1484" s="53" t="str">
        <f>IFERROR(__xludf.DUMMYFUNCTION("IF(ISBLANK(B1484),"""",IF(ISDATE(B1484),""X"",""""))"),"")</f>
        <v/>
      </c>
      <c r="K1484" s="40" t="str">
        <f>IFERROR(__xludf.DUMMYFUNCTION("IF(ISBLANK(B1484),"""",IF(ISDATE(B1484),H1484,""""))"),"")</f>
        <v/>
      </c>
      <c r="L1484" s="40" t="str">
        <f>IFERROR(__xludf.DUMMYFUNCTION("IF(ISBLANK(B1484),"""",IF(ISDATE(B1484),TEXT(B1484,""M""),""""))"),"")</f>
        <v/>
      </c>
      <c r="M1484" s="29" t="str">
        <f>IFERROR(__xludf.DUMMYFUNCTION("IF(L1484="""","""",QUERY({'Dashboard-Dados'!$Y$2:$AA$13},""Select Col2 Where Col1=""&amp;L1484))"),"")</f>
        <v/>
      </c>
      <c r="N1484" s="29" t="str">
        <f>IFERROR(__xludf.DUMMYFUNCTION("IF(ISBLANK(B1484),"""",IF(ISDATE(B1484),TEXT(B1484,""yyyy""),""""))"),"")</f>
        <v/>
      </c>
    </row>
    <row r="1485">
      <c r="B1485" s="87"/>
      <c r="C1485" s="85"/>
      <c r="D1485" s="76"/>
      <c r="H1485" s="88"/>
      <c r="J1485" s="53" t="str">
        <f>IFERROR(__xludf.DUMMYFUNCTION("IF(ISBLANK(B1485),"""",IF(ISDATE(B1485),""X"",""""))"),"")</f>
        <v/>
      </c>
      <c r="K1485" s="40" t="str">
        <f>IFERROR(__xludf.DUMMYFUNCTION("IF(ISBLANK(B1485),"""",IF(ISDATE(B1485),H1485,""""))"),"")</f>
        <v/>
      </c>
      <c r="L1485" s="40" t="str">
        <f>IFERROR(__xludf.DUMMYFUNCTION("IF(ISBLANK(B1485),"""",IF(ISDATE(B1485),TEXT(B1485,""M""),""""))"),"")</f>
        <v/>
      </c>
      <c r="M1485" s="29" t="str">
        <f>IFERROR(__xludf.DUMMYFUNCTION("IF(L1485="""","""",QUERY({'Dashboard-Dados'!$Y$2:$AA$13},""Select Col2 Where Col1=""&amp;L1485))"),"")</f>
        <v/>
      </c>
      <c r="N1485" s="29" t="str">
        <f>IFERROR(__xludf.DUMMYFUNCTION("IF(ISBLANK(B1485),"""",IF(ISDATE(B1485),TEXT(B1485,""yyyy""),""""))"),"")</f>
        <v/>
      </c>
    </row>
    <row r="1486">
      <c r="B1486" s="89"/>
      <c r="C1486" s="86"/>
      <c r="D1486" s="71"/>
      <c r="H1486" s="90"/>
      <c r="J1486" s="53" t="str">
        <f>IFERROR(__xludf.DUMMYFUNCTION("IF(ISBLANK(B1486),"""",IF(ISDATE(B1486),""X"",""""))"),"")</f>
        <v/>
      </c>
      <c r="K1486" s="40" t="str">
        <f>IFERROR(__xludf.DUMMYFUNCTION("IF(ISBLANK(B1486),"""",IF(ISDATE(B1486),H1486,""""))"),"")</f>
        <v/>
      </c>
      <c r="L1486" s="40" t="str">
        <f>IFERROR(__xludf.DUMMYFUNCTION("IF(ISBLANK(B1486),"""",IF(ISDATE(B1486),TEXT(B1486,""M""),""""))"),"")</f>
        <v/>
      </c>
      <c r="M1486" s="29" t="str">
        <f>IFERROR(__xludf.DUMMYFUNCTION("IF(L1486="""","""",QUERY({'Dashboard-Dados'!$Y$2:$AA$13},""Select Col2 Where Col1=""&amp;L1486))"),"")</f>
        <v/>
      </c>
      <c r="N1486" s="29" t="str">
        <f>IFERROR(__xludf.DUMMYFUNCTION("IF(ISBLANK(B1486),"""",IF(ISDATE(B1486),TEXT(B1486,""yyyy""),""""))"),"")</f>
        <v/>
      </c>
    </row>
    <row r="1487">
      <c r="B1487" s="87"/>
      <c r="C1487" s="85"/>
      <c r="D1487" s="76"/>
      <c r="H1487" s="88"/>
      <c r="J1487" s="53" t="str">
        <f>IFERROR(__xludf.DUMMYFUNCTION("IF(ISBLANK(B1487),"""",IF(ISDATE(B1487),""X"",""""))"),"")</f>
        <v/>
      </c>
      <c r="K1487" s="40" t="str">
        <f>IFERROR(__xludf.DUMMYFUNCTION("IF(ISBLANK(B1487),"""",IF(ISDATE(B1487),H1487,""""))"),"")</f>
        <v/>
      </c>
      <c r="L1487" s="40" t="str">
        <f>IFERROR(__xludf.DUMMYFUNCTION("IF(ISBLANK(B1487),"""",IF(ISDATE(B1487),TEXT(B1487,""M""),""""))"),"")</f>
        <v/>
      </c>
      <c r="M1487" s="29" t="str">
        <f>IFERROR(__xludf.DUMMYFUNCTION("IF(L1487="""","""",QUERY({'Dashboard-Dados'!$Y$2:$AA$13},""Select Col2 Where Col1=""&amp;L1487))"),"")</f>
        <v/>
      </c>
      <c r="N1487" s="29" t="str">
        <f>IFERROR(__xludf.DUMMYFUNCTION("IF(ISBLANK(B1487),"""",IF(ISDATE(B1487),TEXT(B1487,""yyyy""),""""))"),"")</f>
        <v/>
      </c>
    </row>
    <row r="1488">
      <c r="B1488" s="89"/>
      <c r="C1488" s="86"/>
      <c r="D1488" s="71"/>
      <c r="H1488" s="90"/>
      <c r="J1488" s="53" t="str">
        <f>IFERROR(__xludf.DUMMYFUNCTION("IF(ISBLANK(B1488),"""",IF(ISDATE(B1488),""X"",""""))"),"")</f>
        <v/>
      </c>
      <c r="K1488" s="40" t="str">
        <f>IFERROR(__xludf.DUMMYFUNCTION("IF(ISBLANK(B1488),"""",IF(ISDATE(B1488),H1488,""""))"),"")</f>
        <v/>
      </c>
      <c r="L1488" s="40" t="str">
        <f>IFERROR(__xludf.DUMMYFUNCTION("IF(ISBLANK(B1488),"""",IF(ISDATE(B1488),TEXT(B1488,""M""),""""))"),"")</f>
        <v/>
      </c>
      <c r="M1488" s="29" t="str">
        <f>IFERROR(__xludf.DUMMYFUNCTION("IF(L1488="""","""",QUERY({'Dashboard-Dados'!$Y$2:$AA$13},""Select Col2 Where Col1=""&amp;L1488))"),"")</f>
        <v/>
      </c>
      <c r="N1488" s="29" t="str">
        <f>IFERROR(__xludf.DUMMYFUNCTION("IF(ISBLANK(B1488),"""",IF(ISDATE(B1488),TEXT(B1488,""yyyy""),""""))"),"")</f>
        <v/>
      </c>
    </row>
    <row r="1489">
      <c r="B1489" s="87"/>
      <c r="C1489" s="85"/>
      <c r="D1489" s="76"/>
      <c r="H1489" s="88"/>
      <c r="J1489" s="53" t="str">
        <f>IFERROR(__xludf.DUMMYFUNCTION("IF(ISBLANK(B1489),"""",IF(ISDATE(B1489),""X"",""""))"),"")</f>
        <v/>
      </c>
      <c r="K1489" s="40" t="str">
        <f>IFERROR(__xludf.DUMMYFUNCTION("IF(ISBLANK(B1489),"""",IF(ISDATE(B1489),H1489,""""))"),"")</f>
        <v/>
      </c>
      <c r="L1489" s="40" t="str">
        <f>IFERROR(__xludf.DUMMYFUNCTION("IF(ISBLANK(B1489),"""",IF(ISDATE(B1489),TEXT(B1489,""M""),""""))"),"")</f>
        <v/>
      </c>
      <c r="M1489" s="29" t="str">
        <f>IFERROR(__xludf.DUMMYFUNCTION("IF(L1489="""","""",QUERY({'Dashboard-Dados'!$Y$2:$AA$13},""Select Col2 Where Col1=""&amp;L1489))"),"")</f>
        <v/>
      </c>
      <c r="N1489" s="29" t="str">
        <f>IFERROR(__xludf.DUMMYFUNCTION("IF(ISBLANK(B1489),"""",IF(ISDATE(B1489),TEXT(B1489,""yyyy""),""""))"),"")</f>
        <v/>
      </c>
    </row>
    <row r="1490">
      <c r="B1490" s="89"/>
      <c r="C1490" s="86"/>
      <c r="D1490" s="71"/>
      <c r="H1490" s="90"/>
      <c r="J1490" s="53" t="str">
        <f>IFERROR(__xludf.DUMMYFUNCTION("IF(ISBLANK(B1490),"""",IF(ISDATE(B1490),""X"",""""))"),"")</f>
        <v/>
      </c>
      <c r="K1490" s="40" t="str">
        <f>IFERROR(__xludf.DUMMYFUNCTION("IF(ISBLANK(B1490),"""",IF(ISDATE(B1490),H1490,""""))"),"")</f>
        <v/>
      </c>
      <c r="L1490" s="40" t="str">
        <f>IFERROR(__xludf.DUMMYFUNCTION("IF(ISBLANK(B1490),"""",IF(ISDATE(B1490),TEXT(B1490,""M""),""""))"),"")</f>
        <v/>
      </c>
      <c r="M1490" s="29" t="str">
        <f>IFERROR(__xludf.DUMMYFUNCTION("IF(L1490="""","""",QUERY({'Dashboard-Dados'!$Y$2:$AA$13},""Select Col2 Where Col1=""&amp;L1490))"),"")</f>
        <v/>
      </c>
      <c r="N1490" s="29" t="str">
        <f>IFERROR(__xludf.DUMMYFUNCTION("IF(ISBLANK(B1490),"""",IF(ISDATE(B1490),TEXT(B1490,""yyyy""),""""))"),"")</f>
        <v/>
      </c>
    </row>
    <row r="1491">
      <c r="B1491" s="87"/>
      <c r="C1491" s="85"/>
      <c r="D1491" s="76"/>
      <c r="H1491" s="88"/>
      <c r="J1491" s="53" t="str">
        <f>IFERROR(__xludf.DUMMYFUNCTION("IF(ISBLANK(B1491),"""",IF(ISDATE(B1491),""X"",""""))"),"")</f>
        <v/>
      </c>
      <c r="K1491" s="40" t="str">
        <f>IFERROR(__xludf.DUMMYFUNCTION("IF(ISBLANK(B1491),"""",IF(ISDATE(B1491),H1491,""""))"),"")</f>
        <v/>
      </c>
      <c r="L1491" s="40" t="str">
        <f>IFERROR(__xludf.DUMMYFUNCTION("IF(ISBLANK(B1491),"""",IF(ISDATE(B1491),TEXT(B1491,""M""),""""))"),"")</f>
        <v/>
      </c>
      <c r="M1491" s="29" t="str">
        <f>IFERROR(__xludf.DUMMYFUNCTION("IF(L1491="""","""",QUERY({'Dashboard-Dados'!$Y$2:$AA$13},""Select Col2 Where Col1=""&amp;L1491))"),"")</f>
        <v/>
      </c>
      <c r="N1491" s="29" t="str">
        <f>IFERROR(__xludf.DUMMYFUNCTION("IF(ISBLANK(B1491),"""",IF(ISDATE(B1491),TEXT(B1491,""yyyy""),""""))"),"")</f>
        <v/>
      </c>
    </row>
    <row r="1492">
      <c r="B1492" s="89"/>
      <c r="C1492" s="86"/>
      <c r="D1492" s="71"/>
      <c r="H1492" s="90"/>
      <c r="J1492" s="53" t="str">
        <f>IFERROR(__xludf.DUMMYFUNCTION("IF(ISBLANK(B1492),"""",IF(ISDATE(B1492),""X"",""""))"),"")</f>
        <v/>
      </c>
      <c r="K1492" s="40" t="str">
        <f>IFERROR(__xludf.DUMMYFUNCTION("IF(ISBLANK(B1492),"""",IF(ISDATE(B1492),H1492,""""))"),"")</f>
        <v/>
      </c>
      <c r="L1492" s="40" t="str">
        <f>IFERROR(__xludf.DUMMYFUNCTION("IF(ISBLANK(B1492),"""",IF(ISDATE(B1492),TEXT(B1492,""M""),""""))"),"")</f>
        <v/>
      </c>
      <c r="M1492" s="29" t="str">
        <f>IFERROR(__xludf.DUMMYFUNCTION("IF(L1492="""","""",QUERY({'Dashboard-Dados'!$Y$2:$AA$13},""Select Col2 Where Col1=""&amp;L1492))"),"")</f>
        <v/>
      </c>
      <c r="N1492" s="29" t="str">
        <f>IFERROR(__xludf.DUMMYFUNCTION("IF(ISBLANK(B1492),"""",IF(ISDATE(B1492),TEXT(B1492,""yyyy""),""""))"),"")</f>
        <v/>
      </c>
    </row>
    <row r="1493">
      <c r="B1493" s="87"/>
      <c r="C1493" s="85"/>
      <c r="D1493" s="76"/>
      <c r="H1493" s="88"/>
      <c r="J1493" s="53" t="str">
        <f>IFERROR(__xludf.DUMMYFUNCTION("IF(ISBLANK(B1493),"""",IF(ISDATE(B1493),""X"",""""))"),"")</f>
        <v/>
      </c>
      <c r="K1493" s="40" t="str">
        <f>IFERROR(__xludf.DUMMYFUNCTION("IF(ISBLANK(B1493),"""",IF(ISDATE(B1493),H1493,""""))"),"")</f>
        <v/>
      </c>
      <c r="L1493" s="40" t="str">
        <f>IFERROR(__xludf.DUMMYFUNCTION("IF(ISBLANK(B1493),"""",IF(ISDATE(B1493),TEXT(B1493,""M""),""""))"),"")</f>
        <v/>
      </c>
      <c r="M1493" s="29" t="str">
        <f>IFERROR(__xludf.DUMMYFUNCTION("IF(L1493="""","""",QUERY({'Dashboard-Dados'!$Y$2:$AA$13},""Select Col2 Where Col1=""&amp;L1493))"),"")</f>
        <v/>
      </c>
      <c r="N1493" s="29" t="str">
        <f>IFERROR(__xludf.DUMMYFUNCTION("IF(ISBLANK(B1493),"""",IF(ISDATE(B1493),TEXT(B1493,""yyyy""),""""))"),"")</f>
        <v/>
      </c>
    </row>
    <row r="1494">
      <c r="B1494" s="89"/>
      <c r="C1494" s="86"/>
      <c r="D1494" s="71"/>
      <c r="H1494" s="90"/>
      <c r="J1494" s="53" t="str">
        <f>IFERROR(__xludf.DUMMYFUNCTION("IF(ISBLANK(B1494),"""",IF(ISDATE(B1494),""X"",""""))"),"")</f>
        <v/>
      </c>
      <c r="K1494" s="40" t="str">
        <f>IFERROR(__xludf.DUMMYFUNCTION("IF(ISBLANK(B1494),"""",IF(ISDATE(B1494),H1494,""""))"),"")</f>
        <v/>
      </c>
      <c r="L1494" s="40" t="str">
        <f>IFERROR(__xludf.DUMMYFUNCTION("IF(ISBLANK(B1494),"""",IF(ISDATE(B1494),TEXT(B1494,""M""),""""))"),"")</f>
        <v/>
      </c>
      <c r="M1494" s="29" t="str">
        <f>IFERROR(__xludf.DUMMYFUNCTION("IF(L1494="""","""",QUERY({'Dashboard-Dados'!$Y$2:$AA$13},""Select Col2 Where Col1=""&amp;L1494))"),"")</f>
        <v/>
      </c>
      <c r="N1494" s="29" t="str">
        <f>IFERROR(__xludf.DUMMYFUNCTION("IF(ISBLANK(B1494),"""",IF(ISDATE(B1494),TEXT(B1494,""yyyy""),""""))"),"")</f>
        <v/>
      </c>
    </row>
    <row r="1495">
      <c r="B1495" s="87"/>
      <c r="C1495" s="85"/>
      <c r="D1495" s="76"/>
      <c r="H1495" s="88"/>
      <c r="J1495" s="53" t="str">
        <f>IFERROR(__xludf.DUMMYFUNCTION("IF(ISBLANK(B1495),"""",IF(ISDATE(B1495),""X"",""""))"),"")</f>
        <v/>
      </c>
      <c r="K1495" s="40" t="str">
        <f>IFERROR(__xludf.DUMMYFUNCTION("IF(ISBLANK(B1495),"""",IF(ISDATE(B1495),H1495,""""))"),"")</f>
        <v/>
      </c>
      <c r="L1495" s="40" t="str">
        <f>IFERROR(__xludf.DUMMYFUNCTION("IF(ISBLANK(B1495),"""",IF(ISDATE(B1495),TEXT(B1495,""M""),""""))"),"")</f>
        <v/>
      </c>
      <c r="M1495" s="29" t="str">
        <f>IFERROR(__xludf.DUMMYFUNCTION("IF(L1495="""","""",QUERY({'Dashboard-Dados'!$Y$2:$AA$13},""Select Col2 Where Col1=""&amp;L1495))"),"")</f>
        <v/>
      </c>
      <c r="N1495" s="29" t="str">
        <f>IFERROR(__xludf.DUMMYFUNCTION("IF(ISBLANK(B1495),"""",IF(ISDATE(B1495),TEXT(B1495,""yyyy""),""""))"),"")</f>
        <v/>
      </c>
    </row>
    <row r="1496">
      <c r="B1496" s="89"/>
      <c r="C1496" s="86"/>
      <c r="D1496" s="71"/>
      <c r="H1496" s="90"/>
      <c r="J1496" s="53" t="str">
        <f>IFERROR(__xludf.DUMMYFUNCTION("IF(ISBLANK(B1496),"""",IF(ISDATE(B1496),""X"",""""))"),"")</f>
        <v/>
      </c>
      <c r="K1496" s="40" t="str">
        <f>IFERROR(__xludf.DUMMYFUNCTION("IF(ISBLANK(B1496),"""",IF(ISDATE(B1496),H1496,""""))"),"")</f>
        <v/>
      </c>
      <c r="L1496" s="40" t="str">
        <f>IFERROR(__xludf.DUMMYFUNCTION("IF(ISBLANK(B1496),"""",IF(ISDATE(B1496),TEXT(B1496,""M""),""""))"),"")</f>
        <v/>
      </c>
      <c r="M1496" s="29" t="str">
        <f>IFERROR(__xludf.DUMMYFUNCTION("IF(L1496="""","""",QUERY({'Dashboard-Dados'!$Y$2:$AA$13},""Select Col2 Where Col1=""&amp;L1496))"),"")</f>
        <v/>
      </c>
      <c r="N1496" s="29" t="str">
        <f>IFERROR(__xludf.DUMMYFUNCTION("IF(ISBLANK(B1496),"""",IF(ISDATE(B1496),TEXT(B1496,""yyyy""),""""))"),"")</f>
        <v/>
      </c>
    </row>
    <row r="1497">
      <c r="B1497" s="87"/>
      <c r="C1497" s="85"/>
      <c r="D1497" s="76"/>
      <c r="H1497" s="88"/>
      <c r="J1497" s="53" t="str">
        <f>IFERROR(__xludf.DUMMYFUNCTION("IF(ISBLANK(B1497),"""",IF(ISDATE(B1497),""X"",""""))"),"")</f>
        <v/>
      </c>
      <c r="K1497" s="40" t="str">
        <f>IFERROR(__xludf.DUMMYFUNCTION("IF(ISBLANK(B1497),"""",IF(ISDATE(B1497),H1497,""""))"),"")</f>
        <v/>
      </c>
      <c r="L1497" s="40" t="str">
        <f>IFERROR(__xludf.DUMMYFUNCTION("IF(ISBLANK(B1497),"""",IF(ISDATE(B1497),TEXT(B1497,""M""),""""))"),"")</f>
        <v/>
      </c>
      <c r="M1497" s="29" t="str">
        <f>IFERROR(__xludf.DUMMYFUNCTION("IF(L1497="""","""",QUERY({'Dashboard-Dados'!$Y$2:$AA$13},""Select Col2 Where Col1=""&amp;L1497))"),"")</f>
        <v/>
      </c>
      <c r="N1497" s="29" t="str">
        <f>IFERROR(__xludf.DUMMYFUNCTION("IF(ISBLANK(B1497),"""",IF(ISDATE(B1497),TEXT(B1497,""yyyy""),""""))"),"")</f>
        <v/>
      </c>
    </row>
    <row r="1498">
      <c r="B1498" s="89"/>
      <c r="C1498" s="86"/>
      <c r="D1498" s="71"/>
      <c r="H1498" s="90"/>
      <c r="J1498" s="53" t="str">
        <f>IFERROR(__xludf.DUMMYFUNCTION("IF(ISBLANK(B1498),"""",IF(ISDATE(B1498),""X"",""""))"),"")</f>
        <v/>
      </c>
      <c r="K1498" s="40" t="str">
        <f>IFERROR(__xludf.DUMMYFUNCTION("IF(ISBLANK(B1498),"""",IF(ISDATE(B1498),H1498,""""))"),"")</f>
        <v/>
      </c>
      <c r="L1498" s="40" t="str">
        <f>IFERROR(__xludf.DUMMYFUNCTION("IF(ISBLANK(B1498),"""",IF(ISDATE(B1498),TEXT(B1498,""M""),""""))"),"")</f>
        <v/>
      </c>
      <c r="M1498" s="29" t="str">
        <f>IFERROR(__xludf.DUMMYFUNCTION("IF(L1498="""","""",QUERY({'Dashboard-Dados'!$Y$2:$AA$13},""Select Col2 Where Col1=""&amp;L1498))"),"")</f>
        <v/>
      </c>
      <c r="N1498" s="29" t="str">
        <f>IFERROR(__xludf.DUMMYFUNCTION("IF(ISBLANK(B1498),"""",IF(ISDATE(B1498),TEXT(B1498,""yyyy""),""""))"),"")</f>
        <v/>
      </c>
    </row>
    <row r="1499">
      <c r="B1499" s="87"/>
      <c r="C1499" s="85"/>
      <c r="D1499" s="76"/>
      <c r="H1499" s="88"/>
      <c r="J1499" s="53" t="str">
        <f>IFERROR(__xludf.DUMMYFUNCTION("IF(ISBLANK(B1499),"""",IF(ISDATE(B1499),""X"",""""))"),"")</f>
        <v/>
      </c>
      <c r="K1499" s="40" t="str">
        <f>IFERROR(__xludf.DUMMYFUNCTION("IF(ISBLANK(B1499),"""",IF(ISDATE(B1499),H1499,""""))"),"")</f>
        <v/>
      </c>
      <c r="L1499" s="40" t="str">
        <f>IFERROR(__xludf.DUMMYFUNCTION("IF(ISBLANK(B1499),"""",IF(ISDATE(B1499),TEXT(B1499,""M""),""""))"),"")</f>
        <v/>
      </c>
      <c r="M1499" s="29" t="str">
        <f>IFERROR(__xludf.DUMMYFUNCTION("IF(L1499="""","""",QUERY({'Dashboard-Dados'!$Y$2:$AA$13},""Select Col2 Where Col1=""&amp;L1499))"),"")</f>
        <v/>
      </c>
      <c r="N1499" s="29" t="str">
        <f>IFERROR(__xludf.DUMMYFUNCTION("IF(ISBLANK(B1499),"""",IF(ISDATE(B1499),TEXT(B1499,""yyyy""),""""))"),"")</f>
        <v/>
      </c>
    </row>
    <row r="1500">
      <c r="B1500" s="89"/>
      <c r="C1500" s="86"/>
      <c r="D1500" s="71"/>
      <c r="H1500" s="90"/>
      <c r="J1500" s="53" t="str">
        <f>IFERROR(__xludf.DUMMYFUNCTION("IF(ISBLANK(B1500),"""",IF(ISDATE(B1500),""X"",""""))"),"")</f>
        <v/>
      </c>
      <c r="K1500" s="40" t="str">
        <f>IFERROR(__xludf.DUMMYFUNCTION("IF(ISBLANK(B1500),"""",IF(ISDATE(B1500),H1500,""""))"),"")</f>
        <v/>
      </c>
      <c r="L1500" s="40" t="str">
        <f>IFERROR(__xludf.DUMMYFUNCTION("IF(ISBLANK(B1500),"""",IF(ISDATE(B1500),TEXT(B1500,""M""),""""))"),"")</f>
        <v/>
      </c>
      <c r="M1500" s="29" t="str">
        <f>IFERROR(__xludf.DUMMYFUNCTION("IF(L1500="""","""",QUERY({'Dashboard-Dados'!$Y$2:$AA$13},""Select Col2 Where Col1=""&amp;L1500))"),"")</f>
        <v/>
      </c>
      <c r="N1500" s="29" t="str">
        <f>IFERROR(__xludf.DUMMYFUNCTION("IF(ISBLANK(B1500),"""",IF(ISDATE(B1500),TEXT(B1500,""yyyy""),""""))"),"")</f>
        <v/>
      </c>
    </row>
    <row r="1501">
      <c r="B1501" s="87"/>
      <c r="C1501" s="85"/>
      <c r="D1501" s="76"/>
      <c r="H1501" s="88"/>
      <c r="J1501" s="53" t="str">
        <f>IFERROR(__xludf.DUMMYFUNCTION("IF(ISBLANK(B1501),"""",IF(ISDATE(B1501),""X"",""""))"),"")</f>
        <v/>
      </c>
      <c r="K1501" s="40" t="str">
        <f>IFERROR(__xludf.DUMMYFUNCTION("IF(ISBLANK(B1501),"""",IF(ISDATE(B1501),H1501,""""))"),"")</f>
        <v/>
      </c>
      <c r="L1501" s="40" t="str">
        <f>IFERROR(__xludf.DUMMYFUNCTION("IF(ISBLANK(B1501),"""",IF(ISDATE(B1501),TEXT(B1501,""M""),""""))"),"")</f>
        <v/>
      </c>
      <c r="M1501" s="29" t="str">
        <f>IFERROR(__xludf.DUMMYFUNCTION("IF(L1501="""","""",QUERY({'Dashboard-Dados'!$Y$2:$AA$13},""Select Col2 Where Col1=""&amp;L1501))"),"")</f>
        <v/>
      </c>
      <c r="N1501" s="29" t="str">
        <f>IFERROR(__xludf.DUMMYFUNCTION("IF(ISBLANK(B1501),"""",IF(ISDATE(B1501),TEXT(B1501,""yyyy""),""""))"),"")</f>
        <v/>
      </c>
    </row>
    <row r="1502">
      <c r="B1502" s="89"/>
      <c r="C1502" s="86"/>
      <c r="D1502" s="71"/>
      <c r="H1502" s="90"/>
      <c r="J1502" s="53" t="str">
        <f>IFERROR(__xludf.DUMMYFUNCTION("IF(ISBLANK(B1502),"""",IF(ISDATE(B1502),""X"",""""))"),"")</f>
        <v/>
      </c>
      <c r="K1502" s="40" t="str">
        <f>IFERROR(__xludf.DUMMYFUNCTION("IF(ISBLANK(B1502),"""",IF(ISDATE(B1502),H1502,""""))"),"")</f>
        <v/>
      </c>
      <c r="L1502" s="40" t="str">
        <f>IFERROR(__xludf.DUMMYFUNCTION("IF(ISBLANK(B1502),"""",IF(ISDATE(B1502),TEXT(B1502,""M""),""""))"),"")</f>
        <v/>
      </c>
      <c r="M1502" s="29" t="str">
        <f>IFERROR(__xludf.DUMMYFUNCTION("IF(L1502="""","""",QUERY({'Dashboard-Dados'!$Y$2:$AA$13},""Select Col2 Where Col1=""&amp;L1502))"),"")</f>
        <v/>
      </c>
      <c r="N1502" s="29" t="str">
        <f>IFERROR(__xludf.DUMMYFUNCTION("IF(ISBLANK(B1502),"""",IF(ISDATE(B1502),TEXT(B1502,""yyyy""),""""))"),"")</f>
        <v/>
      </c>
    </row>
    <row r="1503">
      <c r="B1503" s="87"/>
      <c r="C1503" s="85"/>
      <c r="D1503" s="76"/>
      <c r="H1503" s="88"/>
      <c r="J1503" s="53" t="str">
        <f>IFERROR(__xludf.DUMMYFUNCTION("IF(ISBLANK(B1503),"""",IF(ISDATE(B1503),""X"",""""))"),"")</f>
        <v/>
      </c>
      <c r="K1503" s="40" t="str">
        <f>IFERROR(__xludf.DUMMYFUNCTION("IF(ISBLANK(B1503),"""",IF(ISDATE(B1503),H1503,""""))"),"")</f>
        <v/>
      </c>
      <c r="L1503" s="40" t="str">
        <f>IFERROR(__xludf.DUMMYFUNCTION("IF(ISBLANK(B1503),"""",IF(ISDATE(B1503),TEXT(B1503,""M""),""""))"),"")</f>
        <v/>
      </c>
      <c r="M1503" s="29" t="str">
        <f>IFERROR(__xludf.DUMMYFUNCTION("IF(L1503="""","""",QUERY({'Dashboard-Dados'!$Y$2:$AA$13},""Select Col2 Where Col1=""&amp;L1503))"),"")</f>
        <v/>
      </c>
      <c r="N1503" s="29" t="str">
        <f>IFERROR(__xludf.DUMMYFUNCTION("IF(ISBLANK(B1503),"""",IF(ISDATE(B1503),TEXT(B1503,""yyyy""),""""))"),"")</f>
        <v/>
      </c>
    </row>
    <row r="1504">
      <c r="B1504" s="89"/>
      <c r="C1504" s="86"/>
      <c r="D1504" s="71"/>
      <c r="H1504" s="90"/>
      <c r="J1504" s="53" t="str">
        <f>IFERROR(__xludf.DUMMYFUNCTION("IF(ISBLANK(B1504),"""",IF(ISDATE(B1504),""X"",""""))"),"")</f>
        <v/>
      </c>
      <c r="K1504" s="40" t="str">
        <f>IFERROR(__xludf.DUMMYFUNCTION("IF(ISBLANK(B1504),"""",IF(ISDATE(B1504),H1504,""""))"),"")</f>
        <v/>
      </c>
      <c r="L1504" s="40" t="str">
        <f>IFERROR(__xludf.DUMMYFUNCTION("IF(ISBLANK(B1504),"""",IF(ISDATE(B1504),TEXT(B1504,""M""),""""))"),"")</f>
        <v/>
      </c>
      <c r="M1504" s="29" t="str">
        <f>IFERROR(__xludf.DUMMYFUNCTION("IF(L1504="""","""",QUERY({'Dashboard-Dados'!$Y$2:$AA$13},""Select Col2 Where Col1=""&amp;L1504))"),"")</f>
        <v/>
      </c>
      <c r="N1504" s="29" t="str">
        <f>IFERROR(__xludf.DUMMYFUNCTION("IF(ISBLANK(B1504),"""",IF(ISDATE(B1504),TEXT(B1504,""yyyy""),""""))"),"")</f>
        <v/>
      </c>
    </row>
    <row r="1505">
      <c r="B1505" s="87"/>
      <c r="C1505" s="85"/>
      <c r="D1505" s="76"/>
      <c r="H1505" s="88"/>
      <c r="J1505" s="53" t="str">
        <f>IFERROR(__xludf.DUMMYFUNCTION("IF(ISBLANK(B1505),"""",IF(ISDATE(B1505),""X"",""""))"),"")</f>
        <v/>
      </c>
      <c r="K1505" s="40" t="str">
        <f>IFERROR(__xludf.DUMMYFUNCTION("IF(ISBLANK(B1505),"""",IF(ISDATE(B1505),H1505,""""))"),"")</f>
        <v/>
      </c>
      <c r="L1505" s="40" t="str">
        <f>IFERROR(__xludf.DUMMYFUNCTION("IF(ISBLANK(B1505),"""",IF(ISDATE(B1505),TEXT(B1505,""M""),""""))"),"")</f>
        <v/>
      </c>
      <c r="M1505" s="29" t="str">
        <f>IFERROR(__xludf.DUMMYFUNCTION("IF(L1505="""","""",QUERY({'Dashboard-Dados'!$Y$2:$AA$13},""Select Col2 Where Col1=""&amp;L1505))"),"")</f>
        <v/>
      </c>
      <c r="N1505" s="29" t="str">
        <f>IFERROR(__xludf.DUMMYFUNCTION("IF(ISBLANK(B1505),"""",IF(ISDATE(B1505),TEXT(B1505,""yyyy""),""""))"),"")</f>
        <v/>
      </c>
    </row>
    <row r="1506">
      <c r="B1506" s="89"/>
      <c r="C1506" s="86"/>
      <c r="D1506" s="71"/>
      <c r="H1506" s="90"/>
      <c r="J1506" s="53" t="str">
        <f>IFERROR(__xludf.DUMMYFUNCTION("IF(ISBLANK(B1506),"""",IF(ISDATE(B1506),""X"",""""))"),"")</f>
        <v/>
      </c>
      <c r="K1506" s="40" t="str">
        <f>IFERROR(__xludf.DUMMYFUNCTION("IF(ISBLANK(B1506),"""",IF(ISDATE(B1506),H1506,""""))"),"")</f>
        <v/>
      </c>
      <c r="L1506" s="40" t="str">
        <f>IFERROR(__xludf.DUMMYFUNCTION("IF(ISBLANK(B1506),"""",IF(ISDATE(B1506),TEXT(B1506,""M""),""""))"),"")</f>
        <v/>
      </c>
      <c r="M1506" s="29" t="str">
        <f>IFERROR(__xludf.DUMMYFUNCTION("IF(L1506="""","""",QUERY({'Dashboard-Dados'!$Y$2:$AA$13},""Select Col2 Where Col1=""&amp;L1506))"),"")</f>
        <v/>
      </c>
      <c r="N1506" s="29" t="str">
        <f>IFERROR(__xludf.DUMMYFUNCTION("IF(ISBLANK(B1506),"""",IF(ISDATE(B1506),TEXT(B1506,""yyyy""),""""))"),"")</f>
        <v/>
      </c>
    </row>
    <row r="1507">
      <c r="B1507" s="87"/>
      <c r="C1507" s="85"/>
      <c r="D1507" s="76"/>
      <c r="H1507" s="88"/>
      <c r="J1507" s="53" t="str">
        <f>IFERROR(__xludf.DUMMYFUNCTION("IF(ISBLANK(B1507),"""",IF(ISDATE(B1507),""X"",""""))"),"")</f>
        <v/>
      </c>
      <c r="K1507" s="40" t="str">
        <f>IFERROR(__xludf.DUMMYFUNCTION("IF(ISBLANK(B1507),"""",IF(ISDATE(B1507),H1507,""""))"),"")</f>
        <v/>
      </c>
      <c r="L1507" s="40" t="str">
        <f>IFERROR(__xludf.DUMMYFUNCTION("IF(ISBLANK(B1507),"""",IF(ISDATE(B1507),TEXT(B1507,""M""),""""))"),"")</f>
        <v/>
      </c>
      <c r="M1507" s="29" t="str">
        <f>IFERROR(__xludf.DUMMYFUNCTION("IF(L1507="""","""",QUERY({'Dashboard-Dados'!$Y$2:$AA$13},""Select Col2 Where Col1=""&amp;L1507))"),"")</f>
        <v/>
      </c>
      <c r="N1507" s="29" t="str">
        <f>IFERROR(__xludf.DUMMYFUNCTION("IF(ISBLANK(B1507),"""",IF(ISDATE(B1507),TEXT(B1507,""yyyy""),""""))"),"")</f>
        <v/>
      </c>
    </row>
    <row r="1508">
      <c r="B1508" s="89"/>
      <c r="C1508" s="86"/>
      <c r="D1508" s="71"/>
      <c r="H1508" s="90"/>
      <c r="J1508" s="53" t="str">
        <f>IFERROR(__xludf.DUMMYFUNCTION("IF(ISBLANK(B1508),"""",IF(ISDATE(B1508),""X"",""""))"),"")</f>
        <v/>
      </c>
      <c r="K1508" s="40" t="str">
        <f>IFERROR(__xludf.DUMMYFUNCTION("IF(ISBLANK(B1508),"""",IF(ISDATE(B1508),H1508,""""))"),"")</f>
        <v/>
      </c>
      <c r="L1508" s="40" t="str">
        <f>IFERROR(__xludf.DUMMYFUNCTION("IF(ISBLANK(B1508),"""",IF(ISDATE(B1508),TEXT(B1508,""M""),""""))"),"")</f>
        <v/>
      </c>
      <c r="M1508" s="29" t="str">
        <f>IFERROR(__xludf.DUMMYFUNCTION("IF(L1508="""","""",QUERY({'Dashboard-Dados'!$Y$2:$AA$13},""Select Col2 Where Col1=""&amp;L1508))"),"")</f>
        <v/>
      </c>
      <c r="N1508" s="29" t="str">
        <f>IFERROR(__xludf.DUMMYFUNCTION("IF(ISBLANK(B1508),"""",IF(ISDATE(B1508),TEXT(B1508,""yyyy""),""""))"),"")</f>
        <v/>
      </c>
    </row>
    <row r="1509">
      <c r="B1509" s="87"/>
      <c r="C1509" s="85"/>
      <c r="D1509" s="76"/>
      <c r="H1509" s="88"/>
      <c r="J1509" s="53" t="str">
        <f>IFERROR(__xludf.DUMMYFUNCTION("IF(ISBLANK(B1509),"""",IF(ISDATE(B1509),""X"",""""))"),"")</f>
        <v/>
      </c>
      <c r="K1509" s="40" t="str">
        <f>IFERROR(__xludf.DUMMYFUNCTION("IF(ISBLANK(B1509),"""",IF(ISDATE(B1509),H1509,""""))"),"")</f>
        <v/>
      </c>
      <c r="L1509" s="40" t="str">
        <f>IFERROR(__xludf.DUMMYFUNCTION("IF(ISBLANK(B1509),"""",IF(ISDATE(B1509),TEXT(B1509,""M""),""""))"),"")</f>
        <v/>
      </c>
      <c r="M1509" s="29" t="str">
        <f>IFERROR(__xludf.DUMMYFUNCTION("IF(L1509="""","""",QUERY({'Dashboard-Dados'!$Y$2:$AA$13},""Select Col2 Where Col1=""&amp;L1509))"),"")</f>
        <v/>
      </c>
      <c r="N1509" s="29" t="str">
        <f>IFERROR(__xludf.DUMMYFUNCTION("IF(ISBLANK(B1509),"""",IF(ISDATE(B1509),TEXT(B1509,""yyyy""),""""))"),"")</f>
        <v/>
      </c>
    </row>
    <row r="1510">
      <c r="B1510" s="89"/>
      <c r="C1510" s="86"/>
      <c r="D1510" s="71"/>
      <c r="H1510" s="90"/>
      <c r="J1510" s="53" t="str">
        <f>IFERROR(__xludf.DUMMYFUNCTION("IF(ISBLANK(B1510),"""",IF(ISDATE(B1510),""X"",""""))"),"")</f>
        <v/>
      </c>
      <c r="K1510" s="40" t="str">
        <f>IFERROR(__xludf.DUMMYFUNCTION("IF(ISBLANK(B1510),"""",IF(ISDATE(B1510),H1510,""""))"),"")</f>
        <v/>
      </c>
      <c r="L1510" s="40" t="str">
        <f>IFERROR(__xludf.DUMMYFUNCTION("IF(ISBLANK(B1510),"""",IF(ISDATE(B1510),TEXT(B1510,""M""),""""))"),"")</f>
        <v/>
      </c>
      <c r="M1510" s="29" t="str">
        <f>IFERROR(__xludf.DUMMYFUNCTION("IF(L1510="""","""",QUERY({'Dashboard-Dados'!$Y$2:$AA$13},""Select Col2 Where Col1=""&amp;L1510))"),"")</f>
        <v/>
      </c>
      <c r="N1510" s="29" t="str">
        <f>IFERROR(__xludf.DUMMYFUNCTION("IF(ISBLANK(B1510),"""",IF(ISDATE(B1510),TEXT(B1510,""yyyy""),""""))"),"")</f>
        <v/>
      </c>
    </row>
    <row r="1511">
      <c r="B1511" s="87"/>
      <c r="C1511" s="85"/>
      <c r="D1511" s="76"/>
      <c r="H1511" s="88"/>
      <c r="J1511" s="53" t="str">
        <f>IFERROR(__xludf.DUMMYFUNCTION("IF(ISBLANK(B1511),"""",IF(ISDATE(B1511),""X"",""""))"),"")</f>
        <v/>
      </c>
      <c r="K1511" s="40" t="str">
        <f>IFERROR(__xludf.DUMMYFUNCTION("IF(ISBLANK(B1511),"""",IF(ISDATE(B1511),H1511,""""))"),"")</f>
        <v/>
      </c>
      <c r="L1511" s="40" t="str">
        <f>IFERROR(__xludf.DUMMYFUNCTION("IF(ISBLANK(B1511),"""",IF(ISDATE(B1511),TEXT(B1511,""M""),""""))"),"")</f>
        <v/>
      </c>
      <c r="M1511" s="29" t="str">
        <f>IFERROR(__xludf.DUMMYFUNCTION("IF(L1511="""","""",QUERY({'Dashboard-Dados'!$Y$2:$AA$13},""Select Col2 Where Col1=""&amp;L1511))"),"")</f>
        <v/>
      </c>
      <c r="N1511" s="29" t="str">
        <f>IFERROR(__xludf.DUMMYFUNCTION("IF(ISBLANK(B1511),"""",IF(ISDATE(B1511),TEXT(B1511,""yyyy""),""""))"),"")</f>
        <v/>
      </c>
    </row>
    <row r="1512">
      <c r="B1512" s="89"/>
      <c r="C1512" s="86"/>
      <c r="D1512" s="71"/>
      <c r="H1512" s="90"/>
      <c r="J1512" s="53" t="str">
        <f>IFERROR(__xludf.DUMMYFUNCTION("IF(ISBLANK(B1512),"""",IF(ISDATE(B1512),""X"",""""))"),"")</f>
        <v/>
      </c>
      <c r="K1512" s="40" t="str">
        <f>IFERROR(__xludf.DUMMYFUNCTION("IF(ISBLANK(B1512),"""",IF(ISDATE(B1512),H1512,""""))"),"")</f>
        <v/>
      </c>
      <c r="L1512" s="40" t="str">
        <f>IFERROR(__xludf.DUMMYFUNCTION("IF(ISBLANK(B1512),"""",IF(ISDATE(B1512),TEXT(B1512,""M""),""""))"),"")</f>
        <v/>
      </c>
      <c r="M1512" s="29" t="str">
        <f>IFERROR(__xludf.DUMMYFUNCTION("IF(L1512="""","""",QUERY({'Dashboard-Dados'!$Y$2:$AA$13},""Select Col2 Where Col1=""&amp;L1512))"),"")</f>
        <v/>
      </c>
      <c r="N1512" s="29" t="str">
        <f>IFERROR(__xludf.DUMMYFUNCTION("IF(ISBLANK(B1512),"""",IF(ISDATE(B1512),TEXT(B1512,""yyyy""),""""))"),"")</f>
        <v/>
      </c>
    </row>
    <row r="1513">
      <c r="B1513" s="87"/>
      <c r="C1513" s="85"/>
      <c r="D1513" s="76"/>
      <c r="H1513" s="88"/>
      <c r="J1513" s="53" t="str">
        <f>IFERROR(__xludf.DUMMYFUNCTION("IF(ISBLANK(B1513),"""",IF(ISDATE(B1513),""X"",""""))"),"")</f>
        <v/>
      </c>
      <c r="K1513" s="40" t="str">
        <f>IFERROR(__xludf.DUMMYFUNCTION("IF(ISBLANK(B1513),"""",IF(ISDATE(B1513),H1513,""""))"),"")</f>
        <v/>
      </c>
      <c r="L1513" s="40" t="str">
        <f>IFERROR(__xludf.DUMMYFUNCTION("IF(ISBLANK(B1513),"""",IF(ISDATE(B1513),TEXT(B1513,""M""),""""))"),"")</f>
        <v/>
      </c>
      <c r="M1513" s="29" t="str">
        <f>IFERROR(__xludf.DUMMYFUNCTION("IF(L1513="""","""",QUERY({'Dashboard-Dados'!$Y$2:$AA$13},""Select Col2 Where Col1=""&amp;L1513))"),"")</f>
        <v/>
      </c>
      <c r="N1513" s="29" t="str">
        <f>IFERROR(__xludf.DUMMYFUNCTION("IF(ISBLANK(B1513),"""",IF(ISDATE(B1513),TEXT(B1513,""yyyy""),""""))"),"")</f>
        <v/>
      </c>
    </row>
    <row r="1514">
      <c r="B1514" s="89"/>
      <c r="C1514" s="86"/>
      <c r="D1514" s="71"/>
      <c r="H1514" s="90"/>
      <c r="J1514" s="53" t="str">
        <f>IFERROR(__xludf.DUMMYFUNCTION("IF(ISBLANK(B1514),"""",IF(ISDATE(B1514),""X"",""""))"),"")</f>
        <v/>
      </c>
      <c r="K1514" s="40" t="str">
        <f>IFERROR(__xludf.DUMMYFUNCTION("IF(ISBLANK(B1514),"""",IF(ISDATE(B1514),H1514,""""))"),"")</f>
        <v/>
      </c>
      <c r="L1514" s="40" t="str">
        <f>IFERROR(__xludf.DUMMYFUNCTION("IF(ISBLANK(B1514),"""",IF(ISDATE(B1514),TEXT(B1514,""M""),""""))"),"")</f>
        <v/>
      </c>
      <c r="M1514" s="29" t="str">
        <f>IFERROR(__xludf.DUMMYFUNCTION("IF(L1514="""","""",QUERY({'Dashboard-Dados'!$Y$2:$AA$13},""Select Col2 Where Col1=""&amp;L1514))"),"")</f>
        <v/>
      </c>
      <c r="N1514" s="29" t="str">
        <f>IFERROR(__xludf.DUMMYFUNCTION("IF(ISBLANK(B1514),"""",IF(ISDATE(B1514),TEXT(B1514,""yyyy""),""""))"),"")</f>
        <v/>
      </c>
    </row>
    <row r="1515">
      <c r="B1515" s="87"/>
      <c r="C1515" s="85"/>
      <c r="D1515" s="76"/>
      <c r="H1515" s="88"/>
      <c r="J1515" s="53" t="str">
        <f>IFERROR(__xludf.DUMMYFUNCTION("IF(ISBLANK(B1515),"""",IF(ISDATE(B1515),""X"",""""))"),"")</f>
        <v/>
      </c>
      <c r="K1515" s="40" t="str">
        <f>IFERROR(__xludf.DUMMYFUNCTION("IF(ISBLANK(B1515),"""",IF(ISDATE(B1515),H1515,""""))"),"")</f>
        <v/>
      </c>
      <c r="L1515" s="40" t="str">
        <f>IFERROR(__xludf.DUMMYFUNCTION("IF(ISBLANK(B1515),"""",IF(ISDATE(B1515),TEXT(B1515,""M""),""""))"),"")</f>
        <v/>
      </c>
      <c r="M1515" s="29" t="str">
        <f>IFERROR(__xludf.DUMMYFUNCTION("IF(L1515="""","""",QUERY({'Dashboard-Dados'!$Y$2:$AA$13},""Select Col2 Where Col1=""&amp;L1515))"),"")</f>
        <v/>
      </c>
      <c r="N1515" s="29" t="str">
        <f>IFERROR(__xludf.DUMMYFUNCTION("IF(ISBLANK(B1515),"""",IF(ISDATE(B1515),TEXT(B1515,""yyyy""),""""))"),"")</f>
        <v/>
      </c>
    </row>
    <row r="1516">
      <c r="B1516" s="89"/>
      <c r="C1516" s="86"/>
      <c r="D1516" s="71"/>
      <c r="H1516" s="90"/>
      <c r="J1516" s="53" t="str">
        <f>IFERROR(__xludf.DUMMYFUNCTION("IF(ISBLANK(B1516),"""",IF(ISDATE(B1516),""X"",""""))"),"")</f>
        <v/>
      </c>
      <c r="K1516" s="40" t="str">
        <f>IFERROR(__xludf.DUMMYFUNCTION("IF(ISBLANK(B1516),"""",IF(ISDATE(B1516),H1516,""""))"),"")</f>
        <v/>
      </c>
      <c r="L1516" s="40" t="str">
        <f>IFERROR(__xludf.DUMMYFUNCTION("IF(ISBLANK(B1516),"""",IF(ISDATE(B1516),TEXT(B1516,""M""),""""))"),"")</f>
        <v/>
      </c>
      <c r="M1516" s="29" t="str">
        <f>IFERROR(__xludf.DUMMYFUNCTION("IF(L1516="""","""",QUERY({'Dashboard-Dados'!$Y$2:$AA$13},""Select Col2 Where Col1=""&amp;L1516))"),"")</f>
        <v/>
      </c>
      <c r="N1516" s="29" t="str">
        <f>IFERROR(__xludf.DUMMYFUNCTION("IF(ISBLANK(B1516),"""",IF(ISDATE(B1516),TEXT(B1516,""yyyy""),""""))"),"")</f>
        <v/>
      </c>
    </row>
    <row r="1517">
      <c r="B1517" s="87"/>
      <c r="C1517" s="85"/>
      <c r="D1517" s="76"/>
      <c r="H1517" s="88"/>
      <c r="J1517" s="53" t="str">
        <f>IFERROR(__xludf.DUMMYFUNCTION("IF(ISBLANK(B1517),"""",IF(ISDATE(B1517),""X"",""""))"),"")</f>
        <v/>
      </c>
      <c r="K1517" s="40" t="str">
        <f>IFERROR(__xludf.DUMMYFUNCTION("IF(ISBLANK(B1517),"""",IF(ISDATE(B1517),H1517,""""))"),"")</f>
        <v/>
      </c>
      <c r="L1517" s="40" t="str">
        <f>IFERROR(__xludf.DUMMYFUNCTION("IF(ISBLANK(B1517),"""",IF(ISDATE(B1517),TEXT(B1517,""M""),""""))"),"")</f>
        <v/>
      </c>
      <c r="M1517" s="29" t="str">
        <f>IFERROR(__xludf.DUMMYFUNCTION("IF(L1517="""","""",QUERY({'Dashboard-Dados'!$Y$2:$AA$13},""Select Col2 Where Col1=""&amp;L1517))"),"")</f>
        <v/>
      </c>
      <c r="N1517" s="29" t="str">
        <f>IFERROR(__xludf.DUMMYFUNCTION("IF(ISBLANK(B1517),"""",IF(ISDATE(B1517),TEXT(B1517,""yyyy""),""""))"),"")</f>
        <v/>
      </c>
    </row>
    <row r="1518">
      <c r="B1518" s="89"/>
      <c r="C1518" s="86"/>
      <c r="D1518" s="71"/>
      <c r="H1518" s="90"/>
      <c r="J1518" s="53" t="str">
        <f>IFERROR(__xludf.DUMMYFUNCTION("IF(ISBLANK(B1518),"""",IF(ISDATE(B1518),""X"",""""))"),"")</f>
        <v/>
      </c>
      <c r="K1518" s="40" t="str">
        <f>IFERROR(__xludf.DUMMYFUNCTION("IF(ISBLANK(B1518),"""",IF(ISDATE(B1518),H1518,""""))"),"")</f>
        <v/>
      </c>
      <c r="L1518" s="40" t="str">
        <f>IFERROR(__xludf.DUMMYFUNCTION("IF(ISBLANK(B1518),"""",IF(ISDATE(B1518),TEXT(B1518,""M""),""""))"),"")</f>
        <v/>
      </c>
      <c r="M1518" s="29" t="str">
        <f>IFERROR(__xludf.DUMMYFUNCTION("IF(L1518="""","""",QUERY({'Dashboard-Dados'!$Y$2:$AA$13},""Select Col2 Where Col1=""&amp;L1518))"),"")</f>
        <v/>
      </c>
      <c r="N1518" s="29" t="str">
        <f>IFERROR(__xludf.DUMMYFUNCTION("IF(ISBLANK(B1518),"""",IF(ISDATE(B1518),TEXT(B1518,""yyyy""),""""))"),"")</f>
        <v/>
      </c>
    </row>
    <row r="1519">
      <c r="B1519" s="87"/>
      <c r="C1519" s="85"/>
      <c r="D1519" s="76"/>
      <c r="H1519" s="88"/>
      <c r="J1519" s="53" t="str">
        <f>IFERROR(__xludf.DUMMYFUNCTION("IF(ISBLANK(B1519),"""",IF(ISDATE(B1519),""X"",""""))"),"")</f>
        <v/>
      </c>
      <c r="K1519" s="40" t="str">
        <f>IFERROR(__xludf.DUMMYFUNCTION("IF(ISBLANK(B1519),"""",IF(ISDATE(B1519),H1519,""""))"),"")</f>
        <v/>
      </c>
      <c r="L1519" s="40" t="str">
        <f>IFERROR(__xludf.DUMMYFUNCTION("IF(ISBLANK(B1519),"""",IF(ISDATE(B1519),TEXT(B1519,""M""),""""))"),"")</f>
        <v/>
      </c>
      <c r="M1519" s="29" t="str">
        <f>IFERROR(__xludf.DUMMYFUNCTION("IF(L1519="""","""",QUERY({'Dashboard-Dados'!$Y$2:$AA$13},""Select Col2 Where Col1=""&amp;L1519))"),"")</f>
        <v/>
      </c>
      <c r="N1519" s="29" t="str">
        <f>IFERROR(__xludf.DUMMYFUNCTION("IF(ISBLANK(B1519),"""",IF(ISDATE(B1519),TEXT(B1519,""yyyy""),""""))"),"")</f>
        <v/>
      </c>
    </row>
    <row r="1520">
      <c r="B1520" s="89"/>
      <c r="C1520" s="86"/>
      <c r="D1520" s="71"/>
      <c r="H1520" s="90"/>
      <c r="J1520" s="53" t="str">
        <f>IFERROR(__xludf.DUMMYFUNCTION("IF(ISBLANK(B1520),"""",IF(ISDATE(B1520),""X"",""""))"),"")</f>
        <v/>
      </c>
      <c r="K1520" s="40" t="str">
        <f>IFERROR(__xludf.DUMMYFUNCTION("IF(ISBLANK(B1520),"""",IF(ISDATE(B1520),H1520,""""))"),"")</f>
        <v/>
      </c>
      <c r="L1520" s="40" t="str">
        <f>IFERROR(__xludf.DUMMYFUNCTION("IF(ISBLANK(B1520),"""",IF(ISDATE(B1520),TEXT(B1520,""M""),""""))"),"")</f>
        <v/>
      </c>
      <c r="M1520" s="29" t="str">
        <f>IFERROR(__xludf.DUMMYFUNCTION("IF(L1520="""","""",QUERY({'Dashboard-Dados'!$Y$2:$AA$13},""Select Col2 Where Col1=""&amp;L1520))"),"")</f>
        <v/>
      </c>
      <c r="N1520" s="29" t="str">
        <f>IFERROR(__xludf.DUMMYFUNCTION("IF(ISBLANK(B1520),"""",IF(ISDATE(B1520),TEXT(B1520,""yyyy""),""""))"),"")</f>
        <v/>
      </c>
    </row>
    <row r="1521">
      <c r="B1521" s="87"/>
      <c r="C1521" s="85"/>
      <c r="D1521" s="76"/>
      <c r="H1521" s="88"/>
      <c r="J1521" s="53" t="str">
        <f>IFERROR(__xludf.DUMMYFUNCTION("IF(ISBLANK(B1521),"""",IF(ISDATE(B1521),""X"",""""))"),"")</f>
        <v/>
      </c>
      <c r="K1521" s="40" t="str">
        <f>IFERROR(__xludf.DUMMYFUNCTION("IF(ISBLANK(B1521),"""",IF(ISDATE(B1521),H1521,""""))"),"")</f>
        <v/>
      </c>
      <c r="L1521" s="40" t="str">
        <f>IFERROR(__xludf.DUMMYFUNCTION("IF(ISBLANK(B1521),"""",IF(ISDATE(B1521),TEXT(B1521,""M""),""""))"),"")</f>
        <v/>
      </c>
      <c r="M1521" s="29" t="str">
        <f>IFERROR(__xludf.DUMMYFUNCTION("IF(L1521="""","""",QUERY({'Dashboard-Dados'!$Y$2:$AA$13},""Select Col2 Where Col1=""&amp;L1521))"),"")</f>
        <v/>
      </c>
      <c r="N1521" s="29" t="str">
        <f>IFERROR(__xludf.DUMMYFUNCTION("IF(ISBLANK(B1521),"""",IF(ISDATE(B1521),TEXT(B1521,""yyyy""),""""))"),"")</f>
        <v/>
      </c>
    </row>
    <row r="1522">
      <c r="B1522" s="89"/>
      <c r="C1522" s="86"/>
      <c r="D1522" s="71"/>
      <c r="H1522" s="90"/>
      <c r="J1522" s="53" t="str">
        <f>IFERROR(__xludf.DUMMYFUNCTION("IF(ISBLANK(B1522),"""",IF(ISDATE(B1522),""X"",""""))"),"")</f>
        <v/>
      </c>
      <c r="K1522" s="40" t="str">
        <f>IFERROR(__xludf.DUMMYFUNCTION("IF(ISBLANK(B1522),"""",IF(ISDATE(B1522),H1522,""""))"),"")</f>
        <v/>
      </c>
      <c r="L1522" s="40" t="str">
        <f>IFERROR(__xludf.DUMMYFUNCTION("IF(ISBLANK(B1522),"""",IF(ISDATE(B1522),TEXT(B1522,""M""),""""))"),"")</f>
        <v/>
      </c>
      <c r="M1522" s="29" t="str">
        <f>IFERROR(__xludf.DUMMYFUNCTION("IF(L1522="""","""",QUERY({'Dashboard-Dados'!$Y$2:$AA$13},""Select Col2 Where Col1=""&amp;L1522))"),"")</f>
        <v/>
      </c>
      <c r="N1522" s="29" t="str">
        <f>IFERROR(__xludf.DUMMYFUNCTION("IF(ISBLANK(B1522),"""",IF(ISDATE(B1522),TEXT(B1522,""yyyy""),""""))"),"")</f>
        <v/>
      </c>
    </row>
    <row r="1523">
      <c r="B1523" s="87"/>
      <c r="C1523" s="85"/>
      <c r="D1523" s="76"/>
      <c r="H1523" s="88"/>
      <c r="J1523" s="53" t="str">
        <f>IFERROR(__xludf.DUMMYFUNCTION("IF(ISBLANK(B1523),"""",IF(ISDATE(B1523),""X"",""""))"),"")</f>
        <v/>
      </c>
      <c r="K1523" s="40" t="str">
        <f>IFERROR(__xludf.DUMMYFUNCTION("IF(ISBLANK(B1523),"""",IF(ISDATE(B1523),H1523,""""))"),"")</f>
        <v/>
      </c>
      <c r="L1523" s="40" t="str">
        <f>IFERROR(__xludf.DUMMYFUNCTION("IF(ISBLANK(B1523),"""",IF(ISDATE(B1523),TEXT(B1523,""M""),""""))"),"")</f>
        <v/>
      </c>
      <c r="M1523" s="29" t="str">
        <f>IFERROR(__xludf.DUMMYFUNCTION("IF(L1523="""","""",QUERY({'Dashboard-Dados'!$Y$2:$AA$13},""Select Col2 Where Col1=""&amp;L1523))"),"")</f>
        <v/>
      </c>
      <c r="N1523" s="29" t="str">
        <f>IFERROR(__xludf.DUMMYFUNCTION("IF(ISBLANK(B1523),"""",IF(ISDATE(B1523),TEXT(B1523,""yyyy""),""""))"),"")</f>
        <v/>
      </c>
    </row>
    <row r="1524">
      <c r="B1524" s="89"/>
      <c r="C1524" s="86"/>
      <c r="D1524" s="71"/>
      <c r="H1524" s="90"/>
      <c r="J1524" s="53" t="str">
        <f>IFERROR(__xludf.DUMMYFUNCTION("IF(ISBLANK(B1524),"""",IF(ISDATE(B1524),""X"",""""))"),"")</f>
        <v/>
      </c>
      <c r="K1524" s="40" t="str">
        <f>IFERROR(__xludf.DUMMYFUNCTION("IF(ISBLANK(B1524),"""",IF(ISDATE(B1524),H1524,""""))"),"")</f>
        <v/>
      </c>
      <c r="L1524" s="40" t="str">
        <f>IFERROR(__xludf.DUMMYFUNCTION("IF(ISBLANK(B1524),"""",IF(ISDATE(B1524),TEXT(B1524,""M""),""""))"),"")</f>
        <v/>
      </c>
      <c r="M1524" s="29" t="str">
        <f>IFERROR(__xludf.DUMMYFUNCTION("IF(L1524="""","""",QUERY({'Dashboard-Dados'!$Y$2:$AA$13},""Select Col2 Where Col1=""&amp;L1524))"),"")</f>
        <v/>
      </c>
      <c r="N1524" s="29" t="str">
        <f>IFERROR(__xludf.DUMMYFUNCTION("IF(ISBLANK(B1524),"""",IF(ISDATE(B1524),TEXT(B1524,""yyyy""),""""))"),"")</f>
        <v/>
      </c>
    </row>
    <row r="1525">
      <c r="B1525" s="87"/>
      <c r="C1525" s="85"/>
      <c r="D1525" s="76"/>
      <c r="H1525" s="88"/>
      <c r="J1525" s="53" t="str">
        <f>IFERROR(__xludf.DUMMYFUNCTION("IF(ISBLANK(B1525),"""",IF(ISDATE(B1525),""X"",""""))"),"")</f>
        <v/>
      </c>
      <c r="K1525" s="40" t="str">
        <f>IFERROR(__xludf.DUMMYFUNCTION("IF(ISBLANK(B1525),"""",IF(ISDATE(B1525),H1525,""""))"),"")</f>
        <v/>
      </c>
      <c r="L1525" s="40" t="str">
        <f>IFERROR(__xludf.DUMMYFUNCTION("IF(ISBLANK(B1525),"""",IF(ISDATE(B1525),TEXT(B1525,""M""),""""))"),"")</f>
        <v/>
      </c>
      <c r="M1525" s="29" t="str">
        <f>IFERROR(__xludf.DUMMYFUNCTION("IF(L1525="""","""",QUERY({'Dashboard-Dados'!$Y$2:$AA$13},""Select Col2 Where Col1=""&amp;L1525))"),"")</f>
        <v/>
      </c>
      <c r="N1525" s="29" t="str">
        <f>IFERROR(__xludf.DUMMYFUNCTION("IF(ISBLANK(B1525),"""",IF(ISDATE(B1525),TEXT(B1525,""yyyy""),""""))"),"")</f>
        <v/>
      </c>
    </row>
    <row r="1526">
      <c r="B1526" s="89"/>
      <c r="C1526" s="86"/>
      <c r="D1526" s="71"/>
      <c r="H1526" s="90"/>
      <c r="J1526" s="53" t="str">
        <f>IFERROR(__xludf.DUMMYFUNCTION("IF(ISBLANK(B1526),"""",IF(ISDATE(B1526),""X"",""""))"),"")</f>
        <v/>
      </c>
      <c r="K1526" s="40" t="str">
        <f>IFERROR(__xludf.DUMMYFUNCTION("IF(ISBLANK(B1526),"""",IF(ISDATE(B1526),H1526,""""))"),"")</f>
        <v/>
      </c>
      <c r="L1526" s="40" t="str">
        <f>IFERROR(__xludf.DUMMYFUNCTION("IF(ISBLANK(B1526),"""",IF(ISDATE(B1526),TEXT(B1526,""M""),""""))"),"")</f>
        <v/>
      </c>
      <c r="M1526" s="29" t="str">
        <f>IFERROR(__xludf.DUMMYFUNCTION("IF(L1526="""","""",QUERY({'Dashboard-Dados'!$Y$2:$AA$13},""Select Col2 Where Col1=""&amp;L1526))"),"")</f>
        <v/>
      </c>
      <c r="N1526" s="29" t="str">
        <f>IFERROR(__xludf.DUMMYFUNCTION("IF(ISBLANK(B1526),"""",IF(ISDATE(B1526),TEXT(B1526,""yyyy""),""""))"),"")</f>
        <v/>
      </c>
    </row>
    <row r="1527">
      <c r="B1527" s="87"/>
      <c r="C1527" s="85"/>
      <c r="D1527" s="76"/>
      <c r="H1527" s="88"/>
      <c r="J1527" s="53" t="str">
        <f>IFERROR(__xludf.DUMMYFUNCTION("IF(ISBLANK(B1527),"""",IF(ISDATE(B1527),""X"",""""))"),"")</f>
        <v/>
      </c>
      <c r="K1527" s="40" t="str">
        <f>IFERROR(__xludf.DUMMYFUNCTION("IF(ISBLANK(B1527),"""",IF(ISDATE(B1527),H1527,""""))"),"")</f>
        <v/>
      </c>
      <c r="L1527" s="40" t="str">
        <f>IFERROR(__xludf.DUMMYFUNCTION("IF(ISBLANK(B1527),"""",IF(ISDATE(B1527),TEXT(B1527,""M""),""""))"),"")</f>
        <v/>
      </c>
      <c r="M1527" s="29" t="str">
        <f>IFERROR(__xludf.DUMMYFUNCTION("IF(L1527="""","""",QUERY({'Dashboard-Dados'!$Y$2:$AA$13},""Select Col2 Where Col1=""&amp;L1527))"),"")</f>
        <v/>
      </c>
      <c r="N1527" s="29" t="str">
        <f>IFERROR(__xludf.DUMMYFUNCTION("IF(ISBLANK(B1527),"""",IF(ISDATE(B1527),TEXT(B1527,""yyyy""),""""))"),"")</f>
        <v/>
      </c>
    </row>
    <row r="1528">
      <c r="B1528" s="89"/>
      <c r="C1528" s="86"/>
      <c r="D1528" s="71"/>
      <c r="H1528" s="90"/>
      <c r="J1528" s="53" t="str">
        <f>IFERROR(__xludf.DUMMYFUNCTION("IF(ISBLANK(B1528),"""",IF(ISDATE(B1528),""X"",""""))"),"")</f>
        <v/>
      </c>
      <c r="K1528" s="40" t="str">
        <f>IFERROR(__xludf.DUMMYFUNCTION("IF(ISBLANK(B1528),"""",IF(ISDATE(B1528),H1528,""""))"),"")</f>
        <v/>
      </c>
      <c r="L1528" s="40" t="str">
        <f>IFERROR(__xludf.DUMMYFUNCTION("IF(ISBLANK(B1528),"""",IF(ISDATE(B1528),TEXT(B1528,""M""),""""))"),"")</f>
        <v/>
      </c>
      <c r="M1528" s="29" t="str">
        <f>IFERROR(__xludf.DUMMYFUNCTION("IF(L1528="""","""",QUERY({'Dashboard-Dados'!$Y$2:$AA$13},""Select Col2 Where Col1=""&amp;L1528))"),"")</f>
        <v/>
      </c>
      <c r="N1528" s="29" t="str">
        <f>IFERROR(__xludf.DUMMYFUNCTION("IF(ISBLANK(B1528),"""",IF(ISDATE(B1528),TEXT(B1528,""yyyy""),""""))"),"")</f>
        <v/>
      </c>
    </row>
    <row r="1529">
      <c r="B1529" s="87"/>
      <c r="C1529" s="85"/>
      <c r="D1529" s="76"/>
      <c r="H1529" s="88"/>
      <c r="J1529" s="53" t="str">
        <f>IFERROR(__xludf.DUMMYFUNCTION("IF(ISBLANK(B1529),"""",IF(ISDATE(B1529),""X"",""""))"),"")</f>
        <v/>
      </c>
      <c r="K1529" s="40" t="str">
        <f>IFERROR(__xludf.DUMMYFUNCTION("IF(ISBLANK(B1529),"""",IF(ISDATE(B1529),H1529,""""))"),"")</f>
        <v/>
      </c>
      <c r="L1529" s="40" t="str">
        <f>IFERROR(__xludf.DUMMYFUNCTION("IF(ISBLANK(B1529),"""",IF(ISDATE(B1529),TEXT(B1529,""M""),""""))"),"")</f>
        <v/>
      </c>
      <c r="M1529" s="29" t="str">
        <f>IFERROR(__xludf.DUMMYFUNCTION("IF(L1529="""","""",QUERY({'Dashboard-Dados'!$Y$2:$AA$13},""Select Col2 Where Col1=""&amp;L1529))"),"")</f>
        <v/>
      </c>
      <c r="N1529" s="29" t="str">
        <f>IFERROR(__xludf.DUMMYFUNCTION("IF(ISBLANK(B1529),"""",IF(ISDATE(B1529),TEXT(B1529,""yyyy""),""""))"),"")</f>
        <v/>
      </c>
    </row>
    <row r="1530">
      <c r="B1530" s="89"/>
      <c r="C1530" s="86"/>
      <c r="D1530" s="71"/>
      <c r="H1530" s="90"/>
      <c r="J1530" s="53" t="str">
        <f>IFERROR(__xludf.DUMMYFUNCTION("IF(ISBLANK(B1530),"""",IF(ISDATE(B1530),""X"",""""))"),"")</f>
        <v/>
      </c>
      <c r="K1530" s="40" t="str">
        <f>IFERROR(__xludf.DUMMYFUNCTION("IF(ISBLANK(B1530),"""",IF(ISDATE(B1530),H1530,""""))"),"")</f>
        <v/>
      </c>
      <c r="L1530" s="40" t="str">
        <f>IFERROR(__xludf.DUMMYFUNCTION("IF(ISBLANK(B1530),"""",IF(ISDATE(B1530),TEXT(B1530,""M""),""""))"),"")</f>
        <v/>
      </c>
      <c r="M1530" s="29" t="str">
        <f>IFERROR(__xludf.DUMMYFUNCTION("IF(L1530="""","""",QUERY({'Dashboard-Dados'!$Y$2:$AA$13},""Select Col2 Where Col1=""&amp;L1530))"),"")</f>
        <v/>
      </c>
      <c r="N1530" s="29" t="str">
        <f>IFERROR(__xludf.DUMMYFUNCTION("IF(ISBLANK(B1530),"""",IF(ISDATE(B1530),TEXT(B1530,""yyyy""),""""))"),"")</f>
        <v/>
      </c>
    </row>
    <row r="1531">
      <c r="B1531" s="87"/>
      <c r="C1531" s="85"/>
      <c r="D1531" s="76"/>
      <c r="H1531" s="88"/>
      <c r="J1531" s="53" t="str">
        <f>IFERROR(__xludf.DUMMYFUNCTION("IF(ISBLANK(B1531),"""",IF(ISDATE(B1531),""X"",""""))"),"")</f>
        <v/>
      </c>
      <c r="K1531" s="40" t="str">
        <f>IFERROR(__xludf.DUMMYFUNCTION("IF(ISBLANK(B1531),"""",IF(ISDATE(B1531),H1531,""""))"),"")</f>
        <v/>
      </c>
      <c r="L1531" s="40" t="str">
        <f>IFERROR(__xludf.DUMMYFUNCTION("IF(ISBLANK(B1531),"""",IF(ISDATE(B1531),TEXT(B1531,""M""),""""))"),"")</f>
        <v/>
      </c>
      <c r="M1531" s="29" t="str">
        <f>IFERROR(__xludf.DUMMYFUNCTION("IF(L1531="""","""",QUERY({'Dashboard-Dados'!$Y$2:$AA$13},""Select Col2 Where Col1=""&amp;L1531))"),"")</f>
        <v/>
      </c>
      <c r="N1531" s="29" t="str">
        <f>IFERROR(__xludf.DUMMYFUNCTION("IF(ISBLANK(B1531),"""",IF(ISDATE(B1531),TEXT(B1531,""yyyy""),""""))"),"")</f>
        <v/>
      </c>
    </row>
    <row r="1532">
      <c r="B1532" s="89"/>
      <c r="C1532" s="86"/>
      <c r="D1532" s="71"/>
      <c r="H1532" s="90"/>
      <c r="J1532" s="53" t="str">
        <f>IFERROR(__xludf.DUMMYFUNCTION("IF(ISBLANK(B1532),"""",IF(ISDATE(B1532),""X"",""""))"),"")</f>
        <v/>
      </c>
      <c r="K1532" s="40" t="str">
        <f>IFERROR(__xludf.DUMMYFUNCTION("IF(ISBLANK(B1532),"""",IF(ISDATE(B1532),H1532,""""))"),"")</f>
        <v/>
      </c>
      <c r="L1532" s="40" t="str">
        <f>IFERROR(__xludf.DUMMYFUNCTION("IF(ISBLANK(B1532),"""",IF(ISDATE(B1532),TEXT(B1532,""M""),""""))"),"")</f>
        <v/>
      </c>
      <c r="M1532" s="29" t="str">
        <f>IFERROR(__xludf.DUMMYFUNCTION("IF(L1532="""","""",QUERY({'Dashboard-Dados'!$Y$2:$AA$13},""Select Col2 Where Col1=""&amp;L1532))"),"")</f>
        <v/>
      </c>
      <c r="N1532" s="29" t="str">
        <f>IFERROR(__xludf.DUMMYFUNCTION("IF(ISBLANK(B1532),"""",IF(ISDATE(B1532),TEXT(B1532,""yyyy""),""""))"),"")</f>
        <v/>
      </c>
    </row>
    <row r="1533">
      <c r="B1533" s="87"/>
      <c r="C1533" s="85"/>
      <c r="D1533" s="76"/>
      <c r="H1533" s="88"/>
      <c r="J1533" s="53" t="str">
        <f>IFERROR(__xludf.DUMMYFUNCTION("IF(ISBLANK(B1533),"""",IF(ISDATE(B1533),""X"",""""))"),"")</f>
        <v/>
      </c>
      <c r="K1533" s="40" t="str">
        <f>IFERROR(__xludf.DUMMYFUNCTION("IF(ISBLANK(B1533),"""",IF(ISDATE(B1533),H1533,""""))"),"")</f>
        <v/>
      </c>
      <c r="L1533" s="40" t="str">
        <f>IFERROR(__xludf.DUMMYFUNCTION("IF(ISBLANK(B1533),"""",IF(ISDATE(B1533),TEXT(B1533,""M""),""""))"),"")</f>
        <v/>
      </c>
      <c r="M1533" s="29" t="str">
        <f>IFERROR(__xludf.DUMMYFUNCTION("IF(L1533="""","""",QUERY({'Dashboard-Dados'!$Y$2:$AA$13},""Select Col2 Where Col1=""&amp;L1533))"),"")</f>
        <v/>
      </c>
      <c r="N1533" s="29" t="str">
        <f>IFERROR(__xludf.DUMMYFUNCTION("IF(ISBLANK(B1533),"""",IF(ISDATE(B1533),TEXT(B1533,""yyyy""),""""))"),"")</f>
        <v/>
      </c>
    </row>
    <row r="1534">
      <c r="B1534" s="89"/>
      <c r="C1534" s="86"/>
      <c r="D1534" s="71"/>
      <c r="H1534" s="90"/>
      <c r="J1534" s="53" t="str">
        <f>IFERROR(__xludf.DUMMYFUNCTION("IF(ISBLANK(B1534),"""",IF(ISDATE(B1534),""X"",""""))"),"")</f>
        <v/>
      </c>
      <c r="K1534" s="40" t="str">
        <f>IFERROR(__xludf.DUMMYFUNCTION("IF(ISBLANK(B1534),"""",IF(ISDATE(B1534),H1534,""""))"),"")</f>
        <v/>
      </c>
      <c r="L1534" s="40" t="str">
        <f>IFERROR(__xludf.DUMMYFUNCTION("IF(ISBLANK(B1534),"""",IF(ISDATE(B1534),TEXT(B1534,""M""),""""))"),"")</f>
        <v/>
      </c>
      <c r="M1534" s="29" t="str">
        <f>IFERROR(__xludf.DUMMYFUNCTION("IF(L1534="""","""",QUERY({'Dashboard-Dados'!$Y$2:$AA$13},""Select Col2 Where Col1=""&amp;L1534))"),"")</f>
        <v/>
      </c>
      <c r="N1534" s="29" t="str">
        <f>IFERROR(__xludf.DUMMYFUNCTION("IF(ISBLANK(B1534),"""",IF(ISDATE(B1534),TEXT(B1534,""yyyy""),""""))"),"")</f>
        <v/>
      </c>
    </row>
    <row r="1535">
      <c r="B1535" s="87"/>
      <c r="C1535" s="85"/>
      <c r="D1535" s="76"/>
      <c r="H1535" s="88"/>
      <c r="J1535" s="53" t="str">
        <f>IFERROR(__xludf.DUMMYFUNCTION("IF(ISBLANK(B1535),"""",IF(ISDATE(B1535),""X"",""""))"),"")</f>
        <v/>
      </c>
      <c r="K1535" s="40" t="str">
        <f>IFERROR(__xludf.DUMMYFUNCTION("IF(ISBLANK(B1535),"""",IF(ISDATE(B1535),H1535,""""))"),"")</f>
        <v/>
      </c>
      <c r="L1535" s="40" t="str">
        <f>IFERROR(__xludf.DUMMYFUNCTION("IF(ISBLANK(B1535),"""",IF(ISDATE(B1535),TEXT(B1535,""M""),""""))"),"")</f>
        <v/>
      </c>
      <c r="M1535" s="29" t="str">
        <f>IFERROR(__xludf.DUMMYFUNCTION("IF(L1535="""","""",QUERY({'Dashboard-Dados'!$Y$2:$AA$13},""Select Col2 Where Col1=""&amp;L1535))"),"")</f>
        <v/>
      </c>
      <c r="N1535" s="29" t="str">
        <f>IFERROR(__xludf.DUMMYFUNCTION("IF(ISBLANK(B1535),"""",IF(ISDATE(B1535),TEXT(B1535,""yyyy""),""""))"),"")</f>
        <v/>
      </c>
    </row>
    <row r="1536">
      <c r="B1536" s="89"/>
      <c r="C1536" s="86"/>
      <c r="D1536" s="71"/>
      <c r="H1536" s="90"/>
      <c r="J1536" s="53" t="str">
        <f>IFERROR(__xludf.DUMMYFUNCTION("IF(ISBLANK(B1536),"""",IF(ISDATE(B1536),""X"",""""))"),"")</f>
        <v/>
      </c>
      <c r="K1536" s="40" t="str">
        <f>IFERROR(__xludf.DUMMYFUNCTION("IF(ISBLANK(B1536),"""",IF(ISDATE(B1536),H1536,""""))"),"")</f>
        <v/>
      </c>
      <c r="L1536" s="40" t="str">
        <f>IFERROR(__xludf.DUMMYFUNCTION("IF(ISBLANK(B1536),"""",IF(ISDATE(B1536),TEXT(B1536,""M""),""""))"),"")</f>
        <v/>
      </c>
      <c r="M1536" s="29" t="str">
        <f>IFERROR(__xludf.DUMMYFUNCTION("IF(L1536="""","""",QUERY({'Dashboard-Dados'!$Y$2:$AA$13},""Select Col2 Where Col1=""&amp;L1536))"),"")</f>
        <v/>
      </c>
      <c r="N1536" s="29" t="str">
        <f>IFERROR(__xludf.DUMMYFUNCTION("IF(ISBLANK(B1536),"""",IF(ISDATE(B1536),TEXT(B1536,""yyyy""),""""))"),"")</f>
        <v/>
      </c>
    </row>
    <row r="1537">
      <c r="B1537" s="87"/>
      <c r="C1537" s="85"/>
      <c r="D1537" s="76"/>
      <c r="H1537" s="88"/>
      <c r="J1537" s="53" t="str">
        <f>IFERROR(__xludf.DUMMYFUNCTION("IF(ISBLANK(B1537),"""",IF(ISDATE(B1537),""X"",""""))"),"")</f>
        <v/>
      </c>
      <c r="K1537" s="40" t="str">
        <f>IFERROR(__xludf.DUMMYFUNCTION("IF(ISBLANK(B1537),"""",IF(ISDATE(B1537),H1537,""""))"),"")</f>
        <v/>
      </c>
      <c r="L1537" s="40" t="str">
        <f>IFERROR(__xludf.DUMMYFUNCTION("IF(ISBLANK(B1537),"""",IF(ISDATE(B1537),TEXT(B1537,""M""),""""))"),"")</f>
        <v/>
      </c>
      <c r="M1537" s="29" t="str">
        <f>IFERROR(__xludf.DUMMYFUNCTION("IF(L1537="""","""",QUERY({'Dashboard-Dados'!$Y$2:$AA$13},""Select Col2 Where Col1=""&amp;L1537))"),"")</f>
        <v/>
      </c>
      <c r="N1537" s="29" t="str">
        <f>IFERROR(__xludf.DUMMYFUNCTION("IF(ISBLANK(B1537),"""",IF(ISDATE(B1537),TEXT(B1537,""yyyy""),""""))"),"")</f>
        <v/>
      </c>
    </row>
    <row r="1538">
      <c r="B1538" s="89"/>
      <c r="C1538" s="86"/>
      <c r="D1538" s="71"/>
      <c r="H1538" s="90"/>
      <c r="J1538" s="53" t="str">
        <f>IFERROR(__xludf.DUMMYFUNCTION("IF(ISBLANK(B1538),"""",IF(ISDATE(B1538),""X"",""""))"),"")</f>
        <v/>
      </c>
      <c r="K1538" s="40" t="str">
        <f>IFERROR(__xludf.DUMMYFUNCTION("IF(ISBLANK(B1538),"""",IF(ISDATE(B1538),H1538,""""))"),"")</f>
        <v/>
      </c>
      <c r="L1538" s="40" t="str">
        <f>IFERROR(__xludf.DUMMYFUNCTION("IF(ISBLANK(B1538),"""",IF(ISDATE(B1538),TEXT(B1538,""M""),""""))"),"")</f>
        <v/>
      </c>
      <c r="M1538" s="29" t="str">
        <f>IFERROR(__xludf.DUMMYFUNCTION("IF(L1538="""","""",QUERY({'Dashboard-Dados'!$Y$2:$AA$13},""Select Col2 Where Col1=""&amp;L1538))"),"")</f>
        <v/>
      </c>
      <c r="N1538" s="29" t="str">
        <f>IFERROR(__xludf.DUMMYFUNCTION("IF(ISBLANK(B1538),"""",IF(ISDATE(B1538),TEXT(B1538,""yyyy""),""""))"),"")</f>
        <v/>
      </c>
    </row>
    <row r="1539">
      <c r="B1539" s="87"/>
      <c r="C1539" s="85"/>
      <c r="D1539" s="76"/>
      <c r="H1539" s="88"/>
      <c r="J1539" s="53" t="str">
        <f>IFERROR(__xludf.DUMMYFUNCTION("IF(ISBLANK(B1539),"""",IF(ISDATE(B1539),""X"",""""))"),"")</f>
        <v/>
      </c>
      <c r="K1539" s="40" t="str">
        <f>IFERROR(__xludf.DUMMYFUNCTION("IF(ISBLANK(B1539),"""",IF(ISDATE(B1539),H1539,""""))"),"")</f>
        <v/>
      </c>
      <c r="L1539" s="40" t="str">
        <f>IFERROR(__xludf.DUMMYFUNCTION("IF(ISBLANK(B1539),"""",IF(ISDATE(B1539),TEXT(B1539,""M""),""""))"),"")</f>
        <v/>
      </c>
      <c r="M1539" s="29" t="str">
        <f>IFERROR(__xludf.DUMMYFUNCTION("IF(L1539="""","""",QUERY({'Dashboard-Dados'!$Y$2:$AA$13},""Select Col2 Where Col1=""&amp;L1539))"),"")</f>
        <v/>
      </c>
      <c r="N1539" s="29" t="str">
        <f>IFERROR(__xludf.DUMMYFUNCTION("IF(ISBLANK(B1539),"""",IF(ISDATE(B1539),TEXT(B1539,""yyyy""),""""))"),"")</f>
        <v/>
      </c>
    </row>
    <row r="1540">
      <c r="B1540" s="89"/>
      <c r="C1540" s="86"/>
      <c r="D1540" s="71"/>
      <c r="H1540" s="90"/>
      <c r="J1540" s="53" t="str">
        <f>IFERROR(__xludf.DUMMYFUNCTION("IF(ISBLANK(B1540),"""",IF(ISDATE(B1540),""X"",""""))"),"")</f>
        <v/>
      </c>
      <c r="K1540" s="40" t="str">
        <f>IFERROR(__xludf.DUMMYFUNCTION("IF(ISBLANK(B1540),"""",IF(ISDATE(B1540),H1540,""""))"),"")</f>
        <v/>
      </c>
      <c r="L1540" s="40" t="str">
        <f>IFERROR(__xludf.DUMMYFUNCTION("IF(ISBLANK(B1540),"""",IF(ISDATE(B1540),TEXT(B1540,""M""),""""))"),"")</f>
        <v/>
      </c>
      <c r="M1540" s="29" t="str">
        <f>IFERROR(__xludf.DUMMYFUNCTION("IF(L1540="""","""",QUERY({'Dashboard-Dados'!$Y$2:$AA$13},""Select Col2 Where Col1=""&amp;L1540))"),"")</f>
        <v/>
      </c>
      <c r="N1540" s="29" t="str">
        <f>IFERROR(__xludf.DUMMYFUNCTION("IF(ISBLANK(B1540),"""",IF(ISDATE(B1540),TEXT(B1540,""yyyy""),""""))"),"")</f>
        <v/>
      </c>
    </row>
    <row r="1541">
      <c r="B1541" s="87"/>
      <c r="C1541" s="85"/>
      <c r="D1541" s="76"/>
      <c r="H1541" s="88"/>
      <c r="J1541" s="53" t="str">
        <f>IFERROR(__xludf.DUMMYFUNCTION("IF(ISBLANK(B1541),"""",IF(ISDATE(B1541),""X"",""""))"),"")</f>
        <v/>
      </c>
      <c r="K1541" s="40" t="str">
        <f>IFERROR(__xludf.DUMMYFUNCTION("IF(ISBLANK(B1541),"""",IF(ISDATE(B1541),H1541,""""))"),"")</f>
        <v/>
      </c>
      <c r="L1541" s="40" t="str">
        <f>IFERROR(__xludf.DUMMYFUNCTION("IF(ISBLANK(B1541),"""",IF(ISDATE(B1541),TEXT(B1541,""M""),""""))"),"")</f>
        <v/>
      </c>
      <c r="M1541" s="29" t="str">
        <f>IFERROR(__xludf.DUMMYFUNCTION("IF(L1541="""","""",QUERY({'Dashboard-Dados'!$Y$2:$AA$13},""Select Col2 Where Col1=""&amp;L1541))"),"")</f>
        <v/>
      </c>
      <c r="N1541" s="29" t="str">
        <f>IFERROR(__xludf.DUMMYFUNCTION("IF(ISBLANK(B1541),"""",IF(ISDATE(B1541),TEXT(B1541,""yyyy""),""""))"),"")</f>
        <v/>
      </c>
    </row>
    <row r="1542">
      <c r="B1542" s="89"/>
      <c r="C1542" s="86"/>
      <c r="D1542" s="71"/>
      <c r="H1542" s="90"/>
      <c r="J1542" s="53" t="str">
        <f>IFERROR(__xludf.DUMMYFUNCTION("IF(ISBLANK(B1542),"""",IF(ISDATE(B1542),""X"",""""))"),"")</f>
        <v/>
      </c>
      <c r="K1542" s="40" t="str">
        <f>IFERROR(__xludf.DUMMYFUNCTION("IF(ISBLANK(B1542),"""",IF(ISDATE(B1542),H1542,""""))"),"")</f>
        <v/>
      </c>
      <c r="L1542" s="40" t="str">
        <f>IFERROR(__xludf.DUMMYFUNCTION("IF(ISBLANK(B1542),"""",IF(ISDATE(B1542),TEXT(B1542,""M""),""""))"),"")</f>
        <v/>
      </c>
      <c r="M1542" s="29" t="str">
        <f>IFERROR(__xludf.DUMMYFUNCTION("IF(L1542="""","""",QUERY({'Dashboard-Dados'!$Y$2:$AA$13},""Select Col2 Where Col1=""&amp;L1542))"),"")</f>
        <v/>
      </c>
      <c r="N1542" s="29" t="str">
        <f>IFERROR(__xludf.DUMMYFUNCTION("IF(ISBLANK(B1542),"""",IF(ISDATE(B1542),TEXT(B1542,""yyyy""),""""))"),"")</f>
        <v/>
      </c>
    </row>
    <row r="1543">
      <c r="B1543" s="87"/>
      <c r="C1543" s="85"/>
      <c r="D1543" s="76"/>
      <c r="H1543" s="88"/>
      <c r="J1543" s="53" t="str">
        <f>IFERROR(__xludf.DUMMYFUNCTION("IF(ISBLANK(B1543),"""",IF(ISDATE(B1543),""X"",""""))"),"")</f>
        <v/>
      </c>
      <c r="K1543" s="40" t="str">
        <f>IFERROR(__xludf.DUMMYFUNCTION("IF(ISBLANK(B1543),"""",IF(ISDATE(B1543),H1543,""""))"),"")</f>
        <v/>
      </c>
      <c r="L1543" s="40" t="str">
        <f>IFERROR(__xludf.DUMMYFUNCTION("IF(ISBLANK(B1543),"""",IF(ISDATE(B1543),TEXT(B1543,""M""),""""))"),"")</f>
        <v/>
      </c>
      <c r="M1543" s="29" t="str">
        <f>IFERROR(__xludf.DUMMYFUNCTION("IF(L1543="""","""",QUERY({'Dashboard-Dados'!$Y$2:$AA$13},""Select Col2 Where Col1=""&amp;L1543))"),"")</f>
        <v/>
      </c>
      <c r="N1543" s="29" t="str">
        <f>IFERROR(__xludf.DUMMYFUNCTION("IF(ISBLANK(B1543),"""",IF(ISDATE(B1543),TEXT(B1543,""yyyy""),""""))"),"")</f>
        <v/>
      </c>
    </row>
    <row r="1544">
      <c r="B1544" s="89"/>
      <c r="C1544" s="86"/>
      <c r="D1544" s="71"/>
      <c r="H1544" s="90"/>
      <c r="J1544" s="53" t="str">
        <f>IFERROR(__xludf.DUMMYFUNCTION("IF(ISBLANK(B1544),"""",IF(ISDATE(B1544),""X"",""""))"),"")</f>
        <v/>
      </c>
      <c r="K1544" s="40" t="str">
        <f>IFERROR(__xludf.DUMMYFUNCTION("IF(ISBLANK(B1544),"""",IF(ISDATE(B1544),H1544,""""))"),"")</f>
        <v/>
      </c>
      <c r="L1544" s="40" t="str">
        <f>IFERROR(__xludf.DUMMYFUNCTION("IF(ISBLANK(B1544),"""",IF(ISDATE(B1544),TEXT(B1544,""M""),""""))"),"")</f>
        <v/>
      </c>
      <c r="M1544" s="29" t="str">
        <f>IFERROR(__xludf.DUMMYFUNCTION("IF(L1544="""","""",QUERY({'Dashboard-Dados'!$Y$2:$AA$13},""Select Col2 Where Col1=""&amp;L1544))"),"")</f>
        <v/>
      </c>
      <c r="N1544" s="29" t="str">
        <f>IFERROR(__xludf.DUMMYFUNCTION("IF(ISBLANK(B1544),"""",IF(ISDATE(B1544),TEXT(B1544,""yyyy""),""""))"),"")</f>
        <v/>
      </c>
    </row>
    <row r="1545">
      <c r="B1545" s="87"/>
      <c r="C1545" s="85"/>
      <c r="D1545" s="76"/>
      <c r="H1545" s="88"/>
      <c r="J1545" s="53" t="str">
        <f>IFERROR(__xludf.DUMMYFUNCTION("IF(ISBLANK(B1545),"""",IF(ISDATE(B1545),""X"",""""))"),"")</f>
        <v/>
      </c>
      <c r="K1545" s="40" t="str">
        <f>IFERROR(__xludf.DUMMYFUNCTION("IF(ISBLANK(B1545),"""",IF(ISDATE(B1545),H1545,""""))"),"")</f>
        <v/>
      </c>
      <c r="L1545" s="40" t="str">
        <f>IFERROR(__xludf.DUMMYFUNCTION("IF(ISBLANK(B1545),"""",IF(ISDATE(B1545),TEXT(B1545,""M""),""""))"),"")</f>
        <v/>
      </c>
      <c r="M1545" s="29" t="str">
        <f>IFERROR(__xludf.DUMMYFUNCTION("IF(L1545="""","""",QUERY({'Dashboard-Dados'!$Y$2:$AA$13},""Select Col2 Where Col1=""&amp;L1545))"),"")</f>
        <v/>
      </c>
      <c r="N1545" s="29" t="str">
        <f>IFERROR(__xludf.DUMMYFUNCTION("IF(ISBLANK(B1545),"""",IF(ISDATE(B1545),TEXT(B1545,""yyyy""),""""))"),"")</f>
        <v/>
      </c>
    </row>
    <row r="1546">
      <c r="B1546" s="89"/>
      <c r="C1546" s="86"/>
      <c r="D1546" s="71"/>
      <c r="H1546" s="90"/>
      <c r="J1546" s="53" t="str">
        <f>IFERROR(__xludf.DUMMYFUNCTION("IF(ISBLANK(B1546),"""",IF(ISDATE(B1546),""X"",""""))"),"")</f>
        <v/>
      </c>
      <c r="K1546" s="40" t="str">
        <f>IFERROR(__xludf.DUMMYFUNCTION("IF(ISBLANK(B1546),"""",IF(ISDATE(B1546),H1546,""""))"),"")</f>
        <v/>
      </c>
      <c r="L1546" s="40" t="str">
        <f>IFERROR(__xludf.DUMMYFUNCTION("IF(ISBLANK(B1546),"""",IF(ISDATE(B1546),TEXT(B1546,""M""),""""))"),"")</f>
        <v/>
      </c>
      <c r="M1546" s="29" t="str">
        <f>IFERROR(__xludf.DUMMYFUNCTION("IF(L1546="""","""",QUERY({'Dashboard-Dados'!$Y$2:$AA$13},""Select Col2 Where Col1=""&amp;L1546))"),"")</f>
        <v/>
      </c>
      <c r="N1546" s="29" t="str">
        <f>IFERROR(__xludf.DUMMYFUNCTION("IF(ISBLANK(B1546),"""",IF(ISDATE(B1546),TEXT(B1546,""yyyy""),""""))"),"")</f>
        <v/>
      </c>
    </row>
    <row r="1547">
      <c r="B1547" s="87"/>
      <c r="C1547" s="85"/>
      <c r="D1547" s="76"/>
      <c r="H1547" s="88"/>
      <c r="J1547" s="53" t="str">
        <f>IFERROR(__xludf.DUMMYFUNCTION("IF(ISBLANK(B1547),"""",IF(ISDATE(B1547),""X"",""""))"),"")</f>
        <v/>
      </c>
      <c r="K1547" s="40" t="str">
        <f>IFERROR(__xludf.DUMMYFUNCTION("IF(ISBLANK(B1547),"""",IF(ISDATE(B1547),H1547,""""))"),"")</f>
        <v/>
      </c>
      <c r="L1547" s="40" t="str">
        <f>IFERROR(__xludf.DUMMYFUNCTION("IF(ISBLANK(B1547),"""",IF(ISDATE(B1547),TEXT(B1547,""M""),""""))"),"")</f>
        <v/>
      </c>
      <c r="M1547" s="29" t="str">
        <f>IFERROR(__xludf.DUMMYFUNCTION("IF(L1547="""","""",QUERY({'Dashboard-Dados'!$Y$2:$AA$13},""Select Col2 Where Col1=""&amp;L1547))"),"")</f>
        <v/>
      </c>
      <c r="N1547" s="29" t="str">
        <f>IFERROR(__xludf.DUMMYFUNCTION("IF(ISBLANK(B1547),"""",IF(ISDATE(B1547),TEXT(B1547,""yyyy""),""""))"),"")</f>
        <v/>
      </c>
    </row>
    <row r="1548">
      <c r="B1548" s="89"/>
      <c r="C1548" s="86"/>
      <c r="D1548" s="71"/>
      <c r="H1548" s="90"/>
      <c r="J1548" s="53" t="str">
        <f>IFERROR(__xludf.DUMMYFUNCTION("IF(ISBLANK(B1548),"""",IF(ISDATE(B1548),""X"",""""))"),"")</f>
        <v/>
      </c>
      <c r="K1548" s="40" t="str">
        <f>IFERROR(__xludf.DUMMYFUNCTION("IF(ISBLANK(B1548),"""",IF(ISDATE(B1548),H1548,""""))"),"")</f>
        <v/>
      </c>
      <c r="L1548" s="40" t="str">
        <f>IFERROR(__xludf.DUMMYFUNCTION("IF(ISBLANK(B1548),"""",IF(ISDATE(B1548),TEXT(B1548,""M""),""""))"),"")</f>
        <v/>
      </c>
      <c r="M1548" s="29" t="str">
        <f>IFERROR(__xludf.DUMMYFUNCTION("IF(L1548="""","""",QUERY({'Dashboard-Dados'!$Y$2:$AA$13},""Select Col2 Where Col1=""&amp;L1548))"),"")</f>
        <v/>
      </c>
      <c r="N1548" s="29" t="str">
        <f>IFERROR(__xludf.DUMMYFUNCTION("IF(ISBLANK(B1548),"""",IF(ISDATE(B1548),TEXT(B1548,""yyyy""),""""))"),"")</f>
        <v/>
      </c>
    </row>
    <row r="1549">
      <c r="B1549" s="87"/>
      <c r="C1549" s="85"/>
      <c r="D1549" s="76"/>
      <c r="H1549" s="88"/>
      <c r="J1549" s="53" t="str">
        <f>IFERROR(__xludf.DUMMYFUNCTION("IF(ISBLANK(B1549),"""",IF(ISDATE(B1549),""X"",""""))"),"")</f>
        <v/>
      </c>
      <c r="K1549" s="40" t="str">
        <f>IFERROR(__xludf.DUMMYFUNCTION("IF(ISBLANK(B1549),"""",IF(ISDATE(B1549),H1549,""""))"),"")</f>
        <v/>
      </c>
      <c r="L1549" s="40" t="str">
        <f>IFERROR(__xludf.DUMMYFUNCTION("IF(ISBLANK(B1549),"""",IF(ISDATE(B1549),TEXT(B1549,""M""),""""))"),"")</f>
        <v/>
      </c>
      <c r="M1549" s="29" t="str">
        <f>IFERROR(__xludf.DUMMYFUNCTION("IF(L1549="""","""",QUERY({'Dashboard-Dados'!$Y$2:$AA$13},""Select Col2 Where Col1=""&amp;L1549))"),"")</f>
        <v/>
      </c>
      <c r="N1549" s="29" t="str">
        <f>IFERROR(__xludf.DUMMYFUNCTION("IF(ISBLANK(B1549),"""",IF(ISDATE(B1549),TEXT(B1549,""yyyy""),""""))"),"")</f>
        <v/>
      </c>
    </row>
    <row r="1550">
      <c r="B1550" s="89"/>
      <c r="C1550" s="86"/>
      <c r="D1550" s="71"/>
      <c r="H1550" s="90"/>
      <c r="J1550" s="53" t="str">
        <f>IFERROR(__xludf.DUMMYFUNCTION("IF(ISBLANK(B1550),"""",IF(ISDATE(B1550),""X"",""""))"),"")</f>
        <v/>
      </c>
      <c r="K1550" s="40" t="str">
        <f>IFERROR(__xludf.DUMMYFUNCTION("IF(ISBLANK(B1550),"""",IF(ISDATE(B1550),H1550,""""))"),"")</f>
        <v/>
      </c>
      <c r="L1550" s="40" t="str">
        <f>IFERROR(__xludf.DUMMYFUNCTION("IF(ISBLANK(B1550),"""",IF(ISDATE(B1550),TEXT(B1550,""M""),""""))"),"")</f>
        <v/>
      </c>
      <c r="M1550" s="29" t="str">
        <f>IFERROR(__xludf.DUMMYFUNCTION("IF(L1550="""","""",QUERY({'Dashboard-Dados'!$Y$2:$AA$13},""Select Col2 Where Col1=""&amp;L1550))"),"")</f>
        <v/>
      </c>
      <c r="N1550" s="29" t="str">
        <f>IFERROR(__xludf.DUMMYFUNCTION("IF(ISBLANK(B1550),"""",IF(ISDATE(B1550),TEXT(B1550,""yyyy""),""""))"),"")</f>
        <v/>
      </c>
    </row>
    <row r="1551">
      <c r="B1551" s="87"/>
      <c r="C1551" s="85"/>
      <c r="D1551" s="76"/>
      <c r="H1551" s="88"/>
      <c r="J1551" s="53" t="str">
        <f>IFERROR(__xludf.DUMMYFUNCTION("IF(ISBLANK(B1551),"""",IF(ISDATE(B1551),""X"",""""))"),"")</f>
        <v/>
      </c>
      <c r="K1551" s="40" t="str">
        <f>IFERROR(__xludf.DUMMYFUNCTION("IF(ISBLANK(B1551),"""",IF(ISDATE(B1551),H1551,""""))"),"")</f>
        <v/>
      </c>
      <c r="L1551" s="40" t="str">
        <f>IFERROR(__xludf.DUMMYFUNCTION("IF(ISBLANK(B1551),"""",IF(ISDATE(B1551),TEXT(B1551,""M""),""""))"),"")</f>
        <v/>
      </c>
      <c r="M1551" s="29" t="str">
        <f>IFERROR(__xludf.DUMMYFUNCTION("IF(L1551="""","""",QUERY({'Dashboard-Dados'!$Y$2:$AA$13},""Select Col2 Where Col1=""&amp;L1551))"),"")</f>
        <v/>
      </c>
      <c r="N1551" s="29" t="str">
        <f>IFERROR(__xludf.DUMMYFUNCTION("IF(ISBLANK(B1551),"""",IF(ISDATE(B1551),TEXT(B1551,""yyyy""),""""))"),"")</f>
        <v/>
      </c>
    </row>
    <row r="1552">
      <c r="B1552" s="89"/>
      <c r="C1552" s="86"/>
      <c r="D1552" s="71"/>
      <c r="H1552" s="90"/>
      <c r="J1552" s="53" t="str">
        <f>IFERROR(__xludf.DUMMYFUNCTION("IF(ISBLANK(B1552),"""",IF(ISDATE(B1552),""X"",""""))"),"")</f>
        <v/>
      </c>
      <c r="K1552" s="40" t="str">
        <f>IFERROR(__xludf.DUMMYFUNCTION("IF(ISBLANK(B1552),"""",IF(ISDATE(B1552),H1552,""""))"),"")</f>
        <v/>
      </c>
      <c r="L1552" s="40" t="str">
        <f>IFERROR(__xludf.DUMMYFUNCTION("IF(ISBLANK(B1552),"""",IF(ISDATE(B1552),TEXT(B1552,""M""),""""))"),"")</f>
        <v/>
      </c>
      <c r="M1552" s="29" t="str">
        <f>IFERROR(__xludf.DUMMYFUNCTION("IF(L1552="""","""",QUERY({'Dashboard-Dados'!$Y$2:$AA$13},""Select Col2 Where Col1=""&amp;L1552))"),"")</f>
        <v/>
      </c>
      <c r="N1552" s="29" t="str">
        <f>IFERROR(__xludf.DUMMYFUNCTION("IF(ISBLANK(B1552),"""",IF(ISDATE(B1552),TEXT(B1552,""yyyy""),""""))"),"")</f>
        <v/>
      </c>
    </row>
    <row r="1553">
      <c r="B1553" s="87"/>
      <c r="C1553" s="85"/>
      <c r="D1553" s="76"/>
      <c r="H1553" s="88"/>
      <c r="J1553" s="53" t="str">
        <f>IFERROR(__xludf.DUMMYFUNCTION("IF(ISBLANK(B1553),"""",IF(ISDATE(B1553),""X"",""""))"),"")</f>
        <v/>
      </c>
      <c r="K1553" s="40" t="str">
        <f>IFERROR(__xludf.DUMMYFUNCTION("IF(ISBLANK(B1553),"""",IF(ISDATE(B1553),H1553,""""))"),"")</f>
        <v/>
      </c>
      <c r="L1553" s="40" t="str">
        <f>IFERROR(__xludf.DUMMYFUNCTION("IF(ISBLANK(B1553),"""",IF(ISDATE(B1553),TEXT(B1553,""M""),""""))"),"")</f>
        <v/>
      </c>
      <c r="M1553" s="29" t="str">
        <f>IFERROR(__xludf.DUMMYFUNCTION("IF(L1553="""","""",QUERY({'Dashboard-Dados'!$Y$2:$AA$13},""Select Col2 Where Col1=""&amp;L1553))"),"")</f>
        <v/>
      </c>
      <c r="N1553" s="29" t="str">
        <f>IFERROR(__xludf.DUMMYFUNCTION("IF(ISBLANK(B1553),"""",IF(ISDATE(B1553),TEXT(B1553,""yyyy""),""""))"),"")</f>
        <v/>
      </c>
    </row>
    <row r="1554">
      <c r="B1554" s="89"/>
      <c r="C1554" s="86"/>
      <c r="D1554" s="71"/>
      <c r="H1554" s="90"/>
      <c r="J1554" s="53" t="str">
        <f>IFERROR(__xludf.DUMMYFUNCTION("IF(ISBLANK(B1554),"""",IF(ISDATE(B1554),""X"",""""))"),"")</f>
        <v/>
      </c>
      <c r="K1554" s="40" t="str">
        <f>IFERROR(__xludf.DUMMYFUNCTION("IF(ISBLANK(B1554),"""",IF(ISDATE(B1554),H1554,""""))"),"")</f>
        <v/>
      </c>
      <c r="L1554" s="40" t="str">
        <f>IFERROR(__xludf.DUMMYFUNCTION("IF(ISBLANK(B1554),"""",IF(ISDATE(B1554),TEXT(B1554,""M""),""""))"),"")</f>
        <v/>
      </c>
      <c r="M1554" s="29" t="str">
        <f>IFERROR(__xludf.DUMMYFUNCTION("IF(L1554="""","""",QUERY({'Dashboard-Dados'!$Y$2:$AA$13},""Select Col2 Where Col1=""&amp;L1554))"),"")</f>
        <v/>
      </c>
      <c r="N1554" s="29" t="str">
        <f>IFERROR(__xludf.DUMMYFUNCTION("IF(ISBLANK(B1554),"""",IF(ISDATE(B1554),TEXT(B1554,""yyyy""),""""))"),"")</f>
        <v/>
      </c>
    </row>
    <row r="1555">
      <c r="B1555" s="87"/>
      <c r="C1555" s="85"/>
      <c r="D1555" s="76"/>
      <c r="H1555" s="88"/>
      <c r="J1555" s="53" t="str">
        <f>IFERROR(__xludf.DUMMYFUNCTION("IF(ISBLANK(B1555),"""",IF(ISDATE(B1555),""X"",""""))"),"")</f>
        <v/>
      </c>
      <c r="K1555" s="40" t="str">
        <f>IFERROR(__xludf.DUMMYFUNCTION("IF(ISBLANK(B1555),"""",IF(ISDATE(B1555),H1555,""""))"),"")</f>
        <v/>
      </c>
      <c r="L1555" s="40" t="str">
        <f>IFERROR(__xludf.DUMMYFUNCTION("IF(ISBLANK(B1555),"""",IF(ISDATE(B1555),TEXT(B1555,""M""),""""))"),"")</f>
        <v/>
      </c>
      <c r="M1555" s="29" t="str">
        <f>IFERROR(__xludf.DUMMYFUNCTION("IF(L1555="""","""",QUERY({'Dashboard-Dados'!$Y$2:$AA$13},""Select Col2 Where Col1=""&amp;L1555))"),"")</f>
        <v/>
      </c>
      <c r="N1555" s="29" t="str">
        <f>IFERROR(__xludf.DUMMYFUNCTION("IF(ISBLANK(B1555),"""",IF(ISDATE(B1555),TEXT(B1555,""yyyy""),""""))"),"")</f>
        <v/>
      </c>
    </row>
    <row r="1556">
      <c r="B1556" s="89"/>
      <c r="C1556" s="86"/>
      <c r="D1556" s="71"/>
      <c r="H1556" s="90"/>
      <c r="J1556" s="53" t="str">
        <f>IFERROR(__xludf.DUMMYFUNCTION("IF(ISBLANK(B1556),"""",IF(ISDATE(B1556),""X"",""""))"),"")</f>
        <v/>
      </c>
      <c r="K1556" s="40" t="str">
        <f>IFERROR(__xludf.DUMMYFUNCTION("IF(ISBLANK(B1556),"""",IF(ISDATE(B1556),H1556,""""))"),"")</f>
        <v/>
      </c>
      <c r="L1556" s="40" t="str">
        <f>IFERROR(__xludf.DUMMYFUNCTION("IF(ISBLANK(B1556),"""",IF(ISDATE(B1556),TEXT(B1556,""M""),""""))"),"")</f>
        <v/>
      </c>
      <c r="M1556" s="29" t="str">
        <f>IFERROR(__xludf.DUMMYFUNCTION("IF(L1556="""","""",QUERY({'Dashboard-Dados'!$Y$2:$AA$13},""Select Col2 Where Col1=""&amp;L1556))"),"")</f>
        <v/>
      </c>
      <c r="N1556" s="29" t="str">
        <f>IFERROR(__xludf.DUMMYFUNCTION("IF(ISBLANK(B1556),"""",IF(ISDATE(B1556),TEXT(B1556,""yyyy""),""""))"),"")</f>
        <v/>
      </c>
    </row>
    <row r="1557">
      <c r="B1557" s="87"/>
      <c r="C1557" s="85"/>
      <c r="D1557" s="76"/>
      <c r="H1557" s="88"/>
      <c r="J1557" s="53" t="str">
        <f>IFERROR(__xludf.DUMMYFUNCTION("IF(ISBLANK(B1557),"""",IF(ISDATE(B1557),""X"",""""))"),"")</f>
        <v/>
      </c>
      <c r="K1557" s="40" t="str">
        <f>IFERROR(__xludf.DUMMYFUNCTION("IF(ISBLANK(B1557),"""",IF(ISDATE(B1557),H1557,""""))"),"")</f>
        <v/>
      </c>
      <c r="L1557" s="40" t="str">
        <f>IFERROR(__xludf.DUMMYFUNCTION("IF(ISBLANK(B1557),"""",IF(ISDATE(B1557),TEXT(B1557,""M""),""""))"),"")</f>
        <v/>
      </c>
      <c r="M1557" s="29" t="str">
        <f>IFERROR(__xludf.DUMMYFUNCTION("IF(L1557="""","""",QUERY({'Dashboard-Dados'!$Y$2:$AA$13},""Select Col2 Where Col1=""&amp;L1557))"),"")</f>
        <v/>
      </c>
      <c r="N1557" s="29" t="str">
        <f>IFERROR(__xludf.DUMMYFUNCTION("IF(ISBLANK(B1557),"""",IF(ISDATE(B1557),TEXT(B1557,""yyyy""),""""))"),"")</f>
        <v/>
      </c>
    </row>
    <row r="1558">
      <c r="B1558" s="89"/>
      <c r="C1558" s="86"/>
      <c r="D1558" s="71"/>
      <c r="H1558" s="90"/>
      <c r="J1558" s="53" t="str">
        <f>IFERROR(__xludf.DUMMYFUNCTION("IF(ISBLANK(B1558),"""",IF(ISDATE(B1558),""X"",""""))"),"")</f>
        <v/>
      </c>
      <c r="K1558" s="40" t="str">
        <f>IFERROR(__xludf.DUMMYFUNCTION("IF(ISBLANK(B1558),"""",IF(ISDATE(B1558),H1558,""""))"),"")</f>
        <v/>
      </c>
      <c r="L1558" s="40" t="str">
        <f>IFERROR(__xludf.DUMMYFUNCTION("IF(ISBLANK(B1558),"""",IF(ISDATE(B1558),TEXT(B1558,""M""),""""))"),"")</f>
        <v/>
      </c>
      <c r="M1558" s="29" t="str">
        <f>IFERROR(__xludf.DUMMYFUNCTION("IF(L1558="""","""",QUERY({'Dashboard-Dados'!$Y$2:$AA$13},""Select Col2 Where Col1=""&amp;L1558))"),"")</f>
        <v/>
      </c>
      <c r="N1558" s="29" t="str">
        <f>IFERROR(__xludf.DUMMYFUNCTION("IF(ISBLANK(B1558),"""",IF(ISDATE(B1558),TEXT(B1558,""yyyy""),""""))"),"")</f>
        <v/>
      </c>
    </row>
    <row r="1559">
      <c r="B1559" s="87"/>
      <c r="C1559" s="85"/>
      <c r="D1559" s="76"/>
      <c r="H1559" s="88"/>
      <c r="J1559" s="53" t="str">
        <f>IFERROR(__xludf.DUMMYFUNCTION("IF(ISBLANK(B1559),"""",IF(ISDATE(B1559),""X"",""""))"),"")</f>
        <v/>
      </c>
      <c r="K1559" s="40" t="str">
        <f>IFERROR(__xludf.DUMMYFUNCTION("IF(ISBLANK(B1559),"""",IF(ISDATE(B1559),H1559,""""))"),"")</f>
        <v/>
      </c>
      <c r="L1559" s="40" t="str">
        <f>IFERROR(__xludf.DUMMYFUNCTION("IF(ISBLANK(B1559),"""",IF(ISDATE(B1559),TEXT(B1559,""M""),""""))"),"")</f>
        <v/>
      </c>
      <c r="M1559" s="29" t="str">
        <f>IFERROR(__xludf.DUMMYFUNCTION("IF(L1559="""","""",QUERY({'Dashboard-Dados'!$Y$2:$AA$13},""Select Col2 Where Col1=""&amp;L1559))"),"")</f>
        <v/>
      </c>
      <c r="N1559" s="29" t="str">
        <f>IFERROR(__xludf.DUMMYFUNCTION("IF(ISBLANK(B1559),"""",IF(ISDATE(B1559),TEXT(B1559,""yyyy""),""""))"),"")</f>
        <v/>
      </c>
    </row>
    <row r="1560">
      <c r="B1560" s="89"/>
      <c r="C1560" s="86"/>
      <c r="D1560" s="71"/>
      <c r="H1560" s="90"/>
      <c r="J1560" s="53" t="str">
        <f>IFERROR(__xludf.DUMMYFUNCTION("IF(ISBLANK(B1560),"""",IF(ISDATE(B1560),""X"",""""))"),"")</f>
        <v/>
      </c>
      <c r="K1560" s="40" t="str">
        <f>IFERROR(__xludf.DUMMYFUNCTION("IF(ISBLANK(B1560),"""",IF(ISDATE(B1560),H1560,""""))"),"")</f>
        <v/>
      </c>
      <c r="L1560" s="40" t="str">
        <f>IFERROR(__xludf.DUMMYFUNCTION("IF(ISBLANK(B1560),"""",IF(ISDATE(B1560),TEXT(B1560,""M""),""""))"),"")</f>
        <v/>
      </c>
      <c r="M1560" s="29" t="str">
        <f>IFERROR(__xludf.DUMMYFUNCTION("IF(L1560="""","""",QUERY({'Dashboard-Dados'!$Y$2:$AA$13},""Select Col2 Where Col1=""&amp;L1560))"),"")</f>
        <v/>
      </c>
      <c r="N1560" s="29" t="str">
        <f>IFERROR(__xludf.DUMMYFUNCTION("IF(ISBLANK(B1560),"""",IF(ISDATE(B1560),TEXT(B1560,""yyyy""),""""))"),"")</f>
        <v/>
      </c>
    </row>
    <row r="1561">
      <c r="B1561" s="87"/>
      <c r="C1561" s="85"/>
      <c r="D1561" s="76"/>
      <c r="H1561" s="88"/>
      <c r="J1561" s="53" t="str">
        <f>IFERROR(__xludf.DUMMYFUNCTION("IF(ISBLANK(B1561),"""",IF(ISDATE(B1561),""X"",""""))"),"")</f>
        <v/>
      </c>
      <c r="K1561" s="40" t="str">
        <f>IFERROR(__xludf.DUMMYFUNCTION("IF(ISBLANK(B1561),"""",IF(ISDATE(B1561),H1561,""""))"),"")</f>
        <v/>
      </c>
      <c r="L1561" s="40" t="str">
        <f>IFERROR(__xludf.DUMMYFUNCTION("IF(ISBLANK(B1561),"""",IF(ISDATE(B1561),TEXT(B1561,""M""),""""))"),"")</f>
        <v/>
      </c>
      <c r="M1561" s="29" t="str">
        <f>IFERROR(__xludf.DUMMYFUNCTION("IF(L1561="""","""",QUERY({'Dashboard-Dados'!$Y$2:$AA$13},""Select Col2 Where Col1=""&amp;L1561))"),"")</f>
        <v/>
      </c>
      <c r="N1561" s="29" t="str">
        <f>IFERROR(__xludf.DUMMYFUNCTION("IF(ISBLANK(B1561),"""",IF(ISDATE(B1561),TEXT(B1561,""yyyy""),""""))"),"")</f>
        <v/>
      </c>
    </row>
    <row r="1562">
      <c r="B1562" s="89"/>
      <c r="C1562" s="86"/>
      <c r="D1562" s="71"/>
      <c r="H1562" s="90"/>
      <c r="J1562" s="53" t="str">
        <f>IFERROR(__xludf.DUMMYFUNCTION("IF(ISBLANK(B1562),"""",IF(ISDATE(B1562),""X"",""""))"),"")</f>
        <v/>
      </c>
      <c r="K1562" s="40" t="str">
        <f>IFERROR(__xludf.DUMMYFUNCTION("IF(ISBLANK(B1562),"""",IF(ISDATE(B1562),H1562,""""))"),"")</f>
        <v/>
      </c>
      <c r="L1562" s="40" t="str">
        <f>IFERROR(__xludf.DUMMYFUNCTION("IF(ISBLANK(B1562),"""",IF(ISDATE(B1562),TEXT(B1562,""M""),""""))"),"")</f>
        <v/>
      </c>
      <c r="M1562" s="29" t="str">
        <f>IFERROR(__xludf.DUMMYFUNCTION("IF(L1562="""","""",QUERY({'Dashboard-Dados'!$Y$2:$AA$13},""Select Col2 Where Col1=""&amp;L1562))"),"")</f>
        <v/>
      </c>
      <c r="N1562" s="29" t="str">
        <f>IFERROR(__xludf.DUMMYFUNCTION("IF(ISBLANK(B1562),"""",IF(ISDATE(B1562),TEXT(B1562,""yyyy""),""""))"),"")</f>
        <v/>
      </c>
    </row>
    <row r="1563">
      <c r="B1563" s="87"/>
      <c r="C1563" s="85"/>
      <c r="D1563" s="76"/>
      <c r="H1563" s="88"/>
      <c r="J1563" s="53" t="str">
        <f>IFERROR(__xludf.DUMMYFUNCTION("IF(ISBLANK(B1563),"""",IF(ISDATE(B1563),""X"",""""))"),"")</f>
        <v/>
      </c>
      <c r="K1563" s="40" t="str">
        <f>IFERROR(__xludf.DUMMYFUNCTION("IF(ISBLANK(B1563),"""",IF(ISDATE(B1563),H1563,""""))"),"")</f>
        <v/>
      </c>
      <c r="L1563" s="40" t="str">
        <f>IFERROR(__xludf.DUMMYFUNCTION("IF(ISBLANK(B1563),"""",IF(ISDATE(B1563),TEXT(B1563,""M""),""""))"),"")</f>
        <v/>
      </c>
      <c r="M1563" s="29" t="str">
        <f>IFERROR(__xludf.DUMMYFUNCTION("IF(L1563="""","""",QUERY({'Dashboard-Dados'!$Y$2:$AA$13},""Select Col2 Where Col1=""&amp;L1563))"),"")</f>
        <v/>
      </c>
      <c r="N1563" s="29" t="str">
        <f>IFERROR(__xludf.DUMMYFUNCTION("IF(ISBLANK(B1563),"""",IF(ISDATE(B1563),TEXT(B1563,""yyyy""),""""))"),"")</f>
        <v/>
      </c>
    </row>
    <row r="1564">
      <c r="B1564" s="89"/>
      <c r="C1564" s="86"/>
      <c r="D1564" s="71"/>
      <c r="H1564" s="90"/>
      <c r="J1564" s="53" t="str">
        <f>IFERROR(__xludf.DUMMYFUNCTION("IF(ISBLANK(B1564),"""",IF(ISDATE(B1564),""X"",""""))"),"")</f>
        <v/>
      </c>
      <c r="K1564" s="40" t="str">
        <f>IFERROR(__xludf.DUMMYFUNCTION("IF(ISBLANK(B1564),"""",IF(ISDATE(B1564),H1564,""""))"),"")</f>
        <v/>
      </c>
      <c r="L1564" s="40" t="str">
        <f>IFERROR(__xludf.DUMMYFUNCTION("IF(ISBLANK(B1564),"""",IF(ISDATE(B1564),TEXT(B1564,""M""),""""))"),"")</f>
        <v/>
      </c>
      <c r="M1564" s="29" t="str">
        <f>IFERROR(__xludf.DUMMYFUNCTION("IF(L1564="""","""",QUERY({'Dashboard-Dados'!$Y$2:$AA$13},""Select Col2 Where Col1=""&amp;L1564))"),"")</f>
        <v/>
      </c>
      <c r="N1564" s="29" t="str">
        <f>IFERROR(__xludf.DUMMYFUNCTION("IF(ISBLANK(B1564),"""",IF(ISDATE(B1564),TEXT(B1564,""yyyy""),""""))"),"")</f>
        <v/>
      </c>
    </row>
    <row r="1565">
      <c r="B1565" s="87"/>
      <c r="C1565" s="85"/>
      <c r="D1565" s="76"/>
      <c r="H1565" s="88"/>
      <c r="J1565" s="53" t="str">
        <f>IFERROR(__xludf.DUMMYFUNCTION("IF(ISBLANK(B1565),"""",IF(ISDATE(B1565),""X"",""""))"),"")</f>
        <v/>
      </c>
      <c r="K1565" s="40" t="str">
        <f>IFERROR(__xludf.DUMMYFUNCTION("IF(ISBLANK(B1565),"""",IF(ISDATE(B1565),H1565,""""))"),"")</f>
        <v/>
      </c>
      <c r="L1565" s="40" t="str">
        <f>IFERROR(__xludf.DUMMYFUNCTION("IF(ISBLANK(B1565),"""",IF(ISDATE(B1565),TEXT(B1565,""M""),""""))"),"")</f>
        <v/>
      </c>
      <c r="M1565" s="29" t="str">
        <f>IFERROR(__xludf.DUMMYFUNCTION("IF(L1565="""","""",QUERY({'Dashboard-Dados'!$Y$2:$AA$13},""Select Col2 Where Col1=""&amp;L1565))"),"")</f>
        <v/>
      </c>
      <c r="N1565" s="29" t="str">
        <f>IFERROR(__xludf.DUMMYFUNCTION("IF(ISBLANK(B1565),"""",IF(ISDATE(B1565),TEXT(B1565,""yyyy""),""""))"),"")</f>
        <v/>
      </c>
    </row>
    <row r="1566">
      <c r="B1566" s="89"/>
      <c r="C1566" s="86"/>
      <c r="D1566" s="71"/>
      <c r="H1566" s="90"/>
      <c r="J1566" s="53" t="str">
        <f>IFERROR(__xludf.DUMMYFUNCTION("IF(ISBLANK(B1566),"""",IF(ISDATE(B1566),""X"",""""))"),"")</f>
        <v/>
      </c>
      <c r="K1566" s="40" t="str">
        <f>IFERROR(__xludf.DUMMYFUNCTION("IF(ISBLANK(B1566),"""",IF(ISDATE(B1566),H1566,""""))"),"")</f>
        <v/>
      </c>
      <c r="L1566" s="40" t="str">
        <f>IFERROR(__xludf.DUMMYFUNCTION("IF(ISBLANK(B1566),"""",IF(ISDATE(B1566),TEXT(B1566,""M""),""""))"),"")</f>
        <v/>
      </c>
      <c r="M1566" s="29" t="str">
        <f>IFERROR(__xludf.DUMMYFUNCTION("IF(L1566="""","""",QUERY({'Dashboard-Dados'!$Y$2:$AA$13},""Select Col2 Where Col1=""&amp;L1566))"),"")</f>
        <v/>
      </c>
      <c r="N1566" s="29" t="str">
        <f>IFERROR(__xludf.DUMMYFUNCTION("IF(ISBLANK(B1566),"""",IF(ISDATE(B1566),TEXT(B1566,""yyyy""),""""))"),"")</f>
        <v/>
      </c>
    </row>
    <row r="1567">
      <c r="B1567" s="87"/>
      <c r="C1567" s="85"/>
      <c r="D1567" s="76"/>
      <c r="H1567" s="88"/>
      <c r="J1567" s="53" t="str">
        <f>IFERROR(__xludf.DUMMYFUNCTION("IF(ISBLANK(B1567),"""",IF(ISDATE(B1567),""X"",""""))"),"")</f>
        <v/>
      </c>
      <c r="K1567" s="40" t="str">
        <f>IFERROR(__xludf.DUMMYFUNCTION("IF(ISBLANK(B1567),"""",IF(ISDATE(B1567),H1567,""""))"),"")</f>
        <v/>
      </c>
      <c r="L1567" s="40" t="str">
        <f>IFERROR(__xludf.DUMMYFUNCTION("IF(ISBLANK(B1567),"""",IF(ISDATE(B1567),TEXT(B1567,""M""),""""))"),"")</f>
        <v/>
      </c>
      <c r="M1567" s="29" t="str">
        <f>IFERROR(__xludf.DUMMYFUNCTION("IF(L1567="""","""",QUERY({'Dashboard-Dados'!$Y$2:$AA$13},""Select Col2 Where Col1=""&amp;L1567))"),"")</f>
        <v/>
      </c>
      <c r="N1567" s="29" t="str">
        <f>IFERROR(__xludf.DUMMYFUNCTION("IF(ISBLANK(B1567),"""",IF(ISDATE(B1567),TEXT(B1567,""yyyy""),""""))"),"")</f>
        <v/>
      </c>
    </row>
    <row r="1568">
      <c r="B1568" s="89"/>
      <c r="C1568" s="86"/>
      <c r="D1568" s="71"/>
      <c r="H1568" s="90"/>
      <c r="J1568" s="53" t="str">
        <f>IFERROR(__xludf.DUMMYFUNCTION("IF(ISBLANK(B1568),"""",IF(ISDATE(B1568),""X"",""""))"),"")</f>
        <v/>
      </c>
      <c r="K1568" s="40" t="str">
        <f>IFERROR(__xludf.DUMMYFUNCTION("IF(ISBLANK(B1568),"""",IF(ISDATE(B1568),H1568,""""))"),"")</f>
        <v/>
      </c>
      <c r="L1568" s="40" t="str">
        <f>IFERROR(__xludf.DUMMYFUNCTION("IF(ISBLANK(B1568),"""",IF(ISDATE(B1568),TEXT(B1568,""M""),""""))"),"")</f>
        <v/>
      </c>
      <c r="M1568" s="29" t="str">
        <f>IFERROR(__xludf.DUMMYFUNCTION("IF(L1568="""","""",QUERY({'Dashboard-Dados'!$Y$2:$AA$13},""Select Col2 Where Col1=""&amp;L1568))"),"")</f>
        <v/>
      </c>
      <c r="N1568" s="29" t="str">
        <f>IFERROR(__xludf.DUMMYFUNCTION("IF(ISBLANK(B1568),"""",IF(ISDATE(B1568),TEXT(B1568,""yyyy""),""""))"),"")</f>
        <v/>
      </c>
    </row>
    <row r="1569">
      <c r="B1569" s="87"/>
      <c r="C1569" s="85"/>
      <c r="D1569" s="76"/>
      <c r="H1569" s="88"/>
      <c r="J1569" s="53" t="str">
        <f>IFERROR(__xludf.DUMMYFUNCTION("IF(ISBLANK(B1569),"""",IF(ISDATE(B1569),""X"",""""))"),"")</f>
        <v/>
      </c>
      <c r="K1569" s="40" t="str">
        <f>IFERROR(__xludf.DUMMYFUNCTION("IF(ISBLANK(B1569),"""",IF(ISDATE(B1569),H1569,""""))"),"")</f>
        <v/>
      </c>
      <c r="L1569" s="40" t="str">
        <f>IFERROR(__xludf.DUMMYFUNCTION("IF(ISBLANK(B1569),"""",IF(ISDATE(B1569),TEXT(B1569,""M""),""""))"),"")</f>
        <v/>
      </c>
      <c r="M1569" s="29" t="str">
        <f>IFERROR(__xludf.DUMMYFUNCTION("IF(L1569="""","""",QUERY({'Dashboard-Dados'!$Y$2:$AA$13},""Select Col2 Where Col1=""&amp;L1569))"),"")</f>
        <v/>
      </c>
      <c r="N1569" s="29" t="str">
        <f>IFERROR(__xludf.DUMMYFUNCTION("IF(ISBLANK(B1569),"""",IF(ISDATE(B1569),TEXT(B1569,""yyyy""),""""))"),"")</f>
        <v/>
      </c>
    </row>
    <row r="1570">
      <c r="B1570" s="89"/>
      <c r="C1570" s="86"/>
      <c r="D1570" s="71"/>
      <c r="H1570" s="90"/>
      <c r="J1570" s="53" t="str">
        <f>IFERROR(__xludf.DUMMYFUNCTION("IF(ISBLANK(B1570),"""",IF(ISDATE(B1570),""X"",""""))"),"")</f>
        <v/>
      </c>
      <c r="K1570" s="40" t="str">
        <f>IFERROR(__xludf.DUMMYFUNCTION("IF(ISBLANK(B1570),"""",IF(ISDATE(B1570),H1570,""""))"),"")</f>
        <v/>
      </c>
      <c r="L1570" s="40" t="str">
        <f>IFERROR(__xludf.DUMMYFUNCTION("IF(ISBLANK(B1570),"""",IF(ISDATE(B1570),TEXT(B1570,""M""),""""))"),"")</f>
        <v/>
      </c>
      <c r="M1570" s="29" t="str">
        <f>IFERROR(__xludf.DUMMYFUNCTION("IF(L1570="""","""",QUERY({'Dashboard-Dados'!$Y$2:$AA$13},""Select Col2 Where Col1=""&amp;L1570))"),"")</f>
        <v/>
      </c>
      <c r="N1570" s="29" t="str">
        <f>IFERROR(__xludf.DUMMYFUNCTION("IF(ISBLANK(B1570),"""",IF(ISDATE(B1570),TEXT(B1570,""yyyy""),""""))"),"")</f>
        <v/>
      </c>
    </row>
    <row r="1571">
      <c r="B1571" s="87"/>
      <c r="C1571" s="85"/>
      <c r="D1571" s="76"/>
      <c r="H1571" s="88"/>
      <c r="J1571" s="53" t="str">
        <f>IFERROR(__xludf.DUMMYFUNCTION("IF(ISBLANK(B1571),"""",IF(ISDATE(B1571),""X"",""""))"),"")</f>
        <v/>
      </c>
      <c r="K1571" s="40" t="str">
        <f>IFERROR(__xludf.DUMMYFUNCTION("IF(ISBLANK(B1571),"""",IF(ISDATE(B1571),H1571,""""))"),"")</f>
        <v/>
      </c>
      <c r="L1571" s="40" t="str">
        <f>IFERROR(__xludf.DUMMYFUNCTION("IF(ISBLANK(B1571),"""",IF(ISDATE(B1571),TEXT(B1571,""M""),""""))"),"")</f>
        <v/>
      </c>
      <c r="M1571" s="29" t="str">
        <f>IFERROR(__xludf.DUMMYFUNCTION("IF(L1571="""","""",QUERY({'Dashboard-Dados'!$Y$2:$AA$13},""Select Col2 Where Col1=""&amp;L1571))"),"")</f>
        <v/>
      </c>
      <c r="N1571" s="29" t="str">
        <f>IFERROR(__xludf.DUMMYFUNCTION("IF(ISBLANK(B1571),"""",IF(ISDATE(B1571),TEXT(B1571,""yyyy""),""""))"),"")</f>
        <v/>
      </c>
    </row>
    <row r="1572">
      <c r="B1572" s="89"/>
      <c r="C1572" s="86"/>
      <c r="D1572" s="71"/>
      <c r="H1572" s="90"/>
      <c r="J1572" s="53" t="str">
        <f>IFERROR(__xludf.DUMMYFUNCTION("IF(ISBLANK(B1572),"""",IF(ISDATE(B1572),""X"",""""))"),"")</f>
        <v/>
      </c>
      <c r="K1572" s="40" t="str">
        <f>IFERROR(__xludf.DUMMYFUNCTION("IF(ISBLANK(B1572),"""",IF(ISDATE(B1572),H1572,""""))"),"")</f>
        <v/>
      </c>
      <c r="L1572" s="40" t="str">
        <f>IFERROR(__xludf.DUMMYFUNCTION("IF(ISBLANK(B1572),"""",IF(ISDATE(B1572),TEXT(B1572,""M""),""""))"),"")</f>
        <v/>
      </c>
      <c r="M1572" s="29" t="str">
        <f>IFERROR(__xludf.DUMMYFUNCTION("IF(L1572="""","""",QUERY({'Dashboard-Dados'!$Y$2:$AA$13},""Select Col2 Where Col1=""&amp;L1572))"),"")</f>
        <v/>
      </c>
      <c r="N1572" s="29" t="str">
        <f>IFERROR(__xludf.DUMMYFUNCTION("IF(ISBLANK(B1572),"""",IF(ISDATE(B1572),TEXT(B1572,""yyyy""),""""))"),"")</f>
        <v/>
      </c>
    </row>
    <row r="1573">
      <c r="B1573" s="87"/>
      <c r="C1573" s="85"/>
      <c r="D1573" s="76"/>
      <c r="H1573" s="88"/>
      <c r="J1573" s="53" t="str">
        <f>IFERROR(__xludf.DUMMYFUNCTION("IF(ISBLANK(B1573),"""",IF(ISDATE(B1573),""X"",""""))"),"")</f>
        <v/>
      </c>
      <c r="K1573" s="40" t="str">
        <f>IFERROR(__xludf.DUMMYFUNCTION("IF(ISBLANK(B1573),"""",IF(ISDATE(B1573),H1573,""""))"),"")</f>
        <v/>
      </c>
      <c r="L1573" s="40" t="str">
        <f>IFERROR(__xludf.DUMMYFUNCTION("IF(ISBLANK(B1573),"""",IF(ISDATE(B1573),TEXT(B1573,""M""),""""))"),"")</f>
        <v/>
      </c>
      <c r="M1573" s="29" t="str">
        <f>IFERROR(__xludf.DUMMYFUNCTION("IF(L1573="""","""",QUERY({'Dashboard-Dados'!$Y$2:$AA$13},""Select Col2 Where Col1=""&amp;L1573))"),"")</f>
        <v/>
      </c>
      <c r="N1573" s="29" t="str">
        <f>IFERROR(__xludf.DUMMYFUNCTION("IF(ISBLANK(B1573),"""",IF(ISDATE(B1573),TEXT(B1573,""yyyy""),""""))"),"")</f>
        <v/>
      </c>
    </row>
    <row r="1574">
      <c r="B1574" s="89"/>
      <c r="C1574" s="86"/>
      <c r="D1574" s="71"/>
      <c r="H1574" s="90"/>
      <c r="J1574" s="53" t="str">
        <f>IFERROR(__xludf.DUMMYFUNCTION("IF(ISBLANK(B1574),"""",IF(ISDATE(B1574),""X"",""""))"),"")</f>
        <v/>
      </c>
      <c r="K1574" s="40" t="str">
        <f>IFERROR(__xludf.DUMMYFUNCTION("IF(ISBLANK(B1574),"""",IF(ISDATE(B1574),H1574,""""))"),"")</f>
        <v/>
      </c>
      <c r="L1574" s="40" t="str">
        <f>IFERROR(__xludf.DUMMYFUNCTION("IF(ISBLANK(B1574),"""",IF(ISDATE(B1574),TEXT(B1574,""M""),""""))"),"")</f>
        <v/>
      </c>
      <c r="M1574" s="29" t="str">
        <f>IFERROR(__xludf.DUMMYFUNCTION("IF(L1574="""","""",QUERY({'Dashboard-Dados'!$Y$2:$AA$13},""Select Col2 Where Col1=""&amp;L1574))"),"")</f>
        <v/>
      </c>
      <c r="N1574" s="29" t="str">
        <f>IFERROR(__xludf.DUMMYFUNCTION("IF(ISBLANK(B1574),"""",IF(ISDATE(B1574),TEXT(B1574,""yyyy""),""""))"),"")</f>
        <v/>
      </c>
    </row>
    <row r="1575">
      <c r="B1575" s="87"/>
      <c r="C1575" s="85"/>
      <c r="D1575" s="76"/>
      <c r="H1575" s="88"/>
      <c r="J1575" s="53" t="str">
        <f>IFERROR(__xludf.DUMMYFUNCTION("IF(ISBLANK(B1575),"""",IF(ISDATE(B1575),""X"",""""))"),"")</f>
        <v/>
      </c>
      <c r="K1575" s="40" t="str">
        <f>IFERROR(__xludf.DUMMYFUNCTION("IF(ISBLANK(B1575),"""",IF(ISDATE(B1575),H1575,""""))"),"")</f>
        <v/>
      </c>
      <c r="L1575" s="40" t="str">
        <f>IFERROR(__xludf.DUMMYFUNCTION("IF(ISBLANK(B1575),"""",IF(ISDATE(B1575),TEXT(B1575,""M""),""""))"),"")</f>
        <v/>
      </c>
      <c r="M1575" s="29" t="str">
        <f>IFERROR(__xludf.DUMMYFUNCTION("IF(L1575="""","""",QUERY({'Dashboard-Dados'!$Y$2:$AA$13},""Select Col2 Where Col1=""&amp;L1575))"),"")</f>
        <v/>
      </c>
      <c r="N1575" s="29" t="str">
        <f>IFERROR(__xludf.DUMMYFUNCTION("IF(ISBLANK(B1575),"""",IF(ISDATE(B1575),TEXT(B1575,""yyyy""),""""))"),"")</f>
        <v/>
      </c>
    </row>
    <row r="1576">
      <c r="B1576" s="89"/>
      <c r="C1576" s="86"/>
      <c r="D1576" s="71"/>
      <c r="H1576" s="90"/>
      <c r="J1576" s="53" t="str">
        <f>IFERROR(__xludf.DUMMYFUNCTION("IF(ISBLANK(B1576),"""",IF(ISDATE(B1576),""X"",""""))"),"")</f>
        <v/>
      </c>
      <c r="K1576" s="40" t="str">
        <f>IFERROR(__xludf.DUMMYFUNCTION("IF(ISBLANK(B1576),"""",IF(ISDATE(B1576),H1576,""""))"),"")</f>
        <v/>
      </c>
      <c r="L1576" s="40" t="str">
        <f>IFERROR(__xludf.DUMMYFUNCTION("IF(ISBLANK(B1576),"""",IF(ISDATE(B1576),TEXT(B1576,""M""),""""))"),"")</f>
        <v/>
      </c>
      <c r="M1576" s="29" t="str">
        <f>IFERROR(__xludf.DUMMYFUNCTION("IF(L1576="""","""",QUERY({'Dashboard-Dados'!$Y$2:$AA$13},""Select Col2 Where Col1=""&amp;L1576))"),"")</f>
        <v/>
      </c>
      <c r="N1576" s="29" t="str">
        <f>IFERROR(__xludf.DUMMYFUNCTION("IF(ISBLANK(B1576),"""",IF(ISDATE(B1576),TEXT(B1576,""yyyy""),""""))"),"")</f>
        <v/>
      </c>
    </row>
    <row r="1577">
      <c r="B1577" s="87"/>
      <c r="C1577" s="85"/>
      <c r="D1577" s="76"/>
      <c r="H1577" s="88"/>
      <c r="J1577" s="53" t="str">
        <f>IFERROR(__xludf.DUMMYFUNCTION("IF(ISBLANK(B1577),"""",IF(ISDATE(B1577),""X"",""""))"),"")</f>
        <v/>
      </c>
      <c r="K1577" s="40" t="str">
        <f>IFERROR(__xludf.DUMMYFUNCTION("IF(ISBLANK(B1577),"""",IF(ISDATE(B1577),H1577,""""))"),"")</f>
        <v/>
      </c>
      <c r="L1577" s="40" t="str">
        <f>IFERROR(__xludf.DUMMYFUNCTION("IF(ISBLANK(B1577),"""",IF(ISDATE(B1577),TEXT(B1577,""M""),""""))"),"")</f>
        <v/>
      </c>
      <c r="M1577" s="29" t="str">
        <f>IFERROR(__xludf.DUMMYFUNCTION("IF(L1577="""","""",QUERY({'Dashboard-Dados'!$Y$2:$AA$13},""Select Col2 Where Col1=""&amp;L1577))"),"")</f>
        <v/>
      </c>
      <c r="N1577" s="29" t="str">
        <f>IFERROR(__xludf.DUMMYFUNCTION("IF(ISBLANK(B1577),"""",IF(ISDATE(B1577),TEXT(B1577,""yyyy""),""""))"),"")</f>
        <v/>
      </c>
    </row>
    <row r="1578">
      <c r="B1578" s="89"/>
      <c r="C1578" s="86"/>
      <c r="D1578" s="71"/>
      <c r="H1578" s="90"/>
      <c r="J1578" s="53" t="str">
        <f>IFERROR(__xludf.DUMMYFUNCTION("IF(ISBLANK(B1578),"""",IF(ISDATE(B1578),""X"",""""))"),"")</f>
        <v/>
      </c>
      <c r="K1578" s="40" t="str">
        <f>IFERROR(__xludf.DUMMYFUNCTION("IF(ISBLANK(B1578),"""",IF(ISDATE(B1578),H1578,""""))"),"")</f>
        <v/>
      </c>
      <c r="L1578" s="40" t="str">
        <f>IFERROR(__xludf.DUMMYFUNCTION("IF(ISBLANK(B1578),"""",IF(ISDATE(B1578),TEXT(B1578,""M""),""""))"),"")</f>
        <v/>
      </c>
      <c r="M1578" s="29" t="str">
        <f>IFERROR(__xludf.DUMMYFUNCTION("IF(L1578="""","""",QUERY({'Dashboard-Dados'!$Y$2:$AA$13},""Select Col2 Where Col1=""&amp;L1578))"),"")</f>
        <v/>
      </c>
      <c r="N1578" s="29" t="str">
        <f>IFERROR(__xludf.DUMMYFUNCTION("IF(ISBLANK(B1578),"""",IF(ISDATE(B1578),TEXT(B1578,""yyyy""),""""))"),"")</f>
        <v/>
      </c>
    </row>
    <row r="1579">
      <c r="B1579" s="87"/>
      <c r="C1579" s="85"/>
      <c r="D1579" s="76"/>
      <c r="H1579" s="88"/>
      <c r="J1579" s="53" t="str">
        <f>IFERROR(__xludf.DUMMYFUNCTION("IF(ISBLANK(B1579),"""",IF(ISDATE(B1579),""X"",""""))"),"")</f>
        <v/>
      </c>
      <c r="K1579" s="40" t="str">
        <f>IFERROR(__xludf.DUMMYFUNCTION("IF(ISBLANK(B1579),"""",IF(ISDATE(B1579),H1579,""""))"),"")</f>
        <v/>
      </c>
      <c r="L1579" s="40" t="str">
        <f>IFERROR(__xludf.DUMMYFUNCTION("IF(ISBLANK(B1579),"""",IF(ISDATE(B1579),TEXT(B1579,""M""),""""))"),"")</f>
        <v/>
      </c>
      <c r="M1579" s="29" t="str">
        <f>IFERROR(__xludf.DUMMYFUNCTION("IF(L1579="""","""",QUERY({'Dashboard-Dados'!$Y$2:$AA$13},""Select Col2 Where Col1=""&amp;L1579))"),"")</f>
        <v/>
      </c>
      <c r="N1579" s="29" t="str">
        <f>IFERROR(__xludf.DUMMYFUNCTION("IF(ISBLANK(B1579),"""",IF(ISDATE(B1579),TEXT(B1579,""yyyy""),""""))"),"")</f>
        <v/>
      </c>
    </row>
    <row r="1580">
      <c r="B1580" s="89"/>
      <c r="C1580" s="86"/>
      <c r="D1580" s="71"/>
      <c r="H1580" s="90"/>
      <c r="J1580" s="53" t="str">
        <f>IFERROR(__xludf.DUMMYFUNCTION("IF(ISBLANK(B1580),"""",IF(ISDATE(B1580),""X"",""""))"),"")</f>
        <v/>
      </c>
      <c r="K1580" s="40" t="str">
        <f>IFERROR(__xludf.DUMMYFUNCTION("IF(ISBLANK(B1580),"""",IF(ISDATE(B1580),H1580,""""))"),"")</f>
        <v/>
      </c>
      <c r="L1580" s="40" t="str">
        <f>IFERROR(__xludf.DUMMYFUNCTION("IF(ISBLANK(B1580),"""",IF(ISDATE(B1580),TEXT(B1580,""M""),""""))"),"")</f>
        <v/>
      </c>
      <c r="M1580" s="29" t="str">
        <f>IFERROR(__xludf.DUMMYFUNCTION("IF(L1580="""","""",QUERY({'Dashboard-Dados'!$Y$2:$AA$13},""Select Col2 Where Col1=""&amp;L1580))"),"")</f>
        <v/>
      </c>
      <c r="N1580" s="29" t="str">
        <f>IFERROR(__xludf.DUMMYFUNCTION("IF(ISBLANK(B1580),"""",IF(ISDATE(B1580),TEXT(B1580,""yyyy""),""""))"),"")</f>
        <v/>
      </c>
    </row>
    <row r="1581">
      <c r="B1581" s="87"/>
      <c r="C1581" s="85"/>
      <c r="D1581" s="76"/>
      <c r="H1581" s="88"/>
      <c r="J1581" s="53" t="str">
        <f>IFERROR(__xludf.DUMMYFUNCTION("IF(ISBLANK(B1581),"""",IF(ISDATE(B1581),""X"",""""))"),"")</f>
        <v/>
      </c>
      <c r="K1581" s="40" t="str">
        <f>IFERROR(__xludf.DUMMYFUNCTION("IF(ISBLANK(B1581),"""",IF(ISDATE(B1581),H1581,""""))"),"")</f>
        <v/>
      </c>
      <c r="L1581" s="40" t="str">
        <f>IFERROR(__xludf.DUMMYFUNCTION("IF(ISBLANK(B1581),"""",IF(ISDATE(B1581),TEXT(B1581,""M""),""""))"),"")</f>
        <v/>
      </c>
      <c r="M1581" s="29" t="str">
        <f>IFERROR(__xludf.DUMMYFUNCTION("IF(L1581="""","""",QUERY({'Dashboard-Dados'!$Y$2:$AA$13},""Select Col2 Where Col1=""&amp;L1581))"),"")</f>
        <v/>
      </c>
      <c r="N1581" s="29" t="str">
        <f>IFERROR(__xludf.DUMMYFUNCTION("IF(ISBLANK(B1581),"""",IF(ISDATE(B1581),TEXT(B1581,""yyyy""),""""))"),"")</f>
        <v/>
      </c>
    </row>
    <row r="1582">
      <c r="B1582" s="89"/>
      <c r="C1582" s="86"/>
      <c r="D1582" s="71"/>
      <c r="H1582" s="90"/>
      <c r="J1582" s="53" t="str">
        <f>IFERROR(__xludf.DUMMYFUNCTION("IF(ISBLANK(B1582),"""",IF(ISDATE(B1582),""X"",""""))"),"")</f>
        <v/>
      </c>
      <c r="K1582" s="40" t="str">
        <f>IFERROR(__xludf.DUMMYFUNCTION("IF(ISBLANK(B1582),"""",IF(ISDATE(B1582),H1582,""""))"),"")</f>
        <v/>
      </c>
      <c r="L1582" s="40" t="str">
        <f>IFERROR(__xludf.DUMMYFUNCTION("IF(ISBLANK(B1582),"""",IF(ISDATE(B1582),TEXT(B1582,""M""),""""))"),"")</f>
        <v/>
      </c>
      <c r="M1582" s="29" t="str">
        <f>IFERROR(__xludf.DUMMYFUNCTION("IF(L1582="""","""",QUERY({'Dashboard-Dados'!$Y$2:$AA$13},""Select Col2 Where Col1=""&amp;L1582))"),"")</f>
        <v/>
      </c>
      <c r="N1582" s="29" t="str">
        <f>IFERROR(__xludf.DUMMYFUNCTION("IF(ISBLANK(B1582),"""",IF(ISDATE(B1582),TEXT(B1582,""yyyy""),""""))"),"")</f>
        <v/>
      </c>
    </row>
    <row r="1583">
      <c r="B1583" s="87"/>
      <c r="C1583" s="85"/>
      <c r="D1583" s="76"/>
      <c r="H1583" s="88"/>
      <c r="J1583" s="53" t="str">
        <f>IFERROR(__xludf.DUMMYFUNCTION("IF(ISBLANK(B1583),"""",IF(ISDATE(B1583),""X"",""""))"),"")</f>
        <v/>
      </c>
      <c r="K1583" s="40" t="str">
        <f>IFERROR(__xludf.DUMMYFUNCTION("IF(ISBLANK(B1583),"""",IF(ISDATE(B1583),H1583,""""))"),"")</f>
        <v/>
      </c>
      <c r="L1583" s="40" t="str">
        <f>IFERROR(__xludf.DUMMYFUNCTION("IF(ISBLANK(B1583),"""",IF(ISDATE(B1583),TEXT(B1583,""M""),""""))"),"")</f>
        <v/>
      </c>
      <c r="M1583" s="29" t="str">
        <f>IFERROR(__xludf.DUMMYFUNCTION("IF(L1583="""","""",QUERY({'Dashboard-Dados'!$Y$2:$AA$13},""Select Col2 Where Col1=""&amp;L1583))"),"")</f>
        <v/>
      </c>
      <c r="N1583" s="29" t="str">
        <f>IFERROR(__xludf.DUMMYFUNCTION("IF(ISBLANK(B1583),"""",IF(ISDATE(B1583),TEXT(B1583,""yyyy""),""""))"),"")</f>
        <v/>
      </c>
    </row>
    <row r="1584">
      <c r="B1584" s="89"/>
      <c r="C1584" s="86"/>
      <c r="D1584" s="71"/>
      <c r="H1584" s="90"/>
      <c r="J1584" s="53" t="str">
        <f>IFERROR(__xludf.DUMMYFUNCTION("IF(ISBLANK(B1584),"""",IF(ISDATE(B1584),""X"",""""))"),"")</f>
        <v/>
      </c>
      <c r="K1584" s="40" t="str">
        <f>IFERROR(__xludf.DUMMYFUNCTION("IF(ISBLANK(B1584),"""",IF(ISDATE(B1584),H1584,""""))"),"")</f>
        <v/>
      </c>
      <c r="L1584" s="40" t="str">
        <f>IFERROR(__xludf.DUMMYFUNCTION("IF(ISBLANK(B1584),"""",IF(ISDATE(B1584),TEXT(B1584,""M""),""""))"),"")</f>
        <v/>
      </c>
      <c r="M1584" s="29" t="str">
        <f>IFERROR(__xludf.DUMMYFUNCTION("IF(L1584="""","""",QUERY({'Dashboard-Dados'!$Y$2:$AA$13},""Select Col2 Where Col1=""&amp;L1584))"),"")</f>
        <v/>
      </c>
      <c r="N1584" s="29" t="str">
        <f>IFERROR(__xludf.DUMMYFUNCTION("IF(ISBLANK(B1584),"""",IF(ISDATE(B1584),TEXT(B1584,""yyyy""),""""))"),"")</f>
        <v/>
      </c>
    </row>
    <row r="1585">
      <c r="B1585" s="87"/>
      <c r="C1585" s="85"/>
      <c r="D1585" s="76"/>
      <c r="H1585" s="88"/>
      <c r="J1585" s="53" t="str">
        <f>IFERROR(__xludf.DUMMYFUNCTION("IF(ISBLANK(B1585),"""",IF(ISDATE(B1585),""X"",""""))"),"")</f>
        <v/>
      </c>
      <c r="K1585" s="40" t="str">
        <f>IFERROR(__xludf.DUMMYFUNCTION("IF(ISBLANK(B1585),"""",IF(ISDATE(B1585),H1585,""""))"),"")</f>
        <v/>
      </c>
      <c r="L1585" s="40" t="str">
        <f>IFERROR(__xludf.DUMMYFUNCTION("IF(ISBLANK(B1585),"""",IF(ISDATE(B1585),TEXT(B1585,""M""),""""))"),"")</f>
        <v/>
      </c>
      <c r="M1585" s="29" t="str">
        <f>IFERROR(__xludf.DUMMYFUNCTION("IF(L1585="""","""",QUERY({'Dashboard-Dados'!$Y$2:$AA$13},""Select Col2 Where Col1=""&amp;L1585))"),"")</f>
        <v/>
      </c>
      <c r="N1585" s="29" t="str">
        <f>IFERROR(__xludf.DUMMYFUNCTION("IF(ISBLANK(B1585),"""",IF(ISDATE(B1585),TEXT(B1585,""yyyy""),""""))"),"")</f>
        <v/>
      </c>
    </row>
    <row r="1586">
      <c r="B1586" s="89"/>
      <c r="C1586" s="86"/>
      <c r="D1586" s="71"/>
      <c r="H1586" s="90"/>
      <c r="J1586" s="53" t="str">
        <f>IFERROR(__xludf.DUMMYFUNCTION("IF(ISBLANK(B1586),"""",IF(ISDATE(B1586),""X"",""""))"),"")</f>
        <v/>
      </c>
      <c r="K1586" s="40" t="str">
        <f>IFERROR(__xludf.DUMMYFUNCTION("IF(ISBLANK(B1586),"""",IF(ISDATE(B1586),H1586,""""))"),"")</f>
        <v/>
      </c>
      <c r="L1586" s="40" t="str">
        <f>IFERROR(__xludf.DUMMYFUNCTION("IF(ISBLANK(B1586),"""",IF(ISDATE(B1586),TEXT(B1586,""M""),""""))"),"")</f>
        <v/>
      </c>
      <c r="M1586" s="29" t="str">
        <f>IFERROR(__xludf.DUMMYFUNCTION("IF(L1586="""","""",QUERY({'Dashboard-Dados'!$Y$2:$AA$13},""Select Col2 Where Col1=""&amp;L1586))"),"")</f>
        <v/>
      </c>
      <c r="N1586" s="29" t="str">
        <f>IFERROR(__xludf.DUMMYFUNCTION("IF(ISBLANK(B1586),"""",IF(ISDATE(B1586),TEXT(B1586,""yyyy""),""""))"),"")</f>
        <v/>
      </c>
    </row>
    <row r="1587">
      <c r="B1587" s="87"/>
      <c r="C1587" s="85"/>
      <c r="D1587" s="76"/>
      <c r="H1587" s="88"/>
      <c r="J1587" s="53" t="str">
        <f>IFERROR(__xludf.DUMMYFUNCTION("IF(ISBLANK(B1587),"""",IF(ISDATE(B1587),""X"",""""))"),"")</f>
        <v/>
      </c>
      <c r="K1587" s="40" t="str">
        <f>IFERROR(__xludf.DUMMYFUNCTION("IF(ISBLANK(B1587),"""",IF(ISDATE(B1587),H1587,""""))"),"")</f>
        <v/>
      </c>
      <c r="L1587" s="40" t="str">
        <f>IFERROR(__xludf.DUMMYFUNCTION("IF(ISBLANK(B1587),"""",IF(ISDATE(B1587),TEXT(B1587,""M""),""""))"),"")</f>
        <v/>
      </c>
      <c r="M1587" s="29" t="str">
        <f>IFERROR(__xludf.DUMMYFUNCTION("IF(L1587="""","""",QUERY({'Dashboard-Dados'!$Y$2:$AA$13},""Select Col2 Where Col1=""&amp;L1587))"),"")</f>
        <v/>
      </c>
      <c r="N1587" s="29" t="str">
        <f>IFERROR(__xludf.DUMMYFUNCTION("IF(ISBLANK(B1587),"""",IF(ISDATE(B1587),TEXT(B1587,""yyyy""),""""))"),"")</f>
        <v/>
      </c>
    </row>
    <row r="1588">
      <c r="B1588" s="89"/>
      <c r="C1588" s="86"/>
      <c r="D1588" s="71"/>
      <c r="H1588" s="90"/>
      <c r="J1588" s="53" t="str">
        <f>IFERROR(__xludf.DUMMYFUNCTION("IF(ISBLANK(B1588),"""",IF(ISDATE(B1588),""X"",""""))"),"")</f>
        <v/>
      </c>
      <c r="K1588" s="40" t="str">
        <f>IFERROR(__xludf.DUMMYFUNCTION("IF(ISBLANK(B1588),"""",IF(ISDATE(B1588),H1588,""""))"),"")</f>
        <v/>
      </c>
      <c r="L1588" s="40" t="str">
        <f>IFERROR(__xludf.DUMMYFUNCTION("IF(ISBLANK(B1588),"""",IF(ISDATE(B1588),TEXT(B1588,""M""),""""))"),"")</f>
        <v/>
      </c>
      <c r="M1588" s="29" t="str">
        <f>IFERROR(__xludf.DUMMYFUNCTION("IF(L1588="""","""",QUERY({'Dashboard-Dados'!$Y$2:$AA$13},""Select Col2 Where Col1=""&amp;L1588))"),"")</f>
        <v/>
      </c>
      <c r="N1588" s="29" t="str">
        <f>IFERROR(__xludf.DUMMYFUNCTION("IF(ISBLANK(B1588),"""",IF(ISDATE(B1588),TEXT(B1588,""yyyy""),""""))"),"")</f>
        <v/>
      </c>
    </row>
    <row r="1589">
      <c r="B1589" s="87"/>
      <c r="C1589" s="85"/>
      <c r="D1589" s="76"/>
      <c r="H1589" s="88"/>
      <c r="J1589" s="53" t="str">
        <f>IFERROR(__xludf.DUMMYFUNCTION("IF(ISBLANK(B1589),"""",IF(ISDATE(B1589),""X"",""""))"),"")</f>
        <v/>
      </c>
      <c r="K1589" s="40" t="str">
        <f>IFERROR(__xludf.DUMMYFUNCTION("IF(ISBLANK(B1589),"""",IF(ISDATE(B1589),H1589,""""))"),"")</f>
        <v/>
      </c>
      <c r="L1589" s="40" t="str">
        <f>IFERROR(__xludf.DUMMYFUNCTION("IF(ISBLANK(B1589),"""",IF(ISDATE(B1589),TEXT(B1589,""M""),""""))"),"")</f>
        <v/>
      </c>
      <c r="M1589" s="29" t="str">
        <f>IFERROR(__xludf.DUMMYFUNCTION("IF(L1589="""","""",QUERY({'Dashboard-Dados'!$Y$2:$AA$13},""Select Col2 Where Col1=""&amp;L1589))"),"")</f>
        <v/>
      </c>
      <c r="N1589" s="29" t="str">
        <f>IFERROR(__xludf.DUMMYFUNCTION("IF(ISBLANK(B1589),"""",IF(ISDATE(B1589),TEXT(B1589,""yyyy""),""""))"),"")</f>
        <v/>
      </c>
    </row>
    <row r="1590">
      <c r="B1590" s="89"/>
      <c r="C1590" s="86"/>
      <c r="D1590" s="71"/>
      <c r="H1590" s="90"/>
      <c r="J1590" s="53" t="str">
        <f>IFERROR(__xludf.DUMMYFUNCTION("IF(ISBLANK(B1590),"""",IF(ISDATE(B1590),""X"",""""))"),"")</f>
        <v/>
      </c>
      <c r="K1590" s="40" t="str">
        <f>IFERROR(__xludf.DUMMYFUNCTION("IF(ISBLANK(B1590),"""",IF(ISDATE(B1590),H1590,""""))"),"")</f>
        <v/>
      </c>
      <c r="L1590" s="40" t="str">
        <f>IFERROR(__xludf.DUMMYFUNCTION("IF(ISBLANK(B1590),"""",IF(ISDATE(B1590),TEXT(B1590,""M""),""""))"),"")</f>
        <v/>
      </c>
      <c r="M1590" s="29" t="str">
        <f>IFERROR(__xludf.DUMMYFUNCTION("IF(L1590="""","""",QUERY({'Dashboard-Dados'!$Y$2:$AA$13},""Select Col2 Where Col1=""&amp;L1590))"),"")</f>
        <v/>
      </c>
      <c r="N1590" s="29" t="str">
        <f>IFERROR(__xludf.DUMMYFUNCTION("IF(ISBLANK(B1590),"""",IF(ISDATE(B1590),TEXT(B1590,""yyyy""),""""))"),"")</f>
        <v/>
      </c>
    </row>
    <row r="1591">
      <c r="B1591" s="87"/>
      <c r="C1591" s="85"/>
      <c r="D1591" s="76"/>
      <c r="H1591" s="88"/>
      <c r="J1591" s="53" t="str">
        <f>IFERROR(__xludf.DUMMYFUNCTION("IF(ISBLANK(B1591),"""",IF(ISDATE(B1591),""X"",""""))"),"")</f>
        <v/>
      </c>
      <c r="K1591" s="40" t="str">
        <f>IFERROR(__xludf.DUMMYFUNCTION("IF(ISBLANK(B1591),"""",IF(ISDATE(B1591),H1591,""""))"),"")</f>
        <v/>
      </c>
      <c r="L1591" s="40" t="str">
        <f>IFERROR(__xludf.DUMMYFUNCTION("IF(ISBLANK(B1591),"""",IF(ISDATE(B1591),TEXT(B1591,""M""),""""))"),"")</f>
        <v/>
      </c>
      <c r="M1591" s="29" t="str">
        <f>IFERROR(__xludf.DUMMYFUNCTION("IF(L1591="""","""",QUERY({'Dashboard-Dados'!$Y$2:$AA$13},""Select Col2 Where Col1=""&amp;L1591))"),"")</f>
        <v/>
      </c>
      <c r="N1591" s="29" t="str">
        <f>IFERROR(__xludf.DUMMYFUNCTION("IF(ISBLANK(B1591),"""",IF(ISDATE(B1591),TEXT(B1591,""yyyy""),""""))"),"")</f>
        <v/>
      </c>
    </row>
    <row r="1592">
      <c r="B1592" s="89"/>
      <c r="C1592" s="86"/>
      <c r="D1592" s="71"/>
      <c r="H1592" s="90"/>
      <c r="J1592" s="53" t="str">
        <f>IFERROR(__xludf.DUMMYFUNCTION("IF(ISBLANK(B1592),"""",IF(ISDATE(B1592),""X"",""""))"),"")</f>
        <v/>
      </c>
      <c r="K1592" s="40" t="str">
        <f>IFERROR(__xludf.DUMMYFUNCTION("IF(ISBLANK(B1592),"""",IF(ISDATE(B1592),H1592,""""))"),"")</f>
        <v/>
      </c>
      <c r="L1592" s="40" t="str">
        <f>IFERROR(__xludf.DUMMYFUNCTION("IF(ISBLANK(B1592),"""",IF(ISDATE(B1592),TEXT(B1592,""M""),""""))"),"")</f>
        <v/>
      </c>
      <c r="M1592" s="29" t="str">
        <f>IFERROR(__xludf.DUMMYFUNCTION("IF(L1592="""","""",QUERY({'Dashboard-Dados'!$Y$2:$AA$13},""Select Col2 Where Col1=""&amp;L1592))"),"")</f>
        <v/>
      </c>
      <c r="N1592" s="29" t="str">
        <f>IFERROR(__xludf.DUMMYFUNCTION("IF(ISBLANK(B1592),"""",IF(ISDATE(B1592),TEXT(B1592,""yyyy""),""""))"),"")</f>
        <v/>
      </c>
    </row>
    <row r="1593">
      <c r="B1593" s="87"/>
      <c r="C1593" s="85"/>
      <c r="D1593" s="76"/>
      <c r="H1593" s="88"/>
      <c r="J1593" s="53" t="str">
        <f>IFERROR(__xludf.DUMMYFUNCTION("IF(ISBLANK(B1593),"""",IF(ISDATE(B1593),""X"",""""))"),"")</f>
        <v/>
      </c>
      <c r="K1593" s="40" t="str">
        <f>IFERROR(__xludf.DUMMYFUNCTION("IF(ISBLANK(B1593),"""",IF(ISDATE(B1593),H1593,""""))"),"")</f>
        <v/>
      </c>
      <c r="L1593" s="40" t="str">
        <f>IFERROR(__xludf.DUMMYFUNCTION("IF(ISBLANK(B1593),"""",IF(ISDATE(B1593),TEXT(B1593,""M""),""""))"),"")</f>
        <v/>
      </c>
      <c r="M1593" s="29" t="str">
        <f>IFERROR(__xludf.DUMMYFUNCTION("IF(L1593="""","""",QUERY({'Dashboard-Dados'!$Y$2:$AA$13},""Select Col2 Where Col1=""&amp;L1593))"),"")</f>
        <v/>
      </c>
      <c r="N1593" s="29" t="str">
        <f>IFERROR(__xludf.DUMMYFUNCTION("IF(ISBLANK(B1593),"""",IF(ISDATE(B1593),TEXT(B1593,""yyyy""),""""))"),"")</f>
        <v/>
      </c>
    </row>
    <row r="1594">
      <c r="B1594" s="89"/>
      <c r="C1594" s="86"/>
      <c r="D1594" s="71"/>
      <c r="H1594" s="90"/>
      <c r="J1594" s="53" t="str">
        <f>IFERROR(__xludf.DUMMYFUNCTION("IF(ISBLANK(B1594),"""",IF(ISDATE(B1594),""X"",""""))"),"")</f>
        <v/>
      </c>
      <c r="K1594" s="40" t="str">
        <f>IFERROR(__xludf.DUMMYFUNCTION("IF(ISBLANK(B1594),"""",IF(ISDATE(B1594),H1594,""""))"),"")</f>
        <v/>
      </c>
      <c r="L1594" s="40" t="str">
        <f>IFERROR(__xludf.DUMMYFUNCTION("IF(ISBLANK(B1594),"""",IF(ISDATE(B1594),TEXT(B1594,""M""),""""))"),"")</f>
        <v/>
      </c>
      <c r="M1594" s="29" t="str">
        <f>IFERROR(__xludf.DUMMYFUNCTION("IF(L1594="""","""",QUERY({'Dashboard-Dados'!$Y$2:$AA$13},""Select Col2 Where Col1=""&amp;L1594))"),"")</f>
        <v/>
      </c>
      <c r="N1594" s="29" t="str">
        <f>IFERROR(__xludf.DUMMYFUNCTION("IF(ISBLANK(B1594),"""",IF(ISDATE(B1594),TEXT(B1594,""yyyy""),""""))"),"")</f>
        <v/>
      </c>
    </row>
    <row r="1595">
      <c r="B1595" s="87"/>
      <c r="C1595" s="85"/>
      <c r="D1595" s="76"/>
      <c r="H1595" s="88"/>
      <c r="J1595" s="53" t="str">
        <f>IFERROR(__xludf.DUMMYFUNCTION("IF(ISBLANK(B1595),"""",IF(ISDATE(B1595),""X"",""""))"),"")</f>
        <v/>
      </c>
      <c r="K1595" s="40" t="str">
        <f>IFERROR(__xludf.DUMMYFUNCTION("IF(ISBLANK(B1595),"""",IF(ISDATE(B1595),H1595,""""))"),"")</f>
        <v/>
      </c>
      <c r="L1595" s="40" t="str">
        <f>IFERROR(__xludf.DUMMYFUNCTION("IF(ISBLANK(B1595),"""",IF(ISDATE(B1595),TEXT(B1595,""M""),""""))"),"")</f>
        <v/>
      </c>
      <c r="M1595" s="29" t="str">
        <f>IFERROR(__xludf.DUMMYFUNCTION("IF(L1595="""","""",QUERY({'Dashboard-Dados'!$Y$2:$AA$13},""Select Col2 Where Col1=""&amp;L1595))"),"")</f>
        <v/>
      </c>
      <c r="N1595" s="29" t="str">
        <f>IFERROR(__xludf.DUMMYFUNCTION("IF(ISBLANK(B1595),"""",IF(ISDATE(B1595),TEXT(B1595,""yyyy""),""""))"),"")</f>
        <v/>
      </c>
    </row>
    <row r="1596">
      <c r="B1596" s="89"/>
      <c r="C1596" s="86"/>
      <c r="D1596" s="71"/>
      <c r="H1596" s="90"/>
      <c r="J1596" s="53" t="str">
        <f>IFERROR(__xludf.DUMMYFUNCTION("IF(ISBLANK(B1596),"""",IF(ISDATE(B1596),""X"",""""))"),"")</f>
        <v/>
      </c>
      <c r="K1596" s="40" t="str">
        <f>IFERROR(__xludf.DUMMYFUNCTION("IF(ISBLANK(B1596),"""",IF(ISDATE(B1596),H1596,""""))"),"")</f>
        <v/>
      </c>
      <c r="L1596" s="40" t="str">
        <f>IFERROR(__xludf.DUMMYFUNCTION("IF(ISBLANK(B1596),"""",IF(ISDATE(B1596),TEXT(B1596,""M""),""""))"),"")</f>
        <v/>
      </c>
      <c r="M1596" s="29" t="str">
        <f>IFERROR(__xludf.DUMMYFUNCTION("IF(L1596="""","""",QUERY({'Dashboard-Dados'!$Y$2:$AA$13},""Select Col2 Where Col1=""&amp;L1596))"),"")</f>
        <v/>
      </c>
      <c r="N1596" s="29" t="str">
        <f>IFERROR(__xludf.DUMMYFUNCTION("IF(ISBLANK(B1596),"""",IF(ISDATE(B1596),TEXT(B1596,""yyyy""),""""))"),"")</f>
        <v/>
      </c>
    </row>
    <row r="1597">
      <c r="B1597" s="87"/>
      <c r="C1597" s="85"/>
      <c r="D1597" s="76"/>
      <c r="H1597" s="88"/>
      <c r="J1597" s="53" t="str">
        <f>IFERROR(__xludf.DUMMYFUNCTION("IF(ISBLANK(B1597),"""",IF(ISDATE(B1597),""X"",""""))"),"")</f>
        <v/>
      </c>
      <c r="K1597" s="40" t="str">
        <f>IFERROR(__xludf.DUMMYFUNCTION("IF(ISBLANK(B1597),"""",IF(ISDATE(B1597),H1597,""""))"),"")</f>
        <v/>
      </c>
      <c r="L1597" s="40" t="str">
        <f>IFERROR(__xludf.DUMMYFUNCTION("IF(ISBLANK(B1597),"""",IF(ISDATE(B1597),TEXT(B1597,""M""),""""))"),"")</f>
        <v/>
      </c>
      <c r="M1597" s="29" t="str">
        <f>IFERROR(__xludf.DUMMYFUNCTION("IF(L1597="""","""",QUERY({'Dashboard-Dados'!$Y$2:$AA$13},""Select Col2 Where Col1=""&amp;L1597))"),"")</f>
        <v/>
      </c>
      <c r="N1597" s="29" t="str">
        <f>IFERROR(__xludf.DUMMYFUNCTION("IF(ISBLANK(B1597),"""",IF(ISDATE(B1597),TEXT(B1597,""yyyy""),""""))"),"")</f>
        <v/>
      </c>
    </row>
    <row r="1598">
      <c r="B1598" s="89"/>
      <c r="C1598" s="86"/>
      <c r="D1598" s="71"/>
      <c r="H1598" s="90"/>
      <c r="J1598" s="53" t="str">
        <f>IFERROR(__xludf.DUMMYFUNCTION("IF(ISBLANK(B1598),"""",IF(ISDATE(B1598),""X"",""""))"),"")</f>
        <v/>
      </c>
      <c r="K1598" s="40" t="str">
        <f>IFERROR(__xludf.DUMMYFUNCTION("IF(ISBLANK(B1598),"""",IF(ISDATE(B1598),H1598,""""))"),"")</f>
        <v/>
      </c>
      <c r="L1598" s="40" t="str">
        <f>IFERROR(__xludf.DUMMYFUNCTION("IF(ISBLANK(B1598),"""",IF(ISDATE(B1598),TEXT(B1598,""M""),""""))"),"")</f>
        <v/>
      </c>
      <c r="M1598" s="29" t="str">
        <f>IFERROR(__xludf.DUMMYFUNCTION("IF(L1598="""","""",QUERY({'Dashboard-Dados'!$Y$2:$AA$13},""Select Col2 Where Col1=""&amp;L1598))"),"")</f>
        <v/>
      </c>
      <c r="N1598" s="29" t="str">
        <f>IFERROR(__xludf.DUMMYFUNCTION("IF(ISBLANK(B1598),"""",IF(ISDATE(B1598),TEXT(B1598,""yyyy""),""""))"),"")</f>
        <v/>
      </c>
    </row>
    <row r="1599">
      <c r="B1599" s="87"/>
      <c r="C1599" s="85"/>
      <c r="D1599" s="76"/>
      <c r="H1599" s="88"/>
      <c r="J1599" s="53" t="str">
        <f>IFERROR(__xludf.DUMMYFUNCTION("IF(ISBLANK(B1599),"""",IF(ISDATE(B1599),""X"",""""))"),"")</f>
        <v/>
      </c>
      <c r="K1599" s="40" t="str">
        <f>IFERROR(__xludf.DUMMYFUNCTION("IF(ISBLANK(B1599),"""",IF(ISDATE(B1599),H1599,""""))"),"")</f>
        <v/>
      </c>
      <c r="L1599" s="40" t="str">
        <f>IFERROR(__xludf.DUMMYFUNCTION("IF(ISBLANK(B1599),"""",IF(ISDATE(B1599),TEXT(B1599,""M""),""""))"),"")</f>
        <v/>
      </c>
      <c r="M1599" s="29" t="str">
        <f>IFERROR(__xludf.DUMMYFUNCTION("IF(L1599="""","""",QUERY({'Dashboard-Dados'!$Y$2:$AA$13},""Select Col2 Where Col1=""&amp;L1599))"),"")</f>
        <v/>
      </c>
      <c r="N1599" s="29" t="str">
        <f>IFERROR(__xludf.DUMMYFUNCTION("IF(ISBLANK(B1599),"""",IF(ISDATE(B1599),TEXT(B1599,""yyyy""),""""))"),"")</f>
        <v/>
      </c>
    </row>
    <row r="1600">
      <c r="B1600" s="89"/>
      <c r="C1600" s="86"/>
      <c r="D1600" s="71"/>
      <c r="H1600" s="90"/>
      <c r="J1600" s="53" t="str">
        <f>IFERROR(__xludf.DUMMYFUNCTION("IF(ISBLANK(B1600),"""",IF(ISDATE(B1600),""X"",""""))"),"")</f>
        <v/>
      </c>
      <c r="K1600" s="40" t="str">
        <f>IFERROR(__xludf.DUMMYFUNCTION("IF(ISBLANK(B1600),"""",IF(ISDATE(B1600),H1600,""""))"),"")</f>
        <v/>
      </c>
      <c r="L1600" s="40" t="str">
        <f>IFERROR(__xludf.DUMMYFUNCTION("IF(ISBLANK(B1600),"""",IF(ISDATE(B1600),TEXT(B1600,""M""),""""))"),"")</f>
        <v/>
      </c>
      <c r="M1600" s="29" t="str">
        <f>IFERROR(__xludf.DUMMYFUNCTION("IF(L1600="""","""",QUERY({'Dashboard-Dados'!$Y$2:$AA$13},""Select Col2 Where Col1=""&amp;L1600))"),"")</f>
        <v/>
      </c>
      <c r="N1600" s="29" t="str">
        <f>IFERROR(__xludf.DUMMYFUNCTION("IF(ISBLANK(B1600),"""",IF(ISDATE(B1600),TEXT(B1600,""yyyy""),""""))"),"")</f>
        <v/>
      </c>
    </row>
    <row r="1601">
      <c r="B1601" s="87"/>
      <c r="C1601" s="85"/>
      <c r="D1601" s="76"/>
      <c r="H1601" s="88"/>
      <c r="J1601" s="53" t="str">
        <f>IFERROR(__xludf.DUMMYFUNCTION("IF(ISBLANK(B1601),"""",IF(ISDATE(B1601),""X"",""""))"),"")</f>
        <v/>
      </c>
      <c r="K1601" s="40" t="str">
        <f>IFERROR(__xludf.DUMMYFUNCTION("IF(ISBLANK(B1601),"""",IF(ISDATE(B1601),H1601,""""))"),"")</f>
        <v/>
      </c>
      <c r="L1601" s="40" t="str">
        <f>IFERROR(__xludf.DUMMYFUNCTION("IF(ISBLANK(B1601),"""",IF(ISDATE(B1601),TEXT(B1601,""M""),""""))"),"")</f>
        <v/>
      </c>
      <c r="M1601" s="29" t="str">
        <f>IFERROR(__xludf.DUMMYFUNCTION("IF(L1601="""","""",QUERY({'Dashboard-Dados'!$Y$2:$AA$13},""Select Col2 Where Col1=""&amp;L1601))"),"")</f>
        <v/>
      </c>
      <c r="N1601" s="29" t="str">
        <f>IFERROR(__xludf.DUMMYFUNCTION("IF(ISBLANK(B1601),"""",IF(ISDATE(B1601),TEXT(B1601,""yyyy""),""""))"),"")</f>
        <v/>
      </c>
    </row>
    <row r="1602">
      <c r="B1602" s="89"/>
      <c r="C1602" s="86"/>
      <c r="D1602" s="71"/>
      <c r="H1602" s="90"/>
      <c r="J1602" s="53" t="str">
        <f>IFERROR(__xludf.DUMMYFUNCTION("IF(ISBLANK(B1602),"""",IF(ISDATE(B1602),""X"",""""))"),"")</f>
        <v/>
      </c>
      <c r="K1602" s="40" t="str">
        <f>IFERROR(__xludf.DUMMYFUNCTION("IF(ISBLANK(B1602),"""",IF(ISDATE(B1602),H1602,""""))"),"")</f>
        <v/>
      </c>
      <c r="L1602" s="40" t="str">
        <f>IFERROR(__xludf.DUMMYFUNCTION("IF(ISBLANK(B1602),"""",IF(ISDATE(B1602),TEXT(B1602,""M""),""""))"),"")</f>
        <v/>
      </c>
      <c r="M1602" s="29" t="str">
        <f>IFERROR(__xludf.DUMMYFUNCTION("IF(L1602="""","""",QUERY({'Dashboard-Dados'!$Y$2:$AA$13},""Select Col2 Where Col1=""&amp;L1602))"),"")</f>
        <v/>
      </c>
      <c r="N1602" s="29" t="str">
        <f>IFERROR(__xludf.DUMMYFUNCTION("IF(ISBLANK(B1602),"""",IF(ISDATE(B1602),TEXT(B1602,""yyyy""),""""))"),"")</f>
        <v/>
      </c>
    </row>
    <row r="1603">
      <c r="B1603" s="87"/>
      <c r="C1603" s="85"/>
      <c r="D1603" s="76"/>
      <c r="H1603" s="88"/>
      <c r="J1603" s="53" t="str">
        <f>IFERROR(__xludf.DUMMYFUNCTION("IF(ISBLANK(B1603),"""",IF(ISDATE(B1603),""X"",""""))"),"")</f>
        <v/>
      </c>
      <c r="K1603" s="40" t="str">
        <f>IFERROR(__xludf.DUMMYFUNCTION("IF(ISBLANK(B1603),"""",IF(ISDATE(B1603),H1603,""""))"),"")</f>
        <v/>
      </c>
      <c r="L1603" s="40" t="str">
        <f>IFERROR(__xludf.DUMMYFUNCTION("IF(ISBLANK(B1603),"""",IF(ISDATE(B1603),TEXT(B1603,""M""),""""))"),"")</f>
        <v/>
      </c>
      <c r="M1603" s="29" t="str">
        <f>IFERROR(__xludf.DUMMYFUNCTION("IF(L1603="""","""",QUERY({'Dashboard-Dados'!$Y$2:$AA$13},""Select Col2 Where Col1=""&amp;L1603))"),"")</f>
        <v/>
      </c>
      <c r="N1603" s="29" t="str">
        <f>IFERROR(__xludf.DUMMYFUNCTION("IF(ISBLANK(B1603),"""",IF(ISDATE(B1603),TEXT(B1603,""yyyy""),""""))"),"")</f>
        <v/>
      </c>
    </row>
    <row r="1604">
      <c r="B1604" s="89"/>
      <c r="C1604" s="86"/>
      <c r="D1604" s="71"/>
      <c r="H1604" s="90"/>
      <c r="J1604" s="53" t="str">
        <f>IFERROR(__xludf.DUMMYFUNCTION("IF(ISBLANK(B1604),"""",IF(ISDATE(B1604),""X"",""""))"),"")</f>
        <v/>
      </c>
      <c r="K1604" s="40" t="str">
        <f>IFERROR(__xludf.DUMMYFUNCTION("IF(ISBLANK(B1604),"""",IF(ISDATE(B1604),H1604,""""))"),"")</f>
        <v/>
      </c>
      <c r="L1604" s="40" t="str">
        <f>IFERROR(__xludf.DUMMYFUNCTION("IF(ISBLANK(B1604),"""",IF(ISDATE(B1604),TEXT(B1604,""M""),""""))"),"")</f>
        <v/>
      </c>
      <c r="M1604" s="29" t="str">
        <f>IFERROR(__xludf.DUMMYFUNCTION("IF(L1604="""","""",QUERY({'Dashboard-Dados'!$Y$2:$AA$13},""Select Col2 Where Col1=""&amp;L1604))"),"")</f>
        <v/>
      </c>
      <c r="N1604" s="29" t="str">
        <f>IFERROR(__xludf.DUMMYFUNCTION("IF(ISBLANK(B1604),"""",IF(ISDATE(B1604),TEXT(B1604,""yyyy""),""""))"),"")</f>
        <v/>
      </c>
    </row>
    <row r="1605">
      <c r="B1605" s="87"/>
      <c r="C1605" s="85"/>
      <c r="D1605" s="76"/>
      <c r="H1605" s="88"/>
      <c r="J1605" s="53" t="str">
        <f>IFERROR(__xludf.DUMMYFUNCTION("IF(ISBLANK(B1605),"""",IF(ISDATE(B1605),""X"",""""))"),"")</f>
        <v/>
      </c>
      <c r="K1605" s="40" t="str">
        <f>IFERROR(__xludf.DUMMYFUNCTION("IF(ISBLANK(B1605),"""",IF(ISDATE(B1605),H1605,""""))"),"")</f>
        <v/>
      </c>
      <c r="L1605" s="40" t="str">
        <f>IFERROR(__xludf.DUMMYFUNCTION("IF(ISBLANK(B1605),"""",IF(ISDATE(B1605),TEXT(B1605,""M""),""""))"),"")</f>
        <v/>
      </c>
      <c r="M1605" s="29" t="str">
        <f>IFERROR(__xludf.DUMMYFUNCTION("IF(L1605="""","""",QUERY({'Dashboard-Dados'!$Y$2:$AA$13},""Select Col2 Where Col1=""&amp;L1605))"),"")</f>
        <v/>
      </c>
      <c r="N1605" s="29" t="str">
        <f>IFERROR(__xludf.DUMMYFUNCTION("IF(ISBLANK(B1605),"""",IF(ISDATE(B1605),TEXT(B1605,""yyyy""),""""))"),"")</f>
        <v/>
      </c>
    </row>
    <row r="1606">
      <c r="B1606" s="89"/>
      <c r="C1606" s="86"/>
      <c r="D1606" s="71"/>
      <c r="H1606" s="90"/>
      <c r="J1606" s="53" t="str">
        <f>IFERROR(__xludf.DUMMYFUNCTION("IF(ISBLANK(B1606),"""",IF(ISDATE(B1606),""X"",""""))"),"")</f>
        <v/>
      </c>
      <c r="K1606" s="40" t="str">
        <f>IFERROR(__xludf.DUMMYFUNCTION("IF(ISBLANK(B1606),"""",IF(ISDATE(B1606),H1606,""""))"),"")</f>
        <v/>
      </c>
      <c r="L1606" s="40" t="str">
        <f>IFERROR(__xludf.DUMMYFUNCTION("IF(ISBLANK(B1606),"""",IF(ISDATE(B1606),TEXT(B1606,""M""),""""))"),"")</f>
        <v/>
      </c>
      <c r="M1606" s="29" t="str">
        <f>IFERROR(__xludf.DUMMYFUNCTION("IF(L1606="""","""",QUERY({'Dashboard-Dados'!$Y$2:$AA$13},""Select Col2 Where Col1=""&amp;L1606))"),"")</f>
        <v/>
      </c>
      <c r="N1606" s="29" t="str">
        <f>IFERROR(__xludf.DUMMYFUNCTION("IF(ISBLANK(B1606),"""",IF(ISDATE(B1606),TEXT(B1606,""yyyy""),""""))"),"")</f>
        <v/>
      </c>
    </row>
    <row r="1607">
      <c r="B1607" s="87"/>
      <c r="C1607" s="85"/>
      <c r="D1607" s="76"/>
      <c r="H1607" s="88"/>
      <c r="J1607" s="53" t="str">
        <f>IFERROR(__xludf.DUMMYFUNCTION("IF(ISBLANK(B1607),"""",IF(ISDATE(B1607),""X"",""""))"),"")</f>
        <v/>
      </c>
      <c r="K1607" s="40" t="str">
        <f>IFERROR(__xludf.DUMMYFUNCTION("IF(ISBLANK(B1607),"""",IF(ISDATE(B1607),H1607,""""))"),"")</f>
        <v/>
      </c>
      <c r="L1607" s="40" t="str">
        <f>IFERROR(__xludf.DUMMYFUNCTION("IF(ISBLANK(B1607),"""",IF(ISDATE(B1607),TEXT(B1607,""M""),""""))"),"")</f>
        <v/>
      </c>
      <c r="M1607" s="29" t="str">
        <f>IFERROR(__xludf.DUMMYFUNCTION("IF(L1607="""","""",QUERY({'Dashboard-Dados'!$Y$2:$AA$13},""Select Col2 Where Col1=""&amp;L1607))"),"")</f>
        <v/>
      </c>
      <c r="N1607" s="29" t="str">
        <f>IFERROR(__xludf.DUMMYFUNCTION("IF(ISBLANK(B1607),"""",IF(ISDATE(B1607),TEXT(B1607,""yyyy""),""""))"),"")</f>
        <v/>
      </c>
    </row>
    <row r="1608">
      <c r="B1608" s="89"/>
      <c r="C1608" s="86"/>
      <c r="D1608" s="71"/>
      <c r="H1608" s="90"/>
      <c r="J1608" s="53" t="str">
        <f>IFERROR(__xludf.DUMMYFUNCTION("IF(ISBLANK(B1608),"""",IF(ISDATE(B1608),""X"",""""))"),"")</f>
        <v/>
      </c>
      <c r="K1608" s="40" t="str">
        <f>IFERROR(__xludf.DUMMYFUNCTION("IF(ISBLANK(B1608),"""",IF(ISDATE(B1608),H1608,""""))"),"")</f>
        <v/>
      </c>
      <c r="L1608" s="40" t="str">
        <f>IFERROR(__xludf.DUMMYFUNCTION("IF(ISBLANK(B1608),"""",IF(ISDATE(B1608),TEXT(B1608,""M""),""""))"),"")</f>
        <v/>
      </c>
      <c r="M1608" s="29" t="str">
        <f>IFERROR(__xludf.DUMMYFUNCTION("IF(L1608="""","""",QUERY({'Dashboard-Dados'!$Y$2:$AA$13},""Select Col2 Where Col1=""&amp;L1608))"),"")</f>
        <v/>
      </c>
      <c r="N1608" s="29" t="str">
        <f>IFERROR(__xludf.DUMMYFUNCTION("IF(ISBLANK(B1608),"""",IF(ISDATE(B1608),TEXT(B1608,""yyyy""),""""))"),"")</f>
        <v/>
      </c>
    </row>
    <row r="1609">
      <c r="B1609" s="87"/>
      <c r="C1609" s="85"/>
      <c r="D1609" s="76"/>
      <c r="H1609" s="88"/>
      <c r="J1609" s="53" t="str">
        <f>IFERROR(__xludf.DUMMYFUNCTION("IF(ISBLANK(B1609),"""",IF(ISDATE(B1609),""X"",""""))"),"")</f>
        <v/>
      </c>
      <c r="K1609" s="40" t="str">
        <f>IFERROR(__xludf.DUMMYFUNCTION("IF(ISBLANK(B1609),"""",IF(ISDATE(B1609),H1609,""""))"),"")</f>
        <v/>
      </c>
      <c r="L1609" s="40" t="str">
        <f>IFERROR(__xludf.DUMMYFUNCTION("IF(ISBLANK(B1609),"""",IF(ISDATE(B1609),TEXT(B1609,""M""),""""))"),"")</f>
        <v/>
      </c>
      <c r="M1609" s="29" t="str">
        <f>IFERROR(__xludf.DUMMYFUNCTION("IF(L1609="""","""",QUERY({'Dashboard-Dados'!$Y$2:$AA$13},""Select Col2 Where Col1=""&amp;L1609))"),"")</f>
        <v/>
      </c>
      <c r="N1609" s="29" t="str">
        <f>IFERROR(__xludf.DUMMYFUNCTION("IF(ISBLANK(B1609),"""",IF(ISDATE(B1609),TEXT(B1609,""yyyy""),""""))"),"")</f>
        <v/>
      </c>
    </row>
    <row r="1610">
      <c r="B1610" s="89"/>
      <c r="C1610" s="86"/>
      <c r="D1610" s="71"/>
      <c r="H1610" s="90"/>
      <c r="J1610" s="53" t="str">
        <f>IFERROR(__xludf.DUMMYFUNCTION("IF(ISBLANK(B1610),"""",IF(ISDATE(B1610),""X"",""""))"),"")</f>
        <v/>
      </c>
      <c r="K1610" s="40" t="str">
        <f>IFERROR(__xludf.DUMMYFUNCTION("IF(ISBLANK(B1610),"""",IF(ISDATE(B1610),H1610,""""))"),"")</f>
        <v/>
      </c>
      <c r="L1610" s="40" t="str">
        <f>IFERROR(__xludf.DUMMYFUNCTION("IF(ISBLANK(B1610),"""",IF(ISDATE(B1610),TEXT(B1610,""M""),""""))"),"")</f>
        <v/>
      </c>
      <c r="M1610" s="29" t="str">
        <f>IFERROR(__xludf.DUMMYFUNCTION("IF(L1610="""","""",QUERY({'Dashboard-Dados'!$Y$2:$AA$13},""Select Col2 Where Col1=""&amp;L1610))"),"")</f>
        <v/>
      </c>
      <c r="N1610" s="29" t="str">
        <f>IFERROR(__xludf.DUMMYFUNCTION("IF(ISBLANK(B1610),"""",IF(ISDATE(B1610),TEXT(B1610,""yyyy""),""""))"),"")</f>
        <v/>
      </c>
    </row>
    <row r="1611">
      <c r="B1611" s="87"/>
      <c r="C1611" s="85"/>
      <c r="D1611" s="76"/>
      <c r="H1611" s="88"/>
      <c r="J1611" s="53" t="str">
        <f>IFERROR(__xludf.DUMMYFUNCTION("IF(ISBLANK(B1611),"""",IF(ISDATE(B1611),""X"",""""))"),"")</f>
        <v/>
      </c>
      <c r="K1611" s="40" t="str">
        <f>IFERROR(__xludf.DUMMYFUNCTION("IF(ISBLANK(B1611),"""",IF(ISDATE(B1611),H1611,""""))"),"")</f>
        <v/>
      </c>
      <c r="L1611" s="40" t="str">
        <f>IFERROR(__xludf.DUMMYFUNCTION("IF(ISBLANK(B1611),"""",IF(ISDATE(B1611),TEXT(B1611,""M""),""""))"),"")</f>
        <v/>
      </c>
      <c r="M1611" s="29" t="str">
        <f>IFERROR(__xludf.DUMMYFUNCTION("IF(L1611="""","""",QUERY({'Dashboard-Dados'!$Y$2:$AA$13},""Select Col2 Where Col1=""&amp;L1611))"),"")</f>
        <v/>
      </c>
      <c r="N1611" s="29" t="str">
        <f>IFERROR(__xludf.DUMMYFUNCTION("IF(ISBLANK(B1611),"""",IF(ISDATE(B1611),TEXT(B1611,""yyyy""),""""))"),"")</f>
        <v/>
      </c>
    </row>
    <row r="1612">
      <c r="B1612" s="89"/>
      <c r="C1612" s="86"/>
      <c r="D1612" s="71"/>
      <c r="H1612" s="90"/>
      <c r="J1612" s="53" t="str">
        <f>IFERROR(__xludf.DUMMYFUNCTION("IF(ISBLANK(B1612),"""",IF(ISDATE(B1612),""X"",""""))"),"")</f>
        <v/>
      </c>
      <c r="K1612" s="40" t="str">
        <f>IFERROR(__xludf.DUMMYFUNCTION("IF(ISBLANK(B1612),"""",IF(ISDATE(B1612),H1612,""""))"),"")</f>
        <v/>
      </c>
      <c r="L1612" s="40" t="str">
        <f>IFERROR(__xludf.DUMMYFUNCTION("IF(ISBLANK(B1612),"""",IF(ISDATE(B1612),TEXT(B1612,""M""),""""))"),"")</f>
        <v/>
      </c>
      <c r="M1612" s="29" t="str">
        <f>IFERROR(__xludf.DUMMYFUNCTION("IF(L1612="""","""",QUERY({'Dashboard-Dados'!$Y$2:$AA$13},""Select Col2 Where Col1=""&amp;L1612))"),"")</f>
        <v/>
      </c>
      <c r="N1612" s="29" t="str">
        <f>IFERROR(__xludf.DUMMYFUNCTION("IF(ISBLANK(B1612),"""",IF(ISDATE(B1612),TEXT(B1612,""yyyy""),""""))"),"")</f>
        <v/>
      </c>
    </row>
    <row r="1613">
      <c r="B1613" s="87"/>
      <c r="C1613" s="85"/>
      <c r="D1613" s="76"/>
      <c r="H1613" s="88"/>
      <c r="J1613" s="53" t="str">
        <f>IFERROR(__xludf.DUMMYFUNCTION("IF(ISBLANK(B1613),"""",IF(ISDATE(B1613),""X"",""""))"),"")</f>
        <v/>
      </c>
      <c r="K1613" s="40" t="str">
        <f>IFERROR(__xludf.DUMMYFUNCTION("IF(ISBLANK(B1613),"""",IF(ISDATE(B1613),H1613,""""))"),"")</f>
        <v/>
      </c>
      <c r="L1613" s="40" t="str">
        <f>IFERROR(__xludf.DUMMYFUNCTION("IF(ISBLANK(B1613),"""",IF(ISDATE(B1613),TEXT(B1613,""M""),""""))"),"")</f>
        <v/>
      </c>
      <c r="M1613" s="29" t="str">
        <f>IFERROR(__xludf.DUMMYFUNCTION("IF(L1613="""","""",QUERY({'Dashboard-Dados'!$Y$2:$AA$13},""Select Col2 Where Col1=""&amp;L1613))"),"")</f>
        <v/>
      </c>
      <c r="N1613" s="29" t="str">
        <f>IFERROR(__xludf.DUMMYFUNCTION("IF(ISBLANK(B1613),"""",IF(ISDATE(B1613),TEXT(B1613,""yyyy""),""""))"),"")</f>
        <v/>
      </c>
    </row>
    <row r="1614">
      <c r="B1614" s="89"/>
      <c r="C1614" s="86"/>
      <c r="D1614" s="71"/>
      <c r="H1614" s="90"/>
      <c r="J1614" s="53" t="str">
        <f>IFERROR(__xludf.DUMMYFUNCTION("IF(ISBLANK(B1614),"""",IF(ISDATE(B1614),""X"",""""))"),"")</f>
        <v/>
      </c>
      <c r="K1614" s="40" t="str">
        <f>IFERROR(__xludf.DUMMYFUNCTION("IF(ISBLANK(B1614),"""",IF(ISDATE(B1614),H1614,""""))"),"")</f>
        <v/>
      </c>
      <c r="L1614" s="40" t="str">
        <f>IFERROR(__xludf.DUMMYFUNCTION("IF(ISBLANK(B1614),"""",IF(ISDATE(B1614),TEXT(B1614,""M""),""""))"),"")</f>
        <v/>
      </c>
      <c r="M1614" s="29" t="str">
        <f>IFERROR(__xludf.DUMMYFUNCTION("IF(L1614="""","""",QUERY({'Dashboard-Dados'!$Y$2:$AA$13},""Select Col2 Where Col1=""&amp;L1614))"),"")</f>
        <v/>
      </c>
      <c r="N1614" s="29" t="str">
        <f>IFERROR(__xludf.DUMMYFUNCTION("IF(ISBLANK(B1614),"""",IF(ISDATE(B1614),TEXT(B1614,""yyyy""),""""))"),"")</f>
        <v/>
      </c>
    </row>
    <row r="1615">
      <c r="B1615" s="87"/>
      <c r="C1615" s="85"/>
      <c r="D1615" s="76"/>
      <c r="H1615" s="88"/>
      <c r="J1615" s="53" t="str">
        <f>IFERROR(__xludf.DUMMYFUNCTION("IF(ISBLANK(B1615),"""",IF(ISDATE(B1615),""X"",""""))"),"")</f>
        <v/>
      </c>
      <c r="K1615" s="40" t="str">
        <f>IFERROR(__xludf.DUMMYFUNCTION("IF(ISBLANK(B1615),"""",IF(ISDATE(B1615),H1615,""""))"),"")</f>
        <v/>
      </c>
      <c r="L1615" s="40" t="str">
        <f>IFERROR(__xludf.DUMMYFUNCTION("IF(ISBLANK(B1615),"""",IF(ISDATE(B1615),TEXT(B1615,""M""),""""))"),"")</f>
        <v/>
      </c>
      <c r="M1615" s="29" t="str">
        <f>IFERROR(__xludf.DUMMYFUNCTION("IF(L1615="""","""",QUERY({'Dashboard-Dados'!$Y$2:$AA$13},""Select Col2 Where Col1=""&amp;L1615))"),"")</f>
        <v/>
      </c>
      <c r="N1615" s="29" t="str">
        <f>IFERROR(__xludf.DUMMYFUNCTION("IF(ISBLANK(B1615),"""",IF(ISDATE(B1615),TEXT(B1615,""yyyy""),""""))"),"")</f>
        <v/>
      </c>
    </row>
    <row r="1616">
      <c r="B1616" s="89"/>
      <c r="C1616" s="86"/>
      <c r="D1616" s="71"/>
      <c r="H1616" s="90"/>
      <c r="J1616" s="53" t="str">
        <f>IFERROR(__xludf.DUMMYFUNCTION("IF(ISBLANK(B1616),"""",IF(ISDATE(B1616),""X"",""""))"),"")</f>
        <v/>
      </c>
      <c r="K1616" s="40" t="str">
        <f>IFERROR(__xludf.DUMMYFUNCTION("IF(ISBLANK(B1616),"""",IF(ISDATE(B1616),H1616,""""))"),"")</f>
        <v/>
      </c>
      <c r="L1616" s="40" t="str">
        <f>IFERROR(__xludf.DUMMYFUNCTION("IF(ISBLANK(B1616),"""",IF(ISDATE(B1616),TEXT(B1616,""M""),""""))"),"")</f>
        <v/>
      </c>
      <c r="M1616" s="29" t="str">
        <f>IFERROR(__xludf.DUMMYFUNCTION("IF(L1616="""","""",QUERY({'Dashboard-Dados'!$Y$2:$AA$13},""Select Col2 Where Col1=""&amp;L1616))"),"")</f>
        <v/>
      </c>
      <c r="N1616" s="29" t="str">
        <f>IFERROR(__xludf.DUMMYFUNCTION("IF(ISBLANK(B1616),"""",IF(ISDATE(B1616),TEXT(B1616,""yyyy""),""""))"),"")</f>
        <v/>
      </c>
    </row>
    <row r="1617">
      <c r="B1617" s="87"/>
      <c r="C1617" s="85"/>
      <c r="D1617" s="76"/>
      <c r="H1617" s="88"/>
      <c r="J1617" s="53" t="str">
        <f>IFERROR(__xludf.DUMMYFUNCTION("IF(ISBLANK(B1617),"""",IF(ISDATE(B1617),""X"",""""))"),"")</f>
        <v/>
      </c>
      <c r="K1617" s="40" t="str">
        <f>IFERROR(__xludf.DUMMYFUNCTION("IF(ISBLANK(B1617),"""",IF(ISDATE(B1617),H1617,""""))"),"")</f>
        <v/>
      </c>
      <c r="L1617" s="40" t="str">
        <f>IFERROR(__xludf.DUMMYFUNCTION("IF(ISBLANK(B1617),"""",IF(ISDATE(B1617),TEXT(B1617,""M""),""""))"),"")</f>
        <v/>
      </c>
      <c r="M1617" s="29" t="str">
        <f>IFERROR(__xludf.DUMMYFUNCTION("IF(L1617="""","""",QUERY({'Dashboard-Dados'!$Y$2:$AA$13},""Select Col2 Where Col1=""&amp;L1617))"),"")</f>
        <v/>
      </c>
      <c r="N1617" s="29" t="str">
        <f>IFERROR(__xludf.DUMMYFUNCTION("IF(ISBLANK(B1617),"""",IF(ISDATE(B1617),TEXT(B1617,""yyyy""),""""))"),"")</f>
        <v/>
      </c>
    </row>
    <row r="1618">
      <c r="B1618" s="89"/>
      <c r="C1618" s="86"/>
      <c r="D1618" s="71"/>
      <c r="H1618" s="90"/>
      <c r="J1618" s="53" t="str">
        <f>IFERROR(__xludf.DUMMYFUNCTION("IF(ISBLANK(B1618),"""",IF(ISDATE(B1618),""X"",""""))"),"")</f>
        <v/>
      </c>
      <c r="K1618" s="40" t="str">
        <f>IFERROR(__xludf.DUMMYFUNCTION("IF(ISBLANK(B1618),"""",IF(ISDATE(B1618),H1618,""""))"),"")</f>
        <v/>
      </c>
      <c r="L1618" s="40" t="str">
        <f>IFERROR(__xludf.DUMMYFUNCTION("IF(ISBLANK(B1618),"""",IF(ISDATE(B1618),TEXT(B1618,""M""),""""))"),"")</f>
        <v/>
      </c>
      <c r="M1618" s="29" t="str">
        <f>IFERROR(__xludf.DUMMYFUNCTION("IF(L1618="""","""",QUERY({'Dashboard-Dados'!$Y$2:$AA$13},""Select Col2 Where Col1=""&amp;L1618))"),"")</f>
        <v/>
      </c>
      <c r="N1618" s="29" t="str">
        <f>IFERROR(__xludf.DUMMYFUNCTION("IF(ISBLANK(B1618),"""",IF(ISDATE(B1618),TEXT(B1618,""yyyy""),""""))"),"")</f>
        <v/>
      </c>
    </row>
    <row r="1619">
      <c r="B1619" s="87"/>
      <c r="C1619" s="85"/>
      <c r="D1619" s="76"/>
      <c r="H1619" s="88"/>
      <c r="J1619" s="53" t="str">
        <f>IFERROR(__xludf.DUMMYFUNCTION("IF(ISBLANK(B1619),"""",IF(ISDATE(B1619),""X"",""""))"),"")</f>
        <v/>
      </c>
      <c r="K1619" s="40" t="str">
        <f>IFERROR(__xludf.DUMMYFUNCTION("IF(ISBLANK(B1619),"""",IF(ISDATE(B1619),H1619,""""))"),"")</f>
        <v/>
      </c>
      <c r="L1619" s="40" t="str">
        <f>IFERROR(__xludf.DUMMYFUNCTION("IF(ISBLANK(B1619),"""",IF(ISDATE(B1619),TEXT(B1619,""M""),""""))"),"")</f>
        <v/>
      </c>
      <c r="M1619" s="29" t="str">
        <f>IFERROR(__xludf.DUMMYFUNCTION("IF(L1619="""","""",QUERY({'Dashboard-Dados'!$Y$2:$AA$13},""Select Col2 Where Col1=""&amp;L1619))"),"")</f>
        <v/>
      </c>
      <c r="N1619" s="29" t="str">
        <f>IFERROR(__xludf.DUMMYFUNCTION("IF(ISBLANK(B1619),"""",IF(ISDATE(B1619),TEXT(B1619,""yyyy""),""""))"),"")</f>
        <v/>
      </c>
    </row>
    <row r="1620">
      <c r="B1620" s="89"/>
      <c r="C1620" s="86"/>
      <c r="D1620" s="71"/>
      <c r="H1620" s="90"/>
      <c r="J1620" s="53" t="str">
        <f>IFERROR(__xludf.DUMMYFUNCTION("IF(ISBLANK(B1620),"""",IF(ISDATE(B1620),""X"",""""))"),"")</f>
        <v/>
      </c>
      <c r="K1620" s="40" t="str">
        <f>IFERROR(__xludf.DUMMYFUNCTION("IF(ISBLANK(B1620),"""",IF(ISDATE(B1620),H1620,""""))"),"")</f>
        <v/>
      </c>
      <c r="L1620" s="40" t="str">
        <f>IFERROR(__xludf.DUMMYFUNCTION("IF(ISBLANK(B1620),"""",IF(ISDATE(B1620),TEXT(B1620,""M""),""""))"),"")</f>
        <v/>
      </c>
      <c r="M1620" s="29" t="str">
        <f>IFERROR(__xludf.DUMMYFUNCTION("IF(L1620="""","""",QUERY({'Dashboard-Dados'!$Y$2:$AA$13},""Select Col2 Where Col1=""&amp;L1620))"),"")</f>
        <v/>
      </c>
      <c r="N1620" s="29" t="str">
        <f>IFERROR(__xludf.DUMMYFUNCTION("IF(ISBLANK(B1620),"""",IF(ISDATE(B1620),TEXT(B1620,""yyyy""),""""))"),"")</f>
        <v/>
      </c>
    </row>
    <row r="1621">
      <c r="B1621" s="87"/>
      <c r="C1621" s="85"/>
      <c r="D1621" s="76"/>
      <c r="H1621" s="88"/>
      <c r="J1621" s="53" t="str">
        <f>IFERROR(__xludf.DUMMYFUNCTION("IF(ISBLANK(B1621),"""",IF(ISDATE(B1621),""X"",""""))"),"")</f>
        <v/>
      </c>
      <c r="K1621" s="40" t="str">
        <f>IFERROR(__xludf.DUMMYFUNCTION("IF(ISBLANK(B1621),"""",IF(ISDATE(B1621),H1621,""""))"),"")</f>
        <v/>
      </c>
      <c r="L1621" s="40" t="str">
        <f>IFERROR(__xludf.DUMMYFUNCTION("IF(ISBLANK(B1621),"""",IF(ISDATE(B1621),TEXT(B1621,""M""),""""))"),"")</f>
        <v/>
      </c>
      <c r="M1621" s="29" t="str">
        <f>IFERROR(__xludf.DUMMYFUNCTION("IF(L1621="""","""",QUERY({'Dashboard-Dados'!$Y$2:$AA$13},""Select Col2 Where Col1=""&amp;L1621))"),"")</f>
        <v/>
      </c>
      <c r="N1621" s="29" t="str">
        <f>IFERROR(__xludf.DUMMYFUNCTION("IF(ISBLANK(B1621),"""",IF(ISDATE(B1621),TEXT(B1621,""yyyy""),""""))"),"")</f>
        <v/>
      </c>
    </row>
    <row r="1622">
      <c r="B1622" s="89"/>
      <c r="C1622" s="86"/>
      <c r="D1622" s="71"/>
      <c r="H1622" s="90"/>
      <c r="J1622" s="53" t="str">
        <f>IFERROR(__xludf.DUMMYFUNCTION("IF(ISBLANK(B1622),"""",IF(ISDATE(B1622),""X"",""""))"),"")</f>
        <v/>
      </c>
      <c r="K1622" s="40" t="str">
        <f>IFERROR(__xludf.DUMMYFUNCTION("IF(ISBLANK(B1622),"""",IF(ISDATE(B1622),H1622,""""))"),"")</f>
        <v/>
      </c>
      <c r="L1622" s="40" t="str">
        <f>IFERROR(__xludf.DUMMYFUNCTION("IF(ISBLANK(B1622),"""",IF(ISDATE(B1622),TEXT(B1622,""M""),""""))"),"")</f>
        <v/>
      </c>
      <c r="M1622" s="29" t="str">
        <f>IFERROR(__xludf.DUMMYFUNCTION("IF(L1622="""","""",QUERY({'Dashboard-Dados'!$Y$2:$AA$13},""Select Col2 Where Col1=""&amp;L1622))"),"")</f>
        <v/>
      </c>
      <c r="N1622" s="29" t="str">
        <f>IFERROR(__xludf.DUMMYFUNCTION("IF(ISBLANK(B1622),"""",IF(ISDATE(B1622),TEXT(B1622,""yyyy""),""""))"),"")</f>
        <v/>
      </c>
    </row>
    <row r="1623">
      <c r="B1623" s="87"/>
      <c r="C1623" s="85"/>
      <c r="D1623" s="76"/>
      <c r="H1623" s="88"/>
      <c r="J1623" s="53" t="str">
        <f>IFERROR(__xludf.DUMMYFUNCTION("IF(ISBLANK(B1623),"""",IF(ISDATE(B1623),""X"",""""))"),"")</f>
        <v/>
      </c>
      <c r="K1623" s="40" t="str">
        <f>IFERROR(__xludf.DUMMYFUNCTION("IF(ISBLANK(B1623),"""",IF(ISDATE(B1623),H1623,""""))"),"")</f>
        <v/>
      </c>
      <c r="L1623" s="40" t="str">
        <f>IFERROR(__xludf.DUMMYFUNCTION("IF(ISBLANK(B1623),"""",IF(ISDATE(B1623),TEXT(B1623,""M""),""""))"),"")</f>
        <v/>
      </c>
      <c r="M1623" s="29" t="str">
        <f>IFERROR(__xludf.DUMMYFUNCTION("IF(L1623="""","""",QUERY({'Dashboard-Dados'!$Y$2:$AA$13},""Select Col2 Where Col1=""&amp;L1623))"),"")</f>
        <v/>
      </c>
      <c r="N1623" s="29" t="str">
        <f>IFERROR(__xludf.DUMMYFUNCTION("IF(ISBLANK(B1623),"""",IF(ISDATE(B1623),TEXT(B1623,""yyyy""),""""))"),"")</f>
        <v/>
      </c>
    </row>
    <row r="1624">
      <c r="B1624" s="89"/>
      <c r="C1624" s="86"/>
      <c r="D1624" s="71"/>
      <c r="H1624" s="90"/>
      <c r="J1624" s="53" t="str">
        <f>IFERROR(__xludf.DUMMYFUNCTION("IF(ISBLANK(B1624),"""",IF(ISDATE(B1624),""X"",""""))"),"")</f>
        <v/>
      </c>
      <c r="K1624" s="40" t="str">
        <f>IFERROR(__xludf.DUMMYFUNCTION("IF(ISBLANK(B1624),"""",IF(ISDATE(B1624),H1624,""""))"),"")</f>
        <v/>
      </c>
      <c r="L1624" s="40" t="str">
        <f>IFERROR(__xludf.DUMMYFUNCTION("IF(ISBLANK(B1624),"""",IF(ISDATE(B1624),TEXT(B1624,""M""),""""))"),"")</f>
        <v/>
      </c>
      <c r="M1624" s="29" t="str">
        <f>IFERROR(__xludf.DUMMYFUNCTION("IF(L1624="""","""",QUERY({'Dashboard-Dados'!$Y$2:$AA$13},""Select Col2 Where Col1=""&amp;L1624))"),"")</f>
        <v/>
      </c>
      <c r="N1624" s="29" t="str">
        <f>IFERROR(__xludf.DUMMYFUNCTION("IF(ISBLANK(B1624),"""",IF(ISDATE(B1624),TEXT(B1624,""yyyy""),""""))"),"")</f>
        <v/>
      </c>
    </row>
    <row r="1625">
      <c r="B1625" s="87"/>
      <c r="C1625" s="85"/>
      <c r="D1625" s="76"/>
      <c r="H1625" s="88"/>
      <c r="J1625" s="53" t="str">
        <f>IFERROR(__xludf.DUMMYFUNCTION("IF(ISBLANK(B1625),"""",IF(ISDATE(B1625),""X"",""""))"),"")</f>
        <v/>
      </c>
      <c r="K1625" s="40" t="str">
        <f>IFERROR(__xludf.DUMMYFUNCTION("IF(ISBLANK(B1625),"""",IF(ISDATE(B1625),H1625,""""))"),"")</f>
        <v/>
      </c>
      <c r="L1625" s="40" t="str">
        <f>IFERROR(__xludf.DUMMYFUNCTION("IF(ISBLANK(B1625),"""",IF(ISDATE(B1625),TEXT(B1625,""M""),""""))"),"")</f>
        <v/>
      </c>
      <c r="M1625" s="29" t="str">
        <f>IFERROR(__xludf.DUMMYFUNCTION("IF(L1625="""","""",QUERY({'Dashboard-Dados'!$Y$2:$AA$13},""Select Col2 Where Col1=""&amp;L1625))"),"")</f>
        <v/>
      </c>
      <c r="N1625" s="29" t="str">
        <f>IFERROR(__xludf.DUMMYFUNCTION("IF(ISBLANK(B1625),"""",IF(ISDATE(B1625),TEXT(B1625,""yyyy""),""""))"),"")</f>
        <v/>
      </c>
    </row>
    <row r="1626">
      <c r="B1626" s="89"/>
      <c r="C1626" s="86"/>
      <c r="D1626" s="71"/>
      <c r="H1626" s="90"/>
      <c r="J1626" s="53" t="str">
        <f>IFERROR(__xludf.DUMMYFUNCTION("IF(ISBLANK(B1626),"""",IF(ISDATE(B1626),""X"",""""))"),"")</f>
        <v/>
      </c>
      <c r="K1626" s="40" t="str">
        <f>IFERROR(__xludf.DUMMYFUNCTION("IF(ISBLANK(B1626),"""",IF(ISDATE(B1626),H1626,""""))"),"")</f>
        <v/>
      </c>
      <c r="L1626" s="40" t="str">
        <f>IFERROR(__xludf.DUMMYFUNCTION("IF(ISBLANK(B1626),"""",IF(ISDATE(B1626),TEXT(B1626,""M""),""""))"),"")</f>
        <v/>
      </c>
      <c r="M1626" s="29" t="str">
        <f>IFERROR(__xludf.DUMMYFUNCTION("IF(L1626="""","""",QUERY({'Dashboard-Dados'!$Y$2:$AA$13},""Select Col2 Where Col1=""&amp;L1626))"),"")</f>
        <v/>
      </c>
      <c r="N1626" s="29" t="str">
        <f>IFERROR(__xludf.DUMMYFUNCTION("IF(ISBLANK(B1626),"""",IF(ISDATE(B1626),TEXT(B1626,""yyyy""),""""))"),"")</f>
        <v/>
      </c>
    </row>
    <row r="1627">
      <c r="B1627" s="87"/>
      <c r="C1627" s="85"/>
      <c r="D1627" s="76"/>
      <c r="H1627" s="88"/>
      <c r="J1627" s="53" t="str">
        <f>IFERROR(__xludf.DUMMYFUNCTION("IF(ISBLANK(B1627),"""",IF(ISDATE(B1627),""X"",""""))"),"")</f>
        <v/>
      </c>
      <c r="K1627" s="40" t="str">
        <f>IFERROR(__xludf.DUMMYFUNCTION("IF(ISBLANK(B1627),"""",IF(ISDATE(B1627),H1627,""""))"),"")</f>
        <v/>
      </c>
      <c r="L1627" s="40" t="str">
        <f>IFERROR(__xludf.DUMMYFUNCTION("IF(ISBLANK(B1627),"""",IF(ISDATE(B1627),TEXT(B1627,""M""),""""))"),"")</f>
        <v/>
      </c>
      <c r="M1627" s="29" t="str">
        <f>IFERROR(__xludf.DUMMYFUNCTION("IF(L1627="""","""",QUERY({'Dashboard-Dados'!$Y$2:$AA$13},""Select Col2 Where Col1=""&amp;L1627))"),"")</f>
        <v/>
      </c>
      <c r="N1627" s="29" t="str">
        <f>IFERROR(__xludf.DUMMYFUNCTION("IF(ISBLANK(B1627),"""",IF(ISDATE(B1627),TEXT(B1627,""yyyy""),""""))"),"")</f>
        <v/>
      </c>
    </row>
    <row r="1628">
      <c r="B1628" s="89"/>
      <c r="C1628" s="86"/>
      <c r="D1628" s="71"/>
      <c r="H1628" s="90"/>
      <c r="J1628" s="53" t="str">
        <f>IFERROR(__xludf.DUMMYFUNCTION("IF(ISBLANK(B1628),"""",IF(ISDATE(B1628),""X"",""""))"),"")</f>
        <v/>
      </c>
      <c r="K1628" s="40" t="str">
        <f>IFERROR(__xludf.DUMMYFUNCTION("IF(ISBLANK(B1628),"""",IF(ISDATE(B1628),H1628,""""))"),"")</f>
        <v/>
      </c>
      <c r="L1628" s="40" t="str">
        <f>IFERROR(__xludf.DUMMYFUNCTION("IF(ISBLANK(B1628),"""",IF(ISDATE(B1628),TEXT(B1628,""M""),""""))"),"")</f>
        <v/>
      </c>
      <c r="M1628" s="29" t="str">
        <f>IFERROR(__xludf.DUMMYFUNCTION("IF(L1628="""","""",QUERY({'Dashboard-Dados'!$Y$2:$AA$13},""Select Col2 Where Col1=""&amp;L1628))"),"")</f>
        <v/>
      </c>
      <c r="N1628" s="29" t="str">
        <f>IFERROR(__xludf.DUMMYFUNCTION("IF(ISBLANK(B1628),"""",IF(ISDATE(B1628),TEXT(B1628,""yyyy""),""""))"),"")</f>
        <v/>
      </c>
    </row>
    <row r="1629">
      <c r="B1629" s="87"/>
      <c r="C1629" s="85"/>
      <c r="D1629" s="76"/>
      <c r="H1629" s="88"/>
      <c r="J1629" s="53" t="str">
        <f>IFERROR(__xludf.DUMMYFUNCTION("IF(ISBLANK(B1629),"""",IF(ISDATE(B1629),""X"",""""))"),"")</f>
        <v/>
      </c>
      <c r="K1629" s="40" t="str">
        <f>IFERROR(__xludf.DUMMYFUNCTION("IF(ISBLANK(B1629),"""",IF(ISDATE(B1629),H1629,""""))"),"")</f>
        <v/>
      </c>
      <c r="L1629" s="40" t="str">
        <f>IFERROR(__xludf.DUMMYFUNCTION("IF(ISBLANK(B1629),"""",IF(ISDATE(B1629),TEXT(B1629,""M""),""""))"),"")</f>
        <v/>
      </c>
      <c r="M1629" s="29" t="str">
        <f>IFERROR(__xludf.DUMMYFUNCTION("IF(L1629="""","""",QUERY({'Dashboard-Dados'!$Y$2:$AA$13},""Select Col2 Where Col1=""&amp;L1629))"),"")</f>
        <v/>
      </c>
      <c r="N1629" s="29" t="str">
        <f>IFERROR(__xludf.DUMMYFUNCTION("IF(ISBLANK(B1629),"""",IF(ISDATE(B1629),TEXT(B1629,""yyyy""),""""))"),"")</f>
        <v/>
      </c>
    </row>
    <row r="1630">
      <c r="B1630" s="89"/>
      <c r="C1630" s="86"/>
      <c r="D1630" s="71"/>
      <c r="H1630" s="90"/>
      <c r="J1630" s="53" t="str">
        <f>IFERROR(__xludf.DUMMYFUNCTION("IF(ISBLANK(B1630),"""",IF(ISDATE(B1630),""X"",""""))"),"")</f>
        <v/>
      </c>
      <c r="K1630" s="40" t="str">
        <f>IFERROR(__xludf.DUMMYFUNCTION("IF(ISBLANK(B1630),"""",IF(ISDATE(B1630),H1630,""""))"),"")</f>
        <v/>
      </c>
      <c r="L1630" s="40" t="str">
        <f>IFERROR(__xludf.DUMMYFUNCTION("IF(ISBLANK(B1630),"""",IF(ISDATE(B1630),TEXT(B1630,""M""),""""))"),"")</f>
        <v/>
      </c>
      <c r="M1630" s="29" t="str">
        <f>IFERROR(__xludf.DUMMYFUNCTION("IF(L1630="""","""",QUERY({'Dashboard-Dados'!$Y$2:$AA$13},""Select Col2 Where Col1=""&amp;L1630))"),"")</f>
        <v/>
      </c>
      <c r="N1630" s="29" t="str">
        <f>IFERROR(__xludf.DUMMYFUNCTION("IF(ISBLANK(B1630),"""",IF(ISDATE(B1630),TEXT(B1630,""yyyy""),""""))"),"")</f>
        <v/>
      </c>
    </row>
    <row r="1631">
      <c r="B1631" s="87"/>
      <c r="C1631" s="85"/>
      <c r="D1631" s="76"/>
      <c r="H1631" s="88"/>
      <c r="J1631" s="53" t="str">
        <f>IFERROR(__xludf.DUMMYFUNCTION("IF(ISBLANK(B1631),"""",IF(ISDATE(B1631),""X"",""""))"),"")</f>
        <v/>
      </c>
      <c r="K1631" s="40" t="str">
        <f>IFERROR(__xludf.DUMMYFUNCTION("IF(ISBLANK(B1631),"""",IF(ISDATE(B1631),H1631,""""))"),"")</f>
        <v/>
      </c>
      <c r="L1631" s="40" t="str">
        <f>IFERROR(__xludf.DUMMYFUNCTION("IF(ISBLANK(B1631),"""",IF(ISDATE(B1631),TEXT(B1631,""M""),""""))"),"")</f>
        <v/>
      </c>
      <c r="M1631" s="29" t="str">
        <f>IFERROR(__xludf.DUMMYFUNCTION("IF(L1631="""","""",QUERY({'Dashboard-Dados'!$Y$2:$AA$13},""Select Col2 Where Col1=""&amp;L1631))"),"")</f>
        <v/>
      </c>
      <c r="N1631" s="29" t="str">
        <f>IFERROR(__xludf.DUMMYFUNCTION("IF(ISBLANK(B1631),"""",IF(ISDATE(B1631),TEXT(B1631,""yyyy""),""""))"),"")</f>
        <v/>
      </c>
    </row>
    <row r="1632">
      <c r="B1632" s="89"/>
      <c r="C1632" s="86"/>
      <c r="D1632" s="71"/>
      <c r="H1632" s="90"/>
      <c r="J1632" s="53" t="str">
        <f>IFERROR(__xludf.DUMMYFUNCTION("IF(ISBLANK(B1632),"""",IF(ISDATE(B1632),""X"",""""))"),"")</f>
        <v/>
      </c>
      <c r="K1632" s="40" t="str">
        <f>IFERROR(__xludf.DUMMYFUNCTION("IF(ISBLANK(B1632),"""",IF(ISDATE(B1632),H1632,""""))"),"")</f>
        <v/>
      </c>
      <c r="L1632" s="40" t="str">
        <f>IFERROR(__xludf.DUMMYFUNCTION("IF(ISBLANK(B1632),"""",IF(ISDATE(B1632),TEXT(B1632,""M""),""""))"),"")</f>
        <v/>
      </c>
      <c r="M1632" s="29" t="str">
        <f>IFERROR(__xludf.DUMMYFUNCTION("IF(L1632="""","""",QUERY({'Dashboard-Dados'!$Y$2:$AA$13},""Select Col2 Where Col1=""&amp;L1632))"),"")</f>
        <v/>
      </c>
      <c r="N1632" s="29" t="str">
        <f>IFERROR(__xludf.DUMMYFUNCTION("IF(ISBLANK(B1632),"""",IF(ISDATE(B1632),TEXT(B1632,""yyyy""),""""))"),"")</f>
        <v/>
      </c>
    </row>
    <row r="1633">
      <c r="B1633" s="87"/>
      <c r="C1633" s="85"/>
      <c r="D1633" s="76"/>
      <c r="H1633" s="88"/>
      <c r="J1633" s="53" t="str">
        <f>IFERROR(__xludf.DUMMYFUNCTION("IF(ISBLANK(B1633),"""",IF(ISDATE(B1633),""X"",""""))"),"")</f>
        <v/>
      </c>
      <c r="K1633" s="40" t="str">
        <f>IFERROR(__xludf.DUMMYFUNCTION("IF(ISBLANK(B1633),"""",IF(ISDATE(B1633),H1633,""""))"),"")</f>
        <v/>
      </c>
      <c r="L1633" s="40" t="str">
        <f>IFERROR(__xludf.DUMMYFUNCTION("IF(ISBLANK(B1633),"""",IF(ISDATE(B1633),TEXT(B1633,""M""),""""))"),"")</f>
        <v/>
      </c>
      <c r="M1633" s="29" t="str">
        <f>IFERROR(__xludf.DUMMYFUNCTION("IF(L1633="""","""",QUERY({'Dashboard-Dados'!$Y$2:$AA$13},""Select Col2 Where Col1=""&amp;L1633))"),"")</f>
        <v/>
      </c>
      <c r="N1633" s="29" t="str">
        <f>IFERROR(__xludf.DUMMYFUNCTION("IF(ISBLANK(B1633),"""",IF(ISDATE(B1633),TEXT(B1633,""yyyy""),""""))"),"")</f>
        <v/>
      </c>
    </row>
    <row r="1634">
      <c r="B1634" s="89"/>
      <c r="C1634" s="86"/>
      <c r="D1634" s="71"/>
      <c r="H1634" s="90"/>
      <c r="J1634" s="53" t="str">
        <f>IFERROR(__xludf.DUMMYFUNCTION("IF(ISBLANK(B1634),"""",IF(ISDATE(B1634),""X"",""""))"),"")</f>
        <v/>
      </c>
      <c r="K1634" s="40" t="str">
        <f>IFERROR(__xludf.DUMMYFUNCTION("IF(ISBLANK(B1634),"""",IF(ISDATE(B1634),H1634,""""))"),"")</f>
        <v/>
      </c>
      <c r="L1634" s="40" t="str">
        <f>IFERROR(__xludf.DUMMYFUNCTION("IF(ISBLANK(B1634),"""",IF(ISDATE(B1634),TEXT(B1634,""M""),""""))"),"")</f>
        <v/>
      </c>
      <c r="M1634" s="29" t="str">
        <f>IFERROR(__xludf.DUMMYFUNCTION("IF(L1634="""","""",QUERY({'Dashboard-Dados'!$Y$2:$AA$13},""Select Col2 Where Col1=""&amp;L1634))"),"")</f>
        <v/>
      </c>
      <c r="N1634" s="29" t="str">
        <f>IFERROR(__xludf.DUMMYFUNCTION("IF(ISBLANK(B1634),"""",IF(ISDATE(B1634),TEXT(B1634,""yyyy""),""""))"),"")</f>
        <v/>
      </c>
    </row>
    <row r="1635">
      <c r="B1635" s="87"/>
      <c r="C1635" s="85"/>
      <c r="D1635" s="76"/>
      <c r="H1635" s="88"/>
      <c r="J1635" s="53" t="str">
        <f>IFERROR(__xludf.DUMMYFUNCTION("IF(ISBLANK(B1635),"""",IF(ISDATE(B1635),""X"",""""))"),"")</f>
        <v/>
      </c>
      <c r="K1635" s="40" t="str">
        <f>IFERROR(__xludf.DUMMYFUNCTION("IF(ISBLANK(B1635),"""",IF(ISDATE(B1635),H1635,""""))"),"")</f>
        <v/>
      </c>
      <c r="L1635" s="40" t="str">
        <f>IFERROR(__xludf.DUMMYFUNCTION("IF(ISBLANK(B1635),"""",IF(ISDATE(B1635),TEXT(B1635,""M""),""""))"),"")</f>
        <v/>
      </c>
      <c r="M1635" s="29" t="str">
        <f>IFERROR(__xludf.DUMMYFUNCTION("IF(L1635="""","""",QUERY({'Dashboard-Dados'!$Y$2:$AA$13},""Select Col2 Where Col1=""&amp;L1635))"),"")</f>
        <v/>
      </c>
      <c r="N1635" s="29" t="str">
        <f>IFERROR(__xludf.DUMMYFUNCTION("IF(ISBLANK(B1635),"""",IF(ISDATE(B1635),TEXT(B1635,""yyyy""),""""))"),"")</f>
        <v/>
      </c>
    </row>
    <row r="1636">
      <c r="B1636" s="89"/>
      <c r="C1636" s="86"/>
      <c r="D1636" s="71"/>
      <c r="H1636" s="90"/>
      <c r="J1636" s="53" t="str">
        <f>IFERROR(__xludf.DUMMYFUNCTION("IF(ISBLANK(B1636),"""",IF(ISDATE(B1636),""X"",""""))"),"")</f>
        <v/>
      </c>
      <c r="K1636" s="40" t="str">
        <f>IFERROR(__xludf.DUMMYFUNCTION("IF(ISBLANK(B1636),"""",IF(ISDATE(B1636),H1636,""""))"),"")</f>
        <v/>
      </c>
      <c r="L1636" s="40" t="str">
        <f>IFERROR(__xludf.DUMMYFUNCTION("IF(ISBLANK(B1636),"""",IF(ISDATE(B1636),TEXT(B1636,""M""),""""))"),"")</f>
        <v/>
      </c>
      <c r="M1636" s="29" t="str">
        <f>IFERROR(__xludf.DUMMYFUNCTION("IF(L1636="""","""",QUERY({'Dashboard-Dados'!$Y$2:$AA$13},""Select Col2 Where Col1=""&amp;L1636))"),"")</f>
        <v/>
      </c>
      <c r="N1636" s="29" t="str">
        <f>IFERROR(__xludf.DUMMYFUNCTION("IF(ISBLANK(B1636),"""",IF(ISDATE(B1636),TEXT(B1636,""yyyy""),""""))"),"")</f>
        <v/>
      </c>
    </row>
    <row r="1637">
      <c r="B1637" s="87"/>
      <c r="C1637" s="85"/>
      <c r="D1637" s="76"/>
      <c r="H1637" s="88"/>
      <c r="J1637" s="53" t="str">
        <f>IFERROR(__xludf.DUMMYFUNCTION("IF(ISBLANK(B1637),"""",IF(ISDATE(B1637),""X"",""""))"),"")</f>
        <v/>
      </c>
      <c r="K1637" s="40" t="str">
        <f>IFERROR(__xludf.DUMMYFUNCTION("IF(ISBLANK(B1637),"""",IF(ISDATE(B1637),H1637,""""))"),"")</f>
        <v/>
      </c>
      <c r="L1637" s="40" t="str">
        <f>IFERROR(__xludf.DUMMYFUNCTION("IF(ISBLANK(B1637),"""",IF(ISDATE(B1637),TEXT(B1637,""M""),""""))"),"")</f>
        <v/>
      </c>
      <c r="M1637" s="29" t="str">
        <f>IFERROR(__xludf.DUMMYFUNCTION("IF(L1637="""","""",QUERY({'Dashboard-Dados'!$Y$2:$AA$13},""Select Col2 Where Col1=""&amp;L1637))"),"")</f>
        <v/>
      </c>
      <c r="N1637" s="29" t="str">
        <f>IFERROR(__xludf.DUMMYFUNCTION("IF(ISBLANK(B1637),"""",IF(ISDATE(B1637),TEXT(B1637,""yyyy""),""""))"),"")</f>
        <v/>
      </c>
    </row>
    <row r="1638">
      <c r="B1638" s="89"/>
      <c r="C1638" s="86"/>
      <c r="D1638" s="71"/>
      <c r="H1638" s="90"/>
      <c r="J1638" s="53" t="str">
        <f>IFERROR(__xludf.DUMMYFUNCTION("IF(ISBLANK(B1638),"""",IF(ISDATE(B1638),""X"",""""))"),"")</f>
        <v/>
      </c>
      <c r="K1638" s="40" t="str">
        <f>IFERROR(__xludf.DUMMYFUNCTION("IF(ISBLANK(B1638),"""",IF(ISDATE(B1638),H1638,""""))"),"")</f>
        <v/>
      </c>
      <c r="L1638" s="40" t="str">
        <f>IFERROR(__xludf.DUMMYFUNCTION("IF(ISBLANK(B1638),"""",IF(ISDATE(B1638),TEXT(B1638,""M""),""""))"),"")</f>
        <v/>
      </c>
      <c r="M1638" s="29" t="str">
        <f>IFERROR(__xludf.DUMMYFUNCTION("IF(L1638="""","""",QUERY({'Dashboard-Dados'!$Y$2:$AA$13},""Select Col2 Where Col1=""&amp;L1638))"),"")</f>
        <v/>
      </c>
      <c r="N1638" s="29" t="str">
        <f>IFERROR(__xludf.DUMMYFUNCTION("IF(ISBLANK(B1638),"""",IF(ISDATE(B1638),TEXT(B1638,""yyyy""),""""))"),"")</f>
        <v/>
      </c>
    </row>
    <row r="1639">
      <c r="B1639" s="87"/>
      <c r="C1639" s="85"/>
      <c r="D1639" s="76"/>
      <c r="H1639" s="88"/>
      <c r="J1639" s="53" t="str">
        <f>IFERROR(__xludf.DUMMYFUNCTION("IF(ISBLANK(B1639),"""",IF(ISDATE(B1639),""X"",""""))"),"")</f>
        <v/>
      </c>
      <c r="K1639" s="40" t="str">
        <f>IFERROR(__xludf.DUMMYFUNCTION("IF(ISBLANK(B1639),"""",IF(ISDATE(B1639),H1639,""""))"),"")</f>
        <v/>
      </c>
      <c r="L1639" s="40" t="str">
        <f>IFERROR(__xludf.DUMMYFUNCTION("IF(ISBLANK(B1639),"""",IF(ISDATE(B1639),TEXT(B1639,""M""),""""))"),"")</f>
        <v/>
      </c>
      <c r="M1639" s="29" t="str">
        <f>IFERROR(__xludf.DUMMYFUNCTION("IF(L1639="""","""",QUERY({'Dashboard-Dados'!$Y$2:$AA$13},""Select Col2 Where Col1=""&amp;L1639))"),"")</f>
        <v/>
      </c>
      <c r="N1639" s="29" t="str">
        <f>IFERROR(__xludf.DUMMYFUNCTION("IF(ISBLANK(B1639),"""",IF(ISDATE(B1639),TEXT(B1639,""yyyy""),""""))"),"")</f>
        <v/>
      </c>
    </row>
    <row r="1640">
      <c r="B1640" s="89"/>
      <c r="C1640" s="86"/>
      <c r="D1640" s="71"/>
      <c r="H1640" s="90"/>
      <c r="J1640" s="53" t="str">
        <f>IFERROR(__xludf.DUMMYFUNCTION("IF(ISBLANK(B1640),"""",IF(ISDATE(B1640),""X"",""""))"),"")</f>
        <v/>
      </c>
      <c r="K1640" s="40" t="str">
        <f>IFERROR(__xludf.DUMMYFUNCTION("IF(ISBLANK(B1640),"""",IF(ISDATE(B1640),H1640,""""))"),"")</f>
        <v/>
      </c>
      <c r="L1640" s="40" t="str">
        <f>IFERROR(__xludf.DUMMYFUNCTION("IF(ISBLANK(B1640),"""",IF(ISDATE(B1640),TEXT(B1640,""M""),""""))"),"")</f>
        <v/>
      </c>
      <c r="M1640" s="29" t="str">
        <f>IFERROR(__xludf.DUMMYFUNCTION("IF(L1640="""","""",QUERY({'Dashboard-Dados'!$Y$2:$AA$13},""Select Col2 Where Col1=""&amp;L1640))"),"")</f>
        <v/>
      </c>
      <c r="N1640" s="29" t="str">
        <f>IFERROR(__xludf.DUMMYFUNCTION("IF(ISBLANK(B1640),"""",IF(ISDATE(B1640),TEXT(B1640,""yyyy""),""""))"),"")</f>
        <v/>
      </c>
    </row>
    <row r="1641">
      <c r="B1641" s="87"/>
      <c r="C1641" s="85"/>
      <c r="D1641" s="76"/>
      <c r="H1641" s="88"/>
      <c r="J1641" s="53" t="str">
        <f>IFERROR(__xludf.DUMMYFUNCTION("IF(ISBLANK(B1641),"""",IF(ISDATE(B1641),""X"",""""))"),"")</f>
        <v/>
      </c>
      <c r="K1641" s="40" t="str">
        <f>IFERROR(__xludf.DUMMYFUNCTION("IF(ISBLANK(B1641),"""",IF(ISDATE(B1641),H1641,""""))"),"")</f>
        <v/>
      </c>
      <c r="L1641" s="40" t="str">
        <f>IFERROR(__xludf.DUMMYFUNCTION("IF(ISBLANK(B1641),"""",IF(ISDATE(B1641),TEXT(B1641,""M""),""""))"),"")</f>
        <v/>
      </c>
      <c r="M1641" s="29" t="str">
        <f>IFERROR(__xludf.DUMMYFUNCTION("IF(L1641="""","""",QUERY({'Dashboard-Dados'!$Y$2:$AA$13},""Select Col2 Where Col1=""&amp;L1641))"),"")</f>
        <v/>
      </c>
      <c r="N1641" s="29" t="str">
        <f>IFERROR(__xludf.DUMMYFUNCTION("IF(ISBLANK(B1641),"""",IF(ISDATE(B1641),TEXT(B1641,""yyyy""),""""))"),"")</f>
        <v/>
      </c>
    </row>
    <row r="1642">
      <c r="B1642" s="89"/>
      <c r="C1642" s="86"/>
      <c r="D1642" s="71"/>
      <c r="H1642" s="90"/>
      <c r="J1642" s="53" t="str">
        <f>IFERROR(__xludf.DUMMYFUNCTION("IF(ISBLANK(B1642),"""",IF(ISDATE(B1642),""X"",""""))"),"")</f>
        <v/>
      </c>
      <c r="K1642" s="40" t="str">
        <f>IFERROR(__xludf.DUMMYFUNCTION("IF(ISBLANK(B1642),"""",IF(ISDATE(B1642),H1642,""""))"),"")</f>
        <v/>
      </c>
      <c r="L1642" s="40" t="str">
        <f>IFERROR(__xludf.DUMMYFUNCTION("IF(ISBLANK(B1642),"""",IF(ISDATE(B1642),TEXT(B1642,""M""),""""))"),"")</f>
        <v/>
      </c>
      <c r="M1642" s="29" t="str">
        <f>IFERROR(__xludf.DUMMYFUNCTION("IF(L1642="""","""",QUERY({'Dashboard-Dados'!$Y$2:$AA$13},""Select Col2 Where Col1=""&amp;L1642))"),"")</f>
        <v/>
      </c>
      <c r="N1642" s="29" t="str">
        <f>IFERROR(__xludf.DUMMYFUNCTION("IF(ISBLANK(B1642),"""",IF(ISDATE(B1642),TEXT(B1642,""yyyy""),""""))"),"")</f>
        <v/>
      </c>
    </row>
    <row r="1643">
      <c r="B1643" s="87"/>
      <c r="C1643" s="85"/>
      <c r="D1643" s="76"/>
      <c r="H1643" s="88"/>
      <c r="J1643" s="53" t="str">
        <f>IFERROR(__xludf.DUMMYFUNCTION("IF(ISBLANK(B1643),"""",IF(ISDATE(B1643),""X"",""""))"),"")</f>
        <v/>
      </c>
      <c r="K1643" s="40" t="str">
        <f>IFERROR(__xludf.DUMMYFUNCTION("IF(ISBLANK(B1643),"""",IF(ISDATE(B1643),H1643,""""))"),"")</f>
        <v/>
      </c>
      <c r="L1643" s="40" t="str">
        <f>IFERROR(__xludf.DUMMYFUNCTION("IF(ISBLANK(B1643),"""",IF(ISDATE(B1643),TEXT(B1643,""M""),""""))"),"")</f>
        <v/>
      </c>
      <c r="M1643" s="29" t="str">
        <f>IFERROR(__xludf.DUMMYFUNCTION("IF(L1643="""","""",QUERY({'Dashboard-Dados'!$Y$2:$AA$13},""Select Col2 Where Col1=""&amp;L1643))"),"")</f>
        <v/>
      </c>
      <c r="N1643" s="29" t="str">
        <f>IFERROR(__xludf.DUMMYFUNCTION("IF(ISBLANK(B1643),"""",IF(ISDATE(B1643),TEXT(B1643,""yyyy""),""""))"),"")</f>
        <v/>
      </c>
    </row>
    <row r="1644">
      <c r="B1644" s="89"/>
      <c r="C1644" s="86"/>
      <c r="D1644" s="71"/>
      <c r="H1644" s="90"/>
      <c r="J1644" s="53" t="str">
        <f>IFERROR(__xludf.DUMMYFUNCTION("IF(ISBLANK(B1644),"""",IF(ISDATE(B1644),""X"",""""))"),"")</f>
        <v/>
      </c>
      <c r="K1644" s="40" t="str">
        <f>IFERROR(__xludf.DUMMYFUNCTION("IF(ISBLANK(B1644),"""",IF(ISDATE(B1644),H1644,""""))"),"")</f>
        <v/>
      </c>
      <c r="L1644" s="40" t="str">
        <f>IFERROR(__xludf.DUMMYFUNCTION("IF(ISBLANK(B1644),"""",IF(ISDATE(B1644),TEXT(B1644,""M""),""""))"),"")</f>
        <v/>
      </c>
      <c r="M1644" s="29" t="str">
        <f>IFERROR(__xludf.DUMMYFUNCTION("IF(L1644="""","""",QUERY({'Dashboard-Dados'!$Y$2:$AA$13},""Select Col2 Where Col1=""&amp;L1644))"),"")</f>
        <v/>
      </c>
      <c r="N1644" s="29" t="str">
        <f>IFERROR(__xludf.DUMMYFUNCTION("IF(ISBLANK(B1644),"""",IF(ISDATE(B1644),TEXT(B1644,""yyyy""),""""))"),"")</f>
        <v/>
      </c>
    </row>
    <row r="1645">
      <c r="B1645" s="87"/>
      <c r="C1645" s="85"/>
      <c r="D1645" s="76"/>
      <c r="H1645" s="88"/>
      <c r="J1645" s="53" t="str">
        <f>IFERROR(__xludf.DUMMYFUNCTION("IF(ISBLANK(B1645),"""",IF(ISDATE(B1645),""X"",""""))"),"")</f>
        <v/>
      </c>
      <c r="K1645" s="40" t="str">
        <f>IFERROR(__xludf.DUMMYFUNCTION("IF(ISBLANK(B1645),"""",IF(ISDATE(B1645),H1645,""""))"),"")</f>
        <v/>
      </c>
      <c r="L1645" s="40" t="str">
        <f>IFERROR(__xludf.DUMMYFUNCTION("IF(ISBLANK(B1645),"""",IF(ISDATE(B1645),TEXT(B1645,""M""),""""))"),"")</f>
        <v/>
      </c>
      <c r="M1645" s="29" t="str">
        <f>IFERROR(__xludf.DUMMYFUNCTION("IF(L1645="""","""",QUERY({'Dashboard-Dados'!$Y$2:$AA$13},""Select Col2 Where Col1=""&amp;L1645))"),"")</f>
        <v/>
      </c>
      <c r="N1645" s="29" t="str">
        <f>IFERROR(__xludf.DUMMYFUNCTION("IF(ISBLANK(B1645),"""",IF(ISDATE(B1645),TEXT(B1645,""yyyy""),""""))"),"")</f>
        <v/>
      </c>
    </row>
    <row r="1646">
      <c r="B1646" s="89"/>
      <c r="C1646" s="86"/>
      <c r="D1646" s="71"/>
      <c r="H1646" s="90"/>
      <c r="J1646" s="53" t="str">
        <f>IFERROR(__xludf.DUMMYFUNCTION("IF(ISBLANK(B1646),"""",IF(ISDATE(B1646),""X"",""""))"),"")</f>
        <v/>
      </c>
      <c r="K1646" s="40" t="str">
        <f>IFERROR(__xludf.DUMMYFUNCTION("IF(ISBLANK(B1646),"""",IF(ISDATE(B1646),H1646,""""))"),"")</f>
        <v/>
      </c>
      <c r="L1646" s="40" t="str">
        <f>IFERROR(__xludf.DUMMYFUNCTION("IF(ISBLANK(B1646),"""",IF(ISDATE(B1646),TEXT(B1646,""M""),""""))"),"")</f>
        <v/>
      </c>
      <c r="M1646" s="29" t="str">
        <f>IFERROR(__xludf.DUMMYFUNCTION("IF(L1646="""","""",QUERY({'Dashboard-Dados'!$Y$2:$AA$13},""Select Col2 Where Col1=""&amp;L1646))"),"")</f>
        <v/>
      </c>
      <c r="N1646" s="29" t="str">
        <f>IFERROR(__xludf.DUMMYFUNCTION("IF(ISBLANK(B1646),"""",IF(ISDATE(B1646),TEXT(B1646,""yyyy""),""""))"),"")</f>
        <v/>
      </c>
    </row>
    <row r="1647">
      <c r="B1647" s="87"/>
      <c r="C1647" s="85"/>
      <c r="D1647" s="76"/>
      <c r="H1647" s="88"/>
      <c r="J1647" s="53" t="str">
        <f>IFERROR(__xludf.DUMMYFUNCTION("IF(ISBLANK(B1647),"""",IF(ISDATE(B1647),""X"",""""))"),"")</f>
        <v/>
      </c>
      <c r="K1647" s="40" t="str">
        <f>IFERROR(__xludf.DUMMYFUNCTION("IF(ISBLANK(B1647),"""",IF(ISDATE(B1647),H1647,""""))"),"")</f>
        <v/>
      </c>
      <c r="L1647" s="40" t="str">
        <f>IFERROR(__xludf.DUMMYFUNCTION("IF(ISBLANK(B1647),"""",IF(ISDATE(B1647),TEXT(B1647,""M""),""""))"),"")</f>
        <v/>
      </c>
      <c r="M1647" s="29" t="str">
        <f>IFERROR(__xludf.DUMMYFUNCTION("IF(L1647="""","""",QUERY({'Dashboard-Dados'!$Y$2:$AA$13},""Select Col2 Where Col1=""&amp;L1647))"),"")</f>
        <v/>
      </c>
      <c r="N1647" s="29" t="str">
        <f>IFERROR(__xludf.DUMMYFUNCTION("IF(ISBLANK(B1647),"""",IF(ISDATE(B1647),TEXT(B1647,""yyyy""),""""))"),"")</f>
        <v/>
      </c>
    </row>
    <row r="1648">
      <c r="B1648" s="89"/>
      <c r="C1648" s="86"/>
      <c r="D1648" s="71"/>
      <c r="H1648" s="90"/>
      <c r="J1648" s="53" t="str">
        <f>IFERROR(__xludf.DUMMYFUNCTION("IF(ISBLANK(B1648),"""",IF(ISDATE(B1648),""X"",""""))"),"")</f>
        <v/>
      </c>
      <c r="K1648" s="40" t="str">
        <f>IFERROR(__xludf.DUMMYFUNCTION("IF(ISBLANK(B1648),"""",IF(ISDATE(B1648),H1648,""""))"),"")</f>
        <v/>
      </c>
      <c r="L1648" s="40" t="str">
        <f>IFERROR(__xludf.DUMMYFUNCTION("IF(ISBLANK(B1648),"""",IF(ISDATE(B1648),TEXT(B1648,""M""),""""))"),"")</f>
        <v/>
      </c>
      <c r="M1648" s="29" t="str">
        <f>IFERROR(__xludf.DUMMYFUNCTION("IF(L1648="""","""",QUERY({'Dashboard-Dados'!$Y$2:$AA$13},""Select Col2 Where Col1=""&amp;L1648))"),"")</f>
        <v/>
      </c>
      <c r="N1648" s="29" t="str">
        <f>IFERROR(__xludf.DUMMYFUNCTION("IF(ISBLANK(B1648),"""",IF(ISDATE(B1648),TEXT(B1648,""yyyy""),""""))"),"")</f>
        <v/>
      </c>
    </row>
    <row r="1649">
      <c r="B1649" s="87"/>
      <c r="C1649" s="85"/>
      <c r="D1649" s="76"/>
      <c r="H1649" s="88"/>
      <c r="J1649" s="53" t="str">
        <f>IFERROR(__xludf.DUMMYFUNCTION("IF(ISBLANK(B1649),"""",IF(ISDATE(B1649),""X"",""""))"),"")</f>
        <v/>
      </c>
      <c r="K1649" s="40" t="str">
        <f>IFERROR(__xludf.DUMMYFUNCTION("IF(ISBLANK(B1649),"""",IF(ISDATE(B1649),H1649,""""))"),"")</f>
        <v/>
      </c>
      <c r="L1649" s="40" t="str">
        <f>IFERROR(__xludf.DUMMYFUNCTION("IF(ISBLANK(B1649),"""",IF(ISDATE(B1649),TEXT(B1649,""M""),""""))"),"")</f>
        <v/>
      </c>
      <c r="M1649" s="29" t="str">
        <f>IFERROR(__xludf.DUMMYFUNCTION("IF(L1649="""","""",QUERY({'Dashboard-Dados'!$Y$2:$AA$13},""Select Col2 Where Col1=""&amp;L1649))"),"")</f>
        <v/>
      </c>
      <c r="N1649" s="29" t="str">
        <f>IFERROR(__xludf.DUMMYFUNCTION("IF(ISBLANK(B1649),"""",IF(ISDATE(B1649),TEXT(B1649,""yyyy""),""""))"),"")</f>
        <v/>
      </c>
    </row>
    <row r="1650">
      <c r="B1650" s="89"/>
      <c r="C1650" s="86"/>
      <c r="D1650" s="71"/>
      <c r="H1650" s="90"/>
      <c r="J1650" s="53" t="str">
        <f>IFERROR(__xludf.DUMMYFUNCTION("IF(ISBLANK(B1650),"""",IF(ISDATE(B1650),""X"",""""))"),"")</f>
        <v/>
      </c>
      <c r="K1650" s="40" t="str">
        <f>IFERROR(__xludf.DUMMYFUNCTION("IF(ISBLANK(B1650),"""",IF(ISDATE(B1650),H1650,""""))"),"")</f>
        <v/>
      </c>
      <c r="L1650" s="40" t="str">
        <f>IFERROR(__xludf.DUMMYFUNCTION("IF(ISBLANK(B1650),"""",IF(ISDATE(B1650),TEXT(B1650,""M""),""""))"),"")</f>
        <v/>
      </c>
      <c r="M1650" s="29" t="str">
        <f>IFERROR(__xludf.DUMMYFUNCTION("IF(L1650="""","""",QUERY({'Dashboard-Dados'!$Y$2:$AA$13},""Select Col2 Where Col1=""&amp;L1650))"),"")</f>
        <v/>
      </c>
      <c r="N1650" s="29" t="str">
        <f>IFERROR(__xludf.DUMMYFUNCTION("IF(ISBLANK(B1650),"""",IF(ISDATE(B1650),TEXT(B1650,""yyyy""),""""))"),"")</f>
        <v/>
      </c>
    </row>
    <row r="1651">
      <c r="B1651" s="87"/>
      <c r="C1651" s="85"/>
      <c r="D1651" s="76"/>
      <c r="H1651" s="88"/>
      <c r="J1651" s="53" t="str">
        <f>IFERROR(__xludf.DUMMYFUNCTION("IF(ISBLANK(B1651),"""",IF(ISDATE(B1651),""X"",""""))"),"")</f>
        <v/>
      </c>
      <c r="K1651" s="40" t="str">
        <f>IFERROR(__xludf.DUMMYFUNCTION("IF(ISBLANK(B1651),"""",IF(ISDATE(B1651),H1651,""""))"),"")</f>
        <v/>
      </c>
      <c r="L1651" s="40" t="str">
        <f>IFERROR(__xludf.DUMMYFUNCTION("IF(ISBLANK(B1651),"""",IF(ISDATE(B1651),TEXT(B1651,""M""),""""))"),"")</f>
        <v/>
      </c>
      <c r="M1651" s="29" t="str">
        <f>IFERROR(__xludf.DUMMYFUNCTION("IF(L1651="""","""",QUERY({'Dashboard-Dados'!$Y$2:$AA$13},""Select Col2 Where Col1=""&amp;L1651))"),"")</f>
        <v/>
      </c>
      <c r="N1651" s="29" t="str">
        <f>IFERROR(__xludf.DUMMYFUNCTION("IF(ISBLANK(B1651),"""",IF(ISDATE(B1651),TEXT(B1651,""yyyy""),""""))"),"")</f>
        <v/>
      </c>
    </row>
    <row r="1652">
      <c r="B1652" s="89"/>
      <c r="C1652" s="86"/>
      <c r="D1652" s="71"/>
      <c r="H1652" s="90"/>
      <c r="J1652" s="53" t="str">
        <f>IFERROR(__xludf.DUMMYFUNCTION("IF(ISBLANK(B1652),"""",IF(ISDATE(B1652),""X"",""""))"),"")</f>
        <v/>
      </c>
      <c r="K1652" s="40" t="str">
        <f>IFERROR(__xludf.DUMMYFUNCTION("IF(ISBLANK(B1652),"""",IF(ISDATE(B1652),H1652,""""))"),"")</f>
        <v/>
      </c>
      <c r="L1652" s="40" t="str">
        <f>IFERROR(__xludf.DUMMYFUNCTION("IF(ISBLANK(B1652),"""",IF(ISDATE(B1652),TEXT(B1652,""M""),""""))"),"")</f>
        <v/>
      </c>
      <c r="M1652" s="29" t="str">
        <f>IFERROR(__xludf.DUMMYFUNCTION("IF(L1652="""","""",QUERY({'Dashboard-Dados'!$Y$2:$AA$13},""Select Col2 Where Col1=""&amp;L1652))"),"")</f>
        <v/>
      </c>
      <c r="N1652" s="29" t="str">
        <f>IFERROR(__xludf.DUMMYFUNCTION("IF(ISBLANK(B1652),"""",IF(ISDATE(B1652),TEXT(B1652,""yyyy""),""""))"),"")</f>
        <v/>
      </c>
    </row>
    <row r="1653">
      <c r="B1653" s="87"/>
      <c r="C1653" s="85"/>
      <c r="D1653" s="76"/>
      <c r="H1653" s="88"/>
      <c r="J1653" s="53" t="str">
        <f>IFERROR(__xludf.DUMMYFUNCTION("IF(ISBLANK(B1653),"""",IF(ISDATE(B1653),""X"",""""))"),"")</f>
        <v/>
      </c>
      <c r="K1653" s="40" t="str">
        <f>IFERROR(__xludf.DUMMYFUNCTION("IF(ISBLANK(B1653),"""",IF(ISDATE(B1653),H1653,""""))"),"")</f>
        <v/>
      </c>
      <c r="L1653" s="40" t="str">
        <f>IFERROR(__xludf.DUMMYFUNCTION("IF(ISBLANK(B1653),"""",IF(ISDATE(B1653),TEXT(B1653,""M""),""""))"),"")</f>
        <v/>
      </c>
      <c r="M1653" s="29" t="str">
        <f>IFERROR(__xludf.DUMMYFUNCTION("IF(L1653="""","""",QUERY({'Dashboard-Dados'!$Y$2:$AA$13},""Select Col2 Where Col1=""&amp;L1653))"),"")</f>
        <v/>
      </c>
      <c r="N1653" s="29" t="str">
        <f>IFERROR(__xludf.DUMMYFUNCTION("IF(ISBLANK(B1653),"""",IF(ISDATE(B1653),TEXT(B1653,""yyyy""),""""))"),"")</f>
        <v/>
      </c>
    </row>
    <row r="1654">
      <c r="B1654" s="89"/>
      <c r="C1654" s="86"/>
      <c r="D1654" s="71"/>
      <c r="H1654" s="90"/>
      <c r="J1654" s="53" t="str">
        <f>IFERROR(__xludf.DUMMYFUNCTION("IF(ISBLANK(B1654),"""",IF(ISDATE(B1654),""X"",""""))"),"")</f>
        <v/>
      </c>
      <c r="K1654" s="40" t="str">
        <f>IFERROR(__xludf.DUMMYFUNCTION("IF(ISBLANK(B1654),"""",IF(ISDATE(B1654),H1654,""""))"),"")</f>
        <v/>
      </c>
      <c r="L1654" s="40" t="str">
        <f>IFERROR(__xludf.DUMMYFUNCTION("IF(ISBLANK(B1654),"""",IF(ISDATE(B1654),TEXT(B1654,""M""),""""))"),"")</f>
        <v/>
      </c>
      <c r="M1654" s="29" t="str">
        <f>IFERROR(__xludf.DUMMYFUNCTION("IF(L1654="""","""",QUERY({'Dashboard-Dados'!$Y$2:$AA$13},""Select Col2 Where Col1=""&amp;L1654))"),"")</f>
        <v/>
      </c>
      <c r="N1654" s="29" t="str">
        <f>IFERROR(__xludf.DUMMYFUNCTION("IF(ISBLANK(B1654),"""",IF(ISDATE(B1654),TEXT(B1654,""yyyy""),""""))"),"")</f>
        <v/>
      </c>
    </row>
    <row r="1655">
      <c r="B1655" s="87"/>
      <c r="C1655" s="85"/>
      <c r="D1655" s="76"/>
      <c r="H1655" s="88"/>
      <c r="J1655" s="53" t="str">
        <f>IFERROR(__xludf.DUMMYFUNCTION("IF(ISBLANK(B1655),"""",IF(ISDATE(B1655),""X"",""""))"),"")</f>
        <v/>
      </c>
      <c r="K1655" s="40" t="str">
        <f>IFERROR(__xludf.DUMMYFUNCTION("IF(ISBLANK(B1655),"""",IF(ISDATE(B1655),H1655,""""))"),"")</f>
        <v/>
      </c>
      <c r="L1655" s="40" t="str">
        <f>IFERROR(__xludf.DUMMYFUNCTION("IF(ISBLANK(B1655),"""",IF(ISDATE(B1655),TEXT(B1655,""M""),""""))"),"")</f>
        <v/>
      </c>
      <c r="M1655" s="29" t="str">
        <f>IFERROR(__xludf.DUMMYFUNCTION("IF(L1655="""","""",QUERY({'Dashboard-Dados'!$Y$2:$AA$13},""Select Col2 Where Col1=""&amp;L1655))"),"")</f>
        <v/>
      </c>
      <c r="N1655" s="29" t="str">
        <f>IFERROR(__xludf.DUMMYFUNCTION("IF(ISBLANK(B1655),"""",IF(ISDATE(B1655),TEXT(B1655,""yyyy""),""""))"),"")</f>
        <v/>
      </c>
    </row>
    <row r="1656">
      <c r="B1656" s="89"/>
      <c r="C1656" s="86"/>
      <c r="D1656" s="71"/>
      <c r="H1656" s="90"/>
      <c r="J1656" s="53" t="str">
        <f>IFERROR(__xludf.DUMMYFUNCTION("IF(ISBLANK(B1656),"""",IF(ISDATE(B1656),""X"",""""))"),"")</f>
        <v/>
      </c>
      <c r="K1656" s="40" t="str">
        <f>IFERROR(__xludf.DUMMYFUNCTION("IF(ISBLANK(B1656),"""",IF(ISDATE(B1656),H1656,""""))"),"")</f>
        <v/>
      </c>
      <c r="L1656" s="40" t="str">
        <f>IFERROR(__xludf.DUMMYFUNCTION("IF(ISBLANK(B1656),"""",IF(ISDATE(B1656),TEXT(B1656,""M""),""""))"),"")</f>
        <v/>
      </c>
      <c r="M1656" s="29" t="str">
        <f>IFERROR(__xludf.DUMMYFUNCTION("IF(L1656="""","""",QUERY({'Dashboard-Dados'!$Y$2:$AA$13},""Select Col2 Where Col1=""&amp;L1656))"),"")</f>
        <v/>
      </c>
      <c r="N1656" s="29" t="str">
        <f>IFERROR(__xludf.DUMMYFUNCTION("IF(ISBLANK(B1656),"""",IF(ISDATE(B1656),TEXT(B1656,""yyyy""),""""))"),"")</f>
        <v/>
      </c>
    </row>
    <row r="1657">
      <c r="B1657" s="87"/>
      <c r="C1657" s="85"/>
      <c r="D1657" s="76"/>
      <c r="H1657" s="88"/>
      <c r="J1657" s="53" t="str">
        <f>IFERROR(__xludf.DUMMYFUNCTION("IF(ISBLANK(B1657),"""",IF(ISDATE(B1657),""X"",""""))"),"")</f>
        <v/>
      </c>
      <c r="K1657" s="40" t="str">
        <f>IFERROR(__xludf.DUMMYFUNCTION("IF(ISBLANK(B1657),"""",IF(ISDATE(B1657),H1657,""""))"),"")</f>
        <v/>
      </c>
      <c r="L1657" s="40" t="str">
        <f>IFERROR(__xludf.DUMMYFUNCTION("IF(ISBLANK(B1657),"""",IF(ISDATE(B1657),TEXT(B1657,""M""),""""))"),"")</f>
        <v/>
      </c>
      <c r="M1657" s="29" t="str">
        <f>IFERROR(__xludf.DUMMYFUNCTION("IF(L1657="""","""",QUERY({'Dashboard-Dados'!$Y$2:$AA$13},""Select Col2 Where Col1=""&amp;L1657))"),"")</f>
        <v/>
      </c>
      <c r="N1657" s="29" t="str">
        <f>IFERROR(__xludf.DUMMYFUNCTION("IF(ISBLANK(B1657),"""",IF(ISDATE(B1657),TEXT(B1657,""yyyy""),""""))"),"")</f>
        <v/>
      </c>
    </row>
    <row r="1658">
      <c r="B1658" s="89"/>
      <c r="C1658" s="86"/>
      <c r="D1658" s="71"/>
      <c r="H1658" s="90"/>
      <c r="J1658" s="53" t="str">
        <f>IFERROR(__xludf.DUMMYFUNCTION("IF(ISBLANK(B1658),"""",IF(ISDATE(B1658),""X"",""""))"),"")</f>
        <v/>
      </c>
      <c r="K1658" s="40" t="str">
        <f>IFERROR(__xludf.DUMMYFUNCTION("IF(ISBLANK(B1658),"""",IF(ISDATE(B1658),H1658,""""))"),"")</f>
        <v/>
      </c>
      <c r="L1658" s="40" t="str">
        <f>IFERROR(__xludf.DUMMYFUNCTION("IF(ISBLANK(B1658),"""",IF(ISDATE(B1658),TEXT(B1658,""M""),""""))"),"")</f>
        <v/>
      </c>
      <c r="M1658" s="29" t="str">
        <f>IFERROR(__xludf.DUMMYFUNCTION("IF(L1658="""","""",QUERY({'Dashboard-Dados'!$Y$2:$AA$13},""Select Col2 Where Col1=""&amp;L1658))"),"")</f>
        <v/>
      </c>
      <c r="N1658" s="29" t="str">
        <f>IFERROR(__xludf.DUMMYFUNCTION("IF(ISBLANK(B1658),"""",IF(ISDATE(B1658),TEXT(B1658,""yyyy""),""""))"),"")</f>
        <v/>
      </c>
    </row>
    <row r="1659">
      <c r="B1659" s="87"/>
      <c r="C1659" s="85"/>
      <c r="D1659" s="76"/>
      <c r="H1659" s="88"/>
      <c r="J1659" s="53" t="str">
        <f>IFERROR(__xludf.DUMMYFUNCTION("IF(ISBLANK(B1659),"""",IF(ISDATE(B1659),""X"",""""))"),"")</f>
        <v/>
      </c>
      <c r="K1659" s="40" t="str">
        <f>IFERROR(__xludf.DUMMYFUNCTION("IF(ISBLANK(B1659),"""",IF(ISDATE(B1659),H1659,""""))"),"")</f>
        <v/>
      </c>
      <c r="L1659" s="40" t="str">
        <f>IFERROR(__xludf.DUMMYFUNCTION("IF(ISBLANK(B1659),"""",IF(ISDATE(B1659),TEXT(B1659,""M""),""""))"),"")</f>
        <v/>
      </c>
      <c r="M1659" s="29" t="str">
        <f>IFERROR(__xludf.DUMMYFUNCTION("IF(L1659="""","""",QUERY({'Dashboard-Dados'!$Y$2:$AA$13},""Select Col2 Where Col1=""&amp;L1659))"),"")</f>
        <v/>
      </c>
      <c r="N1659" s="29" t="str">
        <f>IFERROR(__xludf.DUMMYFUNCTION("IF(ISBLANK(B1659),"""",IF(ISDATE(B1659),TEXT(B1659,""yyyy""),""""))"),"")</f>
        <v/>
      </c>
    </row>
    <row r="1660">
      <c r="B1660" s="89"/>
      <c r="C1660" s="86"/>
      <c r="D1660" s="71"/>
      <c r="H1660" s="90"/>
      <c r="J1660" s="53" t="str">
        <f>IFERROR(__xludf.DUMMYFUNCTION("IF(ISBLANK(B1660),"""",IF(ISDATE(B1660),""X"",""""))"),"")</f>
        <v/>
      </c>
      <c r="K1660" s="40" t="str">
        <f>IFERROR(__xludf.DUMMYFUNCTION("IF(ISBLANK(B1660),"""",IF(ISDATE(B1660),H1660,""""))"),"")</f>
        <v/>
      </c>
      <c r="L1660" s="40" t="str">
        <f>IFERROR(__xludf.DUMMYFUNCTION("IF(ISBLANK(B1660),"""",IF(ISDATE(B1660),TEXT(B1660,""M""),""""))"),"")</f>
        <v/>
      </c>
      <c r="M1660" s="29" t="str">
        <f>IFERROR(__xludf.DUMMYFUNCTION("IF(L1660="""","""",QUERY({'Dashboard-Dados'!$Y$2:$AA$13},""Select Col2 Where Col1=""&amp;L1660))"),"")</f>
        <v/>
      </c>
      <c r="N1660" s="29" t="str">
        <f>IFERROR(__xludf.DUMMYFUNCTION("IF(ISBLANK(B1660),"""",IF(ISDATE(B1660),TEXT(B1660,""yyyy""),""""))"),"")</f>
        <v/>
      </c>
    </row>
    <row r="1661">
      <c r="B1661" s="87"/>
      <c r="C1661" s="85"/>
      <c r="D1661" s="76"/>
      <c r="H1661" s="88"/>
      <c r="J1661" s="53" t="str">
        <f>IFERROR(__xludf.DUMMYFUNCTION("IF(ISBLANK(B1661),"""",IF(ISDATE(B1661),""X"",""""))"),"")</f>
        <v/>
      </c>
      <c r="K1661" s="40" t="str">
        <f>IFERROR(__xludf.DUMMYFUNCTION("IF(ISBLANK(B1661),"""",IF(ISDATE(B1661),H1661,""""))"),"")</f>
        <v/>
      </c>
      <c r="L1661" s="40" t="str">
        <f>IFERROR(__xludf.DUMMYFUNCTION("IF(ISBLANK(B1661),"""",IF(ISDATE(B1661),TEXT(B1661,""M""),""""))"),"")</f>
        <v/>
      </c>
      <c r="M1661" s="29" t="str">
        <f>IFERROR(__xludf.DUMMYFUNCTION("IF(L1661="""","""",QUERY({'Dashboard-Dados'!$Y$2:$AA$13},""Select Col2 Where Col1=""&amp;L1661))"),"")</f>
        <v/>
      </c>
      <c r="N1661" s="29" t="str">
        <f>IFERROR(__xludf.DUMMYFUNCTION("IF(ISBLANK(B1661),"""",IF(ISDATE(B1661),TEXT(B1661,""yyyy""),""""))"),"")</f>
        <v/>
      </c>
    </row>
    <row r="1662">
      <c r="B1662" s="89"/>
      <c r="C1662" s="86"/>
      <c r="D1662" s="71"/>
      <c r="H1662" s="90"/>
      <c r="J1662" s="53" t="str">
        <f>IFERROR(__xludf.DUMMYFUNCTION("IF(ISBLANK(B1662),"""",IF(ISDATE(B1662),""X"",""""))"),"")</f>
        <v/>
      </c>
      <c r="K1662" s="40" t="str">
        <f>IFERROR(__xludf.DUMMYFUNCTION("IF(ISBLANK(B1662),"""",IF(ISDATE(B1662),H1662,""""))"),"")</f>
        <v/>
      </c>
      <c r="L1662" s="40" t="str">
        <f>IFERROR(__xludf.DUMMYFUNCTION("IF(ISBLANK(B1662),"""",IF(ISDATE(B1662),TEXT(B1662,""M""),""""))"),"")</f>
        <v/>
      </c>
      <c r="M1662" s="29" t="str">
        <f>IFERROR(__xludf.DUMMYFUNCTION("IF(L1662="""","""",QUERY({'Dashboard-Dados'!$Y$2:$AA$13},""Select Col2 Where Col1=""&amp;L1662))"),"")</f>
        <v/>
      </c>
      <c r="N1662" s="29" t="str">
        <f>IFERROR(__xludf.DUMMYFUNCTION("IF(ISBLANK(B1662),"""",IF(ISDATE(B1662),TEXT(B1662,""yyyy""),""""))"),"")</f>
        <v/>
      </c>
    </row>
    <row r="1663">
      <c r="B1663" s="87"/>
      <c r="C1663" s="85"/>
      <c r="D1663" s="76"/>
      <c r="H1663" s="88"/>
      <c r="J1663" s="53" t="str">
        <f>IFERROR(__xludf.DUMMYFUNCTION("IF(ISBLANK(B1663),"""",IF(ISDATE(B1663),""X"",""""))"),"")</f>
        <v/>
      </c>
      <c r="K1663" s="40" t="str">
        <f>IFERROR(__xludf.DUMMYFUNCTION("IF(ISBLANK(B1663),"""",IF(ISDATE(B1663),H1663,""""))"),"")</f>
        <v/>
      </c>
      <c r="L1663" s="40" t="str">
        <f>IFERROR(__xludf.DUMMYFUNCTION("IF(ISBLANK(B1663),"""",IF(ISDATE(B1663),TEXT(B1663,""M""),""""))"),"")</f>
        <v/>
      </c>
      <c r="M1663" s="29" t="str">
        <f>IFERROR(__xludf.DUMMYFUNCTION("IF(L1663="""","""",QUERY({'Dashboard-Dados'!$Y$2:$AA$13},""Select Col2 Where Col1=""&amp;L1663))"),"")</f>
        <v/>
      </c>
      <c r="N1663" s="29" t="str">
        <f>IFERROR(__xludf.DUMMYFUNCTION("IF(ISBLANK(B1663),"""",IF(ISDATE(B1663),TEXT(B1663,""yyyy""),""""))"),"")</f>
        <v/>
      </c>
    </row>
    <row r="1664">
      <c r="B1664" s="89"/>
      <c r="C1664" s="86"/>
      <c r="D1664" s="71"/>
      <c r="H1664" s="90"/>
      <c r="J1664" s="53" t="str">
        <f>IFERROR(__xludf.DUMMYFUNCTION("IF(ISBLANK(B1664),"""",IF(ISDATE(B1664),""X"",""""))"),"")</f>
        <v/>
      </c>
      <c r="K1664" s="40" t="str">
        <f>IFERROR(__xludf.DUMMYFUNCTION("IF(ISBLANK(B1664),"""",IF(ISDATE(B1664),H1664,""""))"),"")</f>
        <v/>
      </c>
      <c r="L1664" s="40" t="str">
        <f>IFERROR(__xludf.DUMMYFUNCTION("IF(ISBLANK(B1664),"""",IF(ISDATE(B1664),TEXT(B1664,""M""),""""))"),"")</f>
        <v/>
      </c>
      <c r="M1664" s="29" t="str">
        <f>IFERROR(__xludf.DUMMYFUNCTION("IF(L1664="""","""",QUERY({'Dashboard-Dados'!$Y$2:$AA$13},""Select Col2 Where Col1=""&amp;L1664))"),"")</f>
        <v/>
      </c>
      <c r="N1664" s="29" t="str">
        <f>IFERROR(__xludf.DUMMYFUNCTION("IF(ISBLANK(B1664),"""",IF(ISDATE(B1664),TEXT(B1664,""yyyy""),""""))"),"")</f>
        <v/>
      </c>
    </row>
    <row r="1665">
      <c r="B1665" s="87"/>
      <c r="C1665" s="85"/>
      <c r="D1665" s="76"/>
      <c r="H1665" s="88"/>
      <c r="J1665" s="53" t="str">
        <f>IFERROR(__xludf.DUMMYFUNCTION("IF(ISBLANK(B1665),"""",IF(ISDATE(B1665),""X"",""""))"),"")</f>
        <v/>
      </c>
      <c r="K1665" s="40" t="str">
        <f>IFERROR(__xludf.DUMMYFUNCTION("IF(ISBLANK(B1665),"""",IF(ISDATE(B1665),H1665,""""))"),"")</f>
        <v/>
      </c>
      <c r="L1665" s="40" t="str">
        <f>IFERROR(__xludf.DUMMYFUNCTION("IF(ISBLANK(B1665),"""",IF(ISDATE(B1665),TEXT(B1665,""M""),""""))"),"")</f>
        <v/>
      </c>
      <c r="M1665" s="29" t="str">
        <f>IFERROR(__xludf.DUMMYFUNCTION("IF(L1665="""","""",QUERY({'Dashboard-Dados'!$Y$2:$AA$13},""Select Col2 Where Col1=""&amp;L1665))"),"")</f>
        <v/>
      </c>
      <c r="N1665" s="29" t="str">
        <f>IFERROR(__xludf.DUMMYFUNCTION("IF(ISBLANK(B1665),"""",IF(ISDATE(B1665),TEXT(B1665,""yyyy""),""""))"),"")</f>
        <v/>
      </c>
    </row>
    <row r="1666">
      <c r="B1666" s="89"/>
      <c r="C1666" s="86"/>
      <c r="D1666" s="71"/>
      <c r="H1666" s="90"/>
      <c r="J1666" s="53" t="str">
        <f>IFERROR(__xludf.DUMMYFUNCTION("IF(ISBLANK(B1666),"""",IF(ISDATE(B1666),""X"",""""))"),"")</f>
        <v/>
      </c>
      <c r="K1666" s="40" t="str">
        <f>IFERROR(__xludf.DUMMYFUNCTION("IF(ISBLANK(B1666),"""",IF(ISDATE(B1666),H1666,""""))"),"")</f>
        <v/>
      </c>
      <c r="L1666" s="40" t="str">
        <f>IFERROR(__xludf.DUMMYFUNCTION("IF(ISBLANK(B1666),"""",IF(ISDATE(B1666),TEXT(B1666,""M""),""""))"),"")</f>
        <v/>
      </c>
      <c r="M1666" s="29" t="str">
        <f>IFERROR(__xludf.DUMMYFUNCTION("IF(L1666="""","""",QUERY({'Dashboard-Dados'!$Y$2:$AA$13},""Select Col2 Where Col1=""&amp;L1666))"),"")</f>
        <v/>
      </c>
      <c r="N1666" s="29" t="str">
        <f>IFERROR(__xludf.DUMMYFUNCTION("IF(ISBLANK(B1666),"""",IF(ISDATE(B1666),TEXT(B1666,""yyyy""),""""))"),"")</f>
        <v/>
      </c>
    </row>
    <row r="1667">
      <c r="B1667" s="87"/>
      <c r="C1667" s="85"/>
      <c r="D1667" s="76"/>
      <c r="H1667" s="88"/>
      <c r="J1667" s="53" t="str">
        <f>IFERROR(__xludf.DUMMYFUNCTION("IF(ISBLANK(B1667),"""",IF(ISDATE(B1667),""X"",""""))"),"")</f>
        <v/>
      </c>
      <c r="K1667" s="40" t="str">
        <f>IFERROR(__xludf.DUMMYFUNCTION("IF(ISBLANK(B1667),"""",IF(ISDATE(B1667),H1667,""""))"),"")</f>
        <v/>
      </c>
      <c r="L1667" s="40" t="str">
        <f>IFERROR(__xludf.DUMMYFUNCTION("IF(ISBLANK(B1667),"""",IF(ISDATE(B1667),TEXT(B1667,""M""),""""))"),"")</f>
        <v/>
      </c>
      <c r="M1667" s="29" t="str">
        <f>IFERROR(__xludf.DUMMYFUNCTION("IF(L1667="""","""",QUERY({'Dashboard-Dados'!$Y$2:$AA$13},""Select Col2 Where Col1=""&amp;L1667))"),"")</f>
        <v/>
      </c>
      <c r="N1667" s="29" t="str">
        <f>IFERROR(__xludf.DUMMYFUNCTION("IF(ISBLANK(B1667),"""",IF(ISDATE(B1667),TEXT(B1667,""yyyy""),""""))"),"")</f>
        <v/>
      </c>
    </row>
    <row r="1668">
      <c r="B1668" s="89"/>
      <c r="C1668" s="86"/>
      <c r="D1668" s="71"/>
      <c r="H1668" s="90"/>
      <c r="J1668" s="53" t="str">
        <f>IFERROR(__xludf.DUMMYFUNCTION("IF(ISBLANK(B1668),"""",IF(ISDATE(B1668),""X"",""""))"),"")</f>
        <v/>
      </c>
      <c r="K1668" s="40" t="str">
        <f>IFERROR(__xludf.DUMMYFUNCTION("IF(ISBLANK(B1668),"""",IF(ISDATE(B1668),H1668,""""))"),"")</f>
        <v/>
      </c>
      <c r="L1668" s="40" t="str">
        <f>IFERROR(__xludf.DUMMYFUNCTION("IF(ISBLANK(B1668),"""",IF(ISDATE(B1668),TEXT(B1668,""M""),""""))"),"")</f>
        <v/>
      </c>
      <c r="M1668" s="29" t="str">
        <f>IFERROR(__xludf.DUMMYFUNCTION("IF(L1668="""","""",QUERY({'Dashboard-Dados'!$Y$2:$AA$13},""Select Col2 Where Col1=""&amp;L1668))"),"")</f>
        <v/>
      </c>
      <c r="N1668" s="29" t="str">
        <f>IFERROR(__xludf.DUMMYFUNCTION("IF(ISBLANK(B1668),"""",IF(ISDATE(B1668),TEXT(B1668,""yyyy""),""""))"),"")</f>
        <v/>
      </c>
    </row>
    <row r="1669">
      <c r="B1669" s="87"/>
      <c r="C1669" s="85"/>
      <c r="D1669" s="76"/>
      <c r="H1669" s="88"/>
      <c r="J1669" s="53" t="str">
        <f>IFERROR(__xludf.DUMMYFUNCTION("IF(ISBLANK(B1669),"""",IF(ISDATE(B1669),""X"",""""))"),"")</f>
        <v/>
      </c>
      <c r="K1669" s="40" t="str">
        <f>IFERROR(__xludf.DUMMYFUNCTION("IF(ISBLANK(B1669),"""",IF(ISDATE(B1669),H1669,""""))"),"")</f>
        <v/>
      </c>
      <c r="L1669" s="40" t="str">
        <f>IFERROR(__xludf.DUMMYFUNCTION("IF(ISBLANK(B1669),"""",IF(ISDATE(B1669),TEXT(B1669,""M""),""""))"),"")</f>
        <v/>
      </c>
      <c r="M1669" s="29" t="str">
        <f>IFERROR(__xludf.DUMMYFUNCTION("IF(L1669="""","""",QUERY({'Dashboard-Dados'!$Y$2:$AA$13},""Select Col2 Where Col1=""&amp;L1669))"),"")</f>
        <v/>
      </c>
      <c r="N1669" s="29" t="str">
        <f>IFERROR(__xludf.DUMMYFUNCTION("IF(ISBLANK(B1669),"""",IF(ISDATE(B1669),TEXT(B1669,""yyyy""),""""))"),"")</f>
        <v/>
      </c>
    </row>
    <row r="1670">
      <c r="B1670" s="89"/>
      <c r="C1670" s="86"/>
      <c r="D1670" s="71"/>
      <c r="H1670" s="90"/>
      <c r="J1670" s="53" t="str">
        <f>IFERROR(__xludf.DUMMYFUNCTION("IF(ISBLANK(B1670),"""",IF(ISDATE(B1670),""X"",""""))"),"")</f>
        <v/>
      </c>
      <c r="K1670" s="40" t="str">
        <f>IFERROR(__xludf.DUMMYFUNCTION("IF(ISBLANK(B1670),"""",IF(ISDATE(B1670),H1670,""""))"),"")</f>
        <v/>
      </c>
      <c r="L1670" s="40" t="str">
        <f>IFERROR(__xludf.DUMMYFUNCTION("IF(ISBLANK(B1670),"""",IF(ISDATE(B1670),TEXT(B1670,""M""),""""))"),"")</f>
        <v/>
      </c>
      <c r="M1670" s="29" t="str">
        <f>IFERROR(__xludf.DUMMYFUNCTION("IF(L1670="""","""",QUERY({'Dashboard-Dados'!$Y$2:$AA$13},""Select Col2 Where Col1=""&amp;L1670))"),"")</f>
        <v/>
      </c>
      <c r="N1670" s="29" t="str">
        <f>IFERROR(__xludf.DUMMYFUNCTION("IF(ISBLANK(B1670),"""",IF(ISDATE(B1670),TEXT(B1670,""yyyy""),""""))"),"")</f>
        <v/>
      </c>
    </row>
    <row r="1671">
      <c r="B1671" s="87"/>
      <c r="C1671" s="85"/>
      <c r="D1671" s="76"/>
      <c r="H1671" s="88"/>
      <c r="J1671" s="53" t="str">
        <f>IFERROR(__xludf.DUMMYFUNCTION("IF(ISBLANK(B1671),"""",IF(ISDATE(B1671),""X"",""""))"),"")</f>
        <v/>
      </c>
      <c r="K1671" s="40" t="str">
        <f>IFERROR(__xludf.DUMMYFUNCTION("IF(ISBLANK(B1671),"""",IF(ISDATE(B1671),H1671,""""))"),"")</f>
        <v/>
      </c>
      <c r="L1671" s="40" t="str">
        <f>IFERROR(__xludf.DUMMYFUNCTION("IF(ISBLANK(B1671),"""",IF(ISDATE(B1671),TEXT(B1671,""M""),""""))"),"")</f>
        <v/>
      </c>
      <c r="M1671" s="29" t="str">
        <f>IFERROR(__xludf.DUMMYFUNCTION("IF(L1671="""","""",QUERY({'Dashboard-Dados'!$Y$2:$AA$13},""Select Col2 Where Col1=""&amp;L1671))"),"")</f>
        <v/>
      </c>
      <c r="N1671" s="29" t="str">
        <f>IFERROR(__xludf.DUMMYFUNCTION("IF(ISBLANK(B1671),"""",IF(ISDATE(B1671),TEXT(B1671,""yyyy""),""""))"),"")</f>
        <v/>
      </c>
    </row>
    <row r="1672">
      <c r="B1672" s="89"/>
      <c r="C1672" s="86"/>
      <c r="D1672" s="71"/>
      <c r="H1672" s="90"/>
      <c r="J1672" s="53" t="str">
        <f>IFERROR(__xludf.DUMMYFUNCTION("IF(ISBLANK(B1672),"""",IF(ISDATE(B1672),""X"",""""))"),"")</f>
        <v/>
      </c>
      <c r="K1672" s="40" t="str">
        <f>IFERROR(__xludf.DUMMYFUNCTION("IF(ISBLANK(B1672),"""",IF(ISDATE(B1672),H1672,""""))"),"")</f>
        <v/>
      </c>
      <c r="L1672" s="40" t="str">
        <f>IFERROR(__xludf.DUMMYFUNCTION("IF(ISBLANK(B1672),"""",IF(ISDATE(B1672),TEXT(B1672,""M""),""""))"),"")</f>
        <v/>
      </c>
      <c r="M1672" s="29" t="str">
        <f>IFERROR(__xludf.DUMMYFUNCTION("IF(L1672="""","""",QUERY({'Dashboard-Dados'!$Y$2:$AA$13},""Select Col2 Where Col1=""&amp;L1672))"),"")</f>
        <v/>
      </c>
      <c r="N1672" s="29" t="str">
        <f>IFERROR(__xludf.DUMMYFUNCTION("IF(ISBLANK(B1672),"""",IF(ISDATE(B1672),TEXT(B1672,""yyyy""),""""))"),"")</f>
        <v/>
      </c>
    </row>
    <row r="1673">
      <c r="B1673" s="87"/>
      <c r="C1673" s="85"/>
      <c r="D1673" s="76"/>
      <c r="H1673" s="88"/>
      <c r="J1673" s="53" t="str">
        <f>IFERROR(__xludf.DUMMYFUNCTION("IF(ISBLANK(B1673),"""",IF(ISDATE(B1673),""X"",""""))"),"")</f>
        <v/>
      </c>
      <c r="K1673" s="40" t="str">
        <f>IFERROR(__xludf.DUMMYFUNCTION("IF(ISBLANK(B1673),"""",IF(ISDATE(B1673),H1673,""""))"),"")</f>
        <v/>
      </c>
      <c r="L1673" s="40" t="str">
        <f>IFERROR(__xludf.DUMMYFUNCTION("IF(ISBLANK(B1673),"""",IF(ISDATE(B1673),TEXT(B1673,""M""),""""))"),"")</f>
        <v/>
      </c>
      <c r="M1673" s="29" t="str">
        <f>IFERROR(__xludf.DUMMYFUNCTION("IF(L1673="""","""",QUERY({'Dashboard-Dados'!$Y$2:$AA$13},""Select Col2 Where Col1=""&amp;L1673))"),"")</f>
        <v/>
      </c>
      <c r="N1673" s="29" t="str">
        <f>IFERROR(__xludf.DUMMYFUNCTION("IF(ISBLANK(B1673),"""",IF(ISDATE(B1673),TEXT(B1673,""yyyy""),""""))"),"")</f>
        <v/>
      </c>
    </row>
    <row r="1674">
      <c r="B1674" s="89"/>
      <c r="C1674" s="86"/>
      <c r="D1674" s="71"/>
      <c r="H1674" s="90"/>
      <c r="J1674" s="53" t="str">
        <f>IFERROR(__xludf.DUMMYFUNCTION("IF(ISBLANK(B1674),"""",IF(ISDATE(B1674),""X"",""""))"),"")</f>
        <v/>
      </c>
      <c r="K1674" s="40" t="str">
        <f>IFERROR(__xludf.DUMMYFUNCTION("IF(ISBLANK(B1674),"""",IF(ISDATE(B1674),H1674,""""))"),"")</f>
        <v/>
      </c>
      <c r="L1674" s="40" t="str">
        <f>IFERROR(__xludf.DUMMYFUNCTION("IF(ISBLANK(B1674),"""",IF(ISDATE(B1674),TEXT(B1674,""M""),""""))"),"")</f>
        <v/>
      </c>
      <c r="M1674" s="29" t="str">
        <f>IFERROR(__xludf.DUMMYFUNCTION("IF(L1674="""","""",QUERY({'Dashboard-Dados'!$Y$2:$AA$13},""Select Col2 Where Col1=""&amp;L1674))"),"")</f>
        <v/>
      </c>
      <c r="N1674" s="29" t="str">
        <f>IFERROR(__xludf.DUMMYFUNCTION("IF(ISBLANK(B1674),"""",IF(ISDATE(B1674),TEXT(B1674,""yyyy""),""""))"),"")</f>
        <v/>
      </c>
    </row>
    <row r="1675">
      <c r="B1675" s="87"/>
      <c r="C1675" s="85"/>
      <c r="D1675" s="76"/>
      <c r="H1675" s="88"/>
      <c r="J1675" s="53" t="str">
        <f>IFERROR(__xludf.DUMMYFUNCTION("IF(ISBLANK(B1675),"""",IF(ISDATE(B1675),""X"",""""))"),"")</f>
        <v/>
      </c>
      <c r="K1675" s="40" t="str">
        <f>IFERROR(__xludf.DUMMYFUNCTION("IF(ISBLANK(B1675),"""",IF(ISDATE(B1675),H1675,""""))"),"")</f>
        <v/>
      </c>
      <c r="L1675" s="40" t="str">
        <f>IFERROR(__xludf.DUMMYFUNCTION("IF(ISBLANK(B1675),"""",IF(ISDATE(B1675),TEXT(B1675,""M""),""""))"),"")</f>
        <v/>
      </c>
      <c r="M1675" s="29" t="str">
        <f>IFERROR(__xludf.DUMMYFUNCTION("IF(L1675="""","""",QUERY({'Dashboard-Dados'!$Y$2:$AA$13},""Select Col2 Where Col1=""&amp;L1675))"),"")</f>
        <v/>
      </c>
      <c r="N1675" s="29" t="str">
        <f>IFERROR(__xludf.DUMMYFUNCTION("IF(ISBLANK(B1675),"""",IF(ISDATE(B1675),TEXT(B1675,""yyyy""),""""))"),"")</f>
        <v/>
      </c>
    </row>
    <row r="1676">
      <c r="B1676" s="89"/>
      <c r="C1676" s="86"/>
      <c r="D1676" s="71"/>
      <c r="H1676" s="90"/>
      <c r="J1676" s="53" t="str">
        <f>IFERROR(__xludf.DUMMYFUNCTION("IF(ISBLANK(B1676),"""",IF(ISDATE(B1676),""X"",""""))"),"")</f>
        <v/>
      </c>
      <c r="K1676" s="40" t="str">
        <f>IFERROR(__xludf.DUMMYFUNCTION("IF(ISBLANK(B1676),"""",IF(ISDATE(B1676),H1676,""""))"),"")</f>
        <v/>
      </c>
      <c r="L1676" s="40" t="str">
        <f>IFERROR(__xludf.DUMMYFUNCTION("IF(ISBLANK(B1676),"""",IF(ISDATE(B1676),TEXT(B1676,""M""),""""))"),"")</f>
        <v/>
      </c>
      <c r="M1676" s="29" t="str">
        <f>IFERROR(__xludf.DUMMYFUNCTION("IF(L1676="""","""",QUERY({'Dashboard-Dados'!$Y$2:$AA$13},""Select Col2 Where Col1=""&amp;L1676))"),"")</f>
        <v/>
      </c>
      <c r="N1676" s="29" t="str">
        <f>IFERROR(__xludf.DUMMYFUNCTION("IF(ISBLANK(B1676),"""",IF(ISDATE(B1676),TEXT(B1676,""yyyy""),""""))"),"")</f>
        <v/>
      </c>
    </row>
    <row r="1677">
      <c r="B1677" s="87"/>
      <c r="C1677" s="85"/>
      <c r="D1677" s="76"/>
      <c r="H1677" s="88"/>
      <c r="J1677" s="53" t="str">
        <f>IFERROR(__xludf.DUMMYFUNCTION("IF(ISBLANK(B1677),"""",IF(ISDATE(B1677),""X"",""""))"),"")</f>
        <v/>
      </c>
      <c r="K1677" s="40" t="str">
        <f>IFERROR(__xludf.DUMMYFUNCTION("IF(ISBLANK(B1677),"""",IF(ISDATE(B1677),H1677,""""))"),"")</f>
        <v/>
      </c>
      <c r="L1677" s="40" t="str">
        <f>IFERROR(__xludf.DUMMYFUNCTION("IF(ISBLANK(B1677),"""",IF(ISDATE(B1677),TEXT(B1677,""M""),""""))"),"")</f>
        <v/>
      </c>
      <c r="M1677" s="29" t="str">
        <f>IFERROR(__xludf.DUMMYFUNCTION("IF(L1677="""","""",QUERY({'Dashboard-Dados'!$Y$2:$AA$13},""Select Col2 Where Col1=""&amp;L1677))"),"")</f>
        <v/>
      </c>
      <c r="N1677" s="29" t="str">
        <f>IFERROR(__xludf.DUMMYFUNCTION("IF(ISBLANK(B1677),"""",IF(ISDATE(B1677),TEXT(B1677,""yyyy""),""""))"),"")</f>
        <v/>
      </c>
    </row>
    <row r="1678">
      <c r="B1678" s="89"/>
      <c r="C1678" s="86"/>
      <c r="D1678" s="71"/>
      <c r="H1678" s="90"/>
      <c r="J1678" s="53" t="str">
        <f>IFERROR(__xludf.DUMMYFUNCTION("IF(ISBLANK(B1678),"""",IF(ISDATE(B1678),""X"",""""))"),"")</f>
        <v/>
      </c>
      <c r="K1678" s="40" t="str">
        <f>IFERROR(__xludf.DUMMYFUNCTION("IF(ISBLANK(B1678),"""",IF(ISDATE(B1678),H1678,""""))"),"")</f>
        <v/>
      </c>
      <c r="L1678" s="40" t="str">
        <f>IFERROR(__xludf.DUMMYFUNCTION("IF(ISBLANK(B1678),"""",IF(ISDATE(B1678),TEXT(B1678,""M""),""""))"),"")</f>
        <v/>
      </c>
      <c r="M1678" s="29" t="str">
        <f>IFERROR(__xludf.DUMMYFUNCTION("IF(L1678="""","""",QUERY({'Dashboard-Dados'!$Y$2:$AA$13},""Select Col2 Where Col1=""&amp;L1678))"),"")</f>
        <v/>
      </c>
      <c r="N1678" s="29" t="str">
        <f>IFERROR(__xludf.DUMMYFUNCTION("IF(ISBLANK(B1678),"""",IF(ISDATE(B1678),TEXT(B1678,""yyyy""),""""))"),"")</f>
        <v/>
      </c>
    </row>
    <row r="1679">
      <c r="B1679" s="87"/>
      <c r="C1679" s="85"/>
      <c r="D1679" s="76"/>
      <c r="H1679" s="88"/>
      <c r="J1679" s="53" t="str">
        <f>IFERROR(__xludf.DUMMYFUNCTION("IF(ISBLANK(B1679),"""",IF(ISDATE(B1679),""X"",""""))"),"")</f>
        <v/>
      </c>
      <c r="K1679" s="40" t="str">
        <f>IFERROR(__xludf.DUMMYFUNCTION("IF(ISBLANK(B1679),"""",IF(ISDATE(B1679),H1679,""""))"),"")</f>
        <v/>
      </c>
      <c r="L1679" s="40" t="str">
        <f>IFERROR(__xludf.DUMMYFUNCTION("IF(ISBLANK(B1679),"""",IF(ISDATE(B1679),TEXT(B1679,""M""),""""))"),"")</f>
        <v/>
      </c>
      <c r="M1679" s="29" t="str">
        <f>IFERROR(__xludf.DUMMYFUNCTION("IF(L1679="""","""",QUERY({'Dashboard-Dados'!$Y$2:$AA$13},""Select Col2 Where Col1=""&amp;L1679))"),"")</f>
        <v/>
      </c>
      <c r="N1679" s="29" t="str">
        <f>IFERROR(__xludf.DUMMYFUNCTION("IF(ISBLANK(B1679),"""",IF(ISDATE(B1679),TEXT(B1679,""yyyy""),""""))"),"")</f>
        <v/>
      </c>
    </row>
    <row r="1680">
      <c r="B1680" s="89"/>
      <c r="C1680" s="86"/>
      <c r="D1680" s="71"/>
      <c r="H1680" s="90"/>
      <c r="J1680" s="53" t="str">
        <f>IFERROR(__xludf.DUMMYFUNCTION("IF(ISBLANK(B1680),"""",IF(ISDATE(B1680),""X"",""""))"),"")</f>
        <v/>
      </c>
      <c r="K1680" s="40" t="str">
        <f>IFERROR(__xludf.DUMMYFUNCTION("IF(ISBLANK(B1680),"""",IF(ISDATE(B1680),H1680,""""))"),"")</f>
        <v/>
      </c>
      <c r="L1680" s="40" t="str">
        <f>IFERROR(__xludf.DUMMYFUNCTION("IF(ISBLANK(B1680),"""",IF(ISDATE(B1680),TEXT(B1680,""M""),""""))"),"")</f>
        <v/>
      </c>
      <c r="M1680" s="29" t="str">
        <f>IFERROR(__xludf.DUMMYFUNCTION("IF(L1680="""","""",QUERY({'Dashboard-Dados'!$Y$2:$AA$13},""Select Col2 Where Col1=""&amp;L1680))"),"")</f>
        <v/>
      </c>
      <c r="N1680" s="29" t="str">
        <f>IFERROR(__xludf.DUMMYFUNCTION("IF(ISBLANK(B1680),"""",IF(ISDATE(B1680),TEXT(B1680,""yyyy""),""""))"),"")</f>
        <v/>
      </c>
    </row>
    <row r="1681">
      <c r="B1681" s="87"/>
      <c r="C1681" s="85"/>
      <c r="D1681" s="76"/>
      <c r="H1681" s="88"/>
      <c r="J1681" s="53" t="str">
        <f>IFERROR(__xludf.DUMMYFUNCTION("IF(ISBLANK(B1681),"""",IF(ISDATE(B1681),""X"",""""))"),"")</f>
        <v/>
      </c>
      <c r="K1681" s="40" t="str">
        <f>IFERROR(__xludf.DUMMYFUNCTION("IF(ISBLANK(B1681),"""",IF(ISDATE(B1681),H1681,""""))"),"")</f>
        <v/>
      </c>
      <c r="L1681" s="40" t="str">
        <f>IFERROR(__xludf.DUMMYFUNCTION("IF(ISBLANK(B1681),"""",IF(ISDATE(B1681),TEXT(B1681,""M""),""""))"),"")</f>
        <v/>
      </c>
      <c r="M1681" s="29" t="str">
        <f>IFERROR(__xludf.DUMMYFUNCTION("IF(L1681="""","""",QUERY({'Dashboard-Dados'!$Y$2:$AA$13},""Select Col2 Where Col1=""&amp;L1681))"),"")</f>
        <v/>
      </c>
      <c r="N1681" s="29" t="str">
        <f>IFERROR(__xludf.DUMMYFUNCTION("IF(ISBLANK(B1681),"""",IF(ISDATE(B1681),TEXT(B1681,""yyyy""),""""))"),"")</f>
        <v/>
      </c>
    </row>
    <row r="1682">
      <c r="B1682" s="89"/>
      <c r="C1682" s="86"/>
      <c r="D1682" s="71"/>
      <c r="H1682" s="90"/>
      <c r="J1682" s="53" t="str">
        <f>IFERROR(__xludf.DUMMYFUNCTION("IF(ISBLANK(B1682),"""",IF(ISDATE(B1682),""X"",""""))"),"")</f>
        <v/>
      </c>
      <c r="K1682" s="40" t="str">
        <f>IFERROR(__xludf.DUMMYFUNCTION("IF(ISBLANK(B1682),"""",IF(ISDATE(B1682),H1682,""""))"),"")</f>
        <v/>
      </c>
      <c r="L1682" s="40" t="str">
        <f>IFERROR(__xludf.DUMMYFUNCTION("IF(ISBLANK(B1682),"""",IF(ISDATE(B1682),TEXT(B1682,""M""),""""))"),"")</f>
        <v/>
      </c>
      <c r="M1682" s="29" t="str">
        <f>IFERROR(__xludf.DUMMYFUNCTION("IF(L1682="""","""",QUERY({'Dashboard-Dados'!$Y$2:$AA$13},""Select Col2 Where Col1=""&amp;L1682))"),"")</f>
        <v/>
      </c>
      <c r="N1682" s="29" t="str">
        <f>IFERROR(__xludf.DUMMYFUNCTION("IF(ISBLANK(B1682),"""",IF(ISDATE(B1682),TEXT(B1682,""yyyy""),""""))"),"")</f>
        <v/>
      </c>
    </row>
    <row r="1683">
      <c r="B1683" s="87"/>
      <c r="C1683" s="85"/>
      <c r="D1683" s="76"/>
      <c r="H1683" s="88"/>
      <c r="J1683" s="53" t="str">
        <f>IFERROR(__xludf.DUMMYFUNCTION("IF(ISBLANK(B1683),"""",IF(ISDATE(B1683),""X"",""""))"),"")</f>
        <v/>
      </c>
      <c r="K1683" s="40" t="str">
        <f>IFERROR(__xludf.DUMMYFUNCTION("IF(ISBLANK(B1683),"""",IF(ISDATE(B1683),H1683,""""))"),"")</f>
        <v/>
      </c>
      <c r="L1683" s="40" t="str">
        <f>IFERROR(__xludf.DUMMYFUNCTION("IF(ISBLANK(B1683),"""",IF(ISDATE(B1683),TEXT(B1683,""M""),""""))"),"")</f>
        <v/>
      </c>
      <c r="M1683" s="29" t="str">
        <f>IFERROR(__xludf.DUMMYFUNCTION("IF(L1683="""","""",QUERY({'Dashboard-Dados'!$Y$2:$AA$13},""Select Col2 Where Col1=""&amp;L1683))"),"")</f>
        <v/>
      </c>
      <c r="N1683" s="29" t="str">
        <f>IFERROR(__xludf.DUMMYFUNCTION("IF(ISBLANK(B1683),"""",IF(ISDATE(B1683),TEXT(B1683,""yyyy""),""""))"),"")</f>
        <v/>
      </c>
    </row>
    <row r="1684">
      <c r="B1684" s="89"/>
      <c r="C1684" s="86"/>
      <c r="D1684" s="71"/>
      <c r="H1684" s="90"/>
      <c r="J1684" s="53" t="str">
        <f>IFERROR(__xludf.DUMMYFUNCTION("IF(ISBLANK(B1684),"""",IF(ISDATE(B1684),""X"",""""))"),"")</f>
        <v/>
      </c>
      <c r="K1684" s="40" t="str">
        <f>IFERROR(__xludf.DUMMYFUNCTION("IF(ISBLANK(B1684),"""",IF(ISDATE(B1684),H1684,""""))"),"")</f>
        <v/>
      </c>
      <c r="L1684" s="40" t="str">
        <f>IFERROR(__xludf.DUMMYFUNCTION("IF(ISBLANK(B1684),"""",IF(ISDATE(B1684),TEXT(B1684,""M""),""""))"),"")</f>
        <v/>
      </c>
      <c r="M1684" s="29" t="str">
        <f>IFERROR(__xludf.DUMMYFUNCTION("IF(L1684="""","""",QUERY({'Dashboard-Dados'!$Y$2:$AA$13},""Select Col2 Where Col1=""&amp;L1684))"),"")</f>
        <v/>
      </c>
      <c r="N1684" s="29" t="str">
        <f>IFERROR(__xludf.DUMMYFUNCTION("IF(ISBLANK(B1684),"""",IF(ISDATE(B1684),TEXT(B1684,""yyyy""),""""))"),"")</f>
        <v/>
      </c>
    </row>
    <row r="1685">
      <c r="B1685" s="87"/>
      <c r="C1685" s="85"/>
      <c r="D1685" s="76"/>
      <c r="H1685" s="88"/>
      <c r="J1685" s="53" t="str">
        <f>IFERROR(__xludf.DUMMYFUNCTION("IF(ISBLANK(B1685),"""",IF(ISDATE(B1685),""X"",""""))"),"")</f>
        <v/>
      </c>
      <c r="K1685" s="40" t="str">
        <f>IFERROR(__xludf.DUMMYFUNCTION("IF(ISBLANK(B1685),"""",IF(ISDATE(B1685),H1685,""""))"),"")</f>
        <v/>
      </c>
      <c r="L1685" s="40" t="str">
        <f>IFERROR(__xludf.DUMMYFUNCTION("IF(ISBLANK(B1685),"""",IF(ISDATE(B1685),TEXT(B1685,""M""),""""))"),"")</f>
        <v/>
      </c>
      <c r="M1685" s="29" t="str">
        <f>IFERROR(__xludf.DUMMYFUNCTION("IF(L1685="""","""",QUERY({'Dashboard-Dados'!$Y$2:$AA$13},""Select Col2 Where Col1=""&amp;L1685))"),"")</f>
        <v/>
      </c>
      <c r="N1685" s="29" t="str">
        <f>IFERROR(__xludf.DUMMYFUNCTION("IF(ISBLANK(B1685),"""",IF(ISDATE(B1685),TEXT(B1685,""yyyy""),""""))"),"")</f>
        <v/>
      </c>
    </row>
    <row r="1686">
      <c r="B1686" s="89"/>
      <c r="C1686" s="86"/>
      <c r="D1686" s="71"/>
      <c r="H1686" s="90"/>
      <c r="J1686" s="53" t="str">
        <f>IFERROR(__xludf.DUMMYFUNCTION("IF(ISBLANK(B1686),"""",IF(ISDATE(B1686),""X"",""""))"),"")</f>
        <v/>
      </c>
      <c r="K1686" s="40" t="str">
        <f>IFERROR(__xludf.DUMMYFUNCTION("IF(ISBLANK(B1686),"""",IF(ISDATE(B1686),H1686,""""))"),"")</f>
        <v/>
      </c>
      <c r="L1686" s="40" t="str">
        <f>IFERROR(__xludf.DUMMYFUNCTION("IF(ISBLANK(B1686),"""",IF(ISDATE(B1686),TEXT(B1686,""M""),""""))"),"")</f>
        <v/>
      </c>
      <c r="M1686" s="29" t="str">
        <f>IFERROR(__xludf.DUMMYFUNCTION("IF(L1686="""","""",QUERY({'Dashboard-Dados'!$Y$2:$AA$13},""Select Col2 Where Col1=""&amp;L1686))"),"")</f>
        <v/>
      </c>
      <c r="N1686" s="29" t="str">
        <f>IFERROR(__xludf.DUMMYFUNCTION("IF(ISBLANK(B1686),"""",IF(ISDATE(B1686),TEXT(B1686,""yyyy""),""""))"),"")</f>
        <v/>
      </c>
    </row>
    <row r="1687">
      <c r="B1687" s="87"/>
      <c r="C1687" s="85"/>
      <c r="D1687" s="76"/>
      <c r="H1687" s="88"/>
      <c r="J1687" s="53" t="str">
        <f>IFERROR(__xludf.DUMMYFUNCTION("IF(ISBLANK(B1687),"""",IF(ISDATE(B1687),""X"",""""))"),"")</f>
        <v/>
      </c>
      <c r="K1687" s="40" t="str">
        <f>IFERROR(__xludf.DUMMYFUNCTION("IF(ISBLANK(B1687),"""",IF(ISDATE(B1687),H1687,""""))"),"")</f>
        <v/>
      </c>
      <c r="L1687" s="40" t="str">
        <f>IFERROR(__xludf.DUMMYFUNCTION("IF(ISBLANK(B1687),"""",IF(ISDATE(B1687),TEXT(B1687,""M""),""""))"),"")</f>
        <v/>
      </c>
      <c r="M1687" s="29" t="str">
        <f>IFERROR(__xludf.DUMMYFUNCTION("IF(L1687="""","""",QUERY({'Dashboard-Dados'!$Y$2:$AA$13},""Select Col2 Where Col1=""&amp;L1687))"),"")</f>
        <v/>
      </c>
      <c r="N1687" s="29" t="str">
        <f>IFERROR(__xludf.DUMMYFUNCTION("IF(ISBLANK(B1687),"""",IF(ISDATE(B1687),TEXT(B1687,""yyyy""),""""))"),"")</f>
        <v/>
      </c>
    </row>
    <row r="1688">
      <c r="B1688" s="89"/>
      <c r="C1688" s="86"/>
      <c r="D1688" s="71"/>
      <c r="H1688" s="90"/>
      <c r="J1688" s="53" t="str">
        <f>IFERROR(__xludf.DUMMYFUNCTION("IF(ISBLANK(B1688),"""",IF(ISDATE(B1688),""X"",""""))"),"")</f>
        <v/>
      </c>
      <c r="K1688" s="40" t="str">
        <f>IFERROR(__xludf.DUMMYFUNCTION("IF(ISBLANK(B1688),"""",IF(ISDATE(B1688),H1688,""""))"),"")</f>
        <v/>
      </c>
      <c r="L1688" s="40" t="str">
        <f>IFERROR(__xludf.DUMMYFUNCTION("IF(ISBLANK(B1688),"""",IF(ISDATE(B1688),TEXT(B1688,""M""),""""))"),"")</f>
        <v/>
      </c>
      <c r="M1688" s="29" t="str">
        <f>IFERROR(__xludf.DUMMYFUNCTION("IF(L1688="""","""",QUERY({'Dashboard-Dados'!$Y$2:$AA$13},""Select Col2 Where Col1=""&amp;L1688))"),"")</f>
        <v/>
      </c>
      <c r="N1688" s="29" t="str">
        <f>IFERROR(__xludf.DUMMYFUNCTION("IF(ISBLANK(B1688),"""",IF(ISDATE(B1688),TEXT(B1688,""yyyy""),""""))"),"")</f>
        <v/>
      </c>
    </row>
    <row r="1689">
      <c r="B1689" s="87"/>
      <c r="C1689" s="85"/>
      <c r="D1689" s="76"/>
      <c r="H1689" s="88"/>
      <c r="J1689" s="53" t="str">
        <f>IFERROR(__xludf.DUMMYFUNCTION("IF(ISBLANK(B1689),"""",IF(ISDATE(B1689),""X"",""""))"),"")</f>
        <v/>
      </c>
      <c r="K1689" s="40" t="str">
        <f>IFERROR(__xludf.DUMMYFUNCTION("IF(ISBLANK(B1689),"""",IF(ISDATE(B1689),H1689,""""))"),"")</f>
        <v/>
      </c>
      <c r="L1689" s="40" t="str">
        <f>IFERROR(__xludf.DUMMYFUNCTION("IF(ISBLANK(B1689),"""",IF(ISDATE(B1689),TEXT(B1689,""M""),""""))"),"")</f>
        <v/>
      </c>
      <c r="M1689" s="29" t="str">
        <f>IFERROR(__xludf.DUMMYFUNCTION("IF(L1689="""","""",QUERY({'Dashboard-Dados'!$Y$2:$AA$13},""Select Col2 Where Col1=""&amp;L1689))"),"")</f>
        <v/>
      </c>
      <c r="N1689" s="29" t="str">
        <f>IFERROR(__xludf.DUMMYFUNCTION("IF(ISBLANK(B1689),"""",IF(ISDATE(B1689),TEXT(B1689,""yyyy""),""""))"),"")</f>
        <v/>
      </c>
    </row>
    <row r="1690">
      <c r="B1690" s="89"/>
      <c r="C1690" s="86"/>
      <c r="D1690" s="71"/>
      <c r="H1690" s="90"/>
      <c r="J1690" s="53" t="str">
        <f>IFERROR(__xludf.DUMMYFUNCTION("IF(ISBLANK(B1690),"""",IF(ISDATE(B1690),""X"",""""))"),"")</f>
        <v/>
      </c>
      <c r="K1690" s="40" t="str">
        <f>IFERROR(__xludf.DUMMYFUNCTION("IF(ISBLANK(B1690),"""",IF(ISDATE(B1690),H1690,""""))"),"")</f>
        <v/>
      </c>
      <c r="L1690" s="40" t="str">
        <f>IFERROR(__xludf.DUMMYFUNCTION("IF(ISBLANK(B1690),"""",IF(ISDATE(B1690),TEXT(B1690,""M""),""""))"),"")</f>
        <v/>
      </c>
      <c r="M1690" s="29" t="str">
        <f>IFERROR(__xludf.DUMMYFUNCTION("IF(L1690="""","""",QUERY({'Dashboard-Dados'!$Y$2:$AA$13},""Select Col2 Where Col1=""&amp;L1690))"),"")</f>
        <v/>
      </c>
      <c r="N1690" s="29" t="str">
        <f>IFERROR(__xludf.DUMMYFUNCTION("IF(ISBLANK(B1690),"""",IF(ISDATE(B1690),TEXT(B1690,""yyyy""),""""))"),"")</f>
        <v/>
      </c>
    </row>
    <row r="1691">
      <c r="B1691" s="87"/>
      <c r="C1691" s="85"/>
      <c r="D1691" s="76"/>
      <c r="H1691" s="88"/>
      <c r="J1691" s="53" t="str">
        <f>IFERROR(__xludf.DUMMYFUNCTION("IF(ISBLANK(B1691),"""",IF(ISDATE(B1691),""X"",""""))"),"")</f>
        <v/>
      </c>
      <c r="K1691" s="40" t="str">
        <f>IFERROR(__xludf.DUMMYFUNCTION("IF(ISBLANK(B1691),"""",IF(ISDATE(B1691),H1691,""""))"),"")</f>
        <v/>
      </c>
      <c r="L1691" s="40" t="str">
        <f>IFERROR(__xludf.DUMMYFUNCTION("IF(ISBLANK(B1691),"""",IF(ISDATE(B1691),TEXT(B1691,""M""),""""))"),"")</f>
        <v/>
      </c>
      <c r="M1691" s="29" t="str">
        <f>IFERROR(__xludf.DUMMYFUNCTION("IF(L1691="""","""",QUERY({'Dashboard-Dados'!$Y$2:$AA$13},""Select Col2 Where Col1=""&amp;L1691))"),"")</f>
        <v/>
      </c>
      <c r="N1691" s="29" t="str">
        <f>IFERROR(__xludf.DUMMYFUNCTION("IF(ISBLANK(B1691),"""",IF(ISDATE(B1691),TEXT(B1691,""yyyy""),""""))"),"")</f>
        <v/>
      </c>
    </row>
    <row r="1692">
      <c r="B1692" s="89"/>
      <c r="C1692" s="86"/>
      <c r="D1692" s="71"/>
      <c r="H1692" s="90"/>
      <c r="J1692" s="53" t="str">
        <f>IFERROR(__xludf.DUMMYFUNCTION("IF(ISBLANK(B1692),"""",IF(ISDATE(B1692),""X"",""""))"),"")</f>
        <v/>
      </c>
      <c r="K1692" s="40" t="str">
        <f>IFERROR(__xludf.DUMMYFUNCTION("IF(ISBLANK(B1692),"""",IF(ISDATE(B1692),H1692,""""))"),"")</f>
        <v/>
      </c>
      <c r="L1692" s="40" t="str">
        <f>IFERROR(__xludf.DUMMYFUNCTION("IF(ISBLANK(B1692),"""",IF(ISDATE(B1692),TEXT(B1692,""M""),""""))"),"")</f>
        <v/>
      </c>
      <c r="M1692" s="29" t="str">
        <f>IFERROR(__xludf.DUMMYFUNCTION("IF(L1692="""","""",QUERY({'Dashboard-Dados'!$Y$2:$AA$13},""Select Col2 Where Col1=""&amp;L1692))"),"")</f>
        <v/>
      </c>
      <c r="N1692" s="29" t="str">
        <f>IFERROR(__xludf.DUMMYFUNCTION("IF(ISBLANK(B1692),"""",IF(ISDATE(B1692),TEXT(B1692,""yyyy""),""""))"),"")</f>
        <v/>
      </c>
    </row>
    <row r="1693">
      <c r="B1693" s="87"/>
      <c r="C1693" s="85"/>
      <c r="D1693" s="76"/>
      <c r="H1693" s="88"/>
      <c r="J1693" s="53" t="str">
        <f>IFERROR(__xludf.DUMMYFUNCTION("IF(ISBLANK(B1693),"""",IF(ISDATE(B1693),""X"",""""))"),"")</f>
        <v/>
      </c>
      <c r="K1693" s="40" t="str">
        <f>IFERROR(__xludf.DUMMYFUNCTION("IF(ISBLANK(B1693),"""",IF(ISDATE(B1693),H1693,""""))"),"")</f>
        <v/>
      </c>
      <c r="L1693" s="40" t="str">
        <f>IFERROR(__xludf.DUMMYFUNCTION("IF(ISBLANK(B1693),"""",IF(ISDATE(B1693),TEXT(B1693,""M""),""""))"),"")</f>
        <v/>
      </c>
      <c r="M1693" s="29" t="str">
        <f>IFERROR(__xludf.DUMMYFUNCTION("IF(L1693="""","""",QUERY({'Dashboard-Dados'!$Y$2:$AA$13},""Select Col2 Where Col1=""&amp;L1693))"),"")</f>
        <v/>
      </c>
      <c r="N1693" s="29" t="str">
        <f>IFERROR(__xludf.DUMMYFUNCTION("IF(ISBLANK(B1693),"""",IF(ISDATE(B1693),TEXT(B1693,""yyyy""),""""))"),"")</f>
        <v/>
      </c>
    </row>
    <row r="1694">
      <c r="B1694" s="89"/>
      <c r="C1694" s="86"/>
      <c r="D1694" s="71"/>
      <c r="H1694" s="90"/>
      <c r="J1694" s="53" t="str">
        <f>IFERROR(__xludf.DUMMYFUNCTION("IF(ISBLANK(B1694),"""",IF(ISDATE(B1694),""X"",""""))"),"")</f>
        <v/>
      </c>
      <c r="K1694" s="40" t="str">
        <f>IFERROR(__xludf.DUMMYFUNCTION("IF(ISBLANK(B1694),"""",IF(ISDATE(B1694),H1694,""""))"),"")</f>
        <v/>
      </c>
      <c r="L1694" s="40" t="str">
        <f>IFERROR(__xludf.DUMMYFUNCTION("IF(ISBLANK(B1694),"""",IF(ISDATE(B1694),TEXT(B1694,""M""),""""))"),"")</f>
        <v/>
      </c>
      <c r="M1694" s="29" t="str">
        <f>IFERROR(__xludf.DUMMYFUNCTION("IF(L1694="""","""",QUERY({'Dashboard-Dados'!$Y$2:$AA$13},""Select Col2 Where Col1=""&amp;L1694))"),"")</f>
        <v/>
      </c>
      <c r="N1694" s="29" t="str">
        <f>IFERROR(__xludf.DUMMYFUNCTION("IF(ISBLANK(B1694),"""",IF(ISDATE(B1694),TEXT(B1694,""yyyy""),""""))"),"")</f>
        <v/>
      </c>
    </row>
    <row r="1695">
      <c r="B1695" s="87"/>
      <c r="C1695" s="85"/>
      <c r="D1695" s="76"/>
      <c r="H1695" s="88"/>
      <c r="J1695" s="53" t="str">
        <f>IFERROR(__xludf.DUMMYFUNCTION("IF(ISBLANK(B1695),"""",IF(ISDATE(B1695),""X"",""""))"),"")</f>
        <v/>
      </c>
      <c r="K1695" s="40" t="str">
        <f>IFERROR(__xludf.DUMMYFUNCTION("IF(ISBLANK(B1695),"""",IF(ISDATE(B1695),H1695,""""))"),"")</f>
        <v/>
      </c>
      <c r="L1695" s="40" t="str">
        <f>IFERROR(__xludf.DUMMYFUNCTION("IF(ISBLANK(B1695),"""",IF(ISDATE(B1695),TEXT(B1695,""M""),""""))"),"")</f>
        <v/>
      </c>
      <c r="M1695" s="29" t="str">
        <f>IFERROR(__xludf.DUMMYFUNCTION("IF(L1695="""","""",QUERY({'Dashboard-Dados'!$Y$2:$AA$13},""Select Col2 Where Col1=""&amp;L1695))"),"")</f>
        <v/>
      </c>
      <c r="N1695" s="29" t="str">
        <f>IFERROR(__xludf.DUMMYFUNCTION("IF(ISBLANK(B1695),"""",IF(ISDATE(B1695),TEXT(B1695,""yyyy""),""""))"),"")</f>
        <v/>
      </c>
    </row>
    <row r="1696">
      <c r="B1696" s="89"/>
      <c r="C1696" s="86"/>
      <c r="D1696" s="71"/>
      <c r="H1696" s="90"/>
      <c r="J1696" s="53" t="str">
        <f>IFERROR(__xludf.DUMMYFUNCTION("IF(ISBLANK(B1696),"""",IF(ISDATE(B1696),""X"",""""))"),"")</f>
        <v/>
      </c>
      <c r="K1696" s="40" t="str">
        <f>IFERROR(__xludf.DUMMYFUNCTION("IF(ISBLANK(B1696),"""",IF(ISDATE(B1696),H1696,""""))"),"")</f>
        <v/>
      </c>
      <c r="L1696" s="40" t="str">
        <f>IFERROR(__xludf.DUMMYFUNCTION("IF(ISBLANK(B1696),"""",IF(ISDATE(B1696),TEXT(B1696,""M""),""""))"),"")</f>
        <v/>
      </c>
      <c r="M1696" s="29" t="str">
        <f>IFERROR(__xludf.DUMMYFUNCTION("IF(L1696="""","""",QUERY({'Dashboard-Dados'!$Y$2:$AA$13},""Select Col2 Where Col1=""&amp;L1696))"),"")</f>
        <v/>
      </c>
      <c r="N1696" s="29" t="str">
        <f>IFERROR(__xludf.DUMMYFUNCTION("IF(ISBLANK(B1696),"""",IF(ISDATE(B1696),TEXT(B1696,""yyyy""),""""))"),"")</f>
        <v/>
      </c>
    </row>
    <row r="1697">
      <c r="B1697" s="87"/>
      <c r="C1697" s="85"/>
      <c r="D1697" s="76"/>
      <c r="H1697" s="88"/>
      <c r="J1697" s="53" t="str">
        <f>IFERROR(__xludf.DUMMYFUNCTION("IF(ISBLANK(B1697),"""",IF(ISDATE(B1697),""X"",""""))"),"")</f>
        <v/>
      </c>
      <c r="K1697" s="40" t="str">
        <f>IFERROR(__xludf.DUMMYFUNCTION("IF(ISBLANK(B1697),"""",IF(ISDATE(B1697),H1697,""""))"),"")</f>
        <v/>
      </c>
      <c r="L1697" s="40" t="str">
        <f>IFERROR(__xludf.DUMMYFUNCTION("IF(ISBLANK(B1697),"""",IF(ISDATE(B1697),TEXT(B1697,""M""),""""))"),"")</f>
        <v/>
      </c>
      <c r="M1697" s="29" t="str">
        <f>IFERROR(__xludf.DUMMYFUNCTION("IF(L1697="""","""",QUERY({'Dashboard-Dados'!$Y$2:$AA$13},""Select Col2 Where Col1=""&amp;L1697))"),"")</f>
        <v/>
      </c>
      <c r="N1697" s="29" t="str">
        <f>IFERROR(__xludf.DUMMYFUNCTION("IF(ISBLANK(B1697),"""",IF(ISDATE(B1697),TEXT(B1697,""yyyy""),""""))"),"")</f>
        <v/>
      </c>
    </row>
    <row r="1698">
      <c r="B1698" s="89"/>
      <c r="C1698" s="86"/>
      <c r="D1698" s="71"/>
      <c r="H1698" s="90"/>
      <c r="J1698" s="53" t="str">
        <f>IFERROR(__xludf.DUMMYFUNCTION("IF(ISBLANK(B1698),"""",IF(ISDATE(B1698),""X"",""""))"),"")</f>
        <v/>
      </c>
      <c r="K1698" s="40" t="str">
        <f>IFERROR(__xludf.DUMMYFUNCTION("IF(ISBLANK(B1698),"""",IF(ISDATE(B1698),H1698,""""))"),"")</f>
        <v/>
      </c>
      <c r="L1698" s="40" t="str">
        <f>IFERROR(__xludf.DUMMYFUNCTION("IF(ISBLANK(B1698),"""",IF(ISDATE(B1698),TEXT(B1698,""M""),""""))"),"")</f>
        <v/>
      </c>
      <c r="M1698" s="29" t="str">
        <f>IFERROR(__xludf.DUMMYFUNCTION("IF(L1698="""","""",QUERY({'Dashboard-Dados'!$Y$2:$AA$13},""Select Col2 Where Col1=""&amp;L1698))"),"")</f>
        <v/>
      </c>
      <c r="N1698" s="29" t="str">
        <f>IFERROR(__xludf.DUMMYFUNCTION("IF(ISBLANK(B1698),"""",IF(ISDATE(B1698),TEXT(B1698,""yyyy""),""""))"),"")</f>
        <v/>
      </c>
    </row>
    <row r="1699">
      <c r="B1699" s="87"/>
      <c r="C1699" s="85"/>
      <c r="D1699" s="76"/>
      <c r="H1699" s="88"/>
      <c r="J1699" s="53" t="str">
        <f>IFERROR(__xludf.DUMMYFUNCTION("IF(ISBLANK(B1699),"""",IF(ISDATE(B1699),""X"",""""))"),"")</f>
        <v/>
      </c>
      <c r="K1699" s="40" t="str">
        <f>IFERROR(__xludf.DUMMYFUNCTION("IF(ISBLANK(B1699),"""",IF(ISDATE(B1699),H1699,""""))"),"")</f>
        <v/>
      </c>
      <c r="L1699" s="40" t="str">
        <f>IFERROR(__xludf.DUMMYFUNCTION("IF(ISBLANK(B1699),"""",IF(ISDATE(B1699),TEXT(B1699,""M""),""""))"),"")</f>
        <v/>
      </c>
      <c r="M1699" s="29" t="str">
        <f>IFERROR(__xludf.DUMMYFUNCTION("IF(L1699="""","""",QUERY({'Dashboard-Dados'!$Y$2:$AA$13},""Select Col2 Where Col1=""&amp;L1699))"),"")</f>
        <v/>
      </c>
      <c r="N1699" s="29" t="str">
        <f>IFERROR(__xludf.DUMMYFUNCTION("IF(ISBLANK(B1699),"""",IF(ISDATE(B1699),TEXT(B1699,""yyyy""),""""))"),"")</f>
        <v/>
      </c>
    </row>
    <row r="1700">
      <c r="B1700" s="89"/>
      <c r="C1700" s="86"/>
      <c r="D1700" s="71"/>
      <c r="H1700" s="90"/>
      <c r="J1700" s="53" t="str">
        <f>IFERROR(__xludf.DUMMYFUNCTION("IF(ISBLANK(B1700),"""",IF(ISDATE(B1700),""X"",""""))"),"")</f>
        <v/>
      </c>
      <c r="K1700" s="40" t="str">
        <f>IFERROR(__xludf.DUMMYFUNCTION("IF(ISBLANK(B1700),"""",IF(ISDATE(B1700),H1700,""""))"),"")</f>
        <v/>
      </c>
      <c r="L1700" s="40" t="str">
        <f>IFERROR(__xludf.DUMMYFUNCTION("IF(ISBLANK(B1700),"""",IF(ISDATE(B1700),TEXT(B1700,""M""),""""))"),"")</f>
        <v/>
      </c>
      <c r="M1700" s="29" t="str">
        <f>IFERROR(__xludf.DUMMYFUNCTION("IF(L1700="""","""",QUERY({'Dashboard-Dados'!$Y$2:$AA$13},""Select Col2 Where Col1=""&amp;L1700))"),"")</f>
        <v/>
      </c>
      <c r="N1700" s="29" t="str">
        <f>IFERROR(__xludf.DUMMYFUNCTION("IF(ISBLANK(B1700),"""",IF(ISDATE(B1700),TEXT(B1700,""yyyy""),""""))"),"")</f>
        <v/>
      </c>
    </row>
    <row r="1701">
      <c r="B1701" s="87"/>
      <c r="C1701" s="85"/>
      <c r="D1701" s="76"/>
      <c r="H1701" s="88"/>
      <c r="J1701" s="53" t="str">
        <f>IFERROR(__xludf.DUMMYFUNCTION("IF(ISBLANK(B1701),"""",IF(ISDATE(B1701),""X"",""""))"),"")</f>
        <v/>
      </c>
      <c r="K1701" s="40" t="str">
        <f>IFERROR(__xludf.DUMMYFUNCTION("IF(ISBLANK(B1701),"""",IF(ISDATE(B1701),H1701,""""))"),"")</f>
        <v/>
      </c>
      <c r="L1701" s="40" t="str">
        <f>IFERROR(__xludf.DUMMYFUNCTION("IF(ISBLANK(B1701),"""",IF(ISDATE(B1701),TEXT(B1701,""M""),""""))"),"")</f>
        <v/>
      </c>
      <c r="M1701" s="29" t="str">
        <f>IFERROR(__xludf.DUMMYFUNCTION("IF(L1701="""","""",QUERY({'Dashboard-Dados'!$Y$2:$AA$13},""Select Col2 Where Col1=""&amp;L1701))"),"")</f>
        <v/>
      </c>
      <c r="N1701" s="29" t="str">
        <f>IFERROR(__xludf.DUMMYFUNCTION("IF(ISBLANK(B1701),"""",IF(ISDATE(B1701),TEXT(B1701,""yyyy""),""""))"),"")</f>
        <v/>
      </c>
    </row>
    <row r="1702">
      <c r="B1702" s="89"/>
      <c r="C1702" s="86"/>
      <c r="D1702" s="71"/>
      <c r="H1702" s="90"/>
      <c r="J1702" s="53" t="str">
        <f>IFERROR(__xludf.DUMMYFUNCTION("IF(ISBLANK(B1702),"""",IF(ISDATE(B1702),""X"",""""))"),"")</f>
        <v/>
      </c>
      <c r="K1702" s="40" t="str">
        <f>IFERROR(__xludf.DUMMYFUNCTION("IF(ISBLANK(B1702),"""",IF(ISDATE(B1702),H1702,""""))"),"")</f>
        <v/>
      </c>
      <c r="L1702" s="40" t="str">
        <f>IFERROR(__xludf.DUMMYFUNCTION("IF(ISBLANK(B1702),"""",IF(ISDATE(B1702),TEXT(B1702,""M""),""""))"),"")</f>
        <v/>
      </c>
      <c r="M1702" s="29" t="str">
        <f>IFERROR(__xludf.DUMMYFUNCTION("IF(L1702="""","""",QUERY({'Dashboard-Dados'!$Y$2:$AA$13},""Select Col2 Where Col1=""&amp;L1702))"),"")</f>
        <v/>
      </c>
      <c r="N1702" s="29" t="str">
        <f>IFERROR(__xludf.DUMMYFUNCTION("IF(ISBLANK(B1702),"""",IF(ISDATE(B1702),TEXT(B1702,""yyyy""),""""))"),"")</f>
        <v/>
      </c>
    </row>
    <row r="1703">
      <c r="B1703" s="87"/>
      <c r="C1703" s="85"/>
      <c r="D1703" s="76"/>
      <c r="H1703" s="88"/>
      <c r="J1703" s="53" t="str">
        <f>IFERROR(__xludf.DUMMYFUNCTION("IF(ISBLANK(B1703),"""",IF(ISDATE(B1703),""X"",""""))"),"")</f>
        <v/>
      </c>
      <c r="K1703" s="40" t="str">
        <f>IFERROR(__xludf.DUMMYFUNCTION("IF(ISBLANK(B1703),"""",IF(ISDATE(B1703),H1703,""""))"),"")</f>
        <v/>
      </c>
      <c r="L1703" s="40" t="str">
        <f>IFERROR(__xludf.DUMMYFUNCTION("IF(ISBLANK(B1703),"""",IF(ISDATE(B1703),TEXT(B1703,""M""),""""))"),"")</f>
        <v/>
      </c>
      <c r="M1703" s="29" t="str">
        <f>IFERROR(__xludf.DUMMYFUNCTION("IF(L1703="""","""",QUERY({'Dashboard-Dados'!$Y$2:$AA$13},""Select Col2 Where Col1=""&amp;L1703))"),"")</f>
        <v/>
      </c>
      <c r="N1703" s="29" t="str">
        <f>IFERROR(__xludf.DUMMYFUNCTION("IF(ISBLANK(B1703),"""",IF(ISDATE(B1703),TEXT(B1703,""yyyy""),""""))"),"")</f>
        <v/>
      </c>
    </row>
    <row r="1704">
      <c r="B1704" s="89"/>
      <c r="C1704" s="86"/>
      <c r="D1704" s="71"/>
      <c r="H1704" s="90"/>
      <c r="J1704" s="53" t="str">
        <f>IFERROR(__xludf.DUMMYFUNCTION("IF(ISBLANK(B1704),"""",IF(ISDATE(B1704),""X"",""""))"),"")</f>
        <v/>
      </c>
      <c r="K1704" s="40" t="str">
        <f>IFERROR(__xludf.DUMMYFUNCTION("IF(ISBLANK(B1704),"""",IF(ISDATE(B1704),H1704,""""))"),"")</f>
        <v/>
      </c>
      <c r="L1704" s="40" t="str">
        <f>IFERROR(__xludf.DUMMYFUNCTION("IF(ISBLANK(B1704),"""",IF(ISDATE(B1704),TEXT(B1704,""M""),""""))"),"")</f>
        <v/>
      </c>
      <c r="M1704" s="29" t="str">
        <f>IFERROR(__xludf.DUMMYFUNCTION("IF(L1704="""","""",QUERY({'Dashboard-Dados'!$Y$2:$AA$13},""Select Col2 Where Col1=""&amp;L1704))"),"")</f>
        <v/>
      </c>
      <c r="N1704" s="29" t="str">
        <f>IFERROR(__xludf.DUMMYFUNCTION("IF(ISBLANK(B1704),"""",IF(ISDATE(B1704),TEXT(B1704,""yyyy""),""""))"),"")</f>
        <v/>
      </c>
    </row>
    <row r="1705">
      <c r="B1705" s="87"/>
      <c r="C1705" s="85"/>
      <c r="D1705" s="76"/>
      <c r="H1705" s="88"/>
      <c r="J1705" s="53" t="str">
        <f>IFERROR(__xludf.DUMMYFUNCTION("IF(ISBLANK(B1705),"""",IF(ISDATE(B1705),""X"",""""))"),"")</f>
        <v/>
      </c>
      <c r="K1705" s="40" t="str">
        <f>IFERROR(__xludf.DUMMYFUNCTION("IF(ISBLANK(B1705),"""",IF(ISDATE(B1705),H1705,""""))"),"")</f>
        <v/>
      </c>
      <c r="L1705" s="40" t="str">
        <f>IFERROR(__xludf.DUMMYFUNCTION("IF(ISBLANK(B1705),"""",IF(ISDATE(B1705),TEXT(B1705,""M""),""""))"),"")</f>
        <v/>
      </c>
      <c r="M1705" s="29" t="str">
        <f>IFERROR(__xludf.DUMMYFUNCTION("IF(L1705="""","""",QUERY({'Dashboard-Dados'!$Y$2:$AA$13},""Select Col2 Where Col1=""&amp;L1705))"),"")</f>
        <v/>
      </c>
      <c r="N1705" s="29" t="str">
        <f>IFERROR(__xludf.DUMMYFUNCTION("IF(ISBLANK(B1705),"""",IF(ISDATE(B1705),TEXT(B1705,""yyyy""),""""))"),"")</f>
        <v/>
      </c>
    </row>
    <row r="1706">
      <c r="B1706" s="89"/>
      <c r="C1706" s="86"/>
      <c r="D1706" s="71"/>
      <c r="H1706" s="90"/>
      <c r="J1706" s="53" t="str">
        <f>IFERROR(__xludf.DUMMYFUNCTION("IF(ISBLANK(B1706),"""",IF(ISDATE(B1706),""X"",""""))"),"")</f>
        <v/>
      </c>
      <c r="K1706" s="40" t="str">
        <f>IFERROR(__xludf.DUMMYFUNCTION("IF(ISBLANK(B1706),"""",IF(ISDATE(B1706),H1706,""""))"),"")</f>
        <v/>
      </c>
      <c r="L1706" s="40" t="str">
        <f>IFERROR(__xludf.DUMMYFUNCTION("IF(ISBLANK(B1706),"""",IF(ISDATE(B1706),TEXT(B1706,""M""),""""))"),"")</f>
        <v/>
      </c>
      <c r="M1706" s="29" t="str">
        <f>IFERROR(__xludf.DUMMYFUNCTION("IF(L1706="""","""",QUERY({'Dashboard-Dados'!$Y$2:$AA$13},""Select Col2 Where Col1=""&amp;L1706))"),"")</f>
        <v/>
      </c>
      <c r="N1706" s="29" t="str">
        <f>IFERROR(__xludf.DUMMYFUNCTION("IF(ISBLANK(B1706),"""",IF(ISDATE(B1706),TEXT(B1706,""yyyy""),""""))"),"")</f>
        <v/>
      </c>
    </row>
    <row r="1707">
      <c r="B1707" s="87"/>
      <c r="C1707" s="85"/>
      <c r="D1707" s="76"/>
      <c r="H1707" s="88"/>
      <c r="J1707" s="53" t="str">
        <f>IFERROR(__xludf.DUMMYFUNCTION("IF(ISBLANK(B1707),"""",IF(ISDATE(B1707),""X"",""""))"),"")</f>
        <v/>
      </c>
      <c r="K1707" s="40" t="str">
        <f>IFERROR(__xludf.DUMMYFUNCTION("IF(ISBLANK(B1707),"""",IF(ISDATE(B1707),H1707,""""))"),"")</f>
        <v/>
      </c>
      <c r="L1707" s="40" t="str">
        <f>IFERROR(__xludf.DUMMYFUNCTION("IF(ISBLANK(B1707),"""",IF(ISDATE(B1707),TEXT(B1707,""M""),""""))"),"")</f>
        <v/>
      </c>
      <c r="M1707" s="29" t="str">
        <f>IFERROR(__xludf.DUMMYFUNCTION("IF(L1707="""","""",QUERY({'Dashboard-Dados'!$Y$2:$AA$13},""Select Col2 Where Col1=""&amp;L1707))"),"")</f>
        <v/>
      </c>
      <c r="N1707" s="29" t="str">
        <f>IFERROR(__xludf.DUMMYFUNCTION("IF(ISBLANK(B1707),"""",IF(ISDATE(B1707),TEXT(B1707,""yyyy""),""""))"),"")</f>
        <v/>
      </c>
    </row>
    <row r="1708">
      <c r="B1708" s="89"/>
      <c r="C1708" s="86"/>
      <c r="D1708" s="71"/>
      <c r="H1708" s="90"/>
      <c r="J1708" s="53" t="str">
        <f>IFERROR(__xludf.DUMMYFUNCTION("IF(ISBLANK(B1708),"""",IF(ISDATE(B1708),""X"",""""))"),"")</f>
        <v/>
      </c>
      <c r="K1708" s="40" t="str">
        <f>IFERROR(__xludf.DUMMYFUNCTION("IF(ISBLANK(B1708),"""",IF(ISDATE(B1708),H1708,""""))"),"")</f>
        <v/>
      </c>
      <c r="L1708" s="40" t="str">
        <f>IFERROR(__xludf.DUMMYFUNCTION("IF(ISBLANK(B1708),"""",IF(ISDATE(B1708),TEXT(B1708,""M""),""""))"),"")</f>
        <v/>
      </c>
      <c r="M1708" s="29" t="str">
        <f>IFERROR(__xludf.DUMMYFUNCTION("IF(L1708="""","""",QUERY({'Dashboard-Dados'!$Y$2:$AA$13},""Select Col2 Where Col1=""&amp;L1708))"),"")</f>
        <v/>
      </c>
      <c r="N1708" s="29" t="str">
        <f>IFERROR(__xludf.DUMMYFUNCTION("IF(ISBLANK(B1708),"""",IF(ISDATE(B1708),TEXT(B1708,""yyyy""),""""))"),"")</f>
        <v/>
      </c>
    </row>
    <row r="1709">
      <c r="B1709" s="87"/>
      <c r="C1709" s="85"/>
      <c r="D1709" s="76"/>
      <c r="H1709" s="88"/>
      <c r="J1709" s="53" t="str">
        <f>IFERROR(__xludf.DUMMYFUNCTION("IF(ISBLANK(B1709),"""",IF(ISDATE(B1709),""X"",""""))"),"")</f>
        <v/>
      </c>
      <c r="K1709" s="40" t="str">
        <f>IFERROR(__xludf.DUMMYFUNCTION("IF(ISBLANK(B1709),"""",IF(ISDATE(B1709),H1709,""""))"),"")</f>
        <v/>
      </c>
      <c r="L1709" s="40" t="str">
        <f>IFERROR(__xludf.DUMMYFUNCTION("IF(ISBLANK(B1709),"""",IF(ISDATE(B1709),TEXT(B1709,""M""),""""))"),"")</f>
        <v/>
      </c>
      <c r="M1709" s="29" t="str">
        <f>IFERROR(__xludf.DUMMYFUNCTION("IF(L1709="""","""",QUERY({'Dashboard-Dados'!$Y$2:$AA$13},""Select Col2 Where Col1=""&amp;L1709))"),"")</f>
        <v/>
      </c>
      <c r="N1709" s="29" t="str">
        <f>IFERROR(__xludf.DUMMYFUNCTION("IF(ISBLANK(B1709),"""",IF(ISDATE(B1709),TEXT(B1709,""yyyy""),""""))"),"")</f>
        <v/>
      </c>
    </row>
    <row r="1710">
      <c r="B1710" s="89"/>
      <c r="C1710" s="86"/>
      <c r="D1710" s="71"/>
      <c r="H1710" s="90"/>
      <c r="J1710" s="53" t="str">
        <f>IFERROR(__xludf.DUMMYFUNCTION("IF(ISBLANK(B1710),"""",IF(ISDATE(B1710),""X"",""""))"),"")</f>
        <v/>
      </c>
      <c r="K1710" s="40" t="str">
        <f>IFERROR(__xludf.DUMMYFUNCTION("IF(ISBLANK(B1710),"""",IF(ISDATE(B1710),H1710,""""))"),"")</f>
        <v/>
      </c>
      <c r="L1710" s="40" t="str">
        <f>IFERROR(__xludf.DUMMYFUNCTION("IF(ISBLANK(B1710),"""",IF(ISDATE(B1710),TEXT(B1710,""M""),""""))"),"")</f>
        <v/>
      </c>
      <c r="M1710" s="29" t="str">
        <f>IFERROR(__xludf.DUMMYFUNCTION("IF(L1710="""","""",QUERY({'Dashboard-Dados'!$Y$2:$AA$13},""Select Col2 Where Col1=""&amp;L1710))"),"")</f>
        <v/>
      </c>
      <c r="N1710" s="29" t="str">
        <f>IFERROR(__xludf.DUMMYFUNCTION("IF(ISBLANK(B1710),"""",IF(ISDATE(B1710),TEXT(B1710,""yyyy""),""""))"),"")</f>
        <v/>
      </c>
    </row>
    <row r="1711">
      <c r="B1711" s="87"/>
      <c r="C1711" s="85"/>
      <c r="D1711" s="76"/>
      <c r="H1711" s="88"/>
      <c r="J1711" s="53" t="str">
        <f>IFERROR(__xludf.DUMMYFUNCTION("IF(ISBLANK(B1711),"""",IF(ISDATE(B1711),""X"",""""))"),"")</f>
        <v/>
      </c>
      <c r="K1711" s="40" t="str">
        <f>IFERROR(__xludf.DUMMYFUNCTION("IF(ISBLANK(B1711),"""",IF(ISDATE(B1711),H1711,""""))"),"")</f>
        <v/>
      </c>
      <c r="L1711" s="40" t="str">
        <f>IFERROR(__xludf.DUMMYFUNCTION("IF(ISBLANK(B1711),"""",IF(ISDATE(B1711),TEXT(B1711,""M""),""""))"),"")</f>
        <v/>
      </c>
      <c r="M1711" s="29" t="str">
        <f>IFERROR(__xludf.DUMMYFUNCTION("IF(L1711="""","""",QUERY({'Dashboard-Dados'!$Y$2:$AA$13},""Select Col2 Where Col1=""&amp;L1711))"),"")</f>
        <v/>
      </c>
      <c r="N1711" s="29" t="str">
        <f>IFERROR(__xludf.DUMMYFUNCTION("IF(ISBLANK(B1711),"""",IF(ISDATE(B1711),TEXT(B1711,""yyyy""),""""))"),"")</f>
        <v/>
      </c>
    </row>
    <row r="1712">
      <c r="B1712" s="89"/>
      <c r="C1712" s="86"/>
      <c r="D1712" s="71"/>
      <c r="H1712" s="90"/>
      <c r="J1712" s="53" t="str">
        <f>IFERROR(__xludf.DUMMYFUNCTION("IF(ISBLANK(B1712),"""",IF(ISDATE(B1712),""X"",""""))"),"")</f>
        <v/>
      </c>
      <c r="K1712" s="40" t="str">
        <f>IFERROR(__xludf.DUMMYFUNCTION("IF(ISBLANK(B1712),"""",IF(ISDATE(B1712),H1712,""""))"),"")</f>
        <v/>
      </c>
      <c r="L1712" s="40" t="str">
        <f>IFERROR(__xludf.DUMMYFUNCTION("IF(ISBLANK(B1712),"""",IF(ISDATE(B1712),TEXT(B1712,""M""),""""))"),"")</f>
        <v/>
      </c>
      <c r="M1712" s="29" t="str">
        <f>IFERROR(__xludf.DUMMYFUNCTION("IF(L1712="""","""",QUERY({'Dashboard-Dados'!$Y$2:$AA$13},""Select Col2 Where Col1=""&amp;L1712))"),"")</f>
        <v/>
      </c>
      <c r="N1712" s="29" t="str">
        <f>IFERROR(__xludf.DUMMYFUNCTION("IF(ISBLANK(B1712),"""",IF(ISDATE(B1712),TEXT(B1712,""yyyy""),""""))"),"")</f>
        <v/>
      </c>
    </row>
    <row r="1713">
      <c r="B1713" s="87"/>
      <c r="C1713" s="85"/>
      <c r="D1713" s="76"/>
      <c r="H1713" s="88"/>
      <c r="J1713" s="53" t="str">
        <f>IFERROR(__xludf.DUMMYFUNCTION("IF(ISBLANK(B1713),"""",IF(ISDATE(B1713),""X"",""""))"),"")</f>
        <v/>
      </c>
      <c r="K1713" s="40" t="str">
        <f>IFERROR(__xludf.DUMMYFUNCTION("IF(ISBLANK(B1713),"""",IF(ISDATE(B1713),H1713,""""))"),"")</f>
        <v/>
      </c>
      <c r="L1713" s="40" t="str">
        <f>IFERROR(__xludf.DUMMYFUNCTION("IF(ISBLANK(B1713),"""",IF(ISDATE(B1713),TEXT(B1713,""M""),""""))"),"")</f>
        <v/>
      </c>
      <c r="M1713" s="29" t="str">
        <f>IFERROR(__xludf.DUMMYFUNCTION("IF(L1713="""","""",QUERY({'Dashboard-Dados'!$Y$2:$AA$13},""Select Col2 Where Col1=""&amp;L1713))"),"")</f>
        <v/>
      </c>
      <c r="N1713" s="29" t="str">
        <f>IFERROR(__xludf.DUMMYFUNCTION("IF(ISBLANK(B1713),"""",IF(ISDATE(B1713),TEXT(B1713,""yyyy""),""""))"),"")</f>
        <v/>
      </c>
    </row>
    <row r="1714">
      <c r="B1714" s="89"/>
      <c r="C1714" s="86"/>
      <c r="D1714" s="71"/>
      <c r="H1714" s="90"/>
      <c r="J1714" s="53" t="str">
        <f>IFERROR(__xludf.DUMMYFUNCTION("IF(ISBLANK(B1714),"""",IF(ISDATE(B1714),""X"",""""))"),"")</f>
        <v/>
      </c>
      <c r="K1714" s="40" t="str">
        <f>IFERROR(__xludf.DUMMYFUNCTION("IF(ISBLANK(B1714),"""",IF(ISDATE(B1714),H1714,""""))"),"")</f>
        <v/>
      </c>
      <c r="L1714" s="40" t="str">
        <f>IFERROR(__xludf.DUMMYFUNCTION("IF(ISBLANK(B1714),"""",IF(ISDATE(B1714),TEXT(B1714,""M""),""""))"),"")</f>
        <v/>
      </c>
      <c r="M1714" s="29" t="str">
        <f>IFERROR(__xludf.DUMMYFUNCTION("IF(L1714="""","""",QUERY({'Dashboard-Dados'!$Y$2:$AA$13},""Select Col2 Where Col1=""&amp;L1714))"),"")</f>
        <v/>
      </c>
      <c r="N1714" s="29" t="str">
        <f>IFERROR(__xludf.DUMMYFUNCTION("IF(ISBLANK(B1714),"""",IF(ISDATE(B1714),TEXT(B1714,""yyyy""),""""))"),"")</f>
        <v/>
      </c>
    </row>
    <row r="1715">
      <c r="B1715" s="87"/>
      <c r="C1715" s="85"/>
      <c r="D1715" s="76"/>
      <c r="H1715" s="88"/>
      <c r="J1715" s="53" t="str">
        <f>IFERROR(__xludf.DUMMYFUNCTION("IF(ISBLANK(B1715),"""",IF(ISDATE(B1715),""X"",""""))"),"")</f>
        <v/>
      </c>
      <c r="K1715" s="40" t="str">
        <f>IFERROR(__xludf.DUMMYFUNCTION("IF(ISBLANK(B1715),"""",IF(ISDATE(B1715),H1715,""""))"),"")</f>
        <v/>
      </c>
      <c r="L1715" s="40" t="str">
        <f>IFERROR(__xludf.DUMMYFUNCTION("IF(ISBLANK(B1715),"""",IF(ISDATE(B1715),TEXT(B1715,""M""),""""))"),"")</f>
        <v/>
      </c>
      <c r="M1715" s="29" t="str">
        <f>IFERROR(__xludf.DUMMYFUNCTION("IF(L1715="""","""",QUERY({'Dashboard-Dados'!$Y$2:$AA$13},""Select Col2 Where Col1=""&amp;L1715))"),"")</f>
        <v/>
      </c>
      <c r="N1715" s="29" t="str">
        <f>IFERROR(__xludf.DUMMYFUNCTION("IF(ISBLANK(B1715),"""",IF(ISDATE(B1715),TEXT(B1715,""yyyy""),""""))"),"")</f>
        <v/>
      </c>
    </row>
    <row r="1716">
      <c r="B1716" s="89"/>
      <c r="C1716" s="86"/>
      <c r="D1716" s="71"/>
      <c r="H1716" s="90"/>
      <c r="J1716" s="53" t="str">
        <f>IFERROR(__xludf.DUMMYFUNCTION("IF(ISBLANK(B1716),"""",IF(ISDATE(B1716),""X"",""""))"),"")</f>
        <v/>
      </c>
      <c r="K1716" s="40" t="str">
        <f>IFERROR(__xludf.DUMMYFUNCTION("IF(ISBLANK(B1716),"""",IF(ISDATE(B1716),H1716,""""))"),"")</f>
        <v/>
      </c>
      <c r="L1716" s="40" t="str">
        <f>IFERROR(__xludf.DUMMYFUNCTION("IF(ISBLANK(B1716),"""",IF(ISDATE(B1716),TEXT(B1716,""M""),""""))"),"")</f>
        <v/>
      </c>
      <c r="M1716" s="29" t="str">
        <f>IFERROR(__xludf.DUMMYFUNCTION("IF(L1716="""","""",QUERY({'Dashboard-Dados'!$Y$2:$AA$13},""Select Col2 Where Col1=""&amp;L1716))"),"")</f>
        <v/>
      </c>
      <c r="N1716" s="29" t="str">
        <f>IFERROR(__xludf.DUMMYFUNCTION("IF(ISBLANK(B1716),"""",IF(ISDATE(B1716),TEXT(B1716,""yyyy""),""""))"),"")</f>
        <v/>
      </c>
    </row>
    <row r="1717">
      <c r="B1717" s="87"/>
      <c r="C1717" s="85"/>
      <c r="D1717" s="76"/>
      <c r="H1717" s="88"/>
      <c r="J1717" s="53" t="str">
        <f>IFERROR(__xludf.DUMMYFUNCTION("IF(ISBLANK(B1717),"""",IF(ISDATE(B1717),""X"",""""))"),"")</f>
        <v/>
      </c>
      <c r="K1717" s="40" t="str">
        <f>IFERROR(__xludf.DUMMYFUNCTION("IF(ISBLANK(B1717),"""",IF(ISDATE(B1717),H1717,""""))"),"")</f>
        <v/>
      </c>
      <c r="L1717" s="40" t="str">
        <f>IFERROR(__xludf.DUMMYFUNCTION("IF(ISBLANK(B1717),"""",IF(ISDATE(B1717),TEXT(B1717,""M""),""""))"),"")</f>
        <v/>
      </c>
      <c r="M1717" s="29" t="str">
        <f>IFERROR(__xludf.DUMMYFUNCTION("IF(L1717="""","""",QUERY({'Dashboard-Dados'!$Y$2:$AA$13},""Select Col2 Where Col1=""&amp;L1717))"),"")</f>
        <v/>
      </c>
      <c r="N1717" s="29" t="str">
        <f>IFERROR(__xludf.DUMMYFUNCTION("IF(ISBLANK(B1717),"""",IF(ISDATE(B1717),TEXT(B1717,""yyyy""),""""))"),"")</f>
        <v/>
      </c>
    </row>
    <row r="1718">
      <c r="B1718" s="89"/>
      <c r="C1718" s="86"/>
      <c r="D1718" s="71"/>
      <c r="H1718" s="90"/>
      <c r="J1718" s="53" t="str">
        <f>IFERROR(__xludf.DUMMYFUNCTION("IF(ISBLANK(B1718),"""",IF(ISDATE(B1718),""X"",""""))"),"")</f>
        <v/>
      </c>
      <c r="K1718" s="40" t="str">
        <f>IFERROR(__xludf.DUMMYFUNCTION("IF(ISBLANK(B1718),"""",IF(ISDATE(B1718),H1718,""""))"),"")</f>
        <v/>
      </c>
      <c r="L1718" s="40" t="str">
        <f>IFERROR(__xludf.DUMMYFUNCTION("IF(ISBLANK(B1718),"""",IF(ISDATE(B1718),TEXT(B1718,""M""),""""))"),"")</f>
        <v/>
      </c>
      <c r="M1718" s="29" t="str">
        <f>IFERROR(__xludf.DUMMYFUNCTION("IF(L1718="""","""",QUERY({'Dashboard-Dados'!$Y$2:$AA$13},""Select Col2 Where Col1=""&amp;L1718))"),"")</f>
        <v/>
      </c>
      <c r="N1718" s="29" t="str">
        <f>IFERROR(__xludf.DUMMYFUNCTION("IF(ISBLANK(B1718),"""",IF(ISDATE(B1718),TEXT(B1718,""yyyy""),""""))"),"")</f>
        <v/>
      </c>
    </row>
    <row r="1719">
      <c r="B1719" s="87"/>
      <c r="C1719" s="85"/>
      <c r="D1719" s="76"/>
      <c r="H1719" s="88"/>
      <c r="J1719" s="53" t="str">
        <f>IFERROR(__xludf.DUMMYFUNCTION("IF(ISBLANK(B1719),"""",IF(ISDATE(B1719),""X"",""""))"),"")</f>
        <v/>
      </c>
      <c r="K1719" s="40" t="str">
        <f>IFERROR(__xludf.DUMMYFUNCTION("IF(ISBLANK(B1719),"""",IF(ISDATE(B1719),H1719,""""))"),"")</f>
        <v/>
      </c>
      <c r="L1719" s="40" t="str">
        <f>IFERROR(__xludf.DUMMYFUNCTION("IF(ISBLANK(B1719),"""",IF(ISDATE(B1719),TEXT(B1719,""M""),""""))"),"")</f>
        <v/>
      </c>
      <c r="M1719" s="29" t="str">
        <f>IFERROR(__xludf.DUMMYFUNCTION("IF(L1719="""","""",QUERY({'Dashboard-Dados'!$Y$2:$AA$13},""Select Col2 Where Col1=""&amp;L1719))"),"")</f>
        <v/>
      </c>
      <c r="N1719" s="29" t="str">
        <f>IFERROR(__xludf.DUMMYFUNCTION("IF(ISBLANK(B1719),"""",IF(ISDATE(B1719),TEXT(B1719,""yyyy""),""""))"),"")</f>
        <v/>
      </c>
    </row>
    <row r="1720">
      <c r="B1720" s="89"/>
      <c r="C1720" s="86"/>
      <c r="D1720" s="71"/>
      <c r="H1720" s="90"/>
      <c r="J1720" s="53" t="str">
        <f>IFERROR(__xludf.DUMMYFUNCTION("IF(ISBLANK(B1720),"""",IF(ISDATE(B1720),""X"",""""))"),"")</f>
        <v/>
      </c>
      <c r="K1720" s="40" t="str">
        <f>IFERROR(__xludf.DUMMYFUNCTION("IF(ISBLANK(B1720),"""",IF(ISDATE(B1720),H1720,""""))"),"")</f>
        <v/>
      </c>
      <c r="L1720" s="40" t="str">
        <f>IFERROR(__xludf.DUMMYFUNCTION("IF(ISBLANK(B1720),"""",IF(ISDATE(B1720),TEXT(B1720,""M""),""""))"),"")</f>
        <v/>
      </c>
      <c r="M1720" s="29" t="str">
        <f>IFERROR(__xludf.DUMMYFUNCTION("IF(L1720="""","""",QUERY({'Dashboard-Dados'!$Y$2:$AA$13},""Select Col2 Where Col1=""&amp;L1720))"),"")</f>
        <v/>
      </c>
      <c r="N1720" s="29" t="str">
        <f>IFERROR(__xludf.DUMMYFUNCTION("IF(ISBLANK(B1720),"""",IF(ISDATE(B1720),TEXT(B1720,""yyyy""),""""))"),"")</f>
        <v/>
      </c>
    </row>
    <row r="1721">
      <c r="B1721" s="87"/>
      <c r="C1721" s="85"/>
      <c r="D1721" s="76"/>
      <c r="H1721" s="88"/>
      <c r="J1721" s="53" t="str">
        <f>IFERROR(__xludf.DUMMYFUNCTION("IF(ISBLANK(B1721),"""",IF(ISDATE(B1721),""X"",""""))"),"")</f>
        <v/>
      </c>
      <c r="K1721" s="40" t="str">
        <f>IFERROR(__xludf.DUMMYFUNCTION("IF(ISBLANK(B1721),"""",IF(ISDATE(B1721),H1721,""""))"),"")</f>
        <v/>
      </c>
      <c r="L1721" s="40" t="str">
        <f>IFERROR(__xludf.DUMMYFUNCTION("IF(ISBLANK(B1721),"""",IF(ISDATE(B1721),TEXT(B1721,""M""),""""))"),"")</f>
        <v/>
      </c>
      <c r="M1721" s="29" t="str">
        <f>IFERROR(__xludf.DUMMYFUNCTION("IF(L1721="""","""",QUERY({'Dashboard-Dados'!$Y$2:$AA$13},""Select Col2 Where Col1=""&amp;L1721))"),"")</f>
        <v/>
      </c>
      <c r="N1721" s="29" t="str">
        <f>IFERROR(__xludf.DUMMYFUNCTION("IF(ISBLANK(B1721),"""",IF(ISDATE(B1721),TEXT(B1721,""yyyy""),""""))"),"")</f>
        <v/>
      </c>
    </row>
    <row r="1722">
      <c r="B1722" s="89"/>
      <c r="C1722" s="86"/>
      <c r="D1722" s="71"/>
      <c r="H1722" s="90"/>
      <c r="J1722" s="53" t="str">
        <f>IFERROR(__xludf.DUMMYFUNCTION("IF(ISBLANK(B1722),"""",IF(ISDATE(B1722),""X"",""""))"),"")</f>
        <v/>
      </c>
      <c r="K1722" s="40" t="str">
        <f>IFERROR(__xludf.DUMMYFUNCTION("IF(ISBLANK(B1722),"""",IF(ISDATE(B1722),H1722,""""))"),"")</f>
        <v/>
      </c>
      <c r="L1722" s="40" t="str">
        <f>IFERROR(__xludf.DUMMYFUNCTION("IF(ISBLANK(B1722),"""",IF(ISDATE(B1722),TEXT(B1722,""M""),""""))"),"")</f>
        <v/>
      </c>
      <c r="M1722" s="29" t="str">
        <f>IFERROR(__xludf.DUMMYFUNCTION("IF(L1722="""","""",QUERY({'Dashboard-Dados'!$Y$2:$AA$13},""Select Col2 Where Col1=""&amp;L1722))"),"")</f>
        <v/>
      </c>
      <c r="N1722" s="29" t="str">
        <f>IFERROR(__xludf.DUMMYFUNCTION("IF(ISBLANK(B1722),"""",IF(ISDATE(B1722),TEXT(B1722,""yyyy""),""""))"),"")</f>
        <v/>
      </c>
    </row>
    <row r="1723">
      <c r="B1723" s="87"/>
      <c r="C1723" s="85"/>
      <c r="D1723" s="76"/>
      <c r="H1723" s="88"/>
      <c r="J1723" s="53" t="str">
        <f>IFERROR(__xludf.DUMMYFUNCTION("IF(ISBLANK(B1723),"""",IF(ISDATE(B1723),""X"",""""))"),"")</f>
        <v/>
      </c>
      <c r="K1723" s="40" t="str">
        <f>IFERROR(__xludf.DUMMYFUNCTION("IF(ISBLANK(B1723),"""",IF(ISDATE(B1723),H1723,""""))"),"")</f>
        <v/>
      </c>
      <c r="L1723" s="40" t="str">
        <f>IFERROR(__xludf.DUMMYFUNCTION("IF(ISBLANK(B1723),"""",IF(ISDATE(B1723),TEXT(B1723,""M""),""""))"),"")</f>
        <v/>
      </c>
      <c r="M1723" s="29" t="str">
        <f>IFERROR(__xludf.DUMMYFUNCTION("IF(L1723="""","""",QUERY({'Dashboard-Dados'!$Y$2:$AA$13},""Select Col2 Where Col1=""&amp;L1723))"),"")</f>
        <v/>
      </c>
      <c r="N1723" s="29" t="str">
        <f>IFERROR(__xludf.DUMMYFUNCTION("IF(ISBLANK(B1723),"""",IF(ISDATE(B1723),TEXT(B1723,""yyyy""),""""))"),"")</f>
        <v/>
      </c>
    </row>
    <row r="1724">
      <c r="B1724" s="89"/>
      <c r="C1724" s="86"/>
      <c r="D1724" s="71"/>
      <c r="H1724" s="90"/>
      <c r="J1724" s="53" t="str">
        <f>IFERROR(__xludf.DUMMYFUNCTION("IF(ISBLANK(B1724),"""",IF(ISDATE(B1724),""X"",""""))"),"")</f>
        <v/>
      </c>
      <c r="K1724" s="40" t="str">
        <f>IFERROR(__xludf.DUMMYFUNCTION("IF(ISBLANK(B1724),"""",IF(ISDATE(B1724),H1724,""""))"),"")</f>
        <v/>
      </c>
      <c r="L1724" s="40" t="str">
        <f>IFERROR(__xludf.DUMMYFUNCTION("IF(ISBLANK(B1724),"""",IF(ISDATE(B1724),TEXT(B1724,""M""),""""))"),"")</f>
        <v/>
      </c>
      <c r="M1724" s="29" t="str">
        <f>IFERROR(__xludf.DUMMYFUNCTION("IF(L1724="""","""",QUERY({'Dashboard-Dados'!$Y$2:$AA$13},""Select Col2 Where Col1=""&amp;L1724))"),"")</f>
        <v/>
      </c>
      <c r="N1724" s="29" t="str">
        <f>IFERROR(__xludf.DUMMYFUNCTION("IF(ISBLANK(B1724),"""",IF(ISDATE(B1724),TEXT(B1724,""yyyy""),""""))"),"")</f>
        <v/>
      </c>
    </row>
    <row r="1725">
      <c r="B1725" s="87"/>
      <c r="C1725" s="85"/>
      <c r="D1725" s="76"/>
      <c r="H1725" s="88"/>
      <c r="J1725" s="53" t="str">
        <f>IFERROR(__xludf.DUMMYFUNCTION("IF(ISBLANK(B1725),"""",IF(ISDATE(B1725),""X"",""""))"),"")</f>
        <v/>
      </c>
      <c r="K1725" s="40" t="str">
        <f>IFERROR(__xludf.DUMMYFUNCTION("IF(ISBLANK(B1725),"""",IF(ISDATE(B1725),H1725,""""))"),"")</f>
        <v/>
      </c>
      <c r="L1725" s="40" t="str">
        <f>IFERROR(__xludf.DUMMYFUNCTION("IF(ISBLANK(B1725),"""",IF(ISDATE(B1725),TEXT(B1725,""M""),""""))"),"")</f>
        <v/>
      </c>
      <c r="M1725" s="29" t="str">
        <f>IFERROR(__xludf.DUMMYFUNCTION("IF(L1725="""","""",QUERY({'Dashboard-Dados'!$Y$2:$AA$13},""Select Col2 Where Col1=""&amp;L1725))"),"")</f>
        <v/>
      </c>
      <c r="N1725" s="29" t="str">
        <f>IFERROR(__xludf.DUMMYFUNCTION("IF(ISBLANK(B1725),"""",IF(ISDATE(B1725),TEXT(B1725,""yyyy""),""""))"),"")</f>
        <v/>
      </c>
    </row>
    <row r="1726">
      <c r="B1726" s="89"/>
      <c r="C1726" s="86"/>
      <c r="D1726" s="71"/>
      <c r="H1726" s="90"/>
      <c r="J1726" s="53" t="str">
        <f>IFERROR(__xludf.DUMMYFUNCTION("IF(ISBLANK(B1726),"""",IF(ISDATE(B1726),""X"",""""))"),"")</f>
        <v/>
      </c>
      <c r="K1726" s="40" t="str">
        <f>IFERROR(__xludf.DUMMYFUNCTION("IF(ISBLANK(B1726),"""",IF(ISDATE(B1726),H1726,""""))"),"")</f>
        <v/>
      </c>
      <c r="L1726" s="40" t="str">
        <f>IFERROR(__xludf.DUMMYFUNCTION("IF(ISBLANK(B1726),"""",IF(ISDATE(B1726),TEXT(B1726,""M""),""""))"),"")</f>
        <v/>
      </c>
      <c r="M1726" s="29" t="str">
        <f>IFERROR(__xludf.DUMMYFUNCTION("IF(L1726="""","""",QUERY({'Dashboard-Dados'!$Y$2:$AA$13},""Select Col2 Where Col1=""&amp;L1726))"),"")</f>
        <v/>
      </c>
      <c r="N1726" s="29" t="str">
        <f>IFERROR(__xludf.DUMMYFUNCTION("IF(ISBLANK(B1726),"""",IF(ISDATE(B1726),TEXT(B1726,""yyyy""),""""))"),"")</f>
        <v/>
      </c>
    </row>
    <row r="1727">
      <c r="B1727" s="87"/>
      <c r="C1727" s="85"/>
      <c r="D1727" s="76"/>
      <c r="H1727" s="88"/>
      <c r="J1727" s="53" t="str">
        <f>IFERROR(__xludf.DUMMYFUNCTION("IF(ISBLANK(B1727),"""",IF(ISDATE(B1727),""X"",""""))"),"")</f>
        <v/>
      </c>
      <c r="K1727" s="40" t="str">
        <f>IFERROR(__xludf.DUMMYFUNCTION("IF(ISBLANK(B1727),"""",IF(ISDATE(B1727),H1727,""""))"),"")</f>
        <v/>
      </c>
      <c r="L1727" s="40" t="str">
        <f>IFERROR(__xludf.DUMMYFUNCTION("IF(ISBLANK(B1727),"""",IF(ISDATE(B1727),TEXT(B1727,""M""),""""))"),"")</f>
        <v/>
      </c>
      <c r="M1727" s="29" t="str">
        <f>IFERROR(__xludf.DUMMYFUNCTION("IF(L1727="""","""",QUERY({'Dashboard-Dados'!$Y$2:$AA$13},""Select Col2 Where Col1=""&amp;L1727))"),"")</f>
        <v/>
      </c>
      <c r="N1727" s="29" t="str">
        <f>IFERROR(__xludf.DUMMYFUNCTION("IF(ISBLANK(B1727),"""",IF(ISDATE(B1727),TEXT(B1727,""yyyy""),""""))"),"")</f>
        <v/>
      </c>
    </row>
    <row r="1728">
      <c r="B1728" s="89"/>
      <c r="C1728" s="86"/>
      <c r="D1728" s="71"/>
      <c r="H1728" s="90"/>
      <c r="J1728" s="53" t="str">
        <f>IFERROR(__xludf.DUMMYFUNCTION("IF(ISBLANK(B1728),"""",IF(ISDATE(B1728),""X"",""""))"),"")</f>
        <v/>
      </c>
      <c r="K1728" s="40" t="str">
        <f>IFERROR(__xludf.DUMMYFUNCTION("IF(ISBLANK(B1728),"""",IF(ISDATE(B1728),H1728,""""))"),"")</f>
        <v/>
      </c>
      <c r="L1728" s="40" t="str">
        <f>IFERROR(__xludf.DUMMYFUNCTION("IF(ISBLANK(B1728),"""",IF(ISDATE(B1728),TEXT(B1728,""M""),""""))"),"")</f>
        <v/>
      </c>
      <c r="M1728" s="29" t="str">
        <f>IFERROR(__xludf.DUMMYFUNCTION("IF(L1728="""","""",QUERY({'Dashboard-Dados'!$Y$2:$AA$13},""Select Col2 Where Col1=""&amp;L1728))"),"")</f>
        <v/>
      </c>
      <c r="N1728" s="29" t="str">
        <f>IFERROR(__xludf.DUMMYFUNCTION("IF(ISBLANK(B1728),"""",IF(ISDATE(B1728),TEXT(B1728,""yyyy""),""""))"),"")</f>
        <v/>
      </c>
    </row>
    <row r="1729">
      <c r="B1729" s="87"/>
      <c r="C1729" s="85"/>
      <c r="D1729" s="76"/>
      <c r="H1729" s="88"/>
      <c r="J1729" s="53" t="str">
        <f>IFERROR(__xludf.DUMMYFUNCTION("IF(ISBLANK(B1729),"""",IF(ISDATE(B1729),""X"",""""))"),"")</f>
        <v/>
      </c>
      <c r="K1729" s="40" t="str">
        <f>IFERROR(__xludf.DUMMYFUNCTION("IF(ISBLANK(B1729),"""",IF(ISDATE(B1729),H1729,""""))"),"")</f>
        <v/>
      </c>
      <c r="L1729" s="40" t="str">
        <f>IFERROR(__xludf.DUMMYFUNCTION("IF(ISBLANK(B1729),"""",IF(ISDATE(B1729),TEXT(B1729,""M""),""""))"),"")</f>
        <v/>
      </c>
      <c r="M1729" s="29" t="str">
        <f>IFERROR(__xludf.DUMMYFUNCTION("IF(L1729="""","""",QUERY({'Dashboard-Dados'!$Y$2:$AA$13},""Select Col2 Where Col1=""&amp;L1729))"),"")</f>
        <v/>
      </c>
      <c r="N1729" s="29" t="str">
        <f>IFERROR(__xludf.DUMMYFUNCTION("IF(ISBLANK(B1729),"""",IF(ISDATE(B1729),TEXT(B1729,""yyyy""),""""))"),"")</f>
        <v/>
      </c>
    </row>
    <row r="1730">
      <c r="B1730" s="89"/>
      <c r="C1730" s="86"/>
      <c r="D1730" s="71"/>
      <c r="H1730" s="90"/>
      <c r="J1730" s="53" t="str">
        <f>IFERROR(__xludf.DUMMYFUNCTION("IF(ISBLANK(B1730),"""",IF(ISDATE(B1730),""X"",""""))"),"")</f>
        <v/>
      </c>
      <c r="K1730" s="40" t="str">
        <f>IFERROR(__xludf.DUMMYFUNCTION("IF(ISBLANK(B1730),"""",IF(ISDATE(B1730),H1730,""""))"),"")</f>
        <v/>
      </c>
      <c r="L1730" s="40" t="str">
        <f>IFERROR(__xludf.DUMMYFUNCTION("IF(ISBLANK(B1730),"""",IF(ISDATE(B1730),TEXT(B1730,""M""),""""))"),"")</f>
        <v/>
      </c>
      <c r="M1730" s="29" t="str">
        <f>IFERROR(__xludf.DUMMYFUNCTION("IF(L1730="""","""",QUERY({'Dashboard-Dados'!$Y$2:$AA$13},""Select Col2 Where Col1=""&amp;L1730))"),"")</f>
        <v/>
      </c>
      <c r="N1730" s="29" t="str">
        <f>IFERROR(__xludf.DUMMYFUNCTION("IF(ISBLANK(B1730),"""",IF(ISDATE(B1730),TEXT(B1730,""yyyy""),""""))"),"")</f>
        <v/>
      </c>
    </row>
    <row r="1731">
      <c r="B1731" s="87"/>
      <c r="C1731" s="85"/>
      <c r="D1731" s="76"/>
      <c r="H1731" s="88"/>
      <c r="J1731" s="53" t="str">
        <f>IFERROR(__xludf.DUMMYFUNCTION("IF(ISBLANK(B1731),"""",IF(ISDATE(B1731),""X"",""""))"),"")</f>
        <v/>
      </c>
      <c r="K1731" s="40" t="str">
        <f>IFERROR(__xludf.DUMMYFUNCTION("IF(ISBLANK(B1731),"""",IF(ISDATE(B1731),H1731,""""))"),"")</f>
        <v/>
      </c>
      <c r="L1731" s="40" t="str">
        <f>IFERROR(__xludf.DUMMYFUNCTION("IF(ISBLANK(B1731),"""",IF(ISDATE(B1731),TEXT(B1731,""M""),""""))"),"")</f>
        <v/>
      </c>
      <c r="M1731" s="29" t="str">
        <f>IFERROR(__xludf.DUMMYFUNCTION("IF(L1731="""","""",QUERY({'Dashboard-Dados'!$Y$2:$AA$13},""Select Col2 Where Col1=""&amp;L1731))"),"")</f>
        <v/>
      </c>
      <c r="N1731" s="29" t="str">
        <f>IFERROR(__xludf.DUMMYFUNCTION("IF(ISBLANK(B1731),"""",IF(ISDATE(B1731),TEXT(B1731,""yyyy""),""""))"),"")</f>
        <v/>
      </c>
    </row>
    <row r="1732">
      <c r="B1732" s="89"/>
      <c r="C1732" s="86"/>
      <c r="D1732" s="71"/>
      <c r="H1732" s="90"/>
      <c r="J1732" s="53" t="str">
        <f>IFERROR(__xludf.DUMMYFUNCTION("IF(ISBLANK(B1732),"""",IF(ISDATE(B1732),""X"",""""))"),"")</f>
        <v/>
      </c>
      <c r="K1732" s="40" t="str">
        <f>IFERROR(__xludf.DUMMYFUNCTION("IF(ISBLANK(B1732),"""",IF(ISDATE(B1732),H1732,""""))"),"")</f>
        <v/>
      </c>
      <c r="L1732" s="40" t="str">
        <f>IFERROR(__xludf.DUMMYFUNCTION("IF(ISBLANK(B1732),"""",IF(ISDATE(B1732),TEXT(B1732,""M""),""""))"),"")</f>
        <v/>
      </c>
      <c r="M1732" s="29" t="str">
        <f>IFERROR(__xludf.DUMMYFUNCTION("IF(L1732="""","""",QUERY({'Dashboard-Dados'!$Y$2:$AA$13},""Select Col2 Where Col1=""&amp;L1732))"),"")</f>
        <v/>
      </c>
      <c r="N1732" s="29" t="str">
        <f>IFERROR(__xludf.DUMMYFUNCTION("IF(ISBLANK(B1732),"""",IF(ISDATE(B1732),TEXT(B1732,""yyyy""),""""))"),"")</f>
        <v/>
      </c>
    </row>
    <row r="1733">
      <c r="B1733" s="87"/>
      <c r="C1733" s="85"/>
      <c r="D1733" s="76"/>
      <c r="H1733" s="88"/>
      <c r="J1733" s="53" t="str">
        <f>IFERROR(__xludf.DUMMYFUNCTION("IF(ISBLANK(B1733),"""",IF(ISDATE(B1733),""X"",""""))"),"")</f>
        <v/>
      </c>
      <c r="K1733" s="40" t="str">
        <f>IFERROR(__xludf.DUMMYFUNCTION("IF(ISBLANK(B1733),"""",IF(ISDATE(B1733),H1733,""""))"),"")</f>
        <v/>
      </c>
      <c r="L1733" s="40" t="str">
        <f>IFERROR(__xludf.DUMMYFUNCTION("IF(ISBLANK(B1733),"""",IF(ISDATE(B1733),TEXT(B1733,""M""),""""))"),"")</f>
        <v/>
      </c>
      <c r="M1733" s="29" t="str">
        <f>IFERROR(__xludf.DUMMYFUNCTION("IF(L1733="""","""",QUERY({'Dashboard-Dados'!$Y$2:$AA$13},""Select Col2 Where Col1=""&amp;L1733))"),"")</f>
        <v/>
      </c>
      <c r="N1733" s="29" t="str">
        <f>IFERROR(__xludf.DUMMYFUNCTION("IF(ISBLANK(B1733),"""",IF(ISDATE(B1733),TEXT(B1733,""yyyy""),""""))"),"")</f>
        <v/>
      </c>
    </row>
    <row r="1734">
      <c r="B1734" s="89"/>
      <c r="C1734" s="86"/>
      <c r="D1734" s="71"/>
      <c r="H1734" s="90"/>
      <c r="J1734" s="53" t="str">
        <f>IFERROR(__xludf.DUMMYFUNCTION("IF(ISBLANK(B1734),"""",IF(ISDATE(B1734),""X"",""""))"),"")</f>
        <v/>
      </c>
      <c r="K1734" s="40" t="str">
        <f>IFERROR(__xludf.DUMMYFUNCTION("IF(ISBLANK(B1734),"""",IF(ISDATE(B1734),H1734,""""))"),"")</f>
        <v/>
      </c>
      <c r="L1734" s="40" t="str">
        <f>IFERROR(__xludf.DUMMYFUNCTION("IF(ISBLANK(B1734),"""",IF(ISDATE(B1734),TEXT(B1734,""M""),""""))"),"")</f>
        <v/>
      </c>
      <c r="M1734" s="29" t="str">
        <f>IFERROR(__xludf.DUMMYFUNCTION("IF(L1734="""","""",QUERY({'Dashboard-Dados'!$Y$2:$AA$13},""Select Col2 Where Col1=""&amp;L1734))"),"")</f>
        <v/>
      </c>
      <c r="N1734" s="29" t="str">
        <f>IFERROR(__xludf.DUMMYFUNCTION("IF(ISBLANK(B1734),"""",IF(ISDATE(B1734),TEXT(B1734,""yyyy""),""""))"),"")</f>
        <v/>
      </c>
    </row>
    <row r="1735">
      <c r="B1735" s="87"/>
      <c r="C1735" s="85"/>
      <c r="D1735" s="76"/>
      <c r="H1735" s="88"/>
      <c r="J1735" s="53" t="str">
        <f>IFERROR(__xludf.DUMMYFUNCTION("IF(ISBLANK(B1735),"""",IF(ISDATE(B1735),""X"",""""))"),"")</f>
        <v/>
      </c>
      <c r="K1735" s="40" t="str">
        <f>IFERROR(__xludf.DUMMYFUNCTION("IF(ISBLANK(B1735),"""",IF(ISDATE(B1735),H1735,""""))"),"")</f>
        <v/>
      </c>
      <c r="L1735" s="40" t="str">
        <f>IFERROR(__xludf.DUMMYFUNCTION("IF(ISBLANK(B1735),"""",IF(ISDATE(B1735),TEXT(B1735,""M""),""""))"),"")</f>
        <v/>
      </c>
      <c r="M1735" s="29" t="str">
        <f>IFERROR(__xludf.DUMMYFUNCTION("IF(L1735="""","""",QUERY({'Dashboard-Dados'!$Y$2:$AA$13},""Select Col2 Where Col1=""&amp;L1735))"),"")</f>
        <v/>
      </c>
      <c r="N1735" s="29" t="str">
        <f>IFERROR(__xludf.DUMMYFUNCTION("IF(ISBLANK(B1735),"""",IF(ISDATE(B1735),TEXT(B1735,""yyyy""),""""))"),"")</f>
        <v/>
      </c>
    </row>
    <row r="1736">
      <c r="B1736" s="89"/>
      <c r="C1736" s="86"/>
      <c r="D1736" s="71"/>
      <c r="H1736" s="90"/>
      <c r="J1736" s="53" t="str">
        <f>IFERROR(__xludf.DUMMYFUNCTION("IF(ISBLANK(B1736),"""",IF(ISDATE(B1736),""X"",""""))"),"")</f>
        <v/>
      </c>
      <c r="K1736" s="40" t="str">
        <f>IFERROR(__xludf.DUMMYFUNCTION("IF(ISBLANK(B1736),"""",IF(ISDATE(B1736),H1736,""""))"),"")</f>
        <v/>
      </c>
      <c r="L1736" s="40" t="str">
        <f>IFERROR(__xludf.DUMMYFUNCTION("IF(ISBLANK(B1736),"""",IF(ISDATE(B1736),TEXT(B1736,""M""),""""))"),"")</f>
        <v/>
      </c>
      <c r="M1736" s="29" t="str">
        <f>IFERROR(__xludf.DUMMYFUNCTION("IF(L1736="""","""",QUERY({'Dashboard-Dados'!$Y$2:$AA$13},""Select Col2 Where Col1=""&amp;L1736))"),"")</f>
        <v/>
      </c>
      <c r="N1736" s="29" t="str">
        <f>IFERROR(__xludf.DUMMYFUNCTION("IF(ISBLANK(B1736),"""",IF(ISDATE(B1736),TEXT(B1736,""yyyy""),""""))"),"")</f>
        <v/>
      </c>
    </row>
    <row r="1737">
      <c r="B1737" s="87"/>
      <c r="C1737" s="85"/>
      <c r="D1737" s="76"/>
      <c r="H1737" s="88"/>
      <c r="J1737" s="53" t="str">
        <f>IFERROR(__xludf.DUMMYFUNCTION("IF(ISBLANK(B1737),"""",IF(ISDATE(B1737),""X"",""""))"),"")</f>
        <v/>
      </c>
      <c r="K1737" s="40" t="str">
        <f>IFERROR(__xludf.DUMMYFUNCTION("IF(ISBLANK(B1737),"""",IF(ISDATE(B1737),H1737,""""))"),"")</f>
        <v/>
      </c>
      <c r="L1737" s="40" t="str">
        <f>IFERROR(__xludf.DUMMYFUNCTION("IF(ISBLANK(B1737),"""",IF(ISDATE(B1737),TEXT(B1737,""M""),""""))"),"")</f>
        <v/>
      </c>
      <c r="M1737" s="29" t="str">
        <f>IFERROR(__xludf.DUMMYFUNCTION("IF(L1737="""","""",QUERY({'Dashboard-Dados'!$Y$2:$AA$13},""Select Col2 Where Col1=""&amp;L1737))"),"")</f>
        <v/>
      </c>
      <c r="N1737" s="29" t="str">
        <f>IFERROR(__xludf.DUMMYFUNCTION("IF(ISBLANK(B1737),"""",IF(ISDATE(B1737),TEXT(B1737,""yyyy""),""""))"),"")</f>
        <v/>
      </c>
    </row>
    <row r="1738">
      <c r="B1738" s="89"/>
      <c r="C1738" s="86"/>
      <c r="D1738" s="71"/>
      <c r="H1738" s="90"/>
      <c r="J1738" s="53" t="str">
        <f>IFERROR(__xludf.DUMMYFUNCTION("IF(ISBLANK(B1738),"""",IF(ISDATE(B1738),""X"",""""))"),"")</f>
        <v/>
      </c>
      <c r="K1738" s="40" t="str">
        <f>IFERROR(__xludf.DUMMYFUNCTION("IF(ISBLANK(B1738),"""",IF(ISDATE(B1738),H1738,""""))"),"")</f>
        <v/>
      </c>
      <c r="L1738" s="40" t="str">
        <f>IFERROR(__xludf.DUMMYFUNCTION("IF(ISBLANK(B1738),"""",IF(ISDATE(B1738),TEXT(B1738,""M""),""""))"),"")</f>
        <v/>
      </c>
      <c r="M1738" s="29" t="str">
        <f>IFERROR(__xludf.DUMMYFUNCTION("IF(L1738="""","""",QUERY({'Dashboard-Dados'!$Y$2:$AA$13},""Select Col2 Where Col1=""&amp;L1738))"),"")</f>
        <v/>
      </c>
      <c r="N1738" s="29" t="str">
        <f>IFERROR(__xludf.DUMMYFUNCTION("IF(ISBLANK(B1738),"""",IF(ISDATE(B1738),TEXT(B1738,""yyyy""),""""))"),"")</f>
        <v/>
      </c>
    </row>
    <row r="1739">
      <c r="B1739" s="87"/>
      <c r="C1739" s="85"/>
      <c r="D1739" s="76"/>
      <c r="H1739" s="88"/>
      <c r="J1739" s="53" t="str">
        <f>IFERROR(__xludf.DUMMYFUNCTION("IF(ISBLANK(B1739),"""",IF(ISDATE(B1739),""X"",""""))"),"")</f>
        <v/>
      </c>
      <c r="K1739" s="40" t="str">
        <f>IFERROR(__xludf.DUMMYFUNCTION("IF(ISBLANK(B1739),"""",IF(ISDATE(B1739),H1739,""""))"),"")</f>
        <v/>
      </c>
      <c r="L1739" s="40" t="str">
        <f>IFERROR(__xludf.DUMMYFUNCTION("IF(ISBLANK(B1739),"""",IF(ISDATE(B1739),TEXT(B1739,""M""),""""))"),"")</f>
        <v/>
      </c>
      <c r="M1739" s="29" t="str">
        <f>IFERROR(__xludf.DUMMYFUNCTION("IF(L1739="""","""",QUERY({'Dashboard-Dados'!$Y$2:$AA$13},""Select Col2 Where Col1=""&amp;L1739))"),"")</f>
        <v/>
      </c>
      <c r="N1739" s="29" t="str">
        <f>IFERROR(__xludf.DUMMYFUNCTION("IF(ISBLANK(B1739),"""",IF(ISDATE(B1739),TEXT(B1739,""yyyy""),""""))"),"")</f>
        <v/>
      </c>
    </row>
    <row r="1740">
      <c r="B1740" s="89"/>
      <c r="C1740" s="86"/>
      <c r="D1740" s="71"/>
      <c r="H1740" s="90"/>
      <c r="J1740" s="53" t="str">
        <f>IFERROR(__xludf.DUMMYFUNCTION("IF(ISBLANK(B1740),"""",IF(ISDATE(B1740),""X"",""""))"),"")</f>
        <v/>
      </c>
      <c r="K1740" s="40" t="str">
        <f>IFERROR(__xludf.DUMMYFUNCTION("IF(ISBLANK(B1740),"""",IF(ISDATE(B1740),H1740,""""))"),"")</f>
        <v/>
      </c>
      <c r="L1740" s="40" t="str">
        <f>IFERROR(__xludf.DUMMYFUNCTION("IF(ISBLANK(B1740),"""",IF(ISDATE(B1740),TEXT(B1740,""M""),""""))"),"")</f>
        <v/>
      </c>
      <c r="M1740" s="29" t="str">
        <f>IFERROR(__xludf.DUMMYFUNCTION("IF(L1740="""","""",QUERY({'Dashboard-Dados'!$Y$2:$AA$13},""Select Col2 Where Col1=""&amp;L1740))"),"")</f>
        <v/>
      </c>
      <c r="N1740" s="29" t="str">
        <f>IFERROR(__xludf.DUMMYFUNCTION("IF(ISBLANK(B1740),"""",IF(ISDATE(B1740),TEXT(B1740,""yyyy""),""""))"),"")</f>
        <v/>
      </c>
    </row>
    <row r="1741">
      <c r="B1741" s="87"/>
      <c r="C1741" s="85"/>
      <c r="D1741" s="76"/>
      <c r="H1741" s="88"/>
      <c r="J1741" s="53" t="str">
        <f>IFERROR(__xludf.DUMMYFUNCTION("IF(ISBLANK(B1741),"""",IF(ISDATE(B1741),""X"",""""))"),"")</f>
        <v/>
      </c>
      <c r="K1741" s="40" t="str">
        <f>IFERROR(__xludf.DUMMYFUNCTION("IF(ISBLANK(B1741),"""",IF(ISDATE(B1741),H1741,""""))"),"")</f>
        <v/>
      </c>
      <c r="L1741" s="40" t="str">
        <f>IFERROR(__xludf.DUMMYFUNCTION("IF(ISBLANK(B1741),"""",IF(ISDATE(B1741),TEXT(B1741,""M""),""""))"),"")</f>
        <v/>
      </c>
      <c r="M1741" s="29" t="str">
        <f>IFERROR(__xludf.DUMMYFUNCTION("IF(L1741="""","""",QUERY({'Dashboard-Dados'!$Y$2:$AA$13},""Select Col2 Where Col1=""&amp;L1741))"),"")</f>
        <v/>
      </c>
      <c r="N1741" s="29" t="str">
        <f>IFERROR(__xludf.DUMMYFUNCTION("IF(ISBLANK(B1741),"""",IF(ISDATE(B1741),TEXT(B1741,""yyyy""),""""))"),"")</f>
        <v/>
      </c>
    </row>
    <row r="1742">
      <c r="B1742" s="89"/>
      <c r="C1742" s="86"/>
      <c r="D1742" s="71"/>
      <c r="H1742" s="90"/>
      <c r="J1742" s="53" t="str">
        <f>IFERROR(__xludf.DUMMYFUNCTION("IF(ISBLANK(B1742),"""",IF(ISDATE(B1742),""X"",""""))"),"")</f>
        <v/>
      </c>
      <c r="K1742" s="40" t="str">
        <f>IFERROR(__xludf.DUMMYFUNCTION("IF(ISBLANK(B1742),"""",IF(ISDATE(B1742),H1742,""""))"),"")</f>
        <v/>
      </c>
      <c r="L1742" s="40" t="str">
        <f>IFERROR(__xludf.DUMMYFUNCTION("IF(ISBLANK(B1742),"""",IF(ISDATE(B1742),TEXT(B1742,""M""),""""))"),"")</f>
        <v/>
      </c>
      <c r="M1742" s="29" t="str">
        <f>IFERROR(__xludf.DUMMYFUNCTION("IF(L1742="""","""",QUERY({'Dashboard-Dados'!$Y$2:$AA$13},""Select Col2 Where Col1=""&amp;L1742))"),"")</f>
        <v/>
      </c>
      <c r="N1742" s="29" t="str">
        <f>IFERROR(__xludf.DUMMYFUNCTION("IF(ISBLANK(B1742),"""",IF(ISDATE(B1742),TEXT(B1742,""yyyy""),""""))"),"")</f>
        <v/>
      </c>
    </row>
    <row r="1743">
      <c r="B1743" s="87"/>
      <c r="C1743" s="85"/>
      <c r="D1743" s="76"/>
      <c r="H1743" s="88"/>
      <c r="J1743" s="53" t="str">
        <f>IFERROR(__xludf.DUMMYFUNCTION("IF(ISBLANK(B1743),"""",IF(ISDATE(B1743),""X"",""""))"),"")</f>
        <v/>
      </c>
      <c r="K1743" s="40" t="str">
        <f>IFERROR(__xludf.DUMMYFUNCTION("IF(ISBLANK(B1743),"""",IF(ISDATE(B1743),H1743,""""))"),"")</f>
        <v/>
      </c>
      <c r="L1743" s="40" t="str">
        <f>IFERROR(__xludf.DUMMYFUNCTION("IF(ISBLANK(B1743),"""",IF(ISDATE(B1743),TEXT(B1743,""M""),""""))"),"")</f>
        <v/>
      </c>
      <c r="M1743" s="29" t="str">
        <f>IFERROR(__xludf.DUMMYFUNCTION("IF(L1743="""","""",QUERY({'Dashboard-Dados'!$Y$2:$AA$13},""Select Col2 Where Col1=""&amp;L1743))"),"")</f>
        <v/>
      </c>
      <c r="N1743" s="29" t="str">
        <f>IFERROR(__xludf.DUMMYFUNCTION("IF(ISBLANK(B1743),"""",IF(ISDATE(B1743),TEXT(B1743,""yyyy""),""""))"),"")</f>
        <v/>
      </c>
    </row>
    <row r="1744">
      <c r="B1744" s="89"/>
      <c r="C1744" s="86"/>
      <c r="D1744" s="71"/>
      <c r="H1744" s="90"/>
      <c r="J1744" s="53" t="str">
        <f>IFERROR(__xludf.DUMMYFUNCTION("IF(ISBLANK(B1744),"""",IF(ISDATE(B1744),""X"",""""))"),"")</f>
        <v/>
      </c>
      <c r="K1744" s="40" t="str">
        <f>IFERROR(__xludf.DUMMYFUNCTION("IF(ISBLANK(B1744),"""",IF(ISDATE(B1744),H1744,""""))"),"")</f>
        <v/>
      </c>
      <c r="L1744" s="40" t="str">
        <f>IFERROR(__xludf.DUMMYFUNCTION("IF(ISBLANK(B1744),"""",IF(ISDATE(B1744),TEXT(B1744,""M""),""""))"),"")</f>
        <v/>
      </c>
      <c r="M1744" s="29" t="str">
        <f>IFERROR(__xludf.DUMMYFUNCTION("IF(L1744="""","""",QUERY({'Dashboard-Dados'!$Y$2:$AA$13},""Select Col2 Where Col1=""&amp;L1744))"),"")</f>
        <v/>
      </c>
      <c r="N1744" s="29" t="str">
        <f>IFERROR(__xludf.DUMMYFUNCTION("IF(ISBLANK(B1744),"""",IF(ISDATE(B1744),TEXT(B1744,""yyyy""),""""))"),"")</f>
        <v/>
      </c>
    </row>
    <row r="1745">
      <c r="B1745" s="87"/>
      <c r="C1745" s="85"/>
      <c r="D1745" s="76"/>
      <c r="H1745" s="88"/>
      <c r="J1745" s="53" t="str">
        <f>IFERROR(__xludf.DUMMYFUNCTION("IF(ISBLANK(B1745),"""",IF(ISDATE(B1745),""X"",""""))"),"")</f>
        <v/>
      </c>
      <c r="K1745" s="40" t="str">
        <f>IFERROR(__xludf.DUMMYFUNCTION("IF(ISBLANK(B1745),"""",IF(ISDATE(B1745),H1745,""""))"),"")</f>
        <v/>
      </c>
      <c r="L1745" s="40" t="str">
        <f>IFERROR(__xludf.DUMMYFUNCTION("IF(ISBLANK(B1745),"""",IF(ISDATE(B1745),TEXT(B1745,""M""),""""))"),"")</f>
        <v/>
      </c>
      <c r="M1745" s="29" t="str">
        <f>IFERROR(__xludf.DUMMYFUNCTION("IF(L1745="""","""",QUERY({'Dashboard-Dados'!$Y$2:$AA$13},""Select Col2 Where Col1=""&amp;L1745))"),"")</f>
        <v/>
      </c>
      <c r="N1745" s="29" t="str">
        <f>IFERROR(__xludf.DUMMYFUNCTION("IF(ISBLANK(B1745),"""",IF(ISDATE(B1745),TEXT(B1745,""yyyy""),""""))"),"")</f>
        <v/>
      </c>
    </row>
    <row r="1746">
      <c r="B1746" s="89"/>
      <c r="C1746" s="86"/>
      <c r="D1746" s="71"/>
      <c r="H1746" s="90"/>
      <c r="J1746" s="53" t="str">
        <f>IFERROR(__xludf.DUMMYFUNCTION("IF(ISBLANK(B1746),"""",IF(ISDATE(B1746),""X"",""""))"),"")</f>
        <v/>
      </c>
      <c r="K1746" s="40" t="str">
        <f>IFERROR(__xludf.DUMMYFUNCTION("IF(ISBLANK(B1746),"""",IF(ISDATE(B1746),H1746,""""))"),"")</f>
        <v/>
      </c>
      <c r="L1746" s="40" t="str">
        <f>IFERROR(__xludf.DUMMYFUNCTION("IF(ISBLANK(B1746),"""",IF(ISDATE(B1746),TEXT(B1746,""M""),""""))"),"")</f>
        <v/>
      </c>
      <c r="M1746" s="29" t="str">
        <f>IFERROR(__xludf.DUMMYFUNCTION("IF(L1746="""","""",QUERY({'Dashboard-Dados'!$Y$2:$AA$13},""Select Col2 Where Col1=""&amp;L1746))"),"")</f>
        <v/>
      </c>
      <c r="N1746" s="29" t="str">
        <f>IFERROR(__xludf.DUMMYFUNCTION("IF(ISBLANK(B1746),"""",IF(ISDATE(B1746),TEXT(B1746,""yyyy""),""""))"),"")</f>
        <v/>
      </c>
    </row>
    <row r="1747">
      <c r="B1747" s="87"/>
      <c r="C1747" s="85"/>
      <c r="D1747" s="76"/>
      <c r="H1747" s="88"/>
      <c r="J1747" s="53" t="str">
        <f>IFERROR(__xludf.DUMMYFUNCTION("IF(ISBLANK(B1747),"""",IF(ISDATE(B1747),""X"",""""))"),"")</f>
        <v/>
      </c>
      <c r="K1747" s="40" t="str">
        <f>IFERROR(__xludf.DUMMYFUNCTION("IF(ISBLANK(B1747),"""",IF(ISDATE(B1747),H1747,""""))"),"")</f>
        <v/>
      </c>
      <c r="L1747" s="40" t="str">
        <f>IFERROR(__xludf.DUMMYFUNCTION("IF(ISBLANK(B1747),"""",IF(ISDATE(B1747),TEXT(B1747,""M""),""""))"),"")</f>
        <v/>
      </c>
      <c r="M1747" s="29" t="str">
        <f>IFERROR(__xludf.DUMMYFUNCTION("IF(L1747="""","""",QUERY({'Dashboard-Dados'!$Y$2:$AA$13},""Select Col2 Where Col1=""&amp;L1747))"),"")</f>
        <v/>
      </c>
      <c r="N1747" s="29" t="str">
        <f>IFERROR(__xludf.DUMMYFUNCTION("IF(ISBLANK(B1747),"""",IF(ISDATE(B1747),TEXT(B1747,""yyyy""),""""))"),"")</f>
        <v/>
      </c>
    </row>
    <row r="1748">
      <c r="B1748" s="89"/>
      <c r="C1748" s="86"/>
      <c r="D1748" s="71"/>
      <c r="H1748" s="90"/>
      <c r="J1748" s="53" t="str">
        <f>IFERROR(__xludf.DUMMYFUNCTION("IF(ISBLANK(B1748),"""",IF(ISDATE(B1748),""X"",""""))"),"")</f>
        <v/>
      </c>
      <c r="K1748" s="40" t="str">
        <f>IFERROR(__xludf.DUMMYFUNCTION("IF(ISBLANK(B1748),"""",IF(ISDATE(B1748),H1748,""""))"),"")</f>
        <v/>
      </c>
      <c r="L1748" s="40" t="str">
        <f>IFERROR(__xludf.DUMMYFUNCTION("IF(ISBLANK(B1748),"""",IF(ISDATE(B1748),TEXT(B1748,""M""),""""))"),"")</f>
        <v/>
      </c>
      <c r="M1748" s="29" t="str">
        <f>IFERROR(__xludf.DUMMYFUNCTION("IF(L1748="""","""",QUERY({'Dashboard-Dados'!$Y$2:$AA$13},""Select Col2 Where Col1=""&amp;L1748))"),"")</f>
        <v/>
      </c>
      <c r="N1748" s="29" t="str">
        <f>IFERROR(__xludf.DUMMYFUNCTION("IF(ISBLANK(B1748),"""",IF(ISDATE(B1748),TEXT(B1748,""yyyy""),""""))"),"")</f>
        <v/>
      </c>
    </row>
    <row r="1749">
      <c r="B1749" s="87"/>
      <c r="C1749" s="85"/>
      <c r="D1749" s="76"/>
      <c r="H1749" s="88"/>
      <c r="J1749" s="53" t="str">
        <f>IFERROR(__xludf.DUMMYFUNCTION("IF(ISBLANK(B1749),"""",IF(ISDATE(B1749),""X"",""""))"),"")</f>
        <v/>
      </c>
      <c r="K1749" s="40" t="str">
        <f>IFERROR(__xludf.DUMMYFUNCTION("IF(ISBLANK(B1749),"""",IF(ISDATE(B1749),H1749,""""))"),"")</f>
        <v/>
      </c>
      <c r="L1749" s="40" t="str">
        <f>IFERROR(__xludf.DUMMYFUNCTION("IF(ISBLANK(B1749),"""",IF(ISDATE(B1749),TEXT(B1749,""M""),""""))"),"")</f>
        <v/>
      </c>
      <c r="M1749" s="29" t="str">
        <f>IFERROR(__xludf.DUMMYFUNCTION("IF(L1749="""","""",QUERY({'Dashboard-Dados'!$Y$2:$AA$13},""Select Col2 Where Col1=""&amp;L1749))"),"")</f>
        <v/>
      </c>
      <c r="N1749" s="29" t="str">
        <f>IFERROR(__xludf.DUMMYFUNCTION("IF(ISBLANK(B1749),"""",IF(ISDATE(B1749),TEXT(B1749,""yyyy""),""""))"),"")</f>
        <v/>
      </c>
    </row>
    <row r="1750">
      <c r="B1750" s="89"/>
      <c r="C1750" s="86"/>
      <c r="D1750" s="71"/>
      <c r="H1750" s="90"/>
      <c r="J1750" s="53" t="str">
        <f>IFERROR(__xludf.DUMMYFUNCTION("IF(ISBLANK(B1750),"""",IF(ISDATE(B1750),""X"",""""))"),"")</f>
        <v/>
      </c>
      <c r="K1750" s="40" t="str">
        <f>IFERROR(__xludf.DUMMYFUNCTION("IF(ISBLANK(B1750),"""",IF(ISDATE(B1750),H1750,""""))"),"")</f>
        <v/>
      </c>
      <c r="L1750" s="40" t="str">
        <f>IFERROR(__xludf.DUMMYFUNCTION("IF(ISBLANK(B1750),"""",IF(ISDATE(B1750),TEXT(B1750,""M""),""""))"),"")</f>
        <v/>
      </c>
      <c r="M1750" s="29" t="str">
        <f>IFERROR(__xludf.DUMMYFUNCTION("IF(L1750="""","""",QUERY({'Dashboard-Dados'!$Y$2:$AA$13},""Select Col2 Where Col1=""&amp;L1750))"),"")</f>
        <v/>
      </c>
      <c r="N1750" s="29" t="str">
        <f>IFERROR(__xludf.DUMMYFUNCTION("IF(ISBLANK(B1750),"""",IF(ISDATE(B1750),TEXT(B1750,""yyyy""),""""))"),"")</f>
        <v/>
      </c>
    </row>
    <row r="1751">
      <c r="B1751" s="87"/>
      <c r="C1751" s="85"/>
      <c r="D1751" s="76"/>
      <c r="H1751" s="88"/>
      <c r="J1751" s="53" t="str">
        <f>IFERROR(__xludf.DUMMYFUNCTION("IF(ISBLANK(B1751),"""",IF(ISDATE(B1751),""X"",""""))"),"")</f>
        <v/>
      </c>
      <c r="K1751" s="40" t="str">
        <f>IFERROR(__xludf.DUMMYFUNCTION("IF(ISBLANK(B1751),"""",IF(ISDATE(B1751),H1751,""""))"),"")</f>
        <v/>
      </c>
      <c r="L1751" s="40" t="str">
        <f>IFERROR(__xludf.DUMMYFUNCTION("IF(ISBLANK(B1751),"""",IF(ISDATE(B1751),TEXT(B1751,""M""),""""))"),"")</f>
        <v/>
      </c>
      <c r="M1751" s="29" t="str">
        <f>IFERROR(__xludf.DUMMYFUNCTION("IF(L1751="""","""",QUERY({'Dashboard-Dados'!$Y$2:$AA$13},""Select Col2 Where Col1=""&amp;L1751))"),"")</f>
        <v/>
      </c>
      <c r="N1751" s="29" t="str">
        <f>IFERROR(__xludf.DUMMYFUNCTION("IF(ISBLANK(B1751),"""",IF(ISDATE(B1751),TEXT(B1751,""yyyy""),""""))"),"")</f>
        <v/>
      </c>
    </row>
    <row r="1752">
      <c r="B1752" s="89"/>
      <c r="C1752" s="86"/>
      <c r="D1752" s="71"/>
      <c r="H1752" s="90"/>
      <c r="J1752" s="53" t="str">
        <f>IFERROR(__xludf.DUMMYFUNCTION("IF(ISBLANK(B1752),"""",IF(ISDATE(B1752),""X"",""""))"),"")</f>
        <v/>
      </c>
      <c r="K1752" s="40" t="str">
        <f>IFERROR(__xludf.DUMMYFUNCTION("IF(ISBLANK(B1752),"""",IF(ISDATE(B1752),H1752,""""))"),"")</f>
        <v/>
      </c>
      <c r="L1752" s="40" t="str">
        <f>IFERROR(__xludf.DUMMYFUNCTION("IF(ISBLANK(B1752),"""",IF(ISDATE(B1752),TEXT(B1752,""M""),""""))"),"")</f>
        <v/>
      </c>
      <c r="M1752" s="29" t="str">
        <f>IFERROR(__xludf.DUMMYFUNCTION("IF(L1752="""","""",QUERY({'Dashboard-Dados'!$Y$2:$AA$13},""Select Col2 Where Col1=""&amp;L1752))"),"")</f>
        <v/>
      </c>
      <c r="N1752" s="29" t="str">
        <f>IFERROR(__xludf.DUMMYFUNCTION("IF(ISBLANK(B1752),"""",IF(ISDATE(B1752),TEXT(B1752,""yyyy""),""""))"),"")</f>
        <v/>
      </c>
    </row>
    <row r="1753">
      <c r="B1753" s="87"/>
      <c r="C1753" s="85"/>
      <c r="D1753" s="76"/>
      <c r="H1753" s="88"/>
      <c r="J1753" s="53" t="str">
        <f>IFERROR(__xludf.DUMMYFUNCTION("IF(ISBLANK(B1753),"""",IF(ISDATE(B1753),""X"",""""))"),"")</f>
        <v/>
      </c>
      <c r="K1753" s="40" t="str">
        <f>IFERROR(__xludf.DUMMYFUNCTION("IF(ISBLANK(B1753),"""",IF(ISDATE(B1753),H1753,""""))"),"")</f>
        <v/>
      </c>
      <c r="L1753" s="40" t="str">
        <f>IFERROR(__xludf.DUMMYFUNCTION("IF(ISBLANK(B1753),"""",IF(ISDATE(B1753),TEXT(B1753,""M""),""""))"),"")</f>
        <v/>
      </c>
      <c r="M1753" s="29" t="str">
        <f>IFERROR(__xludf.DUMMYFUNCTION("IF(L1753="""","""",QUERY({'Dashboard-Dados'!$Y$2:$AA$13},""Select Col2 Where Col1=""&amp;L1753))"),"")</f>
        <v/>
      </c>
      <c r="N1753" s="29" t="str">
        <f>IFERROR(__xludf.DUMMYFUNCTION("IF(ISBLANK(B1753),"""",IF(ISDATE(B1753),TEXT(B1753,""yyyy""),""""))"),"")</f>
        <v/>
      </c>
    </row>
    <row r="1754">
      <c r="B1754" s="89"/>
      <c r="C1754" s="86"/>
      <c r="D1754" s="71"/>
      <c r="H1754" s="90"/>
      <c r="J1754" s="53" t="str">
        <f>IFERROR(__xludf.DUMMYFUNCTION("IF(ISBLANK(B1754),"""",IF(ISDATE(B1754),""X"",""""))"),"")</f>
        <v/>
      </c>
      <c r="K1754" s="40" t="str">
        <f>IFERROR(__xludf.DUMMYFUNCTION("IF(ISBLANK(B1754),"""",IF(ISDATE(B1754),H1754,""""))"),"")</f>
        <v/>
      </c>
      <c r="L1754" s="40" t="str">
        <f>IFERROR(__xludf.DUMMYFUNCTION("IF(ISBLANK(B1754),"""",IF(ISDATE(B1754),TEXT(B1754,""M""),""""))"),"")</f>
        <v/>
      </c>
      <c r="M1754" s="29" t="str">
        <f>IFERROR(__xludf.DUMMYFUNCTION("IF(L1754="""","""",QUERY({'Dashboard-Dados'!$Y$2:$AA$13},""Select Col2 Where Col1=""&amp;L1754))"),"")</f>
        <v/>
      </c>
      <c r="N1754" s="29" t="str">
        <f>IFERROR(__xludf.DUMMYFUNCTION("IF(ISBLANK(B1754),"""",IF(ISDATE(B1754),TEXT(B1754,""yyyy""),""""))"),"")</f>
        <v/>
      </c>
    </row>
    <row r="1755">
      <c r="B1755" s="87"/>
      <c r="C1755" s="85"/>
      <c r="D1755" s="76"/>
      <c r="H1755" s="88"/>
      <c r="J1755" s="53" t="str">
        <f>IFERROR(__xludf.DUMMYFUNCTION("IF(ISBLANK(B1755),"""",IF(ISDATE(B1755),""X"",""""))"),"")</f>
        <v/>
      </c>
      <c r="K1755" s="40" t="str">
        <f>IFERROR(__xludf.DUMMYFUNCTION("IF(ISBLANK(B1755),"""",IF(ISDATE(B1755),H1755,""""))"),"")</f>
        <v/>
      </c>
      <c r="L1755" s="40" t="str">
        <f>IFERROR(__xludf.DUMMYFUNCTION("IF(ISBLANK(B1755),"""",IF(ISDATE(B1755),TEXT(B1755,""M""),""""))"),"")</f>
        <v/>
      </c>
      <c r="M1755" s="29" t="str">
        <f>IFERROR(__xludf.DUMMYFUNCTION("IF(L1755="""","""",QUERY({'Dashboard-Dados'!$Y$2:$AA$13},""Select Col2 Where Col1=""&amp;L1755))"),"")</f>
        <v/>
      </c>
      <c r="N1755" s="29" t="str">
        <f>IFERROR(__xludf.DUMMYFUNCTION("IF(ISBLANK(B1755),"""",IF(ISDATE(B1755),TEXT(B1755,""yyyy""),""""))"),"")</f>
        <v/>
      </c>
    </row>
    <row r="1756">
      <c r="B1756" s="89"/>
      <c r="C1756" s="86"/>
      <c r="D1756" s="71"/>
      <c r="H1756" s="90"/>
      <c r="J1756" s="53" t="str">
        <f>IFERROR(__xludf.DUMMYFUNCTION("IF(ISBLANK(B1756),"""",IF(ISDATE(B1756),""X"",""""))"),"")</f>
        <v/>
      </c>
      <c r="K1756" s="40" t="str">
        <f>IFERROR(__xludf.DUMMYFUNCTION("IF(ISBLANK(B1756),"""",IF(ISDATE(B1756),H1756,""""))"),"")</f>
        <v/>
      </c>
      <c r="L1756" s="40" t="str">
        <f>IFERROR(__xludf.DUMMYFUNCTION("IF(ISBLANK(B1756),"""",IF(ISDATE(B1756),TEXT(B1756,""M""),""""))"),"")</f>
        <v/>
      </c>
      <c r="M1756" s="29" t="str">
        <f>IFERROR(__xludf.DUMMYFUNCTION("IF(L1756="""","""",QUERY({'Dashboard-Dados'!$Y$2:$AA$13},""Select Col2 Where Col1=""&amp;L1756))"),"")</f>
        <v/>
      </c>
      <c r="N1756" s="29" t="str">
        <f>IFERROR(__xludf.DUMMYFUNCTION("IF(ISBLANK(B1756),"""",IF(ISDATE(B1756),TEXT(B1756,""yyyy""),""""))"),"")</f>
        <v/>
      </c>
    </row>
    <row r="1757">
      <c r="B1757" s="87"/>
      <c r="C1757" s="85"/>
      <c r="D1757" s="76"/>
      <c r="H1757" s="88"/>
      <c r="J1757" s="53" t="str">
        <f>IFERROR(__xludf.DUMMYFUNCTION("IF(ISBLANK(B1757),"""",IF(ISDATE(B1757),""X"",""""))"),"")</f>
        <v/>
      </c>
      <c r="K1757" s="40" t="str">
        <f>IFERROR(__xludf.DUMMYFUNCTION("IF(ISBLANK(B1757),"""",IF(ISDATE(B1757),H1757,""""))"),"")</f>
        <v/>
      </c>
      <c r="L1757" s="40" t="str">
        <f>IFERROR(__xludf.DUMMYFUNCTION("IF(ISBLANK(B1757),"""",IF(ISDATE(B1757),TEXT(B1757,""M""),""""))"),"")</f>
        <v/>
      </c>
      <c r="M1757" s="29" t="str">
        <f>IFERROR(__xludf.DUMMYFUNCTION("IF(L1757="""","""",QUERY({'Dashboard-Dados'!$Y$2:$AA$13},""Select Col2 Where Col1=""&amp;L1757))"),"")</f>
        <v/>
      </c>
      <c r="N1757" s="29" t="str">
        <f>IFERROR(__xludf.DUMMYFUNCTION("IF(ISBLANK(B1757),"""",IF(ISDATE(B1757),TEXT(B1757,""yyyy""),""""))"),"")</f>
        <v/>
      </c>
    </row>
    <row r="1758">
      <c r="B1758" s="89"/>
      <c r="C1758" s="86"/>
      <c r="D1758" s="71"/>
      <c r="H1758" s="90"/>
      <c r="J1758" s="53" t="str">
        <f>IFERROR(__xludf.DUMMYFUNCTION("IF(ISBLANK(B1758),"""",IF(ISDATE(B1758),""X"",""""))"),"")</f>
        <v/>
      </c>
      <c r="K1758" s="40" t="str">
        <f>IFERROR(__xludf.DUMMYFUNCTION("IF(ISBLANK(B1758),"""",IF(ISDATE(B1758),H1758,""""))"),"")</f>
        <v/>
      </c>
      <c r="L1758" s="40" t="str">
        <f>IFERROR(__xludf.DUMMYFUNCTION("IF(ISBLANK(B1758),"""",IF(ISDATE(B1758),TEXT(B1758,""M""),""""))"),"")</f>
        <v/>
      </c>
      <c r="M1758" s="29" t="str">
        <f>IFERROR(__xludf.DUMMYFUNCTION("IF(L1758="""","""",QUERY({'Dashboard-Dados'!$Y$2:$AA$13},""Select Col2 Where Col1=""&amp;L1758))"),"")</f>
        <v/>
      </c>
      <c r="N1758" s="29" t="str">
        <f>IFERROR(__xludf.DUMMYFUNCTION("IF(ISBLANK(B1758),"""",IF(ISDATE(B1758),TEXT(B1758,""yyyy""),""""))"),"")</f>
        <v/>
      </c>
    </row>
    <row r="1759">
      <c r="B1759" s="87"/>
      <c r="C1759" s="85"/>
      <c r="D1759" s="76"/>
      <c r="H1759" s="88"/>
      <c r="J1759" s="53" t="str">
        <f>IFERROR(__xludf.DUMMYFUNCTION("IF(ISBLANK(B1759),"""",IF(ISDATE(B1759),""X"",""""))"),"")</f>
        <v/>
      </c>
      <c r="K1759" s="40" t="str">
        <f>IFERROR(__xludf.DUMMYFUNCTION("IF(ISBLANK(B1759),"""",IF(ISDATE(B1759),H1759,""""))"),"")</f>
        <v/>
      </c>
      <c r="L1759" s="40" t="str">
        <f>IFERROR(__xludf.DUMMYFUNCTION("IF(ISBLANK(B1759),"""",IF(ISDATE(B1759),TEXT(B1759,""M""),""""))"),"")</f>
        <v/>
      </c>
      <c r="M1759" s="29" t="str">
        <f>IFERROR(__xludf.DUMMYFUNCTION("IF(L1759="""","""",QUERY({'Dashboard-Dados'!$Y$2:$AA$13},""Select Col2 Where Col1=""&amp;L1759))"),"")</f>
        <v/>
      </c>
      <c r="N1759" s="29" t="str">
        <f>IFERROR(__xludf.DUMMYFUNCTION("IF(ISBLANK(B1759),"""",IF(ISDATE(B1759),TEXT(B1759,""yyyy""),""""))"),"")</f>
        <v/>
      </c>
    </row>
    <row r="1760">
      <c r="B1760" s="89"/>
      <c r="C1760" s="86"/>
      <c r="D1760" s="71"/>
      <c r="H1760" s="90"/>
      <c r="J1760" s="53" t="str">
        <f>IFERROR(__xludf.DUMMYFUNCTION("IF(ISBLANK(B1760),"""",IF(ISDATE(B1760),""X"",""""))"),"")</f>
        <v/>
      </c>
      <c r="K1760" s="40" t="str">
        <f>IFERROR(__xludf.DUMMYFUNCTION("IF(ISBLANK(B1760),"""",IF(ISDATE(B1760),H1760,""""))"),"")</f>
        <v/>
      </c>
      <c r="L1760" s="40" t="str">
        <f>IFERROR(__xludf.DUMMYFUNCTION("IF(ISBLANK(B1760),"""",IF(ISDATE(B1760),TEXT(B1760,""M""),""""))"),"")</f>
        <v/>
      </c>
      <c r="M1760" s="29" t="str">
        <f>IFERROR(__xludf.DUMMYFUNCTION("IF(L1760="""","""",QUERY({'Dashboard-Dados'!$Y$2:$AA$13},""Select Col2 Where Col1=""&amp;L1760))"),"")</f>
        <v/>
      </c>
      <c r="N1760" s="29" t="str">
        <f>IFERROR(__xludf.DUMMYFUNCTION("IF(ISBLANK(B1760),"""",IF(ISDATE(B1760),TEXT(B1760,""yyyy""),""""))"),"")</f>
        <v/>
      </c>
    </row>
    <row r="1761">
      <c r="B1761" s="87"/>
      <c r="C1761" s="85"/>
      <c r="D1761" s="76"/>
      <c r="H1761" s="88"/>
      <c r="J1761" s="53" t="str">
        <f>IFERROR(__xludf.DUMMYFUNCTION("IF(ISBLANK(B1761),"""",IF(ISDATE(B1761),""X"",""""))"),"")</f>
        <v/>
      </c>
      <c r="K1761" s="40" t="str">
        <f>IFERROR(__xludf.DUMMYFUNCTION("IF(ISBLANK(B1761),"""",IF(ISDATE(B1761),H1761,""""))"),"")</f>
        <v/>
      </c>
      <c r="L1761" s="40" t="str">
        <f>IFERROR(__xludf.DUMMYFUNCTION("IF(ISBLANK(B1761),"""",IF(ISDATE(B1761),TEXT(B1761,""M""),""""))"),"")</f>
        <v/>
      </c>
      <c r="M1761" s="29" t="str">
        <f>IFERROR(__xludf.DUMMYFUNCTION("IF(L1761="""","""",QUERY({'Dashboard-Dados'!$Y$2:$AA$13},""Select Col2 Where Col1=""&amp;L1761))"),"")</f>
        <v/>
      </c>
      <c r="N1761" s="29" t="str">
        <f>IFERROR(__xludf.DUMMYFUNCTION("IF(ISBLANK(B1761),"""",IF(ISDATE(B1761),TEXT(B1761,""yyyy""),""""))"),"")</f>
        <v/>
      </c>
    </row>
    <row r="1762">
      <c r="B1762" s="89"/>
      <c r="C1762" s="86"/>
      <c r="D1762" s="71"/>
      <c r="H1762" s="90"/>
      <c r="J1762" s="53" t="str">
        <f>IFERROR(__xludf.DUMMYFUNCTION("IF(ISBLANK(B1762),"""",IF(ISDATE(B1762),""X"",""""))"),"")</f>
        <v/>
      </c>
      <c r="K1762" s="40" t="str">
        <f>IFERROR(__xludf.DUMMYFUNCTION("IF(ISBLANK(B1762),"""",IF(ISDATE(B1762),H1762,""""))"),"")</f>
        <v/>
      </c>
      <c r="L1762" s="40" t="str">
        <f>IFERROR(__xludf.DUMMYFUNCTION("IF(ISBLANK(B1762),"""",IF(ISDATE(B1762),TEXT(B1762,""M""),""""))"),"")</f>
        <v/>
      </c>
      <c r="M1762" s="29" t="str">
        <f>IFERROR(__xludf.DUMMYFUNCTION("IF(L1762="""","""",QUERY({'Dashboard-Dados'!$Y$2:$AA$13},""Select Col2 Where Col1=""&amp;L1762))"),"")</f>
        <v/>
      </c>
      <c r="N1762" s="29" t="str">
        <f>IFERROR(__xludf.DUMMYFUNCTION("IF(ISBLANK(B1762),"""",IF(ISDATE(B1762),TEXT(B1762,""yyyy""),""""))"),"")</f>
        <v/>
      </c>
    </row>
    <row r="1763">
      <c r="B1763" s="87"/>
      <c r="C1763" s="85"/>
      <c r="D1763" s="76"/>
      <c r="H1763" s="88"/>
      <c r="J1763" s="53" t="str">
        <f>IFERROR(__xludf.DUMMYFUNCTION("IF(ISBLANK(B1763),"""",IF(ISDATE(B1763),""X"",""""))"),"")</f>
        <v/>
      </c>
      <c r="K1763" s="40" t="str">
        <f>IFERROR(__xludf.DUMMYFUNCTION("IF(ISBLANK(B1763),"""",IF(ISDATE(B1763),H1763,""""))"),"")</f>
        <v/>
      </c>
      <c r="L1763" s="40" t="str">
        <f>IFERROR(__xludf.DUMMYFUNCTION("IF(ISBLANK(B1763),"""",IF(ISDATE(B1763),TEXT(B1763,""M""),""""))"),"")</f>
        <v/>
      </c>
      <c r="M1763" s="29" t="str">
        <f>IFERROR(__xludf.DUMMYFUNCTION("IF(L1763="""","""",QUERY({'Dashboard-Dados'!$Y$2:$AA$13},""Select Col2 Where Col1=""&amp;L1763))"),"")</f>
        <v/>
      </c>
      <c r="N1763" s="29" t="str">
        <f>IFERROR(__xludf.DUMMYFUNCTION("IF(ISBLANK(B1763),"""",IF(ISDATE(B1763),TEXT(B1763,""yyyy""),""""))"),"")</f>
        <v/>
      </c>
    </row>
    <row r="1764">
      <c r="B1764" s="89"/>
      <c r="C1764" s="86"/>
      <c r="D1764" s="71"/>
      <c r="H1764" s="90"/>
      <c r="J1764" s="53" t="str">
        <f>IFERROR(__xludf.DUMMYFUNCTION("IF(ISBLANK(B1764),"""",IF(ISDATE(B1764),""X"",""""))"),"")</f>
        <v/>
      </c>
      <c r="K1764" s="40" t="str">
        <f>IFERROR(__xludf.DUMMYFUNCTION("IF(ISBLANK(B1764),"""",IF(ISDATE(B1764),H1764,""""))"),"")</f>
        <v/>
      </c>
      <c r="L1764" s="40" t="str">
        <f>IFERROR(__xludf.DUMMYFUNCTION("IF(ISBLANK(B1764),"""",IF(ISDATE(B1764),TEXT(B1764,""M""),""""))"),"")</f>
        <v/>
      </c>
      <c r="M1764" s="29" t="str">
        <f>IFERROR(__xludf.DUMMYFUNCTION("IF(L1764="""","""",QUERY({'Dashboard-Dados'!$Y$2:$AA$13},""Select Col2 Where Col1=""&amp;L1764))"),"")</f>
        <v/>
      </c>
      <c r="N1764" s="29" t="str">
        <f>IFERROR(__xludf.DUMMYFUNCTION("IF(ISBLANK(B1764),"""",IF(ISDATE(B1764),TEXT(B1764,""yyyy""),""""))"),"")</f>
        <v/>
      </c>
    </row>
    <row r="1765">
      <c r="B1765" s="87"/>
      <c r="C1765" s="85"/>
      <c r="D1765" s="76"/>
      <c r="H1765" s="88"/>
      <c r="J1765" s="53" t="str">
        <f>IFERROR(__xludf.DUMMYFUNCTION("IF(ISBLANK(B1765),"""",IF(ISDATE(B1765),""X"",""""))"),"")</f>
        <v/>
      </c>
      <c r="K1765" s="40" t="str">
        <f>IFERROR(__xludf.DUMMYFUNCTION("IF(ISBLANK(B1765),"""",IF(ISDATE(B1765),H1765,""""))"),"")</f>
        <v/>
      </c>
      <c r="L1765" s="40" t="str">
        <f>IFERROR(__xludf.DUMMYFUNCTION("IF(ISBLANK(B1765),"""",IF(ISDATE(B1765),TEXT(B1765,""M""),""""))"),"")</f>
        <v/>
      </c>
      <c r="M1765" s="29" t="str">
        <f>IFERROR(__xludf.DUMMYFUNCTION("IF(L1765="""","""",QUERY({'Dashboard-Dados'!$Y$2:$AA$13},""Select Col2 Where Col1=""&amp;L1765))"),"")</f>
        <v/>
      </c>
      <c r="N1765" s="29" t="str">
        <f>IFERROR(__xludf.DUMMYFUNCTION("IF(ISBLANK(B1765),"""",IF(ISDATE(B1765),TEXT(B1765,""yyyy""),""""))"),"")</f>
        <v/>
      </c>
    </row>
    <row r="1766">
      <c r="B1766" s="89"/>
      <c r="C1766" s="86"/>
      <c r="D1766" s="71"/>
      <c r="H1766" s="90"/>
      <c r="J1766" s="53" t="str">
        <f>IFERROR(__xludf.DUMMYFUNCTION("IF(ISBLANK(B1766),"""",IF(ISDATE(B1766),""X"",""""))"),"")</f>
        <v/>
      </c>
      <c r="K1766" s="40" t="str">
        <f>IFERROR(__xludf.DUMMYFUNCTION("IF(ISBLANK(B1766),"""",IF(ISDATE(B1766),H1766,""""))"),"")</f>
        <v/>
      </c>
      <c r="L1766" s="40" t="str">
        <f>IFERROR(__xludf.DUMMYFUNCTION("IF(ISBLANK(B1766),"""",IF(ISDATE(B1766),TEXT(B1766,""M""),""""))"),"")</f>
        <v/>
      </c>
      <c r="M1766" s="29" t="str">
        <f>IFERROR(__xludf.DUMMYFUNCTION("IF(L1766="""","""",QUERY({'Dashboard-Dados'!$Y$2:$AA$13},""Select Col2 Where Col1=""&amp;L1766))"),"")</f>
        <v/>
      </c>
      <c r="N1766" s="29" t="str">
        <f>IFERROR(__xludf.DUMMYFUNCTION("IF(ISBLANK(B1766),"""",IF(ISDATE(B1766),TEXT(B1766,""yyyy""),""""))"),"")</f>
        <v/>
      </c>
    </row>
    <row r="1767">
      <c r="B1767" s="87"/>
      <c r="C1767" s="85"/>
      <c r="D1767" s="76"/>
      <c r="H1767" s="88"/>
      <c r="J1767" s="53" t="str">
        <f>IFERROR(__xludf.DUMMYFUNCTION("IF(ISBLANK(B1767),"""",IF(ISDATE(B1767),""X"",""""))"),"")</f>
        <v/>
      </c>
      <c r="K1767" s="40" t="str">
        <f>IFERROR(__xludf.DUMMYFUNCTION("IF(ISBLANK(B1767),"""",IF(ISDATE(B1767),H1767,""""))"),"")</f>
        <v/>
      </c>
      <c r="L1767" s="40" t="str">
        <f>IFERROR(__xludf.DUMMYFUNCTION("IF(ISBLANK(B1767),"""",IF(ISDATE(B1767),TEXT(B1767,""M""),""""))"),"")</f>
        <v/>
      </c>
      <c r="M1767" s="29" t="str">
        <f>IFERROR(__xludf.DUMMYFUNCTION("IF(L1767="""","""",QUERY({'Dashboard-Dados'!$Y$2:$AA$13},""Select Col2 Where Col1=""&amp;L1767))"),"")</f>
        <v/>
      </c>
      <c r="N1767" s="29" t="str">
        <f>IFERROR(__xludf.DUMMYFUNCTION("IF(ISBLANK(B1767),"""",IF(ISDATE(B1767),TEXT(B1767,""yyyy""),""""))"),"")</f>
        <v/>
      </c>
    </row>
    <row r="1768">
      <c r="B1768" s="89"/>
      <c r="C1768" s="86"/>
      <c r="D1768" s="71"/>
      <c r="H1768" s="90"/>
      <c r="J1768" s="53" t="str">
        <f>IFERROR(__xludf.DUMMYFUNCTION("IF(ISBLANK(B1768),"""",IF(ISDATE(B1768),""X"",""""))"),"")</f>
        <v/>
      </c>
      <c r="K1768" s="40" t="str">
        <f>IFERROR(__xludf.DUMMYFUNCTION("IF(ISBLANK(B1768),"""",IF(ISDATE(B1768),H1768,""""))"),"")</f>
        <v/>
      </c>
      <c r="L1768" s="40" t="str">
        <f>IFERROR(__xludf.DUMMYFUNCTION("IF(ISBLANK(B1768),"""",IF(ISDATE(B1768),TEXT(B1768,""M""),""""))"),"")</f>
        <v/>
      </c>
      <c r="M1768" s="29" t="str">
        <f>IFERROR(__xludf.DUMMYFUNCTION("IF(L1768="""","""",QUERY({'Dashboard-Dados'!$Y$2:$AA$13},""Select Col2 Where Col1=""&amp;L1768))"),"")</f>
        <v/>
      </c>
      <c r="N1768" s="29" t="str">
        <f>IFERROR(__xludf.DUMMYFUNCTION("IF(ISBLANK(B1768),"""",IF(ISDATE(B1768),TEXT(B1768,""yyyy""),""""))"),"")</f>
        <v/>
      </c>
    </row>
    <row r="1769">
      <c r="B1769" s="87"/>
      <c r="C1769" s="85"/>
      <c r="D1769" s="76"/>
      <c r="H1769" s="88"/>
      <c r="J1769" s="53" t="str">
        <f>IFERROR(__xludf.DUMMYFUNCTION("IF(ISBLANK(B1769),"""",IF(ISDATE(B1769),""X"",""""))"),"")</f>
        <v/>
      </c>
      <c r="K1769" s="40" t="str">
        <f>IFERROR(__xludf.DUMMYFUNCTION("IF(ISBLANK(B1769),"""",IF(ISDATE(B1769),H1769,""""))"),"")</f>
        <v/>
      </c>
      <c r="L1769" s="40" t="str">
        <f>IFERROR(__xludf.DUMMYFUNCTION("IF(ISBLANK(B1769),"""",IF(ISDATE(B1769),TEXT(B1769,""M""),""""))"),"")</f>
        <v/>
      </c>
      <c r="M1769" s="29" t="str">
        <f>IFERROR(__xludf.DUMMYFUNCTION("IF(L1769="""","""",QUERY({'Dashboard-Dados'!$Y$2:$AA$13},""Select Col2 Where Col1=""&amp;L1769))"),"")</f>
        <v/>
      </c>
      <c r="N1769" s="29" t="str">
        <f>IFERROR(__xludf.DUMMYFUNCTION("IF(ISBLANK(B1769),"""",IF(ISDATE(B1769),TEXT(B1769,""yyyy""),""""))"),"")</f>
        <v/>
      </c>
    </row>
    <row r="1770">
      <c r="B1770" s="89"/>
      <c r="C1770" s="86"/>
      <c r="D1770" s="71"/>
      <c r="H1770" s="90"/>
      <c r="J1770" s="53" t="str">
        <f>IFERROR(__xludf.DUMMYFUNCTION("IF(ISBLANK(B1770),"""",IF(ISDATE(B1770),""X"",""""))"),"")</f>
        <v/>
      </c>
      <c r="K1770" s="40" t="str">
        <f>IFERROR(__xludf.DUMMYFUNCTION("IF(ISBLANK(B1770),"""",IF(ISDATE(B1770),H1770,""""))"),"")</f>
        <v/>
      </c>
      <c r="L1770" s="40" t="str">
        <f>IFERROR(__xludf.DUMMYFUNCTION("IF(ISBLANK(B1770),"""",IF(ISDATE(B1770),TEXT(B1770,""M""),""""))"),"")</f>
        <v/>
      </c>
      <c r="M1770" s="29" t="str">
        <f>IFERROR(__xludf.DUMMYFUNCTION("IF(L1770="""","""",QUERY({'Dashboard-Dados'!$Y$2:$AA$13},""Select Col2 Where Col1=""&amp;L1770))"),"")</f>
        <v/>
      </c>
      <c r="N1770" s="29" t="str">
        <f>IFERROR(__xludf.DUMMYFUNCTION("IF(ISBLANK(B1770),"""",IF(ISDATE(B1770),TEXT(B1770,""yyyy""),""""))"),"")</f>
        <v/>
      </c>
    </row>
    <row r="1771">
      <c r="B1771" s="87"/>
      <c r="C1771" s="85"/>
      <c r="D1771" s="76"/>
      <c r="H1771" s="88"/>
      <c r="J1771" s="53" t="str">
        <f>IFERROR(__xludf.DUMMYFUNCTION("IF(ISBLANK(B1771),"""",IF(ISDATE(B1771),""X"",""""))"),"")</f>
        <v/>
      </c>
      <c r="K1771" s="40" t="str">
        <f>IFERROR(__xludf.DUMMYFUNCTION("IF(ISBLANK(B1771),"""",IF(ISDATE(B1771),H1771,""""))"),"")</f>
        <v/>
      </c>
      <c r="L1771" s="40" t="str">
        <f>IFERROR(__xludf.DUMMYFUNCTION("IF(ISBLANK(B1771),"""",IF(ISDATE(B1771),TEXT(B1771,""M""),""""))"),"")</f>
        <v/>
      </c>
      <c r="M1771" s="29" t="str">
        <f>IFERROR(__xludf.DUMMYFUNCTION("IF(L1771="""","""",QUERY({'Dashboard-Dados'!$Y$2:$AA$13},""Select Col2 Where Col1=""&amp;L1771))"),"")</f>
        <v/>
      </c>
      <c r="N1771" s="29" t="str">
        <f>IFERROR(__xludf.DUMMYFUNCTION("IF(ISBLANK(B1771),"""",IF(ISDATE(B1771),TEXT(B1771,""yyyy""),""""))"),"")</f>
        <v/>
      </c>
    </row>
    <row r="1772">
      <c r="B1772" s="89"/>
      <c r="C1772" s="86"/>
      <c r="D1772" s="71"/>
      <c r="H1772" s="90"/>
      <c r="J1772" s="53" t="str">
        <f>IFERROR(__xludf.DUMMYFUNCTION("IF(ISBLANK(B1772),"""",IF(ISDATE(B1772),""X"",""""))"),"")</f>
        <v/>
      </c>
      <c r="K1772" s="40" t="str">
        <f>IFERROR(__xludf.DUMMYFUNCTION("IF(ISBLANK(B1772),"""",IF(ISDATE(B1772),H1772,""""))"),"")</f>
        <v/>
      </c>
      <c r="L1772" s="40" t="str">
        <f>IFERROR(__xludf.DUMMYFUNCTION("IF(ISBLANK(B1772),"""",IF(ISDATE(B1772),TEXT(B1772,""M""),""""))"),"")</f>
        <v/>
      </c>
      <c r="M1772" s="29" t="str">
        <f>IFERROR(__xludf.DUMMYFUNCTION("IF(L1772="""","""",QUERY({'Dashboard-Dados'!$Y$2:$AA$13},""Select Col2 Where Col1=""&amp;L1772))"),"")</f>
        <v/>
      </c>
      <c r="N1772" s="29" t="str">
        <f>IFERROR(__xludf.DUMMYFUNCTION("IF(ISBLANK(B1772),"""",IF(ISDATE(B1772),TEXT(B1772,""yyyy""),""""))"),"")</f>
        <v/>
      </c>
    </row>
    <row r="1773">
      <c r="B1773" s="87"/>
      <c r="C1773" s="85"/>
      <c r="D1773" s="76"/>
      <c r="H1773" s="88"/>
      <c r="J1773" s="53" t="str">
        <f>IFERROR(__xludf.DUMMYFUNCTION("IF(ISBLANK(B1773),"""",IF(ISDATE(B1773),""X"",""""))"),"")</f>
        <v/>
      </c>
      <c r="K1773" s="40" t="str">
        <f>IFERROR(__xludf.DUMMYFUNCTION("IF(ISBLANK(B1773),"""",IF(ISDATE(B1773),H1773,""""))"),"")</f>
        <v/>
      </c>
      <c r="L1773" s="40" t="str">
        <f>IFERROR(__xludf.DUMMYFUNCTION("IF(ISBLANK(B1773),"""",IF(ISDATE(B1773),TEXT(B1773,""M""),""""))"),"")</f>
        <v/>
      </c>
      <c r="M1773" s="29" t="str">
        <f>IFERROR(__xludf.DUMMYFUNCTION("IF(L1773="""","""",QUERY({'Dashboard-Dados'!$Y$2:$AA$13},""Select Col2 Where Col1=""&amp;L1773))"),"")</f>
        <v/>
      </c>
      <c r="N1773" s="29" t="str">
        <f>IFERROR(__xludf.DUMMYFUNCTION("IF(ISBLANK(B1773),"""",IF(ISDATE(B1773),TEXT(B1773,""yyyy""),""""))"),"")</f>
        <v/>
      </c>
    </row>
    <row r="1774">
      <c r="B1774" s="89"/>
      <c r="C1774" s="86"/>
      <c r="D1774" s="71"/>
      <c r="H1774" s="90"/>
      <c r="J1774" s="53" t="str">
        <f>IFERROR(__xludf.DUMMYFUNCTION("IF(ISBLANK(B1774),"""",IF(ISDATE(B1774),""X"",""""))"),"")</f>
        <v/>
      </c>
      <c r="K1774" s="40" t="str">
        <f>IFERROR(__xludf.DUMMYFUNCTION("IF(ISBLANK(B1774),"""",IF(ISDATE(B1774),H1774,""""))"),"")</f>
        <v/>
      </c>
      <c r="L1774" s="40" t="str">
        <f>IFERROR(__xludf.DUMMYFUNCTION("IF(ISBLANK(B1774),"""",IF(ISDATE(B1774),TEXT(B1774,""M""),""""))"),"")</f>
        <v/>
      </c>
      <c r="M1774" s="29" t="str">
        <f>IFERROR(__xludf.DUMMYFUNCTION("IF(L1774="""","""",QUERY({'Dashboard-Dados'!$Y$2:$AA$13},""Select Col2 Where Col1=""&amp;L1774))"),"")</f>
        <v/>
      </c>
      <c r="N1774" s="29" t="str">
        <f>IFERROR(__xludf.DUMMYFUNCTION("IF(ISBLANK(B1774),"""",IF(ISDATE(B1774),TEXT(B1774,""yyyy""),""""))"),"")</f>
        <v/>
      </c>
    </row>
    <row r="1775">
      <c r="B1775" s="87"/>
      <c r="C1775" s="85"/>
      <c r="D1775" s="76"/>
      <c r="H1775" s="88"/>
      <c r="J1775" s="53" t="str">
        <f>IFERROR(__xludf.DUMMYFUNCTION("IF(ISBLANK(B1775),"""",IF(ISDATE(B1775),""X"",""""))"),"")</f>
        <v/>
      </c>
      <c r="K1775" s="40" t="str">
        <f>IFERROR(__xludf.DUMMYFUNCTION("IF(ISBLANK(B1775),"""",IF(ISDATE(B1775),H1775,""""))"),"")</f>
        <v/>
      </c>
      <c r="L1775" s="40" t="str">
        <f>IFERROR(__xludf.DUMMYFUNCTION("IF(ISBLANK(B1775),"""",IF(ISDATE(B1775),TEXT(B1775,""M""),""""))"),"")</f>
        <v/>
      </c>
      <c r="M1775" s="29" t="str">
        <f>IFERROR(__xludf.DUMMYFUNCTION("IF(L1775="""","""",QUERY({'Dashboard-Dados'!$Y$2:$AA$13},""Select Col2 Where Col1=""&amp;L1775))"),"")</f>
        <v/>
      </c>
      <c r="N1775" s="29" t="str">
        <f>IFERROR(__xludf.DUMMYFUNCTION("IF(ISBLANK(B1775),"""",IF(ISDATE(B1775),TEXT(B1775,""yyyy""),""""))"),"")</f>
        <v/>
      </c>
    </row>
    <row r="1776">
      <c r="B1776" s="89"/>
      <c r="C1776" s="86"/>
      <c r="D1776" s="71"/>
      <c r="H1776" s="90"/>
      <c r="J1776" s="53" t="str">
        <f>IFERROR(__xludf.DUMMYFUNCTION("IF(ISBLANK(B1776),"""",IF(ISDATE(B1776),""X"",""""))"),"")</f>
        <v/>
      </c>
      <c r="K1776" s="40" t="str">
        <f>IFERROR(__xludf.DUMMYFUNCTION("IF(ISBLANK(B1776),"""",IF(ISDATE(B1776),H1776,""""))"),"")</f>
        <v/>
      </c>
      <c r="L1776" s="40" t="str">
        <f>IFERROR(__xludf.DUMMYFUNCTION("IF(ISBLANK(B1776),"""",IF(ISDATE(B1776),TEXT(B1776,""M""),""""))"),"")</f>
        <v/>
      </c>
      <c r="M1776" s="29" t="str">
        <f>IFERROR(__xludf.DUMMYFUNCTION("IF(L1776="""","""",QUERY({'Dashboard-Dados'!$Y$2:$AA$13},""Select Col2 Where Col1=""&amp;L1776))"),"")</f>
        <v/>
      </c>
      <c r="N1776" s="29" t="str">
        <f>IFERROR(__xludf.DUMMYFUNCTION("IF(ISBLANK(B1776),"""",IF(ISDATE(B1776),TEXT(B1776,""yyyy""),""""))"),"")</f>
        <v/>
      </c>
    </row>
    <row r="1777">
      <c r="B1777" s="87"/>
      <c r="C1777" s="85"/>
      <c r="D1777" s="76"/>
      <c r="H1777" s="88"/>
      <c r="J1777" s="53" t="str">
        <f>IFERROR(__xludf.DUMMYFUNCTION("IF(ISBLANK(B1777),"""",IF(ISDATE(B1777),""X"",""""))"),"")</f>
        <v/>
      </c>
      <c r="K1777" s="40" t="str">
        <f>IFERROR(__xludf.DUMMYFUNCTION("IF(ISBLANK(B1777),"""",IF(ISDATE(B1777),H1777,""""))"),"")</f>
        <v/>
      </c>
      <c r="L1777" s="40" t="str">
        <f>IFERROR(__xludf.DUMMYFUNCTION("IF(ISBLANK(B1777),"""",IF(ISDATE(B1777),TEXT(B1777,""M""),""""))"),"")</f>
        <v/>
      </c>
      <c r="M1777" s="29" t="str">
        <f>IFERROR(__xludf.DUMMYFUNCTION("IF(L1777="""","""",QUERY({'Dashboard-Dados'!$Y$2:$AA$13},""Select Col2 Where Col1=""&amp;L1777))"),"")</f>
        <v/>
      </c>
      <c r="N1777" s="29" t="str">
        <f>IFERROR(__xludf.DUMMYFUNCTION("IF(ISBLANK(B1777),"""",IF(ISDATE(B1777),TEXT(B1777,""yyyy""),""""))"),"")</f>
        <v/>
      </c>
    </row>
    <row r="1778">
      <c r="B1778" s="89"/>
      <c r="C1778" s="86"/>
      <c r="D1778" s="71"/>
      <c r="H1778" s="90"/>
      <c r="J1778" s="53" t="str">
        <f>IFERROR(__xludf.DUMMYFUNCTION("IF(ISBLANK(B1778),"""",IF(ISDATE(B1778),""X"",""""))"),"")</f>
        <v/>
      </c>
      <c r="K1778" s="40" t="str">
        <f>IFERROR(__xludf.DUMMYFUNCTION("IF(ISBLANK(B1778),"""",IF(ISDATE(B1778),H1778,""""))"),"")</f>
        <v/>
      </c>
      <c r="L1778" s="40" t="str">
        <f>IFERROR(__xludf.DUMMYFUNCTION("IF(ISBLANK(B1778),"""",IF(ISDATE(B1778),TEXT(B1778,""M""),""""))"),"")</f>
        <v/>
      </c>
      <c r="M1778" s="29" t="str">
        <f>IFERROR(__xludf.DUMMYFUNCTION("IF(L1778="""","""",QUERY({'Dashboard-Dados'!$Y$2:$AA$13},""Select Col2 Where Col1=""&amp;L1778))"),"")</f>
        <v/>
      </c>
      <c r="N1778" s="29" t="str">
        <f>IFERROR(__xludf.DUMMYFUNCTION("IF(ISBLANK(B1778),"""",IF(ISDATE(B1778),TEXT(B1778,""yyyy""),""""))"),"")</f>
        <v/>
      </c>
    </row>
    <row r="1779">
      <c r="B1779" s="87"/>
      <c r="C1779" s="85"/>
      <c r="D1779" s="76"/>
      <c r="H1779" s="88"/>
      <c r="J1779" s="53" t="str">
        <f>IFERROR(__xludf.DUMMYFUNCTION("IF(ISBLANK(B1779),"""",IF(ISDATE(B1779),""X"",""""))"),"")</f>
        <v/>
      </c>
      <c r="K1779" s="40" t="str">
        <f>IFERROR(__xludf.DUMMYFUNCTION("IF(ISBLANK(B1779),"""",IF(ISDATE(B1779),H1779,""""))"),"")</f>
        <v/>
      </c>
      <c r="L1779" s="40" t="str">
        <f>IFERROR(__xludf.DUMMYFUNCTION("IF(ISBLANK(B1779),"""",IF(ISDATE(B1779),TEXT(B1779,""M""),""""))"),"")</f>
        <v/>
      </c>
      <c r="M1779" s="29" t="str">
        <f>IFERROR(__xludf.DUMMYFUNCTION("IF(L1779="""","""",QUERY({'Dashboard-Dados'!$Y$2:$AA$13},""Select Col2 Where Col1=""&amp;L1779))"),"")</f>
        <v/>
      </c>
      <c r="N1779" s="29" t="str">
        <f>IFERROR(__xludf.DUMMYFUNCTION("IF(ISBLANK(B1779),"""",IF(ISDATE(B1779),TEXT(B1779,""yyyy""),""""))"),"")</f>
        <v/>
      </c>
    </row>
    <row r="1780">
      <c r="B1780" s="89"/>
      <c r="C1780" s="86"/>
      <c r="D1780" s="71"/>
      <c r="H1780" s="90"/>
      <c r="J1780" s="53" t="str">
        <f>IFERROR(__xludf.DUMMYFUNCTION("IF(ISBLANK(B1780),"""",IF(ISDATE(B1780),""X"",""""))"),"")</f>
        <v/>
      </c>
      <c r="K1780" s="40" t="str">
        <f>IFERROR(__xludf.DUMMYFUNCTION("IF(ISBLANK(B1780),"""",IF(ISDATE(B1780),H1780,""""))"),"")</f>
        <v/>
      </c>
      <c r="L1780" s="40" t="str">
        <f>IFERROR(__xludf.DUMMYFUNCTION("IF(ISBLANK(B1780),"""",IF(ISDATE(B1780),TEXT(B1780,""M""),""""))"),"")</f>
        <v/>
      </c>
      <c r="M1780" s="29" t="str">
        <f>IFERROR(__xludf.DUMMYFUNCTION("IF(L1780="""","""",QUERY({'Dashboard-Dados'!$Y$2:$AA$13},""Select Col2 Where Col1=""&amp;L1780))"),"")</f>
        <v/>
      </c>
      <c r="N1780" s="29" t="str">
        <f>IFERROR(__xludf.DUMMYFUNCTION("IF(ISBLANK(B1780),"""",IF(ISDATE(B1780),TEXT(B1780,""yyyy""),""""))"),"")</f>
        <v/>
      </c>
    </row>
    <row r="1781">
      <c r="B1781" s="87"/>
      <c r="C1781" s="85"/>
      <c r="D1781" s="76"/>
      <c r="H1781" s="88"/>
      <c r="J1781" s="53" t="str">
        <f>IFERROR(__xludf.DUMMYFUNCTION("IF(ISBLANK(B1781),"""",IF(ISDATE(B1781),""X"",""""))"),"")</f>
        <v/>
      </c>
      <c r="K1781" s="40" t="str">
        <f>IFERROR(__xludf.DUMMYFUNCTION("IF(ISBLANK(B1781),"""",IF(ISDATE(B1781),H1781,""""))"),"")</f>
        <v/>
      </c>
      <c r="L1781" s="40" t="str">
        <f>IFERROR(__xludf.DUMMYFUNCTION("IF(ISBLANK(B1781),"""",IF(ISDATE(B1781),TEXT(B1781,""M""),""""))"),"")</f>
        <v/>
      </c>
      <c r="M1781" s="29" t="str">
        <f>IFERROR(__xludf.DUMMYFUNCTION("IF(L1781="""","""",QUERY({'Dashboard-Dados'!$Y$2:$AA$13},""Select Col2 Where Col1=""&amp;L1781))"),"")</f>
        <v/>
      </c>
      <c r="N1781" s="29" t="str">
        <f>IFERROR(__xludf.DUMMYFUNCTION("IF(ISBLANK(B1781),"""",IF(ISDATE(B1781),TEXT(B1781,""yyyy""),""""))"),"")</f>
        <v/>
      </c>
    </row>
    <row r="1782">
      <c r="B1782" s="89"/>
      <c r="C1782" s="86"/>
      <c r="D1782" s="71"/>
      <c r="H1782" s="90"/>
      <c r="J1782" s="53" t="str">
        <f>IFERROR(__xludf.DUMMYFUNCTION("IF(ISBLANK(B1782),"""",IF(ISDATE(B1782),""X"",""""))"),"")</f>
        <v/>
      </c>
      <c r="K1782" s="40" t="str">
        <f>IFERROR(__xludf.DUMMYFUNCTION("IF(ISBLANK(B1782),"""",IF(ISDATE(B1782),H1782,""""))"),"")</f>
        <v/>
      </c>
      <c r="L1782" s="40" t="str">
        <f>IFERROR(__xludf.DUMMYFUNCTION("IF(ISBLANK(B1782),"""",IF(ISDATE(B1782),TEXT(B1782,""M""),""""))"),"")</f>
        <v/>
      </c>
      <c r="M1782" s="29" t="str">
        <f>IFERROR(__xludf.DUMMYFUNCTION("IF(L1782="""","""",QUERY({'Dashboard-Dados'!$Y$2:$AA$13},""Select Col2 Where Col1=""&amp;L1782))"),"")</f>
        <v/>
      </c>
      <c r="N1782" s="29" t="str">
        <f>IFERROR(__xludf.DUMMYFUNCTION("IF(ISBLANK(B1782),"""",IF(ISDATE(B1782),TEXT(B1782,""yyyy""),""""))"),"")</f>
        <v/>
      </c>
    </row>
    <row r="1783">
      <c r="B1783" s="87"/>
      <c r="C1783" s="85"/>
      <c r="D1783" s="76"/>
      <c r="H1783" s="88"/>
      <c r="J1783" s="53" t="str">
        <f>IFERROR(__xludf.DUMMYFUNCTION("IF(ISBLANK(B1783),"""",IF(ISDATE(B1783),""X"",""""))"),"")</f>
        <v/>
      </c>
      <c r="K1783" s="40" t="str">
        <f>IFERROR(__xludf.DUMMYFUNCTION("IF(ISBLANK(B1783),"""",IF(ISDATE(B1783),H1783,""""))"),"")</f>
        <v/>
      </c>
      <c r="L1783" s="40" t="str">
        <f>IFERROR(__xludf.DUMMYFUNCTION("IF(ISBLANK(B1783),"""",IF(ISDATE(B1783),TEXT(B1783,""M""),""""))"),"")</f>
        <v/>
      </c>
      <c r="M1783" s="29" t="str">
        <f>IFERROR(__xludf.DUMMYFUNCTION("IF(L1783="""","""",QUERY({'Dashboard-Dados'!$Y$2:$AA$13},""Select Col2 Where Col1=""&amp;L1783))"),"")</f>
        <v/>
      </c>
      <c r="N1783" s="29" t="str">
        <f>IFERROR(__xludf.DUMMYFUNCTION("IF(ISBLANK(B1783),"""",IF(ISDATE(B1783),TEXT(B1783,""yyyy""),""""))"),"")</f>
        <v/>
      </c>
    </row>
    <row r="1784">
      <c r="B1784" s="89"/>
      <c r="C1784" s="86"/>
      <c r="D1784" s="71"/>
      <c r="H1784" s="90"/>
      <c r="J1784" s="53" t="str">
        <f>IFERROR(__xludf.DUMMYFUNCTION("IF(ISBLANK(B1784),"""",IF(ISDATE(B1784),""X"",""""))"),"")</f>
        <v/>
      </c>
      <c r="K1784" s="40" t="str">
        <f>IFERROR(__xludf.DUMMYFUNCTION("IF(ISBLANK(B1784),"""",IF(ISDATE(B1784),H1784,""""))"),"")</f>
        <v/>
      </c>
      <c r="L1784" s="40" t="str">
        <f>IFERROR(__xludf.DUMMYFUNCTION("IF(ISBLANK(B1784),"""",IF(ISDATE(B1784),TEXT(B1784,""M""),""""))"),"")</f>
        <v/>
      </c>
      <c r="M1784" s="29" t="str">
        <f>IFERROR(__xludf.DUMMYFUNCTION("IF(L1784="""","""",QUERY({'Dashboard-Dados'!$Y$2:$AA$13},""Select Col2 Where Col1=""&amp;L1784))"),"")</f>
        <v/>
      </c>
      <c r="N1784" s="29" t="str">
        <f>IFERROR(__xludf.DUMMYFUNCTION("IF(ISBLANK(B1784),"""",IF(ISDATE(B1784),TEXT(B1784,""yyyy""),""""))"),"")</f>
        <v/>
      </c>
    </row>
    <row r="1785">
      <c r="B1785" s="87"/>
      <c r="C1785" s="85"/>
      <c r="D1785" s="76"/>
      <c r="H1785" s="88"/>
      <c r="J1785" s="53" t="str">
        <f>IFERROR(__xludf.DUMMYFUNCTION("IF(ISBLANK(B1785),"""",IF(ISDATE(B1785),""X"",""""))"),"")</f>
        <v/>
      </c>
      <c r="K1785" s="40" t="str">
        <f>IFERROR(__xludf.DUMMYFUNCTION("IF(ISBLANK(B1785),"""",IF(ISDATE(B1785),H1785,""""))"),"")</f>
        <v/>
      </c>
      <c r="L1785" s="40" t="str">
        <f>IFERROR(__xludf.DUMMYFUNCTION("IF(ISBLANK(B1785),"""",IF(ISDATE(B1785),TEXT(B1785,""M""),""""))"),"")</f>
        <v/>
      </c>
      <c r="M1785" s="29" t="str">
        <f>IFERROR(__xludf.DUMMYFUNCTION("IF(L1785="""","""",QUERY({'Dashboard-Dados'!$Y$2:$AA$13},""Select Col2 Where Col1=""&amp;L1785))"),"")</f>
        <v/>
      </c>
      <c r="N1785" s="29" t="str">
        <f>IFERROR(__xludf.DUMMYFUNCTION("IF(ISBLANK(B1785),"""",IF(ISDATE(B1785),TEXT(B1785,""yyyy""),""""))"),"")</f>
        <v/>
      </c>
    </row>
    <row r="1786">
      <c r="B1786" s="89"/>
      <c r="C1786" s="86"/>
      <c r="D1786" s="71"/>
      <c r="H1786" s="90"/>
      <c r="J1786" s="53" t="str">
        <f>IFERROR(__xludf.DUMMYFUNCTION("IF(ISBLANK(B1786),"""",IF(ISDATE(B1786),""X"",""""))"),"")</f>
        <v/>
      </c>
      <c r="K1786" s="40" t="str">
        <f>IFERROR(__xludf.DUMMYFUNCTION("IF(ISBLANK(B1786),"""",IF(ISDATE(B1786),H1786,""""))"),"")</f>
        <v/>
      </c>
      <c r="L1786" s="40" t="str">
        <f>IFERROR(__xludf.DUMMYFUNCTION("IF(ISBLANK(B1786),"""",IF(ISDATE(B1786),TEXT(B1786,""M""),""""))"),"")</f>
        <v/>
      </c>
      <c r="M1786" s="29" t="str">
        <f>IFERROR(__xludf.DUMMYFUNCTION("IF(L1786="""","""",QUERY({'Dashboard-Dados'!$Y$2:$AA$13},""Select Col2 Where Col1=""&amp;L1786))"),"")</f>
        <v/>
      </c>
      <c r="N1786" s="29" t="str">
        <f>IFERROR(__xludf.DUMMYFUNCTION("IF(ISBLANK(B1786),"""",IF(ISDATE(B1786),TEXT(B1786,""yyyy""),""""))"),"")</f>
        <v/>
      </c>
    </row>
    <row r="1787">
      <c r="B1787" s="87"/>
      <c r="C1787" s="85"/>
      <c r="D1787" s="76"/>
      <c r="H1787" s="88"/>
      <c r="J1787" s="53" t="str">
        <f>IFERROR(__xludf.DUMMYFUNCTION("IF(ISBLANK(B1787),"""",IF(ISDATE(B1787),""X"",""""))"),"")</f>
        <v/>
      </c>
      <c r="K1787" s="40" t="str">
        <f>IFERROR(__xludf.DUMMYFUNCTION("IF(ISBLANK(B1787),"""",IF(ISDATE(B1787),H1787,""""))"),"")</f>
        <v/>
      </c>
      <c r="L1787" s="40" t="str">
        <f>IFERROR(__xludf.DUMMYFUNCTION("IF(ISBLANK(B1787),"""",IF(ISDATE(B1787),TEXT(B1787,""M""),""""))"),"")</f>
        <v/>
      </c>
      <c r="M1787" s="29" t="str">
        <f>IFERROR(__xludf.DUMMYFUNCTION("IF(L1787="""","""",QUERY({'Dashboard-Dados'!$Y$2:$AA$13},""Select Col2 Where Col1=""&amp;L1787))"),"")</f>
        <v/>
      </c>
      <c r="N1787" s="29" t="str">
        <f>IFERROR(__xludf.DUMMYFUNCTION("IF(ISBLANK(B1787),"""",IF(ISDATE(B1787),TEXT(B1787,""yyyy""),""""))"),"")</f>
        <v/>
      </c>
    </row>
    <row r="1788">
      <c r="B1788" s="89"/>
      <c r="C1788" s="86"/>
      <c r="D1788" s="71"/>
      <c r="H1788" s="90"/>
      <c r="J1788" s="53" t="str">
        <f>IFERROR(__xludf.DUMMYFUNCTION("IF(ISBLANK(B1788),"""",IF(ISDATE(B1788),""X"",""""))"),"")</f>
        <v/>
      </c>
      <c r="K1788" s="40" t="str">
        <f>IFERROR(__xludf.DUMMYFUNCTION("IF(ISBLANK(B1788),"""",IF(ISDATE(B1788),H1788,""""))"),"")</f>
        <v/>
      </c>
      <c r="L1788" s="40" t="str">
        <f>IFERROR(__xludf.DUMMYFUNCTION("IF(ISBLANK(B1788),"""",IF(ISDATE(B1788),TEXT(B1788,""M""),""""))"),"")</f>
        <v/>
      </c>
      <c r="M1788" s="29" t="str">
        <f>IFERROR(__xludf.DUMMYFUNCTION("IF(L1788="""","""",QUERY({'Dashboard-Dados'!$Y$2:$AA$13},""Select Col2 Where Col1=""&amp;L1788))"),"")</f>
        <v/>
      </c>
      <c r="N1788" s="29" t="str">
        <f>IFERROR(__xludf.DUMMYFUNCTION("IF(ISBLANK(B1788),"""",IF(ISDATE(B1788),TEXT(B1788,""yyyy""),""""))"),"")</f>
        <v/>
      </c>
    </row>
    <row r="1789">
      <c r="B1789" s="87"/>
      <c r="C1789" s="85"/>
      <c r="D1789" s="76"/>
      <c r="H1789" s="88"/>
      <c r="J1789" s="53" t="str">
        <f>IFERROR(__xludf.DUMMYFUNCTION("IF(ISBLANK(B1789),"""",IF(ISDATE(B1789),""X"",""""))"),"")</f>
        <v/>
      </c>
      <c r="K1789" s="40" t="str">
        <f>IFERROR(__xludf.DUMMYFUNCTION("IF(ISBLANK(B1789),"""",IF(ISDATE(B1789),H1789,""""))"),"")</f>
        <v/>
      </c>
      <c r="L1789" s="40" t="str">
        <f>IFERROR(__xludf.DUMMYFUNCTION("IF(ISBLANK(B1789),"""",IF(ISDATE(B1789),TEXT(B1789,""M""),""""))"),"")</f>
        <v/>
      </c>
      <c r="M1789" s="29" t="str">
        <f>IFERROR(__xludf.DUMMYFUNCTION("IF(L1789="""","""",QUERY({'Dashboard-Dados'!$Y$2:$AA$13},""Select Col2 Where Col1=""&amp;L1789))"),"")</f>
        <v/>
      </c>
      <c r="N1789" s="29" t="str">
        <f>IFERROR(__xludf.DUMMYFUNCTION("IF(ISBLANK(B1789),"""",IF(ISDATE(B1789),TEXT(B1789,""yyyy""),""""))"),"")</f>
        <v/>
      </c>
    </row>
    <row r="1790">
      <c r="B1790" s="89"/>
      <c r="C1790" s="86"/>
      <c r="D1790" s="71"/>
      <c r="H1790" s="90"/>
      <c r="J1790" s="53" t="str">
        <f>IFERROR(__xludf.DUMMYFUNCTION("IF(ISBLANK(B1790),"""",IF(ISDATE(B1790),""X"",""""))"),"")</f>
        <v/>
      </c>
      <c r="K1790" s="40" t="str">
        <f>IFERROR(__xludf.DUMMYFUNCTION("IF(ISBLANK(B1790),"""",IF(ISDATE(B1790),H1790,""""))"),"")</f>
        <v/>
      </c>
      <c r="L1790" s="40" t="str">
        <f>IFERROR(__xludf.DUMMYFUNCTION("IF(ISBLANK(B1790),"""",IF(ISDATE(B1790),TEXT(B1790,""M""),""""))"),"")</f>
        <v/>
      </c>
      <c r="M1790" s="29" t="str">
        <f>IFERROR(__xludf.DUMMYFUNCTION("IF(L1790="""","""",QUERY({'Dashboard-Dados'!$Y$2:$AA$13},""Select Col2 Where Col1=""&amp;L1790))"),"")</f>
        <v/>
      </c>
      <c r="N1790" s="29" t="str">
        <f>IFERROR(__xludf.DUMMYFUNCTION("IF(ISBLANK(B1790),"""",IF(ISDATE(B1790),TEXT(B1790,""yyyy""),""""))"),"")</f>
        <v/>
      </c>
    </row>
    <row r="1791">
      <c r="B1791" s="87"/>
      <c r="C1791" s="85"/>
      <c r="D1791" s="76"/>
      <c r="H1791" s="88"/>
      <c r="J1791" s="53" t="str">
        <f>IFERROR(__xludf.DUMMYFUNCTION("IF(ISBLANK(B1791),"""",IF(ISDATE(B1791),""X"",""""))"),"")</f>
        <v/>
      </c>
      <c r="K1791" s="40" t="str">
        <f>IFERROR(__xludf.DUMMYFUNCTION("IF(ISBLANK(B1791),"""",IF(ISDATE(B1791),H1791,""""))"),"")</f>
        <v/>
      </c>
      <c r="L1791" s="40" t="str">
        <f>IFERROR(__xludf.DUMMYFUNCTION("IF(ISBLANK(B1791),"""",IF(ISDATE(B1791),TEXT(B1791,""M""),""""))"),"")</f>
        <v/>
      </c>
      <c r="M1791" s="29" t="str">
        <f>IFERROR(__xludf.DUMMYFUNCTION("IF(L1791="""","""",QUERY({'Dashboard-Dados'!$Y$2:$AA$13},""Select Col2 Where Col1=""&amp;L1791))"),"")</f>
        <v/>
      </c>
      <c r="N1791" s="29" t="str">
        <f>IFERROR(__xludf.DUMMYFUNCTION("IF(ISBLANK(B1791),"""",IF(ISDATE(B1791),TEXT(B1791,""yyyy""),""""))"),"")</f>
        <v/>
      </c>
    </row>
    <row r="1792">
      <c r="B1792" s="89"/>
      <c r="C1792" s="86"/>
      <c r="D1792" s="71"/>
      <c r="H1792" s="90"/>
      <c r="J1792" s="53" t="str">
        <f>IFERROR(__xludf.DUMMYFUNCTION("IF(ISBLANK(B1792),"""",IF(ISDATE(B1792),""X"",""""))"),"")</f>
        <v/>
      </c>
      <c r="K1792" s="40" t="str">
        <f>IFERROR(__xludf.DUMMYFUNCTION("IF(ISBLANK(B1792),"""",IF(ISDATE(B1792),H1792,""""))"),"")</f>
        <v/>
      </c>
      <c r="L1792" s="40" t="str">
        <f>IFERROR(__xludf.DUMMYFUNCTION("IF(ISBLANK(B1792),"""",IF(ISDATE(B1792),TEXT(B1792,""M""),""""))"),"")</f>
        <v/>
      </c>
      <c r="M1792" s="29" t="str">
        <f>IFERROR(__xludf.DUMMYFUNCTION("IF(L1792="""","""",QUERY({'Dashboard-Dados'!$Y$2:$AA$13},""Select Col2 Where Col1=""&amp;L1792))"),"")</f>
        <v/>
      </c>
      <c r="N1792" s="29" t="str">
        <f>IFERROR(__xludf.DUMMYFUNCTION("IF(ISBLANK(B1792),"""",IF(ISDATE(B1792),TEXT(B1792,""yyyy""),""""))"),"")</f>
        <v/>
      </c>
    </row>
    <row r="1793">
      <c r="B1793" s="87"/>
      <c r="C1793" s="85"/>
      <c r="D1793" s="76"/>
      <c r="H1793" s="88"/>
      <c r="J1793" s="53" t="str">
        <f>IFERROR(__xludf.DUMMYFUNCTION("IF(ISBLANK(B1793),"""",IF(ISDATE(B1793),""X"",""""))"),"")</f>
        <v/>
      </c>
      <c r="K1793" s="40" t="str">
        <f>IFERROR(__xludf.DUMMYFUNCTION("IF(ISBLANK(B1793),"""",IF(ISDATE(B1793),H1793,""""))"),"")</f>
        <v/>
      </c>
      <c r="L1793" s="40" t="str">
        <f>IFERROR(__xludf.DUMMYFUNCTION("IF(ISBLANK(B1793),"""",IF(ISDATE(B1793),TEXT(B1793,""M""),""""))"),"")</f>
        <v/>
      </c>
      <c r="M1793" s="29" t="str">
        <f>IFERROR(__xludf.DUMMYFUNCTION("IF(L1793="""","""",QUERY({'Dashboard-Dados'!$Y$2:$AA$13},""Select Col2 Where Col1=""&amp;L1793))"),"")</f>
        <v/>
      </c>
      <c r="N1793" s="29" t="str">
        <f>IFERROR(__xludf.DUMMYFUNCTION("IF(ISBLANK(B1793),"""",IF(ISDATE(B1793),TEXT(B1793,""yyyy""),""""))"),"")</f>
        <v/>
      </c>
    </row>
    <row r="1794">
      <c r="B1794" s="89"/>
      <c r="C1794" s="86"/>
      <c r="D1794" s="71"/>
      <c r="H1794" s="90"/>
      <c r="J1794" s="53" t="str">
        <f>IFERROR(__xludf.DUMMYFUNCTION("IF(ISBLANK(B1794),"""",IF(ISDATE(B1794),""X"",""""))"),"")</f>
        <v/>
      </c>
      <c r="K1794" s="40" t="str">
        <f>IFERROR(__xludf.DUMMYFUNCTION("IF(ISBLANK(B1794),"""",IF(ISDATE(B1794),H1794,""""))"),"")</f>
        <v/>
      </c>
      <c r="L1794" s="40" t="str">
        <f>IFERROR(__xludf.DUMMYFUNCTION("IF(ISBLANK(B1794),"""",IF(ISDATE(B1794),TEXT(B1794,""M""),""""))"),"")</f>
        <v/>
      </c>
      <c r="M1794" s="29" t="str">
        <f>IFERROR(__xludf.DUMMYFUNCTION("IF(L1794="""","""",QUERY({'Dashboard-Dados'!$Y$2:$AA$13},""Select Col2 Where Col1=""&amp;L1794))"),"")</f>
        <v/>
      </c>
      <c r="N1794" s="29" t="str">
        <f>IFERROR(__xludf.DUMMYFUNCTION("IF(ISBLANK(B1794),"""",IF(ISDATE(B1794),TEXT(B1794,""yyyy""),""""))"),"")</f>
        <v/>
      </c>
    </row>
    <row r="1795">
      <c r="B1795" s="87"/>
      <c r="C1795" s="85"/>
      <c r="D1795" s="76"/>
      <c r="H1795" s="88"/>
      <c r="J1795" s="53" t="str">
        <f>IFERROR(__xludf.DUMMYFUNCTION("IF(ISBLANK(B1795),"""",IF(ISDATE(B1795),""X"",""""))"),"")</f>
        <v/>
      </c>
      <c r="K1795" s="40" t="str">
        <f>IFERROR(__xludf.DUMMYFUNCTION("IF(ISBLANK(B1795),"""",IF(ISDATE(B1795),H1795,""""))"),"")</f>
        <v/>
      </c>
      <c r="L1795" s="40" t="str">
        <f>IFERROR(__xludf.DUMMYFUNCTION("IF(ISBLANK(B1795),"""",IF(ISDATE(B1795),TEXT(B1795,""M""),""""))"),"")</f>
        <v/>
      </c>
      <c r="M1795" s="29" t="str">
        <f>IFERROR(__xludf.DUMMYFUNCTION("IF(L1795="""","""",QUERY({'Dashboard-Dados'!$Y$2:$AA$13},""Select Col2 Where Col1=""&amp;L1795))"),"")</f>
        <v/>
      </c>
      <c r="N1795" s="29" t="str">
        <f>IFERROR(__xludf.DUMMYFUNCTION("IF(ISBLANK(B1795),"""",IF(ISDATE(B1795),TEXT(B1795,""yyyy""),""""))"),"")</f>
        <v/>
      </c>
    </row>
    <row r="1796">
      <c r="B1796" s="89"/>
      <c r="C1796" s="86"/>
      <c r="D1796" s="71"/>
      <c r="H1796" s="90"/>
      <c r="J1796" s="53" t="str">
        <f>IFERROR(__xludf.DUMMYFUNCTION("IF(ISBLANK(B1796),"""",IF(ISDATE(B1796),""X"",""""))"),"")</f>
        <v/>
      </c>
      <c r="K1796" s="40" t="str">
        <f>IFERROR(__xludf.DUMMYFUNCTION("IF(ISBLANK(B1796),"""",IF(ISDATE(B1796),H1796,""""))"),"")</f>
        <v/>
      </c>
      <c r="L1796" s="40" t="str">
        <f>IFERROR(__xludf.DUMMYFUNCTION("IF(ISBLANK(B1796),"""",IF(ISDATE(B1796),TEXT(B1796,""M""),""""))"),"")</f>
        <v/>
      </c>
      <c r="M1796" s="29" t="str">
        <f>IFERROR(__xludf.DUMMYFUNCTION("IF(L1796="""","""",QUERY({'Dashboard-Dados'!$Y$2:$AA$13},""Select Col2 Where Col1=""&amp;L1796))"),"")</f>
        <v/>
      </c>
      <c r="N1796" s="29" t="str">
        <f>IFERROR(__xludf.DUMMYFUNCTION("IF(ISBLANK(B1796),"""",IF(ISDATE(B1796),TEXT(B1796,""yyyy""),""""))"),"")</f>
        <v/>
      </c>
    </row>
    <row r="1797">
      <c r="B1797" s="87"/>
      <c r="C1797" s="85"/>
      <c r="D1797" s="76"/>
      <c r="H1797" s="88"/>
      <c r="J1797" s="53" t="str">
        <f>IFERROR(__xludf.DUMMYFUNCTION("IF(ISBLANK(B1797),"""",IF(ISDATE(B1797),""X"",""""))"),"")</f>
        <v/>
      </c>
      <c r="K1797" s="40" t="str">
        <f>IFERROR(__xludf.DUMMYFUNCTION("IF(ISBLANK(B1797),"""",IF(ISDATE(B1797),H1797,""""))"),"")</f>
        <v/>
      </c>
      <c r="L1797" s="40" t="str">
        <f>IFERROR(__xludf.DUMMYFUNCTION("IF(ISBLANK(B1797),"""",IF(ISDATE(B1797),TEXT(B1797,""M""),""""))"),"")</f>
        <v/>
      </c>
      <c r="M1797" s="29" t="str">
        <f>IFERROR(__xludf.DUMMYFUNCTION("IF(L1797="""","""",QUERY({'Dashboard-Dados'!$Y$2:$AA$13},""Select Col2 Where Col1=""&amp;L1797))"),"")</f>
        <v/>
      </c>
      <c r="N1797" s="29" t="str">
        <f>IFERROR(__xludf.DUMMYFUNCTION("IF(ISBLANK(B1797),"""",IF(ISDATE(B1797),TEXT(B1797,""yyyy""),""""))"),"")</f>
        <v/>
      </c>
    </row>
    <row r="1798">
      <c r="B1798" s="89"/>
      <c r="C1798" s="86"/>
      <c r="D1798" s="71"/>
      <c r="H1798" s="90"/>
      <c r="J1798" s="53" t="str">
        <f>IFERROR(__xludf.DUMMYFUNCTION("IF(ISBLANK(B1798),"""",IF(ISDATE(B1798),""X"",""""))"),"")</f>
        <v/>
      </c>
      <c r="K1798" s="40" t="str">
        <f>IFERROR(__xludf.DUMMYFUNCTION("IF(ISBLANK(B1798),"""",IF(ISDATE(B1798),H1798,""""))"),"")</f>
        <v/>
      </c>
      <c r="L1798" s="40" t="str">
        <f>IFERROR(__xludf.DUMMYFUNCTION("IF(ISBLANK(B1798),"""",IF(ISDATE(B1798),TEXT(B1798,""M""),""""))"),"")</f>
        <v/>
      </c>
      <c r="M1798" s="29" t="str">
        <f>IFERROR(__xludf.DUMMYFUNCTION("IF(L1798="""","""",QUERY({'Dashboard-Dados'!$Y$2:$AA$13},""Select Col2 Where Col1=""&amp;L1798))"),"")</f>
        <v/>
      </c>
      <c r="N1798" s="29" t="str">
        <f>IFERROR(__xludf.DUMMYFUNCTION("IF(ISBLANK(B1798),"""",IF(ISDATE(B1798),TEXT(B1798,""yyyy""),""""))"),"")</f>
        <v/>
      </c>
    </row>
    <row r="1799">
      <c r="B1799" s="87"/>
      <c r="C1799" s="85"/>
      <c r="D1799" s="76"/>
      <c r="H1799" s="88"/>
      <c r="J1799" s="53" t="str">
        <f>IFERROR(__xludf.DUMMYFUNCTION("IF(ISBLANK(B1799),"""",IF(ISDATE(B1799),""X"",""""))"),"")</f>
        <v/>
      </c>
      <c r="K1799" s="40" t="str">
        <f>IFERROR(__xludf.DUMMYFUNCTION("IF(ISBLANK(B1799),"""",IF(ISDATE(B1799),H1799,""""))"),"")</f>
        <v/>
      </c>
      <c r="L1799" s="40" t="str">
        <f>IFERROR(__xludf.DUMMYFUNCTION("IF(ISBLANK(B1799),"""",IF(ISDATE(B1799),TEXT(B1799,""M""),""""))"),"")</f>
        <v/>
      </c>
      <c r="M1799" s="29" t="str">
        <f>IFERROR(__xludf.DUMMYFUNCTION("IF(L1799="""","""",QUERY({'Dashboard-Dados'!$Y$2:$AA$13},""Select Col2 Where Col1=""&amp;L1799))"),"")</f>
        <v/>
      </c>
      <c r="N1799" s="29" t="str">
        <f>IFERROR(__xludf.DUMMYFUNCTION("IF(ISBLANK(B1799),"""",IF(ISDATE(B1799),TEXT(B1799,""yyyy""),""""))"),"")</f>
        <v/>
      </c>
    </row>
    <row r="1800">
      <c r="B1800" s="89"/>
      <c r="C1800" s="86"/>
      <c r="D1800" s="71"/>
      <c r="H1800" s="90"/>
      <c r="J1800" s="53" t="str">
        <f>IFERROR(__xludf.DUMMYFUNCTION("IF(ISBLANK(B1800),"""",IF(ISDATE(B1800),""X"",""""))"),"")</f>
        <v/>
      </c>
      <c r="K1800" s="40" t="str">
        <f>IFERROR(__xludf.DUMMYFUNCTION("IF(ISBLANK(B1800),"""",IF(ISDATE(B1800),H1800,""""))"),"")</f>
        <v/>
      </c>
      <c r="L1800" s="40" t="str">
        <f>IFERROR(__xludf.DUMMYFUNCTION("IF(ISBLANK(B1800),"""",IF(ISDATE(B1800),TEXT(B1800,""M""),""""))"),"")</f>
        <v/>
      </c>
      <c r="M1800" s="29" t="str">
        <f>IFERROR(__xludf.DUMMYFUNCTION("IF(L1800="""","""",QUERY({'Dashboard-Dados'!$Y$2:$AA$13},""Select Col2 Where Col1=""&amp;L1800))"),"")</f>
        <v/>
      </c>
      <c r="N1800" s="29" t="str">
        <f>IFERROR(__xludf.DUMMYFUNCTION("IF(ISBLANK(B1800),"""",IF(ISDATE(B1800),TEXT(B1800,""yyyy""),""""))"),"")</f>
        <v/>
      </c>
    </row>
    <row r="1801">
      <c r="B1801" s="87"/>
      <c r="C1801" s="85"/>
      <c r="D1801" s="76"/>
      <c r="H1801" s="88"/>
      <c r="J1801" s="53" t="str">
        <f>IFERROR(__xludf.DUMMYFUNCTION("IF(ISBLANK(B1801),"""",IF(ISDATE(B1801),""X"",""""))"),"")</f>
        <v/>
      </c>
      <c r="K1801" s="40" t="str">
        <f>IFERROR(__xludf.DUMMYFUNCTION("IF(ISBLANK(B1801),"""",IF(ISDATE(B1801),H1801,""""))"),"")</f>
        <v/>
      </c>
      <c r="L1801" s="40" t="str">
        <f>IFERROR(__xludf.DUMMYFUNCTION("IF(ISBLANK(B1801),"""",IF(ISDATE(B1801),TEXT(B1801,""M""),""""))"),"")</f>
        <v/>
      </c>
      <c r="M1801" s="29" t="str">
        <f>IFERROR(__xludf.DUMMYFUNCTION("IF(L1801="""","""",QUERY({'Dashboard-Dados'!$Y$2:$AA$13},""Select Col2 Where Col1=""&amp;L1801))"),"")</f>
        <v/>
      </c>
      <c r="N1801" s="29" t="str">
        <f>IFERROR(__xludf.DUMMYFUNCTION("IF(ISBLANK(B1801),"""",IF(ISDATE(B1801),TEXT(B1801,""yyyy""),""""))"),"")</f>
        <v/>
      </c>
    </row>
    <row r="1802">
      <c r="B1802" s="89"/>
      <c r="C1802" s="86"/>
      <c r="D1802" s="71"/>
      <c r="H1802" s="90"/>
      <c r="J1802" s="53" t="str">
        <f>IFERROR(__xludf.DUMMYFUNCTION("IF(ISBLANK(B1802),"""",IF(ISDATE(B1802),""X"",""""))"),"")</f>
        <v/>
      </c>
      <c r="K1802" s="40" t="str">
        <f>IFERROR(__xludf.DUMMYFUNCTION("IF(ISBLANK(B1802),"""",IF(ISDATE(B1802),H1802,""""))"),"")</f>
        <v/>
      </c>
      <c r="L1802" s="40" t="str">
        <f>IFERROR(__xludf.DUMMYFUNCTION("IF(ISBLANK(B1802),"""",IF(ISDATE(B1802),TEXT(B1802,""M""),""""))"),"")</f>
        <v/>
      </c>
      <c r="M1802" s="29" t="str">
        <f>IFERROR(__xludf.DUMMYFUNCTION("IF(L1802="""","""",QUERY({'Dashboard-Dados'!$Y$2:$AA$13},""Select Col2 Where Col1=""&amp;L1802))"),"")</f>
        <v/>
      </c>
      <c r="N1802" s="29" t="str">
        <f>IFERROR(__xludf.DUMMYFUNCTION("IF(ISBLANK(B1802),"""",IF(ISDATE(B1802),TEXT(B1802,""yyyy""),""""))"),"")</f>
        <v/>
      </c>
    </row>
    <row r="1803">
      <c r="B1803" s="87"/>
      <c r="C1803" s="85"/>
      <c r="D1803" s="76"/>
      <c r="H1803" s="88"/>
      <c r="J1803" s="53" t="str">
        <f>IFERROR(__xludf.DUMMYFUNCTION("IF(ISBLANK(B1803),"""",IF(ISDATE(B1803),""X"",""""))"),"")</f>
        <v/>
      </c>
      <c r="K1803" s="40" t="str">
        <f>IFERROR(__xludf.DUMMYFUNCTION("IF(ISBLANK(B1803),"""",IF(ISDATE(B1803),H1803,""""))"),"")</f>
        <v/>
      </c>
      <c r="L1803" s="40" t="str">
        <f>IFERROR(__xludf.DUMMYFUNCTION("IF(ISBLANK(B1803),"""",IF(ISDATE(B1803),TEXT(B1803,""M""),""""))"),"")</f>
        <v/>
      </c>
      <c r="M1803" s="29" t="str">
        <f>IFERROR(__xludf.DUMMYFUNCTION("IF(L1803="""","""",QUERY({'Dashboard-Dados'!$Y$2:$AA$13},""Select Col2 Where Col1=""&amp;L1803))"),"")</f>
        <v/>
      </c>
      <c r="N1803" s="29" t="str">
        <f>IFERROR(__xludf.DUMMYFUNCTION("IF(ISBLANK(B1803),"""",IF(ISDATE(B1803),TEXT(B1803,""yyyy""),""""))"),"")</f>
        <v/>
      </c>
    </row>
    <row r="1804">
      <c r="B1804" s="89"/>
      <c r="C1804" s="86"/>
      <c r="D1804" s="71"/>
      <c r="H1804" s="90"/>
      <c r="J1804" s="53" t="str">
        <f>IFERROR(__xludf.DUMMYFUNCTION("IF(ISBLANK(B1804),"""",IF(ISDATE(B1804),""X"",""""))"),"")</f>
        <v/>
      </c>
      <c r="K1804" s="40" t="str">
        <f>IFERROR(__xludf.DUMMYFUNCTION("IF(ISBLANK(B1804),"""",IF(ISDATE(B1804),H1804,""""))"),"")</f>
        <v/>
      </c>
      <c r="L1804" s="40" t="str">
        <f>IFERROR(__xludf.DUMMYFUNCTION("IF(ISBLANK(B1804),"""",IF(ISDATE(B1804),TEXT(B1804,""M""),""""))"),"")</f>
        <v/>
      </c>
      <c r="M1804" s="29" t="str">
        <f>IFERROR(__xludf.DUMMYFUNCTION("IF(L1804="""","""",QUERY({'Dashboard-Dados'!$Y$2:$AA$13},""Select Col2 Where Col1=""&amp;L1804))"),"")</f>
        <v/>
      </c>
      <c r="N1804" s="29" t="str">
        <f>IFERROR(__xludf.DUMMYFUNCTION("IF(ISBLANK(B1804),"""",IF(ISDATE(B1804),TEXT(B1804,""yyyy""),""""))"),"")</f>
        <v/>
      </c>
    </row>
    <row r="1805">
      <c r="B1805" s="87"/>
      <c r="C1805" s="85"/>
      <c r="D1805" s="76"/>
      <c r="H1805" s="88"/>
      <c r="J1805" s="53" t="str">
        <f>IFERROR(__xludf.DUMMYFUNCTION("IF(ISBLANK(B1805),"""",IF(ISDATE(B1805),""X"",""""))"),"")</f>
        <v/>
      </c>
      <c r="K1805" s="40" t="str">
        <f>IFERROR(__xludf.DUMMYFUNCTION("IF(ISBLANK(B1805),"""",IF(ISDATE(B1805),H1805,""""))"),"")</f>
        <v/>
      </c>
      <c r="L1805" s="40" t="str">
        <f>IFERROR(__xludf.DUMMYFUNCTION("IF(ISBLANK(B1805),"""",IF(ISDATE(B1805),TEXT(B1805,""M""),""""))"),"")</f>
        <v/>
      </c>
      <c r="M1805" s="29" t="str">
        <f>IFERROR(__xludf.DUMMYFUNCTION("IF(L1805="""","""",QUERY({'Dashboard-Dados'!$Y$2:$AA$13},""Select Col2 Where Col1=""&amp;L1805))"),"")</f>
        <v/>
      </c>
      <c r="N1805" s="29" t="str">
        <f>IFERROR(__xludf.DUMMYFUNCTION("IF(ISBLANK(B1805),"""",IF(ISDATE(B1805),TEXT(B1805,""yyyy""),""""))"),"")</f>
        <v/>
      </c>
    </row>
    <row r="1806">
      <c r="B1806" s="89"/>
      <c r="C1806" s="86"/>
      <c r="D1806" s="71"/>
      <c r="H1806" s="90"/>
      <c r="J1806" s="53" t="str">
        <f>IFERROR(__xludf.DUMMYFUNCTION("IF(ISBLANK(B1806),"""",IF(ISDATE(B1806),""X"",""""))"),"")</f>
        <v/>
      </c>
      <c r="K1806" s="40" t="str">
        <f>IFERROR(__xludf.DUMMYFUNCTION("IF(ISBLANK(B1806),"""",IF(ISDATE(B1806),H1806,""""))"),"")</f>
        <v/>
      </c>
      <c r="L1806" s="40" t="str">
        <f>IFERROR(__xludf.DUMMYFUNCTION("IF(ISBLANK(B1806),"""",IF(ISDATE(B1806),TEXT(B1806,""M""),""""))"),"")</f>
        <v/>
      </c>
      <c r="M1806" s="29" t="str">
        <f>IFERROR(__xludf.DUMMYFUNCTION("IF(L1806="""","""",QUERY({'Dashboard-Dados'!$Y$2:$AA$13},""Select Col2 Where Col1=""&amp;L1806))"),"")</f>
        <v/>
      </c>
      <c r="N1806" s="29" t="str">
        <f>IFERROR(__xludf.DUMMYFUNCTION("IF(ISBLANK(B1806),"""",IF(ISDATE(B1806),TEXT(B1806,""yyyy""),""""))"),"")</f>
        <v/>
      </c>
    </row>
    <row r="1807">
      <c r="B1807" s="87"/>
      <c r="C1807" s="85"/>
      <c r="D1807" s="76"/>
      <c r="H1807" s="88"/>
      <c r="J1807" s="53" t="str">
        <f>IFERROR(__xludf.DUMMYFUNCTION("IF(ISBLANK(B1807),"""",IF(ISDATE(B1807),""X"",""""))"),"")</f>
        <v/>
      </c>
      <c r="K1807" s="40" t="str">
        <f>IFERROR(__xludf.DUMMYFUNCTION("IF(ISBLANK(B1807),"""",IF(ISDATE(B1807),H1807,""""))"),"")</f>
        <v/>
      </c>
      <c r="L1807" s="40" t="str">
        <f>IFERROR(__xludf.DUMMYFUNCTION("IF(ISBLANK(B1807),"""",IF(ISDATE(B1807),TEXT(B1807,""M""),""""))"),"")</f>
        <v/>
      </c>
      <c r="M1807" s="29" t="str">
        <f>IFERROR(__xludf.DUMMYFUNCTION("IF(L1807="""","""",QUERY({'Dashboard-Dados'!$Y$2:$AA$13},""Select Col2 Where Col1=""&amp;L1807))"),"")</f>
        <v/>
      </c>
      <c r="N1807" s="29" t="str">
        <f>IFERROR(__xludf.DUMMYFUNCTION("IF(ISBLANK(B1807),"""",IF(ISDATE(B1807),TEXT(B1807,""yyyy""),""""))"),"")</f>
        <v/>
      </c>
    </row>
    <row r="1808">
      <c r="B1808" s="89"/>
      <c r="C1808" s="86"/>
      <c r="D1808" s="71"/>
      <c r="H1808" s="90"/>
      <c r="J1808" s="53" t="str">
        <f>IFERROR(__xludf.DUMMYFUNCTION("IF(ISBLANK(B1808),"""",IF(ISDATE(B1808),""X"",""""))"),"")</f>
        <v/>
      </c>
      <c r="K1808" s="40" t="str">
        <f>IFERROR(__xludf.DUMMYFUNCTION("IF(ISBLANK(B1808),"""",IF(ISDATE(B1808),H1808,""""))"),"")</f>
        <v/>
      </c>
      <c r="L1808" s="40" t="str">
        <f>IFERROR(__xludf.DUMMYFUNCTION("IF(ISBLANK(B1808),"""",IF(ISDATE(B1808),TEXT(B1808,""M""),""""))"),"")</f>
        <v/>
      </c>
      <c r="M1808" s="29" t="str">
        <f>IFERROR(__xludf.DUMMYFUNCTION("IF(L1808="""","""",QUERY({'Dashboard-Dados'!$Y$2:$AA$13},""Select Col2 Where Col1=""&amp;L1808))"),"")</f>
        <v/>
      </c>
      <c r="N1808" s="29" t="str">
        <f>IFERROR(__xludf.DUMMYFUNCTION("IF(ISBLANK(B1808),"""",IF(ISDATE(B1808),TEXT(B1808,""yyyy""),""""))"),"")</f>
        <v/>
      </c>
    </row>
    <row r="1809">
      <c r="B1809" s="87"/>
      <c r="C1809" s="85"/>
      <c r="D1809" s="76"/>
      <c r="H1809" s="88"/>
      <c r="J1809" s="53" t="str">
        <f>IFERROR(__xludf.DUMMYFUNCTION("IF(ISBLANK(B1809),"""",IF(ISDATE(B1809),""X"",""""))"),"")</f>
        <v/>
      </c>
      <c r="K1809" s="40" t="str">
        <f>IFERROR(__xludf.DUMMYFUNCTION("IF(ISBLANK(B1809),"""",IF(ISDATE(B1809),H1809,""""))"),"")</f>
        <v/>
      </c>
      <c r="L1809" s="40" t="str">
        <f>IFERROR(__xludf.DUMMYFUNCTION("IF(ISBLANK(B1809),"""",IF(ISDATE(B1809),TEXT(B1809,""M""),""""))"),"")</f>
        <v/>
      </c>
      <c r="M1809" s="29" t="str">
        <f>IFERROR(__xludf.DUMMYFUNCTION("IF(L1809="""","""",QUERY({'Dashboard-Dados'!$Y$2:$AA$13},""Select Col2 Where Col1=""&amp;L1809))"),"")</f>
        <v/>
      </c>
      <c r="N1809" s="29" t="str">
        <f>IFERROR(__xludf.DUMMYFUNCTION("IF(ISBLANK(B1809),"""",IF(ISDATE(B1809),TEXT(B1809,""yyyy""),""""))"),"")</f>
        <v/>
      </c>
    </row>
    <row r="1810">
      <c r="B1810" s="89"/>
      <c r="C1810" s="86"/>
      <c r="D1810" s="71"/>
      <c r="H1810" s="90"/>
      <c r="J1810" s="53" t="str">
        <f>IFERROR(__xludf.DUMMYFUNCTION("IF(ISBLANK(B1810),"""",IF(ISDATE(B1810),""X"",""""))"),"")</f>
        <v/>
      </c>
      <c r="K1810" s="40" t="str">
        <f>IFERROR(__xludf.DUMMYFUNCTION("IF(ISBLANK(B1810),"""",IF(ISDATE(B1810),H1810,""""))"),"")</f>
        <v/>
      </c>
      <c r="L1810" s="40" t="str">
        <f>IFERROR(__xludf.DUMMYFUNCTION("IF(ISBLANK(B1810),"""",IF(ISDATE(B1810),TEXT(B1810,""M""),""""))"),"")</f>
        <v/>
      </c>
      <c r="M1810" s="29" t="str">
        <f>IFERROR(__xludf.DUMMYFUNCTION("IF(L1810="""","""",QUERY({'Dashboard-Dados'!$Y$2:$AA$13},""Select Col2 Where Col1=""&amp;L1810))"),"")</f>
        <v/>
      </c>
      <c r="N1810" s="29" t="str">
        <f>IFERROR(__xludf.DUMMYFUNCTION("IF(ISBLANK(B1810),"""",IF(ISDATE(B1810),TEXT(B1810,""yyyy""),""""))"),"")</f>
        <v/>
      </c>
    </row>
    <row r="1811">
      <c r="B1811" s="87"/>
      <c r="C1811" s="85"/>
      <c r="D1811" s="76"/>
      <c r="H1811" s="88"/>
      <c r="J1811" s="53" t="str">
        <f>IFERROR(__xludf.DUMMYFUNCTION("IF(ISBLANK(B1811),"""",IF(ISDATE(B1811),""X"",""""))"),"")</f>
        <v/>
      </c>
      <c r="K1811" s="40" t="str">
        <f>IFERROR(__xludf.DUMMYFUNCTION("IF(ISBLANK(B1811),"""",IF(ISDATE(B1811),H1811,""""))"),"")</f>
        <v/>
      </c>
      <c r="L1811" s="40" t="str">
        <f>IFERROR(__xludf.DUMMYFUNCTION("IF(ISBLANK(B1811),"""",IF(ISDATE(B1811),TEXT(B1811,""M""),""""))"),"")</f>
        <v/>
      </c>
      <c r="M1811" s="29" t="str">
        <f>IFERROR(__xludf.DUMMYFUNCTION("IF(L1811="""","""",QUERY({'Dashboard-Dados'!$Y$2:$AA$13},""Select Col2 Where Col1=""&amp;L1811))"),"")</f>
        <v/>
      </c>
      <c r="N1811" s="29" t="str">
        <f>IFERROR(__xludf.DUMMYFUNCTION("IF(ISBLANK(B1811),"""",IF(ISDATE(B1811),TEXT(B1811,""yyyy""),""""))"),"")</f>
        <v/>
      </c>
    </row>
    <row r="1812">
      <c r="B1812" s="89"/>
      <c r="C1812" s="86"/>
      <c r="D1812" s="71"/>
      <c r="H1812" s="90"/>
      <c r="J1812" s="53" t="str">
        <f>IFERROR(__xludf.DUMMYFUNCTION("IF(ISBLANK(B1812),"""",IF(ISDATE(B1812),""X"",""""))"),"")</f>
        <v/>
      </c>
      <c r="K1812" s="40" t="str">
        <f>IFERROR(__xludf.DUMMYFUNCTION("IF(ISBLANK(B1812),"""",IF(ISDATE(B1812),H1812,""""))"),"")</f>
        <v/>
      </c>
      <c r="L1812" s="40" t="str">
        <f>IFERROR(__xludf.DUMMYFUNCTION("IF(ISBLANK(B1812),"""",IF(ISDATE(B1812),TEXT(B1812,""M""),""""))"),"")</f>
        <v/>
      </c>
      <c r="M1812" s="29" t="str">
        <f>IFERROR(__xludf.DUMMYFUNCTION("IF(L1812="""","""",QUERY({'Dashboard-Dados'!$Y$2:$AA$13},""Select Col2 Where Col1=""&amp;L1812))"),"")</f>
        <v/>
      </c>
      <c r="N1812" s="29" t="str">
        <f>IFERROR(__xludf.DUMMYFUNCTION("IF(ISBLANK(B1812),"""",IF(ISDATE(B1812),TEXT(B1812,""yyyy""),""""))"),"")</f>
        <v/>
      </c>
    </row>
    <row r="1813">
      <c r="B1813" s="87"/>
      <c r="C1813" s="85"/>
      <c r="D1813" s="76"/>
      <c r="H1813" s="88"/>
      <c r="J1813" s="53" t="str">
        <f>IFERROR(__xludf.DUMMYFUNCTION("IF(ISBLANK(B1813),"""",IF(ISDATE(B1813),""X"",""""))"),"")</f>
        <v/>
      </c>
      <c r="K1813" s="40" t="str">
        <f>IFERROR(__xludf.DUMMYFUNCTION("IF(ISBLANK(B1813),"""",IF(ISDATE(B1813),H1813,""""))"),"")</f>
        <v/>
      </c>
      <c r="L1813" s="40" t="str">
        <f>IFERROR(__xludf.DUMMYFUNCTION("IF(ISBLANK(B1813),"""",IF(ISDATE(B1813),TEXT(B1813,""M""),""""))"),"")</f>
        <v/>
      </c>
      <c r="M1813" s="29" t="str">
        <f>IFERROR(__xludf.DUMMYFUNCTION("IF(L1813="""","""",QUERY({'Dashboard-Dados'!$Y$2:$AA$13},""Select Col2 Where Col1=""&amp;L1813))"),"")</f>
        <v/>
      </c>
      <c r="N1813" s="29" t="str">
        <f>IFERROR(__xludf.DUMMYFUNCTION("IF(ISBLANK(B1813),"""",IF(ISDATE(B1813),TEXT(B1813,""yyyy""),""""))"),"")</f>
        <v/>
      </c>
    </row>
    <row r="1814">
      <c r="B1814" s="89"/>
      <c r="C1814" s="86"/>
      <c r="D1814" s="71"/>
      <c r="H1814" s="90"/>
      <c r="J1814" s="53" t="str">
        <f>IFERROR(__xludf.DUMMYFUNCTION("IF(ISBLANK(B1814),"""",IF(ISDATE(B1814),""X"",""""))"),"")</f>
        <v/>
      </c>
      <c r="K1814" s="40" t="str">
        <f>IFERROR(__xludf.DUMMYFUNCTION("IF(ISBLANK(B1814),"""",IF(ISDATE(B1814),H1814,""""))"),"")</f>
        <v/>
      </c>
      <c r="L1814" s="40" t="str">
        <f>IFERROR(__xludf.DUMMYFUNCTION("IF(ISBLANK(B1814),"""",IF(ISDATE(B1814),TEXT(B1814,""M""),""""))"),"")</f>
        <v/>
      </c>
      <c r="M1814" s="29" t="str">
        <f>IFERROR(__xludf.DUMMYFUNCTION("IF(L1814="""","""",QUERY({'Dashboard-Dados'!$Y$2:$AA$13},""Select Col2 Where Col1=""&amp;L1814))"),"")</f>
        <v/>
      </c>
      <c r="N1814" s="29" t="str">
        <f>IFERROR(__xludf.DUMMYFUNCTION("IF(ISBLANK(B1814),"""",IF(ISDATE(B1814),TEXT(B1814,""yyyy""),""""))"),"")</f>
        <v/>
      </c>
    </row>
    <row r="1815">
      <c r="B1815" s="87"/>
      <c r="C1815" s="85"/>
      <c r="D1815" s="76"/>
      <c r="H1815" s="88"/>
      <c r="J1815" s="53" t="str">
        <f>IFERROR(__xludf.DUMMYFUNCTION("IF(ISBLANK(B1815),"""",IF(ISDATE(B1815),""X"",""""))"),"")</f>
        <v/>
      </c>
      <c r="K1815" s="40" t="str">
        <f>IFERROR(__xludf.DUMMYFUNCTION("IF(ISBLANK(B1815),"""",IF(ISDATE(B1815),H1815,""""))"),"")</f>
        <v/>
      </c>
      <c r="L1815" s="40" t="str">
        <f>IFERROR(__xludf.DUMMYFUNCTION("IF(ISBLANK(B1815),"""",IF(ISDATE(B1815),TEXT(B1815,""M""),""""))"),"")</f>
        <v/>
      </c>
      <c r="M1815" s="29" t="str">
        <f>IFERROR(__xludf.DUMMYFUNCTION("IF(L1815="""","""",QUERY({'Dashboard-Dados'!$Y$2:$AA$13},""Select Col2 Where Col1=""&amp;L1815))"),"")</f>
        <v/>
      </c>
      <c r="N1815" s="29" t="str">
        <f>IFERROR(__xludf.DUMMYFUNCTION("IF(ISBLANK(B1815),"""",IF(ISDATE(B1815),TEXT(B1815,""yyyy""),""""))"),"")</f>
        <v/>
      </c>
    </row>
    <row r="1816">
      <c r="B1816" s="89"/>
      <c r="C1816" s="86"/>
      <c r="D1816" s="71"/>
      <c r="H1816" s="90"/>
      <c r="J1816" s="53" t="str">
        <f>IFERROR(__xludf.DUMMYFUNCTION("IF(ISBLANK(B1816),"""",IF(ISDATE(B1816),""X"",""""))"),"")</f>
        <v/>
      </c>
      <c r="K1816" s="40" t="str">
        <f>IFERROR(__xludf.DUMMYFUNCTION("IF(ISBLANK(B1816),"""",IF(ISDATE(B1816),H1816,""""))"),"")</f>
        <v/>
      </c>
      <c r="L1816" s="40" t="str">
        <f>IFERROR(__xludf.DUMMYFUNCTION("IF(ISBLANK(B1816),"""",IF(ISDATE(B1816),TEXT(B1816,""M""),""""))"),"")</f>
        <v/>
      </c>
      <c r="M1816" s="29" t="str">
        <f>IFERROR(__xludf.DUMMYFUNCTION("IF(L1816="""","""",QUERY({'Dashboard-Dados'!$Y$2:$AA$13},""Select Col2 Where Col1=""&amp;L1816))"),"")</f>
        <v/>
      </c>
      <c r="N1816" s="29" t="str">
        <f>IFERROR(__xludf.DUMMYFUNCTION("IF(ISBLANK(B1816),"""",IF(ISDATE(B1816),TEXT(B1816,""yyyy""),""""))"),"")</f>
        <v/>
      </c>
    </row>
    <row r="1817">
      <c r="B1817" s="87"/>
      <c r="C1817" s="85"/>
      <c r="D1817" s="76"/>
      <c r="H1817" s="88"/>
      <c r="J1817" s="53" t="str">
        <f>IFERROR(__xludf.DUMMYFUNCTION("IF(ISBLANK(B1817),"""",IF(ISDATE(B1817),""X"",""""))"),"")</f>
        <v/>
      </c>
      <c r="K1817" s="40" t="str">
        <f>IFERROR(__xludf.DUMMYFUNCTION("IF(ISBLANK(B1817),"""",IF(ISDATE(B1817),H1817,""""))"),"")</f>
        <v/>
      </c>
      <c r="L1817" s="40" t="str">
        <f>IFERROR(__xludf.DUMMYFUNCTION("IF(ISBLANK(B1817),"""",IF(ISDATE(B1817),TEXT(B1817,""M""),""""))"),"")</f>
        <v/>
      </c>
      <c r="M1817" s="29" t="str">
        <f>IFERROR(__xludf.DUMMYFUNCTION("IF(L1817="""","""",QUERY({'Dashboard-Dados'!$Y$2:$AA$13},""Select Col2 Where Col1=""&amp;L1817))"),"")</f>
        <v/>
      </c>
      <c r="N1817" s="29" t="str">
        <f>IFERROR(__xludf.DUMMYFUNCTION("IF(ISBLANK(B1817),"""",IF(ISDATE(B1817),TEXT(B1817,""yyyy""),""""))"),"")</f>
        <v/>
      </c>
    </row>
    <row r="1818">
      <c r="B1818" s="89"/>
      <c r="C1818" s="86"/>
      <c r="D1818" s="71"/>
      <c r="H1818" s="90"/>
      <c r="J1818" s="53" t="str">
        <f>IFERROR(__xludf.DUMMYFUNCTION("IF(ISBLANK(B1818),"""",IF(ISDATE(B1818),""X"",""""))"),"")</f>
        <v/>
      </c>
      <c r="K1818" s="40" t="str">
        <f>IFERROR(__xludf.DUMMYFUNCTION("IF(ISBLANK(B1818),"""",IF(ISDATE(B1818),H1818,""""))"),"")</f>
        <v/>
      </c>
      <c r="L1818" s="40" t="str">
        <f>IFERROR(__xludf.DUMMYFUNCTION("IF(ISBLANK(B1818),"""",IF(ISDATE(B1818),TEXT(B1818,""M""),""""))"),"")</f>
        <v/>
      </c>
      <c r="M1818" s="29" t="str">
        <f>IFERROR(__xludf.DUMMYFUNCTION("IF(L1818="""","""",QUERY({'Dashboard-Dados'!$Y$2:$AA$13},""Select Col2 Where Col1=""&amp;L1818))"),"")</f>
        <v/>
      </c>
      <c r="N1818" s="29" t="str">
        <f>IFERROR(__xludf.DUMMYFUNCTION("IF(ISBLANK(B1818),"""",IF(ISDATE(B1818),TEXT(B1818,""yyyy""),""""))"),"")</f>
        <v/>
      </c>
    </row>
    <row r="1819">
      <c r="B1819" s="87"/>
      <c r="C1819" s="85"/>
      <c r="D1819" s="76"/>
      <c r="H1819" s="88"/>
      <c r="J1819" s="53" t="str">
        <f>IFERROR(__xludf.DUMMYFUNCTION("IF(ISBLANK(B1819),"""",IF(ISDATE(B1819),""X"",""""))"),"")</f>
        <v/>
      </c>
      <c r="K1819" s="40" t="str">
        <f>IFERROR(__xludf.DUMMYFUNCTION("IF(ISBLANK(B1819),"""",IF(ISDATE(B1819),H1819,""""))"),"")</f>
        <v/>
      </c>
      <c r="L1819" s="40" t="str">
        <f>IFERROR(__xludf.DUMMYFUNCTION("IF(ISBLANK(B1819),"""",IF(ISDATE(B1819),TEXT(B1819,""M""),""""))"),"")</f>
        <v/>
      </c>
      <c r="M1819" s="29" t="str">
        <f>IFERROR(__xludf.DUMMYFUNCTION("IF(L1819="""","""",QUERY({'Dashboard-Dados'!$Y$2:$AA$13},""Select Col2 Where Col1=""&amp;L1819))"),"")</f>
        <v/>
      </c>
      <c r="N1819" s="29" t="str">
        <f>IFERROR(__xludf.DUMMYFUNCTION("IF(ISBLANK(B1819),"""",IF(ISDATE(B1819),TEXT(B1819,""yyyy""),""""))"),"")</f>
        <v/>
      </c>
    </row>
    <row r="1820">
      <c r="B1820" s="89"/>
      <c r="C1820" s="86"/>
      <c r="D1820" s="71"/>
      <c r="H1820" s="90"/>
      <c r="J1820" s="53" t="str">
        <f>IFERROR(__xludf.DUMMYFUNCTION("IF(ISBLANK(B1820),"""",IF(ISDATE(B1820),""X"",""""))"),"")</f>
        <v/>
      </c>
      <c r="K1820" s="40" t="str">
        <f>IFERROR(__xludf.DUMMYFUNCTION("IF(ISBLANK(B1820),"""",IF(ISDATE(B1820),H1820,""""))"),"")</f>
        <v/>
      </c>
      <c r="L1820" s="40" t="str">
        <f>IFERROR(__xludf.DUMMYFUNCTION("IF(ISBLANK(B1820),"""",IF(ISDATE(B1820),TEXT(B1820,""M""),""""))"),"")</f>
        <v/>
      </c>
      <c r="M1820" s="29" t="str">
        <f>IFERROR(__xludf.DUMMYFUNCTION("IF(L1820="""","""",QUERY({'Dashboard-Dados'!$Y$2:$AA$13},""Select Col2 Where Col1=""&amp;L1820))"),"")</f>
        <v/>
      </c>
      <c r="N1820" s="29" t="str">
        <f>IFERROR(__xludf.DUMMYFUNCTION("IF(ISBLANK(B1820),"""",IF(ISDATE(B1820),TEXT(B1820,""yyyy""),""""))"),"")</f>
        <v/>
      </c>
    </row>
    <row r="1821">
      <c r="B1821" s="87"/>
      <c r="C1821" s="85"/>
      <c r="D1821" s="76"/>
      <c r="H1821" s="88"/>
      <c r="J1821" s="53" t="str">
        <f>IFERROR(__xludf.DUMMYFUNCTION("IF(ISBLANK(B1821),"""",IF(ISDATE(B1821),""X"",""""))"),"")</f>
        <v/>
      </c>
      <c r="K1821" s="40" t="str">
        <f>IFERROR(__xludf.DUMMYFUNCTION("IF(ISBLANK(B1821),"""",IF(ISDATE(B1821),H1821,""""))"),"")</f>
        <v/>
      </c>
      <c r="L1821" s="40" t="str">
        <f>IFERROR(__xludf.DUMMYFUNCTION("IF(ISBLANK(B1821),"""",IF(ISDATE(B1821),TEXT(B1821,""M""),""""))"),"")</f>
        <v/>
      </c>
      <c r="M1821" s="29" t="str">
        <f>IFERROR(__xludf.DUMMYFUNCTION("IF(L1821="""","""",QUERY({'Dashboard-Dados'!$Y$2:$AA$13},""Select Col2 Where Col1=""&amp;L1821))"),"")</f>
        <v/>
      </c>
      <c r="N1821" s="29" t="str">
        <f>IFERROR(__xludf.DUMMYFUNCTION("IF(ISBLANK(B1821),"""",IF(ISDATE(B1821),TEXT(B1821,""yyyy""),""""))"),"")</f>
        <v/>
      </c>
    </row>
    <row r="1822">
      <c r="B1822" s="89"/>
      <c r="C1822" s="86"/>
      <c r="D1822" s="71"/>
      <c r="H1822" s="90"/>
      <c r="J1822" s="53" t="str">
        <f>IFERROR(__xludf.DUMMYFUNCTION("IF(ISBLANK(B1822),"""",IF(ISDATE(B1822),""X"",""""))"),"")</f>
        <v/>
      </c>
      <c r="K1822" s="40" t="str">
        <f>IFERROR(__xludf.DUMMYFUNCTION("IF(ISBLANK(B1822),"""",IF(ISDATE(B1822),H1822,""""))"),"")</f>
        <v/>
      </c>
      <c r="L1822" s="40" t="str">
        <f>IFERROR(__xludf.DUMMYFUNCTION("IF(ISBLANK(B1822),"""",IF(ISDATE(B1822),TEXT(B1822,""M""),""""))"),"")</f>
        <v/>
      </c>
      <c r="M1822" s="29" t="str">
        <f>IFERROR(__xludf.DUMMYFUNCTION("IF(L1822="""","""",QUERY({'Dashboard-Dados'!$Y$2:$AA$13},""Select Col2 Where Col1=""&amp;L1822))"),"")</f>
        <v/>
      </c>
      <c r="N1822" s="29" t="str">
        <f>IFERROR(__xludf.DUMMYFUNCTION("IF(ISBLANK(B1822),"""",IF(ISDATE(B1822),TEXT(B1822,""yyyy""),""""))"),"")</f>
        <v/>
      </c>
    </row>
    <row r="1823">
      <c r="B1823" s="87"/>
      <c r="C1823" s="85"/>
      <c r="D1823" s="76"/>
      <c r="H1823" s="88"/>
      <c r="J1823" s="53" t="str">
        <f>IFERROR(__xludf.DUMMYFUNCTION("IF(ISBLANK(B1823),"""",IF(ISDATE(B1823),""X"",""""))"),"")</f>
        <v/>
      </c>
      <c r="K1823" s="40" t="str">
        <f>IFERROR(__xludf.DUMMYFUNCTION("IF(ISBLANK(B1823),"""",IF(ISDATE(B1823),H1823,""""))"),"")</f>
        <v/>
      </c>
      <c r="L1823" s="40" t="str">
        <f>IFERROR(__xludf.DUMMYFUNCTION("IF(ISBLANK(B1823),"""",IF(ISDATE(B1823),TEXT(B1823,""M""),""""))"),"")</f>
        <v/>
      </c>
      <c r="M1823" s="29" t="str">
        <f>IFERROR(__xludf.DUMMYFUNCTION("IF(L1823="""","""",QUERY({'Dashboard-Dados'!$Y$2:$AA$13},""Select Col2 Where Col1=""&amp;L1823))"),"")</f>
        <v/>
      </c>
      <c r="N1823" s="29" t="str">
        <f>IFERROR(__xludf.DUMMYFUNCTION("IF(ISBLANK(B1823),"""",IF(ISDATE(B1823),TEXT(B1823,""yyyy""),""""))"),"")</f>
        <v/>
      </c>
    </row>
    <row r="1824">
      <c r="B1824" s="89"/>
      <c r="C1824" s="86"/>
      <c r="D1824" s="71"/>
      <c r="H1824" s="90"/>
      <c r="J1824" s="53" t="str">
        <f>IFERROR(__xludf.DUMMYFUNCTION("IF(ISBLANK(B1824),"""",IF(ISDATE(B1824),""X"",""""))"),"")</f>
        <v/>
      </c>
      <c r="K1824" s="40" t="str">
        <f>IFERROR(__xludf.DUMMYFUNCTION("IF(ISBLANK(B1824),"""",IF(ISDATE(B1824),H1824,""""))"),"")</f>
        <v/>
      </c>
      <c r="L1824" s="40" t="str">
        <f>IFERROR(__xludf.DUMMYFUNCTION("IF(ISBLANK(B1824),"""",IF(ISDATE(B1824),TEXT(B1824,""M""),""""))"),"")</f>
        <v/>
      </c>
      <c r="M1824" s="29" t="str">
        <f>IFERROR(__xludf.DUMMYFUNCTION("IF(L1824="""","""",QUERY({'Dashboard-Dados'!$Y$2:$AA$13},""Select Col2 Where Col1=""&amp;L1824))"),"")</f>
        <v/>
      </c>
      <c r="N1824" s="29" t="str">
        <f>IFERROR(__xludf.DUMMYFUNCTION("IF(ISBLANK(B1824),"""",IF(ISDATE(B1824),TEXT(B1824,""yyyy""),""""))"),"")</f>
        <v/>
      </c>
    </row>
    <row r="1825">
      <c r="B1825" s="87"/>
      <c r="C1825" s="85"/>
      <c r="D1825" s="76"/>
      <c r="H1825" s="88"/>
      <c r="J1825" s="53" t="str">
        <f>IFERROR(__xludf.DUMMYFUNCTION("IF(ISBLANK(B1825),"""",IF(ISDATE(B1825),""X"",""""))"),"")</f>
        <v/>
      </c>
      <c r="K1825" s="40" t="str">
        <f>IFERROR(__xludf.DUMMYFUNCTION("IF(ISBLANK(B1825),"""",IF(ISDATE(B1825),H1825,""""))"),"")</f>
        <v/>
      </c>
      <c r="L1825" s="40" t="str">
        <f>IFERROR(__xludf.DUMMYFUNCTION("IF(ISBLANK(B1825),"""",IF(ISDATE(B1825),TEXT(B1825,""M""),""""))"),"")</f>
        <v/>
      </c>
      <c r="M1825" s="29" t="str">
        <f>IFERROR(__xludf.DUMMYFUNCTION("IF(L1825="""","""",QUERY({'Dashboard-Dados'!$Y$2:$AA$13},""Select Col2 Where Col1=""&amp;L1825))"),"")</f>
        <v/>
      </c>
      <c r="N1825" s="29" t="str">
        <f>IFERROR(__xludf.DUMMYFUNCTION("IF(ISBLANK(B1825),"""",IF(ISDATE(B1825),TEXT(B1825,""yyyy""),""""))"),"")</f>
        <v/>
      </c>
    </row>
    <row r="1826">
      <c r="B1826" s="89"/>
      <c r="C1826" s="86"/>
      <c r="D1826" s="71"/>
      <c r="H1826" s="90"/>
      <c r="J1826" s="53" t="str">
        <f>IFERROR(__xludf.DUMMYFUNCTION("IF(ISBLANK(B1826),"""",IF(ISDATE(B1826),""X"",""""))"),"")</f>
        <v/>
      </c>
      <c r="K1826" s="40" t="str">
        <f>IFERROR(__xludf.DUMMYFUNCTION("IF(ISBLANK(B1826),"""",IF(ISDATE(B1826),H1826,""""))"),"")</f>
        <v/>
      </c>
      <c r="L1826" s="40" t="str">
        <f>IFERROR(__xludf.DUMMYFUNCTION("IF(ISBLANK(B1826),"""",IF(ISDATE(B1826),TEXT(B1826,""M""),""""))"),"")</f>
        <v/>
      </c>
      <c r="M1826" s="29" t="str">
        <f>IFERROR(__xludf.DUMMYFUNCTION("IF(L1826="""","""",QUERY({'Dashboard-Dados'!$Y$2:$AA$13},""Select Col2 Where Col1=""&amp;L1826))"),"")</f>
        <v/>
      </c>
      <c r="N1826" s="29" t="str">
        <f>IFERROR(__xludf.DUMMYFUNCTION("IF(ISBLANK(B1826),"""",IF(ISDATE(B1826),TEXT(B1826,""yyyy""),""""))"),"")</f>
        <v/>
      </c>
    </row>
    <row r="1827">
      <c r="B1827" s="87"/>
      <c r="C1827" s="85"/>
      <c r="D1827" s="76"/>
      <c r="H1827" s="88"/>
      <c r="J1827" s="53" t="str">
        <f>IFERROR(__xludf.DUMMYFUNCTION("IF(ISBLANK(B1827),"""",IF(ISDATE(B1827),""X"",""""))"),"")</f>
        <v/>
      </c>
      <c r="K1827" s="40" t="str">
        <f>IFERROR(__xludf.DUMMYFUNCTION("IF(ISBLANK(B1827),"""",IF(ISDATE(B1827),H1827,""""))"),"")</f>
        <v/>
      </c>
      <c r="L1827" s="40" t="str">
        <f>IFERROR(__xludf.DUMMYFUNCTION("IF(ISBLANK(B1827),"""",IF(ISDATE(B1827),TEXT(B1827,""M""),""""))"),"")</f>
        <v/>
      </c>
      <c r="M1827" s="29" t="str">
        <f>IFERROR(__xludf.DUMMYFUNCTION("IF(L1827="""","""",QUERY({'Dashboard-Dados'!$Y$2:$AA$13},""Select Col2 Where Col1=""&amp;L1827))"),"")</f>
        <v/>
      </c>
      <c r="N1827" s="29" t="str">
        <f>IFERROR(__xludf.DUMMYFUNCTION("IF(ISBLANK(B1827),"""",IF(ISDATE(B1827),TEXT(B1827,""yyyy""),""""))"),"")</f>
        <v/>
      </c>
    </row>
    <row r="1828">
      <c r="B1828" s="89"/>
      <c r="C1828" s="86"/>
      <c r="D1828" s="71"/>
      <c r="H1828" s="90"/>
      <c r="J1828" s="53" t="str">
        <f>IFERROR(__xludf.DUMMYFUNCTION("IF(ISBLANK(B1828),"""",IF(ISDATE(B1828),""X"",""""))"),"")</f>
        <v/>
      </c>
      <c r="K1828" s="40" t="str">
        <f>IFERROR(__xludf.DUMMYFUNCTION("IF(ISBLANK(B1828),"""",IF(ISDATE(B1828),H1828,""""))"),"")</f>
        <v/>
      </c>
      <c r="L1828" s="40" t="str">
        <f>IFERROR(__xludf.DUMMYFUNCTION("IF(ISBLANK(B1828),"""",IF(ISDATE(B1828),TEXT(B1828,""M""),""""))"),"")</f>
        <v/>
      </c>
      <c r="M1828" s="29" t="str">
        <f>IFERROR(__xludf.DUMMYFUNCTION("IF(L1828="""","""",QUERY({'Dashboard-Dados'!$Y$2:$AA$13},""Select Col2 Where Col1=""&amp;L1828))"),"")</f>
        <v/>
      </c>
      <c r="N1828" s="29" t="str">
        <f>IFERROR(__xludf.DUMMYFUNCTION("IF(ISBLANK(B1828),"""",IF(ISDATE(B1828),TEXT(B1828,""yyyy""),""""))"),"")</f>
        <v/>
      </c>
    </row>
    <row r="1829">
      <c r="B1829" s="87"/>
      <c r="C1829" s="85"/>
      <c r="D1829" s="76"/>
      <c r="H1829" s="88"/>
      <c r="J1829" s="53" t="str">
        <f>IFERROR(__xludf.DUMMYFUNCTION("IF(ISBLANK(B1829),"""",IF(ISDATE(B1829),""X"",""""))"),"")</f>
        <v/>
      </c>
      <c r="K1829" s="40" t="str">
        <f>IFERROR(__xludf.DUMMYFUNCTION("IF(ISBLANK(B1829),"""",IF(ISDATE(B1829),H1829,""""))"),"")</f>
        <v/>
      </c>
      <c r="L1829" s="40" t="str">
        <f>IFERROR(__xludf.DUMMYFUNCTION("IF(ISBLANK(B1829),"""",IF(ISDATE(B1829),TEXT(B1829,""M""),""""))"),"")</f>
        <v/>
      </c>
      <c r="M1829" s="29" t="str">
        <f>IFERROR(__xludf.DUMMYFUNCTION("IF(L1829="""","""",QUERY({'Dashboard-Dados'!$Y$2:$AA$13},""Select Col2 Where Col1=""&amp;L1829))"),"")</f>
        <v/>
      </c>
      <c r="N1829" s="29" t="str">
        <f>IFERROR(__xludf.DUMMYFUNCTION("IF(ISBLANK(B1829),"""",IF(ISDATE(B1829),TEXT(B1829,""yyyy""),""""))"),"")</f>
        <v/>
      </c>
    </row>
    <row r="1830">
      <c r="B1830" s="89"/>
      <c r="C1830" s="86"/>
      <c r="D1830" s="71"/>
      <c r="H1830" s="90"/>
      <c r="J1830" s="53" t="str">
        <f>IFERROR(__xludf.DUMMYFUNCTION("IF(ISBLANK(B1830),"""",IF(ISDATE(B1830),""X"",""""))"),"")</f>
        <v/>
      </c>
      <c r="K1830" s="40" t="str">
        <f>IFERROR(__xludf.DUMMYFUNCTION("IF(ISBLANK(B1830),"""",IF(ISDATE(B1830),H1830,""""))"),"")</f>
        <v/>
      </c>
      <c r="L1830" s="40" t="str">
        <f>IFERROR(__xludf.DUMMYFUNCTION("IF(ISBLANK(B1830),"""",IF(ISDATE(B1830),TEXT(B1830,""M""),""""))"),"")</f>
        <v/>
      </c>
      <c r="M1830" s="29" t="str">
        <f>IFERROR(__xludf.DUMMYFUNCTION("IF(L1830="""","""",QUERY({'Dashboard-Dados'!$Y$2:$AA$13},""Select Col2 Where Col1=""&amp;L1830))"),"")</f>
        <v/>
      </c>
      <c r="N1830" s="29" t="str">
        <f>IFERROR(__xludf.DUMMYFUNCTION("IF(ISBLANK(B1830),"""",IF(ISDATE(B1830),TEXT(B1830,""yyyy""),""""))"),"")</f>
        <v/>
      </c>
    </row>
    <row r="1831">
      <c r="B1831" s="87"/>
      <c r="C1831" s="85"/>
      <c r="D1831" s="76"/>
      <c r="H1831" s="88"/>
      <c r="J1831" s="53" t="str">
        <f>IFERROR(__xludf.DUMMYFUNCTION("IF(ISBLANK(B1831),"""",IF(ISDATE(B1831),""X"",""""))"),"")</f>
        <v/>
      </c>
      <c r="K1831" s="40" t="str">
        <f>IFERROR(__xludf.DUMMYFUNCTION("IF(ISBLANK(B1831),"""",IF(ISDATE(B1831),H1831,""""))"),"")</f>
        <v/>
      </c>
      <c r="L1831" s="40" t="str">
        <f>IFERROR(__xludf.DUMMYFUNCTION("IF(ISBLANK(B1831),"""",IF(ISDATE(B1831),TEXT(B1831,""M""),""""))"),"")</f>
        <v/>
      </c>
      <c r="M1831" s="29" t="str">
        <f>IFERROR(__xludf.DUMMYFUNCTION("IF(L1831="""","""",QUERY({'Dashboard-Dados'!$Y$2:$AA$13},""Select Col2 Where Col1=""&amp;L1831))"),"")</f>
        <v/>
      </c>
      <c r="N1831" s="29" t="str">
        <f>IFERROR(__xludf.DUMMYFUNCTION("IF(ISBLANK(B1831),"""",IF(ISDATE(B1831),TEXT(B1831,""yyyy""),""""))"),"")</f>
        <v/>
      </c>
    </row>
    <row r="1832">
      <c r="B1832" s="89"/>
      <c r="C1832" s="86"/>
      <c r="D1832" s="71"/>
      <c r="H1832" s="90"/>
      <c r="J1832" s="53" t="str">
        <f>IFERROR(__xludf.DUMMYFUNCTION("IF(ISBLANK(B1832),"""",IF(ISDATE(B1832),""X"",""""))"),"")</f>
        <v/>
      </c>
      <c r="K1832" s="40" t="str">
        <f>IFERROR(__xludf.DUMMYFUNCTION("IF(ISBLANK(B1832),"""",IF(ISDATE(B1832),H1832,""""))"),"")</f>
        <v/>
      </c>
      <c r="L1832" s="40" t="str">
        <f>IFERROR(__xludf.DUMMYFUNCTION("IF(ISBLANK(B1832),"""",IF(ISDATE(B1832),TEXT(B1832,""M""),""""))"),"")</f>
        <v/>
      </c>
      <c r="M1832" s="29" t="str">
        <f>IFERROR(__xludf.DUMMYFUNCTION("IF(L1832="""","""",QUERY({'Dashboard-Dados'!$Y$2:$AA$13},""Select Col2 Where Col1=""&amp;L1832))"),"")</f>
        <v/>
      </c>
      <c r="N1832" s="29" t="str">
        <f>IFERROR(__xludf.DUMMYFUNCTION("IF(ISBLANK(B1832),"""",IF(ISDATE(B1832),TEXT(B1832,""yyyy""),""""))"),"")</f>
        <v/>
      </c>
    </row>
    <row r="1833">
      <c r="B1833" s="87"/>
      <c r="C1833" s="85"/>
      <c r="D1833" s="76"/>
      <c r="H1833" s="88"/>
      <c r="J1833" s="53" t="str">
        <f>IFERROR(__xludf.DUMMYFUNCTION("IF(ISBLANK(B1833),"""",IF(ISDATE(B1833),""X"",""""))"),"")</f>
        <v/>
      </c>
      <c r="K1833" s="40" t="str">
        <f>IFERROR(__xludf.DUMMYFUNCTION("IF(ISBLANK(B1833),"""",IF(ISDATE(B1833),H1833,""""))"),"")</f>
        <v/>
      </c>
      <c r="L1833" s="40" t="str">
        <f>IFERROR(__xludf.DUMMYFUNCTION("IF(ISBLANK(B1833),"""",IF(ISDATE(B1833),TEXT(B1833,""M""),""""))"),"")</f>
        <v/>
      </c>
      <c r="M1833" s="29" t="str">
        <f>IFERROR(__xludf.DUMMYFUNCTION("IF(L1833="""","""",QUERY({'Dashboard-Dados'!$Y$2:$AA$13},""Select Col2 Where Col1=""&amp;L1833))"),"")</f>
        <v/>
      </c>
      <c r="N1833" s="29" t="str">
        <f>IFERROR(__xludf.DUMMYFUNCTION("IF(ISBLANK(B1833),"""",IF(ISDATE(B1833),TEXT(B1833,""yyyy""),""""))"),"")</f>
        <v/>
      </c>
    </row>
    <row r="1834">
      <c r="B1834" s="89"/>
      <c r="C1834" s="86"/>
      <c r="D1834" s="71"/>
      <c r="H1834" s="90"/>
      <c r="J1834" s="53" t="str">
        <f>IFERROR(__xludf.DUMMYFUNCTION("IF(ISBLANK(B1834),"""",IF(ISDATE(B1834),""X"",""""))"),"")</f>
        <v/>
      </c>
      <c r="K1834" s="40" t="str">
        <f>IFERROR(__xludf.DUMMYFUNCTION("IF(ISBLANK(B1834),"""",IF(ISDATE(B1834),H1834,""""))"),"")</f>
        <v/>
      </c>
      <c r="L1834" s="40" t="str">
        <f>IFERROR(__xludf.DUMMYFUNCTION("IF(ISBLANK(B1834),"""",IF(ISDATE(B1834),TEXT(B1834,""M""),""""))"),"")</f>
        <v/>
      </c>
      <c r="M1834" s="29" t="str">
        <f>IFERROR(__xludf.DUMMYFUNCTION("IF(L1834="""","""",QUERY({'Dashboard-Dados'!$Y$2:$AA$13},""Select Col2 Where Col1=""&amp;L1834))"),"")</f>
        <v/>
      </c>
      <c r="N1834" s="29" t="str">
        <f>IFERROR(__xludf.DUMMYFUNCTION("IF(ISBLANK(B1834),"""",IF(ISDATE(B1834),TEXT(B1834,""yyyy""),""""))"),"")</f>
        <v/>
      </c>
    </row>
    <row r="1835">
      <c r="B1835" s="87"/>
      <c r="C1835" s="85"/>
      <c r="D1835" s="76"/>
      <c r="H1835" s="88"/>
      <c r="J1835" s="53" t="str">
        <f>IFERROR(__xludf.DUMMYFUNCTION("IF(ISBLANK(B1835),"""",IF(ISDATE(B1835),""X"",""""))"),"")</f>
        <v/>
      </c>
      <c r="K1835" s="40" t="str">
        <f>IFERROR(__xludf.DUMMYFUNCTION("IF(ISBLANK(B1835),"""",IF(ISDATE(B1835),H1835,""""))"),"")</f>
        <v/>
      </c>
      <c r="L1835" s="40" t="str">
        <f>IFERROR(__xludf.DUMMYFUNCTION("IF(ISBLANK(B1835),"""",IF(ISDATE(B1835),TEXT(B1835,""M""),""""))"),"")</f>
        <v/>
      </c>
      <c r="M1835" s="29" t="str">
        <f>IFERROR(__xludf.DUMMYFUNCTION("IF(L1835="""","""",QUERY({'Dashboard-Dados'!$Y$2:$AA$13},""Select Col2 Where Col1=""&amp;L1835))"),"")</f>
        <v/>
      </c>
      <c r="N1835" s="29" t="str">
        <f>IFERROR(__xludf.DUMMYFUNCTION("IF(ISBLANK(B1835),"""",IF(ISDATE(B1835),TEXT(B1835,""yyyy""),""""))"),"")</f>
        <v/>
      </c>
    </row>
    <row r="1836">
      <c r="B1836" s="89"/>
      <c r="C1836" s="86"/>
      <c r="D1836" s="71"/>
      <c r="H1836" s="90"/>
      <c r="J1836" s="53" t="str">
        <f>IFERROR(__xludf.DUMMYFUNCTION("IF(ISBLANK(B1836),"""",IF(ISDATE(B1836),""X"",""""))"),"")</f>
        <v/>
      </c>
      <c r="K1836" s="40" t="str">
        <f>IFERROR(__xludf.DUMMYFUNCTION("IF(ISBLANK(B1836),"""",IF(ISDATE(B1836),H1836,""""))"),"")</f>
        <v/>
      </c>
      <c r="L1836" s="40" t="str">
        <f>IFERROR(__xludf.DUMMYFUNCTION("IF(ISBLANK(B1836),"""",IF(ISDATE(B1836),TEXT(B1836,""M""),""""))"),"")</f>
        <v/>
      </c>
      <c r="M1836" s="29" t="str">
        <f>IFERROR(__xludf.DUMMYFUNCTION("IF(L1836="""","""",QUERY({'Dashboard-Dados'!$Y$2:$AA$13},""Select Col2 Where Col1=""&amp;L1836))"),"")</f>
        <v/>
      </c>
      <c r="N1836" s="29" t="str">
        <f>IFERROR(__xludf.DUMMYFUNCTION("IF(ISBLANK(B1836),"""",IF(ISDATE(B1836),TEXT(B1836,""yyyy""),""""))"),"")</f>
        <v/>
      </c>
    </row>
    <row r="1837">
      <c r="B1837" s="87"/>
      <c r="C1837" s="85"/>
      <c r="D1837" s="76"/>
      <c r="H1837" s="88"/>
      <c r="J1837" s="53" t="str">
        <f>IFERROR(__xludf.DUMMYFUNCTION("IF(ISBLANK(B1837),"""",IF(ISDATE(B1837),""X"",""""))"),"")</f>
        <v/>
      </c>
      <c r="K1837" s="40" t="str">
        <f>IFERROR(__xludf.DUMMYFUNCTION("IF(ISBLANK(B1837),"""",IF(ISDATE(B1837),H1837,""""))"),"")</f>
        <v/>
      </c>
      <c r="L1837" s="40" t="str">
        <f>IFERROR(__xludf.DUMMYFUNCTION("IF(ISBLANK(B1837),"""",IF(ISDATE(B1837),TEXT(B1837,""M""),""""))"),"")</f>
        <v/>
      </c>
      <c r="M1837" s="29" t="str">
        <f>IFERROR(__xludf.DUMMYFUNCTION("IF(L1837="""","""",QUERY({'Dashboard-Dados'!$Y$2:$AA$13},""Select Col2 Where Col1=""&amp;L1837))"),"")</f>
        <v/>
      </c>
      <c r="N1837" s="29" t="str">
        <f>IFERROR(__xludf.DUMMYFUNCTION("IF(ISBLANK(B1837),"""",IF(ISDATE(B1837),TEXT(B1837,""yyyy""),""""))"),"")</f>
        <v/>
      </c>
    </row>
    <row r="1838">
      <c r="B1838" s="89"/>
      <c r="C1838" s="86"/>
      <c r="D1838" s="71"/>
      <c r="H1838" s="90"/>
      <c r="J1838" s="53" t="str">
        <f>IFERROR(__xludf.DUMMYFUNCTION("IF(ISBLANK(B1838),"""",IF(ISDATE(B1838),""X"",""""))"),"")</f>
        <v/>
      </c>
      <c r="K1838" s="40" t="str">
        <f>IFERROR(__xludf.DUMMYFUNCTION("IF(ISBLANK(B1838),"""",IF(ISDATE(B1838),H1838,""""))"),"")</f>
        <v/>
      </c>
      <c r="L1838" s="40" t="str">
        <f>IFERROR(__xludf.DUMMYFUNCTION("IF(ISBLANK(B1838),"""",IF(ISDATE(B1838),TEXT(B1838,""M""),""""))"),"")</f>
        <v/>
      </c>
      <c r="M1838" s="29" t="str">
        <f>IFERROR(__xludf.DUMMYFUNCTION("IF(L1838="""","""",QUERY({'Dashboard-Dados'!$Y$2:$AA$13},""Select Col2 Where Col1=""&amp;L1838))"),"")</f>
        <v/>
      </c>
      <c r="N1838" s="29" t="str">
        <f>IFERROR(__xludf.DUMMYFUNCTION("IF(ISBLANK(B1838),"""",IF(ISDATE(B1838),TEXT(B1838,""yyyy""),""""))"),"")</f>
        <v/>
      </c>
    </row>
    <row r="1839">
      <c r="B1839" s="87"/>
      <c r="C1839" s="85"/>
      <c r="D1839" s="76"/>
      <c r="H1839" s="88"/>
      <c r="J1839" s="53" t="str">
        <f>IFERROR(__xludf.DUMMYFUNCTION("IF(ISBLANK(B1839),"""",IF(ISDATE(B1839),""X"",""""))"),"")</f>
        <v/>
      </c>
      <c r="K1839" s="40" t="str">
        <f>IFERROR(__xludf.DUMMYFUNCTION("IF(ISBLANK(B1839),"""",IF(ISDATE(B1839),H1839,""""))"),"")</f>
        <v/>
      </c>
      <c r="L1839" s="40" t="str">
        <f>IFERROR(__xludf.DUMMYFUNCTION("IF(ISBLANK(B1839),"""",IF(ISDATE(B1839),TEXT(B1839,""M""),""""))"),"")</f>
        <v/>
      </c>
      <c r="M1839" s="29" t="str">
        <f>IFERROR(__xludf.DUMMYFUNCTION("IF(L1839="""","""",QUERY({'Dashboard-Dados'!$Y$2:$AA$13},""Select Col2 Where Col1=""&amp;L1839))"),"")</f>
        <v/>
      </c>
      <c r="N1839" s="29" t="str">
        <f>IFERROR(__xludf.DUMMYFUNCTION("IF(ISBLANK(B1839),"""",IF(ISDATE(B1839),TEXT(B1839,""yyyy""),""""))"),"")</f>
        <v/>
      </c>
    </row>
    <row r="1840">
      <c r="B1840" s="89"/>
      <c r="C1840" s="86"/>
      <c r="D1840" s="71"/>
      <c r="H1840" s="90"/>
      <c r="J1840" s="53" t="str">
        <f>IFERROR(__xludf.DUMMYFUNCTION("IF(ISBLANK(B1840),"""",IF(ISDATE(B1840),""X"",""""))"),"")</f>
        <v/>
      </c>
      <c r="K1840" s="40" t="str">
        <f>IFERROR(__xludf.DUMMYFUNCTION("IF(ISBLANK(B1840),"""",IF(ISDATE(B1840),H1840,""""))"),"")</f>
        <v/>
      </c>
      <c r="L1840" s="40" t="str">
        <f>IFERROR(__xludf.DUMMYFUNCTION("IF(ISBLANK(B1840),"""",IF(ISDATE(B1840),TEXT(B1840,""M""),""""))"),"")</f>
        <v/>
      </c>
      <c r="M1840" s="29" t="str">
        <f>IFERROR(__xludf.DUMMYFUNCTION("IF(L1840="""","""",QUERY({'Dashboard-Dados'!$Y$2:$AA$13},""Select Col2 Where Col1=""&amp;L1840))"),"")</f>
        <v/>
      </c>
      <c r="N1840" s="29" t="str">
        <f>IFERROR(__xludf.DUMMYFUNCTION("IF(ISBLANK(B1840),"""",IF(ISDATE(B1840),TEXT(B1840,""yyyy""),""""))"),"")</f>
        <v/>
      </c>
    </row>
    <row r="1841">
      <c r="B1841" s="87"/>
      <c r="C1841" s="85"/>
      <c r="D1841" s="76"/>
      <c r="H1841" s="88"/>
      <c r="J1841" s="53" t="str">
        <f>IFERROR(__xludf.DUMMYFUNCTION("IF(ISBLANK(B1841),"""",IF(ISDATE(B1841),""X"",""""))"),"")</f>
        <v/>
      </c>
      <c r="K1841" s="40" t="str">
        <f>IFERROR(__xludf.DUMMYFUNCTION("IF(ISBLANK(B1841),"""",IF(ISDATE(B1841),H1841,""""))"),"")</f>
        <v/>
      </c>
      <c r="L1841" s="40" t="str">
        <f>IFERROR(__xludf.DUMMYFUNCTION("IF(ISBLANK(B1841),"""",IF(ISDATE(B1841),TEXT(B1841,""M""),""""))"),"")</f>
        <v/>
      </c>
      <c r="M1841" s="29" t="str">
        <f>IFERROR(__xludf.DUMMYFUNCTION("IF(L1841="""","""",QUERY({'Dashboard-Dados'!$Y$2:$AA$13},""Select Col2 Where Col1=""&amp;L1841))"),"")</f>
        <v/>
      </c>
      <c r="N1841" s="29" t="str">
        <f>IFERROR(__xludf.DUMMYFUNCTION("IF(ISBLANK(B1841),"""",IF(ISDATE(B1841),TEXT(B1841,""yyyy""),""""))"),"")</f>
        <v/>
      </c>
    </row>
    <row r="1842">
      <c r="B1842" s="89"/>
      <c r="C1842" s="86"/>
      <c r="D1842" s="71"/>
      <c r="H1842" s="90"/>
      <c r="J1842" s="53" t="str">
        <f>IFERROR(__xludf.DUMMYFUNCTION("IF(ISBLANK(B1842),"""",IF(ISDATE(B1842),""X"",""""))"),"")</f>
        <v/>
      </c>
      <c r="K1842" s="40" t="str">
        <f>IFERROR(__xludf.DUMMYFUNCTION("IF(ISBLANK(B1842),"""",IF(ISDATE(B1842),H1842,""""))"),"")</f>
        <v/>
      </c>
      <c r="L1842" s="40" t="str">
        <f>IFERROR(__xludf.DUMMYFUNCTION("IF(ISBLANK(B1842),"""",IF(ISDATE(B1842),TEXT(B1842,""M""),""""))"),"")</f>
        <v/>
      </c>
      <c r="M1842" s="29" t="str">
        <f>IFERROR(__xludf.DUMMYFUNCTION("IF(L1842="""","""",QUERY({'Dashboard-Dados'!$Y$2:$AA$13},""Select Col2 Where Col1=""&amp;L1842))"),"")</f>
        <v/>
      </c>
      <c r="N1842" s="29" t="str">
        <f>IFERROR(__xludf.DUMMYFUNCTION("IF(ISBLANK(B1842),"""",IF(ISDATE(B1842),TEXT(B1842,""yyyy""),""""))"),"")</f>
        <v/>
      </c>
    </row>
    <row r="1843">
      <c r="B1843" s="87"/>
      <c r="C1843" s="85"/>
      <c r="D1843" s="76"/>
      <c r="H1843" s="88"/>
      <c r="J1843" s="53" t="str">
        <f>IFERROR(__xludf.DUMMYFUNCTION("IF(ISBLANK(B1843),"""",IF(ISDATE(B1843),""X"",""""))"),"")</f>
        <v/>
      </c>
      <c r="K1843" s="40" t="str">
        <f>IFERROR(__xludf.DUMMYFUNCTION("IF(ISBLANK(B1843),"""",IF(ISDATE(B1843),H1843,""""))"),"")</f>
        <v/>
      </c>
      <c r="L1843" s="40" t="str">
        <f>IFERROR(__xludf.DUMMYFUNCTION("IF(ISBLANK(B1843),"""",IF(ISDATE(B1843),TEXT(B1843,""M""),""""))"),"")</f>
        <v/>
      </c>
      <c r="M1843" s="29" t="str">
        <f>IFERROR(__xludf.DUMMYFUNCTION("IF(L1843="""","""",QUERY({'Dashboard-Dados'!$Y$2:$AA$13},""Select Col2 Where Col1=""&amp;L1843))"),"")</f>
        <v/>
      </c>
      <c r="N1843" s="29" t="str">
        <f>IFERROR(__xludf.DUMMYFUNCTION("IF(ISBLANK(B1843),"""",IF(ISDATE(B1843),TEXT(B1843,""yyyy""),""""))"),"")</f>
        <v/>
      </c>
    </row>
    <row r="1844">
      <c r="B1844" s="89"/>
      <c r="C1844" s="86"/>
      <c r="D1844" s="71"/>
      <c r="H1844" s="90"/>
      <c r="J1844" s="53" t="str">
        <f>IFERROR(__xludf.DUMMYFUNCTION("IF(ISBLANK(B1844),"""",IF(ISDATE(B1844),""X"",""""))"),"")</f>
        <v/>
      </c>
      <c r="K1844" s="40" t="str">
        <f>IFERROR(__xludf.DUMMYFUNCTION("IF(ISBLANK(B1844),"""",IF(ISDATE(B1844),H1844,""""))"),"")</f>
        <v/>
      </c>
      <c r="L1844" s="40" t="str">
        <f>IFERROR(__xludf.DUMMYFUNCTION("IF(ISBLANK(B1844),"""",IF(ISDATE(B1844),TEXT(B1844,""M""),""""))"),"")</f>
        <v/>
      </c>
      <c r="M1844" s="29" t="str">
        <f>IFERROR(__xludf.DUMMYFUNCTION("IF(L1844="""","""",QUERY({'Dashboard-Dados'!$Y$2:$AA$13},""Select Col2 Where Col1=""&amp;L1844))"),"")</f>
        <v/>
      </c>
      <c r="N1844" s="29" t="str">
        <f>IFERROR(__xludf.DUMMYFUNCTION("IF(ISBLANK(B1844),"""",IF(ISDATE(B1844),TEXT(B1844,""yyyy""),""""))"),"")</f>
        <v/>
      </c>
    </row>
    <row r="1845">
      <c r="B1845" s="87"/>
      <c r="C1845" s="85"/>
      <c r="D1845" s="76"/>
      <c r="H1845" s="88"/>
      <c r="J1845" s="53" t="str">
        <f>IFERROR(__xludf.DUMMYFUNCTION("IF(ISBLANK(B1845),"""",IF(ISDATE(B1845),""X"",""""))"),"")</f>
        <v/>
      </c>
      <c r="K1845" s="40" t="str">
        <f>IFERROR(__xludf.DUMMYFUNCTION("IF(ISBLANK(B1845),"""",IF(ISDATE(B1845),H1845,""""))"),"")</f>
        <v/>
      </c>
      <c r="L1845" s="40" t="str">
        <f>IFERROR(__xludf.DUMMYFUNCTION("IF(ISBLANK(B1845),"""",IF(ISDATE(B1845),TEXT(B1845,""M""),""""))"),"")</f>
        <v/>
      </c>
      <c r="M1845" s="29" t="str">
        <f>IFERROR(__xludf.DUMMYFUNCTION("IF(L1845="""","""",QUERY({'Dashboard-Dados'!$Y$2:$AA$13},""Select Col2 Where Col1=""&amp;L1845))"),"")</f>
        <v/>
      </c>
      <c r="N1845" s="29" t="str">
        <f>IFERROR(__xludf.DUMMYFUNCTION("IF(ISBLANK(B1845),"""",IF(ISDATE(B1845),TEXT(B1845,""yyyy""),""""))"),"")</f>
        <v/>
      </c>
    </row>
    <row r="1846">
      <c r="B1846" s="89"/>
      <c r="C1846" s="86"/>
      <c r="D1846" s="71"/>
      <c r="H1846" s="90"/>
      <c r="J1846" s="53" t="str">
        <f>IFERROR(__xludf.DUMMYFUNCTION("IF(ISBLANK(B1846),"""",IF(ISDATE(B1846),""X"",""""))"),"")</f>
        <v/>
      </c>
      <c r="K1846" s="40" t="str">
        <f>IFERROR(__xludf.DUMMYFUNCTION("IF(ISBLANK(B1846),"""",IF(ISDATE(B1846),H1846,""""))"),"")</f>
        <v/>
      </c>
      <c r="L1846" s="40" t="str">
        <f>IFERROR(__xludf.DUMMYFUNCTION("IF(ISBLANK(B1846),"""",IF(ISDATE(B1846),TEXT(B1846,""M""),""""))"),"")</f>
        <v/>
      </c>
      <c r="M1846" s="29" t="str">
        <f>IFERROR(__xludf.DUMMYFUNCTION("IF(L1846="""","""",QUERY({'Dashboard-Dados'!$Y$2:$AA$13},""Select Col2 Where Col1=""&amp;L1846))"),"")</f>
        <v/>
      </c>
      <c r="N1846" s="29" t="str">
        <f>IFERROR(__xludf.DUMMYFUNCTION("IF(ISBLANK(B1846),"""",IF(ISDATE(B1846),TEXT(B1846,""yyyy""),""""))"),"")</f>
        <v/>
      </c>
    </row>
    <row r="1847">
      <c r="B1847" s="87"/>
      <c r="C1847" s="85"/>
      <c r="D1847" s="76"/>
      <c r="H1847" s="88"/>
      <c r="J1847" s="53" t="str">
        <f>IFERROR(__xludf.DUMMYFUNCTION("IF(ISBLANK(B1847),"""",IF(ISDATE(B1847),""X"",""""))"),"")</f>
        <v/>
      </c>
      <c r="K1847" s="40" t="str">
        <f>IFERROR(__xludf.DUMMYFUNCTION("IF(ISBLANK(B1847),"""",IF(ISDATE(B1847),H1847,""""))"),"")</f>
        <v/>
      </c>
      <c r="L1847" s="40" t="str">
        <f>IFERROR(__xludf.DUMMYFUNCTION("IF(ISBLANK(B1847),"""",IF(ISDATE(B1847),TEXT(B1847,""M""),""""))"),"")</f>
        <v/>
      </c>
      <c r="M1847" s="29" t="str">
        <f>IFERROR(__xludf.DUMMYFUNCTION("IF(L1847="""","""",QUERY({'Dashboard-Dados'!$Y$2:$AA$13},""Select Col2 Where Col1=""&amp;L1847))"),"")</f>
        <v/>
      </c>
      <c r="N1847" s="29" t="str">
        <f>IFERROR(__xludf.DUMMYFUNCTION("IF(ISBLANK(B1847),"""",IF(ISDATE(B1847),TEXT(B1847,""yyyy""),""""))"),"")</f>
        <v/>
      </c>
    </row>
    <row r="1848">
      <c r="B1848" s="89"/>
      <c r="C1848" s="86"/>
      <c r="D1848" s="71"/>
      <c r="H1848" s="90"/>
      <c r="J1848" s="53" t="str">
        <f>IFERROR(__xludf.DUMMYFUNCTION("IF(ISBLANK(B1848),"""",IF(ISDATE(B1848),""X"",""""))"),"")</f>
        <v/>
      </c>
      <c r="K1848" s="40" t="str">
        <f>IFERROR(__xludf.DUMMYFUNCTION("IF(ISBLANK(B1848),"""",IF(ISDATE(B1848),H1848,""""))"),"")</f>
        <v/>
      </c>
      <c r="L1848" s="40" t="str">
        <f>IFERROR(__xludf.DUMMYFUNCTION("IF(ISBLANK(B1848),"""",IF(ISDATE(B1848),TEXT(B1848,""M""),""""))"),"")</f>
        <v/>
      </c>
      <c r="M1848" s="29" t="str">
        <f>IFERROR(__xludf.DUMMYFUNCTION("IF(L1848="""","""",QUERY({'Dashboard-Dados'!$Y$2:$AA$13},""Select Col2 Where Col1=""&amp;L1848))"),"")</f>
        <v/>
      </c>
      <c r="N1848" s="29" t="str">
        <f>IFERROR(__xludf.DUMMYFUNCTION("IF(ISBLANK(B1848),"""",IF(ISDATE(B1848),TEXT(B1848,""yyyy""),""""))"),"")</f>
        <v/>
      </c>
    </row>
    <row r="1849">
      <c r="B1849" s="87"/>
      <c r="C1849" s="85"/>
      <c r="D1849" s="76"/>
      <c r="H1849" s="88"/>
      <c r="J1849" s="53" t="str">
        <f>IFERROR(__xludf.DUMMYFUNCTION("IF(ISBLANK(B1849),"""",IF(ISDATE(B1849),""X"",""""))"),"")</f>
        <v/>
      </c>
      <c r="K1849" s="40" t="str">
        <f>IFERROR(__xludf.DUMMYFUNCTION("IF(ISBLANK(B1849),"""",IF(ISDATE(B1849),H1849,""""))"),"")</f>
        <v/>
      </c>
      <c r="L1849" s="40" t="str">
        <f>IFERROR(__xludf.DUMMYFUNCTION("IF(ISBLANK(B1849),"""",IF(ISDATE(B1849),TEXT(B1849,""M""),""""))"),"")</f>
        <v/>
      </c>
      <c r="M1849" s="29" t="str">
        <f>IFERROR(__xludf.DUMMYFUNCTION("IF(L1849="""","""",QUERY({'Dashboard-Dados'!$Y$2:$AA$13},""Select Col2 Where Col1=""&amp;L1849))"),"")</f>
        <v/>
      </c>
      <c r="N1849" s="29" t="str">
        <f>IFERROR(__xludf.DUMMYFUNCTION("IF(ISBLANK(B1849),"""",IF(ISDATE(B1849),TEXT(B1849,""yyyy""),""""))"),"")</f>
        <v/>
      </c>
    </row>
    <row r="1850">
      <c r="B1850" s="89"/>
      <c r="C1850" s="86"/>
      <c r="D1850" s="71"/>
      <c r="H1850" s="90"/>
      <c r="J1850" s="53" t="str">
        <f>IFERROR(__xludf.DUMMYFUNCTION("IF(ISBLANK(B1850),"""",IF(ISDATE(B1850),""X"",""""))"),"")</f>
        <v/>
      </c>
      <c r="K1850" s="40" t="str">
        <f>IFERROR(__xludf.DUMMYFUNCTION("IF(ISBLANK(B1850),"""",IF(ISDATE(B1850),H1850,""""))"),"")</f>
        <v/>
      </c>
      <c r="L1850" s="40" t="str">
        <f>IFERROR(__xludf.DUMMYFUNCTION("IF(ISBLANK(B1850),"""",IF(ISDATE(B1850),TEXT(B1850,""M""),""""))"),"")</f>
        <v/>
      </c>
      <c r="M1850" s="29" t="str">
        <f>IFERROR(__xludf.DUMMYFUNCTION("IF(L1850="""","""",QUERY({'Dashboard-Dados'!$Y$2:$AA$13},""Select Col2 Where Col1=""&amp;L1850))"),"")</f>
        <v/>
      </c>
      <c r="N1850" s="29" t="str">
        <f>IFERROR(__xludf.DUMMYFUNCTION("IF(ISBLANK(B1850),"""",IF(ISDATE(B1850),TEXT(B1850,""yyyy""),""""))"),"")</f>
        <v/>
      </c>
    </row>
    <row r="1851">
      <c r="B1851" s="87"/>
      <c r="C1851" s="85"/>
      <c r="D1851" s="76"/>
      <c r="H1851" s="88"/>
      <c r="J1851" s="53" t="str">
        <f>IFERROR(__xludf.DUMMYFUNCTION("IF(ISBLANK(B1851),"""",IF(ISDATE(B1851),""X"",""""))"),"")</f>
        <v/>
      </c>
      <c r="K1851" s="40" t="str">
        <f>IFERROR(__xludf.DUMMYFUNCTION("IF(ISBLANK(B1851),"""",IF(ISDATE(B1851),H1851,""""))"),"")</f>
        <v/>
      </c>
      <c r="L1851" s="40" t="str">
        <f>IFERROR(__xludf.DUMMYFUNCTION("IF(ISBLANK(B1851),"""",IF(ISDATE(B1851),TEXT(B1851,""M""),""""))"),"")</f>
        <v/>
      </c>
      <c r="M1851" s="29" t="str">
        <f>IFERROR(__xludf.DUMMYFUNCTION("IF(L1851="""","""",QUERY({'Dashboard-Dados'!$Y$2:$AA$13},""Select Col2 Where Col1=""&amp;L1851))"),"")</f>
        <v/>
      </c>
      <c r="N1851" s="29" t="str">
        <f>IFERROR(__xludf.DUMMYFUNCTION("IF(ISBLANK(B1851),"""",IF(ISDATE(B1851),TEXT(B1851,""yyyy""),""""))"),"")</f>
        <v/>
      </c>
    </row>
    <row r="1852">
      <c r="B1852" s="89"/>
      <c r="C1852" s="86"/>
      <c r="D1852" s="71"/>
      <c r="H1852" s="90"/>
      <c r="J1852" s="53" t="str">
        <f>IFERROR(__xludf.DUMMYFUNCTION("IF(ISBLANK(B1852),"""",IF(ISDATE(B1852),""X"",""""))"),"")</f>
        <v/>
      </c>
      <c r="K1852" s="40" t="str">
        <f>IFERROR(__xludf.DUMMYFUNCTION("IF(ISBLANK(B1852),"""",IF(ISDATE(B1852),H1852,""""))"),"")</f>
        <v/>
      </c>
      <c r="L1852" s="40" t="str">
        <f>IFERROR(__xludf.DUMMYFUNCTION("IF(ISBLANK(B1852),"""",IF(ISDATE(B1852),TEXT(B1852,""M""),""""))"),"")</f>
        <v/>
      </c>
      <c r="M1852" s="29" t="str">
        <f>IFERROR(__xludf.DUMMYFUNCTION("IF(L1852="""","""",QUERY({'Dashboard-Dados'!$Y$2:$AA$13},""Select Col2 Where Col1=""&amp;L1852))"),"")</f>
        <v/>
      </c>
      <c r="N1852" s="29" t="str">
        <f>IFERROR(__xludf.DUMMYFUNCTION("IF(ISBLANK(B1852),"""",IF(ISDATE(B1852),TEXT(B1852,""yyyy""),""""))"),"")</f>
        <v/>
      </c>
    </row>
    <row r="1853">
      <c r="B1853" s="87"/>
      <c r="C1853" s="85"/>
      <c r="D1853" s="76"/>
      <c r="H1853" s="88"/>
      <c r="J1853" s="53" t="str">
        <f>IFERROR(__xludf.DUMMYFUNCTION("IF(ISBLANK(B1853),"""",IF(ISDATE(B1853),""X"",""""))"),"")</f>
        <v/>
      </c>
      <c r="K1853" s="40" t="str">
        <f>IFERROR(__xludf.DUMMYFUNCTION("IF(ISBLANK(B1853),"""",IF(ISDATE(B1853),H1853,""""))"),"")</f>
        <v/>
      </c>
      <c r="L1853" s="40" t="str">
        <f>IFERROR(__xludf.DUMMYFUNCTION("IF(ISBLANK(B1853),"""",IF(ISDATE(B1853),TEXT(B1853,""M""),""""))"),"")</f>
        <v/>
      </c>
      <c r="M1853" s="29" t="str">
        <f>IFERROR(__xludf.DUMMYFUNCTION("IF(L1853="""","""",QUERY({'Dashboard-Dados'!$Y$2:$AA$13},""Select Col2 Where Col1=""&amp;L1853))"),"")</f>
        <v/>
      </c>
      <c r="N1853" s="29" t="str">
        <f>IFERROR(__xludf.DUMMYFUNCTION("IF(ISBLANK(B1853),"""",IF(ISDATE(B1853),TEXT(B1853,""yyyy""),""""))"),"")</f>
        <v/>
      </c>
    </row>
    <row r="1854">
      <c r="B1854" s="89"/>
      <c r="C1854" s="86"/>
      <c r="D1854" s="71"/>
      <c r="H1854" s="90"/>
      <c r="J1854" s="53" t="str">
        <f>IFERROR(__xludf.DUMMYFUNCTION("IF(ISBLANK(B1854),"""",IF(ISDATE(B1854),""X"",""""))"),"")</f>
        <v/>
      </c>
      <c r="K1854" s="40" t="str">
        <f>IFERROR(__xludf.DUMMYFUNCTION("IF(ISBLANK(B1854),"""",IF(ISDATE(B1854),H1854,""""))"),"")</f>
        <v/>
      </c>
      <c r="L1854" s="40" t="str">
        <f>IFERROR(__xludf.DUMMYFUNCTION("IF(ISBLANK(B1854),"""",IF(ISDATE(B1854),TEXT(B1854,""M""),""""))"),"")</f>
        <v/>
      </c>
      <c r="M1854" s="29" t="str">
        <f>IFERROR(__xludf.DUMMYFUNCTION("IF(L1854="""","""",QUERY({'Dashboard-Dados'!$Y$2:$AA$13},""Select Col2 Where Col1=""&amp;L1854))"),"")</f>
        <v/>
      </c>
      <c r="N1854" s="29" t="str">
        <f>IFERROR(__xludf.DUMMYFUNCTION("IF(ISBLANK(B1854),"""",IF(ISDATE(B1854),TEXT(B1854,""yyyy""),""""))"),"")</f>
        <v/>
      </c>
    </row>
    <row r="1855">
      <c r="B1855" s="87"/>
      <c r="C1855" s="85"/>
      <c r="D1855" s="76"/>
      <c r="H1855" s="88"/>
      <c r="J1855" s="53" t="str">
        <f>IFERROR(__xludf.DUMMYFUNCTION("IF(ISBLANK(B1855),"""",IF(ISDATE(B1855),""X"",""""))"),"")</f>
        <v/>
      </c>
      <c r="K1855" s="40" t="str">
        <f>IFERROR(__xludf.DUMMYFUNCTION("IF(ISBLANK(B1855),"""",IF(ISDATE(B1855),H1855,""""))"),"")</f>
        <v/>
      </c>
      <c r="L1855" s="40" t="str">
        <f>IFERROR(__xludf.DUMMYFUNCTION("IF(ISBLANK(B1855),"""",IF(ISDATE(B1855),TEXT(B1855,""M""),""""))"),"")</f>
        <v/>
      </c>
      <c r="M1855" s="29" t="str">
        <f>IFERROR(__xludf.DUMMYFUNCTION("IF(L1855="""","""",QUERY({'Dashboard-Dados'!$Y$2:$AA$13},""Select Col2 Where Col1=""&amp;L1855))"),"")</f>
        <v/>
      </c>
      <c r="N1855" s="29" t="str">
        <f>IFERROR(__xludf.DUMMYFUNCTION("IF(ISBLANK(B1855),"""",IF(ISDATE(B1855),TEXT(B1855,""yyyy""),""""))"),"")</f>
        <v/>
      </c>
    </row>
    <row r="1856">
      <c r="B1856" s="89"/>
      <c r="C1856" s="86"/>
      <c r="D1856" s="71"/>
      <c r="H1856" s="90"/>
      <c r="J1856" s="53" t="str">
        <f>IFERROR(__xludf.DUMMYFUNCTION("IF(ISBLANK(B1856),"""",IF(ISDATE(B1856),""X"",""""))"),"")</f>
        <v/>
      </c>
      <c r="K1856" s="40" t="str">
        <f>IFERROR(__xludf.DUMMYFUNCTION("IF(ISBLANK(B1856),"""",IF(ISDATE(B1856),H1856,""""))"),"")</f>
        <v/>
      </c>
      <c r="L1856" s="40" t="str">
        <f>IFERROR(__xludf.DUMMYFUNCTION("IF(ISBLANK(B1856),"""",IF(ISDATE(B1856),TEXT(B1856,""M""),""""))"),"")</f>
        <v/>
      </c>
      <c r="M1856" s="29" t="str">
        <f>IFERROR(__xludf.DUMMYFUNCTION("IF(L1856="""","""",QUERY({'Dashboard-Dados'!$Y$2:$AA$13},""Select Col2 Where Col1=""&amp;L1856))"),"")</f>
        <v/>
      </c>
      <c r="N1856" s="29" t="str">
        <f>IFERROR(__xludf.DUMMYFUNCTION("IF(ISBLANK(B1856),"""",IF(ISDATE(B1856),TEXT(B1856,""yyyy""),""""))"),"")</f>
        <v/>
      </c>
    </row>
    <row r="1857">
      <c r="B1857" s="87"/>
      <c r="C1857" s="85"/>
      <c r="D1857" s="76"/>
      <c r="H1857" s="88"/>
      <c r="J1857" s="53" t="str">
        <f>IFERROR(__xludf.DUMMYFUNCTION("IF(ISBLANK(B1857),"""",IF(ISDATE(B1857),""X"",""""))"),"")</f>
        <v/>
      </c>
      <c r="K1857" s="40" t="str">
        <f>IFERROR(__xludf.DUMMYFUNCTION("IF(ISBLANK(B1857),"""",IF(ISDATE(B1857),H1857,""""))"),"")</f>
        <v/>
      </c>
      <c r="L1857" s="40" t="str">
        <f>IFERROR(__xludf.DUMMYFUNCTION("IF(ISBLANK(B1857),"""",IF(ISDATE(B1857),TEXT(B1857,""M""),""""))"),"")</f>
        <v/>
      </c>
      <c r="M1857" s="29" t="str">
        <f>IFERROR(__xludf.DUMMYFUNCTION("IF(L1857="""","""",QUERY({'Dashboard-Dados'!$Y$2:$AA$13},""Select Col2 Where Col1=""&amp;L1857))"),"")</f>
        <v/>
      </c>
      <c r="N1857" s="29" t="str">
        <f>IFERROR(__xludf.DUMMYFUNCTION("IF(ISBLANK(B1857),"""",IF(ISDATE(B1857),TEXT(B1857,""yyyy""),""""))"),"")</f>
        <v/>
      </c>
    </row>
    <row r="1858">
      <c r="B1858" s="89"/>
      <c r="C1858" s="86"/>
      <c r="D1858" s="71"/>
      <c r="H1858" s="90"/>
      <c r="J1858" s="53" t="str">
        <f>IFERROR(__xludf.DUMMYFUNCTION("IF(ISBLANK(B1858),"""",IF(ISDATE(B1858),""X"",""""))"),"")</f>
        <v/>
      </c>
      <c r="K1858" s="40" t="str">
        <f>IFERROR(__xludf.DUMMYFUNCTION("IF(ISBLANK(B1858),"""",IF(ISDATE(B1858),H1858,""""))"),"")</f>
        <v/>
      </c>
      <c r="L1858" s="40" t="str">
        <f>IFERROR(__xludf.DUMMYFUNCTION("IF(ISBLANK(B1858),"""",IF(ISDATE(B1858),TEXT(B1858,""M""),""""))"),"")</f>
        <v/>
      </c>
      <c r="M1858" s="29" t="str">
        <f>IFERROR(__xludf.DUMMYFUNCTION("IF(L1858="""","""",QUERY({'Dashboard-Dados'!$Y$2:$AA$13},""Select Col2 Where Col1=""&amp;L1858))"),"")</f>
        <v/>
      </c>
      <c r="N1858" s="29" t="str">
        <f>IFERROR(__xludf.DUMMYFUNCTION("IF(ISBLANK(B1858),"""",IF(ISDATE(B1858),TEXT(B1858,""yyyy""),""""))"),"")</f>
        <v/>
      </c>
    </row>
    <row r="1859">
      <c r="B1859" s="87"/>
      <c r="C1859" s="85"/>
      <c r="D1859" s="76"/>
      <c r="H1859" s="88"/>
      <c r="J1859" s="53" t="str">
        <f>IFERROR(__xludf.DUMMYFUNCTION("IF(ISBLANK(B1859),"""",IF(ISDATE(B1859),""X"",""""))"),"")</f>
        <v/>
      </c>
      <c r="K1859" s="40" t="str">
        <f>IFERROR(__xludf.DUMMYFUNCTION("IF(ISBLANK(B1859),"""",IF(ISDATE(B1859),H1859,""""))"),"")</f>
        <v/>
      </c>
      <c r="L1859" s="40" t="str">
        <f>IFERROR(__xludf.DUMMYFUNCTION("IF(ISBLANK(B1859),"""",IF(ISDATE(B1859),TEXT(B1859,""M""),""""))"),"")</f>
        <v/>
      </c>
      <c r="M1859" s="29" t="str">
        <f>IFERROR(__xludf.DUMMYFUNCTION("IF(L1859="""","""",QUERY({'Dashboard-Dados'!$Y$2:$AA$13},""Select Col2 Where Col1=""&amp;L1859))"),"")</f>
        <v/>
      </c>
      <c r="N1859" s="29" t="str">
        <f>IFERROR(__xludf.DUMMYFUNCTION("IF(ISBLANK(B1859),"""",IF(ISDATE(B1859),TEXT(B1859,""yyyy""),""""))"),"")</f>
        <v/>
      </c>
    </row>
    <row r="1860">
      <c r="B1860" s="89"/>
      <c r="C1860" s="86"/>
      <c r="D1860" s="71"/>
      <c r="H1860" s="90"/>
      <c r="J1860" s="53" t="str">
        <f>IFERROR(__xludf.DUMMYFUNCTION("IF(ISBLANK(B1860),"""",IF(ISDATE(B1860),""X"",""""))"),"")</f>
        <v/>
      </c>
      <c r="K1860" s="40" t="str">
        <f>IFERROR(__xludf.DUMMYFUNCTION("IF(ISBLANK(B1860),"""",IF(ISDATE(B1860),H1860,""""))"),"")</f>
        <v/>
      </c>
      <c r="L1860" s="40" t="str">
        <f>IFERROR(__xludf.DUMMYFUNCTION("IF(ISBLANK(B1860),"""",IF(ISDATE(B1860),TEXT(B1860,""M""),""""))"),"")</f>
        <v/>
      </c>
      <c r="M1860" s="29" t="str">
        <f>IFERROR(__xludf.DUMMYFUNCTION("IF(L1860="""","""",QUERY({'Dashboard-Dados'!$Y$2:$AA$13},""Select Col2 Where Col1=""&amp;L1860))"),"")</f>
        <v/>
      </c>
      <c r="N1860" s="29" t="str">
        <f>IFERROR(__xludf.DUMMYFUNCTION("IF(ISBLANK(B1860),"""",IF(ISDATE(B1860),TEXT(B1860,""yyyy""),""""))"),"")</f>
        <v/>
      </c>
    </row>
    <row r="1861">
      <c r="B1861" s="87"/>
      <c r="C1861" s="85"/>
      <c r="D1861" s="76"/>
      <c r="H1861" s="88"/>
      <c r="J1861" s="53" t="str">
        <f>IFERROR(__xludf.DUMMYFUNCTION("IF(ISBLANK(B1861),"""",IF(ISDATE(B1861),""X"",""""))"),"")</f>
        <v/>
      </c>
      <c r="K1861" s="40" t="str">
        <f>IFERROR(__xludf.DUMMYFUNCTION("IF(ISBLANK(B1861),"""",IF(ISDATE(B1861),H1861,""""))"),"")</f>
        <v/>
      </c>
      <c r="L1861" s="40" t="str">
        <f>IFERROR(__xludf.DUMMYFUNCTION("IF(ISBLANK(B1861),"""",IF(ISDATE(B1861),TEXT(B1861,""M""),""""))"),"")</f>
        <v/>
      </c>
      <c r="M1861" s="29" t="str">
        <f>IFERROR(__xludf.DUMMYFUNCTION("IF(L1861="""","""",QUERY({'Dashboard-Dados'!$Y$2:$AA$13},""Select Col2 Where Col1=""&amp;L1861))"),"")</f>
        <v/>
      </c>
      <c r="N1861" s="29" t="str">
        <f>IFERROR(__xludf.DUMMYFUNCTION("IF(ISBLANK(B1861),"""",IF(ISDATE(B1861),TEXT(B1861,""yyyy""),""""))"),"")</f>
        <v/>
      </c>
    </row>
    <row r="1862">
      <c r="B1862" s="89"/>
      <c r="C1862" s="86"/>
      <c r="D1862" s="71"/>
      <c r="H1862" s="90"/>
      <c r="J1862" s="53" t="str">
        <f>IFERROR(__xludf.DUMMYFUNCTION("IF(ISBLANK(B1862),"""",IF(ISDATE(B1862),""X"",""""))"),"")</f>
        <v/>
      </c>
      <c r="K1862" s="40" t="str">
        <f>IFERROR(__xludf.DUMMYFUNCTION("IF(ISBLANK(B1862),"""",IF(ISDATE(B1862),H1862,""""))"),"")</f>
        <v/>
      </c>
      <c r="L1862" s="40" t="str">
        <f>IFERROR(__xludf.DUMMYFUNCTION("IF(ISBLANK(B1862),"""",IF(ISDATE(B1862),TEXT(B1862,""M""),""""))"),"")</f>
        <v/>
      </c>
      <c r="M1862" s="29" t="str">
        <f>IFERROR(__xludf.DUMMYFUNCTION("IF(L1862="""","""",QUERY({'Dashboard-Dados'!$Y$2:$AA$13},""Select Col2 Where Col1=""&amp;L1862))"),"")</f>
        <v/>
      </c>
      <c r="N1862" s="29" t="str">
        <f>IFERROR(__xludf.DUMMYFUNCTION("IF(ISBLANK(B1862),"""",IF(ISDATE(B1862),TEXT(B1862,""yyyy""),""""))"),"")</f>
        <v/>
      </c>
    </row>
    <row r="1863">
      <c r="B1863" s="87"/>
      <c r="C1863" s="85"/>
      <c r="D1863" s="76"/>
      <c r="H1863" s="88"/>
      <c r="J1863" s="53" t="str">
        <f>IFERROR(__xludf.DUMMYFUNCTION("IF(ISBLANK(B1863),"""",IF(ISDATE(B1863),""X"",""""))"),"")</f>
        <v/>
      </c>
      <c r="K1863" s="40" t="str">
        <f>IFERROR(__xludf.DUMMYFUNCTION("IF(ISBLANK(B1863),"""",IF(ISDATE(B1863),H1863,""""))"),"")</f>
        <v/>
      </c>
      <c r="L1863" s="40" t="str">
        <f>IFERROR(__xludf.DUMMYFUNCTION("IF(ISBLANK(B1863),"""",IF(ISDATE(B1863),TEXT(B1863,""M""),""""))"),"")</f>
        <v/>
      </c>
      <c r="M1863" s="29" t="str">
        <f>IFERROR(__xludf.DUMMYFUNCTION("IF(L1863="""","""",QUERY({'Dashboard-Dados'!$Y$2:$AA$13},""Select Col2 Where Col1=""&amp;L1863))"),"")</f>
        <v/>
      </c>
      <c r="N1863" s="29" t="str">
        <f>IFERROR(__xludf.DUMMYFUNCTION("IF(ISBLANK(B1863),"""",IF(ISDATE(B1863),TEXT(B1863,""yyyy""),""""))"),"")</f>
        <v/>
      </c>
    </row>
    <row r="1864">
      <c r="B1864" s="89"/>
      <c r="C1864" s="86"/>
      <c r="D1864" s="71"/>
      <c r="H1864" s="90"/>
      <c r="J1864" s="53" t="str">
        <f>IFERROR(__xludf.DUMMYFUNCTION("IF(ISBLANK(B1864),"""",IF(ISDATE(B1864),""X"",""""))"),"")</f>
        <v/>
      </c>
      <c r="K1864" s="40" t="str">
        <f>IFERROR(__xludf.DUMMYFUNCTION("IF(ISBLANK(B1864),"""",IF(ISDATE(B1864),H1864,""""))"),"")</f>
        <v/>
      </c>
      <c r="L1864" s="40" t="str">
        <f>IFERROR(__xludf.DUMMYFUNCTION("IF(ISBLANK(B1864),"""",IF(ISDATE(B1864),TEXT(B1864,""M""),""""))"),"")</f>
        <v/>
      </c>
      <c r="M1864" s="29" t="str">
        <f>IFERROR(__xludf.DUMMYFUNCTION("IF(L1864="""","""",QUERY({'Dashboard-Dados'!$Y$2:$AA$13},""Select Col2 Where Col1=""&amp;L1864))"),"")</f>
        <v/>
      </c>
      <c r="N1864" s="29" t="str">
        <f>IFERROR(__xludf.DUMMYFUNCTION("IF(ISBLANK(B1864),"""",IF(ISDATE(B1864),TEXT(B1864,""yyyy""),""""))"),"")</f>
        <v/>
      </c>
    </row>
    <row r="1865">
      <c r="B1865" s="87"/>
      <c r="C1865" s="85"/>
      <c r="D1865" s="76"/>
      <c r="H1865" s="88"/>
      <c r="J1865" s="53" t="str">
        <f>IFERROR(__xludf.DUMMYFUNCTION("IF(ISBLANK(B1865),"""",IF(ISDATE(B1865),""X"",""""))"),"")</f>
        <v/>
      </c>
      <c r="K1865" s="40" t="str">
        <f>IFERROR(__xludf.DUMMYFUNCTION("IF(ISBLANK(B1865),"""",IF(ISDATE(B1865),H1865,""""))"),"")</f>
        <v/>
      </c>
      <c r="L1865" s="40" t="str">
        <f>IFERROR(__xludf.DUMMYFUNCTION("IF(ISBLANK(B1865),"""",IF(ISDATE(B1865),TEXT(B1865,""M""),""""))"),"")</f>
        <v/>
      </c>
      <c r="M1865" s="29" t="str">
        <f>IFERROR(__xludf.DUMMYFUNCTION("IF(L1865="""","""",QUERY({'Dashboard-Dados'!$Y$2:$AA$13},""Select Col2 Where Col1=""&amp;L1865))"),"")</f>
        <v/>
      </c>
      <c r="N1865" s="29" t="str">
        <f>IFERROR(__xludf.DUMMYFUNCTION("IF(ISBLANK(B1865),"""",IF(ISDATE(B1865),TEXT(B1865,""yyyy""),""""))"),"")</f>
        <v/>
      </c>
    </row>
    <row r="1866">
      <c r="B1866" s="89"/>
      <c r="C1866" s="86"/>
      <c r="D1866" s="71"/>
      <c r="H1866" s="90"/>
      <c r="J1866" s="53" t="str">
        <f>IFERROR(__xludf.DUMMYFUNCTION("IF(ISBLANK(B1866),"""",IF(ISDATE(B1866),""X"",""""))"),"")</f>
        <v/>
      </c>
      <c r="K1866" s="40" t="str">
        <f>IFERROR(__xludf.DUMMYFUNCTION("IF(ISBLANK(B1866),"""",IF(ISDATE(B1866),H1866,""""))"),"")</f>
        <v/>
      </c>
      <c r="L1866" s="40" t="str">
        <f>IFERROR(__xludf.DUMMYFUNCTION("IF(ISBLANK(B1866),"""",IF(ISDATE(B1866),TEXT(B1866,""M""),""""))"),"")</f>
        <v/>
      </c>
      <c r="M1866" s="29" t="str">
        <f>IFERROR(__xludf.DUMMYFUNCTION("IF(L1866="""","""",QUERY({'Dashboard-Dados'!$Y$2:$AA$13},""Select Col2 Where Col1=""&amp;L1866))"),"")</f>
        <v/>
      </c>
      <c r="N1866" s="29" t="str">
        <f>IFERROR(__xludf.DUMMYFUNCTION("IF(ISBLANK(B1866),"""",IF(ISDATE(B1866),TEXT(B1866,""yyyy""),""""))"),"")</f>
        <v/>
      </c>
    </row>
    <row r="1867">
      <c r="B1867" s="87"/>
      <c r="C1867" s="85"/>
      <c r="D1867" s="76"/>
      <c r="H1867" s="88"/>
      <c r="J1867" s="53" t="str">
        <f>IFERROR(__xludf.DUMMYFUNCTION("IF(ISBLANK(B1867),"""",IF(ISDATE(B1867),""X"",""""))"),"")</f>
        <v/>
      </c>
      <c r="K1867" s="40" t="str">
        <f>IFERROR(__xludf.DUMMYFUNCTION("IF(ISBLANK(B1867),"""",IF(ISDATE(B1867),H1867,""""))"),"")</f>
        <v/>
      </c>
      <c r="L1867" s="40" t="str">
        <f>IFERROR(__xludf.DUMMYFUNCTION("IF(ISBLANK(B1867),"""",IF(ISDATE(B1867),TEXT(B1867,""M""),""""))"),"")</f>
        <v/>
      </c>
      <c r="M1867" s="29" t="str">
        <f>IFERROR(__xludf.DUMMYFUNCTION("IF(L1867="""","""",QUERY({'Dashboard-Dados'!$Y$2:$AA$13},""Select Col2 Where Col1=""&amp;L1867))"),"")</f>
        <v/>
      </c>
      <c r="N1867" s="29" t="str">
        <f>IFERROR(__xludf.DUMMYFUNCTION("IF(ISBLANK(B1867),"""",IF(ISDATE(B1867),TEXT(B1867,""yyyy""),""""))"),"")</f>
        <v/>
      </c>
    </row>
    <row r="1868">
      <c r="B1868" s="89"/>
      <c r="C1868" s="86"/>
      <c r="D1868" s="71"/>
      <c r="H1868" s="90"/>
      <c r="J1868" s="53" t="str">
        <f>IFERROR(__xludf.DUMMYFUNCTION("IF(ISBLANK(B1868),"""",IF(ISDATE(B1868),""X"",""""))"),"")</f>
        <v/>
      </c>
      <c r="K1868" s="40" t="str">
        <f>IFERROR(__xludf.DUMMYFUNCTION("IF(ISBLANK(B1868),"""",IF(ISDATE(B1868),H1868,""""))"),"")</f>
        <v/>
      </c>
      <c r="L1868" s="40" t="str">
        <f>IFERROR(__xludf.DUMMYFUNCTION("IF(ISBLANK(B1868),"""",IF(ISDATE(B1868),TEXT(B1868,""M""),""""))"),"")</f>
        <v/>
      </c>
      <c r="M1868" s="29" t="str">
        <f>IFERROR(__xludf.DUMMYFUNCTION("IF(L1868="""","""",QUERY({'Dashboard-Dados'!$Y$2:$AA$13},""Select Col2 Where Col1=""&amp;L1868))"),"")</f>
        <v/>
      </c>
      <c r="N1868" s="29" t="str">
        <f>IFERROR(__xludf.DUMMYFUNCTION("IF(ISBLANK(B1868),"""",IF(ISDATE(B1868),TEXT(B1868,""yyyy""),""""))"),"")</f>
        <v/>
      </c>
    </row>
    <row r="1869">
      <c r="B1869" s="87"/>
      <c r="C1869" s="85"/>
      <c r="D1869" s="76"/>
      <c r="H1869" s="88"/>
      <c r="J1869" s="53" t="str">
        <f>IFERROR(__xludf.DUMMYFUNCTION("IF(ISBLANK(B1869),"""",IF(ISDATE(B1869),""X"",""""))"),"")</f>
        <v/>
      </c>
      <c r="K1869" s="40" t="str">
        <f>IFERROR(__xludf.DUMMYFUNCTION("IF(ISBLANK(B1869),"""",IF(ISDATE(B1869),H1869,""""))"),"")</f>
        <v/>
      </c>
      <c r="L1869" s="40" t="str">
        <f>IFERROR(__xludf.DUMMYFUNCTION("IF(ISBLANK(B1869),"""",IF(ISDATE(B1869),TEXT(B1869,""M""),""""))"),"")</f>
        <v/>
      </c>
      <c r="M1869" s="29" t="str">
        <f>IFERROR(__xludf.DUMMYFUNCTION("IF(L1869="""","""",QUERY({'Dashboard-Dados'!$Y$2:$AA$13},""Select Col2 Where Col1=""&amp;L1869))"),"")</f>
        <v/>
      </c>
      <c r="N1869" s="29" t="str">
        <f>IFERROR(__xludf.DUMMYFUNCTION("IF(ISBLANK(B1869),"""",IF(ISDATE(B1869),TEXT(B1869,""yyyy""),""""))"),"")</f>
        <v/>
      </c>
    </row>
    <row r="1870">
      <c r="B1870" s="89"/>
      <c r="C1870" s="86"/>
      <c r="D1870" s="71"/>
      <c r="H1870" s="90"/>
      <c r="J1870" s="53" t="str">
        <f>IFERROR(__xludf.DUMMYFUNCTION("IF(ISBLANK(B1870),"""",IF(ISDATE(B1870),""X"",""""))"),"")</f>
        <v/>
      </c>
      <c r="K1870" s="40" t="str">
        <f>IFERROR(__xludf.DUMMYFUNCTION("IF(ISBLANK(B1870),"""",IF(ISDATE(B1870),H1870,""""))"),"")</f>
        <v/>
      </c>
      <c r="L1870" s="40" t="str">
        <f>IFERROR(__xludf.DUMMYFUNCTION("IF(ISBLANK(B1870),"""",IF(ISDATE(B1870),TEXT(B1870,""M""),""""))"),"")</f>
        <v/>
      </c>
      <c r="M1870" s="29" t="str">
        <f>IFERROR(__xludf.DUMMYFUNCTION("IF(L1870="""","""",QUERY({'Dashboard-Dados'!$Y$2:$AA$13},""Select Col2 Where Col1=""&amp;L1870))"),"")</f>
        <v/>
      </c>
      <c r="N1870" s="29" t="str">
        <f>IFERROR(__xludf.DUMMYFUNCTION("IF(ISBLANK(B1870),"""",IF(ISDATE(B1870),TEXT(B1870,""yyyy""),""""))"),"")</f>
        <v/>
      </c>
    </row>
    <row r="1871">
      <c r="B1871" s="87"/>
      <c r="C1871" s="85"/>
      <c r="D1871" s="76"/>
      <c r="H1871" s="88"/>
      <c r="J1871" s="53" t="str">
        <f>IFERROR(__xludf.DUMMYFUNCTION("IF(ISBLANK(B1871),"""",IF(ISDATE(B1871),""X"",""""))"),"")</f>
        <v/>
      </c>
      <c r="K1871" s="40" t="str">
        <f>IFERROR(__xludf.DUMMYFUNCTION("IF(ISBLANK(B1871),"""",IF(ISDATE(B1871),H1871,""""))"),"")</f>
        <v/>
      </c>
      <c r="L1871" s="40" t="str">
        <f>IFERROR(__xludf.DUMMYFUNCTION("IF(ISBLANK(B1871),"""",IF(ISDATE(B1871),TEXT(B1871,""M""),""""))"),"")</f>
        <v/>
      </c>
      <c r="M1871" s="29" t="str">
        <f>IFERROR(__xludf.DUMMYFUNCTION("IF(L1871="""","""",QUERY({'Dashboard-Dados'!$Y$2:$AA$13},""Select Col2 Where Col1=""&amp;L1871))"),"")</f>
        <v/>
      </c>
      <c r="N1871" s="29" t="str">
        <f>IFERROR(__xludf.DUMMYFUNCTION("IF(ISBLANK(B1871),"""",IF(ISDATE(B1871),TEXT(B1871,""yyyy""),""""))"),"")</f>
        <v/>
      </c>
    </row>
    <row r="1872">
      <c r="B1872" s="89"/>
      <c r="C1872" s="86"/>
      <c r="D1872" s="71"/>
      <c r="H1872" s="90"/>
      <c r="J1872" s="53" t="str">
        <f>IFERROR(__xludf.DUMMYFUNCTION("IF(ISBLANK(B1872),"""",IF(ISDATE(B1872),""X"",""""))"),"")</f>
        <v/>
      </c>
      <c r="K1872" s="40" t="str">
        <f>IFERROR(__xludf.DUMMYFUNCTION("IF(ISBLANK(B1872),"""",IF(ISDATE(B1872),H1872,""""))"),"")</f>
        <v/>
      </c>
      <c r="L1872" s="40" t="str">
        <f>IFERROR(__xludf.DUMMYFUNCTION("IF(ISBLANK(B1872),"""",IF(ISDATE(B1872),TEXT(B1872,""M""),""""))"),"")</f>
        <v/>
      </c>
      <c r="M1872" s="29" t="str">
        <f>IFERROR(__xludf.DUMMYFUNCTION("IF(L1872="""","""",QUERY({'Dashboard-Dados'!$Y$2:$AA$13},""Select Col2 Where Col1=""&amp;L1872))"),"")</f>
        <v/>
      </c>
      <c r="N1872" s="29" t="str">
        <f>IFERROR(__xludf.DUMMYFUNCTION("IF(ISBLANK(B1872),"""",IF(ISDATE(B1872),TEXT(B1872,""yyyy""),""""))"),"")</f>
        <v/>
      </c>
    </row>
    <row r="1873">
      <c r="B1873" s="87"/>
      <c r="C1873" s="85"/>
      <c r="D1873" s="76"/>
      <c r="H1873" s="88"/>
      <c r="J1873" s="53" t="str">
        <f>IFERROR(__xludf.DUMMYFUNCTION("IF(ISBLANK(B1873),"""",IF(ISDATE(B1873),""X"",""""))"),"")</f>
        <v/>
      </c>
      <c r="K1873" s="40" t="str">
        <f>IFERROR(__xludf.DUMMYFUNCTION("IF(ISBLANK(B1873),"""",IF(ISDATE(B1873),H1873,""""))"),"")</f>
        <v/>
      </c>
      <c r="L1873" s="40" t="str">
        <f>IFERROR(__xludf.DUMMYFUNCTION("IF(ISBLANK(B1873),"""",IF(ISDATE(B1873),TEXT(B1873,""M""),""""))"),"")</f>
        <v/>
      </c>
      <c r="M1873" s="29" t="str">
        <f>IFERROR(__xludf.DUMMYFUNCTION("IF(L1873="""","""",QUERY({'Dashboard-Dados'!$Y$2:$AA$13},""Select Col2 Where Col1=""&amp;L1873))"),"")</f>
        <v/>
      </c>
      <c r="N1873" s="29" t="str">
        <f>IFERROR(__xludf.DUMMYFUNCTION("IF(ISBLANK(B1873),"""",IF(ISDATE(B1873),TEXT(B1873,""yyyy""),""""))"),"")</f>
        <v/>
      </c>
    </row>
    <row r="1874">
      <c r="B1874" s="89"/>
      <c r="C1874" s="86"/>
      <c r="D1874" s="71"/>
      <c r="H1874" s="90"/>
      <c r="J1874" s="53" t="str">
        <f>IFERROR(__xludf.DUMMYFUNCTION("IF(ISBLANK(B1874),"""",IF(ISDATE(B1874),""X"",""""))"),"")</f>
        <v/>
      </c>
      <c r="K1874" s="40" t="str">
        <f>IFERROR(__xludf.DUMMYFUNCTION("IF(ISBLANK(B1874),"""",IF(ISDATE(B1874),H1874,""""))"),"")</f>
        <v/>
      </c>
      <c r="L1874" s="40" t="str">
        <f>IFERROR(__xludf.DUMMYFUNCTION("IF(ISBLANK(B1874),"""",IF(ISDATE(B1874),TEXT(B1874,""M""),""""))"),"")</f>
        <v/>
      </c>
      <c r="M1874" s="29" t="str">
        <f>IFERROR(__xludf.DUMMYFUNCTION("IF(L1874="""","""",QUERY({'Dashboard-Dados'!$Y$2:$AA$13},""Select Col2 Where Col1=""&amp;L1874))"),"")</f>
        <v/>
      </c>
      <c r="N1874" s="29" t="str">
        <f>IFERROR(__xludf.DUMMYFUNCTION("IF(ISBLANK(B1874),"""",IF(ISDATE(B1874),TEXT(B1874,""yyyy""),""""))"),"")</f>
        <v/>
      </c>
    </row>
    <row r="1875">
      <c r="B1875" s="87"/>
      <c r="C1875" s="85"/>
      <c r="D1875" s="76"/>
      <c r="H1875" s="88"/>
      <c r="J1875" s="53" t="str">
        <f>IFERROR(__xludf.DUMMYFUNCTION("IF(ISBLANK(B1875),"""",IF(ISDATE(B1875),""X"",""""))"),"")</f>
        <v/>
      </c>
      <c r="K1875" s="40" t="str">
        <f>IFERROR(__xludf.DUMMYFUNCTION("IF(ISBLANK(B1875),"""",IF(ISDATE(B1875),H1875,""""))"),"")</f>
        <v/>
      </c>
      <c r="L1875" s="40" t="str">
        <f>IFERROR(__xludf.DUMMYFUNCTION("IF(ISBLANK(B1875),"""",IF(ISDATE(B1875),TEXT(B1875,""M""),""""))"),"")</f>
        <v/>
      </c>
      <c r="M1875" s="29" t="str">
        <f>IFERROR(__xludf.DUMMYFUNCTION("IF(L1875="""","""",QUERY({'Dashboard-Dados'!$Y$2:$AA$13},""Select Col2 Where Col1=""&amp;L1875))"),"")</f>
        <v/>
      </c>
      <c r="N1875" s="29" t="str">
        <f>IFERROR(__xludf.DUMMYFUNCTION("IF(ISBLANK(B1875),"""",IF(ISDATE(B1875),TEXT(B1875,""yyyy""),""""))"),"")</f>
        <v/>
      </c>
    </row>
    <row r="1876">
      <c r="B1876" s="89"/>
      <c r="C1876" s="86"/>
      <c r="D1876" s="71"/>
      <c r="H1876" s="90"/>
      <c r="J1876" s="53" t="str">
        <f>IFERROR(__xludf.DUMMYFUNCTION("IF(ISBLANK(B1876),"""",IF(ISDATE(B1876),""X"",""""))"),"")</f>
        <v/>
      </c>
      <c r="K1876" s="40" t="str">
        <f>IFERROR(__xludf.DUMMYFUNCTION("IF(ISBLANK(B1876),"""",IF(ISDATE(B1876),H1876,""""))"),"")</f>
        <v/>
      </c>
      <c r="L1876" s="40" t="str">
        <f>IFERROR(__xludf.DUMMYFUNCTION("IF(ISBLANK(B1876),"""",IF(ISDATE(B1876),TEXT(B1876,""M""),""""))"),"")</f>
        <v/>
      </c>
      <c r="M1876" s="29" t="str">
        <f>IFERROR(__xludf.DUMMYFUNCTION("IF(L1876="""","""",QUERY({'Dashboard-Dados'!$Y$2:$AA$13},""Select Col2 Where Col1=""&amp;L1876))"),"")</f>
        <v/>
      </c>
      <c r="N1876" s="29" t="str">
        <f>IFERROR(__xludf.DUMMYFUNCTION("IF(ISBLANK(B1876),"""",IF(ISDATE(B1876),TEXT(B1876,""yyyy""),""""))"),"")</f>
        <v/>
      </c>
    </row>
    <row r="1877">
      <c r="B1877" s="87"/>
      <c r="C1877" s="85"/>
      <c r="D1877" s="76"/>
      <c r="H1877" s="88"/>
      <c r="J1877" s="53" t="str">
        <f>IFERROR(__xludf.DUMMYFUNCTION("IF(ISBLANK(B1877),"""",IF(ISDATE(B1877),""X"",""""))"),"")</f>
        <v/>
      </c>
      <c r="K1877" s="40" t="str">
        <f>IFERROR(__xludf.DUMMYFUNCTION("IF(ISBLANK(B1877),"""",IF(ISDATE(B1877),H1877,""""))"),"")</f>
        <v/>
      </c>
      <c r="L1877" s="40" t="str">
        <f>IFERROR(__xludf.DUMMYFUNCTION("IF(ISBLANK(B1877),"""",IF(ISDATE(B1877),TEXT(B1877,""M""),""""))"),"")</f>
        <v/>
      </c>
      <c r="M1877" s="29" t="str">
        <f>IFERROR(__xludf.DUMMYFUNCTION("IF(L1877="""","""",QUERY({'Dashboard-Dados'!$Y$2:$AA$13},""Select Col2 Where Col1=""&amp;L1877))"),"")</f>
        <v/>
      </c>
      <c r="N1877" s="29" t="str">
        <f>IFERROR(__xludf.DUMMYFUNCTION("IF(ISBLANK(B1877),"""",IF(ISDATE(B1877),TEXT(B1877,""yyyy""),""""))"),"")</f>
        <v/>
      </c>
    </row>
    <row r="1878">
      <c r="B1878" s="89"/>
      <c r="C1878" s="86"/>
      <c r="D1878" s="71"/>
      <c r="H1878" s="90"/>
      <c r="J1878" s="53" t="str">
        <f>IFERROR(__xludf.DUMMYFUNCTION("IF(ISBLANK(B1878),"""",IF(ISDATE(B1878),""X"",""""))"),"")</f>
        <v/>
      </c>
      <c r="K1878" s="40" t="str">
        <f>IFERROR(__xludf.DUMMYFUNCTION("IF(ISBLANK(B1878),"""",IF(ISDATE(B1878),H1878,""""))"),"")</f>
        <v/>
      </c>
      <c r="L1878" s="40" t="str">
        <f>IFERROR(__xludf.DUMMYFUNCTION("IF(ISBLANK(B1878),"""",IF(ISDATE(B1878),TEXT(B1878,""M""),""""))"),"")</f>
        <v/>
      </c>
      <c r="M1878" s="29" t="str">
        <f>IFERROR(__xludf.DUMMYFUNCTION("IF(L1878="""","""",QUERY({'Dashboard-Dados'!$Y$2:$AA$13},""Select Col2 Where Col1=""&amp;L1878))"),"")</f>
        <v/>
      </c>
      <c r="N1878" s="29" t="str">
        <f>IFERROR(__xludf.DUMMYFUNCTION("IF(ISBLANK(B1878),"""",IF(ISDATE(B1878),TEXT(B1878,""yyyy""),""""))"),"")</f>
        <v/>
      </c>
    </row>
    <row r="1879">
      <c r="B1879" s="87"/>
      <c r="C1879" s="85"/>
      <c r="D1879" s="76"/>
      <c r="H1879" s="88"/>
      <c r="J1879" s="53" t="str">
        <f>IFERROR(__xludf.DUMMYFUNCTION("IF(ISBLANK(B1879),"""",IF(ISDATE(B1879),""X"",""""))"),"")</f>
        <v/>
      </c>
      <c r="K1879" s="40" t="str">
        <f>IFERROR(__xludf.DUMMYFUNCTION("IF(ISBLANK(B1879),"""",IF(ISDATE(B1879),H1879,""""))"),"")</f>
        <v/>
      </c>
      <c r="L1879" s="40" t="str">
        <f>IFERROR(__xludf.DUMMYFUNCTION("IF(ISBLANK(B1879),"""",IF(ISDATE(B1879),TEXT(B1879,""M""),""""))"),"")</f>
        <v/>
      </c>
      <c r="M1879" s="29" t="str">
        <f>IFERROR(__xludf.DUMMYFUNCTION("IF(L1879="""","""",QUERY({'Dashboard-Dados'!$Y$2:$AA$13},""Select Col2 Where Col1=""&amp;L1879))"),"")</f>
        <v/>
      </c>
      <c r="N1879" s="29" t="str">
        <f>IFERROR(__xludf.DUMMYFUNCTION("IF(ISBLANK(B1879),"""",IF(ISDATE(B1879),TEXT(B1879,""yyyy""),""""))"),"")</f>
        <v/>
      </c>
    </row>
    <row r="1880">
      <c r="B1880" s="89"/>
      <c r="C1880" s="86"/>
      <c r="D1880" s="71"/>
      <c r="H1880" s="90"/>
      <c r="J1880" s="53" t="str">
        <f>IFERROR(__xludf.DUMMYFUNCTION("IF(ISBLANK(B1880),"""",IF(ISDATE(B1880),""X"",""""))"),"")</f>
        <v/>
      </c>
      <c r="K1880" s="40" t="str">
        <f>IFERROR(__xludf.DUMMYFUNCTION("IF(ISBLANK(B1880),"""",IF(ISDATE(B1880),H1880,""""))"),"")</f>
        <v/>
      </c>
      <c r="L1880" s="40" t="str">
        <f>IFERROR(__xludf.DUMMYFUNCTION("IF(ISBLANK(B1880),"""",IF(ISDATE(B1880),TEXT(B1880,""M""),""""))"),"")</f>
        <v/>
      </c>
      <c r="M1880" s="29" t="str">
        <f>IFERROR(__xludf.DUMMYFUNCTION("IF(L1880="""","""",QUERY({'Dashboard-Dados'!$Y$2:$AA$13},""Select Col2 Where Col1=""&amp;L1880))"),"")</f>
        <v/>
      </c>
      <c r="N1880" s="29" t="str">
        <f>IFERROR(__xludf.DUMMYFUNCTION("IF(ISBLANK(B1880),"""",IF(ISDATE(B1880),TEXT(B1880,""yyyy""),""""))"),"")</f>
        <v/>
      </c>
    </row>
    <row r="1881">
      <c r="B1881" s="87"/>
      <c r="C1881" s="85"/>
      <c r="D1881" s="76"/>
      <c r="H1881" s="88"/>
      <c r="J1881" s="53" t="str">
        <f>IFERROR(__xludf.DUMMYFUNCTION("IF(ISBLANK(B1881),"""",IF(ISDATE(B1881),""X"",""""))"),"")</f>
        <v/>
      </c>
      <c r="K1881" s="40" t="str">
        <f>IFERROR(__xludf.DUMMYFUNCTION("IF(ISBLANK(B1881),"""",IF(ISDATE(B1881),H1881,""""))"),"")</f>
        <v/>
      </c>
      <c r="L1881" s="40" t="str">
        <f>IFERROR(__xludf.DUMMYFUNCTION("IF(ISBLANK(B1881),"""",IF(ISDATE(B1881),TEXT(B1881,""M""),""""))"),"")</f>
        <v/>
      </c>
      <c r="M1881" s="29" t="str">
        <f>IFERROR(__xludf.DUMMYFUNCTION("IF(L1881="""","""",QUERY({'Dashboard-Dados'!$Y$2:$AA$13},""Select Col2 Where Col1=""&amp;L1881))"),"")</f>
        <v/>
      </c>
      <c r="N1881" s="29" t="str">
        <f>IFERROR(__xludf.DUMMYFUNCTION("IF(ISBLANK(B1881),"""",IF(ISDATE(B1881),TEXT(B1881,""yyyy""),""""))"),"")</f>
        <v/>
      </c>
    </row>
    <row r="1882">
      <c r="B1882" s="89"/>
      <c r="C1882" s="86"/>
      <c r="D1882" s="71"/>
      <c r="H1882" s="90"/>
      <c r="J1882" s="53" t="str">
        <f>IFERROR(__xludf.DUMMYFUNCTION("IF(ISBLANK(B1882),"""",IF(ISDATE(B1882),""X"",""""))"),"")</f>
        <v/>
      </c>
      <c r="K1882" s="40" t="str">
        <f>IFERROR(__xludf.DUMMYFUNCTION("IF(ISBLANK(B1882),"""",IF(ISDATE(B1882),H1882,""""))"),"")</f>
        <v/>
      </c>
      <c r="L1882" s="40" t="str">
        <f>IFERROR(__xludf.DUMMYFUNCTION("IF(ISBLANK(B1882),"""",IF(ISDATE(B1882),TEXT(B1882,""M""),""""))"),"")</f>
        <v/>
      </c>
      <c r="M1882" s="29" t="str">
        <f>IFERROR(__xludf.DUMMYFUNCTION("IF(L1882="""","""",QUERY({'Dashboard-Dados'!$Y$2:$AA$13},""Select Col2 Where Col1=""&amp;L1882))"),"")</f>
        <v/>
      </c>
      <c r="N1882" s="29" t="str">
        <f>IFERROR(__xludf.DUMMYFUNCTION("IF(ISBLANK(B1882),"""",IF(ISDATE(B1882),TEXT(B1882,""yyyy""),""""))"),"")</f>
        <v/>
      </c>
    </row>
    <row r="1883">
      <c r="B1883" s="87"/>
      <c r="C1883" s="85"/>
      <c r="D1883" s="76"/>
      <c r="H1883" s="88"/>
      <c r="J1883" s="53" t="str">
        <f>IFERROR(__xludf.DUMMYFUNCTION("IF(ISBLANK(B1883),"""",IF(ISDATE(B1883),""X"",""""))"),"")</f>
        <v/>
      </c>
      <c r="K1883" s="40" t="str">
        <f>IFERROR(__xludf.DUMMYFUNCTION("IF(ISBLANK(B1883),"""",IF(ISDATE(B1883),H1883,""""))"),"")</f>
        <v/>
      </c>
      <c r="L1883" s="40" t="str">
        <f>IFERROR(__xludf.DUMMYFUNCTION("IF(ISBLANK(B1883),"""",IF(ISDATE(B1883),TEXT(B1883,""M""),""""))"),"")</f>
        <v/>
      </c>
      <c r="M1883" s="29" t="str">
        <f>IFERROR(__xludf.DUMMYFUNCTION("IF(L1883="""","""",QUERY({'Dashboard-Dados'!$Y$2:$AA$13},""Select Col2 Where Col1=""&amp;L1883))"),"")</f>
        <v/>
      </c>
      <c r="N1883" s="29" t="str">
        <f>IFERROR(__xludf.DUMMYFUNCTION("IF(ISBLANK(B1883),"""",IF(ISDATE(B1883),TEXT(B1883,""yyyy""),""""))"),"")</f>
        <v/>
      </c>
    </row>
    <row r="1884">
      <c r="B1884" s="89"/>
      <c r="C1884" s="86"/>
      <c r="D1884" s="71"/>
      <c r="H1884" s="90"/>
      <c r="J1884" s="53" t="str">
        <f>IFERROR(__xludf.DUMMYFUNCTION("IF(ISBLANK(B1884),"""",IF(ISDATE(B1884),""X"",""""))"),"")</f>
        <v/>
      </c>
      <c r="K1884" s="40" t="str">
        <f>IFERROR(__xludf.DUMMYFUNCTION("IF(ISBLANK(B1884),"""",IF(ISDATE(B1884),H1884,""""))"),"")</f>
        <v/>
      </c>
      <c r="L1884" s="40" t="str">
        <f>IFERROR(__xludf.DUMMYFUNCTION("IF(ISBLANK(B1884),"""",IF(ISDATE(B1884),TEXT(B1884,""M""),""""))"),"")</f>
        <v/>
      </c>
      <c r="M1884" s="29" t="str">
        <f>IFERROR(__xludf.DUMMYFUNCTION("IF(L1884="""","""",QUERY({'Dashboard-Dados'!$Y$2:$AA$13},""Select Col2 Where Col1=""&amp;L1884))"),"")</f>
        <v/>
      </c>
      <c r="N1884" s="29" t="str">
        <f>IFERROR(__xludf.DUMMYFUNCTION("IF(ISBLANK(B1884),"""",IF(ISDATE(B1884),TEXT(B1884,""yyyy""),""""))"),"")</f>
        <v/>
      </c>
    </row>
    <row r="1885">
      <c r="B1885" s="87"/>
      <c r="C1885" s="85"/>
      <c r="D1885" s="76"/>
      <c r="H1885" s="88"/>
      <c r="J1885" s="53" t="str">
        <f>IFERROR(__xludf.DUMMYFUNCTION("IF(ISBLANK(B1885),"""",IF(ISDATE(B1885),""X"",""""))"),"")</f>
        <v/>
      </c>
      <c r="K1885" s="40" t="str">
        <f>IFERROR(__xludf.DUMMYFUNCTION("IF(ISBLANK(B1885),"""",IF(ISDATE(B1885),H1885,""""))"),"")</f>
        <v/>
      </c>
      <c r="L1885" s="40" t="str">
        <f>IFERROR(__xludf.DUMMYFUNCTION("IF(ISBLANK(B1885),"""",IF(ISDATE(B1885),TEXT(B1885,""M""),""""))"),"")</f>
        <v/>
      </c>
      <c r="M1885" s="29" t="str">
        <f>IFERROR(__xludf.DUMMYFUNCTION("IF(L1885="""","""",QUERY({'Dashboard-Dados'!$Y$2:$AA$13},""Select Col2 Where Col1=""&amp;L1885))"),"")</f>
        <v/>
      </c>
      <c r="N1885" s="29" t="str">
        <f>IFERROR(__xludf.DUMMYFUNCTION("IF(ISBLANK(B1885),"""",IF(ISDATE(B1885),TEXT(B1885,""yyyy""),""""))"),"")</f>
        <v/>
      </c>
    </row>
    <row r="1886">
      <c r="B1886" s="89"/>
      <c r="C1886" s="86"/>
      <c r="D1886" s="71"/>
      <c r="H1886" s="90"/>
      <c r="J1886" s="53" t="str">
        <f>IFERROR(__xludf.DUMMYFUNCTION("IF(ISBLANK(B1886),"""",IF(ISDATE(B1886),""X"",""""))"),"")</f>
        <v/>
      </c>
      <c r="K1886" s="40" t="str">
        <f>IFERROR(__xludf.DUMMYFUNCTION("IF(ISBLANK(B1886),"""",IF(ISDATE(B1886),H1886,""""))"),"")</f>
        <v/>
      </c>
      <c r="L1886" s="40" t="str">
        <f>IFERROR(__xludf.DUMMYFUNCTION("IF(ISBLANK(B1886),"""",IF(ISDATE(B1886),TEXT(B1886,""M""),""""))"),"")</f>
        <v/>
      </c>
      <c r="M1886" s="29" t="str">
        <f>IFERROR(__xludf.DUMMYFUNCTION("IF(L1886="""","""",QUERY({'Dashboard-Dados'!$Y$2:$AA$13},""Select Col2 Where Col1=""&amp;L1886))"),"")</f>
        <v/>
      </c>
      <c r="N1886" s="29" t="str">
        <f>IFERROR(__xludf.DUMMYFUNCTION("IF(ISBLANK(B1886),"""",IF(ISDATE(B1886),TEXT(B1886,""yyyy""),""""))"),"")</f>
        <v/>
      </c>
    </row>
    <row r="1887">
      <c r="B1887" s="87"/>
      <c r="C1887" s="85"/>
      <c r="D1887" s="76"/>
      <c r="H1887" s="88"/>
      <c r="J1887" s="53" t="str">
        <f>IFERROR(__xludf.DUMMYFUNCTION("IF(ISBLANK(B1887),"""",IF(ISDATE(B1887),""X"",""""))"),"")</f>
        <v/>
      </c>
      <c r="K1887" s="40" t="str">
        <f>IFERROR(__xludf.DUMMYFUNCTION("IF(ISBLANK(B1887),"""",IF(ISDATE(B1887),H1887,""""))"),"")</f>
        <v/>
      </c>
      <c r="L1887" s="40" t="str">
        <f>IFERROR(__xludf.DUMMYFUNCTION("IF(ISBLANK(B1887),"""",IF(ISDATE(B1887),TEXT(B1887,""M""),""""))"),"")</f>
        <v/>
      </c>
      <c r="M1887" s="29" t="str">
        <f>IFERROR(__xludf.DUMMYFUNCTION("IF(L1887="""","""",QUERY({'Dashboard-Dados'!$Y$2:$AA$13},""Select Col2 Where Col1=""&amp;L1887))"),"")</f>
        <v/>
      </c>
      <c r="N1887" s="29" t="str">
        <f>IFERROR(__xludf.DUMMYFUNCTION("IF(ISBLANK(B1887),"""",IF(ISDATE(B1887),TEXT(B1887,""yyyy""),""""))"),"")</f>
        <v/>
      </c>
    </row>
    <row r="1888">
      <c r="B1888" s="89"/>
      <c r="C1888" s="86"/>
      <c r="D1888" s="71"/>
      <c r="H1888" s="90"/>
      <c r="J1888" s="53" t="str">
        <f>IFERROR(__xludf.DUMMYFUNCTION("IF(ISBLANK(B1888),"""",IF(ISDATE(B1888),""X"",""""))"),"")</f>
        <v/>
      </c>
      <c r="K1888" s="40" t="str">
        <f>IFERROR(__xludf.DUMMYFUNCTION("IF(ISBLANK(B1888),"""",IF(ISDATE(B1888),H1888,""""))"),"")</f>
        <v/>
      </c>
      <c r="L1888" s="40" t="str">
        <f>IFERROR(__xludf.DUMMYFUNCTION("IF(ISBLANK(B1888),"""",IF(ISDATE(B1888),TEXT(B1888,""M""),""""))"),"")</f>
        <v/>
      </c>
      <c r="M1888" s="29" t="str">
        <f>IFERROR(__xludf.DUMMYFUNCTION("IF(L1888="""","""",QUERY({'Dashboard-Dados'!$Y$2:$AA$13},""Select Col2 Where Col1=""&amp;L1888))"),"")</f>
        <v/>
      </c>
      <c r="N1888" s="29" t="str">
        <f>IFERROR(__xludf.DUMMYFUNCTION("IF(ISBLANK(B1888),"""",IF(ISDATE(B1888),TEXT(B1888,""yyyy""),""""))"),"")</f>
        <v/>
      </c>
    </row>
    <row r="1889">
      <c r="B1889" s="87"/>
      <c r="C1889" s="85"/>
      <c r="D1889" s="76"/>
      <c r="H1889" s="88"/>
      <c r="J1889" s="53" t="str">
        <f>IFERROR(__xludf.DUMMYFUNCTION("IF(ISBLANK(B1889),"""",IF(ISDATE(B1889),""X"",""""))"),"")</f>
        <v/>
      </c>
      <c r="K1889" s="40" t="str">
        <f>IFERROR(__xludf.DUMMYFUNCTION("IF(ISBLANK(B1889),"""",IF(ISDATE(B1889),H1889,""""))"),"")</f>
        <v/>
      </c>
      <c r="L1889" s="40" t="str">
        <f>IFERROR(__xludf.DUMMYFUNCTION("IF(ISBLANK(B1889),"""",IF(ISDATE(B1889),TEXT(B1889,""M""),""""))"),"")</f>
        <v/>
      </c>
      <c r="M1889" s="29" t="str">
        <f>IFERROR(__xludf.DUMMYFUNCTION("IF(L1889="""","""",QUERY({'Dashboard-Dados'!$Y$2:$AA$13},""Select Col2 Where Col1=""&amp;L1889))"),"")</f>
        <v/>
      </c>
      <c r="N1889" s="29" t="str">
        <f>IFERROR(__xludf.DUMMYFUNCTION("IF(ISBLANK(B1889),"""",IF(ISDATE(B1889),TEXT(B1889,""yyyy""),""""))"),"")</f>
        <v/>
      </c>
    </row>
    <row r="1890">
      <c r="B1890" s="89"/>
      <c r="C1890" s="86"/>
      <c r="D1890" s="71"/>
      <c r="H1890" s="90"/>
      <c r="J1890" s="53" t="str">
        <f>IFERROR(__xludf.DUMMYFUNCTION("IF(ISBLANK(B1890),"""",IF(ISDATE(B1890),""X"",""""))"),"")</f>
        <v/>
      </c>
      <c r="K1890" s="40" t="str">
        <f>IFERROR(__xludf.DUMMYFUNCTION("IF(ISBLANK(B1890),"""",IF(ISDATE(B1890),H1890,""""))"),"")</f>
        <v/>
      </c>
      <c r="L1890" s="40" t="str">
        <f>IFERROR(__xludf.DUMMYFUNCTION("IF(ISBLANK(B1890),"""",IF(ISDATE(B1890),TEXT(B1890,""M""),""""))"),"")</f>
        <v/>
      </c>
      <c r="M1890" s="29" t="str">
        <f>IFERROR(__xludf.DUMMYFUNCTION("IF(L1890="""","""",QUERY({'Dashboard-Dados'!$Y$2:$AA$13},""Select Col2 Where Col1=""&amp;L1890))"),"")</f>
        <v/>
      </c>
      <c r="N1890" s="29" t="str">
        <f>IFERROR(__xludf.DUMMYFUNCTION("IF(ISBLANK(B1890),"""",IF(ISDATE(B1890),TEXT(B1890,""yyyy""),""""))"),"")</f>
        <v/>
      </c>
    </row>
    <row r="1891">
      <c r="B1891" s="87"/>
      <c r="C1891" s="85"/>
      <c r="D1891" s="76"/>
      <c r="H1891" s="88"/>
      <c r="J1891" s="53" t="str">
        <f>IFERROR(__xludf.DUMMYFUNCTION("IF(ISBLANK(B1891),"""",IF(ISDATE(B1891),""X"",""""))"),"")</f>
        <v/>
      </c>
      <c r="K1891" s="40" t="str">
        <f>IFERROR(__xludf.DUMMYFUNCTION("IF(ISBLANK(B1891),"""",IF(ISDATE(B1891),H1891,""""))"),"")</f>
        <v/>
      </c>
      <c r="L1891" s="40" t="str">
        <f>IFERROR(__xludf.DUMMYFUNCTION("IF(ISBLANK(B1891),"""",IF(ISDATE(B1891),TEXT(B1891,""M""),""""))"),"")</f>
        <v/>
      </c>
      <c r="M1891" s="29" t="str">
        <f>IFERROR(__xludf.DUMMYFUNCTION("IF(L1891="""","""",QUERY({'Dashboard-Dados'!$Y$2:$AA$13},""Select Col2 Where Col1=""&amp;L1891))"),"")</f>
        <v/>
      </c>
      <c r="N1891" s="29" t="str">
        <f>IFERROR(__xludf.DUMMYFUNCTION("IF(ISBLANK(B1891),"""",IF(ISDATE(B1891),TEXT(B1891,""yyyy""),""""))"),"")</f>
        <v/>
      </c>
    </row>
    <row r="1892">
      <c r="B1892" s="89"/>
      <c r="C1892" s="86"/>
      <c r="D1892" s="71"/>
      <c r="H1892" s="90"/>
      <c r="J1892" s="53" t="str">
        <f>IFERROR(__xludf.DUMMYFUNCTION("IF(ISBLANK(B1892),"""",IF(ISDATE(B1892),""X"",""""))"),"")</f>
        <v/>
      </c>
      <c r="K1892" s="40" t="str">
        <f>IFERROR(__xludf.DUMMYFUNCTION("IF(ISBLANK(B1892),"""",IF(ISDATE(B1892),H1892,""""))"),"")</f>
        <v/>
      </c>
      <c r="L1892" s="40" t="str">
        <f>IFERROR(__xludf.DUMMYFUNCTION("IF(ISBLANK(B1892),"""",IF(ISDATE(B1892),TEXT(B1892,""M""),""""))"),"")</f>
        <v/>
      </c>
      <c r="M1892" s="29" t="str">
        <f>IFERROR(__xludf.DUMMYFUNCTION("IF(L1892="""","""",QUERY({'Dashboard-Dados'!$Y$2:$AA$13},""Select Col2 Where Col1=""&amp;L1892))"),"")</f>
        <v/>
      </c>
      <c r="N1892" s="29" t="str">
        <f>IFERROR(__xludf.DUMMYFUNCTION("IF(ISBLANK(B1892),"""",IF(ISDATE(B1892),TEXT(B1892,""yyyy""),""""))"),"")</f>
        <v/>
      </c>
    </row>
    <row r="1893">
      <c r="B1893" s="87"/>
      <c r="C1893" s="85"/>
      <c r="D1893" s="76"/>
      <c r="H1893" s="88"/>
      <c r="J1893" s="53" t="str">
        <f>IFERROR(__xludf.DUMMYFUNCTION("IF(ISBLANK(B1893),"""",IF(ISDATE(B1893),""X"",""""))"),"")</f>
        <v/>
      </c>
      <c r="K1893" s="40" t="str">
        <f>IFERROR(__xludf.DUMMYFUNCTION("IF(ISBLANK(B1893),"""",IF(ISDATE(B1893),H1893,""""))"),"")</f>
        <v/>
      </c>
      <c r="L1893" s="40" t="str">
        <f>IFERROR(__xludf.DUMMYFUNCTION("IF(ISBLANK(B1893),"""",IF(ISDATE(B1893),TEXT(B1893,""M""),""""))"),"")</f>
        <v/>
      </c>
      <c r="M1893" s="29" t="str">
        <f>IFERROR(__xludf.DUMMYFUNCTION("IF(L1893="""","""",QUERY({'Dashboard-Dados'!$Y$2:$AA$13},""Select Col2 Where Col1=""&amp;L1893))"),"")</f>
        <v/>
      </c>
      <c r="N1893" s="29" t="str">
        <f>IFERROR(__xludf.DUMMYFUNCTION("IF(ISBLANK(B1893),"""",IF(ISDATE(B1893),TEXT(B1893,""yyyy""),""""))"),"")</f>
        <v/>
      </c>
    </row>
    <row r="1894">
      <c r="B1894" s="89"/>
      <c r="C1894" s="86"/>
      <c r="D1894" s="71"/>
      <c r="H1894" s="90"/>
      <c r="J1894" s="53" t="str">
        <f>IFERROR(__xludf.DUMMYFUNCTION("IF(ISBLANK(B1894),"""",IF(ISDATE(B1894),""X"",""""))"),"")</f>
        <v/>
      </c>
      <c r="K1894" s="40" t="str">
        <f>IFERROR(__xludf.DUMMYFUNCTION("IF(ISBLANK(B1894),"""",IF(ISDATE(B1894),H1894,""""))"),"")</f>
        <v/>
      </c>
      <c r="L1894" s="40" t="str">
        <f>IFERROR(__xludf.DUMMYFUNCTION("IF(ISBLANK(B1894),"""",IF(ISDATE(B1894),TEXT(B1894,""M""),""""))"),"")</f>
        <v/>
      </c>
      <c r="M1894" s="29" t="str">
        <f>IFERROR(__xludf.DUMMYFUNCTION("IF(L1894="""","""",QUERY({'Dashboard-Dados'!$Y$2:$AA$13},""Select Col2 Where Col1=""&amp;L1894))"),"")</f>
        <v/>
      </c>
      <c r="N1894" s="29" t="str">
        <f>IFERROR(__xludf.DUMMYFUNCTION("IF(ISBLANK(B1894),"""",IF(ISDATE(B1894),TEXT(B1894,""yyyy""),""""))"),"")</f>
        <v/>
      </c>
    </row>
    <row r="1895">
      <c r="B1895" s="87"/>
      <c r="C1895" s="85"/>
      <c r="D1895" s="76"/>
      <c r="H1895" s="88"/>
      <c r="J1895" s="53" t="str">
        <f>IFERROR(__xludf.DUMMYFUNCTION("IF(ISBLANK(B1895),"""",IF(ISDATE(B1895),""X"",""""))"),"")</f>
        <v/>
      </c>
      <c r="K1895" s="40" t="str">
        <f>IFERROR(__xludf.DUMMYFUNCTION("IF(ISBLANK(B1895),"""",IF(ISDATE(B1895),H1895,""""))"),"")</f>
        <v/>
      </c>
      <c r="L1895" s="40" t="str">
        <f>IFERROR(__xludf.DUMMYFUNCTION("IF(ISBLANK(B1895),"""",IF(ISDATE(B1895),TEXT(B1895,""M""),""""))"),"")</f>
        <v/>
      </c>
      <c r="M1895" s="29" t="str">
        <f>IFERROR(__xludf.DUMMYFUNCTION("IF(L1895="""","""",QUERY({'Dashboard-Dados'!$Y$2:$AA$13},""Select Col2 Where Col1=""&amp;L1895))"),"")</f>
        <v/>
      </c>
      <c r="N1895" s="29" t="str">
        <f>IFERROR(__xludf.DUMMYFUNCTION("IF(ISBLANK(B1895),"""",IF(ISDATE(B1895),TEXT(B1895,""yyyy""),""""))"),"")</f>
        <v/>
      </c>
    </row>
    <row r="1896">
      <c r="B1896" s="89"/>
      <c r="C1896" s="86"/>
      <c r="D1896" s="71"/>
      <c r="H1896" s="90"/>
      <c r="J1896" s="53" t="str">
        <f>IFERROR(__xludf.DUMMYFUNCTION("IF(ISBLANK(B1896),"""",IF(ISDATE(B1896),""X"",""""))"),"")</f>
        <v/>
      </c>
      <c r="K1896" s="40" t="str">
        <f>IFERROR(__xludf.DUMMYFUNCTION("IF(ISBLANK(B1896),"""",IF(ISDATE(B1896),H1896,""""))"),"")</f>
        <v/>
      </c>
      <c r="L1896" s="40" t="str">
        <f>IFERROR(__xludf.DUMMYFUNCTION("IF(ISBLANK(B1896),"""",IF(ISDATE(B1896),TEXT(B1896,""M""),""""))"),"")</f>
        <v/>
      </c>
      <c r="M1896" s="29" t="str">
        <f>IFERROR(__xludf.DUMMYFUNCTION("IF(L1896="""","""",QUERY({'Dashboard-Dados'!$Y$2:$AA$13},""Select Col2 Where Col1=""&amp;L1896))"),"")</f>
        <v/>
      </c>
      <c r="N1896" s="29" t="str">
        <f>IFERROR(__xludf.DUMMYFUNCTION("IF(ISBLANK(B1896),"""",IF(ISDATE(B1896),TEXT(B1896,""yyyy""),""""))"),"")</f>
        <v/>
      </c>
    </row>
    <row r="1897">
      <c r="B1897" s="87"/>
      <c r="C1897" s="85"/>
      <c r="D1897" s="76"/>
      <c r="H1897" s="88"/>
      <c r="J1897" s="53" t="str">
        <f>IFERROR(__xludf.DUMMYFUNCTION("IF(ISBLANK(B1897),"""",IF(ISDATE(B1897),""X"",""""))"),"")</f>
        <v/>
      </c>
      <c r="K1897" s="40" t="str">
        <f>IFERROR(__xludf.DUMMYFUNCTION("IF(ISBLANK(B1897),"""",IF(ISDATE(B1897),H1897,""""))"),"")</f>
        <v/>
      </c>
      <c r="L1897" s="40" t="str">
        <f>IFERROR(__xludf.DUMMYFUNCTION("IF(ISBLANK(B1897),"""",IF(ISDATE(B1897),TEXT(B1897,""M""),""""))"),"")</f>
        <v/>
      </c>
      <c r="M1897" s="29" t="str">
        <f>IFERROR(__xludf.DUMMYFUNCTION("IF(L1897="""","""",QUERY({'Dashboard-Dados'!$Y$2:$AA$13},""Select Col2 Where Col1=""&amp;L1897))"),"")</f>
        <v/>
      </c>
      <c r="N1897" s="29" t="str">
        <f>IFERROR(__xludf.DUMMYFUNCTION("IF(ISBLANK(B1897),"""",IF(ISDATE(B1897),TEXT(B1897,""yyyy""),""""))"),"")</f>
        <v/>
      </c>
    </row>
    <row r="1898">
      <c r="B1898" s="89"/>
      <c r="C1898" s="86"/>
      <c r="D1898" s="71"/>
      <c r="H1898" s="90"/>
      <c r="J1898" s="53" t="str">
        <f>IFERROR(__xludf.DUMMYFUNCTION("IF(ISBLANK(B1898),"""",IF(ISDATE(B1898),""X"",""""))"),"")</f>
        <v/>
      </c>
      <c r="K1898" s="40" t="str">
        <f>IFERROR(__xludf.DUMMYFUNCTION("IF(ISBLANK(B1898),"""",IF(ISDATE(B1898),H1898,""""))"),"")</f>
        <v/>
      </c>
      <c r="L1898" s="40" t="str">
        <f>IFERROR(__xludf.DUMMYFUNCTION("IF(ISBLANK(B1898),"""",IF(ISDATE(B1898),TEXT(B1898,""M""),""""))"),"")</f>
        <v/>
      </c>
      <c r="M1898" s="29" t="str">
        <f>IFERROR(__xludf.DUMMYFUNCTION("IF(L1898="""","""",QUERY({'Dashboard-Dados'!$Y$2:$AA$13},""Select Col2 Where Col1=""&amp;L1898))"),"")</f>
        <v/>
      </c>
      <c r="N1898" s="29" t="str">
        <f>IFERROR(__xludf.DUMMYFUNCTION("IF(ISBLANK(B1898),"""",IF(ISDATE(B1898),TEXT(B1898,""yyyy""),""""))"),"")</f>
        <v/>
      </c>
    </row>
    <row r="1899">
      <c r="B1899" s="87"/>
      <c r="C1899" s="85"/>
      <c r="D1899" s="76"/>
      <c r="H1899" s="88"/>
      <c r="J1899" s="53" t="str">
        <f>IFERROR(__xludf.DUMMYFUNCTION("IF(ISBLANK(B1899),"""",IF(ISDATE(B1899),""X"",""""))"),"")</f>
        <v/>
      </c>
      <c r="K1899" s="40" t="str">
        <f>IFERROR(__xludf.DUMMYFUNCTION("IF(ISBLANK(B1899),"""",IF(ISDATE(B1899),H1899,""""))"),"")</f>
        <v/>
      </c>
      <c r="L1899" s="40" t="str">
        <f>IFERROR(__xludf.DUMMYFUNCTION("IF(ISBLANK(B1899),"""",IF(ISDATE(B1899),TEXT(B1899,""M""),""""))"),"")</f>
        <v/>
      </c>
      <c r="M1899" s="29" t="str">
        <f>IFERROR(__xludf.DUMMYFUNCTION("IF(L1899="""","""",QUERY({'Dashboard-Dados'!$Y$2:$AA$13},""Select Col2 Where Col1=""&amp;L1899))"),"")</f>
        <v/>
      </c>
      <c r="N1899" s="29" t="str">
        <f>IFERROR(__xludf.DUMMYFUNCTION("IF(ISBLANK(B1899),"""",IF(ISDATE(B1899),TEXT(B1899,""yyyy""),""""))"),"")</f>
        <v/>
      </c>
    </row>
    <row r="1900">
      <c r="B1900" s="89"/>
      <c r="C1900" s="86"/>
      <c r="D1900" s="71"/>
      <c r="H1900" s="90"/>
      <c r="J1900" s="53" t="str">
        <f>IFERROR(__xludf.DUMMYFUNCTION("IF(ISBLANK(B1900),"""",IF(ISDATE(B1900),""X"",""""))"),"")</f>
        <v/>
      </c>
      <c r="K1900" s="40" t="str">
        <f>IFERROR(__xludf.DUMMYFUNCTION("IF(ISBLANK(B1900),"""",IF(ISDATE(B1900),H1900,""""))"),"")</f>
        <v/>
      </c>
      <c r="L1900" s="40" t="str">
        <f>IFERROR(__xludf.DUMMYFUNCTION("IF(ISBLANK(B1900),"""",IF(ISDATE(B1900),TEXT(B1900,""M""),""""))"),"")</f>
        <v/>
      </c>
      <c r="M1900" s="29" t="str">
        <f>IFERROR(__xludf.DUMMYFUNCTION("IF(L1900="""","""",QUERY({'Dashboard-Dados'!$Y$2:$AA$13},""Select Col2 Where Col1=""&amp;L1900))"),"")</f>
        <v/>
      </c>
      <c r="N1900" s="29" t="str">
        <f>IFERROR(__xludf.DUMMYFUNCTION("IF(ISBLANK(B1900),"""",IF(ISDATE(B1900),TEXT(B1900,""yyyy""),""""))"),"")</f>
        <v/>
      </c>
    </row>
    <row r="1901">
      <c r="B1901" s="87"/>
      <c r="C1901" s="85"/>
      <c r="D1901" s="76"/>
      <c r="H1901" s="88"/>
      <c r="J1901" s="53" t="str">
        <f>IFERROR(__xludf.DUMMYFUNCTION("IF(ISBLANK(B1901),"""",IF(ISDATE(B1901),""X"",""""))"),"")</f>
        <v/>
      </c>
      <c r="K1901" s="40" t="str">
        <f>IFERROR(__xludf.DUMMYFUNCTION("IF(ISBLANK(B1901),"""",IF(ISDATE(B1901),H1901,""""))"),"")</f>
        <v/>
      </c>
      <c r="L1901" s="40" t="str">
        <f>IFERROR(__xludf.DUMMYFUNCTION("IF(ISBLANK(B1901),"""",IF(ISDATE(B1901),TEXT(B1901,""M""),""""))"),"")</f>
        <v/>
      </c>
      <c r="M1901" s="29" t="str">
        <f>IFERROR(__xludf.DUMMYFUNCTION("IF(L1901="""","""",QUERY({'Dashboard-Dados'!$Y$2:$AA$13},""Select Col2 Where Col1=""&amp;L1901))"),"")</f>
        <v/>
      </c>
      <c r="N1901" s="29" t="str">
        <f>IFERROR(__xludf.DUMMYFUNCTION("IF(ISBLANK(B1901),"""",IF(ISDATE(B1901),TEXT(B1901,""yyyy""),""""))"),"")</f>
        <v/>
      </c>
    </row>
    <row r="1902">
      <c r="B1902" s="89"/>
      <c r="C1902" s="86"/>
      <c r="D1902" s="71"/>
      <c r="H1902" s="90"/>
      <c r="J1902" s="53" t="str">
        <f>IFERROR(__xludf.DUMMYFUNCTION("IF(ISBLANK(B1902),"""",IF(ISDATE(B1902),""X"",""""))"),"")</f>
        <v/>
      </c>
      <c r="K1902" s="40" t="str">
        <f>IFERROR(__xludf.DUMMYFUNCTION("IF(ISBLANK(B1902),"""",IF(ISDATE(B1902),H1902,""""))"),"")</f>
        <v/>
      </c>
      <c r="L1902" s="40" t="str">
        <f>IFERROR(__xludf.DUMMYFUNCTION("IF(ISBLANK(B1902),"""",IF(ISDATE(B1902),TEXT(B1902,""M""),""""))"),"")</f>
        <v/>
      </c>
      <c r="M1902" s="29" t="str">
        <f>IFERROR(__xludf.DUMMYFUNCTION("IF(L1902="""","""",QUERY({'Dashboard-Dados'!$Y$2:$AA$13},""Select Col2 Where Col1=""&amp;L1902))"),"")</f>
        <v/>
      </c>
      <c r="N1902" s="29" t="str">
        <f>IFERROR(__xludf.DUMMYFUNCTION("IF(ISBLANK(B1902),"""",IF(ISDATE(B1902),TEXT(B1902,""yyyy""),""""))"),"")</f>
        <v/>
      </c>
    </row>
    <row r="1903">
      <c r="B1903" s="87"/>
      <c r="C1903" s="85"/>
      <c r="D1903" s="76"/>
      <c r="H1903" s="88"/>
      <c r="J1903" s="53" t="str">
        <f>IFERROR(__xludf.DUMMYFUNCTION("IF(ISBLANK(B1903),"""",IF(ISDATE(B1903),""X"",""""))"),"")</f>
        <v/>
      </c>
      <c r="K1903" s="40" t="str">
        <f>IFERROR(__xludf.DUMMYFUNCTION("IF(ISBLANK(B1903),"""",IF(ISDATE(B1903),H1903,""""))"),"")</f>
        <v/>
      </c>
      <c r="L1903" s="40" t="str">
        <f>IFERROR(__xludf.DUMMYFUNCTION("IF(ISBLANK(B1903),"""",IF(ISDATE(B1903),TEXT(B1903,""M""),""""))"),"")</f>
        <v/>
      </c>
      <c r="M1903" s="29" t="str">
        <f>IFERROR(__xludf.DUMMYFUNCTION("IF(L1903="""","""",QUERY({'Dashboard-Dados'!$Y$2:$AA$13},""Select Col2 Where Col1=""&amp;L1903))"),"")</f>
        <v/>
      </c>
      <c r="N1903" s="29" t="str">
        <f>IFERROR(__xludf.DUMMYFUNCTION("IF(ISBLANK(B1903),"""",IF(ISDATE(B1903),TEXT(B1903,""yyyy""),""""))"),"")</f>
        <v/>
      </c>
    </row>
    <row r="1904">
      <c r="B1904" s="89"/>
      <c r="C1904" s="86"/>
      <c r="D1904" s="71"/>
      <c r="H1904" s="90"/>
      <c r="J1904" s="53" t="str">
        <f>IFERROR(__xludf.DUMMYFUNCTION("IF(ISBLANK(B1904),"""",IF(ISDATE(B1904),""X"",""""))"),"")</f>
        <v/>
      </c>
      <c r="K1904" s="40" t="str">
        <f>IFERROR(__xludf.DUMMYFUNCTION("IF(ISBLANK(B1904),"""",IF(ISDATE(B1904),H1904,""""))"),"")</f>
        <v/>
      </c>
      <c r="L1904" s="40" t="str">
        <f>IFERROR(__xludf.DUMMYFUNCTION("IF(ISBLANK(B1904),"""",IF(ISDATE(B1904),TEXT(B1904,""M""),""""))"),"")</f>
        <v/>
      </c>
      <c r="M1904" s="29" t="str">
        <f>IFERROR(__xludf.DUMMYFUNCTION("IF(L1904="""","""",QUERY({'Dashboard-Dados'!$Y$2:$AA$13},""Select Col2 Where Col1=""&amp;L1904))"),"")</f>
        <v/>
      </c>
      <c r="N1904" s="29" t="str">
        <f>IFERROR(__xludf.DUMMYFUNCTION("IF(ISBLANK(B1904),"""",IF(ISDATE(B1904),TEXT(B1904,""yyyy""),""""))"),"")</f>
        <v/>
      </c>
    </row>
    <row r="1905">
      <c r="B1905" s="87"/>
      <c r="C1905" s="85"/>
      <c r="D1905" s="76"/>
      <c r="H1905" s="88"/>
      <c r="J1905" s="53" t="str">
        <f>IFERROR(__xludf.DUMMYFUNCTION("IF(ISBLANK(B1905),"""",IF(ISDATE(B1905),""X"",""""))"),"")</f>
        <v/>
      </c>
      <c r="K1905" s="40" t="str">
        <f>IFERROR(__xludf.DUMMYFUNCTION("IF(ISBLANK(B1905),"""",IF(ISDATE(B1905),H1905,""""))"),"")</f>
        <v/>
      </c>
      <c r="L1905" s="40" t="str">
        <f>IFERROR(__xludf.DUMMYFUNCTION("IF(ISBLANK(B1905),"""",IF(ISDATE(B1905),TEXT(B1905,""M""),""""))"),"")</f>
        <v/>
      </c>
      <c r="M1905" s="29" t="str">
        <f>IFERROR(__xludf.DUMMYFUNCTION("IF(L1905="""","""",QUERY({'Dashboard-Dados'!$Y$2:$AA$13},""Select Col2 Where Col1=""&amp;L1905))"),"")</f>
        <v/>
      </c>
      <c r="N1905" s="29" t="str">
        <f>IFERROR(__xludf.DUMMYFUNCTION("IF(ISBLANK(B1905),"""",IF(ISDATE(B1905),TEXT(B1905,""yyyy""),""""))"),"")</f>
        <v/>
      </c>
    </row>
    <row r="1906">
      <c r="B1906" s="89"/>
      <c r="C1906" s="86"/>
      <c r="D1906" s="71"/>
      <c r="H1906" s="90"/>
      <c r="J1906" s="53" t="str">
        <f>IFERROR(__xludf.DUMMYFUNCTION("IF(ISBLANK(B1906),"""",IF(ISDATE(B1906),""X"",""""))"),"")</f>
        <v/>
      </c>
      <c r="K1906" s="40" t="str">
        <f>IFERROR(__xludf.DUMMYFUNCTION("IF(ISBLANK(B1906),"""",IF(ISDATE(B1906),H1906,""""))"),"")</f>
        <v/>
      </c>
      <c r="L1906" s="40" t="str">
        <f>IFERROR(__xludf.DUMMYFUNCTION("IF(ISBLANK(B1906),"""",IF(ISDATE(B1906),TEXT(B1906,""M""),""""))"),"")</f>
        <v/>
      </c>
      <c r="M1906" s="29" t="str">
        <f>IFERROR(__xludf.DUMMYFUNCTION("IF(L1906="""","""",QUERY({'Dashboard-Dados'!$Y$2:$AA$13},""Select Col2 Where Col1=""&amp;L1906))"),"")</f>
        <v/>
      </c>
      <c r="N1906" s="29" t="str">
        <f>IFERROR(__xludf.DUMMYFUNCTION("IF(ISBLANK(B1906),"""",IF(ISDATE(B1906),TEXT(B1906,""yyyy""),""""))"),"")</f>
        <v/>
      </c>
    </row>
    <row r="1907">
      <c r="B1907" s="87"/>
      <c r="C1907" s="85"/>
      <c r="D1907" s="76"/>
      <c r="H1907" s="88"/>
      <c r="J1907" s="53" t="str">
        <f>IFERROR(__xludf.DUMMYFUNCTION("IF(ISBLANK(B1907),"""",IF(ISDATE(B1907),""X"",""""))"),"")</f>
        <v/>
      </c>
      <c r="K1907" s="40" t="str">
        <f>IFERROR(__xludf.DUMMYFUNCTION("IF(ISBLANK(B1907),"""",IF(ISDATE(B1907),H1907,""""))"),"")</f>
        <v/>
      </c>
      <c r="L1907" s="40" t="str">
        <f>IFERROR(__xludf.DUMMYFUNCTION("IF(ISBLANK(B1907),"""",IF(ISDATE(B1907),TEXT(B1907,""M""),""""))"),"")</f>
        <v/>
      </c>
      <c r="M1907" s="29" t="str">
        <f>IFERROR(__xludf.DUMMYFUNCTION("IF(L1907="""","""",QUERY({'Dashboard-Dados'!$Y$2:$AA$13},""Select Col2 Where Col1=""&amp;L1907))"),"")</f>
        <v/>
      </c>
      <c r="N1907" s="29" t="str">
        <f>IFERROR(__xludf.DUMMYFUNCTION("IF(ISBLANK(B1907),"""",IF(ISDATE(B1907),TEXT(B1907,""yyyy""),""""))"),"")</f>
        <v/>
      </c>
    </row>
    <row r="1908">
      <c r="B1908" s="89"/>
      <c r="C1908" s="86"/>
      <c r="D1908" s="71"/>
      <c r="H1908" s="90"/>
      <c r="J1908" s="53" t="str">
        <f>IFERROR(__xludf.DUMMYFUNCTION("IF(ISBLANK(B1908),"""",IF(ISDATE(B1908),""X"",""""))"),"")</f>
        <v/>
      </c>
      <c r="K1908" s="40" t="str">
        <f>IFERROR(__xludf.DUMMYFUNCTION("IF(ISBLANK(B1908),"""",IF(ISDATE(B1908),H1908,""""))"),"")</f>
        <v/>
      </c>
      <c r="L1908" s="40" t="str">
        <f>IFERROR(__xludf.DUMMYFUNCTION("IF(ISBLANK(B1908),"""",IF(ISDATE(B1908),TEXT(B1908,""M""),""""))"),"")</f>
        <v/>
      </c>
      <c r="M1908" s="29" t="str">
        <f>IFERROR(__xludf.DUMMYFUNCTION("IF(L1908="""","""",QUERY({'Dashboard-Dados'!$Y$2:$AA$13},""Select Col2 Where Col1=""&amp;L1908))"),"")</f>
        <v/>
      </c>
      <c r="N1908" s="29" t="str">
        <f>IFERROR(__xludf.DUMMYFUNCTION("IF(ISBLANK(B1908),"""",IF(ISDATE(B1908),TEXT(B1908,""yyyy""),""""))"),"")</f>
        <v/>
      </c>
    </row>
    <row r="1909">
      <c r="B1909" s="87"/>
      <c r="C1909" s="85"/>
      <c r="D1909" s="76"/>
      <c r="H1909" s="88"/>
      <c r="J1909" s="53" t="str">
        <f>IFERROR(__xludf.DUMMYFUNCTION("IF(ISBLANK(B1909),"""",IF(ISDATE(B1909),""X"",""""))"),"")</f>
        <v/>
      </c>
      <c r="K1909" s="40" t="str">
        <f>IFERROR(__xludf.DUMMYFUNCTION("IF(ISBLANK(B1909),"""",IF(ISDATE(B1909),H1909,""""))"),"")</f>
        <v/>
      </c>
      <c r="L1909" s="40" t="str">
        <f>IFERROR(__xludf.DUMMYFUNCTION("IF(ISBLANK(B1909),"""",IF(ISDATE(B1909),TEXT(B1909,""M""),""""))"),"")</f>
        <v/>
      </c>
      <c r="M1909" s="29" t="str">
        <f>IFERROR(__xludf.DUMMYFUNCTION("IF(L1909="""","""",QUERY({'Dashboard-Dados'!$Y$2:$AA$13},""Select Col2 Where Col1=""&amp;L1909))"),"")</f>
        <v/>
      </c>
      <c r="N1909" s="29" t="str">
        <f>IFERROR(__xludf.DUMMYFUNCTION("IF(ISBLANK(B1909),"""",IF(ISDATE(B1909),TEXT(B1909,""yyyy""),""""))"),"")</f>
        <v/>
      </c>
    </row>
    <row r="1910">
      <c r="B1910" s="89"/>
      <c r="C1910" s="86"/>
      <c r="D1910" s="71"/>
      <c r="H1910" s="90"/>
      <c r="J1910" s="53" t="str">
        <f>IFERROR(__xludf.DUMMYFUNCTION("IF(ISBLANK(B1910),"""",IF(ISDATE(B1910),""X"",""""))"),"")</f>
        <v/>
      </c>
      <c r="K1910" s="40" t="str">
        <f>IFERROR(__xludf.DUMMYFUNCTION("IF(ISBLANK(B1910),"""",IF(ISDATE(B1910),H1910,""""))"),"")</f>
        <v/>
      </c>
      <c r="L1910" s="40" t="str">
        <f>IFERROR(__xludf.DUMMYFUNCTION("IF(ISBLANK(B1910),"""",IF(ISDATE(B1910),TEXT(B1910,""M""),""""))"),"")</f>
        <v/>
      </c>
      <c r="M1910" s="29" t="str">
        <f>IFERROR(__xludf.DUMMYFUNCTION("IF(L1910="""","""",QUERY({'Dashboard-Dados'!$Y$2:$AA$13},""Select Col2 Where Col1=""&amp;L1910))"),"")</f>
        <v/>
      </c>
      <c r="N1910" s="29" t="str">
        <f>IFERROR(__xludf.DUMMYFUNCTION("IF(ISBLANK(B1910),"""",IF(ISDATE(B1910),TEXT(B1910,""yyyy""),""""))"),"")</f>
        <v/>
      </c>
    </row>
    <row r="1911">
      <c r="B1911" s="87"/>
      <c r="C1911" s="85"/>
      <c r="D1911" s="76"/>
      <c r="H1911" s="88"/>
      <c r="J1911" s="53" t="str">
        <f>IFERROR(__xludf.DUMMYFUNCTION("IF(ISBLANK(B1911),"""",IF(ISDATE(B1911),""X"",""""))"),"")</f>
        <v/>
      </c>
      <c r="K1911" s="40" t="str">
        <f>IFERROR(__xludf.DUMMYFUNCTION("IF(ISBLANK(B1911),"""",IF(ISDATE(B1911),H1911,""""))"),"")</f>
        <v/>
      </c>
      <c r="L1911" s="40" t="str">
        <f>IFERROR(__xludf.DUMMYFUNCTION("IF(ISBLANK(B1911),"""",IF(ISDATE(B1911),TEXT(B1911,""M""),""""))"),"")</f>
        <v/>
      </c>
      <c r="M1911" s="29" t="str">
        <f>IFERROR(__xludf.DUMMYFUNCTION("IF(L1911="""","""",QUERY({'Dashboard-Dados'!$Y$2:$AA$13},""Select Col2 Where Col1=""&amp;L1911))"),"")</f>
        <v/>
      </c>
      <c r="N1911" s="29" t="str">
        <f>IFERROR(__xludf.DUMMYFUNCTION("IF(ISBLANK(B1911),"""",IF(ISDATE(B1911),TEXT(B1911,""yyyy""),""""))"),"")</f>
        <v/>
      </c>
    </row>
    <row r="1912">
      <c r="B1912" s="89"/>
      <c r="C1912" s="86"/>
      <c r="D1912" s="71"/>
      <c r="H1912" s="90"/>
      <c r="J1912" s="53" t="str">
        <f>IFERROR(__xludf.DUMMYFUNCTION("IF(ISBLANK(B1912),"""",IF(ISDATE(B1912),""X"",""""))"),"")</f>
        <v/>
      </c>
      <c r="K1912" s="40" t="str">
        <f>IFERROR(__xludf.DUMMYFUNCTION("IF(ISBLANK(B1912),"""",IF(ISDATE(B1912),H1912,""""))"),"")</f>
        <v/>
      </c>
      <c r="L1912" s="40" t="str">
        <f>IFERROR(__xludf.DUMMYFUNCTION("IF(ISBLANK(B1912),"""",IF(ISDATE(B1912),TEXT(B1912,""M""),""""))"),"")</f>
        <v/>
      </c>
      <c r="M1912" s="29" t="str">
        <f>IFERROR(__xludf.DUMMYFUNCTION("IF(L1912="""","""",QUERY({'Dashboard-Dados'!$Y$2:$AA$13},""Select Col2 Where Col1=""&amp;L1912))"),"")</f>
        <v/>
      </c>
      <c r="N1912" s="29" t="str">
        <f>IFERROR(__xludf.DUMMYFUNCTION("IF(ISBLANK(B1912),"""",IF(ISDATE(B1912),TEXT(B1912,""yyyy""),""""))"),"")</f>
        <v/>
      </c>
    </row>
    <row r="1913">
      <c r="B1913" s="87"/>
      <c r="C1913" s="85"/>
      <c r="D1913" s="76"/>
      <c r="H1913" s="88"/>
      <c r="J1913" s="53" t="str">
        <f>IFERROR(__xludf.DUMMYFUNCTION("IF(ISBLANK(B1913),"""",IF(ISDATE(B1913),""X"",""""))"),"")</f>
        <v/>
      </c>
      <c r="K1913" s="40" t="str">
        <f>IFERROR(__xludf.DUMMYFUNCTION("IF(ISBLANK(B1913),"""",IF(ISDATE(B1913),H1913,""""))"),"")</f>
        <v/>
      </c>
      <c r="L1913" s="40" t="str">
        <f>IFERROR(__xludf.DUMMYFUNCTION("IF(ISBLANK(B1913),"""",IF(ISDATE(B1913),TEXT(B1913,""M""),""""))"),"")</f>
        <v/>
      </c>
      <c r="M1913" s="29" t="str">
        <f>IFERROR(__xludf.DUMMYFUNCTION("IF(L1913="""","""",QUERY({'Dashboard-Dados'!$Y$2:$AA$13},""Select Col2 Where Col1=""&amp;L1913))"),"")</f>
        <v/>
      </c>
      <c r="N1913" s="29" t="str">
        <f>IFERROR(__xludf.DUMMYFUNCTION("IF(ISBLANK(B1913),"""",IF(ISDATE(B1913),TEXT(B1913,""yyyy""),""""))"),"")</f>
        <v/>
      </c>
    </row>
    <row r="1914">
      <c r="B1914" s="89"/>
      <c r="C1914" s="86"/>
      <c r="D1914" s="71"/>
      <c r="H1914" s="90"/>
      <c r="J1914" s="53" t="str">
        <f>IFERROR(__xludf.DUMMYFUNCTION("IF(ISBLANK(B1914),"""",IF(ISDATE(B1914),""X"",""""))"),"")</f>
        <v/>
      </c>
      <c r="K1914" s="40" t="str">
        <f>IFERROR(__xludf.DUMMYFUNCTION("IF(ISBLANK(B1914),"""",IF(ISDATE(B1914),H1914,""""))"),"")</f>
        <v/>
      </c>
      <c r="L1914" s="40" t="str">
        <f>IFERROR(__xludf.DUMMYFUNCTION("IF(ISBLANK(B1914),"""",IF(ISDATE(B1914),TEXT(B1914,""M""),""""))"),"")</f>
        <v/>
      </c>
      <c r="M1914" s="29" t="str">
        <f>IFERROR(__xludf.DUMMYFUNCTION("IF(L1914="""","""",QUERY({'Dashboard-Dados'!$Y$2:$AA$13},""Select Col2 Where Col1=""&amp;L1914))"),"")</f>
        <v/>
      </c>
      <c r="N1914" s="29" t="str">
        <f>IFERROR(__xludf.DUMMYFUNCTION("IF(ISBLANK(B1914),"""",IF(ISDATE(B1914),TEXT(B1914,""yyyy""),""""))"),"")</f>
        <v/>
      </c>
    </row>
    <row r="1915">
      <c r="B1915" s="87"/>
      <c r="C1915" s="85"/>
      <c r="D1915" s="76"/>
      <c r="H1915" s="88"/>
      <c r="J1915" s="53" t="str">
        <f>IFERROR(__xludf.DUMMYFUNCTION("IF(ISBLANK(B1915),"""",IF(ISDATE(B1915),""X"",""""))"),"")</f>
        <v/>
      </c>
      <c r="K1915" s="40" t="str">
        <f>IFERROR(__xludf.DUMMYFUNCTION("IF(ISBLANK(B1915),"""",IF(ISDATE(B1915),H1915,""""))"),"")</f>
        <v/>
      </c>
      <c r="L1915" s="40" t="str">
        <f>IFERROR(__xludf.DUMMYFUNCTION("IF(ISBLANK(B1915),"""",IF(ISDATE(B1915),TEXT(B1915,""M""),""""))"),"")</f>
        <v/>
      </c>
      <c r="M1915" s="29" t="str">
        <f>IFERROR(__xludf.DUMMYFUNCTION("IF(L1915="""","""",QUERY({'Dashboard-Dados'!$Y$2:$AA$13},""Select Col2 Where Col1=""&amp;L1915))"),"")</f>
        <v/>
      </c>
      <c r="N1915" s="29" t="str">
        <f>IFERROR(__xludf.DUMMYFUNCTION("IF(ISBLANK(B1915),"""",IF(ISDATE(B1915),TEXT(B1915,""yyyy""),""""))"),"")</f>
        <v/>
      </c>
    </row>
    <row r="1916">
      <c r="B1916" s="89"/>
      <c r="C1916" s="86"/>
      <c r="D1916" s="71"/>
      <c r="H1916" s="90"/>
      <c r="J1916" s="53" t="str">
        <f>IFERROR(__xludf.DUMMYFUNCTION("IF(ISBLANK(B1916),"""",IF(ISDATE(B1916),""X"",""""))"),"")</f>
        <v/>
      </c>
      <c r="K1916" s="40" t="str">
        <f>IFERROR(__xludf.DUMMYFUNCTION("IF(ISBLANK(B1916),"""",IF(ISDATE(B1916),H1916,""""))"),"")</f>
        <v/>
      </c>
      <c r="L1916" s="40" t="str">
        <f>IFERROR(__xludf.DUMMYFUNCTION("IF(ISBLANK(B1916),"""",IF(ISDATE(B1916),TEXT(B1916,""M""),""""))"),"")</f>
        <v/>
      </c>
      <c r="M1916" s="29" t="str">
        <f>IFERROR(__xludf.DUMMYFUNCTION("IF(L1916="""","""",QUERY({'Dashboard-Dados'!$Y$2:$AA$13},""Select Col2 Where Col1=""&amp;L1916))"),"")</f>
        <v/>
      </c>
      <c r="N1916" s="29" t="str">
        <f>IFERROR(__xludf.DUMMYFUNCTION("IF(ISBLANK(B1916),"""",IF(ISDATE(B1916),TEXT(B1916,""yyyy""),""""))"),"")</f>
        <v/>
      </c>
    </row>
    <row r="1917">
      <c r="B1917" s="87"/>
      <c r="C1917" s="85"/>
      <c r="D1917" s="76"/>
      <c r="H1917" s="88"/>
      <c r="J1917" s="53" t="str">
        <f>IFERROR(__xludf.DUMMYFUNCTION("IF(ISBLANK(B1917),"""",IF(ISDATE(B1917),""X"",""""))"),"")</f>
        <v/>
      </c>
      <c r="K1917" s="40" t="str">
        <f>IFERROR(__xludf.DUMMYFUNCTION("IF(ISBLANK(B1917),"""",IF(ISDATE(B1917),H1917,""""))"),"")</f>
        <v/>
      </c>
      <c r="L1917" s="40" t="str">
        <f>IFERROR(__xludf.DUMMYFUNCTION("IF(ISBLANK(B1917),"""",IF(ISDATE(B1917),TEXT(B1917,""M""),""""))"),"")</f>
        <v/>
      </c>
      <c r="M1917" s="29" t="str">
        <f>IFERROR(__xludf.DUMMYFUNCTION("IF(L1917="""","""",QUERY({'Dashboard-Dados'!$Y$2:$AA$13},""Select Col2 Where Col1=""&amp;L1917))"),"")</f>
        <v/>
      </c>
      <c r="N1917" s="29" t="str">
        <f>IFERROR(__xludf.DUMMYFUNCTION("IF(ISBLANK(B1917),"""",IF(ISDATE(B1917),TEXT(B1917,""yyyy""),""""))"),"")</f>
        <v/>
      </c>
    </row>
    <row r="1918">
      <c r="B1918" s="89"/>
      <c r="C1918" s="86"/>
      <c r="D1918" s="71"/>
      <c r="H1918" s="90"/>
      <c r="J1918" s="53" t="str">
        <f>IFERROR(__xludf.DUMMYFUNCTION("IF(ISBLANK(B1918),"""",IF(ISDATE(B1918),""X"",""""))"),"")</f>
        <v/>
      </c>
      <c r="K1918" s="40" t="str">
        <f>IFERROR(__xludf.DUMMYFUNCTION("IF(ISBLANK(B1918),"""",IF(ISDATE(B1918),H1918,""""))"),"")</f>
        <v/>
      </c>
      <c r="L1918" s="40" t="str">
        <f>IFERROR(__xludf.DUMMYFUNCTION("IF(ISBLANK(B1918),"""",IF(ISDATE(B1918),TEXT(B1918,""M""),""""))"),"")</f>
        <v/>
      </c>
      <c r="M1918" s="29" t="str">
        <f>IFERROR(__xludf.DUMMYFUNCTION("IF(L1918="""","""",QUERY({'Dashboard-Dados'!$Y$2:$AA$13},""Select Col2 Where Col1=""&amp;L1918))"),"")</f>
        <v/>
      </c>
      <c r="N1918" s="29" t="str">
        <f>IFERROR(__xludf.DUMMYFUNCTION("IF(ISBLANK(B1918),"""",IF(ISDATE(B1918),TEXT(B1918,""yyyy""),""""))"),"")</f>
        <v/>
      </c>
    </row>
    <row r="1919">
      <c r="B1919" s="87"/>
      <c r="C1919" s="85"/>
      <c r="D1919" s="76"/>
      <c r="H1919" s="88"/>
      <c r="J1919" s="53" t="str">
        <f>IFERROR(__xludf.DUMMYFUNCTION("IF(ISBLANK(B1919),"""",IF(ISDATE(B1919),""X"",""""))"),"")</f>
        <v/>
      </c>
      <c r="K1919" s="40" t="str">
        <f>IFERROR(__xludf.DUMMYFUNCTION("IF(ISBLANK(B1919),"""",IF(ISDATE(B1919),H1919,""""))"),"")</f>
        <v/>
      </c>
      <c r="L1919" s="40" t="str">
        <f>IFERROR(__xludf.DUMMYFUNCTION("IF(ISBLANK(B1919),"""",IF(ISDATE(B1919),TEXT(B1919,""M""),""""))"),"")</f>
        <v/>
      </c>
      <c r="M1919" s="29" t="str">
        <f>IFERROR(__xludf.DUMMYFUNCTION("IF(L1919="""","""",QUERY({'Dashboard-Dados'!$Y$2:$AA$13},""Select Col2 Where Col1=""&amp;L1919))"),"")</f>
        <v/>
      </c>
      <c r="N1919" s="29" t="str">
        <f>IFERROR(__xludf.DUMMYFUNCTION("IF(ISBLANK(B1919),"""",IF(ISDATE(B1919),TEXT(B1919,""yyyy""),""""))"),"")</f>
        <v/>
      </c>
    </row>
    <row r="1920">
      <c r="B1920" s="89"/>
      <c r="C1920" s="86"/>
      <c r="D1920" s="71"/>
      <c r="H1920" s="90"/>
      <c r="J1920" s="53" t="str">
        <f>IFERROR(__xludf.DUMMYFUNCTION("IF(ISBLANK(B1920),"""",IF(ISDATE(B1920),""X"",""""))"),"")</f>
        <v/>
      </c>
      <c r="K1920" s="40" t="str">
        <f>IFERROR(__xludf.DUMMYFUNCTION("IF(ISBLANK(B1920),"""",IF(ISDATE(B1920),H1920,""""))"),"")</f>
        <v/>
      </c>
      <c r="L1920" s="40" t="str">
        <f>IFERROR(__xludf.DUMMYFUNCTION("IF(ISBLANK(B1920),"""",IF(ISDATE(B1920),TEXT(B1920,""M""),""""))"),"")</f>
        <v/>
      </c>
      <c r="M1920" s="29" t="str">
        <f>IFERROR(__xludf.DUMMYFUNCTION("IF(L1920="""","""",QUERY({'Dashboard-Dados'!$Y$2:$AA$13},""Select Col2 Where Col1=""&amp;L1920))"),"")</f>
        <v/>
      </c>
      <c r="N1920" s="29" t="str">
        <f>IFERROR(__xludf.DUMMYFUNCTION("IF(ISBLANK(B1920),"""",IF(ISDATE(B1920),TEXT(B1920,""yyyy""),""""))"),"")</f>
        <v/>
      </c>
    </row>
    <row r="1921">
      <c r="B1921" s="87"/>
      <c r="C1921" s="85"/>
      <c r="D1921" s="76"/>
      <c r="H1921" s="88"/>
      <c r="J1921" s="53" t="str">
        <f>IFERROR(__xludf.DUMMYFUNCTION("IF(ISBLANK(B1921),"""",IF(ISDATE(B1921),""X"",""""))"),"")</f>
        <v/>
      </c>
      <c r="K1921" s="40" t="str">
        <f>IFERROR(__xludf.DUMMYFUNCTION("IF(ISBLANK(B1921),"""",IF(ISDATE(B1921),H1921,""""))"),"")</f>
        <v/>
      </c>
      <c r="L1921" s="40" t="str">
        <f>IFERROR(__xludf.DUMMYFUNCTION("IF(ISBLANK(B1921),"""",IF(ISDATE(B1921),TEXT(B1921,""M""),""""))"),"")</f>
        <v/>
      </c>
      <c r="M1921" s="29" t="str">
        <f>IFERROR(__xludf.DUMMYFUNCTION("IF(L1921="""","""",QUERY({'Dashboard-Dados'!$Y$2:$AA$13},""Select Col2 Where Col1=""&amp;L1921))"),"")</f>
        <v/>
      </c>
      <c r="N1921" s="29" t="str">
        <f>IFERROR(__xludf.DUMMYFUNCTION("IF(ISBLANK(B1921),"""",IF(ISDATE(B1921),TEXT(B1921,""yyyy""),""""))"),"")</f>
        <v/>
      </c>
    </row>
    <row r="1922">
      <c r="B1922" s="89"/>
      <c r="C1922" s="86"/>
      <c r="D1922" s="71"/>
      <c r="H1922" s="90"/>
      <c r="J1922" s="53" t="str">
        <f>IFERROR(__xludf.DUMMYFUNCTION("IF(ISBLANK(B1922),"""",IF(ISDATE(B1922),""X"",""""))"),"")</f>
        <v/>
      </c>
      <c r="K1922" s="40" t="str">
        <f>IFERROR(__xludf.DUMMYFUNCTION("IF(ISBLANK(B1922),"""",IF(ISDATE(B1922),H1922,""""))"),"")</f>
        <v/>
      </c>
      <c r="L1922" s="40" t="str">
        <f>IFERROR(__xludf.DUMMYFUNCTION("IF(ISBLANK(B1922),"""",IF(ISDATE(B1922),TEXT(B1922,""M""),""""))"),"")</f>
        <v/>
      </c>
      <c r="M1922" s="29" t="str">
        <f>IFERROR(__xludf.DUMMYFUNCTION("IF(L1922="""","""",QUERY({'Dashboard-Dados'!$Y$2:$AA$13},""Select Col2 Where Col1=""&amp;L1922))"),"")</f>
        <v/>
      </c>
      <c r="N1922" s="29" t="str">
        <f>IFERROR(__xludf.DUMMYFUNCTION("IF(ISBLANK(B1922),"""",IF(ISDATE(B1922),TEXT(B1922,""yyyy""),""""))"),"")</f>
        <v/>
      </c>
    </row>
    <row r="1923">
      <c r="B1923" s="87"/>
      <c r="C1923" s="85"/>
      <c r="D1923" s="76"/>
      <c r="H1923" s="88"/>
      <c r="J1923" s="53" t="str">
        <f>IFERROR(__xludf.DUMMYFUNCTION("IF(ISBLANK(B1923),"""",IF(ISDATE(B1923),""X"",""""))"),"")</f>
        <v/>
      </c>
      <c r="K1923" s="40" t="str">
        <f>IFERROR(__xludf.DUMMYFUNCTION("IF(ISBLANK(B1923),"""",IF(ISDATE(B1923),H1923,""""))"),"")</f>
        <v/>
      </c>
      <c r="L1923" s="40" t="str">
        <f>IFERROR(__xludf.DUMMYFUNCTION("IF(ISBLANK(B1923),"""",IF(ISDATE(B1923),TEXT(B1923,""M""),""""))"),"")</f>
        <v/>
      </c>
      <c r="M1923" s="29" t="str">
        <f>IFERROR(__xludf.DUMMYFUNCTION("IF(L1923="""","""",QUERY({'Dashboard-Dados'!$Y$2:$AA$13},""Select Col2 Where Col1=""&amp;L1923))"),"")</f>
        <v/>
      </c>
      <c r="N1923" s="29" t="str">
        <f>IFERROR(__xludf.DUMMYFUNCTION("IF(ISBLANK(B1923),"""",IF(ISDATE(B1923),TEXT(B1923,""yyyy""),""""))"),"")</f>
        <v/>
      </c>
    </row>
    <row r="1924">
      <c r="B1924" s="89"/>
      <c r="C1924" s="86"/>
      <c r="D1924" s="71"/>
      <c r="H1924" s="90"/>
      <c r="J1924" s="53" t="str">
        <f>IFERROR(__xludf.DUMMYFUNCTION("IF(ISBLANK(B1924),"""",IF(ISDATE(B1924),""X"",""""))"),"")</f>
        <v/>
      </c>
      <c r="K1924" s="40" t="str">
        <f>IFERROR(__xludf.DUMMYFUNCTION("IF(ISBLANK(B1924),"""",IF(ISDATE(B1924),H1924,""""))"),"")</f>
        <v/>
      </c>
      <c r="L1924" s="40" t="str">
        <f>IFERROR(__xludf.DUMMYFUNCTION("IF(ISBLANK(B1924),"""",IF(ISDATE(B1924),TEXT(B1924,""M""),""""))"),"")</f>
        <v/>
      </c>
      <c r="M1924" s="29" t="str">
        <f>IFERROR(__xludf.DUMMYFUNCTION("IF(L1924="""","""",QUERY({'Dashboard-Dados'!$Y$2:$AA$13},""Select Col2 Where Col1=""&amp;L1924))"),"")</f>
        <v/>
      </c>
      <c r="N1924" s="29" t="str">
        <f>IFERROR(__xludf.DUMMYFUNCTION("IF(ISBLANK(B1924),"""",IF(ISDATE(B1924),TEXT(B1924,""yyyy""),""""))"),"")</f>
        <v/>
      </c>
    </row>
    <row r="1925">
      <c r="B1925" s="87"/>
      <c r="C1925" s="85"/>
      <c r="D1925" s="76"/>
      <c r="H1925" s="88"/>
      <c r="J1925" s="53" t="str">
        <f>IFERROR(__xludf.DUMMYFUNCTION("IF(ISBLANK(B1925),"""",IF(ISDATE(B1925),""X"",""""))"),"")</f>
        <v/>
      </c>
      <c r="K1925" s="40" t="str">
        <f>IFERROR(__xludf.DUMMYFUNCTION("IF(ISBLANK(B1925),"""",IF(ISDATE(B1925),H1925,""""))"),"")</f>
        <v/>
      </c>
      <c r="L1925" s="40" t="str">
        <f>IFERROR(__xludf.DUMMYFUNCTION("IF(ISBLANK(B1925),"""",IF(ISDATE(B1925),TEXT(B1925,""M""),""""))"),"")</f>
        <v/>
      </c>
      <c r="M1925" s="29" t="str">
        <f>IFERROR(__xludf.DUMMYFUNCTION("IF(L1925="""","""",QUERY({'Dashboard-Dados'!$Y$2:$AA$13},""Select Col2 Where Col1=""&amp;L1925))"),"")</f>
        <v/>
      </c>
      <c r="N1925" s="29" t="str">
        <f>IFERROR(__xludf.DUMMYFUNCTION("IF(ISBLANK(B1925),"""",IF(ISDATE(B1925),TEXT(B1925,""yyyy""),""""))"),"")</f>
        <v/>
      </c>
    </row>
    <row r="1926">
      <c r="B1926" s="89"/>
      <c r="C1926" s="86"/>
      <c r="D1926" s="71"/>
      <c r="H1926" s="90"/>
      <c r="J1926" s="53" t="str">
        <f>IFERROR(__xludf.DUMMYFUNCTION("IF(ISBLANK(B1926),"""",IF(ISDATE(B1926),""X"",""""))"),"")</f>
        <v/>
      </c>
      <c r="K1926" s="40" t="str">
        <f>IFERROR(__xludf.DUMMYFUNCTION("IF(ISBLANK(B1926),"""",IF(ISDATE(B1926),H1926,""""))"),"")</f>
        <v/>
      </c>
      <c r="L1926" s="40" t="str">
        <f>IFERROR(__xludf.DUMMYFUNCTION("IF(ISBLANK(B1926),"""",IF(ISDATE(B1926),TEXT(B1926,""M""),""""))"),"")</f>
        <v/>
      </c>
      <c r="M1926" s="29" t="str">
        <f>IFERROR(__xludf.DUMMYFUNCTION("IF(L1926="""","""",QUERY({'Dashboard-Dados'!$Y$2:$AA$13},""Select Col2 Where Col1=""&amp;L1926))"),"")</f>
        <v/>
      </c>
      <c r="N1926" s="29" t="str">
        <f>IFERROR(__xludf.DUMMYFUNCTION("IF(ISBLANK(B1926),"""",IF(ISDATE(B1926),TEXT(B1926,""yyyy""),""""))"),"")</f>
        <v/>
      </c>
    </row>
    <row r="1927">
      <c r="B1927" s="87"/>
      <c r="C1927" s="85"/>
      <c r="D1927" s="76"/>
      <c r="H1927" s="88"/>
      <c r="J1927" s="53" t="str">
        <f>IFERROR(__xludf.DUMMYFUNCTION("IF(ISBLANK(B1927),"""",IF(ISDATE(B1927),""X"",""""))"),"")</f>
        <v/>
      </c>
      <c r="K1927" s="40" t="str">
        <f>IFERROR(__xludf.DUMMYFUNCTION("IF(ISBLANK(B1927),"""",IF(ISDATE(B1927),H1927,""""))"),"")</f>
        <v/>
      </c>
      <c r="L1927" s="40" t="str">
        <f>IFERROR(__xludf.DUMMYFUNCTION("IF(ISBLANK(B1927),"""",IF(ISDATE(B1927),TEXT(B1927,""M""),""""))"),"")</f>
        <v/>
      </c>
      <c r="M1927" s="29" t="str">
        <f>IFERROR(__xludf.DUMMYFUNCTION("IF(L1927="""","""",QUERY({'Dashboard-Dados'!$Y$2:$AA$13},""Select Col2 Where Col1=""&amp;L1927))"),"")</f>
        <v/>
      </c>
      <c r="N1927" s="29" t="str">
        <f>IFERROR(__xludf.DUMMYFUNCTION("IF(ISBLANK(B1927),"""",IF(ISDATE(B1927),TEXT(B1927,""yyyy""),""""))"),"")</f>
        <v/>
      </c>
    </row>
    <row r="1928">
      <c r="B1928" s="89"/>
      <c r="C1928" s="86"/>
      <c r="D1928" s="71"/>
      <c r="H1928" s="90"/>
      <c r="J1928" s="53" t="str">
        <f>IFERROR(__xludf.DUMMYFUNCTION("IF(ISBLANK(B1928),"""",IF(ISDATE(B1928),""X"",""""))"),"")</f>
        <v/>
      </c>
      <c r="K1928" s="40" t="str">
        <f>IFERROR(__xludf.DUMMYFUNCTION("IF(ISBLANK(B1928),"""",IF(ISDATE(B1928),H1928,""""))"),"")</f>
        <v/>
      </c>
      <c r="L1928" s="40" t="str">
        <f>IFERROR(__xludf.DUMMYFUNCTION("IF(ISBLANK(B1928),"""",IF(ISDATE(B1928),TEXT(B1928,""M""),""""))"),"")</f>
        <v/>
      </c>
      <c r="M1928" s="29" t="str">
        <f>IFERROR(__xludf.DUMMYFUNCTION("IF(L1928="""","""",QUERY({'Dashboard-Dados'!$Y$2:$AA$13},""Select Col2 Where Col1=""&amp;L1928))"),"")</f>
        <v/>
      </c>
      <c r="N1928" s="29" t="str">
        <f>IFERROR(__xludf.DUMMYFUNCTION("IF(ISBLANK(B1928),"""",IF(ISDATE(B1928),TEXT(B1928,""yyyy""),""""))"),"")</f>
        <v/>
      </c>
    </row>
    <row r="1929">
      <c r="B1929" s="87"/>
      <c r="C1929" s="85"/>
      <c r="D1929" s="76"/>
      <c r="H1929" s="88"/>
      <c r="J1929" s="53" t="str">
        <f>IFERROR(__xludf.DUMMYFUNCTION("IF(ISBLANK(B1929),"""",IF(ISDATE(B1929),""X"",""""))"),"")</f>
        <v/>
      </c>
      <c r="K1929" s="40" t="str">
        <f>IFERROR(__xludf.DUMMYFUNCTION("IF(ISBLANK(B1929),"""",IF(ISDATE(B1929),H1929,""""))"),"")</f>
        <v/>
      </c>
      <c r="L1929" s="40" t="str">
        <f>IFERROR(__xludf.DUMMYFUNCTION("IF(ISBLANK(B1929),"""",IF(ISDATE(B1929),TEXT(B1929,""M""),""""))"),"")</f>
        <v/>
      </c>
      <c r="M1929" s="29" t="str">
        <f>IFERROR(__xludf.DUMMYFUNCTION("IF(L1929="""","""",QUERY({'Dashboard-Dados'!$Y$2:$AA$13},""Select Col2 Where Col1=""&amp;L1929))"),"")</f>
        <v/>
      </c>
      <c r="N1929" s="29" t="str">
        <f>IFERROR(__xludf.DUMMYFUNCTION("IF(ISBLANK(B1929),"""",IF(ISDATE(B1929),TEXT(B1929,""yyyy""),""""))"),"")</f>
        <v/>
      </c>
    </row>
    <row r="1930">
      <c r="B1930" s="89"/>
      <c r="C1930" s="86"/>
      <c r="D1930" s="71"/>
      <c r="H1930" s="90"/>
      <c r="J1930" s="53" t="str">
        <f>IFERROR(__xludf.DUMMYFUNCTION("IF(ISBLANK(B1930),"""",IF(ISDATE(B1930),""X"",""""))"),"")</f>
        <v/>
      </c>
      <c r="K1930" s="40" t="str">
        <f>IFERROR(__xludf.DUMMYFUNCTION("IF(ISBLANK(B1930),"""",IF(ISDATE(B1930),H1930,""""))"),"")</f>
        <v/>
      </c>
      <c r="L1930" s="40" t="str">
        <f>IFERROR(__xludf.DUMMYFUNCTION("IF(ISBLANK(B1930),"""",IF(ISDATE(B1930),TEXT(B1930,""M""),""""))"),"")</f>
        <v/>
      </c>
      <c r="M1930" s="29" t="str">
        <f>IFERROR(__xludf.DUMMYFUNCTION("IF(L1930="""","""",QUERY({'Dashboard-Dados'!$Y$2:$AA$13},""Select Col2 Where Col1=""&amp;L1930))"),"")</f>
        <v/>
      </c>
      <c r="N1930" s="29" t="str">
        <f>IFERROR(__xludf.DUMMYFUNCTION("IF(ISBLANK(B1930),"""",IF(ISDATE(B1930),TEXT(B1930,""yyyy""),""""))"),"")</f>
        <v/>
      </c>
    </row>
    <row r="1931">
      <c r="B1931" s="87"/>
      <c r="C1931" s="85"/>
      <c r="D1931" s="76"/>
      <c r="H1931" s="88"/>
      <c r="J1931" s="53" t="str">
        <f>IFERROR(__xludf.DUMMYFUNCTION("IF(ISBLANK(B1931),"""",IF(ISDATE(B1931),""X"",""""))"),"")</f>
        <v/>
      </c>
      <c r="K1931" s="40" t="str">
        <f>IFERROR(__xludf.DUMMYFUNCTION("IF(ISBLANK(B1931),"""",IF(ISDATE(B1931),H1931,""""))"),"")</f>
        <v/>
      </c>
      <c r="L1931" s="40" t="str">
        <f>IFERROR(__xludf.DUMMYFUNCTION("IF(ISBLANK(B1931),"""",IF(ISDATE(B1931),TEXT(B1931,""M""),""""))"),"")</f>
        <v/>
      </c>
      <c r="M1931" s="29" t="str">
        <f>IFERROR(__xludf.DUMMYFUNCTION("IF(L1931="""","""",QUERY({'Dashboard-Dados'!$Y$2:$AA$13},""Select Col2 Where Col1=""&amp;L1931))"),"")</f>
        <v/>
      </c>
      <c r="N1931" s="29" t="str">
        <f>IFERROR(__xludf.DUMMYFUNCTION("IF(ISBLANK(B1931),"""",IF(ISDATE(B1931),TEXT(B1931,""yyyy""),""""))"),"")</f>
        <v/>
      </c>
    </row>
    <row r="1932">
      <c r="B1932" s="89"/>
      <c r="C1932" s="86"/>
      <c r="D1932" s="71"/>
      <c r="H1932" s="90"/>
      <c r="J1932" s="53" t="str">
        <f>IFERROR(__xludf.DUMMYFUNCTION("IF(ISBLANK(B1932),"""",IF(ISDATE(B1932),""X"",""""))"),"")</f>
        <v/>
      </c>
      <c r="K1932" s="40" t="str">
        <f>IFERROR(__xludf.DUMMYFUNCTION("IF(ISBLANK(B1932),"""",IF(ISDATE(B1932),H1932,""""))"),"")</f>
        <v/>
      </c>
      <c r="L1932" s="40" t="str">
        <f>IFERROR(__xludf.DUMMYFUNCTION("IF(ISBLANK(B1932),"""",IF(ISDATE(B1932),TEXT(B1932,""M""),""""))"),"")</f>
        <v/>
      </c>
      <c r="M1932" s="29" t="str">
        <f>IFERROR(__xludf.DUMMYFUNCTION("IF(L1932="""","""",QUERY({'Dashboard-Dados'!$Y$2:$AA$13},""Select Col2 Where Col1=""&amp;L1932))"),"")</f>
        <v/>
      </c>
      <c r="N1932" s="29" t="str">
        <f>IFERROR(__xludf.DUMMYFUNCTION("IF(ISBLANK(B1932),"""",IF(ISDATE(B1932),TEXT(B1932,""yyyy""),""""))"),"")</f>
        <v/>
      </c>
    </row>
    <row r="1933">
      <c r="B1933" s="87"/>
      <c r="C1933" s="85"/>
      <c r="D1933" s="76"/>
      <c r="H1933" s="88"/>
      <c r="J1933" s="53" t="str">
        <f>IFERROR(__xludf.DUMMYFUNCTION("IF(ISBLANK(B1933),"""",IF(ISDATE(B1933),""X"",""""))"),"")</f>
        <v/>
      </c>
      <c r="K1933" s="40" t="str">
        <f>IFERROR(__xludf.DUMMYFUNCTION("IF(ISBLANK(B1933),"""",IF(ISDATE(B1933),H1933,""""))"),"")</f>
        <v/>
      </c>
      <c r="L1933" s="40" t="str">
        <f>IFERROR(__xludf.DUMMYFUNCTION("IF(ISBLANK(B1933),"""",IF(ISDATE(B1933),TEXT(B1933,""M""),""""))"),"")</f>
        <v/>
      </c>
      <c r="M1933" s="29" t="str">
        <f>IFERROR(__xludf.DUMMYFUNCTION("IF(L1933="""","""",QUERY({'Dashboard-Dados'!$Y$2:$AA$13},""Select Col2 Where Col1=""&amp;L1933))"),"")</f>
        <v/>
      </c>
      <c r="N1933" s="29" t="str">
        <f>IFERROR(__xludf.DUMMYFUNCTION("IF(ISBLANK(B1933),"""",IF(ISDATE(B1933),TEXT(B1933,""yyyy""),""""))"),"")</f>
        <v/>
      </c>
    </row>
    <row r="1934">
      <c r="B1934" s="89"/>
      <c r="C1934" s="86"/>
      <c r="D1934" s="71"/>
      <c r="H1934" s="90"/>
      <c r="J1934" s="53" t="str">
        <f>IFERROR(__xludf.DUMMYFUNCTION("IF(ISBLANK(B1934),"""",IF(ISDATE(B1934),""X"",""""))"),"")</f>
        <v/>
      </c>
      <c r="K1934" s="40" t="str">
        <f>IFERROR(__xludf.DUMMYFUNCTION("IF(ISBLANK(B1934),"""",IF(ISDATE(B1934),H1934,""""))"),"")</f>
        <v/>
      </c>
      <c r="L1934" s="40" t="str">
        <f>IFERROR(__xludf.DUMMYFUNCTION("IF(ISBLANK(B1934),"""",IF(ISDATE(B1934),TEXT(B1934,""M""),""""))"),"")</f>
        <v/>
      </c>
      <c r="M1934" s="29" t="str">
        <f>IFERROR(__xludf.DUMMYFUNCTION("IF(L1934="""","""",QUERY({'Dashboard-Dados'!$Y$2:$AA$13},""Select Col2 Where Col1=""&amp;L1934))"),"")</f>
        <v/>
      </c>
      <c r="N1934" s="29" t="str">
        <f>IFERROR(__xludf.DUMMYFUNCTION("IF(ISBLANK(B1934),"""",IF(ISDATE(B1934),TEXT(B1934,""yyyy""),""""))"),"")</f>
        <v/>
      </c>
    </row>
    <row r="1935">
      <c r="B1935" s="87"/>
      <c r="C1935" s="85"/>
      <c r="D1935" s="76"/>
      <c r="H1935" s="88"/>
      <c r="J1935" s="53" t="str">
        <f>IFERROR(__xludf.DUMMYFUNCTION("IF(ISBLANK(B1935),"""",IF(ISDATE(B1935),""X"",""""))"),"")</f>
        <v/>
      </c>
      <c r="K1935" s="40" t="str">
        <f>IFERROR(__xludf.DUMMYFUNCTION("IF(ISBLANK(B1935),"""",IF(ISDATE(B1935),H1935,""""))"),"")</f>
        <v/>
      </c>
      <c r="L1935" s="40" t="str">
        <f>IFERROR(__xludf.DUMMYFUNCTION("IF(ISBLANK(B1935),"""",IF(ISDATE(B1935),TEXT(B1935,""M""),""""))"),"")</f>
        <v/>
      </c>
      <c r="M1935" s="29" t="str">
        <f>IFERROR(__xludf.DUMMYFUNCTION("IF(L1935="""","""",QUERY({'Dashboard-Dados'!$Y$2:$AA$13},""Select Col2 Where Col1=""&amp;L1935))"),"")</f>
        <v/>
      </c>
      <c r="N1935" s="29" t="str">
        <f>IFERROR(__xludf.DUMMYFUNCTION("IF(ISBLANK(B1935),"""",IF(ISDATE(B1935),TEXT(B1935,""yyyy""),""""))"),"")</f>
        <v/>
      </c>
    </row>
    <row r="1936">
      <c r="B1936" s="89"/>
      <c r="C1936" s="86"/>
      <c r="D1936" s="71"/>
      <c r="H1936" s="90"/>
      <c r="J1936" s="53" t="str">
        <f>IFERROR(__xludf.DUMMYFUNCTION("IF(ISBLANK(B1936),"""",IF(ISDATE(B1936),""X"",""""))"),"")</f>
        <v/>
      </c>
      <c r="K1936" s="40" t="str">
        <f>IFERROR(__xludf.DUMMYFUNCTION("IF(ISBLANK(B1936),"""",IF(ISDATE(B1936),H1936,""""))"),"")</f>
        <v/>
      </c>
      <c r="L1936" s="40" t="str">
        <f>IFERROR(__xludf.DUMMYFUNCTION("IF(ISBLANK(B1936),"""",IF(ISDATE(B1936),TEXT(B1936,""M""),""""))"),"")</f>
        <v/>
      </c>
      <c r="M1936" s="29" t="str">
        <f>IFERROR(__xludf.DUMMYFUNCTION("IF(L1936="""","""",QUERY({'Dashboard-Dados'!$Y$2:$AA$13},""Select Col2 Where Col1=""&amp;L1936))"),"")</f>
        <v/>
      </c>
      <c r="N1936" s="29" t="str">
        <f>IFERROR(__xludf.DUMMYFUNCTION("IF(ISBLANK(B1936),"""",IF(ISDATE(B1936),TEXT(B1936,""yyyy""),""""))"),"")</f>
        <v/>
      </c>
    </row>
    <row r="1937">
      <c r="B1937" s="87"/>
      <c r="C1937" s="85"/>
      <c r="D1937" s="76"/>
      <c r="H1937" s="88"/>
      <c r="J1937" s="53" t="str">
        <f>IFERROR(__xludf.DUMMYFUNCTION("IF(ISBLANK(B1937),"""",IF(ISDATE(B1937),""X"",""""))"),"")</f>
        <v/>
      </c>
      <c r="K1937" s="40" t="str">
        <f>IFERROR(__xludf.DUMMYFUNCTION("IF(ISBLANK(B1937),"""",IF(ISDATE(B1937),H1937,""""))"),"")</f>
        <v/>
      </c>
      <c r="L1937" s="40" t="str">
        <f>IFERROR(__xludf.DUMMYFUNCTION("IF(ISBLANK(B1937),"""",IF(ISDATE(B1937),TEXT(B1937,""M""),""""))"),"")</f>
        <v/>
      </c>
      <c r="M1937" s="29" t="str">
        <f>IFERROR(__xludf.DUMMYFUNCTION("IF(L1937="""","""",QUERY({'Dashboard-Dados'!$Y$2:$AA$13},""Select Col2 Where Col1=""&amp;L1937))"),"")</f>
        <v/>
      </c>
      <c r="N1937" s="29" t="str">
        <f>IFERROR(__xludf.DUMMYFUNCTION("IF(ISBLANK(B1937),"""",IF(ISDATE(B1937),TEXT(B1937,""yyyy""),""""))"),"")</f>
        <v/>
      </c>
    </row>
    <row r="1938">
      <c r="B1938" s="89"/>
      <c r="C1938" s="86"/>
      <c r="D1938" s="71"/>
      <c r="H1938" s="90"/>
      <c r="J1938" s="53" t="str">
        <f>IFERROR(__xludf.DUMMYFUNCTION("IF(ISBLANK(B1938),"""",IF(ISDATE(B1938),""X"",""""))"),"")</f>
        <v/>
      </c>
      <c r="K1938" s="40" t="str">
        <f>IFERROR(__xludf.DUMMYFUNCTION("IF(ISBLANK(B1938),"""",IF(ISDATE(B1938),H1938,""""))"),"")</f>
        <v/>
      </c>
      <c r="L1938" s="40" t="str">
        <f>IFERROR(__xludf.DUMMYFUNCTION("IF(ISBLANK(B1938),"""",IF(ISDATE(B1938),TEXT(B1938,""M""),""""))"),"")</f>
        <v/>
      </c>
      <c r="M1938" s="29" t="str">
        <f>IFERROR(__xludf.DUMMYFUNCTION("IF(L1938="""","""",QUERY({'Dashboard-Dados'!$Y$2:$AA$13},""Select Col2 Where Col1=""&amp;L1938))"),"")</f>
        <v/>
      </c>
      <c r="N1938" s="29" t="str">
        <f>IFERROR(__xludf.DUMMYFUNCTION("IF(ISBLANK(B1938),"""",IF(ISDATE(B1938),TEXT(B1938,""yyyy""),""""))"),"")</f>
        <v/>
      </c>
    </row>
    <row r="1939">
      <c r="B1939" s="87"/>
      <c r="C1939" s="85"/>
      <c r="D1939" s="76"/>
      <c r="H1939" s="88"/>
      <c r="J1939" s="53" t="str">
        <f>IFERROR(__xludf.DUMMYFUNCTION("IF(ISBLANK(B1939),"""",IF(ISDATE(B1939),""X"",""""))"),"")</f>
        <v/>
      </c>
      <c r="K1939" s="40" t="str">
        <f>IFERROR(__xludf.DUMMYFUNCTION("IF(ISBLANK(B1939),"""",IF(ISDATE(B1939),H1939,""""))"),"")</f>
        <v/>
      </c>
      <c r="L1939" s="40" t="str">
        <f>IFERROR(__xludf.DUMMYFUNCTION("IF(ISBLANK(B1939),"""",IF(ISDATE(B1939),TEXT(B1939,""M""),""""))"),"")</f>
        <v/>
      </c>
      <c r="M1939" s="29" t="str">
        <f>IFERROR(__xludf.DUMMYFUNCTION("IF(L1939="""","""",QUERY({'Dashboard-Dados'!$Y$2:$AA$13},""Select Col2 Where Col1=""&amp;L1939))"),"")</f>
        <v/>
      </c>
      <c r="N1939" s="29" t="str">
        <f>IFERROR(__xludf.DUMMYFUNCTION("IF(ISBLANK(B1939),"""",IF(ISDATE(B1939),TEXT(B1939,""yyyy""),""""))"),"")</f>
        <v/>
      </c>
    </row>
    <row r="1940">
      <c r="B1940" s="89"/>
      <c r="C1940" s="86"/>
      <c r="D1940" s="71"/>
      <c r="H1940" s="90"/>
      <c r="J1940" s="53" t="str">
        <f>IFERROR(__xludf.DUMMYFUNCTION("IF(ISBLANK(B1940),"""",IF(ISDATE(B1940),""X"",""""))"),"")</f>
        <v/>
      </c>
      <c r="K1940" s="40" t="str">
        <f>IFERROR(__xludf.DUMMYFUNCTION("IF(ISBLANK(B1940),"""",IF(ISDATE(B1940),H1940,""""))"),"")</f>
        <v/>
      </c>
      <c r="L1940" s="40" t="str">
        <f>IFERROR(__xludf.DUMMYFUNCTION("IF(ISBLANK(B1940),"""",IF(ISDATE(B1940),TEXT(B1940,""M""),""""))"),"")</f>
        <v/>
      </c>
      <c r="M1940" s="29" t="str">
        <f>IFERROR(__xludf.DUMMYFUNCTION("IF(L1940="""","""",QUERY({'Dashboard-Dados'!$Y$2:$AA$13},""Select Col2 Where Col1=""&amp;L1940))"),"")</f>
        <v/>
      </c>
      <c r="N1940" s="29" t="str">
        <f>IFERROR(__xludf.DUMMYFUNCTION("IF(ISBLANK(B1940),"""",IF(ISDATE(B1940),TEXT(B1940,""yyyy""),""""))"),"")</f>
        <v/>
      </c>
    </row>
    <row r="1941">
      <c r="B1941" s="87"/>
      <c r="C1941" s="85"/>
      <c r="D1941" s="76"/>
      <c r="H1941" s="88"/>
      <c r="J1941" s="53" t="str">
        <f>IFERROR(__xludf.DUMMYFUNCTION("IF(ISBLANK(B1941),"""",IF(ISDATE(B1941),""X"",""""))"),"")</f>
        <v/>
      </c>
      <c r="K1941" s="40" t="str">
        <f>IFERROR(__xludf.DUMMYFUNCTION("IF(ISBLANK(B1941),"""",IF(ISDATE(B1941),H1941,""""))"),"")</f>
        <v/>
      </c>
      <c r="L1941" s="40" t="str">
        <f>IFERROR(__xludf.DUMMYFUNCTION("IF(ISBLANK(B1941),"""",IF(ISDATE(B1941),TEXT(B1941,""M""),""""))"),"")</f>
        <v/>
      </c>
      <c r="M1941" s="29" t="str">
        <f>IFERROR(__xludf.DUMMYFUNCTION("IF(L1941="""","""",QUERY({'Dashboard-Dados'!$Y$2:$AA$13},""Select Col2 Where Col1=""&amp;L1941))"),"")</f>
        <v/>
      </c>
      <c r="N1941" s="29" t="str">
        <f>IFERROR(__xludf.DUMMYFUNCTION("IF(ISBLANK(B1941),"""",IF(ISDATE(B1941),TEXT(B1941,""yyyy""),""""))"),"")</f>
        <v/>
      </c>
    </row>
    <row r="1942">
      <c r="B1942" s="89"/>
      <c r="C1942" s="86"/>
      <c r="D1942" s="71"/>
      <c r="H1942" s="90"/>
      <c r="J1942" s="53" t="str">
        <f>IFERROR(__xludf.DUMMYFUNCTION("IF(ISBLANK(B1942),"""",IF(ISDATE(B1942),""X"",""""))"),"")</f>
        <v/>
      </c>
      <c r="K1942" s="40" t="str">
        <f>IFERROR(__xludf.DUMMYFUNCTION("IF(ISBLANK(B1942),"""",IF(ISDATE(B1942),H1942,""""))"),"")</f>
        <v/>
      </c>
      <c r="L1942" s="40" t="str">
        <f>IFERROR(__xludf.DUMMYFUNCTION("IF(ISBLANK(B1942),"""",IF(ISDATE(B1942),TEXT(B1942,""M""),""""))"),"")</f>
        <v/>
      </c>
      <c r="M1942" s="29" t="str">
        <f>IFERROR(__xludf.DUMMYFUNCTION("IF(L1942="""","""",QUERY({'Dashboard-Dados'!$Y$2:$AA$13},""Select Col2 Where Col1=""&amp;L1942))"),"")</f>
        <v/>
      </c>
      <c r="N1942" s="29" t="str">
        <f>IFERROR(__xludf.DUMMYFUNCTION("IF(ISBLANK(B1942),"""",IF(ISDATE(B1942),TEXT(B1942,""yyyy""),""""))"),"")</f>
        <v/>
      </c>
    </row>
    <row r="1943">
      <c r="B1943" s="87"/>
      <c r="C1943" s="85"/>
      <c r="D1943" s="76"/>
      <c r="H1943" s="88"/>
      <c r="J1943" s="53" t="str">
        <f>IFERROR(__xludf.DUMMYFUNCTION("IF(ISBLANK(B1943),"""",IF(ISDATE(B1943),""X"",""""))"),"")</f>
        <v/>
      </c>
      <c r="K1943" s="40" t="str">
        <f>IFERROR(__xludf.DUMMYFUNCTION("IF(ISBLANK(B1943),"""",IF(ISDATE(B1943),H1943,""""))"),"")</f>
        <v/>
      </c>
      <c r="L1943" s="40" t="str">
        <f>IFERROR(__xludf.DUMMYFUNCTION("IF(ISBLANK(B1943),"""",IF(ISDATE(B1943),TEXT(B1943,""M""),""""))"),"")</f>
        <v/>
      </c>
      <c r="M1943" s="29" t="str">
        <f>IFERROR(__xludf.DUMMYFUNCTION("IF(L1943="""","""",QUERY({'Dashboard-Dados'!$Y$2:$AA$13},""Select Col2 Where Col1=""&amp;L1943))"),"")</f>
        <v/>
      </c>
      <c r="N1943" s="29" t="str">
        <f>IFERROR(__xludf.DUMMYFUNCTION("IF(ISBLANK(B1943),"""",IF(ISDATE(B1943),TEXT(B1943,""yyyy""),""""))"),"")</f>
        <v/>
      </c>
    </row>
    <row r="1944">
      <c r="B1944" s="89"/>
      <c r="C1944" s="86"/>
      <c r="D1944" s="71"/>
      <c r="H1944" s="90"/>
      <c r="J1944" s="53" t="str">
        <f>IFERROR(__xludf.DUMMYFUNCTION("IF(ISBLANK(B1944),"""",IF(ISDATE(B1944),""X"",""""))"),"")</f>
        <v/>
      </c>
      <c r="K1944" s="40" t="str">
        <f>IFERROR(__xludf.DUMMYFUNCTION("IF(ISBLANK(B1944),"""",IF(ISDATE(B1944),H1944,""""))"),"")</f>
        <v/>
      </c>
      <c r="L1944" s="40" t="str">
        <f>IFERROR(__xludf.DUMMYFUNCTION("IF(ISBLANK(B1944),"""",IF(ISDATE(B1944),TEXT(B1944,""M""),""""))"),"")</f>
        <v/>
      </c>
      <c r="M1944" s="29" t="str">
        <f>IFERROR(__xludf.DUMMYFUNCTION("IF(L1944="""","""",QUERY({'Dashboard-Dados'!$Y$2:$AA$13},""Select Col2 Where Col1=""&amp;L1944))"),"")</f>
        <v/>
      </c>
      <c r="N1944" s="29" t="str">
        <f>IFERROR(__xludf.DUMMYFUNCTION("IF(ISBLANK(B1944),"""",IF(ISDATE(B1944),TEXT(B1944,""yyyy""),""""))"),"")</f>
        <v/>
      </c>
    </row>
    <row r="1945">
      <c r="B1945" s="87"/>
      <c r="C1945" s="85"/>
      <c r="D1945" s="76"/>
      <c r="H1945" s="88"/>
      <c r="J1945" s="53" t="str">
        <f>IFERROR(__xludf.DUMMYFUNCTION("IF(ISBLANK(B1945),"""",IF(ISDATE(B1945),""X"",""""))"),"")</f>
        <v/>
      </c>
      <c r="K1945" s="40" t="str">
        <f>IFERROR(__xludf.DUMMYFUNCTION("IF(ISBLANK(B1945),"""",IF(ISDATE(B1945),H1945,""""))"),"")</f>
        <v/>
      </c>
      <c r="L1945" s="40" t="str">
        <f>IFERROR(__xludf.DUMMYFUNCTION("IF(ISBLANK(B1945),"""",IF(ISDATE(B1945),TEXT(B1945,""M""),""""))"),"")</f>
        <v/>
      </c>
      <c r="M1945" s="29" t="str">
        <f>IFERROR(__xludf.DUMMYFUNCTION("IF(L1945="""","""",QUERY({'Dashboard-Dados'!$Y$2:$AA$13},""Select Col2 Where Col1=""&amp;L1945))"),"")</f>
        <v/>
      </c>
      <c r="N1945" s="29" t="str">
        <f>IFERROR(__xludf.DUMMYFUNCTION("IF(ISBLANK(B1945),"""",IF(ISDATE(B1945),TEXT(B1945,""yyyy""),""""))"),"")</f>
        <v/>
      </c>
    </row>
    <row r="1946">
      <c r="B1946" s="89"/>
      <c r="C1946" s="86"/>
      <c r="D1946" s="71"/>
      <c r="H1946" s="90"/>
      <c r="J1946" s="53" t="str">
        <f>IFERROR(__xludf.DUMMYFUNCTION("IF(ISBLANK(B1946),"""",IF(ISDATE(B1946),""X"",""""))"),"")</f>
        <v/>
      </c>
      <c r="K1946" s="40" t="str">
        <f>IFERROR(__xludf.DUMMYFUNCTION("IF(ISBLANK(B1946),"""",IF(ISDATE(B1946),H1946,""""))"),"")</f>
        <v/>
      </c>
      <c r="L1946" s="40" t="str">
        <f>IFERROR(__xludf.DUMMYFUNCTION("IF(ISBLANK(B1946),"""",IF(ISDATE(B1946),TEXT(B1946,""M""),""""))"),"")</f>
        <v/>
      </c>
      <c r="M1946" s="29" t="str">
        <f>IFERROR(__xludf.DUMMYFUNCTION("IF(L1946="""","""",QUERY({'Dashboard-Dados'!$Y$2:$AA$13},""Select Col2 Where Col1=""&amp;L1946))"),"")</f>
        <v/>
      </c>
      <c r="N1946" s="29" t="str">
        <f>IFERROR(__xludf.DUMMYFUNCTION("IF(ISBLANK(B1946),"""",IF(ISDATE(B1946),TEXT(B1946,""yyyy""),""""))"),"")</f>
        <v/>
      </c>
    </row>
    <row r="1947">
      <c r="B1947" s="87"/>
      <c r="C1947" s="85"/>
      <c r="D1947" s="76"/>
      <c r="H1947" s="88"/>
      <c r="J1947" s="53" t="str">
        <f>IFERROR(__xludf.DUMMYFUNCTION("IF(ISBLANK(B1947),"""",IF(ISDATE(B1947),""X"",""""))"),"")</f>
        <v/>
      </c>
      <c r="K1947" s="40" t="str">
        <f>IFERROR(__xludf.DUMMYFUNCTION("IF(ISBLANK(B1947),"""",IF(ISDATE(B1947),H1947,""""))"),"")</f>
        <v/>
      </c>
      <c r="L1947" s="40" t="str">
        <f>IFERROR(__xludf.DUMMYFUNCTION("IF(ISBLANK(B1947),"""",IF(ISDATE(B1947),TEXT(B1947,""M""),""""))"),"")</f>
        <v/>
      </c>
      <c r="M1947" s="29" t="str">
        <f>IFERROR(__xludf.DUMMYFUNCTION("IF(L1947="""","""",QUERY({'Dashboard-Dados'!$Y$2:$AA$13},""Select Col2 Where Col1=""&amp;L1947))"),"")</f>
        <v/>
      </c>
      <c r="N1947" s="29" t="str">
        <f>IFERROR(__xludf.DUMMYFUNCTION("IF(ISBLANK(B1947),"""",IF(ISDATE(B1947),TEXT(B1947,""yyyy""),""""))"),"")</f>
        <v/>
      </c>
    </row>
    <row r="1948">
      <c r="B1948" s="89"/>
      <c r="C1948" s="86"/>
      <c r="D1948" s="71"/>
      <c r="H1948" s="90"/>
      <c r="J1948" s="53" t="str">
        <f>IFERROR(__xludf.DUMMYFUNCTION("IF(ISBLANK(B1948),"""",IF(ISDATE(B1948),""X"",""""))"),"")</f>
        <v/>
      </c>
      <c r="K1948" s="40" t="str">
        <f>IFERROR(__xludf.DUMMYFUNCTION("IF(ISBLANK(B1948),"""",IF(ISDATE(B1948),H1948,""""))"),"")</f>
        <v/>
      </c>
      <c r="L1948" s="40" t="str">
        <f>IFERROR(__xludf.DUMMYFUNCTION("IF(ISBLANK(B1948),"""",IF(ISDATE(B1948),TEXT(B1948,""M""),""""))"),"")</f>
        <v/>
      </c>
      <c r="M1948" s="29" t="str">
        <f>IFERROR(__xludf.DUMMYFUNCTION("IF(L1948="""","""",QUERY({'Dashboard-Dados'!$Y$2:$AA$13},""Select Col2 Where Col1=""&amp;L1948))"),"")</f>
        <v/>
      </c>
      <c r="N1948" s="29" t="str">
        <f>IFERROR(__xludf.DUMMYFUNCTION("IF(ISBLANK(B1948),"""",IF(ISDATE(B1948),TEXT(B1948,""yyyy""),""""))"),"")</f>
        <v/>
      </c>
    </row>
    <row r="1949">
      <c r="B1949" s="87"/>
      <c r="C1949" s="85"/>
      <c r="D1949" s="76"/>
      <c r="H1949" s="88"/>
      <c r="J1949" s="53" t="str">
        <f>IFERROR(__xludf.DUMMYFUNCTION("IF(ISBLANK(B1949),"""",IF(ISDATE(B1949),""X"",""""))"),"")</f>
        <v/>
      </c>
      <c r="K1949" s="40" t="str">
        <f>IFERROR(__xludf.DUMMYFUNCTION("IF(ISBLANK(B1949),"""",IF(ISDATE(B1949),H1949,""""))"),"")</f>
        <v/>
      </c>
      <c r="L1949" s="40" t="str">
        <f>IFERROR(__xludf.DUMMYFUNCTION("IF(ISBLANK(B1949),"""",IF(ISDATE(B1949),TEXT(B1949,""M""),""""))"),"")</f>
        <v/>
      </c>
      <c r="M1949" s="29" t="str">
        <f>IFERROR(__xludf.DUMMYFUNCTION("IF(L1949="""","""",QUERY({'Dashboard-Dados'!$Y$2:$AA$13},""Select Col2 Where Col1=""&amp;L1949))"),"")</f>
        <v/>
      </c>
      <c r="N1949" s="29" t="str">
        <f>IFERROR(__xludf.DUMMYFUNCTION("IF(ISBLANK(B1949),"""",IF(ISDATE(B1949),TEXT(B1949,""yyyy""),""""))"),"")</f>
        <v/>
      </c>
    </row>
    <row r="1950">
      <c r="B1950" s="89"/>
      <c r="C1950" s="86"/>
      <c r="D1950" s="71"/>
      <c r="H1950" s="90"/>
      <c r="J1950" s="53" t="str">
        <f>IFERROR(__xludf.DUMMYFUNCTION("IF(ISBLANK(B1950),"""",IF(ISDATE(B1950),""X"",""""))"),"")</f>
        <v/>
      </c>
      <c r="K1950" s="40" t="str">
        <f>IFERROR(__xludf.DUMMYFUNCTION("IF(ISBLANK(B1950),"""",IF(ISDATE(B1950),H1950,""""))"),"")</f>
        <v/>
      </c>
      <c r="L1950" s="40" t="str">
        <f>IFERROR(__xludf.DUMMYFUNCTION("IF(ISBLANK(B1950),"""",IF(ISDATE(B1950),TEXT(B1950,""M""),""""))"),"")</f>
        <v/>
      </c>
      <c r="M1950" s="29" t="str">
        <f>IFERROR(__xludf.DUMMYFUNCTION("IF(L1950="""","""",QUERY({'Dashboard-Dados'!$Y$2:$AA$13},""Select Col2 Where Col1=""&amp;L1950))"),"")</f>
        <v/>
      </c>
      <c r="N1950" s="29" t="str">
        <f>IFERROR(__xludf.DUMMYFUNCTION("IF(ISBLANK(B1950),"""",IF(ISDATE(B1950),TEXT(B1950,""yyyy""),""""))"),"")</f>
        <v/>
      </c>
    </row>
    <row r="1951">
      <c r="B1951" s="87"/>
      <c r="C1951" s="85"/>
      <c r="D1951" s="76"/>
      <c r="H1951" s="88"/>
      <c r="J1951" s="53" t="str">
        <f>IFERROR(__xludf.DUMMYFUNCTION("IF(ISBLANK(B1951),"""",IF(ISDATE(B1951),""X"",""""))"),"")</f>
        <v/>
      </c>
      <c r="K1951" s="40" t="str">
        <f>IFERROR(__xludf.DUMMYFUNCTION("IF(ISBLANK(B1951),"""",IF(ISDATE(B1951),H1951,""""))"),"")</f>
        <v/>
      </c>
      <c r="L1951" s="40" t="str">
        <f>IFERROR(__xludf.DUMMYFUNCTION("IF(ISBLANK(B1951),"""",IF(ISDATE(B1951),TEXT(B1951,""M""),""""))"),"")</f>
        <v/>
      </c>
      <c r="M1951" s="29" t="str">
        <f>IFERROR(__xludf.DUMMYFUNCTION("IF(L1951="""","""",QUERY({'Dashboard-Dados'!$Y$2:$AA$13},""Select Col2 Where Col1=""&amp;L1951))"),"")</f>
        <v/>
      </c>
      <c r="N1951" s="29" t="str">
        <f>IFERROR(__xludf.DUMMYFUNCTION("IF(ISBLANK(B1951),"""",IF(ISDATE(B1951),TEXT(B1951,""yyyy""),""""))"),"")</f>
        <v/>
      </c>
    </row>
    <row r="1952">
      <c r="B1952" s="89"/>
      <c r="C1952" s="86"/>
      <c r="D1952" s="71"/>
      <c r="H1952" s="90"/>
      <c r="J1952" s="53" t="str">
        <f>IFERROR(__xludf.DUMMYFUNCTION("IF(ISBLANK(B1952),"""",IF(ISDATE(B1952),""X"",""""))"),"")</f>
        <v/>
      </c>
      <c r="K1952" s="40" t="str">
        <f>IFERROR(__xludf.DUMMYFUNCTION("IF(ISBLANK(B1952),"""",IF(ISDATE(B1952),H1952,""""))"),"")</f>
        <v/>
      </c>
      <c r="L1952" s="40" t="str">
        <f>IFERROR(__xludf.DUMMYFUNCTION("IF(ISBLANK(B1952),"""",IF(ISDATE(B1952),TEXT(B1952,""M""),""""))"),"")</f>
        <v/>
      </c>
      <c r="M1952" s="29" t="str">
        <f>IFERROR(__xludf.DUMMYFUNCTION("IF(L1952="""","""",QUERY({'Dashboard-Dados'!$Y$2:$AA$13},""Select Col2 Where Col1=""&amp;L1952))"),"")</f>
        <v/>
      </c>
      <c r="N1952" s="29" t="str">
        <f>IFERROR(__xludf.DUMMYFUNCTION("IF(ISBLANK(B1952),"""",IF(ISDATE(B1952),TEXT(B1952,""yyyy""),""""))"),"")</f>
        <v/>
      </c>
    </row>
    <row r="1953">
      <c r="B1953" s="87"/>
      <c r="C1953" s="85"/>
      <c r="D1953" s="76"/>
      <c r="H1953" s="88"/>
      <c r="J1953" s="53" t="str">
        <f>IFERROR(__xludf.DUMMYFUNCTION("IF(ISBLANK(B1953),"""",IF(ISDATE(B1953),""X"",""""))"),"")</f>
        <v/>
      </c>
      <c r="K1953" s="40" t="str">
        <f>IFERROR(__xludf.DUMMYFUNCTION("IF(ISBLANK(B1953),"""",IF(ISDATE(B1953),H1953,""""))"),"")</f>
        <v/>
      </c>
      <c r="L1953" s="40" t="str">
        <f>IFERROR(__xludf.DUMMYFUNCTION("IF(ISBLANK(B1953),"""",IF(ISDATE(B1953),TEXT(B1953,""M""),""""))"),"")</f>
        <v/>
      </c>
      <c r="M1953" s="29" t="str">
        <f>IFERROR(__xludf.DUMMYFUNCTION("IF(L1953="""","""",QUERY({'Dashboard-Dados'!$Y$2:$AA$13},""Select Col2 Where Col1=""&amp;L1953))"),"")</f>
        <v/>
      </c>
      <c r="N1953" s="29" t="str">
        <f>IFERROR(__xludf.DUMMYFUNCTION("IF(ISBLANK(B1953),"""",IF(ISDATE(B1953),TEXT(B1953,""yyyy""),""""))"),"")</f>
        <v/>
      </c>
    </row>
    <row r="1954">
      <c r="B1954" s="89"/>
      <c r="C1954" s="86"/>
      <c r="D1954" s="71"/>
      <c r="H1954" s="90"/>
      <c r="J1954" s="53" t="str">
        <f>IFERROR(__xludf.DUMMYFUNCTION("IF(ISBLANK(B1954),"""",IF(ISDATE(B1954),""X"",""""))"),"")</f>
        <v/>
      </c>
      <c r="K1954" s="40" t="str">
        <f>IFERROR(__xludf.DUMMYFUNCTION("IF(ISBLANK(B1954),"""",IF(ISDATE(B1954),H1954,""""))"),"")</f>
        <v/>
      </c>
      <c r="L1954" s="40" t="str">
        <f>IFERROR(__xludf.DUMMYFUNCTION("IF(ISBLANK(B1954),"""",IF(ISDATE(B1954),TEXT(B1954,""M""),""""))"),"")</f>
        <v/>
      </c>
      <c r="M1954" s="29" t="str">
        <f>IFERROR(__xludf.DUMMYFUNCTION("IF(L1954="""","""",QUERY({'Dashboard-Dados'!$Y$2:$AA$13},""Select Col2 Where Col1=""&amp;L1954))"),"")</f>
        <v/>
      </c>
      <c r="N1954" s="29" t="str">
        <f>IFERROR(__xludf.DUMMYFUNCTION("IF(ISBLANK(B1954),"""",IF(ISDATE(B1954),TEXT(B1954,""yyyy""),""""))"),"")</f>
        <v/>
      </c>
    </row>
    <row r="1955">
      <c r="B1955" s="87"/>
      <c r="C1955" s="85"/>
      <c r="D1955" s="76"/>
      <c r="H1955" s="88"/>
      <c r="J1955" s="53" t="str">
        <f>IFERROR(__xludf.DUMMYFUNCTION("IF(ISBLANK(B1955),"""",IF(ISDATE(B1955),""X"",""""))"),"")</f>
        <v/>
      </c>
      <c r="K1955" s="40" t="str">
        <f>IFERROR(__xludf.DUMMYFUNCTION("IF(ISBLANK(B1955),"""",IF(ISDATE(B1955),H1955,""""))"),"")</f>
        <v/>
      </c>
      <c r="L1955" s="40" t="str">
        <f>IFERROR(__xludf.DUMMYFUNCTION("IF(ISBLANK(B1955),"""",IF(ISDATE(B1955),TEXT(B1955,""M""),""""))"),"")</f>
        <v/>
      </c>
      <c r="M1955" s="29" t="str">
        <f>IFERROR(__xludf.DUMMYFUNCTION("IF(L1955="""","""",QUERY({'Dashboard-Dados'!$Y$2:$AA$13},""Select Col2 Where Col1=""&amp;L1955))"),"")</f>
        <v/>
      </c>
      <c r="N1955" s="29" t="str">
        <f>IFERROR(__xludf.DUMMYFUNCTION("IF(ISBLANK(B1955),"""",IF(ISDATE(B1955),TEXT(B1955,""yyyy""),""""))"),"")</f>
        <v/>
      </c>
    </row>
    <row r="1956">
      <c r="B1956" s="89"/>
      <c r="C1956" s="86"/>
      <c r="D1956" s="71"/>
      <c r="H1956" s="90"/>
      <c r="J1956" s="53" t="str">
        <f>IFERROR(__xludf.DUMMYFUNCTION("IF(ISBLANK(B1956),"""",IF(ISDATE(B1956),""X"",""""))"),"")</f>
        <v/>
      </c>
      <c r="K1956" s="40" t="str">
        <f>IFERROR(__xludf.DUMMYFUNCTION("IF(ISBLANK(B1956),"""",IF(ISDATE(B1956),H1956,""""))"),"")</f>
        <v/>
      </c>
      <c r="L1956" s="40" t="str">
        <f>IFERROR(__xludf.DUMMYFUNCTION("IF(ISBLANK(B1956),"""",IF(ISDATE(B1956),TEXT(B1956,""M""),""""))"),"")</f>
        <v/>
      </c>
      <c r="M1956" s="29" t="str">
        <f>IFERROR(__xludf.DUMMYFUNCTION("IF(L1956="""","""",QUERY({'Dashboard-Dados'!$Y$2:$AA$13},""Select Col2 Where Col1=""&amp;L1956))"),"")</f>
        <v/>
      </c>
      <c r="N1956" s="29" t="str">
        <f>IFERROR(__xludf.DUMMYFUNCTION("IF(ISBLANK(B1956),"""",IF(ISDATE(B1956),TEXT(B1956,""yyyy""),""""))"),"")</f>
        <v/>
      </c>
    </row>
    <row r="1957">
      <c r="B1957" s="87"/>
      <c r="C1957" s="85"/>
      <c r="D1957" s="76"/>
      <c r="H1957" s="88"/>
      <c r="J1957" s="53" t="str">
        <f>IFERROR(__xludf.DUMMYFUNCTION("IF(ISBLANK(B1957),"""",IF(ISDATE(B1957),""X"",""""))"),"")</f>
        <v/>
      </c>
      <c r="K1957" s="40" t="str">
        <f>IFERROR(__xludf.DUMMYFUNCTION("IF(ISBLANK(B1957),"""",IF(ISDATE(B1957),H1957,""""))"),"")</f>
        <v/>
      </c>
      <c r="L1957" s="40" t="str">
        <f>IFERROR(__xludf.DUMMYFUNCTION("IF(ISBLANK(B1957),"""",IF(ISDATE(B1957),TEXT(B1957,""M""),""""))"),"")</f>
        <v/>
      </c>
      <c r="M1957" s="29" t="str">
        <f>IFERROR(__xludf.DUMMYFUNCTION("IF(L1957="""","""",QUERY({'Dashboard-Dados'!$Y$2:$AA$13},""Select Col2 Where Col1=""&amp;L1957))"),"")</f>
        <v/>
      </c>
      <c r="N1957" s="29" t="str">
        <f>IFERROR(__xludf.DUMMYFUNCTION("IF(ISBLANK(B1957),"""",IF(ISDATE(B1957),TEXT(B1957,""yyyy""),""""))"),"")</f>
        <v/>
      </c>
    </row>
    <row r="1958">
      <c r="B1958" s="89"/>
      <c r="C1958" s="86"/>
      <c r="D1958" s="71"/>
      <c r="H1958" s="90"/>
      <c r="J1958" s="53" t="str">
        <f>IFERROR(__xludf.DUMMYFUNCTION("IF(ISBLANK(B1958),"""",IF(ISDATE(B1958),""X"",""""))"),"")</f>
        <v/>
      </c>
      <c r="K1958" s="40" t="str">
        <f>IFERROR(__xludf.DUMMYFUNCTION("IF(ISBLANK(B1958),"""",IF(ISDATE(B1958),H1958,""""))"),"")</f>
        <v/>
      </c>
      <c r="L1958" s="40" t="str">
        <f>IFERROR(__xludf.DUMMYFUNCTION("IF(ISBLANK(B1958),"""",IF(ISDATE(B1958),TEXT(B1958,""M""),""""))"),"")</f>
        <v/>
      </c>
      <c r="M1958" s="29" t="str">
        <f>IFERROR(__xludf.DUMMYFUNCTION("IF(L1958="""","""",QUERY({'Dashboard-Dados'!$Y$2:$AA$13},""Select Col2 Where Col1=""&amp;L1958))"),"")</f>
        <v/>
      </c>
      <c r="N1958" s="29" t="str">
        <f>IFERROR(__xludf.DUMMYFUNCTION("IF(ISBLANK(B1958),"""",IF(ISDATE(B1958),TEXT(B1958,""yyyy""),""""))"),"")</f>
        <v/>
      </c>
    </row>
    <row r="1959">
      <c r="B1959" s="87"/>
      <c r="C1959" s="85"/>
      <c r="D1959" s="76"/>
      <c r="H1959" s="88"/>
      <c r="J1959" s="53" t="str">
        <f>IFERROR(__xludf.DUMMYFUNCTION("IF(ISBLANK(B1959),"""",IF(ISDATE(B1959),""X"",""""))"),"")</f>
        <v/>
      </c>
      <c r="K1959" s="40" t="str">
        <f>IFERROR(__xludf.DUMMYFUNCTION("IF(ISBLANK(B1959),"""",IF(ISDATE(B1959),H1959,""""))"),"")</f>
        <v/>
      </c>
      <c r="L1959" s="40" t="str">
        <f>IFERROR(__xludf.DUMMYFUNCTION("IF(ISBLANK(B1959),"""",IF(ISDATE(B1959),TEXT(B1959,""M""),""""))"),"")</f>
        <v/>
      </c>
      <c r="M1959" s="29" t="str">
        <f>IFERROR(__xludf.DUMMYFUNCTION("IF(L1959="""","""",QUERY({'Dashboard-Dados'!$Y$2:$AA$13},""Select Col2 Where Col1=""&amp;L1959))"),"")</f>
        <v/>
      </c>
      <c r="N1959" s="29" t="str">
        <f>IFERROR(__xludf.DUMMYFUNCTION("IF(ISBLANK(B1959),"""",IF(ISDATE(B1959),TEXT(B1959,""yyyy""),""""))"),"")</f>
        <v/>
      </c>
    </row>
    <row r="1960">
      <c r="B1960" s="89"/>
      <c r="C1960" s="86"/>
      <c r="D1960" s="71"/>
      <c r="H1960" s="90"/>
      <c r="J1960" s="53" t="str">
        <f>IFERROR(__xludf.DUMMYFUNCTION("IF(ISBLANK(B1960),"""",IF(ISDATE(B1960),""X"",""""))"),"")</f>
        <v/>
      </c>
      <c r="K1960" s="40" t="str">
        <f>IFERROR(__xludf.DUMMYFUNCTION("IF(ISBLANK(B1960),"""",IF(ISDATE(B1960),H1960,""""))"),"")</f>
        <v/>
      </c>
      <c r="L1960" s="40" t="str">
        <f>IFERROR(__xludf.DUMMYFUNCTION("IF(ISBLANK(B1960),"""",IF(ISDATE(B1960),TEXT(B1960,""M""),""""))"),"")</f>
        <v/>
      </c>
      <c r="M1960" s="29" t="str">
        <f>IFERROR(__xludf.DUMMYFUNCTION("IF(L1960="""","""",QUERY({'Dashboard-Dados'!$Y$2:$AA$13},""Select Col2 Where Col1=""&amp;L1960))"),"")</f>
        <v/>
      </c>
      <c r="N1960" s="29" t="str">
        <f>IFERROR(__xludf.DUMMYFUNCTION("IF(ISBLANK(B1960),"""",IF(ISDATE(B1960),TEXT(B1960,""yyyy""),""""))"),"")</f>
        <v/>
      </c>
    </row>
    <row r="1961">
      <c r="B1961" s="87"/>
      <c r="C1961" s="85"/>
      <c r="D1961" s="76"/>
      <c r="H1961" s="88"/>
      <c r="J1961" s="53" t="str">
        <f>IFERROR(__xludf.DUMMYFUNCTION("IF(ISBLANK(B1961),"""",IF(ISDATE(B1961),""X"",""""))"),"")</f>
        <v/>
      </c>
      <c r="K1961" s="40" t="str">
        <f>IFERROR(__xludf.DUMMYFUNCTION("IF(ISBLANK(B1961),"""",IF(ISDATE(B1961),H1961,""""))"),"")</f>
        <v/>
      </c>
      <c r="L1961" s="40" t="str">
        <f>IFERROR(__xludf.DUMMYFUNCTION("IF(ISBLANK(B1961),"""",IF(ISDATE(B1961),TEXT(B1961,""M""),""""))"),"")</f>
        <v/>
      </c>
      <c r="M1961" s="29" t="str">
        <f>IFERROR(__xludf.DUMMYFUNCTION("IF(L1961="""","""",QUERY({'Dashboard-Dados'!$Y$2:$AA$13},""Select Col2 Where Col1=""&amp;L1961))"),"")</f>
        <v/>
      </c>
      <c r="N1961" s="29" t="str">
        <f>IFERROR(__xludf.DUMMYFUNCTION("IF(ISBLANK(B1961),"""",IF(ISDATE(B1961),TEXT(B1961,""yyyy""),""""))"),"")</f>
        <v/>
      </c>
    </row>
    <row r="1962">
      <c r="B1962" s="89"/>
      <c r="C1962" s="86"/>
      <c r="D1962" s="71"/>
      <c r="H1962" s="90"/>
      <c r="J1962" s="53" t="str">
        <f>IFERROR(__xludf.DUMMYFUNCTION("IF(ISBLANK(B1962),"""",IF(ISDATE(B1962),""X"",""""))"),"")</f>
        <v/>
      </c>
      <c r="K1962" s="40" t="str">
        <f>IFERROR(__xludf.DUMMYFUNCTION("IF(ISBLANK(B1962),"""",IF(ISDATE(B1962),H1962,""""))"),"")</f>
        <v/>
      </c>
      <c r="L1962" s="40" t="str">
        <f>IFERROR(__xludf.DUMMYFUNCTION("IF(ISBLANK(B1962),"""",IF(ISDATE(B1962),TEXT(B1962,""M""),""""))"),"")</f>
        <v/>
      </c>
      <c r="M1962" s="29" t="str">
        <f>IFERROR(__xludf.DUMMYFUNCTION("IF(L1962="""","""",QUERY({'Dashboard-Dados'!$Y$2:$AA$13},""Select Col2 Where Col1=""&amp;L1962))"),"")</f>
        <v/>
      </c>
      <c r="N1962" s="29" t="str">
        <f>IFERROR(__xludf.DUMMYFUNCTION("IF(ISBLANK(B1962),"""",IF(ISDATE(B1962),TEXT(B1962,""yyyy""),""""))"),"")</f>
        <v/>
      </c>
    </row>
    <row r="1963">
      <c r="B1963" s="87"/>
      <c r="C1963" s="85"/>
      <c r="D1963" s="76"/>
      <c r="H1963" s="88"/>
      <c r="J1963" s="53" t="str">
        <f>IFERROR(__xludf.DUMMYFUNCTION("IF(ISBLANK(B1963),"""",IF(ISDATE(B1963),""X"",""""))"),"")</f>
        <v/>
      </c>
      <c r="K1963" s="40" t="str">
        <f>IFERROR(__xludf.DUMMYFUNCTION("IF(ISBLANK(B1963),"""",IF(ISDATE(B1963),H1963,""""))"),"")</f>
        <v/>
      </c>
      <c r="L1963" s="40" t="str">
        <f>IFERROR(__xludf.DUMMYFUNCTION("IF(ISBLANK(B1963),"""",IF(ISDATE(B1963),TEXT(B1963,""M""),""""))"),"")</f>
        <v/>
      </c>
      <c r="M1963" s="29" t="str">
        <f>IFERROR(__xludf.DUMMYFUNCTION("IF(L1963="""","""",QUERY({'Dashboard-Dados'!$Y$2:$AA$13},""Select Col2 Where Col1=""&amp;L1963))"),"")</f>
        <v/>
      </c>
      <c r="N1963" s="29" t="str">
        <f>IFERROR(__xludf.DUMMYFUNCTION("IF(ISBLANK(B1963),"""",IF(ISDATE(B1963),TEXT(B1963,""yyyy""),""""))"),"")</f>
        <v/>
      </c>
    </row>
    <row r="1964">
      <c r="B1964" s="89"/>
      <c r="C1964" s="86"/>
      <c r="D1964" s="71"/>
      <c r="H1964" s="90"/>
      <c r="J1964" s="53" t="str">
        <f>IFERROR(__xludf.DUMMYFUNCTION("IF(ISBLANK(B1964),"""",IF(ISDATE(B1964),""X"",""""))"),"")</f>
        <v/>
      </c>
      <c r="K1964" s="40" t="str">
        <f>IFERROR(__xludf.DUMMYFUNCTION("IF(ISBLANK(B1964),"""",IF(ISDATE(B1964),H1964,""""))"),"")</f>
        <v/>
      </c>
      <c r="L1964" s="40" t="str">
        <f>IFERROR(__xludf.DUMMYFUNCTION("IF(ISBLANK(B1964),"""",IF(ISDATE(B1964),TEXT(B1964,""M""),""""))"),"")</f>
        <v/>
      </c>
      <c r="M1964" s="29" t="str">
        <f>IFERROR(__xludf.DUMMYFUNCTION("IF(L1964="""","""",QUERY({'Dashboard-Dados'!$Y$2:$AA$13},""Select Col2 Where Col1=""&amp;L1964))"),"")</f>
        <v/>
      </c>
      <c r="N1964" s="29" t="str">
        <f>IFERROR(__xludf.DUMMYFUNCTION("IF(ISBLANK(B1964),"""",IF(ISDATE(B1964),TEXT(B1964,""yyyy""),""""))"),"")</f>
        <v/>
      </c>
    </row>
    <row r="1965">
      <c r="B1965" s="87"/>
      <c r="C1965" s="85"/>
      <c r="D1965" s="76"/>
      <c r="H1965" s="88"/>
      <c r="J1965" s="53" t="str">
        <f>IFERROR(__xludf.DUMMYFUNCTION("IF(ISBLANK(B1965),"""",IF(ISDATE(B1965),""X"",""""))"),"")</f>
        <v/>
      </c>
      <c r="K1965" s="40" t="str">
        <f>IFERROR(__xludf.DUMMYFUNCTION("IF(ISBLANK(B1965),"""",IF(ISDATE(B1965),H1965,""""))"),"")</f>
        <v/>
      </c>
      <c r="L1965" s="40" t="str">
        <f>IFERROR(__xludf.DUMMYFUNCTION("IF(ISBLANK(B1965),"""",IF(ISDATE(B1965),TEXT(B1965,""M""),""""))"),"")</f>
        <v/>
      </c>
      <c r="M1965" s="29" t="str">
        <f>IFERROR(__xludf.DUMMYFUNCTION("IF(L1965="""","""",QUERY({'Dashboard-Dados'!$Y$2:$AA$13},""Select Col2 Where Col1=""&amp;L1965))"),"")</f>
        <v/>
      </c>
      <c r="N1965" s="29" t="str">
        <f>IFERROR(__xludf.DUMMYFUNCTION("IF(ISBLANK(B1965),"""",IF(ISDATE(B1965),TEXT(B1965,""yyyy""),""""))"),"")</f>
        <v/>
      </c>
    </row>
    <row r="1966">
      <c r="B1966" s="89"/>
      <c r="C1966" s="86"/>
      <c r="D1966" s="71"/>
      <c r="H1966" s="90"/>
      <c r="J1966" s="53" t="str">
        <f>IFERROR(__xludf.DUMMYFUNCTION("IF(ISBLANK(B1966),"""",IF(ISDATE(B1966),""X"",""""))"),"")</f>
        <v/>
      </c>
      <c r="K1966" s="40" t="str">
        <f>IFERROR(__xludf.DUMMYFUNCTION("IF(ISBLANK(B1966),"""",IF(ISDATE(B1966),H1966,""""))"),"")</f>
        <v/>
      </c>
      <c r="L1966" s="40" t="str">
        <f>IFERROR(__xludf.DUMMYFUNCTION("IF(ISBLANK(B1966),"""",IF(ISDATE(B1966),TEXT(B1966,""M""),""""))"),"")</f>
        <v/>
      </c>
      <c r="M1966" s="29" t="str">
        <f>IFERROR(__xludf.DUMMYFUNCTION("IF(L1966="""","""",QUERY({'Dashboard-Dados'!$Y$2:$AA$13},""Select Col2 Where Col1=""&amp;L1966))"),"")</f>
        <v/>
      </c>
      <c r="N1966" s="29" t="str">
        <f>IFERROR(__xludf.DUMMYFUNCTION("IF(ISBLANK(B1966),"""",IF(ISDATE(B1966),TEXT(B1966,""yyyy""),""""))"),"")</f>
        <v/>
      </c>
    </row>
    <row r="1967">
      <c r="B1967" s="87"/>
      <c r="C1967" s="85"/>
      <c r="D1967" s="76"/>
      <c r="H1967" s="88"/>
      <c r="J1967" s="53" t="str">
        <f>IFERROR(__xludf.DUMMYFUNCTION("IF(ISBLANK(B1967),"""",IF(ISDATE(B1967),""X"",""""))"),"")</f>
        <v/>
      </c>
      <c r="K1967" s="40" t="str">
        <f>IFERROR(__xludf.DUMMYFUNCTION("IF(ISBLANK(B1967),"""",IF(ISDATE(B1967),H1967,""""))"),"")</f>
        <v/>
      </c>
      <c r="L1967" s="40" t="str">
        <f>IFERROR(__xludf.DUMMYFUNCTION("IF(ISBLANK(B1967),"""",IF(ISDATE(B1967),TEXT(B1967,""M""),""""))"),"")</f>
        <v/>
      </c>
      <c r="M1967" s="29" t="str">
        <f>IFERROR(__xludf.DUMMYFUNCTION("IF(L1967="""","""",QUERY({'Dashboard-Dados'!$Y$2:$AA$13},""Select Col2 Where Col1=""&amp;L1967))"),"")</f>
        <v/>
      </c>
      <c r="N1967" s="29" t="str">
        <f>IFERROR(__xludf.DUMMYFUNCTION("IF(ISBLANK(B1967),"""",IF(ISDATE(B1967),TEXT(B1967,""yyyy""),""""))"),"")</f>
        <v/>
      </c>
    </row>
    <row r="1968">
      <c r="B1968" s="89"/>
      <c r="C1968" s="86"/>
      <c r="D1968" s="71"/>
      <c r="H1968" s="90"/>
      <c r="J1968" s="53" t="str">
        <f>IFERROR(__xludf.DUMMYFUNCTION("IF(ISBLANK(B1968),"""",IF(ISDATE(B1968),""X"",""""))"),"")</f>
        <v/>
      </c>
      <c r="K1968" s="40" t="str">
        <f>IFERROR(__xludf.DUMMYFUNCTION("IF(ISBLANK(B1968),"""",IF(ISDATE(B1968),H1968,""""))"),"")</f>
        <v/>
      </c>
      <c r="L1968" s="40" t="str">
        <f>IFERROR(__xludf.DUMMYFUNCTION("IF(ISBLANK(B1968),"""",IF(ISDATE(B1968),TEXT(B1968,""M""),""""))"),"")</f>
        <v/>
      </c>
      <c r="M1968" s="29" t="str">
        <f>IFERROR(__xludf.DUMMYFUNCTION("IF(L1968="""","""",QUERY({'Dashboard-Dados'!$Y$2:$AA$13},""Select Col2 Where Col1=""&amp;L1968))"),"")</f>
        <v/>
      </c>
      <c r="N1968" s="29" t="str">
        <f>IFERROR(__xludf.DUMMYFUNCTION("IF(ISBLANK(B1968),"""",IF(ISDATE(B1968),TEXT(B1968,""yyyy""),""""))"),"")</f>
        <v/>
      </c>
    </row>
    <row r="1969">
      <c r="B1969" s="87"/>
      <c r="C1969" s="85"/>
      <c r="D1969" s="76"/>
      <c r="H1969" s="88"/>
      <c r="J1969" s="53" t="str">
        <f>IFERROR(__xludf.DUMMYFUNCTION("IF(ISBLANK(B1969),"""",IF(ISDATE(B1969),""X"",""""))"),"")</f>
        <v/>
      </c>
      <c r="K1969" s="40" t="str">
        <f>IFERROR(__xludf.DUMMYFUNCTION("IF(ISBLANK(B1969),"""",IF(ISDATE(B1969),H1969,""""))"),"")</f>
        <v/>
      </c>
      <c r="L1969" s="40" t="str">
        <f>IFERROR(__xludf.DUMMYFUNCTION("IF(ISBLANK(B1969),"""",IF(ISDATE(B1969),TEXT(B1969,""M""),""""))"),"")</f>
        <v/>
      </c>
      <c r="M1969" s="29" t="str">
        <f>IFERROR(__xludf.DUMMYFUNCTION("IF(L1969="""","""",QUERY({'Dashboard-Dados'!$Y$2:$AA$13},""Select Col2 Where Col1=""&amp;L1969))"),"")</f>
        <v/>
      </c>
      <c r="N1969" s="29" t="str">
        <f>IFERROR(__xludf.DUMMYFUNCTION("IF(ISBLANK(B1969),"""",IF(ISDATE(B1969),TEXT(B1969,""yyyy""),""""))"),"")</f>
        <v/>
      </c>
    </row>
    <row r="1970">
      <c r="B1970" s="89"/>
      <c r="C1970" s="86"/>
      <c r="D1970" s="71"/>
      <c r="H1970" s="90"/>
      <c r="J1970" s="53" t="str">
        <f>IFERROR(__xludf.DUMMYFUNCTION("IF(ISBLANK(B1970),"""",IF(ISDATE(B1970),""X"",""""))"),"")</f>
        <v/>
      </c>
      <c r="K1970" s="40" t="str">
        <f>IFERROR(__xludf.DUMMYFUNCTION("IF(ISBLANK(B1970),"""",IF(ISDATE(B1970),H1970,""""))"),"")</f>
        <v/>
      </c>
      <c r="L1970" s="40" t="str">
        <f>IFERROR(__xludf.DUMMYFUNCTION("IF(ISBLANK(B1970),"""",IF(ISDATE(B1970),TEXT(B1970,""M""),""""))"),"")</f>
        <v/>
      </c>
      <c r="M1970" s="29" t="str">
        <f>IFERROR(__xludf.DUMMYFUNCTION("IF(L1970="""","""",QUERY({'Dashboard-Dados'!$Y$2:$AA$13},""Select Col2 Where Col1=""&amp;L1970))"),"")</f>
        <v/>
      </c>
      <c r="N1970" s="29" t="str">
        <f>IFERROR(__xludf.DUMMYFUNCTION("IF(ISBLANK(B1970),"""",IF(ISDATE(B1970),TEXT(B1970,""yyyy""),""""))"),"")</f>
        <v/>
      </c>
    </row>
    <row r="1971">
      <c r="B1971" s="87"/>
      <c r="C1971" s="85"/>
      <c r="D1971" s="76"/>
      <c r="H1971" s="88"/>
      <c r="J1971" s="53" t="str">
        <f>IFERROR(__xludf.DUMMYFUNCTION("IF(ISBLANK(B1971),"""",IF(ISDATE(B1971),""X"",""""))"),"")</f>
        <v/>
      </c>
      <c r="K1971" s="40" t="str">
        <f>IFERROR(__xludf.DUMMYFUNCTION("IF(ISBLANK(B1971),"""",IF(ISDATE(B1971),H1971,""""))"),"")</f>
        <v/>
      </c>
      <c r="L1971" s="40" t="str">
        <f>IFERROR(__xludf.DUMMYFUNCTION("IF(ISBLANK(B1971),"""",IF(ISDATE(B1971),TEXT(B1971,""M""),""""))"),"")</f>
        <v/>
      </c>
      <c r="M1971" s="29" t="str">
        <f>IFERROR(__xludf.DUMMYFUNCTION("IF(L1971="""","""",QUERY({'Dashboard-Dados'!$Y$2:$AA$13},""Select Col2 Where Col1=""&amp;L1971))"),"")</f>
        <v/>
      </c>
      <c r="N1971" s="29" t="str">
        <f>IFERROR(__xludf.DUMMYFUNCTION("IF(ISBLANK(B1971),"""",IF(ISDATE(B1971),TEXT(B1971,""yyyy""),""""))"),"")</f>
        <v/>
      </c>
    </row>
    <row r="1972">
      <c r="B1972" s="89"/>
      <c r="C1972" s="86"/>
      <c r="D1972" s="71"/>
      <c r="H1972" s="90"/>
      <c r="J1972" s="53" t="str">
        <f>IFERROR(__xludf.DUMMYFUNCTION("IF(ISBLANK(B1972),"""",IF(ISDATE(B1972),""X"",""""))"),"")</f>
        <v/>
      </c>
      <c r="K1972" s="40" t="str">
        <f>IFERROR(__xludf.DUMMYFUNCTION("IF(ISBLANK(B1972),"""",IF(ISDATE(B1972),H1972,""""))"),"")</f>
        <v/>
      </c>
      <c r="L1972" s="40" t="str">
        <f>IFERROR(__xludf.DUMMYFUNCTION("IF(ISBLANK(B1972),"""",IF(ISDATE(B1972),TEXT(B1972,""M""),""""))"),"")</f>
        <v/>
      </c>
      <c r="M1972" s="29" t="str">
        <f>IFERROR(__xludf.DUMMYFUNCTION("IF(L1972="""","""",QUERY({'Dashboard-Dados'!$Y$2:$AA$13},""Select Col2 Where Col1=""&amp;L1972))"),"")</f>
        <v/>
      </c>
      <c r="N1972" s="29" t="str">
        <f>IFERROR(__xludf.DUMMYFUNCTION("IF(ISBLANK(B1972),"""",IF(ISDATE(B1972),TEXT(B1972,""yyyy""),""""))"),"")</f>
        <v/>
      </c>
    </row>
    <row r="1973">
      <c r="B1973" s="87"/>
      <c r="C1973" s="85"/>
      <c r="D1973" s="76"/>
      <c r="H1973" s="88"/>
      <c r="J1973" s="53" t="str">
        <f>IFERROR(__xludf.DUMMYFUNCTION("IF(ISBLANK(B1973),"""",IF(ISDATE(B1973),""X"",""""))"),"")</f>
        <v/>
      </c>
      <c r="K1973" s="40" t="str">
        <f>IFERROR(__xludf.DUMMYFUNCTION("IF(ISBLANK(B1973),"""",IF(ISDATE(B1973),H1973,""""))"),"")</f>
        <v/>
      </c>
      <c r="L1973" s="40" t="str">
        <f>IFERROR(__xludf.DUMMYFUNCTION("IF(ISBLANK(B1973),"""",IF(ISDATE(B1973),TEXT(B1973,""M""),""""))"),"")</f>
        <v/>
      </c>
      <c r="M1973" s="29" t="str">
        <f>IFERROR(__xludf.DUMMYFUNCTION("IF(L1973="""","""",QUERY({'Dashboard-Dados'!$Y$2:$AA$13},""Select Col2 Where Col1=""&amp;L1973))"),"")</f>
        <v/>
      </c>
      <c r="N1973" s="29" t="str">
        <f>IFERROR(__xludf.DUMMYFUNCTION("IF(ISBLANK(B1973),"""",IF(ISDATE(B1973),TEXT(B1973,""yyyy""),""""))"),"")</f>
        <v/>
      </c>
    </row>
    <row r="1974">
      <c r="B1974" s="89"/>
      <c r="C1974" s="86"/>
      <c r="D1974" s="71"/>
      <c r="H1974" s="90"/>
      <c r="J1974" s="53" t="str">
        <f>IFERROR(__xludf.DUMMYFUNCTION("IF(ISBLANK(B1974),"""",IF(ISDATE(B1974),""X"",""""))"),"")</f>
        <v/>
      </c>
      <c r="K1974" s="40" t="str">
        <f>IFERROR(__xludf.DUMMYFUNCTION("IF(ISBLANK(B1974),"""",IF(ISDATE(B1974),H1974,""""))"),"")</f>
        <v/>
      </c>
      <c r="L1974" s="40" t="str">
        <f>IFERROR(__xludf.DUMMYFUNCTION("IF(ISBLANK(B1974),"""",IF(ISDATE(B1974),TEXT(B1974,""M""),""""))"),"")</f>
        <v/>
      </c>
      <c r="M1974" s="29" t="str">
        <f>IFERROR(__xludf.DUMMYFUNCTION("IF(L1974="""","""",QUERY({'Dashboard-Dados'!$Y$2:$AA$13},""Select Col2 Where Col1=""&amp;L1974))"),"")</f>
        <v/>
      </c>
      <c r="N1974" s="29" t="str">
        <f>IFERROR(__xludf.DUMMYFUNCTION("IF(ISBLANK(B1974),"""",IF(ISDATE(B1974),TEXT(B1974,""yyyy""),""""))"),"")</f>
        <v/>
      </c>
    </row>
    <row r="1975">
      <c r="B1975" s="87"/>
      <c r="C1975" s="85"/>
      <c r="D1975" s="76"/>
      <c r="H1975" s="88"/>
      <c r="J1975" s="53" t="str">
        <f>IFERROR(__xludf.DUMMYFUNCTION("IF(ISBLANK(B1975),"""",IF(ISDATE(B1975),""X"",""""))"),"")</f>
        <v/>
      </c>
      <c r="K1975" s="40" t="str">
        <f>IFERROR(__xludf.DUMMYFUNCTION("IF(ISBLANK(B1975),"""",IF(ISDATE(B1975),H1975,""""))"),"")</f>
        <v/>
      </c>
      <c r="L1975" s="40" t="str">
        <f>IFERROR(__xludf.DUMMYFUNCTION("IF(ISBLANK(B1975),"""",IF(ISDATE(B1975),TEXT(B1975,""M""),""""))"),"")</f>
        <v/>
      </c>
      <c r="M1975" s="29" t="str">
        <f>IFERROR(__xludf.DUMMYFUNCTION("IF(L1975="""","""",QUERY({'Dashboard-Dados'!$Y$2:$AA$13},""Select Col2 Where Col1=""&amp;L1975))"),"")</f>
        <v/>
      </c>
      <c r="N1975" s="29" t="str">
        <f>IFERROR(__xludf.DUMMYFUNCTION("IF(ISBLANK(B1975),"""",IF(ISDATE(B1975),TEXT(B1975,""yyyy""),""""))"),"")</f>
        <v/>
      </c>
    </row>
    <row r="1976">
      <c r="B1976" s="89"/>
      <c r="C1976" s="86"/>
      <c r="D1976" s="71"/>
      <c r="H1976" s="90"/>
      <c r="J1976" s="53" t="str">
        <f>IFERROR(__xludf.DUMMYFUNCTION("IF(ISBLANK(B1976),"""",IF(ISDATE(B1976),""X"",""""))"),"")</f>
        <v/>
      </c>
      <c r="K1976" s="40" t="str">
        <f>IFERROR(__xludf.DUMMYFUNCTION("IF(ISBLANK(B1976),"""",IF(ISDATE(B1976),H1976,""""))"),"")</f>
        <v/>
      </c>
      <c r="L1976" s="40" t="str">
        <f>IFERROR(__xludf.DUMMYFUNCTION("IF(ISBLANK(B1976),"""",IF(ISDATE(B1976),TEXT(B1976,""M""),""""))"),"")</f>
        <v/>
      </c>
      <c r="M1976" s="29" t="str">
        <f>IFERROR(__xludf.DUMMYFUNCTION("IF(L1976="""","""",QUERY({'Dashboard-Dados'!$Y$2:$AA$13},""Select Col2 Where Col1=""&amp;L1976))"),"")</f>
        <v/>
      </c>
      <c r="N1976" s="29" t="str">
        <f>IFERROR(__xludf.DUMMYFUNCTION("IF(ISBLANK(B1976),"""",IF(ISDATE(B1976),TEXT(B1976,""yyyy""),""""))"),"")</f>
        <v/>
      </c>
    </row>
    <row r="1977">
      <c r="B1977" s="87"/>
      <c r="C1977" s="85"/>
      <c r="D1977" s="76"/>
      <c r="H1977" s="88"/>
      <c r="J1977" s="53" t="str">
        <f>IFERROR(__xludf.DUMMYFUNCTION("IF(ISBLANK(B1977),"""",IF(ISDATE(B1977),""X"",""""))"),"")</f>
        <v/>
      </c>
      <c r="K1977" s="40" t="str">
        <f>IFERROR(__xludf.DUMMYFUNCTION("IF(ISBLANK(B1977),"""",IF(ISDATE(B1977),H1977,""""))"),"")</f>
        <v/>
      </c>
      <c r="L1977" s="40" t="str">
        <f>IFERROR(__xludf.DUMMYFUNCTION("IF(ISBLANK(B1977),"""",IF(ISDATE(B1977),TEXT(B1977,""M""),""""))"),"")</f>
        <v/>
      </c>
      <c r="M1977" s="29" t="str">
        <f>IFERROR(__xludf.DUMMYFUNCTION("IF(L1977="""","""",QUERY({'Dashboard-Dados'!$Y$2:$AA$13},""Select Col2 Where Col1=""&amp;L1977))"),"")</f>
        <v/>
      </c>
      <c r="N1977" s="29" t="str">
        <f>IFERROR(__xludf.DUMMYFUNCTION("IF(ISBLANK(B1977),"""",IF(ISDATE(B1977),TEXT(B1977,""yyyy""),""""))"),"")</f>
        <v/>
      </c>
    </row>
    <row r="1978">
      <c r="B1978" s="89"/>
      <c r="C1978" s="86"/>
      <c r="D1978" s="71"/>
      <c r="H1978" s="90"/>
      <c r="J1978" s="53" t="str">
        <f>IFERROR(__xludf.DUMMYFUNCTION("IF(ISBLANK(B1978),"""",IF(ISDATE(B1978),""X"",""""))"),"")</f>
        <v/>
      </c>
      <c r="K1978" s="40" t="str">
        <f>IFERROR(__xludf.DUMMYFUNCTION("IF(ISBLANK(B1978),"""",IF(ISDATE(B1978),H1978,""""))"),"")</f>
        <v/>
      </c>
      <c r="L1978" s="40" t="str">
        <f>IFERROR(__xludf.DUMMYFUNCTION("IF(ISBLANK(B1978),"""",IF(ISDATE(B1978),TEXT(B1978,""M""),""""))"),"")</f>
        <v/>
      </c>
      <c r="M1978" s="29" t="str">
        <f>IFERROR(__xludf.DUMMYFUNCTION("IF(L1978="""","""",QUERY({'Dashboard-Dados'!$Y$2:$AA$13},""Select Col2 Where Col1=""&amp;L1978))"),"")</f>
        <v/>
      </c>
      <c r="N1978" s="29" t="str">
        <f>IFERROR(__xludf.DUMMYFUNCTION("IF(ISBLANK(B1978),"""",IF(ISDATE(B1978),TEXT(B1978,""yyyy""),""""))"),"")</f>
        <v/>
      </c>
    </row>
    <row r="1979">
      <c r="B1979" s="87"/>
      <c r="C1979" s="85"/>
      <c r="D1979" s="76"/>
      <c r="H1979" s="88"/>
      <c r="J1979" s="53" t="str">
        <f>IFERROR(__xludf.DUMMYFUNCTION("IF(ISBLANK(B1979),"""",IF(ISDATE(B1979),""X"",""""))"),"")</f>
        <v/>
      </c>
      <c r="K1979" s="40" t="str">
        <f>IFERROR(__xludf.DUMMYFUNCTION("IF(ISBLANK(B1979),"""",IF(ISDATE(B1979),H1979,""""))"),"")</f>
        <v/>
      </c>
      <c r="L1979" s="40" t="str">
        <f>IFERROR(__xludf.DUMMYFUNCTION("IF(ISBLANK(B1979),"""",IF(ISDATE(B1979),TEXT(B1979,""M""),""""))"),"")</f>
        <v/>
      </c>
      <c r="M1979" s="29" t="str">
        <f>IFERROR(__xludf.DUMMYFUNCTION("IF(L1979="""","""",QUERY({'Dashboard-Dados'!$Y$2:$AA$13},""Select Col2 Where Col1=""&amp;L1979))"),"")</f>
        <v/>
      </c>
      <c r="N1979" s="29" t="str">
        <f>IFERROR(__xludf.DUMMYFUNCTION("IF(ISBLANK(B1979),"""",IF(ISDATE(B1979),TEXT(B1979,""yyyy""),""""))"),"")</f>
        <v/>
      </c>
    </row>
    <row r="1980">
      <c r="B1980" s="89"/>
      <c r="C1980" s="86"/>
      <c r="D1980" s="71"/>
      <c r="H1980" s="90"/>
      <c r="J1980" s="53" t="str">
        <f>IFERROR(__xludf.DUMMYFUNCTION("IF(ISBLANK(B1980),"""",IF(ISDATE(B1980),""X"",""""))"),"")</f>
        <v/>
      </c>
      <c r="K1980" s="40" t="str">
        <f>IFERROR(__xludf.DUMMYFUNCTION("IF(ISBLANK(B1980),"""",IF(ISDATE(B1980),H1980,""""))"),"")</f>
        <v/>
      </c>
      <c r="L1980" s="40" t="str">
        <f>IFERROR(__xludf.DUMMYFUNCTION("IF(ISBLANK(B1980),"""",IF(ISDATE(B1980),TEXT(B1980,""M""),""""))"),"")</f>
        <v/>
      </c>
      <c r="M1980" s="29" t="str">
        <f>IFERROR(__xludf.DUMMYFUNCTION("IF(L1980="""","""",QUERY({'Dashboard-Dados'!$Y$2:$AA$13},""Select Col2 Where Col1=""&amp;L1980))"),"")</f>
        <v/>
      </c>
      <c r="N1980" s="29" t="str">
        <f>IFERROR(__xludf.DUMMYFUNCTION("IF(ISBLANK(B1980),"""",IF(ISDATE(B1980),TEXT(B1980,""yyyy""),""""))"),"")</f>
        <v/>
      </c>
    </row>
    <row r="1981">
      <c r="B1981" s="87"/>
      <c r="C1981" s="85"/>
      <c r="D1981" s="76"/>
      <c r="H1981" s="88"/>
      <c r="J1981" s="53" t="str">
        <f>IFERROR(__xludf.DUMMYFUNCTION("IF(ISBLANK(B1981),"""",IF(ISDATE(B1981),""X"",""""))"),"")</f>
        <v/>
      </c>
      <c r="K1981" s="40" t="str">
        <f>IFERROR(__xludf.DUMMYFUNCTION("IF(ISBLANK(B1981),"""",IF(ISDATE(B1981),H1981,""""))"),"")</f>
        <v/>
      </c>
      <c r="L1981" s="40" t="str">
        <f>IFERROR(__xludf.DUMMYFUNCTION("IF(ISBLANK(B1981),"""",IF(ISDATE(B1981),TEXT(B1981,""M""),""""))"),"")</f>
        <v/>
      </c>
      <c r="M1981" s="29" t="str">
        <f>IFERROR(__xludf.DUMMYFUNCTION("IF(L1981="""","""",QUERY({'Dashboard-Dados'!$Y$2:$AA$13},""Select Col2 Where Col1=""&amp;L1981))"),"")</f>
        <v/>
      </c>
      <c r="N1981" s="29" t="str">
        <f>IFERROR(__xludf.DUMMYFUNCTION("IF(ISBLANK(B1981),"""",IF(ISDATE(B1981),TEXT(B1981,""yyyy""),""""))"),"")</f>
        <v/>
      </c>
    </row>
    <row r="1982">
      <c r="B1982" s="89"/>
      <c r="C1982" s="86"/>
      <c r="D1982" s="71"/>
      <c r="H1982" s="90"/>
      <c r="J1982" s="53" t="str">
        <f>IFERROR(__xludf.DUMMYFUNCTION("IF(ISBLANK(B1982),"""",IF(ISDATE(B1982),""X"",""""))"),"")</f>
        <v/>
      </c>
      <c r="K1982" s="40" t="str">
        <f>IFERROR(__xludf.DUMMYFUNCTION("IF(ISBLANK(B1982),"""",IF(ISDATE(B1982),H1982,""""))"),"")</f>
        <v/>
      </c>
      <c r="L1982" s="40" t="str">
        <f>IFERROR(__xludf.DUMMYFUNCTION("IF(ISBLANK(B1982),"""",IF(ISDATE(B1982),TEXT(B1982,""M""),""""))"),"")</f>
        <v/>
      </c>
      <c r="M1982" s="29" t="str">
        <f>IFERROR(__xludf.DUMMYFUNCTION("IF(L1982="""","""",QUERY({'Dashboard-Dados'!$Y$2:$AA$13},""Select Col2 Where Col1=""&amp;L1982))"),"")</f>
        <v/>
      </c>
      <c r="N1982" s="29" t="str">
        <f>IFERROR(__xludf.DUMMYFUNCTION("IF(ISBLANK(B1982),"""",IF(ISDATE(B1982),TEXT(B1982,""yyyy""),""""))"),"")</f>
        <v/>
      </c>
    </row>
    <row r="1983">
      <c r="B1983" s="87"/>
      <c r="C1983" s="85"/>
      <c r="D1983" s="76"/>
      <c r="H1983" s="88"/>
      <c r="J1983" s="53" t="str">
        <f>IFERROR(__xludf.DUMMYFUNCTION("IF(ISBLANK(B1983),"""",IF(ISDATE(B1983),""X"",""""))"),"")</f>
        <v/>
      </c>
      <c r="K1983" s="40" t="str">
        <f>IFERROR(__xludf.DUMMYFUNCTION("IF(ISBLANK(B1983),"""",IF(ISDATE(B1983),H1983,""""))"),"")</f>
        <v/>
      </c>
      <c r="L1983" s="40" t="str">
        <f>IFERROR(__xludf.DUMMYFUNCTION("IF(ISBLANK(B1983),"""",IF(ISDATE(B1983),TEXT(B1983,""M""),""""))"),"")</f>
        <v/>
      </c>
      <c r="M1983" s="29" t="str">
        <f>IFERROR(__xludf.DUMMYFUNCTION("IF(L1983="""","""",QUERY({'Dashboard-Dados'!$Y$2:$AA$13},""Select Col2 Where Col1=""&amp;L1983))"),"")</f>
        <v/>
      </c>
      <c r="N1983" s="29" t="str">
        <f>IFERROR(__xludf.DUMMYFUNCTION("IF(ISBLANK(B1983),"""",IF(ISDATE(B1983),TEXT(B1983,""yyyy""),""""))"),"")</f>
        <v/>
      </c>
    </row>
    <row r="1984">
      <c r="B1984" s="89"/>
      <c r="C1984" s="86"/>
      <c r="D1984" s="71"/>
      <c r="H1984" s="90"/>
      <c r="J1984" s="53" t="str">
        <f>IFERROR(__xludf.DUMMYFUNCTION("IF(ISBLANK(B1984),"""",IF(ISDATE(B1984),""X"",""""))"),"")</f>
        <v/>
      </c>
      <c r="K1984" s="40" t="str">
        <f>IFERROR(__xludf.DUMMYFUNCTION("IF(ISBLANK(B1984),"""",IF(ISDATE(B1984),H1984,""""))"),"")</f>
        <v/>
      </c>
      <c r="L1984" s="40" t="str">
        <f>IFERROR(__xludf.DUMMYFUNCTION("IF(ISBLANK(B1984),"""",IF(ISDATE(B1984),TEXT(B1984,""M""),""""))"),"")</f>
        <v/>
      </c>
      <c r="M1984" s="29" t="str">
        <f>IFERROR(__xludf.DUMMYFUNCTION("IF(L1984="""","""",QUERY({'Dashboard-Dados'!$Y$2:$AA$13},""Select Col2 Where Col1=""&amp;L1984))"),"")</f>
        <v/>
      </c>
      <c r="N1984" s="29" t="str">
        <f>IFERROR(__xludf.DUMMYFUNCTION("IF(ISBLANK(B1984),"""",IF(ISDATE(B1984),TEXT(B1984,""yyyy""),""""))"),"")</f>
        <v/>
      </c>
    </row>
    <row r="1985">
      <c r="B1985" s="87"/>
      <c r="C1985" s="85"/>
      <c r="D1985" s="76"/>
      <c r="H1985" s="88"/>
      <c r="J1985" s="53" t="str">
        <f>IFERROR(__xludf.DUMMYFUNCTION("IF(ISBLANK(B1985),"""",IF(ISDATE(B1985),""X"",""""))"),"")</f>
        <v/>
      </c>
      <c r="K1985" s="40" t="str">
        <f>IFERROR(__xludf.DUMMYFUNCTION("IF(ISBLANK(B1985),"""",IF(ISDATE(B1985),H1985,""""))"),"")</f>
        <v/>
      </c>
      <c r="L1985" s="40" t="str">
        <f>IFERROR(__xludf.DUMMYFUNCTION("IF(ISBLANK(B1985),"""",IF(ISDATE(B1985),TEXT(B1985,""M""),""""))"),"")</f>
        <v/>
      </c>
      <c r="M1985" s="29" t="str">
        <f>IFERROR(__xludf.DUMMYFUNCTION("IF(L1985="""","""",QUERY({'Dashboard-Dados'!$Y$2:$AA$13},""Select Col2 Where Col1=""&amp;L1985))"),"")</f>
        <v/>
      </c>
      <c r="N1985" s="29" t="str">
        <f>IFERROR(__xludf.DUMMYFUNCTION("IF(ISBLANK(B1985),"""",IF(ISDATE(B1985),TEXT(B1985,""yyyy""),""""))"),"")</f>
        <v/>
      </c>
    </row>
    <row r="1986">
      <c r="B1986" s="89"/>
      <c r="C1986" s="86"/>
      <c r="D1986" s="71"/>
      <c r="H1986" s="90"/>
      <c r="J1986" s="53" t="str">
        <f>IFERROR(__xludf.DUMMYFUNCTION("IF(ISBLANK(B1986),"""",IF(ISDATE(B1986),""X"",""""))"),"")</f>
        <v/>
      </c>
      <c r="K1986" s="40" t="str">
        <f>IFERROR(__xludf.DUMMYFUNCTION("IF(ISBLANK(B1986),"""",IF(ISDATE(B1986),H1986,""""))"),"")</f>
        <v/>
      </c>
      <c r="L1986" s="40" t="str">
        <f>IFERROR(__xludf.DUMMYFUNCTION("IF(ISBLANK(B1986),"""",IF(ISDATE(B1986),TEXT(B1986,""M""),""""))"),"")</f>
        <v/>
      </c>
      <c r="M1986" s="29" t="str">
        <f>IFERROR(__xludf.DUMMYFUNCTION("IF(L1986="""","""",QUERY({'Dashboard-Dados'!$Y$2:$AA$13},""Select Col2 Where Col1=""&amp;L1986))"),"")</f>
        <v/>
      </c>
      <c r="N1986" s="29" t="str">
        <f>IFERROR(__xludf.DUMMYFUNCTION("IF(ISBLANK(B1986),"""",IF(ISDATE(B1986),TEXT(B1986,""yyyy""),""""))"),"")</f>
        <v/>
      </c>
    </row>
    <row r="1987">
      <c r="B1987" s="87"/>
      <c r="C1987" s="85"/>
      <c r="D1987" s="76"/>
      <c r="H1987" s="88"/>
      <c r="J1987" s="53" t="str">
        <f>IFERROR(__xludf.DUMMYFUNCTION("IF(ISBLANK(B1987),"""",IF(ISDATE(B1987),""X"",""""))"),"")</f>
        <v/>
      </c>
      <c r="K1987" s="40" t="str">
        <f>IFERROR(__xludf.DUMMYFUNCTION("IF(ISBLANK(B1987),"""",IF(ISDATE(B1987),H1987,""""))"),"")</f>
        <v/>
      </c>
      <c r="L1987" s="40" t="str">
        <f>IFERROR(__xludf.DUMMYFUNCTION("IF(ISBLANK(B1987),"""",IF(ISDATE(B1987),TEXT(B1987,""M""),""""))"),"")</f>
        <v/>
      </c>
      <c r="M1987" s="29" t="str">
        <f>IFERROR(__xludf.DUMMYFUNCTION("IF(L1987="""","""",QUERY({'Dashboard-Dados'!$Y$2:$AA$13},""Select Col2 Where Col1=""&amp;L1987))"),"")</f>
        <v/>
      </c>
      <c r="N1987" s="29" t="str">
        <f>IFERROR(__xludf.DUMMYFUNCTION("IF(ISBLANK(B1987),"""",IF(ISDATE(B1987),TEXT(B1987,""yyyy""),""""))"),"")</f>
        <v/>
      </c>
    </row>
    <row r="1988">
      <c r="B1988" s="89"/>
      <c r="C1988" s="86"/>
      <c r="D1988" s="71"/>
      <c r="H1988" s="90"/>
      <c r="J1988" s="53" t="str">
        <f>IFERROR(__xludf.DUMMYFUNCTION("IF(ISBLANK(B1988),"""",IF(ISDATE(B1988),""X"",""""))"),"")</f>
        <v/>
      </c>
      <c r="K1988" s="40" t="str">
        <f>IFERROR(__xludf.DUMMYFUNCTION("IF(ISBLANK(B1988),"""",IF(ISDATE(B1988),H1988,""""))"),"")</f>
        <v/>
      </c>
      <c r="L1988" s="40" t="str">
        <f>IFERROR(__xludf.DUMMYFUNCTION("IF(ISBLANK(B1988),"""",IF(ISDATE(B1988),TEXT(B1988,""M""),""""))"),"")</f>
        <v/>
      </c>
      <c r="M1988" s="29" t="str">
        <f>IFERROR(__xludf.DUMMYFUNCTION("IF(L1988="""","""",QUERY({'Dashboard-Dados'!$Y$2:$AA$13},""Select Col2 Where Col1=""&amp;L1988))"),"")</f>
        <v/>
      </c>
      <c r="N1988" s="29" t="str">
        <f>IFERROR(__xludf.DUMMYFUNCTION("IF(ISBLANK(B1988),"""",IF(ISDATE(B1988),TEXT(B1988,""yyyy""),""""))"),"")</f>
        <v/>
      </c>
    </row>
    <row r="1989">
      <c r="B1989" s="87"/>
      <c r="C1989" s="85"/>
      <c r="D1989" s="76"/>
      <c r="H1989" s="88"/>
      <c r="J1989" s="53" t="str">
        <f>IFERROR(__xludf.DUMMYFUNCTION("IF(ISBLANK(B1989),"""",IF(ISDATE(B1989),""X"",""""))"),"")</f>
        <v/>
      </c>
      <c r="K1989" s="40" t="str">
        <f>IFERROR(__xludf.DUMMYFUNCTION("IF(ISBLANK(B1989),"""",IF(ISDATE(B1989),H1989,""""))"),"")</f>
        <v/>
      </c>
      <c r="L1989" s="40" t="str">
        <f>IFERROR(__xludf.DUMMYFUNCTION("IF(ISBLANK(B1989),"""",IF(ISDATE(B1989),TEXT(B1989,""M""),""""))"),"")</f>
        <v/>
      </c>
      <c r="M1989" s="29" t="str">
        <f>IFERROR(__xludf.DUMMYFUNCTION("IF(L1989="""","""",QUERY({'Dashboard-Dados'!$Y$2:$AA$13},""Select Col2 Where Col1=""&amp;L1989))"),"")</f>
        <v/>
      </c>
      <c r="N1989" s="29" t="str">
        <f>IFERROR(__xludf.DUMMYFUNCTION("IF(ISBLANK(B1989),"""",IF(ISDATE(B1989),TEXT(B1989,""yyyy""),""""))"),"")</f>
        <v/>
      </c>
    </row>
    <row r="1990">
      <c r="B1990" s="89"/>
      <c r="C1990" s="86"/>
      <c r="D1990" s="71"/>
      <c r="H1990" s="90"/>
      <c r="J1990" s="53" t="str">
        <f>IFERROR(__xludf.DUMMYFUNCTION("IF(ISBLANK(B1990),"""",IF(ISDATE(B1990),""X"",""""))"),"")</f>
        <v/>
      </c>
      <c r="K1990" s="40" t="str">
        <f>IFERROR(__xludf.DUMMYFUNCTION("IF(ISBLANK(B1990),"""",IF(ISDATE(B1990),H1990,""""))"),"")</f>
        <v/>
      </c>
      <c r="L1990" s="40" t="str">
        <f>IFERROR(__xludf.DUMMYFUNCTION("IF(ISBLANK(B1990),"""",IF(ISDATE(B1990),TEXT(B1990,""M""),""""))"),"")</f>
        <v/>
      </c>
      <c r="M1990" s="29" t="str">
        <f>IFERROR(__xludf.DUMMYFUNCTION("IF(L1990="""","""",QUERY({'Dashboard-Dados'!$Y$2:$AA$13},""Select Col2 Where Col1=""&amp;L1990))"),"")</f>
        <v/>
      </c>
      <c r="N1990" s="29" t="str">
        <f>IFERROR(__xludf.DUMMYFUNCTION("IF(ISBLANK(B1990),"""",IF(ISDATE(B1990),TEXT(B1990,""yyyy""),""""))"),"")</f>
        <v/>
      </c>
    </row>
    <row r="1991">
      <c r="B1991" s="87"/>
      <c r="C1991" s="85"/>
      <c r="D1991" s="76"/>
      <c r="H1991" s="88"/>
      <c r="J1991" s="53" t="str">
        <f>IFERROR(__xludf.DUMMYFUNCTION("IF(ISBLANK(B1991),"""",IF(ISDATE(B1991),""X"",""""))"),"")</f>
        <v/>
      </c>
      <c r="K1991" s="40" t="str">
        <f>IFERROR(__xludf.DUMMYFUNCTION("IF(ISBLANK(B1991),"""",IF(ISDATE(B1991),H1991,""""))"),"")</f>
        <v/>
      </c>
      <c r="L1991" s="40" t="str">
        <f>IFERROR(__xludf.DUMMYFUNCTION("IF(ISBLANK(B1991),"""",IF(ISDATE(B1991),TEXT(B1991,""M""),""""))"),"")</f>
        <v/>
      </c>
      <c r="M1991" s="29" t="str">
        <f>IFERROR(__xludf.DUMMYFUNCTION("IF(L1991="""","""",QUERY({'Dashboard-Dados'!$Y$2:$AA$13},""Select Col2 Where Col1=""&amp;L1991))"),"")</f>
        <v/>
      </c>
      <c r="N1991" s="29" t="str">
        <f>IFERROR(__xludf.DUMMYFUNCTION("IF(ISBLANK(B1991),"""",IF(ISDATE(B1991),TEXT(B1991,""yyyy""),""""))"),"")</f>
        <v/>
      </c>
    </row>
    <row r="1992">
      <c r="B1992" s="89"/>
      <c r="C1992" s="86"/>
      <c r="D1992" s="71"/>
      <c r="H1992" s="90"/>
      <c r="J1992" s="53" t="str">
        <f>IFERROR(__xludf.DUMMYFUNCTION("IF(ISBLANK(B1992),"""",IF(ISDATE(B1992),""X"",""""))"),"")</f>
        <v/>
      </c>
      <c r="K1992" s="40" t="str">
        <f>IFERROR(__xludf.DUMMYFUNCTION("IF(ISBLANK(B1992),"""",IF(ISDATE(B1992),H1992,""""))"),"")</f>
        <v/>
      </c>
      <c r="L1992" s="40" t="str">
        <f>IFERROR(__xludf.DUMMYFUNCTION("IF(ISBLANK(B1992),"""",IF(ISDATE(B1992),TEXT(B1992,""M""),""""))"),"")</f>
        <v/>
      </c>
      <c r="M1992" s="29" t="str">
        <f>IFERROR(__xludf.DUMMYFUNCTION("IF(L1992="""","""",QUERY({'Dashboard-Dados'!$Y$2:$AA$13},""Select Col2 Where Col1=""&amp;L1992))"),"")</f>
        <v/>
      </c>
      <c r="N1992" s="29" t="str">
        <f>IFERROR(__xludf.DUMMYFUNCTION("IF(ISBLANK(B1992),"""",IF(ISDATE(B1992),TEXT(B1992,""yyyy""),""""))"),"")</f>
        <v/>
      </c>
    </row>
    <row r="1993">
      <c r="B1993" s="87"/>
      <c r="C1993" s="85"/>
      <c r="D1993" s="76"/>
      <c r="H1993" s="88"/>
      <c r="J1993" s="53" t="str">
        <f>IFERROR(__xludf.DUMMYFUNCTION("IF(ISBLANK(B1993),"""",IF(ISDATE(B1993),""X"",""""))"),"")</f>
        <v/>
      </c>
      <c r="K1993" s="40" t="str">
        <f>IFERROR(__xludf.DUMMYFUNCTION("IF(ISBLANK(B1993),"""",IF(ISDATE(B1993),H1993,""""))"),"")</f>
        <v/>
      </c>
      <c r="L1993" s="40" t="str">
        <f>IFERROR(__xludf.DUMMYFUNCTION("IF(ISBLANK(B1993),"""",IF(ISDATE(B1993),TEXT(B1993,""M""),""""))"),"")</f>
        <v/>
      </c>
      <c r="M1993" s="29" t="str">
        <f>IFERROR(__xludf.DUMMYFUNCTION("IF(L1993="""","""",QUERY({'Dashboard-Dados'!$Y$2:$AA$13},""Select Col2 Where Col1=""&amp;L1993))"),"")</f>
        <v/>
      </c>
      <c r="N1993" s="29" t="str">
        <f>IFERROR(__xludf.DUMMYFUNCTION("IF(ISBLANK(B1993),"""",IF(ISDATE(B1993),TEXT(B1993,""yyyy""),""""))"),"")</f>
        <v/>
      </c>
    </row>
    <row r="1994">
      <c r="B1994" s="89"/>
      <c r="C1994" s="86"/>
      <c r="D1994" s="71"/>
      <c r="H1994" s="90"/>
      <c r="J1994" s="53" t="str">
        <f>IFERROR(__xludf.DUMMYFUNCTION("IF(ISBLANK(B1994),"""",IF(ISDATE(B1994),""X"",""""))"),"")</f>
        <v/>
      </c>
      <c r="K1994" s="40" t="str">
        <f>IFERROR(__xludf.DUMMYFUNCTION("IF(ISBLANK(B1994),"""",IF(ISDATE(B1994),H1994,""""))"),"")</f>
        <v/>
      </c>
      <c r="L1994" s="40" t="str">
        <f>IFERROR(__xludf.DUMMYFUNCTION("IF(ISBLANK(B1994),"""",IF(ISDATE(B1994),TEXT(B1994,""M""),""""))"),"")</f>
        <v/>
      </c>
      <c r="M1994" s="29" t="str">
        <f>IFERROR(__xludf.DUMMYFUNCTION("IF(L1994="""","""",QUERY({'Dashboard-Dados'!$Y$2:$AA$13},""Select Col2 Where Col1=""&amp;L1994))"),"")</f>
        <v/>
      </c>
      <c r="N1994" s="29" t="str">
        <f>IFERROR(__xludf.DUMMYFUNCTION("IF(ISBLANK(B1994),"""",IF(ISDATE(B1994),TEXT(B1994,""yyyy""),""""))"),"")</f>
        <v/>
      </c>
    </row>
    <row r="1995">
      <c r="B1995" s="87"/>
      <c r="C1995" s="85"/>
      <c r="D1995" s="76"/>
      <c r="H1995" s="88"/>
      <c r="J1995" s="53" t="str">
        <f>IFERROR(__xludf.DUMMYFUNCTION("IF(ISBLANK(B1995),"""",IF(ISDATE(B1995),""X"",""""))"),"")</f>
        <v/>
      </c>
      <c r="K1995" s="40" t="str">
        <f>IFERROR(__xludf.DUMMYFUNCTION("IF(ISBLANK(B1995),"""",IF(ISDATE(B1995),H1995,""""))"),"")</f>
        <v/>
      </c>
      <c r="L1995" s="40" t="str">
        <f>IFERROR(__xludf.DUMMYFUNCTION("IF(ISBLANK(B1995),"""",IF(ISDATE(B1995),TEXT(B1995,""M""),""""))"),"")</f>
        <v/>
      </c>
      <c r="M1995" s="29" t="str">
        <f>IFERROR(__xludf.DUMMYFUNCTION("IF(L1995="""","""",QUERY({'Dashboard-Dados'!$Y$2:$AA$13},""Select Col2 Where Col1=""&amp;L1995))"),"")</f>
        <v/>
      </c>
      <c r="N1995" s="29" t="str">
        <f>IFERROR(__xludf.DUMMYFUNCTION("IF(ISBLANK(B1995),"""",IF(ISDATE(B1995),TEXT(B1995,""yyyy""),""""))"),"")</f>
        <v/>
      </c>
    </row>
    <row r="1996">
      <c r="B1996" s="89"/>
      <c r="C1996" s="86"/>
      <c r="D1996" s="71"/>
      <c r="H1996" s="90"/>
      <c r="J1996" s="53" t="str">
        <f>IFERROR(__xludf.DUMMYFUNCTION("IF(ISBLANK(B1996),"""",IF(ISDATE(B1996),""X"",""""))"),"")</f>
        <v/>
      </c>
      <c r="K1996" s="40" t="str">
        <f>IFERROR(__xludf.DUMMYFUNCTION("IF(ISBLANK(B1996),"""",IF(ISDATE(B1996),H1996,""""))"),"")</f>
        <v/>
      </c>
      <c r="L1996" s="40" t="str">
        <f>IFERROR(__xludf.DUMMYFUNCTION("IF(ISBLANK(B1996),"""",IF(ISDATE(B1996),TEXT(B1996,""M""),""""))"),"")</f>
        <v/>
      </c>
      <c r="M1996" s="29" t="str">
        <f>IFERROR(__xludf.DUMMYFUNCTION("IF(L1996="""","""",QUERY({'Dashboard-Dados'!$Y$2:$AA$13},""Select Col2 Where Col1=""&amp;L1996))"),"")</f>
        <v/>
      </c>
      <c r="N1996" s="29" t="str">
        <f>IFERROR(__xludf.DUMMYFUNCTION("IF(ISBLANK(B1996),"""",IF(ISDATE(B1996),TEXT(B1996,""yyyy""),""""))"),"")</f>
        <v/>
      </c>
    </row>
    <row r="1997">
      <c r="B1997" s="87"/>
      <c r="C1997" s="85"/>
      <c r="D1997" s="76"/>
      <c r="H1997" s="88"/>
      <c r="J1997" s="53" t="str">
        <f>IFERROR(__xludf.DUMMYFUNCTION("IF(ISBLANK(B1997),"""",IF(ISDATE(B1997),""X"",""""))"),"")</f>
        <v/>
      </c>
      <c r="K1997" s="40" t="str">
        <f>IFERROR(__xludf.DUMMYFUNCTION("IF(ISBLANK(B1997),"""",IF(ISDATE(B1997),H1997,""""))"),"")</f>
        <v/>
      </c>
      <c r="L1997" s="40" t="str">
        <f>IFERROR(__xludf.DUMMYFUNCTION("IF(ISBLANK(B1997),"""",IF(ISDATE(B1997),TEXT(B1997,""M""),""""))"),"")</f>
        <v/>
      </c>
      <c r="M1997" s="29" t="str">
        <f>IFERROR(__xludf.DUMMYFUNCTION("IF(L1997="""","""",QUERY({'Dashboard-Dados'!$Y$2:$AA$13},""Select Col2 Where Col1=""&amp;L1997))"),"")</f>
        <v/>
      </c>
      <c r="N1997" s="29" t="str">
        <f>IFERROR(__xludf.DUMMYFUNCTION("IF(ISBLANK(B1997),"""",IF(ISDATE(B1997),TEXT(B1997,""yyyy""),""""))"),"")</f>
        <v/>
      </c>
    </row>
    <row r="1998">
      <c r="B1998" s="89"/>
      <c r="C1998" s="86"/>
      <c r="D1998" s="71"/>
      <c r="H1998" s="90"/>
      <c r="J1998" s="53" t="str">
        <f>IFERROR(__xludf.DUMMYFUNCTION("IF(ISBLANK(B1998),"""",IF(ISDATE(B1998),""X"",""""))"),"")</f>
        <v/>
      </c>
      <c r="K1998" s="40" t="str">
        <f>IFERROR(__xludf.DUMMYFUNCTION("IF(ISBLANK(B1998),"""",IF(ISDATE(B1998),H1998,""""))"),"")</f>
        <v/>
      </c>
      <c r="L1998" s="40" t="str">
        <f>IFERROR(__xludf.DUMMYFUNCTION("IF(ISBLANK(B1998),"""",IF(ISDATE(B1998),TEXT(B1998,""M""),""""))"),"")</f>
        <v/>
      </c>
      <c r="M1998" s="29" t="str">
        <f>IFERROR(__xludf.DUMMYFUNCTION("IF(L1998="""","""",QUERY({'Dashboard-Dados'!$Y$2:$AA$13},""Select Col2 Where Col1=""&amp;L1998))"),"")</f>
        <v/>
      </c>
      <c r="N1998" s="29" t="str">
        <f>IFERROR(__xludf.DUMMYFUNCTION("IF(ISBLANK(B1998),"""",IF(ISDATE(B1998),TEXT(B1998,""yyyy""),""""))"),"")</f>
        <v/>
      </c>
    </row>
    <row r="1999">
      <c r="B1999" s="87"/>
      <c r="C1999" s="85"/>
      <c r="D1999" s="76"/>
      <c r="H1999" s="88"/>
      <c r="J1999" s="53" t="str">
        <f>IFERROR(__xludf.DUMMYFUNCTION("IF(ISBLANK(B1999),"""",IF(ISDATE(B1999),""X"",""""))"),"")</f>
        <v/>
      </c>
      <c r="K1999" s="40" t="str">
        <f>IFERROR(__xludf.DUMMYFUNCTION("IF(ISBLANK(B1999),"""",IF(ISDATE(B1999),H1999,""""))"),"")</f>
        <v/>
      </c>
      <c r="L1999" s="40" t="str">
        <f>IFERROR(__xludf.DUMMYFUNCTION("IF(ISBLANK(B1999),"""",IF(ISDATE(B1999),TEXT(B1999,""M""),""""))"),"")</f>
        <v/>
      </c>
      <c r="M1999" s="29" t="str">
        <f>IFERROR(__xludf.DUMMYFUNCTION("IF(L1999="""","""",QUERY({'Dashboard-Dados'!$Y$2:$AA$13},""Select Col2 Where Col1=""&amp;L1999))"),"")</f>
        <v/>
      </c>
      <c r="N1999" s="29" t="str">
        <f>IFERROR(__xludf.DUMMYFUNCTION("IF(ISBLANK(B1999),"""",IF(ISDATE(B1999),TEXT(B1999,""yyyy""),""""))"),"")</f>
        <v/>
      </c>
    </row>
    <row r="2000">
      <c r="B2000" s="89"/>
      <c r="C2000" s="86"/>
      <c r="D2000" s="71"/>
      <c r="H2000" s="90"/>
      <c r="J2000" s="53" t="str">
        <f>IFERROR(__xludf.DUMMYFUNCTION("IF(ISBLANK(B2000),"""",IF(ISDATE(B2000),""X"",""""))"),"")</f>
        <v/>
      </c>
      <c r="K2000" s="40" t="str">
        <f>IFERROR(__xludf.DUMMYFUNCTION("IF(ISBLANK(B2000),"""",IF(ISDATE(B2000),H2000,""""))"),"")</f>
        <v/>
      </c>
      <c r="L2000" s="40" t="str">
        <f>IFERROR(__xludf.DUMMYFUNCTION("IF(ISBLANK(B2000),"""",IF(ISDATE(B2000),TEXT(B2000,""M""),""""))"),"")</f>
        <v/>
      </c>
      <c r="M2000" s="29" t="str">
        <f>IFERROR(__xludf.DUMMYFUNCTION("IF(L2000="""","""",QUERY({'Dashboard-Dados'!$Y$2:$AA$13},""Select Col2 Where Col1=""&amp;L2000))"),"")</f>
        <v/>
      </c>
      <c r="N2000" s="29" t="str">
        <f>IFERROR(__xludf.DUMMYFUNCTION("IF(ISBLANK(B2000),"""",IF(ISDATE(B2000),TEXT(B2000,""yyyy""),""""))"),"")</f>
        <v/>
      </c>
    </row>
    <row r="2001">
      <c r="B2001" s="87"/>
      <c r="C2001" s="85"/>
      <c r="D2001" s="76"/>
      <c r="H2001" s="88"/>
      <c r="J2001" s="53" t="str">
        <f>IFERROR(__xludf.DUMMYFUNCTION("IF(ISBLANK(B2001),"""",IF(ISDATE(B2001),""X"",""""))"),"")</f>
        <v/>
      </c>
      <c r="K2001" s="40" t="str">
        <f>IFERROR(__xludf.DUMMYFUNCTION("IF(ISBLANK(B2001),"""",IF(ISDATE(B2001),H2001,""""))"),"")</f>
        <v/>
      </c>
      <c r="L2001" s="40" t="str">
        <f>IFERROR(__xludf.DUMMYFUNCTION("IF(ISBLANK(B2001),"""",IF(ISDATE(B2001),TEXT(B2001,""M""),""""))"),"")</f>
        <v/>
      </c>
      <c r="M2001" s="29" t="str">
        <f>IFERROR(__xludf.DUMMYFUNCTION("IF(L2001="""","""",QUERY({'Dashboard-Dados'!$Y$2:$AA$13},""Select Col2 Where Col1=""&amp;L2001))"),"")</f>
        <v/>
      </c>
      <c r="N2001" s="29" t="str">
        <f>IFERROR(__xludf.DUMMYFUNCTION("IF(ISBLANK(B2001),"""",IF(ISDATE(B2001),TEXT(B2001,""yyyy""),""""))"),"")</f>
        <v/>
      </c>
    </row>
    <row r="2002">
      <c r="B2002" s="89"/>
      <c r="C2002" s="86"/>
      <c r="D2002" s="71"/>
      <c r="H2002" s="90"/>
      <c r="J2002" s="53" t="str">
        <f>IFERROR(__xludf.DUMMYFUNCTION("IF(ISBLANK(B2002),"""",IF(ISDATE(B2002),""X"",""""))"),"")</f>
        <v/>
      </c>
      <c r="K2002" s="40" t="str">
        <f>IFERROR(__xludf.DUMMYFUNCTION("IF(ISBLANK(B2002),"""",IF(ISDATE(B2002),H2002,""""))"),"")</f>
        <v/>
      </c>
      <c r="L2002" s="40" t="str">
        <f>IFERROR(__xludf.DUMMYFUNCTION("IF(ISBLANK(B2002),"""",IF(ISDATE(B2002),TEXT(B2002,""M""),""""))"),"")</f>
        <v/>
      </c>
      <c r="M2002" s="29" t="str">
        <f>IFERROR(__xludf.DUMMYFUNCTION("IF(L2002="""","""",QUERY({'Dashboard-Dados'!$Y$2:$AA$13},""Select Col2 Where Col1=""&amp;L2002))"),"")</f>
        <v/>
      </c>
      <c r="N2002" s="29" t="str">
        <f>IFERROR(__xludf.DUMMYFUNCTION("IF(ISBLANK(B2002),"""",IF(ISDATE(B2002),TEXT(B2002,""yyyy""),""""))"),"")</f>
        <v/>
      </c>
    </row>
    <row r="2003">
      <c r="B2003" s="87"/>
      <c r="C2003" s="85"/>
      <c r="D2003" s="76"/>
      <c r="H2003" s="88"/>
      <c r="J2003" s="53" t="str">
        <f>IFERROR(__xludf.DUMMYFUNCTION("IF(ISBLANK(B2003),"""",IF(ISDATE(B2003),""X"",""""))"),"")</f>
        <v/>
      </c>
      <c r="K2003" s="40" t="str">
        <f>IFERROR(__xludf.DUMMYFUNCTION("IF(ISBLANK(B2003),"""",IF(ISDATE(B2003),H2003,""""))"),"")</f>
        <v/>
      </c>
      <c r="L2003" s="40" t="str">
        <f>IFERROR(__xludf.DUMMYFUNCTION("IF(ISBLANK(B2003),"""",IF(ISDATE(B2003),TEXT(B2003,""M""),""""))"),"")</f>
        <v/>
      </c>
      <c r="M2003" s="29" t="str">
        <f>IFERROR(__xludf.DUMMYFUNCTION("IF(L2003="""","""",QUERY({'Dashboard-Dados'!$Y$2:$AA$13},""Select Col2 Where Col1=""&amp;L2003))"),"")</f>
        <v/>
      </c>
      <c r="N2003" s="29" t="str">
        <f>IFERROR(__xludf.DUMMYFUNCTION("IF(ISBLANK(B2003),"""",IF(ISDATE(B2003),TEXT(B2003,""yyyy""),""""))"),"")</f>
        <v/>
      </c>
    </row>
    <row r="2004">
      <c r="B2004" s="89"/>
      <c r="C2004" s="86"/>
      <c r="D2004" s="71"/>
      <c r="H2004" s="90"/>
      <c r="J2004" s="53" t="str">
        <f>IFERROR(__xludf.DUMMYFUNCTION("IF(ISBLANK(B2004),"""",IF(ISDATE(B2004),""X"",""""))"),"")</f>
        <v/>
      </c>
      <c r="K2004" s="40" t="str">
        <f>IFERROR(__xludf.DUMMYFUNCTION("IF(ISBLANK(B2004),"""",IF(ISDATE(B2004),H2004,""""))"),"")</f>
        <v/>
      </c>
      <c r="L2004" s="40" t="str">
        <f>IFERROR(__xludf.DUMMYFUNCTION("IF(ISBLANK(B2004),"""",IF(ISDATE(B2004),TEXT(B2004,""M""),""""))"),"")</f>
        <v/>
      </c>
      <c r="M2004" s="29" t="str">
        <f>IFERROR(__xludf.DUMMYFUNCTION("IF(L2004="""","""",QUERY({'Dashboard-Dados'!$Y$2:$AA$13},""Select Col2 Where Col1=""&amp;L2004))"),"")</f>
        <v/>
      </c>
      <c r="N2004" s="29" t="str">
        <f>IFERROR(__xludf.DUMMYFUNCTION("IF(ISBLANK(B2004),"""",IF(ISDATE(B2004),TEXT(B2004,""yyyy""),""""))"),"")</f>
        <v/>
      </c>
    </row>
    <row r="2005">
      <c r="B2005" s="87"/>
      <c r="C2005" s="85"/>
      <c r="D2005" s="76"/>
      <c r="H2005" s="88"/>
      <c r="J2005" s="53" t="str">
        <f>IFERROR(__xludf.DUMMYFUNCTION("IF(ISBLANK(B2005),"""",IF(ISDATE(B2005),""X"",""""))"),"")</f>
        <v/>
      </c>
      <c r="K2005" s="40" t="str">
        <f>IFERROR(__xludf.DUMMYFUNCTION("IF(ISBLANK(B2005),"""",IF(ISDATE(B2005),H2005,""""))"),"")</f>
        <v/>
      </c>
      <c r="L2005" s="40" t="str">
        <f>IFERROR(__xludf.DUMMYFUNCTION("IF(ISBLANK(B2005),"""",IF(ISDATE(B2005),TEXT(B2005,""M""),""""))"),"")</f>
        <v/>
      </c>
      <c r="M2005" s="29" t="str">
        <f>IFERROR(__xludf.DUMMYFUNCTION("IF(L2005="""","""",QUERY({'Dashboard-Dados'!$Y$2:$AA$13},""Select Col2 Where Col1=""&amp;L2005))"),"")</f>
        <v/>
      </c>
      <c r="N2005" s="29" t="str">
        <f>IFERROR(__xludf.DUMMYFUNCTION("IF(ISBLANK(B2005),"""",IF(ISDATE(B2005),TEXT(B2005,""yyyy""),""""))"),"")</f>
        <v/>
      </c>
    </row>
    <row r="2006">
      <c r="B2006" s="89"/>
      <c r="C2006" s="86"/>
      <c r="D2006" s="71"/>
      <c r="H2006" s="90"/>
      <c r="J2006" s="53" t="str">
        <f>IFERROR(__xludf.DUMMYFUNCTION("IF(ISBLANK(B2006),"""",IF(ISDATE(B2006),""X"",""""))"),"")</f>
        <v/>
      </c>
      <c r="K2006" s="40" t="str">
        <f>IFERROR(__xludf.DUMMYFUNCTION("IF(ISBLANK(B2006),"""",IF(ISDATE(B2006),H2006,""""))"),"")</f>
        <v/>
      </c>
      <c r="L2006" s="40" t="str">
        <f>IFERROR(__xludf.DUMMYFUNCTION("IF(ISBLANK(B2006),"""",IF(ISDATE(B2006),TEXT(B2006,""M""),""""))"),"")</f>
        <v/>
      </c>
      <c r="M2006" s="29" t="str">
        <f>IFERROR(__xludf.DUMMYFUNCTION("IF(L2006="""","""",QUERY({'Dashboard-Dados'!$Y$2:$AA$13},""Select Col2 Where Col1=""&amp;L2006))"),"")</f>
        <v/>
      </c>
      <c r="N2006" s="29" t="str">
        <f>IFERROR(__xludf.DUMMYFUNCTION("IF(ISBLANK(B2006),"""",IF(ISDATE(B2006),TEXT(B2006,""yyyy""),""""))"),"")</f>
        <v/>
      </c>
    </row>
    <row r="2007">
      <c r="B2007" s="87"/>
      <c r="C2007" s="85"/>
      <c r="D2007" s="76"/>
      <c r="H2007" s="88"/>
      <c r="J2007" s="53" t="str">
        <f>IFERROR(__xludf.DUMMYFUNCTION("IF(ISBLANK(B2007),"""",IF(ISDATE(B2007),""X"",""""))"),"")</f>
        <v/>
      </c>
      <c r="K2007" s="40" t="str">
        <f>IFERROR(__xludf.DUMMYFUNCTION("IF(ISBLANK(B2007),"""",IF(ISDATE(B2007),H2007,""""))"),"")</f>
        <v/>
      </c>
      <c r="L2007" s="40" t="str">
        <f>IFERROR(__xludf.DUMMYFUNCTION("IF(ISBLANK(B2007),"""",IF(ISDATE(B2007),TEXT(B2007,""M""),""""))"),"")</f>
        <v/>
      </c>
      <c r="M2007" s="29" t="str">
        <f>IFERROR(__xludf.DUMMYFUNCTION("IF(L2007="""","""",QUERY({'Dashboard-Dados'!$Y$2:$AA$13},""Select Col2 Where Col1=""&amp;L2007))"),"")</f>
        <v/>
      </c>
      <c r="N2007" s="29" t="str">
        <f>IFERROR(__xludf.DUMMYFUNCTION("IF(ISBLANK(B2007),"""",IF(ISDATE(B2007),TEXT(B2007,""yyyy""),""""))"),"")</f>
        <v/>
      </c>
    </row>
    <row r="2008">
      <c r="B2008" s="89"/>
      <c r="C2008" s="86"/>
      <c r="D2008" s="71"/>
      <c r="H2008" s="90"/>
      <c r="J2008" s="53" t="str">
        <f>IFERROR(__xludf.DUMMYFUNCTION("IF(ISBLANK(B2008),"""",IF(ISDATE(B2008),""X"",""""))"),"")</f>
        <v/>
      </c>
      <c r="K2008" s="40" t="str">
        <f>IFERROR(__xludf.DUMMYFUNCTION("IF(ISBLANK(B2008),"""",IF(ISDATE(B2008),H2008,""""))"),"")</f>
        <v/>
      </c>
      <c r="L2008" s="40" t="str">
        <f>IFERROR(__xludf.DUMMYFUNCTION("IF(ISBLANK(B2008),"""",IF(ISDATE(B2008),TEXT(B2008,""M""),""""))"),"")</f>
        <v/>
      </c>
      <c r="M2008" s="29" t="str">
        <f>IFERROR(__xludf.DUMMYFUNCTION("IF(L2008="""","""",QUERY({'Dashboard-Dados'!$Y$2:$AA$13},""Select Col2 Where Col1=""&amp;L2008))"),"")</f>
        <v/>
      </c>
      <c r="N2008" s="29" t="str">
        <f>IFERROR(__xludf.DUMMYFUNCTION("IF(ISBLANK(B2008),"""",IF(ISDATE(B2008),TEXT(B2008,""yyyy""),""""))"),"")</f>
        <v/>
      </c>
    </row>
    <row r="2009">
      <c r="B2009" s="87"/>
      <c r="C2009" s="85"/>
      <c r="D2009" s="76"/>
      <c r="H2009" s="88"/>
      <c r="J2009" s="53" t="str">
        <f>IFERROR(__xludf.DUMMYFUNCTION("IF(ISBLANK(B2009),"""",IF(ISDATE(B2009),""X"",""""))"),"")</f>
        <v/>
      </c>
      <c r="K2009" s="40" t="str">
        <f>IFERROR(__xludf.DUMMYFUNCTION("IF(ISBLANK(B2009),"""",IF(ISDATE(B2009),H2009,""""))"),"")</f>
        <v/>
      </c>
      <c r="L2009" s="40" t="str">
        <f>IFERROR(__xludf.DUMMYFUNCTION("IF(ISBLANK(B2009),"""",IF(ISDATE(B2009),TEXT(B2009,""M""),""""))"),"")</f>
        <v/>
      </c>
      <c r="M2009" s="29" t="str">
        <f>IFERROR(__xludf.DUMMYFUNCTION("IF(L2009="""","""",QUERY({'Dashboard-Dados'!$Y$2:$AA$13},""Select Col2 Where Col1=""&amp;L2009))"),"")</f>
        <v/>
      </c>
      <c r="N2009" s="29" t="str">
        <f>IFERROR(__xludf.DUMMYFUNCTION("IF(ISBLANK(B2009),"""",IF(ISDATE(B2009),TEXT(B2009,""yyyy""),""""))"),"")</f>
        <v/>
      </c>
    </row>
    <row r="2010">
      <c r="B2010" s="89"/>
      <c r="C2010" s="86"/>
      <c r="D2010" s="71"/>
      <c r="H2010" s="90"/>
      <c r="J2010" s="53" t="str">
        <f>IFERROR(__xludf.DUMMYFUNCTION("IF(ISBLANK(B2010),"""",IF(ISDATE(B2010),""X"",""""))"),"")</f>
        <v/>
      </c>
      <c r="K2010" s="40" t="str">
        <f>IFERROR(__xludf.DUMMYFUNCTION("IF(ISBLANK(B2010),"""",IF(ISDATE(B2010),H2010,""""))"),"")</f>
        <v/>
      </c>
      <c r="L2010" s="40" t="str">
        <f>IFERROR(__xludf.DUMMYFUNCTION("IF(ISBLANK(B2010),"""",IF(ISDATE(B2010),TEXT(B2010,""M""),""""))"),"")</f>
        <v/>
      </c>
      <c r="M2010" s="29" t="str">
        <f>IFERROR(__xludf.DUMMYFUNCTION("IF(L2010="""","""",QUERY({'Dashboard-Dados'!$Y$2:$AA$13},""Select Col2 Where Col1=""&amp;L2010))"),"")</f>
        <v/>
      </c>
      <c r="N2010" s="29" t="str">
        <f>IFERROR(__xludf.DUMMYFUNCTION("IF(ISBLANK(B2010),"""",IF(ISDATE(B2010),TEXT(B2010,""yyyy""),""""))"),"")</f>
        <v/>
      </c>
    </row>
    <row r="2011">
      <c r="B2011" s="87"/>
      <c r="C2011" s="85"/>
      <c r="D2011" s="76"/>
      <c r="H2011" s="88"/>
      <c r="J2011" s="53" t="str">
        <f>IFERROR(__xludf.DUMMYFUNCTION("IF(ISBLANK(B2011),"""",IF(ISDATE(B2011),""X"",""""))"),"")</f>
        <v/>
      </c>
      <c r="K2011" s="40" t="str">
        <f>IFERROR(__xludf.DUMMYFUNCTION("IF(ISBLANK(B2011),"""",IF(ISDATE(B2011),H2011,""""))"),"")</f>
        <v/>
      </c>
      <c r="L2011" s="40" t="str">
        <f>IFERROR(__xludf.DUMMYFUNCTION("IF(ISBLANK(B2011),"""",IF(ISDATE(B2011),TEXT(B2011,""M""),""""))"),"")</f>
        <v/>
      </c>
      <c r="M2011" s="29" t="str">
        <f>IFERROR(__xludf.DUMMYFUNCTION("IF(L2011="""","""",QUERY({'Dashboard-Dados'!$Y$2:$AA$13},""Select Col2 Where Col1=""&amp;L2011))"),"")</f>
        <v/>
      </c>
      <c r="N2011" s="29" t="str">
        <f>IFERROR(__xludf.DUMMYFUNCTION("IF(ISBLANK(B2011),"""",IF(ISDATE(B2011),TEXT(B2011,""yyyy""),""""))"),"")</f>
        <v/>
      </c>
    </row>
    <row r="2012">
      <c r="B2012" s="89"/>
      <c r="C2012" s="86"/>
      <c r="D2012" s="71"/>
      <c r="H2012" s="90"/>
      <c r="J2012" s="53" t="str">
        <f>IFERROR(__xludf.DUMMYFUNCTION("IF(ISBLANK(B2012),"""",IF(ISDATE(B2012),""X"",""""))"),"")</f>
        <v/>
      </c>
      <c r="K2012" s="40" t="str">
        <f>IFERROR(__xludf.DUMMYFUNCTION("IF(ISBLANK(B2012),"""",IF(ISDATE(B2012),H2012,""""))"),"")</f>
        <v/>
      </c>
      <c r="L2012" s="40" t="str">
        <f>IFERROR(__xludf.DUMMYFUNCTION("IF(ISBLANK(B2012),"""",IF(ISDATE(B2012),TEXT(B2012,""M""),""""))"),"")</f>
        <v/>
      </c>
      <c r="M2012" s="29" t="str">
        <f>IFERROR(__xludf.DUMMYFUNCTION("IF(L2012="""","""",QUERY({'Dashboard-Dados'!$Y$2:$AA$13},""Select Col2 Where Col1=""&amp;L2012))"),"")</f>
        <v/>
      </c>
      <c r="N2012" s="29" t="str">
        <f>IFERROR(__xludf.DUMMYFUNCTION("IF(ISBLANK(B2012),"""",IF(ISDATE(B2012),TEXT(B2012,""yyyy""),""""))"),"")</f>
        <v/>
      </c>
    </row>
    <row r="2013">
      <c r="B2013" s="87"/>
      <c r="C2013" s="85"/>
      <c r="D2013" s="76"/>
      <c r="H2013" s="88"/>
      <c r="J2013" s="53" t="str">
        <f>IFERROR(__xludf.DUMMYFUNCTION("IF(ISBLANK(B2013),"""",IF(ISDATE(B2013),""X"",""""))"),"")</f>
        <v/>
      </c>
      <c r="K2013" s="40" t="str">
        <f>IFERROR(__xludf.DUMMYFUNCTION("IF(ISBLANK(B2013),"""",IF(ISDATE(B2013),H2013,""""))"),"")</f>
        <v/>
      </c>
      <c r="L2013" s="40" t="str">
        <f>IFERROR(__xludf.DUMMYFUNCTION("IF(ISBLANK(B2013),"""",IF(ISDATE(B2013),TEXT(B2013,""M""),""""))"),"")</f>
        <v/>
      </c>
      <c r="M2013" s="29" t="str">
        <f>IFERROR(__xludf.DUMMYFUNCTION("IF(L2013="""","""",QUERY({'Dashboard-Dados'!$Y$2:$AA$13},""Select Col2 Where Col1=""&amp;L2013))"),"")</f>
        <v/>
      </c>
      <c r="N2013" s="29" t="str">
        <f>IFERROR(__xludf.DUMMYFUNCTION("IF(ISBLANK(B2013),"""",IF(ISDATE(B2013),TEXT(B2013,""yyyy""),""""))"),"")</f>
        <v/>
      </c>
    </row>
    <row r="2014">
      <c r="B2014" s="89"/>
      <c r="C2014" s="86"/>
      <c r="D2014" s="71"/>
      <c r="H2014" s="90"/>
      <c r="J2014" s="53" t="str">
        <f>IFERROR(__xludf.DUMMYFUNCTION("IF(ISBLANK(B2014),"""",IF(ISDATE(B2014),""X"",""""))"),"")</f>
        <v/>
      </c>
      <c r="K2014" s="40" t="str">
        <f>IFERROR(__xludf.DUMMYFUNCTION("IF(ISBLANK(B2014),"""",IF(ISDATE(B2014),H2014,""""))"),"")</f>
        <v/>
      </c>
      <c r="L2014" s="40" t="str">
        <f>IFERROR(__xludf.DUMMYFUNCTION("IF(ISBLANK(B2014),"""",IF(ISDATE(B2014),TEXT(B2014,""M""),""""))"),"")</f>
        <v/>
      </c>
      <c r="M2014" s="29" t="str">
        <f>IFERROR(__xludf.DUMMYFUNCTION("IF(L2014="""","""",QUERY({'Dashboard-Dados'!$Y$2:$AA$13},""Select Col2 Where Col1=""&amp;L2014))"),"")</f>
        <v/>
      </c>
      <c r="N2014" s="29" t="str">
        <f>IFERROR(__xludf.DUMMYFUNCTION("IF(ISBLANK(B2014),"""",IF(ISDATE(B2014),TEXT(B2014,""yyyy""),""""))"),"")</f>
        <v/>
      </c>
    </row>
    <row r="2015">
      <c r="B2015" s="87"/>
      <c r="C2015" s="85"/>
      <c r="D2015" s="76"/>
      <c r="H2015" s="88"/>
      <c r="J2015" s="53" t="str">
        <f>IFERROR(__xludf.DUMMYFUNCTION("IF(ISBLANK(B2015),"""",IF(ISDATE(B2015),""X"",""""))"),"")</f>
        <v/>
      </c>
      <c r="K2015" s="40" t="str">
        <f>IFERROR(__xludf.DUMMYFUNCTION("IF(ISBLANK(B2015),"""",IF(ISDATE(B2015),H2015,""""))"),"")</f>
        <v/>
      </c>
      <c r="L2015" s="40" t="str">
        <f>IFERROR(__xludf.DUMMYFUNCTION("IF(ISBLANK(B2015),"""",IF(ISDATE(B2015),TEXT(B2015,""M""),""""))"),"")</f>
        <v/>
      </c>
      <c r="M2015" s="29" t="str">
        <f>IFERROR(__xludf.DUMMYFUNCTION("IF(L2015="""","""",QUERY({'Dashboard-Dados'!$Y$2:$AA$13},""Select Col2 Where Col1=""&amp;L2015))"),"")</f>
        <v/>
      </c>
      <c r="N2015" s="29" t="str">
        <f>IFERROR(__xludf.DUMMYFUNCTION("IF(ISBLANK(B2015),"""",IF(ISDATE(B2015),TEXT(B2015,""yyyy""),""""))"),"")</f>
        <v/>
      </c>
    </row>
    <row r="2016">
      <c r="B2016" s="89"/>
      <c r="C2016" s="86"/>
      <c r="D2016" s="71"/>
      <c r="H2016" s="90"/>
      <c r="J2016" s="53" t="str">
        <f>IFERROR(__xludf.DUMMYFUNCTION("IF(ISBLANK(B2016),"""",IF(ISDATE(B2016),""X"",""""))"),"")</f>
        <v/>
      </c>
      <c r="K2016" s="40" t="str">
        <f>IFERROR(__xludf.DUMMYFUNCTION("IF(ISBLANK(B2016),"""",IF(ISDATE(B2016),H2016,""""))"),"")</f>
        <v/>
      </c>
      <c r="L2016" s="40" t="str">
        <f>IFERROR(__xludf.DUMMYFUNCTION("IF(ISBLANK(B2016),"""",IF(ISDATE(B2016),TEXT(B2016,""M""),""""))"),"")</f>
        <v/>
      </c>
      <c r="M2016" s="29" t="str">
        <f>IFERROR(__xludf.DUMMYFUNCTION("IF(L2016="""","""",QUERY({'Dashboard-Dados'!$Y$2:$AA$13},""Select Col2 Where Col1=""&amp;L2016))"),"")</f>
        <v/>
      </c>
      <c r="N2016" s="29" t="str">
        <f>IFERROR(__xludf.DUMMYFUNCTION("IF(ISBLANK(B2016),"""",IF(ISDATE(B2016),TEXT(B2016,""yyyy""),""""))"),"")</f>
        <v/>
      </c>
    </row>
    <row r="2017">
      <c r="B2017" s="87"/>
      <c r="C2017" s="85"/>
      <c r="D2017" s="76"/>
      <c r="H2017" s="88"/>
      <c r="J2017" s="53" t="str">
        <f>IFERROR(__xludf.DUMMYFUNCTION("IF(ISBLANK(B2017),"""",IF(ISDATE(B2017),""X"",""""))"),"")</f>
        <v/>
      </c>
      <c r="K2017" s="40" t="str">
        <f>IFERROR(__xludf.DUMMYFUNCTION("IF(ISBLANK(B2017),"""",IF(ISDATE(B2017),H2017,""""))"),"")</f>
        <v/>
      </c>
      <c r="L2017" s="40" t="str">
        <f>IFERROR(__xludf.DUMMYFUNCTION("IF(ISBLANK(B2017),"""",IF(ISDATE(B2017),TEXT(B2017,""M""),""""))"),"")</f>
        <v/>
      </c>
      <c r="M2017" s="29" t="str">
        <f>IFERROR(__xludf.DUMMYFUNCTION("IF(L2017="""","""",QUERY({'Dashboard-Dados'!$Y$2:$AA$13},""Select Col2 Where Col1=""&amp;L2017))"),"")</f>
        <v/>
      </c>
      <c r="N2017" s="29" t="str">
        <f>IFERROR(__xludf.DUMMYFUNCTION("IF(ISBLANK(B2017),"""",IF(ISDATE(B2017),TEXT(B2017,""yyyy""),""""))"),"")</f>
        <v/>
      </c>
    </row>
    <row r="2018">
      <c r="B2018" s="89"/>
      <c r="C2018" s="86"/>
      <c r="D2018" s="71"/>
      <c r="H2018" s="90"/>
      <c r="J2018" s="53" t="str">
        <f>IFERROR(__xludf.DUMMYFUNCTION("IF(ISBLANK(B2018),"""",IF(ISDATE(B2018),""X"",""""))"),"")</f>
        <v/>
      </c>
      <c r="K2018" s="40" t="str">
        <f>IFERROR(__xludf.DUMMYFUNCTION("IF(ISBLANK(B2018),"""",IF(ISDATE(B2018),H2018,""""))"),"")</f>
        <v/>
      </c>
      <c r="L2018" s="40" t="str">
        <f>IFERROR(__xludf.DUMMYFUNCTION("IF(ISBLANK(B2018),"""",IF(ISDATE(B2018),TEXT(B2018,""M""),""""))"),"")</f>
        <v/>
      </c>
      <c r="M2018" s="29" t="str">
        <f>IFERROR(__xludf.DUMMYFUNCTION("IF(L2018="""","""",QUERY({'Dashboard-Dados'!$Y$2:$AA$13},""Select Col2 Where Col1=""&amp;L2018))"),"")</f>
        <v/>
      </c>
      <c r="N2018" s="29" t="str">
        <f>IFERROR(__xludf.DUMMYFUNCTION("IF(ISBLANK(B2018),"""",IF(ISDATE(B2018),TEXT(B2018,""yyyy""),""""))"),"")</f>
        <v/>
      </c>
    </row>
    <row r="2019">
      <c r="B2019" s="87"/>
      <c r="C2019" s="85"/>
      <c r="D2019" s="76"/>
      <c r="H2019" s="88"/>
      <c r="J2019" s="53" t="str">
        <f>IFERROR(__xludf.DUMMYFUNCTION("IF(ISBLANK(B2019),"""",IF(ISDATE(B2019),""X"",""""))"),"")</f>
        <v/>
      </c>
      <c r="K2019" s="40" t="str">
        <f>IFERROR(__xludf.DUMMYFUNCTION("IF(ISBLANK(B2019),"""",IF(ISDATE(B2019),H2019,""""))"),"")</f>
        <v/>
      </c>
      <c r="L2019" s="40" t="str">
        <f>IFERROR(__xludf.DUMMYFUNCTION("IF(ISBLANK(B2019),"""",IF(ISDATE(B2019),TEXT(B2019,""M""),""""))"),"")</f>
        <v/>
      </c>
      <c r="M2019" s="29" t="str">
        <f>IFERROR(__xludf.DUMMYFUNCTION("IF(L2019="""","""",QUERY({'Dashboard-Dados'!$Y$2:$AA$13},""Select Col2 Where Col1=""&amp;L2019))"),"")</f>
        <v/>
      </c>
      <c r="N2019" s="29" t="str">
        <f>IFERROR(__xludf.DUMMYFUNCTION("IF(ISBLANK(B2019),"""",IF(ISDATE(B2019),TEXT(B2019,""yyyy""),""""))"),"")</f>
        <v/>
      </c>
    </row>
    <row r="2020">
      <c r="B2020" s="89"/>
      <c r="C2020" s="86"/>
      <c r="D2020" s="71"/>
      <c r="H2020" s="90"/>
      <c r="J2020" s="53" t="str">
        <f>IFERROR(__xludf.DUMMYFUNCTION("IF(ISBLANK(B2020),"""",IF(ISDATE(B2020),""X"",""""))"),"")</f>
        <v/>
      </c>
      <c r="K2020" s="40" t="str">
        <f>IFERROR(__xludf.DUMMYFUNCTION("IF(ISBLANK(B2020),"""",IF(ISDATE(B2020),H2020,""""))"),"")</f>
        <v/>
      </c>
      <c r="L2020" s="40" t="str">
        <f>IFERROR(__xludf.DUMMYFUNCTION("IF(ISBLANK(B2020),"""",IF(ISDATE(B2020),TEXT(B2020,""M""),""""))"),"")</f>
        <v/>
      </c>
      <c r="M2020" s="29" t="str">
        <f>IFERROR(__xludf.DUMMYFUNCTION("IF(L2020="""","""",QUERY({'Dashboard-Dados'!$Y$2:$AA$13},""Select Col2 Where Col1=""&amp;L2020))"),"")</f>
        <v/>
      </c>
      <c r="N2020" s="29" t="str">
        <f>IFERROR(__xludf.DUMMYFUNCTION("IF(ISBLANK(B2020),"""",IF(ISDATE(B2020),TEXT(B2020,""yyyy""),""""))"),"")</f>
        <v/>
      </c>
    </row>
    <row r="2021">
      <c r="B2021" s="87"/>
      <c r="C2021" s="85"/>
      <c r="D2021" s="76"/>
      <c r="H2021" s="88"/>
      <c r="J2021" s="53" t="str">
        <f>IFERROR(__xludf.DUMMYFUNCTION("IF(ISBLANK(B2021),"""",IF(ISDATE(B2021),""X"",""""))"),"")</f>
        <v/>
      </c>
      <c r="K2021" s="40" t="str">
        <f>IFERROR(__xludf.DUMMYFUNCTION("IF(ISBLANK(B2021),"""",IF(ISDATE(B2021),H2021,""""))"),"")</f>
        <v/>
      </c>
      <c r="L2021" s="40" t="str">
        <f>IFERROR(__xludf.DUMMYFUNCTION("IF(ISBLANK(B2021),"""",IF(ISDATE(B2021),TEXT(B2021,""M""),""""))"),"")</f>
        <v/>
      </c>
      <c r="M2021" s="29" t="str">
        <f>IFERROR(__xludf.DUMMYFUNCTION("IF(L2021="""","""",QUERY({'Dashboard-Dados'!$Y$2:$AA$13},""Select Col2 Where Col1=""&amp;L2021))"),"")</f>
        <v/>
      </c>
      <c r="N2021" s="29" t="str">
        <f>IFERROR(__xludf.DUMMYFUNCTION("IF(ISBLANK(B2021),"""",IF(ISDATE(B2021),TEXT(B2021,""yyyy""),""""))"),"")</f>
        <v/>
      </c>
    </row>
    <row r="2022">
      <c r="B2022" s="89"/>
      <c r="C2022" s="86"/>
      <c r="D2022" s="71"/>
      <c r="H2022" s="90"/>
      <c r="J2022" s="53" t="str">
        <f>IFERROR(__xludf.DUMMYFUNCTION("IF(ISBLANK(B2022),"""",IF(ISDATE(B2022),""X"",""""))"),"")</f>
        <v/>
      </c>
      <c r="K2022" s="40" t="str">
        <f>IFERROR(__xludf.DUMMYFUNCTION("IF(ISBLANK(B2022),"""",IF(ISDATE(B2022),H2022,""""))"),"")</f>
        <v/>
      </c>
      <c r="L2022" s="40" t="str">
        <f>IFERROR(__xludf.DUMMYFUNCTION("IF(ISBLANK(B2022),"""",IF(ISDATE(B2022),TEXT(B2022,""M""),""""))"),"")</f>
        <v/>
      </c>
      <c r="M2022" s="29" t="str">
        <f>IFERROR(__xludf.DUMMYFUNCTION("IF(L2022="""","""",QUERY({'Dashboard-Dados'!$Y$2:$AA$13},""Select Col2 Where Col1=""&amp;L2022))"),"")</f>
        <v/>
      </c>
      <c r="N2022" s="29" t="str">
        <f>IFERROR(__xludf.DUMMYFUNCTION("IF(ISBLANK(B2022),"""",IF(ISDATE(B2022),TEXT(B2022,""yyyy""),""""))"),"")</f>
        <v/>
      </c>
    </row>
    <row r="2023">
      <c r="B2023" s="87"/>
      <c r="C2023" s="85"/>
      <c r="D2023" s="76"/>
      <c r="H2023" s="88"/>
      <c r="J2023" s="53" t="str">
        <f>IFERROR(__xludf.DUMMYFUNCTION("IF(ISBLANK(B2023),"""",IF(ISDATE(B2023),""X"",""""))"),"")</f>
        <v/>
      </c>
      <c r="K2023" s="40" t="str">
        <f>IFERROR(__xludf.DUMMYFUNCTION("IF(ISBLANK(B2023),"""",IF(ISDATE(B2023),H2023,""""))"),"")</f>
        <v/>
      </c>
      <c r="L2023" s="40" t="str">
        <f>IFERROR(__xludf.DUMMYFUNCTION("IF(ISBLANK(B2023),"""",IF(ISDATE(B2023),TEXT(B2023,""M""),""""))"),"")</f>
        <v/>
      </c>
      <c r="M2023" s="29" t="str">
        <f>IFERROR(__xludf.DUMMYFUNCTION("IF(L2023="""","""",QUERY({'Dashboard-Dados'!$Y$2:$AA$13},""Select Col2 Where Col1=""&amp;L2023))"),"")</f>
        <v/>
      </c>
      <c r="N2023" s="29" t="str">
        <f>IFERROR(__xludf.DUMMYFUNCTION("IF(ISBLANK(B2023),"""",IF(ISDATE(B2023),TEXT(B2023,""yyyy""),""""))"),"")</f>
        <v/>
      </c>
    </row>
    <row r="2024">
      <c r="B2024" s="89"/>
      <c r="C2024" s="86"/>
      <c r="D2024" s="71"/>
      <c r="H2024" s="90"/>
      <c r="J2024" s="53" t="str">
        <f>IFERROR(__xludf.DUMMYFUNCTION("IF(ISBLANK(B2024),"""",IF(ISDATE(B2024),""X"",""""))"),"")</f>
        <v/>
      </c>
      <c r="K2024" s="40" t="str">
        <f>IFERROR(__xludf.DUMMYFUNCTION("IF(ISBLANK(B2024),"""",IF(ISDATE(B2024),H2024,""""))"),"")</f>
        <v/>
      </c>
      <c r="L2024" s="40" t="str">
        <f>IFERROR(__xludf.DUMMYFUNCTION("IF(ISBLANK(B2024),"""",IF(ISDATE(B2024),TEXT(B2024,""M""),""""))"),"")</f>
        <v/>
      </c>
      <c r="M2024" s="29" t="str">
        <f>IFERROR(__xludf.DUMMYFUNCTION("IF(L2024="""","""",QUERY({'Dashboard-Dados'!$Y$2:$AA$13},""Select Col2 Where Col1=""&amp;L2024))"),"")</f>
        <v/>
      </c>
      <c r="N2024" s="29" t="str">
        <f>IFERROR(__xludf.DUMMYFUNCTION("IF(ISBLANK(B2024),"""",IF(ISDATE(B2024),TEXT(B2024,""yyyy""),""""))"),"")</f>
        <v/>
      </c>
    </row>
    <row r="2025">
      <c r="B2025" s="87"/>
      <c r="C2025" s="85"/>
      <c r="D2025" s="76"/>
      <c r="H2025" s="88"/>
      <c r="J2025" s="53" t="str">
        <f>IFERROR(__xludf.DUMMYFUNCTION("IF(ISBLANK(B2025),"""",IF(ISDATE(B2025),""X"",""""))"),"")</f>
        <v/>
      </c>
      <c r="K2025" s="40" t="str">
        <f>IFERROR(__xludf.DUMMYFUNCTION("IF(ISBLANK(B2025),"""",IF(ISDATE(B2025),H2025,""""))"),"")</f>
        <v/>
      </c>
      <c r="L2025" s="40" t="str">
        <f>IFERROR(__xludf.DUMMYFUNCTION("IF(ISBLANK(B2025),"""",IF(ISDATE(B2025),TEXT(B2025,""M""),""""))"),"")</f>
        <v/>
      </c>
      <c r="M2025" s="29" t="str">
        <f>IFERROR(__xludf.DUMMYFUNCTION("IF(L2025="""","""",QUERY({'Dashboard-Dados'!$Y$2:$AA$13},""Select Col2 Where Col1=""&amp;L2025))"),"")</f>
        <v/>
      </c>
      <c r="N2025" s="29" t="str">
        <f>IFERROR(__xludf.DUMMYFUNCTION("IF(ISBLANK(B2025),"""",IF(ISDATE(B2025),TEXT(B2025,""yyyy""),""""))"),"")</f>
        <v/>
      </c>
    </row>
    <row r="2026">
      <c r="B2026" s="89"/>
      <c r="C2026" s="86"/>
      <c r="D2026" s="71"/>
      <c r="H2026" s="90"/>
      <c r="J2026" s="53" t="str">
        <f>IFERROR(__xludf.DUMMYFUNCTION("IF(ISBLANK(B2026),"""",IF(ISDATE(B2026),""X"",""""))"),"")</f>
        <v/>
      </c>
      <c r="K2026" s="40" t="str">
        <f>IFERROR(__xludf.DUMMYFUNCTION("IF(ISBLANK(B2026),"""",IF(ISDATE(B2026),H2026,""""))"),"")</f>
        <v/>
      </c>
      <c r="L2026" s="40" t="str">
        <f>IFERROR(__xludf.DUMMYFUNCTION("IF(ISBLANK(B2026),"""",IF(ISDATE(B2026),TEXT(B2026,""M""),""""))"),"")</f>
        <v/>
      </c>
      <c r="M2026" s="29" t="str">
        <f>IFERROR(__xludf.DUMMYFUNCTION("IF(L2026="""","""",QUERY({'Dashboard-Dados'!$Y$2:$AA$13},""Select Col2 Where Col1=""&amp;L2026))"),"")</f>
        <v/>
      </c>
      <c r="N2026" s="29" t="str">
        <f>IFERROR(__xludf.DUMMYFUNCTION("IF(ISBLANK(B2026),"""",IF(ISDATE(B2026),TEXT(B2026,""yyyy""),""""))"),"")</f>
        <v/>
      </c>
    </row>
    <row r="2027">
      <c r="B2027" s="87"/>
      <c r="C2027" s="85"/>
      <c r="D2027" s="76"/>
      <c r="H2027" s="88"/>
      <c r="J2027" s="53" t="str">
        <f>IFERROR(__xludf.DUMMYFUNCTION("IF(ISBLANK(B2027),"""",IF(ISDATE(B2027),""X"",""""))"),"")</f>
        <v/>
      </c>
      <c r="K2027" s="40" t="str">
        <f>IFERROR(__xludf.DUMMYFUNCTION("IF(ISBLANK(B2027),"""",IF(ISDATE(B2027),H2027,""""))"),"")</f>
        <v/>
      </c>
      <c r="L2027" s="40" t="str">
        <f>IFERROR(__xludf.DUMMYFUNCTION("IF(ISBLANK(B2027),"""",IF(ISDATE(B2027),TEXT(B2027,""M""),""""))"),"")</f>
        <v/>
      </c>
      <c r="M2027" s="29" t="str">
        <f>IFERROR(__xludf.DUMMYFUNCTION("IF(L2027="""","""",QUERY({'Dashboard-Dados'!$Y$2:$AA$13},""Select Col2 Where Col1=""&amp;L2027))"),"")</f>
        <v/>
      </c>
      <c r="N2027" s="29" t="str">
        <f>IFERROR(__xludf.DUMMYFUNCTION("IF(ISBLANK(B2027),"""",IF(ISDATE(B2027),TEXT(B2027,""yyyy""),""""))"),"")</f>
        <v/>
      </c>
    </row>
    <row r="2028">
      <c r="B2028" s="89"/>
      <c r="C2028" s="86"/>
      <c r="D2028" s="71"/>
      <c r="H2028" s="90"/>
      <c r="J2028" s="53" t="str">
        <f>IFERROR(__xludf.DUMMYFUNCTION("IF(ISBLANK(B2028),"""",IF(ISDATE(B2028),""X"",""""))"),"")</f>
        <v/>
      </c>
      <c r="K2028" s="40" t="str">
        <f>IFERROR(__xludf.DUMMYFUNCTION("IF(ISBLANK(B2028),"""",IF(ISDATE(B2028),H2028,""""))"),"")</f>
        <v/>
      </c>
      <c r="L2028" s="40" t="str">
        <f>IFERROR(__xludf.DUMMYFUNCTION("IF(ISBLANK(B2028),"""",IF(ISDATE(B2028),TEXT(B2028,""M""),""""))"),"")</f>
        <v/>
      </c>
      <c r="M2028" s="29" t="str">
        <f>IFERROR(__xludf.DUMMYFUNCTION("IF(L2028="""","""",QUERY({'Dashboard-Dados'!$Y$2:$AA$13},""Select Col2 Where Col1=""&amp;L2028))"),"")</f>
        <v/>
      </c>
      <c r="N2028" s="29" t="str">
        <f>IFERROR(__xludf.DUMMYFUNCTION("IF(ISBLANK(B2028),"""",IF(ISDATE(B2028),TEXT(B2028,""yyyy""),""""))"),"")</f>
        <v/>
      </c>
    </row>
    <row r="2029">
      <c r="B2029" s="87"/>
      <c r="C2029" s="85"/>
      <c r="D2029" s="76"/>
      <c r="H2029" s="88"/>
      <c r="J2029" s="53" t="str">
        <f>IFERROR(__xludf.DUMMYFUNCTION("IF(ISBLANK(B2029),"""",IF(ISDATE(B2029),""X"",""""))"),"")</f>
        <v/>
      </c>
      <c r="K2029" s="40" t="str">
        <f>IFERROR(__xludf.DUMMYFUNCTION("IF(ISBLANK(B2029),"""",IF(ISDATE(B2029),H2029,""""))"),"")</f>
        <v/>
      </c>
      <c r="L2029" s="40" t="str">
        <f>IFERROR(__xludf.DUMMYFUNCTION("IF(ISBLANK(B2029),"""",IF(ISDATE(B2029),TEXT(B2029,""M""),""""))"),"")</f>
        <v/>
      </c>
      <c r="M2029" s="29" t="str">
        <f>IFERROR(__xludf.DUMMYFUNCTION("IF(L2029="""","""",QUERY({'Dashboard-Dados'!$Y$2:$AA$13},""Select Col2 Where Col1=""&amp;L2029))"),"")</f>
        <v/>
      </c>
      <c r="N2029" s="29" t="str">
        <f>IFERROR(__xludf.DUMMYFUNCTION("IF(ISBLANK(B2029),"""",IF(ISDATE(B2029),TEXT(B2029,""yyyy""),""""))"),"")</f>
        <v/>
      </c>
    </row>
    <row r="2030">
      <c r="B2030" s="89"/>
      <c r="C2030" s="86"/>
      <c r="D2030" s="71"/>
      <c r="H2030" s="90"/>
      <c r="J2030" s="53" t="str">
        <f>IFERROR(__xludf.DUMMYFUNCTION("IF(ISBLANK(B2030),"""",IF(ISDATE(B2030),""X"",""""))"),"")</f>
        <v/>
      </c>
      <c r="K2030" s="40" t="str">
        <f>IFERROR(__xludf.DUMMYFUNCTION("IF(ISBLANK(B2030),"""",IF(ISDATE(B2030),H2030,""""))"),"")</f>
        <v/>
      </c>
      <c r="L2030" s="40" t="str">
        <f>IFERROR(__xludf.DUMMYFUNCTION("IF(ISBLANK(B2030),"""",IF(ISDATE(B2030),TEXT(B2030,""M""),""""))"),"")</f>
        <v/>
      </c>
      <c r="M2030" s="29" t="str">
        <f>IFERROR(__xludf.DUMMYFUNCTION("IF(L2030="""","""",QUERY({'Dashboard-Dados'!$Y$2:$AA$13},""Select Col2 Where Col1=""&amp;L2030))"),"")</f>
        <v/>
      </c>
      <c r="N2030" s="29" t="str">
        <f>IFERROR(__xludf.DUMMYFUNCTION("IF(ISBLANK(B2030),"""",IF(ISDATE(B2030),TEXT(B2030,""yyyy""),""""))"),"")</f>
        <v/>
      </c>
    </row>
    <row r="2031">
      <c r="B2031" s="87"/>
      <c r="C2031" s="85"/>
      <c r="D2031" s="76"/>
      <c r="H2031" s="88"/>
      <c r="J2031" s="53" t="str">
        <f>IFERROR(__xludf.DUMMYFUNCTION("IF(ISBLANK(B2031),"""",IF(ISDATE(B2031),""X"",""""))"),"")</f>
        <v/>
      </c>
      <c r="K2031" s="40" t="str">
        <f>IFERROR(__xludf.DUMMYFUNCTION("IF(ISBLANK(B2031),"""",IF(ISDATE(B2031),H2031,""""))"),"")</f>
        <v/>
      </c>
      <c r="L2031" s="40" t="str">
        <f>IFERROR(__xludf.DUMMYFUNCTION("IF(ISBLANK(B2031),"""",IF(ISDATE(B2031),TEXT(B2031,""M""),""""))"),"")</f>
        <v/>
      </c>
      <c r="M2031" s="29" t="str">
        <f>IFERROR(__xludf.DUMMYFUNCTION("IF(L2031="""","""",QUERY({'Dashboard-Dados'!$Y$2:$AA$13},""Select Col2 Where Col1=""&amp;L2031))"),"")</f>
        <v/>
      </c>
      <c r="N2031" s="29" t="str">
        <f>IFERROR(__xludf.DUMMYFUNCTION("IF(ISBLANK(B2031),"""",IF(ISDATE(B2031),TEXT(B2031,""yyyy""),""""))"),"")</f>
        <v/>
      </c>
    </row>
    <row r="2032">
      <c r="B2032" s="89"/>
      <c r="C2032" s="86"/>
      <c r="D2032" s="71"/>
      <c r="H2032" s="90"/>
      <c r="J2032" s="53" t="str">
        <f>IFERROR(__xludf.DUMMYFUNCTION("IF(ISBLANK(B2032),"""",IF(ISDATE(B2032),""X"",""""))"),"")</f>
        <v/>
      </c>
      <c r="K2032" s="40" t="str">
        <f>IFERROR(__xludf.DUMMYFUNCTION("IF(ISBLANK(B2032),"""",IF(ISDATE(B2032),H2032,""""))"),"")</f>
        <v/>
      </c>
      <c r="L2032" s="40" t="str">
        <f>IFERROR(__xludf.DUMMYFUNCTION("IF(ISBLANK(B2032),"""",IF(ISDATE(B2032),TEXT(B2032,""M""),""""))"),"")</f>
        <v/>
      </c>
      <c r="M2032" s="29" t="str">
        <f>IFERROR(__xludf.DUMMYFUNCTION("IF(L2032="""","""",QUERY({'Dashboard-Dados'!$Y$2:$AA$13},""Select Col2 Where Col1=""&amp;L2032))"),"")</f>
        <v/>
      </c>
      <c r="N2032" s="29" t="str">
        <f>IFERROR(__xludf.DUMMYFUNCTION("IF(ISBLANK(B2032),"""",IF(ISDATE(B2032),TEXT(B2032,""yyyy""),""""))"),"")</f>
        <v/>
      </c>
    </row>
    <row r="2033">
      <c r="B2033" s="87"/>
      <c r="C2033" s="85"/>
      <c r="D2033" s="76"/>
      <c r="H2033" s="88"/>
      <c r="J2033" s="53" t="str">
        <f>IFERROR(__xludf.DUMMYFUNCTION("IF(ISBLANK(B2033),"""",IF(ISDATE(B2033),""X"",""""))"),"")</f>
        <v/>
      </c>
      <c r="K2033" s="40" t="str">
        <f>IFERROR(__xludf.DUMMYFUNCTION("IF(ISBLANK(B2033),"""",IF(ISDATE(B2033),H2033,""""))"),"")</f>
        <v/>
      </c>
      <c r="L2033" s="40" t="str">
        <f>IFERROR(__xludf.DUMMYFUNCTION("IF(ISBLANK(B2033),"""",IF(ISDATE(B2033),TEXT(B2033,""M""),""""))"),"")</f>
        <v/>
      </c>
      <c r="M2033" s="29" t="str">
        <f>IFERROR(__xludf.DUMMYFUNCTION("IF(L2033="""","""",QUERY({'Dashboard-Dados'!$Y$2:$AA$13},""Select Col2 Where Col1=""&amp;L2033))"),"")</f>
        <v/>
      </c>
      <c r="N2033" s="29" t="str">
        <f>IFERROR(__xludf.DUMMYFUNCTION("IF(ISBLANK(B2033),"""",IF(ISDATE(B2033),TEXT(B2033,""yyyy""),""""))"),"")</f>
        <v/>
      </c>
    </row>
    <row r="2034">
      <c r="B2034" s="89"/>
      <c r="C2034" s="86"/>
      <c r="D2034" s="71"/>
      <c r="H2034" s="90"/>
      <c r="J2034" s="53" t="str">
        <f>IFERROR(__xludf.DUMMYFUNCTION("IF(ISBLANK(B2034),"""",IF(ISDATE(B2034),""X"",""""))"),"")</f>
        <v/>
      </c>
      <c r="K2034" s="40" t="str">
        <f>IFERROR(__xludf.DUMMYFUNCTION("IF(ISBLANK(B2034),"""",IF(ISDATE(B2034),H2034,""""))"),"")</f>
        <v/>
      </c>
      <c r="L2034" s="40" t="str">
        <f>IFERROR(__xludf.DUMMYFUNCTION("IF(ISBLANK(B2034),"""",IF(ISDATE(B2034),TEXT(B2034,""M""),""""))"),"")</f>
        <v/>
      </c>
      <c r="M2034" s="29" t="str">
        <f>IFERROR(__xludf.DUMMYFUNCTION("IF(L2034="""","""",QUERY({'Dashboard-Dados'!$Y$2:$AA$13},""Select Col2 Where Col1=""&amp;L2034))"),"")</f>
        <v/>
      </c>
      <c r="N2034" s="29" t="str">
        <f>IFERROR(__xludf.DUMMYFUNCTION("IF(ISBLANK(B2034),"""",IF(ISDATE(B2034),TEXT(B2034,""yyyy""),""""))"),"")</f>
        <v/>
      </c>
    </row>
    <row r="2035">
      <c r="B2035" s="87"/>
      <c r="C2035" s="85"/>
      <c r="D2035" s="76"/>
      <c r="H2035" s="88"/>
      <c r="J2035" s="53" t="str">
        <f>IFERROR(__xludf.DUMMYFUNCTION("IF(ISBLANK(B2035),"""",IF(ISDATE(B2035),""X"",""""))"),"")</f>
        <v/>
      </c>
      <c r="K2035" s="40" t="str">
        <f>IFERROR(__xludf.DUMMYFUNCTION("IF(ISBLANK(B2035),"""",IF(ISDATE(B2035),H2035,""""))"),"")</f>
        <v/>
      </c>
      <c r="L2035" s="40" t="str">
        <f>IFERROR(__xludf.DUMMYFUNCTION("IF(ISBLANK(B2035),"""",IF(ISDATE(B2035),TEXT(B2035,""M""),""""))"),"")</f>
        <v/>
      </c>
      <c r="M2035" s="29" t="str">
        <f>IFERROR(__xludf.DUMMYFUNCTION("IF(L2035="""","""",QUERY({'Dashboard-Dados'!$Y$2:$AA$13},""Select Col2 Where Col1=""&amp;L2035))"),"")</f>
        <v/>
      </c>
      <c r="N2035" s="29" t="str">
        <f>IFERROR(__xludf.DUMMYFUNCTION("IF(ISBLANK(B2035),"""",IF(ISDATE(B2035),TEXT(B2035,""yyyy""),""""))"),"")</f>
        <v/>
      </c>
    </row>
    <row r="2036">
      <c r="B2036" s="89"/>
      <c r="C2036" s="86"/>
      <c r="D2036" s="71"/>
      <c r="H2036" s="90"/>
      <c r="J2036" s="53" t="str">
        <f>IFERROR(__xludf.DUMMYFUNCTION("IF(ISBLANK(B2036),"""",IF(ISDATE(B2036),""X"",""""))"),"")</f>
        <v/>
      </c>
      <c r="K2036" s="40" t="str">
        <f>IFERROR(__xludf.DUMMYFUNCTION("IF(ISBLANK(B2036),"""",IF(ISDATE(B2036),H2036,""""))"),"")</f>
        <v/>
      </c>
      <c r="L2036" s="40" t="str">
        <f>IFERROR(__xludf.DUMMYFUNCTION("IF(ISBLANK(B2036),"""",IF(ISDATE(B2036),TEXT(B2036,""M""),""""))"),"")</f>
        <v/>
      </c>
      <c r="M2036" s="29" t="str">
        <f>IFERROR(__xludf.DUMMYFUNCTION("IF(L2036="""","""",QUERY({'Dashboard-Dados'!$Y$2:$AA$13},""Select Col2 Where Col1=""&amp;L2036))"),"")</f>
        <v/>
      </c>
      <c r="N2036" s="29" t="str">
        <f>IFERROR(__xludf.DUMMYFUNCTION("IF(ISBLANK(B2036),"""",IF(ISDATE(B2036),TEXT(B2036,""yyyy""),""""))"),"")</f>
        <v/>
      </c>
    </row>
    <row r="2037">
      <c r="B2037" s="87"/>
      <c r="C2037" s="85"/>
      <c r="D2037" s="76"/>
      <c r="H2037" s="88"/>
      <c r="J2037" s="53" t="str">
        <f>IFERROR(__xludf.DUMMYFUNCTION("IF(ISBLANK(B2037),"""",IF(ISDATE(B2037),""X"",""""))"),"")</f>
        <v/>
      </c>
      <c r="K2037" s="40" t="str">
        <f>IFERROR(__xludf.DUMMYFUNCTION("IF(ISBLANK(B2037),"""",IF(ISDATE(B2037),H2037,""""))"),"")</f>
        <v/>
      </c>
      <c r="L2037" s="40" t="str">
        <f>IFERROR(__xludf.DUMMYFUNCTION("IF(ISBLANK(B2037),"""",IF(ISDATE(B2037),TEXT(B2037,""M""),""""))"),"")</f>
        <v/>
      </c>
      <c r="M2037" s="29" t="str">
        <f>IFERROR(__xludf.DUMMYFUNCTION("IF(L2037="""","""",QUERY({'Dashboard-Dados'!$Y$2:$AA$13},""Select Col2 Where Col1=""&amp;L2037))"),"")</f>
        <v/>
      </c>
      <c r="N2037" s="29" t="str">
        <f>IFERROR(__xludf.DUMMYFUNCTION("IF(ISBLANK(B2037),"""",IF(ISDATE(B2037),TEXT(B2037,""yyyy""),""""))"),"")</f>
        <v/>
      </c>
    </row>
    <row r="2038">
      <c r="B2038" s="89"/>
      <c r="C2038" s="86"/>
      <c r="D2038" s="71"/>
      <c r="H2038" s="90"/>
      <c r="J2038" s="53" t="str">
        <f>IFERROR(__xludf.DUMMYFUNCTION("IF(ISBLANK(B2038),"""",IF(ISDATE(B2038),""X"",""""))"),"")</f>
        <v/>
      </c>
      <c r="K2038" s="40" t="str">
        <f>IFERROR(__xludf.DUMMYFUNCTION("IF(ISBLANK(B2038),"""",IF(ISDATE(B2038),H2038,""""))"),"")</f>
        <v/>
      </c>
      <c r="L2038" s="40" t="str">
        <f>IFERROR(__xludf.DUMMYFUNCTION("IF(ISBLANK(B2038),"""",IF(ISDATE(B2038),TEXT(B2038,""M""),""""))"),"")</f>
        <v/>
      </c>
      <c r="M2038" s="29" t="str">
        <f>IFERROR(__xludf.DUMMYFUNCTION("IF(L2038="""","""",QUERY({'Dashboard-Dados'!$Y$2:$AA$13},""Select Col2 Where Col1=""&amp;L2038))"),"")</f>
        <v/>
      </c>
      <c r="N2038" s="29" t="str">
        <f>IFERROR(__xludf.DUMMYFUNCTION("IF(ISBLANK(B2038),"""",IF(ISDATE(B2038),TEXT(B2038,""yyyy""),""""))"),"")</f>
        <v/>
      </c>
    </row>
    <row r="2039">
      <c r="B2039" s="87"/>
      <c r="C2039" s="85"/>
      <c r="D2039" s="76"/>
      <c r="H2039" s="88"/>
      <c r="J2039" s="53" t="str">
        <f>IFERROR(__xludf.DUMMYFUNCTION("IF(ISBLANK(B2039),"""",IF(ISDATE(B2039),""X"",""""))"),"")</f>
        <v/>
      </c>
      <c r="K2039" s="40" t="str">
        <f>IFERROR(__xludf.DUMMYFUNCTION("IF(ISBLANK(B2039),"""",IF(ISDATE(B2039),H2039,""""))"),"")</f>
        <v/>
      </c>
      <c r="L2039" s="40" t="str">
        <f>IFERROR(__xludf.DUMMYFUNCTION("IF(ISBLANK(B2039),"""",IF(ISDATE(B2039),TEXT(B2039,""M""),""""))"),"")</f>
        <v/>
      </c>
      <c r="M2039" s="29" t="str">
        <f>IFERROR(__xludf.DUMMYFUNCTION("IF(L2039="""","""",QUERY({'Dashboard-Dados'!$Y$2:$AA$13},""Select Col2 Where Col1=""&amp;L2039))"),"")</f>
        <v/>
      </c>
      <c r="N2039" s="29" t="str">
        <f>IFERROR(__xludf.DUMMYFUNCTION("IF(ISBLANK(B2039),"""",IF(ISDATE(B2039),TEXT(B2039,""yyyy""),""""))"),"")</f>
        <v/>
      </c>
    </row>
    <row r="2040">
      <c r="B2040" s="89"/>
      <c r="C2040" s="86"/>
      <c r="D2040" s="71"/>
      <c r="H2040" s="90"/>
      <c r="J2040" s="53" t="str">
        <f>IFERROR(__xludf.DUMMYFUNCTION("IF(ISBLANK(B2040),"""",IF(ISDATE(B2040),""X"",""""))"),"")</f>
        <v/>
      </c>
      <c r="K2040" s="40" t="str">
        <f>IFERROR(__xludf.DUMMYFUNCTION("IF(ISBLANK(B2040),"""",IF(ISDATE(B2040),H2040,""""))"),"")</f>
        <v/>
      </c>
      <c r="L2040" s="40" t="str">
        <f>IFERROR(__xludf.DUMMYFUNCTION("IF(ISBLANK(B2040),"""",IF(ISDATE(B2040),TEXT(B2040,""M""),""""))"),"")</f>
        <v/>
      </c>
      <c r="M2040" s="29" t="str">
        <f>IFERROR(__xludf.DUMMYFUNCTION("IF(L2040="""","""",QUERY({'Dashboard-Dados'!$Y$2:$AA$13},""Select Col2 Where Col1=""&amp;L2040))"),"")</f>
        <v/>
      </c>
      <c r="N2040" s="29" t="str">
        <f>IFERROR(__xludf.DUMMYFUNCTION("IF(ISBLANK(B2040),"""",IF(ISDATE(B2040),TEXT(B2040,""yyyy""),""""))"),"")</f>
        <v/>
      </c>
    </row>
    <row r="2041">
      <c r="B2041" s="87"/>
      <c r="C2041" s="85"/>
      <c r="D2041" s="76"/>
      <c r="H2041" s="88"/>
      <c r="J2041" s="53" t="str">
        <f>IFERROR(__xludf.DUMMYFUNCTION("IF(ISBLANK(B2041),"""",IF(ISDATE(B2041),""X"",""""))"),"")</f>
        <v/>
      </c>
      <c r="K2041" s="40" t="str">
        <f>IFERROR(__xludf.DUMMYFUNCTION("IF(ISBLANK(B2041),"""",IF(ISDATE(B2041),H2041,""""))"),"")</f>
        <v/>
      </c>
      <c r="L2041" s="40" t="str">
        <f>IFERROR(__xludf.DUMMYFUNCTION("IF(ISBLANK(B2041),"""",IF(ISDATE(B2041),TEXT(B2041,""M""),""""))"),"")</f>
        <v/>
      </c>
      <c r="M2041" s="29" t="str">
        <f>IFERROR(__xludf.DUMMYFUNCTION("IF(L2041="""","""",QUERY({'Dashboard-Dados'!$Y$2:$AA$13},""Select Col2 Where Col1=""&amp;L2041))"),"")</f>
        <v/>
      </c>
      <c r="N2041" s="29" t="str">
        <f>IFERROR(__xludf.DUMMYFUNCTION("IF(ISBLANK(B2041),"""",IF(ISDATE(B2041),TEXT(B2041,""yyyy""),""""))"),"")</f>
        <v/>
      </c>
    </row>
    <row r="2042">
      <c r="B2042" s="89"/>
      <c r="C2042" s="86"/>
      <c r="D2042" s="71"/>
      <c r="H2042" s="90"/>
      <c r="J2042" s="53" t="str">
        <f>IFERROR(__xludf.DUMMYFUNCTION("IF(ISBLANK(B2042),"""",IF(ISDATE(B2042),""X"",""""))"),"")</f>
        <v/>
      </c>
      <c r="K2042" s="40" t="str">
        <f>IFERROR(__xludf.DUMMYFUNCTION("IF(ISBLANK(B2042),"""",IF(ISDATE(B2042),H2042,""""))"),"")</f>
        <v/>
      </c>
      <c r="L2042" s="40" t="str">
        <f>IFERROR(__xludf.DUMMYFUNCTION("IF(ISBLANK(B2042),"""",IF(ISDATE(B2042),TEXT(B2042,""M""),""""))"),"")</f>
        <v/>
      </c>
      <c r="M2042" s="29" t="str">
        <f>IFERROR(__xludf.DUMMYFUNCTION("IF(L2042="""","""",QUERY({'Dashboard-Dados'!$Y$2:$AA$13},""Select Col2 Where Col1=""&amp;L2042))"),"")</f>
        <v/>
      </c>
      <c r="N2042" s="29" t="str">
        <f>IFERROR(__xludf.DUMMYFUNCTION("IF(ISBLANK(B2042),"""",IF(ISDATE(B2042),TEXT(B2042,""yyyy""),""""))"),"")</f>
        <v/>
      </c>
    </row>
    <row r="2043">
      <c r="B2043" s="87"/>
      <c r="C2043" s="85"/>
      <c r="D2043" s="76"/>
      <c r="H2043" s="88"/>
      <c r="J2043" s="53" t="str">
        <f>IFERROR(__xludf.DUMMYFUNCTION("IF(ISBLANK(B2043),"""",IF(ISDATE(B2043),""X"",""""))"),"")</f>
        <v/>
      </c>
      <c r="K2043" s="40" t="str">
        <f>IFERROR(__xludf.DUMMYFUNCTION("IF(ISBLANK(B2043),"""",IF(ISDATE(B2043),H2043,""""))"),"")</f>
        <v/>
      </c>
      <c r="L2043" s="40" t="str">
        <f>IFERROR(__xludf.DUMMYFUNCTION("IF(ISBLANK(B2043),"""",IF(ISDATE(B2043),TEXT(B2043,""M""),""""))"),"")</f>
        <v/>
      </c>
      <c r="M2043" s="29" t="str">
        <f>IFERROR(__xludf.DUMMYFUNCTION("IF(L2043="""","""",QUERY({'Dashboard-Dados'!$Y$2:$AA$13},""Select Col2 Where Col1=""&amp;L2043))"),"")</f>
        <v/>
      </c>
      <c r="N2043" s="29" t="str">
        <f>IFERROR(__xludf.DUMMYFUNCTION("IF(ISBLANK(B2043),"""",IF(ISDATE(B2043),TEXT(B2043,""yyyy""),""""))"),"")</f>
        <v/>
      </c>
    </row>
    <row r="2044">
      <c r="B2044" s="89"/>
      <c r="C2044" s="86"/>
      <c r="D2044" s="71"/>
      <c r="H2044" s="90"/>
      <c r="J2044" s="53" t="str">
        <f>IFERROR(__xludf.DUMMYFUNCTION("IF(ISBLANK(B2044),"""",IF(ISDATE(B2044),""X"",""""))"),"")</f>
        <v/>
      </c>
      <c r="K2044" s="40" t="str">
        <f>IFERROR(__xludf.DUMMYFUNCTION("IF(ISBLANK(B2044),"""",IF(ISDATE(B2044),H2044,""""))"),"")</f>
        <v/>
      </c>
      <c r="L2044" s="40" t="str">
        <f>IFERROR(__xludf.DUMMYFUNCTION("IF(ISBLANK(B2044),"""",IF(ISDATE(B2044),TEXT(B2044,""M""),""""))"),"")</f>
        <v/>
      </c>
      <c r="M2044" s="29" t="str">
        <f>IFERROR(__xludf.DUMMYFUNCTION("IF(L2044="""","""",QUERY({'Dashboard-Dados'!$Y$2:$AA$13},""Select Col2 Where Col1=""&amp;L2044))"),"")</f>
        <v/>
      </c>
      <c r="N2044" s="29" t="str">
        <f>IFERROR(__xludf.DUMMYFUNCTION("IF(ISBLANK(B2044),"""",IF(ISDATE(B2044),TEXT(B2044,""yyyy""),""""))"),"")</f>
        <v/>
      </c>
    </row>
    <row r="2045">
      <c r="B2045" s="87"/>
      <c r="C2045" s="85"/>
      <c r="D2045" s="76"/>
      <c r="H2045" s="88"/>
      <c r="J2045" s="53" t="str">
        <f>IFERROR(__xludf.DUMMYFUNCTION("IF(ISBLANK(B2045),"""",IF(ISDATE(B2045),""X"",""""))"),"")</f>
        <v/>
      </c>
      <c r="K2045" s="40" t="str">
        <f>IFERROR(__xludf.DUMMYFUNCTION("IF(ISBLANK(B2045),"""",IF(ISDATE(B2045),H2045,""""))"),"")</f>
        <v/>
      </c>
      <c r="L2045" s="40" t="str">
        <f>IFERROR(__xludf.DUMMYFUNCTION("IF(ISBLANK(B2045),"""",IF(ISDATE(B2045),TEXT(B2045,""M""),""""))"),"")</f>
        <v/>
      </c>
      <c r="M2045" s="29" t="str">
        <f>IFERROR(__xludf.DUMMYFUNCTION("IF(L2045="""","""",QUERY({'Dashboard-Dados'!$Y$2:$AA$13},""Select Col2 Where Col1=""&amp;L2045))"),"")</f>
        <v/>
      </c>
      <c r="N2045" s="29" t="str">
        <f>IFERROR(__xludf.DUMMYFUNCTION("IF(ISBLANK(B2045),"""",IF(ISDATE(B2045),TEXT(B2045,""yyyy""),""""))"),"")</f>
        <v/>
      </c>
    </row>
    <row r="2046">
      <c r="B2046" s="89"/>
      <c r="C2046" s="86"/>
      <c r="D2046" s="71"/>
      <c r="H2046" s="90"/>
      <c r="J2046" s="53" t="str">
        <f>IFERROR(__xludf.DUMMYFUNCTION("IF(ISBLANK(B2046),"""",IF(ISDATE(B2046),""X"",""""))"),"")</f>
        <v/>
      </c>
      <c r="K2046" s="40" t="str">
        <f>IFERROR(__xludf.DUMMYFUNCTION("IF(ISBLANK(B2046),"""",IF(ISDATE(B2046),H2046,""""))"),"")</f>
        <v/>
      </c>
      <c r="L2046" s="40" t="str">
        <f>IFERROR(__xludf.DUMMYFUNCTION("IF(ISBLANK(B2046),"""",IF(ISDATE(B2046),TEXT(B2046,""M""),""""))"),"")</f>
        <v/>
      </c>
      <c r="M2046" s="29" t="str">
        <f>IFERROR(__xludf.DUMMYFUNCTION("IF(L2046="""","""",QUERY({'Dashboard-Dados'!$Y$2:$AA$13},""Select Col2 Where Col1=""&amp;L2046))"),"")</f>
        <v/>
      </c>
      <c r="N2046" s="29" t="str">
        <f>IFERROR(__xludf.DUMMYFUNCTION("IF(ISBLANK(B2046),"""",IF(ISDATE(B2046),TEXT(B2046,""yyyy""),""""))"),"")</f>
        <v/>
      </c>
    </row>
    <row r="2047">
      <c r="B2047" s="87"/>
      <c r="C2047" s="85"/>
      <c r="D2047" s="76"/>
      <c r="H2047" s="88"/>
      <c r="J2047" s="53" t="str">
        <f>IFERROR(__xludf.DUMMYFUNCTION("IF(ISBLANK(B2047),"""",IF(ISDATE(B2047),""X"",""""))"),"")</f>
        <v/>
      </c>
      <c r="K2047" s="40" t="str">
        <f>IFERROR(__xludf.DUMMYFUNCTION("IF(ISBLANK(B2047),"""",IF(ISDATE(B2047),H2047,""""))"),"")</f>
        <v/>
      </c>
      <c r="L2047" s="40" t="str">
        <f>IFERROR(__xludf.DUMMYFUNCTION("IF(ISBLANK(B2047),"""",IF(ISDATE(B2047),TEXT(B2047,""M""),""""))"),"")</f>
        <v/>
      </c>
      <c r="M2047" s="29" t="str">
        <f>IFERROR(__xludf.DUMMYFUNCTION("IF(L2047="""","""",QUERY({'Dashboard-Dados'!$Y$2:$AA$13},""Select Col2 Where Col1=""&amp;L2047))"),"")</f>
        <v/>
      </c>
      <c r="N2047" s="29" t="str">
        <f>IFERROR(__xludf.DUMMYFUNCTION("IF(ISBLANK(B2047),"""",IF(ISDATE(B2047),TEXT(B2047,""yyyy""),""""))"),"")</f>
        <v/>
      </c>
    </row>
    <row r="2048">
      <c r="B2048" s="89"/>
      <c r="C2048" s="86"/>
      <c r="D2048" s="71"/>
      <c r="H2048" s="90"/>
      <c r="J2048" s="53" t="str">
        <f>IFERROR(__xludf.DUMMYFUNCTION("IF(ISBLANK(B2048),"""",IF(ISDATE(B2048),""X"",""""))"),"")</f>
        <v/>
      </c>
      <c r="K2048" s="40" t="str">
        <f>IFERROR(__xludf.DUMMYFUNCTION("IF(ISBLANK(B2048),"""",IF(ISDATE(B2048),H2048,""""))"),"")</f>
        <v/>
      </c>
      <c r="L2048" s="40" t="str">
        <f>IFERROR(__xludf.DUMMYFUNCTION("IF(ISBLANK(B2048),"""",IF(ISDATE(B2048),TEXT(B2048,""M""),""""))"),"")</f>
        <v/>
      </c>
      <c r="M2048" s="29" t="str">
        <f>IFERROR(__xludf.DUMMYFUNCTION("IF(L2048="""","""",QUERY({'Dashboard-Dados'!$Y$2:$AA$13},""Select Col2 Where Col1=""&amp;L2048))"),"")</f>
        <v/>
      </c>
      <c r="N2048" s="29" t="str">
        <f>IFERROR(__xludf.DUMMYFUNCTION("IF(ISBLANK(B2048),"""",IF(ISDATE(B2048),TEXT(B2048,""yyyy""),""""))"),"")</f>
        <v/>
      </c>
    </row>
    <row r="2049">
      <c r="B2049" s="87"/>
      <c r="C2049" s="85"/>
      <c r="D2049" s="76"/>
      <c r="H2049" s="88"/>
      <c r="J2049" s="53" t="str">
        <f>IFERROR(__xludf.DUMMYFUNCTION("IF(ISBLANK(B2049),"""",IF(ISDATE(B2049),""X"",""""))"),"")</f>
        <v/>
      </c>
      <c r="K2049" s="40" t="str">
        <f>IFERROR(__xludf.DUMMYFUNCTION("IF(ISBLANK(B2049),"""",IF(ISDATE(B2049),H2049,""""))"),"")</f>
        <v/>
      </c>
      <c r="L2049" s="40" t="str">
        <f>IFERROR(__xludf.DUMMYFUNCTION("IF(ISBLANK(B2049),"""",IF(ISDATE(B2049),TEXT(B2049,""M""),""""))"),"")</f>
        <v/>
      </c>
      <c r="M2049" s="29" t="str">
        <f>IFERROR(__xludf.DUMMYFUNCTION("IF(L2049="""","""",QUERY({'Dashboard-Dados'!$Y$2:$AA$13},""Select Col2 Where Col1=""&amp;L2049))"),"")</f>
        <v/>
      </c>
      <c r="N2049" s="29" t="str">
        <f>IFERROR(__xludf.DUMMYFUNCTION("IF(ISBLANK(B2049),"""",IF(ISDATE(B2049),TEXT(B2049,""yyyy""),""""))"),"")</f>
        <v/>
      </c>
    </row>
    <row r="2050">
      <c r="B2050" s="89"/>
      <c r="C2050" s="86"/>
      <c r="D2050" s="71"/>
      <c r="H2050" s="90"/>
      <c r="J2050" s="53" t="str">
        <f>IFERROR(__xludf.DUMMYFUNCTION("IF(ISBLANK(B2050),"""",IF(ISDATE(B2050),""X"",""""))"),"")</f>
        <v/>
      </c>
      <c r="K2050" s="40" t="str">
        <f>IFERROR(__xludf.DUMMYFUNCTION("IF(ISBLANK(B2050),"""",IF(ISDATE(B2050),H2050,""""))"),"")</f>
        <v/>
      </c>
      <c r="L2050" s="40" t="str">
        <f>IFERROR(__xludf.DUMMYFUNCTION("IF(ISBLANK(B2050),"""",IF(ISDATE(B2050),TEXT(B2050,""M""),""""))"),"")</f>
        <v/>
      </c>
      <c r="M2050" s="29" t="str">
        <f>IFERROR(__xludf.DUMMYFUNCTION("IF(L2050="""","""",QUERY({'Dashboard-Dados'!$Y$2:$AA$13},""Select Col2 Where Col1=""&amp;L2050))"),"")</f>
        <v/>
      </c>
      <c r="N2050" s="29" t="str">
        <f>IFERROR(__xludf.DUMMYFUNCTION("IF(ISBLANK(B2050),"""",IF(ISDATE(B2050),TEXT(B2050,""yyyy""),""""))"),"")</f>
        <v/>
      </c>
    </row>
    <row r="2051">
      <c r="B2051" s="87"/>
      <c r="C2051" s="85"/>
      <c r="D2051" s="76"/>
      <c r="H2051" s="88"/>
      <c r="J2051" s="53" t="str">
        <f>IFERROR(__xludf.DUMMYFUNCTION("IF(ISBLANK(B2051),"""",IF(ISDATE(B2051),""X"",""""))"),"")</f>
        <v/>
      </c>
      <c r="K2051" s="40" t="str">
        <f>IFERROR(__xludf.DUMMYFUNCTION("IF(ISBLANK(B2051),"""",IF(ISDATE(B2051),H2051,""""))"),"")</f>
        <v/>
      </c>
      <c r="L2051" s="40" t="str">
        <f>IFERROR(__xludf.DUMMYFUNCTION("IF(ISBLANK(B2051),"""",IF(ISDATE(B2051),TEXT(B2051,""M""),""""))"),"")</f>
        <v/>
      </c>
      <c r="M2051" s="29" t="str">
        <f>IFERROR(__xludf.DUMMYFUNCTION("IF(L2051="""","""",QUERY({'Dashboard-Dados'!$Y$2:$AA$13},""Select Col2 Where Col1=""&amp;L2051))"),"")</f>
        <v/>
      </c>
      <c r="N2051" s="29" t="str">
        <f>IFERROR(__xludf.DUMMYFUNCTION("IF(ISBLANK(B2051),"""",IF(ISDATE(B2051),TEXT(B2051,""yyyy""),""""))"),"")</f>
        <v/>
      </c>
    </row>
    <row r="2052">
      <c r="B2052" s="89"/>
      <c r="C2052" s="86"/>
      <c r="D2052" s="71"/>
      <c r="H2052" s="90"/>
      <c r="J2052" s="53" t="str">
        <f>IFERROR(__xludf.DUMMYFUNCTION("IF(ISBLANK(B2052),"""",IF(ISDATE(B2052),""X"",""""))"),"")</f>
        <v/>
      </c>
      <c r="K2052" s="40" t="str">
        <f>IFERROR(__xludf.DUMMYFUNCTION("IF(ISBLANK(B2052),"""",IF(ISDATE(B2052),H2052,""""))"),"")</f>
        <v/>
      </c>
      <c r="L2052" s="40" t="str">
        <f>IFERROR(__xludf.DUMMYFUNCTION("IF(ISBLANK(B2052),"""",IF(ISDATE(B2052),TEXT(B2052,""M""),""""))"),"")</f>
        <v/>
      </c>
      <c r="M2052" s="29" t="str">
        <f>IFERROR(__xludf.DUMMYFUNCTION("IF(L2052="""","""",QUERY({'Dashboard-Dados'!$Y$2:$AA$13},""Select Col2 Where Col1=""&amp;L2052))"),"")</f>
        <v/>
      </c>
      <c r="N2052" s="29" t="str">
        <f>IFERROR(__xludf.DUMMYFUNCTION("IF(ISBLANK(B2052),"""",IF(ISDATE(B2052),TEXT(B2052,""yyyy""),""""))"),"")</f>
        <v/>
      </c>
    </row>
    <row r="2053">
      <c r="B2053" s="87"/>
      <c r="C2053" s="85"/>
      <c r="D2053" s="76"/>
      <c r="H2053" s="88"/>
      <c r="J2053" s="53" t="str">
        <f>IFERROR(__xludf.DUMMYFUNCTION("IF(ISBLANK(B2053),"""",IF(ISDATE(B2053),""X"",""""))"),"")</f>
        <v/>
      </c>
      <c r="K2053" s="40" t="str">
        <f>IFERROR(__xludf.DUMMYFUNCTION("IF(ISBLANK(B2053),"""",IF(ISDATE(B2053),H2053,""""))"),"")</f>
        <v/>
      </c>
      <c r="L2053" s="40" t="str">
        <f>IFERROR(__xludf.DUMMYFUNCTION("IF(ISBLANK(B2053),"""",IF(ISDATE(B2053),TEXT(B2053,""M""),""""))"),"")</f>
        <v/>
      </c>
      <c r="M2053" s="29" t="str">
        <f>IFERROR(__xludf.DUMMYFUNCTION("IF(L2053="""","""",QUERY({'Dashboard-Dados'!$Y$2:$AA$13},""Select Col2 Where Col1=""&amp;L2053))"),"")</f>
        <v/>
      </c>
      <c r="N2053" s="29" t="str">
        <f>IFERROR(__xludf.DUMMYFUNCTION("IF(ISBLANK(B2053),"""",IF(ISDATE(B2053),TEXT(B2053,""yyyy""),""""))"),"")</f>
        <v/>
      </c>
    </row>
    <row r="2054">
      <c r="B2054" s="89"/>
      <c r="C2054" s="86"/>
      <c r="D2054" s="71"/>
      <c r="H2054" s="90"/>
      <c r="J2054" s="53" t="str">
        <f>IFERROR(__xludf.DUMMYFUNCTION("IF(ISBLANK(B2054),"""",IF(ISDATE(B2054),""X"",""""))"),"")</f>
        <v/>
      </c>
      <c r="K2054" s="40" t="str">
        <f>IFERROR(__xludf.DUMMYFUNCTION("IF(ISBLANK(B2054),"""",IF(ISDATE(B2054),H2054,""""))"),"")</f>
        <v/>
      </c>
      <c r="L2054" s="40" t="str">
        <f>IFERROR(__xludf.DUMMYFUNCTION("IF(ISBLANK(B2054),"""",IF(ISDATE(B2054),TEXT(B2054,""M""),""""))"),"")</f>
        <v/>
      </c>
      <c r="M2054" s="29" t="str">
        <f>IFERROR(__xludf.DUMMYFUNCTION("IF(L2054="""","""",QUERY({'Dashboard-Dados'!$Y$2:$AA$13},""Select Col2 Where Col1=""&amp;L2054))"),"")</f>
        <v/>
      </c>
      <c r="N2054" s="29" t="str">
        <f>IFERROR(__xludf.DUMMYFUNCTION("IF(ISBLANK(B2054),"""",IF(ISDATE(B2054),TEXT(B2054,""yyyy""),""""))"),"")</f>
        <v/>
      </c>
    </row>
    <row r="2055">
      <c r="B2055" s="87"/>
      <c r="C2055" s="85"/>
      <c r="D2055" s="76"/>
      <c r="H2055" s="88"/>
      <c r="J2055" s="53" t="str">
        <f>IFERROR(__xludf.DUMMYFUNCTION("IF(ISBLANK(B2055),"""",IF(ISDATE(B2055),""X"",""""))"),"")</f>
        <v/>
      </c>
      <c r="K2055" s="40" t="str">
        <f>IFERROR(__xludf.DUMMYFUNCTION("IF(ISBLANK(B2055),"""",IF(ISDATE(B2055),H2055,""""))"),"")</f>
        <v/>
      </c>
      <c r="L2055" s="40" t="str">
        <f>IFERROR(__xludf.DUMMYFUNCTION("IF(ISBLANK(B2055),"""",IF(ISDATE(B2055),TEXT(B2055,""M""),""""))"),"")</f>
        <v/>
      </c>
      <c r="M2055" s="29" t="str">
        <f>IFERROR(__xludf.DUMMYFUNCTION("IF(L2055="""","""",QUERY({'Dashboard-Dados'!$Y$2:$AA$13},""Select Col2 Where Col1=""&amp;L2055))"),"")</f>
        <v/>
      </c>
      <c r="N2055" s="29" t="str">
        <f>IFERROR(__xludf.DUMMYFUNCTION("IF(ISBLANK(B2055),"""",IF(ISDATE(B2055),TEXT(B2055,""yyyy""),""""))"),"")</f>
        <v/>
      </c>
    </row>
    <row r="2056">
      <c r="B2056" s="89"/>
      <c r="C2056" s="86"/>
      <c r="D2056" s="71"/>
      <c r="H2056" s="90"/>
      <c r="J2056" s="53" t="str">
        <f>IFERROR(__xludf.DUMMYFUNCTION("IF(ISBLANK(B2056),"""",IF(ISDATE(B2056),""X"",""""))"),"")</f>
        <v/>
      </c>
      <c r="K2056" s="40" t="str">
        <f>IFERROR(__xludf.DUMMYFUNCTION("IF(ISBLANK(B2056),"""",IF(ISDATE(B2056),H2056,""""))"),"")</f>
        <v/>
      </c>
      <c r="L2056" s="40" t="str">
        <f>IFERROR(__xludf.DUMMYFUNCTION("IF(ISBLANK(B2056),"""",IF(ISDATE(B2056),TEXT(B2056,""M""),""""))"),"")</f>
        <v/>
      </c>
      <c r="M2056" s="29" t="str">
        <f>IFERROR(__xludf.DUMMYFUNCTION("IF(L2056="""","""",QUERY({'Dashboard-Dados'!$Y$2:$AA$13},""Select Col2 Where Col1=""&amp;L2056))"),"")</f>
        <v/>
      </c>
      <c r="N2056" s="29" t="str">
        <f>IFERROR(__xludf.DUMMYFUNCTION("IF(ISBLANK(B2056),"""",IF(ISDATE(B2056),TEXT(B2056,""yyyy""),""""))"),"")</f>
        <v/>
      </c>
    </row>
    <row r="2057">
      <c r="B2057" s="87"/>
      <c r="C2057" s="85"/>
      <c r="D2057" s="76"/>
      <c r="H2057" s="88"/>
      <c r="J2057" s="53" t="str">
        <f>IFERROR(__xludf.DUMMYFUNCTION("IF(ISBLANK(B2057),"""",IF(ISDATE(B2057),""X"",""""))"),"")</f>
        <v/>
      </c>
      <c r="K2057" s="40" t="str">
        <f>IFERROR(__xludf.DUMMYFUNCTION("IF(ISBLANK(B2057),"""",IF(ISDATE(B2057),H2057,""""))"),"")</f>
        <v/>
      </c>
      <c r="L2057" s="40" t="str">
        <f>IFERROR(__xludf.DUMMYFUNCTION("IF(ISBLANK(B2057),"""",IF(ISDATE(B2057),TEXT(B2057,""M""),""""))"),"")</f>
        <v/>
      </c>
      <c r="M2057" s="29" t="str">
        <f>IFERROR(__xludf.DUMMYFUNCTION("IF(L2057="""","""",QUERY({'Dashboard-Dados'!$Y$2:$AA$13},""Select Col2 Where Col1=""&amp;L2057))"),"")</f>
        <v/>
      </c>
      <c r="N2057" s="29" t="str">
        <f>IFERROR(__xludf.DUMMYFUNCTION("IF(ISBLANK(B2057),"""",IF(ISDATE(B2057),TEXT(B2057,""yyyy""),""""))"),"")</f>
        <v/>
      </c>
    </row>
    <row r="2058">
      <c r="B2058" s="89"/>
      <c r="C2058" s="86"/>
      <c r="D2058" s="71"/>
      <c r="H2058" s="90"/>
      <c r="J2058" s="53" t="str">
        <f>IFERROR(__xludf.DUMMYFUNCTION("IF(ISBLANK(B2058),"""",IF(ISDATE(B2058),""X"",""""))"),"")</f>
        <v/>
      </c>
      <c r="K2058" s="40" t="str">
        <f>IFERROR(__xludf.DUMMYFUNCTION("IF(ISBLANK(B2058),"""",IF(ISDATE(B2058),H2058,""""))"),"")</f>
        <v/>
      </c>
      <c r="L2058" s="40" t="str">
        <f>IFERROR(__xludf.DUMMYFUNCTION("IF(ISBLANK(B2058),"""",IF(ISDATE(B2058),TEXT(B2058,""M""),""""))"),"")</f>
        <v/>
      </c>
      <c r="M2058" s="29" t="str">
        <f>IFERROR(__xludf.DUMMYFUNCTION("IF(L2058="""","""",QUERY({'Dashboard-Dados'!$Y$2:$AA$13},""Select Col2 Where Col1=""&amp;L2058))"),"")</f>
        <v/>
      </c>
      <c r="N2058" s="29" t="str">
        <f>IFERROR(__xludf.DUMMYFUNCTION("IF(ISBLANK(B2058),"""",IF(ISDATE(B2058),TEXT(B2058,""yyyy""),""""))"),"")</f>
        <v/>
      </c>
    </row>
    <row r="2059">
      <c r="B2059" s="87"/>
      <c r="C2059" s="85"/>
      <c r="D2059" s="76"/>
      <c r="H2059" s="88"/>
      <c r="J2059" s="53" t="str">
        <f>IFERROR(__xludf.DUMMYFUNCTION("IF(ISBLANK(B2059),"""",IF(ISDATE(B2059),""X"",""""))"),"")</f>
        <v/>
      </c>
      <c r="K2059" s="40" t="str">
        <f>IFERROR(__xludf.DUMMYFUNCTION("IF(ISBLANK(B2059),"""",IF(ISDATE(B2059),H2059,""""))"),"")</f>
        <v/>
      </c>
      <c r="L2059" s="40" t="str">
        <f>IFERROR(__xludf.DUMMYFUNCTION("IF(ISBLANK(B2059),"""",IF(ISDATE(B2059),TEXT(B2059,""M""),""""))"),"")</f>
        <v/>
      </c>
      <c r="M2059" s="29" t="str">
        <f>IFERROR(__xludf.DUMMYFUNCTION("IF(L2059="""","""",QUERY({'Dashboard-Dados'!$Y$2:$AA$13},""Select Col2 Where Col1=""&amp;L2059))"),"")</f>
        <v/>
      </c>
      <c r="N2059" s="29" t="str">
        <f>IFERROR(__xludf.DUMMYFUNCTION("IF(ISBLANK(B2059),"""",IF(ISDATE(B2059),TEXT(B2059,""yyyy""),""""))"),"")</f>
        <v/>
      </c>
    </row>
    <row r="2060">
      <c r="B2060" s="89"/>
      <c r="C2060" s="86"/>
      <c r="D2060" s="71"/>
      <c r="H2060" s="90"/>
      <c r="J2060" s="53" t="str">
        <f>IFERROR(__xludf.DUMMYFUNCTION("IF(ISBLANK(B2060),"""",IF(ISDATE(B2060),""X"",""""))"),"")</f>
        <v/>
      </c>
      <c r="K2060" s="40" t="str">
        <f>IFERROR(__xludf.DUMMYFUNCTION("IF(ISBLANK(B2060),"""",IF(ISDATE(B2060),H2060,""""))"),"")</f>
        <v/>
      </c>
      <c r="L2060" s="40" t="str">
        <f>IFERROR(__xludf.DUMMYFUNCTION("IF(ISBLANK(B2060),"""",IF(ISDATE(B2060),TEXT(B2060,""M""),""""))"),"")</f>
        <v/>
      </c>
      <c r="M2060" s="29" t="str">
        <f>IFERROR(__xludf.DUMMYFUNCTION("IF(L2060="""","""",QUERY({'Dashboard-Dados'!$Y$2:$AA$13},""Select Col2 Where Col1=""&amp;L2060))"),"")</f>
        <v/>
      </c>
      <c r="N2060" s="29" t="str">
        <f>IFERROR(__xludf.DUMMYFUNCTION("IF(ISBLANK(B2060),"""",IF(ISDATE(B2060),TEXT(B2060,""yyyy""),""""))"),"")</f>
        <v/>
      </c>
    </row>
    <row r="2061">
      <c r="B2061" s="87"/>
      <c r="C2061" s="85"/>
      <c r="D2061" s="76"/>
      <c r="H2061" s="88"/>
      <c r="J2061" s="53" t="str">
        <f>IFERROR(__xludf.DUMMYFUNCTION("IF(ISBLANK(B2061),"""",IF(ISDATE(B2061),""X"",""""))"),"")</f>
        <v/>
      </c>
      <c r="K2061" s="40" t="str">
        <f>IFERROR(__xludf.DUMMYFUNCTION("IF(ISBLANK(B2061),"""",IF(ISDATE(B2061),H2061,""""))"),"")</f>
        <v/>
      </c>
      <c r="L2061" s="40" t="str">
        <f>IFERROR(__xludf.DUMMYFUNCTION("IF(ISBLANK(B2061),"""",IF(ISDATE(B2061),TEXT(B2061,""M""),""""))"),"")</f>
        <v/>
      </c>
      <c r="M2061" s="29" t="str">
        <f>IFERROR(__xludf.DUMMYFUNCTION("IF(L2061="""","""",QUERY({'Dashboard-Dados'!$Y$2:$AA$13},""Select Col2 Where Col1=""&amp;L2061))"),"")</f>
        <v/>
      </c>
      <c r="N2061" s="29" t="str">
        <f>IFERROR(__xludf.DUMMYFUNCTION("IF(ISBLANK(B2061),"""",IF(ISDATE(B2061),TEXT(B2061,""yyyy""),""""))"),"")</f>
        <v/>
      </c>
    </row>
    <row r="2062">
      <c r="B2062" s="89"/>
      <c r="C2062" s="86"/>
      <c r="D2062" s="71"/>
      <c r="H2062" s="90"/>
      <c r="J2062" s="53" t="str">
        <f>IFERROR(__xludf.DUMMYFUNCTION("IF(ISBLANK(B2062),"""",IF(ISDATE(B2062),""X"",""""))"),"")</f>
        <v/>
      </c>
      <c r="K2062" s="40" t="str">
        <f>IFERROR(__xludf.DUMMYFUNCTION("IF(ISBLANK(B2062),"""",IF(ISDATE(B2062),H2062,""""))"),"")</f>
        <v/>
      </c>
      <c r="L2062" s="40" t="str">
        <f>IFERROR(__xludf.DUMMYFUNCTION("IF(ISBLANK(B2062),"""",IF(ISDATE(B2062),TEXT(B2062,""M""),""""))"),"")</f>
        <v/>
      </c>
      <c r="M2062" s="29" t="str">
        <f>IFERROR(__xludf.DUMMYFUNCTION("IF(L2062="""","""",QUERY({'Dashboard-Dados'!$Y$2:$AA$13},""Select Col2 Where Col1=""&amp;L2062))"),"")</f>
        <v/>
      </c>
      <c r="N2062" s="29" t="str">
        <f>IFERROR(__xludf.DUMMYFUNCTION("IF(ISBLANK(B2062),"""",IF(ISDATE(B2062),TEXT(B2062,""yyyy""),""""))"),"")</f>
        <v/>
      </c>
    </row>
    <row r="2063">
      <c r="B2063" s="87"/>
      <c r="C2063" s="85"/>
      <c r="D2063" s="76"/>
      <c r="H2063" s="88"/>
      <c r="J2063" s="53" t="str">
        <f>IFERROR(__xludf.DUMMYFUNCTION("IF(ISBLANK(B2063),"""",IF(ISDATE(B2063),""X"",""""))"),"")</f>
        <v/>
      </c>
      <c r="K2063" s="40" t="str">
        <f>IFERROR(__xludf.DUMMYFUNCTION("IF(ISBLANK(B2063),"""",IF(ISDATE(B2063),H2063,""""))"),"")</f>
        <v/>
      </c>
      <c r="L2063" s="40" t="str">
        <f>IFERROR(__xludf.DUMMYFUNCTION("IF(ISBLANK(B2063),"""",IF(ISDATE(B2063),TEXT(B2063,""M""),""""))"),"")</f>
        <v/>
      </c>
      <c r="M2063" s="29" t="str">
        <f>IFERROR(__xludf.DUMMYFUNCTION("IF(L2063="""","""",QUERY({'Dashboard-Dados'!$Y$2:$AA$13},""Select Col2 Where Col1=""&amp;L2063))"),"")</f>
        <v/>
      </c>
      <c r="N2063" s="29" t="str">
        <f>IFERROR(__xludf.DUMMYFUNCTION("IF(ISBLANK(B2063),"""",IF(ISDATE(B2063),TEXT(B2063,""yyyy""),""""))"),"")</f>
        <v/>
      </c>
    </row>
    <row r="2064">
      <c r="B2064" s="89"/>
      <c r="C2064" s="86"/>
      <c r="D2064" s="71"/>
      <c r="H2064" s="90"/>
      <c r="J2064" s="53" t="str">
        <f>IFERROR(__xludf.DUMMYFUNCTION("IF(ISBLANK(B2064),"""",IF(ISDATE(B2064),""X"",""""))"),"")</f>
        <v/>
      </c>
      <c r="K2064" s="40" t="str">
        <f>IFERROR(__xludf.DUMMYFUNCTION("IF(ISBLANK(B2064),"""",IF(ISDATE(B2064),H2064,""""))"),"")</f>
        <v/>
      </c>
      <c r="L2064" s="40" t="str">
        <f>IFERROR(__xludf.DUMMYFUNCTION("IF(ISBLANK(B2064),"""",IF(ISDATE(B2064),TEXT(B2064,""M""),""""))"),"")</f>
        <v/>
      </c>
      <c r="M2064" s="29" t="str">
        <f>IFERROR(__xludf.DUMMYFUNCTION("IF(L2064="""","""",QUERY({'Dashboard-Dados'!$Y$2:$AA$13},""Select Col2 Where Col1=""&amp;L2064))"),"")</f>
        <v/>
      </c>
      <c r="N2064" s="29" t="str">
        <f>IFERROR(__xludf.DUMMYFUNCTION("IF(ISBLANK(B2064),"""",IF(ISDATE(B2064),TEXT(B2064,""yyyy""),""""))"),"")</f>
        <v/>
      </c>
    </row>
    <row r="2065">
      <c r="B2065" s="87"/>
      <c r="C2065" s="85"/>
      <c r="D2065" s="76"/>
      <c r="H2065" s="88"/>
      <c r="J2065" s="53" t="str">
        <f>IFERROR(__xludf.DUMMYFUNCTION("IF(ISBLANK(B2065),"""",IF(ISDATE(B2065),""X"",""""))"),"")</f>
        <v/>
      </c>
      <c r="K2065" s="40" t="str">
        <f>IFERROR(__xludf.DUMMYFUNCTION("IF(ISBLANK(B2065),"""",IF(ISDATE(B2065),H2065,""""))"),"")</f>
        <v/>
      </c>
      <c r="L2065" s="40" t="str">
        <f>IFERROR(__xludf.DUMMYFUNCTION("IF(ISBLANK(B2065),"""",IF(ISDATE(B2065),TEXT(B2065,""M""),""""))"),"")</f>
        <v/>
      </c>
      <c r="M2065" s="29" t="str">
        <f>IFERROR(__xludf.DUMMYFUNCTION("IF(L2065="""","""",QUERY({'Dashboard-Dados'!$Y$2:$AA$13},""Select Col2 Where Col1=""&amp;L2065))"),"")</f>
        <v/>
      </c>
      <c r="N2065" s="29" t="str">
        <f>IFERROR(__xludf.DUMMYFUNCTION("IF(ISBLANK(B2065),"""",IF(ISDATE(B2065),TEXT(B2065,""yyyy""),""""))"),"")</f>
        <v/>
      </c>
    </row>
    <row r="2066">
      <c r="B2066" s="89"/>
      <c r="C2066" s="86"/>
      <c r="D2066" s="71"/>
      <c r="H2066" s="90"/>
      <c r="J2066" s="53" t="str">
        <f>IFERROR(__xludf.DUMMYFUNCTION("IF(ISBLANK(B2066),"""",IF(ISDATE(B2066),""X"",""""))"),"")</f>
        <v/>
      </c>
      <c r="K2066" s="40" t="str">
        <f>IFERROR(__xludf.DUMMYFUNCTION("IF(ISBLANK(B2066),"""",IF(ISDATE(B2066),H2066,""""))"),"")</f>
        <v/>
      </c>
      <c r="L2066" s="40" t="str">
        <f>IFERROR(__xludf.DUMMYFUNCTION("IF(ISBLANK(B2066),"""",IF(ISDATE(B2066),TEXT(B2066,""M""),""""))"),"")</f>
        <v/>
      </c>
      <c r="M2066" s="29" t="str">
        <f>IFERROR(__xludf.DUMMYFUNCTION("IF(L2066="""","""",QUERY({'Dashboard-Dados'!$Y$2:$AA$13},""Select Col2 Where Col1=""&amp;L2066))"),"")</f>
        <v/>
      </c>
      <c r="N2066" s="29" t="str">
        <f>IFERROR(__xludf.DUMMYFUNCTION("IF(ISBLANK(B2066),"""",IF(ISDATE(B2066),TEXT(B2066,""yyyy""),""""))"),"")</f>
        <v/>
      </c>
    </row>
    <row r="2067">
      <c r="B2067" s="87"/>
      <c r="C2067" s="85"/>
      <c r="D2067" s="76"/>
      <c r="H2067" s="88"/>
      <c r="J2067" s="53" t="str">
        <f>IFERROR(__xludf.DUMMYFUNCTION("IF(ISBLANK(B2067),"""",IF(ISDATE(B2067),""X"",""""))"),"")</f>
        <v/>
      </c>
      <c r="K2067" s="40" t="str">
        <f>IFERROR(__xludf.DUMMYFUNCTION("IF(ISBLANK(B2067),"""",IF(ISDATE(B2067),H2067,""""))"),"")</f>
        <v/>
      </c>
      <c r="L2067" s="40" t="str">
        <f>IFERROR(__xludf.DUMMYFUNCTION("IF(ISBLANK(B2067),"""",IF(ISDATE(B2067),TEXT(B2067,""M""),""""))"),"")</f>
        <v/>
      </c>
      <c r="M2067" s="29" t="str">
        <f>IFERROR(__xludf.DUMMYFUNCTION("IF(L2067="""","""",QUERY({'Dashboard-Dados'!$Y$2:$AA$13},""Select Col2 Where Col1=""&amp;L2067))"),"")</f>
        <v/>
      </c>
      <c r="N2067" s="29" t="str">
        <f>IFERROR(__xludf.DUMMYFUNCTION("IF(ISBLANK(B2067),"""",IF(ISDATE(B2067),TEXT(B2067,""yyyy""),""""))"),"")</f>
        <v/>
      </c>
    </row>
    <row r="2068">
      <c r="B2068" s="89"/>
      <c r="C2068" s="86"/>
      <c r="D2068" s="71"/>
      <c r="H2068" s="90"/>
      <c r="J2068" s="53" t="str">
        <f>IFERROR(__xludf.DUMMYFUNCTION("IF(ISBLANK(B2068),"""",IF(ISDATE(B2068),""X"",""""))"),"")</f>
        <v/>
      </c>
      <c r="K2068" s="40" t="str">
        <f>IFERROR(__xludf.DUMMYFUNCTION("IF(ISBLANK(B2068),"""",IF(ISDATE(B2068),H2068,""""))"),"")</f>
        <v/>
      </c>
      <c r="L2068" s="40" t="str">
        <f>IFERROR(__xludf.DUMMYFUNCTION("IF(ISBLANK(B2068),"""",IF(ISDATE(B2068),TEXT(B2068,""M""),""""))"),"")</f>
        <v/>
      </c>
      <c r="M2068" s="29" t="str">
        <f>IFERROR(__xludf.DUMMYFUNCTION("IF(L2068="""","""",QUERY({'Dashboard-Dados'!$Y$2:$AA$13},""Select Col2 Where Col1=""&amp;L2068))"),"")</f>
        <v/>
      </c>
      <c r="N2068" s="29" t="str">
        <f>IFERROR(__xludf.DUMMYFUNCTION("IF(ISBLANK(B2068),"""",IF(ISDATE(B2068),TEXT(B2068,""yyyy""),""""))"),"")</f>
        <v/>
      </c>
    </row>
    <row r="2069">
      <c r="B2069" s="87"/>
      <c r="C2069" s="85"/>
      <c r="D2069" s="76"/>
      <c r="H2069" s="88"/>
      <c r="J2069" s="53" t="str">
        <f>IFERROR(__xludf.DUMMYFUNCTION("IF(ISBLANK(B2069),"""",IF(ISDATE(B2069),""X"",""""))"),"")</f>
        <v/>
      </c>
      <c r="K2069" s="40" t="str">
        <f>IFERROR(__xludf.DUMMYFUNCTION("IF(ISBLANK(B2069),"""",IF(ISDATE(B2069),H2069,""""))"),"")</f>
        <v/>
      </c>
      <c r="L2069" s="40" t="str">
        <f>IFERROR(__xludf.DUMMYFUNCTION("IF(ISBLANK(B2069),"""",IF(ISDATE(B2069),TEXT(B2069,""M""),""""))"),"")</f>
        <v/>
      </c>
      <c r="M2069" s="29" t="str">
        <f>IFERROR(__xludf.DUMMYFUNCTION("IF(L2069="""","""",QUERY({'Dashboard-Dados'!$Y$2:$AA$13},""Select Col2 Where Col1=""&amp;L2069))"),"")</f>
        <v/>
      </c>
      <c r="N2069" s="29" t="str">
        <f>IFERROR(__xludf.DUMMYFUNCTION("IF(ISBLANK(B2069),"""",IF(ISDATE(B2069),TEXT(B2069,""yyyy""),""""))"),"")</f>
        <v/>
      </c>
    </row>
    <row r="2070">
      <c r="B2070" s="89"/>
      <c r="C2070" s="86"/>
      <c r="D2070" s="71"/>
      <c r="H2070" s="90"/>
      <c r="J2070" s="53" t="str">
        <f>IFERROR(__xludf.DUMMYFUNCTION("IF(ISBLANK(B2070),"""",IF(ISDATE(B2070),""X"",""""))"),"")</f>
        <v/>
      </c>
      <c r="K2070" s="40" t="str">
        <f>IFERROR(__xludf.DUMMYFUNCTION("IF(ISBLANK(B2070),"""",IF(ISDATE(B2070),H2070,""""))"),"")</f>
        <v/>
      </c>
      <c r="L2070" s="40" t="str">
        <f>IFERROR(__xludf.DUMMYFUNCTION("IF(ISBLANK(B2070),"""",IF(ISDATE(B2070),TEXT(B2070,""M""),""""))"),"")</f>
        <v/>
      </c>
      <c r="M2070" s="29" t="str">
        <f>IFERROR(__xludf.DUMMYFUNCTION("IF(L2070="""","""",QUERY({'Dashboard-Dados'!$Y$2:$AA$13},""Select Col2 Where Col1=""&amp;L2070))"),"")</f>
        <v/>
      </c>
      <c r="N2070" s="29" t="str">
        <f>IFERROR(__xludf.DUMMYFUNCTION("IF(ISBLANK(B2070),"""",IF(ISDATE(B2070),TEXT(B2070,""yyyy""),""""))"),"")</f>
        <v/>
      </c>
    </row>
    <row r="2071">
      <c r="B2071" s="87"/>
      <c r="C2071" s="85"/>
      <c r="D2071" s="76"/>
      <c r="H2071" s="88"/>
      <c r="J2071" s="53" t="str">
        <f>IFERROR(__xludf.DUMMYFUNCTION("IF(ISBLANK(B2071),"""",IF(ISDATE(B2071),""X"",""""))"),"")</f>
        <v/>
      </c>
      <c r="K2071" s="40" t="str">
        <f>IFERROR(__xludf.DUMMYFUNCTION("IF(ISBLANK(B2071),"""",IF(ISDATE(B2071),H2071,""""))"),"")</f>
        <v/>
      </c>
      <c r="L2071" s="40" t="str">
        <f>IFERROR(__xludf.DUMMYFUNCTION("IF(ISBLANK(B2071),"""",IF(ISDATE(B2071),TEXT(B2071,""M""),""""))"),"")</f>
        <v/>
      </c>
      <c r="M2071" s="29" t="str">
        <f>IFERROR(__xludf.DUMMYFUNCTION("IF(L2071="""","""",QUERY({'Dashboard-Dados'!$Y$2:$AA$13},""Select Col2 Where Col1=""&amp;L2071))"),"")</f>
        <v/>
      </c>
      <c r="N2071" s="29" t="str">
        <f>IFERROR(__xludf.DUMMYFUNCTION("IF(ISBLANK(B2071),"""",IF(ISDATE(B2071),TEXT(B2071,""yyyy""),""""))"),"")</f>
        <v/>
      </c>
    </row>
    <row r="2072">
      <c r="B2072" s="89"/>
      <c r="C2072" s="86"/>
      <c r="D2072" s="71"/>
      <c r="H2072" s="90"/>
      <c r="J2072" s="53" t="str">
        <f>IFERROR(__xludf.DUMMYFUNCTION("IF(ISBLANK(B2072),"""",IF(ISDATE(B2072),""X"",""""))"),"")</f>
        <v/>
      </c>
      <c r="K2072" s="40" t="str">
        <f>IFERROR(__xludf.DUMMYFUNCTION("IF(ISBLANK(B2072),"""",IF(ISDATE(B2072),H2072,""""))"),"")</f>
        <v/>
      </c>
      <c r="L2072" s="40" t="str">
        <f>IFERROR(__xludf.DUMMYFUNCTION("IF(ISBLANK(B2072),"""",IF(ISDATE(B2072),TEXT(B2072,""M""),""""))"),"")</f>
        <v/>
      </c>
      <c r="M2072" s="29" t="str">
        <f>IFERROR(__xludf.DUMMYFUNCTION("IF(L2072="""","""",QUERY({'Dashboard-Dados'!$Y$2:$AA$13},""Select Col2 Where Col1=""&amp;L2072))"),"")</f>
        <v/>
      </c>
      <c r="N2072" s="29" t="str">
        <f>IFERROR(__xludf.DUMMYFUNCTION("IF(ISBLANK(B2072),"""",IF(ISDATE(B2072),TEXT(B2072,""yyyy""),""""))"),"")</f>
        <v/>
      </c>
    </row>
    <row r="2073">
      <c r="B2073" s="87"/>
      <c r="C2073" s="85"/>
      <c r="D2073" s="76"/>
      <c r="H2073" s="88"/>
      <c r="J2073" s="53" t="str">
        <f>IFERROR(__xludf.DUMMYFUNCTION("IF(ISBLANK(B2073),"""",IF(ISDATE(B2073),""X"",""""))"),"")</f>
        <v/>
      </c>
      <c r="K2073" s="40" t="str">
        <f>IFERROR(__xludf.DUMMYFUNCTION("IF(ISBLANK(B2073),"""",IF(ISDATE(B2073),H2073,""""))"),"")</f>
        <v/>
      </c>
      <c r="L2073" s="40" t="str">
        <f>IFERROR(__xludf.DUMMYFUNCTION("IF(ISBLANK(B2073),"""",IF(ISDATE(B2073),TEXT(B2073,""M""),""""))"),"")</f>
        <v/>
      </c>
      <c r="M2073" s="29" t="str">
        <f>IFERROR(__xludf.DUMMYFUNCTION("IF(L2073="""","""",QUERY({'Dashboard-Dados'!$Y$2:$AA$13},""Select Col2 Where Col1=""&amp;L2073))"),"")</f>
        <v/>
      </c>
      <c r="N2073" s="29" t="str">
        <f>IFERROR(__xludf.DUMMYFUNCTION("IF(ISBLANK(B2073),"""",IF(ISDATE(B2073),TEXT(B2073,""yyyy""),""""))"),"")</f>
        <v/>
      </c>
    </row>
    <row r="2074">
      <c r="B2074" s="89"/>
      <c r="C2074" s="86"/>
      <c r="D2074" s="71"/>
      <c r="H2074" s="90"/>
      <c r="J2074" s="53" t="str">
        <f>IFERROR(__xludf.DUMMYFUNCTION("IF(ISBLANK(B2074),"""",IF(ISDATE(B2074),""X"",""""))"),"")</f>
        <v/>
      </c>
      <c r="K2074" s="40" t="str">
        <f>IFERROR(__xludf.DUMMYFUNCTION("IF(ISBLANK(B2074),"""",IF(ISDATE(B2074),H2074,""""))"),"")</f>
        <v/>
      </c>
      <c r="L2074" s="40" t="str">
        <f>IFERROR(__xludf.DUMMYFUNCTION("IF(ISBLANK(B2074),"""",IF(ISDATE(B2074),TEXT(B2074,""M""),""""))"),"")</f>
        <v/>
      </c>
      <c r="M2074" s="29" t="str">
        <f>IFERROR(__xludf.DUMMYFUNCTION("IF(L2074="""","""",QUERY({'Dashboard-Dados'!$Y$2:$AA$13},""Select Col2 Where Col1=""&amp;L2074))"),"")</f>
        <v/>
      </c>
      <c r="N2074" s="29" t="str">
        <f>IFERROR(__xludf.DUMMYFUNCTION("IF(ISBLANK(B2074),"""",IF(ISDATE(B2074),TEXT(B2074,""yyyy""),""""))"),"")</f>
        <v/>
      </c>
    </row>
    <row r="2075">
      <c r="B2075" s="87"/>
      <c r="C2075" s="85"/>
      <c r="D2075" s="76"/>
      <c r="H2075" s="88"/>
      <c r="J2075" s="53" t="str">
        <f>IFERROR(__xludf.DUMMYFUNCTION("IF(ISBLANK(B2075),"""",IF(ISDATE(B2075),""X"",""""))"),"")</f>
        <v/>
      </c>
      <c r="K2075" s="40" t="str">
        <f>IFERROR(__xludf.DUMMYFUNCTION("IF(ISBLANK(B2075),"""",IF(ISDATE(B2075),H2075,""""))"),"")</f>
        <v/>
      </c>
      <c r="L2075" s="40" t="str">
        <f>IFERROR(__xludf.DUMMYFUNCTION("IF(ISBLANK(B2075),"""",IF(ISDATE(B2075),TEXT(B2075,""M""),""""))"),"")</f>
        <v/>
      </c>
      <c r="M2075" s="29" t="str">
        <f>IFERROR(__xludf.DUMMYFUNCTION("IF(L2075="""","""",QUERY({'Dashboard-Dados'!$Y$2:$AA$13},""Select Col2 Where Col1=""&amp;L2075))"),"")</f>
        <v/>
      </c>
      <c r="N2075" s="29" t="str">
        <f>IFERROR(__xludf.DUMMYFUNCTION("IF(ISBLANK(B2075),"""",IF(ISDATE(B2075),TEXT(B2075,""yyyy""),""""))"),"")</f>
        <v/>
      </c>
    </row>
    <row r="2076">
      <c r="B2076" s="89"/>
      <c r="C2076" s="86"/>
      <c r="D2076" s="71"/>
      <c r="H2076" s="90"/>
      <c r="J2076" s="53" t="str">
        <f>IFERROR(__xludf.DUMMYFUNCTION("IF(ISBLANK(B2076),"""",IF(ISDATE(B2076),""X"",""""))"),"")</f>
        <v/>
      </c>
      <c r="K2076" s="40" t="str">
        <f>IFERROR(__xludf.DUMMYFUNCTION("IF(ISBLANK(B2076),"""",IF(ISDATE(B2076),H2076,""""))"),"")</f>
        <v/>
      </c>
      <c r="L2076" s="40" t="str">
        <f>IFERROR(__xludf.DUMMYFUNCTION("IF(ISBLANK(B2076),"""",IF(ISDATE(B2076),TEXT(B2076,""M""),""""))"),"")</f>
        <v/>
      </c>
      <c r="M2076" s="29" t="str">
        <f>IFERROR(__xludf.DUMMYFUNCTION("IF(L2076="""","""",QUERY({'Dashboard-Dados'!$Y$2:$AA$13},""Select Col2 Where Col1=""&amp;L2076))"),"")</f>
        <v/>
      </c>
      <c r="N2076" s="29" t="str">
        <f>IFERROR(__xludf.DUMMYFUNCTION("IF(ISBLANK(B2076),"""",IF(ISDATE(B2076),TEXT(B2076,""yyyy""),""""))"),"")</f>
        <v/>
      </c>
    </row>
    <row r="2077">
      <c r="B2077" s="87"/>
      <c r="C2077" s="85"/>
      <c r="D2077" s="76"/>
      <c r="H2077" s="88"/>
      <c r="J2077" s="53" t="str">
        <f>IFERROR(__xludf.DUMMYFUNCTION("IF(ISBLANK(B2077),"""",IF(ISDATE(B2077),""X"",""""))"),"")</f>
        <v/>
      </c>
      <c r="K2077" s="40" t="str">
        <f>IFERROR(__xludf.DUMMYFUNCTION("IF(ISBLANK(B2077),"""",IF(ISDATE(B2077),H2077,""""))"),"")</f>
        <v/>
      </c>
      <c r="L2077" s="40" t="str">
        <f>IFERROR(__xludf.DUMMYFUNCTION("IF(ISBLANK(B2077),"""",IF(ISDATE(B2077),TEXT(B2077,""M""),""""))"),"")</f>
        <v/>
      </c>
      <c r="M2077" s="29" t="str">
        <f>IFERROR(__xludf.DUMMYFUNCTION("IF(L2077="""","""",QUERY({'Dashboard-Dados'!$Y$2:$AA$13},""Select Col2 Where Col1=""&amp;L2077))"),"")</f>
        <v/>
      </c>
      <c r="N2077" s="29" t="str">
        <f>IFERROR(__xludf.DUMMYFUNCTION("IF(ISBLANK(B2077),"""",IF(ISDATE(B2077),TEXT(B2077,""yyyy""),""""))"),"")</f>
        <v/>
      </c>
    </row>
    <row r="2078">
      <c r="B2078" s="89"/>
      <c r="C2078" s="86"/>
      <c r="D2078" s="71"/>
      <c r="H2078" s="90"/>
      <c r="J2078" s="53" t="str">
        <f>IFERROR(__xludf.DUMMYFUNCTION("IF(ISBLANK(B2078),"""",IF(ISDATE(B2078),""X"",""""))"),"")</f>
        <v/>
      </c>
      <c r="K2078" s="40" t="str">
        <f>IFERROR(__xludf.DUMMYFUNCTION("IF(ISBLANK(B2078),"""",IF(ISDATE(B2078),H2078,""""))"),"")</f>
        <v/>
      </c>
      <c r="L2078" s="40" t="str">
        <f>IFERROR(__xludf.DUMMYFUNCTION("IF(ISBLANK(B2078),"""",IF(ISDATE(B2078),TEXT(B2078,""M""),""""))"),"")</f>
        <v/>
      </c>
      <c r="M2078" s="29" t="str">
        <f>IFERROR(__xludf.DUMMYFUNCTION("IF(L2078="""","""",QUERY({'Dashboard-Dados'!$Y$2:$AA$13},""Select Col2 Where Col1=""&amp;L2078))"),"")</f>
        <v/>
      </c>
      <c r="N2078" s="29" t="str">
        <f>IFERROR(__xludf.DUMMYFUNCTION("IF(ISBLANK(B2078),"""",IF(ISDATE(B2078),TEXT(B2078,""yyyy""),""""))"),"")</f>
        <v/>
      </c>
    </row>
    <row r="2079">
      <c r="B2079" s="87"/>
      <c r="C2079" s="85"/>
      <c r="D2079" s="76"/>
      <c r="H2079" s="88"/>
      <c r="J2079" s="53" t="str">
        <f>IFERROR(__xludf.DUMMYFUNCTION("IF(ISBLANK(B2079),"""",IF(ISDATE(B2079),""X"",""""))"),"")</f>
        <v/>
      </c>
      <c r="K2079" s="40" t="str">
        <f>IFERROR(__xludf.DUMMYFUNCTION("IF(ISBLANK(B2079),"""",IF(ISDATE(B2079),H2079,""""))"),"")</f>
        <v/>
      </c>
      <c r="L2079" s="40" t="str">
        <f>IFERROR(__xludf.DUMMYFUNCTION("IF(ISBLANK(B2079),"""",IF(ISDATE(B2079),TEXT(B2079,""M""),""""))"),"")</f>
        <v/>
      </c>
      <c r="M2079" s="29" t="str">
        <f>IFERROR(__xludf.DUMMYFUNCTION("IF(L2079="""","""",QUERY({'Dashboard-Dados'!$Y$2:$AA$13},""Select Col2 Where Col1=""&amp;L2079))"),"")</f>
        <v/>
      </c>
      <c r="N2079" s="29" t="str">
        <f>IFERROR(__xludf.DUMMYFUNCTION("IF(ISBLANK(B2079),"""",IF(ISDATE(B2079),TEXT(B2079,""yyyy""),""""))"),"")</f>
        <v/>
      </c>
    </row>
    <row r="2080">
      <c r="B2080" s="89"/>
      <c r="C2080" s="86"/>
      <c r="D2080" s="71"/>
      <c r="H2080" s="90"/>
      <c r="J2080" s="53" t="str">
        <f>IFERROR(__xludf.DUMMYFUNCTION("IF(ISBLANK(B2080),"""",IF(ISDATE(B2080),""X"",""""))"),"")</f>
        <v/>
      </c>
      <c r="K2080" s="40" t="str">
        <f>IFERROR(__xludf.DUMMYFUNCTION("IF(ISBLANK(B2080),"""",IF(ISDATE(B2080),H2080,""""))"),"")</f>
        <v/>
      </c>
      <c r="L2080" s="40" t="str">
        <f>IFERROR(__xludf.DUMMYFUNCTION("IF(ISBLANK(B2080),"""",IF(ISDATE(B2080),TEXT(B2080,""M""),""""))"),"")</f>
        <v/>
      </c>
      <c r="M2080" s="29" t="str">
        <f>IFERROR(__xludf.DUMMYFUNCTION("IF(L2080="""","""",QUERY({'Dashboard-Dados'!$Y$2:$AA$13},""Select Col2 Where Col1=""&amp;L2080))"),"")</f>
        <v/>
      </c>
      <c r="N2080" s="29" t="str">
        <f>IFERROR(__xludf.DUMMYFUNCTION("IF(ISBLANK(B2080),"""",IF(ISDATE(B2080),TEXT(B2080,""yyyy""),""""))"),"")</f>
        <v/>
      </c>
    </row>
    <row r="2081">
      <c r="B2081" s="87"/>
      <c r="C2081" s="85"/>
      <c r="D2081" s="76"/>
      <c r="H2081" s="88"/>
      <c r="J2081" s="53" t="str">
        <f>IFERROR(__xludf.DUMMYFUNCTION("IF(ISBLANK(B2081),"""",IF(ISDATE(B2081),""X"",""""))"),"")</f>
        <v/>
      </c>
      <c r="K2081" s="40" t="str">
        <f>IFERROR(__xludf.DUMMYFUNCTION("IF(ISBLANK(B2081),"""",IF(ISDATE(B2081),H2081,""""))"),"")</f>
        <v/>
      </c>
      <c r="L2081" s="40" t="str">
        <f>IFERROR(__xludf.DUMMYFUNCTION("IF(ISBLANK(B2081),"""",IF(ISDATE(B2081),TEXT(B2081,""M""),""""))"),"")</f>
        <v/>
      </c>
      <c r="M2081" s="29" t="str">
        <f>IFERROR(__xludf.DUMMYFUNCTION("IF(L2081="""","""",QUERY({'Dashboard-Dados'!$Y$2:$AA$13},""Select Col2 Where Col1=""&amp;L2081))"),"")</f>
        <v/>
      </c>
      <c r="N2081" s="29" t="str">
        <f>IFERROR(__xludf.DUMMYFUNCTION("IF(ISBLANK(B2081),"""",IF(ISDATE(B2081),TEXT(B2081,""yyyy""),""""))"),"")</f>
        <v/>
      </c>
    </row>
    <row r="2082">
      <c r="B2082" s="89"/>
      <c r="C2082" s="86"/>
      <c r="D2082" s="71"/>
      <c r="H2082" s="90"/>
      <c r="J2082" s="53" t="str">
        <f>IFERROR(__xludf.DUMMYFUNCTION("IF(ISBLANK(B2082),"""",IF(ISDATE(B2082),""X"",""""))"),"")</f>
        <v/>
      </c>
      <c r="K2082" s="40" t="str">
        <f>IFERROR(__xludf.DUMMYFUNCTION("IF(ISBLANK(B2082),"""",IF(ISDATE(B2082),H2082,""""))"),"")</f>
        <v/>
      </c>
      <c r="L2082" s="40" t="str">
        <f>IFERROR(__xludf.DUMMYFUNCTION("IF(ISBLANK(B2082),"""",IF(ISDATE(B2082),TEXT(B2082,""M""),""""))"),"")</f>
        <v/>
      </c>
      <c r="M2082" s="29" t="str">
        <f>IFERROR(__xludf.DUMMYFUNCTION("IF(L2082="""","""",QUERY({'Dashboard-Dados'!$Y$2:$AA$13},""Select Col2 Where Col1=""&amp;L2082))"),"")</f>
        <v/>
      </c>
      <c r="N2082" s="29" t="str">
        <f>IFERROR(__xludf.DUMMYFUNCTION("IF(ISBLANK(B2082),"""",IF(ISDATE(B2082),TEXT(B2082,""yyyy""),""""))"),"")</f>
        <v/>
      </c>
    </row>
    <row r="2083">
      <c r="B2083" s="87"/>
      <c r="C2083" s="85"/>
      <c r="D2083" s="76"/>
      <c r="H2083" s="88"/>
      <c r="J2083" s="53" t="str">
        <f>IFERROR(__xludf.DUMMYFUNCTION("IF(ISBLANK(B2083),"""",IF(ISDATE(B2083),""X"",""""))"),"")</f>
        <v/>
      </c>
      <c r="K2083" s="40" t="str">
        <f>IFERROR(__xludf.DUMMYFUNCTION("IF(ISBLANK(B2083),"""",IF(ISDATE(B2083),H2083,""""))"),"")</f>
        <v/>
      </c>
      <c r="L2083" s="40" t="str">
        <f>IFERROR(__xludf.DUMMYFUNCTION("IF(ISBLANK(B2083),"""",IF(ISDATE(B2083),TEXT(B2083,""M""),""""))"),"")</f>
        <v/>
      </c>
      <c r="M2083" s="29" t="str">
        <f>IFERROR(__xludf.DUMMYFUNCTION("IF(L2083="""","""",QUERY({'Dashboard-Dados'!$Y$2:$AA$13},""Select Col2 Where Col1=""&amp;L2083))"),"")</f>
        <v/>
      </c>
      <c r="N2083" s="29" t="str">
        <f>IFERROR(__xludf.DUMMYFUNCTION("IF(ISBLANK(B2083),"""",IF(ISDATE(B2083),TEXT(B2083,""yyyy""),""""))"),"")</f>
        <v/>
      </c>
    </row>
    <row r="2084">
      <c r="B2084" s="89"/>
      <c r="C2084" s="86"/>
      <c r="D2084" s="71"/>
      <c r="H2084" s="90"/>
      <c r="J2084" s="53" t="str">
        <f>IFERROR(__xludf.DUMMYFUNCTION("IF(ISBLANK(B2084),"""",IF(ISDATE(B2084),""X"",""""))"),"")</f>
        <v/>
      </c>
      <c r="K2084" s="40" t="str">
        <f>IFERROR(__xludf.DUMMYFUNCTION("IF(ISBLANK(B2084),"""",IF(ISDATE(B2084),H2084,""""))"),"")</f>
        <v/>
      </c>
      <c r="L2084" s="40" t="str">
        <f>IFERROR(__xludf.DUMMYFUNCTION("IF(ISBLANK(B2084),"""",IF(ISDATE(B2084),TEXT(B2084,""M""),""""))"),"")</f>
        <v/>
      </c>
      <c r="M2084" s="29" t="str">
        <f>IFERROR(__xludf.DUMMYFUNCTION("IF(L2084="""","""",QUERY({'Dashboard-Dados'!$Y$2:$AA$13},""Select Col2 Where Col1=""&amp;L2084))"),"")</f>
        <v/>
      </c>
      <c r="N2084" s="29" t="str">
        <f>IFERROR(__xludf.DUMMYFUNCTION("IF(ISBLANK(B2084),"""",IF(ISDATE(B2084),TEXT(B2084,""yyyy""),""""))"),"")</f>
        <v/>
      </c>
    </row>
    <row r="2085">
      <c r="B2085" s="87"/>
      <c r="C2085" s="85"/>
      <c r="D2085" s="76"/>
      <c r="H2085" s="88"/>
      <c r="J2085" s="53" t="str">
        <f>IFERROR(__xludf.DUMMYFUNCTION("IF(ISBLANK(B2085),"""",IF(ISDATE(B2085),""X"",""""))"),"")</f>
        <v/>
      </c>
      <c r="K2085" s="40" t="str">
        <f>IFERROR(__xludf.DUMMYFUNCTION("IF(ISBLANK(B2085),"""",IF(ISDATE(B2085),H2085,""""))"),"")</f>
        <v/>
      </c>
      <c r="L2085" s="40" t="str">
        <f>IFERROR(__xludf.DUMMYFUNCTION("IF(ISBLANK(B2085),"""",IF(ISDATE(B2085),TEXT(B2085,""M""),""""))"),"")</f>
        <v/>
      </c>
      <c r="M2085" s="29" t="str">
        <f>IFERROR(__xludf.DUMMYFUNCTION("IF(L2085="""","""",QUERY({'Dashboard-Dados'!$Y$2:$AA$13},""Select Col2 Where Col1=""&amp;L2085))"),"")</f>
        <v/>
      </c>
      <c r="N2085" s="29" t="str">
        <f>IFERROR(__xludf.DUMMYFUNCTION("IF(ISBLANK(B2085),"""",IF(ISDATE(B2085),TEXT(B2085,""yyyy""),""""))"),"")</f>
        <v/>
      </c>
    </row>
    <row r="2086">
      <c r="B2086" s="89"/>
      <c r="C2086" s="86"/>
      <c r="D2086" s="71"/>
      <c r="H2086" s="90"/>
      <c r="J2086" s="53" t="str">
        <f>IFERROR(__xludf.DUMMYFUNCTION("IF(ISBLANK(B2086),"""",IF(ISDATE(B2086),""X"",""""))"),"")</f>
        <v/>
      </c>
      <c r="K2086" s="40" t="str">
        <f>IFERROR(__xludf.DUMMYFUNCTION("IF(ISBLANK(B2086),"""",IF(ISDATE(B2086),H2086,""""))"),"")</f>
        <v/>
      </c>
      <c r="L2086" s="40" t="str">
        <f>IFERROR(__xludf.DUMMYFUNCTION("IF(ISBLANK(B2086),"""",IF(ISDATE(B2086),TEXT(B2086,""M""),""""))"),"")</f>
        <v/>
      </c>
      <c r="M2086" s="29" t="str">
        <f>IFERROR(__xludf.DUMMYFUNCTION("IF(L2086="""","""",QUERY({'Dashboard-Dados'!$Y$2:$AA$13},""Select Col2 Where Col1=""&amp;L2086))"),"")</f>
        <v/>
      </c>
      <c r="N2086" s="29" t="str">
        <f>IFERROR(__xludf.DUMMYFUNCTION("IF(ISBLANK(B2086),"""",IF(ISDATE(B2086),TEXT(B2086,""yyyy""),""""))"),"")</f>
        <v/>
      </c>
    </row>
    <row r="2087">
      <c r="B2087" s="87"/>
      <c r="C2087" s="85"/>
      <c r="D2087" s="76"/>
      <c r="H2087" s="88"/>
      <c r="J2087" s="53" t="str">
        <f>IFERROR(__xludf.DUMMYFUNCTION("IF(ISBLANK(B2087),"""",IF(ISDATE(B2087),""X"",""""))"),"")</f>
        <v/>
      </c>
      <c r="K2087" s="40" t="str">
        <f>IFERROR(__xludf.DUMMYFUNCTION("IF(ISBLANK(B2087),"""",IF(ISDATE(B2087),H2087,""""))"),"")</f>
        <v/>
      </c>
      <c r="L2087" s="40" t="str">
        <f>IFERROR(__xludf.DUMMYFUNCTION("IF(ISBLANK(B2087),"""",IF(ISDATE(B2087),TEXT(B2087,""M""),""""))"),"")</f>
        <v/>
      </c>
      <c r="M2087" s="29" t="str">
        <f>IFERROR(__xludf.DUMMYFUNCTION("IF(L2087="""","""",QUERY({'Dashboard-Dados'!$Y$2:$AA$13},""Select Col2 Where Col1=""&amp;L2087))"),"")</f>
        <v/>
      </c>
      <c r="N2087" s="29" t="str">
        <f>IFERROR(__xludf.DUMMYFUNCTION("IF(ISBLANK(B2087),"""",IF(ISDATE(B2087),TEXT(B2087,""yyyy""),""""))"),"")</f>
        <v/>
      </c>
    </row>
    <row r="2088">
      <c r="B2088" s="89"/>
      <c r="C2088" s="86"/>
      <c r="D2088" s="71"/>
      <c r="H2088" s="90"/>
      <c r="J2088" s="53" t="str">
        <f>IFERROR(__xludf.DUMMYFUNCTION("IF(ISBLANK(B2088),"""",IF(ISDATE(B2088),""X"",""""))"),"")</f>
        <v/>
      </c>
      <c r="K2088" s="40" t="str">
        <f>IFERROR(__xludf.DUMMYFUNCTION("IF(ISBLANK(B2088),"""",IF(ISDATE(B2088),H2088,""""))"),"")</f>
        <v/>
      </c>
      <c r="L2088" s="40" t="str">
        <f>IFERROR(__xludf.DUMMYFUNCTION("IF(ISBLANK(B2088),"""",IF(ISDATE(B2088),TEXT(B2088,""M""),""""))"),"")</f>
        <v/>
      </c>
      <c r="M2088" s="29" t="str">
        <f>IFERROR(__xludf.DUMMYFUNCTION("IF(L2088="""","""",QUERY({'Dashboard-Dados'!$Y$2:$AA$13},""Select Col2 Where Col1=""&amp;L2088))"),"")</f>
        <v/>
      </c>
      <c r="N2088" s="29" t="str">
        <f>IFERROR(__xludf.DUMMYFUNCTION("IF(ISBLANK(B2088),"""",IF(ISDATE(B2088),TEXT(B2088,""yyyy""),""""))"),"")</f>
        <v/>
      </c>
    </row>
    <row r="2089">
      <c r="B2089" s="87"/>
      <c r="C2089" s="85"/>
      <c r="D2089" s="76"/>
      <c r="H2089" s="88"/>
      <c r="J2089" s="53" t="str">
        <f>IFERROR(__xludf.DUMMYFUNCTION("IF(ISBLANK(B2089),"""",IF(ISDATE(B2089),""X"",""""))"),"")</f>
        <v/>
      </c>
      <c r="K2089" s="40" t="str">
        <f>IFERROR(__xludf.DUMMYFUNCTION("IF(ISBLANK(B2089),"""",IF(ISDATE(B2089),H2089,""""))"),"")</f>
        <v/>
      </c>
      <c r="L2089" s="40" t="str">
        <f>IFERROR(__xludf.DUMMYFUNCTION("IF(ISBLANK(B2089),"""",IF(ISDATE(B2089),TEXT(B2089,""M""),""""))"),"")</f>
        <v/>
      </c>
      <c r="M2089" s="29" t="str">
        <f>IFERROR(__xludf.DUMMYFUNCTION("IF(L2089="""","""",QUERY({'Dashboard-Dados'!$Y$2:$AA$13},""Select Col2 Where Col1=""&amp;L2089))"),"")</f>
        <v/>
      </c>
      <c r="N2089" s="29" t="str">
        <f>IFERROR(__xludf.DUMMYFUNCTION("IF(ISBLANK(B2089),"""",IF(ISDATE(B2089),TEXT(B2089,""yyyy""),""""))"),"")</f>
        <v/>
      </c>
    </row>
    <row r="2090">
      <c r="B2090" s="89"/>
      <c r="C2090" s="86"/>
      <c r="D2090" s="71"/>
      <c r="H2090" s="90"/>
      <c r="J2090" s="53" t="str">
        <f>IFERROR(__xludf.DUMMYFUNCTION("IF(ISBLANK(B2090),"""",IF(ISDATE(B2090),""X"",""""))"),"")</f>
        <v/>
      </c>
      <c r="K2090" s="40" t="str">
        <f>IFERROR(__xludf.DUMMYFUNCTION("IF(ISBLANK(B2090),"""",IF(ISDATE(B2090),H2090,""""))"),"")</f>
        <v/>
      </c>
      <c r="L2090" s="40" t="str">
        <f>IFERROR(__xludf.DUMMYFUNCTION("IF(ISBLANK(B2090),"""",IF(ISDATE(B2090),TEXT(B2090,""M""),""""))"),"")</f>
        <v/>
      </c>
      <c r="M2090" s="29" t="str">
        <f>IFERROR(__xludf.DUMMYFUNCTION("IF(L2090="""","""",QUERY({'Dashboard-Dados'!$Y$2:$AA$13},""Select Col2 Where Col1=""&amp;L2090))"),"")</f>
        <v/>
      </c>
      <c r="N2090" s="29" t="str">
        <f>IFERROR(__xludf.DUMMYFUNCTION("IF(ISBLANK(B2090),"""",IF(ISDATE(B2090),TEXT(B2090,""yyyy""),""""))"),"")</f>
        <v/>
      </c>
    </row>
    <row r="2091">
      <c r="B2091" s="87"/>
      <c r="C2091" s="85"/>
      <c r="D2091" s="76"/>
      <c r="H2091" s="88"/>
      <c r="J2091" s="53" t="str">
        <f>IFERROR(__xludf.DUMMYFUNCTION("IF(ISBLANK(B2091),"""",IF(ISDATE(B2091),""X"",""""))"),"")</f>
        <v/>
      </c>
      <c r="K2091" s="40" t="str">
        <f>IFERROR(__xludf.DUMMYFUNCTION("IF(ISBLANK(B2091),"""",IF(ISDATE(B2091),H2091,""""))"),"")</f>
        <v/>
      </c>
      <c r="L2091" s="40" t="str">
        <f>IFERROR(__xludf.DUMMYFUNCTION("IF(ISBLANK(B2091),"""",IF(ISDATE(B2091),TEXT(B2091,""M""),""""))"),"")</f>
        <v/>
      </c>
      <c r="M2091" s="29" t="str">
        <f>IFERROR(__xludf.DUMMYFUNCTION("IF(L2091="""","""",QUERY({'Dashboard-Dados'!$Y$2:$AA$13},""Select Col2 Where Col1=""&amp;L2091))"),"")</f>
        <v/>
      </c>
      <c r="N2091" s="29" t="str">
        <f>IFERROR(__xludf.DUMMYFUNCTION("IF(ISBLANK(B2091),"""",IF(ISDATE(B2091),TEXT(B2091,""yyyy""),""""))"),"")</f>
        <v/>
      </c>
    </row>
    <row r="2092">
      <c r="B2092" s="89"/>
      <c r="C2092" s="86"/>
      <c r="D2092" s="71"/>
      <c r="H2092" s="90"/>
      <c r="J2092" s="53" t="str">
        <f>IFERROR(__xludf.DUMMYFUNCTION("IF(ISBLANK(B2092),"""",IF(ISDATE(B2092),""X"",""""))"),"")</f>
        <v/>
      </c>
      <c r="K2092" s="40" t="str">
        <f>IFERROR(__xludf.DUMMYFUNCTION("IF(ISBLANK(B2092),"""",IF(ISDATE(B2092),H2092,""""))"),"")</f>
        <v/>
      </c>
      <c r="L2092" s="40" t="str">
        <f>IFERROR(__xludf.DUMMYFUNCTION("IF(ISBLANK(B2092),"""",IF(ISDATE(B2092),TEXT(B2092,""M""),""""))"),"")</f>
        <v/>
      </c>
      <c r="M2092" s="29" t="str">
        <f>IFERROR(__xludf.DUMMYFUNCTION("IF(L2092="""","""",QUERY({'Dashboard-Dados'!$Y$2:$AA$13},""Select Col2 Where Col1=""&amp;L2092))"),"")</f>
        <v/>
      </c>
      <c r="N2092" s="29" t="str">
        <f>IFERROR(__xludf.DUMMYFUNCTION("IF(ISBLANK(B2092),"""",IF(ISDATE(B2092),TEXT(B2092,""yyyy""),""""))"),"")</f>
        <v/>
      </c>
    </row>
    <row r="2093">
      <c r="B2093" s="87"/>
      <c r="C2093" s="85"/>
      <c r="D2093" s="76"/>
      <c r="H2093" s="88"/>
      <c r="J2093" s="53" t="str">
        <f>IFERROR(__xludf.DUMMYFUNCTION("IF(ISBLANK(B2093),"""",IF(ISDATE(B2093),""X"",""""))"),"")</f>
        <v/>
      </c>
      <c r="K2093" s="40" t="str">
        <f>IFERROR(__xludf.DUMMYFUNCTION("IF(ISBLANK(B2093),"""",IF(ISDATE(B2093),H2093,""""))"),"")</f>
        <v/>
      </c>
      <c r="L2093" s="40" t="str">
        <f>IFERROR(__xludf.DUMMYFUNCTION("IF(ISBLANK(B2093),"""",IF(ISDATE(B2093),TEXT(B2093,""M""),""""))"),"")</f>
        <v/>
      </c>
      <c r="M2093" s="29" t="str">
        <f>IFERROR(__xludf.DUMMYFUNCTION("IF(L2093="""","""",QUERY({'Dashboard-Dados'!$Y$2:$AA$13},""Select Col2 Where Col1=""&amp;L2093))"),"")</f>
        <v/>
      </c>
      <c r="N2093" s="29" t="str">
        <f>IFERROR(__xludf.DUMMYFUNCTION("IF(ISBLANK(B2093),"""",IF(ISDATE(B2093),TEXT(B2093,""yyyy""),""""))"),"")</f>
        <v/>
      </c>
    </row>
    <row r="2094">
      <c r="B2094" s="89"/>
      <c r="C2094" s="86"/>
      <c r="D2094" s="71"/>
      <c r="H2094" s="90"/>
      <c r="J2094" s="53" t="str">
        <f>IFERROR(__xludf.DUMMYFUNCTION("IF(ISBLANK(B2094),"""",IF(ISDATE(B2094),""X"",""""))"),"")</f>
        <v/>
      </c>
      <c r="K2094" s="40" t="str">
        <f>IFERROR(__xludf.DUMMYFUNCTION("IF(ISBLANK(B2094),"""",IF(ISDATE(B2094),H2094,""""))"),"")</f>
        <v/>
      </c>
      <c r="L2094" s="40" t="str">
        <f>IFERROR(__xludf.DUMMYFUNCTION("IF(ISBLANK(B2094),"""",IF(ISDATE(B2094),TEXT(B2094,""M""),""""))"),"")</f>
        <v/>
      </c>
      <c r="M2094" s="29" t="str">
        <f>IFERROR(__xludf.DUMMYFUNCTION("IF(L2094="""","""",QUERY({'Dashboard-Dados'!$Y$2:$AA$13},""Select Col2 Where Col1=""&amp;L2094))"),"")</f>
        <v/>
      </c>
      <c r="N2094" s="29" t="str">
        <f>IFERROR(__xludf.DUMMYFUNCTION("IF(ISBLANK(B2094),"""",IF(ISDATE(B2094),TEXT(B2094,""yyyy""),""""))"),"")</f>
        <v/>
      </c>
    </row>
    <row r="2095">
      <c r="B2095" s="87"/>
      <c r="C2095" s="85"/>
      <c r="D2095" s="76"/>
      <c r="H2095" s="88"/>
      <c r="J2095" s="53" t="str">
        <f>IFERROR(__xludf.DUMMYFUNCTION("IF(ISBLANK(B2095),"""",IF(ISDATE(B2095),""X"",""""))"),"")</f>
        <v/>
      </c>
      <c r="K2095" s="40" t="str">
        <f>IFERROR(__xludf.DUMMYFUNCTION("IF(ISBLANK(B2095),"""",IF(ISDATE(B2095),H2095,""""))"),"")</f>
        <v/>
      </c>
      <c r="L2095" s="40" t="str">
        <f>IFERROR(__xludf.DUMMYFUNCTION("IF(ISBLANK(B2095),"""",IF(ISDATE(B2095),TEXT(B2095,""M""),""""))"),"")</f>
        <v/>
      </c>
      <c r="M2095" s="29" t="str">
        <f>IFERROR(__xludf.DUMMYFUNCTION("IF(L2095="""","""",QUERY({'Dashboard-Dados'!$Y$2:$AA$13},""Select Col2 Where Col1=""&amp;L2095))"),"")</f>
        <v/>
      </c>
      <c r="N2095" s="29" t="str">
        <f>IFERROR(__xludf.DUMMYFUNCTION("IF(ISBLANK(B2095),"""",IF(ISDATE(B2095),TEXT(B2095,""yyyy""),""""))"),"")</f>
        <v/>
      </c>
    </row>
    <row r="2096">
      <c r="B2096" s="89"/>
      <c r="C2096" s="86"/>
      <c r="D2096" s="71"/>
      <c r="H2096" s="90"/>
      <c r="J2096" s="53" t="str">
        <f>IFERROR(__xludf.DUMMYFUNCTION("IF(ISBLANK(B2096),"""",IF(ISDATE(B2096),""X"",""""))"),"")</f>
        <v/>
      </c>
      <c r="K2096" s="40" t="str">
        <f>IFERROR(__xludf.DUMMYFUNCTION("IF(ISBLANK(B2096),"""",IF(ISDATE(B2096),H2096,""""))"),"")</f>
        <v/>
      </c>
      <c r="L2096" s="40" t="str">
        <f>IFERROR(__xludf.DUMMYFUNCTION("IF(ISBLANK(B2096),"""",IF(ISDATE(B2096),TEXT(B2096,""M""),""""))"),"")</f>
        <v/>
      </c>
      <c r="M2096" s="29" t="str">
        <f>IFERROR(__xludf.DUMMYFUNCTION("IF(L2096="""","""",QUERY({'Dashboard-Dados'!$Y$2:$AA$13},""Select Col2 Where Col1=""&amp;L2096))"),"")</f>
        <v/>
      </c>
      <c r="N2096" s="29" t="str">
        <f>IFERROR(__xludf.DUMMYFUNCTION("IF(ISBLANK(B2096),"""",IF(ISDATE(B2096),TEXT(B2096,""yyyy""),""""))"),"")</f>
        <v/>
      </c>
    </row>
    <row r="2097">
      <c r="B2097" s="87"/>
      <c r="C2097" s="85"/>
      <c r="D2097" s="76"/>
      <c r="H2097" s="88"/>
      <c r="J2097" s="53" t="str">
        <f>IFERROR(__xludf.DUMMYFUNCTION("IF(ISBLANK(B2097),"""",IF(ISDATE(B2097),""X"",""""))"),"")</f>
        <v/>
      </c>
      <c r="K2097" s="40" t="str">
        <f>IFERROR(__xludf.DUMMYFUNCTION("IF(ISBLANK(B2097),"""",IF(ISDATE(B2097),H2097,""""))"),"")</f>
        <v/>
      </c>
      <c r="L2097" s="40" t="str">
        <f>IFERROR(__xludf.DUMMYFUNCTION("IF(ISBLANK(B2097),"""",IF(ISDATE(B2097),TEXT(B2097,""M""),""""))"),"")</f>
        <v/>
      </c>
      <c r="M2097" s="29" t="str">
        <f>IFERROR(__xludf.DUMMYFUNCTION("IF(L2097="""","""",QUERY({'Dashboard-Dados'!$Y$2:$AA$13},""Select Col2 Where Col1=""&amp;L2097))"),"")</f>
        <v/>
      </c>
      <c r="N2097" s="29" t="str">
        <f>IFERROR(__xludf.DUMMYFUNCTION("IF(ISBLANK(B2097),"""",IF(ISDATE(B2097),TEXT(B2097,""yyyy""),""""))"),"")</f>
        <v/>
      </c>
    </row>
    <row r="2098">
      <c r="B2098" s="89"/>
      <c r="C2098" s="86"/>
      <c r="D2098" s="71"/>
      <c r="H2098" s="90"/>
      <c r="J2098" s="53" t="str">
        <f>IFERROR(__xludf.DUMMYFUNCTION("IF(ISBLANK(B2098),"""",IF(ISDATE(B2098),""X"",""""))"),"")</f>
        <v/>
      </c>
      <c r="K2098" s="40" t="str">
        <f>IFERROR(__xludf.DUMMYFUNCTION("IF(ISBLANK(B2098),"""",IF(ISDATE(B2098),H2098,""""))"),"")</f>
        <v/>
      </c>
      <c r="L2098" s="40" t="str">
        <f>IFERROR(__xludf.DUMMYFUNCTION("IF(ISBLANK(B2098),"""",IF(ISDATE(B2098),TEXT(B2098,""M""),""""))"),"")</f>
        <v/>
      </c>
      <c r="M2098" s="29" t="str">
        <f>IFERROR(__xludf.DUMMYFUNCTION("IF(L2098="""","""",QUERY({'Dashboard-Dados'!$Y$2:$AA$13},""Select Col2 Where Col1=""&amp;L2098))"),"")</f>
        <v/>
      </c>
      <c r="N2098" s="29" t="str">
        <f>IFERROR(__xludf.DUMMYFUNCTION("IF(ISBLANK(B2098),"""",IF(ISDATE(B2098),TEXT(B2098,""yyyy""),""""))"),"")</f>
        <v/>
      </c>
    </row>
    <row r="2099">
      <c r="B2099" s="87"/>
      <c r="C2099" s="85"/>
      <c r="D2099" s="76"/>
      <c r="H2099" s="88"/>
      <c r="J2099" s="53" t="str">
        <f>IFERROR(__xludf.DUMMYFUNCTION("IF(ISBLANK(B2099),"""",IF(ISDATE(B2099),""X"",""""))"),"")</f>
        <v/>
      </c>
      <c r="K2099" s="40" t="str">
        <f>IFERROR(__xludf.DUMMYFUNCTION("IF(ISBLANK(B2099),"""",IF(ISDATE(B2099),H2099,""""))"),"")</f>
        <v/>
      </c>
      <c r="L2099" s="40" t="str">
        <f>IFERROR(__xludf.DUMMYFUNCTION("IF(ISBLANK(B2099),"""",IF(ISDATE(B2099),TEXT(B2099,""M""),""""))"),"")</f>
        <v/>
      </c>
      <c r="M2099" s="29" t="str">
        <f>IFERROR(__xludf.DUMMYFUNCTION("IF(L2099="""","""",QUERY({'Dashboard-Dados'!$Y$2:$AA$13},""Select Col2 Where Col1=""&amp;L2099))"),"")</f>
        <v/>
      </c>
      <c r="N2099" s="29" t="str">
        <f>IFERROR(__xludf.DUMMYFUNCTION("IF(ISBLANK(B2099),"""",IF(ISDATE(B2099),TEXT(B2099,""yyyy""),""""))"),"")</f>
        <v/>
      </c>
    </row>
    <row r="2100">
      <c r="B2100" s="89"/>
      <c r="C2100" s="86"/>
      <c r="D2100" s="71"/>
      <c r="H2100" s="90"/>
      <c r="J2100" s="53" t="str">
        <f>IFERROR(__xludf.DUMMYFUNCTION("IF(ISBLANK(B2100),"""",IF(ISDATE(B2100),""X"",""""))"),"")</f>
        <v/>
      </c>
      <c r="K2100" s="40" t="str">
        <f>IFERROR(__xludf.DUMMYFUNCTION("IF(ISBLANK(B2100),"""",IF(ISDATE(B2100),H2100,""""))"),"")</f>
        <v/>
      </c>
      <c r="L2100" s="40" t="str">
        <f>IFERROR(__xludf.DUMMYFUNCTION("IF(ISBLANK(B2100),"""",IF(ISDATE(B2100),TEXT(B2100,""M""),""""))"),"")</f>
        <v/>
      </c>
      <c r="M2100" s="29" t="str">
        <f>IFERROR(__xludf.DUMMYFUNCTION("IF(L2100="""","""",QUERY({'Dashboard-Dados'!$Y$2:$AA$13},""Select Col2 Where Col1=""&amp;L2100))"),"")</f>
        <v/>
      </c>
      <c r="N2100" s="29" t="str">
        <f>IFERROR(__xludf.DUMMYFUNCTION("IF(ISBLANK(B2100),"""",IF(ISDATE(B2100),TEXT(B2100,""yyyy""),""""))"),"")</f>
        <v/>
      </c>
    </row>
    <row r="2101">
      <c r="B2101" s="87"/>
      <c r="C2101" s="85"/>
      <c r="D2101" s="76"/>
      <c r="H2101" s="88"/>
      <c r="J2101" s="53" t="str">
        <f>IFERROR(__xludf.DUMMYFUNCTION("IF(ISBLANK(B2101),"""",IF(ISDATE(B2101),""X"",""""))"),"")</f>
        <v/>
      </c>
      <c r="K2101" s="40" t="str">
        <f>IFERROR(__xludf.DUMMYFUNCTION("IF(ISBLANK(B2101),"""",IF(ISDATE(B2101),H2101,""""))"),"")</f>
        <v/>
      </c>
      <c r="L2101" s="40" t="str">
        <f>IFERROR(__xludf.DUMMYFUNCTION("IF(ISBLANK(B2101),"""",IF(ISDATE(B2101),TEXT(B2101,""M""),""""))"),"")</f>
        <v/>
      </c>
      <c r="M2101" s="29" t="str">
        <f>IFERROR(__xludf.DUMMYFUNCTION("IF(L2101="""","""",QUERY({'Dashboard-Dados'!$Y$2:$AA$13},""Select Col2 Where Col1=""&amp;L2101))"),"")</f>
        <v/>
      </c>
      <c r="N2101" s="29" t="str">
        <f>IFERROR(__xludf.DUMMYFUNCTION("IF(ISBLANK(B2101),"""",IF(ISDATE(B2101),TEXT(B2101,""yyyy""),""""))"),"")</f>
        <v/>
      </c>
    </row>
    <row r="2102">
      <c r="B2102" s="89"/>
      <c r="C2102" s="86"/>
      <c r="D2102" s="71"/>
      <c r="H2102" s="90"/>
      <c r="J2102" s="53" t="str">
        <f>IFERROR(__xludf.DUMMYFUNCTION("IF(ISBLANK(B2102),"""",IF(ISDATE(B2102),""X"",""""))"),"")</f>
        <v/>
      </c>
      <c r="K2102" s="40" t="str">
        <f>IFERROR(__xludf.DUMMYFUNCTION("IF(ISBLANK(B2102),"""",IF(ISDATE(B2102),H2102,""""))"),"")</f>
        <v/>
      </c>
      <c r="L2102" s="40" t="str">
        <f>IFERROR(__xludf.DUMMYFUNCTION("IF(ISBLANK(B2102),"""",IF(ISDATE(B2102),TEXT(B2102,""M""),""""))"),"")</f>
        <v/>
      </c>
      <c r="M2102" s="29" t="str">
        <f>IFERROR(__xludf.DUMMYFUNCTION("IF(L2102="""","""",QUERY({'Dashboard-Dados'!$Y$2:$AA$13},""Select Col2 Where Col1=""&amp;L2102))"),"")</f>
        <v/>
      </c>
      <c r="N2102" s="29" t="str">
        <f>IFERROR(__xludf.DUMMYFUNCTION("IF(ISBLANK(B2102),"""",IF(ISDATE(B2102),TEXT(B2102,""yyyy""),""""))"),"")</f>
        <v/>
      </c>
    </row>
    <row r="2103">
      <c r="B2103" s="87"/>
      <c r="C2103" s="85"/>
      <c r="D2103" s="76"/>
      <c r="H2103" s="88"/>
      <c r="J2103" s="53" t="str">
        <f>IFERROR(__xludf.DUMMYFUNCTION("IF(ISBLANK(B2103),"""",IF(ISDATE(B2103),""X"",""""))"),"")</f>
        <v/>
      </c>
      <c r="K2103" s="40" t="str">
        <f>IFERROR(__xludf.DUMMYFUNCTION("IF(ISBLANK(B2103),"""",IF(ISDATE(B2103),H2103,""""))"),"")</f>
        <v/>
      </c>
      <c r="L2103" s="40" t="str">
        <f>IFERROR(__xludf.DUMMYFUNCTION("IF(ISBLANK(B2103),"""",IF(ISDATE(B2103),TEXT(B2103,""M""),""""))"),"")</f>
        <v/>
      </c>
      <c r="M2103" s="29" t="str">
        <f>IFERROR(__xludf.DUMMYFUNCTION("IF(L2103="""","""",QUERY({'Dashboard-Dados'!$Y$2:$AA$13},""Select Col2 Where Col1=""&amp;L2103))"),"")</f>
        <v/>
      </c>
      <c r="N2103" s="29" t="str">
        <f>IFERROR(__xludf.DUMMYFUNCTION("IF(ISBLANK(B2103),"""",IF(ISDATE(B2103),TEXT(B2103,""yyyy""),""""))"),"")</f>
        <v/>
      </c>
    </row>
    <row r="2104">
      <c r="B2104" s="89"/>
      <c r="C2104" s="86"/>
      <c r="D2104" s="71"/>
      <c r="H2104" s="90"/>
      <c r="J2104" s="53" t="str">
        <f>IFERROR(__xludf.DUMMYFUNCTION("IF(ISBLANK(B2104),"""",IF(ISDATE(B2104),""X"",""""))"),"")</f>
        <v/>
      </c>
      <c r="K2104" s="40" t="str">
        <f>IFERROR(__xludf.DUMMYFUNCTION("IF(ISBLANK(B2104),"""",IF(ISDATE(B2104),H2104,""""))"),"")</f>
        <v/>
      </c>
      <c r="L2104" s="40" t="str">
        <f>IFERROR(__xludf.DUMMYFUNCTION("IF(ISBLANK(B2104),"""",IF(ISDATE(B2104),TEXT(B2104,""M""),""""))"),"")</f>
        <v/>
      </c>
      <c r="M2104" s="29" t="str">
        <f>IFERROR(__xludf.DUMMYFUNCTION("IF(L2104="""","""",QUERY({'Dashboard-Dados'!$Y$2:$AA$13},""Select Col2 Where Col1=""&amp;L2104))"),"")</f>
        <v/>
      </c>
      <c r="N2104" s="29" t="str">
        <f>IFERROR(__xludf.DUMMYFUNCTION("IF(ISBLANK(B2104),"""",IF(ISDATE(B2104),TEXT(B2104,""yyyy""),""""))"),"")</f>
        <v/>
      </c>
    </row>
    <row r="2105">
      <c r="B2105" s="87"/>
      <c r="C2105" s="85"/>
      <c r="D2105" s="76"/>
      <c r="H2105" s="88"/>
      <c r="J2105" s="53" t="str">
        <f>IFERROR(__xludf.DUMMYFUNCTION("IF(ISBLANK(B2105),"""",IF(ISDATE(B2105),""X"",""""))"),"")</f>
        <v/>
      </c>
      <c r="K2105" s="40" t="str">
        <f>IFERROR(__xludf.DUMMYFUNCTION("IF(ISBLANK(B2105),"""",IF(ISDATE(B2105),H2105,""""))"),"")</f>
        <v/>
      </c>
      <c r="L2105" s="40" t="str">
        <f>IFERROR(__xludf.DUMMYFUNCTION("IF(ISBLANK(B2105),"""",IF(ISDATE(B2105),TEXT(B2105,""M""),""""))"),"")</f>
        <v/>
      </c>
      <c r="M2105" s="29" t="str">
        <f>IFERROR(__xludf.DUMMYFUNCTION("IF(L2105="""","""",QUERY({'Dashboard-Dados'!$Y$2:$AA$13},""Select Col2 Where Col1=""&amp;L2105))"),"")</f>
        <v/>
      </c>
      <c r="N2105" s="29" t="str">
        <f>IFERROR(__xludf.DUMMYFUNCTION("IF(ISBLANK(B2105),"""",IF(ISDATE(B2105),TEXT(B2105,""yyyy""),""""))"),"")</f>
        <v/>
      </c>
    </row>
    <row r="2106">
      <c r="B2106" s="89"/>
      <c r="C2106" s="86"/>
      <c r="D2106" s="71"/>
      <c r="H2106" s="90"/>
      <c r="J2106" s="53" t="str">
        <f>IFERROR(__xludf.DUMMYFUNCTION("IF(ISBLANK(B2106),"""",IF(ISDATE(B2106),""X"",""""))"),"")</f>
        <v/>
      </c>
      <c r="K2106" s="40" t="str">
        <f>IFERROR(__xludf.DUMMYFUNCTION("IF(ISBLANK(B2106),"""",IF(ISDATE(B2106),H2106,""""))"),"")</f>
        <v/>
      </c>
      <c r="L2106" s="40" t="str">
        <f>IFERROR(__xludf.DUMMYFUNCTION("IF(ISBLANK(B2106),"""",IF(ISDATE(B2106),TEXT(B2106,""M""),""""))"),"")</f>
        <v/>
      </c>
      <c r="M2106" s="29" t="str">
        <f>IFERROR(__xludf.DUMMYFUNCTION("IF(L2106="""","""",QUERY({'Dashboard-Dados'!$Y$2:$AA$13},""Select Col2 Where Col1=""&amp;L2106))"),"")</f>
        <v/>
      </c>
      <c r="N2106" s="29" t="str">
        <f>IFERROR(__xludf.DUMMYFUNCTION("IF(ISBLANK(B2106),"""",IF(ISDATE(B2106),TEXT(B2106,""yyyy""),""""))"),"")</f>
        <v/>
      </c>
    </row>
    <row r="2107">
      <c r="B2107" s="87"/>
      <c r="C2107" s="85"/>
      <c r="D2107" s="76"/>
      <c r="H2107" s="88"/>
      <c r="J2107" s="53" t="str">
        <f>IFERROR(__xludf.DUMMYFUNCTION("IF(ISBLANK(B2107),"""",IF(ISDATE(B2107),""X"",""""))"),"")</f>
        <v/>
      </c>
      <c r="K2107" s="40" t="str">
        <f>IFERROR(__xludf.DUMMYFUNCTION("IF(ISBLANK(B2107),"""",IF(ISDATE(B2107),H2107,""""))"),"")</f>
        <v/>
      </c>
      <c r="L2107" s="40" t="str">
        <f>IFERROR(__xludf.DUMMYFUNCTION("IF(ISBLANK(B2107),"""",IF(ISDATE(B2107),TEXT(B2107,""M""),""""))"),"")</f>
        <v/>
      </c>
      <c r="M2107" s="29" t="str">
        <f>IFERROR(__xludf.DUMMYFUNCTION("IF(L2107="""","""",QUERY({'Dashboard-Dados'!$Y$2:$AA$13},""Select Col2 Where Col1=""&amp;L2107))"),"")</f>
        <v/>
      </c>
      <c r="N2107" s="29" t="str">
        <f>IFERROR(__xludf.DUMMYFUNCTION("IF(ISBLANK(B2107),"""",IF(ISDATE(B2107),TEXT(B2107,""yyyy""),""""))"),"")</f>
        <v/>
      </c>
    </row>
    <row r="2108">
      <c r="B2108" s="89"/>
      <c r="C2108" s="86"/>
      <c r="D2108" s="71"/>
      <c r="H2108" s="90"/>
      <c r="J2108" s="53" t="str">
        <f>IFERROR(__xludf.DUMMYFUNCTION("IF(ISBLANK(B2108),"""",IF(ISDATE(B2108),""X"",""""))"),"")</f>
        <v/>
      </c>
      <c r="K2108" s="40" t="str">
        <f>IFERROR(__xludf.DUMMYFUNCTION("IF(ISBLANK(B2108),"""",IF(ISDATE(B2108),H2108,""""))"),"")</f>
        <v/>
      </c>
      <c r="L2108" s="40" t="str">
        <f>IFERROR(__xludf.DUMMYFUNCTION("IF(ISBLANK(B2108),"""",IF(ISDATE(B2108),TEXT(B2108,""M""),""""))"),"")</f>
        <v/>
      </c>
      <c r="M2108" s="29" t="str">
        <f>IFERROR(__xludf.DUMMYFUNCTION("IF(L2108="""","""",QUERY({'Dashboard-Dados'!$Y$2:$AA$13},""Select Col2 Where Col1=""&amp;L2108))"),"")</f>
        <v/>
      </c>
      <c r="N2108" s="29" t="str">
        <f>IFERROR(__xludf.DUMMYFUNCTION("IF(ISBLANK(B2108),"""",IF(ISDATE(B2108),TEXT(B2108,""yyyy""),""""))"),"")</f>
        <v/>
      </c>
    </row>
    <row r="2109">
      <c r="B2109" s="87"/>
      <c r="C2109" s="85"/>
      <c r="D2109" s="76"/>
      <c r="H2109" s="88"/>
      <c r="J2109" s="53" t="str">
        <f>IFERROR(__xludf.DUMMYFUNCTION("IF(ISBLANK(B2109),"""",IF(ISDATE(B2109),""X"",""""))"),"")</f>
        <v/>
      </c>
      <c r="K2109" s="40" t="str">
        <f>IFERROR(__xludf.DUMMYFUNCTION("IF(ISBLANK(B2109),"""",IF(ISDATE(B2109),H2109,""""))"),"")</f>
        <v/>
      </c>
      <c r="L2109" s="40" t="str">
        <f>IFERROR(__xludf.DUMMYFUNCTION("IF(ISBLANK(B2109),"""",IF(ISDATE(B2109),TEXT(B2109,""M""),""""))"),"")</f>
        <v/>
      </c>
      <c r="M2109" s="29" t="str">
        <f>IFERROR(__xludf.DUMMYFUNCTION("IF(L2109="""","""",QUERY({'Dashboard-Dados'!$Y$2:$AA$13},""Select Col2 Where Col1=""&amp;L2109))"),"")</f>
        <v/>
      </c>
      <c r="N2109" s="29" t="str">
        <f>IFERROR(__xludf.DUMMYFUNCTION("IF(ISBLANK(B2109),"""",IF(ISDATE(B2109),TEXT(B2109,""yyyy""),""""))"),"")</f>
        <v/>
      </c>
    </row>
    <row r="2110">
      <c r="B2110" s="89"/>
      <c r="C2110" s="86"/>
      <c r="D2110" s="71"/>
      <c r="H2110" s="90"/>
      <c r="J2110" s="53" t="str">
        <f>IFERROR(__xludf.DUMMYFUNCTION("IF(ISBLANK(B2110),"""",IF(ISDATE(B2110),""X"",""""))"),"")</f>
        <v/>
      </c>
      <c r="K2110" s="40" t="str">
        <f>IFERROR(__xludf.DUMMYFUNCTION("IF(ISBLANK(B2110),"""",IF(ISDATE(B2110),H2110,""""))"),"")</f>
        <v/>
      </c>
      <c r="L2110" s="40" t="str">
        <f>IFERROR(__xludf.DUMMYFUNCTION("IF(ISBLANK(B2110),"""",IF(ISDATE(B2110),TEXT(B2110,""M""),""""))"),"")</f>
        <v/>
      </c>
      <c r="M2110" s="29" t="str">
        <f>IFERROR(__xludf.DUMMYFUNCTION("IF(L2110="""","""",QUERY({'Dashboard-Dados'!$Y$2:$AA$13},""Select Col2 Where Col1=""&amp;L2110))"),"")</f>
        <v/>
      </c>
      <c r="N2110" s="29" t="str">
        <f>IFERROR(__xludf.DUMMYFUNCTION("IF(ISBLANK(B2110),"""",IF(ISDATE(B2110),TEXT(B2110,""yyyy""),""""))"),"")</f>
        <v/>
      </c>
    </row>
    <row r="2111">
      <c r="B2111" s="87"/>
      <c r="C2111" s="85"/>
      <c r="D2111" s="76"/>
      <c r="H2111" s="88"/>
      <c r="J2111" s="53" t="str">
        <f>IFERROR(__xludf.DUMMYFUNCTION("IF(ISBLANK(B2111),"""",IF(ISDATE(B2111),""X"",""""))"),"")</f>
        <v/>
      </c>
      <c r="K2111" s="40" t="str">
        <f>IFERROR(__xludf.DUMMYFUNCTION("IF(ISBLANK(B2111),"""",IF(ISDATE(B2111),H2111,""""))"),"")</f>
        <v/>
      </c>
      <c r="L2111" s="40" t="str">
        <f>IFERROR(__xludf.DUMMYFUNCTION("IF(ISBLANK(B2111),"""",IF(ISDATE(B2111),TEXT(B2111,""M""),""""))"),"")</f>
        <v/>
      </c>
      <c r="M2111" s="29" t="str">
        <f>IFERROR(__xludf.DUMMYFUNCTION("IF(L2111="""","""",QUERY({'Dashboard-Dados'!$Y$2:$AA$13},""Select Col2 Where Col1=""&amp;L2111))"),"")</f>
        <v/>
      </c>
      <c r="N2111" s="29" t="str">
        <f>IFERROR(__xludf.DUMMYFUNCTION("IF(ISBLANK(B2111),"""",IF(ISDATE(B2111),TEXT(B2111,""yyyy""),""""))"),"")</f>
        <v/>
      </c>
    </row>
    <row r="2112">
      <c r="B2112" s="89"/>
      <c r="C2112" s="86"/>
      <c r="D2112" s="71"/>
      <c r="H2112" s="90"/>
      <c r="J2112" s="53" t="str">
        <f>IFERROR(__xludf.DUMMYFUNCTION("IF(ISBLANK(B2112),"""",IF(ISDATE(B2112),""X"",""""))"),"")</f>
        <v/>
      </c>
      <c r="K2112" s="40" t="str">
        <f>IFERROR(__xludf.DUMMYFUNCTION("IF(ISBLANK(B2112),"""",IF(ISDATE(B2112),H2112,""""))"),"")</f>
        <v/>
      </c>
      <c r="L2112" s="40" t="str">
        <f>IFERROR(__xludf.DUMMYFUNCTION("IF(ISBLANK(B2112),"""",IF(ISDATE(B2112),TEXT(B2112,""M""),""""))"),"")</f>
        <v/>
      </c>
      <c r="M2112" s="29" t="str">
        <f>IFERROR(__xludf.DUMMYFUNCTION("IF(L2112="""","""",QUERY({'Dashboard-Dados'!$Y$2:$AA$13},""Select Col2 Where Col1=""&amp;L2112))"),"")</f>
        <v/>
      </c>
      <c r="N2112" s="29" t="str">
        <f>IFERROR(__xludf.DUMMYFUNCTION("IF(ISBLANK(B2112),"""",IF(ISDATE(B2112),TEXT(B2112,""yyyy""),""""))"),"")</f>
        <v/>
      </c>
    </row>
    <row r="2113">
      <c r="B2113" s="87"/>
      <c r="C2113" s="85"/>
      <c r="D2113" s="76"/>
      <c r="H2113" s="88"/>
      <c r="J2113" s="53" t="str">
        <f>IFERROR(__xludf.DUMMYFUNCTION("IF(ISBLANK(B2113),"""",IF(ISDATE(B2113),""X"",""""))"),"")</f>
        <v/>
      </c>
      <c r="K2113" s="40" t="str">
        <f>IFERROR(__xludf.DUMMYFUNCTION("IF(ISBLANK(B2113),"""",IF(ISDATE(B2113),H2113,""""))"),"")</f>
        <v/>
      </c>
      <c r="L2113" s="40" t="str">
        <f>IFERROR(__xludf.DUMMYFUNCTION("IF(ISBLANK(B2113),"""",IF(ISDATE(B2113),TEXT(B2113,""M""),""""))"),"")</f>
        <v/>
      </c>
      <c r="M2113" s="29" t="str">
        <f>IFERROR(__xludf.DUMMYFUNCTION("IF(L2113="""","""",QUERY({'Dashboard-Dados'!$Y$2:$AA$13},""Select Col2 Where Col1=""&amp;L2113))"),"")</f>
        <v/>
      </c>
      <c r="N2113" s="29" t="str">
        <f>IFERROR(__xludf.DUMMYFUNCTION("IF(ISBLANK(B2113),"""",IF(ISDATE(B2113),TEXT(B2113,""yyyy""),""""))"),"")</f>
        <v/>
      </c>
    </row>
    <row r="2114">
      <c r="B2114" s="89"/>
      <c r="C2114" s="86"/>
      <c r="D2114" s="71"/>
      <c r="H2114" s="90"/>
      <c r="J2114" s="53" t="str">
        <f>IFERROR(__xludf.DUMMYFUNCTION("IF(ISBLANK(B2114),"""",IF(ISDATE(B2114),""X"",""""))"),"")</f>
        <v/>
      </c>
      <c r="K2114" s="40" t="str">
        <f>IFERROR(__xludf.DUMMYFUNCTION("IF(ISBLANK(B2114),"""",IF(ISDATE(B2114),H2114,""""))"),"")</f>
        <v/>
      </c>
      <c r="L2114" s="40" t="str">
        <f>IFERROR(__xludf.DUMMYFUNCTION("IF(ISBLANK(B2114),"""",IF(ISDATE(B2114),TEXT(B2114,""M""),""""))"),"")</f>
        <v/>
      </c>
      <c r="M2114" s="29" t="str">
        <f>IFERROR(__xludf.DUMMYFUNCTION("IF(L2114="""","""",QUERY({'Dashboard-Dados'!$Y$2:$AA$13},""Select Col2 Where Col1=""&amp;L2114))"),"")</f>
        <v/>
      </c>
      <c r="N2114" s="29" t="str">
        <f>IFERROR(__xludf.DUMMYFUNCTION("IF(ISBLANK(B2114),"""",IF(ISDATE(B2114),TEXT(B2114,""yyyy""),""""))"),"")</f>
        <v/>
      </c>
    </row>
    <row r="2115">
      <c r="B2115" s="87"/>
      <c r="C2115" s="85"/>
      <c r="D2115" s="76"/>
      <c r="H2115" s="88"/>
      <c r="J2115" s="53" t="str">
        <f>IFERROR(__xludf.DUMMYFUNCTION("IF(ISBLANK(B2115),"""",IF(ISDATE(B2115),""X"",""""))"),"")</f>
        <v/>
      </c>
      <c r="K2115" s="40" t="str">
        <f>IFERROR(__xludf.DUMMYFUNCTION("IF(ISBLANK(B2115),"""",IF(ISDATE(B2115),H2115,""""))"),"")</f>
        <v/>
      </c>
      <c r="L2115" s="40" t="str">
        <f>IFERROR(__xludf.DUMMYFUNCTION("IF(ISBLANK(B2115),"""",IF(ISDATE(B2115),TEXT(B2115,""M""),""""))"),"")</f>
        <v/>
      </c>
      <c r="M2115" s="29" t="str">
        <f>IFERROR(__xludf.DUMMYFUNCTION("IF(L2115="""","""",QUERY({'Dashboard-Dados'!$Y$2:$AA$13},""Select Col2 Where Col1=""&amp;L2115))"),"")</f>
        <v/>
      </c>
      <c r="N2115" s="29" t="str">
        <f>IFERROR(__xludf.DUMMYFUNCTION("IF(ISBLANK(B2115),"""",IF(ISDATE(B2115),TEXT(B2115,""yyyy""),""""))"),"")</f>
        <v/>
      </c>
    </row>
    <row r="2116">
      <c r="B2116" s="89"/>
      <c r="C2116" s="86"/>
      <c r="D2116" s="71"/>
      <c r="H2116" s="90"/>
      <c r="J2116" s="53" t="str">
        <f>IFERROR(__xludf.DUMMYFUNCTION("IF(ISBLANK(B2116),"""",IF(ISDATE(B2116),""X"",""""))"),"")</f>
        <v/>
      </c>
      <c r="K2116" s="40" t="str">
        <f>IFERROR(__xludf.DUMMYFUNCTION("IF(ISBLANK(B2116),"""",IF(ISDATE(B2116),H2116,""""))"),"")</f>
        <v/>
      </c>
      <c r="L2116" s="40" t="str">
        <f>IFERROR(__xludf.DUMMYFUNCTION("IF(ISBLANK(B2116),"""",IF(ISDATE(B2116),TEXT(B2116,""M""),""""))"),"")</f>
        <v/>
      </c>
      <c r="M2116" s="29" t="str">
        <f>IFERROR(__xludf.DUMMYFUNCTION("IF(L2116="""","""",QUERY({'Dashboard-Dados'!$Y$2:$AA$13},""Select Col2 Where Col1=""&amp;L2116))"),"")</f>
        <v/>
      </c>
      <c r="N2116" s="29" t="str">
        <f>IFERROR(__xludf.DUMMYFUNCTION("IF(ISBLANK(B2116),"""",IF(ISDATE(B2116),TEXT(B2116,""yyyy""),""""))"),"")</f>
        <v/>
      </c>
    </row>
    <row r="2117">
      <c r="B2117" s="87"/>
      <c r="C2117" s="85"/>
      <c r="D2117" s="76"/>
      <c r="H2117" s="88"/>
      <c r="J2117" s="53" t="str">
        <f>IFERROR(__xludf.DUMMYFUNCTION("IF(ISBLANK(B2117),"""",IF(ISDATE(B2117),""X"",""""))"),"")</f>
        <v/>
      </c>
      <c r="K2117" s="40" t="str">
        <f>IFERROR(__xludf.DUMMYFUNCTION("IF(ISBLANK(B2117),"""",IF(ISDATE(B2117),H2117,""""))"),"")</f>
        <v/>
      </c>
      <c r="L2117" s="40" t="str">
        <f>IFERROR(__xludf.DUMMYFUNCTION("IF(ISBLANK(B2117),"""",IF(ISDATE(B2117),TEXT(B2117,""M""),""""))"),"")</f>
        <v/>
      </c>
      <c r="M2117" s="29" t="str">
        <f>IFERROR(__xludf.DUMMYFUNCTION("IF(L2117="""","""",QUERY({'Dashboard-Dados'!$Y$2:$AA$13},""Select Col2 Where Col1=""&amp;L2117))"),"")</f>
        <v/>
      </c>
      <c r="N2117" s="29" t="str">
        <f>IFERROR(__xludf.DUMMYFUNCTION("IF(ISBLANK(B2117),"""",IF(ISDATE(B2117),TEXT(B2117,""yyyy""),""""))"),"")</f>
        <v/>
      </c>
    </row>
    <row r="2118">
      <c r="B2118" s="89"/>
      <c r="C2118" s="86"/>
      <c r="D2118" s="71"/>
      <c r="H2118" s="90"/>
      <c r="J2118" s="53" t="str">
        <f>IFERROR(__xludf.DUMMYFUNCTION("IF(ISBLANK(B2118),"""",IF(ISDATE(B2118),""X"",""""))"),"")</f>
        <v/>
      </c>
      <c r="K2118" s="40" t="str">
        <f>IFERROR(__xludf.DUMMYFUNCTION("IF(ISBLANK(B2118),"""",IF(ISDATE(B2118),H2118,""""))"),"")</f>
        <v/>
      </c>
      <c r="L2118" s="40" t="str">
        <f>IFERROR(__xludf.DUMMYFUNCTION("IF(ISBLANK(B2118),"""",IF(ISDATE(B2118),TEXT(B2118,""M""),""""))"),"")</f>
        <v/>
      </c>
      <c r="M2118" s="29" t="str">
        <f>IFERROR(__xludf.DUMMYFUNCTION("IF(L2118="""","""",QUERY({'Dashboard-Dados'!$Y$2:$AA$13},""Select Col2 Where Col1=""&amp;L2118))"),"")</f>
        <v/>
      </c>
      <c r="N2118" s="29" t="str">
        <f>IFERROR(__xludf.DUMMYFUNCTION("IF(ISBLANK(B2118),"""",IF(ISDATE(B2118),TEXT(B2118,""yyyy""),""""))"),"")</f>
        <v/>
      </c>
    </row>
    <row r="2119">
      <c r="B2119" s="87"/>
      <c r="C2119" s="85"/>
      <c r="D2119" s="76"/>
      <c r="H2119" s="88"/>
      <c r="J2119" s="53" t="str">
        <f>IFERROR(__xludf.DUMMYFUNCTION("IF(ISBLANK(B2119),"""",IF(ISDATE(B2119),""X"",""""))"),"")</f>
        <v/>
      </c>
      <c r="K2119" s="40" t="str">
        <f>IFERROR(__xludf.DUMMYFUNCTION("IF(ISBLANK(B2119),"""",IF(ISDATE(B2119),H2119,""""))"),"")</f>
        <v/>
      </c>
      <c r="L2119" s="40" t="str">
        <f>IFERROR(__xludf.DUMMYFUNCTION("IF(ISBLANK(B2119),"""",IF(ISDATE(B2119),TEXT(B2119,""M""),""""))"),"")</f>
        <v/>
      </c>
      <c r="M2119" s="29" t="str">
        <f>IFERROR(__xludf.DUMMYFUNCTION("IF(L2119="""","""",QUERY({'Dashboard-Dados'!$Y$2:$AA$13},""Select Col2 Where Col1=""&amp;L2119))"),"")</f>
        <v/>
      </c>
      <c r="N2119" s="29" t="str">
        <f>IFERROR(__xludf.DUMMYFUNCTION("IF(ISBLANK(B2119),"""",IF(ISDATE(B2119),TEXT(B2119,""yyyy""),""""))"),"")</f>
        <v/>
      </c>
    </row>
    <row r="2120">
      <c r="B2120" s="89"/>
      <c r="C2120" s="86"/>
      <c r="D2120" s="71"/>
      <c r="H2120" s="90"/>
      <c r="J2120" s="53" t="str">
        <f>IFERROR(__xludf.DUMMYFUNCTION("IF(ISBLANK(B2120),"""",IF(ISDATE(B2120),""X"",""""))"),"")</f>
        <v/>
      </c>
      <c r="K2120" s="40" t="str">
        <f>IFERROR(__xludf.DUMMYFUNCTION("IF(ISBLANK(B2120),"""",IF(ISDATE(B2120),H2120,""""))"),"")</f>
        <v/>
      </c>
      <c r="L2120" s="40" t="str">
        <f>IFERROR(__xludf.DUMMYFUNCTION("IF(ISBLANK(B2120),"""",IF(ISDATE(B2120),TEXT(B2120,""M""),""""))"),"")</f>
        <v/>
      </c>
      <c r="M2120" s="29" t="str">
        <f>IFERROR(__xludf.DUMMYFUNCTION("IF(L2120="""","""",QUERY({'Dashboard-Dados'!$Y$2:$AA$13},""Select Col2 Where Col1=""&amp;L2120))"),"")</f>
        <v/>
      </c>
      <c r="N2120" s="29" t="str">
        <f>IFERROR(__xludf.DUMMYFUNCTION("IF(ISBLANK(B2120),"""",IF(ISDATE(B2120),TEXT(B2120,""yyyy""),""""))"),"")</f>
        <v/>
      </c>
    </row>
    <row r="2121">
      <c r="B2121" s="87"/>
      <c r="C2121" s="85"/>
      <c r="D2121" s="76"/>
      <c r="H2121" s="88"/>
      <c r="J2121" s="53" t="str">
        <f>IFERROR(__xludf.DUMMYFUNCTION("IF(ISBLANK(B2121),"""",IF(ISDATE(B2121),""X"",""""))"),"")</f>
        <v/>
      </c>
      <c r="K2121" s="40" t="str">
        <f>IFERROR(__xludf.DUMMYFUNCTION("IF(ISBLANK(B2121),"""",IF(ISDATE(B2121),H2121,""""))"),"")</f>
        <v/>
      </c>
      <c r="L2121" s="40" t="str">
        <f>IFERROR(__xludf.DUMMYFUNCTION("IF(ISBLANK(B2121),"""",IF(ISDATE(B2121),TEXT(B2121,""M""),""""))"),"")</f>
        <v/>
      </c>
      <c r="M2121" s="29" t="str">
        <f>IFERROR(__xludf.DUMMYFUNCTION("IF(L2121="""","""",QUERY({'Dashboard-Dados'!$Y$2:$AA$13},""Select Col2 Where Col1=""&amp;L2121))"),"")</f>
        <v/>
      </c>
      <c r="N2121" s="29" t="str">
        <f>IFERROR(__xludf.DUMMYFUNCTION("IF(ISBLANK(B2121),"""",IF(ISDATE(B2121),TEXT(B2121,""yyyy""),""""))"),"")</f>
        <v/>
      </c>
    </row>
    <row r="2122">
      <c r="B2122" s="89"/>
      <c r="C2122" s="86"/>
      <c r="D2122" s="71"/>
      <c r="H2122" s="90"/>
      <c r="J2122" s="53" t="str">
        <f>IFERROR(__xludf.DUMMYFUNCTION("IF(ISBLANK(B2122),"""",IF(ISDATE(B2122),""X"",""""))"),"")</f>
        <v/>
      </c>
      <c r="K2122" s="40" t="str">
        <f>IFERROR(__xludf.DUMMYFUNCTION("IF(ISBLANK(B2122),"""",IF(ISDATE(B2122),H2122,""""))"),"")</f>
        <v/>
      </c>
      <c r="L2122" s="40" t="str">
        <f>IFERROR(__xludf.DUMMYFUNCTION("IF(ISBLANK(B2122),"""",IF(ISDATE(B2122),TEXT(B2122,""M""),""""))"),"")</f>
        <v/>
      </c>
      <c r="M2122" s="29" t="str">
        <f>IFERROR(__xludf.DUMMYFUNCTION("IF(L2122="""","""",QUERY({'Dashboard-Dados'!$Y$2:$AA$13},""Select Col2 Where Col1=""&amp;L2122))"),"")</f>
        <v/>
      </c>
      <c r="N2122" s="29" t="str">
        <f>IFERROR(__xludf.DUMMYFUNCTION("IF(ISBLANK(B2122),"""",IF(ISDATE(B2122),TEXT(B2122,""yyyy""),""""))"),"")</f>
        <v/>
      </c>
    </row>
    <row r="2123">
      <c r="B2123" s="87"/>
      <c r="C2123" s="85"/>
      <c r="D2123" s="76"/>
      <c r="H2123" s="88"/>
      <c r="J2123" s="53" t="str">
        <f>IFERROR(__xludf.DUMMYFUNCTION("IF(ISBLANK(B2123),"""",IF(ISDATE(B2123),""X"",""""))"),"")</f>
        <v/>
      </c>
      <c r="K2123" s="40" t="str">
        <f>IFERROR(__xludf.DUMMYFUNCTION("IF(ISBLANK(B2123),"""",IF(ISDATE(B2123),H2123,""""))"),"")</f>
        <v/>
      </c>
      <c r="L2123" s="40" t="str">
        <f>IFERROR(__xludf.DUMMYFUNCTION("IF(ISBLANK(B2123),"""",IF(ISDATE(B2123),TEXT(B2123,""M""),""""))"),"")</f>
        <v/>
      </c>
      <c r="M2123" s="29" t="str">
        <f>IFERROR(__xludf.DUMMYFUNCTION("IF(L2123="""","""",QUERY({'Dashboard-Dados'!$Y$2:$AA$13},""Select Col2 Where Col1=""&amp;L2123))"),"")</f>
        <v/>
      </c>
      <c r="N2123" s="29" t="str">
        <f>IFERROR(__xludf.DUMMYFUNCTION("IF(ISBLANK(B2123),"""",IF(ISDATE(B2123),TEXT(B2123,""yyyy""),""""))"),"")</f>
        <v/>
      </c>
    </row>
    <row r="2124">
      <c r="B2124" s="89"/>
      <c r="C2124" s="86"/>
      <c r="D2124" s="71"/>
      <c r="H2124" s="90"/>
      <c r="J2124" s="53" t="str">
        <f>IFERROR(__xludf.DUMMYFUNCTION("IF(ISBLANK(B2124),"""",IF(ISDATE(B2124),""X"",""""))"),"")</f>
        <v/>
      </c>
      <c r="K2124" s="40" t="str">
        <f>IFERROR(__xludf.DUMMYFUNCTION("IF(ISBLANK(B2124),"""",IF(ISDATE(B2124),H2124,""""))"),"")</f>
        <v/>
      </c>
      <c r="L2124" s="40" t="str">
        <f>IFERROR(__xludf.DUMMYFUNCTION("IF(ISBLANK(B2124),"""",IF(ISDATE(B2124),TEXT(B2124,""M""),""""))"),"")</f>
        <v/>
      </c>
      <c r="M2124" s="29" t="str">
        <f>IFERROR(__xludf.DUMMYFUNCTION("IF(L2124="""","""",QUERY({'Dashboard-Dados'!$Y$2:$AA$13},""Select Col2 Where Col1=""&amp;L2124))"),"")</f>
        <v/>
      </c>
      <c r="N2124" s="29" t="str">
        <f>IFERROR(__xludf.DUMMYFUNCTION("IF(ISBLANK(B2124),"""",IF(ISDATE(B2124),TEXT(B2124,""yyyy""),""""))"),"")</f>
        <v/>
      </c>
    </row>
    <row r="2125">
      <c r="B2125" s="87"/>
      <c r="C2125" s="85"/>
      <c r="D2125" s="76"/>
      <c r="H2125" s="88"/>
      <c r="J2125" s="53" t="str">
        <f>IFERROR(__xludf.DUMMYFUNCTION("IF(ISBLANK(B2125),"""",IF(ISDATE(B2125),""X"",""""))"),"")</f>
        <v/>
      </c>
      <c r="K2125" s="40" t="str">
        <f>IFERROR(__xludf.DUMMYFUNCTION("IF(ISBLANK(B2125),"""",IF(ISDATE(B2125),H2125,""""))"),"")</f>
        <v/>
      </c>
      <c r="L2125" s="40" t="str">
        <f>IFERROR(__xludf.DUMMYFUNCTION("IF(ISBLANK(B2125),"""",IF(ISDATE(B2125),TEXT(B2125,""M""),""""))"),"")</f>
        <v/>
      </c>
      <c r="M2125" s="29" t="str">
        <f>IFERROR(__xludf.DUMMYFUNCTION("IF(L2125="""","""",QUERY({'Dashboard-Dados'!$Y$2:$AA$13},""Select Col2 Where Col1=""&amp;L2125))"),"")</f>
        <v/>
      </c>
      <c r="N2125" s="29" t="str">
        <f>IFERROR(__xludf.DUMMYFUNCTION("IF(ISBLANK(B2125),"""",IF(ISDATE(B2125),TEXT(B2125,""yyyy""),""""))"),"")</f>
        <v/>
      </c>
    </row>
    <row r="2126">
      <c r="B2126" s="89"/>
      <c r="C2126" s="86"/>
      <c r="D2126" s="71"/>
      <c r="H2126" s="90"/>
      <c r="J2126" s="53" t="str">
        <f>IFERROR(__xludf.DUMMYFUNCTION("IF(ISBLANK(B2126),"""",IF(ISDATE(B2126),""X"",""""))"),"")</f>
        <v/>
      </c>
      <c r="K2126" s="40" t="str">
        <f>IFERROR(__xludf.DUMMYFUNCTION("IF(ISBLANK(B2126),"""",IF(ISDATE(B2126),H2126,""""))"),"")</f>
        <v/>
      </c>
      <c r="L2126" s="40" t="str">
        <f>IFERROR(__xludf.DUMMYFUNCTION("IF(ISBLANK(B2126),"""",IF(ISDATE(B2126),TEXT(B2126,""M""),""""))"),"")</f>
        <v/>
      </c>
      <c r="M2126" s="29" t="str">
        <f>IFERROR(__xludf.DUMMYFUNCTION("IF(L2126="""","""",QUERY({'Dashboard-Dados'!$Y$2:$AA$13},""Select Col2 Where Col1=""&amp;L2126))"),"")</f>
        <v/>
      </c>
      <c r="N2126" s="29" t="str">
        <f>IFERROR(__xludf.DUMMYFUNCTION("IF(ISBLANK(B2126),"""",IF(ISDATE(B2126),TEXT(B2126,""yyyy""),""""))"),"")</f>
        <v/>
      </c>
    </row>
    <row r="2127">
      <c r="B2127" s="87"/>
      <c r="C2127" s="85"/>
      <c r="D2127" s="76"/>
      <c r="H2127" s="88"/>
      <c r="J2127" s="53" t="str">
        <f>IFERROR(__xludf.DUMMYFUNCTION("IF(ISBLANK(B2127),"""",IF(ISDATE(B2127),""X"",""""))"),"")</f>
        <v/>
      </c>
      <c r="K2127" s="40" t="str">
        <f>IFERROR(__xludf.DUMMYFUNCTION("IF(ISBLANK(B2127),"""",IF(ISDATE(B2127),H2127,""""))"),"")</f>
        <v/>
      </c>
      <c r="L2127" s="40" t="str">
        <f>IFERROR(__xludf.DUMMYFUNCTION("IF(ISBLANK(B2127),"""",IF(ISDATE(B2127),TEXT(B2127,""M""),""""))"),"")</f>
        <v/>
      </c>
      <c r="M2127" s="29" t="str">
        <f>IFERROR(__xludf.DUMMYFUNCTION("IF(L2127="""","""",QUERY({'Dashboard-Dados'!$Y$2:$AA$13},""Select Col2 Where Col1=""&amp;L2127))"),"")</f>
        <v/>
      </c>
      <c r="N2127" s="29" t="str">
        <f>IFERROR(__xludf.DUMMYFUNCTION("IF(ISBLANK(B2127),"""",IF(ISDATE(B2127),TEXT(B2127,""yyyy""),""""))"),"")</f>
        <v/>
      </c>
    </row>
    <row r="2128">
      <c r="B2128" s="89"/>
      <c r="C2128" s="86"/>
      <c r="D2128" s="71"/>
      <c r="H2128" s="90"/>
      <c r="J2128" s="53" t="str">
        <f>IFERROR(__xludf.DUMMYFUNCTION("IF(ISBLANK(B2128),"""",IF(ISDATE(B2128),""X"",""""))"),"")</f>
        <v/>
      </c>
      <c r="K2128" s="40" t="str">
        <f>IFERROR(__xludf.DUMMYFUNCTION("IF(ISBLANK(B2128),"""",IF(ISDATE(B2128),H2128,""""))"),"")</f>
        <v/>
      </c>
      <c r="L2128" s="40" t="str">
        <f>IFERROR(__xludf.DUMMYFUNCTION("IF(ISBLANK(B2128),"""",IF(ISDATE(B2128),TEXT(B2128,""M""),""""))"),"")</f>
        <v/>
      </c>
      <c r="M2128" s="29" t="str">
        <f>IFERROR(__xludf.DUMMYFUNCTION("IF(L2128="""","""",QUERY({'Dashboard-Dados'!$Y$2:$AA$13},""Select Col2 Where Col1=""&amp;L2128))"),"")</f>
        <v/>
      </c>
      <c r="N2128" s="29" t="str">
        <f>IFERROR(__xludf.DUMMYFUNCTION("IF(ISBLANK(B2128),"""",IF(ISDATE(B2128),TEXT(B2128,""yyyy""),""""))"),"")</f>
        <v/>
      </c>
    </row>
    <row r="2129">
      <c r="B2129" s="87"/>
      <c r="C2129" s="85"/>
      <c r="D2129" s="76"/>
      <c r="H2129" s="88"/>
      <c r="J2129" s="53" t="str">
        <f>IFERROR(__xludf.DUMMYFUNCTION("IF(ISBLANK(B2129),"""",IF(ISDATE(B2129),""X"",""""))"),"")</f>
        <v/>
      </c>
      <c r="K2129" s="40" t="str">
        <f>IFERROR(__xludf.DUMMYFUNCTION("IF(ISBLANK(B2129),"""",IF(ISDATE(B2129),H2129,""""))"),"")</f>
        <v/>
      </c>
      <c r="L2129" s="40" t="str">
        <f>IFERROR(__xludf.DUMMYFUNCTION("IF(ISBLANK(B2129),"""",IF(ISDATE(B2129),TEXT(B2129,""M""),""""))"),"")</f>
        <v/>
      </c>
      <c r="M2129" s="29" t="str">
        <f>IFERROR(__xludf.DUMMYFUNCTION("IF(L2129="""","""",QUERY({'Dashboard-Dados'!$Y$2:$AA$13},""Select Col2 Where Col1=""&amp;L2129))"),"")</f>
        <v/>
      </c>
      <c r="N2129" s="29" t="str">
        <f>IFERROR(__xludf.DUMMYFUNCTION("IF(ISBLANK(B2129),"""",IF(ISDATE(B2129),TEXT(B2129,""yyyy""),""""))"),"")</f>
        <v/>
      </c>
    </row>
    <row r="2130">
      <c r="B2130" s="89"/>
      <c r="C2130" s="86"/>
      <c r="D2130" s="71"/>
      <c r="H2130" s="90"/>
      <c r="J2130" s="53" t="str">
        <f>IFERROR(__xludf.DUMMYFUNCTION("IF(ISBLANK(B2130),"""",IF(ISDATE(B2130),""X"",""""))"),"")</f>
        <v/>
      </c>
      <c r="K2130" s="40" t="str">
        <f>IFERROR(__xludf.DUMMYFUNCTION("IF(ISBLANK(B2130),"""",IF(ISDATE(B2130),H2130,""""))"),"")</f>
        <v/>
      </c>
      <c r="L2130" s="40" t="str">
        <f>IFERROR(__xludf.DUMMYFUNCTION("IF(ISBLANK(B2130),"""",IF(ISDATE(B2130),TEXT(B2130,""M""),""""))"),"")</f>
        <v/>
      </c>
      <c r="M2130" s="29" t="str">
        <f>IFERROR(__xludf.DUMMYFUNCTION("IF(L2130="""","""",QUERY({'Dashboard-Dados'!$Y$2:$AA$13},""Select Col2 Where Col1=""&amp;L2130))"),"")</f>
        <v/>
      </c>
      <c r="N2130" s="29" t="str">
        <f>IFERROR(__xludf.DUMMYFUNCTION("IF(ISBLANK(B2130),"""",IF(ISDATE(B2130),TEXT(B2130,""yyyy""),""""))"),"")</f>
        <v/>
      </c>
    </row>
    <row r="2131">
      <c r="B2131" s="87"/>
      <c r="C2131" s="85"/>
      <c r="D2131" s="76"/>
      <c r="H2131" s="88"/>
      <c r="J2131" s="53" t="str">
        <f>IFERROR(__xludf.DUMMYFUNCTION("IF(ISBLANK(B2131),"""",IF(ISDATE(B2131),""X"",""""))"),"")</f>
        <v/>
      </c>
      <c r="K2131" s="40" t="str">
        <f>IFERROR(__xludf.DUMMYFUNCTION("IF(ISBLANK(B2131),"""",IF(ISDATE(B2131),H2131,""""))"),"")</f>
        <v/>
      </c>
      <c r="L2131" s="40" t="str">
        <f>IFERROR(__xludf.DUMMYFUNCTION("IF(ISBLANK(B2131),"""",IF(ISDATE(B2131),TEXT(B2131,""M""),""""))"),"")</f>
        <v/>
      </c>
      <c r="M2131" s="29" t="str">
        <f>IFERROR(__xludf.DUMMYFUNCTION("IF(L2131="""","""",QUERY({'Dashboard-Dados'!$Y$2:$AA$13},""Select Col2 Where Col1=""&amp;L2131))"),"")</f>
        <v/>
      </c>
      <c r="N2131" s="29" t="str">
        <f>IFERROR(__xludf.DUMMYFUNCTION("IF(ISBLANK(B2131),"""",IF(ISDATE(B2131),TEXT(B2131,""yyyy""),""""))"),"")</f>
        <v/>
      </c>
    </row>
    <row r="2132">
      <c r="B2132" s="89"/>
      <c r="C2132" s="86"/>
      <c r="D2132" s="71"/>
      <c r="H2132" s="90"/>
      <c r="J2132" s="53" t="str">
        <f>IFERROR(__xludf.DUMMYFUNCTION("IF(ISBLANK(B2132),"""",IF(ISDATE(B2132),""X"",""""))"),"")</f>
        <v/>
      </c>
      <c r="K2132" s="40" t="str">
        <f>IFERROR(__xludf.DUMMYFUNCTION("IF(ISBLANK(B2132),"""",IF(ISDATE(B2132),H2132,""""))"),"")</f>
        <v/>
      </c>
      <c r="L2132" s="40" t="str">
        <f>IFERROR(__xludf.DUMMYFUNCTION("IF(ISBLANK(B2132),"""",IF(ISDATE(B2132),TEXT(B2132,""M""),""""))"),"")</f>
        <v/>
      </c>
      <c r="M2132" s="29" t="str">
        <f>IFERROR(__xludf.DUMMYFUNCTION("IF(L2132="""","""",QUERY({'Dashboard-Dados'!$Y$2:$AA$13},""Select Col2 Where Col1=""&amp;L2132))"),"")</f>
        <v/>
      </c>
      <c r="N2132" s="29" t="str">
        <f>IFERROR(__xludf.DUMMYFUNCTION("IF(ISBLANK(B2132),"""",IF(ISDATE(B2132),TEXT(B2132,""yyyy""),""""))"),"")</f>
        <v/>
      </c>
    </row>
    <row r="2133">
      <c r="B2133" s="87"/>
      <c r="C2133" s="85"/>
      <c r="D2133" s="76"/>
      <c r="H2133" s="88"/>
      <c r="J2133" s="53" t="str">
        <f>IFERROR(__xludf.DUMMYFUNCTION("IF(ISBLANK(B2133),"""",IF(ISDATE(B2133),""X"",""""))"),"")</f>
        <v/>
      </c>
      <c r="K2133" s="40" t="str">
        <f>IFERROR(__xludf.DUMMYFUNCTION("IF(ISBLANK(B2133),"""",IF(ISDATE(B2133),H2133,""""))"),"")</f>
        <v/>
      </c>
      <c r="L2133" s="40" t="str">
        <f>IFERROR(__xludf.DUMMYFUNCTION("IF(ISBLANK(B2133),"""",IF(ISDATE(B2133),TEXT(B2133,""M""),""""))"),"")</f>
        <v/>
      </c>
      <c r="M2133" s="29" t="str">
        <f>IFERROR(__xludf.DUMMYFUNCTION("IF(L2133="""","""",QUERY({'Dashboard-Dados'!$Y$2:$AA$13},""Select Col2 Where Col1=""&amp;L2133))"),"")</f>
        <v/>
      </c>
      <c r="N2133" s="29" t="str">
        <f>IFERROR(__xludf.DUMMYFUNCTION("IF(ISBLANK(B2133),"""",IF(ISDATE(B2133),TEXT(B2133,""yyyy""),""""))"),"")</f>
        <v/>
      </c>
    </row>
    <row r="2134">
      <c r="B2134" s="89"/>
      <c r="C2134" s="86"/>
      <c r="D2134" s="71"/>
      <c r="H2134" s="90"/>
      <c r="J2134" s="53" t="str">
        <f>IFERROR(__xludf.DUMMYFUNCTION("IF(ISBLANK(B2134),"""",IF(ISDATE(B2134),""X"",""""))"),"")</f>
        <v/>
      </c>
      <c r="K2134" s="40" t="str">
        <f>IFERROR(__xludf.DUMMYFUNCTION("IF(ISBLANK(B2134),"""",IF(ISDATE(B2134),H2134,""""))"),"")</f>
        <v/>
      </c>
      <c r="L2134" s="40" t="str">
        <f>IFERROR(__xludf.DUMMYFUNCTION("IF(ISBLANK(B2134),"""",IF(ISDATE(B2134),TEXT(B2134,""M""),""""))"),"")</f>
        <v/>
      </c>
      <c r="M2134" s="29" t="str">
        <f>IFERROR(__xludf.DUMMYFUNCTION("IF(L2134="""","""",QUERY({'Dashboard-Dados'!$Y$2:$AA$13},""Select Col2 Where Col1=""&amp;L2134))"),"")</f>
        <v/>
      </c>
      <c r="N2134" s="29" t="str">
        <f>IFERROR(__xludf.DUMMYFUNCTION("IF(ISBLANK(B2134),"""",IF(ISDATE(B2134),TEXT(B2134,""yyyy""),""""))"),"")</f>
        <v/>
      </c>
    </row>
    <row r="2135">
      <c r="B2135" s="87"/>
      <c r="C2135" s="85"/>
      <c r="D2135" s="76"/>
      <c r="H2135" s="88"/>
      <c r="J2135" s="53" t="str">
        <f>IFERROR(__xludf.DUMMYFUNCTION("IF(ISBLANK(B2135),"""",IF(ISDATE(B2135),""X"",""""))"),"")</f>
        <v/>
      </c>
      <c r="K2135" s="40" t="str">
        <f>IFERROR(__xludf.DUMMYFUNCTION("IF(ISBLANK(B2135),"""",IF(ISDATE(B2135),H2135,""""))"),"")</f>
        <v/>
      </c>
      <c r="L2135" s="40" t="str">
        <f>IFERROR(__xludf.DUMMYFUNCTION("IF(ISBLANK(B2135),"""",IF(ISDATE(B2135),TEXT(B2135,""M""),""""))"),"")</f>
        <v/>
      </c>
      <c r="M2135" s="29" t="str">
        <f>IFERROR(__xludf.DUMMYFUNCTION("IF(L2135="""","""",QUERY({'Dashboard-Dados'!$Y$2:$AA$13},""Select Col2 Where Col1=""&amp;L2135))"),"")</f>
        <v/>
      </c>
      <c r="N2135" s="29" t="str">
        <f>IFERROR(__xludf.DUMMYFUNCTION("IF(ISBLANK(B2135),"""",IF(ISDATE(B2135),TEXT(B2135,""yyyy""),""""))"),"")</f>
        <v/>
      </c>
    </row>
    <row r="2136">
      <c r="B2136" s="89"/>
      <c r="C2136" s="86"/>
      <c r="D2136" s="71"/>
      <c r="H2136" s="90"/>
      <c r="J2136" s="53" t="str">
        <f>IFERROR(__xludf.DUMMYFUNCTION("IF(ISBLANK(B2136),"""",IF(ISDATE(B2136),""X"",""""))"),"")</f>
        <v/>
      </c>
      <c r="K2136" s="40" t="str">
        <f>IFERROR(__xludf.DUMMYFUNCTION("IF(ISBLANK(B2136),"""",IF(ISDATE(B2136),H2136,""""))"),"")</f>
        <v/>
      </c>
      <c r="L2136" s="40" t="str">
        <f>IFERROR(__xludf.DUMMYFUNCTION("IF(ISBLANK(B2136),"""",IF(ISDATE(B2136),TEXT(B2136,""M""),""""))"),"")</f>
        <v/>
      </c>
      <c r="M2136" s="29" t="str">
        <f>IFERROR(__xludf.DUMMYFUNCTION("IF(L2136="""","""",QUERY({'Dashboard-Dados'!$Y$2:$AA$13},""Select Col2 Where Col1=""&amp;L2136))"),"")</f>
        <v/>
      </c>
      <c r="N2136" s="29" t="str">
        <f>IFERROR(__xludf.DUMMYFUNCTION("IF(ISBLANK(B2136),"""",IF(ISDATE(B2136),TEXT(B2136,""yyyy""),""""))"),"")</f>
        <v/>
      </c>
    </row>
    <row r="2137">
      <c r="B2137" s="87"/>
      <c r="C2137" s="85"/>
      <c r="D2137" s="76"/>
      <c r="H2137" s="88"/>
      <c r="J2137" s="53" t="str">
        <f>IFERROR(__xludf.DUMMYFUNCTION("IF(ISBLANK(B2137),"""",IF(ISDATE(B2137),""X"",""""))"),"")</f>
        <v/>
      </c>
      <c r="K2137" s="40" t="str">
        <f>IFERROR(__xludf.DUMMYFUNCTION("IF(ISBLANK(B2137),"""",IF(ISDATE(B2137),H2137,""""))"),"")</f>
        <v/>
      </c>
      <c r="L2137" s="40" t="str">
        <f>IFERROR(__xludf.DUMMYFUNCTION("IF(ISBLANK(B2137),"""",IF(ISDATE(B2137),TEXT(B2137,""M""),""""))"),"")</f>
        <v/>
      </c>
      <c r="M2137" s="29" t="str">
        <f>IFERROR(__xludf.DUMMYFUNCTION("IF(L2137="""","""",QUERY({'Dashboard-Dados'!$Y$2:$AA$13},""Select Col2 Where Col1=""&amp;L2137))"),"")</f>
        <v/>
      </c>
      <c r="N2137" s="29" t="str">
        <f>IFERROR(__xludf.DUMMYFUNCTION("IF(ISBLANK(B2137),"""",IF(ISDATE(B2137),TEXT(B2137,""yyyy""),""""))"),"")</f>
        <v/>
      </c>
    </row>
    <row r="2138">
      <c r="B2138" s="89"/>
      <c r="C2138" s="86"/>
      <c r="D2138" s="71"/>
      <c r="H2138" s="90"/>
      <c r="J2138" s="53" t="str">
        <f>IFERROR(__xludf.DUMMYFUNCTION("IF(ISBLANK(B2138),"""",IF(ISDATE(B2138),""X"",""""))"),"")</f>
        <v/>
      </c>
      <c r="K2138" s="40" t="str">
        <f>IFERROR(__xludf.DUMMYFUNCTION("IF(ISBLANK(B2138),"""",IF(ISDATE(B2138),H2138,""""))"),"")</f>
        <v/>
      </c>
      <c r="L2138" s="40" t="str">
        <f>IFERROR(__xludf.DUMMYFUNCTION("IF(ISBLANK(B2138),"""",IF(ISDATE(B2138),TEXT(B2138,""M""),""""))"),"")</f>
        <v/>
      </c>
      <c r="M2138" s="29" t="str">
        <f>IFERROR(__xludf.DUMMYFUNCTION("IF(L2138="""","""",QUERY({'Dashboard-Dados'!$Y$2:$AA$13},""Select Col2 Where Col1=""&amp;L2138))"),"")</f>
        <v/>
      </c>
      <c r="N2138" s="29" t="str">
        <f>IFERROR(__xludf.DUMMYFUNCTION("IF(ISBLANK(B2138),"""",IF(ISDATE(B2138),TEXT(B2138,""yyyy""),""""))"),"")</f>
        <v/>
      </c>
    </row>
    <row r="2139">
      <c r="B2139" s="87"/>
      <c r="C2139" s="85"/>
      <c r="D2139" s="76"/>
      <c r="H2139" s="88"/>
      <c r="J2139" s="53" t="str">
        <f>IFERROR(__xludf.DUMMYFUNCTION("IF(ISBLANK(B2139),"""",IF(ISDATE(B2139),""X"",""""))"),"")</f>
        <v/>
      </c>
      <c r="K2139" s="40" t="str">
        <f>IFERROR(__xludf.DUMMYFUNCTION("IF(ISBLANK(B2139),"""",IF(ISDATE(B2139),H2139,""""))"),"")</f>
        <v/>
      </c>
      <c r="L2139" s="40" t="str">
        <f>IFERROR(__xludf.DUMMYFUNCTION("IF(ISBLANK(B2139),"""",IF(ISDATE(B2139),TEXT(B2139,""M""),""""))"),"")</f>
        <v/>
      </c>
      <c r="M2139" s="29" t="str">
        <f>IFERROR(__xludf.DUMMYFUNCTION("IF(L2139="""","""",QUERY({'Dashboard-Dados'!$Y$2:$AA$13},""Select Col2 Where Col1=""&amp;L2139))"),"")</f>
        <v/>
      </c>
      <c r="N2139" s="29" t="str">
        <f>IFERROR(__xludf.DUMMYFUNCTION("IF(ISBLANK(B2139),"""",IF(ISDATE(B2139),TEXT(B2139,""yyyy""),""""))"),"")</f>
        <v/>
      </c>
    </row>
    <row r="2140">
      <c r="B2140" s="89"/>
      <c r="C2140" s="86"/>
      <c r="D2140" s="71"/>
      <c r="H2140" s="90"/>
      <c r="J2140" s="53" t="str">
        <f>IFERROR(__xludf.DUMMYFUNCTION("IF(ISBLANK(B2140),"""",IF(ISDATE(B2140),""X"",""""))"),"")</f>
        <v/>
      </c>
      <c r="K2140" s="40" t="str">
        <f>IFERROR(__xludf.DUMMYFUNCTION("IF(ISBLANK(B2140),"""",IF(ISDATE(B2140),H2140,""""))"),"")</f>
        <v/>
      </c>
      <c r="L2140" s="40" t="str">
        <f>IFERROR(__xludf.DUMMYFUNCTION("IF(ISBLANK(B2140),"""",IF(ISDATE(B2140),TEXT(B2140,""M""),""""))"),"")</f>
        <v/>
      </c>
      <c r="M2140" s="29" t="str">
        <f>IFERROR(__xludf.DUMMYFUNCTION("IF(L2140="""","""",QUERY({'Dashboard-Dados'!$Y$2:$AA$13},""Select Col2 Where Col1=""&amp;L2140))"),"")</f>
        <v/>
      </c>
      <c r="N2140" s="29" t="str">
        <f>IFERROR(__xludf.DUMMYFUNCTION("IF(ISBLANK(B2140),"""",IF(ISDATE(B2140),TEXT(B2140,""yyyy""),""""))"),"")</f>
        <v/>
      </c>
    </row>
    <row r="2141">
      <c r="B2141" s="87"/>
      <c r="C2141" s="85"/>
      <c r="D2141" s="76"/>
      <c r="H2141" s="88"/>
      <c r="J2141" s="53" t="str">
        <f>IFERROR(__xludf.DUMMYFUNCTION("IF(ISBLANK(B2141),"""",IF(ISDATE(B2141),""X"",""""))"),"")</f>
        <v/>
      </c>
      <c r="K2141" s="40" t="str">
        <f>IFERROR(__xludf.DUMMYFUNCTION("IF(ISBLANK(B2141),"""",IF(ISDATE(B2141),H2141,""""))"),"")</f>
        <v/>
      </c>
      <c r="L2141" s="40" t="str">
        <f>IFERROR(__xludf.DUMMYFUNCTION("IF(ISBLANK(B2141),"""",IF(ISDATE(B2141),TEXT(B2141,""M""),""""))"),"")</f>
        <v/>
      </c>
      <c r="M2141" s="29" t="str">
        <f>IFERROR(__xludf.DUMMYFUNCTION("IF(L2141="""","""",QUERY({'Dashboard-Dados'!$Y$2:$AA$13},""Select Col2 Where Col1=""&amp;L2141))"),"")</f>
        <v/>
      </c>
      <c r="N2141" s="29" t="str">
        <f>IFERROR(__xludf.DUMMYFUNCTION("IF(ISBLANK(B2141),"""",IF(ISDATE(B2141),TEXT(B2141,""yyyy""),""""))"),"")</f>
        <v/>
      </c>
    </row>
    <row r="2142">
      <c r="B2142" s="89"/>
      <c r="C2142" s="86"/>
      <c r="D2142" s="71"/>
      <c r="H2142" s="90"/>
      <c r="J2142" s="53" t="str">
        <f>IFERROR(__xludf.DUMMYFUNCTION("IF(ISBLANK(B2142),"""",IF(ISDATE(B2142),""X"",""""))"),"")</f>
        <v/>
      </c>
      <c r="K2142" s="40" t="str">
        <f>IFERROR(__xludf.DUMMYFUNCTION("IF(ISBLANK(B2142),"""",IF(ISDATE(B2142),H2142,""""))"),"")</f>
        <v/>
      </c>
      <c r="L2142" s="40" t="str">
        <f>IFERROR(__xludf.DUMMYFUNCTION("IF(ISBLANK(B2142),"""",IF(ISDATE(B2142),TEXT(B2142,""M""),""""))"),"")</f>
        <v/>
      </c>
      <c r="M2142" s="29" t="str">
        <f>IFERROR(__xludf.DUMMYFUNCTION("IF(L2142="""","""",QUERY({'Dashboard-Dados'!$Y$2:$AA$13},""Select Col2 Where Col1=""&amp;L2142))"),"")</f>
        <v/>
      </c>
      <c r="N2142" s="29" t="str">
        <f>IFERROR(__xludf.DUMMYFUNCTION("IF(ISBLANK(B2142),"""",IF(ISDATE(B2142),TEXT(B2142,""yyyy""),""""))"),"")</f>
        <v/>
      </c>
    </row>
    <row r="2143">
      <c r="B2143" s="87"/>
      <c r="C2143" s="85"/>
      <c r="D2143" s="76"/>
      <c r="H2143" s="88"/>
      <c r="J2143" s="53" t="str">
        <f>IFERROR(__xludf.DUMMYFUNCTION("IF(ISBLANK(B2143),"""",IF(ISDATE(B2143),""X"",""""))"),"")</f>
        <v/>
      </c>
      <c r="K2143" s="40" t="str">
        <f>IFERROR(__xludf.DUMMYFUNCTION("IF(ISBLANK(B2143),"""",IF(ISDATE(B2143),H2143,""""))"),"")</f>
        <v/>
      </c>
      <c r="L2143" s="40" t="str">
        <f>IFERROR(__xludf.DUMMYFUNCTION("IF(ISBLANK(B2143),"""",IF(ISDATE(B2143),TEXT(B2143,""M""),""""))"),"")</f>
        <v/>
      </c>
      <c r="M2143" s="29" t="str">
        <f>IFERROR(__xludf.DUMMYFUNCTION("IF(L2143="""","""",QUERY({'Dashboard-Dados'!$Y$2:$AA$13},""Select Col2 Where Col1=""&amp;L2143))"),"")</f>
        <v/>
      </c>
      <c r="N2143" s="29" t="str">
        <f>IFERROR(__xludf.DUMMYFUNCTION("IF(ISBLANK(B2143),"""",IF(ISDATE(B2143),TEXT(B2143,""yyyy""),""""))"),"")</f>
        <v/>
      </c>
    </row>
    <row r="2144">
      <c r="B2144" s="89"/>
      <c r="C2144" s="86"/>
      <c r="D2144" s="71"/>
      <c r="H2144" s="90"/>
      <c r="J2144" s="53" t="str">
        <f>IFERROR(__xludf.DUMMYFUNCTION("IF(ISBLANK(B2144),"""",IF(ISDATE(B2144),""X"",""""))"),"")</f>
        <v/>
      </c>
      <c r="K2144" s="40" t="str">
        <f>IFERROR(__xludf.DUMMYFUNCTION("IF(ISBLANK(B2144),"""",IF(ISDATE(B2144),H2144,""""))"),"")</f>
        <v/>
      </c>
      <c r="L2144" s="40" t="str">
        <f>IFERROR(__xludf.DUMMYFUNCTION("IF(ISBLANK(B2144),"""",IF(ISDATE(B2144),TEXT(B2144,""M""),""""))"),"")</f>
        <v/>
      </c>
      <c r="M2144" s="29" t="str">
        <f>IFERROR(__xludf.DUMMYFUNCTION("IF(L2144="""","""",QUERY({'Dashboard-Dados'!$Y$2:$AA$13},""Select Col2 Where Col1=""&amp;L2144))"),"")</f>
        <v/>
      </c>
      <c r="N2144" s="29" t="str">
        <f>IFERROR(__xludf.DUMMYFUNCTION("IF(ISBLANK(B2144),"""",IF(ISDATE(B2144),TEXT(B2144,""yyyy""),""""))"),"")</f>
        <v/>
      </c>
    </row>
    <row r="2145">
      <c r="B2145" s="87"/>
      <c r="C2145" s="85"/>
      <c r="D2145" s="76"/>
      <c r="H2145" s="88"/>
      <c r="J2145" s="53" t="str">
        <f>IFERROR(__xludf.DUMMYFUNCTION("IF(ISBLANK(B2145),"""",IF(ISDATE(B2145),""X"",""""))"),"")</f>
        <v/>
      </c>
      <c r="K2145" s="40" t="str">
        <f>IFERROR(__xludf.DUMMYFUNCTION("IF(ISBLANK(B2145),"""",IF(ISDATE(B2145),H2145,""""))"),"")</f>
        <v/>
      </c>
      <c r="L2145" s="40" t="str">
        <f>IFERROR(__xludf.DUMMYFUNCTION("IF(ISBLANK(B2145),"""",IF(ISDATE(B2145),TEXT(B2145,""M""),""""))"),"")</f>
        <v/>
      </c>
      <c r="M2145" s="29" t="str">
        <f>IFERROR(__xludf.DUMMYFUNCTION("IF(L2145="""","""",QUERY({'Dashboard-Dados'!$Y$2:$AA$13},""Select Col2 Where Col1=""&amp;L2145))"),"")</f>
        <v/>
      </c>
      <c r="N2145" s="29" t="str">
        <f>IFERROR(__xludf.DUMMYFUNCTION("IF(ISBLANK(B2145),"""",IF(ISDATE(B2145),TEXT(B2145,""yyyy""),""""))"),"")</f>
        <v/>
      </c>
    </row>
    <row r="2146">
      <c r="B2146" s="89"/>
      <c r="C2146" s="86"/>
      <c r="D2146" s="71"/>
      <c r="H2146" s="90"/>
      <c r="J2146" s="53" t="str">
        <f>IFERROR(__xludf.DUMMYFUNCTION("IF(ISBLANK(B2146),"""",IF(ISDATE(B2146),""X"",""""))"),"")</f>
        <v/>
      </c>
      <c r="K2146" s="40" t="str">
        <f>IFERROR(__xludf.DUMMYFUNCTION("IF(ISBLANK(B2146),"""",IF(ISDATE(B2146),H2146,""""))"),"")</f>
        <v/>
      </c>
      <c r="L2146" s="40" t="str">
        <f>IFERROR(__xludf.DUMMYFUNCTION("IF(ISBLANK(B2146),"""",IF(ISDATE(B2146),TEXT(B2146,""M""),""""))"),"")</f>
        <v/>
      </c>
      <c r="M2146" s="29" t="str">
        <f>IFERROR(__xludf.DUMMYFUNCTION("IF(L2146="""","""",QUERY({'Dashboard-Dados'!$Y$2:$AA$13},""Select Col2 Where Col1=""&amp;L2146))"),"")</f>
        <v/>
      </c>
      <c r="N2146" s="29" t="str">
        <f>IFERROR(__xludf.DUMMYFUNCTION("IF(ISBLANK(B2146),"""",IF(ISDATE(B2146),TEXT(B2146,""yyyy""),""""))"),"")</f>
        <v/>
      </c>
    </row>
    <row r="2147">
      <c r="B2147" s="87"/>
      <c r="C2147" s="85"/>
      <c r="D2147" s="76"/>
      <c r="H2147" s="88"/>
      <c r="J2147" s="53" t="str">
        <f>IFERROR(__xludf.DUMMYFUNCTION("IF(ISBLANK(B2147),"""",IF(ISDATE(B2147),""X"",""""))"),"")</f>
        <v/>
      </c>
      <c r="K2147" s="40" t="str">
        <f>IFERROR(__xludf.DUMMYFUNCTION("IF(ISBLANK(B2147),"""",IF(ISDATE(B2147),H2147,""""))"),"")</f>
        <v/>
      </c>
      <c r="L2147" s="40" t="str">
        <f>IFERROR(__xludf.DUMMYFUNCTION("IF(ISBLANK(B2147),"""",IF(ISDATE(B2147),TEXT(B2147,""M""),""""))"),"")</f>
        <v/>
      </c>
      <c r="M2147" s="29" t="str">
        <f>IFERROR(__xludf.DUMMYFUNCTION("IF(L2147="""","""",QUERY({'Dashboard-Dados'!$Y$2:$AA$13},""Select Col2 Where Col1=""&amp;L2147))"),"")</f>
        <v/>
      </c>
      <c r="N2147" s="29" t="str">
        <f>IFERROR(__xludf.DUMMYFUNCTION("IF(ISBLANK(B2147),"""",IF(ISDATE(B2147),TEXT(B2147,""yyyy""),""""))"),"")</f>
        <v/>
      </c>
    </row>
    <row r="2148">
      <c r="B2148" s="89"/>
      <c r="C2148" s="86"/>
      <c r="D2148" s="71"/>
      <c r="H2148" s="90"/>
      <c r="J2148" s="53" t="str">
        <f>IFERROR(__xludf.DUMMYFUNCTION("IF(ISBLANK(B2148),"""",IF(ISDATE(B2148),""X"",""""))"),"")</f>
        <v/>
      </c>
      <c r="K2148" s="40" t="str">
        <f>IFERROR(__xludf.DUMMYFUNCTION("IF(ISBLANK(B2148),"""",IF(ISDATE(B2148),H2148,""""))"),"")</f>
        <v/>
      </c>
      <c r="L2148" s="40" t="str">
        <f>IFERROR(__xludf.DUMMYFUNCTION("IF(ISBLANK(B2148),"""",IF(ISDATE(B2148),TEXT(B2148,""M""),""""))"),"")</f>
        <v/>
      </c>
      <c r="M2148" s="29" t="str">
        <f>IFERROR(__xludf.DUMMYFUNCTION("IF(L2148="""","""",QUERY({'Dashboard-Dados'!$Y$2:$AA$13},""Select Col2 Where Col1=""&amp;L2148))"),"")</f>
        <v/>
      </c>
      <c r="N2148" s="29" t="str">
        <f>IFERROR(__xludf.DUMMYFUNCTION("IF(ISBLANK(B2148),"""",IF(ISDATE(B2148),TEXT(B2148,""yyyy""),""""))"),"")</f>
        <v/>
      </c>
    </row>
    <row r="2149">
      <c r="B2149" s="87"/>
      <c r="C2149" s="85"/>
      <c r="D2149" s="76"/>
      <c r="H2149" s="88"/>
      <c r="J2149" s="53" t="str">
        <f>IFERROR(__xludf.DUMMYFUNCTION("IF(ISBLANK(B2149),"""",IF(ISDATE(B2149),""X"",""""))"),"")</f>
        <v/>
      </c>
      <c r="K2149" s="40" t="str">
        <f>IFERROR(__xludf.DUMMYFUNCTION("IF(ISBLANK(B2149),"""",IF(ISDATE(B2149),H2149,""""))"),"")</f>
        <v/>
      </c>
      <c r="L2149" s="40" t="str">
        <f>IFERROR(__xludf.DUMMYFUNCTION("IF(ISBLANK(B2149),"""",IF(ISDATE(B2149),TEXT(B2149,""M""),""""))"),"")</f>
        <v/>
      </c>
      <c r="M2149" s="29" t="str">
        <f>IFERROR(__xludf.DUMMYFUNCTION("IF(L2149="""","""",QUERY({'Dashboard-Dados'!$Y$2:$AA$13},""Select Col2 Where Col1=""&amp;L2149))"),"")</f>
        <v/>
      </c>
      <c r="N2149" s="29" t="str">
        <f>IFERROR(__xludf.DUMMYFUNCTION("IF(ISBLANK(B2149),"""",IF(ISDATE(B2149),TEXT(B2149,""yyyy""),""""))"),"")</f>
        <v/>
      </c>
    </row>
    <row r="2150">
      <c r="B2150" s="89"/>
      <c r="C2150" s="86"/>
      <c r="D2150" s="71"/>
      <c r="H2150" s="90"/>
      <c r="J2150" s="53" t="str">
        <f>IFERROR(__xludf.DUMMYFUNCTION("IF(ISBLANK(B2150),"""",IF(ISDATE(B2150),""X"",""""))"),"")</f>
        <v/>
      </c>
      <c r="K2150" s="40" t="str">
        <f>IFERROR(__xludf.DUMMYFUNCTION("IF(ISBLANK(B2150),"""",IF(ISDATE(B2150),H2150,""""))"),"")</f>
        <v/>
      </c>
      <c r="L2150" s="40" t="str">
        <f>IFERROR(__xludf.DUMMYFUNCTION("IF(ISBLANK(B2150),"""",IF(ISDATE(B2150),TEXT(B2150,""M""),""""))"),"")</f>
        <v/>
      </c>
      <c r="M2150" s="29" t="str">
        <f>IFERROR(__xludf.DUMMYFUNCTION("IF(L2150="""","""",QUERY({'Dashboard-Dados'!$Y$2:$AA$13},""Select Col2 Where Col1=""&amp;L2150))"),"")</f>
        <v/>
      </c>
      <c r="N2150" s="29" t="str">
        <f>IFERROR(__xludf.DUMMYFUNCTION("IF(ISBLANK(B2150),"""",IF(ISDATE(B2150),TEXT(B2150,""yyyy""),""""))"),"")</f>
        <v/>
      </c>
    </row>
    <row r="2151">
      <c r="B2151" s="87"/>
      <c r="C2151" s="85"/>
      <c r="D2151" s="76"/>
      <c r="H2151" s="88"/>
      <c r="J2151" s="53" t="str">
        <f>IFERROR(__xludf.DUMMYFUNCTION("IF(ISBLANK(B2151),"""",IF(ISDATE(B2151),""X"",""""))"),"")</f>
        <v/>
      </c>
      <c r="K2151" s="40" t="str">
        <f>IFERROR(__xludf.DUMMYFUNCTION("IF(ISBLANK(B2151),"""",IF(ISDATE(B2151),H2151,""""))"),"")</f>
        <v/>
      </c>
      <c r="L2151" s="40" t="str">
        <f>IFERROR(__xludf.DUMMYFUNCTION("IF(ISBLANK(B2151),"""",IF(ISDATE(B2151),TEXT(B2151,""M""),""""))"),"")</f>
        <v/>
      </c>
      <c r="M2151" s="29" t="str">
        <f>IFERROR(__xludf.DUMMYFUNCTION("IF(L2151="""","""",QUERY({'Dashboard-Dados'!$Y$2:$AA$13},""Select Col2 Where Col1=""&amp;L2151))"),"")</f>
        <v/>
      </c>
      <c r="N2151" s="29" t="str">
        <f>IFERROR(__xludf.DUMMYFUNCTION("IF(ISBLANK(B2151),"""",IF(ISDATE(B2151),TEXT(B2151,""yyyy""),""""))"),"")</f>
        <v/>
      </c>
    </row>
    <row r="2152">
      <c r="B2152" s="89"/>
      <c r="C2152" s="86"/>
      <c r="D2152" s="71"/>
      <c r="H2152" s="90"/>
      <c r="J2152" s="53" t="str">
        <f>IFERROR(__xludf.DUMMYFUNCTION("IF(ISBLANK(B2152),"""",IF(ISDATE(B2152),""X"",""""))"),"")</f>
        <v/>
      </c>
      <c r="K2152" s="40" t="str">
        <f>IFERROR(__xludf.DUMMYFUNCTION("IF(ISBLANK(B2152),"""",IF(ISDATE(B2152),H2152,""""))"),"")</f>
        <v/>
      </c>
      <c r="L2152" s="40" t="str">
        <f>IFERROR(__xludf.DUMMYFUNCTION("IF(ISBLANK(B2152),"""",IF(ISDATE(B2152),TEXT(B2152,""M""),""""))"),"")</f>
        <v/>
      </c>
      <c r="M2152" s="29" t="str">
        <f>IFERROR(__xludf.DUMMYFUNCTION("IF(L2152="""","""",QUERY({'Dashboard-Dados'!$Y$2:$AA$13},""Select Col2 Where Col1=""&amp;L2152))"),"")</f>
        <v/>
      </c>
      <c r="N2152" s="29" t="str">
        <f>IFERROR(__xludf.DUMMYFUNCTION("IF(ISBLANK(B2152),"""",IF(ISDATE(B2152),TEXT(B2152,""yyyy""),""""))"),"")</f>
        <v/>
      </c>
    </row>
    <row r="2153">
      <c r="B2153" s="87"/>
      <c r="C2153" s="85"/>
      <c r="D2153" s="76"/>
      <c r="H2153" s="88"/>
      <c r="J2153" s="53" t="str">
        <f>IFERROR(__xludf.DUMMYFUNCTION("IF(ISBLANK(B2153),"""",IF(ISDATE(B2153),""X"",""""))"),"")</f>
        <v/>
      </c>
      <c r="K2153" s="40" t="str">
        <f>IFERROR(__xludf.DUMMYFUNCTION("IF(ISBLANK(B2153),"""",IF(ISDATE(B2153),H2153,""""))"),"")</f>
        <v/>
      </c>
      <c r="L2153" s="40" t="str">
        <f>IFERROR(__xludf.DUMMYFUNCTION("IF(ISBLANK(B2153),"""",IF(ISDATE(B2153),TEXT(B2153,""M""),""""))"),"")</f>
        <v/>
      </c>
      <c r="M2153" s="29" t="str">
        <f>IFERROR(__xludf.DUMMYFUNCTION("IF(L2153="""","""",QUERY({'Dashboard-Dados'!$Y$2:$AA$13},""Select Col2 Where Col1=""&amp;L2153))"),"")</f>
        <v/>
      </c>
      <c r="N2153" s="29" t="str">
        <f>IFERROR(__xludf.DUMMYFUNCTION("IF(ISBLANK(B2153),"""",IF(ISDATE(B2153),TEXT(B2153,""yyyy""),""""))"),"")</f>
        <v/>
      </c>
    </row>
    <row r="2154">
      <c r="B2154" s="89"/>
      <c r="C2154" s="86"/>
      <c r="D2154" s="71"/>
      <c r="H2154" s="90"/>
      <c r="J2154" s="53" t="str">
        <f>IFERROR(__xludf.DUMMYFUNCTION("IF(ISBLANK(B2154),"""",IF(ISDATE(B2154),""X"",""""))"),"")</f>
        <v/>
      </c>
      <c r="K2154" s="40" t="str">
        <f>IFERROR(__xludf.DUMMYFUNCTION("IF(ISBLANK(B2154),"""",IF(ISDATE(B2154),H2154,""""))"),"")</f>
        <v/>
      </c>
      <c r="L2154" s="40" t="str">
        <f>IFERROR(__xludf.DUMMYFUNCTION("IF(ISBLANK(B2154),"""",IF(ISDATE(B2154),TEXT(B2154,""M""),""""))"),"")</f>
        <v/>
      </c>
      <c r="M2154" s="29" t="str">
        <f>IFERROR(__xludf.DUMMYFUNCTION("IF(L2154="""","""",QUERY({'Dashboard-Dados'!$Y$2:$AA$13},""Select Col2 Where Col1=""&amp;L2154))"),"")</f>
        <v/>
      </c>
      <c r="N2154" s="29" t="str">
        <f>IFERROR(__xludf.DUMMYFUNCTION("IF(ISBLANK(B2154),"""",IF(ISDATE(B2154),TEXT(B2154,""yyyy""),""""))"),"")</f>
        <v/>
      </c>
    </row>
    <row r="2155">
      <c r="B2155" s="87"/>
      <c r="C2155" s="85"/>
      <c r="D2155" s="76"/>
      <c r="H2155" s="88"/>
      <c r="J2155" s="53" t="str">
        <f>IFERROR(__xludf.DUMMYFUNCTION("IF(ISBLANK(B2155),"""",IF(ISDATE(B2155),""X"",""""))"),"")</f>
        <v/>
      </c>
      <c r="K2155" s="40" t="str">
        <f>IFERROR(__xludf.DUMMYFUNCTION("IF(ISBLANK(B2155),"""",IF(ISDATE(B2155),H2155,""""))"),"")</f>
        <v/>
      </c>
      <c r="L2155" s="40" t="str">
        <f>IFERROR(__xludf.DUMMYFUNCTION("IF(ISBLANK(B2155),"""",IF(ISDATE(B2155),TEXT(B2155,""M""),""""))"),"")</f>
        <v/>
      </c>
      <c r="M2155" s="29" t="str">
        <f>IFERROR(__xludf.DUMMYFUNCTION("IF(L2155="""","""",QUERY({'Dashboard-Dados'!$Y$2:$AA$13},""Select Col2 Where Col1=""&amp;L2155))"),"")</f>
        <v/>
      </c>
      <c r="N2155" s="29" t="str">
        <f>IFERROR(__xludf.DUMMYFUNCTION("IF(ISBLANK(B2155),"""",IF(ISDATE(B2155),TEXT(B2155,""yyyy""),""""))"),"")</f>
        <v/>
      </c>
    </row>
    <row r="2156">
      <c r="B2156" s="89"/>
      <c r="C2156" s="86"/>
      <c r="D2156" s="71"/>
      <c r="H2156" s="90"/>
      <c r="J2156" s="53" t="str">
        <f>IFERROR(__xludf.DUMMYFUNCTION("IF(ISBLANK(B2156),"""",IF(ISDATE(B2156),""X"",""""))"),"")</f>
        <v/>
      </c>
      <c r="K2156" s="40" t="str">
        <f>IFERROR(__xludf.DUMMYFUNCTION("IF(ISBLANK(B2156),"""",IF(ISDATE(B2156),H2156,""""))"),"")</f>
        <v/>
      </c>
      <c r="L2156" s="40" t="str">
        <f>IFERROR(__xludf.DUMMYFUNCTION("IF(ISBLANK(B2156),"""",IF(ISDATE(B2156),TEXT(B2156,""M""),""""))"),"")</f>
        <v/>
      </c>
      <c r="M2156" s="29" t="str">
        <f>IFERROR(__xludf.DUMMYFUNCTION("IF(L2156="""","""",QUERY({'Dashboard-Dados'!$Y$2:$AA$13},""Select Col2 Where Col1=""&amp;L2156))"),"")</f>
        <v/>
      </c>
      <c r="N2156" s="29" t="str">
        <f>IFERROR(__xludf.DUMMYFUNCTION("IF(ISBLANK(B2156),"""",IF(ISDATE(B2156),TEXT(B2156,""yyyy""),""""))"),"")</f>
        <v/>
      </c>
    </row>
    <row r="2157">
      <c r="B2157" s="87"/>
      <c r="C2157" s="85"/>
      <c r="D2157" s="76"/>
      <c r="H2157" s="88"/>
      <c r="J2157" s="53" t="str">
        <f>IFERROR(__xludf.DUMMYFUNCTION("IF(ISBLANK(B2157),"""",IF(ISDATE(B2157),""X"",""""))"),"")</f>
        <v/>
      </c>
      <c r="K2157" s="40" t="str">
        <f>IFERROR(__xludf.DUMMYFUNCTION("IF(ISBLANK(B2157),"""",IF(ISDATE(B2157),H2157,""""))"),"")</f>
        <v/>
      </c>
      <c r="L2157" s="40" t="str">
        <f>IFERROR(__xludf.DUMMYFUNCTION("IF(ISBLANK(B2157),"""",IF(ISDATE(B2157),TEXT(B2157,""M""),""""))"),"")</f>
        <v/>
      </c>
      <c r="M2157" s="29" t="str">
        <f>IFERROR(__xludf.DUMMYFUNCTION("IF(L2157="""","""",QUERY({'Dashboard-Dados'!$Y$2:$AA$13},""Select Col2 Where Col1=""&amp;L2157))"),"")</f>
        <v/>
      </c>
      <c r="N2157" s="29" t="str">
        <f>IFERROR(__xludf.DUMMYFUNCTION("IF(ISBLANK(B2157),"""",IF(ISDATE(B2157),TEXT(B2157,""yyyy""),""""))"),"")</f>
        <v/>
      </c>
    </row>
    <row r="2158">
      <c r="B2158" s="89"/>
      <c r="C2158" s="86"/>
      <c r="D2158" s="71"/>
      <c r="H2158" s="90"/>
      <c r="J2158" s="53" t="str">
        <f>IFERROR(__xludf.DUMMYFUNCTION("IF(ISBLANK(B2158),"""",IF(ISDATE(B2158),""X"",""""))"),"")</f>
        <v/>
      </c>
      <c r="K2158" s="40" t="str">
        <f>IFERROR(__xludf.DUMMYFUNCTION("IF(ISBLANK(B2158),"""",IF(ISDATE(B2158),H2158,""""))"),"")</f>
        <v/>
      </c>
      <c r="L2158" s="40" t="str">
        <f>IFERROR(__xludf.DUMMYFUNCTION("IF(ISBLANK(B2158),"""",IF(ISDATE(B2158),TEXT(B2158,""M""),""""))"),"")</f>
        <v/>
      </c>
      <c r="M2158" s="29" t="str">
        <f>IFERROR(__xludf.DUMMYFUNCTION("IF(L2158="""","""",QUERY({'Dashboard-Dados'!$Y$2:$AA$13},""Select Col2 Where Col1=""&amp;L2158))"),"")</f>
        <v/>
      </c>
      <c r="N2158" s="29" t="str">
        <f>IFERROR(__xludf.DUMMYFUNCTION("IF(ISBLANK(B2158),"""",IF(ISDATE(B2158),TEXT(B2158,""yyyy""),""""))"),"")</f>
        <v/>
      </c>
    </row>
    <row r="2159">
      <c r="B2159" s="87"/>
      <c r="C2159" s="85"/>
      <c r="D2159" s="76"/>
      <c r="H2159" s="88"/>
      <c r="J2159" s="53" t="str">
        <f>IFERROR(__xludf.DUMMYFUNCTION("IF(ISBLANK(B2159),"""",IF(ISDATE(B2159),""X"",""""))"),"")</f>
        <v/>
      </c>
      <c r="K2159" s="40" t="str">
        <f>IFERROR(__xludf.DUMMYFUNCTION("IF(ISBLANK(B2159),"""",IF(ISDATE(B2159),H2159,""""))"),"")</f>
        <v/>
      </c>
      <c r="L2159" s="40" t="str">
        <f>IFERROR(__xludf.DUMMYFUNCTION("IF(ISBLANK(B2159),"""",IF(ISDATE(B2159),TEXT(B2159,""M""),""""))"),"")</f>
        <v/>
      </c>
      <c r="M2159" s="29" t="str">
        <f>IFERROR(__xludf.DUMMYFUNCTION("IF(L2159="""","""",QUERY({'Dashboard-Dados'!$Y$2:$AA$13},""Select Col2 Where Col1=""&amp;L2159))"),"")</f>
        <v/>
      </c>
      <c r="N2159" s="29" t="str">
        <f>IFERROR(__xludf.DUMMYFUNCTION("IF(ISBLANK(B2159),"""",IF(ISDATE(B2159),TEXT(B2159,""yyyy""),""""))"),"")</f>
        <v/>
      </c>
    </row>
    <row r="2160">
      <c r="B2160" s="89"/>
      <c r="C2160" s="86"/>
      <c r="D2160" s="71"/>
      <c r="H2160" s="90"/>
      <c r="J2160" s="53" t="str">
        <f>IFERROR(__xludf.DUMMYFUNCTION("IF(ISBLANK(B2160),"""",IF(ISDATE(B2160),""X"",""""))"),"")</f>
        <v/>
      </c>
      <c r="K2160" s="40" t="str">
        <f>IFERROR(__xludf.DUMMYFUNCTION("IF(ISBLANK(B2160),"""",IF(ISDATE(B2160),H2160,""""))"),"")</f>
        <v/>
      </c>
      <c r="L2160" s="40" t="str">
        <f>IFERROR(__xludf.DUMMYFUNCTION("IF(ISBLANK(B2160),"""",IF(ISDATE(B2160),TEXT(B2160,""M""),""""))"),"")</f>
        <v/>
      </c>
      <c r="M2160" s="29" t="str">
        <f>IFERROR(__xludf.DUMMYFUNCTION("IF(L2160="""","""",QUERY({'Dashboard-Dados'!$Y$2:$AA$13},""Select Col2 Where Col1=""&amp;L2160))"),"")</f>
        <v/>
      </c>
      <c r="N2160" s="29" t="str">
        <f>IFERROR(__xludf.DUMMYFUNCTION("IF(ISBLANK(B2160),"""",IF(ISDATE(B2160),TEXT(B2160,""yyyy""),""""))"),"")</f>
        <v/>
      </c>
    </row>
    <row r="2161">
      <c r="B2161" s="87"/>
      <c r="C2161" s="85"/>
      <c r="D2161" s="76"/>
      <c r="H2161" s="88"/>
      <c r="J2161" s="53" t="str">
        <f>IFERROR(__xludf.DUMMYFUNCTION("IF(ISBLANK(B2161),"""",IF(ISDATE(B2161),""X"",""""))"),"")</f>
        <v/>
      </c>
      <c r="K2161" s="40" t="str">
        <f>IFERROR(__xludf.DUMMYFUNCTION("IF(ISBLANK(B2161),"""",IF(ISDATE(B2161),H2161,""""))"),"")</f>
        <v/>
      </c>
      <c r="L2161" s="40" t="str">
        <f>IFERROR(__xludf.DUMMYFUNCTION("IF(ISBLANK(B2161),"""",IF(ISDATE(B2161),TEXT(B2161,""M""),""""))"),"")</f>
        <v/>
      </c>
      <c r="M2161" s="29" t="str">
        <f>IFERROR(__xludf.DUMMYFUNCTION("IF(L2161="""","""",QUERY({'Dashboard-Dados'!$Y$2:$AA$13},""Select Col2 Where Col1=""&amp;L2161))"),"")</f>
        <v/>
      </c>
      <c r="N2161" s="29" t="str">
        <f>IFERROR(__xludf.DUMMYFUNCTION("IF(ISBLANK(B2161),"""",IF(ISDATE(B2161),TEXT(B2161,""yyyy""),""""))"),"")</f>
        <v/>
      </c>
    </row>
    <row r="2162">
      <c r="B2162" s="89"/>
      <c r="C2162" s="86"/>
      <c r="D2162" s="71"/>
      <c r="H2162" s="90"/>
      <c r="J2162" s="53" t="str">
        <f>IFERROR(__xludf.DUMMYFUNCTION("IF(ISBLANK(B2162),"""",IF(ISDATE(B2162),""X"",""""))"),"")</f>
        <v/>
      </c>
      <c r="K2162" s="40" t="str">
        <f>IFERROR(__xludf.DUMMYFUNCTION("IF(ISBLANK(B2162),"""",IF(ISDATE(B2162),H2162,""""))"),"")</f>
        <v/>
      </c>
      <c r="L2162" s="40" t="str">
        <f>IFERROR(__xludf.DUMMYFUNCTION("IF(ISBLANK(B2162),"""",IF(ISDATE(B2162),TEXT(B2162,""M""),""""))"),"")</f>
        <v/>
      </c>
      <c r="M2162" s="29" t="str">
        <f>IFERROR(__xludf.DUMMYFUNCTION("IF(L2162="""","""",QUERY({'Dashboard-Dados'!$Y$2:$AA$13},""Select Col2 Where Col1=""&amp;L2162))"),"")</f>
        <v/>
      </c>
      <c r="N2162" s="29" t="str">
        <f>IFERROR(__xludf.DUMMYFUNCTION("IF(ISBLANK(B2162),"""",IF(ISDATE(B2162),TEXT(B2162,""yyyy""),""""))"),"")</f>
        <v/>
      </c>
    </row>
    <row r="2163">
      <c r="B2163" s="87"/>
      <c r="C2163" s="85"/>
      <c r="D2163" s="76"/>
      <c r="H2163" s="88"/>
      <c r="J2163" s="53" t="str">
        <f>IFERROR(__xludf.DUMMYFUNCTION("IF(ISBLANK(B2163),"""",IF(ISDATE(B2163),""X"",""""))"),"")</f>
        <v/>
      </c>
      <c r="K2163" s="40" t="str">
        <f>IFERROR(__xludf.DUMMYFUNCTION("IF(ISBLANK(B2163),"""",IF(ISDATE(B2163),H2163,""""))"),"")</f>
        <v/>
      </c>
      <c r="L2163" s="40" t="str">
        <f>IFERROR(__xludf.DUMMYFUNCTION("IF(ISBLANK(B2163),"""",IF(ISDATE(B2163),TEXT(B2163,""M""),""""))"),"")</f>
        <v/>
      </c>
      <c r="M2163" s="29" t="str">
        <f>IFERROR(__xludf.DUMMYFUNCTION("IF(L2163="""","""",QUERY({'Dashboard-Dados'!$Y$2:$AA$13},""Select Col2 Where Col1=""&amp;L2163))"),"")</f>
        <v/>
      </c>
      <c r="N2163" s="29" t="str">
        <f>IFERROR(__xludf.DUMMYFUNCTION("IF(ISBLANK(B2163),"""",IF(ISDATE(B2163),TEXT(B2163,""yyyy""),""""))"),"")</f>
        <v/>
      </c>
    </row>
    <row r="2164">
      <c r="B2164" s="89"/>
      <c r="C2164" s="86"/>
      <c r="D2164" s="71"/>
      <c r="H2164" s="90"/>
      <c r="J2164" s="53" t="str">
        <f>IFERROR(__xludf.DUMMYFUNCTION("IF(ISBLANK(B2164),"""",IF(ISDATE(B2164),""X"",""""))"),"")</f>
        <v/>
      </c>
      <c r="K2164" s="40" t="str">
        <f>IFERROR(__xludf.DUMMYFUNCTION("IF(ISBLANK(B2164),"""",IF(ISDATE(B2164),H2164,""""))"),"")</f>
        <v/>
      </c>
      <c r="L2164" s="40" t="str">
        <f>IFERROR(__xludf.DUMMYFUNCTION("IF(ISBLANK(B2164),"""",IF(ISDATE(B2164),TEXT(B2164,""M""),""""))"),"")</f>
        <v/>
      </c>
      <c r="M2164" s="29" t="str">
        <f>IFERROR(__xludf.DUMMYFUNCTION("IF(L2164="""","""",QUERY({'Dashboard-Dados'!$Y$2:$AA$13},""Select Col2 Where Col1=""&amp;L2164))"),"")</f>
        <v/>
      </c>
      <c r="N2164" s="29" t="str">
        <f>IFERROR(__xludf.DUMMYFUNCTION("IF(ISBLANK(B2164),"""",IF(ISDATE(B2164),TEXT(B2164,""yyyy""),""""))"),"")</f>
        <v/>
      </c>
    </row>
    <row r="2165">
      <c r="B2165" s="87"/>
      <c r="C2165" s="85"/>
      <c r="D2165" s="76"/>
      <c r="H2165" s="88"/>
      <c r="J2165" s="53" t="str">
        <f>IFERROR(__xludf.DUMMYFUNCTION("IF(ISBLANK(B2165),"""",IF(ISDATE(B2165),""X"",""""))"),"")</f>
        <v/>
      </c>
      <c r="K2165" s="40" t="str">
        <f>IFERROR(__xludf.DUMMYFUNCTION("IF(ISBLANK(B2165),"""",IF(ISDATE(B2165),H2165,""""))"),"")</f>
        <v/>
      </c>
      <c r="L2165" s="40" t="str">
        <f>IFERROR(__xludf.DUMMYFUNCTION("IF(ISBLANK(B2165),"""",IF(ISDATE(B2165),TEXT(B2165,""M""),""""))"),"")</f>
        <v/>
      </c>
      <c r="M2165" s="29" t="str">
        <f>IFERROR(__xludf.DUMMYFUNCTION("IF(L2165="""","""",QUERY({'Dashboard-Dados'!$Y$2:$AA$13},""Select Col2 Where Col1=""&amp;L2165))"),"")</f>
        <v/>
      </c>
      <c r="N2165" s="29" t="str">
        <f>IFERROR(__xludf.DUMMYFUNCTION("IF(ISBLANK(B2165),"""",IF(ISDATE(B2165),TEXT(B2165,""yyyy""),""""))"),"")</f>
        <v/>
      </c>
    </row>
    <row r="2166">
      <c r="B2166" s="89"/>
      <c r="C2166" s="86"/>
      <c r="D2166" s="71"/>
      <c r="H2166" s="90"/>
      <c r="J2166" s="53" t="str">
        <f>IFERROR(__xludf.DUMMYFUNCTION("IF(ISBLANK(B2166),"""",IF(ISDATE(B2166),""X"",""""))"),"")</f>
        <v/>
      </c>
      <c r="K2166" s="40" t="str">
        <f>IFERROR(__xludf.DUMMYFUNCTION("IF(ISBLANK(B2166),"""",IF(ISDATE(B2166),H2166,""""))"),"")</f>
        <v/>
      </c>
      <c r="L2166" s="40" t="str">
        <f>IFERROR(__xludf.DUMMYFUNCTION("IF(ISBLANK(B2166),"""",IF(ISDATE(B2166),TEXT(B2166,""M""),""""))"),"")</f>
        <v/>
      </c>
      <c r="M2166" s="29" t="str">
        <f>IFERROR(__xludf.DUMMYFUNCTION("IF(L2166="""","""",QUERY({'Dashboard-Dados'!$Y$2:$AA$13},""Select Col2 Where Col1=""&amp;L2166))"),"")</f>
        <v/>
      </c>
      <c r="N2166" s="29" t="str">
        <f>IFERROR(__xludf.DUMMYFUNCTION("IF(ISBLANK(B2166),"""",IF(ISDATE(B2166),TEXT(B2166,""yyyy""),""""))"),"")</f>
        <v/>
      </c>
    </row>
    <row r="2167">
      <c r="B2167" s="87"/>
      <c r="C2167" s="85"/>
      <c r="D2167" s="76"/>
      <c r="H2167" s="88"/>
      <c r="J2167" s="53" t="str">
        <f>IFERROR(__xludf.DUMMYFUNCTION("IF(ISBLANK(B2167),"""",IF(ISDATE(B2167),""X"",""""))"),"")</f>
        <v/>
      </c>
      <c r="K2167" s="40" t="str">
        <f>IFERROR(__xludf.DUMMYFUNCTION("IF(ISBLANK(B2167),"""",IF(ISDATE(B2167),H2167,""""))"),"")</f>
        <v/>
      </c>
      <c r="L2167" s="40" t="str">
        <f>IFERROR(__xludf.DUMMYFUNCTION("IF(ISBLANK(B2167),"""",IF(ISDATE(B2167),TEXT(B2167,""M""),""""))"),"")</f>
        <v/>
      </c>
      <c r="M2167" s="29" t="str">
        <f>IFERROR(__xludf.DUMMYFUNCTION("IF(L2167="""","""",QUERY({'Dashboard-Dados'!$Y$2:$AA$13},""Select Col2 Where Col1=""&amp;L2167))"),"")</f>
        <v/>
      </c>
      <c r="N2167" s="29" t="str">
        <f>IFERROR(__xludf.DUMMYFUNCTION("IF(ISBLANK(B2167),"""",IF(ISDATE(B2167),TEXT(B2167,""yyyy""),""""))"),"")</f>
        <v/>
      </c>
    </row>
    <row r="2168">
      <c r="B2168" s="89"/>
      <c r="C2168" s="86"/>
      <c r="D2168" s="71"/>
      <c r="H2168" s="90"/>
      <c r="J2168" s="53" t="str">
        <f>IFERROR(__xludf.DUMMYFUNCTION("IF(ISBLANK(B2168),"""",IF(ISDATE(B2168),""X"",""""))"),"")</f>
        <v/>
      </c>
      <c r="K2168" s="40" t="str">
        <f>IFERROR(__xludf.DUMMYFUNCTION("IF(ISBLANK(B2168),"""",IF(ISDATE(B2168),H2168,""""))"),"")</f>
        <v/>
      </c>
      <c r="L2168" s="40" t="str">
        <f>IFERROR(__xludf.DUMMYFUNCTION("IF(ISBLANK(B2168),"""",IF(ISDATE(B2168),TEXT(B2168,""M""),""""))"),"")</f>
        <v/>
      </c>
      <c r="M2168" s="29" t="str">
        <f>IFERROR(__xludf.DUMMYFUNCTION("IF(L2168="""","""",QUERY({'Dashboard-Dados'!$Y$2:$AA$13},""Select Col2 Where Col1=""&amp;L2168))"),"")</f>
        <v/>
      </c>
      <c r="N2168" s="29" t="str">
        <f>IFERROR(__xludf.DUMMYFUNCTION("IF(ISBLANK(B2168),"""",IF(ISDATE(B2168),TEXT(B2168,""yyyy""),""""))"),"")</f>
        <v/>
      </c>
    </row>
    <row r="2169">
      <c r="B2169" s="87"/>
      <c r="C2169" s="85"/>
      <c r="D2169" s="76"/>
      <c r="H2169" s="88"/>
      <c r="J2169" s="53" t="str">
        <f>IFERROR(__xludf.DUMMYFUNCTION("IF(ISBLANK(B2169),"""",IF(ISDATE(B2169),""X"",""""))"),"")</f>
        <v/>
      </c>
      <c r="K2169" s="40" t="str">
        <f>IFERROR(__xludf.DUMMYFUNCTION("IF(ISBLANK(B2169),"""",IF(ISDATE(B2169),H2169,""""))"),"")</f>
        <v/>
      </c>
      <c r="L2169" s="40" t="str">
        <f>IFERROR(__xludf.DUMMYFUNCTION("IF(ISBLANK(B2169),"""",IF(ISDATE(B2169),TEXT(B2169,""M""),""""))"),"")</f>
        <v/>
      </c>
      <c r="M2169" s="29" t="str">
        <f>IFERROR(__xludf.DUMMYFUNCTION("IF(L2169="""","""",QUERY({'Dashboard-Dados'!$Y$2:$AA$13},""Select Col2 Where Col1=""&amp;L2169))"),"")</f>
        <v/>
      </c>
      <c r="N2169" s="29" t="str">
        <f>IFERROR(__xludf.DUMMYFUNCTION("IF(ISBLANK(B2169),"""",IF(ISDATE(B2169),TEXT(B2169,""yyyy""),""""))"),"")</f>
        <v/>
      </c>
    </row>
    <row r="2170">
      <c r="B2170" s="89"/>
      <c r="C2170" s="86"/>
      <c r="D2170" s="71"/>
      <c r="H2170" s="90"/>
      <c r="J2170" s="53" t="str">
        <f>IFERROR(__xludf.DUMMYFUNCTION("IF(ISBLANK(B2170),"""",IF(ISDATE(B2170),""X"",""""))"),"")</f>
        <v/>
      </c>
      <c r="K2170" s="40" t="str">
        <f>IFERROR(__xludf.DUMMYFUNCTION("IF(ISBLANK(B2170),"""",IF(ISDATE(B2170),H2170,""""))"),"")</f>
        <v/>
      </c>
      <c r="L2170" s="40" t="str">
        <f>IFERROR(__xludf.DUMMYFUNCTION("IF(ISBLANK(B2170),"""",IF(ISDATE(B2170),TEXT(B2170,""M""),""""))"),"")</f>
        <v/>
      </c>
      <c r="M2170" s="29" t="str">
        <f>IFERROR(__xludf.DUMMYFUNCTION("IF(L2170="""","""",QUERY({'Dashboard-Dados'!$Y$2:$AA$13},""Select Col2 Where Col1=""&amp;L2170))"),"")</f>
        <v/>
      </c>
      <c r="N2170" s="29" t="str">
        <f>IFERROR(__xludf.DUMMYFUNCTION("IF(ISBLANK(B2170),"""",IF(ISDATE(B2170),TEXT(B2170,""yyyy""),""""))"),"")</f>
        <v/>
      </c>
    </row>
    <row r="2171">
      <c r="B2171" s="87"/>
      <c r="C2171" s="85"/>
      <c r="D2171" s="76"/>
      <c r="H2171" s="88"/>
      <c r="J2171" s="53" t="str">
        <f>IFERROR(__xludf.DUMMYFUNCTION("IF(ISBLANK(B2171),"""",IF(ISDATE(B2171),""X"",""""))"),"")</f>
        <v/>
      </c>
      <c r="K2171" s="40" t="str">
        <f>IFERROR(__xludf.DUMMYFUNCTION("IF(ISBLANK(B2171),"""",IF(ISDATE(B2171),H2171,""""))"),"")</f>
        <v/>
      </c>
      <c r="L2171" s="40" t="str">
        <f>IFERROR(__xludf.DUMMYFUNCTION("IF(ISBLANK(B2171),"""",IF(ISDATE(B2171),TEXT(B2171,""M""),""""))"),"")</f>
        <v/>
      </c>
      <c r="M2171" s="29" t="str">
        <f>IFERROR(__xludf.DUMMYFUNCTION("IF(L2171="""","""",QUERY({'Dashboard-Dados'!$Y$2:$AA$13},""Select Col2 Where Col1=""&amp;L2171))"),"")</f>
        <v/>
      </c>
      <c r="N2171" s="29" t="str">
        <f>IFERROR(__xludf.DUMMYFUNCTION("IF(ISBLANK(B2171),"""",IF(ISDATE(B2171),TEXT(B2171,""yyyy""),""""))"),"")</f>
        <v/>
      </c>
    </row>
    <row r="2172">
      <c r="B2172" s="89"/>
      <c r="C2172" s="86"/>
      <c r="D2172" s="71"/>
      <c r="H2172" s="90"/>
      <c r="J2172" s="53" t="str">
        <f>IFERROR(__xludf.DUMMYFUNCTION("IF(ISBLANK(B2172),"""",IF(ISDATE(B2172),""X"",""""))"),"")</f>
        <v/>
      </c>
      <c r="K2172" s="40" t="str">
        <f>IFERROR(__xludf.DUMMYFUNCTION("IF(ISBLANK(B2172),"""",IF(ISDATE(B2172),H2172,""""))"),"")</f>
        <v/>
      </c>
      <c r="L2172" s="40" t="str">
        <f>IFERROR(__xludf.DUMMYFUNCTION("IF(ISBLANK(B2172),"""",IF(ISDATE(B2172),TEXT(B2172,""M""),""""))"),"")</f>
        <v/>
      </c>
      <c r="M2172" s="29" t="str">
        <f>IFERROR(__xludf.DUMMYFUNCTION("IF(L2172="""","""",QUERY({'Dashboard-Dados'!$Y$2:$AA$13},""Select Col2 Where Col1=""&amp;L2172))"),"")</f>
        <v/>
      </c>
      <c r="N2172" s="29" t="str">
        <f>IFERROR(__xludf.DUMMYFUNCTION("IF(ISBLANK(B2172),"""",IF(ISDATE(B2172),TEXT(B2172,""yyyy""),""""))"),"")</f>
        <v/>
      </c>
    </row>
    <row r="2173">
      <c r="B2173" s="87"/>
      <c r="C2173" s="85"/>
      <c r="D2173" s="76"/>
      <c r="H2173" s="88"/>
      <c r="J2173" s="53" t="str">
        <f>IFERROR(__xludf.DUMMYFUNCTION("IF(ISBLANK(B2173),"""",IF(ISDATE(B2173),""X"",""""))"),"")</f>
        <v/>
      </c>
      <c r="K2173" s="40" t="str">
        <f>IFERROR(__xludf.DUMMYFUNCTION("IF(ISBLANK(B2173),"""",IF(ISDATE(B2173),H2173,""""))"),"")</f>
        <v/>
      </c>
      <c r="L2173" s="40" t="str">
        <f>IFERROR(__xludf.DUMMYFUNCTION("IF(ISBLANK(B2173),"""",IF(ISDATE(B2173),TEXT(B2173,""M""),""""))"),"")</f>
        <v/>
      </c>
      <c r="M2173" s="29" t="str">
        <f>IFERROR(__xludf.DUMMYFUNCTION("IF(L2173="""","""",QUERY({'Dashboard-Dados'!$Y$2:$AA$13},""Select Col2 Where Col1=""&amp;L2173))"),"")</f>
        <v/>
      </c>
      <c r="N2173" s="29" t="str">
        <f>IFERROR(__xludf.DUMMYFUNCTION("IF(ISBLANK(B2173),"""",IF(ISDATE(B2173),TEXT(B2173,""yyyy""),""""))"),"")</f>
        <v/>
      </c>
    </row>
    <row r="2174">
      <c r="B2174" s="89"/>
      <c r="C2174" s="86"/>
      <c r="D2174" s="71"/>
      <c r="H2174" s="90"/>
      <c r="J2174" s="53" t="str">
        <f>IFERROR(__xludf.DUMMYFUNCTION("IF(ISBLANK(B2174),"""",IF(ISDATE(B2174),""X"",""""))"),"")</f>
        <v/>
      </c>
      <c r="K2174" s="40" t="str">
        <f>IFERROR(__xludf.DUMMYFUNCTION("IF(ISBLANK(B2174),"""",IF(ISDATE(B2174),H2174,""""))"),"")</f>
        <v/>
      </c>
      <c r="L2174" s="40" t="str">
        <f>IFERROR(__xludf.DUMMYFUNCTION("IF(ISBLANK(B2174),"""",IF(ISDATE(B2174),TEXT(B2174,""M""),""""))"),"")</f>
        <v/>
      </c>
      <c r="M2174" s="29" t="str">
        <f>IFERROR(__xludf.DUMMYFUNCTION("IF(L2174="""","""",QUERY({'Dashboard-Dados'!$Y$2:$AA$13},""Select Col2 Where Col1=""&amp;L2174))"),"")</f>
        <v/>
      </c>
      <c r="N2174" s="29" t="str">
        <f>IFERROR(__xludf.DUMMYFUNCTION("IF(ISBLANK(B2174),"""",IF(ISDATE(B2174),TEXT(B2174,""yyyy""),""""))"),"")</f>
        <v/>
      </c>
    </row>
    <row r="2175">
      <c r="B2175" s="87"/>
      <c r="C2175" s="85"/>
      <c r="D2175" s="76"/>
      <c r="H2175" s="88"/>
      <c r="J2175" s="53" t="str">
        <f>IFERROR(__xludf.DUMMYFUNCTION("IF(ISBLANK(B2175),"""",IF(ISDATE(B2175),""X"",""""))"),"")</f>
        <v/>
      </c>
      <c r="K2175" s="40" t="str">
        <f>IFERROR(__xludf.DUMMYFUNCTION("IF(ISBLANK(B2175),"""",IF(ISDATE(B2175),H2175,""""))"),"")</f>
        <v/>
      </c>
      <c r="L2175" s="40" t="str">
        <f>IFERROR(__xludf.DUMMYFUNCTION("IF(ISBLANK(B2175),"""",IF(ISDATE(B2175),TEXT(B2175,""M""),""""))"),"")</f>
        <v/>
      </c>
      <c r="M2175" s="29" t="str">
        <f>IFERROR(__xludf.DUMMYFUNCTION("IF(L2175="""","""",QUERY({'Dashboard-Dados'!$Y$2:$AA$13},""Select Col2 Where Col1=""&amp;L2175))"),"")</f>
        <v/>
      </c>
      <c r="N2175" s="29" t="str">
        <f>IFERROR(__xludf.DUMMYFUNCTION("IF(ISBLANK(B2175),"""",IF(ISDATE(B2175),TEXT(B2175,""yyyy""),""""))"),"")</f>
        <v/>
      </c>
    </row>
    <row r="2176">
      <c r="B2176" s="89"/>
      <c r="C2176" s="86"/>
      <c r="D2176" s="71"/>
      <c r="H2176" s="90"/>
      <c r="J2176" s="53" t="str">
        <f>IFERROR(__xludf.DUMMYFUNCTION("IF(ISBLANK(B2176),"""",IF(ISDATE(B2176),""X"",""""))"),"")</f>
        <v/>
      </c>
      <c r="K2176" s="40" t="str">
        <f>IFERROR(__xludf.DUMMYFUNCTION("IF(ISBLANK(B2176),"""",IF(ISDATE(B2176),H2176,""""))"),"")</f>
        <v/>
      </c>
      <c r="L2176" s="40" t="str">
        <f>IFERROR(__xludf.DUMMYFUNCTION("IF(ISBLANK(B2176),"""",IF(ISDATE(B2176),TEXT(B2176,""M""),""""))"),"")</f>
        <v/>
      </c>
      <c r="M2176" s="29" t="str">
        <f>IFERROR(__xludf.DUMMYFUNCTION("IF(L2176="""","""",QUERY({'Dashboard-Dados'!$Y$2:$AA$13},""Select Col2 Where Col1=""&amp;L2176))"),"")</f>
        <v/>
      </c>
      <c r="N2176" s="29" t="str">
        <f>IFERROR(__xludf.DUMMYFUNCTION("IF(ISBLANK(B2176),"""",IF(ISDATE(B2176),TEXT(B2176,""yyyy""),""""))"),"")</f>
        <v/>
      </c>
    </row>
    <row r="2177">
      <c r="B2177" s="87"/>
      <c r="C2177" s="85"/>
      <c r="D2177" s="76"/>
      <c r="H2177" s="88"/>
      <c r="J2177" s="53" t="str">
        <f>IFERROR(__xludf.DUMMYFUNCTION("IF(ISBLANK(B2177),"""",IF(ISDATE(B2177),""X"",""""))"),"")</f>
        <v/>
      </c>
      <c r="K2177" s="40" t="str">
        <f>IFERROR(__xludf.DUMMYFUNCTION("IF(ISBLANK(B2177),"""",IF(ISDATE(B2177),H2177,""""))"),"")</f>
        <v/>
      </c>
      <c r="L2177" s="40" t="str">
        <f>IFERROR(__xludf.DUMMYFUNCTION("IF(ISBLANK(B2177),"""",IF(ISDATE(B2177),TEXT(B2177,""M""),""""))"),"")</f>
        <v/>
      </c>
      <c r="M2177" s="29" t="str">
        <f>IFERROR(__xludf.DUMMYFUNCTION("IF(L2177="""","""",QUERY({'Dashboard-Dados'!$Y$2:$AA$13},""Select Col2 Where Col1=""&amp;L2177))"),"")</f>
        <v/>
      </c>
      <c r="N2177" s="29" t="str">
        <f>IFERROR(__xludf.DUMMYFUNCTION("IF(ISBLANK(B2177),"""",IF(ISDATE(B2177),TEXT(B2177,""yyyy""),""""))"),"")</f>
        <v/>
      </c>
    </row>
    <row r="2178">
      <c r="B2178" s="89"/>
      <c r="C2178" s="86"/>
      <c r="D2178" s="71"/>
      <c r="H2178" s="90"/>
      <c r="J2178" s="53" t="str">
        <f>IFERROR(__xludf.DUMMYFUNCTION("IF(ISBLANK(B2178),"""",IF(ISDATE(B2178),""X"",""""))"),"")</f>
        <v/>
      </c>
      <c r="K2178" s="40" t="str">
        <f>IFERROR(__xludf.DUMMYFUNCTION("IF(ISBLANK(B2178),"""",IF(ISDATE(B2178),H2178,""""))"),"")</f>
        <v/>
      </c>
      <c r="L2178" s="40" t="str">
        <f>IFERROR(__xludf.DUMMYFUNCTION("IF(ISBLANK(B2178),"""",IF(ISDATE(B2178),TEXT(B2178,""M""),""""))"),"")</f>
        <v/>
      </c>
      <c r="M2178" s="29" t="str">
        <f>IFERROR(__xludf.DUMMYFUNCTION("IF(L2178="""","""",QUERY({'Dashboard-Dados'!$Y$2:$AA$13},""Select Col2 Where Col1=""&amp;L2178))"),"")</f>
        <v/>
      </c>
      <c r="N2178" s="29" t="str">
        <f>IFERROR(__xludf.DUMMYFUNCTION("IF(ISBLANK(B2178),"""",IF(ISDATE(B2178),TEXT(B2178,""yyyy""),""""))"),"")</f>
        <v/>
      </c>
    </row>
    <row r="2179">
      <c r="B2179" s="87"/>
      <c r="C2179" s="85"/>
      <c r="D2179" s="76"/>
      <c r="H2179" s="88"/>
      <c r="J2179" s="53" t="str">
        <f>IFERROR(__xludf.DUMMYFUNCTION("IF(ISBLANK(B2179),"""",IF(ISDATE(B2179),""X"",""""))"),"")</f>
        <v/>
      </c>
      <c r="K2179" s="40" t="str">
        <f>IFERROR(__xludf.DUMMYFUNCTION("IF(ISBLANK(B2179),"""",IF(ISDATE(B2179),H2179,""""))"),"")</f>
        <v/>
      </c>
      <c r="L2179" s="40" t="str">
        <f>IFERROR(__xludf.DUMMYFUNCTION("IF(ISBLANK(B2179),"""",IF(ISDATE(B2179),TEXT(B2179,""M""),""""))"),"")</f>
        <v/>
      </c>
      <c r="M2179" s="29" t="str">
        <f>IFERROR(__xludf.DUMMYFUNCTION("IF(L2179="""","""",QUERY({'Dashboard-Dados'!$Y$2:$AA$13},""Select Col2 Where Col1=""&amp;L2179))"),"")</f>
        <v/>
      </c>
      <c r="N2179" s="29" t="str">
        <f>IFERROR(__xludf.DUMMYFUNCTION("IF(ISBLANK(B2179),"""",IF(ISDATE(B2179),TEXT(B2179,""yyyy""),""""))"),"")</f>
        <v/>
      </c>
    </row>
    <row r="2180">
      <c r="B2180" s="89"/>
      <c r="C2180" s="86"/>
      <c r="D2180" s="71"/>
      <c r="H2180" s="90"/>
      <c r="J2180" s="53" t="str">
        <f>IFERROR(__xludf.DUMMYFUNCTION("IF(ISBLANK(B2180),"""",IF(ISDATE(B2180),""X"",""""))"),"")</f>
        <v/>
      </c>
      <c r="K2180" s="40" t="str">
        <f>IFERROR(__xludf.DUMMYFUNCTION("IF(ISBLANK(B2180),"""",IF(ISDATE(B2180),H2180,""""))"),"")</f>
        <v/>
      </c>
      <c r="L2180" s="40" t="str">
        <f>IFERROR(__xludf.DUMMYFUNCTION("IF(ISBLANK(B2180),"""",IF(ISDATE(B2180),TEXT(B2180,""M""),""""))"),"")</f>
        <v/>
      </c>
      <c r="M2180" s="29" t="str">
        <f>IFERROR(__xludf.DUMMYFUNCTION("IF(L2180="""","""",QUERY({'Dashboard-Dados'!$Y$2:$AA$13},""Select Col2 Where Col1=""&amp;L2180))"),"")</f>
        <v/>
      </c>
      <c r="N2180" s="29" t="str">
        <f>IFERROR(__xludf.DUMMYFUNCTION("IF(ISBLANK(B2180),"""",IF(ISDATE(B2180),TEXT(B2180,""yyyy""),""""))"),"")</f>
        <v/>
      </c>
    </row>
    <row r="2181">
      <c r="B2181" s="87"/>
      <c r="C2181" s="85"/>
      <c r="D2181" s="76"/>
      <c r="H2181" s="88"/>
      <c r="J2181" s="53" t="str">
        <f>IFERROR(__xludf.DUMMYFUNCTION("IF(ISBLANK(B2181),"""",IF(ISDATE(B2181),""X"",""""))"),"")</f>
        <v/>
      </c>
      <c r="K2181" s="40" t="str">
        <f>IFERROR(__xludf.DUMMYFUNCTION("IF(ISBLANK(B2181),"""",IF(ISDATE(B2181),H2181,""""))"),"")</f>
        <v/>
      </c>
      <c r="L2181" s="40" t="str">
        <f>IFERROR(__xludf.DUMMYFUNCTION("IF(ISBLANK(B2181),"""",IF(ISDATE(B2181),TEXT(B2181,""M""),""""))"),"")</f>
        <v/>
      </c>
      <c r="M2181" s="29" t="str">
        <f>IFERROR(__xludf.DUMMYFUNCTION("IF(L2181="""","""",QUERY({'Dashboard-Dados'!$Y$2:$AA$13},""Select Col2 Where Col1=""&amp;L2181))"),"")</f>
        <v/>
      </c>
      <c r="N2181" s="29" t="str">
        <f>IFERROR(__xludf.DUMMYFUNCTION("IF(ISBLANK(B2181),"""",IF(ISDATE(B2181),TEXT(B2181,""yyyy""),""""))"),"")</f>
        <v/>
      </c>
    </row>
    <row r="2182">
      <c r="B2182" s="89"/>
      <c r="C2182" s="86"/>
      <c r="D2182" s="71"/>
      <c r="H2182" s="90"/>
      <c r="J2182" s="53" t="str">
        <f>IFERROR(__xludf.DUMMYFUNCTION("IF(ISBLANK(B2182),"""",IF(ISDATE(B2182),""X"",""""))"),"")</f>
        <v/>
      </c>
      <c r="K2182" s="40" t="str">
        <f>IFERROR(__xludf.DUMMYFUNCTION("IF(ISBLANK(B2182),"""",IF(ISDATE(B2182),H2182,""""))"),"")</f>
        <v/>
      </c>
      <c r="L2182" s="40" t="str">
        <f>IFERROR(__xludf.DUMMYFUNCTION("IF(ISBLANK(B2182),"""",IF(ISDATE(B2182),TEXT(B2182,""M""),""""))"),"")</f>
        <v/>
      </c>
      <c r="M2182" s="29" t="str">
        <f>IFERROR(__xludf.DUMMYFUNCTION("IF(L2182="""","""",QUERY({'Dashboard-Dados'!$Y$2:$AA$13},""Select Col2 Where Col1=""&amp;L2182))"),"")</f>
        <v/>
      </c>
      <c r="N2182" s="29" t="str">
        <f>IFERROR(__xludf.DUMMYFUNCTION("IF(ISBLANK(B2182),"""",IF(ISDATE(B2182),TEXT(B2182,""yyyy""),""""))"),"")</f>
        <v/>
      </c>
    </row>
    <row r="2183">
      <c r="B2183" s="87"/>
      <c r="C2183" s="85"/>
      <c r="D2183" s="76"/>
      <c r="H2183" s="88"/>
      <c r="J2183" s="53" t="str">
        <f>IFERROR(__xludf.DUMMYFUNCTION("IF(ISBLANK(B2183),"""",IF(ISDATE(B2183),""X"",""""))"),"")</f>
        <v/>
      </c>
      <c r="K2183" s="40" t="str">
        <f>IFERROR(__xludf.DUMMYFUNCTION("IF(ISBLANK(B2183),"""",IF(ISDATE(B2183),H2183,""""))"),"")</f>
        <v/>
      </c>
      <c r="L2183" s="40" t="str">
        <f>IFERROR(__xludf.DUMMYFUNCTION("IF(ISBLANK(B2183),"""",IF(ISDATE(B2183),TEXT(B2183,""M""),""""))"),"")</f>
        <v/>
      </c>
      <c r="M2183" s="29" t="str">
        <f>IFERROR(__xludf.DUMMYFUNCTION("IF(L2183="""","""",QUERY({'Dashboard-Dados'!$Y$2:$AA$13},""Select Col2 Where Col1=""&amp;L2183))"),"")</f>
        <v/>
      </c>
      <c r="N2183" s="29" t="str">
        <f>IFERROR(__xludf.DUMMYFUNCTION("IF(ISBLANK(B2183),"""",IF(ISDATE(B2183),TEXT(B2183,""yyyy""),""""))"),"")</f>
        <v/>
      </c>
    </row>
    <row r="2184">
      <c r="B2184" s="89"/>
      <c r="C2184" s="86"/>
      <c r="D2184" s="71"/>
      <c r="H2184" s="90"/>
      <c r="J2184" s="53" t="str">
        <f>IFERROR(__xludf.DUMMYFUNCTION("IF(ISBLANK(B2184),"""",IF(ISDATE(B2184),""X"",""""))"),"")</f>
        <v/>
      </c>
      <c r="K2184" s="40" t="str">
        <f>IFERROR(__xludf.DUMMYFUNCTION("IF(ISBLANK(B2184),"""",IF(ISDATE(B2184),H2184,""""))"),"")</f>
        <v/>
      </c>
      <c r="L2184" s="40" t="str">
        <f>IFERROR(__xludf.DUMMYFUNCTION("IF(ISBLANK(B2184),"""",IF(ISDATE(B2184),TEXT(B2184,""M""),""""))"),"")</f>
        <v/>
      </c>
      <c r="M2184" s="29" t="str">
        <f>IFERROR(__xludf.DUMMYFUNCTION("IF(L2184="""","""",QUERY({'Dashboard-Dados'!$Y$2:$AA$13},""Select Col2 Where Col1=""&amp;L2184))"),"")</f>
        <v/>
      </c>
      <c r="N2184" s="29" t="str">
        <f>IFERROR(__xludf.DUMMYFUNCTION("IF(ISBLANK(B2184),"""",IF(ISDATE(B2184),TEXT(B2184,""yyyy""),""""))"),"")</f>
        <v/>
      </c>
    </row>
    <row r="2185">
      <c r="B2185" s="87"/>
      <c r="C2185" s="85"/>
      <c r="D2185" s="76"/>
      <c r="H2185" s="88"/>
      <c r="J2185" s="53" t="str">
        <f>IFERROR(__xludf.DUMMYFUNCTION("IF(ISBLANK(B2185),"""",IF(ISDATE(B2185),""X"",""""))"),"")</f>
        <v/>
      </c>
      <c r="K2185" s="40" t="str">
        <f>IFERROR(__xludf.DUMMYFUNCTION("IF(ISBLANK(B2185),"""",IF(ISDATE(B2185),H2185,""""))"),"")</f>
        <v/>
      </c>
      <c r="L2185" s="40" t="str">
        <f>IFERROR(__xludf.DUMMYFUNCTION("IF(ISBLANK(B2185),"""",IF(ISDATE(B2185),TEXT(B2185,""M""),""""))"),"")</f>
        <v/>
      </c>
      <c r="M2185" s="29" t="str">
        <f>IFERROR(__xludf.DUMMYFUNCTION("IF(L2185="""","""",QUERY({'Dashboard-Dados'!$Y$2:$AA$13},""Select Col2 Where Col1=""&amp;L2185))"),"")</f>
        <v/>
      </c>
      <c r="N2185" s="29" t="str">
        <f>IFERROR(__xludf.DUMMYFUNCTION("IF(ISBLANK(B2185),"""",IF(ISDATE(B2185),TEXT(B2185,""yyyy""),""""))"),"")</f>
        <v/>
      </c>
    </row>
    <row r="2186">
      <c r="B2186" s="89"/>
      <c r="C2186" s="86"/>
      <c r="D2186" s="71"/>
      <c r="H2186" s="90"/>
      <c r="J2186" s="53" t="str">
        <f>IFERROR(__xludf.DUMMYFUNCTION("IF(ISBLANK(B2186),"""",IF(ISDATE(B2186),""X"",""""))"),"")</f>
        <v/>
      </c>
      <c r="K2186" s="40" t="str">
        <f>IFERROR(__xludf.DUMMYFUNCTION("IF(ISBLANK(B2186),"""",IF(ISDATE(B2186),H2186,""""))"),"")</f>
        <v/>
      </c>
      <c r="L2186" s="40" t="str">
        <f>IFERROR(__xludf.DUMMYFUNCTION("IF(ISBLANK(B2186),"""",IF(ISDATE(B2186),TEXT(B2186,""M""),""""))"),"")</f>
        <v/>
      </c>
      <c r="M2186" s="29" t="str">
        <f>IFERROR(__xludf.DUMMYFUNCTION("IF(L2186="""","""",QUERY({'Dashboard-Dados'!$Y$2:$AA$13},""Select Col2 Where Col1=""&amp;L2186))"),"")</f>
        <v/>
      </c>
      <c r="N2186" s="29" t="str">
        <f>IFERROR(__xludf.DUMMYFUNCTION("IF(ISBLANK(B2186),"""",IF(ISDATE(B2186),TEXT(B2186,""yyyy""),""""))"),"")</f>
        <v/>
      </c>
    </row>
    <row r="2187">
      <c r="B2187" s="87"/>
      <c r="C2187" s="85"/>
      <c r="D2187" s="76"/>
      <c r="H2187" s="88"/>
      <c r="J2187" s="53" t="str">
        <f>IFERROR(__xludf.DUMMYFUNCTION("IF(ISBLANK(B2187),"""",IF(ISDATE(B2187),""X"",""""))"),"")</f>
        <v/>
      </c>
      <c r="K2187" s="40" t="str">
        <f>IFERROR(__xludf.DUMMYFUNCTION("IF(ISBLANK(B2187),"""",IF(ISDATE(B2187),H2187,""""))"),"")</f>
        <v/>
      </c>
      <c r="L2187" s="40" t="str">
        <f>IFERROR(__xludf.DUMMYFUNCTION("IF(ISBLANK(B2187),"""",IF(ISDATE(B2187),TEXT(B2187,""M""),""""))"),"")</f>
        <v/>
      </c>
      <c r="M2187" s="29" t="str">
        <f>IFERROR(__xludf.DUMMYFUNCTION("IF(L2187="""","""",QUERY({'Dashboard-Dados'!$Y$2:$AA$13},""Select Col2 Where Col1=""&amp;L2187))"),"")</f>
        <v/>
      </c>
      <c r="N2187" s="29" t="str">
        <f>IFERROR(__xludf.DUMMYFUNCTION("IF(ISBLANK(B2187),"""",IF(ISDATE(B2187),TEXT(B2187,""yyyy""),""""))"),"")</f>
        <v/>
      </c>
    </row>
    <row r="2188">
      <c r="B2188" s="89"/>
      <c r="C2188" s="86"/>
      <c r="D2188" s="71"/>
      <c r="H2188" s="90"/>
      <c r="J2188" s="53" t="str">
        <f>IFERROR(__xludf.DUMMYFUNCTION("IF(ISBLANK(B2188),"""",IF(ISDATE(B2188),""X"",""""))"),"")</f>
        <v/>
      </c>
      <c r="K2188" s="40" t="str">
        <f>IFERROR(__xludf.DUMMYFUNCTION("IF(ISBLANK(B2188),"""",IF(ISDATE(B2188),H2188,""""))"),"")</f>
        <v/>
      </c>
      <c r="L2188" s="40" t="str">
        <f>IFERROR(__xludf.DUMMYFUNCTION("IF(ISBLANK(B2188),"""",IF(ISDATE(B2188),TEXT(B2188,""M""),""""))"),"")</f>
        <v/>
      </c>
      <c r="M2188" s="29" t="str">
        <f>IFERROR(__xludf.DUMMYFUNCTION("IF(L2188="""","""",QUERY({'Dashboard-Dados'!$Y$2:$AA$13},""Select Col2 Where Col1=""&amp;L2188))"),"")</f>
        <v/>
      </c>
      <c r="N2188" s="29" t="str">
        <f>IFERROR(__xludf.DUMMYFUNCTION("IF(ISBLANK(B2188),"""",IF(ISDATE(B2188),TEXT(B2188,""yyyy""),""""))"),"")</f>
        <v/>
      </c>
    </row>
    <row r="2189">
      <c r="B2189" s="87"/>
      <c r="C2189" s="85"/>
      <c r="D2189" s="76"/>
      <c r="H2189" s="88"/>
      <c r="J2189" s="53" t="str">
        <f>IFERROR(__xludf.DUMMYFUNCTION("IF(ISBLANK(B2189),"""",IF(ISDATE(B2189),""X"",""""))"),"")</f>
        <v/>
      </c>
      <c r="K2189" s="40" t="str">
        <f>IFERROR(__xludf.DUMMYFUNCTION("IF(ISBLANK(B2189),"""",IF(ISDATE(B2189),H2189,""""))"),"")</f>
        <v/>
      </c>
      <c r="L2189" s="40" t="str">
        <f>IFERROR(__xludf.DUMMYFUNCTION("IF(ISBLANK(B2189),"""",IF(ISDATE(B2189),TEXT(B2189,""M""),""""))"),"")</f>
        <v/>
      </c>
      <c r="M2189" s="29" t="str">
        <f>IFERROR(__xludf.DUMMYFUNCTION("IF(L2189="""","""",QUERY({'Dashboard-Dados'!$Y$2:$AA$13},""Select Col2 Where Col1=""&amp;L2189))"),"")</f>
        <v/>
      </c>
      <c r="N2189" s="29" t="str">
        <f>IFERROR(__xludf.DUMMYFUNCTION("IF(ISBLANK(B2189),"""",IF(ISDATE(B2189),TEXT(B2189,""yyyy""),""""))"),"")</f>
        <v/>
      </c>
    </row>
    <row r="2190">
      <c r="B2190" s="89"/>
      <c r="C2190" s="86"/>
      <c r="D2190" s="71"/>
      <c r="H2190" s="90"/>
      <c r="J2190" s="53" t="str">
        <f>IFERROR(__xludf.DUMMYFUNCTION("IF(ISBLANK(B2190),"""",IF(ISDATE(B2190),""X"",""""))"),"")</f>
        <v/>
      </c>
      <c r="K2190" s="40" t="str">
        <f>IFERROR(__xludf.DUMMYFUNCTION("IF(ISBLANK(B2190),"""",IF(ISDATE(B2190),H2190,""""))"),"")</f>
        <v/>
      </c>
      <c r="L2190" s="40" t="str">
        <f>IFERROR(__xludf.DUMMYFUNCTION("IF(ISBLANK(B2190),"""",IF(ISDATE(B2190),TEXT(B2190,""M""),""""))"),"")</f>
        <v/>
      </c>
      <c r="M2190" s="29" t="str">
        <f>IFERROR(__xludf.DUMMYFUNCTION("IF(L2190="""","""",QUERY({'Dashboard-Dados'!$Y$2:$AA$13},""Select Col2 Where Col1=""&amp;L2190))"),"")</f>
        <v/>
      </c>
      <c r="N2190" s="29" t="str">
        <f>IFERROR(__xludf.DUMMYFUNCTION("IF(ISBLANK(B2190),"""",IF(ISDATE(B2190),TEXT(B2190,""yyyy""),""""))"),"")</f>
        <v/>
      </c>
    </row>
    <row r="2191">
      <c r="B2191" s="87"/>
      <c r="C2191" s="85"/>
      <c r="D2191" s="76"/>
      <c r="H2191" s="88"/>
      <c r="J2191" s="53" t="str">
        <f>IFERROR(__xludf.DUMMYFUNCTION("IF(ISBLANK(B2191),"""",IF(ISDATE(B2191),""X"",""""))"),"")</f>
        <v/>
      </c>
      <c r="K2191" s="40" t="str">
        <f>IFERROR(__xludf.DUMMYFUNCTION("IF(ISBLANK(B2191),"""",IF(ISDATE(B2191),H2191,""""))"),"")</f>
        <v/>
      </c>
      <c r="L2191" s="40" t="str">
        <f>IFERROR(__xludf.DUMMYFUNCTION("IF(ISBLANK(B2191),"""",IF(ISDATE(B2191),TEXT(B2191,""M""),""""))"),"")</f>
        <v/>
      </c>
      <c r="M2191" s="29" t="str">
        <f>IFERROR(__xludf.DUMMYFUNCTION("IF(L2191="""","""",QUERY({'Dashboard-Dados'!$Y$2:$AA$13},""Select Col2 Where Col1=""&amp;L2191))"),"")</f>
        <v/>
      </c>
      <c r="N2191" s="29" t="str">
        <f>IFERROR(__xludf.DUMMYFUNCTION("IF(ISBLANK(B2191),"""",IF(ISDATE(B2191),TEXT(B2191,""yyyy""),""""))"),"")</f>
        <v/>
      </c>
    </row>
    <row r="2192">
      <c r="B2192" s="89"/>
      <c r="C2192" s="86"/>
      <c r="D2192" s="71"/>
      <c r="H2192" s="90"/>
      <c r="J2192" s="53" t="str">
        <f>IFERROR(__xludf.DUMMYFUNCTION("IF(ISBLANK(B2192),"""",IF(ISDATE(B2192),""X"",""""))"),"")</f>
        <v/>
      </c>
      <c r="K2192" s="40" t="str">
        <f>IFERROR(__xludf.DUMMYFUNCTION("IF(ISBLANK(B2192),"""",IF(ISDATE(B2192),H2192,""""))"),"")</f>
        <v/>
      </c>
      <c r="L2192" s="40" t="str">
        <f>IFERROR(__xludf.DUMMYFUNCTION("IF(ISBLANK(B2192),"""",IF(ISDATE(B2192),TEXT(B2192,""M""),""""))"),"")</f>
        <v/>
      </c>
      <c r="M2192" s="29" t="str">
        <f>IFERROR(__xludf.DUMMYFUNCTION("IF(L2192="""","""",QUERY({'Dashboard-Dados'!$Y$2:$AA$13},""Select Col2 Where Col1=""&amp;L2192))"),"")</f>
        <v/>
      </c>
      <c r="N2192" s="29" t="str">
        <f>IFERROR(__xludf.DUMMYFUNCTION("IF(ISBLANK(B2192),"""",IF(ISDATE(B2192),TEXT(B2192,""yyyy""),""""))"),"")</f>
        <v/>
      </c>
    </row>
    <row r="2193">
      <c r="B2193" s="87"/>
      <c r="C2193" s="85"/>
      <c r="D2193" s="76"/>
      <c r="H2193" s="88"/>
      <c r="J2193" s="53" t="str">
        <f>IFERROR(__xludf.DUMMYFUNCTION("IF(ISBLANK(B2193),"""",IF(ISDATE(B2193),""X"",""""))"),"")</f>
        <v/>
      </c>
      <c r="K2193" s="40" t="str">
        <f>IFERROR(__xludf.DUMMYFUNCTION("IF(ISBLANK(B2193),"""",IF(ISDATE(B2193),H2193,""""))"),"")</f>
        <v/>
      </c>
      <c r="L2193" s="40" t="str">
        <f>IFERROR(__xludf.DUMMYFUNCTION("IF(ISBLANK(B2193),"""",IF(ISDATE(B2193),TEXT(B2193,""M""),""""))"),"")</f>
        <v/>
      </c>
      <c r="M2193" s="29" t="str">
        <f>IFERROR(__xludf.DUMMYFUNCTION("IF(L2193="""","""",QUERY({'Dashboard-Dados'!$Y$2:$AA$13},""Select Col2 Where Col1=""&amp;L2193))"),"")</f>
        <v/>
      </c>
      <c r="N2193" s="29" t="str">
        <f>IFERROR(__xludf.DUMMYFUNCTION("IF(ISBLANK(B2193),"""",IF(ISDATE(B2193),TEXT(B2193,""yyyy""),""""))"),"")</f>
        <v/>
      </c>
    </row>
    <row r="2194">
      <c r="B2194" s="89"/>
      <c r="C2194" s="86"/>
      <c r="D2194" s="71"/>
      <c r="H2194" s="90"/>
      <c r="J2194" s="53" t="str">
        <f>IFERROR(__xludf.DUMMYFUNCTION("IF(ISBLANK(B2194),"""",IF(ISDATE(B2194),""X"",""""))"),"")</f>
        <v/>
      </c>
      <c r="K2194" s="40" t="str">
        <f>IFERROR(__xludf.DUMMYFUNCTION("IF(ISBLANK(B2194),"""",IF(ISDATE(B2194),H2194,""""))"),"")</f>
        <v/>
      </c>
      <c r="L2194" s="40" t="str">
        <f>IFERROR(__xludf.DUMMYFUNCTION("IF(ISBLANK(B2194),"""",IF(ISDATE(B2194),TEXT(B2194,""M""),""""))"),"")</f>
        <v/>
      </c>
      <c r="M2194" s="29" t="str">
        <f>IFERROR(__xludf.DUMMYFUNCTION("IF(L2194="""","""",QUERY({'Dashboard-Dados'!$Y$2:$AA$13},""Select Col2 Where Col1=""&amp;L2194))"),"")</f>
        <v/>
      </c>
      <c r="N2194" s="29" t="str">
        <f>IFERROR(__xludf.DUMMYFUNCTION("IF(ISBLANK(B2194),"""",IF(ISDATE(B2194),TEXT(B2194,""yyyy""),""""))"),"")</f>
        <v/>
      </c>
    </row>
    <row r="2195">
      <c r="B2195" s="87"/>
      <c r="C2195" s="85"/>
      <c r="D2195" s="76"/>
      <c r="H2195" s="88"/>
      <c r="J2195" s="53" t="str">
        <f>IFERROR(__xludf.DUMMYFUNCTION("IF(ISBLANK(B2195),"""",IF(ISDATE(B2195),""X"",""""))"),"")</f>
        <v/>
      </c>
      <c r="K2195" s="40" t="str">
        <f>IFERROR(__xludf.DUMMYFUNCTION("IF(ISBLANK(B2195),"""",IF(ISDATE(B2195),H2195,""""))"),"")</f>
        <v/>
      </c>
      <c r="L2195" s="40" t="str">
        <f>IFERROR(__xludf.DUMMYFUNCTION("IF(ISBLANK(B2195),"""",IF(ISDATE(B2195),TEXT(B2195,""M""),""""))"),"")</f>
        <v/>
      </c>
      <c r="M2195" s="29" t="str">
        <f>IFERROR(__xludf.DUMMYFUNCTION("IF(L2195="""","""",QUERY({'Dashboard-Dados'!$Y$2:$AA$13},""Select Col2 Where Col1=""&amp;L2195))"),"")</f>
        <v/>
      </c>
      <c r="N2195" s="29" t="str">
        <f>IFERROR(__xludf.DUMMYFUNCTION("IF(ISBLANK(B2195),"""",IF(ISDATE(B2195),TEXT(B2195,""yyyy""),""""))"),"")</f>
        <v/>
      </c>
    </row>
    <row r="2196">
      <c r="B2196" s="89"/>
      <c r="C2196" s="86"/>
      <c r="D2196" s="71"/>
      <c r="H2196" s="90"/>
      <c r="J2196" s="53" t="str">
        <f>IFERROR(__xludf.DUMMYFUNCTION("IF(ISBLANK(B2196),"""",IF(ISDATE(B2196),""X"",""""))"),"")</f>
        <v/>
      </c>
      <c r="K2196" s="40" t="str">
        <f>IFERROR(__xludf.DUMMYFUNCTION("IF(ISBLANK(B2196),"""",IF(ISDATE(B2196),H2196,""""))"),"")</f>
        <v/>
      </c>
      <c r="L2196" s="40" t="str">
        <f>IFERROR(__xludf.DUMMYFUNCTION("IF(ISBLANK(B2196),"""",IF(ISDATE(B2196),TEXT(B2196,""M""),""""))"),"")</f>
        <v/>
      </c>
      <c r="M2196" s="29" t="str">
        <f>IFERROR(__xludf.DUMMYFUNCTION("IF(L2196="""","""",QUERY({'Dashboard-Dados'!$Y$2:$AA$13},""Select Col2 Where Col1=""&amp;L2196))"),"")</f>
        <v/>
      </c>
      <c r="N2196" s="29" t="str">
        <f>IFERROR(__xludf.DUMMYFUNCTION("IF(ISBLANK(B2196),"""",IF(ISDATE(B2196),TEXT(B2196,""yyyy""),""""))"),"")</f>
        <v/>
      </c>
    </row>
    <row r="2197">
      <c r="B2197" s="87"/>
      <c r="C2197" s="85"/>
      <c r="D2197" s="76"/>
      <c r="H2197" s="88"/>
      <c r="J2197" s="53" t="str">
        <f>IFERROR(__xludf.DUMMYFUNCTION("IF(ISBLANK(B2197),"""",IF(ISDATE(B2197),""X"",""""))"),"")</f>
        <v/>
      </c>
      <c r="K2197" s="40" t="str">
        <f>IFERROR(__xludf.DUMMYFUNCTION("IF(ISBLANK(B2197),"""",IF(ISDATE(B2197),H2197,""""))"),"")</f>
        <v/>
      </c>
      <c r="L2197" s="40" t="str">
        <f>IFERROR(__xludf.DUMMYFUNCTION("IF(ISBLANK(B2197),"""",IF(ISDATE(B2197),TEXT(B2197,""M""),""""))"),"")</f>
        <v/>
      </c>
      <c r="M2197" s="29" t="str">
        <f>IFERROR(__xludf.DUMMYFUNCTION("IF(L2197="""","""",QUERY({'Dashboard-Dados'!$Y$2:$AA$13},""Select Col2 Where Col1=""&amp;L2197))"),"")</f>
        <v/>
      </c>
      <c r="N2197" s="29" t="str">
        <f>IFERROR(__xludf.DUMMYFUNCTION("IF(ISBLANK(B2197),"""",IF(ISDATE(B2197),TEXT(B2197,""yyyy""),""""))"),"")</f>
        <v/>
      </c>
    </row>
    <row r="2198">
      <c r="B2198" s="89"/>
      <c r="C2198" s="86"/>
      <c r="D2198" s="71"/>
      <c r="H2198" s="90"/>
      <c r="J2198" s="53" t="str">
        <f>IFERROR(__xludf.DUMMYFUNCTION("IF(ISBLANK(B2198),"""",IF(ISDATE(B2198),""X"",""""))"),"")</f>
        <v/>
      </c>
      <c r="K2198" s="40" t="str">
        <f>IFERROR(__xludf.DUMMYFUNCTION("IF(ISBLANK(B2198),"""",IF(ISDATE(B2198),H2198,""""))"),"")</f>
        <v/>
      </c>
      <c r="L2198" s="40" t="str">
        <f>IFERROR(__xludf.DUMMYFUNCTION("IF(ISBLANK(B2198),"""",IF(ISDATE(B2198),TEXT(B2198,""M""),""""))"),"")</f>
        <v/>
      </c>
      <c r="M2198" s="29" t="str">
        <f>IFERROR(__xludf.DUMMYFUNCTION("IF(L2198="""","""",QUERY({'Dashboard-Dados'!$Y$2:$AA$13},""Select Col2 Where Col1=""&amp;L2198))"),"")</f>
        <v/>
      </c>
      <c r="N2198" s="29" t="str">
        <f>IFERROR(__xludf.DUMMYFUNCTION("IF(ISBLANK(B2198),"""",IF(ISDATE(B2198),TEXT(B2198,""yyyy""),""""))"),"")</f>
        <v/>
      </c>
    </row>
    <row r="2199">
      <c r="B2199" s="87"/>
      <c r="C2199" s="85"/>
      <c r="D2199" s="76"/>
      <c r="H2199" s="88"/>
      <c r="J2199" s="53" t="str">
        <f>IFERROR(__xludf.DUMMYFUNCTION("IF(ISBLANK(B2199),"""",IF(ISDATE(B2199),""X"",""""))"),"")</f>
        <v/>
      </c>
      <c r="K2199" s="40" t="str">
        <f>IFERROR(__xludf.DUMMYFUNCTION("IF(ISBLANK(B2199),"""",IF(ISDATE(B2199),H2199,""""))"),"")</f>
        <v/>
      </c>
      <c r="L2199" s="40" t="str">
        <f>IFERROR(__xludf.DUMMYFUNCTION("IF(ISBLANK(B2199),"""",IF(ISDATE(B2199),TEXT(B2199,""M""),""""))"),"")</f>
        <v/>
      </c>
      <c r="M2199" s="29" t="str">
        <f>IFERROR(__xludf.DUMMYFUNCTION("IF(L2199="""","""",QUERY({'Dashboard-Dados'!$Y$2:$AA$13},""Select Col2 Where Col1=""&amp;L2199))"),"")</f>
        <v/>
      </c>
      <c r="N2199" s="29" t="str">
        <f>IFERROR(__xludf.DUMMYFUNCTION("IF(ISBLANK(B2199),"""",IF(ISDATE(B2199),TEXT(B2199,""yyyy""),""""))"),"")</f>
        <v/>
      </c>
    </row>
    <row r="2200">
      <c r="B2200" s="89"/>
      <c r="C2200" s="86"/>
      <c r="D2200" s="71"/>
      <c r="H2200" s="90"/>
      <c r="J2200" s="53" t="str">
        <f>IFERROR(__xludf.DUMMYFUNCTION("IF(ISBLANK(B2200),"""",IF(ISDATE(B2200),""X"",""""))"),"")</f>
        <v/>
      </c>
      <c r="K2200" s="40" t="str">
        <f>IFERROR(__xludf.DUMMYFUNCTION("IF(ISBLANK(B2200),"""",IF(ISDATE(B2200),H2200,""""))"),"")</f>
        <v/>
      </c>
      <c r="L2200" s="40" t="str">
        <f>IFERROR(__xludf.DUMMYFUNCTION("IF(ISBLANK(B2200),"""",IF(ISDATE(B2200),TEXT(B2200,""M""),""""))"),"")</f>
        <v/>
      </c>
      <c r="M2200" s="29" t="str">
        <f>IFERROR(__xludf.DUMMYFUNCTION("IF(L2200="""","""",QUERY({'Dashboard-Dados'!$Y$2:$AA$13},""Select Col2 Where Col1=""&amp;L2200))"),"")</f>
        <v/>
      </c>
      <c r="N2200" s="29" t="str">
        <f>IFERROR(__xludf.DUMMYFUNCTION("IF(ISBLANK(B2200),"""",IF(ISDATE(B2200),TEXT(B2200,""yyyy""),""""))"),"")</f>
        <v/>
      </c>
    </row>
    <row r="2201">
      <c r="B2201" s="87"/>
      <c r="C2201" s="85"/>
      <c r="D2201" s="76"/>
      <c r="H2201" s="88"/>
      <c r="J2201" s="53" t="str">
        <f>IFERROR(__xludf.DUMMYFUNCTION("IF(ISBLANK(B2201),"""",IF(ISDATE(B2201),""X"",""""))"),"")</f>
        <v/>
      </c>
      <c r="K2201" s="40" t="str">
        <f>IFERROR(__xludf.DUMMYFUNCTION("IF(ISBLANK(B2201),"""",IF(ISDATE(B2201),H2201,""""))"),"")</f>
        <v/>
      </c>
      <c r="L2201" s="40" t="str">
        <f>IFERROR(__xludf.DUMMYFUNCTION("IF(ISBLANK(B2201),"""",IF(ISDATE(B2201),TEXT(B2201,""M""),""""))"),"")</f>
        <v/>
      </c>
      <c r="M2201" s="29" t="str">
        <f>IFERROR(__xludf.DUMMYFUNCTION("IF(L2201="""","""",QUERY({'Dashboard-Dados'!$Y$2:$AA$13},""Select Col2 Where Col1=""&amp;L2201))"),"")</f>
        <v/>
      </c>
      <c r="N2201" s="29" t="str">
        <f>IFERROR(__xludf.DUMMYFUNCTION("IF(ISBLANK(B2201),"""",IF(ISDATE(B2201),TEXT(B2201,""yyyy""),""""))"),"")</f>
        <v/>
      </c>
    </row>
    <row r="2202">
      <c r="B2202" s="89"/>
      <c r="C2202" s="86"/>
      <c r="D2202" s="71"/>
      <c r="H2202" s="90"/>
      <c r="J2202" s="53" t="str">
        <f>IFERROR(__xludf.DUMMYFUNCTION("IF(ISBLANK(B2202),"""",IF(ISDATE(B2202),""X"",""""))"),"")</f>
        <v/>
      </c>
      <c r="K2202" s="40" t="str">
        <f>IFERROR(__xludf.DUMMYFUNCTION("IF(ISBLANK(B2202),"""",IF(ISDATE(B2202),H2202,""""))"),"")</f>
        <v/>
      </c>
      <c r="L2202" s="40" t="str">
        <f>IFERROR(__xludf.DUMMYFUNCTION("IF(ISBLANK(B2202),"""",IF(ISDATE(B2202),TEXT(B2202,""M""),""""))"),"")</f>
        <v/>
      </c>
      <c r="M2202" s="29" t="str">
        <f>IFERROR(__xludf.DUMMYFUNCTION("IF(L2202="""","""",QUERY({'Dashboard-Dados'!$Y$2:$AA$13},""Select Col2 Where Col1=""&amp;L2202))"),"")</f>
        <v/>
      </c>
      <c r="N2202" s="29" t="str">
        <f>IFERROR(__xludf.DUMMYFUNCTION("IF(ISBLANK(B2202),"""",IF(ISDATE(B2202),TEXT(B2202,""yyyy""),""""))"),"")</f>
        <v/>
      </c>
    </row>
    <row r="2203">
      <c r="B2203" s="87"/>
      <c r="C2203" s="85"/>
      <c r="D2203" s="76"/>
      <c r="H2203" s="88"/>
      <c r="J2203" s="53" t="str">
        <f>IFERROR(__xludf.DUMMYFUNCTION("IF(ISBLANK(B2203),"""",IF(ISDATE(B2203),""X"",""""))"),"")</f>
        <v/>
      </c>
      <c r="K2203" s="40" t="str">
        <f>IFERROR(__xludf.DUMMYFUNCTION("IF(ISBLANK(B2203),"""",IF(ISDATE(B2203),H2203,""""))"),"")</f>
        <v/>
      </c>
      <c r="L2203" s="40" t="str">
        <f>IFERROR(__xludf.DUMMYFUNCTION("IF(ISBLANK(B2203),"""",IF(ISDATE(B2203),TEXT(B2203,""M""),""""))"),"")</f>
        <v/>
      </c>
      <c r="M2203" s="29" t="str">
        <f>IFERROR(__xludf.DUMMYFUNCTION("IF(L2203="""","""",QUERY({'Dashboard-Dados'!$Y$2:$AA$13},""Select Col2 Where Col1=""&amp;L2203))"),"")</f>
        <v/>
      </c>
      <c r="N2203" s="29" t="str">
        <f>IFERROR(__xludf.DUMMYFUNCTION("IF(ISBLANK(B2203),"""",IF(ISDATE(B2203),TEXT(B2203,""yyyy""),""""))"),"")</f>
        <v/>
      </c>
    </row>
    <row r="2204">
      <c r="B2204" s="89"/>
      <c r="C2204" s="86"/>
      <c r="D2204" s="71"/>
      <c r="H2204" s="90"/>
      <c r="J2204" s="53" t="str">
        <f>IFERROR(__xludf.DUMMYFUNCTION("IF(ISBLANK(B2204),"""",IF(ISDATE(B2204),""X"",""""))"),"")</f>
        <v/>
      </c>
      <c r="K2204" s="40" t="str">
        <f>IFERROR(__xludf.DUMMYFUNCTION("IF(ISBLANK(B2204),"""",IF(ISDATE(B2204),H2204,""""))"),"")</f>
        <v/>
      </c>
      <c r="L2204" s="40" t="str">
        <f>IFERROR(__xludf.DUMMYFUNCTION("IF(ISBLANK(B2204),"""",IF(ISDATE(B2204),TEXT(B2204,""M""),""""))"),"")</f>
        <v/>
      </c>
      <c r="M2204" s="29" t="str">
        <f>IFERROR(__xludf.DUMMYFUNCTION("IF(L2204="""","""",QUERY({'Dashboard-Dados'!$Y$2:$AA$13},""Select Col2 Where Col1=""&amp;L2204))"),"")</f>
        <v/>
      </c>
      <c r="N2204" s="29" t="str">
        <f>IFERROR(__xludf.DUMMYFUNCTION("IF(ISBLANK(B2204),"""",IF(ISDATE(B2204),TEXT(B2204,""yyyy""),""""))"),"")</f>
        <v/>
      </c>
    </row>
    <row r="2205">
      <c r="B2205" s="87"/>
      <c r="C2205" s="85"/>
      <c r="D2205" s="76"/>
      <c r="H2205" s="88"/>
      <c r="J2205" s="53" t="str">
        <f>IFERROR(__xludf.DUMMYFUNCTION("IF(ISBLANK(B2205),"""",IF(ISDATE(B2205),""X"",""""))"),"")</f>
        <v/>
      </c>
      <c r="K2205" s="40" t="str">
        <f>IFERROR(__xludf.DUMMYFUNCTION("IF(ISBLANK(B2205),"""",IF(ISDATE(B2205),H2205,""""))"),"")</f>
        <v/>
      </c>
      <c r="L2205" s="40" t="str">
        <f>IFERROR(__xludf.DUMMYFUNCTION("IF(ISBLANK(B2205),"""",IF(ISDATE(B2205),TEXT(B2205,""M""),""""))"),"")</f>
        <v/>
      </c>
      <c r="M2205" s="29" t="str">
        <f>IFERROR(__xludf.DUMMYFUNCTION("IF(L2205="""","""",QUERY({'Dashboard-Dados'!$Y$2:$AA$13},""Select Col2 Where Col1=""&amp;L2205))"),"")</f>
        <v/>
      </c>
      <c r="N2205" s="29" t="str">
        <f>IFERROR(__xludf.DUMMYFUNCTION("IF(ISBLANK(B2205),"""",IF(ISDATE(B2205),TEXT(B2205,""yyyy""),""""))"),"")</f>
        <v/>
      </c>
    </row>
    <row r="2206">
      <c r="B2206" s="89"/>
      <c r="C2206" s="86"/>
      <c r="D2206" s="71"/>
      <c r="H2206" s="90"/>
      <c r="J2206" s="53" t="str">
        <f>IFERROR(__xludf.DUMMYFUNCTION("IF(ISBLANK(B2206),"""",IF(ISDATE(B2206),""X"",""""))"),"")</f>
        <v/>
      </c>
      <c r="K2206" s="40" t="str">
        <f>IFERROR(__xludf.DUMMYFUNCTION("IF(ISBLANK(B2206),"""",IF(ISDATE(B2206),H2206,""""))"),"")</f>
        <v/>
      </c>
      <c r="L2206" s="40" t="str">
        <f>IFERROR(__xludf.DUMMYFUNCTION("IF(ISBLANK(B2206),"""",IF(ISDATE(B2206),TEXT(B2206,""M""),""""))"),"")</f>
        <v/>
      </c>
      <c r="M2206" s="29" t="str">
        <f>IFERROR(__xludf.DUMMYFUNCTION("IF(L2206="""","""",QUERY({'Dashboard-Dados'!$Y$2:$AA$13},""Select Col2 Where Col1=""&amp;L2206))"),"")</f>
        <v/>
      </c>
      <c r="N2206" s="29" t="str">
        <f>IFERROR(__xludf.DUMMYFUNCTION("IF(ISBLANK(B2206),"""",IF(ISDATE(B2206),TEXT(B2206,""yyyy""),""""))"),"")</f>
        <v/>
      </c>
    </row>
    <row r="2207">
      <c r="B2207" s="87"/>
      <c r="C2207" s="85"/>
      <c r="D2207" s="76"/>
      <c r="H2207" s="88"/>
      <c r="J2207" s="53" t="str">
        <f>IFERROR(__xludf.DUMMYFUNCTION("IF(ISBLANK(B2207),"""",IF(ISDATE(B2207),""X"",""""))"),"")</f>
        <v/>
      </c>
      <c r="K2207" s="40" t="str">
        <f>IFERROR(__xludf.DUMMYFUNCTION("IF(ISBLANK(B2207),"""",IF(ISDATE(B2207),H2207,""""))"),"")</f>
        <v/>
      </c>
      <c r="L2207" s="40" t="str">
        <f>IFERROR(__xludf.DUMMYFUNCTION("IF(ISBLANK(B2207),"""",IF(ISDATE(B2207),TEXT(B2207,""M""),""""))"),"")</f>
        <v/>
      </c>
      <c r="M2207" s="29" t="str">
        <f>IFERROR(__xludf.DUMMYFUNCTION("IF(L2207="""","""",QUERY({'Dashboard-Dados'!$Y$2:$AA$13},""Select Col2 Where Col1=""&amp;L2207))"),"")</f>
        <v/>
      </c>
      <c r="N2207" s="29" t="str">
        <f>IFERROR(__xludf.DUMMYFUNCTION("IF(ISBLANK(B2207),"""",IF(ISDATE(B2207),TEXT(B2207,""yyyy""),""""))"),"")</f>
        <v/>
      </c>
    </row>
    <row r="2208">
      <c r="B2208" s="89"/>
      <c r="C2208" s="86"/>
      <c r="D2208" s="71"/>
      <c r="H2208" s="90"/>
      <c r="J2208" s="53" t="str">
        <f>IFERROR(__xludf.DUMMYFUNCTION("IF(ISBLANK(B2208),"""",IF(ISDATE(B2208),""X"",""""))"),"")</f>
        <v/>
      </c>
      <c r="K2208" s="40" t="str">
        <f>IFERROR(__xludf.DUMMYFUNCTION("IF(ISBLANK(B2208),"""",IF(ISDATE(B2208),H2208,""""))"),"")</f>
        <v/>
      </c>
      <c r="L2208" s="40" t="str">
        <f>IFERROR(__xludf.DUMMYFUNCTION("IF(ISBLANK(B2208),"""",IF(ISDATE(B2208),TEXT(B2208,""M""),""""))"),"")</f>
        <v/>
      </c>
      <c r="M2208" s="29" t="str">
        <f>IFERROR(__xludf.DUMMYFUNCTION("IF(L2208="""","""",QUERY({'Dashboard-Dados'!$Y$2:$AA$13},""Select Col2 Where Col1=""&amp;L2208))"),"")</f>
        <v/>
      </c>
      <c r="N2208" s="29" t="str">
        <f>IFERROR(__xludf.DUMMYFUNCTION("IF(ISBLANK(B2208),"""",IF(ISDATE(B2208),TEXT(B2208,""yyyy""),""""))"),"")</f>
        <v/>
      </c>
    </row>
    <row r="2209">
      <c r="B2209" s="87"/>
      <c r="C2209" s="85"/>
      <c r="D2209" s="76"/>
      <c r="H2209" s="88"/>
      <c r="J2209" s="53" t="str">
        <f>IFERROR(__xludf.DUMMYFUNCTION("IF(ISBLANK(B2209),"""",IF(ISDATE(B2209),""X"",""""))"),"")</f>
        <v/>
      </c>
      <c r="K2209" s="40" t="str">
        <f>IFERROR(__xludf.DUMMYFUNCTION("IF(ISBLANK(B2209),"""",IF(ISDATE(B2209),H2209,""""))"),"")</f>
        <v/>
      </c>
      <c r="L2209" s="40" t="str">
        <f>IFERROR(__xludf.DUMMYFUNCTION("IF(ISBLANK(B2209),"""",IF(ISDATE(B2209),TEXT(B2209,""M""),""""))"),"")</f>
        <v/>
      </c>
      <c r="M2209" s="29" t="str">
        <f>IFERROR(__xludf.DUMMYFUNCTION("IF(L2209="""","""",QUERY({'Dashboard-Dados'!$Y$2:$AA$13},""Select Col2 Where Col1=""&amp;L2209))"),"")</f>
        <v/>
      </c>
      <c r="N2209" s="29" t="str">
        <f>IFERROR(__xludf.DUMMYFUNCTION("IF(ISBLANK(B2209),"""",IF(ISDATE(B2209),TEXT(B2209,""yyyy""),""""))"),"")</f>
        <v/>
      </c>
    </row>
    <row r="2210">
      <c r="B2210" s="89"/>
      <c r="C2210" s="86"/>
      <c r="D2210" s="71"/>
      <c r="H2210" s="90"/>
      <c r="J2210" s="53" t="str">
        <f>IFERROR(__xludf.DUMMYFUNCTION("IF(ISBLANK(B2210),"""",IF(ISDATE(B2210),""X"",""""))"),"")</f>
        <v/>
      </c>
      <c r="K2210" s="40" t="str">
        <f>IFERROR(__xludf.DUMMYFUNCTION("IF(ISBLANK(B2210),"""",IF(ISDATE(B2210),H2210,""""))"),"")</f>
        <v/>
      </c>
      <c r="L2210" s="40" t="str">
        <f>IFERROR(__xludf.DUMMYFUNCTION("IF(ISBLANK(B2210),"""",IF(ISDATE(B2210),TEXT(B2210,""M""),""""))"),"")</f>
        <v/>
      </c>
      <c r="M2210" s="29" t="str">
        <f>IFERROR(__xludf.DUMMYFUNCTION("IF(L2210="""","""",QUERY({'Dashboard-Dados'!$Y$2:$AA$13},""Select Col2 Where Col1=""&amp;L2210))"),"")</f>
        <v/>
      </c>
      <c r="N2210" s="29" t="str">
        <f>IFERROR(__xludf.DUMMYFUNCTION("IF(ISBLANK(B2210),"""",IF(ISDATE(B2210),TEXT(B2210,""yyyy""),""""))"),"")</f>
        <v/>
      </c>
    </row>
    <row r="2211">
      <c r="B2211" s="87"/>
      <c r="C2211" s="85"/>
      <c r="D2211" s="76"/>
      <c r="H2211" s="88"/>
      <c r="J2211" s="53" t="str">
        <f>IFERROR(__xludf.DUMMYFUNCTION("IF(ISBLANK(B2211),"""",IF(ISDATE(B2211),""X"",""""))"),"")</f>
        <v/>
      </c>
      <c r="K2211" s="40" t="str">
        <f>IFERROR(__xludf.DUMMYFUNCTION("IF(ISBLANK(B2211),"""",IF(ISDATE(B2211),H2211,""""))"),"")</f>
        <v/>
      </c>
      <c r="L2211" s="40" t="str">
        <f>IFERROR(__xludf.DUMMYFUNCTION("IF(ISBLANK(B2211),"""",IF(ISDATE(B2211),TEXT(B2211,""M""),""""))"),"")</f>
        <v/>
      </c>
      <c r="M2211" s="29" t="str">
        <f>IFERROR(__xludf.DUMMYFUNCTION("IF(L2211="""","""",QUERY({'Dashboard-Dados'!$Y$2:$AA$13},""Select Col2 Where Col1=""&amp;L2211))"),"")</f>
        <v/>
      </c>
      <c r="N2211" s="29" t="str">
        <f>IFERROR(__xludf.DUMMYFUNCTION("IF(ISBLANK(B2211),"""",IF(ISDATE(B2211),TEXT(B2211,""yyyy""),""""))"),"")</f>
        <v/>
      </c>
    </row>
    <row r="2212">
      <c r="B2212" s="89"/>
      <c r="C2212" s="86"/>
      <c r="D2212" s="71"/>
      <c r="H2212" s="90"/>
      <c r="J2212" s="53" t="str">
        <f>IFERROR(__xludf.DUMMYFUNCTION("IF(ISBLANK(B2212),"""",IF(ISDATE(B2212),""X"",""""))"),"")</f>
        <v/>
      </c>
      <c r="K2212" s="40" t="str">
        <f>IFERROR(__xludf.DUMMYFUNCTION("IF(ISBLANK(B2212),"""",IF(ISDATE(B2212),H2212,""""))"),"")</f>
        <v/>
      </c>
      <c r="L2212" s="40" t="str">
        <f>IFERROR(__xludf.DUMMYFUNCTION("IF(ISBLANK(B2212),"""",IF(ISDATE(B2212),TEXT(B2212,""M""),""""))"),"")</f>
        <v/>
      </c>
      <c r="M2212" s="29" t="str">
        <f>IFERROR(__xludf.DUMMYFUNCTION("IF(L2212="""","""",QUERY({'Dashboard-Dados'!$Y$2:$AA$13},""Select Col2 Where Col1=""&amp;L2212))"),"")</f>
        <v/>
      </c>
      <c r="N2212" s="29" t="str">
        <f>IFERROR(__xludf.DUMMYFUNCTION("IF(ISBLANK(B2212),"""",IF(ISDATE(B2212),TEXT(B2212,""yyyy""),""""))"),"")</f>
        <v/>
      </c>
    </row>
    <row r="2213">
      <c r="B2213" s="87"/>
      <c r="C2213" s="85"/>
      <c r="D2213" s="76"/>
      <c r="H2213" s="88"/>
      <c r="J2213" s="53" t="str">
        <f>IFERROR(__xludf.DUMMYFUNCTION("IF(ISBLANK(B2213),"""",IF(ISDATE(B2213),""X"",""""))"),"")</f>
        <v/>
      </c>
      <c r="K2213" s="40" t="str">
        <f>IFERROR(__xludf.DUMMYFUNCTION("IF(ISBLANK(B2213),"""",IF(ISDATE(B2213),H2213,""""))"),"")</f>
        <v/>
      </c>
      <c r="L2213" s="40" t="str">
        <f>IFERROR(__xludf.DUMMYFUNCTION("IF(ISBLANK(B2213),"""",IF(ISDATE(B2213),TEXT(B2213,""M""),""""))"),"")</f>
        <v/>
      </c>
      <c r="M2213" s="29" t="str">
        <f>IFERROR(__xludf.DUMMYFUNCTION("IF(L2213="""","""",QUERY({'Dashboard-Dados'!$Y$2:$AA$13},""Select Col2 Where Col1=""&amp;L2213))"),"")</f>
        <v/>
      </c>
      <c r="N2213" s="29" t="str">
        <f>IFERROR(__xludf.DUMMYFUNCTION("IF(ISBLANK(B2213),"""",IF(ISDATE(B2213),TEXT(B2213,""yyyy""),""""))"),"")</f>
        <v/>
      </c>
    </row>
    <row r="2214">
      <c r="B2214" s="89"/>
      <c r="C2214" s="86"/>
      <c r="D2214" s="71"/>
      <c r="H2214" s="90"/>
      <c r="J2214" s="53" t="str">
        <f>IFERROR(__xludf.DUMMYFUNCTION("IF(ISBLANK(B2214),"""",IF(ISDATE(B2214),""X"",""""))"),"")</f>
        <v/>
      </c>
      <c r="K2214" s="40" t="str">
        <f>IFERROR(__xludf.DUMMYFUNCTION("IF(ISBLANK(B2214),"""",IF(ISDATE(B2214),H2214,""""))"),"")</f>
        <v/>
      </c>
      <c r="L2214" s="40" t="str">
        <f>IFERROR(__xludf.DUMMYFUNCTION("IF(ISBLANK(B2214),"""",IF(ISDATE(B2214),TEXT(B2214,""M""),""""))"),"")</f>
        <v/>
      </c>
      <c r="M2214" s="29" t="str">
        <f>IFERROR(__xludf.DUMMYFUNCTION("IF(L2214="""","""",QUERY({'Dashboard-Dados'!$Y$2:$AA$13},""Select Col2 Where Col1=""&amp;L2214))"),"")</f>
        <v/>
      </c>
      <c r="N2214" s="29" t="str">
        <f>IFERROR(__xludf.DUMMYFUNCTION("IF(ISBLANK(B2214),"""",IF(ISDATE(B2214),TEXT(B2214,""yyyy""),""""))"),"")</f>
        <v/>
      </c>
    </row>
    <row r="2215">
      <c r="B2215" s="87"/>
      <c r="C2215" s="85"/>
      <c r="D2215" s="76"/>
      <c r="H2215" s="88"/>
      <c r="J2215" s="53" t="str">
        <f>IFERROR(__xludf.DUMMYFUNCTION("IF(ISBLANK(B2215),"""",IF(ISDATE(B2215),""X"",""""))"),"")</f>
        <v/>
      </c>
      <c r="K2215" s="40" t="str">
        <f>IFERROR(__xludf.DUMMYFUNCTION("IF(ISBLANK(B2215),"""",IF(ISDATE(B2215),H2215,""""))"),"")</f>
        <v/>
      </c>
      <c r="L2215" s="40" t="str">
        <f>IFERROR(__xludf.DUMMYFUNCTION("IF(ISBLANK(B2215),"""",IF(ISDATE(B2215),TEXT(B2215,""M""),""""))"),"")</f>
        <v/>
      </c>
      <c r="M2215" s="29" t="str">
        <f>IFERROR(__xludf.DUMMYFUNCTION("IF(L2215="""","""",QUERY({'Dashboard-Dados'!$Y$2:$AA$13},""Select Col2 Where Col1=""&amp;L2215))"),"")</f>
        <v/>
      </c>
      <c r="N2215" s="29" t="str">
        <f>IFERROR(__xludf.DUMMYFUNCTION("IF(ISBLANK(B2215),"""",IF(ISDATE(B2215),TEXT(B2215,""yyyy""),""""))"),"")</f>
        <v/>
      </c>
    </row>
    <row r="2216">
      <c r="B2216" s="89"/>
      <c r="C2216" s="86"/>
      <c r="D2216" s="71"/>
      <c r="H2216" s="90"/>
      <c r="J2216" s="53" t="str">
        <f>IFERROR(__xludf.DUMMYFUNCTION("IF(ISBLANK(B2216),"""",IF(ISDATE(B2216),""X"",""""))"),"")</f>
        <v/>
      </c>
      <c r="K2216" s="40" t="str">
        <f>IFERROR(__xludf.DUMMYFUNCTION("IF(ISBLANK(B2216),"""",IF(ISDATE(B2216),H2216,""""))"),"")</f>
        <v/>
      </c>
      <c r="L2216" s="40" t="str">
        <f>IFERROR(__xludf.DUMMYFUNCTION("IF(ISBLANK(B2216),"""",IF(ISDATE(B2216),TEXT(B2216,""M""),""""))"),"")</f>
        <v/>
      </c>
      <c r="M2216" s="29" t="str">
        <f>IFERROR(__xludf.DUMMYFUNCTION("IF(L2216="""","""",QUERY({'Dashboard-Dados'!$Y$2:$AA$13},""Select Col2 Where Col1=""&amp;L2216))"),"")</f>
        <v/>
      </c>
      <c r="N2216" s="29" t="str">
        <f>IFERROR(__xludf.DUMMYFUNCTION("IF(ISBLANK(B2216),"""",IF(ISDATE(B2216),TEXT(B2216,""yyyy""),""""))"),"")</f>
        <v/>
      </c>
    </row>
    <row r="2217">
      <c r="B2217" s="87"/>
      <c r="C2217" s="85"/>
      <c r="D2217" s="76"/>
      <c r="H2217" s="88"/>
      <c r="J2217" s="53" t="str">
        <f>IFERROR(__xludf.DUMMYFUNCTION("IF(ISBLANK(B2217),"""",IF(ISDATE(B2217),""X"",""""))"),"")</f>
        <v/>
      </c>
      <c r="K2217" s="40" t="str">
        <f>IFERROR(__xludf.DUMMYFUNCTION("IF(ISBLANK(B2217),"""",IF(ISDATE(B2217),H2217,""""))"),"")</f>
        <v/>
      </c>
      <c r="L2217" s="40" t="str">
        <f>IFERROR(__xludf.DUMMYFUNCTION("IF(ISBLANK(B2217),"""",IF(ISDATE(B2217),TEXT(B2217,""M""),""""))"),"")</f>
        <v/>
      </c>
      <c r="M2217" s="29" t="str">
        <f>IFERROR(__xludf.DUMMYFUNCTION("IF(L2217="""","""",QUERY({'Dashboard-Dados'!$Y$2:$AA$13},""Select Col2 Where Col1=""&amp;L2217))"),"")</f>
        <v/>
      </c>
      <c r="N2217" s="29" t="str">
        <f>IFERROR(__xludf.DUMMYFUNCTION("IF(ISBLANK(B2217),"""",IF(ISDATE(B2217),TEXT(B2217,""yyyy""),""""))"),"")</f>
        <v/>
      </c>
    </row>
    <row r="2218">
      <c r="B2218" s="89"/>
      <c r="C2218" s="86"/>
      <c r="D2218" s="71"/>
      <c r="H2218" s="90"/>
      <c r="J2218" s="53" t="str">
        <f>IFERROR(__xludf.DUMMYFUNCTION("IF(ISBLANK(B2218),"""",IF(ISDATE(B2218),""X"",""""))"),"")</f>
        <v/>
      </c>
      <c r="K2218" s="40" t="str">
        <f>IFERROR(__xludf.DUMMYFUNCTION("IF(ISBLANK(B2218),"""",IF(ISDATE(B2218),H2218,""""))"),"")</f>
        <v/>
      </c>
      <c r="L2218" s="40" t="str">
        <f>IFERROR(__xludf.DUMMYFUNCTION("IF(ISBLANK(B2218),"""",IF(ISDATE(B2218),TEXT(B2218,""M""),""""))"),"")</f>
        <v/>
      </c>
      <c r="M2218" s="29" t="str">
        <f>IFERROR(__xludf.DUMMYFUNCTION("IF(L2218="""","""",QUERY({'Dashboard-Dados'!$Y$2:$AA$13},""Select Col2 Where Col1=""&amp;L2218))"),"")</f>
        <v/>
      </c>
      <c r="N2218" s="29" t="str">
        <f>IFERROR(__xludf.DUMMYFUNCTION("IF(ISBLANK(B2218),"""",IF(ISDATE(B2218),TEXT(B2218,""yyyy""),""""))"),"")</f>
        <v/>
      </c>
    </row>
    <row r="2219">
      <c r="B2219" s="87"/>
      <c r="C2219" s="85"/>
      <c r="D2219" s="76"/>
      <c r="H2219" s="88"/>
      <c r="J2219" s="53" t="str">
        <f>IFERROR(__xludf.DUMMYFUNCTION("IF(ISBLANK(B2219),"""",IF(ISDATE(B2219),""X"",""""))"),"")</f>
        <v/>
      </c>
      <c r="K2219" s="40" t="str">
        <f>IFERROR(__xludf.DUMMYFUNCTION("IF(ISBLANK(B2219),"""",IF(ISDATE(B2219),H2219,""""))"),"")</f>
        <v/>
      </c>
      <c r="L2219" s="40" t="str">
        <f>IFERROR(__xludf.DUMMYFUNCTION("IF(ISBLANK(B2219),"""",IF(ISDATE(B2219),TEXT(B2219,""M""),""""))"),"")</f>
        <v/>
      </c>
      <c r="M2219" s="29" t="str">
        <f>IFERROR(__xludf.DUMMYFUNCTION("IF(L2219="""","""",QUERY({'Dashboard-Dados'!$Y$2:$AA$13},""Select Col2 Where Col1=""&amp;L2219))"),"")</f>
        <v/>
      </c>
      <c r="N2219" s="29" t="str">
        <f>IFERROR(__xludf.DUMMYFUNCTION("IF(ISBLANK(B2219),"""",IF(ISDATE(B2219),TEXT(B2219,""yyyy""),""""))"),"")</f>
        <v/>
      </c>
    </row>
    <row r="2220">
      <c r="B2220" s="89"/>
      <c r="C2220" s="86"/>
      <c r="D2220" s="71"/>
      <c r="H2220" s="90"/>
      <c r="J2220" s="53" t="str">
        <f>IFERROR(__xludf.DUMMYFUNCTION("IF(ISBLANK(B2220),"""",IF(ISDATE(B2220),""X"",""""))"),"")</f>
        <v/>
      </c>
      <c r="K2220" s="40" t="str">
        <f>IFERROR(__xludf.DUMMYFUNCTION("IF(ISBLANK(B2220),"""",IF(ISDATE(B2220),H2220,""""))"),"")</f>
        <v/>
      </c>
      <c r="L2220" s="40" t="str">
        <f>IFERROR(__xludf.DUMMYFUNCTION("IF(ISBLANK(B2220),"""",IF(ISDATE(B2220),TEXT(B2220,""M""),""""))"),"")</f>
        <v/>
      </c>
      <c r="M2220" s="29" t="str">
        <f>IFERROR(__xludf.DUMMYFUNCTION("IF(L2220="""","""",QUERY({'Dashboard-Dados'!$Y$2:$AA$13},""Select Col2 Where Col1=""&amp;L2220))"),"")</f>
        <v/>
      </c>
      <c r="N2220" s="29" t="str">
        <f>IFERROR(__xludf.DUMMYFUNCTION("IF(ISBLANK(B2220),"""",IF(ISDATE(B2220),TEXT(B2220,""yyyy""),""""))"),"")</f>
        <v/>
      </c>
    </row>
    <row r="2221">
      <c r="B2221" s="87"/>
      <c r="C2221" s="85"/>
      <c r="D2221" s="76"/>
      <c r="H2221" s="88"/>
      <c r="J2221" s="53" t="str">
        <f>IFERROR(__xludf.DUMMYFUNCTION("IF(ISBLANK(B2221),"""",IF(ISDATE(B2221),""X"",""""))"),"")</f>
        <v/>
      </c>
      <c r="K2221" s="40" t="str">
        <f>IFERROR(__xludf.DUMMYFUNCTION("IF(ISBLANK(B2221),"""",IF(ISDATE(B2221),H2221,""""))"),"")</f>
        <v/>
      </c>
      <c r="L2221" s="40" t="str">
        <f>IFERROR(__xludf.DUMMYFUNCTION("IF(ISBLANK(B2221),"""",IF(ISDATE(B2221),TEXT(B2221,""M""),""""))"),"")</f>
        <v/>
      </c>
      <c r="M2221" s="29" t="str">
        <f>IFERROR(__xludf.DUMMYFUNCTION("IF(L2221="""","""",QUERY({'Dashboard-Dados'!$Y$2:$AA$13},""Select Col2 Where Col1=""&amp;L2221))"),"")</f>
        <v/>
      </c>
      <c r="N2221" s="29" t="str">
        <f>IFERROR(__xludf.DUMMYFUNCTION("IF(ISBLANK(B2221),"""",IF(ISDATE(B2221),TEXT(B2221,""yyyy""),""""))"),"")</f>
        <v/>
      </c>
    </row>
    <row r="2222">
      <c r="B2222" s="89"/>
      <c r="C2222" s="86"/>
      <c r="D2222" s="71"/>
      <c r="H2222" s="90"/>
      <c r="J2222" s="53" t="str">
        <f>IFERROR(__xludf.DUMMYFUNCTION("IF(ISBLANK(B2222),"""",IF(ISDATE(B2222),""X"",""""))"),"")</f>
        <v/>
      </c>
      <c r="K2222" s="40" t="str">
        <f>IFERROR(__xludf.DUMMYFUNCTION("IF(ISBLANK(B2222),"""",IF(ISDATE(B2222),H2222,""""))"),"")</f>
        <v/>
      </c>
      <c r="L2222" s="40" t="str">
        <f>IFERROR(__xludf.DUMMYFUNCTION("IF(ISBLANK(B2222),"""",IF(ISDATE(B2222),TEXT(B2222,""M""),""""))"),"")</f>
        <v/>
      </c>
      <c r="M2222" s="29" t="str">
        <f>IFERROR(__xludf.DUMMYFUNCTION("IF(L2222="""","""",QUERY({'Dashboard-Dados'!$Y$2:$AA$13},""Select Col2 Where Col1=""&amp;L2222))"),"")</f>
        <v/>
      </c>
      <c r="N2222" s="29" t="str">
        <f>IFERROR(__xludf.DUMMYFUNCTION("IF(ISBLANK(B2222),"""",IF(ISDATE(B2222),TEXT(B2222,""yyyy""),""""))"),"")</f>
        <v/>
      </c>
    </row>
    <row r="2223">
      <c r="B2223" s="87"/>
      <c r="C2223" s="85"/>
      <c r="D2223" s="76"/>
      <c r="H2223" s="88"/>
      <c r="J2223" s="53" t="str">
        <f>IFERROR(__xludf.DUMMYFUNCTION("IF(ISBLANK(B2223),"""",IF(ISDATE(B2223),""X"",""""))"),"")</f>
        <v/>
      </c>
      <c r="K2223" s="40" t="str">
        <f>IFERROR(__xludf.DUMMYFUNCTION("IF(ISBLANK(B2223),"""",IF(ISDATE(B2223),H2223,""""))"),"")</f>
        <v/>
      </c>
      <c r="L2223" s="40" t="str">
        <f>IFERROR(__xludf.DUMMYFUNCTION("IF(ISBLANK(B2223),"""",IF(ISDATE(B2223),TEXT(B2223,""M""),""""))"),"")</f>
        <v/>
      </c>
      <c r="M2223" s="29" t="str">
        <f>IFERROR(__xludf.DUMMYFUNCTION("IF(L2223="""","""",QUERY({'Dashboard-Dados'!$Y$2:$AA$13},""Select Col2 Where Col1=""&amp;L2223))"),"")</f>
        <v/>
      </c>
      <c r="N2223" s="29" t="str">
        <f>IFERROR(__xludf.DUMMYFUNCTION("IF(ISBLANK(B2223),"""",IF(ISDATE(B2223),TEXT(B2223,""yyyy""),""""))"),"")</f>
        <v/>
      </c>
    </row>
    <row r="2224">
      <c r="B2224" s="89"/>
      <c r="C2224" s="86"/>
      <c r="D2224" s="71"/>
      <c r="H2224" s="90"/>
      <c r="J2224" s="53" t="str">
        <f>IFERROR(__xludf.DUMMYFUNCTION("IF(ISBLANK(B2224),"""",IF(ISDATE(B2224),""X"",""""))"),"")</f>
        <v/>
      </c>
      <c r="K2224" s="40" t="str">
        <f>IFERROR(__xludf.DUMMYFUNCTION("IF(ISBLANK(B2224),"""",IF(ISDATE(B2224),H2224,""""))"),"")</f>
        <v/>
      </c>
      <c r="L2224" s="40" t="str">
        <f>IFERROR(__xludf.DUMMYFUNCTION("IF(ISBLANK(B2224),"""",IF(ISDATE(B2224),TEXT(B2224,""M""),""""))"),"")</f>
        <v/>
      </c>
      <c r="M2224" s="29" t="str">
        <f>IFERROR(__xludf.DUMMYFUNCTION("IF(L2224="""","""",QUERY({'Dashboard-Dados'!$Y$2:$AA$13},""Select Col2 Where Col1=""&amp;L2224))"),"")</f>
        <v/>
      </c>
      <c r="N2224" s="29" t="str">
        <f>IFERROR(__xludf.DUMMYFUNCTION("IF(ISBLANK(B2224),"""",IF(ISDATE(B2224),TEXT(B2224,""yyyy""),""""))"),"")</f>
        <v/>
      </c>
    </row>
    <row r="2225">
      <c r="B2225" s="87"/>
      <c r="C2225" s="85"/>
      <c r="D2225" s="76"/>
      <c r="H2225" s="88"/>
      <c r="J2225" s="53" t="str">
        <f>IFERROR(__xludf.DUMMYFUNCTION("IF(ISBLANK(B2225),"""",IF(ISDATE(B2225),""X"",""""))"),"")</f>
        <v/>
      </c>
      <c r="K2225" s="40" t="str">
        <f>IFERROR(__xludf.DUMMYFUNCTION("IF(ISBLANK(B2225),"""",IF(ISDATE(B2225),H2225,""""))"),"")</f>
        <v/>
      </c>
      <c r="L2225" s="40" t="str">
        <f>IFERROR(__xludf.DUMMYFUNCTION("IF(ISBLANK(B2225),"""",IF(ISDATE(B2225),TEXT(B2225,""M""),""""))"),"")</f>
        <v/>
      </c>
      <c r="M2225" s="29" t="str">
        <f>IFERROR(__xludf.DUMMYFUNCTION("IF(L2225="""","""",QUERY({'Dashboard-Dados'!$Y$2:$AA$13},""Select Col2 Where Col1=""&amp;L2225))"),"")</f>
        <v/>
      </c>
      <c r="N2225" s="29" t="str">
        <f>IFERROR(__xludf.DUMMYFUNCTION("IF(ISBLANK(B2225),"""",IF(ISDATE(B2225),TEXT(B2225,""yyyy""),""""))"),"")</f>
        <v/>
      </c>
    </row>
    <row r="2226">
      <c r="B2226" s="89"/>
      <c r="C2226" s="86"/>
      <c r="D2226" s="71"/>
      <c r="H2226" s="90"/>
      <c r="J2226" s="53" t="str">
        <f>IFERROR(__xludf.DUMMYFUNCTION("IF(ISBLANK(B2226),"""",IF(ISDATE(B2226),""X"",""""))"),"")</f>
        <v/>
      </c>
      <c r="K2226" s="40" t="str">
        <f>IFERROR(__xludf.DUMMYFUNCTION("IF(ISBLANK(B2226),"""",IF(ISDATE(B2226),H2226,""""))"),"")</f>
        <v/>
      </c>
      <c r="L2226" s="40" t="str">
        <f>IFERROR(__xludf.DUMMYFUNCTION("IF(ISBLANK(B2226),"""",IF(ISDATE(B2226),TEXT(B2226,""M""),""""))"),"")</f>
        <v/>
      </c>
      <c r="M2226" s="29" t="str">
        <f>IFERROR(__xludf.DUMMYFUNCTION("IF(L2226="""","""",QUERY({'Dashboard-Dados'!$Y$2:$AA$13},""Select Col2 Where Col1=""&amp;L2226))"),"")</f>
        <v/>
      </c>
      <c r="N2226" s="29" t="str">
        <f>IFERROR(__xludf.DUMMYFUNCTION("IF(ISBLANK(B2226),"""",IF(ISDATE(B2226),TEXT(B2226,""yyyy""),""""))"),"")</f>
        <v/>
      </c>
    </row>
    <row r="2227">
      <c r="B2227" s="87"/>
      <c r="C2227" s="85"/>
      <c r="D2227" s="76"/>
      <c r="H2227" s="88"/>
      <c r="J2227" s="53" t="str">
        <f>IFERROR(__xludf.DUMMYFUNCTION("IF(ISBLANK(B2227),"""",IF(ISDATE(B2227),""X"",""""))"),"")</f>
        <v/>
      </c>
      <c r="K2227" s="40" t="str">
        <f>IFERROR(__xludf.DUMMYFUNCTION("IF(ISBLANK(B2227),"""",IF(ISDATE(B2227),H2227,""""))"),"")</f>
        <v/>
      </c>
      <c r="L2227" s="40" t="str">
        <f>IFERROR(__xludf.DUMMYFUNCTION("IF(ISBLANK(B2227),"""",IF(ISDATE(B2227),TEXT(B2227,""M""),""""))"),"")</f>
        <v/>
      </c>
      <c r="M2227" s="29" t="str">
        <f>IFERROR(__xludf.DUMMYFUNCTION("IF(L2227="""","""",QUERY({'Dashboard-Dados'!$Y$2:$AA$13},""Select Col2 Where Col1=""&amp;L2227))"),"")</f>
        <v/>
      </c>
      <c r="N2227" s="29" t="str">
        <f>IFERROR(__xludf.DUMMYFUNCTION("IF(ISBLANK(B2227),"""",IF(ISDATE(B2227),TEXT(B2227,""yyyy""),""""))"),"")</f>
        <v/>
      </c>
    </row>
    <row r="2228">
      <c r="B2228" s="89"/>
      <c r="C2228" s="86"/>
      <c r="D2228" s="71"/>
      <c r="H2228" s="90"/>
      <c r="J2228" s="53" t="str">
        <f>IFERROR(__xludf.DUMMYFUNCTION("IF(ISBLANK(B2228),"""",IF(ISDATE(B2228),""X"",""""))"),"")</f>
        <v/>
      </c>
      <c r="K2228" s="40" t="str">
        <f>IFERROR(__xludf.DUMMYFUNCTION("IF(ISBLANK(B2228),"""",IF(ISDATE(B2228),H2228,""""))"),"")</f>
        <v/>
      </c>
      <c r="L2228" s="40" t="str">
        <f>IFERROR(__xludf.DUMMYFUNCTION("IF(ISBLANK(B2228),"""",IF(ISDATE(B2228),TEXT(B2228,""M""),""""))"),"")</f>
        <v/>
      </c>
      <c r="M2228" s="29" t="str">
        <f>IFERROR(__xludf.DUMMYFUNCTION("IF(L2228="""","""",QUERY({'Dashboard-Dados'!$Y$2:$AA$13},""Select Col2 Where Col1=""&amp;L2228))"),"")</f>
        <v/>
      </c>
      <c r="N2228" s="29" t="str">
        <f>IFERROR(__xludf.DUMMYFUNCTION("IF(ISBLANK(B2228),"""",IF(ISDATE(B2228),TEXT(B2228,""yyyy""),""""))"),"")</f>
        <v/>
      </c>
    </row>
    <row r="2229">
      <c r="B2229" s="87"/>
      <c r="C2229" s="85"/>
      <c r="D2229" s="76"/>
      <c r="H2229" s="88"/>
      <c r="J2229" s="53" t="str">
        <f>IFERROR(__xludf.DUMMYFUNCTION("IF(ISBLANK(B2229),"""",IF(ISDATE(B2229),""X"",""""))"),"")</f>
        <v/>
      </c>
      <c r="K2229" s="40" t="str">
        <f>IFERROR(__xludf.DUMMYFUNCTION("IF(ISBLANK(B2229),"""",IF(ISDATE(B2229),H2229,""""))"),"")</f>
        <v/>
      </c>
      <c r="L2229" s="40" t="str">
        <f>IFERROR(__xludf.DUMMYFUNCTION("IF(ISBLANK(B2229),"""",IF(ISDATE(B2229),TEXT(B2229,""M""),""""))"),"")</f>
        <v/>
      </c>
      <c r="M2229" s="29" t="str">
        <f>IFERROR(__xludf.DUMMYFUNCTION("IF(L2229="""","""",QUERY({'Dashboard-Dados'!$Y$2:$AA$13},""Select Col2 Where Col1=""&amp;L2229))"),"")</f>
        <v/>
      </c>
      <c r="N2229" s="29" t="str">
        <f>IFERROR(__xludf.DUMMYFUNCTION("IF(ISBLANK(B2229),"""",IF(ISDATE(B2229),TEXT(B2229,""yyyy""),""""))"),"")</f>
        <v/>
      </c>
    </row>
    <row r="2230">
      <c r="B2230" s="89"/>
      <c r="C2230" s="86"/>
      <c r="D2230" s="71"/>
      <c r="H2230" s="90"/>
      <c r="J2230" s="53" t="str">
        <f>IFERROR(__xludf.DUMMYFUNCTION("IF(ISBLANK(B2230),"""",IF(ISDATE(B2230),""X"",""""))"),"")</f>
        <v/>
      </c>
      <c r="K2230" s="40" t="str">
        <f>IFERROR(__xludf.DUMMYFUNCTION("IF(ISBLANK(B2230),"""",IF(ISDATE(B2230),H2230,""""))"),"")</f>
        <v/>
      </c>
      <c r="L2230" s="40" t="str">
        <f>IFERROR(__xludf.DUMMYFUNCTION("IF(ISBLANK(B2230),"""",IF(ISDATE(B2230),TEXT(B2230,""M""),""""))"),"")</f>
        <v/>
      </c>
      <c r="M2230" s="29" t="str">
        <f>IFERROR(__xludf.DUMMYFUNCTION("IF(L2230="""","""",QUERY({'Dashboard-Dados'!$Y$2:$AA$13},""Select Col2 Where Col1=""&amp;L2230))"),"")</f>
        <v/>
      </c>
      <c r="N2230" s="29" t="str">
        <f>IFERROR(__xludf.DUMMYFUNCTION("IF(ISBLANK(B2230),"""",IF(ISDATE(B2230),TEXT(B2230,""yyyy""),""""))"),"")</f>
        <v/>
      </c>
    </row>
    <row r="2231">
      <c r="B2231" s="87"/>
      <c r="C2231" s="85"/>
      <c r="D2231" s="76"/>
      <c r="H2231" s="88"/>
      <c r="J2231" s="53" t="str">
        <f>IFERROR(__xludf.DUMMYFUNCTION("IF(ISBLANK(B2231),"""",IF(ISDATE(B2231),""X"",""""))"),"")</f>
        <v/>
      </c>
      <c r="K2231" s="40" t="str">
        <f>IFERROR(__xludf.DUMMYFUNCTION("IF(ISBLANK(B2231),"""",IF(ISDATE(B2231),H2231,""""))"),"")</f>
        <v/>
      </c>
      <c r="L2231" s="40" t="str">
        <f>IFERROR(__xludf.DUMMYFUNCTION("IF(ISBLANK(B2231),"""",IF(ISDATE(B2231),TEXT(B2231,""M""),""""))"),"")</f>
        <v/>
      </c>
      <c r="M2231" s="29" t="str">
        <f>IFERROR(__xludf.DUMMYFUNCTION("IF(L2231="""","""",QUERY({'Dashboard-Dados'!$Y$2:$AA$13},""Select Col2 Where Col1=""&amp;L2231))"),"")</f>
        <v/>
      </c>
      <c r="N2231" s="29" t="str">
        <f>IFERROR(__xludf.DUMMYFUNCTION("IF(ISBLANK(B2231),"""",IF(ISDATE(B2231),TEXT(B2231,""yyyy""),""""))"),"")</f>
        <v/>
      </c>
    </row>
    <row r="2232">
      <c r="B2232" s="89"/>
      <c r="C2232" s="86"/>
      <c r="D2232" s="71"/>
      <c r="H2232" s="90"/>
      <c r="J2232" s="53" t="str">
        <f>IFERROR(__xludf.DUMMYFUNCTION("IF(ISBLANK(B2232),"""",IF(ISDATE(B2232),""X"",""""))"),"")</f>
        <v/>
      </c>
      <c r="K2232" s="40" t="str">
        <f>IFERROR(__xludf.DUMMYFUNCTION("IF(ISBLANK(B2232),"""",IF(ISDATE(B2232),H2232,""""))"),"")</f>
        <v/>
      </c>
      <c r="L2232" s="40" t="str">
        <f>IFERROR(__xludf.DUMMYFUNCTION("IF(ISBLANK(B2232),"""",IF(ISDATE(B2232),TEXT(B2232,""M""),""""))"),"")</f>
        <v/>
      </c>
      <c r="M2232" s="29" t="str">
        <f>IFERROR(__xludf.DUMMYFUNCTION("IF(L2232="""","""",QUERY({'Dashboard-Dados'!$Y$2:$AA$13},""Select Col2 Where Col1=""&amp;L2232))"),"")</f>
        <v/>
      </c>
      <c r="N2232" s="29" t="str">
        <f>IFERROR(__xludf.DUMMYFUNCTION("IF(ISBLANK(B2232),"""",IF(ISDATE(B2232),TEXT(B2232,""yyyy""),""""))"),"")</f>
        <v/>
      </c>
    </row>
    <row r="2233">
      <c r="B2233" s="87"/>
      <c r="C2233" s="85"/>
      <c r="D2233" s="76"/>
      <c r="H2233" s="88"/>
      <c r="J2233" s="53" t="str">
        <f>IFERROR(__xludf.DUMMYFUNCTION("IF(ISBLANK(B2233),"""",IF(ISDATE(B2233),""X"",""""))"),"")</f>
        <v/>
      </c>
      <c r="K2233" s="40" t="str">
        <f>IFERROR(__xludf.DUMMYFUNCTION("IF(ISBLANK(B2233),"""",IF(ISDATE(B2233),H2233,""""))"),"")</f>
        <v/>
      </c>
      <c r="L2233" s="40" t="str">
        <f>IFERROR(__xludf.DUMMYFUNCTION("IF(ISBLANK(B2233),"""",IF(ISDATE(B2233),TEXT(B2233,""M""),""""))"),"")</f>
        <v/>
      </c>
      <c r="M2233" s="29" t="str">
        <f>IFERROR(__xludf.DUMMYFUNCTION("IF(L2233="""","""",QUERY({'Dashboard-Dados'!$Y$2:$AA$13},""Select Col2 Where Col1=""&amp;L2233))"),"")</f>
        <v/>
      </c>
      <c r="N2233" s="29" t="str">
        <f>IFERROR(__xludf.DUMMYFUNCTION("IF(ISBLANK(B2233),"""",IF(ISDATE(B2233),TEXT(B2233,""yyyy""),""""))"),"")</f>
        <v/>
      </c>
    </row>
    <row r="2234">
      <c r="B2234" s="89"/>
      <c r="C2234" s="86"/>
      <c r="D2234" s="71"/>
      <c r="H2234" s="90"/>
      <c r="J2234" s="53" t="str">
        <f>IFERROR(__xludf.DUMMYFUNCTION("IF(ISBLANK(B2234),"""",IF(ISDATE(B2234),""X"",""""))"),"")</f>
        <v/>
      </c>
      <c r="K2234" s="40" t="str">
        <f>IFERROR(__xludf.DUMMYFUNCTION("IF(ISBLANK(B2234),"""",IF(ISDATE(B2234),H2234,""""))"),"")</f>
        <v/>
      </c>
      <c r="L2234" s="40" t="str">
        <f>IFERROR(__xludf.DUMMYFUNCTION("IF(ISBLANK(B2234),"""",IF(ISDATE(B2234),TEXT(B2234,""M""),""""))"),"")</f>
        <v/>
      </c>
      <c r="M2234" s="29" t="str">
        <f>IFERROR(__xludf.DUMMYFUNCTION("IF(L2234="""","""",QUERY({'Dashboard-Dados'!$Y$2:$AA$13},""Select Col2 Where Col1=""&amp;L2234))"),"")</f>
        <v/>
      </c>
      <c r="N2234" s="29" t="str">
        <f>IFERROR(__xludf.DUMMYFUNCTION("IF(ISBLANK(B2234),"""",IF(ISDATE(B2234),TEXT(B2234,""yyyy""),""""))"),"")</f>
        <v/>
      </c>
    </row>
    <row r="2235">
      <c r="B2235" s="87"/>
      <c r="C2235" s="85"/>
      <c r="D2235" s="76"/>
      <c r="H2235" s="88"/>
      <c r="J2235" s="53" t="str">
        <f>IFERROR(__xludf.DUMMYFUNCTION("IF(ISBLANK(B2235),"""",IF(ISDATE(B2235),""X"",""""))"),"")</f>
        <v/>
      </c>
      <c r="K2235" s="40" t="str">
        <f>IFERROR(__xludf.DUMMYFUNCTION("IF(ISBLANK(B2235),"""",IF(ISDATE(B2235),H2235,""""))"),"")</f>
        <v/>
      </c>
      <c r="L2235" s="40" t="str">
        <f>IFERROR(__xludf.DUMMYFUNCTION("IF(ISBLANK(B2235),"""",IF(ISDATE(B2235),TEXT(B2235,""M""),""""))"),"")</f>
        <v/>
      </c>
      <c r="M2235" s="29" t="str">
        <f>IFERROR(__xludf.DUMMYFUNCTION("IF(L2235="""","""",QUERY({'Dashboard-Dados'!$Y$2:$AA$13},""Select Col2 Where Col1=""&amp;L2235))"),"")</f>
        <v/>
      </c>
      <c r="N2235" s="29" t="str">
        <f>IFERROR(__xludf.DUMMYFUNCTION("IF(ISBLANK(B2235),"""",IF(ISDATE(B2235),TEXT(B2235,""yyyy""),""""))"),"")</f>
        <v/>
      </c>
    </row>
    <row r="2236">
      <c r="B2236" s="89"/>
      <c r="C2236" s="86"/>
      <c r="D2236" s="71"/>
      <c r="H2236" s="90"/>
      <c r="J2236" s="53" t="str">
        <f>IFERROR(__xludf.DUMMYFUNCTION("IF(ISBLANK(B2236),"""",IF(ISDATE(B2236),""X"",""""))"),"")</f>
        <v/>
      </c>
      <c r="K2236" s="40" t="str">
        <f>IFERROR(__xludf.DUMMYFUNCTION("IF(ISBLANK(B2236),"""",IF(ISDATE(B2236),H2236,""""))"),"")</f>
        <v/>
      </c>
      <c r="L2236" s="40" t="str">
        <f>IFERROR(__xludf.DUMMYFUNCTION("IF(ISBLANK(B2236),"""",IF(ISDATE(B2236),TEXT(B2236,""M""),""""))"),"")</f>
        <v/>
      </c>
      <c r="M2236" s="29" t="str">
        <f>IFERROR(__xludf.DUMMYFUNCTION("IF(L2236="""","""",QUERY({'Dashboard-Dados'!$Y$2:$AA$13},""Select Col2 Where Col1=""&amp;L2236))"),"")</f>
        <v/>
      </c>
      <c r="N2236" s="29" t="str">
        <f>IFERROR(__xludf.DUMMYFUNCTION("IF(ISBLANK(B2236),"""",IF(ISDATE(B2236),TEXT(B2236,""yyyy""),""""))"),"")</f>
        <v/>
      </c>
    </row>
    <row r="2237">
      <c r="B2237" s="87"/>
      <c r="C2237" s="85"/>
      <c r="D2237" s="76"/>
      <c r="H2237" s="88"/>
      <c r="J2237" s="53" t="str">
        <f>IFERROR(__xludf.DUMMYFUNCTION("IF(ISBLANK(B2237),"""",IF(ISDATE(B2237),""X"",""""))"),"")</f>
        <v/>
      </c>
      <c r="K2237" s="40" t="str">
        <f>IFERROR(__xludf.DUMMYFUNCTION("IF(ISBLANK(B2237),"""",IF(ISDATE(B2237),H2237,""""))"),"")</f>
        <v/>
      </c>
      <c r="L2237" s="40" t="str">
        <f>IFERROR(__xludf.DUMMYFUNCTION("IF(ISBLANK(B2237),"""",IF(ISDATE(B2237),TEXT(B2237,""M""),""""))"),"")</f>
        <v/>
      </c>
      <c r="M2237" s="29" t="str">
        <f>IFERROR(__xludf.DUMMYFUNCTION("IF(L2237="""","""",QUERY({'Dashboard-Dados'!$Y$2:$AA$13},""Select Col2 Where Col1=""&amp;L2237))"),"")</f>
        <v/>
      </c>
      <c r="N2237" s="29" t="str">
        <f>IFERROR(__xludf.DUMMYFUNCTION("IF(ISBLANK(B2237),"""",IF(ISDATE(B2237),TEXT(B2237,""yyyy""),""""))"),"")</f>
        <v/>
      </c>
    </row>
    <row r="2238">
      <c r="B2238" s="89"/>
      <c r="C2238" s="86"/>
      <c r="D2238" s="71"/>
      <c r="H2238" s="90"/>
      <c r="J2238" s="53" t="str">
        <f>IFERROR(__xludf.DUMMYFUNCTION("IF(ISBLANK(B2238),"""",IF(ISDATE(B2238),""X"",""""))"),"")</f>
        <v/>
      </c>
      <c r="K2238" s="40" t="str">
        <f>IFERROR(__xludf.DUMMYFUNCTION("IF(ISBLANK(B2238),"""",IF(ISDATE(B2238),H2238,""""))"),"")</f>
        <v/>
      </c>
      <c r="L2238" s="40" t="str">
        <f>IFERROR(__xludf.DUMMYFUNCTION("IF(ISBLANK(B2238),"""",IF(ISDATE(B2238),TEXT(B2238,""M""),""""))"),"")</f>
        <v/>
      </c>
      <c r="M2238" s="29" t="str">
        <f>IFERROR(__xludf.DUMMYFUNCTION("IF(L2238="""","""",QUERY({'Dashboard-Dados'!$Y$2:$AA$13},""Select Col2 Where Col1=""&amp;L2238))"),"")</f>
        <v/>
      </c>
      <c r="N2238" s="29" t="str">
        <f>IFERROR(__xludf.DUMMYFUNCTION("IF(ISBLANK(B2238),"""",IF(ISDATE(B2238),TEXT(B2238,""yyyy""),""""))"),"")</f>
        <v/>
      </c>
    </row>
    <row r="2239">
      <c r="B2239" s="87"/>
      <c r="C2239" s="85"/>
      <c r="D2239" s="76"/>
      <c r="H2239" s="88"/>
      <c r="J2239" s="53" t="str">
        <f>IFERROR(__xludf.DUMMYFUNCTION("IF(ISBLANK(B2239),"""",IF(ISDATE(B2239),""X"",""""))"),"")</f>
        <v/>
      </c>
      <c r="K2239" s="40" t="str">
        <f>IFERROR(__xludf.DUMMYFUNCTION("IF(ISBLANK(B2239),"""",IF(ISDATE(B2239),H2239,""""))"),"")</f>
        <v/>
      </c>
      <c r="L2239" s="40" t="str">
        <f>IFERROR(__xludf.DUMMYFUNCTION("IF(ISBLANK(B2239),"""",IF(ISDATE(B2239),TEXT(B2239,""M""),""""))"),"")</f>
        <v/>
      </c>
      <c r="M2239" s="29" t="str">
        <f>IFERROR(__xludf.DUMMYFUNCTION("IF(L2239="""","""",QUERY({'Dashboard-Dados'!$Y$2:$AA$13},""Select Col2 Where Col1=""&amp;L2239))"),"")</f>
        <v/>
      </c>
      <c r="N2239" s="29" t="str">
        <f>IFERROR(__xludf.DUMMYFUNCTION("IF(ISBLANK(B2239),"""",IF(ISDATE(B2239),TEXT(B2239,""yyyy""),""""))"),"")</f>
        <v/>
      </c>
    </row>
    <row r="2240">
      <c r="B2240" s="89"/>
      <c r="C2240" s="86"/>
      <c r="D2240" s="71"/>
      <c r="H2240" s="90"/>
      <c r="J2240" s="53" t="str">
        <f>IFERROR(__xludf.DUMMYFUNCTION("IF(ISBLANK(B2240),"""",IF(ISDATE(B2240),""X"",""""))"),"")</f>
        <v/>
      </c>
      <c r="K2240" s="40" t="str">
        <f>IFERROR(__xludf.DUMMYFUNCTION("IF(ISBLANK(B2240),"""",IF(ISDATE(B2240),H2240,""""))"),"")</f>
        <v/>
      </c>
      <c r="L2240" s="40" t="str">
        <f>IFERROR(__xludf.DUMMYFUNCTION("IF(ISBLANK(B2240),"""",IF(ISDATE(B2240),TEXT(B2240,""M""),""""))"),"")</f>
        <v/>
      </c>
      <c r="M2240" s="29" t="str">
        <f>IFERROR(__xludf.DUMMYFUNCTION("IF(L2240="""","""",QUERY({'Dashboard-Dados'!$Y$2:$AA$13},""Select Col2 Where Col1=""&amp;L2240))"),"")</f>
        <v/>
      </c>
      <c r="N2240" s="29" t="str">
        <f>IFERROR(__xludf.DUMMYFUNCTION("IF(ISBLANK(B2240),"""",IF(ISDATE(B2240),TEXT(B2240,""yyyy""),""""))"),"")</f>
        <v/>
      </c>
    </row>
    <row r="2241">
      <c r="B2241" s="87"/>
      <c r="C2241" s="85"/>
      <c r="D2241" s="76"/>
      <c r="H2241" s="88"/>
      <c r="J2241" s="53" t="str">
        <f>IFERROR(__xludf.DUMMYFUNCTION("IF(ISBLANK(B2241),"""",IF(ISDATE(B2241),""X"",""""))"),"")</f>
        <v/>
      </c>
      <c r="K2241" s="40" t="str">
        <f>IFERROR(__xludf.DUMMYFUNCTION("IF(ISBLANK(B2241),"""",IF(ISDATE(B2241),H2241,""""))"),"")</f>
        <v/>
      </c>
      <c r="L2241" s="40" t="str">
        <f>IFERROR(__xludf.DUMMYFUNCTION("IF(ISBLANK(B2241),"""",IF(ISDATE(B2241),TEXT(B2241,""M""),""""))"),"")</f>
        <v/>
      </c>
      <c r="M2241" s="29" t="str">
        <f>IFERROR(__xludf.DUMMYFUNCTION("IF(L2241="""","""",QUERY({'Dashboard-Dados'!$Y$2:$AA$13},""Select Col2 Where Col1=""&amp;L2241))"),"")</f>
        <v/>
      </c>
      <c r="N2241" s="29" t="str">
        <f>IFERROR(__xludf.DUMMYFUNCTION("IF(ISBLANK(B2241),"""",IF(ISDATE(B2241),TEXT(B2241,""yyyy""),""""))"),"")</f>
        <v/>
      </c>
    </row>
    <row r="2242">
      <c r="B2242" s="89"/>
      <c r="C2242" s="86"/>
      <c r="D2242" s="71"/>
      <c r="H2242" s="90"/>
      <c r="J2242" s="53" t="str">
        <f>IFERROR(__xludf.DUMMYFUNCTION("IF(ISBLANK(B2242),"""",IF(ISDATE(B2242),""X"",""""))"),"")</f>
        <v/>
      </c>
      <c r="K2242" s="40" t="str">
        <f>IFERROR(__xludf.DUMMYFUNCTION("IF(ISBLANK(B2242),"""",IF(ISDATE(B2242),H2242,""""))"),"")</f>
        <v/>
      </c>
      <c r="L2242" s="40" t="str">
        <f>IFERROR(__xludf.DUMMYFUNCTION("IF(ISBLANK(B2242),"""",IF(ISDATE(B2242),TEXT(B2242,""M""),""""))"),"")</f>
        <v/>
      </c>
      <c r="M2242" s="29" t="str">
        <f>IFERROR(__xludf.DUMMYFUNCTION("IF(L2242="""","""",QUERY({'Dashboard-Dados'!$Y$2:$AA$13},""Select Col2 Where Col1=""&amp;L2242))"),"")</f>
        <v/>
      </c>
      <c r="N2242" s="29" t="str">
        <f>IFERROR(__xludf.DUMMYFUNCTION("IF(ISBLANK(B2242),"""",IF(ISDATE(B2242),TEXT(B2242,""yyyy""),""""))"),"")</f>
        <v/>
      </c>
    </row>
    <row r="2243">
      <c r="B2243" s="87"/>
      <c r="C2243" s="85"/>
      <c r="D2243" s="76"/>
      <c r="H2243" s="88"/>
      <c r="J2243" s="53" t="str">
        <f>IFERROR(__xludf.DUMMYFUNCTION("IF(ISBLANK(B2243),"""",IF(ISDATE(B2243),""X"",""""))"),"")</f>
        <v/>
      </c>
      <c r="K2243" s="40" t="str">
        <f>IFERROR(__xludf.DUMMYFUNCTION("IF(ISBLANK(B2243),"""",IF(ISDATE(B2243),H2243,""""))"),"")</f>
        <v/>
      </c>
      <c r="L2243" s="40" t="str">
        <f>IFERROR(__xludf.DUMMYFUNCTION("IF(ISBLANK(B2243),"""",IF(ISDATE(B2243),TEXT(B2243,""M""),""""))"),"")</f>
        <v/>
      </c>
      <c r="M2243" s="29" t="str">
        <f>IFERROR(__xludf.DUMMYFUNCTION("IF(L2243="""","""",QUERY({'Dashboard-Dados'!$Y$2:$AA$13},""Select Col2 Where Col1=""&amp;L2243))"),"")</f>
        <v/>
      </c>
      <c r="N2243" s="29" t="str">
        <f>IFERROR(__xludf.DUMMYFUNCTION("IF(ISBLANK(B2243),"""",IF(ISDATE(B2243),TEXT(B2243,""yyyy""),""""))"),"")</f>
        <v/>
      </c>
    </row>
    <row r="2244">
      <c r="B2244" s="89"/>
      <c r="C2244" s="86"/>
      <c r="D2244" s="71"/>
      <c r="H2244" s="90"/>
      <c r="J2244" s="53" t="str">
        <f>IFERROR(__xludf.DUMMYFUNCTION("IF(ISBLANK(B2244),"""",IF(ISDATE(B2244),""X"",""""))"),"")</f>
        <v/>
      </c>
      <c r="K2244" s="40" t="str">
        <f>IFERROR(__xludf.DUMMYFUNCTION("IF(ISBLANK(B2244),"""",IF(ISDATE(B2244),H2244,""""))"),"")</f>
        <v/>
      </c>
      <c r="L2244" s="40" t="str">
        <f>IFERROR(__xludf.DUMMYFUNCTION("IF(ISBLANK(B2244),"""",IF(ISDATE(B2244),TEXT(B2244,""M""),""""))"),"")</f>
        <v/>
      </c>
      <c r="M2244" s="29" t="str">
        <f>IFERROR(__xludf.DUMMYFUNCTION("IF(L2244="""","""",QUERY({'Dashboard-Dados'!$Y$2:$AA$13},""Select Col2 Where Col1=""&amp;L2244))"),"")</f>
        <v/>
      </c>
      <c r="N2244" s="29" t="str">
        <f>IFERROR(__xludf.DUMMYFUNCTION("IF(ISBLANK(B2244),"""",IF(ISDATE(B2244),TEXT(B2244,""yyyy""),""""))"),"")</f>
        <v/>
      </c>
    </row>
    <row r="2245">
      <c r="B2245" s="87"/>
      <c r="C2245" s="85"/>
      <c r="D2245" s="76"/>
      <c r="H2245" s="88"/>
      <c r="J2245" s="53" t="str">
        <f>IFERROR(__xludf.DUMMYFUNCTION("IF(ISBLANK(B2245),"""",IF(ISDATE(B2245),""X"",""""))"),"")</f>
        <v/>
      </c>
      <c r="K2245" s="40" t="str">
        <f>IFERROR(__xludf.DUMMYFUNCTION("IF(ISBLANK(B2245),"""",IF(ISDATE(B2245),H2245,""""))"),"")</f>
        <v/>
      </c>
      <c r="L2245" s="40" t="str">
        <f>IFERROR(__xludf.DUMMYFUNCTION("IF(ISBLANK(B2245),"""",IF(ISDATE(B2245),TEXT(B2245,""M""),""""))"),"")</f>
        <v/>
      </c>
      <c r="M2245" s="29" t="str">
        <f>IFERROR(__xludf.DUMMYFUNCTION("IF(L2245="""","""",QUERY({'Dashboard-Dados'!$Y$2:$AA$13},""Select Col2 Where Col1=""&amp;L2245))"),"")</f>
        <v/>
      </c>
      <c r="N2245" s="29" t="str">
        <f>IFERROR(__xludf.DUMMYFUNCTION("IF(ISBLANK(B2245),"""",IF(ISDATE(B2245),TEXT(B2245,""yyyy""),""""))"),"")</f>
        <v/>
      </c>
    </row>
    <row r="2246">
      <c r="B2246" s="89"/>
      <c r="C2246" s="86"/>
      <c r="D2246" s="71"/>
      <c r="H2246" s="90"/>
      <c r="J2246" s="53" t="str">
        <f>IFERROR(__xludf.DUMMYFUNCTION("IF(ISBLANK(B2246),"""",IF(ISDATE(B2246),""X"",""""))"),"")</f>
        <v/>
      </c>
      <c r="K2246" s="40" t="str">
        <f>IFERROR(__xludf.DUMMYFUNCTION("IF(ISBLANK(B2246),"""",IF(ISDATE(B2246),H2246,""""))"),"")</f>
        <v/>
      </c>
      <c r="L2246" s="40" t="str">
        <f>IFERROR(__xludf.DUMMYFUNCTION("IF(ISBLANK(B2246),"""",IF(ISDATE(B2246),TEXT(B2246,""M""),""""))"),"")</f>
        <v/>
      </c>
      <c r="M2246" s="29" t="str">
        <f>IFERROR(__xludf.DUMMYFUNCTION("IF(L2246="""","""",QUERY({'Dashboard-Dados'!$Y$2:$AA$13},""Select Col2 Where Col1=""&amp;L2246))"),"")</f>
        <v/>
      </c>
      <c r="N2246" s="29" t="str">
        <f>IFERROR(__xludf.DUMMYFUNCTION("IF(ISBLANK(B2246),"""",IF(ISDATE(B2246),TEXT(B2246,""yyyy""),""""))"),"")</f>
        <v/>
      </c>
    </row>
    <row r="2247">
      <c r="B2247" s="87"/>
      <c r="C2247" s="85"/>
      <c r="D2247" s="76"/>
      <c r="H2247" s="88"/>
      <c r="J2247" s="53" t="str">
        <f>IFERROR(__xludf.DUMMYFUNCTION("IF(ISBLANK(B2247),"""",IF(ISDATE(B2247),""X"",""""))"),"")</f>
        <v/>
      </c>
      <c r="K2247" s="40" t="str">
        <f>IFERROR(__xludf.DUMMYFUNCTION("IF(ISBLANK(B2247),"""",IF(ISDATE(B2247),H2247,""""))"),"")</f>
        <v/>
      </c>
      <c r="L2247" s="40" t="str">
        <f>IFERROR(__xludf.DUMMYFUNCTION("IF(ISBLANK(B2247),"""",IF(ISDATE(B2247),TEXT(B2247,""M""),""""))"),"")</f>
        <v/>
      </c>
      <c r="M2247" s="29" t="str">
        <f>IFERROR(__xludf.DUMMYFUNCTION("IF(L2247="""","""",QUERY({'Dashboard-Dados'!$Y$2:$AA$13},""Select Col2 Where Col1=""&amp;L2247))"),"")</f>
        <v/>
      </c>
      <c r="N2247" s="29" t="str">
        <f>IFERROR(__xludf.DUMMYFUNCTION("IF(ISBLANK(B2247),"""",IF(ISDATE(B2247),TEXT(B2247,""yyyy""),""""))"),"")</f>
        <v/>
      </c>
    </row>
    <row r="2248">
      <c r="B2248" s="89"/>
      <c r="C2248" s="86"/>
      <c r="D2248" s="71"/>
      <c r="H2248" s="90"/>
      <c r="J2248" s="53" t="str">
        <f>IFERROR(__xludf.DUMMYFUNCTION("IF(ISBLANK(B2248),"""",IF(ISDATE(B2248),""X"",""""))"),"")</f>
        <v/>
      </c>
      <c r="K2248" s="40" t="str">
        <f>IFERROR(__xludf.DUMMYFUNCTION("IF(ISBLANK(B2248),"""",IF(ISDATE(B2248),H2248,""""))"),"")</f>
        <v/>
      </c>
      <c r="L2248" s="40" t="str">
        <f>IFERROR(__xludf.DUMMYFUNCTION("IF(ISBLANK(B2248),"""",IF(ISDATE(B2248),TEXT(B2248,""M""),""""))"),"")</f>
        <v/>
      </c>
      <c r="M2248" s="29" t="str">
        <f>IFERROR(__xludf.DUMMYFUNCTION("IF(L2248="""","""",QUERY({'Dashboard-Dados'!$Y$2:$AA$13},""Select Col2 Where Col1=""&amp;L2248))"),"")</f>
        <v/>
      </c>
      <c r="N2248" s="29" t="str">
        <f>IFERROR(__xludf.DUMMYFUNCTION("IF(ISBLANK(B2248),"""",IF(ISDATE(B2248),TEXT(B2248,""yyyy""),""""))"),"")</f>
        <v/>
      </c>
    </row>
    <row r="2249">
      <c r="B2249" s="87"/>
      <c r="C2249" s="85"/>
      <c r="D2249" s="76"/>
      <c r="H2249" s="88"/>
      <c r="J2249" s="53" t="str">
        <f>IFERROR(__xludf.DUMMYFUNCTION("IF(ISBLANK(B2249),"""",IF(ISDATE(B2249),""X"",""""))"),"")</f>
        <v/>
      </c>
      <c r="K2249" s="40" t="str">
        <f>IFERROR(__xludf.DUMMYFUNCTION("IF(ISBLANK(B2249),"""",IF(ISDATE(B2249),H2249,""""))"),"")</f>
        <v/>
      </c>
      <c r="L2249" s="40" t="str">
        <f>IFERROR(__xludf.DUMMYFUNCTION("IF(ISBLANK(B2249),"""",IF(ISDATE(B2249),TEXT(B2249,""M""),""""))"),"")</f>
        <v/>
      </c>
      <c r="M2249" s="29" t="str">
        <f>IFERROR(__xludf.DUMMYFUNCTION("IF(L2249="""","""",QUERY({'Dashboard-Dados'!$Y$2:$AA$13},""Select Col2 Where Col1=""&amp;L2249))"),"")</f>
        <v/>
      </c>
      <c r="N2249" s="29" t="str">
        <f>IFERROR(__xludf.DUMMYFUNCTION("IF(ISBLANK(B2249),"""",IF(ISDATE(B2249),TEXT(B2249,""yyyy""),""""))"),"")</f>
        <v/>
      </c>
    </row>
    <row r="2250">
      <c r="B2250" s="89"/>
      <c r="C2250" s="86"/>
      <c r="D2250" s="71"/>
      <c r="H2250" s="90"/>
      <c r="J2250" s="53" t="str">
        <f>IFERROR(__xludf.DUMMYFUNCTION("IF(ISBLANK(B2250),"""",IF(ISDATE(B2250),""X"",""""))"),"")</f>
        <v/>
      </c>
      <c r="K2250" s="40" t="str">
        <f>IFERROR(__xludf.DUMMYFUNCTION("IF(ISBLANK(B2250),"""",IF(ISDATE(B2250),H2250,""""))"),"")</f>
        <v/>
      </c>
      <c r="L2250" s="40" t="str">
        <f>IFERROR(__xludf.DUMMYFUNCTION("IF(ISBLANK(B2250),"""",IF(ISDATE(B2250),TEXT(B2250,""M""),""""))"),"")</f>
        <v/>
      </c>
      <c r="M2250" s="29" t="str">
        <f>IFERROR(__xludf.DUMMYFUNCTION("IF(L2250="""","""",QUERY({'Dashboard-Dados'!$Y$2:$AA$13},""Select Col2 Where Col1=""&amp;L2250))"),"")</f>
        <v/>
      </c>
      <c r="N2250" s="29" t="str">
        <f>IFERROR(__xludf.DUMMYFUNCTION("IF(ISBLANK(B2250),"""",IF(ISDATE(B2250),TEXT(B2250,""yyyy""),""""))"),"")</f>
        <v/>
      </c>
    </row>
    <row r="2251">
      <c r="B2251" s="87"/>
      <c r="C2251" s="85"/>
      <c r="D2251" s="76"/>
      <c r="H2251" s="88"/>
      <c r="J2251" s="53" t="str">
        <f>IFERROR(__xludf.DUMMYFUNCTION("IF(ISBLANK(B2251),"""",IF(ISDATE(B2251),""X"",""""))"),"")</f>
        <v/>
      </c>
      <c r="K2251" s="40" t="str">
        <f>IFERROR(__xludf.DUMMYFUNCTION("IF(ISBLANK(B2251),"""",IF(ISDATE(B2251),H2251,""""))"),"")</f>
        <v/>
      </c>
      <c r="L2251" s="40" t="str">
        <f>IFERROR(__xludf.DUMMYFUNCTION("IF(ISBLANK(B2251),"""",IF(ISDATE(B2251),TEXT(B2251,""M""),""""))"),"")</f>
        <v/>
      </c>
      <c r="M2251" s="29" t="str">
        <f>IFERROR(__xludf.DUMMYFUNCTION("IF(L2251="""","""",QUERY({'Dashboard-Dados'!$Y$2:$AA$13},""Select Col2 Where Col1=""&amp;L2251))"),"")</f>
        <v/>
      </c>
      <c r="N2251" s="29" t="str">
        <f>IFERROR(__xludf.DUMMYFUNCTION("IF(ISBLANK(B2251),"""",IF(ISDATE(B2251),TEXT(B2251,""yyyy""),""""))"),"")</f>
        <v/>
      </c>
    </row>
    <row r="2252">
      <c r="B2252" s="89"/>
      <c r="C2252" s="86"/>
      <c r="D2252" s="71"/>
      <c r="H2252" s="90"/>
      <c r="J2252" s="53" t="str">
        <f>IFERROR(__xludf.DUMMYFUNCTION("IF(ISBLANK(B2252),"""",IF(ISDATE(B2252),""X"",""""))"),"")</f>
        <v/>
      </c>
      <c r="K2252" s="40" t="str">
        <f>IFERROR(__xludf.DUMMYFUNCTION("IF(ISBLANK(B2252),"""",IF(ISDATE(B2252),H2252,""""))"),"")</f>
        <v/>
      </c>
      <c r="L2252" s="40" t="str">
        <f>IFERROR(__xludf.DUMMYFUNCTION("IF(ISBLANK(B2252),"""",IF(ISDATE(B2252),TEXT(B2252,""M""),""""))"),"")</f>
        <v/>
      </c>
      <c r="M2252" s="29" t="str">
        <f>IFERROR(__xludf.DUMMYFUNCTION("IF(L2252="""","""",QUERY({'Dashboard-Dados'!$Y$2:$AA$13},""Select Col2 Where Col1=""&amp;L2252))"),"")</f>
        <v/>
      </c>
      <c r="N2252" s="29" t="str">
        <f>IFERROR(__xludf.DUMMYFUNCTION("IF(ISBLANK(B2252),"""",IF(ISDATE(B2252),TEXT(B2252,""yyyy""),""""))"),"")</f>
        <v/>
      </c>
    </row>
    <row r="2253">
      <c r="B2253" s="87"/>
      <c r="C2253" s="85"/>
      <c r="D2253" s="76"/>
      <c r="H2253" s="88"/>
      <c r="J2253" s="53" t="str">
        <f>IFERROR(__xludf.DUMMYFUNCTION("IF(ISBLANK(B2253),"""",IF(ISDATE(B2253),""X"",""""))"),"")</f>
        <v/>
      </c>
      <c r="K2253" s="40" t="str">
        <f>IFERROR(__xludf.DUMMYFUNCTION("IF(ISBLANK(B2253),"""",IF(ISDATE(B2253),H2253,""""))"),"")</f>
        <v/>
      </c>
      <c r="L2253" s="40" t="str">
        <f>IFERROR(__xludf.DUMMYFUNCTION("IF(ISBLANK(B2253),"""",IF(ISDATE(B2253),TEXT(B2253,""M""),""""))"),"")</f>
        <v/>
      </c>
      <c r="M2253" s="29" t="str">
        <f>IFERROR(__xludf.DUMMYFUNCTION("IF(L2253="""","""",QUERY({'Dashboard-Dados'!$Y$2:$AA$13},""Select Col2 Where Col1=""&amp;L2253))"),"")</f>
        <v/>
      </c>
      <c r="N2253" s="29" t="str">
        <f>IFERROR(__xludf.DUMMYFUNCTION("IF(ISBLANK(B2253),"""",IF(ISDATE(B2253),TEXT(B2253,""yyyy""),""""))"),"")</f>
        <v/>
      </c>
    </row>
    <row r="2254">
      <c r="B2254" s="89"/>
      <c r="C2254" s="86"/>
      <c r="D2254" s="71"/>
      <c r="H2254" s="90"/>
      <c r="J2254" s="53" t="str">
        <f>IFERROR(__xludf.DUMMYFUNCTION("IF(ISBLANK(B2254),"""",IF(ISDATE(B2254),""X"",""""))"),"")</f>
        <v/>
      </c>
      <c r="K2254" s="40" t="str">
        <f>IFERROR(__xludf.DUMMYFUNCTION("IF(ISBLANK(B2254),"""",IF(ISDATE(B2254),H2254,""""))"),"")</f>
        <v/>
      </c>
      <c r="L2254" s="40" t="str">
        <f>IFERROR(__xludf.DUMMYFUNCTION("IF(ISBLANK(B2254),"""",IF(ISDATE(B2254),TEXT(B2254,""M""),""""))"),"")</f>
        <v/>
      </c>
      <c r="M2254" s="29" t="str">
        <f>IFERROR(__xludf.DUMMYFUNCTION("IF(L2254="""","""",QUERY({'Dashboard-Dados'!$Y$2:$AA$13},""Select Col2 Where Col1=""&amp;L2254))"),"")</f>
        <v/>
      </c>
      <c r="N2254" s="29" t="str">
        <f>IFERROR(__xludf.DUMMYFUNCTION("IF(ISBLANK(B2254),"""",IF(ISDATE(B2254),TEXT(B2254,""yyyy""),""""))"),"")</f>
        <v/>
      </c>
    </row>
    <row r="2255">
      <c r="B2255" s="87"/>
      <c r="C2255" s="85"/>
      <c r="D2255" s="76"/>
      <c r="H2255" s="88"/>
      <c r="J2255" s="53" t="str">
        <f>IFERROR(__xludf.DUMMYFUNCTION("IF(ISBLANK(B2255),"""",IF(ISDATE(B2255),""X"",""""))"),"")</f>
        <v/>
      </c>
      <c r="K2255" s="40" t="str">
        <f>IFERROR(__xludf.DUMMYFUNCTION("IF(ISBLANK(B2255),"""",IF(ISDATE(B2255),H2255,""""))"),"")</f>
        <v/>
      </c>
      <c r="L2255" s="40" t="str">
        <f>IFERROR(__xludf.DUMMYFUNCTION("IF(ISBLANK(B2255),"""",IF(ISDATE(B2255),TEXT(B2255,""M""),""""))"),"")</f>
        <v/>
      </c>
      <c r="M2255" s="29" t="str">
        <f>IFERROR(__xludf.DUMMYFUNCTION("IF(L2255="""","""",QUERY({'Dashboard-Dados'!$Y$2:$AA$13},""Select Col2 Where Col1=""&amp;L2255))"),"")</f>
        <v/>
      </c>
      <c r="N2255" s="29" t="str">
        <f>IFERROR(__xludf.DUMMYFUNCTION("IF(ISBLANK(B2255),"""",IF(ISDATE(B2255),TEXT(B2255,""yyyy""),""""))"),"")</f>
        <v/>
      </c>
    </row>
    <row r="2256">
      <c r="B2256" s="89"/>
      <c r="C2256" s="86"/>
      <c r="D2256" s="71"/>
      <c r="H2256" s="90"/>
      <c r="J2256" s="53" t="str">
        <f>IFERROR(__xludf.DUMMYFUNCTION("IF(ISBLANK(B2256),"""",IF(ISDATE(B2256),""X"",""""))"),"")</f>
        <v/>
      </c>
      <c r="K2256" s="40" t="str">
        <f>IFERROR(__xludf.DUMMYFUNCTION("IF(ISBLANK(B2256),"""",IF(ISDATE(B2256),H2256,""""))"),"")</f>
        <v/>
      </c>
      <c r="L2256" s="40" t="str">
        <f>IFERROR(__xludf.DUMMYFUNCTION("IF(ISBLANK(B2256),"""",IF(ISDATE(B2256),TEXT(B2256,""M""),""""))"),"")</f>
        <v/>
      </c>
      <c r="M2256" s="29" t="str">
        <f>IFERROR(__xludf.DUMMYFUNCTION("IF(L2256="""","""",QUERY({'Dashboard-Dados'!$Y$2:$AA$13},""Select Col2 Where Col1=""&amp;L2256))"),"")</f>
        <v/>
      </c>
      <c r="N2256" s="29" t="str">
        <f>IFERROR(__xludf.DUMMYFUNCTION("IF(ISBLANK(B2256),"""",IF(ISDATE(B2256),TEXT(B2256,""yyyy""),""""))"),"")</f>
        <v/>
      </c>
    </row>
    <row r="2257">
      <c r="B2257" s="87"/>
      <c r="C2257" s="85"/>
      <c r="D2257" s="76"/>
      <c r="H2257" s="88"/>
      <c r="J2257" s="53" t="str">
        <f>IFERROR(__xludf.DUMMYFUNCTION("IF(ISBLANK(B2257),"""",IF(ISDATE(B2257),""X"",""""))"),"")</f>
        <v/>
      </c>
      <c r="K2257" s="40" t="str">
        <f>IFERROR(__xludf.DUMMYFUNCTION("IF(ISBLANK(B2257),"""",IF(ISDATE(B2257),H2257,""""))"),"")</f>
        <v/>
      </c>
      <c r="L2257" s="40" t="str">
        <f>IFERROR(__xludf.DUMMYFUNCTION("IF(ISBLANK(B2257),"""",IF(ISDATE(B2257),TEXT(B2257,""M""),""""))"),"")</f>
        <v/>
      </c>
      <c r="M2257" s="29" t="str">
        <f>IFERROR(__xludf.DUMMYFUNCTION("IF(L2257="""","""",QUERY({'Dashboard-Dados'!$Y$2:$AA$13},""Select Col2 Where Col1=""&amp;L2257))"),"")</f>
        <v/>
      </c>
      <c r="N2257" s="29" t="str">
        <f>IFERROR(__xludf.DUMMYFUNCTION("IF(ISBLANK(B2257),"""",IF(ISDATE(B2257),TEXT(B2257,""yyyy""),""""))"),"")</f>
        <v/>
      </c>
    </row>
    <row r="2258">
      <c r="B2258" s="89"/>
      <c r="C2258" s="86"/>
      <c r="D2258" s="71"/>
      <c r="H2258" s="90"/>
      <c r="J2258" s="53" t="str">
        <f>IFERROR(__xludf.DUMMYFUNCTION("IF(ISBLANK(B2258),"""",IF(ISDATE(B2258),""X"",""""))"),"")</f>
        <v/>
      </c>
      <c r="K2258" s="40" t="str">
        <f>IFERROR(__xludf.DUMMYFUNCTION("IF(ISBLANK(B2258),"""",IF(ISDATE(B2258),H2258,""""))"),"")</f>
        <v/>
      </c>
      <c r="L2258" s="40" t="str">
        <f>IFERROR(__xludf.DUMMYFUNCTION("IF(ISBLANK(B2258),"""",IF(ISDATE(B2258),TEXT(B2258,""M""),""""))"),"")</f>
        <v/>
      </c>
      <c r="M2258" s="29" t="str">
        <f>IFERROR(__xludf.DUMMYFUNCTION("IF(L2258="""","""",QUERY({'Dashboard-Dados'!$Y$2:$AA$13},""Select Col2 Where Col1=""&amp;L2258))"),"")</f>
        <v/>
      </c>
      <c r="N2258" s="29" t="str">
        <f>IFERROR(__xludf.DUMMYFUNCTION("IF(ISBLANK(B2258),"""",IF(ISDATE(B2258),TEXT(B2258,""yyyy""),""""))"),"")</f>
        <v/>
      </c>
    </row>
    <row r="2259">
      <c r="B2259" s="87"/>
      <c r="C2259" s="85"/>
      <c r="D2259" s="76"/>
      <c r="H2259" s="88"/>
      <c r="J2259" s="53" t="str">
        <f>IFERROR(__xludf.DUMMYFUNCTION("IF(ISBLANK(B2259),"""",IF(ISDATE(B2259),""X"",""""))"),"")</f>
        <v/>
      </c>
      <c r="K2259" s="40" t="str">
        <f>IFERROR(__xludf.DUMMYFUNCTION("IF(ISBLANK(B2259),"""",IF(ISDATE(B2259),H2259,""""))"),"")</f>
        <v/>
      </c>
      <c r="L2259" s="40" t="str">
        <f>IFERROR(__xludf.DUMMYFUNCTION("IF(ISBLANK(B2259),"""",IF(ISDATE(B2259),TEXT(B2259,""M""),""""))"),"")</f>
        <v/>
      </c>
      <c r="M2259" s="29" t="str">
        <f>IFERROR(__xludf.DUMMYFUNCTION("IF(L2259="""","""",QUERY({'Dashboard-Dados'!$Y$2:$AA$13},""Select Col2 Where Col1=""&amp;L2259))"),"")</f>
        <v/>
      </c>
      <c r="N2259" s="29" t="str">
        <f>IFERROR(__xludf.DUMMYFUNCTION("IF(ISBLANK(B2259),"""",IF(ISDATE(B2259),TEXT(B2259,""yyyy""),""""))"),"")</f>
        <v/>
      </c>
    </row>
    <row r="2260">
      <c r="B2260" s="89"/>
      <c r="C2260" s="86"/>
      <c r="D2260" s="71"/>
      <c r="H2260" s="90"/>
      <c r="J2260" s="53" t="str">
        <f>IFERROR(__xludf.DUMMYFUNCTION("IF(ISBLANK(B2260),"""",IF(ISDATE(B2260),""X"",""""))"),"")</f>
        <v/>
      </c>
      <c r="K2260" s="40" t="str">
        <f>IFERROR(__xludf.DUMMYFUNCTION("IF(ISBLANK(B2260),"""",IF(ISDATE(B2260),H2260,""""))"),"")</f>
        <v/>
      </c>
      <c r="L2260" s="40" t="str">
        <f>IFERROR(__xludf.DUMMYFUNCTION("IF(ISBLANK(B2260),"""",IF(ISDATE(B2260),TEXT(B2260,""M""),""""))"),"")</f>
        <v/>
      </c>
      <c r="M2260" s="29" t="str">
        <f>IFERROR(__xludf.DUMMYFUNCTION("IF(L2260="""","""",QUERY({'Dashboard-Dados'!$Y$2:$AA$13},""Select Col2 Where Col1=""&amp;L2260))"),"")</f>
        <v/>
      </c>
      <c r="N2260" s="29" t="str">
        <f>IFERROR(__xludf.DUMMYFUNCTION("IF(ISBLANK(B2260),"""",IF(ISDATE(B2260),TEXT(B2260,""yyyy""),""""))"),"")</f>
        <v/>
      </c>
    </row>
    <row r="2261">
      <c r="B2261" s="87"/>
      <c r="C2261" s="85"/>
      <c r="D2261" s="76"/>
      <c r="H2261" s="88"/>
      <c r="J2261" s="53" t="str">
        <f>IFERROR(__xludf.DUMMYFUNCTION("IF(ISBLANK(B2261),"""",IF(ISDATE(B2261),""X"",""""))"),"")</f>
        <v/>
      </c>
      <c r="K2261" s="40" t="str">
        <f>IFERROR(__xludf.DUMMYFUNCTION("IF(ISBLANK(B2261),"""",IF(ISDATE(B2261),H2261,""""))"),"")</f>
        <v/>
      </c>
      <c r="L2261" s="40" t="str">
        <f>IFERROR(__xludf.DUMMYFUNCTION("IF(ISBLANK(B2261),"""",IF(ISDATE(B2261),TEXT(B2261,""M""),""""))"),"")</f>
        <v/>
      </c>
      <c r="M2261" s="29" t="str">
        <f>IFERROR(__xludf.DUMMYFUNCTION("IF(L2261="""","""",QUERY({'Dashboard-Dados'!$Y$2:$AA$13},""Select Col2 Where Col1=""&amp;L2261))"),"")</f>
        <v/>
      </c>
      <c r="N2261" s="29" t="str">
        <f>IFERROR(__xludf.DUMMYFUNCTION("IF(ISBLANK(B2261),"""",IF(ISDATE(B2261),TEXT(B2261,""yyyy""),""""))"),"")</f>
        <v/>
      </c>
    </row>
    <row r="2262">
      <c r="B2262" s="89"/>
      <c r="C2262" s="86"/>
      <c r="D2262" s="71"/>
      <c r="H2262" s="90"/>
      <c r="J2262" s="53" t="str">
        <f>IFERROR(__xludf.DUMMYFUNCTION("IF(ISBLANK(B2262),"""",IF(ISDATE(B2262),""X"",""""))"),"")</f>
        <v/>
      </c>
      <c r="K2262" s="40" t="str">
        <f>IFERROR(__xludf.DUMMYFUNCTION("IF(ISBLANK(B2262),"""",IF(ISDATE(B2262),H2262,""""))"),"")</f>
        <v/>
      </c>
      <c r="L2262" s="40" t="str">
        <f>IFERROR(__xludf.DUMMYFUNCTION("IF(ISBLANK(B2262),"""",IF(ISDATE(B2262),TEXT(B2262,""M""),""""))"),"")</f>
        <v/>
      </c>
      <c r="M2262" s="29" t="str">
        <f>IFERROR(__xludf.DUMMYFUNCTION("IF(L2262="""","""",QUERY({'Dashboard-Dados'!$Y$2:$AA$13},""Select Col2 Where Col1=""&amp;L2262))"),"")</f>
        <v/>
      </c>
      <c r="N2262" s="29" t="str">
        <f>IFERROR(__xludf.DUMMYFUNCTION("IF(ISBLANK(B2262),"""",IF(ISDATE(B2262),TEXT(B2262,""yyyy""),""""))"),"")</f>
        <v/>
      </c>
    </row>
    <row r="2263">
      <c r="B2263" s="87"/>
      <c r="C2263" s="85"/>
      <c r="D2263" s="76"/>
      <c r="H2263" s="88"/>
      <c r="J2263" s="53" t="str">
        <f>IFERROR(__xludf.DUMMYFUNCTION("IF(ISBLANK(B2263),"""",IF(ISDATE(B2263),""X"",""""))"),"")</f>
        <v/>
      </c>
      <c r="K2263" s="40" t="str">
        <f>IFERROR(__xludf.DUMMYFUNCTION("IF(ISBLANK(B2263),"""",IF(ISDATE(B2263),H2263,""""))"),"")</f>
        <v/>
      </c>
      <c r="L2263" s="40" t="str">
        <f>IFERROR(__xludf.DUMMYFUNCTION("IF(ISBLANK(B2263),"""",IF(ISDATE(B2263),TEXT(B2263,""M""),""""))"),"")</f>
        <v/>
      </c>
      <c r="M2263" s="29" t="str">
        <f>IFERROR(__xludf.DUMMYFUNCTION("IF(L2263="""","""",QUERY({'Dashboard-Dados'!$Y$2:$AA$13},""Select Col2 Where Col1=""&amp;L2263))"),"")</f>
        <v/>
      </c>
      <c r="N2263" s="29" t="str">
        <f>IFERROR(__xludf.DUMMYFUNCTION("IF(ISBLANK(B2263),"""",IF(ISDATE(B2263),TEXT(B2263,""yyyy""),""""))"),"")</f>
        <v/>
      </c>
    </row>
    <row r="2264">
      <c r="B2264" s="89"/>
      <c r="C2264" s="86"/>
      <c r="D2264" s="71"/>
      <c r="H2264" s="90"/>
      <c r="J2264" s="53" t="str">
        <f>IFERROR(__xludf.DUMMYFUNCTION("IF(ISBLANK(B2264),"""",IF(ISDATE(B2264),""X"",""""))"),"")</f>
        <v/>
      </c>
      <c r="K2264" s="40" t="str">
        <f>IFERROR(__xludf.DUMMYFUNCTION("IF(ISBLANK(B2264),"""",IF(ISDATE(B2264),H2264,""""))"),"")</f>
        <v/>
      </c>
      <c r="L2264" s="40" t="str">
        <f>IFERROR(__xludf.DUMMYFUNCTION("IF(ISBLANK(B2264),"""",IF(ISDATE(B2264),TEXT(B2264,""M""),""""))"),"")</f>
        <v/>
      </c>
      <c r="M2264" s="29" t="str">
        <f>IFERROR(__xludf.DUMMYFUNCTION("IF(L2264="""","""",QUERY({'Dashboard-Dados'!$Y$2:$AA$13},""Select Col2 Where Col1=""&amp;L2264))"),"")</f>
        <v/>
      </c>
      <c r="N2264" s="29" t="str">
        <f>IFERROR(__xludf.DUMMYFUNCTION("IF(ISBLANK(B2264),"""",IF(ISDATE(B2264),TEXT(B2264,""yyyy""),""""))"),"")</f>
        <v/>
      </c>
    </row>
    <row r="2265">
      <c r="B2265" s="87"/>
      <c r="C2265" s="85"/>
      <c r="D2265" s="76"/>
      <c r="H2265" s="88"/>
      <c r="J2265" s="53" t="str">
        <f>IFERROR(__xludf.DUMMYFUNCTION("IF(ISBLANK(B2265),"""",IF(ISDATE(B2265),""X"",""""))"),"")</f>
        <v/>
      </c>
      <c r="K2265" s="40" t="str">
        <f>IFERROR(__xludf.DUMMYFUNCTION("IF(ISBLANK(B2265),"""",IF(ISDATE(B2265),H2265,""""))"),"")</f>
        <v/>
      </c>
      <c r="L2265" s="40" t="str">
        <f>IFERROR(__xludf.DUMMYFUNCTION("IF(ISBLANK(B2265),"""",IF(ISDATE(B2265),TEXT(B2265,""M""),""""))"),"")</f>
        <v/>
      </c>
      <c r="M2265" s="29" t="str">
        <f>IFERROR(__xludf.DUMMYFUNCTION("IF(L2265="""","""",QUERY({'Dashboard-Dados'!$Y$2:$AA$13},""Select Col2 Where Col1=""&amp;L2265))"),"")</f>
        <v/>
      </c>
      <c r="N2265" s="29" t="str">
        <f>IFERROR(__xludf.DUMMYFUNCTION("IF(ISBLANK(B2265),"""",IF(ISDATE(B2265),TEXT(B2265,""yyyy""),""""))"),"")</f>
        <v/>
      </c>
    </row>
    <row r="2266">
      <c r="B2266" s="89"/>
      <c r="C2266" s="86"/>
      <c r="D2266" s="71"/>
      <c r="H2266" s="90"/>
      <c r="J2266" s="53" t="str">
        <f>IFERROR(__xludf.DUMMYFUNCTION("IF(ISBLANK(B2266),"""",IF(ISDATE(B2266),""X"",""""))"),"")</f>
        <v/>
      </c>
      <c r="K2266" s="40" t="str">
        <f>IFERROR(__xludf.DUMMYFUNCTION("IF(ISBLANK(B2266),"""",IF(ISDATE(B2266),H2266,""""))"),"")</f>
        <v/>
      </c>
      <c r="L2266" s="40" t="str">
        <f>IFERROR(__xludf.DUMMYFUNCTION("IF(ISBLANK(B2266),"""",IF(ISDATE(B2266),TEXT(B2266,""M""),""""))"),"")</f>
        <v/>
      </c>
      <c r="M2266" s="29" t="str">
        <f>IFERROR(__xludf.DUMMYFUNCTION("IF(L2266="""","""",QUERY({'Dashboard-Dados'!$Y$2:$AA$13},""Select Col2 Where Col1=""&amp;L2266))"),"")</f>
        <v/>
      </c>
      <c r="N2266" s="29" t="str">
        <f>IFERROR(__xludf.DUMMYFUNCTION("IF(ISBLANK(B2266),"""",IF(ISDATE(B2266),TEXT(B2266,""yyyy""),""""))"),"")</f>
        <v/>
      </c>
    </row>
    <row r="2267">
      <c r="B2267" s="87"/>
      <c r="C2267" s="85"/>
      <c r="D2267" s="76"/>
      <c r="H2267" s="88"/>
      <c r="J2267" s="53" t="str">
        <f>IFERROR(__xludf.DUMMYFUNCTION("IF(ISBLANK(B2267),"""",IF(ISDATE(B2267),""X"",""""))"),"")</f>
        <v/>
      </c>
      <c r="K2267" s="40" t="str">
        <f>IFERROR(__xludf.DUMMYFUNCTION("IF(ISBLANK(B2267),"""",IF(ISDATE(B2267),H2267,""""))"),"")</f>
        <v/>
      </c>
      <c r="L2267" s="40" t="str">
        <f>IFERROR(__xludf.DUMMYFUNCTION("IF(ISBLANK(B2267),"""",IF(ISDATE(B2267),TEXT(B2267,""M""),""""))"),"")</f>
        <v/>
      </c>
      <c r="M2267" s="29" t="str">
        <f>IFERROR(__xludf.DUMMYFUNCTION("IF(L2267="""","""",QUERY({'Dashboard-Dados'!$Y$2:$AA$13},""Select Col2 Where Col1=""&amp;L2267))"),"")</f>
        <v/>
      </c>
      <c r="N2267" s="29" t="str">
        <f>IFERROR(__xludf.DUMMYFUNCTION("IF(ISBLANK(B2267),"""",IF(ISDATE(B2267),TEXT(B2267,""yyyy""),""""))"),"")</f>
        <v/>
      </c>
    </row>
    <row r="2268">
      <c r="B2268" s="89"/>
      <c r="C2268" s="86"/>
      <c r="D2268" s="71"/>
      <c r="H2268" s="90"/>
      <c r="J2268" s="53" t="str">
        <f>IFERROR(__xludf.DUMMYFUNCTION("IF(ISBLANK(B2268),"""",IF(ISDATE(B2268),""X"",""""))"),"")</f>
        <v/>
      </c>
      <c r="K2268" s="40" t="str">
        <f>IFERROR(__xludf.DUMMYFUNCTION("IF(ISBLANK(B2268),"""",IF(ISDATE(B2268),H2268,""""))"),"")</f>
        <v/>
      </c>
      <c r="L2268" s="40" t="str">
        <f>IFERROR(__xludf.DUMMYFUNCTION("IF(ISBLANK(B2268),"""",IF(ISDATE(B2268),TEXT(B2268,""M""),""""))"),"")</f>
        <v/>
      </c>
      <c r="M2268" s="29" t="str">
        <f>IFERROR(__xludf.DUMMYFUNCTION("IF(L2268="""","""",QUERY({'Dashboard-Dados'!$Y$2:$AA$13},""Select Col2 Where Col1=""&amp;L2268))"),"")</f>
        <v/>
      </c>
      <c r="N2268" s="29" t="str">
        <f>IFERROR(__xludf.DUMMYFUNCTION("IF(ISBLANK(B2268),"""",IF(ISDATE(B2268),TEXT(B2268,""yyyy""),""""))"),"")</f>
        <v/>
      </c>
    </row>
    <row r="2269">
      <c r="B2269" s="87"/>
      <c r="C2269" s="85"/>
      <c r="D2269" s="76"/>
      <c r="H2269" s="88"/>
      <c r="J2269" s="53" t="str">
        <f>IFERROR(__xludf.DUMMYFUNCTION("IF(ISBLANK(B2269),"""",IF(ISDATE(B2269),""X"",""""))"),"")</f>
        <v/>
      </c>
      <c r="K2269" s="40" t="str">
        <f>IFERROR(__xludf.DUMMYFUNCTION("IF(ISBLANK(B2269),"""",IF(ISDATE(B2269),H2269,""""))"),"")</f>
        <v/>
      </c>
      <c r="L2269" s="40" t="str">
        <f>IFERROR(__xludf.DUMMYFUNCTION("IF(ISBLANK(B2269),"""",IF(ISDATE(B2269),TEXT(B2269,""M""),""""))"),"")</f>
        <v/>
      </c>
      <c r="M2269" s="29" t="str">
        <f>IFERROR(__xludf.DUMMYFUNCTION("IF(L2269="""","""",QUERY({'Dashboard-Dados'!$Y$2:$AA$13},""Select Col2 Where Col1=""&amp;L2269))"),"")</f>
        <v/>
      </c>
      <c r="N2269" s="29" t="str">
        <f>IFERROR(__xludf.DUMMYFUNCTION("IF(ISBLANK(B2269),"""",IF(ISDATE(B2269),TEXT(B2269,""yyyy""),""""))"),"")</f>
        <v/>
      </c>
    </row>
    <row r="2270">
      <c r="B2270" s="89"/>
      <c r="C2270" s="86"/>
      <c r="D2270" s="71"/>
      <c r="H2270" s="90"/>
      <c r="J2270" s="53" t="str">
        <f>IFERROR(__xludf.DUMMYFUNCTION("IF(ISBLANK(B2270),"""",IF(ISDATE(B2270),""X"",""""))"),"")</f>
        <v/>
      </c>
      <c r="K2270" s="40" t="str">
        <f>IFERROR(__xludf.DUMMYFUNCTION("IF(ISBLANK(B2270),"""",IF(ISDATE(B2270),H2270,""""))"),"")</f>
        <v/>
      </c>
      <c r="L2270" s="40" t="str">
        <f>IFERROR(__xludf.DUMMYFUNCTION("IF(ISBLANK(B2270),"""",IF(ISDATE(B2270),TEXT(B2270,""M""),""""))"),"")</f>
        <v/>
      </c>
      <c r="M2270" s="29" t="str">
        <f>IFERROR(__xludf.DUMMYFUNCTION("IF(L2270="""","""",QUERY({'Dashboard-Dados'!$Y$2:$AA$13},""Select Col2 Where Col1=""&amp;L2270))"),"")</f>
        <v/>
      </c>
      <c r="N2270" s="29" t="str">
        <f>IFERROR(__xludf.DUMMYFUNCTION("IF(ISBLANK(B2270),"""",IF(ISDATE(B2270),TEXT(B2270,""yyyy""),""""))"),"")</f>
        <v/>
      </c>
    </row>
    <row r="2271">
      <c r="B2271" s="87"/>
      <c r="C2271" s="85"/>
      <c r="D2271" s="76"/>
      <c r="H2271" s="88"/>
      <c r="J2271" s="53" t="str">
        <f>IFERROR(__xludf.DUMMYFUNCTION("IF(ISBLANK(B2271),"""",IF(ISDATE(B2271),""X"",""""))"),"")</f>
        <v/>
      </c>
      <c r="K2271" s="40" t="str">
        <f>IFERROR(__xludf.DUMMYFUNCTION("IF(ISBLANK(B2271),"""",IF(ISDATE(B2271),H2271,""""))"),"")</f>
        <v/>
      </c>
      <c r="L2271" s="40" t="str">
        <f>IFERROR(__xludf.DUMMYFUNCTION("IF(ISBLANK(B2271),"""",IF(ISDATE(B2271),TEXT(B2271,""M""),""""))"),"")</f>
        <v/>
      </c>
      <c r="M2271" s="29" t="str">
        <f>IFERROR(__xludf.DUMMYFUNCTION("IF(L2271="""","""",QUERY({'Dashboard-Dados'!$Y$2:$AA$13},""Select Col2 Where Col1=""&amp;L2271))"),"")</f>
        <v/>
      </c>
      <c r="N2271" s="29" t="str">
        <f>IFERROR(__xludf.DUMMYFUNCTION("IF(ISBLANK(B2271),"""",IF(ISDATE(B2271),TEXT(B2271,""yyyy""),""""))"),"")</f>
        <v/>
      </c>
    </row>
    <row r="2272">
      <c r="B2272" s="89"/>
      <c r="C2272" s="86"/>
      <c r="D2272" s="71"/>
      <c r="H2272" s="90"/>
      <c r="J2272" s="53" t="str">
        <f>IFERROR(__xludf.DUMMYFUNCTION("IF(ISBLANK(B2272),"""",IF(ISDATE(B2272),""X"",""""))"),"")</f>
        <v/>
      </c>
      <c r="K2272" s="40" t="str">
        <f>IFERROR(__xludf.DUMMYFUNCTION("IF(ISBLANK(B2272),"""",IF(ISDATE(B2272),H2272,""""))"),"")</f>
        <v/>
      </c>
      <c r="L2272" s="40" t="str">
        <f>IFERROR(__xludf.DUMMYFUNCTION("IF(ISBLANK(B2272),"""",IF(ISDATE(B2272),TEXT(B2272,""M""),""""))"),"")</f>
        <v/>
      </c>
      <c r="M2272" s="29" t="str">
        <f>IFERROR(__xludf.DUMMYFUNCTION("IF(L2272="""","""",QUERY({'Dashboard-Dados'!$Y$2:$AA$13},""Select Col2 Where Col1=""&amp;L2272))"),"")</f>
        <v/>
      </c>
      <c r="N2272" s="29" t="str">
        <f>IFERROR(__xludf.DUMMYFUNCTION("IF(ISBLANK(B2272),"""",IF(ISDATE(B2272),TEXT(B2272,""yyyy""),""""))"),"")</f>
        <v/>
      </c>
    </row>
    <row r="2273">
      <c r="B2273" s="87"/>
      <c r="C2273" s="85"/>
      <c r="D2273" s="76"/>
      <c r="H2273" s="88"/>
      <c r="J2273" s="53" t="str">
        <f>IFERROR(__xludf.DUMMYFUNCTION("IF(ISBLANK(B2273),"""",IF(ISDATE(B2273),""X"",""""))"),"")</f>
        <v/>
      </c>
      <c r="K2273" s="40" t="str">
        <f>IFERROR(__xludf.DUMMYFUNCTION("IF(ISBLANK(B2273),"""",IF(ISDATE(B2273),H2273,""""))"),"")</f>
        <v/>
      </c>
      <c r="L2273" s="40" t="str">
        <f>IFERROR(__xludf.DUMMYFUNCTION("IF(ISBLANK(B2273),"""",IF(ISDATE(B2273),TEXT(B2273,""M""),""""))"),"")</f>
        <v/>
      </c>
      <c r="M2273" s="29" t="str">
        <f>IFERROR(__xludf.DUMMYFUNCTION("IF(L2273="""","""",QUERY({'Dashboard-Dados'!$Y$2:$AA$13},""Select Col2 Where Col1=""&amp;L2273))"),"")</f>
        <v/>
      </c>
      <c r="N2273" s="29" t="str">
        <f>IFERROR(__xludf.DUMMYFUNCTION("IF(ISBLANK(B2273),"""",IF(ISDATE(B2273),TEXT(B2273,""yyyy""),""""))"),"")</f>
        <v/>
      </c>
    </row>
    <row r="2274">
      <c r="B2274" s="89"/>
      <c r="C2274" s="86"/>
      <c r="D2274" s="71"/>
      <c r="H2274" s="90"/>
      <c r="J2274" s="53" t="str">
        <f>IFERROR(__xludf.DUMMYFUNCTION("IF(ISBLANK(B2274),"""",IF(ISDATE(B2274),""X"",""""))"),"")</f>
        <v/>
      </c>
      <c r="K2274" s="40" t="str">
        <f>IFERROR(__xludf.DUMMYFUNCTION("IF(ISBLANK(B2274),"""",IF(ISDATE(B2274),H2274,""""))"),"")</f>
        <v/>
      </c>
      <c r="L2274" s="40" t="str">
        <f>IFERROR(__xludf.DUMMYFUNCTION("IF(ISBLANK(B2274),"""",IF(ISDATE(B2274),TEXT(B2274,""M""),""""))"),"")</f>
        <v/>
      </c>
      <c r="M2274" s="29" t="str">
        <f>IFERROR(__xludf.DUMMYFUNCTION("IF(L2274="""","""",QUERY({'Dashboard-Dados'!$Y$2:$AA$13},""Select Col2 Where Col1=""&amp;L2274))"),"")</f>
        <v/>
      </c>
      <c r="N2274" s="29" t="str">
        <f>IFERROR(__xludf.DUMMYFUNCTION("IF(ISBLANK(B2274),"""",IF(ISDATE(B2274),TEXT(B2274,""yyyy""),""""))"),"")</f>
        <v/>
      </c>
    </row>
    <row r="2275">
      <c r="B2275" s="87"/>
      <c r="C2275" s="85"/>
      <c r="D2275" s="76"/>
      <c r="H2275" s="88"/>
      <c r="J2275" s="53" t="str">
        <f>IFERROR(__xludf.DUMMYFUNCTION("IF(ISBLANK(B2275),"""",IF(ISDATE(B2275),""X"",""""))"),"")</f>
        <v/>
      </c>
      <c r="K2275" s="40" t="str">
        <f>IFERROR(__xludf.DUMMYFUNCTION("IF(ISBLANK(B2275),"""",IF(ISDATE(B2275),H2275,""""))"),"")</f>
        <v/>
      </c>
      <c r="L2275" s="40" t="str">
        <f>IFERROR(__xludf.DUMMYFUNCTION("IF(ISBLANK(B2275),"""",IF(ISDATE(B2275),TEXT(B2275,""M""),""""))"),"")</f>
        <v/>
      </c>
      <c r="M2275" s="29" t="str">
        <f>IFERROR(__xludf.DUMMYFUNCTION("IF(L2275="""","""",QUERY({'Dashboard-Dados'!$Y$2:$AA$13},""Select Col2 Where Col1=""&amp;L2275))"),"")</f>
        <v/>
      </c>
      <c r="N2275" s="29" t="str">
        <f>IFERROR(__xludf.DUMMYFUNCTION("IF(ISBLANK(B2275),"""",IF(ISDATE(B2275),TEXT(B2275,""yyyy""),""""))"),"")</f>
        <v/>
      </c>
    </row>
    <row r="2276">
      <c r="B2276" s="89"/>
      <c r="C2276" s="86"/>
      <c r="D2276" s="71"/>
      <c r="H2276" s="90"/>
      <c r="J2276" s="53" t="str">
        <f>IFERROR(__xludf.DUMMYFUNCTION("IF(ISBLANK(B2276),"""",IF(ISDATE(B2276),""X"",""""))"),"")</f>
        <v/>
      </c>
      <c r="K2276" s="40" t="str">
        <f>IFERROR(__xludf.DUMMYFUNCTION("IF(ISBLANK(B2276),"""",IF(ISDATE(B2276),H2276,""""))"),"")</f>
        <v/>
      </c>
      <c r="L2276" s="40" t="str">
        <f>IFERROR(__xludf.DUMMYFUNCTION("IF(ISBLANK(B2276),"""",IF(ISDATE(B2276),TEXT(B2276,""M""),""""))"),"")</f>
        <v/>
      </c>
      <c r="M2276" s="29" t="str">
        <f>IFERROR(__xludf.DUMMYFUNCTION("IF(L2276="""","""",QUERY({'Dashboard-Dados'!$Y$2:$AA$13},""Select Col2 Where Col1=""&amp;L2276))"),"")</f>
        <v/>
      </c>
      <c r="N2276" s="29" t="str">
        <f>IFERROR(__xludf.DUMMYFUNCTION("IF(ISBLANK(B2276),"""",IF(ISDATE(B2276),TEXT(B2276,""yyyy""),""""))"),"")</f>
        <v/>
      </c>
    </row>
    <row r="2277">
      <c r="B2277" s="87"/>
      <c r="C2277" s="85"/>
      <c r="D2277" s="76"/>
      <c r="H2277" s="88"/>
      <c r="J2277" s="53" t="str">
        <f>IFERROR(__xludf.DUMMYFUNCTION("IF(ISBLANK(B2277),"""",IF(ISDATE(B2277),""X"",""""))"),"")</f>
        <v/>
      </c>
      <c r="K2277" s="40" t="str">
        <f>IFERROR(__xludf.DUMMYFUNCTION("IF(ISBLANK(B2277),"""",IF(ISDATE(B2277),H2277,""""))"),"")</f>
        <v/>
      </c>
      <c r="L2277" s="40" t="str">
        <f>IFERROR(__xludf.DUMMYFUNCTION("IF(ISBLANK(B2277),"""",IF(ISDATE(B2277),TEXT(B2277,""M""),""""))"),"")</f>
        <v/>
      </c>
      <c r="M2277" s="29" t="str">
        <f>IFERROR(__xludf.DUMMYFUNCTION("IF(L2277="""","""",QUERY({'Dashboard-Dados'!$Y$2:$AA$13},""Select Col2 Where Col1=""&amp;L2277))"),"")</f>
        <v/>
      </c>
      <c r="N2277" s="29" t="str">
        <f>IFERROR(__xludf.DUMMYFUNCTION("IF(ISBLANK(B2277),"""",IF(ISDATE(B2277),TEXT(B2277,""yyyy""),""""))"),"")</f>
        <v/>
      </c>
    </row>
    <row r="2278">
      <c r="B2278" s="89"/>
      <c r="C2278" s="86"/>
      <c r="D2278" s="71"/>
      <c r="H2278" s="90"/>
      <c r="J2278" s="53" t="str">
        <f>IFERROR(__xludf.DUMMYFUNCTION("IF(ISBLANK(B2278),"""",IF(ISDATE(B2278),""X"",""""))"),"")</f>
        <v/>
      </c>
      <c r="K2278" s="40" t="str">
        <f>IFERROR(__xludf.DUMMYFUNCTION("IF(ISBLANK(B2278),"""",IF(ISDATE(B2278),H2278,""""))"),"")</f>
        <v/>
      </c>
      <c r="L2278" s="40" t="str">
        <f>IFERROR(__xludf.DUMMYFUNCTION("IF(ISBLANK(B2278),"""",IF(ISDATE(B2278),TEXT(B2278,""M""),""""))"),"")</f>
        <v/>
      </c>
      <c r="M2278" s="29" t="str">
        <f>IFERROR(__xludf.DUMMYFUNCTION("IF(L2278="""","""",QUERY({'Dashboard-Dados'!$Y$2:$AA$13},""Select Col2 Where Col1=""&amp;L2278))"),"")</f>
        <v/>
      </c>
      <c r="N2278" s="29" t="str">
        <f>IFERROR(__xludf.DUMMYFUNCTION("IF(ISBLANK(B2278),"""",IF(ISDATE(B2278),TEXT(B2278,""yyyy""),""""))"),"")</f>
        <v/>
      </c>
    </row>
    <row r="2279">
      <c r="B2279" s="87"/>
      <c r="C2279" s="85"/>
      <c r="D2279" s="76"/>
      <c r="H2279" s="88"/>
      <c r="J2279" s="53" t="str">
        <f>IFERROR(__xludf.DUMMYFUNCTION("IF(ISBLANK(B2279),"""",IF(ISDATE(B2279),""X"",""""))"),"")</f>
        <v/>
      </c>
      <c r="K2279" s="40" t="str">
        <f>IFERROR(__xludf.DUMMYFUNCTION("IF(ISBLANK(B2279),"""",IF(ISDATE(B2279),H2279,""""))"),"")</f>
        <v/>
      </c>
      <c r="L2279" s="40" t="str">
        <f>IFERROR(__xludf.DUMMYFUNCTION("IF(ISBLANK(B2279),"""",IF(ISDATE(B2279),TEXT(B2279,""M""),""""))"),"")</f>
        <v/>
      </c>
      <c r="M2279" s="29" t="str">
        <f>IFERROR(__xludf.DUMMYFUNCTION("IF(L2279="""","""",QUERY({'Dashboard-Dados'!$Y$2:$AA$13},""Select Col2 Where Col1=""&amp;L2279))"),"")</f>
        <v/>
      </c>
      <c r="N2279" s="29" t="str">
        <f>IFERROR(__xludf.DUMMYFUNCTION("IF(ISBLANK(B2279),"""",IF(ISDATE(B2279),TEXT(B2279,""yyyy""),""""))"),"")</f>
        <v/>
      </c>
    </row>
    <row r="2280">
      <c r="B2280" s="89"/>
      <c r="C2280" s="86"/>
      <c r="D2280" s="71"/>
      <c r="H2280" s="90"/>
      <c r="J2280" s="53" t="str">
        <f>IFERROR(__xludf.DUMMYFUNCTION("IF(ISBLANK(B2280),"""",IF(ISDATE(B2280),""X"",""""))"),"")</f>
        <v/>
      </c>
      <c r="K2280" s="40" t="str">
        <f>IFERROR(__xludf.DUMMYFUNCTION("IF(ISBLANK(B2280),"""",IF(ISDATE(B2280),H2280,""""))"),"")</f>
        <v/>
      </c>
      <c r="L2280" s="40" t="str">
        <f>IFERROR(__xludf.DUMMYFUNCTION("IF(ISBLANK(B2280),"""",IF(ISDATE(B2280),TEXT(B2280,""M""),""""))"),"")</f>
        <v/>
      </c>
      <c r="M2280" s="29" t="str">
        <f>IFERROR(__xludf.DUMMYFUNCTION("IF(L2280="""","""",QUERY({'Dashboard-Dados'!$Y$2:$AA$13},""Select Col2 Where Col1=""&amp;L2280))"),"")</f>
        <v/>
      </c>
      <c r="N2280" s="29" t="str">
        <f>IFERROR(__xludf.DUMMYFUNCTION("IF(ISBLANK(B2280),"""",IF(ISDATE(B2280),TEXT(B2280,""yyyy""),""""))"),"")</f>
        <v/>
      </c>
    </row>
    <row r="2281">
      <c r="B2281" s="87"/>
      <c r="C2281" s="85"/>
      <c r="D2281" s="76"/>
      <c r="H2281" s="88"/>
      <c r="J2281" s="53" t="str">
        <f>IFERROR(__xludf.DUMMYFUNCTION("IF(ISBLANK(B2281),"""",IF(ISDATE(B2281),""X"",""""))"),"")</f>
        <v/>
      </c>
      <c r="K2281" s="40" t="str">
        <f>IFERROR(__xludf.DUMMYFUNCTION("IF(ISBLANK(B2281),"""",IF(ISDATE(B2281),H2281,""""))"),"")</f>
        <v/>
      </c>
      <c r="L2281" s="40" t="str">
        <f>IFERROR(__xludf.DUMMYFUNCTION("IF(ISBLANK(B2281),"""",IF(ISDATE(B2281),TEXT(B2281,""M""),""""))"),"")</f>
        <v/>
      </c>
      <c r="M2281" s="29" t="str">
        <f>IFERROR(__xludf.DUMMYFUNCTION("IF(L2281="""","""",QUERY({'Dashboard-Dados'!$Y$2:$AA$13},""Select Col2 Where Col1=""&amp;L2281))"),"")</f>
        <v/>
      </c>
      <c r="N2281" s="29" t="str">
        <f>IFERROR(__xludf.DUMMYFUNCTION("IF(ISBLANK(B2281),"""",IF(ISDATE(B2281),TEXT(B2281,""yyyy""),""""))"),"")</f>
        <v/>
      </c>
    </row>
    <row r="2282">
      <c r="B2282" s="89"/>
      <c r="C2282" s="86"/>
      <c r="D2282" s="71"/>
      <c r="H2282" s="90"/>
      <c r="J2282" s="53" t="str">
        <f>IFERROR(__xludf.DUMMYFUNCTION("IF(ISBLANK(B2282),"""",IF(ISDATE(B2282),""X"",""""))"),"")</f>
        <v/>
      </c>
      <c r="K2282" s="40" t="str">
        <f>IFERROR(__xludf.DUMMYFUNCTION("IF(ISBLANK(B2282),"""",IF(ISDATE(B2282),H2282,""""))"),"")</f>
        <v/>
      </c>
      <c r="L2282" s="40" t="str">
        <f>IFERROR(__xludf.DUMMYFUNCTION("IF(ISBLANK(B2282),"""",IF(ISDATE(B2282),TEXT(B2282,""M""),""""))"),"")</f>
        <v/>
      </c>
      <c r="M2282" s="29" t="str">
        <f>IFERROR(__xludf.DUMMYFUNCTION("IF(L2282="""","""",QUERY({'Dashboard-Dados'!$Y$2:$AA$13},""Select Col2 Where Col1=""&amp;L2282))"),"")</f>
        <v/>
      </c>
      <c r="N2282" s="29" t="str">
        <f>IFERROR(__xludf.DUMMYFUNCTION("IF(ISBLANK(B2282),"""",IF(ISDATE(B2282),TEXT(B2282,""yyyy""),""""))"),"")</f>
        <v/>
      </c>
    </row>
    <row r="2283">
      <c r="B2283" s="87"/>
      <c r="C2283" s="85"/>
      <c r="D2283" s="76"/>
      <c r="H2283" s="88"/>
      <c r="J2283" s="53" t="str">
        <f>IFERROR(__xludf.DUMMYFUNCTION("IF(ISBLANK(B2283),"""",IF(ISDATE(B2283),""X"",""""))"),"")</f>
        <v/>
      </c>
      <c r="K2283" s="40" t="str">
        <f>IFERROR(__xludf.DUMMYFUNCTION("IF(ISBLANK(B2283),"""",IF(ISDATE(B2283),H2283,""""))"),"")</f>
        <v/>
      </c>
      <c r="L2283" s="40" t="str">
        <f>IFERROR(__xludf.DUMMYFUNCTION("IF(ISBLANK(B2283),"""",IF(ISDATE(B2283),TEXT(B2283,""M""),""""))"),"")</f>
        <v/>
      </c>
      <c r="M2283" s="29" t="str">
        <f>IFERROR(__xludf.DUMMYFUNCTION("IF(L2283="""","""",QUERY({'Dashboard-Dados'!$Y$2:$AA$13},""Select Col2 Where Col1=""&amp;L2283))"),"")</f>
        <v/>
      </c>
      <c r="N2283" s="29" t="str">
        <f>IFERROR(__xludf.DUMMYFUNCTION("IF(ISBLANK(B2283),"""",IF(ISDATE(B2283),TEXT(B2283,""yyyy""),""""))"),"")</f>
        <v/>
      </c>
    </row>
    <row r="2284">
      <c r="B2284" s="89"/>
      <c r="C2284" s="86"/>
      <c r="D2284" s="71"/>
      <c r="H2284" s="90"/>
      <c r="J2284" s="53" t="str">
        <f>IFERROR(__xludf.DUMMYFUNCTION("IF(ISBLANK(B2284),"""",IF(ISDATE(B2284),""X"",""""))"),"")</f>
        <v/>
      </c>
      <c r="K2284" s="40" t="str">
        <f>IFERROR(__xludf.DUMMYFUNCTION("IF(ISBLANK(B2284),"""",IF(ISDATE(B2284),H2284,""""))"),"")</f>
        <v/>
      </c>
      <c r="L2284" s="40" t="str">
        <f>IFERROR(__xludf.DUMMYFUNCTION("IF(ISBLANK(B2284),"""",IF(ISDATE(B2284),TEXT(B2284,""M""),""""))"),"")</f>
        <v/>
      </c>
      <c r="M2284" s="29" t="str">
        <f>IFERROR(__xludf.DUMMYFUNCTION("IF(L2284="""","""",QUERY({'Dashboard-Dados'!$Y$2:$AA$13},""Select Col2 Where Col1=""&amp;L2284))"),"")</f>
        <v/>
      </c>
      <c r="N2284" s="29" t="str">
        <f>IFERROR(__xludf.DUMMYFUNCTION("IF(ISBLANK(B2284),"""",IF(ISDATE(B2284),TEXT(B2284,""yyyy""),""""))"),"")</f>
        <v/>
      </c>
    </row>
    <row r="2285">
      <c r="B2285" s="87"/>
      <c r="C2285" s="85"/>
      <c r="D2285" s="76"/>
      <c r="H2285" s="88"/>
      <c r="J2285" s="53" t="str">
        <f>IFERROR(__xludf.DUMMYFUNCTION("IF(ISBLANK(B2285),"""",IF(ISDATE(B2285),""X"",""""))"),"")</f>
        <v/>
      </c>
      <c r="K2285" s="40" t="str">
        <f>IFERROR(__xludf.DUMMYFUNCTION("IF(ISBLANK(B2285),"""",IF(ISDATE(B2285),H2285,""""))"),"")</f>
        <v/>
      </c>
      <c r="L2285" s="40" t="str">
        <f>IFERROR(__xludf.DUMMYFUNCTION("IF(ISBLANK(B2285),"""",IF(ISDATE(B2285),TEXT(B2285,""M""),""""))"),"")</f>
        <v/>
      </c>
      <c r="M2285" s="29" t="str">
        <f>IFERROR(__xludf.DUMMYFUNCTION("IF(L2285="""","""",QUERY({'Dashboard-Dados'!$Y$2:$AA$13},""Select Col2 Where Col1=""&amp;L2285))"),"")</f>
        <v/>
      </c>
      <c r="N2285" s="29" t="str">
        <f>IFERROR(__xludf.DUMMYFUNCTION("IF(ISBLANK(B2285),"""",IF(ISDATE(B2285),TEXT(B2285,""yyyy""),""""))"),"")</f>
        <v/>
      </c>
    </row>
    <row r="2286">
      <c r="B2286" s="89"/>
      <c r="C2286" s="86"/>
      <c r="D2286" s="71"/>
      <c r="H2286" s="90"/>
      <c r="J2286" s="53" t="str">
        <f>IFERROR(__xludf.DUMMYFUNCTION("IF(ISBLANK(B2286),"""",IF(ISDATE(B2286),""X"",""""))"),"")</f>
        <v/>
      </c>
      <c r="K2286" s="40" t="str">
        <f>IFERROR(__xludf.DUMMYFUNCTION("IF(ISBLANK(B2286),"""",IF(ISDATE(B2286),H2286,""""))"),"")</f>
        <v/>
      </c>
      <c r="L2286" s="40" t="str">
        <f>IFERROR(__xludf.DUMMYFUNCTION("IF(ISBLANK(B2286),"""",IF(ISDATE(B2286),TEXT(B2286,""M""),""""))"),"")</f>
        <v/>
      </c>
      <c r="M2286" s="29" t="str">
        <f>IFERROR(__xludf.DUMMYFUNCTION("IF(L2286="""","""",QUERY({'Dashboard-Dados'!$Y$2:$AA$13},""Select Col2 Where Col1=""&amp;L2286))"),"")</f>
        <v/>
      </c>
      <c r="N2286" s="29" t="str">
        <f>IFERROR(__xludf.DUMMYFUNCTION("IF(ISBLANK(B2286),"""",IF(ISDATE(B2286),TEXT(B2286,""yyyy""),""""))"),"")</f>
        <v/>
      </c>
    </row>
    <row r="2287">
      <c r="B2287" s="87"/>
      <c r="C2287" s="85"/>
      <c r="D2287" s="76"/>
      <c r="H2287" s="88"/>
      <c r="J2287" s="53" t="str">
        <f>IFERROR(__xludf.DUMMYFUNCTION("IF(ISBLANK(B2287),"""",IF(ISDATE(B2287),""X"",""""))"),"")</f>
        <v/>
      </c>
      <c r="K2287" s="40" t="str">
        <f>IFERROR(__xludf.DUMMYFUNCTION("IF(ISBLANK(B2287),"""",IF(ISDATE(B2287),H2287,""""))"),"")</f>
        <v/>
      </c>
      <c r="L2287" s="40" t="str">
        <f>IFERROR(__xludf.DUMMYFUNCTION("IF(ISBLANK(B2287),"""",IF(ISDATE(B2287),TEXT(B2287,""M""),""""))"),"")</f>
        <v/>
      </c>
      <c r="M2287" s="29" t="str">
        <f>IFERROR(__xludf.DUMMYFUNCTION("IF(L2287="""","""",QUERY({'Dashboard-Dados'!$Y$2:$AA$13},""Select Col2 Where Col1=""&amp;L2287))"),"")</f>
        <v/>
      </c>
      <c r="N2287" s="29" t="str">
        <f>IFERROR(__xludf.DUMMYFUNCTION("IF(ISBLANK(B2287),"""",IF(ISDATE(B2287),TEXT(B2287,""yyyy""),""""))"),"")</f>
        <v/>
      </c>
    </row>
    <row r="2288">
      <c r="B2288" s="89"/>
      <c r="C2288" s="86"/>
      <c r="D2288" s="71"/>
      <c r="H2288" s="90"/>
      <c r="J2288" s="53" t="str">
        <f>IFERROR(__xludf.DUMMYFUNCTION("IF(ISBLANK(B2288),"""",IF(ISDATE(B2288),""X"",""""))"),"")</f>
        <v/>
      </c>
      <c r="K2288" s="40" t="str">
        <f>IFERROR(__xludf.DUMMYFUNCTION("IF(ISBLANK(B2288),"""",IF(ISDATE(B2288),H2288,""""))"),"")</f>
        <v/>
      </c>
      <c r="L2288" s="40" t="str">
        <f>IFERROR(__xludf.DUMMYFUNCTION("IF(ISBLANK(B2288),"""",IF(ISDATE(B2288),TEXT(B2288,""M""),""""))"),"")</f>
        <v/>
      </c>
      <c r="M2288" s="29" t="str">
        <f>IFERROR(__xludf.DUMMYFUNCTION("IF(L2288="""","""",QUERY({'Dashboard-Dados'!$Y$2:$AA$13},""Select Col2 Where Col1=""&amp;L2288))"),"")</f>
        <v/>
      </c>
      <c r="N2288" s="29" t="str">
        <f>IFERROR(__xludf.DUMMYFUNCTION("IF(ISBLANK(B2288),"""",IF(ISDATE(B2288),TEXT(B2288,""yyyy""),""""))"),"")</f>
        <v/>
      </c>
    </row>
    <row r="2289">
      <c r="B2289" s="87"/>
      <c r="C2289" s="85"/>
      <c r="D2289" s="76"/>
      <c r="H2289" s="88"/>
      <c r="J2289" s="53" t="str">
        <f>IFERROR(__xludf.DUMMYFUNCTION("IF(ISBLANK(B2289),"""",IF(ISDATE(B2289),""X"",""""))"),"")</f>
        <v/>
      </c>
      <c r="K2289" s="40" t="str">
        <f>IFERROR(__xludf.DUMMYFUNCTION("IF(ISBLANK(B2289),"""",IF(ISDATE(B2289),H2289,""""))"),"")</f>
        <v/>
      </c>
      <c r="L2289" s="40" t="str">
        <f>IFERROR(__xludf.DUMMYFUNCTION("IF(ISBLANK(B2289),"""",IF(ISDATE(B2289),TEXT(B2289,""M""),""""))"),"")</f>
        <v/>
      </c>
      <c r="M2289" s="29" t="str">
        <f>IFERROR(__xludf.DUMMYFUNCTION("IF(L2289="""","""",QUERY({'Dashboard-Dados'!$Y$2:$AA$13},""Select Col2 Where Col1=""&amp;L2289))"),"")</f>
        <v/>
      </c>
      <c r="N2289" s="29" t="str">
        <f>IFERROR(__xludf.DUMMYFUNCTION("IF(ISBLANK(B2289),"""",IF(ISDATE(B2289),TEXT(B2289,""yyyy""),""""))"),"")</f>
        <v/>
      </c>
    </row>
    <row r="2290">
      <c r="B2290" s="89"/>
      <c r="C2290" s="86"/>
      <c r="D2290" s="71"/>
      <c r="H2290" s="90"/>
      <c r="J2290" s="53" t="str">
        <f>IFERROR(__xludf.DUMMYFUNCTION("IF(ISBLANK(B2290),"""",IF(ISDATE(B2290),""X"",""""))"),"")</f>
        <v/>
      </c>
      <c r="K2290" s="40" t="str">
        <f>IFERROR(__xludf.DUMMYFUNCTION("IF(ISBLANK(B2290),"""",IF(ISDATE(B2290),H2290,""""))"),"")</f>
        <v/>
      </c>
      <c r="L2290" s="40" t="str">
        <f>IFERROR(__xludf.DUMMYFUNCTION("IF(ISBLANK(B2290),"""",IF(ISDATE(B2290),TEXT(B2290,""M""),""""))"),"")</f>
        <v/>
      </c>
      <c r="M2290" s="29" t="str">
        <f>IFERROR(__xludf.DUMMYFUNCTION("IF(L2290="""","""",QUERY({'Dashboard-Dados'!$Y$2:$AA$13},""Select Col2 Where Col1=""&amp;L2290))"),"")</f>
        <v/>
      </c>
      <c r="N2290" s="29" t="str">
        <f>IFERROR(__xludf.DUMMYFUNCTION("IF(ISBLANK(B2290),"""",IF(ISDATE(B2290),TEXT(B2290,""yyyy""),""""))"),"")</f>
        <v/>
      </c>
    </row>
    <row r="2291">
      <c r="B2291" s="87"/>
      <c r="C2291" s="85"/>
      <c r="D2291" s="76"/>
      <c r="H2291" s="88"/>
      <c r="J2291" s="53" t="str">
        <f>IFERROR(__xludf.DUMMYFUNCTION("IF(ISBLANK(B2291),"""",IF(ISDATE(B2291),""X"",""""))"),"")</f>
        <v/>
      </c>
      <c r="K2291" s="40" t="str">
        <f>IFERROR(__xludf.DUMMYFUNCTION("IF(ISBLANK(B2291),"""",IF(ISDATE(B2291),H2291,""""))"),"")</f>
        <v/>
      </c>
      <c r="L2291" s="40" t="str">
        <f>IFERROR(__xludf.DUMMYFUNCTION("IF(ISBLANK(B2291),"""",IF(ISDATE(B2291),TEXT(B2291,""M""),""""))"),"")</f>
        <v/>
      </c>
      <c r="M2291" s="29" t="str">
        <f>IFERROR(__xludf.DUMMYFUNCTION("IF(L2291="""","""",QUERY({'Dashboard-Dados'!$Y$2:$AA$13},""Select Col2 Where Col1=""&amp;L2291))"),"")</f>
        <v/>
      </c>
      <c r="N2291" s="29" t="str">
        <f>IFERROR(__xludf.DUMMYFUNCTION("IF(ISBLANK(B2291),"""",IF(ISDATE(B2291),TEXT(B2291,""yyyy""),""""))"),"")</f>
        <v/>
      </c>
    </row>
    <row r="2292">
      <c r="B2292" s="89"/>
      <c r="C2292" s="86"/>
      <c r="D2292" s="71"/>
      <c r="H2292" s="90"/>
      <c r="J2292" s="53" t="str">
        <f>IFERROR(__xludf.DUMMYFUNCTION("IF(ISBLANK(B2292),"""",IF(ISDATE(B2292),""X"",""""))"),"")</f>
        <v/>
      </c>
      <c r="K2292" s="40" t="str">
        <f>IFERROR(__xludf.DUMMYFUNCTION("IF(ISBLANK(B2292),"""",IF(ISDATE(B2292),H2292,""""))"),"")</f>
        <v/>
      </c>
      <c r="L2292" s="40" t="str">
        <f>IFERROR(__xludf.DUMMYFUNCTION("IF(ISBLANK(B2292),"""",IF(ISDATE(B2292),TEXT(B2292,""M""),""""))"),"")</f>
        <v/>
      </c>
      <c r="M2292" s="29" t="str">
        <f>IFERROR(__xludf.DUMMYFUNCTION("IF(L2292="""","""",QUERY({'Dashboard-Dados'!$Y$2:$AA$13},""Select Col2 Where Col1=""&amp;L2292))"),"")</f>
        <v/>
      </c>
      <c r="N2292" s="29" t="str">
        <f>IFERROR(__xludf.DUMMYFUNCTION("IF(ISBLANK(B2292),"""",IF(ISDATE(B2292),TEXT(B2292,""yyyy""),""""))"),"")</f>
        <v/>
      </c>
    </row>
    <row r="2293">
      <c r="B2293" s="87"/>
      <c r="C2293" s="85"/>
      <c r="D2293" s="76"/>
      <c r="H2293" s="88"/>
      <c r="J2293" s="53" t="str">
        <f>IFERROR(__xludf.DUMMYFUNCTION("IF(ISBLANK(B2293),"""",IF(ISDATE(B2293),""X"",""""))"),"")</f>
        <v/>
      </c>
      <c r="K2293" s="40" t="str">
        <f>IFERROR(__xludf.DUMMYFUNCTION("IF(ISBLANK(B2293),"""",IF(ISDATE(B2293),H2293,""""))"),"")</f>
        <v/>
      </c>
      <c r="L2293" s="40" t="str">
        <f>IFERROR(__xludf.DUMMYFUNCTION("IF(ISBLANK(B2293),"""",IF(ISDATE(B2293),TEXT(B2293,""M""),""""))"),"")</f>
        <v/>
      </c>
      <c r="M2293" s="29" t="str">
        <f>IFERROR(__xludf.DUMMYFUNCTION("IF(L2293="""","""",QUERY({'Dashboard-Dados'!$Y$2:$AA$13},""Select Col2 Where Col1=""&amp;L2293))"),"")</f>
        <v/>
      </c>
      <c r="N2293" s="29" t="str">
        <f>IFERROR(__xludf.DUMMYFUNCTION("IF(ISBLANK(B2293),"""",IF(ISDATE(B2293),TEXT(B2293,""yyyy""),""""))"),"")</f>
        <v/>
      </c>
    </row>
    <row r="2294">
      <c r="B2294" s="89"/>
      <c r="C2294" s="86"/>
      <c r="D2294" s="71"/>
      <c r="H2294" s="90"/>
      <c r="J2294" s="53" t="str">
        <f>IFERROR(__xludf.DUMMYFUNCTION("IF(ISBLANK(B2294),"""",IF(ISDATE(B2294),""X"",""""))"),"")</f>
        <v/>
      </c>
      <c r="K2294" s="40" t="str">
        <f>IFERROR(__xludf.DUMMYFUNCTION("IF(ISBLANK(B2294),"""",IF(ISDATE(B2294),H2294,""""))"),"")</f>
        <v/>
      </c>
      <c r="L2294" s="40" t="str">
        <f>IFERROR(__xludf.DUMMYFUNCTION("IF(ISBLANK(B2294),"""",IF(ISDATE(B2294),TEXT(B2294,""M""),""""))"),"")</f>
        <v/>
      </c>
      <c r="M2294" s="29" t="str">
        <f>IFERROR(__xludf.DUMMYFUNCTION("IF(L2294="""","""",QUERY({'Dashboard-Dados'!$Y$2:$AA$13},""Select Col2 Where Col1=""&amp;L2294))"),"")</f>
        <v/>
      </c>
      <c r="N2294" s="29" t="str">
        <f>IFERROR(__xludf.DUMMYFUNCTION("IF(ISBLANK(B2294),"""",IF(ISDATE(B2294),TEXT(B2294,""yyyy""),""""))"),"")</f>
        <v/>
      </c>
    </row>
    <row r="2295">
      <c r="B2295" s="87"/>
      <c r="C2295" s="85"/>
      <c r="D2295" s="76"/>
      <c r="H2295" s="88"/>
      <c r="J2295" s="53" t="str">
        <f>IFERROR(__xludf.DUMMYFUNCTION("IF(ISBLANK(B2295),"""",IF(ISDATE(B2295),""X"",""""))"),"")</f>
        <v/>
      </c>
      <c r="K2295" s="40" t="str">
        <f>IFERROR(__xludf.DUMMYFUNCTION("IF(ISBLANK(B2295),"""",IF(ISDATE(B2295),H2295,""""))"),"")</f>
        <v/>
      </c>
      <c r="L2295" s="40" t="str">
        <f>IFERROR(__xludf.DUMMYFUNCTION("IF(ISBLANK(B2295),"""",IF(ISDATE(B2295),TEXT(B2295,""M""),""""))"),"")</f>
        <v/>
      </c>
      <c r="M2295" s="29" t="str">
        <f>IFERROR(__xludf.DUMMYFUNCTION("IF(L2295="""","""",QUERY({'Dashboard-Dados'!$Y$2:$AA$13},""Select Col2 Where Col1=""&amp;L2295))"),"")</f>
        <v/>
      </c>
      <c r="N2295" s="29" t="str">
        <f>IFERROR(__xludf.DUMMYFUNCTION("IF(ISBLANK(B2295),"""",IF(ISDATE(B2295),TEXT(B2295,""yyyy""),""""))"),"")</f>
        <v/>
      </c>
    </row>
    <row r="2296">
      <c r="B2296" s="89"/>
      <c r="C2296" s="86"/>
      <c r="D2296" s="71"/>
      <c r="H2296" s="90"/>
      <c r="J2296" s="53" t="str">
        <f>IFERROR(__xludf.DUMMYFUNCTION("IF(ISBLANK(B2296),"""",IF(ISDATE(B2296),""X"",""""))"),"")</f>
        <v/>
      </c>
      <c r="K2296" s="40" t="str">
        <f>IFERROR(__xludf.DUMMYFUNCTION("IF(ISBLANK(B2296),"""",IF(ISDATE(B2296),H2296,""""))"),"")</f>
        <v/>
      </c>
      <c r="L2296" s="40" t="str">
        <f>IFERROR(__xludf.DUMMYFUNCTION("IF(ISBLANK(B2296),"""",IF(ISDATE(B2296),TEXT(B2296,""M""),""""))"),"")</f>
        <v/>
      </c>
      <c r="M2296" s="29" t="str">
        <f>IFERROR(__xludf.DUMMYFUNCTION("IF(L2296="""","""",QUERY({'Dashboard-Dados'!$Y$2:$AA$13},""Select Col2 Where Col1=""&amp;L2296))"),"")</f>
        <v/>
      </c>
      <c r="N2296" s="29" t="str">
        <f>IFERROR(__xludf.DUMMYFUNCTION("IF(ISBLANK(B2296),"""",IF(ISDATE(B2296),TEXT(B2296,""yyyy""),""""))"),"")</f>
        <v/>
      </c>
    </row>
    <row r="2297">
      <c r="B2297" s="87"/>
      <c r="C2297" s="85"/>
      <c r="D2297" s="76"/>
      <c r="H2297" s="88"/>
      <c r="J2297" s="53" t="str">
        <f>IFERROR(__xludf.DUMMYFUNCTION("IF(ISBLANK(B2297),"""",IF(ISDATE(B2297),""X"",""""))"),"")</f>
        <v/>
      </c>
      <c r="K2297" s="40" t="str">
        <f>IFERROR(__xludf.DUMMYFUNCTION("IF(ISBLANK(B2297),"""",IF(ISDATE(B2297),H2297,""""))"),"")</f>
        <v/>
      </c>
      <c r="L2297" s="40" t="str">
        <f>IFERROR(__xludf.DUMMYFUNCTION("IF(ISBLANK(B2297),"""",IF(ISDATE(B2297),TEXT(B2297,""M""),""""))"),"")</f>
        <v/>
      </c>
      <c r="M2297" s="29" t="str">
        <f>IFERROR(__xludf.DUMMYFUNCTION("IF(L2297="""","""",QUERY({'Dashboard-Dados'!$Y$2:$AA$13},""Select Col2 Where Col1=""&amp;L2297))"),"")</f>
        <v/>
      </c>
      <c r="N2297" s="29" t="str">
        <f>IFERROR(__xludf.DUMMYFUNCTION("IF(ISBLANK(B2297),"""",IF(ISDATE(B2297),TEXT(B2297,""yyyy""),""""))"),"")</f>
        <v/>
      </c>
    </row>
    <row r="2298">
      <c r="B2298" s="89"/>
      <c r="C2298" s="86"/>
      <c r="D2298" s="71"/>
      <c r="H2298" s="90"/>
      <c r="J2298" s="53" t="str">
        <f>IFERROR(__xludf.DUMMYFUNCTION("IF(ISBLANK(B2298),"""",IF(ISDATE(B2298),""X"",""""))"),"")</f>
        <v/>
      </c>
      <c r="K2298" s="40" t="str">
        <f>IFERROR(__xludf.DUMMYFUNCTION("IF(ISBLANK(B2298),"""",IF(ISDATE(B2298),H2298,""""))"),"")</f>
        <v/>
      </c>
      <c r="L2298" s="40" t="str">
        <f>IFERROR(__xludf.DUMMYFUNCTION("IF(ISBLANK(B2298),"""",IF(ISDATE(B2298),TEXT(B2298,""M""),""""))"),"")</f>
        <v/>
      </c>
      <c r="M2298" s="29" t="str">
        <f>IFERROR(__xludf.DUMMYFUNCTION("IF(L2298="""","""",QUERY({'Dashboard-Dados'!$Y$2:$AA$13},""Select Col2 Where Col1=""&amp;L2298))"),"")</f>
        <v/>
      </c>
      <c r="N2298" s="29" t="str">
        <f>IFERROR(__xludf.DUMMYFUNCTION("IF(ISBLANK(B2298),"""",IF(ISDATE(B2298),TEXT(B2298,""yyyy""),""""))"),"")</f>
        <v/>
      </c>
    </row>
    <row r="2299">
      <c r="B2299" s="87"/>
      <c r="C2299" s="85"/>
      <c r="D2299" s="76"/>
      <c r="H2299" s="88"/>
      <c r="J2299" s="53" t="str">
        <f>IFERROR(__xludf.DUMMYFUNCTION("IF(ISBLANK(B2299),"""",IF(ISDATE(B2299),""X"",""""))"),"")</f>
        <v/>
      </c>
      <c r="K2299" s="40" t="str">
        <f>IFERROR(__xludf.DUMMYFUNCTION("IF(ISBLANK(B2299),"""",IF(ISDATE(B2299),H2299,""""))"),"")</f>
        <v/>
      </c>
      <c r="L2299" s="40" t="str">
        <f>IFERROR(__xludf.DUMMYFUNCTION("IF(ISBLANK(B2299),"""",IF(ISDATE(B2299),TEXT(B2299,""M""),""""))"),"")</f>
        <v/>
      </c>
      <c r="M2299" s="29" t="str">
        <f>IFERROR(__xludf.DUMMYFUNCTION("IF(L2299="""","""",QUERY({'Dashboard-Dados'!$Y$2:$AA$13},""Select Col2 Where Col1=""&amp;L2299))"),"")</f>
        <v/>
      </c>
      <c r="N2299" s="29" t="str">
        <f>IFERROR(__xludf.DUMMYFUNCTION("IF(ISBLANK(B2299),"""",IF(ISDATE(B2299),TEXT(B2299,""yyyy""),""""))"),"")</f>
        <v/>
      </c>
    </row>
    <row r="2300">
      <c r="B2300" s="89"/>
      <c r="C2300" s="86"/>
      <c r="D2300" s="71"/>
      <c r="H2300" s="90"/>
      <c r="J2300" s="53" t="str">
        <f>IFERROR(__xludf.DUMMYFUNCTION("IF(ISBLANK(B2300),"""",IF(ISDATE(B2300),""X"",""""))"),"")</f>
        <v/>
      </c>
      <c r="K2300" s="40" t="str">
        <f>IFERROR(__xludf.DUMMYFUNCTION("IF(ISBLANK(B2300),"""",IF(ISDATE(B2300),H2300,""""))"),"")</f>
        <v/>
      </c>
      <c r="L2300" s="40" t="str">
        <f>IFERROR(__xludf.DUMMYFUNCTION("IF(ISBLANK(B2300),"""",IF(ISDATE(B2300),TEXT(B2300,""M""),""""))"),"")</f>
        <v/>
      </c>
      <c r="M2300" s="29" t="str">
        <f>IFERROR(__xludf.DUMMYFUNCTION("IF(L2300="""","""",QUERY({'Dashboard-Dados'!$Y$2:$AA$13},""Select Col2 Where Col1=""&amp;L2300))"),"")</f>
        <v/>
      </c>
      <c r="N2300" s="29" t="str">
        <f>IFERROR(__xludf.DUMMYFUNCTION("IF(ISBLANK(B2300),"""",IF(ISDATE(B2300),TEXT(B2300,""yyyy""),""""))"),"")</f>
        <v/>
      </c>
    </row>
    <row r="2301">
      <c r="B2301" s="87"/>
      <c r="C2301" s="85"/>
      <c r="D2301" s="76"/>
      <c r="H2301" s="88"/>
      <c r="J2301" s="53" t="str">
        <f>IFERROR(__xludf.DUMMYFUNCTION("IF(ISBLANK(B2301),"""",IF(ISDATE(B2301),""X"",""""))"),"")</f>
        <v/>
      </c>
      <c r="K2301" s="40" t="str">
        <f>IFERROR(__xludf.DUMMYFUNCTION("IF(ISBLANK(B2301),"""",IF(ISDATE(B2301),H2301,""""))"),"")</f>
        <v/>
      </c>
      <c r="L2301" s="40" t="str">
        <f>IFERROR(__xludf.DUMMYFUNCTION("IF(ISBLANK(B2301),"""",IF(ISDATE(B2301),TEXT(B2301,""M""),""""))"),"")</f>
        <v/>
      </c>
      <c r="M2301" s="29" t="str">
        <f>IFERROR(__xludf.DUMMYFUNCTION("IF(L2301="""","""",QUERY({'Dashboard-Dados'!$Y$2:$AA$13},""Select Col2 Where Col1=""&amp;L2301))"),"")</f>
        <v/>
      </c>
      <c r="N2301" s="29" t="str">
        <f>IFERROR(__xludf.DUMMYFUNCTION("IF(ISBLANK(B2301),"""",IF(ISDATE(B2301),TEXT(B2301,""yyyy""),""""))"),"")</f>
        <v/>
      </c>
    </row>
    <row r="2302">
      <c r="B2302" s="89"/>
      <c r="C2302" s="86"/>
      <c r="D2302" s="71"/>
      <c r="H2302" s="90"/>
      <c r="J2302" s="53" t="str">
        <f>IFERROR(__xludf.DUMMYFUNCTION("IF(ISBLANK(B2302),"""",IF(ISDATE(B2302),""X"",""""))"),"")</f>
        <v/>
      </c>
      <c r="K2302" s="40" t="str">
        <f>IFERROR(__xludf.DUMMYFUNCTION("IF(ISBLANK(B2302),"""",IF(ISDATE(B2302),H2302,""""))"),"")</f>
        <v/>
      </c>
      <c r="L2302" s="40" t="str">
        <f>IFERROR(__xludf.DUMMYFUNCTION("IF(ISBLANK(B2302),"""",IF(ISDATE(B2302),TEXT(B2302,""M""),""""))"),"")</f>
        <v/>
      </c>
      <c r="M2302" s="29" t="str">
        <f>IFERROR(__xludf.DUMMYFUNCTION("IF(L2302="""","""",QUERY({'Dashboard-Dados'!$Y$2:$AA$13},""Select Col2 Where Col1=""&amp;L2302))"),"")</f>
        <v/>
      </c>
      <c r="N2302" s="29" t="str">
        <f>IFERROR(__xludf.DUMMYFUNCTION("IF(ISBLANK(B2302),"""",IF(ISDATE(B2302),TEXT(B2302,""yyyy""),""""))"),"")</f>
        <v/>
      </c>
    </row>
    <row r="2303">
      <c r="B2303" s="87"/>
      <c r="C2303" s="85"/>
      <c r="D2303" s="76"/>
      <c r="H2303" s="88"/>
      <c r="J2303" s="53" t="str">
        <f>IFERROR(__xludf.DUMMYFUNCTION("IF(ISBLANK(B2303),"""",IF(ISDATE(B2303),""X"",""""))"),"")</f>
        <v/>
      </c>
      <c r="K2303" s="40" t="str">
        <f>IFERROR(__xludf.DUMMYFUNCTION("IF(ISBLANK(B2303),"""",IF(ISDATE(B2303),H2303,""""))"),"")</f>
        <v/>
      </c>
      <c r="L2303" s="40" t="str">
        <f>IFERROR(__xludf.DUMMYFUNCTION("IF(ISBLANK(B2303),"""",IF(ISDATE(B2303),TEXT(B2303,""M""),""""))"),"")</f>
        <v/>
      </c>
      <c r="M2303" s="29" t="str">
        <f>IFERROR(__xludf.DUMMYFUNCTION("IF(L2303="""","""",QUERY({'Dashboard-Dados'!$Y$2:$AA$13},""Select Col2 Where Col1=""&amp;L2303))"),"")</f>
        <v/>
      </c>
      <c r="N2303" s="29" t="str">
        <f>IFERROR(__xludf.DUMMYFUNCTION("IF(ISBLANK(B2303),"""",IF(ISDATE(B2303),TEXT(B2303,""yyyy""),""""))"),"")</f>
        <v/>
      </c>
    </row>
    <row r="2304">
      <c r="B2304" s="89"/>
      <c r="C2304" s="86"/>
      <c r="D2304" s="71"/>
      <c r="H2304" s="90"/>
      <c r="J2304" s="53" t="str">
        <f>IFERROR(__xludf.DUMMYFUNCTION("IF(ISBLANK(B2304),"""",IF(ISDATE(B2304),""X"",""""))"),"")</f>
        <v/>
      </c>
      <c r="K2304" s="40" t="str">
        <f>IFERROR(__xludf.DUMMYFUNCTION("IF(ISBLANK(B2304),"""",IF(ISDATE(B2304),H2304,""""))"),"")</f>
        <v/>
      </c>
      <c r="L2304" s="40" t="str">
        <f>IFERROR(__xludf.DUMMYFUNCTION("IF(ISBLANK(B2304),"""",IF(ISDATE(B2304),TEXT(B2304,""M""),""""))"),"")</f>
        <v/>
      </c>
      <c r="M2304" s="29" t="str">
        <f>IFERROR(__xludf.DUMMYFUNCTION("IF(L2304="""","""",QUERY({'Dashboard-Dados'!$Y$2:$AA$13},""Select Col2 Where Col1=""&amp;L2304))"),"")</f>
        <v/>
      </c>
      <c r="N2304" s="29" t="str">
        <f>IFERROR(__xludf.DUMMYFUNCTION("IF(ISBLANK(B2304),"""",IF(ISDATE(B2304),TEXT(B2304,""yyyy""),""""))"),"")</f>
        <v/>
      </c>
    </row>
    <row r="2305">
      <c r="B2305" s="87"/>
      <c r="C2305" s="85"/>
      <c r="D2305" s="76"/>
      <c r="H2305" s="88"/>
      <c r="J2305" s="53" t="str">
        <f>IFERROR(__xludf.DUMMYFUNCTION("IF(ISBLANK(B2305),"""",IF(ISDATE(B2305),""X"",""""))"),"")</f>
        <v/>
      </c>
      <c r="K2305" s="40" t="str">
        <f>IFERROR(__xludf.DUMMYFUNCTION("IF(ISBLANK(B2305),"""",IF(ISDATE(B2305),H2305,""""))"),"")</f>
        <v/>
      </c>
      <c r="L2305" s="40" t="str">
        <f>IFERROR(__xludf.DUMMYFUNCTION("IF(ISBLANK(B2305),"""",IF(ISDATE(B2305),TEXT(B2305,""M""),""""))"),"")</f>
        <v/>
      </c>
      <c r="M2305" s="29" t="str">
        <f>IFERROR(__xludf.DUMMYFUNCTION("IF(L2305="""","""",QUERY({'Dashboard-Dados'!$Y$2:$AA$13},""Select Col2 Where Col1=""&amp;L2305))"),"")</f>
        <v/>
      </c>
      <c r="N2305" s="29" t="str">
        <f>IFERROR(__xludf.DUMMYFUNCTION("IF(ISBLANK(B2305),"""",IF(ISDATE(B2305),TEXT(B2305,""yyyy""),""""))"),"")</f>
        <v/>
      </c>
    </row>
    <row r="2306">
      <c r="B2306" s="89"/>
      <c r="C2306" s="86"/>
      <c r="D2306" s="71"/>
      <c r="H2306" s="90"/>
      <c r="J2306" s="53" t="str">
        <f>IFERROR(__xludf.DUMMYFUNCTION("IF(ISBLANK(B2306),"""",IF(ISDATE(B2306),""X"",""""))"),"")</f>
        <v/>
      </c>
      <c r="K2306" s="40" t="str">
        <f>IFERROR(__xludf.DUMMYFUNCTION("IF(ISBLANK(B2306),"""",IF(ISDATE(B2306),H2306,""""))"),"")</f>
        <v/>
      </c>
      <c r="L2306" s="40" t="str">
        <f>IFERROR(__xludf.DUMMYFUNCTION("IF(ISBLANK(B2306),"""",IF(ISDATE(B2306),TEXT(B2306,""M""),""""))"),"")</f>
        <v/>
      </c>
      <c r="M2306" s="29" t="str">
        <f>IFERROR(__xludf.DUMMYFUNCTION("IF(L2306="""","""",QUERY({'Dashboard-Dados'!$Y$2:$AA$13},""Select Col2 Where Col1=""&amp;L2306))"),"")</f>
        <v/>
      </c>
      <c r="N2306" s="29" t="str">
        <f>IFERROR(__xludf.DUMMYFUNCTION("IF(ISBLANK(B2306),"""",IF(ISDATE(B2306),TEXT(B2306,""yyyy""),""""))"),"")</f>
        <v/>
      </c>
    </row>
    <row r="2307">
      <c r="B2307" s="87"/>
      <c r="C2307" s="85"/>
      <c r="D2307" s="76"/>
      <c r="H2307" s="88"/>
      <c r="J2307" s="53" t="str">
        <f>IFERROR(__xludf.DUMMYFUNCTION("IF(ISBLANK(B2307),"""",IF(ISDATE(B2307),""X"",""""))"),"")</f>
        <v/>
      </c>
      <c r="K2307" s="40" t="str">
        <f>IFERROR(__xludf.DUMMYFUNCTION("IF(ISBLANK(B2307),"""",IF(ISDATE(B2307),H2307,""""))"),"")</f>
        <v/>
      </c>
      <c r="L2307" s="40" t="str">
        <f>IFERROR(__xludf.DUMMYFUNCTION("IF(ISBLANK(B2307),"""",IF(ISDATE(B2307),TEXT(B2307,""M""),""""))"),"")</f>
        <v/>
      </c>
      <c r="M2307" s="29" t="str">
        <f>IFERROR(__xludf.DUMMYFUNCTION("IF(L2307="""","""",QUERY({'Dashboard-Dados'!$Y$2:$AA$13},""Select Col2 Where Col1=""&amp;L2307))"),"")</f>
        <v/>
      </c>
      <c r="N2307" s="29" t="str">
        <f>IFERROR(__xludf.DUMMYFUNCTION("IF(ISBLANK(B2307),"""",IF(ISDATE(B2307),TEXT(B2307,""yyyy""),""""))"),"")</f>
        <v/>
      </c>
    </row>
    <row r="2308">
      <c r="B2308" s="89"/>
      <c r="C2308" s="86"/>
      <c r="D2308" s="71"/>
      <c r="H2308" s="90"/>
      <c r="J2308" s="53" t="str">
        <f>IFERROR(__xludf.DUMMYFUNCTION("IF(ISBLANK(B2308),"""",IF(ISDATE(B2308),""X"",""""))"),"")</f>
        <v/>
      </c>
      <c r="K2308" s="40" t="str">
        <f>IFERROR(__xludf.DUMMYFUNCTION("IF(ISBLANK(B2308),"""",IF(ISDATE(B2308),H2308,""""))"),"")</f>
        <v/>
      </c>
      <c r="L2308" s="40" t="str">
        <f>IFERROR(__xludf.DUMMYFUNCTION("IF(ISBLANK(B2308),"""",IF(ISDATE(B2308),TEXT(B2308,""M""),""""))"),"")</f>
        <v/>
      </c>
      <c r="M2308" s="29" t="str">
        <f>IFERROR(__xludf.DUMMYFUNCTION("IF(L2308="""","""",QUERY({'Dashboard-Dados'!$Y$2:$AA$13},""Select Col2 Where Col1=""&amp;L2308))"),"")</f>
        <v/>
      </c>
      <c r="N2308" s="29" t="str">
        <f>IFERROR(__xludf.DUMMYFUNCTION("IF(ISBLANK(B2308),"""",IF(ISDATE(B2308),TEXT(B2308,""yyyy""),""""))"),"")</f>
        <v/>
      </c>
    </row>
    <row r="2309">
      <c r="B2309" s="87"/>
      <c r="C2309" s="85"/>
      <c r="D2309" s="76"/>
      <c r="H2309" s="88"/>
      <c r="J2309" s="53" t="str">
        <f>IFERROR(__xludf.DUMMYFUNCTION("IF(ISBLANK(B2309),"""",IF(ISDATE(B2309),""X"",""""))"),"")</f>
        <v/>
      </c>
      <c r="K2309" s="40" t="str">
        <f>IFERROR(__xludf.DUMMYFUNCTION("IF(ISBLANK(B2309),"""",IF(ISDATE(B2309),H2309,""""))"),"")</f>
        <v/>
      </c>
      <c r="L2309" s="40" t="str">
        <f>IFERROR(__xludf.DUMMYFUNCTION("IF(ISBLANK(B2309),"""",IF(ISDATE(B2309),TEXT(B2309,""M""),""""))"),"")</f>
        <v/>
      </c>
      <c r="M2309" s="29" t="str">
        <f>IFERROR(__xludf.DUMMYFUNCTION("IF(L2309="""","""",QUERY({'Dashboard-Dados'!$Y$2:$AA$13},""Select Col2 Where Col1=""&amp;L2309))"),"")</f>
        <v/>
      </c>
      <c r="N2309" s="29" t="str">
        <f>IFERROR(__xludf.DUMMYFUNCTION("IF(ISBLANK(B2309),"""",IF(ISDATE(B2309),TEXT(B2309,""yyyy""),""""))"),"")</f>
        <v/>
      </c>
    </row>
    <row r="2310">
      <c r="B2310" s="89"/>
      <c r="C2310" s="86"/>
      <c r="D2310" s="71"/>
      <c r="H2310" s="90"/>
      <c r="J2310" s="53" t="str">
        <f>IFERROR(__xludf.DUMMYFUNCTION("IF(ISBLANK(B2310),"""",IF(ISDATE(B2310),""X"",""""))"),"")</f>
        <v/>
      </c>
      <c r="K2310" s="40" t="str">
        <f>IFERROR(__xludf.DUMMYFUNCTION("IF(ISBLANK(B2310),"""",IF(ISDATE(B2310),H2310,""""))"),"")</f>
        <v/>
      </c>
      <c r="L2310" s="40" t="str">
        <f>IFERROR(__xludf.DUMMYFUNCTION("IF(ISBLANK(B2310),"""",IF(ISDATE(B2310),TEXT(B2310,""M""),""""))"),"")</f>
        <v/>
      </c>
      <c r="M2310" s="29" t="str">
        <f>IFERROR(__xludf.DUMMYFUNCTION("IF(L2310="""","""",QUERY({'Dashboard-Dados'!$Y$2:$AA$13},""Select Col2 Where Col1=""&amp;L2310))"),"")</f>
        <v/>
      </c>
      <c r="N2310" s="29" t="str">
        <f>IFERROR(__xludf.DUMMYFUNCTION("IF(ISBLANK(B2310),"""",IF(ISDATE(B2310),TEXT(B2310,""yyyy""),""""))"),"")</f>
        <v/>
      </c>
    </row>
    <row r="2311">
      <c r="B2311" s="87"/>
      <c r="C2311" s="85"/>
      <c r="D2311" s="76"/>
      <c r="H2311" s="88"/>
      <c r="J2311" s="53" t="str">
        <f>IFERROR(__xludf.DUMMYFUNCTION("IF(ISBLANK(B2311),"""",IF(ISDATE(B2311),""X"",""""))"),"")</f>
        <v/>
      </c>
      <c r="K2311" s="40" t="str">
        <f>IFERROR(__xludf.DUMMYFUNCTION("IF(ISBLANK(B2311),"""",IF(ISDATE(B2311),H2311,""""))"),"")</f>
        <v/>
      </c>
      <c r="L2311" s="40" t="str">
        <f>IFERROR(__xludf.DUMMYFUNCTION("IF(ISBLANK(B2311),"""",IF(ISDATE(B2311),TEXT(B2311,""M""),""""))"),"")</f>
        <v/>
      </c>
      <c r="M2311" s="29" t="str">
        <f>IFERROR(__xludf.DUMMYFUNCTION("IF(L2311="""","""",QUERY({'Dashboard-Dados'!$Y$2:$AA$13},""Select Col2 Where Col1=""&amp;L2311))"),"")</f>
        <v/>
      </c>
      <c r="N2311" s="29" t="str">
        <f>IFERROR(__xludf.DUMMYFUNCTION("IF(ISBLANK(B2311),"""",IF(ISDATE(B2311),TEXT(B2311,""yyyy""),""""))"),"")</f>
        <v/>
      </c>
    </row>
    <row r="2312">
      <c r="B2312" s="89"/>
      <c r="C2312" s="86"/>
      <c r="D2312" s="71"/>
      <c r="H2312" s="90"/>
      <c r="J2312" s="53" t="str">
        <f>IFERROR(__xludf.DUMMYFUNCTION("IF(ISBLANK(B2312),"""",IF(ISDATE(B2312),""X"",""""))"),"")</f>
        <v/>
      </c>
      <c r="K2312" s="40" t="str">
        <f>IFERROR(__xludf.DUMMYFUNCTION("IF(ISBLANK(B2312),"""",IF(ISDATE(B2312),H2312,""""))"),"")</f>
        <v/>
      </c>
      <c r="L2312" s="40" t="str">
        <f>IFERROR(__xludf.DUMMYFUNCTION("IF(ISBLANK(B2312),"""",IF(ISDATE(B2312),TEXT(B2312,""M""),""""))"),"")</f>
        <v/>
      </c>
      <c r="M2312" s="29" t="str">
        <f>IFERROR(__xludf.DUMMYFUNCTION("IF(L2312="""","""",QUERY({'Dashboard-Dados'!$Y$2:$AA$13},""Select Col2 Where Col1=""&amp;L2312))"),"")</f>
        <v/>
      </c>
      <c r="N2312" s="29" t="str">
        <f>IFERROR(__xludf.DUMMYFUNCTION("IF(ISBLANK(B2312),"""",IF(ISDATE(B2312),TEXT(B2312,""yyyy""),""""))"),"")</f>
        <v/>
      </c>
    </row>
    <row r="2313">
      <c r="B2313" s="87"/>
      <c r="C2313" s="85"/>
      <c r="D2313" s="76"/>
      <c r="H2313" s="88"/>
      <c r="J2313" s="53" t="str">
        <f>IFERROR(__xludf.DUMMYFUNCTION("IF(ISBLANK(B2313),"""",IF(ISDATE(B2313),""X"",""""))"),"")</f>
        <v/>
      </c>
      <c r="K2313" s="40" t="str">
        <f>IFERROR(__xludf.DUMMYFUNCTION("IF(ISBLANK(B2313),"""",IF(ISDATE(B2313),H2313,""""))"),"")</f>
        <v/>
      </c>
      <c r="L2313" s="40" t="str">
        <f>IFERROR(__xludf.DUMMYFUNCTION("IF(ISBLANK(B2313),"""",IF(ISDATE(B2313),TEXT(B2313,""M""),""""))"),"")</f>
        <v/>
      </c>
      <c r="M2313" s="29" t="str">
        <f>IFERROR(__xludf.DUMMYFUNCTION("IF(L2313="""","""",QUERY({'Dashboard-Dados'!$Y$2:$AA$13},""Select Col2 Where Col1=""&amp;L2313))"),"")</f>
        <v/>
      </c>
      <c r="N2313" s="29" t="str">
        <f>IFERROR(__xludf.DUMMYFUNCTION("IF(ISBLANK(B2313),"""",IF(ISDATE(B2313),TEXT(B2313,""yyyy""),""""))"),"")</f>
        <v/>
      </c>
    </row>
    <row r="2314">
      <c r="B2314" s="89"/>
      <c r="C2314" s="86"/>
      <c r="D2314" s="71"/>
      <c r="H2314" s="90"/>
      <c r="J2314" s="53" t="str">
        <f>IFERROR(__xludf.DUMMYFUNCTION("IF(ISBLANK(B2314),"""",IF(ISDATE(B2314),""X"",""""))"),"")</f>
        <v/>
      </c>
      <c r="K2314" s="40" t="str">
        <f>IFERROR(__xludf.DUMMYFUNCTION("IF(ISBLANK(B2314),"""",IF(ISDATE(B2314),H2314,""""))"),"")</f>
        <v/>
      </c>
      <c r="L2314" s="40" t="str">
        <f>IFERROR(__xludf.DUMMYFUNCTION("IF(ISBLANK(B2314),"""",IF(ISDATE(B2314),TEXT(B2314,""M""),""""))"),"")</f>
        <v/>
      </c>
      <c r="M2314" s="29" t="str">
        <f>IFERROR(__xludf.DUMMYFUNCTION("IF(L2314="""","""",QUERY({'Dashboard-Dados'!$Y$2:$AA$13},""Select Col2 Where Col1=""&amp;L2314))"),"")</f>
        <v/>
      </c>
      <c r="N2314" s="29" t="str">
        <f>IFERROR(__xludf.DUMMYFUNCTION("IF(ISBLANK(B2314),"""",IF(ISDATE(B2314),TEXT(B2314,""yyyy""),""""))"),"")</f>
        <v/>
      </c>
    </row>
    <row r="2315">
      <c r="B2315" s="87"/>
      <c r="C2315" s="85"/>
      <c r="D2315" s="76"/>
      <c r="H2315" s="88"/>
      <c r="J2315" s="53" t="str">
        <f>IFERROR(__xludf.DUMMYFUNCTION("IF(ISBLANK(B2315),"""",IF(ISDATE(B2315),""X"",""""))"),"")</f>
        <v/>
      </c>
      <c r="K2315" s="40" t="str">
        <f>IFERROR(__xludf.DUMMYFUNCTION("IF(ISBLANK(B2315),"""",IF(ISDATE(B2315),H2315,""""))"),"")</f>
        <v/>
      </c>
      <c r="L2315" s="40" t="str">
        <f>IFERROR(__xludf.DUMMYFUNCTION("IF(ISBLANK(B2315),"""",IF(ISDATE(B2315),TEXT(B2315,""M""),""""))"),"")</f>
        <v/>
      </c>
      <c r="M2315" s="29" t="str">
        <f>IFERROR(__xludf.DUMMYFUNCTION("IF(L2315="""","""",QUERY({'Dashboard-Dados'!$Y$2:$AA$13},""Select Col2 Where Col1=""&amp;L2315))"),"")</f>
        <v/>
      </c>
      <c r="N2315" s="29" t="str">
        <f>IFERROR(__xludf.DUMMYFUNCTION("IF(ISBLANK(B2315),"""",IF(ISDATE(B2315),TEXT(B2315,""yyyy""),""""))"),"")</f>
        <v/>
      </c>
    </row>
    <row r="2316">
      <c r="B2316" s="89"/>
      <c r="C2316" s="86"/>
      <c r="D2316" s="71"/>
      <c r="H2316" s="90"/>
      <c r="J2316" s="53" t="str">
        <f>IFERROR(__xludf.DUMMYFUNCTION("IF(ISBLANK(B2316),"""",IF(ISDATE(B2316),""X"",""""))"),"")</f>
        <v/>
      </c>
      <c r="K2316" s="40" t="str">
        <f>IFERROR(__xludf.DUMMYFUNCTION("IF(ISBLANK(B2316),"""",IF(ISDATE(B2316),H2316,""""))"),"")</f>
        <v/>
      </c>
      <c r="L2316" s="40" t="str">
        <f>IFERROR(__xludf.DUMMYFUNCTION("IF(ISBLANK(B2316),"""",IF(ISDATE(B2316),TEXT(B2316,""M""),""""))"),"")</f>
        <v/>
      </c>
      <c r="M2316" s="29" t="str">
        <f>IFERROR(__xludf.DUMMYFUNCTION("IF(L2316="""","""",QUERY({'Dashboard-Dados'!$Y$2:$AA$13},""Select Col2 Where Col1=""&amp;L2316))"),"")</f>
        <v/>
      </c>
      <c r="N2316" s="29" t="str">
        <f>IFERROR(__xludf.DUMMYFUNCTION("IF(ISBLANK(B2316),"""",IF(ISDATE(B2316),TEXT(B2316,""yyyy""),""""))"),"")</f>
        <v/>
      </c>
    </row>
    <row r="2317">
      <c r="B2317" s="87"/>
      <c r="C2317" s="85"/>
      <c r="D2317" s="76"/>
      <c r="H2317" s="88"/>
      <c r="J2317" s="53" t="str">
        <f>IFERROR(__xludf.DUMMYFUNCTION("IF(ISBLANK(B2317),"""",IF(ISDATE(B2317),""X"",""""))"),"")</f>
        <v/>
      </c>
      <c r="K2317" s="40" t="str">
        <f>IFERROR(__xludf.DUMMYFUNCTION("IF(ISBLANK(B2317),"""",IF(ISDATE(B2317),H2317,""""))"),"")</f>
        <v/>
      </c>
      <c r="L2317" s="40" t="str">
        <f>IFERROR(__xludf.DUMMYFUNCTION("IF(ISBLANK(B2317),"""",IF(ISDATE(B2317),TEXT(B2317,""M""),""""))"),"")</f>
        <v/>
      </c>
      <c r="M2317" s="29" t="str">
        <f>IFERROR(__xludf.DUMMYFUNCTION("IF(L2317="""","""",QUERY({'Dashboard-Dados'!$Y$2:$AA$13},""Select Col2 Where Col1=""&amp;L2317))"),"")</f>
        <v/>
      </c>
      <c r="N2317" s="29" t="str">
        <f>IFERROR(__xludf.DUMMYFUNCTION("IF(ISBLANK(B2317),"""",IF(ISDATE(B2317),TEXT(B2317,""yyyy""),""""))"),"")</f>
        <v/>
      </c>
    </row>
    <row r="2318">
      <c r="B2318" s="89"/>
      <c r="C2318" s="86"/>
      <c r="D2318" s="71"/>
      <c r="H2318" s="90"/>
      <c r="J2318" s="53" t="str">
        <f>IFERROR(__xludf.DUMMYFUNCTION("IF(ISBLANK(B2318),"""",IF(ISDATE(B2318),""X"",""""))"),"")</f>
        <v/>
      </c>
      <c r="K2318" s="40" t="str">
        <f>IFERROR(__xludf.DUMMYFUNCTION("IF(ISBLANK(B2318),"""",IF(ISDATE(B2318),H2318,""""))"),"")</f>
        <v/>
      </c>
      <c r="L2318" s="40" t="str">
        <f>IFERROR(__xludf.DUMMYFUNCTION("IF(ISBLANK(B2318),"""",IF(ISDATE(B2318),TEXT(B2318,""M""),""""))"),"")</f>
        <v/>
      </c>
      <c r="M2318" s="29" t="str">
        <f>IFERROR(__xludf.DUMMYFUNCTION("IF(L2318="""","""",QUERY({'Dashboard-Dados'!$Y$2:$AA$13},""Select Col2 Where Col1=""&amp;L2318))"),"")</f>
        <v/>
      </c>
      <c r="N2318" s="29" t="str">
        <f>IFERROR(__xludf.DUMMYFUNCTION("IF(ISBLANK(B2318),"""",IF(ISDATE(B2318),TEXT(B2318,""yyyy""),""""))"),"")</f>
        <v/>
      </c>
    </row>
    <row r="2319">
      <c r="B2319" s="87"/>
      <c r="C2319" s="85"/>
      <c r="D2319" s="76"/>
      <c r="H2319" s="88"/>
      <c r="J2319" s="53" t="str">
        <f>IFERROR(__xludf.DUMMYFUNCTION("IF(ISBLANK(B2319),"""",IF(ISDATE(B2319),""X"",""""))"),"")</f>
        <v/>
      </c>
      <c r="K2319" s="40" t="str">
        <f>IFERROR(__xludf.DUMMYFUNCTION("IF(ISBLANK(B2319),"""",IF(ISDATE(B2319),H2319,""""))"),"")</f>
        <v/>
      </c>
      <c r="L2319" s="40" t="str">
        <f>IFERROR(__xludf.DUMMYFUNCTION("IF(ISBLANK(B2319),"""",IF(ISDATE(B2319),TEXT(B2319,""M""),""""))"),"")</f>
        <v/>
      </c>
      <c r="M2319" s="29" t="str">
        <f>IFERROR(__xludf.DUMMYFUNCTION("IF(L2319="""","""",QUERY({'Dashboard-Dados'!$Y$2:$AA$13},""Select Col2 Where Col1=""&amp;L2319))"),"")</f>
        <v/>
      </c>
      <c r="N2319" s="29" t="str">
        <f>IFERROR(__xludf.DUMMYFUNCTION("IF(ISBLANK(B2319),"""",IF(ISDATE(B2319),TEXT(B2319,""yyyy""),""""))"),"")</f>
        <v/>
      </c>
    </row>
    <row r="2320">
      <c r="B2320" s="89"/>
      <c r="C2320" s="86"/>
      <c r="D2320" s="71"/>
      <c r="H2320" s="90"/>
      <c r="J2320" s="53" t="str">
        <f>IFERROR(__xludf.DUMMYFUNCTION("IF(ISBLANK(B2320),"""",IF(ISDATE(B2320),""X"",""""))"),"")</f>
        <v/>
      </c>
      <c r="K2320" s="40" t="str">
        <f>IFERROR(__xludf.DUMMYFUNCTION("IF(ISBLANK(B2320),"""",IF(ISDATE(B2320),H2320,""""))"),"")</f>
        <v/>
      </c>
      <c r="L2320" s="40" t="str">
        <f>IFERROR(__xludf.DUMMYFUNCTION("IF(ISBLANK(B2320),"""",IF(ISDATE(B2320),TEXT(B2320,""M""),""""))"),"")</f>
        <v/>
      </c>
      <c r="M2320" s="29" t="str">
        <f>IFERROR(__xludf.DUMMYFUNCTION("IF(L2320="""","""",QUERY({'Dashboard-Dados'!$Y$2:$AA$13},""Select Col2 Where Col1=""&amp;L2320))"),"")</f>
        <v/>
      </c>
      <c r="N2320" s="29" t="str">
        <f>IFERROR(__xludf.DUMMYFUNCTION("IF(ISBLANK(B2320),"""",IF(ISDATE(B2320),TEXT(B2320,""yyyy""),""""))"),"")</f>
        <v/>
      </c>
    </row>
    <row r="2321">
      <c r="B2321" s="87"/>
      <c r="C2321" s="85"/>
      <c r="D2321" s="76"/>
      <c r="H2321" s="88"/>
      <c r="J2321" s="53" t="str">
        <f>IFERROR(__xludf.DUMMYFUNCTION("IF(ISBLANK(B2321),"""",IF(ISDATE(B2321),""X"",""""))"),"")</f>
        <v/>
      </c>
      <c r="K2321" s="40" t="str">
        <f>IFERROR(__xludf.DUMMYFUNCTION("IF(ISBLANK(B2321),"""",IF(ISDATE(B2321),H2321,""""))"),"")</f>
        <v/>
      </c>
      <c r="L2321" s="40" t="str">
        <f>IFERROR(__xludf.DUMMYFUNCTION("IF(ISBLANK(B2321),"""",IF(ISDATE(B2321),TEXT(B2321,""M""),""""))"),"")</f>
        <v/>
      </c>
      <c r="M2321" s="29" t="str">
        <f>IFERROR(__xludf.DUMMYFUNCTION("IF(L2321="""","""",QUERY({'Dashboard-Dados'!$Y$2:$AA$13},""Select Col2 Where Col1=""&amp;L2321))"),"")</f>
        <v/>
      </c>
      <c r="N2321" s="29" t="str">
        <f>IFERROR(__xludf.DUMMYFUNCTION("IF(ISBLANK(B2321),"""",IF(ISDATE(B2321),TEXT(B2321,""yyyy""),""""))"),"")</f>
        <v/>
      </c>
    </row>
    <row r="2322">
      <c r="B2322" s="89"/>
      <c r="C2322" s="86"/>
      <c r="D2322" s="71"/>
      <c r="H2322" s="90"/>
      <c r="J2322" s="53" t="str">
        <f>IFERROR(__xludf.DUMMYFUNCTION("IF(ISBLANK(B2322),"""",IF(ISDATE(B2322),""X"",""""))"),"")</f>
        <v/>
      </c>
      <c r="K2322" s="40" t="str">
        <f>IFERROR(__xludf.DUMMYFUNCTION("IF(ISBLANK(B2322),"""",IF(ISDATE(B2322),H2322,""""))"),"")</f>
        <v/>
      </c>
      <c r="L2322" s="40" t="str">
        <f>IFERROR(__xludf.DUMMYFUNCTION("IF(ISBLANK(B2322),"""",IF(ISDATE(B2322),TEXT(B2322,""M""),""""))"),"")</f>
        <v/>
      </c>
      <c r="M2322" s="29" t="str">
        <f>IFERROR(__xludf.DUMMYFUNCTION("IF(L2322="""","""",QUERY({'Dashboard-Dados'!$Y$2:$AA$13},""Select Col2 Where Col1=""&amp;L2322))"),"")</f>
        <v/>
      </c>
      <c r="N2322" s="29" t="str">
        <f>IFERROR(__xludf.DUMMYFUNCTION("IF(ISBLANK(B2322),"""",IF(ISDATE(B2322),TEXT(B2322,""yyyy""),""""))"),"")</f>
        <v/>
      </c>
    </row>
    <row r="2323">
      <c r="B2323" s="87"/>
      <c r="C2323" s="85"/>
      <c r="D2323" s="76"/>
      <c r="H2323" s="88"/>
      <c r="J2323" s="53" t="str">
        <f>IFERROR(__xludf.DUMMYFUNCTION("IF(ISBLANK(B2323),"""",IF(ISDATE(B2323),""X"",""""))"),"")</f>
        <v/>
      </c>
      <c r="K2323" s="40" t="str">
        <f>IFERROR(__xludf.DUMMYFUNCTION("IF(ISBLANK(B2323),"""",IF(ISDATE(B2323),H2323,""""))"),"")</f>
        <v/>
      </c>
      <c r="L2323" s="40" t="str">
        <f>IFERROR(__xludf.DUMMYFUNCTION("IF(ISBLANK(B2323),"""",IF(ISDATE(B2323),TEXT(B2323,""M""),""""))"),"")</f>
        <v/>
      </c>
      <c r="M2323" s="29" t="str">
        <f>IFERROR(__xludf.DUMMYFUNCTION("IF(L2323="""","""",QUERY({'Dashboard-Dados'!$Y$2:$AA$13},""Select Col2 Where Col1=""&amp;L2323))"),"")</f>
        <v/>
      </c>
      <c r="N2323" s="29" t="str">
        <f>IFERROR(__xludf.DUMMYFUNCTION("IF(ISBLANK(B2323),"""",IF(ISDATE(B2323),TEXT(B2323,""yyyy""),""""))"),"")</f>
        <v/>
      </c>
    </row>
    <row r="2324">
      <c r="B2324" s="89"/>
      <c r="C2324" s="86"/>
      <c r="D2324" s="71"/>
      <c r="H2324" s="90"/>
      <c r="J2324" s="53" t="str">
        <f>IFERROR(__xludf.DUMMYFUNCTION("IF(ISBLANK(B2324),"""",IF(ISDATE(B2324),""X"",""""))"),"")</f>
        <v/>
      </c>
      <c r="K2324" s="40" t="str">
        <f>IFERROR(__xludf.DUMMYFUNCTION("IF(ISBLANK(B2324),"""",IF(ISDATE(B2324),H2324,""""))"),"")</f>
        <v/>
      </c>
      <c r="L2324" s="40" t="str">
        <f>IFERROR(__xludf.DUMMYFUNCTION("IF(ISBLANK(B2324),"""",IF(ISDATE(B2324),TEXT(B2324,""M""),""""))"),"")</f>
        <v/>
      </c>
      <c r="M2324" s="29" t="str">
        <f>IFERROR(__xludf.DUMMYFUNCTION("IF(L2324="""","""",QUERY({'Dashboard-Dados'!$Y$2:$AA$13},""Select Col2 Where Col1=""&amp;L2324))"),"")</f>
        <v/>
      </c>
      <c r="N2324" s="29" t="str">
        <f>IFERROR(__xludf.DUMMYFUNCTION("IF(ISBLANK(B2324),"""",IF(ISDATE(B2324),TEXT(B2324,""yyyy""),""""))"),"")</f>
        <v/>
      </c>
    </row>
    <row r="2325">
      <c r="B2325" s="87"/>
      <c r="C2325" s="85"/>
      <c r="D2325" s="76"/>
      <c r="H2325" s="88"/>
      <c r="J2325" s="53" t="str">
        <f>IFERROR(__xludf.DUMMYFUNCTION("IF(ISBLANK(B2325),"""",IF(ISDATE(B2325),""X"",""""))"),"")</f>
        <v/>
      </c>
      <c r="K2325" s="40" t="str">
        <f>IFERROR(__xludf.DUMMYFUNCTION("IF(ISBLANK(B2325),"""",IF(ISDATE(B2325),H2325,""""))"),"")</f>
        <v/>
      </c>
      <c r="L2325" s="40" t="str">
        <f>IFERROR(__xludf.DUMMYFUNCTION("IF(ISBLANK(B2325),"""",IF(ISDATE(B2325),TEXT(B2325,""M""),""""))"),"")</f>
        <v/>
      </c>
      <c r="M2325" s="29" t="str">
        <f>IFERROR(__xludf.DUMMYFUNCTION("IF(L2325="""","""",QUERY({'Dashboard-Dados'!$Y$2:$AA$13},""Select Col2 Where Col1=""&amp;L2325))"),"")</f>
        <v/>
      </c>
      <c r="N2325" s="29" t="str">
        <f>IFERROR(__xludf.DUMMYFUNCTION("IF(ISBLANK(B2325),"""",IF(ISDATE(B2325),TEXT(B2325,""yyyy""),""""))"),"")</f>
        <v/>
      </c>
    </row>
    <row r="2326">
      <c r="B2326" s="89"/>
      <c r="C2326" s="86"/>
      <c r="D2326" s="71"/>
      <c r="H2326" s="90"/>
      <c r="J2326" s="53" t="str">
        <f>IFERROR(__xludf.DUMMYFUNCTION("IF(ISBLANK(B2326),"""",IF(ISDATE(B2326),""X"",""""))"),"")</f>
        <v/>
      </c>
      <c r="K2326" s="40" t="str">
        <f>IFERROR(__xludf.DUMMYFUNCTION("IF(ISBLANK(B2326),"""",IF(ISDATE(B2326),H2326,""""))"),"")</f>
        <v/>
      </c>
      <c r="L2326" s="40" t="str">
        <f>IFERROR(__xludf.DUMMYFUNCTION("IF(ISBLANK(B2326),"""",IF(ISDATE(B2326),TEXT(B2326,""M""),""""))"),"")</f>
        <v/>
      </c>
      <c r="M2326" s="29" t="str">
        <f>IFERROR(__xludf.DUMMYFUNCTION("IF(L2326="""","""",QUERY({'Dashboard-Dados'!$Y$2:$AA$13},""Select Col2 Where Col1=""&amp;L2326))"),"")</f>
        <v/>
      </c>
      <c r="N2326" s="29" t="str">
        <f>IFERROR(__xludf.DUMMYFUNCTION("IF(ISBLANK(B2326),"""",IF(ISDATE(B2326),TEXT(B2326,""yyyy""),""""))"),"")</f>
        <v/>
      </c>
    </row>
    <row r="2327">
      <c r="B2327" s="87"/>
      <c r="C2327" s="85"/>
      <c r="D2327" s="76"/>
      <c r="H2327" s="88"/>
      <c r="J2327" s="53" t="str">
        <f>IFERROR(__xludf.DUMMYFUNCTION("IF(ISBLANK(B2327),"""",IF(ISDATE(B2327),""X"",""""))"),"")</f>
        <v/>
      </c>
      <c r="K2327" s="40" t="str">
        <f>IFERROR(__xludf.DUMMYFUNCTION("IF(ISBLANK(B2327),"""",IF(ISDATE(B2327),H2327,""""))"),"")</f>
        <v/>
      </c>
      <c r="L2327" s="40" t="str">
        <f>IFERROR(__xludf.DUMMYFUNCTION("IF(ISBLANK(B2327),"""",IF(ISDATE(B2327),TEXT(B2327,""M""),""""))"),"")</f>
        <v/>
      </c>
      <c r="M2327" s="29" t="str">
        <f>IFERROR(__xludf.DUMMYFUNCTION("IF(L2327="""","""",QUERY({'Dashboard-Dados'!$Y$2:$AA$13},""Select Col2 Where Col1=""&amp;L2327))"),"")</f>
        <v/>
      </c>
      <c r="N2327" s="29" t="str">
        <f>IFERROR(__xludf.DUMMYFUNCTION("IF(ISBLANK(B2327),"""",IF(ISDATE(B2327),TEXT(B2327,""yyyy""),""""))"),"")</f>
        <v/>
      </c>
    </row>
    <row r="2328">
      <c r="B2328" s="89"/>
      <c r="C2328" s="86"/>
      <c r="D2328" s="71"/>
      <c r="H2328" s="90"/>
      <c r="J2328" s="53" t="str">
        <f>IFERROR(__xludf.DUMMYFUNCTION("IF(ISBLANK(B2328),"""",IF(ISDATE(B2328),""X"",""""))"),"")</f>
        <v/>
      </c>
      <c r="K2328" s="40" t="str">
        <f>IFERROR(__xludf.DUMMYFUNCTION("IF(ISBLANK(B2328),"""",IF(ISDATE(B2328),H2328,""""))"),"")</f>
        <v/>
      </c>
      <c r="L2328" s="40" t="str">
        <f>IFERROR(__xludf.DUMMYFUNCTION("IF(ISBLANK(B2328),"""",IF(ISDATE(B2328),TEXT(B2328,""M""),""""))"),"")</f>
        <v/>
      </c>
      <c r="M2328" s="29" t="str">
        <f>IFERROR(__xludf.DUMMYFUNCTION("IF(L2328="""","""",QUERY({'Dashboard-Dados'!$Y$2:$AA$13},""Select Col2 Where Col1=""&amp;L2328))"),"")</f>
        <v/>
      </c>
      <c r="N2328" s="29" t="str">
        <f>IFERROR(__xludf.DUMMYFUNCTION("IF(ISBLANK(B2328),"""",IF(ISDATE(B2328),TEXT(B2328,""yyyy""),""""))"),"")</f>
        <v/>
      </c>
    </row>
    <row r="2329">
      <c r="B2329" s="87"/>
      <c r="C2329" s="85"/>
      <c r="D2329" s="76"/>
      <c r="H2329" s="88"/>
      <c r="J2329" s="53" t="str">
        <f>IFERROR(__xludf.DUMMYFUNCTION("IF(ISBLANK(B2329),"""",IF(ISDATE(B2329),""X"",""""))"),"")</f>
        <v/>
      </c>
      <c r="K2329" s="40" t="str">
        <f>IFERROR(__xludf.DUMMYFUNCTION("IF(ISBLANK(B2329),"""",IF(ISDATE(B2329),H2329,""""))"),"")</f>
        <v/>
      </c>
      <c r="L2329" s="40" t="str">
        <f>IFERROR(__xludf.DUMMYFUNCTION("IF(ISBLANK(B2329),"""",IF(ISDATE(B2329),TEXT(B2329,""M""),""""))"),"")</f>
        <v/>
      </c>
      <c r="M2329" s="29" t="str">
        <f>IFERROR(__xludf.DUMMYFUNCTION("IF(L2329="""","""",QUERY({'Dashboard-Dados'!$Y$2:$AA$13},""Select Col2 Where Col1=""&amp;L2329))"),"")</f>
        <v/>
      </c>
      <c r="N2329" s="29" t="str">
        <f>IFERROR(__xludf.DUMMYFUNCTION("IF(ISBLANK(B2329),"""",IF(ISDATE(B2329),TEXT(B2329,""yyyy""),""""))"),"")</f>
        <v/>
      </c>
    </row>
    <row r="2330">
      <c r="B2330" s="89"/>
      <c r="C2330" s="86"/>
      <c r="D2330" s="71"/>
      <c r="H2330" s="90"/>
      <c r="J2330" s="53" t="str">
        <f>IFERROR(__xludf.DUMMYFUNCTION("IF(ISBLANK(B2330),"""",IF(ISDATE(B2330),""X"",""""))"),"")</f>
        <v/>
      </c>
      <c r="K2330" s="40" t="str">
        <f>IFERROR(__xludf.DUMMYFUNCTION("IF(ISBLANK(B2330),"""",IF(ISDATE(B2330),H2330,""""))"),"")</f>
        <v/>
      </c>
      <c r="L2330" s="40" t="str">
        <f>IFERROR(__xludf.DUMMYFUNCTION("IF(ISBLANK(B2330),"""",IF(ISDATE(B2330),TEXT(B2330,""M""),""""))"),"")</f>
        <v/>
      </c>
      <c r="M2330" s="29" t="str">
        <f>IFERROR(__xludf.DUMMYFUNCTION("IF(L2330="""","""",QUERY({'Dashboard-Dados'!$Y$2:$AA$13},""Select Col2 Where Col1=""&amp;L2330))"),"")</f>
        <v/>
      </c>
      <c r="N2330" s="29" t="str">
        <f>IFERROR(__xludf.DUMMYFUNCTION("IF(ISBLANK(B2330),"""",IF(ISDATE(B2330),TEXT(B2330,""yyyy""),""""))"),"")</f>
        <v/>
      </c>
    </row>
    <row r="2331">
      <c r="B2331" s="87"/>
      <c r="C2331" s="85"/>
      <c r="D2331" s="76"/>
      <c r="H2331" s="88"/>
      <c r="J2331" s="53" t="str">
        <f>IFERROR(__xludf.DUMMYFUNCTION("IF(ISBLANK(B2331),"""",IF(ISDATE(B2331),""X"",""""))"),"")</f>
        <v/>
      </c>
      <c r="K2331" s="40" t="str">
        <f>IFERROR(__xludf.DUMMYFUNCTION("IF(ISBLANK(B2331),"""",IF(ISDATE(B2331),H2331,""""))"),"")</f>
        <v/>
      </c>
      <c r="L2331" s="40" t="str">
        <f>IFERROR(__xludf.DUMMYFUNCTION("IF(ISBLANK(B2331),"""",IF(ISDATE(B2331),TEXT(B2331,""M""),""""))"),"")</f>
        <v/>
      </c>
      <c r="M2331" s="29" t="str">
        <f>IFERROR(__xludf.DUMMYFUNCTION("IF(L2331="""","""",QUERY({'Dashboard-Dados'!$Y$2:$AA$13},""Select Col2 Where Col1=""&amp;L2331))"),"")</f>
        <v/>
      </c>
      <c r="N2331" s="29" t="str">
        <f>IFERROR(__xludf.DUMMYFUNCTION("IF(ISBLANK(B2331),"""",IF(ISDATE(B2331),TEXT(B2331,""yyyy""),""""))"),"")</f>
        <v/>
      </c>
    </row>
    <row r="2332">
      <c r="B2332" s="89"/>
      <c r="C2332" s="86"/>
      <c r="D2332" s="71"/>
      <c r="H2332" s="90"/>
      <c r="J2332" s="53" t="str">
        <f>IFERROR(__xludf.DUMMYFUNCTION("IF(ISBLANK(B2332),"""",IF(ISDATE(B2332),""X"",""""))"),"")</f>
        <v/>
      </c>
      <c r="K2332" s="40" t="str">
        <f>IFERROR(__xludf.DUMMYFUNCTION("IF(ISBLANK(B2332),"""",IF(ISDATE(B2332),H2332,""""))"),"")</f>
        <v/>
      </c>
      <c r="L2332" s="40" t="str">
        <f>IFERROR(__xludf.DUMMYFUNCTION("IF(ISBLANK(B2332),"""",IF(ISDATE(B2332),TEXT(B2332,""M""),""""))"),"")</f>
        <v/>
      </c>
      <c r="M2332" s="29" t="str">
        <f>IFERROR(__xludf.DUMMYFUNCTION("IF(L2332="""","""",QUERY({'Dashboard-Dados'!$Y$2:$AA$13},""Select Col2 Where Col1=""&amp;L2332))"),"")</f>
        <v/>
      </c>
      <c r="N2332" s="29" t="str">
        <f>IFERROR(__xludf.DUMMYFUNCTION("IF(ISBLANK(B2332),"""",IF(ISDATE(B2332),TEXT(B2332,""yyyy""),""""))"),"")</f>
        <v/>
      </c>
    </row>
    <row r="2333">
      <c r="B2333" s="87"/>
      <c r="C2333" s="85"/>
      <c r="D2333" s="76"/>
      <c r="H2333" s="88"/>
      <c r="J2333" s="53" t="str">
        <f>IFERROR(__xludf.DUMMYFUNCTION("IF(ISBLANK(B2333),"""",IF(ISDATE(B2333),""X"",""""))"),"")</f>
        <v/>
      </c>
      <c r="K2333" s="40" t="str">
        <f>IFERROR(__xludf.DUMMYFUNCTION("IF(ISBLANK(B2333),"""",IF(ISDATE(B2333),H2333,""""))"),"")</f>
        <v/>
      </c>
      <c r="L2333" s="40" t="str">
        <f>IFERROR(__xludf.DUMMYFUNCTION("IF(ISBLANK(B2333),"""",IF(ISDATE(B2333),TEXT(B2333,""M""),""""))"),"")</f>
        <v/>
      </c>
      <c r="M2333" s="29" t="str">
        <f>IFERROR(__xludf.DUMMYFUNCTION("IF(L2333="""","""",QUERY({'Dashboard-Dados'!$Y$2:$AA$13},""Select Col2 Where Col1=""&amp;L2333))"),"")</f>
        <v/>
      </c>
      <c r="N2333" s="29" t="str">
        <f>IFERROR(__xludf.DUMMYFUNCTION("IF(ISBLANK(B2333),"""",IF(ISDATE(B2333),TEXT(B2333,""yyyy""),""""))"),"")</f>
        <v/>
      </c>
    </row>
    <row r="2334">
      <c r="B2334" s="89"/>
      <c r="C2334" s="86"/>
      <c r="D2334" s="71"/>
      <c r="H2334" s="90"/>
      <c r="J2334" s="53" t="str">
        <f>IFERROR(__xludf.DUMMYFUNCTION("IF(ISBLANK(B2334),"""",IF(ISDATE(B2334),""X"",""""))"),"")</f>
        <v/>
      </c>
      <c r="K2334" s="40" t="str">
        <f>IFERROR(__xludf.DUMMYFUNCTION("IF(ISBLANK(B2334),"""",IF(ISDATE(B2334),H2334,""""))"),"")</f>
        <v/>
      </c>
      <c r="L2334" s="40" t="str">
        <f>IFERROR(__xludf.DUMMYFUNCTION("IF(ISBLANK(B2334),"""",IF(ISDATE(B2334),TEXT(B2334,""M""),""""))"),"")</f>
        <v/>
      </c>
      <c r="M2334" s="29" t="str">
        <f>IFERROR(__xludf.DUMMYFUNCTION("IF(L2334="""","""",QUERY({'Dashboard-Dados'!$Y$2:$AA$13},""Select Col2 Where Col1=""&amp;L2334))"),"")</f>
        <v/>
      </c>
      <c r="N2334" s="29" t="str">
        <f>IFERROR(__xludf.DUMMYFUNCTION("IF(ISBLANK(B2334),"""",IF(ISDATE(B2334),TEXT(B2334,""yyyy""),""""))"),"")</f>
        <v/>
      </c>
    </row>
    <row r="2335">
      <c r="B2335" s="87"/>
      <c r="C2335" s="85"/>
      <c r="D2335" s="76"/>
      <c r="H2335" s="88"/>
      <c r="J2335" s="53" t="str">
        <f>IFERROR(__xludf.DUMMYFUNCTION("IF(ISBLANK(B2335),"""",IF(ISDATE(B2335),""X"",""""))"),"")</f>
        <v/>
      </c>
      <c r="K2335" s="40" t="str">
        <f>IFERROR(__xludf.DUMMYFUNCTION("IF(ISBLANK(B2335),"""",IF(ISDATE(B2335),H2335,""""))"),"")</f>
        <v/>
      </c>
      <c r="L2335" s="40" t="str">
        <f>IFERROR(__xludf.DUMMYFUNCTION("IF(ISBLANK(B2335),"""",IF(ISDATE(B2335),TEXT(B2335,""M""),""""))"),"")</f>
        <v/>
      </c>
      <c r="M2335" s="29" t="str">
        <f>IFERROR(__xludf.DUMMYFUNCTION("IF(L2335="""","""",QUERY({'Dashboard-Dados'!$Y$2:$AA$13},""Select Col2 Where Col1=""&amp;L2335))"),"")</f>
        <v/>
      </c>
      <c r="N2335" s="29" t="str">
        <f>IFERROR(__xludf.DUMMYFUNCTION("IF(ISBLANK(B2335),"""",IF(ISDATE(B2335),TEXT(B2335,""yyyy""),""""))"),"")</f>
        <v/>
      </c>
    </row>
    <row r="2336">
      <c r="B2336" s="89"/>
      <c r="C2336" s="86"/>
      <c r="D2336" s="71"/>
      <c r="H2336" s="90"/>
      <c r="J2336" s="53" t="str">
        <f>IFERROR(__xludf.DUMMYFUNCTION("IF(ISBLANK(B2336),"""",IF(ISDATE(B2336),""X"",""""))"),"")</f>
        <v/>
      </c>
      <c r="K2336" s="40" t="str">
        <f>IFERROR(__xludf.DUMMYFUNCTION("IF(ISBLANK(B2336),"""",IF(ISDATE(B2336),H2336,""""))"),"")</f>
        <v/>
      </c>
      <c r="L2336" s="40" t="str">
        <f>IFERROR(__xludf.DUMMYFUNCTION("IF(ISBLANK(B2336),"""",IF(ISDATE(B2336),TEXT(B2336,""M""),""""))"),"")</f>
        <v/>
      </c>
      <c r="M2336" s="29" t="str">
        <f>IFERROR(__xludf.DUMMYFUNCTION("IF(L2336="""","""",QUERY({'Dashboard-Dados'!$Y$2:$AA$13},""Select Col2 Where Col1=""&amp;L2336))"),"")</f>
        <v/>
      </c>
      <c r="N2336" s="29" t="str">
        <f>IFERROR(__xludf.DUMMYFUNCTION("IF(ISBLANK(B2336),"""",IF(ISDATE(B2336),TEXT(B2336,""yyyy""),""""))"),"")</f>
        <v/>
      </c>
    </row>
    <row r="2337">
      <c r="B2337" s="87"/>
      <c r="C2337" s="85"/>
      <c r="D2337" s="76"/>
      <c r="H2337" s="88"/>
      <c r="J2337" s="53" t="str">
        <f>IFERROR(__xludf.DUMMYFUNCTION("IF(ISBLANK(B2337),"""",IF(ISDATE(B2337),""X"",""""))"),"")</f>
        <v/>
      </c>
      <c r="K2337" s="40" t="str">
        <f>IFERROR(__xludf.DUMMYFUNCTION("IF(ISBLANK(B2337),"""",IF(ISDATE(B2337),H2337,""""))"),"")</f>
        <v/>
      </c>
      <c r="L2337" s="40" t="str">
        <f>IFERROR(__xludf.DUMMYFUNCTION("IF(ISBLANK(B2337),"""",IF(ISDATE(B2337),TEXT(B2337,""M""),""""))"),"")</f>
        <v/>
      </c>
      <c r="M2337" s="29" t="str">
        <f>IFERROR(__xludf.DUMMYFUNCTION("IF(L2337="""","""",QUERY({'Dashboard-Dados'!$Y$2:$AA$13},""Select Col2 Where Col1=""&amp;L2337))"),"")</f>
        <v/>
      </c>
      <c r="N2337" s="29" t="str">
        <f>IFERROR(__xludf.DUMMYFUNCTION("IF(ISBLANK(B2337),"""",IF(ISDATE(B2337),TEXT(B2337,""yyyy""),""""))"),"")</f>
        <v/>
      </c>
    </row>
    <row r="2338">
      <c r="B2338" s="89"/>
      <c r="C2338" s="86"/>
      <c r="D2338" s="71"/>
      <c r="H2338" s="90"/>
      <c r="J2338" s="53" t="str">
        <f>IFERROR(__xludf.DUMMYFUNCTION("IF(ISBLANK(B2338),"""",IF(ISDATE(B2338),""X"",""""))"),"")</f>
        <v/>
      </c>
      <c r="K2338" s="40" t="str">
        <f>IFERROR(__xludf.DUMMYFUNCTION("IF(ISBLANK(B2338),"""",IF(ISDATE(B2338),H2338,""""))"),"")</f>
        <v/>
      </c>
      <c r="L2338" s="40" t="str">
        <f>IFERROR(__xludf.DUMMYFUNCTION("IF(ISBLANK(B2338),"""",IF(ISDATE(B2338),TEXT(B2338,""M""),""""))"),"")</f>
        <v/>
      </c>
      <c r="M2338" s="29" t="str">
        <f>IFERROR(__xludf.DUMMYFUNCTION("IF(L2338="""","""",QUERY({'Dashboard-Dados'!$Y$2:$AA$13},""Select Col2 Where Col1=""&amp;L2338))"),"")</f>
        <v/>
      </c>
      <c r="N2338" s="29" t="str">
        <f>IFERROR(__xludf.DUMMYFUNCTION("IF(ISBLANK(B2338),"""",IF(ISDATE(B2338),TEXT(B2338,""yyyy""),""""))"),"")</f>
        <v/>
      </c>
    </row>
    <row r="2339">
      <c r="B2339" s="87"/>
      <c r="C2339" s="85"/>
      <c r="D2339" s="76"/>
      <c r="H2339" s="88"/>
      <c r="J2339" s="53" t="str">
        <f>IFERROR(__xludf.DUMMYFUNCTION("IF(ISBLANK(B2339),"""",IF(ISDATE(B2339),""X"",""""))"),"")</f>
        <v/>
      </c>
      <c r="K2339" s="40" t="str">
        <f>IFERROR(__xludf.DUMMYFUNCTION("IF(ISBLANK(B2339),"""",IF(ISDATE(B2339),H2339,""""))"),"")</f>
        <v/>
      </c>
      <c r="L2339" s="40" t="str">
        <f>IFERROR(__xludf.DUMMYFUNCTION("IF(ISBLANK(B2339),"""",IF(ISDATE(B2339),TEXT(B2339,""M""),""""))"),"")</f>
        <v/>
      </c>
      <c r="M2339" s="29" t="str">
        <f>IFERROR(__xludf.DUMMYFUNCTION("IF(L2339="""","""",QUERY({'Dashboard-Dados'!$Y$2:$AA$13},""Select Col2 Where Col1=""&amp;L2339))"),"")</f>
        <v/>
      </c>
      <c r="N2339" s="29" t="str">
        <f>IFERROR(__xludf.DUMMYFUNCTION("IF(ISBLANK(B2339),"""",IF(ISDATE(B2339),TEXT(B2339,""yyyy""),""""))"),"")</f>
        <v/>
      </c>
    </row>
    <row r="2340">
      <c r="B2340" s="89"/>
      <c r="C2340" s="86"/>
      <c r="D2340" s="71"/>
      <c r="H2340" s="90"/>
      <c r="J2340" s="53" t="str">
        <f>IFERROR(__xludf.DUMMYFUNCTION("IF(ISBLANK(B2340),"""",IF(ISDATE(B2340),""X"",""""))"),"")</f>
        <v/>
      </c>
      <c r="K2340" s="40" t="str">
        <f>IFERROR(__xludf.DUMMYFUNCTION("IF(ISBLANK(B2340),"""",IF(ISDATE(B2340),H2340,""""))"),"")</f>
        <v/>
      </c>
      <c r="L2340" s="40" t="str">
        <f>IFERROR(__xludf.DUMMYFUNCTION("IF(ISBLANK(B2340),"""",IF(ISDATE(B2340),TEXT(B2340,""M""),""""))"),"")</f>
        <v/>
      </c>
      <c r="M2340" s="29" t="str">
        <f>IFERROR(__xludf.DUMMYFUNCTION("IF(L2340="""","""",QUERY({'Dashboard-Dados'!$Y$2:$AA$13},""Select Col2 Where Col1=""&amp;L2340))"),"")</f>
        <v/>
      </c>
      <c r="N2340" s="29" t="str">
        <f>IFERROR(__xludf.DUMMYFUNCTION("IF(ISBLANK(B2340),"""",IF(ISDATE(B2340),TEXT(B2340,""yyyy""),""""))"),"")</f>
        <v/>
      </c>
    </row>
    <row r="2341">
      <c r="B2341" s="87"/>
      <c r="C2341" s="85"/>
      <c r="D2341" s="76"/>
      <c r="H2341" s="88"/>
      <c r="J2341" s="53" t="str">
        <f>IFERROR(__xludf.DUMMYFUNCTION("IF(ISBLANK(B2341),"""",IF(ISDATE(B2341),""X"",""""))"),"")</f>
        <v/>
      </c>
      <c r="K2341" s="40" t="str">
        <f>IFERROR(__xludf.DUMMYFUNCTION("IF(ISBLANK(B2341),"""",IF(ISDATE(B2341),H2341,""""))"),"")</f>
        <v/>
      </c>
      <c r="L2341" s="40" t="str">
        <f>IFERROR(__xludf.DUMMYFUNCTION("IF(ISBLANK(B2341),"""",IF(ISDATE(B2341),TEXT(B2341,""M""),""""))"),"")</f>
        <v/>
      </c>
      <c r="M2341" s="29" t="str">
        <f>IFERROR(__xludf.DUMMYFUNCTION("IF(L2341="""","""",QUERY({'Dashboard-Dados'!$Y$2:$AA$13},""Select Col2 Where Col1=""&amp;L2341))"),"")</f>
        <v/>
      </c>
      <c r="N2341" s="29" t="str">
        <f>IFERROR(__xludf.DUMMYFUNCTION("IF(ISBLANK(B2341),"""",IF(ISDATE(B2341),TEXT(B2341,""yyyy""),""""))"),"")</f>
        <v/>
      </c>
    </row>
    <row r="2342">
      <c r="B2342" s="89"/>
      <c r="C2342" s="86"/>
      <c r="D2342" s="71"/>
      <c r="H2342" s="90"/>
      <c r="J2342" s="53" t="str">
        <f>IFERROR(__xludf.DUMMYFUNCTION("IF(ISBLANK(B2342),"""",IF(ISDATE(B2342),""X"",""""))"),"")</f>
        <v/>
      </c>
      <c r="K2342" s="40" t="str">
        <f>IFERROR(__xludf.DUMMYFUNCTION("IF(ISBLANK(B2342),"""",IF(ISDATE(B2342),H2342,""""))"),"")</f>
        <v/>
      </c>
      <c r="L2342" s="40" t="str">
        <f>IFERROR(__xludf.DUMMYFUNCTION("IF(ISBLANK(B2342),"""",IF(ISDATE(B2342),TEXT(B2342,""M""),""""))"),"")</f>
        <v/>
      </c>
      <c r="M2342" s="29" t="str">
        <f>IFERROR(__xludf.DUMMYFUNCTION("IF(L2342="""","""",QUERY({'Dashboard-Dados'!$Y$2:$AA$13},""Select Col2 Where Col1=""&amp;L2342))"),"")</f>
        <v/>
      </c>
      <c r="N2342" s="29" t="str">
        <f>IFERROR(__xludf.DUMMYFUNCTION("IF(ISBLANK(B2342),"""",IF(ISDATE(B2342),TEXT(B2342,""yyyy""),""""))"),"")</f>
        <v/>
      </c>
    </row>
    <row r="2343">
      <c r="B2343" s="87"/>
      <c r="C2343" s="85"/>
      <c r="D2343" s="76"/>
      <c r="H2343" s="88"/>
      <c r="J2343" s="53" t="str">
        <f>IFERROR(__xludf.DUMMYFUNCTION("IF(ISBLANK(B2343),"""",IF(ISDATE(B2343),""X"",""""))"),"")</f>
        <v/>
      </c>
      <c r="K2343" s="40" t="str">
        <f>IFERROR(__xludf.DUMMYFUNCTION("IF(ISBLANK(B2343),"""",IF(ISDATE(B2343),H2343,""""))"),"")</f>
        <v/>
      </c>
      <c r="L2343" s="40" t="str">
        <f>IFERROR(__xludf.DUMMYFUNCTION("IF(ISBLANK(B2343),"""",IF(ISDATE(B2343),TEXT(B2343,""M""),""""))"),"")</f>
        <v/>
      </c>
      <c r="M2343" s="29" t="str">
        <f>IFERROR(__xludf.DUMMYFUNCTION("IF(L2343="""","""",QUERY({'Dashboard-Dados'!$Y$2:$AA$13},""Select Col2 Where Col1=""&amp;L2343))"),"")</f>
        <v/>
      </c>
      <c r="N2343" s="29" t="str">
        <f>IFERROR(__xludf.DUMMYFUNCTION("IF(ISBLANK(B2343),"""",IF(ISDATE(B2343),TEXT(B2343,""yyyy""),""""))"),"")</f>
        <v/>
      </c>
    </row>
    <row r="2344">
      <c r="B2344" s="89"/>
      <c r="C2344" s="86"/>
      <c r="D2344" s="71"/>
      <c r="H2344" s="90"/>
      <c r="J2344" s="53" t="str">
        <f>IFERROR(__xludf.DUMMYFUNCTION("IF(ISBLANK(B2344),"""",IF(ISDATE(B2344),""X"",""""))"),"")</f>
        <v/>
      </c>
      <c r="K2344" s="40" t="str">
        <f>IFERROR(__xludf.DUMMYFUNCTION("IF(ISBLANK(B2344),"""",IF(ISDATE(B2344),H2344,""""))"),"")</f>
        <v/>
      </c>
      <c r="L2344" s="40" t="str">
        <f>IFERROR(__xludf.DUMMYFUNCTION("IF(ISBLANK(B2344),"""",IF(ISDATE(B2344),TEXT(B2344,""M""),""""))"),"")</f>
        <v/>
      </c>
      <c r="M2344" s="29" t="str">
        <f>IFERROR(__xludf.DUMMYFUNCTION("IF(L2344="""","""",QUERY({'Dashboard-Dados'!$Y$2:$AA$13},""Select Col2 Where Col1=""&amp;L2344))"),"")</f>
        <v/>
      </c>
      <c r="N2344" s="29" t="str">
        <f>IFERROR(__xludf.DUMMYFUNCTION("IF(ISBLANK(B2344),"""",IF(ISDATE(B2344),TEXT(B2344,""yyyy""),""""))"),"")</f>
        <v/>
      </c>
    </row>
    <row r="2345">
      <c r="B2345" s="87"/>
      <c r="C2345" s="85"/>
      <c r="D2345" s="76"/>
      <c r="H2345" s="88"/>
      <c r="J2345" s="53" t="str">
        <f>IFERROR(__xludf.DUMMYFUNCTION("IF(ISBLANK(B2345),"""",IF(ISDATE(B2345),""X"",""""))"),"")</f>
        <v/>
      </c>
      <c r="K2345" s="40" t="str">
        <f>IFERROR(__xludf.DUMMYFUNCTION("IF(ISBLANK(B2345),"""",IF(ISDATE(B2345),H2345,""""))"),"")</f>
        <v/>
      </c>
      <c r="L2345" s="40" t="str">
        <f>IFERROR(__xludf.DUMMYFUNCTION("IF(ISBLANK(B2345),"""",IF(ISDATE(B2345),TEXT(B2345,""M""),""""))"),"")</f>
        <v/>
      </c>
      <c r="M2345" s="29" t="str">
        <f>IFERROR(__xludf.DUMMYFUNCTION("IF(L2345="""","""",QUERY({'Dashboard-Dados'!$Y$2:$AA$13},""Select Col2 Where Col1=""&amp;L2345))"),"")</f>
        <v/>
      </c>
      <c r="N2345" s="29" t="str">
        <f>IFERROR(__xludf.DUMMYFUNCTION("IF(ISBLANK(B2345),"""",IF(ISDATE(B2345),TEXT(B2345,""yyyy""),""""))"),"")</f>
        <v/>
      </c>
    </row>
    <row r="2346">
      <c r="B2346" s="89"/>
      <c r="C2346" s="86"/>
      <c r="D2346" s="71"/>
      <c r="H2346" s="90"/>
      <c r="J2346" s="53" t="str">
        <f>IFERROR(__xludf.DUMMYFUNCTION("IF(ISBLANK(B2346),"""",IF(ISDATE(B2346),""X"",""""))"),"")</f>
        <v/>
      </c>
      <c r="K2346" s="40" t="str">
        <f>IFERROR(__xludf.DUMMYFUNCTION("IF(ISBLANK(B2346),"""",IF(ISDATE(B2346),H2346,""""))"),"")</f>
        <v/>
      </c>
      <c r="L2346" s="40" t="str">
        <f>IFERROR(__xludf.DUMMYFUNCTION("IF(ISBLANK(B2346),"""",IF(ISDATE(B2346),TEXT(B2346,""M""),""""))"),"")</f>
        <v/>
      </c>
      <c r="M2346" s="29" t="str">
        <f>IFERROR(__xludf.DUMMYFUNCTION("IF(L2346="""","""",QUERY({'Dashboard-Dados'!$Y$2:$AA$13},""Select Col2 Where Col1=""&amp;L2346))"),"")</f>
        <v/>
      </c>
      <c r="N2346" s="29" t="str">
        <f>IFERROR(__xludf.DUMMYFUNCTION("IF(ISBLANK(B2346),"""",IF(ISDATE(B2346),TEXT(B2346,""yyyy""),""""))"),"")</f>
        <v/>
      </c>
    </row>
    <row r="2347">
      <c r="B2347" s="87"/>
      <c r="C2347" s="85"/>
      <c r="D2347" s="76"/>
      <c r="H2347" s="88"/>
      <c r="J2347" s="53" t="str">
        <f>IFERROR(__xludf.DUMMYFUNCTION("IF(ISBLANK(B2347),"""",IF(ISDATE(B2347),""X"",""""))"),"")</f>
        <v/>
      </c>
      <c r="K2347" s="40" t="str">
        <f>IFERROR(__xludf.DUMMYFUNCTION("IF(ISBLANK(B2347),"""",IF(ISDATE(B2347),H2347,""""))"),"")</f>
        <v/>
      </c>
      <c r="L2347" s="40" t="str">
        <f>IFERROR(__xludf.DUMMYFUNCTION("IF(ISBLANK(B2347),"""",IF(ISDATE(B2347),TEXT(B2347,""M""),""""))"),"")</f>
        <v/>
      </c>
      <c r="M2347" s="29" t="str">
        <f>IFERROR(__xludf.DUMMYFUNCTION("IF(L2347="""","""",QUERY({'Dashboard-Dados'!$Y$2:$AA$13},""Select Col2 Where Col1=""&amp;L2347))"),"")</f>
        <v/>
      </c>
      <c r="N2347" s="29" t="str">
        <f>IFERROR(__xludf.DUMMYFUNCTION("IF(ISBLANK(B2347),"""",IF(ISDATE(B2347),TEXT(B2347,""yyyy""),""""))"),"")</f>
        <v/>
      </c>
    </row>
    <row r="2348">
      <c r="B2348" s="89"/>
      <c r="C2348" s="86"/>
      <c r="D2348" s="71"/>
      <c r="H2348" s="90"/>
      <c r="J2348" s="53" t="str">
        <f>IFERROR(__xludf.DUMMYFUNCTION("IF(ISBLANK(B2348),"""",IF(ISDATE(B2348),""X"",""""))"),"")</f>
        <v/>
      </c>
      <c r="K2348" s="40" t="str">
        <f>IFERROR(__xludf.DUMMYFUNCTION("IF(ISBLANK(B2348),"""",IF(ISDATE(B2348),H2348,""""))"),"")</f>
        <v/>
      </c>
      <c r="L2348" s="40" t="str">
        <f>IFERROR(__xludf.DUMMYFUNCTION("IF(ISBLANK(B2348),"""",IF(ISDATE(B2348),TEXT(B2348,""M""),""""))"),"")</f>
        <v/>
      </c>
      <c r="M2348" s="29" t="str">
        <f>IFERROR(__xludf.DUMMYFUNCTION("IF(L2348="""","""",QUERY({'Dashboard-Dados'!$Y$2:$AA$13},""Select Col2 Where Col1=""&amp;L2348))"),"")</f>
        <v/>
      </c>
      <c r="N2348" s="29" t="str">
        <f>IFERROR(__xludf.DUMMYFUNCTION("IF(ISBLANK(B2348),"""",IF(ISDATE(B2348),TEXT(B2348,""yyyy""),""""))"),"")</f>
        <v/>
      </c>
    </row>
    <row r="2349">
      <c r="B2349" s="87"/>
      <c r="C2349" s="85"/>
      <c r="D2349" s="76"/>
      <c r="H2349" s="88"/>
      <c r="J2349" s="53" t="str">
        <f>IFERROR(__xludf.DUMMYFUNCTION("IF(ISBLANK(B2349),"""",IF(ISDATE(B2349),""X"",""""))"),"")</f>
        <v/>
      </c>
      <c r="K2349" s="40" t="str">
        <f>IFERROR(__xludf.DUMMYFUNCTION("IF(ISBLANK(B2349),"""",IF(ISDATE(B2349),H2349,""""))"),"")</f>
        <v/>
      </c>
      <c r="L2349" s="40" t="str">
        <f>IFERROR(__xludf.DUMMYFUNCTION("IF(ISBLANK(B2349),"""",IF(ISDATE(B2349),TEXT(B2349,""M""),""""))"),"")</f>
        <v/>
      </c>
      <c r="M2349" s="29" t="str">
        <f>IFERROR(__xludf.DUMMYFUNCTION("IF(L2349="""","""",QUERY({'Dashboard-Dados'!$Y$2:$AA$13},""Select Col2 Where Col1=""&amp;L2349))"),"")</f>
        <v/>
      </c>
      <c r="N2349" s="29" t="str">
        <f>IFERROR(__xludf.DUMMYFUNCTION("IF(ISBLANK(B2349),"""",IF(ISDATE(B2349),TEXT(B2349,""yyyy""),""""))"),"")</f>
        <v/>
      </c>
    </row>
    <row r="2350">
      <c r="B2350" s="89"/>
      <c r="C2350" s="86"/>
      <c r="D2350" s="71"/>
      <c r="H2350" s="90"/>
      <c r="J2350" s="53" t="str">
        <f>IFERROR(__xludf.DUMMYFUNCTION("IF(ISBLANK(B2350),"""",IF(ISDATE(B2350),""X"",""""))"),"")</f>
        <v/>
      </c>
      <c r="K2350" s="40" t="str">
        <f>IFERROR(__xludf.DUMMYFUNCTION("IF(ISBLANK(B2350),"""",IF(ISDATE(B2350),H2350,""""))"),"")</f>
        <v/>
      </c>
      <c r="L2350" s="40" t="str">
        <f>IFERROR(__xludf.DUMMYFUNCTION("IF(ISBLANK(B2350),"""",IF(ISDATE(B2350),TEXT(B2350,""M""),""""))"),"")</f>
        <v/>
      </c>
      <c r="M2350" s="29" t="str">
        <f>IFERROR(__xludf.DUMMYFUNCTION("IF(L2350="""","""",QUERY({'Dashboard-Dados'!$Y$2:$AA$13},""Select Col2 Where Col1=""&amp;L2350))"),"")</f>
        <v/>
      </c>
      <c r="N2350" s="29" t="str">
        <f>IFERROR(__xludf.DUMMYFUNCTION("IF(ISBLANK(B2350),"""",IF(ISDATE(B2350),TEXT(B2350,""yyyy""),""""))"),"")</f>
        <v/>
      </c>
    </row>
    <row r="2351">
      <c r="B2351" s="87"/>
      <c r="C2351" s="85"/>
      <c r="D2351" s="76"/>
      <c r="H2351" s="88"/>
      <c r="J2351" s="53" t="str">
        <f>IFERROR(__xludf.DUMMYFUNCTION("IF(ISBLANK(B2351),"""",IF(ISDATE(B2351),""X"",""""))"),"")</f>
        <v/>
      </c>
      <c r="K2351" s="40" t="str">
        <f>IFERROR(__xludf.DUMMYFUNCTION("IF(ISBLANK(B2351),"""",IF(ISDATE(B2351),H2351,""""))"),"")</f>
        <v/>
      </c>
      <c r="L2351" s="40" t="str">
        <f>IFERROR(__xludf.DUMMYFUNCTION("IF(ISBLANK(B2351),"""",IF(ISDATE(B2351),TEXT(B2351,""M""),""""))"),"")</f>
        <v/>
      </c>
      <c r="M2351" s="29" t="str">
        <f>IFERROR(__xludf.DUMMYFUNCTION("IF(L2351="""","""",QUERY({'Dashboard-Dados'!$Y$2:$AA$13},""Select Col2 Where Col1=""&amp;L2351))"),"")</f>
        <v/>
      </c>
      <c r="N2351" s="29" t="str">
        <f>IFERROR(__xludf.DUMMYFUNCTION("IF(ISBLANK(B2351),"""",IF(ISDATE(B2351),TEXT(B2351,""yyyy""),""""))"),"")</f>
        <v/>
      </c>
    </row>
    <row r="2352">
      <c r="B2352" s="89"/>
      <c r="C2352" s="86"/>
      <c r="D2352" s="71"/>
      <c r="H2352" s="90"/>
      <c r="J2352" s="53" t="str">
        <f>IFERROR(__xludf.DUMMYFUNCTION("IF(ISBLANK(B2352),"""",IF(ISDATE(B2352),""X"",""""))"),"")</f>
        <v/>
      </c>
      <c r="K2352" s="40" t="str">
        <f>IFERROR(__xludf.DUMMYFUNCTION("IF(ISBLANK(B2352),"""",IF(ISDATE(B2352),H2352,""""))"),"")</f>
        <v/>
      </c>
      <c r="L2352" s="40" t="str">
        <f>IFERROR(__xludf.DUMMYFUNCTION("IF(ISBLANK(B2352),"""",IF(ISDATE(B2352),TEXT(B2352,""M""),""""))"),"")</f>
        <v/>
      </c>
      <c r="M2352" s="29" t="str">
        <f>IFERROR(__xludf.DUMMYFUNCTION("IF(L2352="""","""",QUERY({'Dashboard-Dados'!$Y$2:$AA$13},""Select Col2 Where Col1=""&amp;L2352))"),"")</f>
        <v/>
      </c>
      <c r="N2352" s="29" t="str">
        <f>IFERROR(__xludf.DUMMYFUNCTION("IF(ISBLANK(B2352),"""",IF(ISDATE(B2352),TEXT(B2352,""yyyy""),""""))"),"")</f>
        <v/>
      </c>
    </row>
    <row r="2353">
      <c r="B2353" s="87"/>
      <c r="C2353" s="85"/>
      <c r="D2353" s="76"/>
      <c r="H2353" s="88"/>
      <c r="J2353" s="53" t="str">
        <f>IFERROR(__xludf.DUMMYFUNCTION("IF(ISBLANK(B2353),"""",IF(ISDATE(B2353),""X"",""""))"),"")</f>
        <v/>
      </c>
      <c r="K2353" s="40" t="str">
        <f>IFERROR(__xludf.DUMMYFUNCTION("IF(ISBLANK(B2353),"""",IF(ISDATE(B2353),H2353,""""))"),"")</f>
        <v/>
      </c>
      <c r="L2353" s="40" t="str">
        <f>IFERROR(__xludf.DUMMYFUNCTION("IF(ISBLANK(B2353),"""",IF(ISDATE(B2353),TEXT(B2353,""M""),""""))"),"")</f>
        <v/>
      </c>
      <c r="M2353" s="29" t="str">
        <f>IFERROR(__xludf.DUMMYFUNCTION("IF(L2353="""","""",QUERY({'Dashboard-Dados'!$Y$2:$AA$13},""Select Col2 Where Col1=""&amp;L2353))"),"")</f>
        <v/>
      </c>
      <c r="N2353" s="29" t="str">
        <f>IFERROR(__xludf.DUMMYFUNCTION("IF(ISBLANK(B2353),"""",IF(ISDATE(B2353),TEXT(B2353,""yyyy""),""""))"),"")</f>
        <v/>
      </c>
    </row>
    <row r="2354">
      <c r="B2354" s="89"/>
      <c r="C2354" s="86"/>
      <c r="D2354" s="71"/>
      <c r="H2354" s="90"/>
      <c r="J2354" s="53" t="str">
        <f>IFERROR(__xludf.DUMMYFUNCTION("IF(ISBLANK(B2354),"""",IF(ISDATE(B2354),""X"",""""))"),"")</f>
        <v/>
      </c>
      <c r="K2354" s="40" t="str">
        <f>IFERROR(__xludf.DUMMYFUNCTION("IF(ISBLANK(B2354),"""",IF(ISDATE(B2354),H2354,""""))"),"")</f>
        <v/>
      </c>
      <c r="L2354" s="40" t="str">
        <f>IFERROR(__xludf.DUMMYFUNCTION("IF(ISBLANK(B2354),"""",IF(ISDATE(B2354),TEXT(B2354,""M""),""""))"),"")</f>
        <v/>
      </c>
      <c r="M2354" s="29" t="str">
        <f>IFERROR(__xludf.DUMMYFUNCTION("IF(L2354="""","""",QUERY({'Dashboard-Dados'!$Y$2:$AA$13},""Select Col2 Where Col1=""&amp;L2354))"),"")</f>
        <v/>
      </c>
      <c r="N2354" s="29" t="str">
        <f>IFERROR(__xludf.DUMMYFUNCTION("IF(ISBLANK(B2354),"""",IF(ISDATE(B2354),TEXT(B2354,""yyyy""),""""))"),"")</f>
        <v/>
      </c>
    </row>
    <row r="2355">
      <c r="B2355" s="87"/>
      <c r="C2355" s="85"/>
      <c r="D2355" s="76"/>
      <c r="H2355" s="88"/>
      <c r="J2355" s="53" t="str">
        <f>IFERROR(__xludf.DUMMYFUNCTION("IF(ISBLANK(B2355),"""",IF(ISDATE(B2355),""X"",""""))"),"")</f>
        <v/>
      </c>
      <c r="K2355" s="40" t="str">
        <f>IFERROR(__xludf.DUMMYFUNCTION("IF(ISBLANK(B2355),"""",IF(ISDATE(B2355),H2355,""""))"),"")</f>
        <v/>
      </c>
      <c r="L2355" s="40" t="str">
        <f>IFERROR(__xludf.DUMMYFUNCTION("IF(ISBLANK(B2355),"""",IF(ISDATE(B2355),TEXT(B2355,""M""),""""))"),"")</f>
        <v/>
      </c>
      <c r="M2355" s="29" t="str">
        <f>IFERROR(__xludf.DUMMYFUNCTION("IF(L2355="""","""",QUERY({'Dashboard-Dados'!$Y$2:$AA$13},""Select Col2 Where Col1=""&amp;L2355))"),"")</f>
        <v/>
      </c>
      <c r="N2355" s="29" t="str">
        <f>IFERROR(__xludf.DUMMYFUNCTION("IF(ISBLANK(B2355),"""",IF(ISDATE(B2355),TEXT(B2355,""yyyy""),""""))"),"")</f>
        <v/>
      </c>
    </row>
    <row r="2356">
      <c r="B2356" s="89"/>
      <c r="C2356" s="86"/>
      <c r="D2356" s="71"/>
      <c r="H2356" s="90"/>
      <c r="J2356" s="53" t="str">
        <f>IFERROR(__xludf.DUMMYFUNCTION("IF(ISBLANK(B2356),"""",IF(ISDATE(B2356),""X"",""""))"),"")</f>
        <v/>
      </c>
      <c r="K2356" s="40" t="str">
        <f>IFERROR(__xludf.DUMMYFUNCTION("IF(ISBLANK(B2356),"""",IF(ISDATE(B2356),H2356,""""))"),"")</f>
        <v/>
      </c>
      <c r="L2356" s="40" t="str">
        <f>IFERROR(__xludf.DUMMYFUNCTION("IF(ISBLANK(B2356),"""",IF(ISDATE(B2356),TEXT(B2356,""M""),""""))"),"")</f>
        <v/>
      </c>
      <c r="M2356" s="29" t="str">
        <f>IFERROR(__xludf.DUMMYFUNCTION("IF(L2356="""","""",QUERY({'Dashboard-Dados'!$Y$2:$AA$13},""Select Col2 Where Col1=""&amp;L2356))"),"")</f>
        <v/>
      </c>
      <c r="N2356" s="29" t="str">
        <f>IFERROR(__xludf.DUMMYFUNCTION("IF(ISBLANK(B2356),"""",IF(ISDATE(B2356),TEXT(B2356,""yyyy""),""""))"),"")</f>
        <v/>
      </c>
    </row>
    <row r="2357">
      <c r="B2357" s="87"/>
      <c r="C2357" s="85"/>
      <c r="D2357" s="76"/>
      <c r="H2357" s="88"/>
      <c r="J2357" s="53" t="str">
        <f>IFERROR(__xludf.DUMMYFUNCTION("IF(ISBLANK(B2357),"""",IF(ISDATE(B2357),""X"",""""))"),"")</f>
        <v/>
      </c>
      <c r="K2357" s="40" t="str">
        <f>IFERROR(__xludf.DUMMYFUNCTION("IF(ISBLANK(B2357),"""",IF(ISDATE(B2357),H2357,""""))"),"")</f>
        <v/>
      </c>
      <c r="L2357" s="40" t="str">
        <f>IFERROR(__xludf.DUMMYFUNCTION("IF(ISBLANK(B2357),"""",IF(ISDATE(B2357),TEXT(B2357,""M""),""""))"),"")</f>
        <v/>
      </c>
      <c r="M2357" s="29" t="str">
        <f>IFERROR(__xludf.DUMMYFUNCTION("IF(L2357="""","""",QUERY({'Dashboard-Dados'!$Y$2:$AA$13},""Select Col2 Where Col1=""&amp;L2357))"),"")</f>
        <v/>
      </c>
      <c r="N2357" s="29" t="str">
        <f>IFERROR(__xludf.DUMMYFUNCTION("IF(ISBLANK(B2357),"""",IF(ISDATE(B2357),TEXT(B2357,""yyyy""),""""))"),"")</f>
        <v/>
      </c>
    </row>
    <row r="2358">
      <c r="B2358" s="89"/>
      <c r="C2358" s="86"/>
      <c r="D2358" s="71"/>
      <c r="H2358" s="90"/>
      <c r="J2358" s="53" t="str">
        <f>IFERROR(__xludf.DUMMYFUNCTION("IF(ISBLANK(B2358),"""",IF(ISDATE(B2358),""X"",""""))"),"")</f>
        <v/>
      </c>
      <c r="K2358" s="40" t="str">
        <f>IFERROR(__xludf.DUMMYFUNCTION("IF(ISBLANK(B2358),"""",IF(ISDATE(B2358),H2358,""""))"),"")</f>
        <v/>
      </c>
      <c r="L2358" s="40" t="str">
        <f>IFERROR(__xludf.DUMMYFUNCTION("IF(ISBLANK(B2358),"""",IF(ISDATE(B2358),TEXT(B2358,""M""),""""))"),"")</f>
        <v/>
      </c>
      <c r="M2358" s="29" t="str">
        <f>IFERROR(__xludf.DUMMYFUNCTION("IF(L2358="""","""",QUERY({'Dashboard-Dados'!$Y$2:$AA$13},""Select Col2 Where Col1=""&amp;L2358))"),"")</f>
        <v/>
      </c>
      <c r="N2358" s="29" t="str">
        <f>IFERROR(__xludf.DUMMYFUNCTION("IF(ISBLANK(B2358),"""",IF(ISDATE(B2358),TEXT(B2358,""yyyy""),""""))"),"")</f>
        <v/>
      </c>
    </row>
    <row r="2359">
      <c r="B2359" s="87"/>
      <c r="C2359" s="85"/>
      <c r="D2359" s="76"/>
      <c r="H2359" s="88"/>
      <c r="J2359" s="53" t="str">
        <f>IFERROR(__xludf.DUMMYFUNCTION("IF(ISBLANK(B2359),"""",IF(ISDATE(B2359),""X"",""""))"),"")</f>
        <v/>
      </c>
      <c r="K2359" s="40" t="str">
        <f>IFERROR(__xludf.DUMMYFUNCTION("IF(ISBLANK(B2359),"""",IF(ISDATE(B2359),H2359,""""))"),"")</f>
        <v/>
      </c>
      <c r="L2359" s="40" t="str">
        <f>IFERROR(__xludf.DUMMYFUNCTION("IF(ISBLANK(B2359),"""",IF(ISDATE(B2359),TEXT(B2359,""M""),""""))"),"")</f>
        <v/>
      </c>
      <c r="M2359" s="29" t="str">
        <f>IFERROR(__xludf.DUMMYFUNCTION("IF(L2359="""","""",QUERY({'Dashboard-Dados'!$Y$2:$AA$13},""Select Col2 Where Col1=""&amp;L2359))"),"")</f>
        <v/>
      </c>
      <c r="N2359" s="29" t="str">
        <f>IFERROR(__xludf.DUMMYFUNCTION("IF(ISBLANK(B2359),"""",IF(ISDATE(B2359),TEXT(B2359,""yyyy""),""""))"),"")</f>
        <v/>
      </c>
    </row>
    <row r="2360">
      <c r="B2360" s="89"/>
      <c r="C2360" s="86"/>
      <c r="D2360" s="71"/>
      <c r="H2360" s="90"/>
      <c r="J2360" s="53" t="str">
        <f>IFERROR(__xludf.DUMMYFUNCTION("IF(ISBLANK(B2360),"""",IF(ISDATE(B2360),""X"",""""))"),"")</f>
        <v/>
      </c>
      <c r="K2360" s="40" t="str">
        <f>IFERROR(__xludf.DUMMYFUNCTION("IF(ISBLANK(B2360),"""",IF(ISDATE(B2360),H2360,""""))"),"")</f>
        <v/>
      </c>
      <c r="L2360" s="40" t="str">
        <f>IFERROR(__xludf.DUMMYFUNCTION("IF(ISBLANK(B2360),"""",IF(ISDATE(B2360),TEXT(B2360,""M""),""""))"),"")</f>
        <v/>
      </c>
      <c r="M2360" s="29" t="str">
        <f>IFERROR(__xludf.DUMMYFUNCTION("IF(L2360="""","""",QUERY({'Dashboard-Dados'!$Y$2:$AA$13},""Select Col2 Where Col1=""&amp;L2360))"),"")</f>
        <v/>
      </c>
      <c r="N2360" s="29" t="str">
        <f>IFERROR(__xludf.DUMMYFUNCTION("IF(ISBLANK(B2360),"""",IF(ISDATE(B2360),TEXT(B2360,""yyyy""),""""))"),"")</f>
        <v/>
      </c>
    </row>
    <row r="2361">
      <c r="B2361" s="87"/>
      <c r="C2361" s="85"/>
      <c r="D2361" s="76"/>
      <c r="H2361" s="88"/>
      <c r="J2361" s="53" t="str">
        <f>IFERROR(__xludf.DUMMYFUNCTION("IF(ISBLANK(B2361),"""",IF(ISDATE(B2361),""X"",""""))"),"")</f>
        <v/>
      </c>
      <c r="K2361" s="40" t="str">
        <f>IFERROR(__xludf.DUMMYFUNCTION("IF(ISBLANK(B2361),"""",IF(ISDATE(B2361),H2361,""""))"),"")</f>
        <v/>
      </c>
      <c r="L2361" s="40" t="str">
        <f>IFERROR(__xludf.DUMMYFUNCTION("IF(ISBLANK(B2361),"""",IF(ISDATE(B2361),TEXT(B2361,""M""),""""))"),"")</f>
        <v/>
      </c>
      <c r="M2361" s="29" t="str">
        <f>IFERROR(__xludf.DUMMYFUNCTION("IF(L2361="""","""",QUERY({'Dashboard-Dados'!$Y$2:$AA$13},""Select Col2 Where Col1=""&amp;L2361))"),"")</f>
        <v/>
      </c>
      <c r="N2361" s="29" t="str">
        <f>IFERROR(__xludf.DUMMYFUNCTION("IF(ISBLANK(B2361),"""",IF(ISDATE(B2361),TEXT(B2361,""yyyy""),""""))"),"")</f>
        <v/>
      </c>
    </row>
    <row r="2362">
      <c r="B2362" s="89"/>
      <c r="C2362" s="86"/>
      <c r="D2362" s="71"/>
      <c r="H2362" s="90"/>
      <c r="J2362" s="53" t="str">
        <f>IFERROR(__xludf.DUMMYFUNCTION("IF(ISBLANK(B2362),"""",IF(ISDATE(B2362),""X"",""""))"),"")</f>
        <v/>
      </c>
      <c r="K2362" s="40" t="str">
        <f>IFERROR(__xludf.DUMMYFUNCTION("IF(ISBLANK(B2362),"""",IF(ISDATE(B2362),H2362,""""))"),"")</f>
        <v/>
      </c>
      <c r="L2362" s="40" t="str">
        <f>IFERROR(__xludf.DUMMYFUNCTION("IF(ISBLANK(B2362),"""",IF(ISDATE(B2362),TEXT(B2362,""M""),""""))"),"")</f>
        <v/>
      </c>
      <c r="M2362" s="29" t="str">
        <f>IFERROR(__xludf.DUMMYFUNCTION("IF(L2362="""","""",QUERY({'Dashboard-Dados'!$Y$2:$AA$13},""Select Col2 Where Col1=""&amp;L2362))"),"")</f>
        <v/>
      </c>
      <c r="N2362" s="29" t="str">
        <f>IFERROR(__xludf.DUMMYFUNCTION("IF(ISBLANK(B2362),"""",IF(ISDATE(B2362),TEXT(B2362,""yyyy""),""""))"),"")</f>
        <v/>
      </c>
    </row>
    <row r="2363">
      <c r="B2363" s="87"/>
      <c r="C2363" s="85"/>
      <c r="D2363" s="76"/>
      <c r="H2363" s="88"/>
      <c r="J2363" s="53" t="str">
        <f>IFERROR(__xludf.DUMMYFUNCTION("IF(ISBLANK(B2363),"""",IF(ISDATE(B2363),""X"",""""))"),"")</f>
        <v/>
      </c>
      <c r="K2363" s="40" t="str">
        <f>IFERROR(__xludf.DUMMYFUNCTION("IF(ISBLANK(B2363),"""",IF(ISDATE(B2363),H2363,""""))"),"")</f>
        <v/>
      </c>
      <c r="L2363" s="40" t="str">
        <f>IFERROR(__xludf.DUMMYFUNCTION("IF(ISBLANK(B2363),"""",IF(ISDATE(B2363),TEXT(B2363,""M""),""""))"),"")</f>
        <v/>
      </c>
      <c r="M2363" s="29" t="str">
        <f>IFERROR(__xludf.DUMMYFUNCTION("IF(L2363="""","""",QUERY({'Dashboard-Dados'!$Y$2:$AA$13},""Select Col2 Where Col1=""&amp;L2363))"),"")</f>
        <v/>
      </c>
      <c r="N2363" s="29" t="str">
        <f>IFERROR(__xludf.DUMMYFUNCTION("IF(ISBLANK(B2363),"""",IF(ISDATE(B2363),TEXT(B2363,""yyyy""),""""))"),"")</f>
        <v/>
      </c>
    </row>
    <row r="2364">
      <c r="B2364" s="89"/>
      <c r="C2364" s="86"/>
      <c r="D2364" s="71"/>
      <c r="H2364" s="90"/>
      <c r="J2364" s="53" t="str">
        <f>IFERROR(__xludf.DUMMYFUNCTION("IF(ISBLANK(B2364),"""",IF(ISDATE(B2364),""X"",""""))"),"")</f>
        <v/>
      </c>
      <c r="K2364" s="40" t="str">
        <f>IFERROR(__xludf.DUMMYFUNCTION("IF(ISBLANK(B2364),"""",IF(ISDATE(B2364),H2364,""""))"),"")</f>
        <v/>
      </c>
      <c r="L2364" s="40" t="str">
        <f>IFERROR(__xludf.DUMMYFUNCTION("IF(ISBLANK(B2364),"""",IF(ISDATE(B2364),TEXT(B2364,""M""),""""))"),"")</f>
        <v/>
      </c>
      <c r="M2364" s="29" t="str">
        <f>IFERROR(__xludf.DUMMYFUNCTION("IF(L2364="""","""",QUERY({'Dashboard-Dados'!$Y$2:$AA$13},""Select Col2 Where Col1=""&amp;L2364))"),"")</f>
        <v/>
      </c>
      <c r="N2364" s="29" t="str">
        <f>IFERROR(__xludf.DUMMYFUNCTION("IF(ISBLANK(B2364),"""",IF(ISDATE(B2364),TEXT(B2364,""yyyy""),""""))"),"")</f>
        <v/>
      </c>
    </row>
    <row r="2365">
      <c r="B2365" s="87"/>
      <c r="C2365" s="85"/>
      <c r="D2365" s="76"/>
      <c r="H2365" s="88"/>
      <c r="J2365" s="53" t="str">
        <f>IFERROR(__xludf.DUMMYFUNCTION("IF(ISBLANK(B2365),"""",IF(ISDATE(B2365),""X"",""""))"),"")</f>
        <v/>
      </c>
      <c r="K2365" s="40" t="str">
        <f>IFERROR(__xludf.DUMMYFUNCTION("IF(ISBLANK(B2365),"""",IF(ISDATE(B2365),H2365,""""))"),"")</f>
        <v/>
      </c>
      <c r="L2365" s="40" t="str">
        <f>IFERROR(__xludf.DUMMYFUNCTION("IF(ISBLANK(B2365),"""",IF(ISDATE(B2365),TEXT(B2365,""M""),""""))"),"")</f>
        <v/>
      </c>
      <c r="M2365" s="29" t="str">
        <f>IFERROR(__xludf.DUMMYFUNCTION("IF(L2365="""","""",QUERY({'Dashboard-Dados'!$Y$2:$AA$13},""Select Col2 Where Col1=""&amp;L2365))"),"")</f>
        <v/>
      </c>
      <c r="N2365" s="29" t="str">
        <f>IFERROR(__xludf.DUMMYFUNCTION("IF(ISBLANK(B2365),"""",IF(ISDATE(B2365),TEXT(B2365,""yyyy""),""""))"),"")</f>
        <v/>
      </c>
    </row>
    <row r="2366">
      <c r="B2366" s="89"/>
      <c r="C2366" s="86"/>
      <c r="D2366" s="71"/>
      <c r="H2366" s="90"/>
      <c r="J2366" s="53" t="str">
        <f>IFERROR(__xludf.DUMMYFUNCTION("IF(ISBLANK(B2366),"""",IF(ISDATE(B2366),""X"",""""))"),"")</f>
        <v/>
      </c>
      <c r="K2366" s="40" t="str">
        <f>IFERROR(__xludf.DUMMYFUNCTION("IF(ISBLANK(B2366),"""",IF(ISDATE(B2366),H2366,""""))"),"")</f>
        <v/>
      </c>
      <c r="L2366" s="40" t="str">
        <f>IFERROR(__xludf.DUMMYFUNCTION("IF(ISBLANK(B2366),"""",IF(ISDATE(B2366),TEXT(B2366,""M""),""""))"),"")</f>
        <v/>
      </c>
      <c r="M2366" s="29" t="str">
        <f>IFERROR(__xludf.DUMMYFUNCTION("IF(L2366="""","""",QUERY({'Dashboard-Dados'!$Y$2:$AA$13},""Select Col2 Where Col1=""&amp;L2366))"),"")</f>
        <v/>
      </c>
      <c r="N2366" s="29" t="str">
        <f>IFERROR(__xludf.DUMMYFUNCTION("IF(ISBLANK(B2366),"""",IF(ISDATE(B2366),TEXT(B2366,""yyyy""),""""))"),"")</f>
        <v/>
      </c>
    </row>
    <row r="2367">
      <c r="B2367" s="87"/>
      <c r="C2367" s="85"/>
      <c r="D2367" s="76"/>
      <c r="H2367" s="88"/>
      <c r="J2367" s="53" t="str">
        <f>IFERROR(__xludf.DUMMYFUNCTION("IF(ISBLANK(B2367),"""",IF(ISDATE(B2367),""X"",""""))"),"")</f>
        <v/>
      </c>
      <c r="K2367" s="40" t="str">
        <f>IFERROR(__xludf.DUMMYFUNCTION("IF(ISBLANK(B2367),"""",IF(ISDATE(B2367),H2367,""""))"),"")</f>
        <v/>
      </c>
      <c r="L2367" s="40" t="str">
        <f>IFERROR(__xludf.DUMMYFUNCTION("IF(ISBLANK(B2367),"""",IF(ISDATE(B2367),TEXT(B2367,""M""),""""))"),"")</f>
        <v/>
      </c>
      <c r="M2367" s="29" t="str">
        <f>IFERROR(__xludf.DUMMYFUNCTION("IF(L2367="""","""",QUERY({'Dashboard-Dados'!$Y$2:$AA$13},""Select Col2 Where Col1=""&amp;L2367))"),"")</f>
        <v/>
      </c>
      <c r="N2367" s="29" t="str">
        <f>IFERROR(__xludf.DUMMYFUNCTION("IF(ISBLANK(B2367),"""",IF(ISDATE(B2367),TEXT(B2367,""yyyy""),""""))"),"")</f>
        <v/>
      </c>
    </row>
    <row r="2368">
      <c r="B2368" s="89"/>
      <c r="C2368" s="86"/>
      <c r="D2368" s="71"/>
      <c r="H2368" s="90"/>
      <c r="J2368" s="53" t="str">
        <f>IFERROR(__xludf.DUMMYFUNCTION("IF(ISBLANK(B2368),"""",IF(ISDATE(B2368),""X"",""""))"),"")</f>
        <v/>
      </c>
      <c r="K2368" s="40" t="str">
        <f>IFERROR(__xludf.DUMMYFUNCTION("IF(ISBLANK(B2368),"""",IF(ISDATE(B2368),H2368,""""))"),"")</f>
        <v/>
      </c>
      <c r="L2368" s="40" t="str">
        <f>IFERROR(__xludf.DUMMYFUNCTION("IF(ISBLANK(B2368),"""",IF(ISDATE(B2368),TEXT(B2368,""M""),""""))"),"")</f>
        <v/>
      </c>
      <c r="M2368" s="29" t="str">
        <f>IFERROR(__xludf.DUMMYFUNCTION("IF(L2368="""","""",QUERY({'Dashboard-Dados'!$Y$2:$AA$13},""Select Col2 Where Col1=""&amp;L2368))"),"")</f>
        <v/>
      </c>
      <c r="N2368" s="29" t="str">
        <f>IFERROR(__xludf.DUMMYFUNCTION("IF(ISBLANK(B2368),"""",IF(ISDATE(B2368),TEXT(B2368,""yyyy""),""""))"),"")</f>
        <v/>
      </c>
    </row>
    <row r="2369">
      <c r="B2369" s="87"/>
      <c r="C2369" s="85"/>
      <c r="D2369" s="76"/>
      <c r="H2369" s="88"/>
      <c r="J2369" s="53" t="str">
        <f>IFERROR(__xludf.DUMMYFUNCTION("IF(ISBLANK(B2369),"""",IF(ISDATE(B2369),""X"",""""))"),"")</f>
        <v/>
      </c>
      <c r="K2369" s="40" t="str">
        <f>IFERROR(__xludf.DUMMYFUNCTION("IF(ISBLANK(B2369),"""",IF(ISDATE(B2369),H2369,""""))"),"")</f>
        <v/>
      </c>
      <c r="L2369" s="40" t="str">
        <f>IFERROR(__xludf.DUMMYFUNCTION("IF(ISBLANK(B2369),"""",IF(ISDATE(B2369),TEXT(B2369,""M""),""""))"),"")</f>
        <v/>
      </c>
      <c r="M2369" s="29" t="str">
        <f>IFERROR(__xludf.DUMMYFUNCTION("IF(L2369="""","""",QUERY({'Dashboard-Dados'!$Y$2:$AA$13},""Select Col2 Where Col1=""&amp;L2369))"),"")</f>
        <v/>
      </c>
      <c r="N2369" s="29" t="str">
        <f>IFERROR(__xludf.DUMMYFUNCTION("IF(ISBLANK(B2369),"""",IF(ISDATE(B2369),TEXT(B2369,""yyyy""),""""))"),"")</f>
        <v/>
      </c>
    </row>
    <row r="2370">
      <c r="B2370" s="89"/>
      <c r="C2370" s="86"/>
      <c r="D2370" s="71"/>
      <c r="H2370" s="90"/>
      <c r="J2370" s="53" t="str">
        <f>IFERROR(__xludf.DUMMYFUNCTION("IF(ISBLANK(B2370),"""",IF(ISDATE(B2370),""X"",""""))"),"")</f>
        <v/>
      </c>
      <c r="K2370" s="40" t="str">
        <f>IFERROR(__xludf.DUMMYFUNCTION("IF(ISBLANK(B2370),"""",IF(ISDATE(B2370),H2370,""""))"),"")</f>
        <v/>
      </c>
      <c r="L2370" s="40" t="str">
        <f>IFERROR(__xludf.DUMMYFUNCTION("IF(ISBLANK(B2370),"""",IF(ISDATE(B2370),TEXT(B2370,""M""),""""))"),"")</f>
        <v/>
      </c>
      <c r="M2370" s="29" t="str">
        <f>IFERROR(__xludf.DUMMYFUNCTION("IF(L2370="""","""",QUERY({'Dashboard-Dados'!$Y$2:$AA$13},""Select Col2 Where Col1=""&amp;L2370))"),"")</f>
        <v/>
      </c>
      <c r="N2370" s="29" t="str">
        <f>IFERROR(__xludf.DUMMYFUNCTION("IF(ISBLANK(B2370),"""",IF(ISDATE(B2370),TEXT(B2370,""yyyy""),""""))"),"")</f>
        <v/>
      </c>
    </row>
    <row r="2371">
      <c r="B2371" s="87"/>
      <c r="C2371" s="85"/>
      <c r="D2371" s="76"/>
      <c r="H2371" s="88"/>
      <c r="J2371" s="53" t="str">
        <f>IFERROR(__xludf.DUMMYFUNCTION("IF(ISBLANK(B2371),"""",IF(ISDATE(B2371),""X"",""""))"),"")</f>
        <v/>
      </c>
      <c r="K2371" s="40" t="str">
        <f>IFERROR(__xludf.DUMMYFUNCTION("IF(ISBLANK(B2371),"""",IF(ISDATE(B2371),H2371,""""))"),"")</f>
        <v/>
      </c>
      <c r="L2371" s="40" t="str">
        <f>IFERROR(__xludf.DUMMYFUNCTION("IF(ISBLANK(B2371),"""",IF(ISDATE(B2371),TEXT(B2371,""M""),""""))"),"")</f>
        <v/>
      </c>
      <c r="M2371" s="29" t="str">
        <f>IFERROR(__xludf.DUMMYFUNCTION("IF(L2371="""","""",QUERY({'Dashboard-Dados'!$Y$2:$AA$13},""Select Col2 Where Col1=""&amp;L2371))"),"")</f>
        <v/>
      </c>
      <c r="N2371" s="29" t="str">
        <f>IFERROR(__xludf.DUMMYFUNCTION("IF(ISBLANK(B2371),"""",IF(ISDATE(B2371),TEXT(B2371,""yyyy""),""""))"),"")</f>
        <v/>
      </c>
    </row>
    <row r="2372">
      <c r="B2372" s="89"/>
      <c r="C2372" s="86"/>
      <c r="D2372" s="71"/>
      <c r="H2372" s="90"/>
      <c r="J2372" s="53" t="str">
        <f>IFERROR(__xludf.DUMMYFUNCTION("IF(ISBLANK(B2372),"""",IF(ISDATE(B2372),""X"",""""))"),"")</f>
        <v/>
      </c>
      <c r="K2372" s="40" t="str">
        <f>IFERROR(__xludf.DUMMYFUNCTION("IF(ISBLANK(B2372),"""",IF(ISDATE(B2372),H2372,""""))"),"")</f>
        <v/>
      </c>
      <c r="L2372" s="40" t="str">
        <f>IFERROR(__xludf.DUMMYFUNCTION("IF(ISBLANK(B2372),"""",IF(ISDATE(B2372),TEXT(B2372,""M""),""""))"),"")</f>
        <v/>
      </c>
      <c r="M2372" s="29" t="str">
        <f>IFERROR(__xludf.DUMMYFUNCTION("IF(L2372="""","""",QUERY({'Dashboard-Dados'!$Y$2:$AA$13},""Select Col2 Where Col1=""&amp;L2372))"),"")</f>
        <v/>
      </c>
      <c r="N2372" s="29" t="str">
        <f>IFERROR(__xludf.DUMMYFUNCTION("IF(ISBLANK(B2372),"""",IF(ISDATE(B2372),TEXT(B2372,""yyyy""),""""))"),"")</f>
        <v/>
      </c>
    </row>
    <row r="2373">
      <c r="B2373" s="87"/>
      <c r="C2373" s="85"/>
      <c r="D2373" s="76"/>
      <c r="H2373" s="88"/>
      <c r="J2373" s="53" t="str">
        <f>IFERROR(__xludf.DUMMYFUNCTION("IF(ISBLANK(B2373),"""",IF(ISDATE(B2373),""X"",""""))"),"")</f>
        <v/>
      </c>
      <c r="K2373" s="40" t="str">
        <f>IFERROR(__xludf.DUMMYFUNCTION("IF(ISBLANK(B2373),"""",IF(ISDATE(B2373),H2373,""""))"),"")</f>
        <v/>
      </c>
      <c r="L2373" s="40" t="str">
        <f>IFERROR(__xludf.DUMMYFUNCTION("IF(ISBLANK(B2373),"""",IF(ISDATE(B2373),TEXT(B2373,""M""),""""))"),"")</f>
        <v/>
      </c>
      <c r="M2373" s="29" t="str">
        <f>IFERROR(__xludf.DUMMYFUNCTION("IF(L2373="""","""",QUERY({'Dashboard-Dados'!$Y$2:$AA$13},""Select Col2 Where Col1=""&amp;L2373))"),"")</f>
        <v/>
      </c>
      <c r="N2373" s="29" t="str">
        <f>IFERROR(__xludf.DUMMYFUNCTION("IF(ISBLANK(B2373),"""",IF(ISDATE(B2373),TEXT(B2373,""yyyy""),""""))"),"")</f>
        <v/>
      </c>
    </row>
    <row r="2374">
      <c r="B2374" s="89"/>
      <c r="C2374" s="86"/>
      <c r="D2374" s="71"/>
      <c r="H2374" s="90"/>
      <c r="J2374" s="53" t="str">
        <f>IFERROR(__xludf.DUMMYFUNCTION("IF(ISBLANK(B2374),"""",IF(ISDATE(B2374),""X"",""""))"),"")</f>
        <v/>
      </c>
      <c r="K2374" s="40" t="str">
        <f>IFERROR(__xludf.DUMMYFUNCTION("IF(ISBLANK(B2374),"""",IF(ISDATE(B2374),H2374,""""))"),"")</f>
        <v/>
      </c>
      <c r="L2374" s="40" t="str">
        <f>IFERROR(__xludf.DUMMYFUNCTION("IF(ISBLANK(B2374),"""",IF(ISDATE(B2374),TEXT(B2374,""M""),""""))"),"")</f>
        <v/>
      </c>
      <c r="M2374" s="29" t="str">
        <f>IFERROR(__xludf.DUMMYFUNCTION("IF(L2374="""","""",QUERY({'Dashboard-Dados'!$Y$2:$AA$13},""Select Col2 Where Col1=""&amp;L2374))"),"")</f>
        <v/>
      </c>
      <c r="N2374" s="29" t="str">
        <f>IFERROR(__xludf.DUMMYFUNCTION("IF(ISBLANK(B2374),"""",IF(ISDATE(B2374),TEXT(B2374,""yyyy""),""""))"),"")</f>
        <v/>
      </c>
    </row>
    <row r="2375">
      <c r="B2375" s="87"/>
      <c r="C2375" s="85"/>
      <c r="D2375" s="76"/>
      <c r="H2375" s="88"/>
      <c r="J2375" s="53" t="str">
        <f>IFERROR(__xludf.DUMMYFUNCTION("IF(ISBLANK(B2375),"""",IF(ISDATE(B2375),""X"",""""))"),"")</f>
        <v/>
      </c>
      <c r="K2375" s="40" t="str">
        <f>IFERROR(__xludf.DUMMYFUNCTION("IF(ISBLANK(B2375),"""",IF(ISDATE(B2375),H2375,""""))"),"")</f>
        <v/>
      </c>
      <c r="L2375" s="40" t="str">
        <f>IFERROR(__xludf.DUMMYFUNCTION("IF(ISBLANK(B2375),"""",IF(ISDATE(B2375),TEXT(B2375,""M""),""""))"),"")</f>
        <v/>
      </c>
      <c r="M2375" s="29" t="str">
        <f>IFERROR(__xludf.DUMMYFUNCTION("IF(L2375="""","""",QUERY({'Dashboard-Dados'!$Y$2:$AA$13},""Select Col2 Where Col1=""&amp;L2375))"),"")</f>
        <v/>
      </c>
      <c r="N2375" s="29" t="str">
        <f>IFERROR(__xludf.DUMMYFUNCTION("IF(ISBLANK(B2375),"""",IF(ISDATE(B2375),TEXT(B2375,""yyyy""),""""))"),"")</f>
        <v/>
      </c>
    </row>
    <row r="2376">
      <c r="B2376" s="89"/>
      <c r="C2376" s="86"/>
      <c r="D2376" s="71"/>
      <c r="H2376" s="90"/>
      <c r="J2376" s="53" t="str">
        <f>IFERROR(__xludf.DUMMYFUNCTION("IF(ISBLANK(B2376),"""",IF(ISDATE(B2376),""X"",""""))"),"")</f>
        <v/>
      </c>
      <c r="K2376" s="40" t="str">
        <f>IFERROR(__xludf.DUMMYFUNCTION("IF(ISBLANK(B2376),"""",IF(ISDATE(B2376),H2376,""""))"),"")</f>
        <v/>
      </c>
      <c r="L2376" s="40" t="str">
        <f>IFERROR(__xludf.DUMMYFUNCTION("IF(ISBLANK(B2376),"""",IF(ISDATE(B2376),TEXT(B2376,""M""),""""))"),"")</f>
        <v/>
      </c>
      <c r="M2376" s="29" t="str">
        <f>IFERROR(__xludf.DUMMYFUNCTION("IF(L2376="""","""",QUERY({'Dashboard-Dados'!$Y$2:$AA$13},""Select Col2 Where Col1=""&amp;L2376))"),"")</f>
        <v/>
      </c>
      <c r="N2376" s="29" t="str">
        <f>IFERROR(__xludf.DUMMYFUNCTION("IF(ISBLANK(B2376),"""",IF(ISDATE(B2376),TEXT(B2376,""yyyy""),""""))"),"")</f>
        <v/>
      </c>
    </row>
    <row r="2377">
      <c r="B2377" s="87"/>
      <c r="C2377" s="85"/>
      <c r="D2377" s="76"/>
      <c r="H2377" s="88"/>
      <c r="J2377" s="53" t="str">
        <f>IFERROR(__xludf.DUMMYFUNCTION("IF(ISBLANK(B2377),"""",IF(ISDATE(B2377),""X"",""""))"),"")</f>
        <v/>
      </c>
      <c r="K2377" s="40" t="str">
        <f>IFERROR(__xludf.DUMMYFUNCTION("IF(ISBLANK(B2377),"""",IF(ISDATE(B2377),H2377,""""))"),"")</f>
        <v/>
      </c>
      <c r="L2377" s="40" t="str">
        <f>IFERROR(__xludf.DUMMYFUNCTION("IF(ISBLANK(B2377),"""",IF(ISDATE(B2377),TEXT(B2377,""M""),""""))"),"")</f>
        <v/>
      </c>
      <c r="M2377" s="29" t="str">
        <f>IFERROR(__xludf.DUMMYFUNCTION("IF(L2377="""","""",QUERY({'Dashboard-Dados'!$Y$2:$AA$13},""Select Col2 Where Col1=""&amp;L2377))"),"")</f>
        <v/>
      </c>
      <c r="N2377" s="29" t="str">
        <f>IFERROR(__xludf.DUMMYFUNCTION("IF(ISBLANK(B2377),"""",IF(ISDATE(B2377),TEXT(B2377,""yyyy""),""""))"),"")</f>
        <v/>
      </c>
    </row>
    <row r="2378">
      <c r="B2378" s="89"/>
      <c r="C2378" s="86"/>
      <c r="D2378" s="71"/>
      <c r="H2378" s="90"/>
      <c r="J2378" s="53" t="str">
        <f>IFERROR(__xludf.DUMMYFUNCTION("IF(ISBLANK(B2378),"""",IF(ISDATE(B2378),""X"",""""))"),"")</f>
        <v/>
      </c>
      <c r="K2378" s="40" t="str">
        <f>IFERROR(__xludf.DUMMYFUNCTION("IF(ISBLANK(B2378),"""",IF(ISDATE(B2378),H2378,""""))"),"")</f>
        <v/>
      </c>
      <c r="L2378" s="40" t="str">
        <f>IFERROR(__xludf.DUMMYFUNCTION("IF(ISBLANK(B2378),"""",IF(ISDATE(B2378),TEXT(B2378,""M""),""""))"),"")</f>
        <v/>
      </c>
      <c r="M2378" s="29" t="str">
        <f>IFERROR(__xludf.DUMMYFUNCTION("IF(L2378="""","""",QUERY({'Dashboard-Dados'!$Y$2:$AA$13},""Select Col2 Where Col1=""&amp;L2378))"),"")</f>
        <v/>
      </c>
      <c r="N2378" s="29" t="str">
        <f>IFERROR(__xludf.DUMMYFUNCTION("IF(ISBLANK(B2378),"""",IF(ISDATE(B2378),TEXT(B2378,""yyyy""),""""))"),"")</f>
        <v/>
      </c>
    </row>
    <row r="2379">
      <c r="B2379" s="87"/>
      <c r="C2379" s="85"/>
      <c r="D2379" s="76"/>
      <c r="H2379" s="88"/>
      <c r="J2379" s="53" t="str">
        <f>IFERROR(__xludf.DUMMYFUNCTION("IF(ISBLANK(B2379),"""",IF(ISDATE(B2379),""X"",""""))"),"")</f>
        <v/>
      </c>
      <c r="K2379" s="40" t="str">
        <f>IFERROR(__xludf.DUMMYFUNCTION("IF(ISBLANK(B2379),"""",IF(ISDATE(B2379),H2379,""""))"),"")</f>
        <v/>
      </c>
      <c r="L2379" s="40" t="str">
        <f>IFERROR(__xludf.DUMMYFUNCTION("IF(ISBLANK(B2379),"""",IF(ISDATE(B2379),TEXT(B2379,""M""),""""))"),"")</f>
        <v/>
      </c>
      <c r="M2379" s="29" t="str">
        <f>IFERROR(__xludf.DUMMYFUNCTION("IF(L2379="""","""",QUERY({'Dashboard-Dados'!$Y$2:$AA$13},""Select Col2 Where Col1=""&amp;L2379))"),"")</f>
        <v/>
      </c>
      <c r="N2379" s="29" t="str">
        <f>IFERROR(__xludf.DUMMYFUNCTION("IF(ISBLANK(B2379),"""",IF(ISDATE(B2379),TEXT(B2379,""yyyy""),""""))"),"")</f>
        <v/>
      </c>
    </row>
    <row r="2380">
      <c r="B2380" s="89"/>
      <c r="C2380" s="86"/>
      <c r="D2380" s="71"/>
      <c r="H2380" s="90"/>
      <c r="J2380" s="53" t="str">
        <f>IFERROR(__xludf.DUMMYFUNCTION("IF(ISBLANK(B2380),"""",IF(ISDATE(B2380),""X"",""""))"),"")</f>
        <v/>
      </c>
      <c r="K2380" s="40" t="str">
        <f>IFERROR(__xludf.DUMMYFUNCTION("IF(ISBLANK(B2380),"""",IF(ISDATE(B2380),H2380,""""))"),"")</f>
        <v/>
      </c>
      <c r="L2380" s="40" t="str">
        <f>IFERROR(__xludf.DUMMYFUNCTION("IF(ISBLANK(B2380),"""",IF(ISDATE(B2380),TEXT(B2380,""M""),""""))"),"")</f>
        <v/>
      </c>
      <c r="M2380" s="29" t="str">
        <f>IFERROR(__xludf.DUMMYFUNCTION("IF(L2380="""","""",QUERY({'Dashboard-Dados'!$Y$2:$AA$13},""Select Col2 Where Col1=""&amp;L2380))"),"")</f>
        <v/>
      </c>
      <c r="N2380" s="29" t="str">
        <f>IFERROR(__xludf.DUMMYFUNCTION("IF(ISBLANK(B2380),"""",IF(ISDATE(B2380),TEXT(B2380,""yyyy""),""""))"),"")</f>
        <v/>
      </c>
    </row>
    <row r="2381">
      <c r="B2381" s="87"/>
      <c r="C2381" s="85"/>
      <c r="D2381" s="76"/>
      <c r="H2381" s="88"/>
      <c r="J2381" s="53" t="str">
        <f>IFERROR(__xludf.DUMMYFUNCTION("IF(ISBLANK(B2381),"""",IF(ISDATE(B2381),""X"",""""))"),"")</f>
        <v/>
      </c>
      <c r="K2381" s="40" t="str">
        <f>IFERROR(__xludf.DUMMYFUNCTION("IF(ISBLANK(B2381),"""",IF(ISDATE(B2381),H2381,""""))"),"")</f>
        <v/>
      </c>
      <c r="L2381" s="40" t="str">
        <f>IFERROR(__xludf.DUMMYFUNCTION("IF(ISBLANK(B2381),"""",IF(ISDATE(B2381),TEXT(B2381,""M""),""""))"),"")</f>
        <v/>
      </c>
      <c r="M2381" s="29" t="str">
        <f>IFERROR(__xludf.DUMMYFUNCTION("IF(L2381="""","""",QUERY({'Dashboard-Dados'!$Y$2:$AA$13},""Select Col2 Where Col1=""&amp;L2381))"),"")</f>
        <v/>
      </c>
      <c r="N2381" s="29" t="str">
        <f>IFERROR(__xludf.DUMMYFUNCTION("IF(ISBLANK(B2381),"""",IF(ISDATE(B2381),TEXT(B2381,""yyyy""),""""))"),"")</f>
        <v/>
      </c>
    </row>
    <row r="2382">
      <c r="B2382" s="89"/>
      <c r="C2382" s="86"/>
      <c r="D2382" s="71"/>
      <c r="H2382" s="90"/>
      <c r="J2382" s="53" t="str">
        <f>IFERROR(__xludf.DUMMYFUNCTION("IF(ISBLANK(B2382),"""",IF(ISDATE(B2382),""X"",""""))"),"")</f>
        <v/>
      </c>
      <c r="K2382" s="40" t="str">
        <f>IFERROR(__xludf.DUMMYFUNCTION("IF(ISBLANK(B2382),"""",IF(ISDATE(B2382),H2382,""""))"),"")</f>
        <v/>
      </c>
      <c r="L2382" s="40" t="str">
        <f>IFERROR(__xludf.DUMMYFUNCTION("IF(ISBLANK(B2382),"""",IF(ISDATE(B2382),TEXT(B2382,""M""),""""))"),"")</f>
        <v/>
      </c>
      <c r="M2382" s="29" t="str">
        <f>IFERROR(__xludf.DUMMYFUNCTION("IF(L2382="""","""",QUERY({'Dashboard-Dados'!$Y$2:$AA$13},""Select Col2 Where Col1=""&amp;L2382))"),"")</f>
        <v/>
      </c>
      <c r="N2382" s="29" t="str">
        <f>IFERROR(__xludf.DUMMYFUNCTION("IF(ISBLANK(B2382),"""",IF(ISDATE(B2382),TEXT(B2382,""yyyy""),""""))"),"")</f>
        <v/>
      </c>
    </row>
    <row r="2383">
      <c r="B2383" s="87"/>
      <c r="C2383" s="85"/>
      <c r="D2383" s="76"/>
      <c r="H2383" s="88"/>
      <c r="J2383" s="53" t="str">
        <f>IFERROR(__xludf.DUMMYFUNCTION("IF(ISBLANK(B2383),"""",IF(ISDATE(B2383),""X"",""""))"),"")</f>
        <v/>
      </c>
      <c r="K2383" s="40" t="str">
        <f>IFERROR(__xludf.DUMMYFUNCTION("IF(ISBLANK(B2383),"""",IF(ISDATE(B2383),H2383,""""))"),"")</f>
        <v/>
      </c>
      <c r="L2383" s="40" t="str">
        <f>IFERROR(__xludf.DUMMYFUNCTION("IF(ISBLANK(B2383),"""",IF(ISDATE(B2383),TEXT(B2383,""M""),""""))"),"")</f>
        <v/>
      </c>
      <c r="M2383" s="29" t="str">
        <f>IFERROR(__xludf.DUMMYFUNCTION("IF(L2383="""","""",QUERY({'Dashboard-Dados'!$Y$2:$AA$13},""Select Col2 Where Col1=""&amp;L2383))"),"")</f>
        <v/>
      </c>
      <c r="N2383" s="29" t="str">
        <f>IFERROR(__xludf.DUMMYFUNCTION("IF(ISBLANK(B2383),"""",IF(ISDATE(B2383),TEXT(B2383,""yyyy""),""""))"),"")</f>
        <v/>
      </c>
    </row>
    <row r="2384">
      <c r="B2384" s="89"/>
      <c r="C2384" s="86"/>
      <c r="D2384" s="71"/>
      <c r="H2384" s="90"/>
      <c r="J2384" s="53" t="str">
        <f>IFERROR(__xludf.DUMMYFUNCTION("IF(ISBLANK(B2384),"""",IF(ISDATE(B2384),""X"",""""))"),"")</f>
        <v/>
      </c>
      <c r="K2384" s="40" t="str">
        <f>IFERROR(__xludf.DUMMYFUNCTION("IF(ISBLANK(B2384),"""",IF(ISDATE(B2384),H2384,""""))"),"")</f>
        <v/>
      </c>
      <c r="L2384" s="40" t="str">
        <f>IFERROR(__xludf.DUMMYFUNCTION("IF(ISBLANK(B2384),"""",IF(ISDATE(B2384),TEXT(B2384,""M""),""""))"),"")</f>
        <v/>
      </c>
      <c r="M2384" s="29" t="str">
        <f>IFERROR(__xludf.DUMMYFUNCTION("IF(L2384="""","""",QUERY({'Dashboard-Dados'!$Y$2:$AA$13},""Select Col2 Where Col1=""&amp;L2384))"),"")</f>
        <v/>
      </c>
      <c r="N2384" s="29" t="str">
        <f>IFERROR(__xludf.DUMMYFUNCTION("IF(ISBLANK(B2384),"""",IF(ISDATE(B2384),TEXT(B2384,""yyyy""),""""))"),"")</f>
        <v/>
      </c>
    </row>
    <row r="2385">
      <c r="B2385" s="87"/>
      <c r="C2385" s="85"/>
      <c r="D2385" s="76"/>
      <c r="H2385" s="88"/>
      <c r="J2385" s="53" t="str">
        <f>IFERROR(__xludf.DUMMYFUNCTION("IF(ISBLANK(B2385),"""",IF(ISDATE(B2385),""X"",""""))"),"")</f>
        <v/>
      </c>
      <c r="K2385" s="40" t="str">
        <f>IFERROR(__xludf.DUMMYFUNCTION("IF(ISBLANK(B2385),"""",IF(ISDATE(B2385),H2385,""""))"),"")</f>
        <v/>
      </c>
      <c r="L2385" s="40" t="str">
        <f>IFERROR(__xludf.DUMMYFUNCTION("IF(ISBLANK(B2385),"""",IF(ISDATE(B2385),TEXT(B2385,""M""),""""))"),"")</f>
        <v/>
      </c>
      <c r="M2385" s="29" t="str">
        <f>IFERROR(__xludf.DUMMYFUNCTION("IF(L2385="""","""",QUERY({'Dashboard-Dados'!$Y$2:$AA$13},""Select Col2 Where Col1=""&amp;L2385))"),"")</f>
        <v/>
      </c>
      <c r="N2385" s="29" t="str">
        <f>IFERROR(__xludf.DUMMYFUNCTION("IF(ISBLANK(B2385),"""",IF(ISDATE(B2385),TEXT(B2385,""yyyy""),""""))"),"")</f>
        <v/>
      </c>
    </row>
    <row r="2386">
      <c r="B2386" s="89"/>
      <c r="C2386" s="86"/>
      <c r="D2386" s="71"/>
      <c r="H2386" s="90"/>
      <c r="J2386" s="53" t="str">
        <f>IFERROR(__xludf.DUMMYFUNCTION("IF(ISBLANK(B2386),"""",IF(ISDATE(B2386),""X"",""""))"),"")</f>
        <v/>
      </c>
      <c r="K2386" s="40" t="str">
        <f>IFERROR(__xludf.DUMMYFUNCTION("IF(ISBLANK(B2386),"""",IF(ISDATE(B2386),H2386,""""))"),"")</f>
        <v/>
      </c>
      <c r="L2386" s="40" t="str">
        <f>IFERROR(__xludf.DUMMYFUNCTION("IF(ISBLANK(B2386),"""",IF(ISDATE(B2386),TEXT(B2386,""M""),""""))"),"")</f>
        <v/>
      </c>
      <c r="M2386" s="29" t="str">
        <f>IFERROR(__xludf.DUMMYFUNCTION("IF(L2386="""","""",QUERY({'Dashboard-Dados'!$Y$2:$AA$13},""Select Col2 Where Col1=""&amp;L2386))"),"")</f>
        <v/>
      </c>
      <c r="N2386" s="29" t="str">
        <f>IFERROR(__xludf.DUMMYFUNCTION("IF(ISBLANK(B2386),"""",IF(ISDATE(B2386),TEXT(B2386,""yyyy""),""""))"),"")</f>
        <v/>
      </c>
    </row>
    <row r="2387">
      <c r="B2387" s="87"/>
      <c r="C2387" s="85"/>
      <c r="D2387" s="76"/>
      <c r="H2387" s="88"/>
      <c r="J2387" s="53" t="str">
        <f>IFERROR(__xludf.DUMMYFUNCTION("IF(ISBLANK(B2387),"""",IF(ISDATE(B2387),""X"",""""))"),"")</f>
        <v/>
      </c>
      <c r="K2387" s="40" t="str">
        <f>IFERROR(__xludf.DUMMYFUNCTION("IF(ISBLANK(B2387),"""",IF(ISDATE(B2387),H2387,""""))"),"")</f>
        <v/>
      </c>
      <c r="L2387" s="40" t="str">
        <f>IFERROR(__xludf.DUMMYFUNCTION("IF(ISBLANK(B2387),"""",IF(ISDATE(B2387),TEXT(B2387,""M""),""""))"),"")</f>
        <v/>
      </c>
      <c r="M2387" s="29" t="str">
        <f>IFERROR(__xludf.DUMMYFUNCTION("IF(L2387="""","""",QUERY({'Dashboard-Dados'!$Y$2:$AA$13},""Select Col2 Where Col1=""&amp;L2387))"),"")</f>
        <v/>
      </c>
      <c r="N2387" s="29" t="str">
        <f>IFERROR(__xludf.DUMMYFUNCTION("IF(ISBLANK(B2387),"""",IF(ISDATE(B2387),TEXT(B2387,""yyyy""),""""))"),"")</f>
        <v/>
      </c>
    </row>
    <row r="2388">
      <c r="B2388" s="89"/>
      <c r="C2388" s="86"/>
      <c r="D2388" s="71"/>
      <c r="H2388" s="90"/>
      <c r="J2388" s="53" t="str">
        <f>IFERROR(__xludf.DUMMYFUNCTION("IF(ISBLANK(B2388),"""",IF(ISDATE(B2388),""X"",""""))"),"")</f>
        <v/>
      </c>
      <c r="K2388" s="40" t="str">
        <f>IFERROR(__xludf.DUMMYFUNCTION("IF(ISBLANK(B2388),"""",IF(ISDATE(B2388),H2388,""""))"),"")</f>
        <v/>
      </c>
      <c r="L2388" s="40" t="str">
        <f>IFERROR(__xludf.DUMMYFUNCTION("IF(ISBLANK(B2388),"""",IF(ISDATE(B2388),TEXT(B2388,""M""),""""))"),"")</f>
        <v/>
      </c>
      <c r="M2388" s="29" t="str">
        <f>IFERROR(__xludf.DUMMYFUNCTION("IF(L2388="""","""",QUERY({'Dashboard-Dados'!$Y$2:$AA$13},""Select Col2 Where Col1=""&amp;L2388))"),"")</f>
        <v/>
      </c>
      <c r="N2388" s="29" t="str">
        <f>IFERROR(__xludf.DUMMYFUNCTION("IF(ISBLANK(B2388),"""",IF(ISDATE(B2388),TEXT(B2388,""yyyy""),""""))"),"")</f>
        <v/>
      </c>
    </row>
    <row r="2389">
      <c r="B2389" s="87"/>
      <c r="C2389" s="85"/>
      <c r="D2389" s="76"/>
      <c r="H2389" s="88"/>
      <c r="J2389" s="53" t="str">
        <f>IFERROR(__xludf.DUMMYFUNCTION("IF(ISBLANK(B2389),"""",IF(ISDATE(B2389),""X"",""""))"),"")</f>
        <v/>
      </c>
      <c r="K2389" s="40" t="str">
        <f>IFERROR(__xludf.DUMMYFUNCTION("IF(ISBLANK(B2389),"""",IF(ISDATE(B2389),H2389,""""))"),"")</f>
        <v/>
      </c>
      <c r="L2389" s="40" t="str">
        <f>IFERROR(__xludf.DUMMYFUNCTION("IF(ISBLANK(B2389),"""",IF(ISDATE(B2389),TEXT(B2389,""M""),""""))"),"")</f>
        <v/>
      </c>
      <c r="M2389" s="29" t="str">
        <f>IFERROR(__xludf.DUMMYFUNCTION("IF(L2389="""","""",QUERY({'Dashboard-Dados'!$Y$2:$AA$13},""Select Col2 Where Col1=""&amp;L2389))"),"")</f>
        <v/>
      </c>
      <c r="N2389" s="29" t="str">
        <f>IFERROR(__xludf.DUMMYFUNCTION("IF(ISBLANK(B2389),"""",IF(ISDATE(B2389),TEXT(B2389,""yyyy""),""""))"),"")</f>
        <v/>
      </c>
    </row>
    <row r="2390">
      <c r="B2390" s="89"/>
      <c r="C2390" s="86"/>
      <c r="D2390" s="71"/>
      <c r="H2390" s="90"/>
      <c r="J2390" s="53" t="str">
        <f>IFERROR(__xludf.DUMMYFUNCTION("IF(ISBLANK(B2390),"""",IF(ISDATE(B2390),""X"",""""))"),"")</f>
        <v/>
      </c>
      <c r="K2390" s="40" t="str">
        <f>IFERROR(__xludf.DUMMYFUNCTION("IF(ISBLANK(B2390),"""",IF(ISDATE(B2390),H2390,""""))"),"")</f>
        <v/>
      </c>
      <c r="L2390" s="40" t="str">
        <f>IFERROR(__xludf.DUMMYFUNCTION("IF(ISBLANK(B2390),"""",IF(ISDATE(B2390),TEXT(B2390,""M""),""""))"),"")</f>
        <v/>
      </c>
      <c r="M2390" s="29" t="str">
        <f>IFERROR(__xludf.DUMMYFUNCTION("IF(L2390="""","""",QUERY({'Dashboard-Dados'!$Y$2:$AA$13},""Select Col2 Where Col1=""&amp;L2390))"),"")</f>
        <v/>
      </c>
      <c r="N2390" s="29" t="str">
        <f>IFERROR(__xludf.DUMMYFUNCTION("IF(ISBLANK(B2390),"""",IF(ISDATE(B2390),TEXT(B2390,""yyyy""),""""))"),"")</f>
        <v/>
      </c>
    </row>
    <row r="2391">
      <c r="B2391" s="87"/>
      <c r="C2391" s="85"/>
      <c r="D2391" s="76"/>
      <c r="H2391" s="88"/>
      <c r="J2391" s="53" t="str">
        <f>IFERROR(__xludf.DUMMYFUNCTION("IF(ISBLANK(B2391),"""",IF(ISDATE(B2391),""X"",""""))"),"")</f>
        <v/>
      </c>
      <c r="K2391" s="40" t="str">
        <f>IFERROR(__xludf.DUMMYFUNCTION("IF(ISBLANK(B2391),"""",IF(ISDATE(B2391),H2391,""""))"),"")</f>
        <v/>
      </c>
      <c r="L2391" s="40" t="str">
        <f>IFERROR(__xludf.DUMMYFUNCTION("IF(ISBLANK(B2391),"""",IF(ISDATE(B2391),TEXT(B2391,""M""),""""))"),"")</f>
        <v/>
      </c>
      <c r="M2391" s="29" t="str">
        <f>IFERROR(__xludf.DUMMYFUNCTION("IF(L2391="""","""",QUERY({'Dashboard-Dados'!$Y$2:$AA$13},""Select Col2 Where Col1=""&amp;L2391))"),"")</f>
        <v/>
      </c>
      <c r="N2391" s="29" t="str">
        <f>IFERROR(__xludf.DUMMYFUNCTION("IF(ISBLANK(B2391),"""",IF(ISDATE(B2391),TEXT(B2391,""yyyy""),""""))"),"")</f>
        <v/>
      </c>
    </row>
    <row r="2392">
      <c r="B2392" s="89"/>
      <c r="C2392" s="86"/>
      <c r="D2392" s="71"/>
      <c r="H2392" s="90"/>
      <c r="J2392" s="53" t="str">
        <f>IFERROR(__xludf.DUMMYFUNCTION("IF(ISBLANK(B2392),"""",IF(ISDATE(B2392),""X"",""""))"),"")</f>
        <v/>
      </c>
      <c r="K2392" s="40" t="str">
        <f>IFERROR(__xludf.DUMMYFUNCTION("IF(ISBLANK(B2392),"""",IF(ISDATE(B2392),H2392,""""))"),"")</f>
        <v/>
      </c>
      <c r="L2392" s="40" t="str">
        <f>IFERROR(__xludf.DUMMYFUNCTION("IF(ISBLANK(B2392),"""",IF(ISDATE(B2392),TEXT(B2392,""M""),""""))"),"")</f>
        <v/>
      </c>
      <c r="M2392" s="29" t="str">
        <f>IFERROR(__xludf.DUMMYFUNCTION("IF(L2392="""","""",QUERY({'Dashboard-Dados'!$Y$2:$AA$13},""Select Col2 Where Col1=""&amp;L2392))"),"")</f>
        <v/>
      </c>
      <c r="N2392" s="29" t="str">
        <f>IFERROR(__xludf.DUMMYFUNCTION("IF(ISBLANK(B2392),"""",IF(ISDATE(B2392),TEXT(B2392,""yyyy""),""""))"),"")</f>
        <v/>
      </c>
    </row>
    <row r="2393">
      <c r="B2393" s="87"/>
      <c r="C2393" s="85"/>
      <c r="D2393" s="76"/>
      <c r="H2393" s="88"/>
      <c r="J2393" s="53" t="str">
        <f>IFERROR(__xludf.DUMMYFUNCTION("IF(ISBLANK(B2393),"""",IF(ISDATE(B2393),""X"",""""))"),"")</f>
        <v/>
      </c>
      <c r="K2393" s="40" t="str">
        <f>IFERROR(__xludf.DUMMYFUNCTION("IF(ISBLANK(B2393),"""",IF(ISDATE(B2393),H2393,""""))"),"")</f>
        <v/>
      </c>
      <c r="L2393" s="40" t="str">
        <f>IFERROR(__xludf.DUMMYFUNCTION("IF(ISBLANK(B2393),"""",IF(ISDATE(B2393),TEXT(B2393,""M""),""""))"),"")</f>
        <v/>
      </c>
      <c r="M2393" s="29" t="str">
        <f>IFERROR(__xludf.DUMMYFUNCTION("IF(L2393="""","""",QUERY({'Dashboard-Dados'!$Y$2:$AA$13},""Select Col2 Where Col1=""&amp;L2393))"),"")</f>
        <v/>
      </c>
      <c r="N2393" s="29" t="str">
        <f>IFERROR(__xludf.DUMMYFUNCTION("IF(ISBLANK(B2393),"""",IF(ISDATE(B2393),TEXT(B2393,""yyyy""),""""))"),"")</f>
        <v/>
      </c>
    </row>
    <row r="2394">
      <c r="B2394" s="89"/>
      <c r="C2394" s="86"/>
      <c r="D2394" s="71"/>
      <c r="H2394" s="90"/>
      <c r="J2394" s="53" t="str">
        <f>IFERROR(__xludf.DUMMYFUNCTION("IF(ISBLANK(B2394),"""",IF(ISDATE(B2394),""X"",""""))"),"")</f>
        <v/>
      </c>
      <c r="K2394" s="40" t="str">
        <f>IFERROR(__xludf.DUMMYFUNCTION("IF(ISBLANK(B2394),"""",IF(ISDATE(B2394),H2394,""""))"),"")</f>
        <v/>
      </c>
      <c r="L2394" s="40" t="str">
        <f>IFERROR(__xludf.DUMMYFUNCTION("IF(ISBLANK(B2394),"""",IF(ISDATE(B2394),TEXT(B2394,""M""),""""))"),"")</f>
        <v/>
      </c>
      <c r="M2394" s="29" t="str">
        <f>IFERROR(__xludf.DUMMYFUNCTION("IF(L2394="""","""",QUERY({'Dashboard-Dados'!$Y$2:$AA$13},""Select Col2 Where Col1=""&amp;L2394))"),"")</f>
        <v/>
      </c>
      <c r="N2394" s="29" t="str">
        <f>IFERROR(__xludf.DUMMYFUNCTION("IF(ISBLANK(B2394),"""",IF(ISDATE(B2394),TEXT(B2394,""yyyy""),""""))"),"")</f>
        <v/>
      </c>
    </row>
    <row r="2395">
      <c r="B2395" s="87"/>
      <c r="C2395" s="85"/>
      <c r="D2395" s="76"/>
      <c r="H2395" s="88"/>
      <c r="J2395" s="53" t="str">
        <f>IFERROR(__xludf.DUMMYFUNCTION("IF(ISBLANK(B2395),"""",IF(ISDATE(B2395),""X"",""""))"),"")</f>
        <v/>
      </c>
      <c r="K2395" s="40" t="str">
        <f>IFERROR(__xludf.DUMMYFUNCTION("IF(ISBLANK(B2395),"""",IF(ISDATE(B2395),H2395,""""))"),"")</f>
        <v/>
      </c>
      <c r="L2395" s="40" t="str">
        <f>IFERROR(__xludf.DUMMYFUNCTION("IF(ISBLANK(B2395),"""",IF(ISDATE(B2395),TEXT(B2395,""M""),""""))"),"")</f>
        <v/>
      </c>
      <c r="M2395" s="29" t="str">
        <f>IFERROR(__xludf.DUMMYFUNCTION("IF(L2395="""","""",QUERY({'Dashboard-Dados'!$Y$2:$AA$13},""Select Col2 Where Col1=""&amp;L2395))"),"")</f>
        <v/>
      </c>
      <c r="N2395" s="29" t="str">
        <f>IFERROR(__xludf.DUMMYFUNCTION("IF(ISBLANK(B2395),"""",IF(ISDATE(B2395),TEXT(B2395,""yyyy""),""""))"),"")</f>
        <v/>
      </c>
    </row>
    <row r="2396">
      <c r="B2396" s="89"/>
      <c r="C2396" s="86"/>
      <c r="D2396" s="71"/>
      <c r="H2396" s="90"/>
      <c r="J2396" s="53" t="str">
        <f>IFERROR(__xludf.DUMMYFUNCTION("IF(ISBLANK(B2396),"""",IF(ISDATE(B2396),""X"",""""))"),"")</f>
        <v/>
      </c>
      <c r="K2396" s="40" t="str">
        <f>IFERROR(__xludf.DUMMYFUNCTION("IF(ISBLANK(B2396),"""",IF(ISDATE(B2396),H2396,""""))"),"")</f>
        <v/>
      </c>
      <c r="L2396" s="40" t="str">
        <f>IFERROR(__xludf.DUMMYFUNCTION("IF(ISBLANK(B2396),"""",IF(ISDATE(B2396),TEXT(B2396,""M""),""""))"),"")</f>
        <v/>
      </c>
      <c r="M2396" s="29" t="str">
        <f>IFERROR(__xludf.DUMMYFUNCTION("IF(L2396="""","""",QUERY({'Dashboard-Dados'!$Y$2:$AA$13},""Select Col2 Where Col1=""&amp;L2396))"),"")</f>
        <v/>
      </c>
      <c r="N2396" s="29" t="str">
        <f>IFERROR(__xludf.DUMMYFUNCTION("IF(ISBLANK(B2396),"""",IF(ISDATE(B2396),TEXT(B2396,""yyyy""),""""))"),"")</f>
        <v/>
      </c>
    </row>
    <row r="2397">
      <c r="B2397" s="87"/>
      <c r="C2397" s="85"/>
      <c r="D2397" s="76"/>
      <c r="H2397" s="88"/>
      <c r="J2397" s="53" t="str">
        <f>IFERROR(__xludf.DUMMYFUNCTION("IF(ISBLANK(B2397),"""",IF(ISDATE(B2397),""X"",""""))"),"")</f>
        <v/>
      </c>
      <c r="K2397" s="40" t="str">
        <f>IFERROR(__xludf.DUMMYFUNCTION("IF(ISBLANK(B2397),"""",IF(ISDATE(B2397),H2397,""""))"),"")</f>
        <v/>
      </c>
      <c r="L2397" s="40" t="str">
        <f>IFERROR(__xludf.DUMMYFUNCTION("IF(ISBLANK(B2397),"""",IF(ISDATE(B2397),TEXT(B2397,""M""),""""))"),"")</f>
        <v/>
      </c>
      <c r="M2397" s="29" t="str">
        <f>IFERROR(__xludf.DUMMYFUNCTION("IF(L2397="""","""",QUERY({'Dashboard-Dados'!$Y$2:$AA$13},""Select Col2 Where Col1=""&amp;L2397))"),"")</f>
        <v/>
      </c>
      <c r="N2397" s="29" t="str">
        <f>IFERROR(__xludf.DUMMYFUNCTION("IF(ISBLANK(B2397),"""",IF(ISDATE(B2397),TEXT(B2397,""yyyy""),""""))"),"")</f>
        <v/>
      </c>
    </row>
    <row r="2398">
      <c r="B2398" s="89"/>
      <c r="C2398" s="86"/>
      <c r="D2398" s="71"/>
      <c r="H2398" s="90"/>
      <c r="J2398" s="53" t="str">
        <f>IFERROR(__xludf.DUMMYFUNCTION("IF(ISBLANK(B2398),"""",IF(ISDATE(B2398),""X"",""""))"),"")</f>
        <v/>
      </c>
      <c r="K2398" s="40" t="str">
        <f>IFERROR(__xludf.DUMMYFUNCTION("IF(ISBLANK(B2398),"""",IF(ISDATE(B2398),H2398,""""))"),"")</f>
        <v/>
      </c>
      <c r="L2398" s="40" t="str">
        <f>IFERROR(__xludf.DUMMYFUNCTION("IF(ISBLANK(B2398),"""",IF(ISDATE(B2398),TEXT(B2398,""M""),""""))"),"")</f>
        <v/>
      </c>
      <c r="M2398" s="29" t="str">
        <f>IFERROR(__xludf.DUMMYFUNCTION("IF(L2398="""","""",QUERY({'Dashboard-Dados'!$Y$2:$AA$13},""Select Col2 Where Col1=""&amp;L2398))"),"")</f>
        <v/>
      </c>
      <c r="N2398" s="29" t="str">
        <f>IFERROR(__xludf.DUMMYFUNCTION("IF(ISBLANK(B2398),"""",IF(ISDATE(B2398),TEXT(B2398,""yyyy""),""""))"),"")</f>
        <v/>
      </c>
    </row>
    <row r="2399">
      <c r="B2399" s="87"/>
      <c r="C2399" s="85"/>
      <c r="D2399" s="76"/>
      <c r="H2399" s="88"/>
      <c r="J2399" s="53" t="str">
        <f>IFERROR(__xludf.DUMMYFUNCTION("IF(ISBLANK(B2399),"""",IF(ISDATE(B2399),""X"",""""))"),"")</f>
        <v/>
      </c>
      <c r="K2399" s="40" t="str">
        <f>IFERROR(__xludf.DUMMYFUNCTION("IF(ISBLANK(B2399),"""",IF(ISDATE(B2399),H2399,""""))"),"")</f>
        <v/>
      </c>
      <c r="L2399" s="40" t="str">
        <f>IFERROR(__xludf.DUMMYFUNCTION("IF(ISBLANK(B2399),"""",IF(ISDATE(B2399),TEXT(B2399,""M""),""""))"),"")</f>
        <v/>
      </c>
      <c r="M2399" s="29" t="str">
        <f>IFERROR(__xludf.DUMMYFUNCTION("IF(L2399="""","""",QUERY({'Dashboard-Dados'!$Y$2:$AA$13},""Select Col2 Where Col1=""&amp;L2399))"),"")</f>
        <v/>
      </c>
      <c r="N2399" s="29" t="str">
        <f>IFERROR(__xludf.DUMMYFUNCTION("IF(ISBLANK(B2399),"""",IF(ISDATE(B2399),TEXT(B2399,""yyyy""),""""))"),"")</f>
        <v/>
      </c>
    </row>
    <row r="2400">
      <c r="B2400" s="89"/>
      <c r="C2400" s="86"/>
      <c r="D2400" s="71"/>
      <c r="H2400" s="90"/>
      <c r="J2400" s="53" t="str">
        <f>IFERROR(__xludf.DUMMYFUNCTION("IF(ISBLANK(B2400),"""",IF(ISDATE(B2400),""X"",""""))"),"")</f>
        <v/>
      </c>
      <c r="K2400" s="40" t="str">
        <f>IFERROR(__xludf.DUMMYFUNCTION("IF(ISBLANK(B2400),"""",IF(ISDATE(B2400),H2400,""""))"),"")</f>
        <v/>
      </c>
      <c r="L2400" s="40" t="str">
        <f>IFERROR(__xludf.DUMMYFUNCTION("IF(ISBLANK(B2400),"""",IF(ISDATE(B2400),TEXT(B2400,""M""),""""))"),"")</f>
        <v/>
      </c>
      <c r="M2400" s="29" t="str">
        <f>IFERROR(__xludf.DUMMYFUNCTION("IF(L2400="""","""",QUERY({'Dashboard-Dados'!$Y$2:$AA$13},""Select Col2 Where Col1=""&amp;L2400))"),"")</f>
        <v/>
      </c>
      <c r="N2400" s="29" t="str">
        <f>IFERROR(__xludf.DUMMYFUNCTION("IF(ISBLANK(B2400),"""",IF(ISDATE(B2400),TEXT(B2400,""yyyy""),""""))"),"")</f>
        <v/>
      </c>
    </row>
    <row r="2401">
      <c r="B2401" s="87"/>
      <c r="C2401" s="85"/>
      <c r="D2401" s="76"/>
      <c r="H2401" s="88"/>
      <c r="J2401" s="53" t="str">
        <f>IFERROR(__xludf.DUMMYFUNCTION("IF(ISBLANK(B2401),"""",IF(ISDATE(B2401),""X"",""""))"),"")</f>
        <v/>
      </c>
      <c r="K2401" s="40" t="str">
        <f>IFERROR(__xludf.DUMMYFUNCTION("IF(ISBLANK(B2401),"""",IF(ISDATE(B2401),H2401,""""))"),"")</f>
        <v/>
      </c>
      <c r="L2401" s="40" t="str">
        <f>IFERROR(__xludf.DUMMYFUNCTION("IF(ISBLANK(B2401),"""",IF(ISDATE(B2401),TEXT(B2401,""M""),""""))"),"")</f>
        <v/>
      </c>
      <c r="M2401" s="29" t="str">
        <f>IFERROR(__xludf.DUMMYFUNCTION("IF(L2401="""","""",QUERY({'Dashboard-Dados'!$Y$2:$AA$13},""Select Col2 Where Col1=""&amp;L2401))"),"")</f>
        <v/>
      </c>
      <c r="N2401" s="29" t="str">
        <f>IFERROR(__xludf.DUMMYFUNCTION("IF(ISBLANK(B2401),"""",IF(ISDATE(B2401),TEXT(B2401,""yyyy""),""""))"),"")</f>
        <v/>
      </c>
    </row>
    <row r="2402">
      <c r="B2402" s="89"/>
      <c r="C2402" s="86"/>
      <c r="D2402" s="71"/>
      <c r="H2402" s="90"/>
      <c r="J2402" s="53" t="str">
        <f>IFERROR(__xludf.DUMMYFUNCTION("IF(ISBLANK(B2402),"""",IF(ISDATE(B2402),""X"",""""))"),"")</f>
        <v/>
      </c>
      <c r="K2402" s="40" t="str">
        <f>IFERROR(__xludf.DUMMYFUNCTION("IF(ISBLANK(B2402),"""",IF(ISDATE(B2402),H2402,""""))"),"")</f>
        <v/>
      </c>
      <c r="L2402" s="40" t="str">
        <f>IFERROR(__xludf.DUMMYFUNCTION("IF(ISBLANK(B2402),"""",IF(ISDATE(B2402),TEXT(B2402,""M""),""""))"),"")</f>
        <v/>
      </c>
      <c r="M2402" s="29" t="str">
        <f>IFERROR(__xludf.DUMMYFUNCTION("IF(L2402="""","""",QUERY({'Dashboard-Dados'!$Y$2:$AA$13},""Select Col2 Where Col1=""&amp;L2402))"),"")</f>
        <v/>
      </c>
      <c r="N2402" s="29" t="str">
        <f>IFERROR(__xludf.DUMMYFUNCTION("IF(ISBLANK(B2402),"""",IF(ISDATE(B2402),TEXT(B2402,""yyyy""),""""))"),"")</f>
        <v/>
      </c>
    </row>
    <row r="2403">
      <c r="B2403" s="87"/>
      <c r="C2403" s="85"/>
      <c r="D2403" s="76"/>
      <c r="H2403" s="88"/>
      <c r="J2403" s="53" t="str">
        <f>IFERROR(__xludf.DUMMYFUNCTION("IF(ISBLANK(B2403),"""",IF(ISDATE(B2403),""X"",""""))"),"")</f>
        <v/>
      </c>
      <c r="K2403" s="40" t="str">
        <f>IFERROR(__xludf.DUMMYFUNCTION("IF(ISBLANK(B2403),"""",IF(ISDATE(B2403),H2403,""""))"),"")</f>
        <v/>
      </c>
      <c r="L2403" s="40" t="str">
        <f>IFERROR(__xludf.DUMMYFUNCTION("IF(ISBLANK(B2403),"""",IF(ISDATE(B2403),TEXT(B2403,""M""),""""))"),"")</f>
        <v/>
      </c>
      <c r="M2403" s="29" t="str">
        <f>IFERROR(__xludf.DUMMYFUNCTION("IF(L2403="""","""",QUERY({'Dashboard-Dados'!$Y$2:$AA$13},""Select Col2 Where Col1=""&amp;L2403))"),"")</f>
        <v/>
      </c>
      <c r="N2403" s="29" t="str">
        <f>IFERROR(__xludf.DUMMYFUNCTION("IF(ISBLANK(B2403),"""",IF(ISDATE(B2403),TEXT(B2403,""yyyy""),""""))"),"")</f>
        <v/>
      </c>
    </row>
    <row r="2404">
      <c r="B2404" s="89"/>
      <c r="C2404" s="86"/>
      <c r="D2404" s="71"/>
      <c r="H2404" s="90"/>
      <c r="J2404" s="53" t="str">
        <f>IFERROR(__xludf.DUMMYFUNCTION("IF(ISBLANK(B2404),"""",IF(ISDATE(B2404),""X"",""""))"),"")</f>
        <v/>
      </c>
      <c r="K2404" s="40" t="str">
        <f>IFERROR(__xludf.DUMMYFUNCTION("IF(ISBLANK(B2404),"""",IF(ISDATE(B2404),H2404,""""))"),"")</f>
        <v/>
      </c>
      <c r="L2404" s="40" t="str">
        <f>IFERROR(__xludf.DUMMYFUNCTION("IF(ISBLANK(B2404),"""",IF(ISDATE(B2404),TEXT(B2404,""M""),""""))"),"")</f>
        <v/>
      </c>
      <c r="M2404" s="29" t="str">
        <f>IFERROR(__xludf.DUMMYFUNCTION("IF(L2404="""","""",QUERY({'Dashboard-Dados'!$Y$2:$AA$13},""Select Col2 Where Col1=""&amp;L2404))"),"")</f>
        <v/>
      </c>
      <c r="N2404" s="29" t="str">
        <f>IFERROR(__xludf.DUMMYFUNCTION("IF(ISBLANK(B2404),"""",IF(ISDATE(B2404),TEXT(B2404,""yyyy""),""""))"),"")</f>
        <v/>
      </c>
    </row>
    <row r="2405">
      <c r="B2405" s="87"/>
      <c r="C2405" s="85"/>
      <c r="D2405" s="76"/>
      <c r="H2405" s="88"/>
      <c r="J2405" s="53" t="str">
        <f>IFERROR(__xludf.DUMMYFUNCTION("IF(ISBLANK(B2405),"""",IF(ISDATE(B2405),""X"",""""))"),"")</f>
        <v/>
      </c>
      <c r="K2405" s="40" t="str">
        <f>IFERROR(__xludf.DUMMYFUNCTION("IF(ISBLANK(B2405),"""",IF(ISDATE(B2405),H2405,""""))"),"")</f>
        <v/>
      </c>
      <c r="L2405" s="40" t="str">
        <f>IFERROR(__xludf.DUMMYFUNCTION("IF(ISBLANK(B2405),"""",IF(ISDATE(B2405),TEXT(B2405,""M""),""""))"),"")</f>
        <v/>
      </c>
      <c r="M2405" s="29" t="str">
        <f>IFERROR(__xludf.DUMMYFUNCTION("IF(L2405="""","""",QUERY({'Dashboard-Dados'!$Y$2:$AA$13},""Select Col2 Where Col1=""&amp;L2405))"),"")</f>
        <v/>
      </c>
      <c r="N2405" s="29" t="str">
        <f>IFERROR(__xludf.DUMMYFUNCTION("IF(ISBLANK(B2405),"""",IF(ISDATE(B2405),TEXT(B2405,""yyyy""),""""))"),"")</f>
        <v/>
      </c>
    </row>
    <row r="2406">
      <c r="B2406" s="89"/>
      <c r="C2406" s="86"/>
      <c r="D2406" s="71"/>
      <c r="H2406" s="90"/>
      <c r="J2406" s="53" t="str">
        <f>IFERROR(__xludf.DUMMYFUNCTION("IF(ISBLANK(B2406),"""",IF(ISDATE(B2406),""X"",""""))"),"")</f>
        <v/>
      </c>
      <c r="K2406" s="40" t="str">
        <f>IFERROR(__xludf.DUMMYFUNCTION("IF(ISBLANK(B2406),"""",IF(ISDATE(B2406),H2406,""""))"),"")</f>
        <v/>
      </c>
      <c r="L2406" s="40" t="str">
        <f>IFERROR(__xludf.DUMMYFUNCTION("IF(ISBLANK(B2406),"""",IF(ISDATE(B2406),TEXT(B2406,""M""),""""))"),"")</f>
        <v/>
      </c>
      <c r="M2406" s="29" t="str">
        <f>IFERROR(__xludf.DUMMYFUNCTION("IF(L2406="""","""",QUERY({'Dashboard-Dados'!$Y$2:$AA$13},""Select Col2 Where Col1=""&amp;L2406))"),"")</f>
        <v/>
      </c>
      <c r="N2406" s="29" t="str">
        <f>IFERROR(__xludf.DUMMYFUNCTION("IF(ISBLANK(B2406),"""",IF(ISDATE(B2406),TEXT(B2406,""yyyy""),""""))"),"")</f>
        <v/>
      </c>
    </row>
    <row r="2407">
      <c r="B2407" s="87"/>
      <c r="C2407" s="85"/>
      <c r="D2407" s="76"/>
      <c r="H2407" s="88"/>
      <c r="J2407" s="53" t="str">
        <f>IFERROR(__xludf.DUMMYFUNCTION("IF(ISBLANK(B2407),"""",IF(ISDATE(B2407),""X"",""""))"),"")</f>
        <v/>
      </c>
      <c r="K2407" s="40" t="str">
        <f>IFERROR(__xludf.DUMMYFUNCTION("IF(ISBLANK(B2407),"""",IF(ISDATE(B2407),H2407,""""))"),"")</f>
        <v/>
      </c>
      <c r="L2407" s="40" t="str">
        <f>IFERROR(__xludf.DUMMYFUNCTION("IF(ISBLANK(B2407),"""",IF(ISDATE(B2407),TEXT(B2407,""M""),""""))"),"")</f>
        <v/>
      </c>
      <c r="M2407" s="29" t="str">
        <f>IFERROR(__xludf.DUMMYFUNCTION("IF(L2407="""","""",QUERY({'Dashboard-Dados'!$Y$2:$AA$13},""Select Col2 Where Col1=""&amp;L2407))"),"")</f>
        <v/>
      </c>
      <c r="N2407" s="29" t="str">
        <f>IFERROR(__xludf.DUMMYFUNCTION("IF(ISBLANK(B2407),"""",IF(ISDATE(B2407),TEXT(B2407,""yyyy""),""""))"),"")</f>
        <v/>
      </c>
    </row>
    <row r="2408">
      <c r="B2408" s="89"/>
      <c r="C2408" s="86"/>
      <c r="D2408" s="71"/>
      <c r="H2408" s="90"/>
      <c r="J2408" s="53" t="str">
        <f>IFERROR(__xludf.DUMMYFUNCTION("IF(ISBLANK(B2408),"""",IF(ISDATE(B2408),""X"",""""))"),"")</f>
        <v/>
      </c>
      <c r="K2408" s="40" t="str">
        <f>IFERROR(__xludf.DUMMYFUNCTION("IF(ISBLANK(B2408),"""",IF(ISDATE(B2408),H2408,""""))"),"")</f>
        <v/>
      </c>
      <c r="L2408" s="40" t="str">
        <f>IFERROR(__xludf.DUMMYFUNCTION("IF(ISBLANK(B2408),"""",IF(ISDATE(B2408),TEXT(B2408,""M""),""""))"),"")</f>
        <v/>
      </c>
      <c r="M2408" s="29" t="str">
        <f>IFERROR(__xludf.DUMMYFUNCTION("IF(L2408="""","""",QUERY({'Dashboard-Dados'!$Y$2:$AA$13},""Select Col2 Where Col1=""&amp;L2408))"),"")</f>
        <v/>
      </c>
      <c r="N2408" s="29" t="str">
        <f>IFERROR(__xludf.DUMMYFUNCTION("IF(ISBLANK(B2408),"""",IF(ISDATE(B2408),TEXT(B2408,""yyyy""),""""))"),"")</f>
        <v/>
      </c>
    </row>
    <row r="2409">
      <c r="B2409" s="87"/>
      <c r="C2409" s="85"/>
      <c r="D2409" s="76"/>
      <c r="H2409" s="88"/>
      <c r="J2409" s="53" t="str">
        <f>IFERROR(__xludf.DUMMYFUNCTION("IF(ISBLANK(B2409),"""",IF(ISDATE(B2409),""X"",""""))"),"")</f>
        <v/>
      </c>
      <c r="K2409" s="40" t="str">
        <f>IFERROR(__xludf.DUMMYFUNCTION("IF(ISBLANK(B2409),"""",IF(ISDATE(B2409),H2409,""""))"),"")</f>
        <v/>
      </c>
      <c r="L2409" s="40" t="str">
        <f>IFERROR(__xludf.DUMMYFUNCTION("IF(ISBLANK(B2409),"""",IF(ISDATE(B2409),TEXT(B2409,""M""),""""))"),"")</f>
        <v/>
      </c>
      <c r="M2409" s="29" t="str">
        <f>IFERROR(__xludf.DUMMYFUNCTION("IF(L2409="""","""",QUERY({'Dashboard-Dados'!$Y$2:$AA$13},""Select Col2 Where Col1=""&amp;L2409))"),"")</f>
        <v/>
      </c>
      <c r="N2409" s="29" t="str">
        <f>IFERROR(__xludf.DUMMYFUNCTION("IF(ISBLANK(B2409),"""",IF(ISDATE(B2409),TEXT(B2409,""yyyy""),""""))"),"")</f>
        <v/>
      </c>
    </row>
    <row r="2410">
      <c r="B2410" s="89"/>
      <c r="C2410" s="86"/>
      <c r="D2410" s="71"/>
      <c r="H2410" s="90"/>
      <c r="J2410" s="53" t="str">
        <f>IFERROR(__xludf.DUMMYFUNCTION("IF(ISBLANK(B2410),"""",IF(ISDATE(B2410),""X"",""""))"),"")</f>
        <v/>
      </c>
      <c r="K2410" s="40" t="str">
        <f>IFERROR(__xludf.DUMMYFUNCTION("IF(ISBLANK(B2410),"""",IF(ISDATE(B2410),H2410,""""))"),"")</f>
        <v/>
      </c>
      <c r="L2410" s="40" t="str">
        <f>IFERROR(__xludf.DUMMYFUNCTION("IF(ISBLANK(B2410),"""",IF(ISDATE(B2410),TEXT(B2410,""M""),""""))"),"")</f>
        <v/>
      </c>
      <c r="M2410" s="29" t="str">
        <f>IFERROR(__xludf.DUMMYFUNCTION("IF(L2410="""","""",QUERY({'Dashboard-Dados'!$Y$2:$AA$13},""Select Col2 Where Col1=""&amp;L2410))"),"")</f>
        <v/>
      </c>
      <c r="N2410" s="29" t="str">
        <f>IFERROR(__xludf.DUMMYFUNCTION("IF(ISBLANK(B2410),"""",IF(ISDATE(B2410),TEXT(B2410,""yyyy""),""""))"),"")</f>
        <v/>
      </c>
    </row>
    <row r="2411">
      <c r="B2411" s="87"/>
      <c r="C2411" s="85"/>
      <c r="D2411" s="76"/>
      <c r="H2411" s="88"/>
      <c r="J2411" s="53" t="str">
        <f>IFERROR(__xludf.DUMMYFUNCTION("IF(ISBLANK(B2411),"""",IF(ISDATE(B2411),""X"",""""))"),"")</f>
        <v/>
      </c>
      <c r="K2411" s="40" t="str">
        <f>IFERROR(__xludf.DUMMYFUNCTION("IF(ISBLANK(B2411),"""",IF(ISDATE(B2411),H2411,""""))"),"")</f>
        <v/>
      </c>
      <c r="L2411" s="40" t="str">
        <f>IFERROR(__xludf.DUMMYFUNCTION("IF(ISBLANK(B2411),"""",IF(ISDATE(B2411),TEXT(B2411,""M""),""""))"),"")</f>
        <v/>
      </c>
      <c r="M2411" s="29" t="str">
        <f>IFERROR(__xludf.DUMMYFUNCTION("IF(L2411="""","""",QUERY({'Dashboard-Dados'!$Y$2:$AA$13},""Select Col2 Where Col1=""&amp;L2411))"),"")</f>
        <v/>
      </c>
      <c r="N2411" s="29" t="str">
        <f>IFERROR(__xludf.DUMMYFUNCTION("IF(ISBLANK(B2411),"""",IF(ISDATE(B2411),TEXT(B2411,""yyyy""),""""))"),"")</f>
        <v/>
      </c>
    </row>
    <row r="2412">
      <c r="B2412" s="89"/>
      <c r="C2412" s="86"/>
      <c r="D2412" s="71"/>
      <c r="H2412" s="90"/>
      <c r="J2412" s="53" t="str">
        <f>IFERROR(__xludf.DUMMYFUNCTION("IF(ISBLANK(B2412),"""",IF(ISDATE(B2412),""X"",""""))"),"")</f>
        <v/>
      </c>
      <c r="K2412" s="40" t="str">
        <f>IFERROR(__xludf.DUMMYFUNCTION("IF(ISBLANK(B2412),"""",IF(ISDATE(B2412),H2412,""""))"),"")</f>
        <v/>
      </c>
      <c r="L2412" s="40" t="str">
        <f>IFERROR(__xludf.DUMMYFUNCTION("IF(ISBLANK(B2412),"""",IF(ISDATE(B2412),TEXT(B2412,""M""),""""))"),"")</f>
        <v/>
      </c>
      <c r="M2412" s="29" t="str">
        <f>IFERROR(__xludf.DUMMYFUNCTION("IF(L2412="""","""",QUERY({'Dashboard-Dados'!$Y$2:$AA$13},""Select Col2 Where Col1=""&amp;L2412))"),"")</f>
        <v/>
      </c>
      <c r="N2412" s="29" t="str">
        <f>IFERROR(__xludf.DUMMYFUNCTION("IF(ISBLANK(B2412),"""",IF(ISDATE(B2412),TEXT(B2412,""yyyy""),""""))"),"")</f>
        <v/>
      </c>
    </row>
    <row r="2413">
      <c r="B2413" s="87"/>
      <c r="C2413" s="85"/>
      <c r="D2413" s="76"/>
      <c r="H2413" s="88"/>
      <c r="J2413" s="53" t="str">
        <f>IFERROR(__xludf.DUMMYFUNCTION("IF(ISBLANK(B2413),"""",IF(ISDATE(B2413),""X"",""""))"),"")</f>
        <v/>
      </c>
      <c r="K2413" s="40" t="str">
        <f>IFERROR(__xludf.DUMMYFUNCTION("IF(ISBLANK(B2413),"""",IF(ISDATE(B2413),H2413,""""))"),"")</f>
        <v/>
      </c>
      <c r="L2413" s="40" t="str">
        <f>IFERROR(__xludf.DUMMYFUNCTION("IF(ISBLANK(B2413),"""",IF(ISDATE(B2413),TEXT(B2413,""M""),""""))"),"")</f>
        <v/>
      </c>
      <c r="M2413" s="29" t="str">
        <f>IFERROR(__xludf.DUMMYFUNCTION("IF(L2413="""","""",QUERY({'Dashboard-Dados'!$Y$2:$AA$13},""Select Col2 Where Col1=""&amp;L2413))"),"")</f>
        <v/>
      </c>
      <c r="N2413" s="29" t="str">
        <f>IFERROR(__xludf.DUMMYFUNCTION("IF(ISBLANK(B2413),"""",IF(ISDATE(B2413),TEXT(B2413,""yyyy""),""""))"),"")</f>
        <v/>
      </c>
    </row>
    <row r="2414">
      <c r="B2414" s="89"/>
      <c r="C2414" s="86"/>
      <c r="D2414" s="71"/>
      <c r="H2414" s="90"/>
      <c r="J2414" s="53" t="str">
        <f>IFERROR(__xludf.DUMMYFUNCTION("IF(ISBLANK(B2414),"""",IF(ISDATE(B2414),""X"",""""))"),"")</f>
        <v/>
      </c>
      <c r="K2414" s="40" t="str">
        <f>IFERROR(__xludf.DUMMYFUNCTION("IF(ISBLANK(B2414),"""",IF(ISDATE(B2414),H2414,""""))"),"")</f>
        <v/>
      </c>
      <c r="L2414" s="40" t="str">
        <f>IFERROR(__xludf.DUMMYFUNCTION("IF(ISBLANK(B2414),"""",IF(ISDATE(B2414),TEXT(B2414,""M""),""""))"),"")</f>
        <v/>
      </c>
      <c r="M2414" s="29" t="str">
        <f>IFERROR(__xludf.DUMMYFUNCTION("IF(L2414="""","""",QUERY({'Dashboard-Dados'!$Y$2:$AA$13},""Select Col2 Where Col1=""&amp;L2414))"),"")</f>
        <v/>
      </c>
      <c r="N2414" s="29" t="str">
        <f>IFERROR(__xludf.DUMMYFUNCTION("IF(ISBLANK(B2414),"""",IF(ISDATE(B2414),TEXT(B2414,""yyyy""),""""))"),"")</f>
        <v/>
      </c>
    </row>
    <row r="2415">
      <c r="B2415" s="87"/>
      <c r="C2415" s="85"/>
      <c r="D2415" s="76"/>
      <c r="H2415" s="88"/>
      <c r="J2415" s="53" t="str">
        <f>IFERROR(__xludf.DUMMYFUNCTION("IF(ISBLANK(B2415),"""",IF(ISDATE(B2415),""X"",""""))"),"")</f>
        <v/>
      </c>
      <c r="K2415" s="40" t="str">
        <f>IFERROR(__xludf.DUMMYFUNCTION("IF(ISBLANK(B2415),"""",IF(ISDATE(B2415),H2415,""""))"),"")</f>
        <v/>
      </c>
      <c r="L2415" s="40" t="str">
        <f>IFERROR(__xludf.DUMMYFUNCTION("IF(ISBLANK(B2415),"""",IF(ISDATE(B2415),TEXT(B2415,""M""),""""))"),"")</f>
        <v/>
      </c>
      <c r="M2415" s="29" t="str">
        <f>IFERROR(__xludf.DUMMYFUNCTION("IF(L2415="""","""",QUERY({'Dashboard-Dados'!$Y$2:$AA$13},""Select Col2 Where Col1=""&amp;L2415))"),"")</f>
        <v/>
      </c>
      <c r="N2415" s="29" t="str">
        <f>IFERROR(__xludf.DUMMYFUNCTION("IF(ISBLANK(B2415),"""",IF(ISDATE(B2415),TEXT(B2415,""yyyy""),""""))"),"")</f>
        <v/>
      </c>
    </row>
    <row r="2416">
      <c r="B2416" s="89"/>
      <c r="C2416" s="86"/>
      <c r="D2416" s="71"/>
      <c r="H2416" s="90"/>
      <c r="J2416" s="53" t="str">
        <f>IFERROR(__xludf.DUMMYFUNCTION("IF(ISBLANK(B2416),"""",IF(ISDATE(B2416),""X"",""""))"),"")</f>
        <v/>
      </c>
      <c r="K2416" s="40" t="str">
        <f>IFERROR(__xludf.DUMMYFUNCTION("IF(ISBLANK(B2416),"""",IF(ISDATE(B2416),H2416,""""))"),"")</f>
        <v/>
      </c>
      <c r="L2416" s="40" t="str">
        <f>IFERROR(__xludf.DUMMYFUNCTION("IF(ISBLANK(B2416),"""",IF(ISDATE(B2416),TEXT(B2416,""M""),""""))"),"")</f>
        <v/>
      </c>
      <c r="M2416" s="29" t="str">
        <f>IFERROR(__xludf.DUMMYFUNCTION("IF(L2416="""","""",QUERY({'Dashboard-Dados'!$Y$2:$AA$13},""Select Col2 Where Col1=""&amp;L2416))"),"")</f>
        <v/>
      </c>
      <c r="N2416" s="29" t="str">
        <f>IFERROR(__xludf.DUMMYFUNCTION("IF(ISBLANK(B2416),"""",IF(ISDATE(B2416),TEXT(B2416,""yyyy""),""""))"),"")</f>
        <v/>
      </c>
    </row>
    <row r="2417">
      <c r="B2417" s="87"/>
      <c r="C2417" s="85"/>
      <c r="D2417" s="76"/>
      <c r="H2417" s="88"/>
      <c r="J2417" s="53" t="str">
        <f>IFERROR(__xludf.DUMMYFUNCTION("IF(ISBLANK(B2417),"""",IF(ISDATE(B2417),""X"",""""))"),"")</f>
        <v/>
      </c>
      <c r="K2417" s="40" t="str">
        <f>IFERROR(__xludf.DUMMYFUNCTION("IF(ISBLANK(B2417),"""",IF(ISDATE(B2417),H2417,""""))"),"")</f>
        <v/>
      </c>
      <c r="L2417" s="40" t="str">
        <f>IFERROR(__xludf.DUMMYFUNCTION("IF(ISBLANK(B2417),"""",IF(ISDATE(B2417),TEXT(B2417,""M""),""""))"),"")</f>
        <v/>
      </c>
      <c r="M2417" s="29" t="str">
        <f>IFERROR(__xludf.DUMMYFUNCTION("IF(L2417="""","""",QUERY({'Dashboard-Dados'!$Y$2:$AA$13},""Select Col2 Where Col1=""&amp;L2417))"),"")</f>
        <v/>
      </c>
      <c r="N2417" s="29" t="str">
        <f>IFERROR(__xludf.DUMMYFUNCTION("IF(ISBLANK(B2417),"""",IF(ISDATE(B2417),TEXT(B2417,""yyyy""),""""))"),"")</f>
        <v/>
      </c>
    </row>
    <row r="2418">
      <c r="B2418" s="89"/>
      <c r="C2418" s="86"/>
      <c r="D2418" s="71"/>
      <c r="H2418" s="90"/>
      <c r="J2418" s="53" t="str">
        <f>IFERROR(__xludf.DUMMYFUNCTION("IF(ISBLANK(B2418),"""",IF(ISDATE(B2418),""X"",""""))"),"")</f>
        <v/>
      </c>
      <c r="K2418" s="40" t="str">
        <f>IFERROR(__xludf.DUMMYFUNCTION("IF(ISBLANK(B2418),"""",IF(ISDATE(B2418),H2418,""""))"),"")</f>
        <v/>
      </c>
      <c r="L2418" s="40" t="str">
        <f>IFERROR(__xludf.DUMMYFUNCTION("IF(ISBLANK(B2418),"""",IF(ISDATE(B2418),TEXT(B2418,""M""),""""))"),"")</f>
        <v/>
      </c>
      <c r="M2418" s="29" t="str">
        <f>IFERROR(__xludf.DUMMYFUNCTION("IF(L2418="""","""",QUERY({'Dashboard-Dados'!$Y$2:$AA$13},""Select Col2 Where Col1=""&amp;L2418))"),"")</f>
        <v/>
      </c>
      <c r="N2418" s="29" t="str">
        <f>IFERROR(__xludf.DUMMYFUNCTION("IF(ISBLANK(B2418),"""",IF(ISDATE(B2418),TEXT(B2418,""yyyy""),""""))"),"")</f>
        <v/>
      </c>
    </row>
    <row r="2419">
      <c r="B2419" s="87"/>
      <c r="C2419" s="85"/>
      <c r="D2419" s="76"/>
      <c r="H2419" s="88"/>
      <c r="J2419" s="53" t="str">
        <f>IFERROR(__xludf.DUMMYFUNCTION("IF(ISBLANK(B2419),"""",IF(ISDATE(B2419),""X"",""""))"),"")</f>
        <v/>
      </c>
      <c r="K2419" s="40" t="str">
        <f>IFERROR(__xludf.DUMMYFUNCTION("IF(ISBLANK(B2419),"""",IF(ISDATE(B2419),H2419,""""))"),"")</f>
        <v/>
      </c>
      <c r="L2419" s="40" t="str">
        <f>IFERROR(__xludf.DUMMYFUNCTION("IF(ISBLANK(B2419),"""",IF(ISDATE(B2419),TEXT(B2419,""M""),""""))"),"")</f>
        <v/>
      </c>
      <c r="M2419" s="29" t="str">
        <f>IFERROR(__xludf.DUMMYFUNCTION("IF(L2419="""","""",QUERY({'Dashboard-Dados'!$Y$2:$AA$13},""Select Col2 Where Col1=""&amp;L2419))"),"")</f>
        <v/>
      </c>
      <c r="N2419" s="29" t="str">
        <f>IFERROR(__xludf.DUMMYFUNCTION("IF(ISBLANK(B2419),"""",IF(ISDATE(B2419),TEXT(B2419,""yyyy""),""""))"),"")</f>
        <v/>
      </c>
    </row>
    <row r="2420">
      <c r="B2420" s="89"/>
      <c r="C2420" s="86"/>
      <c r="D2420" s="71"/>
      <c r="H2420" s="90"/>
      <c r="J2420" s="53" t="str">
        <f>IFERROR(__xludf.DUMMYFUNCTION("IF(ISBLANK(B2420),"""",IF(ISDATE(B2420),""X"",""""))"),"")</f>
        <v/>
      </c>
      <c r="K2420" s="40" t="str">
        <f>IFERROR(__xludf.DUMMYFUNCTION("IF(ISBLANK(B2420),"""",IF(ISDATE(B2420),H2420,""""))"),"")</f>
        <v/>
      </c>
      <c r="L2420" s="40" t="str">
        <f>IFERROR(__xludf.DUMMYFUNCTION("IF(ISBLANK(B2420),"""",IF(ISDATE(B2420),TEXT(B2420,""M""),""""))"),"")</f>
        <v/>
      </c>
      <c r="M2420" s="29" t="str">
        <f>IFERROR(__xludf.DUMMYFUNCTION("IF(L2420="""","""",QUERY({'Dashboard-Dados'!$Y$2:$AA$13},""Select Col2 Where Col1=""&amp;L2420))"),"")</f>
        <v/>
      </c>
      <c r="N2420" s="29" t="str">
        <f>IFERROR(__xludf.DUMMYFUNCTION("IF(ISBLANK(B2420),"""",IF(ISDATE(B2420),TEXT(B2420,""yyyy""),""""))"),"")</f>
        <v/>
      </c>
    </row>
    <row r="2421">
      <c r="B2421" s="87"/>
      <c r="C2421" s="85"/>
      <c r="D2421" s="76"/>
      <c r="H2421" s="88"/>
      <c r="J2421" s="53" t="str">
        <f>IFERROR(__xludf.DUMMYFUNCTION("IF(ISBLANK(B2421),"""",IF(ISDATE(B2421),""X"",""""))"),"")</f>
        <v/>
      </c>
      <c r="K2421" s="40" t="str">
        <f>IFERROR(__xludf.DUMMYFUNCTION("IF(ISBLANK(B2421),"""",IF(ISDATE(B2421),H2421,""""))"),"")</f>
        <v/>
      </c>
      <c r="L2421" s="40" t="str">
        <f>IFERROR(__xludf.DUMMYFUNCTION("IF(ISBLANK(B2421),"""",IF(ISDATE(B2421),TEXT(B2421,""M""),""""))"),"")</f>
        <v/>
      </c>
      <c r="M2421" s="29" t="str">
        <f>IFERROR(__xludf.DUMMYFUNCTION("IF(L2421="""","""",QUERY({'Dashboard-Dados'!$Y$2:$AA$13},""Select Col2 Where Col1=""&amp;L2421))"),"")</f>
        <v/>
      </c>
      <c r="N2421" s="29" t="str">
        <f>IFERROR(__xludf.DUMMYFUNCTION("IF(ISBLANK(B2421),"""",IF(ISDATE(B2421),TEXT(B2421,""yyyy""),""""))"),"")</f>
        <v/>
      </c>
    </row>
    <row r="2422">
      <c r="B2422" s="89"/>
      <c r="C2422" s="86"/>
      <c r="D2422" s="71"/>
      <c r="H2422" s="90"/>
      <c r="J2422" s="53" t="str">
        <f>IFERROR(__xludf.DUMMYFUNCTION("IF(ISBLANK(B2422),"""",IF(ISDATE(B2422),""X"",""""))"),"")</f>
        <v/>
      </c>
      <c r="K2422" s="40" t="str">
        <f>IFERROR(__xludf.DUMMYFUNCTION("IF(ISBLANK(B2422),"""",IF(ISDATE(B2422),H2422,""""))"),"")</f>
        <v/>
      </c>
      <c r="L2422" s="40" t="str">
        <f>IFERROR(__xludf.DUMMYFUNCTION("IF(ISBLANK(B2422),"""",IF(ISDATE(B2422),TEXT(B2422,""M""),""""))"),"")</f>
        <v/>
      </c>
      <c r="M2422" s="29" t="str">
        <f>IFERROR(__xludf.DUMMYFUNCTION("IF(L2422="""","""",QUERY({'Dashboard-Dados'!$Y$2:$AA$13},""Select Col2 Where Col1=""&amp;L2422))"),"")</f>
        <v/>
      </c>
      <c r="N2422" s="29" t="str">
        <f>IFERROR(__xludf.DUMMYFUNCTION("IF(ISBLANK(B2422),"""",IF(ISDATE(B2422),TEXT(B2422,""yyyy""),""""))"),"")</f>
        <v/>
      </c>
    </row>
    <row r="2423">
      <c r="B2423" s="87"/>
      <c r="C2423" s="85"/>
      <c r="D2423" s="76"/>
      <c r="H2423" s="88"/>
      <c r="J2423" s="53" t="str">
        <f>IFERROR(__xludf.DUMMYFUNCTION("IF(ISBLANK(B2423),"""",IF(ISDATE(B2423),""X"",""""))"),"")</f>
        <v/>
      </c>
      <c r="K2423" s="40" t="str">
        <f>IFERROR(__xludf.DUMMYFUNCTION("IF(ISBLANK(B2423),"""",IF(ISDATE(B2423),H2423,""""))"),"")</f>
        <v/>
      </c>
      <c r="L2423" s="40" t="str">
        <f>IFERROR(__xludf.DUMMYFUNCTION("IF(ISBLANK(B2423),"""",IF(ISDATE(B2423),TEXT(B2423,""M""),""""))"),"")</f>
        <v/>
      </c>
      <c r="M2423" s="29" t="str">
        <f>IFERROR(__xludf.DUMMYFUNCTION("IF(L2423="""","""",QUERY({'Dashboard-Dados'!$Y$2:$AA$13},""Select Col2 Where Col1=""&amp;L2423))"),"")</f>
        <v/>
      </c>
      <c r="N2423" s="29" t="str">
        <f>IFERROR(__xludf.DUMMYFUNCTION("IF(ISBLANK(B2423),"""",IF(ISDATE(B2423),TEXT(B2423,""yyyy""),""""))"),"")</f>
        <v/>
      </c>
    </row>
    <row r="2424">
      <c r="B2424" s="89"/>
      <c r="C2424" s="86"/>
      <c r="D2424" s="71"/>
      <c r="H2424" s="90"/>
      <c r="J2424" s="53" t="str">
        <f>IFERROR(__xludf.DUMMYFUNCTION("IF(ISBLANK(B2424),"""",IF(ISDATE(B2424),""X"",""""))"),"")</f>
        <v/>
      </c>
      <c r="K2424" s="40" t="str">
        <f>IFERROR(__xludf.DUMMYFUNCTION("IF(ISBLANK(B2424),"""",IF(ISDATE(B2424),H2424,""""))"),"")</f>
        <v/>
      </c>
      <c r="L2424" s="40" t="str">
        <f>IFERROR(__xludf.DUMMYFUNCTION("IF(ISBLANK(B2424),"""",IF(ISDATE(B2424),TEXT(B2424,""M""),""""))"),"")</f>
        <v/>
      </c>
      <c r="M2424" s="29" t="str">
        <f>IFERROR(__xludf.DUMMYFUNCTION("IF(L2424="""","""",QUERY({'Dashboard-Dados'!$Y$2:$AA$13},""Select Col2 Where Col1=""&amp;L2424))"),"")</f>
        <v/>
      </c>
      <c r="N2424" s="29" t="str">
        <f>IFERROR(__xludf.DUMMYFUNCTION("IF(ISBLANK(B2424),"""",IF(ISDATE(B2424),TEXT(B2424,""yyyy""),""""))"),"")</f>
        <v/>
      </c>
    </row>
    <row r="2425">
      <c r="B2425" s="87"/>
      <c r="C2425" s="85"/>
      <c r="D2425" s="76"/>
      <c r="H2425" s="88"/>
      <c r="J2425" s="53" t="str">
        <f>IFERROR(__xludf.DUMMYFUNCTION("IF(ISBLANK(B2425),"""",IF(ISDATE(B2425),""X"",""""))"),"")</f>
        <v/>
      </c>
      <c r="K2425" s="40" t="str">
        <f>IFERROR(__xludf.DUMMYFUNCTION("IF(ISBLANK(B2425),"""",IF(ISDATE(B2425),H2425,""""))"),"")</f>
        <v/>
      </c>
      <c r="L2425" s="40" t="str">
        <f>IFERROR(__xludf.DUMMYFUNCTION("IF(ISBLANK(B2425),"""",IF(ISDATE(B2425),TEXT(B2425,""M""),""""))"),"")</f>
        <v/>
      </c>
      <c r="M2425" s="29" t="str">
        <f>IFERROR(__xludf.DUMMYFUNCTION("IF(L2425="""","""",QUERY({'Dashboard-Dados'!$Y$2:$AA$13},""Select Col2 Where Col1=""&amp;L2425))"),"")</f>
        <v/>
      </c>
      <c r="N2425" s="29" t="str">
        <f>IFERROR(__xludf.DUMMYFUNCTION("IF(ISBLANK(B2425),"""",IF(ISDATE(B2425),TEXT(B2425,""yyyy""),""""))"),"")</f>
        <v/>
      </c>
    </row>
    <row r="2426">
      <c r="B2426" s="89"/>
      <c r="C2426" s="86"/>
      <c r="D2426" s="71"/>
      <c r="H2426" s="90"/>
      <c r="J2426" s="53" t="str">
        <f>IFERROR(__xludf.DUMMYFUNCTION("IF(ISBLANK(B2426),"""",IF(ISDATE(B2426),""X"",""""))"),"")</f>
        <v/>
      </c>
      <c r="K2426" s="40" t="str">
        <f>IFERROR(__xludf.DUMMYFUNCTION("IF(ISBLANK(B2426),"""",IF(ISDATE(B2426),H2426,""""))"),"")</f>
        <v/>
      </c>
      <c r="L2426" s="40" t="str">
        <f>IFERROR(__xludf.DUMMYFUNCTION("IF(ISBLANK(B2426),"""",IF(ISDATE(B2426),TEXT(B2426,""M""),""""))"),"")</f>
        <v/>
      </c>
      <c r="M2426" s="29" t="str">
        <f>IFERROR(__xludf.DUMMYFUNCTION("IF(L2426="""","""",QUERY({'Dashboard-Dados'!$Y$2:$AA$13},""Select Col2 Where Col1=""&amp;L2426))"),"")</f>
        <v/>
      </c>
      <c r="N2426" s="29" t="str">
        <f>IFERROR(__xludf.DUMMYFUNCTION("IF(ISBLANK(B2426),"""",IF(ISDATE(B2426),TEXT(B2426,""yyyy""),""""))"),"")</f>
        <v/>
      </c>
    </row>
    <row r="2427">
      <c r="B2427" s="87"/>
      <c r="C2427" s="85"/>
      <c r="D2427" s="76"/>
      <c r="H2427" s="88"/>
      <c r="J2427" s="53" t="str">
        <f>IFERROR(__xludf.DUMMYFUNCTION("IF(ISBLANK(B2427),"""",IF(ISDATE(B2427),""X"",""""))"),"")</f>
        <v/>
      </c>
      <c r="K2427" s="40" t="str">
        <f>IFERROR(__xludf.DUMMYFUNCTION("IF(ISBLANK(B2427),"""",IF(ISDATE(B2427),H2427,""""))"),"")</f>
        <v/>
      </c>
      <c r="L2427" s="40" t="str">
        <f>IFERROR(__xludf.DUMMYFUNCTION("IF(ISBLANK(B2427),"""",IF(ISDATE(B2427),TEXT(B2427,""M""),""""))"),"")</f>
        <v/>
      </c>
      <c r="M2427" s="29" t="str">
        <f>IFERROR(__xludf.DUMMYFUNCTION("IF(L2427="""","""",QUERY({'Dashboard-Dados'!$Y$2:$AA$13},""Select Col2 Where Col1=""&amp;L2427))"),"")</f>
        <v/>
      </c>
      <c r="N2427" s="29" t="str">
        <f>IFERROR(__xludf.DUMMYFUNCTION("IF(ISBLANK(B2427),"""",IF(ISDATE(B2427),TEXT(B2427,""yyyy""),""""))"),"")</f>
        <v/>
      </c>
    </row>
    <row r="2428">
      <c r="B2428" s="89"/>
      <c r="C2428" s="86"/>
      <c r="D2428" s="71"/>
      <c r="H2428" s="90"/>
      <c r="J2428" s="53" t="str">
        <f>IFERROR(__xludf.DUMMYFUNCTION("IF(ISBLANK(B2428),"""",IF(ISDATE(B2428),""X"",""""))"),"")</f>
        <v/>
      </c>
      <c r="K2428" s="40" t="str">
        <f>IFERROR(__xludf.DUMMYFUNCTION("IF(ISBLANK(B2428),"""",IF(ISDATE(B2428),H2428,""""))"),"")</f>
        <v/>
      </c>
      <c r="L2428" s="40" t="str">
        <f>IFERROR(__xludf.DUMMYFUNCTION("IF(ISBLANK(B2428),"""",IF(ISDATE(B2428),TEXT(B2428,""M""),""""))"),"")</f>
        <v/>
      </c>
      <c r="M2428" s="29" t="str">
        <f>IFERROR(__xludf.DUMMYFUNCTION("IF(L2428="""","""",QUERY({'Dashboard-Dados'!$Y$2:$AA$13},""Select Col2 Where Col1=""&amp;L2428))"),"")</f>
        <v/>
      </c>
      <c r="N2428" s="29" t="str">
        <f>IFERROR(__xludf.DUMMYFUNCTION("IF(ISBLANK(B2428),"""",IF(ISDATE(B2428),TEXT(B2428,""yyyy""),""""))"),"")</f>
        <v/>
      </c>
    </row>
    <row r="2429">
      <c r="B2429" s="87"/>
      <c r="C2429" s="85"/>
      <c r="D2429" s="76"/>
      <c r="H2429" s="88"/>
      <c r="J2429" s="53" t="str">
        <f>IFERROR(__xludf.DUMMYFUNCTION("IF(ISBLANK(B2429),"""",IF(ISDATE(B2429),""X"",""""))"),"")</f>
        <v/>
      </c>
      <c r="K2429" s="40" t="str">
        <f>IFERROR(__xludf.DUMMYFUNCTION("IF(ISBLANK(B2429),"""",IF(ISDATE(B2429),H2429,""""))"),"")</f>
        <v/>
      </c>
      <c r="L2429" s="40" t="str">
        <f>IFERROR(__xludf.DUMMYFUNCTION("IF(ISBLANK(B2429),"""",IF(ISDATE(B2429),TEXT(B2429,""M""),""""))"),"")</f>
        <v/>
      </c>
      <c r="M2429" s="29" t="str">
        <f>IFERROR(__xludf.DUMMYFUNCTION("IF(L2429="""","""",QUERY({'Dashboard-Dados'!$Y$2:$AA$13},""Select Col2 Where Col1=""&amp;L2429))"),"")</f>
        <v/>
      </c>
      <c r="N2429" s="29" t="str">
        <f>IFERROR(__xludf.DUMMYFUNCTION("IF(ISBLANK(B2429),"""",IF(ISDATE(B2429),TEXT(B2429,""yyyy""),""""))"),"")</f>
        <v/>
      </c>
    </row>
    <row r="2430">
      <c r="B2430" s="89"/>
      <c r="C2430" s="86"/>
      <c r="D2430" s="71"/>
      <c r="H2430" s="90"/>
      <c r="J2430" s="53" t="str">
        <f>IFERROR(__xludf.DUMMYFUNCTION("IF(ISBLANK(B2430),"""",IF(ISDATE(B2430),""X"",""""))"),"")</f>
        <v/>
      </c>
      <c r="K2430" s="40" t="str">
        <f>IFERROR(__xludf.DUMMYFUNCTION("IF(ISBLANK(B2430),"""",IF(ISDATE(B2430),H2430,""""))"),"")</f>
        <v/>
      </c>
      <c r="L2430" s="40" t="str">
        <f>IFERROR(__xludf.DUMMYFUNCTION("IF(ISBLANK(B2430),"""",IF(ISDATE(B2430),TEXT(B2430,""M""),""""))"),"")</f>
        <v/>
      </c>
      <c r="M2430" s="29" t="str">
        <f>IFERROR(__xludf.DUMMYFUNCTION("IF(L2430="""","""",QUERY({'Dashboard-Dados'!$Y$2:$AA$13},""Select Col2 Where Col1=""&amp;L2430))"),"")</f>
        <v/>
      </c>
      <c r="N2430" s="29" t="str">
        <f>IFERROR(__xludf.DUMMYFUNCTION("IF(ISBLANK(B2430),"""",IF(ISDATE(B2430),TEXT(B2430,""yyyy""),""""))"),"")</f>
        <v/>
      </c>
    </row>
    <row r="2431">
      <c r="B2431" s="87"/>
      <c r="C2431" s="85"/>
      <c r="D2431" s="76"/>
      <c r="H2431" s="88"/>
      <c r="J2431" s="53" t="str">
        <f>IFERROR(__xludf.DUMMYFUNCTION("IF(ISBLANK(B2431),"""",IF(ISDATE(B2431),""X"",""""))"),"")</f>
        <v/>
      </c>
      <c r="K2431" s="40" t="str">
        <f>IFERROR(__xludf.DUMMYFUNCTION("IF(ISBLANK(B2431),"""",IF(ISDATE(B2431),H2431,""""))"),"")</f>
        <v/>
      </c>
      <c r="L2431" s="40" t="str">
        <f>IFERROR(__xludf.DUMMYFUNCTION("IF(ISBLANK(B2431),"""",IF(ISDATE(B2431),TEXT(B2431,""M""),""""))"),"")</f>
        <v/>
      </c>
      <c r="M2431" s="29" t="str">
        <f>IFERROR(__xludf.DUMMYFUNCTION("IF(L2431="""","""",QUERY({'Dashboard-Dados'!$Y$2:$AA$13},""Select Col2 Where Col1=""&amp;L2431))"),"")</f>
        <v/>
      </c>
      <c r="N2431" s="29" t="str">
        <f>IFERROR(__xludf.DUMMYFUNCTION("IF(ISBLANK(B2431),"""",IF(ISDATE(B2431),TEXT(B2431,""yyyy""),""""))"),"")</f>
        <v/>
      </c>
    </row>
    <row r="2432">
      <c r="B2432" s="89"/>
      <c r="C2432" s="86"/>
      <c r="D2432" s="71"/>
      <c r="H2432" s="90"/>
      <c r="J2432" s="53" t="str">
        <f>IFERROR(__xludf.DUMMYFUNCTION("IF(ISBLANK(B2432),"""",IF(ISDATE(B2432),""X"",""""))"),"")</f>
        <v/>
      </c>
      <c r="K2432" s="40" t="str">
        <f>IFERROR(__xludf.DUMMYFUNCTION("IF(ISBLANK(B2432),"""",IF(ISDATE(B2432),H2432,""""))"),"")</f>
        <v/>
      </c>
      <c r="L2432" s="40" t="str">
        <f>IFERROR(__xludf.DUMMYFUNCTION("IF(ISBLANK(B2432),"""",IF(ISDATE(B2432),TEXT(B2432,""M""),""""))"),"")</f>
        <v/>
      </c>
      <c r="M2432" s="29" t="str">
        <f>IFERROR(__xludf.DUMMYFUNCTION("IF(L2432="""","""",QUERY({'Dashboard-Dados'!$Y$2:$AA$13},""Select Col2 Where Col1=""&amp;L2432))"),"")</f>
        <v/>
      </c>
      <c r="N2432" s="29" t="str">
        <f>IFERROR(__xludf.DUMMYFUNCTION("IF(ISBLANK(B2432),"""",IF(ISDATE(B2432),TEXT(B2432,""yyyy""),""""))"),"")</f>
        <v/>
      </c>
    </row>
    <row r="2433">
      <c r="B2433" s="87"/>
      <c r="C2433" s="85"/>
      <c r="D2433" s="76"/>
      <c r="H2433" s="88"/>
      <c r="J2433" s="53" t="str">
        <f>IFERROR(__xludf.DUMMYFUNCTION("IF(ISBLANK(B2433),"""",IF(ISDATE(B2433),""X"",""""))"),"")</f>
        <v/>
      </c>
      <c r="K2433" s="40" t="str">
        <f>IFERROR(__xludf.DUMMYFUNCTION("IF(ISBLANK(B2433),"""",IF(ISDATE(B2433),H2433,""""))"),"")</f>
        <v/>
      </c>
      <c r="L2433" s="40" t="str">
        <f>IFERROR(__xludf.DUMMYFUNCTION("IF(ISBLANK(B2433),"""",IF(ISDATE(B2433),TEXT(B2433,""M""),""""))"),"")</f>
        <v/>
      </c>
      <c r="M2433" s="29" t="str">
        <f>IFERROR(__xludf.DUMMYFUNCTION("IF(L2433="""","""",QUERY({'Dashboard-Dados'!$Y$2:$AA$13},""Select Col2 Where Col1=""&amp;L2433))"),"")</f>
        <v/>
      </c>
      <c r="N2433" s="29" t="str">
        <f>IFERROR(__xludf.DUMMYFUNCTION("IF(ISBLANK(B2433),"""",IF(ISDATE(B2433),TEXT(B2433,""yyyy""),""""))"),"")</f>
        <v/>
      </c>
    </row>
    <row r="2434">
      <c r="B2434" s="89"/>
      <c r="C2434" s="86"/>
      <c r="D2434" s="71"/>
      <c r="H2434" s="90"/>
      <c r="J2434" s="53" t="str">
        <f>IFERROR(__xludf.DUMMYFUNCTION("IF(ISBLANK(B2434),"""",IF(ISDATE(B2434),""X"",""""))"),"")</f>
        <v/>
      </c>
      <c r="K2434" s="40" t="str">
        <f>IFERROR(__xludf.DUMMYFUNCTION("IF(ISBLANK(B2434),"""",IF(ISDATE(B2434),H2434,""""))"),"")</f>
        <v/>
      </c>
      <c r="L2434" s="40" t="str">
        <f>IFERROR(__xludf.DUMMYFUNCTION("IF(ISBLANK(B2434),"""",IF(ISDATE(B2434),TEXT(B2434,""M""),""""))"),"")</f>
        <v/>
      </c>
      <c r="M2434" s="29" t="str">
        <f>IFERROR(__xludf.DUMMYFUNCTION("IF(L2434="""","""",QUERY({'Dashboard-Dados'!$Y$2:$AA$13},""Select Col2 Where Col1=""&amp;L2434))"),"")</f>
        <v/>
      </c>
      <c r="N2434" s="29" t="str">
        <f>IFERROR(__xludf.DUMMYFUNCTION("IF(ISBLANK(B2434),"""",IF(ISDATE(B2434),TEXT(B2434,""yyyy""),""""))"),"")</f>
        <v/>
      </c>
    </row>
    <row r="2435">
      <c r="B2435" s="87"/>
      <c r="C2435" s="85"/>
      <c r="D2435" s="76"/>
      <c r="H2435" s="88"/>
      <c r="J2435" s="53" t="str">
        <f>IFERROR(__xludf.DUMMYFUNCTION("IF(ISBLANK(B2435),"""",IF(ISDATE(B2435),""X"",""""))"),"")</f>
        <v/>
      </c>
      <c r="K2435" s="40" t="str">
        <f>IFERROR(__xludf.DUMMYFUNCTION("IF(ISBLANK(B2435),"""",IF(ISDATE(B2435),H2435,""""))"),"")</f>
        <v/>
      </c>
      <c r="L2435" s="40" t="str">
        <f>IFERROR(__xludf.DUMMYFUNCTION("IF(ISBLANK(B2435),"""",IF(ISDATE(B2435),TEXT(B2435,""M""),""""))"),"")</f>
        <v/>
      </c>
      <c r="M2435" s="29" t="str">
        <f>IFERROR(__xludf.DUMMYFUNCTION("IF(L2435="""","""",QUERY({'Dashboard-Dados'!$Y$2:$AA$13},""Select Col2 Where Col1=""&amp;L2435))"),"")</f>
        <v/>
      </c>
      <c r="N2435" s="29" t="str">
        <f>IFERROR(__xludf.DUMMYFUNCTION("IF(ISBLANK(B2435),"""",IF(ISDATE(B2435),TEXT(B2435,""yyyy""),""""))"),"")</f>
        <v/>
      </c>
    </row>
    <row r="2436">
      <c r="B2436" s="89"/>
      <c r="C2436" s="86"/>
      <c r="D2436" s="71"/>
      <c r="H2436" s="90"/>
      <c r="J2436" s="53" t="str">
        <f>IFERROR(__xludf.DUMMYFUNCTION("IF(ISBLANK(B2436),"""",IF(ISDATE(B2436),""X"",""""))"),"")</f>
        <v/>
      </c>
      <c r="K2436" s="40" t="str">
        <f>IFERROR(__xludf.DUMMYFUNCTION("IF(ISBLANK(B2436),"""",IF(ISDATE(B2436),H2436,""""))"),"")</f>
        <v/>
      </c>
      <c r="L2436" s="40" t="str">
        <f>IFERROR(__xludf.DUMMYFUNCTION("IF(ISBLANK(B2436),"""",IF(ISDATE(B2436),TEXT(B2436,""M""),""""))"),"")</f>
        <v/>
      </c>
      <c r="M2436" s="29" t="str">
        <f>IFERROR(__xludf.DUMMYFUNCTION("IF(L2436="""","""",QUERY({'Dashboard-Dados'!$Y$2:$AA$13},""Select Col2 Where Col1=""&amp;L2436))"),"")</f>
        <v/>
      </c>
      <c r="N2436" s="29" t="str">
        <f>IFERROR(__xludf.DUMMYFUNCTION("IF(ISBLANK(B2436),"""",IF(ISDATE(B2436),TEXT(B2436,""yyyy""),""""))"),"")</f>
        <v/>
      </c>
    </row>
    <row r="2437">
      <c r="B2437" s="87"/>
      <c r="C2437" s="85"/>
      <c r="D2437" s="76"/>
      <c r="H2437" s="88"/>
      <c r="J2437" s="53" t="str">
        <f>IFERROR(__xludf.DUMMYFUNCTION("IF(ISBLANK(B2437),"""",IF(ISDATE(B2437),""X"",""""))"),"")</f>
        <v/>
      </c>
      <c r="K2437" s="40" t="str">
        <f>IFERROR(__xludf.DUMMYFUNCTION("IF(ISBLANK(B2437),"""",IF(ISDATE(B2437),H2437,""""))"),"")</f>
        <v/>
      </c>
      <c r="L2437" s="40" t="str">
        <f>IFERROR(__xludf.DUMMYFUNCTION("IF(ISBLANK(B2437),"""",IF(ISDATE(B2437),TEXT(B2437,""M""),""""))"),"")</f>
        <v/>
      </c>
      <c r="M2437" s="29" t="str">
        <f>IFERROR(__xludf.DUMMYFUNCTION("IF(L2437="""","""",QUERY({'Dashboard-Dados'!$Y$2:$AA$13},""Select Col2 Where Col1=""&amp;L2437))"),"")</f>
        <v/>
      </c>
      <c r="N2437" s="29" t="str">
        <f>IFERROR(__xludf.DUMMYFUNCTION("IF(ISBLANK(B2437),"""",IF(ISDATE(B2437),TEXT(B2437,""yyyy""),""""))"),"")</f>
        <v/>
      </c>
    </row>
    <row r="2438">
      <c r="B2438" s="89"/>
      <c r="C2438" s="86"/>
      <c r="D2438" s="71"/>
      <c r="H2438" s="90"/>
      <c r="J2438" s="53" t="str">
        <f>IFERROR(__xludf.DUMMYFUNCTION("IF(ISBLANK(B2438),"""",IF(ISDATE(B2438),""X"",""""))"),"")</f>
        <v/>
      </c>
      <c r="K2438" s="40" t="str">
        <f>IFERROR(__xludf.DUMMYFUNCTION("IF(ISBLANK(B2438),"""",IF(ISDATE(B2438),H2438,""""))"),"")</f>
        <v/>
      </c>
      <c r="L2438" s="40" t="str">
        <f>IFERROR(__xludf.DUMMYFUNCTION("IF(ISBLANK(B2438),"""",IF(ISDATE(B2438),TEXT(B2438,""M""),""""))"),"")</f>
        <v/>
      </c>
      <c r="M2438" s="29" t="str">
        <f>IFERROR(__xludf.DUMMYFUNCTION("IF(L2438="""","""",QUERY({'Dashboard-Dados'!$Y$2:$AA$13},""Select Col2 Where Col1=""&amp;L2438))"),"")</f>
        <v/>
      </c>
      <c r="N2438" s="29" t="str">
        <f>IFERROR(__xludf.DUMMYFUNCTION("IF(ISBLANK(B2438),"""",IF(ISDATE(B2438),TEXT(B2438,""yyyy""),""""))"),"")</f>
        <v/>
      </c>
    </row>
    <row r="2439">
      <c r="B2439" s="87"/>
      <c r="C2439" s="85"/>
      <c r="D2439" s="76"/>
      <c r="H2439" s="88"/>
      <c r="J2439" s="53" t="str">
        <f>IFERROR(__xludf.DUMMYFUNCTION("IF(ISBLANK(B2439),"""",IF(ISDATE(B2439),""X"",""""))"),"")</f>
        <v/>
      </c>
      <c r="K2439" s="40" t="str">
        <f>IFERROR(__xludf.DUMMYFUNCTION("IF(ISBLANK(B2439),"""",IF(ISDATE(B2439),H2439,""""))"),"")</f>
        <v/>
      </c>
      <c r="L2439" s="40" t="str">
        <f>IFERROR(__xludf.DUMMYFUNCTION("IF(ISBLANK(B2439),"""",IF(ISDATE(B2439),TEXT(B2439,""M""),""""))"),"")</f>
        <v/>
      </c>
      <c r="M2439" s="29" t="str">
        <f>IFERROR(__xludf.DUMMYFUNCTION("IF(L2439="""","""",QUERY({'Dashboard-Dados'!$Y$2:$AA$13},""Select Col2 Where Col1=""&amp;L2439))"),"")</f>
        <v/>
      </c>
      <c r="N2439" s="29" t="str">
        <f>IFERROR(__xludf.DUMMYFUNCTION("IF(ISBLANK(B2439),"""",IF(ISDATE(B2439),TEXT(B2439,""yyyy""),""""))"),"")</f>
        <v/>
      </c>
    </row>
    <row r="2440">
      <c r="B2440" s="89"/>
      <c r="C2440" s="86"/>
      <c r="D2440" s="71"/>
      <c r="H2440" s="90"/>
      <c r="J2440" s="53" t="str">
        <f>IFERROR(__xludf.DUMMYFUNCTION("IF(ISBLANK(B2440),"""",IF(ISDATE(B2440),""X"",""""))"),"")</f>
        <v/>
      </c>
      <c r="K2440" s="40" t="str">
        <f>IFERROR(__xludf.DUMMYFUNCTION("IF(ISBLANK(B2440),"""",IF(ISDATE(B2440),H2440,""""))"),"")</f>
        <v/>
      </c>
      <c r="L2440" s="40" t="str">
        <f>IFERROR(__xludf.DUMMYFUNCTION("IF(ISBLANK(B2440),"""",IF(ISDATE(B2440),TEXT(B2440,""M""),""""))"),"")</f>
        <v/>
      </c>
      <c r="M2440" s="29" t="str">
        <f>IFERROR(__xludf.DUMMYFUNCTION("IF(L2440="""","""",QUERY({'Dashboard-Dados'!$Y$2:$AA$13},""Select Col2 Where Col1=""&amp;L2440))"),"")</f>
        <v/>
      </c>
      <c r="N2440" s="29" t="str">
        <f>IFERROR(__xludf.DUMMYFUNCTION("IF(ISBLANK(B2440),"""",IF(ISDATE(B2440),TEXT(B2440,""yyyy""),""""))"),"")</f>
        <v/>
      </c>
    </row>
    <row r="2441">
      <c r="B2441" s="87"/>
      <c r="C2441" s="85"/>
      <c r="D2441" s="76"/>
      <c r="H2441" s="88"/>
      <c r="J2441" s="53" t="str">
        <f>IFERROR(__xludf.DUMMYFUNCTION("IF(ISBLANK(B2441),"""",IF(ISDATE(B2441),""X"",""""))"),"")</f>
        <v/>
      </c>
      <c r="K2441" s="40" t="str">
        <f>IFERROR(__xludf.DUMMYFUNCTION("IF(ISBLANK(B2441),"""",IF(ISDATE(B2441),H2441,""""))"),"")</f>
        <v/>
      </c>
      <c r="L2441" s="40" t="str">
        <f>IFERROR(__xludf.DUMMYFUNCTION("IF(ISBLANK(B2441),"""",IF(ISDATE(B2441),TEXT(B2441,""M""),""""))"),"")</f>
        <v/>
      </c>
      <c r="M2441" s="29" t="str">
        <f>IFERROR(__xludf.DUMMYFUNCTION("IF(L2441="""","""",QUERY({'Dashboard-Dados'!$Y$2:$AA$13},""Select Col2 Where Col1=""&amp;L2441))"),"")</f>
        <v/>
      </c>
      <c r="N2441" s="29" t="str">
        <f>IFERROR(__xludf.DUMMYFUNCTION("IF(ISBLANK(B2441),"""",IF(ISDATE(B2441),TEXT(B2441,""yyyy""),""""))"),"")</f>
        <v/>
      </c>
    </row>
    <row r="2442">
      <c r="B2442" s="89"/>
      <c r="C2442" s="86"/>
      <c r="D2442" s="71"/>
      <c r="H2442" s="90"/>
      <c r="J2442" s="53" t="str">
        <f>IFERROR(__xludf.DUMMYFUNCTION("IF(ISBLANK(B2442),"""",IF(ISDATE(B2442),""X"",""""))"),"")</f>
        <v/>
      </c>
      <c r="K2442" s="40" t="str">
        <f>IFERROR(__xludf.DUMMYFUNCTION("IF(ISBLANK(B2442),"""",IF(ISDATE(B2442),H2442,""""))"),"")</f>
        <v/>
      </c>
      <c r="L2442" s="40" t="str">
        <f>IFERROR(__xludf.DUMMYFUNCTION("IF(ISBLANK(B2442),"""",IF(ISDATE(B2442),TEXT(B2442,""M""),""""))"),"")</f>
        <v/>
      </c>
      <c r="M2442" s="29" t="str">
        <f>IFERROR(__xludf.DUMMYFUNCTION("IF(L2442="""","""",QUERY({'Dashboard-Dados'!$Y$2:$AA$13},""Select Col2 Where Col1=""&amp;L2442))"),"")</f>
        <v/>
      </c>
      <c r="N2442" s="29" t="str">
        <f>IFERROR(__xludf.DUMMYFUNCTION("IF(ISBLANK(B2442),"""",IF(ISDATE(B2442),TEXT(B2442,""yyyy""),""""))"),"")</f>
        <v/>
      </c>
    </row>
    <row r="2443">
      <c r="B2443" s="87"/>
      <c r="C2443" s="85"/>
      <c r="D2443" s="76"/>
      <c r="H2443" s="88"/>
      <c r="J2443" s="53" t="str">
        <f>IFERROR(__xludf.DUMMYFUNCTION("IF(ISBLANK(B2443),"""",IF(ISDATE(B2443),""X"",""""))"),"")</f>
        <v/>
      </c>
      <c r="K2443" s="40" t="str">
        <f>IFERROR(__xludf.DUMMYFUNCTION("IF(ISBLANK(B2443),"""",IF(ISDATE(B2443),H2443,""""))"),"")</f>
        <v/>
      </c>
      <c r="L2443" s="40" t="str">
        <f>IFERROR(__xludf.DUMMYFUNCTION("IF(ISBLANK(B2443),"""",IF(ISDATE(B2443),TEXT(B2443,""M""),""""))"),"")</f>
        <v/>
      </c>
      <c r="M2443" s="29" t="str">
        <f>IFERROR(__xludf.DUMMYFUNCTION("IF(L2443="""","""",QUERY({'Dashboard-Dados'!$Y$2:$AA$13},""Select Col2 Where Col1=""&amp;L2443))"),"")</f>
        <v/>
      </c>
      <c r="N2443" s="29" t="str">
        <f>IFERROR(__xludf.DUMMYFUNCTION("IF(ISBLANK(B2443),"""",IF(ISDATE(B2443),TEXT(B2443,""yyyy""),""""))"),"")</f>
        <v/>
      </c>
    </row>
    <row r="2444">
      <c r="B2444" s="89"/>
      <c r="C2444" s="86"/>
      <c r="D2444" s="71"/>
      <c r="H2444" s="90"/>
      <c r="J2444" s="53" t="str">
        <f>IFERROR(__xludf.DUMMYFUNCTION("IF(ISBLANK(B2444),"""",IF(ISDATE(B2444),""X"",""""))"),"")</f>
        <v/>
      </c>
      <c r="K2444" s="40" t="str">
        <f>IFERROR(__xludf.DUMMYFUNCTION("IF(ISBLANK(B2444),"""",IF(ISDATE(B2444),H2444,""""))"),"")</f>
        <v/>
      </c>
      <c r="L2444" s="40" t="str">
        <f>IFERROR(__xludf.DUMMYFUNCTION("IF(ISBLANK(B2444),"""",IF(ISDATE(B2444),TEXT(B2444,""M""),""""))"),"")</f>
        <v/>
      </c>
      <c r="M2444" s="29" t="str">
        <f>IFERROR(__xludf.DUMMYFUNCTION("IF(L2444="""","""",QUERY({'Dashboard-Dados'!$Y$2:$AA$13},""Select Col2 Where Col1=""&amp;L2444))"),"")</f>
        <v/>
      </c>
      <c r="N2444" s="29" t="str">
        <f>IFERROR(__xludf.DUMMYFUNCTION("IF(ISBLANK(B2444),"""",IF(ISDATE(B2444),TEXT(B2444,""yyyy""),""""))"),"")</f>
        <v/>
      </c>
    </row>
    <row r="2445">
      <c r="B2445" s="87"/>
      <c r="C2445" s="85"/>
      <c r="D2445" s="76"/>
      <c r="H2445" s="88"/>
      <c r="J2445" s="53" t="str">
        <f>IFERROR(__xludf.DUMMYFUNCTION("IF(ISBLANK(B2445),"""",IF(ISDATE(B2445),""X"",""""))"),"")</f>
        <v/>
      </c>
      <c r="K2445" s="40" t="str">
        <f>IFERROR(__xludf.DUMMYFUNCTION("IF(ISBLANK(B2445),"""",IF(ISDATE(B2445),H2445,""""))"),"")</f>
        <v/>
      </c>
      <c r="L2445" s="40" t="str">
        <f>IFERROR(__xludf.DUMMYFUNCTION("IF(ISBLANK(B2445),"""",IF(ISDATE(B2445),TEXT(B2445,""M""),""""))"),"")</f>
        <v/>
      </c>
      <c r="M2445" s="29" t="str">
        <f>IFERROR(__xludf.DUMMYFUNCTION("IF(L2445="""","""",QUERY({'Dashboard-Dados'!$Y$2:$AA$13},""Select Col2 Where Col1=""&amp;L2445))"),"")</f>
        <v/>
      </c>
      <c r="N2445" s="29" t="str">
        <f>IFERROR(__xludf.DUMMYFUNCTION("IF(ISBLANK(B2445),"""",IF(ISDATE(B2445),TEXT(B2445,""yyyy""),""""))"),"")</f>
        <v/>
      </c>
    </row>
    <row r="2446">
      <c r="B2446" s="89"/>
      <c r="C2446" s="86"/>
      <c r="D2446" s="71"/>
      <c r="H2446" s="90"/>
      <c r="J2446" s="53" t="str">
        <f>IFERROR(__xludf.DUMMYFUNCTION("IF(ISBLANK(B2446),"""",IF(ISDATE(B2446),""X"",""""))"),"")</f>
        <v/>
      </c>
      <c r="K2446" s="40" t="str">
        <f>IFERROR(__xludf.DUMMYFUNCTION("IF(ISBLANK(B2446),"""",IF(ISDATE(B2446),H2446,""""))"),"")</f>
        <v/>
      </c>
      <c r="L2446" s="40" t="str">
        <f>IFERROR(__xludf.DUMMYFUNCTION("IF(ISBLANK(B2446),"""",IF(ISDATE(B2446),TEXT(B2446,""M""),""""))"),"")</f>
        <v/>
      </c>
      <c r="M2446" s="29" t="str">
        <f>IFERROR(__xludf.DUMMYFUNCTION("IF(L2446="""","""",QUERY({'Dashboard-Dados'!$Y$2:$AA$13},""Select Col2 Where Col1=""&amp;L2446))"),"")</f>
        <v/>
      </c>
      <c r="N2446" s="29" t="str">
        <f>IFERROR(__xludf.DUMMYFUNCTION("IF(ISBLANK(B2446),"""",IF(ISDATE(B2446),TEXT(B2446,""yyyy""),""""))"),"")</f>
        <v/>
      </c>
    </row>
    <row r="2447">
      <c r="B2447" s="87"/>
      <c r="C2447" s="85"/>
      <c r="D2447" s="76"/>
      <c r="H2447" s="88"/>
      <c r="J2447" s="53" t="str">
        <f>IFERROR(__xludf.DUMMYFUNCTION("IF(ISBLANK(B2447),"""",IF(ISDATE(B2447),""X"",""""))"),"")</f>
        <v/>
      </c>
      <c r="K2447" s="40" t="str">
        <f>IFERROR(__xludf.DUMMYFUNCTION("IF(ISBLANK(B2447),"""",IF(ISDATE(B2447),H2447,""""))"),"")</f>
        <v/>
      </c>
      <c r="L2447" s="40" t="str">
        <f>IFERROR(__xludf.DUMMYFUNCTION("IF(ISBLANK(B2447),"""",IF(ISDATE(B2447),TEXT(B2447,""M""),""""))"),"")</f>
        <v/>
      </c>
      <c r="M2447" s="29" t="str">
        <f>IFERROR(__xludf.DUMMYFUNCTION("IF(L2447="""","""",QUERY({'Dashboard-Dados'!$Y$2:$AA$13},""Select Col2 Where Col1=""&amp;L2447))"),"")</f>
        <v/>
      </c>
      <c r="N2447" s="29" t="str">
        <f>IFERROR(__xludf.DUMMYFUNCTION("IF(ISBLANK(B2447),"""",IF(ISDATE(B2447),TEXT(B2447,""yyyy""),""""))"),"")</f>
        <v/>
      </c>
    </row>
    <row r="2448">
      <c r="B2448" s="89"/>
      <c r="C2448" s="86"/>
      <c r="D2448" s="71"/>
      <c r="H2448" s="90"/>
      <c r="J2448" s="53" t="str">
        <f>IFERROR(__xludf.DUMMYFUNCTION("IF(ISBLANK(B2448),"""",IF(ISDATE(B2448),""X"",""""))"),"")</f>
        <v/>
      </c>
      <c r="K2448" s="40" t="str">
        <f>IFERROR(__xludf.DUMMYFUNCTION("IF(ISBLANK(B2448),"""",IF(ISDATE(B2448),H2448,""""))"),"")</f>
        <v/>
      </c>
      <c r="L2448" s="40" t="str">
        <f>IFERROR(__xludf.DUMMYFUNCTION("IF(ISBLANK(B2448),"""",IF(ISDATE(B2448),TEXT(B2448,""M""),""""))"),"")</f>
        <v/>
      </c>
      <c r="M2448" s="29" t="str">
        <f>IFERROR(__xludf.DUMMYFUNCTION("IF(L2448="""","""",QUERY({'Dashboard-Dados'!$Y$2:$AA$13},""Select Col2 Where Col1=""&amp;L2448))"),"")</f>
        <v/>
      </c>
      <c r="N2448" s="29" t="str">
        <f>IFERROR(__xludf.DUMMYFUNCTION("IF(ISBLANK(B2448),"""",IF(ISDATE(B2448),TEXT(B2448,""yyyy""),""""))"),"")</f>
        <v/>
      </c>
    </row>
    <row r="2449">
      <c r="B2449" s="87"/>
      <c r="C2449" s="85"/>
      <c r="D2449" s="76"/>
      <c r="H2449" s="88"/>
      <c r="J2449" s="53" t="str">
        <f>IFERROR(__xludf.DUMMYFUNCTION("IF(ISBLANK(B2449),"""",IF(ISDATE(B2449),""X"",""""))"),"")</f>
        <v/>
      </c>
      <c r="K2449" s="40" t="str">
        <f>IFERROR(__xludf.DUMMYFUNCTION("IF(ISBLANK(B2449),"""",IF(ISDATE(B2449),H2449,""""))"),"")</f>
        <v/>
      </c>
      <c r="L2449" s="40" t="str">
        <f>IFERROR(__xludf.DUMMYFUNCTION("IF(ISBLANK(B2449),"""",IF(ISDATE(B2449),TEXT(B2449,""M""),""""))"),"")</f>
        <v/>
      </c>
      <c r="M2449" s="29" t="str">
        <f>IFERROR(__xludf.DUMMYFUNCTION("IF(L2449="""","""",QUERY({'Dashboard-Dados'!$Y$2:$AA$13},""Select Col2 Where Col1=""&amp;L2449))"),"")</f>
        <v/>
      </c>
      <c r="N2449" s="29" t="str">
        <f>IFERROR(__xludf.DUMMYFUNCTION("IF(ISBLANK(B2449),"""",IF(ISDATE(B2449),TEXT(B2449,""yyyy""),""""))"),"")</f>
        <v/>
      </c>
    </row>
    <row r="2450">
      <c r="B2450" s="89"/>
      <c r="C2450" s="86"/>
      <c r="D2450" s="71"/>
      <c r="H2450" s="90"/>
      <c r="J2450" s="53" t="str">
        <f>IFERROR(__xludf.DUMMYFUNCTION("IF(ISBLANK(B2450),"""",IF(ISDATE(B2450),""X"",""""))"),"")</f>
        <v/>
      </c>
      <c r="K2450" s="40" t="str">
        <f>IFERROR(__xludf.DUMMYFUNCTION("IF(ISBLANK(B2450),"""",IF(ISDATE(B2450),H2450,""""))"),"")</f>
        <v/>
      </c>
      <c r="L2450" s="40" t="str">
        <f>IFERROR(__xludf.DUMMYFUNCTION("IF(ISBLANK(B2450),"""",IF(ISDATE(B2450),TEXT(B2450,""M""),""""))"),"")</f>
        <v/>
      </c>
      <c r="M2450" s="29" t="str">
        <f>IFERROR(__xludf.DUMMYFUNCTION("IF(L2450="""","""",QUERY({'Dashboard-Dados'!$Y$2:$AA$13},""Select Col2 Where Col1=""&amp;L2450))"),"")</f>
        <v/>
      </c>
      <c r="N2450" s="29" t="str">
        <f>IFERROR(__xludf.DUMMYFUNCTION("IF(ISBLANK(B2450),"""",IF(ISDATE(B2450),TEXT(B2450,""yyyy""),""""))"),"")</f>
        <v/>
      </c>
    </row>
    <row r="2451">
      <c r="B2451" s="87"/>
      <c r="C2451" s="85"/>
      <c r="D2451" s="76"/>
      <c r="H2451" s="88"/>
      <c r="J2451" s="53" t="str">
        <f>IFERROR(__xludf.DUMMYFUNCTION("IF(ISBLANK(B2451),"""",IF(ISDATE(B2451),""X"",""""))"),"")</f>
        <v/>
      </c>
      <c r="K2451" s="40" t="str">
        <f>IFERROR(__xludf.DUMMYFUNCTION("IF(ISBLANK(B2451),"""",IF(ISDATE(B2451),H2451,""""))"),"")</f>
        <v/>
      </c>
      <c r="L2451" s="40" t="str">
        <f>IFERROR(__xludf.DUMMYFUNCTION("IF(ISBLANK(B2451),"""",IF(ISDATE(B2451),TEXT(B2451,""M""),""""))"),"")</f>
        <v/>
      </c>
      <c r="M2451" s="29" t="str">
        <f>IFERROR(__xludf.DUMMYFUNCTION("IF(L2451="""","""",QUERY({'Dashboard-Dados'!$Y$2:$AA$13},""Select Col2 Where Col1=""&amp;L2451))"),"")</f>
        <v/>
      </c>
      <c r="N2451" s="29" t="str">
        <f>IFERROR(__xludf.DUMMYFUNCTION("IF(ISBLANK(B2451),"""",IF(ISDATE(B2451),TEXT(B2451,""yyyy""),""""))"),"")</f>
        <v/>
      </c>
    </row>
    <row r="2452">
      <c r="B2452" s="89"/>
      <c r="C2452" s="86"/>
      <c r="D2452" s="71"/>
      <c r="H2452" s="90"/>
      <c r="J2452" s="53" t="str">
        <f>IFERROR(__xludf.DUMMYFUNCTION("IF(ISBLANK(B2452),"""",IF(ISDATE(B2452),""X"",""""))"),"")</f>
        <v/>
      </c>
      <c r="K2452" s="40" t="str">
        <f>IFERROR(__xludf.DUMMYFUNCTION("IF(ISBLANK(B2452),"""",IF(ISDATE(B2452),H2452,""""))"),"")</f>
        <v/>
      </c>
      <c r="L2452" s="40" t="str">
        <f>IFERROR(__xludf.DUMMYFUNCTION("IF(ISBLANK(B2452),"""",IF(ISDATE(B2452),TEXT(B2452,""M""),""""))"),"")</f>
        <v/>
      </c>
      <c r="M2452" s="29" t="str">
        <f>IFERROR(__xludf.DUMMYFUNCTION("IF(L2452="""","""",QUERY({'Dashboard-Dados'!$Y$2:$AA$13},""Select Col2 Where Col1=""&amp;L2452))"),"")</f>
        <v/>
      </c>
      <c r="N2452" s="29" t="str">
        <f>IFERROR(__xludf.DUMMYFUNCTION("IF(ISBLANK(B2452),"""",IF(ISDATE(B2452),TEXT(B2452,""yyyy""),""""))"),"")</f>
        <v/>
      </c>
    </row>
    <row r="2453">
      <c r="B2453" s="87"/>
      <c r="C2453" s="85"/>
      <c r="D2453" s="76"/>
      <c r="H2453" s="88"/>
      <c r="J2453" s="53" t="str">
        <f>IFERROR(__xludf.DUMMYFUNCTION("IF(ISBLANK(B2453),"""",IF(ISDATE(B2453),""X"",""""))"),"")</f>
        <v/>
      </c>
      <c r="K2453" s="40" t="str">
        <f>IFERROR(__xludf.DUMMYFUNCTION("IF(ISBLANK(B2453),"""",IF(ISDATE(B2453),H2453,""""))"),"")</f>
        <v/>
      </c>
      <c r="L2453" s="40" t="str">
        <f>IFERROR(__xludf.DUMMYFUNCTION("IF(ISBLANK(B2453),"""",IF(ISDATE(B2453),TEXT(B2453,""M""),""""))"),"")</f>
        <v/>
      </c>
      <c r="M2453" s="29" t="str">
        <f>IFERROR(__xludf.DUMMYFUNCTION("IF(L2453="""","""",QUERY({'Dashboard-Dados'!$Y$2:$AA$13},""Select Col2 Where Col1=""&amp;L2453))"),"")</f>
        <v/>
      </c>
      <c r="N2453" s="29" t="str">
        <f>IFERROR(__xludf.DUMMYFUNCTION("IF(ISBLANK(B2453),"""",IF(ISDATE(B2453),TEXT(B2453,""yyyy""),""""))"),"")</f>
        <v/>
      </c>
    </row>
    <row r="2454">
      <c r="B2454" s="89"/>
      <c r="C2454" s="86"/>
      <c r="D2454" s="71"/>
      <c r="H2454" s="90"/>
      <c r="J2454" s="53" t="str">
        <f>IFERROR(__xludf.DUMMYFUNCTION("IF(ISBLANK(B2454),"""",IF(ISDATE(B2454),""X"",""""))"),"")</f>
        <v/>
      </c>
      <c r="K2454" s="40" t="str">
        <f>IFERROR(__xludf.DUMMYFUNCTION("IF(ISBLANK(B2454),"""",IF(ISDATE(B2454),H2454,""""))"),"")</f>
        <v/>
      </c>
      <c r="L2454" s="40" t="str">
        <f>IFERROR(__xludf.DUMMYFUNCTION("IF(ISBLANK(B2454),"""",IF(ISDATE(B2454),TEXT(B2454,""M""),""""))"),"")</f>
        <v/>
      </c>
      <c r="M2454" s="29" t="str">
        <f>IFERROR(__xludf.DUMMYFUNCTION("IF(L2454="""","""",QUERY({'Dashboard-Dados'!$Y$2:$AA$13},""Select Col2 Where Col1=""&amp;L2454))"),"")</f>
        <v/>
      </c>
      <c r="N2454" s="29" t="str">
        <f>IFERROR(__xludf.DUMMYFUNCTION("IF(ISBLANK(B2454),"""",IF(ISDATE(B2454),TEXT(B2454,""yyyy""),""""))"),"")</f>
        <v/>
      </c>
    </row>
    <row r="2455">
      <c r="B2455" s="87"/>
      <c r="C2455" s="85"/>
      <c r="D2455" s="76"/>
      <c r="H2455" s="88"/>
      <c r="J2455" s="53" t="str">
        <f>IFERROR(__xludf.DUMMYFUNCTION("IF(ISBLANK(B2455),"""",IF(ISDATE(B2455),""X"",""""))"),"")</f>
        <v/>
      </c>
      <c r="K2455" s="40" t="str">
        <f>IFERROR(__xludf.DUMMYFUNCTION("IF(ISBLANK(B2455),"""",IF(ISDATE(B2455),H2455,""""))"),"")</f>
        <v/>
      </c>
      <c r="L2455" s="40" t="str">
        <f>IFERROR(__xludf.DUMMYFUNCTION("IF(ISBLANK(B2455),"""",IF(ISDATE(B2455),TEXT(B2455,""M""),""""))"),"")</f>
        <v/>
      </c>
      <c r="M2455" s="29" t="str">
        <f>IFERROR(__xludf.DUMMYFUNCTION("IF(L2455="""","""",QUERY({'Dashboard-Dados'!$Y$2:$AA$13},""Select Col2 Where Col1=""&amp;L2455))"),"")</f>
        <v/>
      </c>
      <c r="N2455" s="29" t="str">
        <f>IFERROR(__xludf.DUMMYFUNCTION("IF(ISBLANK(B2455),"""",IF(ISDATE(B2455),TEXT(B2455,""yyyy""),""""))"),"")</f>
        <v/>
      </c>
    </row>
    <row r="2456">
      <c r="B2456" s="89"/>
      <c r="C2456" s="86"/>
      <c r="D2456" s="71"/>
      <c r="H2456" s="90"/>
      <c r="J2456" s="53" t="str">
        <f>IFERROR(__xludf.DUMMYFUNCTION("IF(ISBLANK(B2456),"""",IF(ISDATE(B2456),""X"",""""))"),"")</f>
        <v/>
      </c>
      <c r="K2456" s="40" t="str">
        <f>IFERROR(__xludf.DUMMYFUNCTION("IF(ISBLANK(B2456),"""",IF(ISDATE(B2456),H2456,""""))"),"")</f>
        <v/>
      </c>
      <c r="L2456" s="40" t="str">
        <f>IFERROR(__xludf.DUMMYFUNCTION("IF(ISBLANK(B2456),"""",IF(ISDATE(B2456),TEXT(B2456,""M""),""""))"),"")</f>
        <v/>
      </c>
      <c r="M2456" s="29" t="str">
        <f>IFERROR(__xludf.DUMMYFUNCTION("IF(L2456="""","""",QUERY({'Dashboard-Dados'!$Y$2:$AA$13},""Select Col2 Where Col1=""&amp;L2456))"),"")</f>
        <v/>
      </c>
      <c r="N2456" s="29" t="str">
        <f>IFERROR(__xludf.DUMMYFUNCTION("IF(ISBLANK(B2456),"""",IF(ISDATE(B2456),TEXT(B2456,""yyyy""),""""))"),"")</f>
        <v/>
      </c>
    </row>
    <row r="2457">
      <c r="B2457" s="87"/>
      <c r="C2457" s="85"/>
      <c r="D2457" s="76"/>
      <c r="H2457" s="88"/>
      <c r="J2457" s="53" t="str">
        <f>IFERROR(__xludf.DUMMYFUNCTION("IF(ISBLANK(B2457),"""",IF(ISDATE(B2457),""X"",""""))"),"")</f>
        <v/>
      </c>
      <c r="K2457" s="40" t="str">
        <f>IFERROR(__xludf.DUMMYFUNCTION("IF(ISBLANK(B2457),"""",IF(ISDATE(B2457),H2457,""""))"),"")</f>
        <v/>
      </c>
      <c r="L2457" s="40" t="str">
        <f>IFERROR(__xludf.DUMMYFUNCTION("IF(ISBLANK(B2457),"""",IF(ISDATE(B2457),TEXT(B2457,""M""),""""))"),"")</f>
        <v/>
      </c>
      <c r="M2457" s="29" t="str">
        <f>IFERROR(__xludf.DUMMYFUNCTION("IF(L2457="""","""",QUERY({'Dashboard-Dados'!$Y$2:$AA$13},""Select Col2 Where Col1=""&amp;L2457))"),"")</f>
        <v/>
      </c>
      <c r="N2457" s="29" t="str">
        <f>IFERROR(__xludf.DUMMYFUNCTION("IF(ISBLANK(B2457),"""",IF(ISDATE(B2457),TEXT(B2457,""yyyy""),""""))"),"")</f>
        <v/>
      </c>
    </row>
    <row r="2458">
      <c r="B2458" s="89"/>
      <c r="C2458" s="86"/>
      <c r="D2458" s="71"/>
      <c r="H2458" s="90"/>
      <c r="J2458" s="53" t="str">
        <f>IFERROR(__xludf.DUMMYFUNCTION("IF(ISBLANK(B2458),"""",IF(ISDATE(B2458),""X"",""""))"),"")</f>
        <v/>
      </c>
      <c r="K2458" s="40" t="str">
        <f>IFERROR(__xludf.DUMMYFUNCTION("IF(ISBLANK(B2458),"""",IF(ISDATE(B2458),H2458,""""))"),"")</f>
        <v/>
      </c>
      <c r="L2458" s="40" t="str">
        <f>IFERROR(__xludf.DUMMYFUNCTION("IF(ISBLANK(B2458),"""",IF(ISDATE(B2458),TEXT(B2458,""M""),""""))"),"")</f>
        <v/>
      </c>
      <c r="M2458" s="29" t="str">
        <f>IFERROR(__xludf.DUMMYFUNCTION("IF(L2458="""","""",QUERY({'Dashboard-Dados'!$Y$2:$AA$13},""Select Col2 Where Col1=""&amp;L2458))"),"")</f>
        <v/>
      </c>
      <c r="N2458" s="29" t="str">
        <f>IFERROR(__xludf.DUMMYFUNCTION("IF(ISBLANK(B2458),"""",IF(ISDATE(B2458),TEXT(B2458,""yyyy""),""""))"),"")</f>
        <v/>
      </c>
    </row>
    <row r="2459">
      <c r="B2459" s="87"/>
      <c r="C2459" s="85"/>
      <c r="D2459" s="76"/>
      <c r="H2459" s="88"/>
      <c r="J2459" s="53" t="str">
        <f>IFERROR(__xludf.DUMMYFUNCTION("IF(ISBLANK(B2459),"""",IF(ISDATE(B2459),""X"",""""))"),"")</f>
        <v/>
      </c>
      <c r="K2459" s="40" t="str">
        <f>IFERROR(__xludf.DUMMYFUNCTION("IF(ISBLANK(B2459),"""",IF(ISDATE(B2459),H2459,""""))"),"")</f>
        <v/>
      </c>
      <c r="L2459" s="40" t="str">
        <f>IFERROR(__xludf.DUMMYFUNCTION("IF(ISBLANK(B2459),"""",IF(ISDATE(B2459),TEXT(B2459,""M""),""""))"),"")</f>
        <v/>
      </c>
      <c r="M2459" s="29" t="str">
        <f>IFERROR(__xludf.DUMMYFUNCTION("IF(L2459="""","""",QUERY({'Dashboard-Dados'!$Y$2:$AA$13},""Select Col2 Where Col1=""&amp;L2459))"),"")</f>
        <v/>
      </c>
      <c r="N2459" s="29" t="str">
        <f>IFERROR(__xludf.DUMMYFUNCTION("IF(ISBLANK(B2459),"""",IF(ISDATE(B2459),TEXT(B2459,""yyyy""),""""))"),"")</f>
        <v/>
      </c>
    </row>
    <row r="2460">
      <c r="B2460" s="89"/>
      <c r="C2460" s="86"/>
      <c r="D2460" s="71"/>
      <c r="H2460" s="90"/>
      <c r="J2460" s="53" t="str">
        <f>IFERROR(__xludf.DUMMYFUNCTION("IF(ISBLANK(B2460),"""",IF(ISDATE(B2460),""X"",""""))"),"")</f>
        <v/>
      </c>
      <c r="K2460" s="40" t="str">
        <f>IFERROR(__xludf.DUMMYFUNCTION("IF(ISBLANK(B2460),"""",IF(ISDATE(B2460),H2460,""""))"),"")</f>
        <v/>
      </c>
      <c r="L2460" s="40" t="str">
        <f>IFERROR(__xludf.DUMMYFUNCTION("IF(ISBLANK(B2460),"""",IF(ISDATE(B2460),TEXT(B2460,""M""),""""))"),"")</f>
        <v/>
      </c>
      <c r="M2460" s="29" t="str">
        <f>IFERROR(__xludf.DUMMYFUNCTION("IF(L2460="""","""",QUERY({'Dashboard-Dados'!$Y$2:$AA$13},""Select Col2 Where Col1=""&amp;L2460))"),"")</f>
        <v/>
      </c>
      <c r="N2460" s="29" t="str">
        <f>IFERROR(__xludf.DUMMYFUNCTION("IF(ISBLANK(B2460),"""",IF(ISDATE(B2460),TEXT(B2460,""yyyy""),""""))"),"")</f>
        <v/>
      </c>
    </row>
    <row r="2461">
      <c r="B2461" s="87"/>
      <c r="C2461" s="85"/>
      <c r="D2461" s="76"/>
      <c r="H2461" s="88"/>
      <c r="J2461" s="53" t="str">
        <f>IFERROR(__xludf.DUMMYFUNCTION("IF(ISBLANK(B2461),"""",IF(ISDATE(B2461),""X"",""""))"),"")</f>
        <v/>
      </c>
      <c r="K2461" s="40" t="str">
        <f>IFERROR(__xludf.DUMMYFUNCTION("IF(ISBLANK(B2461),"""",IF(ISDATE(B2461),H2461,""""))"),"")</f>
        <v/>
      </c>
      <c r="L2461" s="40" t="str">
        <f>IFERROR(__xludf.DUMMYFUNCTION("IF(ISBLANK(B2461),"""",IF(ISDATE(B2461),TEXT(B2461,""M""),""""))"),"")</f>
        <v/>
      </c>
      <c r="M2461" s="29" t="str">
        <f>IFERROR(__xludf.DUMMYFUNCTION("IF(L2461="""","""",QUERY({'Dashboard-Dados'!$Y$2:$AA$13},""Select Col2 Where Col1=""&amp;L2461))"),"")</f>
        <v/>
      </c>
      <c r="N2461" s="29" t="str">
        <f>IFERROR(__xludf.DUMMYFUNCTION("IF(ISBLANK(B2461),"""",IF(ISDATE(B2461),TEXT(B2461,""yyyy""),""""))"),"")</f>
        <v/>
      </c>
    </row>
    <row r="2462">
      <c r="B2462" s="89"/>
      <c r="C2462" s="86"/>
      <c r="D2462" s="71"/>
      <c r="H2462" s="90"/>
      <c r="J2462" s="53" t="str">
        <f>IFERROR(__xludf.DUMMYFUNCTION("IF(ISBLANK(B2462),"""",IF(ISDATE(B2462),""X"",""""))"),"")</f>
        <v/>
      </c>
      <c r="K2462" s="40" t="str">
        <f>IFERROR(__xludf.DUMMYFUNCTION("IF(ISBLANK(B2462),"""",IF(ISDATE(B2462),H2462,""""))"),"")</f>
        <v/>
      </c>
      <c r="L2462" s="40" t="str">
        <f>IFERROR(__xludf.DUMMYFUNCTION("IF(ISBLANK(B2462),"""",IF(ISDATE(B2462),TEXT(B2462,""M""),""""))"),"")</f>
        <v/>
      </c>
      <c r="M2462" s="29" t="str">
        <f>IFERROR(__xludf.DUMMYFUNCTION("IF(L2462="""","""",QUERY({'Dashboard-Dados'!$Y$2:$AA$13},""Select Col2 Where Col1=""&amp;L2462))"),"")</f>
        <v/>
      </c>
      <c r="N2462" s="29" t="str">
        <f>IFERROR(__xludf.DUMMYFUNCTION("IF(ISBLANK(B2462),"""",IF(ISDATE(B2462),TEXT(B2462,""yyyy""),""""))"),"")</f>
        <v/>
      </c>
    </row>
    <row r="2463">
      <c r="B2463" s="87"/>
      <c r="C2463" s="85"/>
      <c r="D2463" s="76"/>
      <c r="H2463" s="88"/>
      <c r="J2463" s="53" t="str">
        <f>IFERROR(__xludf.DUMMYFUNCTION("IF(ISBLANK(B2463),"""",IF(ISDATE(B2463),""X"",""""))"),"")</f>
        <v/>
      </c>
      <c r="K2463" s="40" t="str">
        <f>IFERROR(__xludf.DUMMYFUNCTION("IF(ISBLANK(B2463),"""",IF(ISDATE(B2463),H2463,""""))"),"")</f>
        <v/>
      </c>
      <c r="L2463" s="40" t="str">
        <f>IFERROR(__xludf.DUMMYFUNCTION("IF(ISBLANK(B2463),"""",IF(ISDATE(B2463),TEXT(B2463,""M""),""""))"),"")</f>
        <v/>
      </c>
      <c r="M2463" s="29" t="str">
        <f>IFERROR(__xludf.DUMMYFUNCTION("IF(L2463="""","""",QUERY({'Dashboard-Dados'!$Y$2:$AA$13},""Select Col2 Where Col1=""&amp;L2463))"),"")</f>
        <v/>
      </c>
      <c r="N2463" s="29" t="str">
        <f>IFERROR(__xludf.DUMMYFUNCTION("IF(ISBLANK(B2463),"""",IF(ISDATE(B2463),TEXT(B2463,""yyyy""),""""))"),"")</f>
        <v/>
      </c>
    </row>
    <row r="2464">
      <c r="B2464" s="89"/>
      <c r="C2464" s="86"/>
      <c r="D2464" s="71"/>
      <c r="H2464" s="90"/>
      <c r="J2464" s="53" t="str">
        <f>IFERROR(__xludf.DUMMYFUNCTION("IF(ISBLANK(B2464),"""",IF(ISDATE(B2464),""X"",""""))"),"")</f>
        <v/>
      </c>
      <c r="K2464" s="40" t="str">
        <f>IFERROR(__xludf.DUMMYFUNCTION("IF(ISBLANK(B2464),"""",IF(ISDATE(B2464),H2464,""""))"),"")</f>
        <v/>
      </c>
      <c r="L2464" s="40" t="str">
        <f>IFERROR(__xludf.DUMMYFUNCTION("IF(ISBLANK(B2464),"""",IF(ISDATE(B2464),TEXT(B2464,""M""),""""))"),"")</f>
        <v/>
      </c>
      <c r="M2464" s="29" t="str">
        <f>IFERROR(__xludf.DUMMYFUNCTION("IF(L2464="""","""",QUERY({'Dashboard-Dados'!$Y$2:$AA$13},""Select Col2 Where Col1=""&amp;L2464))"),"")</f>
        <v/>
      </c>
      <c r="N2464" s="29" t="str">
        <f>IFERROR(__xludf.DUMMYFUNCTION("IF(ISBLANK(B2464),"""",IF(ISDATE(B2464),TEXT(B2464,""yyyy""),""""))"),"")</f>
        <v/>
      </c>
    </row>
    <row r="2465">
      <c r="B2465" s="87"/>
      <c r="C2465" s="85"/>
      <c r="D2465" s="76"/>
      <c r="H2465" s="88"/>
      <c r="J2465" s="53" t="str">
        <f>IFERROR(__xludf.DUMMYFUNCTION("IF(ISBLANK(B2465),"""",IF(ISDATE(B2465),""X"",""""))"),"")</f>
        <v/>
      </c>
      <c r="K2465" s="40" t="str">
        <f>IFERROR(__xludf.DUMMYFUNCTION("IF(ISBLANK(B2465),"""",IF(ISDATE(B2465),H2465,""""))"),"")</f>
        <v/>
      </c>
      <c r="L2465" s="40" t="str">
        <f>IFERROR(__xludf.DUMMYFUNCTION("IF(ISBLANK(B2465),"""",IF(ISDATE(B2465),TEXT(B2465,""M""),""""))"),"")</f>
        <v/>
      </c>
      <c r="M2465" s="29" t="str">
        <f>IFERROR(__xludf.DUMMYFUNCTION("IF(L2465="""","""",QUERY({'Dashboard-Dados'!$Y$2:$AA$13},""Select Col2 Where Col1=""&amp;L2465))"),"")</f>
        <v/>
      </c>
      <c r="N2465" s="29" t="str">
        <f>IFERROR(__xludf.DUMMYFUNCTION("IF(ISBLANK(B2465),"""",IF(ISDATE(B2465),TEXT(B2465,""yyyy""),""""))"),"")</f>
        <v/>
      </c>
    </row>
    <row r="2466">
      <c r="B2466" s="89"/>
      <c r="C2466" s="86"/>
      <c r="D2466" s="71"/>
      <c r="H2466" s="90"/>
      <c r="J2466" s="53" t="str">
        <f>IFERROR(__xludf.DUMMYFUNCTION("IF(ISBLANK(B2466),"""",IF(ISDATE(B2466),""X"",""""))"),"")</f>
        <v/>
      </c>
      <c r="K2466" s="40" t="str">
        <f>IFERROR(__xludf.DUMMYFUNCTION("IF(ISBLANK(B2466),"""",IF(ISDATE(B2466),H2466,""""))"),"")</f>
        <v/>
      </c>
      <c r="L2466" s="40" t="str">
        <f>IFERROR(__xludf.DUMMYFUNCTION("IF(ISBLANK(B2466),"""",IF(ISDATE(B2466),TEXT(B2466,""M""),""""))"),"")</f>
        <v/>
      </c>
      <c r="M2466" s="29" t="str">
        <f>IFERROR(__xludf.DUMMYFUNCTION("IF(L2466="""","""",QUERY({'Dashboard-Dados'!$Y$2:$AA$13},""Select Col2 Where Col1=""&amp;L2466))"),"")</f>
        <v/>
      </c>
      <c r="N2466" s="29" t="str">
        <f>IFERROR(__xludf.DUMMYFUNCTION("IF(ISBLANK(B2466),"""",IF(ISDATE(B2466),TEXT(B2466,""yyyy""),""""))"),"")</f>
        <v/>
      </c>
    </row>
    <row r="2467">
      <c r="B2467" s="87"/>
      <c r="C2467" s="85"/>
      <c r="D2467" s="76"/>
      <c r="H2467" s="88"/>
      <c r="J2467" s="53" t="str">
        <f>IFERROR(__xludf.DUMMYFUNCTION("IF(ISBLANK(B2467),"""",IF(ISDATE(B2467),""X"",""""))"),"")</f>
        <v/>
      </c>
      <c r="K2467" s="40" t="str">
        <f>IFERROR(__xludf.DUMMYFUNCTION("IF(ISBLANK(B2467),"""",IF(ISDATE(B2467),H2467,""""))"),"")</f>
        <v/>
      </c>
      <c r="L2467" s="40" t="str">
        <f>IFERROR(__xludf.DUMMYFUNCTION("IF(ISBLANK(B2467),"""",IF(ISDATE(B2467),TEXT(B2467,""M""),""""))"),"")</f>
        <v/>
      </c>
      <c r="M2467" s="29" t="str">
        <f>IFERROR(__xludf.DUMMYFUNCTION("IF(L2467="""","""",QUERY({'Dashboard-Dados'!$Y$2:$AA$13},""Select Col2 Where Col1=""&amp;L2467))"),"")</f>
        <v/>
      </c>
      <c r="N2467" s="29" t="str">
        <f>IFERROR(__xludf.DUMMYFUNCTION("IF(ISBLANK(B2467),"""",IF(ISDATE(B2467),TEXT(B2467,""yyyy""),""""))"),"")</f>
        <v/>
      </c>
    </row>
    <row r="2468">
      <c r="B2468" s="89"/>
      <c r="C2468" s="86"/>
      <c r="D2468" s="71"/>
      <c r="H2468" s="90"/>
      <c r="J2468" s="53" t="str">
        <f>IFERROR(__xludf.DUMMYFUNCTION("IF(ISBLANK(B2468),"""",IF(ISDATE(B2468),""X"",""""))"),"")</f>
        <v/>
      </c>
      <c r="K2468" s="40" t="str">
        <f>IFERROR(__xludf.DUMMYFUNCTION("IF(ISBLANK(B2468),"""",IF(ISDATE(B2468),H2468,""""))"),"")</f>
        <v/>
      </c>
      <c r="L2468" s="40" t="str">
        <f>IFERROR(__xludf.DUMMYFUNCTION("IF(ISBLANK(B2468),"""",IF(ISDATE(B2468),TEXT(B2468,""M""),""""))"),"")</f>
        <v/>
      </c>
      <c r="M2468" s="29" t="str">
        <f>IFERROR(__xludf.DUMMYFUNCTION("IF(L2468="""","""",QUERY({'Dashboard-Dados'!$Y$2:$AA$13},""Select Col2 Where Col1=""&amp;L2468))"),"")</f>
        <v/>
      </c>
      <c r="N2468" s="29" t="str">
        <f>IFERROR(__xludf.DUMMYFUNCTION("IF(ISBLANK(B2468),"""",IF(ISDATE(B2468),TEXT(B2468,""yyyy""),""""))"),"")</f>
        <v/>
      </c>
    </row>
    <row r="2469">
      <c r="B2469" s="87"/>
      <c r="C2469" s="85"/>
      <c r="D2469" s="76"/>
      <c r="H2469" s="88"/>
      <c r="J2469" s="53" t="str">
        <f>IFERROR(__xludf.DUMMYFUNCTION("IF(ISBLANK(B2469),"""",IF(ISDATE(B2469),""X"",""""))"),"")</f>
        <v/>
      </c>
      <c r="K2469" s="40" t="str">
        <f>IFERROR(__xludf.DUMMYFUNCTION("IF(ISBLANK(B2469),"""",IF(ISDATE(B2469),H2469,""""))"),"")</f>
        <v/>
      </c>
      <c r="L2469" s="40" t="str">
        <f>IFERROR(__xludf.DUMMYFUNCTION("IF(ISBLANK(B2469),"""",IF(ISDATE(B2469),TEXT(B2469,""M""),""""))"),"")</f>
        <v/>
      </c>
      <c r="M2469" s="29" t="str">
        <f>IFERROR(__xludf.DUMMYFUNCTION("IF(L2469="""","""",QUERY({'Dashboard-Dados'!$Y$2:$AA$13},""Select Col2 Where Col1=""&amp;L2469))"),"")</f>
        <v/>
      </c>
      <c r="N2469" s="29" t="str">
        <f>IFERROR(__xludf.DUMMYFUNCTION("IF(ISBLANK(B2469),"""",IF(ISDATE(B2469),TEXT(B2469,""yyyy""),""""))"),"")</f>
        <v/>
      </c>
    </row>
    <row r="2470">
      <c r="B2470" s="89"/>
      <c r="C2470" s="86"/>
      <c r="D2470" s="71"/>
      <c r="H2470" s="90"/>
      <c r="J2470" s="53" t="str">
        <f>IFERROR(__xludf.DUMMYFUNCTION("IF(ISBLANK(B2470),"""",IF(ISDATE(B2470),""X"",""""))"),"")</f>
        <v/>
      </c>
      <c r="K2470" s="40" t="str">
        <f>IFERROR(__xludf.DUMMYFUNCTION("IF(ISBLANK(B2470),"""",IF(ISDATE(B2470),H2470,""""))"),"")</f>
        <v/>
      </c>
      <c r="L2470" s="40" t="str">
        <f>IFERROR(__xludf.DUMMYFUNCTION("IF(ISBLANK(B2470),"""",IF(ISDATE(B2470),TEXT(B2470,""M""),""""))"),"")</f>
        <v/>
      </c>
      <c r="M2470" s="29" t="str">
        <f>IFERROR(__xludf.DUMMYFUNCTION("IF(L2470="""","""",QUERY({'Dashboard-Dados'!$Y$2:$AA$13},""Select Col2 Where Col1=""&amp;L2470))"),"")</f>
        <v/>
      </c>
      <c r="N2470" s="29" t="str">
        <f>IFERROR(__xludf.DUMMYFUNCTION("IF(ISBLANK(B2470),"""",IF(ISDATE(B2470),TEXT(B2470,""yyyy""),""""))"),"")</f>
        <v/>
      </c>
    </row>
    <row r="2471">
      <c r="B2471" s="87"/>
      <c r="C2471" s="85"/>
      <c r="D2471" s="76"/>
      <c r="H2471" s="88"/>
      <c r="J2471" s="53" t="str">
        <f>IFERROR(__xludf.DUMMYFUNCTION("IF(ISBLANK(B2471),"""",IF(ISDATE(B2471),""X"",""""))"),"")</f>
        <v/>
      </c>
      <c r="K2471" s="40" t="str">
        <f>IFERROR(__xludf.DUMMYFUNCTION("IF(ISBLANK(B2471),"""",IF(ISDATE(B2471),H2471,""""))"),"")</f>
        <v/>
      </c>
      <c r="L2471" s="40" t="str">
        <f>IFERROR(__xludf.DUMMYFUNCTION("IF(ISBLANK(B2471),"""",IF(ISDATE(B2471),TEXT(B2471,""M""),""""))"),"")</f>
        <v/>
      </c>
      <c r="M2471" s="29" t="str">
        <f>IFERROR(__xludf.DUMMYFUNCTION("IF(L2471="""","""",QUERY({'Dashboard-Dados'!$Y$2:$AA$13},""Select Col2 Where Col1=""&amp;L2471))"),"")</f>
        <v/>
      </c>
      <c r="N2471" s="29" t="str">
        <f>IFERROR(__xludf.DUMMYFUNCTION("IF(ISBLANK(B2471),"""",IF(ISDATE(B2471),TEXT(B2471,""yyyy""),""""))"),"")</f>
        <v/>
      </c>
    </row>
    <row r="2472">
      <c r="B2472" s="89"/>
      <c r="C2472" s="86"/>
      <c r="D2472" s="71"/>
      <c r="H2472" s="90"/>
      <c r="J2472" s="53" t="str">
        <f>IFERROR(__xludf.DUMMYFUNCTION("IF(ISBLANK(B2472),"""",IF(ISDATE(B2472),""X"",""""))"),"")</f>
        <v/>
      </c>
      <c r="K2472" s="40" t="str">
        <f>IFERROR(__xludf.DUMMYFUNCTION("IF(ISBLANK(B2472),"""",IF(ISDATE(B2472),H2472,""""))"),"")</f>
        <v/>
      </c>
      <c r="L2472" s="40" t="str">
        <f>IFERROR(__xludf.DUMMYFUNCTION("IF(ISBLANK(B2472),"""",IF(ISDATE(B2472),TEXT(B2472,""M""),""""))"),"")</f>
        <v/>
      </c>
      <c r="M2472" s="29" t="str">
        <f>IFERROR(__xludf.DUMMYFUNCTION("IF(L2472="""","""",QUERY({'Dashboard-Dados'!$Y$2:$AA$13},""Select Col2 Where Col1=""&amp;L2472))"),"")</f>
        <v/>
      </c>
      <c r="N2472" s="29" t="str">
        <f>IFERROR(__xludf.DUMMYFUNCTION("IF(ISBLANK(B2472),"""",IF(ISDATE(B2472),TEXT(B2472,""yyyy""),""""))"),"")</f>
        <v/>
      </c>
    </row>
    <row r="2473">
      <c r="B2473" s="87"/>
      <c r="C2473" s="85"/>
      <c r="D2473" s="76"/>
      <c r="H2473" s="88"/>
      <c r="J2473" s="53" t="str">
        <f>IFERROR(__xludf.DUMMYFUNCTION("IF(ISBLANK(B2473),"""",IF(ISDATE(B2473),""X"",""""))"),"")</f>
        <v/>
      </c>
      <c r="K2473" s="40" t="str">
        <f>IFERROR(__xludf.DUMMYFUNCTION("IF(ISBLANK(B2473),"""",IF(ISDATE(B2473),H2473,""""))"),"")</f>
        <v/>
      </c>
      <c r="L2473" s="40" t="str">
        <f>IFERROR(__xludf.DUMMYFUNCTION("IF(ISBLANK(B2473),"""",IF(ISDATE(B2473),TEXT(B2473,""M""),""""))"),"")</f>
        <v/>
      </c>
      <c r="M2473" s="29" t="str">
        <f>IFERROR(__xludf.DUMMYFUNCTION("IF(L2473="""","""",QUERY({'Dashboard-Dados'!$Y$2:$AA$13},""Select Col2 Where Col1=""&amp;L2473))"),"")</f>
        <v/>
      </c>
      <c r="N2473" s="29" t="str">
        <f>IFERROR(__xludf.DUMMYFUNCTION("IF(ISBLANK(B2473),"""",IF(ISDATE(B2473),TEXT(B2473,""yyyy""),""""))"),"")</f>
        <v/>
      </c>
    </row>
    <row r="2474">
      <c r="B2474" s="89"/>
      <c r="C2474" s="86"/>
      <c r="D2474" s="71"/>
      <c r="H2474" s="90"/>
      <c r="J2474" s="53" t="str">
        <f>IFERROR(__xludf.DUMMYFUNCTION("IF(ISBLANK(B2474),"""",IF(ISDATE(B2474),""X"",""""))"),"")</f>
        <v/>
      </c>
      <c r="K2474" s="40" t="str">
        <f>IFERROR(__xludf.DUMMYFUNCTION("IF(ISBLANK(B2474),"""",IF(ISDATE(B2474),H2474,""""))"),"")</f>
        <v/>
      </c>
      <c r="L2474" s="40" t="str">
        <f>IFERROR(__xludf.DUMMYFUNCTION("IF(ISBLANK(B2474),"""",IF(ISDATE(B2474),TEXT(B2474,""M""),""""))"),"")</f>
        <v/>
      </c>
      <c r="M2474" s="29" t="str">
        <f>IFERROR(__xludf.DUMMYFUNCTION("IF(L2474="""","""",QUERY({'Dashboard-Dados'!$Y$2:$AA$13},""Select Col2 Where Col1=""&amp;L2474))"),"")</f>
        <v/>
      </c>
      <c r="N2474" s="29" t="str">
        <f>IFERROR(__xludf.DUMMYFUNCTION("IF(ISBLANK(B2474),"""",IF(ISDATE(B2474),TEXT(B2474,""yyyy""),""""))"),"")</f>
        <v/>
      </c>
    </row>
    <row r="2475">
      <c r="B2475" s="87"/>
      <c r="C2475" s="85"/>
      <c r="D2475" s="76"/>
      <c r="H2475" s="88"/>
      <c r="J2475" s="53" t="str">
        <f>IFERROR(__xludf.DUMMYFUNCTION("IF(ISBLANK(B2475),"""",IF(ISDATE(B2475),""X"",""""))"),"")</f>
        <v/>
      </c>
      <c r="K2475" s="40" t="str">
        <f>IFERROR(__xludf.DUMMYFUNCTION("IF(ISBLANK(B2475),"""",IF(ISDATE(B2475),H2475,""""))"),"")</f>
        <v/>
      </c>
      <c r="L2475" s="40" t="str">
        <f>IFERROR(__xludf.DUMMYFUNCTION("IF(ISBLANK(B2475),"""",IF(ISDATE(B2475),TEXT(B2475,""M""),""""))"),"")</f>
        <v/>
      </c>
      <c r="M2475" s="29" t="str">
        <f>IFERROR(__xludf.DUMMYFUNCTION("IF(L2475="""","""",QUERY({'Dashboard-Dados'!$Y$2:$AA$13},""Select Col2 Where Col1=""&amp;L2475))"),"")</f>
        <v/>
      </c>
      <c r="N2475" s="29" t="str">
        <f>IFERROR(__xludf.DUMMYFUNCTION("IF(ISBLANK(B2475),"""",IF(ISDATE(B2475),TEXT(B2475,""yyyy""),""""))"),"")</f>
        <v/>
      </c>
    </row>
    <row r="2476">
      <c r="B2476" s="89"/>
      <c r="C2476" s="86"/>
      <c r="D2476" s="71"/>
      <c r="H2476" s="90"/>
      <c r="J2476" s="53" t="str">
        <f>IFERROR(__xludf.DUMMYFUNCTION("IF(ISBLANK(B2476),"""",IF(ISDATE(B2476),""X"",""""))"),"")</f>
        <v/>
      </c>
      <c r="K2476" s="40" t="str">
        <f>IFERROR(__xludf.DUMMYFUNCTION("IF(ISBLANK(B2476),"""",IF(ISDATE(B2476),H2476,""""))"),"")</f>
        <v/>
      </c>
      <c r="L2476" s="40" t="str">
        <f>IFERROR(__xludf.DUMMYFUNCTION("IF(ISBLANK(B2476),"""",IF(ISDATE(B2476),TEXT(B2476,""M""),""""))"),"")</f>
        <v/>
      </c>
      <c r="M2476" s="29" t="str">
        <f>IFERROR(__xludf.DUMMYFUNCTION("IF(L2476="""","""",QUERY({'Dashboard-Dados'!$Y$2:$AA$13},""Select Col2 Where Col1=""&amp;L2476))"),"")</f>
        <v/>
      </c>
      <c r="N2476" s="29" t="str">
        <f>IFERROR(__xludf.DUMMYFUNCTION("IF(ISBLANK(B2476),"""",IF(ISDATE(B2476),TEXT(B2476,""yyyy""),""""))"),"")</f>
        <v/>
      </c>
    </row>
    <row r="2477">
      <c r="B2477" s="87"/>
      <c r="C2477" s="85"/>
      <c r="D2477" s="76"/>
      <c r="H2477" s="88"/>
      <c r="J2477" s="53" t="str">
        <f>IFERROR(__xludf.DUMMYFUNCTION("IF(ISBLANK(B2477),"""",IF(ISDATE(B2477),""X"",""""))"),"")</f>
        <v/>
      </c>
      <c r="K2477" s="40" t="str">
        <f>IFERROR(__xludf.DUMMYFUNCTION("IF(ISBLANK(B2477),"""",IF(ISDATE(B2477),H2477,""""))"),"")</f>
        <v/>
      </c>
      <c r="L2477" s="40" t="str">
        <f>IFERROR(__xludf.DUMMYFUNCTION("IF(ISBLANK(B2477),"""",IF(ISDATE(B2477),TEXT(B2477,""M""),""""))"),"")</f>
        <v/>
      </c>
      <c r="M2477" s="29" t="str">
        <f>IFERROR(__xludf.DUMMYFUNCTION("IF(L2477="""","""",QUERY({'Dashboard-Dados'!$Y$2:$AA$13},""Select Col2 Where Col1=""&amp;L2477))"),"")</f>
        <v/>
      </c>
      <c r="N2477" s="29" t="str">
        <f>IFERROR(__xludf.DUMMYFUNCTION("IF(ISBLANK(B2477),"""",IF(ISDATE(B2477),TEXT(B2477,""yyyy""),""""))"),"")</f>
        <v/>
      </c>
    </row>
    <row r="2478">
      <c r="B2478" s="89"/>
      <c r="C2478" s="86"/>
      <c r="D2478" s="71"/>
      <c r="H2478" s="90"/>
      <c r="J2478" s="53" t="str">
        <f>IFERROR(__xludf.DUMMYFUNCTION("IF(ISBLANK(B2478),"""",IF(ISDATE(B2478),""X"",""""))"),"")</f>
        <v/>
      </c>
      <c r="K2478" s="40" t="str">
        <f>IFERROR(__xludf.DUMMYFUNCTION("IF(ISBLANK(B2478),"""",IF(ISDATE(B2478),H2478,""""))"),"")</f>
        <v/>
      </c>
      <c r="L2478" s="40" t="str">
        <f>IFERROR(__xludf.DUMMYFUNCTION("IF(ISBLANK(B2478),"""",IF(ISDATE(B2478),TEXT(B2478,""M""),""""))"),"")</f>
        <v/>
      </c>
      <c r="M2478" s="29" t="str">
        <f>IFERROR(__xludf.DUMMYFUNCTION("IF(L2478="""","""",QUERY({'Dashboard-Dados'!$Y$2:$AA$13},""Select Col2 Where Col1=""&amp;L2478))"),"")</f>
        <v/>
      </c>
      <c r="N2478" s="29" t="str">
        <f>IFERROR(__xludf.DUMMYFUNCTION("IF(ISBLANK(B2478),"""",IF(ISDATE(B2478),TEXT(B2478,""yyyy""),""""))"),"")</f>
        <v/>
      </c>
    </row>
    <row r="2479">
      <c r="B2479" s="87"/>
      <c r="C2479" s="85"/>
      <c r="D2479" s="76"/>
      <c r="H2479" s="88"/>
      <c r="J2479" s="53" t="str">
        <f>IFERROR(__xludf.DUMMYFUNCTION("IF(ISBLANK(B2479),"""",IF(ISDATE(B2479),""X"",""""))"),"")</f>
        <v/>
      </c>
      <c r="K2479" s="40" t="str">
        <f>IFERROR(__xludf.DUMMYFUNCTION("IF(ISBLANK(B2479),"""",IF(ISDATE(B2479),H2479,""""))"),"")</f>
        <v/>
      </c>
      <c r="L2479" s="40" t="str">
        <f>IFERROR(__xludf.DUMMYFUNCTION("IF(ISBLANK(B2479),"""",IF(ISDATE(B2479),TEXT(B2479,""M""),""""))"),"")</f>
        <v/>
      </c>
      <c r="M2479" s="29" t="str">
        <f>IFERROR(__xludf.DUMMYFUNCTION("IF(L2479="""","""",QUERY({'Dashboard-Dados'!$Y$2:$AA$13},""Select Col2 Where Col1=""&amp;L2479))"),"")</f>
        <v/>
      </c>
      <c r="N2479" s="29" t="str">
        <f>IFERROR(__xludf.DUMMYFUNCTION("IF(ISBLANK(B2479),"""",IF(ISDATE(B2479),TEXT(B2479,""yyyy""),""""))"),"")</f>
        <v/>
      </c>
    </row>
    <row r="2480">
      <c r="B2480" s="89"/>
      <c r="C2480" s="86"/>
      <c r="D2480" s="71"/>
      <c r="H2480" s="90"/>
      <c r="J2480" s="53" t="str">
        <f>IFERROR(__xludf.DUMMYFUNCTION("IF(ISBLANK(B2480),"""",IF(ISDATE(B2480),""X"",""""))"),"")</f>
        <v/>
      </c>
      <c r="K2480" s="40" t="str">
        <f>IFERROR(__xludf.DUMMYFUNCTION("IF(ISBLANK(B2480),"""",IF(ISDATE(B2480),H2480,""""))"),"")</f>
        <v/>
      </c>
      <c r="L2480" s="40" t="str">
        <f>IFERROR(__xludf.DUMMYFUNCTION("IF(ISBLANK(B2480),"""",IF(ISDATE(B2480),TEXT(B2480,""M""),""""))"),"")</f>
        <v/>
      </c>
      <c r="M2480" s="29" t="str">
        <f>IFERROR(__xludf.DUMMYFUNCTION("IF(L2480="""","""",QUERY({'Dashboard-Dados'!$Y$2:$AA$13},""Select Col2 Where Col1=""&amp;L2480))"),"")</f>
        <v/>
      </c>
      <c r="N2480" s="29" t="str">
        <f>IFERROR(__xludf.DUMMYFUNCTION("IF(ISBLANK(B2480),"""",IF(ISDATE(B2480),TEXT(B2480,""yyyy""),""""))"),"")</f>
        <v/>
      </c>
    </row>
    <row r="2481">
      <c r="B2481" s="87"/>
      <c r="C2481" s="85"/>
      <c r="D2481" s="76"/>
      <c r="H2481" s="88"/>
      <c r="J2481" s="53" t="str">
        <f>IFERROR(__xludf.DUMMYFUNCTION("IF(ISBLANK(B2481),"""",IF(ISDATE(B2481),""X"",""""))"),"")</f>
        <v/>
      </c>
      <c r="K2481" s="40" t="str">
        <f>IFERROR(__xludf.DUMMYFUNCTION("IF(ISBLANK(B2481),"""",IF(ISDATE(B2481),H2481,""""))"),"")</f>
        <v/>
      </c>
      <c r="L2481" s="40" t="str">
        <f>IFERROR(__xludf.DUMMYFUNCTION("IF(ISBLANK(B2481),"""",IF(ISDATE(B2481),TEXT(B2481,""M""),""""))"),"")</f>
        <v/>
      </c>
      <c r="M2481" s="29" t="str">
        <f>IFERROR(__xludf.DUMMYFUNCTION("IF(L2481="""","""",QUERY({'Dashboard-Dados'!$Y$2:$AA$13},""Select Col2 Where Col1=""&amp;L2481))"),"")</f>
        <v/>
      </c>
      <c r="N2481" s="29" t="str">
        <f>IFERROR(__xludf.DUMMYFUNCTION("IF(ISBLANK(B2481),"""",IF(ISDATE(B2481),TEXT(B2481,""yyyy""),""""))"),"")</f>
        <v/>
      </c>
    </row>
    <row r="2482">
      <c r="B2482" s="89"/>
      <c r="C2482" s="86"/>
      <c r="D2482" s="71"/>
      <c r="H2482" s="90"/>
      <c r="J2482" s="53" t="str">
        <f>IFERROR(__xludf.DUMMYFUNCTION("IF(ISBLANK(B2482),"""",IF(ISDATE(B2482),""X"",""""))"),"")</f>
        <v/>
      </c>
      <c r="K2482" s="40" t="str">
        <f>IFERROR(__xludf.DUMMYFUNCTION("IF(ISBLANK(B2482),"""",IF(ISDATE(B2482),H2482,""""))"),"")</f>
        <v/>
      </c>
      <c r="L2482" s="40" t="str">
        <f>IFERROR(__xludf.DUMMYFUNCTION("IF(ISBLANK(B2482),"""",IF(ISDATE(B2482),TEXT(B2482,""M""),""""))"),"")</f>
        <v/>
      </c>
      <c r="M2482" s="29" t="str">
        <f>IFERROR(__xludf.DUMMYFUNCTION("IF(L2482="""","""",QUERY({'Dashboard-Dados'!$Y$2:$AA$13},""Select Col2 Where Col1=""&amp;L2482))"),"")</f>
        <v/>
      </c>
      <c r="N2482" s="29" t="str">
        <f>IFERROR(__xludf.DUMMYFUNCTION("IF(ISBLANK(B2482),"""",IF(ISDATE(B2482),TEXT(B2482,""yyyy""),""""))"),"")</f>
        <v/>
      </c>
    </row>
    <row r="2483">
      <c r="B2483" s="87"/>
      <c r="C2483" s="85"/>
      <c r="D2483" s="76"/>
      <c r="H2483" s="88"/>
      <c r="J2483" s="53" t="str">
        <f>IFERROR(__xludf.DUMMYFUNCTION("IF(ISBLANK(B2483),"""",IF(ISDATE(B2483),""X"",""""))"),"")</f>
        <v/>
      </c>
      <c r="K2483" s="40" t="str">
        <f>IFERROR(__xludf.DUMMYFUNCTION("IF(ISBLANK(B2483),"""",IF(ISDATE(B2483),H2483,""""))"),"")</f>
        <v/>
      </c>
      <c r="L2483" s="40" t="str">
        <f>IFERROR(__xludf.DUMMYFUNCTION("IF(ISBLANK(B2483),"""",IF(ISDATE(B2483),TEXT(B2483,""M""),""""))"),"")</f>
        <v/>
      </c>
      <c r="M2483" s="29" t="str">
        <f>IFERROR(__xludf.DUMMYFUNCTION("IF(L2483="""","""",QUERY({'Dashboard-Dados'!$Y$2:$AA$13},""Select Col2 Where Col1=""&amp;L2483))"),"")</f>
        <v/>
      </c>
      <c r="N2483" s="29" t="str">
        <f>IFERROR(__xludf.DUMMYFUNCTION("IF(ISBLANK(B2483),"""",IF(ISDATE(B2483),TEXT(B2483,""yyyy""),""""))"),"")</f>
        <v/>
      </c>
    </row>
    <row r="2484">
      <c r="B2484" s="89"/>
      <c r="C2484" s="86"/>
      <c r="D2484" s="71"/>
      <c r="H2484" s="90"/>
      <c r="J2484" s="53" t="str">
        <f>IFERROR(__xludf.DUMMYFUNCTION("IF(ISBLANK(B2484),"""",IF(ISDATE(B2484),""X"",""""))"),"")</f>
        <v/>
      </c>
      <c r="K2484" s="40" t="str">
        <f>IFERROR(__xludf.DUMMYFUNCTION("IF(ISBLANK(B2484),"""",IF(ISDATE(B2484),H2484,""""))"),"")</f>
        <v/>
      </c>
      <c r="L2484" s="40" t="str">
        <f>IFERROR(__xludf.DUMMYFUNCTION("IF(ISBLANK(B2484),"""",IF(ISDATE(B2484),TEXT(B2484,""M""),""""))"),"")</f>
        <v/>
      </c>
      <c r="M2484" s="29" t="str">
        <f>IFERROR(__xludf.DUMMYFUNCTION("IF(L2484="""","""",QUERY({'Dashboard-Dados'!$Y$2:$AA$13},""Select Col2 Where Col1=""&amp;L2484))"),"")</f>
        <v/>
      </c>
      <c r="N2484" s="29" t="str">
        <f>IFERROR(__xludf.DUMMYFUNCTION("IF(ISBLANK(B2484),"""",IF(ISDATE(B2484),TEXT(B2484,""yyyy""),""""))"),"")</f>
        <v/>
      </c>
    </row>
    <row r="2485">
      <c r="B2485" s="87"/>
      <c r="C2485" s="85"/>
      <c r="D2485" s="76"/>
      <c r="H2485" s="88"/>
      <c r="J2485" s="53" t="str">
        <f>IFERROR(__xludf.DUMMYFUNCTION("IF(ISBLANK(B2485),"""",IF(ISDATE(B2485),""X"",""""))"),"")</f>
        <v/>
      </c>
      <c r="K2485" s="40" t="str">
        <f>IFERROR(__xludf.DUMMYFUNCTION("IF(ISBLANK(B2485),"""",IF(ISDATE(B2485),H2485,""""))"),"")</f>
        <v/>
      </c>
      <c r="L2485" s="40" t="str">
        <f>IFERROR(__xludf.DUMMYFUNCTION("IF(ISBLANK(B2485),"""",IF(ISDATE(B2485),TEXT(B2485,""M""),""""))"),"")</f>
        <v/>
      </c>
      <c r="M2485" s="29" t="str">
        <f>IFERROR(__xludf.DUMMYFUNCTION("IF(L2485="""","""",QUERY({'Dashboard-Dados'!$Y$2:$AA$13},""Select Col2 Where Col1=""&amp;L2485))"),"")</f>
        <v/>
      </c>
      <c r="N2485" s="29" t="str">
        <f>IFERROR(__xludf.DUMMYFUNCTION("IF(ISBLANK(B2485),"""",IF(ISDATE(B2485),TEXT(B2485,""yyyy""),""""))"),"")</f>
        <v/>
      </c>
    </row>
    <row r="2486">
      <c r="B2486" s="89"/>
      <c r="C2486" s="86"/>
      <c r="D2486" s="71"/>
      <c r="H2486" s="90"/>
      <c r="J2486" s="53" t="str">
        <f>IFERROR(__xludf.DUMMYFUNCTION("IF(ISBLANK(B2486),"""",IF(ISDATE(B2486),""X"",""""))"),"")</f>
        <v/>
      </c>
      <c r="K2486" s="40" t="str">
        <f>IFERROR(__xludf.DUMMYFUNCTION("IF(ISBLANK(B2486),"""",IF(ISDATE(B2486),H2486,""""))"),"")</f>
        <v/>
      </c>
      <c r="L2486" s="40" t="str">
        <f>IFERROR(__xludf.DUMMYFUNCTION("IF(ISBLANK(B2486),"""",IF(ISDATE(B2486),TEXT(B2486,""M""),""""))"),"")</f>
        <v/>
      </c>
      <c r="M2486" s="29" t="str">
        <f>IFERROR(__xludf.DUMMYFUNCTION("IF(L2486="""","""",QUERY({'Dashboard-Dados'!$Y$2:$AA$13},""Select Col2 Where Col1=""&amp;L2486))"),"")</f>
        <v/>
      </c>
      <c r="N2486" s="29" t="str">
        <f>IFERROR(__xludf.DUMMYFUNCTION("IF(ISBLANK(B2486),"""",IF(ISDATE(B2486),TEXT(B2486,""yyyy""),""""))"),"")</f>
        <v/>
      </c>
    </row>
    <row r="2487">
      <c r="B2487" s="87"/>
      <c r="C2487" s="85"/>
      <c r="D2487" s="76"/>
      <c r="H2487" s="88"/>
      <c r="J2487" s="53" t="str">
        <f>IFERROR(__xludf.DUMMYFUNCTION("IF(ISBLANK(B2487),"""",IF(ISDATE(B2487),""X"",""""))"),"")</f>
        <v/>
      </c>
      <c r="K2487" s="40" t="str">
        <f>IFERROR(__xludf.DUMMYFUNCTION("IF(ISBLANK(B2487),"""",IF(ISDATE(B2487),H2487,""""))"),"")</f>
        <v/>
      </c>
      <c r="L2487" s="40" t="str">
        <f>IFERROR(__xludf.DUMMYFUNCTION("IF(ISBLANK(B2487),"""",IF(ISDATE(B2487),TEXT(B2487,""M""),""""))"),"")</f>
        <v/>
      </c>
      <c r="M2487" s="29" t="str">
        <f>IFERROR(__xludf.DUMMYFUNCTION("IF(L2487="""","""",QUERY({'Dashboard-Dados'!$Y$2:$AA$13},""Select Col2 Where Col1=""&amp;L2487))"),"")</f>
        <v/>
      </c>
      <c r="N2487" s="29" t="str">
        <f>IFERROR(__xludf.DUMMYFUNCTION("IF(ISBLANK(B2487),"""",IF(ISDATE(B2487),TEXT(B2487,""yyyy""),""""))"),"")</f>
        <v/>
      </c>
    </row>
    <row r="2488">
      <c r="B2488" s="89"/>
      <c r="C2488" s="86"/>
      <c r="D2488" s="71"/>
      <c r="H2488" s="90"/>
      <c r="J2488" s="53" t="str">
        <f>IFERROR(__xludf.DUMMYFUNCTION("IF(ISBLANK(B2488),"""",IF(ISDATE(B2488),""X"",""""))"),"")</f>
        <v/>
      </c>
      <c r="K2488" s="40" t="str">
        <f>IFERROR(__xludf.DUMMYFUNCTION("IF(ISBLANK(B2488),"""",IF(ISDATE(B2488),H2488,""""))"),"")</f>
        <v/>
      </c>
      <c r="L2488" s="40" t="str">
        <f>IFERROR(__xludf.DUMMYFUNCTION("IF(ISBLANK(B2488),"""",IF(ISDATE(B2488),TEXT(B2488,""M""),""""))"),"")</f>
        <v/>
      </c>
      <c r="M2488" s="29" t="str">
        <f>IFERROR(__xludf.DUMMYFUNCTION("IF(L2488="""","""",QUERY({'Dashboard-Dados'!$Y$2:$AA$13},""Select Col2 Where Col1=""&amp;L2488))"),"")</f>
        <v/>
      </c>
      <c r="N2488" s="29" t="str">
        <f>IFERROR(__xludf.DUMMYFUNCTION("IF(ISBLANK(B2488),"""",IF(ISDATE(B2488),TEXT(B2488,""yyyy""),""""))"),"")</f>
        <v/>
      </c>
    </row>
    <row r="2489">
      <c r="B2489" s="87"/>
      <c r="C2489" s="85"/>
      <c r="D2489" s="76"/>
      <c r="H2489" s="88"/>
      <c r="J2489" s="53" t="str">
        <f>IFERROR(__xludf.DUMMYFUNCTION("IF(ISBLANK(B2489),"""",IF(ISDATE(B2489),""X"",""""))"),"")</f>
        <v/>
      </c>
      <c r="K2489" s="40" t="str">
        <f>IFERROR(__xludf.DUMMYFUNCTION("IF(ISBLANK(B2489),"""",IF(ISDATE(B2489),H2489,""""))"),"")</f>
        <v/>
      </c>
      <c r="L2489" s="40" t="str">
        <f>IFERROR(__xludf.DUMMYFUNCTION("IF(ISBLANK(B2489),"""",IF(ISDATE(B2489),TEXT(B2489,""M""),""""))"),"")</f>
        <v/>
      </c>
      <c r="M2489" s="29" t="str">
        <f>IFERROR(__xludf.DUMMYFUNCTION("IF(L2489="""","""",QUERY({'Dashboard-Dados'!$Y$2:$AA$13},""Select Col2 Where Col1=""&amp;L2489))"),"")</f>
        <v/>
      </c>
      <c r="N2489" s="29" t="str">
        <f>IFERROR(__xludf.DUMMYFUNCTION("IF(ISBLANK(B2489),"""",IF(ISDATE(B2489),TEXT(B2489,""yyyy""),""""))"),"")</f>
        <v/>
      </c>
    </row>
    <row r="2490">
      <c r="B2490" s="89"/>
      <c r="C2490" s="86"/>
      <c r="D2490" s="71"/>
      <c r="H2490" s="90"/>
      <c r="J2490" s="53" t="str">
        <f>IFERROR(__xludf.DUMMYFUNCTION("IF(ISBLANK(B2490),"""",IF(ISDATE(B2490),""X"",""""))"),"")</f>
        <v/>
      </c>
      <c r="K2490" s="40" t="str">
        <f>IFERROR(__xludf.DUMMYFUNCTION("IF(ISBLANK(B2490),"""",IF(ISDATE(B2490),H2490,""""))"),"")</f>
        <v/>
      </c>
      <c r="L2490" s="40" t="str">
        <f>IFERROR(__xludf.DUMMYFUNCTION("IF(ISBLANK(B2490),"""",IF(ISDATE(B2490),TEXT(B2490,""M""),""""))"),"")</f>
        <v/>
      </c>
      <c r="M2490" s="29" t="str">
        <f>IFERROR(__xludf.DUMMYFUNCTION("IF(L2490="""","""",QUERY({'Dashboard-Dados'!$Y$2:$AA$13},""Select Col2 Where Col1=""&amp;L2490))"),"")</f>
        <v/>
      </c>
      <c r="N2490" s="29" t="str">
        <f>IFERROR(__xludf.DUMMYFUNCTION("IF(ISBLANK(B2490),"""",IF(ISDATE(B2490),TEXT(B2490,""yyyy""),""""))"),"")</f>
        <v/>
      </c>
    </row>
    <row r="2491">
      <c r="B2491" s="87"/>
      <c r="C2491" s="85"/>
      <c r="D2491" s="76"/>
      <c r="H2491" s="88"/>
      <c r="J2491" s="53" t="str">
        <f>IFERROR(__xludf.DUMMYFUNCTION("IF(ISBLANK(B2491),"""",IF(ISDATE(B2491),""X"",""""))"),"")</f>
        <v/>
      </c>
      <c r="K2491" s="40" t="str">
        <f>IFERROR(__xludf.DUMMYFUNCTION("IF(ISBLANK(B2491),"""",IF(ISDATE(B2491),H2491,""""))"),"")</f>
        <v/>
      </c>
      <c r="L2491" s="40" t="str">
        <f>IFERROR(__xludf.DUMMYFUNCTION("IF(ISBLANK(B2491),"""",IF(ISDATE(B2491),TEXT(B2491,""M""),""""))"),"")</f>
        <v/>
      </c>
      <c r="M2491" s="29" t="str">
        <f>IFERROR(__xludf.DUMMYFUNCTION("IF(L2491="""","""",QUERY({'Dashboard-Dados'!$Y$2:$AA$13},""Select Col2 Where Col1=""&amp;L2491))"),"")</f>
        <v/>
      </c>
      <c r="N2491" s="29" t="str">
        <f>IFERROR(__xludf.DUMMYFUNCTION("IF(ISBLANK(B2491),"""",IF(ISDATE(B2491),TEXT(B2491,""yyyy""),""""))"),"")</f>
        <v/>
      </c>
    </row>
    <row r="2492">
      <c r="B2492" s="89"/>
      <c r="C2492" s="86"/>
      <c r="D2492" s="71"/>
      <c r="H2492" s="90"/>
      <c r="J2492" s="53" t="str">
        <f>IFERROR(__xludf.DUMMYFUNCTION("IF(ISBLANK(B2492),"""",IF(ISDATE(B2492),""X"",""""))"),"")</f>
        <v/>
      </c>
      <c r="K2492" s="40" t="str">
        <f>IFERROR(__xludf.DUMMYFUNCTION("IF(ISBLANK(B2492),"""",IF(ISDATE(B2492),H2492,""""))"),"")</f>
        <v/>
      </c>
      <c r="L2492" s="40" t="str">
        <f>IFERROR(__xludf.DUMMYFUNCTION("IF(ISBLANK(B2492),"""",IF(ISDATE(B2492),TEXT(B2492,""M""),""""))"),"")</f>
        <v/>
      </c>
      <c r="M2492" s="29" t="str">
        <f>IFERROR(__xludf.DUMMYFUNCTION("IF(L2492="""","""",QUERY({'Dashboard-Dados'!$Y$2:$AA$13},""Select Col2 Where Col1=""&amp;L2492))"),"")</f>
        <v/>
      </c>
      <c r="N2492" s="29" t="str">
        <f>IFERROR(__xludf.DUMMYFUNCTION("IF(ISBLANK(B2492),"""",IF(ISDATE(B2492),TEXT(B2492,""yyyy""),""""))"),"")</f>
        <v/>
      </c>
    </row>
    <row r="2493">
      <c r="B2493" s="87"/>
      <c r="C2493" s="85"/>
      <c r="D2493" s="76"/>
      <c r="H2493" s="88"/>
      <c r="J2493" s="53" t="str">
        <f>IFERROR(__xludf.DUMMYFUNCTION("IF(ISBLANK(B2493),"""",IF(ISDATE(B2493),""X"",""""))"),"")</f>
        <v/>
      </c>
      <c r="K2493" s="40" t="str">
        <f>IFERROR(__xludf.DUMMYFUNCTION("IF(ISBLANK(B2493),"""",IF(ISDATE(B2493),H2493,""""))"),"")</f>
        <v/>
      </c>
      <c r="L2493" s="40" t="str">
        <f>IFERROR(__xludf.DUMMYFUNCTION("IF(ISBLANK(B2493),"""",IF(ISDATE(B2493),TEXT(B2493,""M""),""""))"),"")</f>
        <v/>
      </c>
      <c r="M2493" s="29" t="str">
        <f>IFERROR(__xludf.DUMMYFUNCTION("IF(L2493="""","""",QUERY({'Dashboard-Dados'!$Y$2:$AA$13},""Select Col2 Where Col1=""&amp;L2493))"),"")</f>
        <v/>
      </c>
      <c r="N2493" s="29" t="str">
        <f>IFERROR(__xludf.DUMMYFUNCTION("IF(ISBLANK(B2493),"""",IF(ISDATE(B2493),TEXT(B2493,""yyyy""),""""))"),"")</f>
        <v/>
      </c>
    </row>
    <row r="2494">
      <c r="B2494" s="89"/>
      <c r="C2494" s="86"/>
      <c r="D2494" s="71"/>
      <c r="H2494" s="90"/>
      <c r="J2494" s="53" t="str">
        <f>IFERROR(__xludf.DUMMYFUNCTION("IF(ISBLANK(B2494),"""",IF(ISDATE(B2494),""X"",""""))"),"")</f>
        <v/>
      </c>
      <c r="K2494" s="40" t="str">
        <f>IFERROR(__xludf.DUMMYFUNCTION("IF(ISBLANK(B2494),"""",IF(ISDATE(B2494),H2494,""""))"),"")</f>
        <v/>
      </c>
      <c r="L2494" s="40" t="str">
        <f>IFERROR(__xludf.DUMMYFUNCTION("IF(ISBLANK(B2494),"""",IF(ISDATE(B2494),TEXT(B2494,""M""),""""))"),"")</f>
        <v/>
      </c>
      <c r="M2494" s="29" t="str">
        <f>IFERROR(__xludf.DUMMYFUNCTION("IF(L2494="""","""",QUERY({'Dashboard-Dados'!$Y$2:$AA$13},""Select Col2 Where Col1=""&amp;L2494))"),"")</f>
        <v/>
      </c>
      <c r="N2494" s="29" t="str">
        <f>IFERROR(__xludf.DUMMYFUNCTION("IF(ISBLANK(B2494),"""",IF(ISDATE(B2494),TEXT(B2494,""yyyy""),""""))"),"")</f>
        <v/>
      </c>
    </row>
    <row r="2495">
      <c r="B2495" s="87"/>
      <c r="C2495" s="85"/>
      <c r="D2495" s="76"/>
      <c r="H2495" s="88"/>
      <c r="J2495" s="53" t="str">
        <f>IFERROR(__xludf.DUMMYFUNCTION("IF(ISBLANK(B2495),"""",IF(ISDATE(B2495),""X"",""""))"),"")</f>
        <v/>
      </c>
      <c r="K2495" s="40" t="str">
        <f>IFERROR(__xludf.DUMMYFUNCTION("IF(ISBLANK(B2495),"""",IF(ISDATE(B2495),H2495,""""))"),"")</f>
        <v/>
      </c>
      <c r="L2495" s="40" t="str">
        <f>IFERROR(__xludf.DUMMYFUNCTION("IF(ISBLANK(B2495),"""",IF(ISDATE(B2495),TEXT(B2495,""M""),""""))"),"")</f>
        <v/>
      </c>
      <c r="M2495" s="29" t="str">
        <f>IFERROR(__xludf.DUMMYFUNCTION("IF(L2495="""","""",QUERY({'Dashboard-Dados'!$Y$2:$AA$13},""Select Col2 Where Col1=""&amp;L2495))"),"")</f>
        <v/>
      </c>
      <c r="N2495" s="29" t="str">
        <f>IFERROR(__xludf.DUMMYFUNCTION("IF(ISBLANK(B2495),"""",IF(ISDATE(B2495),TEXT(B2495,""yyyy""),""""))"),"")</f>
        <v/>
      </c>
    </row>
    <row r="2496">
      <c r="B2496" s="89"/>
      <c r="C2496" s="86"/>
      <c r="D2496" s="71"/>
      <c r="H2496" s="90"/>
      <c r="J2496" s="53" t="str">
        <f>IFERROR(__xludf.DUMMYFUNCTION("IF(ISBLANK(B2496),"""",IF(ISDATE(B2496),""X"",""""))"),"")</f>
        <v/>
      </c>
      <c r="K2496" s="40" t="str">
        <f>IFERROR(__xludf.DUMMYFUNCTION("IF(ISBLANK(B2496),"""",IF(ISDATE(B2496),H2496,""""))"),"")</f>
        <v/>
      </c>
      <c r="L2496" s="40" t="str">
        <f>IFERROR(__xludf.DUMMYFUNCTION("IF(ISBLANK(B2496),"""",IF(ISDATE(B2496),TEXT(B2496,""M""),""""))"),"")</f>
        <v/>
      </c>
      <c r="M2496" s="29" t="str">
        <f>IFERROR(__xludf.DUMMYFUNCTION("IF(L2496="""","""",QUERY({'Dashboard-Dados'!$Y$2:$AA$13},""Select Col2 Where Col1=""&amp;L2496))"),"")</f>
        <v/>
      </c>
      <c r="N2496" s="29" t="str">
        <f>IFERROR(__xludf.DUMMYFUNCTION("IF(ISBLANK(B2496),"""",IF(ISDATE(B2496),TEXT(B2496,""yyyy""),""""))"),"")</f>
        <v/>
      </c>
    </row>
    <row r="2497">
      <c r="B2497" s="87"/>
      <c r="C2497" s="85"/>
      <c r="D2497" s="76"/>
      <c r="H2497" s="88"/>
      <c r="J2497" s="53" t="str">
        <f>IFERROR(__xludf.DUMMYFUNCTION("IF(ISBLANK(B2497),"""",IF(ISDATE(B2497),""X"",""""))"),"")</f>
        <v/>
      </c>
      <c r="K2497" s="40" t="str">
        <f>IFERROR(__xludf.DUMMYFUNCTION("IF(ISBLANK(B2497),"""",IF(ISDATE(B2497),H2497,""""))"),"")</f>
        <v/>
      </c>
      <c r="L2497" s="40" t="str">
        <f>IFERROR(__xludf.DUMMYFUNCTION("IF(ISBLANK(B2497),"""",IF(ISDATE(B2497),TEXT(B2497,""M""),""""))"),"")</f>
        <v/>
      </c>
      <c r="M2497" s="29" t="str">
        <f>IFERROR(__xludf.DUMMYFUNCTION("IF(L2497="""","""",QUERY({'Dashboard-Dados'!$Y$2:$AA$13},""Select Col2 Where Col1=""&amp;L2497))"),"")</f>
        <v/>
      </c>
      <c r="N2497" s="29" t="str">
        <f>IFERROR(__xludf.DUMMYFUNCTION("IF(ISBLANK(B2497),"""",IF(ISDATE(B2497),TEXT(B2497,""yyyy""),""""))"),"")</f>
        <v/>
      </c>
    </row>
    <row r="2498">
      <c r="B2498" s="89"/>
      <c r="C2498" s="86"/>
      <c r="D2498" s="71"/>
      <c r="H2498" s="90"/>
      <c r="J2498" s="53" t="str">
        <f>IFERROR(__xludf.DUMMYFUNCTION("IF(ISBLANK(B2498),"""",IF(ISDATE(B2498),""X"",""""))"),"")</f>
        <v/>
      </c>
      <c r="K2498" s="40" t="str">
        <f>IFERROR(__xludf.DUMMYFUNCTION("IF(ISBLANK(B2498),"""",IF(ISDATE(B2498),H2498,""""))"),"")</f>
        <v/>
      </c>
      <c r="L2498" s="40" t="str">
        <f>IFERROR(__xludf.DUMMYFUNCTION("IF(ISBLANK(B2498),"""",IF(ISDATE(B2498),TEXT(B2498,""M""),""""))"),"")</f>
        <v/>
      </c>
      <c r="M2498" s="29" t="str">
        <f>IFERROR(__xludf.DUMMYFUNCTION("IF(L2498="""","""",QUERY({'Dashboard-Dados'!$Y$2:$AA$13},""Select Col2 Where Col1=""&amp;L2498))"),"")</f>
        <v/>
      </c>
      <c r="N2498" s="29" t="str">
        <f>IFERROR(__xludf.DUMMYFUNCTION("IF(ISBLANK(B2498),"""",IF(ISDATE(B2498),TEXT(B2498,""yyyy""),""""))"),"")</f>
        <v/>
      </c>
    </row>
    <row r="2499">
      <c r="B2499" s="87"/>
      <c r="C2499" s="85"/>
      <c r="D2499" s="76"/>
      <c r="H2499" s="88"/>
      <c r="J2499" s="53" t="str">
        <f>IFERROR(__xludf.DUMMYFUNCTION("IF(ISBLANK(B2499),"""",IF(ISDATE(B2499),""X"",""""))"),"")</f>
        <v/>
      </c>
      <c r="K2499" s="40" t="str">
        <f>IFERROR(__xludf.DUMMYFUNCTION("IF(ISBLANK(B2499),"""",IF(ISDATE(B2499),H2499,""""))"),"")</f>
        <v/>
      </c>
      <c r="L2499" s="40" t="str">
        <f>IFERROR(__xludf.DUMMYFUNCTION("IF(ISBLANK(B2499),"""",IF(ISDATE(B2499),TEXT(B2499,""M""),""""))"),"")</f>
        <v/>
      </c>
      <c r="M2499" s="29" t="str">
        <f>IFERROR(__xludf.DUMMYFUNCTION("IF(L2499="""","""",QUERY({'Dashboard-Dados'!$Y$2:$AA$13},""Select Col2 Where Col1=""&amp;L2499))"),"")</f>
        <v/>
      </c>
      <c r="N2499" s="29" t="str">
        <f>IFERROR(__xludf.DUMMYFUNCTION("IF(ISBLANK(B2499),"""",IF(ISDATE(B2499),TEXT(B2499,""yyyy""),""""))"),"")</f>
        <v/>
      </c>
    </row>
    <row r="2500">
      <c r="B2500" s="89"/>
      <c r="C2500" s="86"/>
      <c r="D2500" s="71"/>
      <c r="H2500" s="90"/>
      <c r="J2500" s="53" t="str">
        <f>IFERROR(__xludf.DUMMYFUNCTION("IF(ISBLANK(B2500),"""",IF(ISDATE(B2500),""X"",""""))"),"")</f>
        <v/>
      </c>
      <c r="K2500" s="40" t="str">
        <f>IFERROR(__xludf.DUMMYFUNCTION("IF(ISBLANK(B2500),"""",IF(ISDATE(B2500),H2500,""""))"),"")</f>
        <v/>
      </c>
      <c r="L2500" s="40" t="str">
        <f>IFERROR(__xludf.DUMMYFUNCTION("IF(ISBLANK(B2500),"""",IF(ISDATE(B2500),TEXT(B2500,""M""),""""))"),"")</f>
        <v/>
      </c>
      <c r="M2500" s="29" t="str">
        <f>IFERROR(__xludf.DUMMYFUNCTION("IF(L2500="""","""",QUERY({'Dashboard-Dados'!$Y$2:$AA$13},""Select Col2 Where Col1=""&amp;L2500))"),"")</f>
        <v/>
      </c>
      <c r="N2500" s="29" t="str">
        <f>IFERROR(__xludf.DUMMYFUNCTION("IF(ISBLANK(B2500),"""",IF(ISDATE(B2500),TEXT(B2500,""yyyy""),""""))"),"")</f>
        <v/>
      </c>
    </row>
    <row r="2501">
      <c r="B2501" s="87"/>
      <c r="C2501" s="85"/>
      <c r="D2501" s="76"/>
      <c r="H2501" s="88"/>
      <c r="J2501" s="53" t="str">
        <f>IFERROR(__xludf.DUMMYFUNCTION("IF(ISBLANK(B2501),"""",IF(ISDATE(B2501),""X"",""""))"),"")</f>
        <v/>
      </c>
      <c r="K2501" s="40" t="str">
        <f>IFERROR(__xludf.DUMMYFUNCTION("IF(ISBLANK(B2501),"""",IF(ISDATE(B2501),H2501,""""))"),"")</f>
        <v/>
      </c>
      <c r="L2501" s="40" t="str">
        <f>IFERROR(__xludf.DUMMYFUNCTION("IF(ISBLANK(B2501),"""",IF(ISDATE(B2501),TEXT(B2501,""M""),""""))"),"")</f>
        <v/>
      </c>
      <c r="M2501" s="29" t="str">
        <f>IFERROR(__xludf.DUMMYFUNCTION("IF(L2501="""","""",QUERY({'Dashboard-Dados'!$Y$2:$AA$13},""Select Col2 Where Col1=""&amp;L2501))"),"")</f>
        <v/>
      </c>
      <c r="N2501" s="29" t="str">
        <f>IFERROR(__xludf.DUMMYFUNCTION("IF(ISBLANK(B2501),"""",IF(ISDATE(B2501),TEXT(B2501,""yyyy""),""""))"),"")</f>
        <v/>
      </c>
    </row>
    <row r="2502">
      <c r="B2502" s="89"/>
      <c r="C2502" s="86"/>
      <c r="D2502" s="71"/>
      <c r="H2502" s="90"/>
      <c r="J2502" s="53" t="str">
        <f>IFERROR(__xludf.DUMMYFUNCTION("IF(ISBLANK(B2502),"""",IF(ISDATE(B2502),""X"",""""))"),"")</f>
        <v/>
      </c>
      <c r="K2502" s="40" t="str">
        <f>IFERROR(__xludf.DUMMYFUNCTION("IF(ISBLANK(B2502),"""",IF(ISDATE(B2502),H2502,""""))"),"")</f>
        <v/>
      </c>
      <c r="L2502" s="40" t="str">
        <f>IFERROR(__xludf.DUMMYFUNCTION("IF(ISBLANK(B2502),"""",IF(ISDATE(B2502),TEXT(B2502,""M""),""""))"),"")</f>
        <v/>
      </c>
      <c r="M2502" s="29" t="str">
        <f>IFERROR(__xludf.DUMMYFUNCTION("IF(L2502="""","""",QUERY({'Dashboard-Dados'!$Y$2:$AA$13},""Select Col2 Where Col1=""&amp;L2502))"),"")</f>
        <v/>
      </c>
      <c r="N2502" s="29" t="str">
        <f>IFERROR(__xludf.DUMMYFUNCTION("IF(ISBLANK(B2502),"""",IF(ISDATE(B2502),TEXT(B2502,""yyyy""),""""))"),"")</f>
        <v/>
      </c>
    </row>
    <row r="2503">
      <c r="B2503" s="87"/>
      <c r="C2503" s="85"/>
      <c r="D2503" s="76"/>
      <c r="H2503" s="88"/>
      <c r="J2503" s="53" t="str">
        <f>IFERROR(__xludf.DUMMYFUNCTION("IF(ISBLANK(B2503),"""",IF(ISDATE(B2503),""X"",""""))"),"")</f>
        <v/>
      </c>
      <c r="K2503" s="40" t="str">
        <f>IFERROR(__xludf.DUMMYFUNCTION("IF(ISBLANK(B2503),"""",IF(ISDATE(B2503),H2503,""""))"),"")</f>
        <v/>
      </c>
      <c r="L2503" s="40" t="str">
        <f>IFERROR(__xludf.DUMMYFUNCTION("IF(ISBLANK(B2503),"""",IF(ISDATE(B2503),TEXT(B2503,""M""),""""))"),"")</f>
        <v/>
      </c>
      <c r="M2503" s="29" t="str">
        <f>IFERROR(__xludf.DUMMYFUNCTION("IF(L2503="""","""",QUERY({'Dashboard-Dados'!$Y$2:$AA$13},""Select Col2 Where Col1=""&amp;L2503))"),"")</f>
        <v/>
      </c>
      <c r="N2503" s="29" t="str">
        <f>IFERROR(__xludf.DUMMYFUNCTION("IF(ISBLANK(B2503),"""",IF(ISDATE(B2503),TEXT(B2503,""yyyy""),""""))"),"")</f>
        <v/>
      </c>
    </row>
    <row r="2504">
      <c r="B2504" s="89"/>
      <c r="C2504" s="86"/>
      <c r="D2504" s="71"/>
      <c r="H2504" s="90"/>
      <c r="J2504" s="53" t="str">
        <f>IFERROR(__xludf.DUMMYFUNCTION("IF(ISBLANK(B2504),"""",IF(ISDATE(B2504),""X"",""""))"),"")</f>
        <v/>
      </c>
      <c r="K2504" s="40" t="str">
        <f>IFERROR(__xludf.DUMMYFUNCTION("IF(ISBLANK(B2504),"""",IF(ISDATE(B2504),H2504,""""))"),"")</f>
        <v/>
      </c>
      <c r="L2504" s="40" t="str">
        <f>IFERROR(__xludf.DUMMYFUNCTION("IF(ISBLANK(B2504),"""",IF(ISDATE(B2504),TEXT(B2504,""M""),""""))"),"")</f>
        <v/>
      </c>
      <c r="M2504" s="29" t="str">
        <f>IFERROR(__xludf.DUMMYFUNCTION("IF(L2504="""","""",QUERY({'Dashboard-Dados'!$Y$2:$AA$13},""Select Col2 Where Col1=""&amp;L2504))"),"")</f>
        <v/>
      </c>
      <c r="N2504" s="29" t="str">
        <f>IFERROR(__xludf.DUMMYFUNCTION("IF(ISBLANK(B2504),"""",IF(ISDATE(B2504),TEXT(B2504,""yyyy""),""""))"),"")</f>
        <v/>
      </c>
    </row>
    <row r="2505">
      <c r="B2505" s="87"/>
      <c r="C2505" s="85"/>
      <c r="D2505" s="76"/>
      <c r="H2505" s="88"/>
      <c r="J2505" s="53" t="str">
        <f>IFERROR(__xludf.DUMMYFUNCTION("IF(ISBLANK(B2505),"""",IF(ISDATE(B2505),""X"",""""))"),"")</f>
        <v/>
      </c>
      <c r="K2505" s="40" t="str">
        <f>IFERROR(__xludf.DUMMYFUNCTION("IF(ISBLANK(B2505),"""",IF(ISDATE(B2505),H2505,""""))"),"")</f>
        <v/>
      </c>
      <c r="L2505" s="40" t="str">
        <f>IFERROR(__xludf.DUMMYFUNCTION("IF(ISBLANK(B2505),"""",IF(ISDATE(B2505),TEXT(B2505,""M""),""""))"),"")</f>
        <v/>
      </c>
      <c r="M2505" s="29" t="str">
        <f>IFERROR(__xludf.DUMMYFUNCTION("IF(L2505="""","""",QUERY({'Dashboard-Dados'!$Y$2:$AA$13},""Select Col2 Where Col1=""&amp;L2505))"),"")</f>
        <v/>
      </c>
      <c r="N2505" s="29" t="str">
        <f>IFERROR(__xludf.DUMMYFUNCTION("IF(ISBLANK(B2505),"""",IF(ISDATE(B2505),TEXT(B2505,""yyyy""),""""))"),"")</f>
        <v/>
      </c>
    </row>
    <row r="2506">
      <c r="B2506" s="89"/>
      <c r="C2506" s="86"/>
      <c r="D2506" s="71"/>
      <c r="H2506" s="90"/>
      <c r="J2506" s="53" t="str">
        <f>IFERROR(__xludf.DUMMYFUNCTION("IF(ISBLANK(B2506),"""",IF(ISDATE(B2506),""X"",""""))"),"")</f>
        <v/>
      </c>
      <c r="K2506" s="40" t="str">
        <f>IFERROR(__xludf.DUMMYFUNCTION("IF(ISBLANK(B2506),"""",IF(ISDATE(B2506),H2506,""""))"),"")</f>
        <v/>
      </c>
      <c r="L2506" s="40" t="str">
        <f>IFERROR(__xludf.DUMMYFUNCTION("IF(ISBLANK(B2506),"""",IF(ISDATE(B2506),TEXT(B2506,""M""),""""))"),"")</f>
        <v/>
      </c>
      <c r="M2506" s="29" t="str">
        <f>IFERROR(__xludf.DUMMYFUNCTION("IF(L2506="""","""",QUERY({'Dashboard-Dados'!$Y$2:$AA$13},""Select Col2 Where Col1=""&amp;L2506))"),"")</f>
        <v/>
      </c>
      <c r="N2506" s="29" t="str">
        <f>IFERROR(__xludf.DUMMYFUNCTION("IF(ISBLANK(B2506),"""",IF(ISDATE(B2506),TEXT(B2506,""yyyy""),""""))"),"")</f>
        <v/>
      </c>
    </row>
    <row r="2507">
      <c r="B2507" s="87"/>
      <c r="C2507" s="85"/>
      <c r="D2507" s="76"/>
      <c r="H2507" s="88"/>
      <c r="J2507" s="53" t="str">
        <f>IFERROR(__xludf.DUMMYFUNCTION("IF(ISBLANK(B2507),"""",IF(ISDATE(B2507),""X"",""""))"),"")</f>
        <v/>
      </c>
      <c r="K2507" s="40" t="str">
        <f>IFERROR(__xludf.DUMMYFUNCTION("IF(ISBLANK(B2507),"""",IF(ISDATE(B2507),H2507,""""))"),"")</f>
        <v/>
      </c>
      <c r="L2507" s="40" t="str">
        <f>IFERROR(__xludf.DUMMYFUNCTION("IF(ISBLANK(B2507),"""",IF(ISDATE(B2507),TEXT(B2507,""M""),""""))"),"")</f>
        <v/>
      </c>
      <c r="M2507" s="29" t="str">
        <f>IFERROR(__xludf.DUMMYFUNCTION("IF(L2507="""","""",QUERY({'Dashboard-Dados'!$Y$2:$AA$13},""Select Col2 Where Col1=""&amp;L2507))"),"")</f>
        <v/>
      </c>
      <c r="N2507" s="29" t="str">
        <f>IFERROR(__xludf.DUMMYFUNCTION("IF(ISBLANK(B2507),"""",IF(ISDATE(B2507),TEXT(B2507,""yyyy""),""""))"),"")</f>
        <v/>
      </c>
    </row>
    <row r="2508">
      <c r="B2508" s="89"/>
      <c r="C2508" s="86"/>
      <c r="D2508" s="71"/>
      <c r="H2508" s="90"/>
      <c r="J2508" s="53" t="str">
        <f>IFERROR(__xludf.DUMMYFUNCTION("IF(ISBLANK(B2508),"""",IF(ISDATE(B2508),""X"",""""))"),"")</f>
        <v/>
      </c>
      <c r="K2508" s="40" t="str">
        <f>IFERROR(__xludf.DUMMYFUNCTION("IF(ISBLANK(B2508),"""",IF(ISDATE(B2508),H2508,""""))"),"")</f>
        <v/>
      </c>
      <c r="L2508" s="40" t="str">
        <f>IFERROR(__xludf.DUMMYFUNCTION("IF(ISBLANK(B2508),"""",IF(ISDATE(B2508),TEXT(B2508,""M""),""""))"),"")</f>
        <v/>
      </c>
      <c r="M2508" s="29" t="str">
        <f>IFERROR(__xludf.DUMMYFUNCTION("IF(L2508="""","""",QUERY({'Dashboard-Dados'!$Y$2:$AA$13},""Select Col2 Where Col1=""&amp;L2508))"),"")</f>
        <v/>
      </c>
      <c r="N2508" s="29" t="str">
        <f>IFERROR(__xludf.DUMMYFUNCTION("IF(ISBLANK(B2508),"""",IF(ISDATE(B2508),TEXT(B2508,""yyyy""),""""))"),"")</f>
        <v/>
      </c>
    </row>
    <row r="2509">
      <c r="B2509" s="87"/>
      <c r="C2509" s="85"/>
      <c r="D2509" s="76"/>
      <c r="H2509" s="88"/>
      <c r="J2509" s="53" t="str">
        <f>IFERROR(__xludf.DUMMYFUNCTION("IF(ISBLANK(B2509),"""",IF(ISDATE(B2509),""X"",""""))"),"")</f>
        <v/>
      </c>
      <c r="K2509" s="40" t="str">
        <f>IFERROR(__xludf.DUMMYFUNCTION("IF(ISBLANK(B2509),"""",IF(ISDATE(B2509),H2509,""""))"),"")</f>
        <v/>
      </c>
      <c r="L2509" s="40" t="str">
        <f>IFERROR(__xludf.DUMMYFUNCTION("IF(ISBLANK(B2509),"""",IF(ISDATE(B2509),TEXT(B2509,""M""),""""))"),"")</f>
        <v/>
      </c>
      <c r="M2509" s="29" t="str">
        <f>IFERROR(__xludf.DUMMYFUNCTION("IF(L2509="""","""",QUERY({'Dashboard-Dados'!$Y$2:$AA$13},""Select Col2 Where Col1=""&amp;L2509))"),"")</f>
        <v/>
      </c>
      <c r="N2509" s="29" t="str">
        <f>IFERROR(__xludf.DUMMYFUNCTION("IF(ISBLANK(B2509),"""",IF(ISDATE(B2509),TEXT(B2509,""yyyy""),""""))"),"")</f>
        <v/>
      </c>
    </row>
    <row r="2510">
      <c r="B2510" s="89"/>
      <c r="C2510" s="86"/>
      <c r="D2510" s="71"/>
      <c r="H2510" s="90"/>
      <c r="J2510" s="53" t="str">
        <f>IFERROR(__xludf.DUMMYFUNCTION("IF(ISBLANK(B2510),"""",IF(ISDATE(B2510),""X"",""""))"),"")</f>
        <v/>
      </c>
      <c r="K2510" s="40" t="str">
        <f>IFERROR(__xludf.DUMMYFUNCTION("IF(ISBLANK(B2510),"""",IF(ISDATE(B2510),H2510,""""))"),"")</f>
        <v/>
      </c>
      <c r="L2510" s="40" t="str">
        <f>IFERROR(__xludf.DUMMYFUNCTION("IF(ISBLANK(B2510),"""",IF(ISDATE(B2510),TEXT(B2510,""M""),""""))"),"")</f>
        <v/>
      </c>
      <c r="M2510" s="29" t="str">
        <f>IFERROR(__xludf.DUMMYFUNCTION("IF(L2510="""","""",QUERY({'Dashboard-Dados'!$Y$2:$AA$13},""Select Col2 Where Col1=""&amp;L2510))"),"")</f>
        <v/>
      </c>
      <c r="N2510" s="29" t="str">
        <f>IFERROR(__xludf.DUMMYFUNCTION("IF(ISBLANK(B2510),"""",IF(ISDATE(B2510),TEXT(B2510,""yyyy""),""""))"),"")</f>
        <v/>
      </c>
    </row>
    <row r="2511">
      <c r="B2511" s="87"/>
      <c r="C2511" s="85"/>
      <c r="D2511" s="76"/>
      <c r="H2511" s="88"/>
      <c r="J2511" s="53" t="str">
        <f>IFERROR(__xludf.DUMMYFUNCTION("IF(ISBLANK(B2511),"""",IF(ISDATE(B2511),""X"",""""))"),"")</f>
        <v/>
      </c>
      <c r="K2511" s="40" t="str">
        <f>IFERROR(__xludf.DUMMYFUNCTION("IF(ISBLANK(B2511),"""",IF(ISDATE(B2511),H2511,""""))"),"")</f>
        <v/>
      </c>
      <c r="L2511" s="40" t="str">
        <f>IFERROR(__xludf.DUMMYFUNCTION("IF(ISBLANK(B2511),"""",IF(ISDATE(B2511),TEXT(B2511,""M""),""""))"),"")</f>
        <v/>
      </c>
      <c r="M2511" s="29" t="str">
        <f>IFERROR(__xludf.DUMMYFUNCTION("IF(L2511="""","""",QUERY({'Dashboard-Dados'!$Y$2:$AA$13},""Select Col2 Where Col1=""&amp;L2511))"),"")</f>
        <v/>
      </c>
      <c r="N2511" s="29" t="str">
        <f>IFERROR(__xludf.DUMMYFUNCTION("IF(ISBLANK(B2511),"""",IF(ISDATE(B2511),TEXT(B2511,""yyyy""),""""))"),"")</f>
        <v/>
      </c>
    </row>
    <row r="2512">
      <c r="B2512" s="89"/>
      <c r="C2512" s="86"/>
      <c r="D2512" s="71"/>
      <c r="H2512" s="90"/>
      <c r="J2512" s="53" t="str">
        <f>IFERROR(__xludf.DUMMYFUNCTION("IF(ISBLANK(B2512),"""",IF(ISDATE(B2512),""X"",""""))"),"")</f>
        <v/>
      </c>
      <c r="K2512" s="40" t="str">
        <f>IFERROR(__xludf.DUMMYFUNCTION("IF(ISBLANK(B2512),"""",IF(ISDATE(B2512),H2512,""""))"),"")</f>
        <v/>
      </c>
      <c r="L2512" s="40" t="str">
        <f>IFERROR(__xludf.DUMMYFUNCTION("IF(ISBLANK(B2512),"""",IF(ISDATE(B2512),TEXT(B2512,""M""),""""))"),"")</f>
        <v/>
      </c>
      <c r="M2512" s="29" t="str">
        <f>IFERROR(__xludf.DUMMYFUNCTION("IF(L2512="""","""",QUERY({'Dashboard-Dados'!$Y$2:$AA$13},""Select Col2 Where Col1=""&amp;L2512))"),"")</f>
        <v/>
      </c>
      <c r="N2512" s="29" t="str">
        <f>IFERROR(__xludf.DUMMYFUNCTION("IF(ISBLANK(B2512),"""",IF(ISDATE(B2512),TEXT(B2512,""yyyy""),""""))"),"")</f>
        <v/>
      </c>
    </row>
    <row r="2513">
      <c r="B2513" s="87"/>
      <c r="C2513" s="85"/>
      <c r="D2513" s="76"/>
      <c r="H2513" s="88"/>
      <c r="J2513" s="53" t="str">
        <f>IFERROR(__xludf.DUMMYFUNCTION("IF(ISBLANK(B2513),"""",IF(ISDATE(B2513),""X"",""""))"),"")</f>
        <v/>
      </c>
      <c r="K2513" s="40" t="str">
        <f>IFERROR(__xludf.DUMMYFUNCTION("IF(ISBLANK(B2513),"""",IF(ISDATE(B2513),H2513,""""))"),"")</f>
        <v/>
      </c>
      <c r="L2513" s="40" t="str">
        <f>IFERROR(__xludf.DUMMYFUNCTION("IF(ISBLANK(B2513),"""",IF(ISDATE(B2513),TEXT(B2513,""M""),""""))"),"")</f>
        <v/>
      </c>
      <c r="M2513" s="29" t="str">
        <f>IFERROR(__xludf.DUMMYFUNCTION("IF(L2513="""","""",QUERY({'Dashboard-Dados'!$Y$2:$AA$13},""Select Col2 Where Col1=""&amp;L2513))"),"")</f>
        <v/>
      </c>
      <c r="N2513" s="29" t="str">
        <f>IFERROR(__xludf.DUMMYFUNCTION("IF(ISBLANK(B2513),"""",IF(ISDATE(B2513),TEXT(B2513,""yyyy""),""""))"),"")</f>
        <v/>
      </c>
    </row>
    <row r="2514">
      <c r="B2514" s="89"/>
      <c r="C2514" s="86"/>
      <c r="D2514" s="71"/>
      <c r="H2514" s="90"/>
      <c r="J2514" s="53" t="str">
        <f>IFERROR(__xludf.DUMMYFUNCTION("IF(ISBLANK(B2514),"""",IF(ISDATE(B2514),""X"",""""))"),"")</f>
        <v/>
      </c>
      <c r="K2514" s="40" t="str">
        <f>IFERROR(__xludf.DUMMYFUNCTION("IF(ISBLANK(B2514),"""",IF(ISDATE(B2514),H2514,""""))"),"")</f>
        <v/>
      </c>
      <c r="L2514" s="40" t="str">
        <f>IFERROR(__xludf.DUMMYFUNCTION("IF(ISBLANK(B2514),"""",IF(ISDATE(B2514),TEXT(B2514,""M""),""""))"),"")</f>
        <v/>
      </c>
      <c r="M2514" s="29" t="str">
        <f>IFERROR(__xludf.DUMMYFUNCTION("IF(L2514="""","""",QUERY({'Dashboard-Dados'!$Y$2:$AA$13},""Select Col2 Where Col1=""&amp;L2514))"),"")</f>
        <v/>
      </c>
      <c r="N2514" s="29" t="str">
        <f>IFERROR(__xludf.DUMMYFUNCTION("IF(ISBLANK(B2514),"""",IF(ISDATE(B2514),TEXT(B2514,""yyyy""),""""))"),"")</f>
        <v/>
      </c>
    </row>
    <row r="2515">
      <c r="B2515" s="87"/>
      <c r="C2515" s="85"/>
      <c r="D2515" s="76"/>
      <c r="H2515" s="88"/>
      <c r="J2515" s="53" t="str">
        <f>IFERROR(__xludf.DUMMYFUNCTION("IF(ISBLANK(B2515),"""",IF(ISDATE(B2515),""X"",""""))"),"")</f>
        <v/>
      </c>
      <c r="K2515" s="40" t="str">
        <f>IFERROR(__xludf.DUMMYFUNCTION("IF(ISBLANK(B2515),"""",IF(ISDATE(B2515),H2515,""""))"),"")</f>
        <v/>
      </c>
      <c r="L2515" s="40" t="str">
        <f>IFERROR(__xludf.DUMMYFUNCTION("IF(ISBLANK(B2515),"""",IF(ISDATE(B2515),TEXT(B2515,""M""),""""))"),"")</f>
        <v/>
      </c>
      <c r="M2515" s="29" t="str">
        <f>IFERROR(__xludf.DUMMYFUNCTION("IF(L2515="""","""",QUERY({'Dashboard-Dados'!$Y$2:$AA$13},""Select Col2 Where Col1=""&amp;L2515))"),"")</f>
        <v/>
      </c>
      <c r="N2515" s="29" t="str">
        <f>IFERROR(__xludf.DUMMYFUNCTION("IF(ISBLANK(B2515),"""",IF(ISDATE(B2515),TEXT(B2515,""yyyy""),""""))"),"")</f>
        <v/>
      </c>
    </row>
    <row r="2516">
      <c r="B2516" s="89"/>
      <c r="C2516" s="86"/>
      <c r="D2516" s="71"/>
      <c r="H2516" s="90"/>
      <c r="J2516" s="53" t="str">
        <f>IFERROR(__xludf.DUMMYFUNCTION("IF(ISBLANK(B2516),"""",IF(ISDATE(B2516),""X"",""""))"),"")</f>
        <v/>
      </c>
      <c r="K2516" s="40" t="str">
        <f>IFERROR(__xludf.DUMMYFUNCTION("IF(ISBLANK(B2516),"""",IF(ISDATE(B2516),H2516,""""))"),"")</f>
        <v/>
      </c>
      <c r="L2516" s="40" t="str">
        <f>IFERROR(__xludf.DUMMYFUNCTION("IF(ISBLANK(B2516),"""",IF(ISDATE(B2516),TEXT(B2516,""M""),""""))"),"")</f>
        <v/>
      </c>
      <c r="M2516" s="29" t="str">
        <f>IFERROR(__xludf.DUMMYFUNCTION("IF(L2516="""","""",QUERY({'Dashboard-Dados'!$Y$2:$AA$13},""Select Col2 Where Col1=""&amp;L2516))"),"")</f>
        <v/>
      </c>
      <c r="N2516" s="29" t="str">
        <f>IFERROR(__xludf.DUMMYFUNCTION("IF(ISBLANK(B2516),"""",IF(ISDATE(B2516),TEXT(B2516,""yyyy""),""""))"),"")</f>
        <v/>
      </c>
    </row>
    <row r="2517">
      <c r="B2517" s="87"/>
      <c r="C2517" s="85"/>
      <c r="D2517" s="76"/>
      <c r="H2517" s="88"/>
      <c r="J2517" s="53" t="str">
        <f>IFERROR(__xludf.DUMMYFUNCTION("IF(ISBLANK(B2517),"""",IF(ISDATE(B2517),""X"",""""))"),"")</f>
        <v/>
      </c>
      <c r="K2517" s="40" t="str">
        <f>IFERROR(__xludf.DUMMYFUNCTION("IF(ISBLANK(B2517),"""",IF(ISDATE(B2517),H2517,""""))"),"")</f>
        <v/>
      </c>
      <c r="L2517" s="40" t="str">
        <f>IFERROR(__xludf.DUMMYFUNCTION("IF(ISBLANK(B2517),"""",IF(ISDATE(B2517),TEXT(B2517,""M""),""""))"),"")</f>
        <v/>
      </c>
      <c r="M2517" s="29" t="str">
        <f>IFERROR(__xludf.DUMMYFUNCTION("IF(L2517="""","""",QUERY({'Dashboard-Dados'!$Y$2:$AA$13},""Select Col2 Where Col1=""&amp;L2517))"),"")</f>
        <v/>
      </c>
      <c r="N2517" s="29" t="str">
        <f>IFERROR(__xludf.DUMMYFUNCTION("IF(ISBLANK(B2517),"""",IF(ISDATE(B2517),TEXT(B2517,""yyyy""),""""))"),"")</f>
        <v/>
      </c>
    </row>
    <row r="2518">
      <c r="B2518" s="89"/>
      <c r="C2518" s="86"/>
      <c r="D2518" s="71"/>
      <c r="H2518" s="90"/>
      <c r="J2518" s="53" t="str">
        <f>IFERROR(__xludf.DUMMYFUNCTION("IF(ISBLANK(B2518),"""",IF(ISDATE(B2518),""X"",""""))"),"")</f>
        <v/>
      </c>
      <c r="K2518" s="40" t="str">
        <f>IFERROR(__xludf.DUMMYFUNCTION("IF(ISBLANK(B2518),"""",IF(ISDATE(B2518),H2518,""""))"),"")</f>
        <v/>
      </c>
      <c r="L2518" s="40" t="str">
        <f>IFERROR(__xludf.DUMMYFUNCTION("IF(ISBLANK(B2518),"""",IF(ISDATE(B2518),TEXT(B2518,""M""),""""))"),"")</f>
        <v/>
      </c>
      <c r="M2518" s="29" t="str">
        <f>IFERROR(__xludf.DUMMYFUNCTION("IF(L2518="""","""",QUERY({'Dashboard-Dados'!$Y$2:$AA$13},""Select Col2 Where Col1=""&amp;L2518))"),"")</f>
        <v/>
      </c>
      <c r="N2518" s="29" t="str">
        <f>IFERROR(__xludf.DUMMYFUNCTION("IF(ISBLANK(B2518),"""",IF(ISDATE(B2518),TEXT(B2518,""yyyy""),""""))"),"")</f>
        <v/>
      </c>
    </row>
    <row r="2519">
      <c r="B2519" s="87"/>
      <c r="C2519" s="85"/>
      <c r="D2519" s="76"/>
      <c r="H2519" s="88"/>
      <c r="J2519" s="53" t="str">
        <f>IFERROR(__xludf.DUMMYFUNCTION("IF(ISBLANK(B2519),"""",IF(ISDATE(B2519),""X"",""""))"),"")</f>
        <v/>
      </c>
      <c r="K2519" s="40" t="str">
        <f>IFERROR(__xludf.DUMMYFUNCTION("IF(ISBLANK(B2519),"""",IF(ISDATE(B2519),H2519,""""))"),"")</f>
        <v/>
      </c>
      <c r="L2519" s="40" t="str">
        <f>IFERROR(__xludf.DUMMYFUNCTION("IF(ISBLANK(B2519),"""",IF(ISDATE(B2519),TEXT(B2519,""M""),""""))"),"")</f>
        <v/>
      </c>
      <c r="M2519" s="29" t="str">
        <f>IFERROR(__xludf.DUMMYFUNCTION("IF(L2519="""","""",QUERY({'Dashboard-Dados'!$Y$2:$AA$13},""Select Col2 Where Col1=""&amp;L2519))"),"")</f>
        <v/>
      </c>
      <c r="N2519" s="29" t="str">
        <f>IFERROR(__xludf.DUMMYFUNCTION("IF(ISBLANK(B2519),"""",IF(ISDATE(B2519),TEXT(B2519,""yyyy""),""""))"),"")</f>
        <v/>
      </c>
    </row>
    <row r="2520">
      <c r="B2520" s="89"/>
      <c r="C2520" s="86"/>
      <c r="D2520" s="71"/>
      <c r="H2520" s="90"/>
      <c r="J2520" s="53" t="str">
        <f>IFERROR(__xludf.DUMMYFUNCTION("IF(ISBLANK(B2520),"""",IF(ISDATE(B2520),""X"",""""))"),"")</f>
        <v/>
      </c>
      <c r="K2520" s="40" t="str">
        <f>IFERROR(__xludf.DUMMYFUNCTION("IF(ISBLANK(B2520),"""",IF(ISDATE(B2520),H2520,""""))"),"")</f>
        <v/>
      </c>
      <c r="L2520" s="40" t="str">
        <f>IFERROR(__xludf.DUMMYFUNCTION("IF(ISBLANK(B2520),"""",IF(ISDATE(B2520),TEXT(B2520,""M""),""""))"),"")</f>
        <v/>
      </c>
      <c r="M2520" s="29" t="str">
        <f>IFERROR(__xludf.DUMMYFUNCTION("IF(L2520="""","""",QUERY({'Dashboard-Dados'!$Y$2:$AA$13},""Select Col2 Where Col1=""&amp;L2520))"),"")</f>
        <v/>
      </c>
      <c r="N2520" s="29" t="str">
        <f>IFERROR(__xludf.DUMMYFUNCTION("IF(ISBLANK(B2520),"""",IF(ISDATE(B2520),TEXT(B2520,""yyyy""),""""))"),"")</f>
        <v/>
      </c>
    </row>
    <row r="2521">
      <c r="B2521" s="87"/>
      <c r="C2521" s="85"/>
      <c r="D2521" s="76"/>
      <c r="H2521" s="88"/>
      <c r="J2521" s="53" t="str">
        <f>IFERROR(__xludf.DUMMYFUNCTION("IF(ISBLANK(B2521),"""",IF(ISDATE(B2521),""X"",""""))"),"")</f>
        <v/>
      </c>
      <c r="K2521" s="40" t="str">
        <f>IFERROR(__xludf.DUMMYFUNCTION("IF(ISBLANK(B2521),"""",IF(ISDATE(B2521),H2521,""""))"),"")</f>
        <v/>
      </c>
      <c r="L2521" s="40" t="str">
        <f>IFERROR(__xludf.DUMMYFUNCTION("IF(ISBLANK(B2521),"""",IF(ISDATE(B2521),TEXT(B2521,""M""),""""))"),"")</f>
        <v/>
      </c>
      <c r="M2521" s="29" t="str">
        <f>IFERROR(__xludf.DUMMYFUNCTION("IF(L2521="""","""",QUERY({'Dashboard-Dados'!$Y$2:$AA$13},""Select Col2 Where Col1=""&amp;L2521))"),"")</f>
        <v/>
      </c>
      <c r="N2521" s="29" t="str">
        <f>IFERROR(__xludf.DUMMYFUNCTION("IF(ISBLANK(B2521),"""",IF(ISDATE(B2521),TEXT(B2521,""yyyy""),""""))"),"")</f>
        <v/>
      </c>
    </row>
    <row r="2522">
      <c r="B2522" s="89"/>
      <c r="C2522" s="86"/>
      <c r="D2522" s="71"/>
      <c r="H2522" s="90"/>
      <c r="J2522" s="53" t="str">
        <f>IFERROR(__xludf.DUMMYFUNCTION("IF(ISBLANK(B2522),"""",IF(ISDATE(B2522),""X"",""""))"),"")</f>
        <v/>
      </c>
      <c r="K2522" s="40" t="str">
        <f>IFERROR(__xludf.DUMMYFUNCTION("IF(ISBLANK(B2522),"""",IF(ISDATE(B2522),H2522,""""))"),"")</f>
        <v/>
      </c>
      <c r="L2522" s="40" t="str">
        <f>IFERROR(__xludf.DUMMYFUNCTION("IF(ISBLANK(B2522),"""",IF(ISDATE(B2522),TEXT(B2522,""M""),""""))"),"")</f>
        <v/>
      </c>
      <c r="M2522" s="29" t="str">
        <f>IFERROR(__xludf.DUMMYFUNCTION("IF(L2522="""","""",QUERY({'Dashboard-Dados'!$Y$2:$AA$13},""Select Col2 Where Col1=""&amp;L2522))"),"")</f>
        <v/>
      </c>
      <c r="N2522" s="29" t="str">
        <f>IFERROR(__xludf.DUMMYFUNCTION("IF(ISBLANK(B2522),"""",IF(ISDATE(B2522),TEXT(B2522,""yyyy""),""""))"),"")</f>
        <v/>
      </c>
    </row>
    <row r="2523">
      <c r="B2523" s="87"/>
      <c r="C2523" s="85"/>
      <c r="D2523" s="76"/>
      <c r="H2523" s="88"/>
      <c r="J2523" s="53" t="str">
        <f>IFERROR(__xludf.DUMMYFUNCTION("IF(ISBLANK(B2523),"""",IF(ISDATE(B2523),""X"",""""))"),"")</f>
        <v/>
      </c>
      <c r="K2523" s="40" t="str">
        <f>IFERROR(__xludf.DUMMYFUNCTION("IF(ISBLANK(B2523),"""",IF(ISDATE(B2523),H2523,""""))"),"")</f>
        <v/>
      </c>
      <c r="L2523" s="40" t="str">
        <f>IFERROR(__xludf.DUMMYFUNCTION("IF(ISBLANK(B2523),"""",IF(ISDATE(B2523),TEXT(B2523,""M""),""""))"),"")</f>
        <v/>
      </c>
      <c r="M2523" s="29" t="str">
        <f>IFERROR(__xludf.DUMMYFUNCTION("IF(L2523="""","""",QUERY({'Dashboard-Dados'!$Y$2:$AA$13},""Select Col2 Where Col1=""&amp;L2523))"),"")</f>
        <v/>
      </c>
      <c r="N2523" s="29" t="str">
        <f>IFERROR(__xludf.DUMMYFUNCTION("IF(ISBLANK(B2523),"""",IF(ISDATE(B2523),TEXT(B2523,""yyyy""),""""))"),"")</f>
        <v/>
      </c>
    </row>
    <row r="2524">
      <c r="B2524" s="89"/>
      <c r="C2524" s="86"/>
      <c r="D2524" s="71"/>
      <c r="H2524" s="90"/>
      <c r="J2524" s="53" t="str">
        <f>IFERROR(__xludf.DUMMYFUNCTION("IF(ISBLANK(B2524),"""",IF(ISDATE(B2524),""X"",""""))"),"")</f>
        <v/>
      </c>
      <c r="K2524" s="40" t="str">
        <f>IFERROR(__xludf.DUMMYFUNCTION("IF(ISBLANK(B2524),"""",IF(ISDATE(B2524),H2524,""""))"),"")</f>
        <v/>
      </c>
      <c r="L2524" s="40" t="str">
        <f>IFERROR(__xludf.DUMMYFUNCTION("IF(ISBLANK(B2524),"""",IF(ISDATE(B2524),TEXT(B2524,""M""),""""))"),"")</f>
        <v/>
      </c>
      <c r="M2524" s="29" t="str">
        <f>IFERROR(__xludf.DUMMYFUNCTION("IF(L2524="""","""",QUERY({'Dashboard-Dados'!$Y$2:$AA$13},""Select Col2 Where Col1=""&amp;L2524))"),"")</f>
        <v/>
      </c>
      <c r="N2524" s="29" t="str">
        <f>IFERROR(__xludf.DUMMYFUNCTION("IF(ISBLANK(B2524),"""",IF(ISDATE(B2524),TEXT(B2524,""yyyy""),""""))"),"")</f>
        <v/>
      </c>
    </row>
    <row r="2525">
      <c r="B2525" s="87"/>
      <c r="C2525" s="85"/>
      <c r="D2525" s="76"/>
      <c r="H2525" s="88"/>
      <c r="J2525" s="53" t="str">
        <f>IFERROR(__xludf.DUMMYFUNCTION("IF(ISBLANK(B2525),"""",IF(ISDATE(B2525),""X"",""""))"),"")</f>
        <v/>
      </c>
      <c r="K2525" s="40" t="str">
        <f>IFERROR(__xludf.DUMMYFUNCTION("IF(ISBLANK(B2525),"""",IF(ISDATE(B2525),H2525,""""))"),"")</f>
        <v/>
      </c>
      <c r="L2525" s="40" t="str">
        <f>IFERROR(__xludf.DUMMYFUNCTION("IF(ISBLANK(B2525),"""",IF(ISDATE(B2525),TEXT(B2525,""M""),""""))"),"")</f>
        <v/>
      </c>
      <c r="M2525" s="29" t="str">
        <f>IFERROR(__xludf.DUMMYFUNCTION("IF(L2525="""","""",QUERY({'Dashboard-Dados'!$Y$2:$AA$13},""Select Col2 Where Col1=""&amp;L2525))"),"")</f>
        <v/>
      </c>
      <c r="N2525" s="29" t="str">
        <f>IFERROR(__xludf.DUMMYFUNCTION("IF(ISBLANK(B2525),"""",IF(ISDATE(B2525),TEXT(B2525,""yyyy""),""""))"),"")</f>
        <v/>
      </c>
    </row>
    <row r="2526">
      <c r="B2526" s="89"/>
      <c r="C2526" s="86"/>
      <c r="D2526" s="71"/>
      <c r="H2526" s="90"/>
      <c r="J2526" s="53" t="str">
        <f>IFERROR(__xludf.DUMMYFUNCTION("IF(ISBLANK(B2526),"""",IF(ISDATE(B2526),""X"",""""))"),"")</f>
        <v/>
      </c>
      <c r="K2526" s="40" t="str">
        <f>IFERROR(__xludf.DUMMYFUNCTION("IF(ISBLANK(B2526),"""",IF(ISDATE(B2526),H2526,""""))"),"")</f>
        <v/>
      </c>
      <c r="L2526" s="40" t="str">
        <f>IFERROR(__xludf.DUMMYFUNCTION("IF(ISBLANK(B2526),"""",IF(ISDATE(B2526),TEXT(B2526,""M""),""""))"),"")</f>
        <v/>
      </c>
      <c r="M2526" s="29" t="str">
        <f>IFERROR(__xludf.DUMMYFUNCTION("IF(L2526="""","""",QUERY({'Dashboard-Dados'!$Y$2:$AA$13},""Select Col2 Where Col1=""&amp;L2526))"),"")</f>
        <v/>
      </c>
      <c r="N2526" s="29" t="str">
        <f>IFERROR(__xludf.DUMMYFUNCTION("IF(ISBLANK(B2526),"""",IF(ISDATE(B2526),TEXT(B2526,""yyyy""),""""))"),"")</f>
        <v/>
      </c>
    </row>
    <row r="2527">
      <c r="B2527" s="87"/>
      <c r="C2527" s="85"/>
      <c r="D2527" s="76"/>
      <c r="H2527" s="88"/>
      <c r="J2527" s="53" t="str">
        <f>IFERROR(__xludf.DUMMYFUNCTION("IF(ISBLANK(B2527),"""",IF(ISDATE(B2527),""X"",""""))"),"")</f>
        <v/>
      </c>
      <c r="K2527" s="40" t="str">
        <f>IFERROR(__xludf.DUMMYFUNCTION("IF(ISBLANK(B2527),"""",IF(ISDATE(B2527),H2527,""""))"),"")</f>
        <v/>
      </c>
      <c r="L2527" s="40" t="str">
        <f>IFERROR(__xludf.DUMMYFUNCTION("IF(ISBLANK(B2527),"""",IF(ISDATE(B2527),TEXT(B2527,""M""),""""))"),"")</f>
        <v/>
      </c>
      <c r="M2527" s="29" t="str">
        <f>IFERROR(__xludf.DUMMYFUNCTION("IF(L2527="""","""",QUERY({'Dashboard-Dados'!$Y$2:$AA$13},""Select Col2 Where Col1=""&amp;L2527))"),"")</f>
        <v/>
      </c>
      <c r="N2527" s="29" t="str">
        <f>IFERROR(__xludf.DUMMYFUNCTION("IF(ISBLANK(B2527),"""",IF(ISDATE(B2527),TEXT(B2527,""yyyy""),""""))"),"")</f>
        <v/>
      </c>
    </row>
    <row r="2528">
      <c r="B2528" s="89"/>
      <c r="C2528" s="86"/>
      <c r="D2528" s="71"/>
      <c r="H2528" s="90"/>
      <c r="J2528" s="53" t="str">
        <f>IFERROR(__xludf.DUMMYFUNCTION("IF(ISBLANK(B2528),"""",IF(ISDATE(B2528),""X"",""""))"),"")</f>
        <v/>
      </c>
      <c r="K2528" s="40" t="str">
        <f>IFERROR(__xludf.DUMMYFUNCTION("IF(ISBLANK(B2528),"""",IF(ISDATE(B2528),H2528,""""))"),"")</f>
        <v/>
      </c>
      <c r="L2528" s="40" t="str">
        <f>IFERROR(__xludf.DUMMYFUNCTION("IF(ISBLANK(B2528),"""",IF(ISDATE(B2528),TEXT(B2528,""M""),""""))"),"")</f>
        <v/>
      </c>
      <c r="M2528" s="29" t="str">
        <f>IFERROR(__xludf.DUMMYFUNCTION("IF(L2528="""","""",QUERY({'Dashboard-Dados'!$Y$2:$AA$13},""Select Col2 Where Col1=""&amp;L2528))"),"")</f>
        <v/>
      </c>
      <c r="N2528" s="29" t="str">
        <f>IFERROR(__xludf.DUMMYFUNCTION("IF(ISBLANK(B2528),"""",IF(ISDATE(B2528),TEXT(B2528,""yyyy""),""""))"),"")</f>
        <v/>
      </c>
    </row>
    <row r="2529">
      <c r="B2529" s="87"/>
      <c r="C2529" s="85"/>
      <c r="D2529" s="76"/>
      <c r="H2529" s="88"/>
      <c r="J2529" s="53" t="str">
        <f>IFERROR(__xludf.DUMMYFUNCTION("IF(ISBLANK(B2529),"""",IF(ISDATE(B2529),""X"",""""))"),"")</f>
        <v/>
      </c>
      <c r="K2529" s="40" t="str">
        <f>IFERROR(__xludf.DUMMYFUNCTION("IF(ISBLANK(B2529),"""",IF(ISDATE(B2529),H2529,""""))"),"")</f>
        <v/>
      </c>
      <c r="L2529" s="40" t="str">
        <f>IFERROR(__xludf.DUMMYFUNCTION("IF(ISBLANK(B2529),"""",IF(ISDATE(B2529),TEXT(B2529,""M""),""""))"),"")</f>
        <v/>
      </c>
      <c r="M2529" s="29" t="str">
        <f>IFERROR(__xludf.DUMMYFUNCTION("IF(L2529="""","""",QUERY({'Dashboard-Dados'!$Y$2:$AA$13},""Select Col2 Where Col1=""&amp;L2529))"),"")</f>
        <v/>
      </c>
      <c r="N2529" s="29" t="str">
        <f>IFERROR(__xludf.DUMMYFUNCTION("IF(ISBLANK(B2529),"""",IF(ISDATE(B2529),TEXT(B2529,""yyyy""),""""))"),"")</f>
        <v/>
      </c>
    </row>
    <row r="2530">
      <c r="B2530" s="89"/>
      <c r="C2530" s="86"/>
      <c r="D2530" s="71"/>
      <c r="H2530" s="90"/>
      <c r="J2530" s="53" t="str">
        <f>IFERROR(__xludf.DUMMYFUNCTION("IF(ISBLANK(B2530),"""",IF(ISDATE(B2530),""X"",""""))"),"")</f>
        <v/>
      </c>
      <c r="K2530" s="40" t="str">
        <f>IFERROR(__xludf.DUMMYFUNCTION("IF(ISBLANK(B2530),"""",IF(ISDATE(B2530),H2530,""""))"),"")</f>
        <v/>
      </c>
      <c r="L2530" s="40" t="str">
        <f>IFERROR(__xludf.DUMMYFUNCTION("IF(ISBLANK(B2530),"""",IF(ISDATE(B2530),TEXT(B2530,""M""),""""))"),"")</f>
        <v/>
      </c>
      <c r="M2530" s="29" t="str">
        <f>IFERROR(__xludf.DUMMYFUNCTION("IF(L2530="""","""",QUERY({'Dashboard-Dados'!$Y$2:$AA$13},""Select Col2 Where Col1=""&amp;L2530))"),"")</f>
        <v/>
      </c>
      <c r="N2530" s="29" t="str">
        <f>IFERROR(__xludf.DUMMYFUNCTION("IF(ISBLANK(B2530),"""",IF(ISDATE(B2530),TEXT(B2530,""yyyy""),""""))"),"")</f>
        <v/>
      </c>
    </row>
    <row r="2531">
      <c r="B2531" s="87"/>
      <c r="C2531" s="85"/>
      <c r="D2531" s="76"/>
      <c r="H2531" s="88"/>
      <c r="J2531" s="53" t="str">
        <f>IFERROR(__xludf.DUMMYFUNCTION("IF(ISBLANK(B2531),"""",IF(ISDATE(B2531),""X"",""""))"),"")</f>
        <v/>
      </c>
      <c r="K2531" s="40" t="str">
        <f>IFERROR(__xludf.DUMMYFUNCTION("IF(ISBLANK(B2531),"""",IF(ISDATE(B2531),H2531,""""))"),"")</f>
        <v/>
      </c>
      <c r="L2531" s="40" t="str">
        <f>IFERROR(__xludf.DUMMYFUNCTION("IF(ISBLANK(B2531),"""",IF(ISDATE(B2531),TEXT(B2531,""M""),""""))"),"")</f>
        <v/>
      </c>
      <c r="M2531" s="29" t="str">
        <f>IFERROR(__xludf.DUMMYFUNCTION("IF(L2531="""","""",QUERY({'Dashboard-Dados'!$Y$2:$AA$13},""Select Col2 Where Col1=""&amp;L2531))"),"")</f>
        <v/>
      </c>
      <c r="N2531" s="29" t="str">
        <f>IFERROR(__xludf.DUMMYFUNCTION("IF(ISBLANK(B2531),"""",IF(ISDATE(B2531),TEXT(B2531,""yyyy""),""""))"),"")</f>
        <v/>
      </c>
    </row>
    <row r="2532">
      <c r="B2532" s="89"/>
      <c r="C2532" s="86"/>
      <c r="D2532" s="71"/>
      <c r="H2532" s="90"/>
      <c r="J2532" s="53" t="str">
        <f>IFERROR(__xludf.DUMMYFUNCTION("IF(ISBLANK(B2532),"""",IF(ISDATE(B2532),""X"",""""))"),"")</f>
        <v/>
      </c>
      <c r="K2532" s="40" t="str">
        <f>IFERROR(__xludf.DUMMYFUNCTION("IF(ISBLANK(B2532),"""",IF(ISDATE(B2532),H2532,""""))"),"")</f>
        <v/>
      </c>
      <c r="L2532" s="40" t="str">
        <f>IFERROR(__xludf.DUMMYFUNCTION("IF(ISBLANK(B2532),"""",IF(ISDATE(B2532),TEXT(B2532,""M""),""""))"),"")</f>
        <v/>
      </c>
      <c r="M2532" s="29" t="str">
        <f>IFERROR(__xludf.DUMMYFUNCTION("IF(L2532="""","""",QUERY({'Dashboard-Dados'!$Y$2:$AA$13},""Select Col2 Where Col1=""&amp;L2532))"),"")</f>
        <v/>
      </c>
      <c r="N2532" s="29" t="str">
        <f>IFERROR(__xludf.DUMMYFUNCTION("IF(ISBLANK(B2532),"""",IF(ISDATE(B2532),TEXT(B2532,""yyyy""),""""))"),"")</f>
        <v/>
      </c>
    </row>
    <row r="2533">
      <c r="B2533" s="87"/>
      <c r="C2533" s="85"/>
      <c r="D2533" s="76"/>
      <c r="H2533" s="88"/>
      <c r="J2533" s="53" t="str">
        <f>IFERROR(__xludf.DUMMYFUNCTION("IF(ISBLANK(B2533),"""",IF(ISDATE(B2533),""X"",""""))"),"")</f>
        <v/>
      </c>
      <c r="K2533" s="40" t="str">
        <f>IFERROR(__xludf.DUMMYFUNCTION("IF(ISBLANK(B2533),"""",IF(ISDATE(B2533),H2533,""""))"),"")</f>
        <v/>
      </c>
      <c r="L2533" s="40" t="str">
        <f>IFERROR(__xludf.DUMMYFUNCTION("IF(ISBLANK(B2533),"""",IF(ISDATE(B2533),TEXT(B2533,""M""),""""))"),"")</f>
        <v/>
      </c>
      <c r="M2533" s="29" t="str">
        <f>IFERROR(__xludf.DUMMYFUNCTION("IF(L2533="""","""",QUERY({'Dashboard-Dados'!$Y$2:$AA$13},""Select Col2 Where Col1=""&amp;L2533))"),"")</f>
        <v/>
      </c>
      <c r="N2533" s="29" t="str">
        <f>IFERROR(__xludf.DUMMYFUNCTION("IF(ISBLANK(B2533),"""",IF(ISDATE(B2533),TEXT(B2533,""yyyy""),""""))"),"")</f>
        <v/>
      </c>
    </row>
    <row r="2534">
      <c r="B2534" s="89"/>
      <c r="C2534" s="86"/>
      <c r="D2534" s="71"/>
      <c r="H2534" s="90"/>
      <c r="J2534" s="53" t="str">
        <f>IFERROR(__xludf.DUMMYFUNCTION("IF(ISBLANK(B2534),"""",IF(ISDATE(B2534),""X"",""""))"),"")</f>
        <v/>
      </c>
      <c r="K2534" s="40" t="str">
        <f>IFERROR(__xludf.DUMMYFUNCTION("IF(ISBLANK(B2534),"""",IF(ISDATE(B2534),H2534,""""))"),"")</f>
        <v/>
      </c>
      <c r="L2534" s="40" t="str">
        <f>IFERROR(__xludf.DUMMYFUNCTION("IF(ISBLANK(B2534),"""",IF(ISDATE(B2534),TEXT(B2534,""M""),""""))"),"")</f>
        <v/>
      </c>
      <c r="M2534" s="29" t="str">
        <f>IFERROR(__xludf.DUMMYFUNCTION("IF(L2534="""","""",QUERY({'Dashboard-Dados'!$Y$2:$AA$13},""Select Col2 Where Col1=""&amp;L2534))"),"")</f>
        <v/>
      </c>
      <c r="N2534" s="29" t="str">
        <f>IFERROR(__xludf.DUMMYFUNCTION("IF(ISBLANK(B2534),"""",IF(ISDATE(B2534),TEXT(B2534,""yyyy""),""""))"),"")</f>
        <v/>
      </c>
    </row>
    <row r="2535">
      <c r="B2535" s="87"/>
      <c r="C2535" s="85"/>
      <c r="D2535" s="76"/>
      <c r="H2535" s="88"/>
      <c r="J2535" s="53" t="str">
        <f>IFERROR(__xludf.DUMMYFUNCTION("IF(ISBLANK(B2535),"""",IF(ISDATE(B2535),""X"",""""))"),"")</f>
        <v/>
      </c>
      <c r="K2535" s="40" t="str">
        <f>IFERROR(__xludf.DUMMYFUNCTION("IF(ISBLANK(B2535),"""",IF(ISDATE(B2535),H2535,""""))"),"")</f>
        <v/>
      </c>
      <c r="L2535" s="40" t="str">
        <f>IFERROR(__xludf.DUMMYFUNCTION("IF(ISBLANK(B2535),"""",IF(ISDATE(B2535),TEXT(B2535,""M""),""""))"),"")</f>
        <v/>
      </c>
      <c r="M2535" s="29" t="str">
        <f>IFERROR(__xludf.DUMMYFUNCTION("IF(L2535="""","""",QUERY({'Dashboard-Dados'!$Y$2:$AA$13},""Select Col2 Where Col1=""&amp;L2535))"),"")</f>
        <v/>
      </c>
      <c r="N2535" s="29" t="str">
        <f>IFERROR(__xludf.DUMMYFUNCTION("IF(ISBLANK(B2535),"""",IF(ISDATE(B2535),TEXT(B2535,""yyyy""),""""))"),"")</f>
        <v/>
      </c>
    </row>
    <row r="2536">
      <c r="B2536" s="89"/>
      <c r="C2536" s="86"/>
      <c r="D2536" s="71"/>
      <c r="H2536" s="90"/>
      <c r="J2536" s="53" t="str">
        <f>IFERROR(__xludf.DUMMYFUNCTION("IF(ISBLANK(B2536),"""",IF(ISDATE(B2536),""X"",""""))"),"")</f>
        <v/>
      </c>
      <c r="K2536" s="40" t="str">
        <f>IFERROR(__xludf.DUMMYFUNCTION("IF(ISBLANK(B2536),"""",IF(ISDATE(B2536),H2536,""""))"),"")</f>
        <v/>
      </c>
      <c r="L2536" s="40" t="str">
        <f>IFERROR(__xludf.DUMMYFUNCTION("IF(ISBLANK(B2536),"""",IF(ISDATE(B2536),TEXT(B2536,""M""),""""))"),"")</f>
        <v/>
      </c>
      <c r="M2536" s="29" t="str">
        <f>IFERROR(__xludf.DUMMYFUNCTION("IF(L2536="""","""",QUERY({'Dashboard-Dados'!$Y$2:$AA$13},""Select Col2 Where Col1=""&amp;L2536))"),"")</f>
        <v/>
      </c>
      <c r="N2536" s="29" t="str">
        <f>IFERROR(__xludf.DUMMYFUNCTION("IF(ISBLANK(B2536),"""",IF(ISDATE(B2536),TEXT(B2536,""yyyy""),""""))"),"")</f>
        <v/>
      </c>
    </row>
    <row r="2537">
      <c r="B2537" s="87"/>
      <c r="C2537" s="85"/>
      <c r="D2537" s="76"/>
      <c r="H2537" s="88"/>
      <c r="J2537" s="53" t="str">
        <f>IFERROR(__xludf.DUMMYFUNCTION("IF(ISBLANK(B2537),"""",IF(ISDATE(B2537),""X"",""""))"),"")</f>
        <v/>
      </c>
      <c r="K2537" s="40" t="str">
        <f>IFERROR(__xludf.DUMMYFUNCTION("IF(ISBLANK(B2537),"""",IF(ISDATE(B2537),H2537,""""))"),"")</f>
        <v/>
      </c>
      <c r="L2537" s="40" t="str">
        <f>IFERROR(__xludf.DUMMYFUNCTION("IF(ISBLANK(B2537),"""",IF(ISDATE(B2537),TEXT(B2537,""M""),""""))"),"")</f>
        <v/>
      </c>
      <c r="M2537" s="29" t="str">
        <f>IFERROR(__xludf.DUMMYFUNCTION("IF(L2537="""","""",QUERY({'Dashboard-Dados'!$Y$2:$AA$13},""Select Col2 Where Col1=""&amp;L2537))"),"")</f>
        <v/>
      </c>
      <c r="N2537" s="29" t="str">
        <f>IFERROR(__xludf.DUMMYFUNCTION("IF(ISBLANK(B2537),"""",IF(ISDATE(B2537),TEXT(B2537,""yyyy""),""""))"),"")</f>
        <v/>
      </c>
    </row>
    <row r="2538">
      <c r="B2538" s="89"/>
      <c r="C2538" s="86"/>
      <c r="D2538" s="71"/>
      <c r="H2538" s="90"/>
      <c r="J2538" s="53" t="str">
        <f>IFERROR(__xludf.DUMMYFUNCTION("IF(ISBLANK(B2538),"""",IF(ISDATE(B2538),""X"",""""))"),"")</f>
        <v/>
      </c>
      <c r="K2538" s="40" t="str">
        <f>IFERROR(__xludf.DUMMYFUNCTION("IF(ISBLANK(B2538),"""",IF(ISDATE(B2538),H2538,""""))"),"")</f>
        <v/>
      </c>
      <c r="L2538" s="40" t="str">
        <f>IFERROR(__xludf.DUMMYFUNCTION("IF(ISBLANK(B2538),"""",IF(ISDATE(B2538),TEXT(B2538,""M""),""""))"),"")</f>
        <v/>
      </c>
      <c r="M2538" s="29" t="str">
        <f>IFERROR(__xludf.DUMMYFUNCTION("IF(L2538="""","""",QUERY({'Dashboard-Dados'!$Y$2:$AA$13},""Select Col2 Where Col1=""&amp;L2538))"),"")</f>
        <v/>
      </c>
      <c r="N2538" s="29" t="str">
        <f>IFERROR(__xludf.DUMMYFUNCTION("IF(ISBLANK(B2538),"""",IF(ISDATE(B2538),TEXT(B2538,""yyyy""),""""))"),"")</f>
        <v/>
      </c>
    </row>
    <row r="2539">
      <c r="B2539" s="87"/>
      <c r="C2539" s="85"/>
      <c r="D2539" s="76"/>
      <c r="H2539" s="88"/>
      <c r="J2539" s="53" t="str">
        <f>IFERROR(__xludf.DUMMYFUNCTION("IF(ISBLANK(B2539),"""",IF(ISDATE(B2539),""X"",""""))"),"")</f>
        <v/>
      </c>
      <c r="K2539" s="40" t="str">
        <f>IFERROR(__xludf.DUMMYFUNCTION("IF(ISBLANK(B2539),"""",IF(ISDATE(B2539),H2539,""""))"),"")</f>
        <v/>
      </c>
      <c r="L2539" s="40" t="str">
        <f>IFERROR(__xludf.DUMMYFUNCTION("IF(ISBLANK(B2539),"""",IF(ISDATE(B2539),TEXT(B2539,""M""),""""))"),"")</f>
        <v/>
      </c>
      <c r="M2539" s="29" t="str">
        <f>IFERROR(__xludf.DUMMYFUNCTION("IF(L2539="""","""",QUERY({'Dashboard-Dados'!$Y$2:$AA$13},""Select Col2 Where Col1=""&amp;L2539))"),"")</f>
        <v/>
      </c>
      <c r="N2539" s="29" t="str">
        <f>IFERROR(__xludf.DUMMYFUNCTION("IF(ISBLANK(B2539),"""",IF(ISDATE(B2539),TEXT(B2539,""yyyy""),""""))"),"")</f>
        <v/>
      </c>
    </row>
    <row r="2540">
      <c r="B2540" s="89"/>
      <c r="C2540" s="86"/>
      <c r="D2540" s="71"/>
      <c r="H2540" s="90"/>
      <c r="J2540" s="53" t="str">
        <f>IFERROR(__xludf.DUMMYFUNCTION("IF(ISBLANK(B2540),"""",IF(ISDATE(B2540),""X"",""""))"),"")</f>
        <v/>
      </c>
      <c r="K2540" s="40" t="str">
        <f>IFERROR(__xludf.DUMMYFUNCTION("IF(ISBLANK(B2540),"""",IF(ISDATE(B2540),H2540,""""))"),"")</f>
        <v/>
      </c>
      <c r="L2540" s="40" t="str">
        <f>IFERROR(__xludf.DUMMYFUNCTION("IF(ISBLANK(B2540),"""",IF(ISDATE(B2540),TEXT(B2540,""M""),""""))"),"")</f>
        <v/>
      </c>
      <c r="M2540" s="29" t="str">
        <f>IFERROR(__xludf.DUMMYFUNCTION("IF(L2540="""","""",QUERY({'Dashboard-Dados'!$Y$2:$AA$13},""Select Col2 Where Col1=""&amp;L2540))"),"")</f>
        <v/>
      </c>
      <c r="N2540" s="29" t="str">
        <f>IFERROR(__xludf.DUMMYFUNCTION("IF(ISBLANK(B2540),"""",IF(ISDATE(B2540),TEXT(B2540,""yyyy""),""""))"),"")</f>
        <v/>
      </c>
    </row>
    <row r="2541">
      <c r="B2541" s="87"/>
      <c r="C2541" s="85"/>
      <c r="D2541" s="76"/>
      <c r="H2541" s="88"/>
      <c r="J2541" s="53" t="str">
        <f>IFERROR(__xludf.DUMMYFUNCTION("IF(ISBLANK(B2541),"""",IF(ISDATE(B2541),""X"",""""))"),"")</f>
        <v/>
      </c>
      <c r="K2541" s="40" t="str">
        <f>IFERROR(__xludf.DUMMYFUNCTION("IF(ISBLANK(B2541),"""",IF(ISDATE(B2541),H2541,""""))"),"")</f>
        <v/>
      </c>
      <c r="L2541" s="40" t="str">
        <f>IFERROR(__xludf.DUMMYFUNCTION("IF(ISBLANK(B2541),"""",IF(ISDATE(B2541),TEXT(B2541,""M""),""""))"),"")</f>
        <v/>
      </c>
      <c r="M2541" s="29" t="str">
        <f>IFERROR(__xludf.DUMMYFUNCTION("IF(L2541="""","""",QUERY({'Dashboard-Dados'!$Y$2:$AA$13},""Select Col2 Where Col1=""&amp;L2541))"),"")</f>
        <v/>
      </c>
      <c r="N2541" s="29" t="str">
        <f>IFERROR(__xludf.DUMMYFUNCTION("IF(ISBLANK(B2541),"""",IF(ISDATE(B2541),TEXT(B2541,""yyyy""),""""))"),"")</f>
        <v/>
      </c>
    </row>
    <row r="2542">
      <c r="B2542" s="89"/>
      <c r="C2542" s="86"/>
      <c r="D2542" s="71"/>
      <c r="H2542" s="90"/>
      <c r="J2542" s="53" t="str">
        <f>IFERROR(__xludf.DUMMYFUNCTION("IF(ISBLANK(B2542),"""",IF(ISDATE(B2542),""X"",""""))"),"")</f>
        <v/>
      </c>
      <c r="K2542" s="40" t="str">
        <f>IFERROR(__xludf.DUMMYFUNCTION("IF(ISBLANK(B2542),"""",IF(ISDATE(B2542),H2542,""""))"),"")</f>
        <v/>
      </c>
      <c r="L2542" s="40" t="str">
        <f>IFERROR(__xludf.DUMMYFUNCTION("IF(ISBLANK(B2542),"""",IF(ISDATE(B2542),TEXT(B2542,""M""),""""))"),"")</f>
        <v/>
      </c>
      <c r="M2542" s="29" t="str">
        <f>IFERROR(__xludf.DUMMYFUNCTION("IF(L2542="""","""",QUERY({'Dashboard-Dados'!$Y$2:$AA$13},""Select Col2 Where Col1=""&amp;L2542))"),"")</f>
        <v/>
      </c>
      <c r="N2542" s="29" t="str">
        <f>IFERROR(__xludf.DUMMYFUNCTION("IF(ISBLANK(B2542),"""",IF(ISDATE(B2542),TEXT(B2542,""yyyy""),""""))"),"")</f>
        <v/>
      </c>
    </row>
    <row r="2543">
      <c r="B2543" s="87"/>
      <c r="C2543" s="85"/>
      <c r="D2543" s="76"/>
      <c r="H2543" s="88"/>
      <c r="J2543" s="53" t="str">
        <f>IFERROR(__xludf.DUMMYFUNCTION("IF(ISBLANK(B2543),"""",IF(ISDATE(B2543),""X"",""""))"),"")</f>
        <v/>
      </c>
      <c r="K2543" s="40" t="str">
        <f>IFERROR(__xludf.DUMMYFUNCTION("IF(ISBLANK(B2543),"""",IF(ISDATE(B2543),H2543,""""))"),"")</f>
        <v/>
      </c>
      <c r="L2543" s="40" t="str">
        <f>IFERROR(__xludf.DUMMYFUNCTION("IF(ISBLANK(B2543),"""",IF(ISDATE(B2543),TEXT(B2543,""M""),""""))"),"")</f>
        <v/>
      </c>
      <c r="M2543" s="29" t="str">
        <f>IFERROR(__xludf.DUMMYFUNCTION("IF(L2543="""","""",QUERY({'Dashboard-Dados'!$Y$2:$AA$13},""Select Col2 Where Col1=""&amp;L2543))"),"")</f>
        <v/>
      </c>
      <c r="N2543" s="29" t="str">
        <f>IFERROR(__xludf.DUMMYFUNCTION("IF(ISBLANK(B2543),"""",IF(ISDATE(B2543),TEXT(B2543,""yyyy""),""""))"),"")</f>
        <v/>
      </c>
    </row>
    <row r="2544">
      <c r="B2544" s="89"/>
      <c r="C2544" s="86"/>
      <c r="D2544" s="71"/>
      <c r="H2544" s="90"/>
      <c r="J2544" s="53" t="str">
        <f>IFERROR(__xludf.DUMMYFUNCTION("IF(ISBLANK(B2544),"""",IF(ISDATE(B2544),""X"",""""))"),"")</f>
        <v/>
      </c>
      <c r="K2544" s="40" t="str">
        <f>IFERROR(__xludf.DUMMYFUNCTION("IF(ISBLANK(B2544),"""",IF(ISDATE(B2544),H2544,""""))"),"")</f>
        <v/>
      </c>
      <c r="L2544" s="40" t="str">
        <f>IFERROR(__xludf.DUMMYFUNCTION("IF(ISBLANK(B2544),"""",IF(ISDATE(B2544),TEXT(B2544,""M""),""""))"),"")</f>
        <v/>
      </c>
      <c r="M2544" s="29" t="str">
        <f>IFERROR(__xludf.DUMMYFUNCTION("IF(L2544="""","""",QUERY({'Dashboard-Dados'!$Y$2:$AA$13},""Select Col2 Where Col1=""&amp;L2544))"),"")</f>
        <v/>
      </c>
      <c r="N2544" s="29" t="str">
        <f>IFERROR(__xludf.DUMMYFUNCTION("IF(ISBLANK(B2544),"""",IF(ISDATE(B2544),TEXT(B2544,""yyyy""),""""))"),"")</f>
        <v/>
      </c>
    </row>
    <row r="2545">
      <c r="B2545" s="87"/>
      <c r="C2545" s="85"/>
      <c r="D2545" s="76"/>
      <c r="H2545" s="88"/>
      <c r="J2545" s="53" t="str">
        <f>IFERROR(__xludf.DUMMYFUNCTION("IF(ISBLANK(B2545),"""",IF(ISDATE(B2545),""X"",""""))"),"")</f>
        <v/>
      </c>
      <c r="K2545" s="40" t="str">
        <f>IFERROR(__xludf.DUMMYFUNCTION("IF(ISBLANK(B2545),"""",IF(ISDATE(B2545),H2545,""""))"),"")</f>
        <v/>
      </c>
      <c r="L2545" s="40" t="str">
        <f>IFERROR(__xludf.DUMMYFUNCTION("IF(ISBLANK(B2545),"""",IF(ISDATE(B2545),TEXT(B2545,""M""),""""))"),"")</f>
        <v/>
      </c>
      <c r="M2545" s="29" t="str">
        <f>IFERROR(__xludf.DUMMYFUNCTION("IF(L2545="""","""",QUERY({'Dashboard-Dados'!$Y$2:$AA$13},""Select Col2 Where Col1=""&amp;L2545))"),"")</f>
        <v/>
      </c>
      <c r="N2545" s="29" t="str">
        <f>IFERROR(__xludf.DUMMYFUNCTION("IF(ISBLANK(B2545),"""",IF(ISDATE(B2545),TEXT(B2545,""yyyy""),""""))"),"")</f>
        <v/>
      </c>
    </row>
    <row r="2546">
      <c r="B2546" s="89"/>
      <c r="C2546" s="86"/>
      <c r="D2546" s="71"/>
      <c r="H2546" s="90"/>
      <c r="J2546" s="53" t="str">
        <f>IFERROR(__xludf.DUMMYFUNCTION("IF(ISBLANK(B2546),"""",IF(ISDATE(B2546),""X"",""""))"),"")</f>
        <v/>
      </c>
      <c r="K2546" s="40" t="str">
        <f>IFERROR(__xludf.DUMMYFUNCTION("IF(ISBLANK(B2546),"""",IF(ISDATE(B2546),H2546,""""))"),"")</f>
        <v/>
      </c>
      <c r="L2546" s="40" t="str">
        <f>IFERROR(__xludf.DUMMYFUNCTION("IF(ISBLANK(B2546),"""",IF(ISDATE(B2546),TEXT(B2546,""M""),""""))"),"")</f>
        <v/>
      </c>
      <c r="M2546" s="29" t="str">
        <f>IFERROR(__xludf.DUMMYFUNCTION("IF(L2546="""","""",QUERY({'Dashboard-Dados'!$Y$2:$AA$13},""Select Col2 Where Col1=""&amp;L2546))"),"")</f>
        <v/>
      </c>
      <c r="N2546" s="29" t="str">
        <f>IFERROR(__xludf.DUMMYFUNCTION("IF(ISBLANK(B2546),"""",IF(ISDATE(B2546),TEXT(B2546,""yyyy""),""""))"),"")</f>
        <v/>
      </c>
    </row>
    <row r="2547">
      <c r="B2547" s="87"/>
      <c r="C2547" s="85"/>
      <c r="D2547" s="76"/>
      <c r="H2547" s="88"/>
      <c r="J2547" s="53" t="str">
        <f>IFERROR(__xludf.DUMMYFUNCTION("IF(ISBLANK(B2547),"""",IF(ISDATE(B2547),""X"",""""))"),"")</f>
        <v/>
      </c>
      <c r="K2547" s="40" t="str">
        <f>IFERROR(__xludf.DUMMYFUNCTION("IF(ISBLANK(B2547),"""",IF(ISDATE(B2547),H2547,""""))"),"")</f>
        <v/>
      </c>
      <c r="L2547" s="40" t="str">
        <f>IFERROR(__xludf.DUMMYFUNCTION("IF(ISBLANK(B2547),"""",IF(ISDATE(B2547),TEXT(B2547,""M""),""""))"),"")</f>
        <v/>
      </c>
      <c r="M2547" s="29" t="str">
        <f>IFERROR(__xludf.DUMMYFUNCTION("IF(L2547="""","""",QUERY({'Dashboard-Dados'!$Y$2:$AA$13},""Select Col2 Where Col1=""&amp;L2547))"),"")</f>
        <v/>
      </c>
      <c r="N2547" s="29" t="str">
        <f>IFERROR(__xludf.DUMMYFUNCTION("IF(ISBLANK(B2547),"""",IF(ISDATE(B2547),TEXT(B2547,""yyyy""),""""))"),"")</f>
        <v/>
      </c>
    </row>
    <row r="2548">
      <c r="B2548" s="89"/>
      <c r="C2548" s="86"/>
      <c r="D2548" s="71"/>
      <c r="H2548" s="90"/>
      <c r="J2548" s="53" t="str">
        <f>IFERROR(__xludf.DUMMYFUNCTION("IF(ISBLANK(B2548),"""",IF(ISDATE(B2548),""X"",""""))"),"")</f>
        <v/>
      </c>
      <c r="K2548" s="40" t="str">
        <f>IFERROR(__xludf.DUMMYFUNCTION("IF(ISBLANK(B2548),"""",IF(ISDATE(B2548),H2548,""""))"),"")</f>
        <v/>
      </c>
      <c r="L2548" s="40" t="str">
        <f>IFERROR(__xludf.DUMMYFUNCTION("IF(ISBLANK(B2548),"""",IF(ISDATE(B2548),TEXT(B2548,""M""),""""))"),"")</f>
        <v/>
      </c>
      <c r="M2548" s="29" t="str">
        <f>IFERROR(__xludf.DUMMYFUNCTION("IF(L2548="""","""",QUERY({'Dashboard-Dados'!$Y$2:$AA$13},""Select Col2 Where Col1=""&amp;L2548))"),"")</f>
        <v/>
      </c>
      <c r="N2548" s="29" t="str">
        <f>IFERROR(__xludf.DUMMYFUNCTION("IF(ISBLANK(B2548),"""",IF(ISDATE(B2548),TEXT(B2548,""yyyy""),""""))"),"")</f>
        <v/>
      </c>
    </row>
    <row r="2549">
      <c r="B2549" s="87"/>
      <c r="C2549" s="85"/>
      <c r="D2549" s="76"/>
      <c r="H2549" s="88"/>
      <c r="J2549" s="53" t="str">
        <f>IFERROR(__xludf.DUMMYFUNCTION("IF(ISBLANK(B2549),"""",IF(ISDATE(B2549),""X"",""""))"),"")</f>
        <v/>
      </c>
      <c r="K2549" s="40" t="str">
        <f>IFERROR(__xludf.DUMMYFUNCTION("IF(ISBLANK(B2549),"""",IF(ISDATE(B2549),H2549,""""))"),"")</f>
        <v/>
      </c>
      <c r="L2549" s="40" t="str">
        <f>IFERROR(__xludf.DUMMYFUNCTION("IF(ISBLANK(B2549),"""",IF(ISDATE(B2549),TEXT(B2549,""M""),""""))"),"")</f>
        <v/>
      </c>
      <c r="M2549" s="29" t="str">
        <f>IFERROR(__xludf.DUMMYFUNCTION("IF(L2549="""","""",QUERY({'Dashboard-Dados'!$Y$2:$AA$13},""Select Col2 Where Col1=""&amp;L2549))"),"")</f>
        <v/>
      </c>
      <c r="N2549" s="29" t="str">
        <f>IFERROR(__xludf.DUMMYFUNCTION("IF(ISBLANK(B2549),"""",IF(ISDATE(B2549),TEXT(B2549,""yyyy""),""""))"),"")</f>
        <v/>
      </c>
    </row>
    <row r="2550">
      <c r="B2550" s="89"/>
      <c r="C2550" s="86"/>
      <c r="D2550" s="71"/>
      <c r="H2550" s="90"/>
      <c r="J2550" s="53" t="str">
        <f>IFERROR(__xludf.DUMMYFUNCTION("IF(ISBLANK(B2550),"""",IF(ISDATE(B2550),""X"",""""))"),"")</f>
        <v/>
      </c>
      <c r="K2550" s="40" t="str">
        <f>IFERROR(__xludf.DUMMYFUNCTION("IF(ISBLANK(B2550),"""",IF(ISDATE(B2550),H2550,""""))"),"")</f>
        <v/>
      </c>
      <c r="L2550" s="40" t="str">
        <f>IFERROR(__xludf.DUMMYFUNCTION("IF(ISBLANK(B2550),"""",IF(ISDATE(B2550),TEXT(B2550,""M""),""""))"),"")</f>
        <v/>
      </c>
      <c r="M2550" s="29" t="str">
        <f>IFERROR(__xludf.DUMMYFUNCTION("IF(L2550="""","""",QUERY({'Dashboard-Dados'!$Y$2:$AA$13},""Select Col2 Where Col1=""&amp;L2550))"),"")</f>
        <v/>
      </c>
      <c r="N2550" s="29" t="str">
        <f>IFERROR(__xludf.DUMMYFUNCTION("IF(ISBLANK(B2550),"""",IF(ISDATE(B2550),TEXT(B2550,""yyyy""),""""))"),"")</f>
        <v/>
      </c>
    </row>
    <row r="2551">
      <c r="B2551" s="87"/>
      <c r="C2551" s="85"/>
      <c r="D2551" s="76"/>
      <c r="H2551" s="88"/>
      <c r="J2551" s="53" t="str">
        <f>IFERROR(__xludf.DUMMYFUNCTION("IF(ISBLANK(B2551),"""",IF(ISDATE(B2551),""X"",""""))"),"")</f>
        <v/>
      </c>
      <c r="K2551" s="40" t="str">
        <f>IFERROR(__xludf.DUMMYFUNCTION("IF(ISBLANK(B2551),"""",IF(ISDATE(B2551),H2551,""""))"),"")</f>
        <v/>
      </c>
      <c r="L2551" s="40" t="str">
        <f>IFERROR(__xludf.DUMMYFUNCTION("IF(ISBLANK(B2551),"""",IF(ISDATE(B2551),TEXT(B2551,""M""),""""))"),"")</f>
        <v/>
      </c>
      <c r="M2551" s="29" t="str">
        <f>IFERROR(__xludf.DUMMYFUNCTION("IF(L2551="""","""",QUERY({'Dashboard-Dados'!$Y$2:$AA$13},""Select Col2 Where Col1=""&amp;L2551))"),"")</f>
        <v/>
      </c>
      <c r="N2551" s="29" t="str">
        <f>IFERROR(__xludf.DUMMYFUNCTION("IF(ISBLANK(B2551),"""",IF(ISDATE(B2551),TEXT(B2551,""yyyy""),""""))"),"")</f>
        <v/>
      </c>
    </row>
    <row r="2552">
      <c r="B2552" s="89"/>
      <c r="C2552" s="86"/>
      <c r="D2552" s="71"/>
      <c r="H2552" s="90"/>
      <c r="J2552" s="53" t="str">
        <f>IFERROR(__xludf.DUMMYFUNCTION("IF(ISBLANK(B2552),"""",IF(ISDATE(B2552),""X"",""""))"),"")</f>
        <v/>
      </c>
      <c r="K2552" s="40" t="str">
        <f>IFERROR(__xludf.DUMMYFUNCTION("IF(ISBLANK(B2552),"""",IF(ISDATE(B2552),H2552,""""))"),"")</f>
        <v/>
      </c>
      <c r="L2552" s="40" t="str">
        <f>IFERROR(__xludf.DUMMYFUNCTION("IF(ISBLANK(B2552),"""",IF(ISDATE(B2552),TEXT(B2552,""M""),""""))"),"")</f>
        <v/>
      </c>
      <c r="M2552" s="29" t="str">
        <f>IFERROR(__xludf.DUMMYFUNCTION("IF(L2552="""","""",QUERY({'Dashboard-Dados'!$Y$2:$AA$13},""Select Col2 Where Col1=""&amp;L2552))"),"")</f>
        <v/>
      </c>
      <c r="N2552" s="29" t="str">
        <f>IFERROR(__xludf.DUMMYFUNCTION("IF(ISBLANK(B2552),"""",IF(ISDATE(B2552),TEXT(B2552,""yyyy""),""""))"),"")</f>
        <v/>
      </c>
    </row>
    <row r="2553">
      <c r="B2553" s="87"/>
      <c r="C2553" s="85"/>
      <c r="D2553" s="76"/>
      <c r="H2553" s="88"/>
      <c r="J2553" s="53" t="str">
        <f>IFERROR(__xludf.DUMMYFUNCTION("IF(ISBLANK(B2553),"""",IF(ISDATE(B2553),""X"",""""))"),"")</f>
        <v/>
      </c>
      <c r="K2553" s="40" t="str">
        <f>IFERROR(__xludf.DUMMYFUNCTION("IF(ISBLANK(B2553),"""",IF(ISDATE(B2553),H2553,""""))"),"")</f>
        <v/>
      </c>
      <c r="L2553" s="40" t="str">
        <f>IFERROR(__xludf.DUMMYFUNCTION("IF(ISBLANK(B2553),"""",IF(ISDATE(B2553),TEXT(B2553,""M""),""""))"),"")</f>
        <v/>
      </c>
      <c r="M2553" s="29" t="str">
        <f>IFERROR(__xludf.DUMMYFUNCTION("IF(L2553="""","""",QUERY({'Dashboard-Dados'!$Y$2:$AA$13},""Select Col2 Where Col1=""&amp;L2553))"),"")</f>
        <v/>
      </c>
      <c r="N2553" s="29" t="str">
        <f>IFERROR(__xludf.DUMMYFUNCTION("IF(ISBLANK(B2553),"""",IF(ISDATE(B2553),TEXT(B2553,""yyyy""),""""))"),"")</f>
        <v/>
      </c>
    </row>
    <row r="2554">
      <c r="B2554" s="89"/>
      <c r="C2554" s="86"/>
      <c r="D2554" s="71"/>
      <c r="H2554" s="90"/>
      <c r="J2554" s="53" t="str">
        <f>IFERROR(__xludf.DUMMYFUNCTION("IF(ISBLANK(B2554),"""",IF(ISDATE(B2554),""X"",""""))"),"")</f>
        <v/>
      </c>
      <c r="K2554" s="40" t="str">
        <f>IFERROR(__xludf.DUMMYFUNCTION("IF(ISBLANK(B2554),"""",IF(ISDATE(B2554),H2554,""""))"),"")</f>
        <v/>
      </c>
      <c r="L2554" s="40" t="str">
        <f>IFERROR(__xludf.DUMMYFUNCTION("IF(ISBLANK(B2554),"""",IF(ISDATE(B2554),TEXT(B2554,""M""),""""))"),"")</f>
        <v/>
      </c>
      <c r="M2554" s="29" t="str">
        <f>IFERROR(__xludf.DUMMYFUNCTION("IF(L2554="""","""",QUERY({'Dashboard-Dados'!$Y$2:$AA$13},""Select Col2 Where Col1=""&amp;L2554))"),"")</f>
        <v/>
      </c>
      <c r="N2554" s="29" t="str">
        <f>IFERROR(__xludf.DUMMYFUNCTION("IF(ISBLANK(B2554),"""",IF(ISDATE(B2554),TEXT(B2554,""yyyy""),""""))"),"")</f>
        <v/>
      </c>
    </row>
    <row r="2555">
      <c r="B2555" s="87"/>
      <c r="C2555" s="85"/>
      <c r="D2555" s="76"/>
      <c r="H2555" s="88"/>
      <c r="J2555" s="53" t="str">
        <f>IFERROR(__xludf.DUMMYFUNCTION("IF(ISBLANK(B2555),"""",IF(ISDATE(B2555),""X"",""""))"),"")</f>
        <v/>
      </c>
      <c r="K2555" s="40" t="str">
        <f>IFERROR(__xludf.DUMMYFUNCTION("IF(ISBLANK(B2555),"""",IF(ISDATE(B2555),H2555,""""))"),"")</f>
        <v/>
      </c>
      <c r="L2555" s="40" t="str">
        <f>IFERROR(__xludf.DUMMYFUNCTION("IF(ISBLANK(B2555),"""",IF(ISDATE(B2555),TEXT(B2555,""M""),""""))"),"")</f>
        <v/>
      </c>
      <c r="M2555" s="29" t="str">
        <f>IFERROR(__xludf.DUMMYFUNCTION("IF(L2555="""","""",QUERY({'Dashboard-Dados'!$Y$2:$AA$13},""Select Col2 Where Col1=""&amp;L2555))"),"")</f>
        <v/>
      </c>
      <c r="N2555" s="29" t="str">
        <f>IFERROR(__xludf.DUMMYFUNCTION("IF(ISBLANK(B2555),"""",IF(ISDATE(B2555),TEXT(B2555,""yyyy""),""""))"),"")</f>
        <v/>
      </c>
    </row>
    <row r="2556">
      <c r="B2556" s="89"/>
      <c r="C2556" s="86"/>
      <c r="D2556" s="71"/>
      <c r="H2556" s="90"/>
      <c r="J2556" s="53" t="str">
        <f>IFERROR(__xludf.DUMMYFUNCTION("IF(ISBLANK(B2556),"""",IF(ISDATE(B2556),""X"",""""))"),"")</f>
        <v/>
      </c>
      <c r="K2556" s="40" t="str">
        <f>IFERROR(__xludf.DUMMYFUNCTION("IF(ISBLANK(B2556),"""",IF(ISDATE(B2556),H2556,""""))"),"")</f>
        <v/>
      </c>
      <c r="L2556" s="40" t="str">
        <f>IFERROR(__xludf.DUMMYFUNCTION("IF(ISBLANK(B2556),"""",IF(ISDATE(B2556),TEXT(B2556,""M""),""""))"),"")</f>
        <v/>
      </c>
      <c r="M2556" s="29" t="str">
        <f>IFERROR(__xludf.DUMMYFUNCTION("IF(L2556="""","""",QUERY({'Dashboard-Dados'!$Y$2:$AA$13},""Select Col2 Where Col1=""&amp;L2556))"),"")</f>
        <v/>
      </c>
      <c r="N2556" s="29" t="str">
        <f>IFERROR(__xludf.DUMMYFUNCTION("IF(ISBLANK(B2556),"""",IF(ISDATE(B2556),TEXT(B2556,""yyyy""),""""))"),"")</f>
        <v/>
      </c>
    </row>
    <row r="2557">
      <c r="B2557" s="87"/>
      <c r="C2557" s="85"/>
      <c r="D2557" s="76"/>
      <c r="H2557" s="88"/>
      <c r="J2557" s="53" t="str">
        <f>IFERROR(__xludf.DUMMYFUNCTION("IF(ISBLANK(B2557),"""",IF(ISDATE(B2557),""X"",""""))"),"")</f>
        <v/>
      </c>
      <c r="K2557" s="40" t="str">
        <f>IFERROR(__xludf.DUMMYFUNCTION("IF(ISBLANK(B2557),"""",IF(ISDATE(B2557),H2557,""""))"),"")</f>
        <v/>
      </c>
      <c r="L2557" s="40" t="str">
        <f>IFERROR(__xludf.DUMMYFUNCTION("IF(ISBLANK(B2557),"""",IF(ISDATE(B2557),TEXT(B2557,""M""),""""))"),"")</f>
        <v/>
      </c>
      <c r="M2557" s="29" t="str">
        <f>IFERROR(__xludf.DUMMYFUNCTION("IF(L2557="""","""",QUERY({'Dashboard-Dados'!$Y$2:$AA$13},""Select Col2 Where Col1=""&amp;L2557))"),"")</f>
        <v/>
      </c>
      <c r="N2557" s="29" t="str">
        <f>IFERROR(__xludf.DUMMYFUNCTION("IF(ISBLANK(B2557),"""",IF(ISDATE(B2557),TEXT(B2557,""yyyy""),""""))"),"")</f>
        <v/>
      </c>
    </row>
    <row r="2558">
      <c r="B2558" s="89"/>
      <c r="C2558" s="86"/>
      <c r="D2558" s="71"/>
      <c r="H2558" s="90"/>
      <c r="J2558" s="53" t="str">
        <f>IFERROR(__xludf.DUMMYFUNCTION("IF(ISBLANK(B2558),"""",IF(ISDATE(B2558),""X"",""""))"),"")</f>
        <v/>
      </c>
      <c r="K2558" s="40" t="str">
        <f>IFERROR(__xludf.DUMMYFUNCTION("IF(ISBLANK(B2558),"""",IF(ISDATE(B2558),H2558,""""))"),"")</f>
        <v/>
      </c>
      <c r="L2558" s="40" t="str">
        <f>IFERROR(__xludf.DUMMYFUNCTION("IF(ISBLANK(B2558),"""",IF(ISDATE(B2558),TEXT(B2558,""M""),""""))"),"")</f>
        <v/>
      </c>
      <c r="M2558" s="29" t="str">
        <f>IFERROR(__xludf.DUMMYFUNCTION("IF(L2558="""","""",QUERY({'Dashboard-Dados'!$Y$2:$AA$13},""Select Col2 Where Col1=""&amp;L2558))"),"")</f>
        <v/>
      </c>
      <c r="N2558" s="29" t="str">
        <f>IFERROR(__xludf.DUMMYFUNCTION("IF(ISBLANK(B2558),"""",IF(ISDATE(B2558),TEXT(B2558,""yyyy""),""""))"),"")</f>
        <v/>
      </c>
    </row>
    <row r="2559">
      <c r="B2559" s="87"/>
      <c r="C2559" s="85"/>
      <c r="D2559" s="76"/>
      <c r="H2559" s="88"/>
      <c r="J2559" s="53" t="str">
        <f>IFERROR(__xludf.DUMMYFUNCTION("IF(ISBLANK(B2559),"""",IF(ISDATE(B2559),""X"",""""))"),"")</f>
        <v/>
      </c>
      <c r="K2559" s="40" t="str">
        <f>IFERROR(__xludf.DUMMYFUNCTION("IF(ISBLANK(B2559),"""",IF(ISDATE(B2559),H2559,""""))"),"")</f>
        <v/>
      </c>
      <c r="L2559" s="40" t="str">
        <f>IFERROR(__xludf.DUMMYFUNCTION("IF(ISBLANK(B2559),"""",IF(ISDATE(B2559),TEXT(B2559,""M""),""""))"),"")</f>
        <v/>
      </c>
      <c r="M2559" s="29" t="str">
        <f>IFERROR(__xludf.DUMMYFUNCTION("IF(L2559="""","""",QUERY({'Dashboard-Dados'!$Y$2:$AA$13},""Select Col2 Where Col1=""&amp;L2559))"),"")</f>
        <v/>
      </c>
      <c r="N2559" s="29" t="str">
        <f>IFERROR(__xludf.DUMMYFUNCTION("IF(ISBLANK(B2559),"""",IF(ISDATE(B2559),TEXT(B2559,""yyyy""),""""))"),"")</f>
        <v/>
      </c>
    </row>
    <row r="2560">
      <c r="B2560" s="89"/>
      <c r="C2560" s="86"/>
      <c r="D2560" s="71"/>
      <c r="H2560" s="90"/>
      <c r="J2560" s="53" t="str">
        <f>IFERROR(__xludf.DUMMYFUNCTION("IF(ISBLANK(B2560),"""",IF(ISDATE(B2560),""X"",""""))"),"")</f>
        <v/>
      </c>
      <c r="K2560" s="40" t="str">
        <f>IFERROR(__xludf.DUMMYFUNCTION("IF(ISBLANK(B2560),"""",IF(ISDATE(B2560),H2560,""""))"),"")</f>
        <v/>
      </c>
      <c r="L2560" s="40" t="str">
        <f>IFERROR(__xludf.DUMMYFUNCTION("IF(ISBLANK(B2560),"""",IF(ISDATE(B2560),TEXT(B2560,""M""),""""))"),"")</f>
        <v/>
      </c>
      <c r="M2560" s="29" t="str">
        <f>IFERROR(__xludf.DUMMYFUNCTION("IF(L2560="""","""",QUERY({'Dashboard-Dados'!$Y$2:$AA$13},""Select Col2 Where Col1=""&amp;L2560))"),"")</f>
        <v/>
      </c>
      <c r="N2560" s="29" t="str">
        <f>IFERROR(__xludf.DUMMYFUNCTION("IF(ISBLANK(B2560),"""",IF(ISDATE(B2560),TEXT(B2560,""yyyy""),""""))"),"")</f>
        <v/>
      </c>
    </row>
    <row r="2561">
      <c r="B2561" s="87"/>
      <c r="C2561" s="85"/>
      <c r="D2561" s="76"/>
      <c r="H2561" s="88"/>
      <c r="J2561" s="53" t="str">
        <f>IFERROR(__xludf.DUMMYFUNCTION("IF(ISBLANK(B2561),"""",IF(ISDATE(B2561),""X"",""""))"),"")</f>
        <v/>
      </c>
      <c r="K2561" s="40" t="str">
        <f>IFERROR(__xludf.DUMMYFUNCTION("IF(ISBLANK(B2561),"""",IF(ISDATE(B2561),H2561,""""))"),"")</f>
        <v/>
      </c>
      <c r="L2561" s="40" t="str">
        <f>IFERROR(__xludf.DUMMYFUNCTION("IF(ISBLANK(B2561),"""",IF(ISDATE(B2561),TEXT(B2561,""M""),""""))"),"")</f>
        <v/>
      </c>
      <c r="M2561" s="29" t="str">
        <f>IFERROR(__xludf.DUMMYFUNCTION("IF(L2561="""","""",QUERY({'Dashboard-Dados'!$Y$2:$AA$13},""Select Col2 Where Col1=""&amp;L2561))"),"")</f>
        <v/>
      </c>
      <c r="N2561" s="29" t="str">
        <f>IFERROR(__xludf.DUMMYFUNCTION("IF(ISBLANK(B2561),"""",IF(ISDATE(B2561),TEXT(B2561,""yyyy""),""""))"),"")</f>
        <v/>
      </c>
    </row>
    <row r="2562">
      <c r="B2562" s="89"/>
      <c r="C2562" s="86"/>
      <c r="D2562" s="71"/>
      <c r="H2562" s="90"/>
      <c r="J2562" s="53" t="str">
        <f>IFERROR(__xludf.DUMMYFUNCTION("IF(ISBLANK(B2562),"""",IF(ISDATE(B2562),""X"",""""))"),"")</f>
        <v/>
      </c>
      <c r="K2562" s="40" t="str">
        <f>IFERROR(__xludf.DUMMYFUNCTION("IF(ISBLANK(B2562),"""",IF(ISDATE(B2562),H2562,""""))"),"")</f>
        <v/>
      </c>
      <c r="L2562" s="40" t="str">
        <f>IFERROR(__xludf.DUMMYFUNCTION("IF(ISBLANK(B2562),"""",IF(ISDATE(B2562),TEXT(B2562,""M""),""""))"),"")</f>
        <v/>
      </c>
      <c r="M2562" s="29" t="str">
        <f>IFERROR(__xludf.DUMMYFUNCTION("IF(L2562="""","""",QUERY({'Dashboard-Dados'!$Y$2:$AA$13},""Select Col2 Where Col1=""&amp;L2562))"),"")</f>
        <v/>
      </c>
      <c r="N2562" s="29" t="str">
        <f>IFERROR(__xludf.DUMMYFUNCTION("IF(ISBLANK(B2562),"""",IF(ISDATE(B2562),TEXT(B2562,""yyyy""),""""))"),"")</f>
        <v/>
      </c>
    </row>
    <row r="2563">
      <c r="B2563" s="87"/>
      <c r="C2563" s="85"/>
      <c r="D2563" s="76"/>
      <c r="H2563" s="88"/>
      <c r="J2563" s="53" t="str">
        <f>IFERROR(__xludf.DUMMYFUNCTION("IF(ISBLANK(B2563),"""",IF(ISDATE(B2563),""X"",""""))"),"")</f>
        <v/>
      </c>
      <c r="K2563" s="40" t="str">
        <f>IFERROR(__xludf.DUMMYFUNCTION("IF(ISBLANK(B2563),"""",IF(ISDATE(B2563),H2563,""""))"),"")</f>
        <v/>
      </c>
      <c r="L2563" s="40" t="str">
        <f>IFERROR(__xludf.DUMMYFUNCTION("IF(ISBLANK(B2563),"""",IF(ISDATE(B2563),TEXT(B2563,""M""),""""))"),"")</f>
        <v/>
      </c>
      <c r="M2563" s="29" t="str">
        <f>IFERROR(__xludf.DUMMYFUNCTION("IF(L2563="""","""",QUERY({'Dashboard-Dados'!$Y$2:$AA$13},""Select Col2 Where Col1=""&amp;L2563))"),"")</f>
        <v/>
      </c>
      <c r="N2563" s="29" t="str">
        <f>IFERROR(__xludf.DUMMYFUNCTION("IF(ISBLANK(B2563),"""",IF(ISDATE(B2563),TEXT(B2563,""yyyy""),""""))"),"")</f>
        <v/>
      </c>
    </row>
    <row r="2564">
      <c r="B2564" s="89"/>
      <c r="C2564" s="86"/>
      <c r="D2564" s="71"/>
      <c r="H2564" s="90"/>
      <c r="J2564" s="53" t="str">
        <f>IFERROR(__xludf.DUMMYFUNCTION("IF(ISBLANK(B2564),"""",IF(ISDATE(B2564),""X"",""""))"),"")</f>
        <v/>
      </c>
      <c r="K2564" s="40" t="str">
        <f>IFERROR(__xludf.DUMMYFUNCTION("IF(ISBLANK(B2564),"""",IF(ISDATE(B2564),H2564,""""))"),"")</f>
        <v/>
      </c>
      <c r="L2564" s="40" t="str">
        <f>IFERROR(__xludf.DUMMYFUNCTION("IF(ISBLANK(B2564),"""",IF(ISDATE(B2564),TEXT(B2564,""M""),""""))"),"")</f>
        <v/>
      </c>
      <c r="M2564" s="29" t="str">
        <f>IFERROR(__xludf.DUMMYFUNCTION("IF(L2564="""","""",QUERY({'Dashboard-Dados'!$Y$2:$AA$13},""Select Col2 Where Col1=""&amp;L2564))"),"")</f>
        <v/>
      </c>
      <c r="N2564" s="29" t="str">
        <f>IFERROR(__xludf.DUMMYFUNCTION("IF(ISBLANK(B2564),"""",IF(ISDATE(B2564),TEXT(B2564,""yyyy""),""""))"),"")</f>
        <v/>
      </c>
    </row>
    <row r="2565">
      <c r="B2565" s="87"/>
      <c r="C2565" s="85"/>
      <c r="D2565" s="76"/>
      <c r="H2565" s="88"/>
      <c r="J2565" s="53" t="str">
        <f>IFERROR(__xludf.DUMMYFUNCTION("IF(ISBLANK(B2565),"""",IF(ISDATE(B2565),""X"",""""))"),"")</f>
        <v/>
      </c>
      <c r="K2565" s="40" t="str">
        <f>IFERROR(__xludf.DUMMYFUNCTION("IF(ISBLANK(B2565),"""",IF(ISDATE(B2565),H2565,""""))"),"")</f>
        <v/>
      </c>
      <c r="L2565" s="40" t="str">
        <f>IFERROR(__xludf.DUMMYFUNCTION("IF(ISBLANK(B2565),"""",IF(ISDATE(B2565),TEXT(B2565,""M""),""""))"),"")</f>
        <v/>
      </c>
      <c r="M2565" s="29" t="str">
        <f>IFERROR(__xludf.DUMMYFUNCTION("IF(L2565="""","""",QUERY({'Dashboard-Dados'!$Y$2:$AA$13},""Select Col2 Where Col1=""&amp;L2565))"),"")</f>
        <v/>
      </c>
      <c r="N2565" s="29" t="str">
        <f>IFERROR(__xludf.DUMMYFUNCTION("IF(ISBLANK(B2565),"""",IF(ISDATE(B2565),TEXT(B2565,""yyyy""),""""))"),"")</f>
        <v/>
      </c>
    </row>
    <row r="2566">
      <c r="B2566" s="89"/>
      <c r="C2566" s="86"/>
      <c r="D2566" s="71"/>
      <c r="H2566" s="90"/>
      <c r="J2566" s="53" t="str">
        <f>IFERROR(__xludf.DUMMYFUNCTION("IF(ISBLANK(B2566),"""",IF(ISDATE(B2566),""X"",""""))"),"")</f>
        <v/>
      </c>
      <c r="K2566" s="40" t="str">
        <f>IFERROR(__xludf.DUMMYFUNCTION("IF(ISBLANK(B2566),"""",IF(ISDATE(B2566),H2566,""""))"),"")</f>
        <v/>
      </c>
      <c r="L2566" s="40" t="str">
        <f>IFERROR(__xludf.DUMMYFUNCTION("IF(ISBLANK(B2566),"""",IF(ISDATE(B2566),TEXT(B2566,""M""),""""))"),"")</f>
        <v/>
      </c>
      <c r="M2566" s="29" t="str">
        <f>IFERROR(__xludf.DUMMYFUNCTION("IF(L2566="""","""",QUERY({'Dashboard-Dados'!$Y$2:$AA$13},""Select Col2 Where Col1=""&amp;L2566))"),"")</f>
        <v/>
      </c>
      <c r="N2566" s="29" t="str">
        <f>IFERROR(__xludf.DUMMYFUNCTION("IF(ISBLANK(B2566),"""",IF(ISDATE(B2566),TEXT(B2566,""yyyy""),""""))"),"")</f>
        <v/>
      </c>
    </row>
    <row r="2567">
      <c r="B2567" s="87"/>
      <c r="C2567" s="85"/>
      <c r="D2567" s="76"/>
      <c r="H2567" s="88"/>
      <c r="J2567" s="53" t="str">
        <f>IFERROR(__xludf.DUMMYFUNCTION("IF(ISBLANK(B2567),"""",IF(ISDATE(B2567),""X"",""""))"),"")</f>
        <v/>
      </c>
      <c r="K2567" s="40" t="str">
        <f>IFERROR(__xludf.DUMMYFUNCTION("IF(ISBLANK(B2567),"""",IF(ISDATE(B2567),H2567,""""))"),"")</f>
        <v/>
      </c>
      <c r="L2567" s="40" t="str">
        <f>IFERROR(__xludf.DUMMYFUNCTION("IF(ISBLANK(B2567),"""",IF(ISDATE(B2567),TEXT(B2567,""M""),""""))"),"")</f>
        <v/>
      </c>
      <c r="M2567" s="29" t="str">
        <f>IFERROR(__xludf.DUMMYFUNCTION("IF(L2567="""","""",QUERY({'Dashboard-Dados'!$Y$2:$AA$13},""Select Col2 Where Col1=""&amp;L2567))"),"")</f>
        <v/>
      </c>
      <c r="N2567" s="29" t="str">
        <f>IFERROR(__xludf.DUMMYFUNCTION("IF(ISBLANK(B2567),"""",IF(ISDATE(B2567),TEXT(B2567,""yyyy""),""""))"),"")</f>
        <v/>
      </c>
    </row>
    <row r="2568">
      <c r="B2568" s="89"/>
      <c r="C2568" s="86"/>
      <c r="D2568" s="71"/>
      <c r="H2568" s="90"/>
      <c r="J2568" s="53" t="str">
        <f>IFERROR(__xludf.DUMMYFUNCTION("IF(ISBLANK(B2568),"""",IF(ISDATE(B2568),""X"",""""))"),"")</f>
        <v/>
      </c>
      <c r="K2568" s="40" t="str">
        <f>IFERROR(__xludf.DUMMYFUNCTION("IF(ISBLANK(B2568),"""",IF(ISDATE(B2568),H2568,""""))"),"")</f>
        <v/>
      </c>
      <c r="L2568" s="40" t="str">
        <f>IFERROR(__xludf.DUMMYFUNCTION("IF(ISBLANK(B2568),"""",IF(ISDATE(B2568),TEXT(B2568,""M""),""""))"),"")</f>
        <v/>
      </c>
      <c r="M2568" s="29" t="str">
        <f>IFERROR(__xludf.DUMMYFUNCTION("IF(L2568="""","""",QUERY({'Dashboard-Dados'!$Y$2:$AA$13},""Select Col2 Where Col1=""&amp;L2568))"),"")</f>
        <v/>
      </c>
      <c r="N2568" s="29" t="str">
        <f>IFERROR(__xludf.DUMMYFUNCTION("IF(ISBLANK(B2568),"""",IF(ISDATE(B2568),TEXT(B2568,""yyyy""),""""))"),"")</f>
        <v/>
      </c>
    </row>
    <row r="2569">
      <c r="B2569" s="87"/>
      <c r="C2569" s="85"/>
      <c r="D2569" s="76"/>
      <c r="H2569" s="88"/>
      <c r="J2569" s="53" t="str">
        <f>IFERROR(__xludf.DUMMYFUNCTION("IF(ISBLANK(B2569),"""",IF(ISDATE(B2569),""X"",""""))"),"")</f>
        <v/>
      </c>
      <c r="K2569" s="40" t="str">
        <f>IFERROR(__xludf.DUMMYFUNCTION("IF(ISBLANK(B2569),"""",IF(ISDATE(B2569),H2569,""""))"),"")</f>
        <v/>
      </c>
      <c r="L2569" s="40" t="str">
        <f>IFERROR(__xludf.DUMMYFUNCTION("IF(ISBLANK(B2569),"""",IF(ISDATE(B2569),TEXT(B2569,""M""),""""))"),"")</f>
        <v/>
      </c>
      <c r="M2569" s="29" t="str">
        <f>IFERROR(__xludf.DUMMYFUNCTION("IF(L2569="""","""",QUERY({'Dashboard-Dados'!$Y$2:$AA$13},""Select Col2 Where Col1=""&amp;L2569))"),"")</f>
        <v/>
      </c>
      <c r="N2569" s="29" t="str">
        <f>IFERROR(__xludf.DUMMYFUNCTION("IF(ISBLANK(B2569),"""",IF(ISDATE(B2569),TEXT(B2569,""yyyy""),""""))"),"")</f>
        <v/>
      </c>
    </row>
    <row r="2570">
      <c r="B2570" s="89"/>
      <c r="C2570" s="86"/>
      <c r="D2570" s="71"/>
      <c r="H2570" s="90"/>
      <c r="J2570" s="53" t="str">
        <f>IFERROR(__xludf.DUMMYFUNCTION("IF(ISBLANK(B2570),"""",IF(ISDATE(B2570),""X"",""""))"),"")</f>
        <v/>
      </c>
      <c r="K2570" s="40" t="str">
        <f>IFERROR(__xludf.DUMMYFUNCTION("IF(ISBLANK(B2570),"""",IF(ISDATE(B2570),H2570,""""))"),"")</f>
        <v/>
      </c>
      <c r="L2570" s="40" t="str">
        <f>IFERROR(__xludf.DUMMYFUNCTION("IF(ISBLANK(B2570),"""",IF(ISDATE(B2570),TEXT(B2570,""M""),""""))"),"")</f>
        <v/>
      </c>
      <c r="M2570" s="29" t="str">
        <f>IFERROR(__xludf.DUMMYFUNCTION("IF(L2570="""","""",QUERY({'Dashboard-Dados'!$Y$2:$AA$13},""Select Col2 Where Col1=""&amp;L2570))"),"")</f>
        <v/>
      </c>
      <c r="N2570" s="29" t="str">
        <f>IFERROR(__xludf.DUMMYFUNCTION("IF(ISBLANK(B2570),"""",IF(ISDATE(B2570),TEXT(B2570,""yyyy""),""""))"),"")</f>
        <v/>
      </c>
    </row>
    <row r="2571">
      <c r="B2571" s="87"/>
      <c r="C2571" s="85"/>
      <c r="D2571" s="76"/>
      <c r="H2571" s="88"/>
      <c r="J2571" s="53" t="str">
        <f>IFERROR(__xludf.DUMMYFUNCTION("IF(ISBLANK(B2571),"""",IF(ISDATE(B2571),""X"",""""))"),"")</f>
        <v/>
      </c>
      <c r="K2571" s="40" t="str">
        <f>IFERROR(__xludf.DUMMYFUNCTION("IF(ISBLANK(B2571),"""",IF(ISDATE(B2571),H2571,""""))"),"")</f>
        <v/>
      </c>
      <c r="L2571" s="40" t="str">
        <f>IFERROR(__xludf.DUMMYFUNCTION("IF(ISBLANK(B2571),"""",IF(ISDATE(B2571),TEXT(B2571,""M""),""""))"),"")</f>
        <v/>
      </c>
      <c r="M2571" s="29" t="str">
        <f>IFERROR(__xludf.DUMMYFUNCTION("IF(L2571="""","""",QUERY({'Dashboard-Dados'!$Y$2:$AA$13},""Select Col2 Where Col1=""&amp;L2571))"),"")</f>
        <v/>
      </c>
      <c r="N2571" s="29" t="str">
        <f>IFERROR(__xludf.DUMMYFUNCTION("IF(ISBLANK(B2571),"""",IF(ISDATE(B2571),TEXT(B2571,""yyyy""),""""))"),"")</f>
        <v/>
      </c>
    </row>
    <row r="2572">
      <c r="B2572" s="89"/>
      <c r="C2572" s="86"/>
      <c r="D2572" s="71"/>
      <c r="H2572" s="90"/>
      <c r="J2572" s="53" t="str">
        <f>IFERROR(__xludf.DUMMYFUNCTION("IF(ISBLANK(B2572),"""",IF(ISDATE(B2572),""X"",""""))"),"")</f>
        <v/>
      </c>
      <c r="K2572" s="40" t="str">
        <f>IFERROR(__xludf.DUMMYFUNCTION("IF(ISBLANK(B2572),"""",IF(ISDATE(B2572),H2572,""""))"),"")</f>
        <v/>
      </c>
      <c r="L2572" s="40" t="str">
        <f>IFERROR(__xludf.DUMMYFUNCTION("IF(ISBLANK(B2572),"""",IF(ISDATE(B2572),TEXT(B2572,""M""),""""))"),"")</f>
        <v/>
      </c>
      <c r="M2572" s="29" t="str">
        <f>IFERROR(__xludf.DUMMYFUNCTION("IF(L2572="""","""",QUERY({'Dashboard-Dados'!$Y$2:$AA$13},""Select Col2 Where Col1=""&amp;L2572))"),"")</f>
        <v/>
      </c>
      <c r="N2572" s="29" t="str">
        <f>IFERROR(__xludf.DUMMYFUNCTION("IF(ISBLANK(B2572),"""",IF(ISDATE(B2572),TEXT(B2572,""yyyy""),""""))"),"")</f>
        <v/>
      </c>
    </row>
    <row r="2573">
      <c r="B2573" s="87"/>
      <c r="C2573" s="85"/>
      <c r="D2573" s="76"/>
      <c r="H2573" s="88"/>
      <c r="J2573" s="53" t="str">
        <f>IFERROR(__xludf.DUMMYFUNCTION("IF(ISBLANK(B2573),"""",IF(ISDATE(B2573),""X"",""""))"),"")</f>
        <v/>
      </c>
      <c r="K2573" s="40" t="str">
        <f>IFERROR(__xludf.DUMMYFUNCTION("IF(ISBLANK(B2573),"""",IF(ISDATE(B2573),H2573,""""))"),"")</f>
        <v/>
      </c>
      <c r="L2573" s="40" t="str">
        <f>IFERROR(__xludf.DUMMYFUNCTION("IF(ISBLANK(B2573),"""",IF(ISDATE(B2573),TEXT(B2573,""M""),""""))"),"")</f>
        <v/>
      </c>
      <c r="M2573" s="29" t="str">
        <f>IFERROR(__xludf.DUMMYFUNCTION("IF(L2573="""","""",QUERY({'Dashboard-Dados'!$Y$2:$AA$13},""Select Col2 Where Col1=""&amp;L2573))"),"")</f>
        <v/>
      </c>
      <c r="N2573" s="29" t="str">
        <f>IFERROR(__xludf.DUMMYFUNCTION("IF(ISBLANK(B2573),"""",IF(ISDATE(B2573),TEXT(B2573,""yyyy""),""""))"),"")</f>
        <v/>
      </c>
    </row>
    <row r="2574">
      <c r="B2574" s="89"/>
      <c r="C2574" s="86"/>
      <c r="D2574" s="71"/>
      <c r="H2574" s="90"/>
      <c r="J2574" s="53" t="str">
        <f>IFERROR(__xludf.DUMMYFUNCTION("IF(ISBLANK(B2574),"""",IF(ISDATE(B2574),""X"",""""))"),"")</f>
        <v/>
      </c>
      <c r="K2574" s="40" t="str">
        <f>IFERROR(__xludf.DUMMYFUNCTION("IF(ISBLANK(B2574),"""",IF(ISDATE(B2574),H2574,""""))"),"")</f>
        <v/>
      </c>
      <c r="L2574" s="40" t="str">
        <f>IFERROR(__xludf.DUMMYFUNCTION("IF(ISBLANK(B2574),"""",IF(ISDATE(B2574),TEXT(B2574,""M""),""""))"),"")</f>
        <v/>
      </c>
      <c r="M2574" s="29" t="str">
        <f>IFERROR(__xludf.DUMMYFUNCTION("IF(L2574="""","""",QUERY({'Dashboard-Dados'!$Y$2:$AA$13},""Select Col2 Where Col1=""&amp;L2574))"),"")</f>
        <v/>
      </c>
      <c r="N2574" s="29" t="str">
        <f>IFERROR(__xludf.DUMMYFUNCTION("IF(ISBLANK(B2574),"""",IF(ISDATE(B2574),TEXT(B2574,""yyyy""),""""))"),"")</f>
        <v/>
      </c>
    </row>
    <row r="2575">
      <c r="B2575" s="87"/>
      <c r="C2575" s="85"/>
      <c r="D2575" s="76"/>
      <c r="H2575" s="88"/>
      <c r="J2575" s="53" t="str">
        <f>IFERROR(__xludf.DUMMYFUNCTION("IF(ISBLANK(B2575),"""",IF(ISDATE(B2575),""X"",""""))"),"")</f>
        <v/>
      </c>
      <c r="K2575" s="40" t="str">
        <f>IFERROR(__xludf.DUMMYFUNCTION("IF(ISBLANK(B2575),"""",IF(ISDATE(B2575),H2575,""""))"),"")</f>
        <v/>
      </c>
      <c r="L2575" s="40" t="str">
        <f>IFERROR(__xludf.DUMMYFUNCTION("IF(ISBLANK(B2575),"""",IF(ISDATE(B2575),TEXT(B2575,""M""),""""))"),"")</f>
        <v/>
      </c>
      <c r="M2575" s="29" t="str">
        <f>IFERROR(__xludf.DUMMYFUNCTION("IF(L2575="""","""",QUERY({'Dashboard-Dados'!$Y$2:$AA$13},""Select Col2 Where Col1=""&amp;L2575))"),"")</f>
        <v/>
      </c>
      <c r="N2575" s="29" t="str">
        <f>IFERROR(__xludf.DUMMYFUNCTION("IF(ISBLANK(B2575),"""",IF(ISDATE(B2575),TEXT(B2575,""yyyy""),""""))"),"")</f>
        <v/>
      </c>
    </row>
    <row r="2576">
      <c r="B2576" s="89"/>
      <c r="C2576" s="86"/>
      <c r="D2576" s="71"/>
      <c r="H2576" s="90"/>
      <c r="J2576" s="53" t="str">
        <f>IFERROR(__xludf.DUMMYFUNCTION("IF(ISBLANK(B2576),"""",IF(ISDATE(B2576),""X"",""""))"),"")</f>
        <v/>
      </c>
      <c r="K2576" s="40" t="str">
        <f>IFERROR(__xludf.DUMMYFUNCTION("IF(ISBLANK(B2576),"""",IF(ISDATE(B2576),H2576,""""))"),"")</f>
        <v/>
      </c>
      <c r="L2576" s="40" t="str">
        <f>IFERROR(__xludf.DUMMYFUNCTION("IF(ISBLANK(B2576),"""",IF(ISDATE(B2576),TEXT(B2576,""M""),""""))"),"")</f>
        <v/>
      </c>
      <c r="M2576" s="29" t="str">
        <f>IFERROR(__xludf.DUMMYFUNCTION("IF(L2576="""","""",QUERY({'Dashboard-Dados'!$Y$2:$AA$13},""Select Col2 Where Col1=""&amp;L2576))"),"")</f>
        <v/>
      </c>
      <c r="N2576" s="29" t="str">
        <f>IFERROR(__xludf.DUMMYFUNCTION("IF(ISBLANK(B2576),"""",IF(ISDATE(B2576),TEXT(B2576,""yyyy""),""""))"),"")</f>
        <v/>
      </c>
    </row>
    <row r="2577">
      <c r="B2577" s="87"/>
      <c r="C2577" s="85"/>
      <c r="D2577" s="76"/>
      <c r="H2577" s="88"/>
      <c r="J2577" s="53" t="str">
        <f>IFERROR(__xludf.DUMMYFUNCTION("IF(ISBLANK(B2577),"""",IF(ISDATE(B2577),""X"",""""))"),"")</f>
        <v/>
      </c>
      <c r="K2577" s="40" t="str">
        <f>IFERROR(__xludf.DUMMYFUNCTION("IF(ISBLANK(B2577),"""",IF(ISDATE(B2577),H2577,""""))"),"")</f>
        <v/>
      </c>
      <c r="L2577" s="40" t="str">
        <f>IFERROR(__xludf.DUMMYFUNCTION("IF(ISBLANK(B2577),"""",IF(ISDATE(B2577),TEXT(B2577,""M""),""""))"),"")</f>
        <v/>
      </c>
      <c r="M2577" s="29" t="str">
        <f>IFERROR(__xludf.DUMMYFUNCTION("IF(L2577="""","""",QUERY({'Dashboard-Dados'!$Y$2:$AA$13},""Select Col2 Where Col1=""&amp;L2577))"),"")</f>
        <v/>
      </c>
      <c r="N2577" s="29" t="str">
        <f>IFERROR(__xludf.DUMMYFUNCTION("IF(ISBLANK(B2577),"""",IF(ISDATE(B2577),TEXT(B2577,""yyyy""),""""))"),"")</f>
        <v/>
      </c>
    </row>
    <row r="2578">
      <c r="B2578" s="89"/>
      <c r="C2578" s="86"/>
      <c r="D2578" s="71"/>
      <c r="H2578" s="90"/>
      <c r="J2578" s="53" t="str">
        <f>IFERROR(__xludf.DUMMYFUNCTION("IF(ISBLANK(B2578),"""",IF(ISDATE(B2578),""X"",""""))"),"")</f>
        <v/>
      </c>
      <c r="K2578" s="40" t="str">
        <f>IFERROR(__xludf.DUMMYFUNCTION("IF(ISBLANK(B2578),"""",IF(ISDATE(B2578),H2578,""""))"),"")</f>
        <v/>
      </c>
      <c r="L2578" s="40" t="str">
        <f>IFERROR(__xludf.DUMMYFUNCTION("IF(ISBLANK(B2578),"""",IF(ISDATE(B2578),TEXT(B2578,""M""),""""))"),"")</f>
        <v/>
      </c>
      <c r="M2578" s="29" t="str">
        <f>IFERROR(__xludf.DUMMYFUNCTION("IF(L2578="""","""",QUERY({'Dashboard-Dados'!$Y$2:$AA$13},""Select Col2 Where Col1=""&amp;L2578))"),"")</f>
        <v/>
      </c>
      <c r="N2578" s="29" t="str">
        <f>IFERROR(__xludf.DUMMYFUNCTION("IF(ISBLANK(B2578),"""",IF(ISDATE(B2578),TEXT(B2578,""yyyy""),""""))"),"")</f>
        <v/>
      </c>
    </row>
    <row r="2579">
      <c r="B2579" s="87"/>
      <c r="C2579" s="85"/>
      <c r="D2579" s="76"/>
      <c r="H2579" s="88"/>
      <c r="J2579" s="53" t="str">
        <f>IFERROR(__xludf.DUMMYFUNCTION("IF(ISBLANK(B2579),"""",IF(ISDATE(B2579),""X"",""""))"),"")</f>
        <v/>
      </c>
      <c r="K2579" s="40" t="str">
        <f>IFERROR(__xludf.DUMMYFUNCTION("IF(ISBLANK(B2579),"""",IF(ISDATE(B2579),H2579,""""))"),"")</f>
        <v/>
      </c>
      <c r="L2579" s="40" t="str">
        <f>IFERROR(__xludf.DUMMYFUNCTION("IF(ISBLANK(B2579),"""",IF(ISDATE(B2579),TEXT(B2579,""M""),""""))"),"")</f>
        <v/>
      </c>
      <c r="M2579" s="29" t="str">
        <f>IFERROR(__xludf.DUMMYFUNCTION("IF(L2579="""","""",QUERY({'Dashboard-Dados'!$Y$2:$AA$13},""Select Col2 Where Col1=""&amp;L2579))"),"")</f>
        <v/>
      </c>
      <c r="N2579" s="29" t="str">
        <f>IFERROR(__xludf.DUMMYFUNCTION("IF(ISBLANK(B2579),"""",IF(ISDATE(B2579),TEXT(B2579,""yyyy""),""""))"),"")</f>
        <v/>
      </c>
    </row>
    <row r="2580">
      <c r="B2580" s="89"/>
      <c r="C2580" s="86"/>
      <c r="D2580" s="71"/>
      <c r="H2580" s="90"/>
      <c r="J2580" s="53" t="str">
        <f>IFERROR(__xludf.DUMMYFUNCTION("IF(ISBLANK(B2580),"""",IF(ISDATE(B2580),""X"",""""))"),"")</f>
        <v/>
      </c>
      <c r="K2580" s="40" t="str">
        <f>IFERROR(__xludf.DUMMYFUNCTION("IF(ISBLANK(B2580),"""",IF(ISDATE(B2580),H2580,""""))"),"")</f>
        <v/>
      </c>
      <c r="L2580" s="40" t="str">
        <f>IFERROR(__xludf.DUMMYFUNCTION("IF(ISBLANK(B2580),"""",IF(ISDATE(B2580),TEXT(B2580,""M""),""""))"),"")</f>
        <v/>
      </c>
      <c r="M2580" s="29" t="str">
        <f>IFERROR(__xludf.DUMMYFUNCTION("IF(L2580="""","""",QUERY({'Dashboard-Dados'!$Y$2:$AA$13},""Select Col2 Where Col1=""&amp;L2580))"),"")</f>
        <v/>
      </c>
      <c r="N2580" s="29" t="str">
        <f>IFERROR(__xludf.DUMMYFUNCTION("IF(ISBLANK(B2580),"""",IF(ISDATE(B2580),TEXT(B2580,""yyyy""),""""))"),"")</f>
        <v/>
      </c>
    </row>
    <row r="2581">
      <c r="B2581" s="87"/>
      <c r="C2581" s="85"/>
      <c r="D2581" s="76"/>
      <c r="H2581" s="88"/>
      <c r="J2581" s="53" t="str">
        <f>IFERROR(__xludf.DUMMYFUNCTION("IF(ISBLANK(B2581),"""",IF(ISDATE(B2581),""X"",""""))"),"")</f>
        <v/>
      </c>
      <c r="K2581" s="40" t="str">
        <f>IFERROR(__xludf.DUMMYFUNCTION("IF(ISBLANK(B2581),"""",IF(ISDATE(B2581),H2581,""""))"),"")</f>
        <v/>
      </c>
      <c r="L2581" s="40" t="str">
        <f>IFERROR(__xludf.DUMMYFUNCTION("IF(ISBLANK(B2581),"""",IF(ISDATE(B2581),TEXT(B2581,""M""),""""))"),"")</f>
        <v/>
      </c>
      <c r="M2581" s="29" t="str">
        <f>IFERROR(__xludf.DUMMYFUNCTION("IF(L2581="""","""",QUERY({'Dashboard-Dados'!$Y$2:$AA$13},""Select Col2 Where Col1=""&amp;L2581))"),"")</f>
        <v/>
      </c>
      <c r="N2581" s="29" t="str">
        <f>IFERROR(__xludf.DUMMYFUNCTION("IF(ISBLANK(B2581),"""",IF(ISDATE(B2581),TEXT(B2581,""yyyy""),""""))"),"")</f>
        <v/>
      </c>
    </row>
    <row r="2582">
      <c r="B2582" s="89"/>
      <c r="C2582" s="86"/>
      <c r="D2582" s="71"/>
      <c r="H2582" s="90"/>
      <c r="J2582" s="53" t="str">
        <f>IFERROR(__xludf.DUMMYFUNCTION("IF(ISBLANK(B2582),"""",IF(ISDATE(B2582),""X"",""""))"),"")</f>
        <v/>
      </c>
      <c r="K2582" s="40" t="str">
        <f>IFERROR(__xludf.DUMMYFUNCTION("IF(ISBLANK(B2582),"""",IF(ISDATE(B2582),H2582,""""))"),"")</f>
        <v/>
      </c>
      <c r="L2582" s="40" t="str">
        <f>IFERROR(__xludf.DUMMYFUNCTION("IF(ISBLANK(B2582),"""",IF(ISDATE(B2582),TEXT(B2582,""M""),""""))"),"")</f>
        <v/>
      </c>
      <c r="M2582" s="29" t="str">
        <f>IFERROR(__xludf.DUMMYFUNCTION("IF(L2582="""","""",QUERY({'Dashboard-Dados'!$Y$2:$AA$13},""Select Col2 Where Col1=""&amp;L2582))"),"")</f>
        <v/>
      </c>
      <c r="N2582" s="29" t="str">
        <f>IFERROR(__xludf.DUMMYFUNCTION("IF(ISBLANK(B2582),"""",IF(ISDATE(B2582),TEXT(B2582,""yyyy""),""""))"),"")</f>
        <v/>
      </c>
    </row>
    <row r="2583">
      <c r="B2583" s="87"/>
      <c r="C2583" s="85"/>
      <c r="D2583" s="76"/>
      <c r="H2583" s="88"/>
      <c r="J2583" s="53" t="str">
        <f>IFERROR(__xludf.DUMMYFUNCTION("IF(ISBLANK(B2583),"""",IF(ISDATE(B2583),""X"",""""))"),"")</f>
        <v/>
      </c>
      <c r="K2583" s="40" t="str">
        <f>IFERROR(__xludf.DUMMYFUNCTION("IF(ISBLANK(B2583),"""",IF(ISDATE(B2583),H2583,""""))"),"")</f>
        <v/>
      </c>
      <c r="L2583" s="40" t="str">
        <f>IFERROR(__xludf.DUMMYFUNCTION("IF(ISBLANK(B2583),"""",IF(ISDATE(B2583),TEXT(B2583,""M""),""""))"),"")</f>
        <v/>
      </c>
      <c r="M2583" s="29" t="str">
        <f>IFERROR(__xludf.DUMMYFUNCTION("IF(L2583="""","""",QUERY({'Dashboard-Dados'!$Y$2:$AA$13},""Select Col2 Where Col1=""&amp;L2583))"),"")</f>
        <v/>
      </c>
      <c r="N2583" s="29" t="str">
        <f>IFERROR(__xludf.DUMMYFUNCTION("IF(ISBLANK(B2583),"""",IF(ISDATE(B2583),TEXT(B2583,""yyyy""),""""))"),"")</f>
        <v/>
      </c>
    </row>
    <row r="2584">
      <c r="B2584" s="89"/>
      <c r="C2584" s="86"/>
      <c r="D2584" s="71"/>
      <c r="H2584" s="90"/>
      <c r="J2584" s="53" t="str">
        <f>IFERROR(__xludf.DUMMYFUNCTION("IF(ISBLANK(B2584),"""",IF(ISDATE(B2584),""X"",""""))"),"")</f>
        <v/>
      </c>
      <c r="K2584" s="40" t="str">
        <f>IFERROR(__xludf.DUMMYFUNCTION("IF(ISBLANK(B2584),"""",IF(ISDATE(B2584),H2584,""""))"),"")</f>
        <v/>
      </c>
      <c r="L2584" s="40" t="str">
        <f>IFERROR(__xludf.DUMMYFUNCTION("IF(ISBLANK(B2584),"""",IF(ISDATE(B2584),TEXT(B2584,""M""),""""))"),"")</f>
        <v/>
      </c>
      <c r="M2584" s="29" t="str">
        <f>IFERROR(__xludf.DUMMYFUNCTION("IF(L2584="""","""",QUERY({'Dashboard-Dados'!$Y$2:$AA$13},""Select Col2 Where Col1=""&amp;L2584))"),"")</f>
        <v/>
      </c>
      <c r="N2584" s="29" t="str">
        <f>IFERROR(__xludf.DUMMYFUNCTION("IF(ISBLANK(B2584),"""",IF(ISDATE(B2584),TEXT(B2584,""yyyy""),""""))"),"")</f>
        <v/>
      </c>
    </row>
    <row r="2585">
      <c r="B2585" s="87"/>
      <c r="C2585" s="85"/>
      <c r="D2585" s="76"/>
      <c r="H2585" s="88"/>
      <c r="J2585" s="53" t="str">
        <f>IFERROR(__xludf.DUMMYFUNCTION("IF(ISBLANK(B2585),"""",IF(ISDATE(B2585),""X"",""""))"),"")</f>
        <v/>
      </c>
      <c r="K2585" s="40" t="str">
        <f>IFERROR(__xludf.DUMMYFUNCTION("IF(ISBLANK(B2585),"""",IF(ISDATE(B2585),H2585,""""))"),"")</f>
        <v/>
      </c>
      <c r="L2585" s="40" t="str">
        <f>IFERROR(__xludf.DUMMYFUNCTION("IF(ISBLANK(B2585),"""",IF(ISDATE(B2585),TEXT(B2585,""M""),""""))"),"")</f>
        <v/>
      </c>
      <c r="M2585" s="29" t="str">
        <f>IFERROR(__xludf.DUMMYFUNCTION("IF(L2585="""","""",QUERY({'Dashboard-Dados'!$Y$2:$AA$13},""Select Col2 Where Col1=""&amp;L2585))"),"")</f>
        <v/>
      </c>
      <c r="N2585" s="29" t="str">
        <f>IFERROR(__xludf.DUMMYFUNCTION("IF(ISBLANK(B2585),"""",IF(ISDATE(B2585),TEXT(B2585,""yyyy""),""""))"),"")</f>
        <v/>
      </c>
    </row>
    <row r="2586">
      <c r="B2586" s="89"/>
      <c r="C2586" s="86"/>
      <c r="D2586" s="71"/>
      <c r="H2586" s="90"/>
      <c r="J2586" s="53" t="str">
        <f>IFERROR(__xludf.DUMMYFUNCTION("IF(ISBLANK(B2586),"""",IF(ISDATE(B2586),""X"",""""))"),"")</f>
        <v/>
      </c>
      <c r="K2586" s="40" t="str">
        <f>IFERROR(__xludf.DUMMYFUNCTION("IF(ISBLANK(B2586),"""",IF(ISDATE(B2586),H2586,""""))"),"")</f>
        <v/>
      </c>
      <c r="L2586" s="40" t="str">
        <f>IFERROR(__xludf.DUMMYFUNCTION("IF(ISBLANK(B2586),"""",IF(ISDATE(B2586),TEXT(B2586,""M""),""""))"),"")</f>
        <v/>
      </c>
      <c r="M2586" s="29" t="str">
        <f>IFERROR(__xludf.DUMMYFUNCTION("IF(L2586="""","""",QUERY({'Dashboard-Dados'!$Y$2:$AA$13},""Select Col2 Where Col1=""&amp;L2586))"),"")</f>
        <v/>
      </c>
      <c r="N2586" s="29" t="str">
        <f>IFERROR(__xludf.DUMMYFUNCTION("IF(ISBLANK(B2586),"""",IF(ISDATE(B2586),TEXT(B2586,""yyyy""),""""))"),"")</f>
        <v/>
      </c>
    </row>
    <row r="2587">
      <c r="B2587" s="87"/>
      <c r="C2587" s="85"/>
      <c r="D2587" s="76"/>
      <c r="H2587" s="88"/>
      <c r="J2587" s="53" t="str">
        <f>IFERROR(__xludf.DUMMYFUNCTION("IF(ISBLANK(B2587),"""",IF(ISDATE(B2587),""X"",""""))"),"")</f>
        <v/>
      </c>
      <c r="K2587" s="40" t="str">
        <f>IFERROR(__xludf.DUMMYFUNCTION("IF(ISBLANK(B2587),"""",IF(ISDATE(B2587),H2587,""""))"),"")</f>
        <v/>
      </c>
      <c r="L2587" s="40" t="str">
        <f>IFERROR(__xludf.DUMMYFUNCTION("IF(ISBLANK(B2587),"""",IF(ISDATE(B2587),TEXT(B2587,""M""),""""))"),"")</f>
        <v/>
      </c>
      <c r="M2587" s="29" t="str">
        <f>IFERROR(__xludf.DUMMYFUNCTION("IF(L2587="""","""",QUERY({'Dashboard-Dados'!$Y$2:$AA$13},""Select Col2 Where Col1=""&amp;L2587))"),"")</f>
        <v/>
      </c>
      <c r="N2587" s="29" t="str">
        <f>IFERROR(__xludf.DUMMYFUNCTION("IF(ISBLANK(B2587),"""",IF(ISDATE(B2587),TEXT(B2587,""yyyy""),""""))"),"")</f>
        <v/>
      </c>
    </row>
    <row r="2588">
      <c r="B2588" s="89"/>
      <c r="C2588" s="86"/>
      <c r="D2588" s="71"/>
      <c r="H2588" s="90"/>
      <c r="J2588" s="53" t="str">
        <f>IFERROR(__xludf.DUMMYFUNCTION("IF(ISBLANK(B2588),"""",IF(ISDATE(B2588),""X"",""""))"),"")</f>
        <v/>
      </c>
      <c r="K2588" s="40" t="str">
        <f>IFERROR(__xludf.DUMMYFUNCTION("IF(ISBLANK(B2588),"""",IF(ISDATE(B2588),H2588,""""))"),"")</f>
        <v/>
      </c>
      <c r="L2588" s="40" t="str">
        <f>IFERROR(__xludf.DUMMYFUNCTION("IF(ISBLANK(B2588),"""",IF(ISDATE(B2588),TEXT(B2588,""M""),""""))"),"")</f>
        <v/>
      </c>
      <c r="M2588" s="29" t="str">
        <f>IFERROR(__xludf.DUMMYFUNCTION("IF(L2588="""","""",QUERY({'Dashboard-Dados'!$Y$2:$AA$13},""Select Col2 Where Col1=""&amp;L2588))"),"")</f>
        <v/>
      </c>
      <c r="N2588" s="29" t="str">
        <f>IFERROR(__xludf.DUMMYFUNCTION("IF(ISBLANK(B2588),"""",IF(ISDATE(B2588),TEXT(B2588,""yyyy""),""""))"),"")</f>
        <v/>
      </c>
    </row>
    <row r="2589">
      <c r="B2589" s="87"/>
      <c r="C2589" s="85"/>
      <c r="D2589" s="76"/>
      <c r="H2589" s="88"/>
      <c r="J2589" s="53" t="str">
        <f>IFERROR(__xludf.DUMMYFUNCTION("IF(ISBLANK(B2589),"""",IF(ISDATE(B2589),""X"",""""))"),"")</f>
        <v/>
      </c>
      <c r="K2589" s="40" t="str">
        <f>IFERROR(__xludf.DUMMYFUNCTION("IF(ISBLANK(B2589),"""",IF(ISDATE(B2589),H2589,""""))"),"")</f>
        <v/>
      </c>
      <c r="L2589" s="40" t="str">
        <f>IFERROR(__xludf.DUMMYFUNCTION("IF(ISBLANK(B2589),"""",IF(ISDATE(B2589),TEXT(B2589,""M""),""""))"),"")</f>
        <v/>
      </c>
      <c r="M2589" s="29" t="str">
        <f>IFERROR(__xludf.DUMMYFUNCTION("IF(L2589="""","""",QUERY({'Dashboard-Dados'!$Y$2:$AA$13},""Select Col2 Where Col1=""&amp;L2589))"),"")</f>
        <v/>
      </c>
      <c r="N2589" s="29" t="str">
        <f>IFERROR(__xludf.DUMMYFUNCTION("IF(ISBLANK(B2589),"""",IF(ISDATE(B2589),TEXT(B2589,""yyyy""),""""))"),"")</f>
        <v/>
      </c>
    </row>
    <row r="2590">
      <c r="B2590" s="89"/>
      <c r="C2590" s="86"/>
      <c r="D2590" s="71"/>
      <c r="H2590" s="90"/>
      <c r="J2590" s="53" t="str">
        <f>IFERROR(__xludf.DUMMYFUNCTION("IF(ISBLANK(B2590),"""",IF(ISDATE(B2590),""X"",""""))"),"")</f>
        <v/>
      </c>
      <c r="K2590" s="40" t="str">
        <f>IFERROR(__xludf.DUMMYFUNCTION("IF(ISBLANK(B2590),"""",IF(ISDATE(B2590),H2590,""""))"),"")</f>
        <v/>
      </c>
      <c r="L2590" s="40" t="str">
        <f>IFERROR(__xludf.DUMMYFUNCTION("IF(ISBLANK(B2590),"""",IF(ISDATE(B2590),TEXT(B2590,""M""),""""))"),"")</f>
        <v/>
      </c>
      <c r="M2590" s="29" t="str">
        <f>IFERROR(__xludf.DUMMYFUNCTION("IF(L2590="""","""",QUERY({'Dashboard-Dados'!$Y$2:$AA$13},""Select Col2 Where Col1=""&amp;L2590))"),"")</f>
        <v/>
      </c>
      <c r="N2590" s="29" t="str">
        <f>IFERROR(__xludf.DUMMYFUNCTION("IF(ISBLANK(B2590),"""",IF(ISDATE(B2590),TEXT(B2590,""yyyy""),""""))"),"")</f>
        <v/>
      </c>
    </row>
    <row r="2591">
      <c r="B2591" s="87"/>
      <c r="C2591" s="85"/>
      <c r="D2591" s="76"/>
      <c r="H2591" s="88"/>
      <c r="J2591" s="53" t="str">
        <f>IFERROR(__xludf.DUMMYFUNCTION("IF(ISBLANK(B2591),"""",IF(ISDATE(B2591),""X"",""""))"),"")</f>
        <v/>
      </c>
      <c r="K2591" s="40" t="str">
        <f>IFERROR(__xludf.DUMMYFUNCTION("IF(ISBLANK(B2591),"""",IF(ISDATE(B2591),H2591,""""))"),"")</f>
        <v/>
      </c>
      <c r="L2591" s="40" t="str">
        <f>IFERROR(__xludf.DUMMYFUNCTION("IF(ISBLANK(B2591),"""",IF(ISDATE(B2591),TEXT(B2591,""M""),""""))"),"")</f>
        <v/>
      </c>
      <c r="M2591" s="29" t="str">
        <f>IFERROR(__xludf.DUMMYFUNCTION("IF(L2591="""","""",QUERY({'Dashboard-Dados'!$Y$2:$AA$13},""Select Col2 Where Col1=""&amp;L2591))"),"")</f>
        <v/>
      </c>
      <c r="N2591" s="29" t="str">
        <f>IFERROR(__xludf.DUMMYFUNCTION("IF(ISBLANK(B2591),"""",IF(ISDATE(B2591),TEXT(B2591,""yyyy""),""""))"),"")</f>
        <v/>
      </c>
    </row>
    <row r="2592">
      <c r="B2592" s="89"/>
      <c r="C2592" s="86"/>
      <c r="D2592" s="71"/>
      <c r="H2592" s="90"/>
      <c r="J2592" s="53" t="str">
        <f>IFERROR(__xludf.DUMMYFUNCTION("IF(ISBLANK(B2592),"""",IF(ISDATE(B2592),""X"",""""))"),"")</f>
        <v/>
      </c>
      <c r="K2592" s="40" t="str">
        <f>IFERROR(__xludf.DUMMYFUNCTION("IF(ISBLANK(B2592),"""",IF(ISDATE(B2592),H2592,""""))"),"")</f>
        <v/>
      </c>
      <c r="L2592" s="40" t="str">
        <f>IFERROR(__xludf.DUMMYFUNCTION("IF(ISBLANK(B2592),"""",IF(ISDATE(B2592),TEXT(B2592,""M""),""""))"),"")</f>
        <v/>
      </c>
      <c r="M2592" s="29" t="str">
        <f>IFERROR(__xludf.DUMMYFUNCTION("IF(L2592="""","""",QUERY({'Dashboard-Dados'!$Y$2:$AA$13},""Select Col2 Where Col1=""&amp;L2592))"),"")</f>
        <v/>
      </c>
      <c r="N2592" s="29" t="str">
        <f>IFERROR(__xludf.DUMMYFUNCTION("IF(ISBLANK(B2592),"""",IF(ISDATE(B2592),TEXT(B2592,""yyyy""),""""))"),"")</f>
        <v/>
      </c>
    </row>
    <row r="2593">
      <c r="B2593" s="87"/>
      <c r="C2593" s="85"/>
      <c r="D2593" s="76"/>
      <c r="H2593" s="88"/>
      <c r="J2593" s="53" t="str">
        <f>IFERROR(__xludf.DUMMYFUNCTION("IF(ISBLANK(B2593),"""",IF(ISDATE(B2593),""X"",""""))"),"")</f>
        <v/>
      </c>
      <c r="K2593" s="40" t="str">
        <f>IFERROR(__xludf.DUMMYFUNCTION("IF(ISBLANK(B2593),"""",IF(ISDATE(B2593),H2593,""""))"),"")</f>
        <v/>
      </c>
      <c r="L2593" s="40" t="str">
        <f>IFERROR(__xludf.DUMMYFUNCTION("IF(ISBLANK(B2593),"""",IF(ISDATE(B2593),TEXT(B2593,""M""),""""))"),"")</f>
        <v/>
      </c>
      <c r="M2593" s="29" t="str">
        <f>IFERROR(__xludf.DUMMYFUNCTION("IF(L2593="""","""",QUERY({'Dashboard-Dados'!$Y$2:$AA$13},""Select Col2 Where Col1=""&amp;L2593))"),"")</f>
        <v/>
      </c>
      <c r="N2593" s="29" t="str">
        <f>IFERROR(__xludf.DUMMYFUNCTION("IF(ISBLANK(B2593),"""",IF(ISDATE(B2593),TEXT(B2593,""yyyy""),""""))"),"")</f>
        <v/>
      </c>
    </row>
    <row r="2594">
      <c r="B2594" s="89"/>
      <c r="C2594" s="86"/>
      <c r="D2594" s="71"/>
      <c r="H2594" s="90"/>
      <c r="J2594" s="53" t="str">
        <f>IFERROR(__xludf.DUMMYFUNCTION("IF(ISBLANK(B2594),"""",IF(ISDATE(B2594),""X"",""""))"),"")</f>
        <v/>
      </c>
      <c r="K2594" s="40" t="str">
        <f>IFERROR(__xludf.DUMMYFUNCTION("IF(ISBLANK(B2594),"""",IF(ISDATE(B2594),H2594,""""))"),"")</f>
        <v/>
      </c>
      <c r="L2594" s="40" t="str">
        <f>IFERROR(__xludf.DUMMYFUNCTION("IF(ISBLANK(B2594),"""",IF(ISDATE(B2594),TEXT(B2594,""M""),""""))"),"")</f>
        <v/>
      </c>
      <c r="M2594" s="29" t="str">
        <f>IFERROR(__xludf.DUMMYFUNCTION("IF(L2594="""","""",QUERY({'Dashboard-Dados'!$Y$2:$AA$13},""Select Col2 Where Col1=""&amp;L2594))"),"")</f>
        <v/>
      </c>
      <c r="N2594" s="29" t="str">
        <f>IFERROR(__xludf.DUMMYFUNCTION("IF(ISBLANK(B2594),"""",IF(ISDATE(B2594),TEXT(B2594,""yyyy""),""""))"),"")</f>
        <v/>
      </c>
    </row>
    <row r="2595">
      <c r="B2595" s="87"/>
      <c r="C2595" s="85"/>
      <c r="D2595" s="76"/>
      <c r="H2595" s="88"/>
      <c r="J2595" s="53" t="str">
        <f>IFERROR(__xludf.DUMMYFUNCTION("IF(ISBLANK(B2595),"""",IF(ISDATE(B2595),""X"",""""))"),"")</f>
        <v/>
      </c>
      <c r="K2595" s="40" t="str">
        <f>IFERROR(__xludf.DUMMYFUNCTION("IF(ISBLANK(B2595),"""",IF(ISDATE(B2595),H2595,""""))"),"")</f>
        <v/>
      </c>
      <c r="L2595" s="40" t="str">
        <f>IFERROR(__xludf.DUMMYFUNCTION("IF(ISBLANK(B2595),"""",IF(ISDATE(B2595),TEXT(B2595,""M""),""""))"),"")</f>
        <v/>
      </c>
      <c r="M2595" s="29" t="str">
        <f>IFERROR(__xludf.DUMMYFUNCTION("IF(L2595="""","""",QUERY({'Dashboard-Dados'!$Y$2:$AA$13},""Select Col2 Where Col1=""&amp;L2595))"),"")</f>
        <v/>
      </c>
      <c r="N2595" s="29" t="str">
        <f>IFERROR(__xludf.DUMMYFUNCTION("IF(ISBLANK(B2595),"""",IF(ISDATE(B2595),TEXT(B2595,""yyyy""),""""))"),"")</f>
        <v/>
      </c>
    </row>
    <row r="2596">
      <c r="B2596" s="89"/>
      <c r="C2596" s="86"/>
      <c r="D2596" s="71"/>
      <c r="H2596" s="90"/>
      <c r="J2596" s="53" t="str">
        <f>IFERROR(__xludf.DUMMYFUNCTION("IF(ISBLANK(B2596),"""",IF(ISDATE(B2596),""X"",""""))"),"")</f>
        <v/>
      </c>
      <c r="K2596" s="40" t="str">
        <f>IFERROR(__xludf.DUMMYFUNCTION("IF(ISBLANK(B2596),"""",IF(ISDATE(B2596),H2596,""""))"),"")</f>
        <v/>
      </c>
      <c r="L2596" s="40" t="str">
        <f>IFERROR(__xludf.DUMMYFUNCTION("IF(ISBLANK(B2596),"""",IF(ISDATE(B2596),TEXT(B2596,""M""),""""))"),"")</f>
        <v/>
      </c>
      <c r="M2596" s="29" t="str">
        <f>IFERROR(__xludf.DUMMYFUNCTION("IF(L2596="""","""",QUERY({'Dashboard-Dados'!$Y$2:$AA$13},""Select Col2 Where Col1=""&amp;L2596))"),"")</f>
        <v/>
      </c>
      <c r="N2596" s="29" t="str">
        <f>IFERROR(__xludf.DUMMYFUNCTION("IF(ISBLANK(B2596),"""",IF(ISDATE(B2596),TEXT(B2596,""yyyy""),""""))"),"")</f>
        <v/>
      </c>
    </row>
    <row r="2597">
      <c r="B2597" s="87"/>
      <c r="C2597" s="85"/>
      <c r="D2597" s="76"/>
      <c r="H2597" s="88"/>
      <c r="J2597" s="53" t="str">
        <f>IFERROR(__xludf.DUMMYFUNCTION("IF(ISBLANK(B2597),"""",IF(ISDATE(B2597),""X"",""""))"),"")</f>
        <v/>
      </c>
      <c r="K2597" s="40" t="str">
        <f>IFERROR(__xludf.DUMMYFUNCTION("IF(ISBLANK(B2597),"""",IF(ISDATE(B2597),H2597,""""))"),"")</f>
        <v/>
      </c>
      <c r="L2597" s="40" t="str">
        <f>IFERROR(__xludf.DUMMYFUNCTION("IF(ISBLANK(B2597),"""",IF(ISDATE(B2597),TEXT(B2597,""M""),""""))"),"")</f>
        <v/>
      </c>
      <c r="M2597" s="29" t="str">
        <f>IFERROR(__xludf.DUMMYFUNCTION("IF(L2597="""","""",QUERY({'Dashboard-Dados'!$Y$2:$AA$13},""Select Col2 Where Col1=""&amp;L2597))"),"")</f>
        <v/>
      </c>
      <c r="N2597" s="29" t="str">
        <f>IFERROR(__xludf.DUMMYFUNCTION("IF(ISBLANK(B2597),"""",IF(ISDATE(B2597),TEXT(B2597,""yyyy""),""""))"),"")</f>
        <v/>
      </c>
    </row>
    <row r="2598">
      <c r="B2598" s="89"/>
      <c r="C2598" s="86"/>
      <c r="D2598" s="71"/>
      <c r="H2598" s="90"/>
      <c r="J2598" s="53" t="str">
        <f>IFERROR(__xludf.DUMMYFUNCTION("IF(ISBLANK(B2598),"""",IF(ISDATE(B2598),""X"",""""))"),"")</f>
        <v/>
      </c>
      <c r="K2598" s="40" t="str">
        <f>IFERROR(__xludf.DUMMYFUNCTION("IF(ISBLANK(B2598),"""",IF(ISDATE(B2598),H2598,""""))"),"")</f>
        <v/>
      </c>
      <c r="L2598" s="40" t="str">
        <f>IFERROR(__xludf.DUMMYFUNCTION("IF(ISBLANK(B2598),"""",IF(ISDATE(B2598),TEXT(B2598,""M""),""""))"),"")</f>
        <v/>
      </c>
      <c r="M2598" s="29" t="str">
        <f>IFERROR(__xludf.DUMMYFUNCTION("IF(L2598="""","""",QUERY({'Dashboard-Dados'!$Y$2:$AA$13},""Select Col2 Where Col1=""&amp;L2598))"),"")</f>
        <v/>
      </c>
      <c r="N2598" s="29" t="str">
        <f>IFERROR(__xludf.DUMMYFUNCTION("IF(ISBLANK(B2598),"""",IF(ISDATE(B2598),TEXT(B2598,""yyyy""),""""))"),"")</f>
        <v/>
      </c>
    </row>
    <row r="2599">
      <c r="B2599" s="87"/>
      <c r="C2599" s="85"/>
      <c r="D2599" s="76"/>
      <c r="H2599" s="88"/>
      <c r="J2599" s="53" t="str">
        <f>IFERROR(__xludf.DUMMYFUNCTION("IF(ISBLANK(B2599),"""",IF(ISDATE(B2599),""X"",""""))"),"")</f>
        <v/>
      </c>
      <c r="K2599" s="40" t="str">
        <f>IFERROR(__xludf.DUMMYFUNCTION("IF(ISBLANK(B2599),"""",IF(ISDATE(B2599),H2599,""""))"),"")</f>
        <v/>
      </c>
      <c r="L2599" s="40" t="str">
        <f>IFERROR(__xludf.DUMMYFUNCTION("IF(ISBLANK(B2599),"""",IF(ISDATE(B2599),TEXT(B2599,""M""),""""))"),"")</f>
        <v/>
      </c>
      <c r="M2599" s="29" t="str">
        <f>IFERROR(__xludf.DUMMYFUNCTION("IF(L2599="""","""",QUERY({'Dashboard-Dados'!$Y$2:$AA$13},""Select Col2 Where Col1=""&amp;L2599))"),"")</f>
        <v/>
      </c>
      <c r="N2599" s="29" t="str">
        <f>IFERROR(__xludf.DUMMYFUNCTION("IF(ISBLANK(B2599),"""",IF(ISDATE(B2599),TEXT(B2599,""yyyy""),""""))"),"")</f>
        <v/>
      </c>
    </row>
    <row r="2600">
      <c r="B2600" s="89"/>
      <c r="C2600" s="86"/>
      <c r="D2600" s="71"/>
      <c r="H2600" s="90"/>
      <c r="J2600" s="53" t="str">
        <f>IFERROR(__xludf.DUMMYFUNCTION("IF(ISBLANK(B2600),"""",IF(ISDATE(B2600),""X"",""""))"),"")</f>
        <v/>
      </c>
      <c r="K2600" s="40" t="str">
        <f>IFERROR(__xludf.DUMMYFUNCTION("IF(ISBLANK(B2600),"""",IF(ISDATE(B2600),H2600,""""))"),"")</f>
        <v/>
      </c>
      <c r="L2600" s="40" t="str">
        <f>IFERROR(__xludf.DUMMYFUNCTION("IF(ISBLANK(B2600),"""",IF(ISDATE(B2600),TEXT(B2600,""M""),""""))"),"")</f>
        <v/>
      </c>
      <c r="M2600" s="29" t="str">
        <f>IFERROR(__xludf.DUMMYFUNCTION("IF(L2600="""","""",QUERY({'Dashboard-Dados'!$Y$2:$AA$13},""Select Col2 Where Col1=""&amp;L2600))"),"")</f>
        <v/>
      </c>
      <c r="N2600" s="29" t="str">
        <f>IFERROR(__xludf.DUMMYFUNCTION("IF(ISBLANK(B2600),"""",IF(ISDATE(B2600),TEXT(B2600,""yyyy""),""""))"),"")</f>
        <v/>
      </c>
    </row>
    <row r="2601">
      <c r="B2601" s="87"/>
      <c r="C2601" s="85"/>
      <c r="D2601" s="76"/>
      <c r="H2601" s="88"/>
      <c r="J2601" s="53" t="str">
        <f>IFERROR(__xludf.DUMMYFUNCTION("IF(ISBLANK(B2601),"""",IF(ISDATE(B2601),""X"",""""))"),"")</f>
        <v/>
      </c>
      <c r="K2601" s="40" t="str">
        <f>IFERROR(__xludf.DUMMYFUNCTION("IF(ISBLANK(B2601),"""",IF(ISDATE(B2601),H2601,""""))"),"")</f>
        <v/>
      </c>
      <c r="L2601" s="40" t="str">
        <f>IFERROR(__xludf.DUMMYFUNCTION("IF(ISBLANK(B2601),"""",IF(ISDATE(B2601),TEXT(B2601,""M""),""""))"),"")</f>
        <v/>
      </c>
      <c r="M2601" s="29" t="str">
        <f>IFERROR(__xludf.DUMMYFUNCTION("IF(L2601="""","""",QUERY({'Dashboard-Dados'!$Y$2:$AA$13},""Select Col2 Where Col1=""&amp;L2601))"),"")</f>
        <v/>
      </c>
      <c r="N2601" s="29" t="str">
        <f>IFERROR(__xludf.DUMMYFUNCTION("IF(ISBLANK(B2601),"""",IF(ISDATE(B2601),TEXT(B2601,""yyyy""),""""))"),"")</f>
        <v/>
      </c>
    </row>
    <row r="2602">
      <c r="B2602" s="89"/>
      <c r="C2602" s="86"/>
      <c r="D2602" s="71"/>
      <c r="H2602" s="90"/>
      <c r="J2602" s="53" t="str">
        <f>IFERROR(__xludf.DUMMYFUNCTION("IF(ISBLANK(B2602),"""",IF(ISDATE(B2602),""X"",""""))"),"")</f>
        <v/>
      </c>
      <c r="K2602" s="40" t="str">
        <f>IFERROR(__xludf.DUMMYFUNCTION("IF(ISBLANK(B2602),"""",IF(ISDATE(B2602),H2602,""""))"),"")</f>
        <v/>
      </c>
      <c r="L2602" s="40" t="str">
        <f>IFERROR(__xludf.DUMMYFUNCTION("IF(ISBLANK(B2602),"""",IF(ISDATE(B2602),TEXT(B2602,""M""),""""))"),"")</f>
        <v/>
      </c>
      <c r="M2602" s="29" t="str">
        <f>IFERROR(__xludf.DUMMYFUNCTION("IF(L2602="""","""",QUERY({'Dashboard-Dados'!$Y$2:$AA$13},""Select Col2 Where Col1=""&amp;L2602))"),"")</f>
        <v/>
      </c>
      <c r="N2602" s="29" t="str">
        <f>IFERROR(__xludf.DUMMYFUNCTION("IF(ISBLANK(B2602),"""",IF(ISDATE(B2602),TEXT(B2602,""yyyy""),""""))"),"")</f>
        <v/>
      </c>
    </row>
    <row r="2603">
      <c r="B2603" s="87"/>
      <c r="C2603" s="85"/>
      <c r="D2603" s="76"/>
      <c r="H2603" s="88"/>
      <c r="J2603" s="53" t="str">
        <f>IFERROR(__xludf.DUMMYFUNCTION("IF(ISBLANK(B2603),"""",IF(ISDATE(B2603),""X"",""""))"),"")</f>
        <v/>
      </c>
      <c r="K2603" s="40" t="str">
        <f>IFERROR(__xludf.DUMMYFUNCTION("IF(ISBLANK(B2603),"""",IF(ISDATE(B2603),H2603,""""))"),"")</f>
        <v/>
      </c>
      <c r="L2603" s="40" t="str">
        <f>IFERROR(__xludf.DUMMYFUNCTION("IF(ISBLANK(B2603),"""",IF(ISDATE(B2603),TEXT(B2603,""M""),""""))"),"")</f>
        <v/>
      </c>
      <c r="M2603" s="29" t="str">
        <f>IFERROR(__xludf.DUMMYFUNCTION("IF(L2603="""","""",QUERY({'Dashboard-Dados'!$Y$2:$AA$13},""Select Col2 Where Col1=""&amp;L2603))"),"")</f>
        <v/>
      </c>
      <c r="N2603" s="29" t="str">
        <f>IFERROR(__xludf.DUMMYFUNCTION("IF(ISBLANK(B2603),"""",IF(ISDATE(B2603),TEXT(B2603,""yyyy""),""""))"),"")</f>
        <v/>
      </c>
    </row>
    <row r="2604">
      <c r="B2604" s="89"/>
      <c r="C2604" s="86"/>
      <c r="D2604" s="71"/>
      <c r="H2604" s="90"/>
      <c r="J2604" s="53" t="str">
        <f>IFERROR(__xludf.DUMMYFUNCTION("IF(ISBLANK(B2604),"""",IF(ISDATE(B2604),""X"",""""))"),"")</f>
        <v/>
      </c>
      <c r="K2604" s="40" t="str">
        <f>IFERROR(__xludf.DUMMYFUNCTION("IF(ISBLANK(B2604),"""",IF(ISDATE(B2604),H2604,""""))"),"")</f>
        <v/>
      </c>
      <c r="L2604" s="40" t="str">
        <f>IFERROR(__xludf.DUMMYFUNCTION("IF(ISBLANK(B2604),"""",IF(ISDATE(B2604),TEXT(B2604,""M""),""""))"),"")</f>
        <v/>
      </c>
      <c r="M2604" s="29" t="str">
        <f>IFERROR(__xludf.DUMMYFUNCTION("IF(L2604="""","""",QUERY({'Dashboard-Dados'!$Y$2:$AA$13},""Select Col2 Where Col1=""&amp;L2604))"),"")</f>
        <v/>
      </c>
      <c r="N2604" s="29" t="str">
        <f>IFERROR(__xludf.DUMMYFUNCTION("IF(ISBLANK(B2604),"""",IF(ISDATE(B2604),TEXT(B2604,""yyyy""),""""))"),"")</f>
        <v/>
      </c>
    </row>
    <row r="2605">
      <c r="B2605" s="87"/>
      <c r="C2605" s="85"/>
      <c r="D2605" s="76"/>
      <c r="H2605" s="88"/>
      <c r="J2605" s="53" t="str">
        <f>IFERROR(__xludf.DUMMYFUNCTION("IF(ISBLANK(B2605),"""",IF(ISDATE(B2605),""X"",""""))"),"")</f>
        <v/>
      </c>
      <c r="K2605" s="40" t="str">
        <f>IFERROR(__xludf.DUMMYFUNCTION("IF(ISBLANK(B2605),"""",IF(ISDATE(B2605),H2605,""""))"),"")</f>
        <v/>
      </c>
      <c r="L2605" s="40" t="str">
        <f>IFERROR(__xludf.DUMMYFUNCTION("IF(ISBLANK(B2605),"""",IF(ISDATE(B2605),TEXT(B2605,""M""),""""))"),"")</f>
        <v/>
      </c>
      <c r="M2605" s="29" t="str">
        <f>IFERROR(__xludf.DUMMYFUNCTION("IF(L2605="""","""",QUERY({'Dashboard-Dados'!$Y$2:$AA$13},""Select Col2 Where Col1=""&amp;L2605))"),"")</f>
        <v/>
      </c>
      <c r="N2605" s="29" t="str">
        <f>IFERROR(__xludf.DUMMYFUNCTION("IF(ISBLANK(B2605),"""",IF(ISDATE(B2605),TEXT(B2605,""yyyy""),""""))"),"")</f>
        <v/>
      </c>
    </row>
    <row r="2606">
      <c r="B2606" s="89"/>
      <c r="C2606" s="86"/>
      <c r="D2606" s="71"/>
      <c r="H2606" s="90"/>
      <c r="J2606" s="53" t="str">
        <f>IFERROR(__xludf.DUMMYFUNCTION("IF(ISBLANK(B2606),"""",IF(ISDATE(B2606),""X"",""""))"),"")</f>
        <v/>
      </c>
      <c r="K2606" s="40" t="str">
        <f>IFERROR(__xludf.DUMMYFUNCTION("IF(ISBLANK(B2606),"""",IF(ISDATE(B2606),H2606,""""))"),"")</f>
        <v/>
      </c>
      <c r="L2606" s="40" t="str">
        <f>IFERROR(__xludf.DUMMYFUNCTION("IF(ISBLANK(B2606),"""",IF(ISDATE(B2606),TEXT(B2606,""M""),""""))"),"")</f>
        <v/>
      </c>
      <c r="M2606" s="29" t="str">
        <f>IFERROR(__xludf.DUMMYFUNCTION("IF(L2606="""","""",QUERY({'Dashboard-Dados'!$Y$2:$AA$13},""Select Col2 Where Col1=""&amp;L2606))"),"")</f>
        <v/>
      </c>
      <c r="N2606" s="29" t="str">
        <f>IFERROR(__xludf.DUMMYFUNCTION("IF(ISBLANK(B2606),"""",IF(ISDATE(B2606),TEXT(B2606,""yyyy""),""""))"),"")</f>
        <v/>
      </c>
    </row>
    <row r="2607">
      <c r="B2607" s="87"/>
      <c r="C2607" s="85"/>
      <c r="D2607" s="76"/>
      <c r="H2607" s="88"/>
      <c r="J2607" s="53" t="str">
        <f>IFERROR(__xludf.DUMMYFUNCTION("IF(ISBLANK(B2607),"""",IF(ISDATE(B2607),""X"",""""))"),"")</f>
        <v/>
      </c>
      <c r="K2607" s="40" t="str">
        <f>IFERROR(__xludf.DUMMYFUNCTION("IF(ISBLANK(B2607),"""",IF(ISDATE(B2607),H2607,""""))"),"")</f>
        <v/>
      </c>
      <c r="L2607" s="40" t="str">
        <f>IFERROR(__xludf.DUMMYFUNCTION("IF(ISBLANK(B2607),"""",IF(ISDATE(B2607),TEXT(B2607,""M""),""""))"),"")</f>
        <v/>
      </c>
      <c r="M2607" s="29" t="str">
        <f>IFERROR(__xludf.DUMMYFUNCTION("IF(L2607="""","""",QUERY({'Dashboard-Dados'!$Y$2:$AA$13},""Select Col2 Where Col1=""&amp;L2607))"),"")</f>
        <v/>
      </c>
      <c r="N2607" s="29" t="str">
        <f>IFERROR(__xludf.DUMMYFUNCTION("IF(ISBLANK(B2607),"""",IF(ISDATE(B2607),TEXT(B2607,""yyyy""),""""))"),"")</f>
        <v/>
      </c>
    </row>
    <row r="2608">
      <c r="B2608" s="89"/>
      <c r="C2608" s="86"/>
      <c r="D2608" s="71"/>
      <c r="H2608" s="90"/>
      <c r="J2608" s="53" t="str">
        <f>IFERROR(__xludf.DUMMYFUNCTION("IF(ISBLANK(B2608),"""",IF(ISDATE(B2608),""X"",""""))"),"")</f>
        <v/>
      </c>
      <c r="K2608" s="40" t="str">
        <f>IFERROR(__xludf.DUMMYFUNCTION("IF(ISBLANK(B2608),"""",IF(ISDATE(B2608),H2608,""""))"),"")</f>
        <v/>
      </c>
      <c r="L2608" s="40" t="str">
        <f>IFERROR(__xludf.DUMMYFUNCTION("IF(ISBLANK(B2608),"""",IF(ISDATE(B2608),TEXT(B2608,""M""),""""))"),"")</f>
        <v/>
      </c>
      <c r="M2608" s="29" t="str">
        <f>IFERROR(__xludf.DUMMYFUNCTION("IF(L2608="""","""",QUERY({'Dashboard-Dados'!$Y$2:$AA$13},""Select Col2 Where Col1=""&amp;L2608))"),"")</f>
        <v/>
      </c>
      <c r="N2608" s="29" t="str">
        <f>IFERROR(__xludf.DUMMYFUNCTION("IF(ISBLANK(B2608),"""",IF(ISDATE(B2608),TEXT(B2608,""yyyy""),""""))"),"")</f>
        <v/>
      </c>
    </row>
    <row r="2609">
      <c r="B2609" s="87"/>
      <c r="C2609" s="85"/>
      <c r="D2609" s="76"/>
      <c r="H2609" s="88"/>
      <c r="J2609" s="53" t="str">
        <f>IFERROR(__xludf.DUMMYFUNCTION("IF(ISBLANK(B2609),"""",IF(ISDATE(B2609),""X"",""""))"),"")</f>
        <v/>
      </c>
      <c r="K2609" s="40" t="str">
        <f>IFERROR(__xludf.DUMMYFUNCTION("IF(ISBLANK(B2609),"""",IF(ISDATE(B2609),H2609,""""))"),"")</f>
        <v/>
      </c>
      <c r="L2609" s="40" t="str">
        <f>IFERROR(__xludf.DUMMYFUNCTION("IF(ISBLANK(B2609),"""",IF(ISDATE(B2609),TEXT(B2609,""M""),""""))"),"")</f>
        <v/>
      </c>
      <c r="M2609" s="29" t="str">
        <f>IFERROR(__xludf.DUMMYFUNCTION("IF(L2609="""","""",QUERY({'Dashboard-Dados'!$Y$2:$AA$13},""Select Col2 Where Col1=""&amp;L2609))"),"")</f>
        <v/>
      </c>
      <c r="N2609" s="29" t="str">
        <f>IFERROR(__xludf.DUMMYFUNCTION("IF(ISBLANK(B2609),"""",IF(ISDATE(B2609),TEXT(B2609,""yyyy""),""""))"),"")</f>
        <v/>
      </c>
    </row>
    <row r="2610">
      <c r="B2610" s="89"/>
      <c r="C2610" s="86"/>
      <c r="D2610" s="71"/>
      <c r="H2610" s="90"/>
      <c r="J2610" s="53" t="str">
        <f>IFERROR(__xludf.DUMMYFUNCTION("IF(ISBLANK(B2610),"""",IF(ISDATE(B2610),""X"",""""))"),"")</f>
        <v/>
      </c>
      <c r="K2610" s="40" t="str">
        <f>IFERROR(__xludf.DUMMYFUNCTION("IF(ISBLANK(B2610),"""",IF(ISDATE(B2610),H2610,""""))"),"")</f>
        <v/>
      </c>
      <c r="L2610" s="40" t="str">
        <f>IFERROR(__xludf.DUMMYFUNCTION("IF(ISBLANK(B2610),"""",IF(ISDATE(B2610),TEXT(B2610,""M""),""""))"),"")</f>
        <v/>
      </c>
      <c r="M2610" s="29" t="str">
        <f>IFERROR(__xludf.DUMMYFUNCTION("IF(L2610="""","""",QUERY({'Dashboard-Dados'!$Y$2:$AA$13},""Select Col2 Where Col1=""&amp;L2610))"),"")</f>
        <v/>
      </c>
      <c r="N2610" s="29" t="str">
        <f>IFERROR(__xludf.DUMMYFUNCTION("IF(ISBLANK(B2610),"""",IF(ISDATE(B2610),TEXT(B2610,""yyyy""),""""))"),"")</f>
        <v/>
      </c>
    </row>
    <row r="2611">
      <c r="B2611" s="87"/>
      <c r="C2611" s="85"/>
      <c r="D2611" s="76"/>
      <c r="H2611" s="88"/>
      <c r="J2611" s="53" t="str">
        <f>IFERROR(__xludf.DUMMYFUNCTION("IF(ISBLANK(B2611),"""",IF(ISDATE(B2611),""X"",""""))"),"")</f>
        <v/>
      </c>
      <c r="K2611" s="40" t="str">
        <f>IFERROR(__xludf.DUMMYFUNCTION("IF(ISBLANK(B2611),"""",IF(ISDATE(B2611),H2611,""""))"),"")</f>
        <v/>
      </c>
      <c r="L2611" s="40" t="str">
        <f>IFERROR(__xludf.DUMMYFUNCTION("IF(ISBLANK(B2611),"""",IF(ISDATE(B2611),TEXT(B2611,""M""),""""))"),"")</f>
        <v/>
      </c>
      <c r="M2611" s="29" t="str">
        <f>IFERROR(__xludf.DUMMYFUNCTION("IF(L2611="""","""",QUERY({'Dashboard-Dados'!$Y$2:$AA$13},""Select Col2 Where Col1=""&amp;L2611))"),"")</f>
        <v/>
      </c>
      <c r="N2611" s="29" t="str">
        <f>IFERROR(__xludf.DUMMYFUNCTION("IF(ISBLANK(B2611),"""",IF(ISDATE(B2611),TEXT(B2611,""yyyy""),""""))"),"")</f>
        <v/>
      </c>
    </row>
    <row r="2612">
      <c r="B2612" s="89"/>
      <c r="C2612" s="86"/>
      <c r="D2612" s="71"/>
      <c r="H2612" s="90"/>
      <c r="J2612" s="53" t="str">
        <f>IFERROR(__xludf.DUMMYFUNCTION("IF(ISBLANK(B2612),"""",IF(ISDATE(B2612),""X"",""""))"),"")</f>
        <v/>
      </c>
      <c r="K2612" s="40" t="str">
        <f>IFERROR(__xludf.DUMMYFUNCTION("IF(ISBLANK(B2612),"""",IF(ISDATE(B2612),H2612,""""))"),"")</f>
        <v/>
      </c>
      <c r="L2612" s="40" t="str">
        <f>IFERROR(__xludf.DUMMYFUNCTION("IF(ISBLANK(B2612),"""",IF(ISDATE(B2612),TEXT(B2612,""M""),""""))"),"")</f>
        <v/>
      </c>
      <c r="M2612" s="29" t="str">
        <f>IFERROR(__xludf.DUMMYFUNCTION("IF(L2612="""","""",QUERY({'Dashboard-Dados'!$Y$2:$AA$13},""Select Col2 Where Col1=""&amp;L2612))"),"")</f>
        <v/>
      </c>
      <c r="N2612" s="29" t="str">
        <f>IFERROR(__xludf.DUMMYFUNCTION("IF(ISBLANK(B2612),"""",IF(ISDATE(B2612),TEXT(B2612,""yyyy""),""""))"),"")</f>
        <v/>
      </c>
    </row>
    <row r="2613">
      <c r="B2613" s="87"/>
      <c r="C2613" s="85"/>
      <c r="D2613" s="76"/>
      <c r="H2613" s="88"/>
      <c r="J2613" s="53" t="str">
        <f>IFERROR(__xludf.DUMMYFUNCTION("IF(ISBLANK(B2613),"""",IF(ISDATE(B2613),""X"",""""))"),"")</f>
        <v/>
      </c>
      <c r="K2613" s="40" t="str">
        <f>IFERROR(__xludf.DUMMYFUNCTION("IF(ISBLANK(B2613),"""",IF(ISDATE(B2613),H2613,""""))"),"")</f>
        <v/>
      </c>
      <c r="L2613" s="40" t="str">
        <f>IFERROR(__xludf.DUMMYFUNCTION("IF(ISBLANK(B2613),"""",IF(ISDATE(B2613),TEXT(B2613,""M""),""""))"),"")</f>
        <v/>
      </c>
      <c r="M2613" s="29" t="str">
        <f>IFERROR(__xludf.DUMMYFUNCTION("IF(L2613="""","""",QUERY({'Dashboard-Dados'!$Y$2:$AA$13},""Select Col2 Where Col1=""&amp;L2613))"),"")</f>
        <v/>
      </c>
      <c r="N2613" s="29" t="str">
        <f>IFERROR(__xludf.DUMMYFUNCTION("IF(ISBLANK(B2613),"""",IF(ISDATE(B2613),TEXT(B2613,""yyyy""),""""))"),"")</f>
        <v/>
      </c>
    </row>
    <row r="2614">
      <c r="B2614" s="89"/>
      <c r="C2614" s="86"/>
      <c r="D2614" s="71"/>
      <c r="H2614" s="90"/>
      <c r="J2614" s="53" t="str">
        <f>IFERROR(__xludf.DUMMYFUNCTION("IF(ISBLANK(B2614),"""",IF(ISDATE(B2614),""X"",""""))"),"")</f>
        <v/>
      </c>
      <c r="K2614" s="40" t="str">
        <f>IFERROR(__xludf.DUMMYFUNCTION("IF(ISBLANK(B2614),"""",IF(ISDATE(B2614),H2614,""""))"),"")</f>
        <v/>
      </c>
      <c r="L2614" s="40" t="str">
        <f>IFERROR(__xludf.DUMMYFUNCTION("IF(ISBLANK(B2614),"""",IF(ISDATE(B2614),TEXT(B2614,""M""),""""))"),"")</f>
        <v/>
      </c>
      <c r="M2614" s="29" t="str">
        <f>IFERROR(__xludf.DUMMYFUNCTION("IF(L2614="""","""",QUERY({'Dashboard-Dados'!$Y$2:$AA$13},""Select Col2 Where Col1=""&amp;L2614))"),"")</f>
        <v/>
      </c>
      <c r="N2614" s="29" t="str">
        <f>IFERROR(__xludf.DUMMYFUNCTION("IF(ISBLANK(B2614),"""",IF(ISDATE(B2614),TEXT(B2614,""yyyy""),""""))"),"")</f>
        <v/>
      </c>
    </row>
    <row r="2615">
      <c r="B2615" s="87"/>
      <c r="C2615" s="85"/>
      <c r="D2615" s="76"/>
      <c r="H2615" s="88"/>
      <c r="J2615" s="53" t="str">
        <f>IFERROR(__xludf.DUMMYFUNCTION("IF(ISBLANK(B2615),"""",IF(ISDATE(B2615),""X"",""""))"),"")</f>
        <v/>
      </c>
      <c r="K2615" s="40" t="str">
        <f>IFERROR(__xludf.DUMMYFUNCTION("IF(ISBLANK(B2615),"""",IF(ISDATE(B2615),H2615,""""))"),"")</f>
        <v/>
      </c>
      <c r="L2615" s="40" t="str">
        <f>IFERROR(__xludf.DUMMYFUNCTION("IF(ISBLANK(B2615),"""",IF(ISDATE(B2615),TEXT(B2615,""M""),""""))"),"")</f>
        <v/>
      </c>
      <c r="M2615" s="29" t="str">
        <f>IFERROR(__xludf.DUMMYFUNCTION("IF(L2615="""","""",QUERY({'Dashboard-Dados'!$Y$2:$AA$13},""Select Col2 Where Col1=""&amp;L2615))"),"")</f>
        <v/>
      </c>
      <c r="N2615" s="29" t="str">
        <f>IFERROR(__xludf.DUMMYFUNCTION("IF(ISBLANK(B2615),"""",IF(ISDATE(B2615),TEXT(B2615,""yyyy""),""""))"),"")</f>
        <v/>
      </c>
    </row>
    <row r="2616">
      <c r="B2616" s="89"/>
      <c r="C2616" s="86"/>
      <c r="D2616" s="71"/>
      <c r="H2616" s="90"/>
      <c r="J2616" s="53" t="str">
        <f>IFERROR(__xludf.DUMMYFUNCTION("IF(ISBLANK(B2616),"""",IF(ISDATE(B2616),""X"",""""))"),"")</f>
        <v/>
      </c>
      <c r="K2616" s="40" t="str">
        <f>IFERROR(__xludf.DUMMYFUNCTION("IF(ISBLANK(B2616),"""",IF(ISDATE(B2616),H2616,""""))"),"")</f>
        <v/>
      </c>
      <c r="L2616" s="40" t="str">
        <f>IFERROR(__xludf.DUMMYFUNCTION("IF(ISBLANK(B2616),"""",IF(ISDATE(B2616),TEXT(B2616,""M""),""""))"),"")</f>
        <v/>
      </c>
      <c r="M2616" s="29" t="str">
        <f>IFERROR(__xludf.DUMMYFUNCTION("IF(L2616="""","""",QUERY({'Dashboard-Dados'!$Y$2:$AA$13},""Select Col2 Where Col1=""&amp;L2616))"),"")</f>
        <v/>
      </c>
      <c r="N2616" s="29" t="str">
        <f>IFERROR(__xludf.DUMMYFUNCTION("IF(ISBLANK(B2616),"""",IF(ISDATE(B2616),TEXT(B2616,""yyyy""),""""))"),"")</f>
        <v/>
      </c>
    </row>
    <row r="2617">
      <c r="B2617" s="87"/>
      <c r="C2617" s="85"/>
      <c r="D2617" s="76"/>
      <c r="H2617" s="88"/>
      <c r="J2617" s="53" t="str">
        <f>IFERROR(__xludf.DUMMYFUNCTION("IF(ISBLANK(B2617),"""",IF(ISDATE(B2617),""X"",""""))"),"")</f>
        <v/>
      </c>
      <c r="K2617" s="40" t="str">
        <f>IFERROR(__xludf.DUMMYFUNCTION("IF(ISBLANK(B2617),"""",IF(ISDATE(B2617),H2617,""""))"),"")</f>
        <v/>
      </c>
      <c r="L2617" s="40" t="str">
        <f>IFERROR(__xludf.DUMMYFUNCTION("IF(ISBLANK(B2617),"""",IF(ISDATE(B2617),TEXT(B2617,""M""),""""))"),"")</f>
        <v/>
      </c>
      <c r="M2617" s="29" t="str">
        <f>IFERROR(__xludf.DUMMYFUNCTION("IF(L2617="""","""",QUERY({'Dashboard-Dados'!$Y$2:$AA$13},""Select Col2 Where Col1=""&amp;L2617))"),"")</f>
        <v/>
      </c>
      <c r="N2617" s="29" t="str">
        <f>IFERROR(__xludf.DUMMYFUNCTION("IF(ISBLANK(B2617),"""",IF(ISDATE(B2617),TEXT(B2617,""yyyy""),""""))"),"")</f>
        <v/>
      </c>
    </row>
    <row r="2618">
      <c r="B2618" s="89"/>
      <c r="C2618" s="86"/>
      <c r="D2618" s="71"/>
      <c r="H2618" s="90"/>
      <c r="J2618" s="53" t="str">
        <f>IFERROR(__xludf.DUMMYFUNCTION("IF(ISBLANK(B2618),"""",IF(ISDATE(B2618),""X"",""""))"),"")</f>
        <v/>
      </c>
      <c r="K2618" s="40" t="str">
        <f>IFERROR(__xludf.DUMMYFUNCTION("IF(ISBLANK(B2618),"""",IF(ISDATE(B2618),H2618,""""))"),"")</f>
        <v/>
      </c>
      <c r="L2618" s="40" t="str">
        <f>IFERROR(__xludf.DUMMYFUNCTION("IF(ISBLANK(B2618),"""",IF(ISDATE(B2618),TEXT(B2618,""M""),""""))"),"")</f>
        <v/>
      </c>
      <c r="M2618" s="29" t="str">
        <f>IFERROR(__xludf.DUMMYFUNCTION("IF(L2618="""","""",QUERY({'Dashboard-Dados'!$Y$2:$AA$13},""Select Col2 Where Col1=""&amp;L2618))"),"")</f>
        <v/>
      </c>
      <c r="N2618" s="29" t="str">
        <f>IFERROR(__xludf.DUMMYFUNCTION("IF(ISBLANK(B2618),"""",IF(ISDATE(B2618),TEXT(B2618,""yyyy""),""""))"),"")</f>
        <v/>
      </c>
    </row>
    <row r="2619">
      <c r="B2619" s="87"/>
      <c r="C2619" s="85"/>
      <c r="D2619" s="76"/>
      <c r="H2619" s="88"/>
      <c r="J2619" s="53" t="str">
        <f>IFERROR(__xludf.DUMMYFUNCTION("IF(ISBLANK(B2619),"""",IF(ISDATE(B2619),""X"",""""))"),"")</f>
        <v/>
      </c>
      <c r="K2619" s="40" t="str">
        <f>IFERROR(__xludf.DUMMYFUNCTION("IF(ISBLANK(B2619),"""",IF(ISDATE(B2619),H2619,""""))"),"")</f>
        <v/>
      </c>
      <c r="L2619" s="40" t="str">
        <f>IFERROR(__xludf.DUMMYFUNCTION("IF(ISBLANK(B2619),"""",IF(ISDATE(B2619),TEXT(B2619,""M""),""""))"),"")</f>
        <v/>
      </c>
      <c r="M2619" s="29" t="str">
        <f>IFERROR(__xludf.DUMMYFUNCTION("IF(L2619="""","""",QUERY({'Dashboard-Dados'!$Y$2:$AA$13},""Select Col2 Where Col1=""&amp;L2619))"),"")</f>
        <v/>
      </c>
      <c r="N2619" s="29" t="str">
        <f>IFERROR(__xludf.DUMMYFUNCTION("IF(ISBLANK(B2619),"""",IF(ISDATE(B2619),TEXT(B2619,""yyyy""),""""))"),"")</f>
        <v/>
      </c>
    </row>
    <row r="2620">
      <c r="B2620" s="89"/>
      <c r="C2620" s="86"/>
      <c r="D2620" s="71"/>
      <c r="H2620" s="90"/>
      <c r="J2620" s="53" t="str">
        <f>IFERROR(__xludf.DUMMYFUNCTION("IF(ISBLANK(B2620),"""",IF(ISDATE(B2620),""X"",""""))"),"")</f>
        <v/>
      </c>
      <c r="K2620" s="40" t="str">
        <f>IFERROR(__xludf.DUMMYFUNCTION("IF(ISBLANK(B2620),"""",IF(ISDATE(B2620),H2620,""""))"),"")</f>
        <v/>
      </c>
      <c r="L2620" s="40" t="str">
        <f>IFERROR(__xludf.DUMMYFUNCTION("IF(ISBLANK(B2620),"""",IF(ISDATE(B2620),TEXT(B2620,""M""),""""))"),"")</f>
        <v/>
      </c>
      <c r="M2620" s="29" t="str">
        <f>IFERROR(__xludf.DUMMYFUNCTION("IF(L2620="""","""",QUERY({'Dashboard-Dados'!$Y$2:$AA$13},""Select Col2 Where Col1=""&amp;L2620))"),"")</f>
        <v/>
      </c>
      <c r="N2620" s="29" t="str">
        <f>IFERROR(__xludf.DUMMYFUNCTION("IF(ISBLANK(B2620),"""",IF(ISDATE(B2620),TEXT(B2620,""yyyy""),""""))"),"")</f>
        <v/>
      </c>
    </row>
    <row r="2621">
      <c r="B2621" s="87"/>
      <c r="C2621" s="85"/>
      <c r="D2621" s="76"/>
      <c r="H2621" s="88"/>
      <c r="J2621" s="53" t="str">
        <f>IFERROR(__xludf.DUMMYFUNCTION("IF(ISBLANK(B2621),"""",IF(ISDATE(B2621),""X"",""""))"),"")</f>
        <v/>
      </c>
      <c r="K2621" s="40" t="str">
        <f>IFERROR(__xludf.DUMMYFUNCTION("IF(ISBLANK(B2621),"""",IF(ISDATE(B2621),H2621,""""))"),"")</f>
        <v/>
      </c>
      <c r="L2621" s="40" t="str">
        <f>IFERROR(__xludf.DUMMYFUNCTION("IF(ISBLANK(B2621),"""",IF(ISDATE(B2621),TEXT(B2621,""M""),""""))"),"")</f>
        <v/>
      </c>
      <c r="M2621" s="29" t="str">
        <f>IFERROR(__xludf.DUMMYFUNCTION("IF(L2621="""","""",QUERY({'Dashboard-Dados'!$Y$2:$AA$13},""Select Col2 Where Col1=""&amp;L2621))"),"")</f>
        <v/>
      </c>
      <c r="N2621" s="29" t="str">
        <f>IFERROR(__xludf.DUMMYFUNCTION("IF(ISBLANK(B2621),"""",IF(ISDATE(B2621),TEXT(B2621,""yyyy""),""""))"),"")</f>
        <v/>
      </c>
    </row>
    <row r="2622">
      <c r="B2622" s="89"/>
      <c r="C2622" s="86"/>
      <c r="D2622" s="71"/>
      <c r="H2622" s="90"/>
      <c r="J2622" s="53" t="str">
        <f>IFERROR(__xludf.DUMMYFUNCTION("IF(ISBLANK(B2622),"""",IF(ISDATE(B2622),""X"",""""))"),"")</f>
        <v/>
      </c>
      <c r="K2622" s="40" t="str">
        <f>IFERROR(__xludf.DUMMYFUNCTION("IF(ISBLANK(B2622),"""",IF(ISDATE(B2622),H2622,""""))"),"")</f>
        <v/>
      </c>
      <c r="L2622" s="40" t="str">
        <f>IFERROR(__xludf.DUMMYFUNCTION("IF(ISBLANK(B2622),"""",IF(ISDATE(B2622),TEXT(B2622,""M""),""""))"),"")</f>
        <v/>
      </c>
      <c r="M2622" s="29" t="str">
        <f>IFERROR(__xludf.DUMMYFUNCTION("IF(L2622="""","""",QUERY({'Dashboard-Dados'!$Y$2:$AA$13},""Select Col2 Where Col1=""&amp;L2622))"),"")</f>
        <v/>
      </c>
      <c r="N2622" s="29" t="str">
        <f>IFERROR(__xludf.DUMMYFUNCTION("IF(ISBLANK(B2622),"""",IF(ISDATE(B2622),TEXT(B2622,""yyyy""),""""))"),"")</f>
        <v/>
      </c>
    </row>
    <row r="2623">
      <c r="B2623" s="87"/>
      <c r="C2623" s="85"/>
      <c r="D2623" s="76"/>
      <c r="H2623" s="88"/>
      <c r="J2623" s="53" t="str">
        <f>IFERROR(__xludf.DUMMYFUNCTION("IF(ISBLANK(B2623),"""",IF(ISDATE(B2623),""X"",""""))"),"")</f>
        <v/>
      </c>
      <c r="K2623" s="40" t="str">
        <f>IFERROR(__xludf.DUMMYFUNCTION("IF(ISBLANK(B2623),"""",IF(ISDATE(B2623),H2623,""""))"),"")</f>
        <v/>
      </c>
      <c r="L2623" s="40" t="str">
        <f>IFERROR(__xludf.DUMMYFUNCTION("IF(ISBLANK(B2623),"""",IF(ISDATE(B2623),TEXT(B2623,""M""),""""))"),"")</f>
        <v/>
      </c>
      <c r="M2623" s="29" t="str">
        <f>IFERROR(__xludf.DUMMYFUNCTION("IF(L2623="""","""",QUERY({'Dashboard-Dados'!$Y$2:$AA$13},""Select Col2 Where Col1=""&amp;L2623))"),"")</f>
        <v/>
      </c>
      <c r="N2623" s="29" t="str">
        <f>IFERROR(__xludf.DUMMYFUNCTION("IF(ISBLANK(B2623),"""",IF(ISDATE(B2623),TEXT(B2623,""yyyy""),""""))"),"")</f>
        <v/>
      </c>
    </row>
    <row r="2624">
      <c r="B2624" s="89"/>
      <c r="C2624" s="86"/>
      <c r="D2624" s="71"/>
      <c r="H2624" s="90"/>
      <c r="J2624" s="53" t="str">
        <f>IFERROR(__xludf.DUMMYFUNCTION("IF(ISBLANK(B2624),"""",IF(ISDATE(B2624),""X"",""""))"),"")</f>
        <v/>
      </c>
      <c r="K2624" s="40" t="str">
        <f>IFERROR(__xludf.DUMMYFUNCTION("IF(ISBLANK(B2624),"""",IF(ISDATE(B2624),H2624,""""))"),"")</f>
        <v/>
      </c>
      <c r="L2624" s="40" t="str">
        <f>IFERROR(__xludf.DUMMYFUNCTION("IF(ISBLANK(B2624),"""",IF(ISDATE(B2624),TEXT(B2624,""M""),""""))"),"")</f>
        <v/>
      </c>
      <c r="M2624" s="29" t="str">
        <f>IFERROR(__xludf.DUMMYFUNCTION("IF(L2624="""","""",QUERY({'Dashboard-Dados'!$Y$2:$AA$13},""Select Col2 Where Col1=""&amp;L2624))"),"")</f>
        <v/>
      </c>
      <c r="N2624" s="29" t="str">
        <f>IFERROR(__xludf.DUMMYFUNCTION("IF(ISBLANK(B2624),"""",IF(ISDATE(B2624),TEXT(B2624,""yyyy""),""""))"),"")</f>
        <v/>
      </c>
    </row>
    <row r="2625">
      <c r="B2625" s="87"/>
      <c r="C2625" s="85"/>
      <c r="D2625" s="76"/>
      <c r="H2625" s="88"/>
      <c r="J2625" s="53" t="str">
        <f>IFERROR(__xludf.DUMMYFUNCTION("IF(ISBLANK(B2625),"""",IF(ISDATE(B2625),""X"",""""))"),"")</f>
        <v/>
      </c>
      <c r="K2625" s="40" t="str">
        <f>IFERROR(__xludf.DUMMYFUNCTION("IF(ISBLANK(B2625),"""",IF(ISDATE(B2625),H2625,""""))"),"")</f>
        <v/>
      </c>
      <c r="L2625" s="40" t="str">
        <f>IFERROR(__xludf.DUMMYFUNCTION("IF(ISBLANK(B2625),"""",IF(ISDATE(B2625),TEXT(B2625,""M""),""""))"),"")</f>
        <v/>
      </c>
      <c r="M2625" s="29" t="str">
        <f>IFERROR(__xludf.DUMMYFUNCTION("IF(L2625="""","""",QUERY({'Dashboard-Dados'!$Y$2:$AA$13},""Select Col2 Where Col1=""&amp;L2625))"),"")</f>
        <v/>
      </c>
      <c r="N2625" s="29" t="str">
        <f>IFERROR(__xludf.DUMMYFUNCTION("IF(ISBLANK(B2625),"""",IF(ISDATE(B2625),TEXT(B2625,""yyyy""),""""))"),"")</f>
        <v/>
      </c>
    </row>
    <row r="2626">
      <c r="B2626" s="89"/>
      <c r="C2626" s="86"/>
      <c r="D2626" s="71"/>
      <c r="H2626" s="90"/>
      <c r="J2626" s="53" t="str">
        <f>IFERROR(__xludf.DUMMYFUNCTION("IF(ISBLANK(B2626),"""",IF(ISDATE(B2626),""X"",""""))"),"")</f>
        <v/>
      </c>
      <c r="K2626" s="40" t="str">
        <f>IFERROR(__xludf.DUMMYFUNCTION("IF(ISBLANK(B2626),"""",IF(ISDATE(B2626),H2626,""""))"),"")</f>
        <v/>
      </c>
      <c r="L2626" s="40" t="str">
        <f>IFERROR(__xludf.DUMMYFUNCTION("IF(ISBLANK(B2626),"""",IF(ISDATE(B2626),TEXT(B2626,""M""),""""))"),"")</f>
        <v/>
      </c>
      <c r="M2626" s="29" t="str">
        <f>IFERROR(__xludf.DUMMYFUNCTION("IF(L2626="""","""",QUERY({'Dashboard-Dados'!$Y$2:$AA$13},""Select Col2 Where Col1=""&amp;L2626))"),"")</f>
        <v/>
      </c>
      <c r="N2626" s="29" t="str">
        <f>IFERROR(__xludf.DUMMYFUNCTION("IF(ISBLANK(B2626),"""",IF(ISDATE(B2626),TEXT(B2626,""yyyy""),""""))"),"")</f>
        <v/>
      </c>
    </row>
    <row r="2627">
      <c r="B2627" s="87"/>
      <c r="C2627" s="85"/>
      <c r="D2627" s="76"/>
      <c r="H2627" s="88"/>
      <c r="J2627" s="53" t="str">
        <f>IFERROR(__xludf.DUMMYFUNCTION("IF(ISBLANK(B2627),"""",IF(ISDATE(B2627),""X"",""""))"),"")</f>
        <v/>
      </c>
      <c r="K2627" s="40" t="str">
        <f>IFERROR(__xludf.DUMMYFUNCTION("IF(ISBLANK(B2627),"""",IF(ISDATE(B2627),H2627,""""))"),"")</f>
        <v/>
      </c>
      <c r="L2627" s="40" t="str">
        <f>IFERROR(__xludf.DUMMYFUNCTION("IF(ISBLANK(B2627),"""",IF(ISDATE(B2627),TEXT(B2627,""M""),""""))"),"")</f>
        <v/>
      </c>
      <c r="M2627" s="29" t="str">
        <f>IFERROR(__xludf.DUMMYFUNCTION("IF(L2627="""","""",QUERY({'Dashboard-Dados'!$Y$2:$AA$13},""Select Col2 Where Col1=""&amp;L2627))"),"")</f>
        <v/>
      </c>
      <c r="N2627" s="29" t="str">
        <f>IFERROR(__xludf.DUMMYFUNCTION("IF(ISBLANK(B2627),"""",IF(ISDATE(B2627),TEXT(B2627,""yyyy""),""""))"),"")</f>
        <v/>
      </c>
    </row>
    <row r="2628">
      <c r="B2628" s="89"/>
      <c r="C2628" s="86"/>
      <c r="D2628" s="71"/>
      <c r="H2628" s="90"/>
      <c r="J2628" s="53" t="str">
        <f>IFERROR(__xludf.DUMMYFUNCTION("IF(ISBLANK(B2628),"""",IF(ISDATE(B2628),""X"",""""))"),"")</f>
        <v/>
      </c>
      <c r="K2628" s="40" t="str">
        <f>IFERROR(__xludf.DUMMYFUNCTION("IF(ISBLANK(B2628),"""",IF(ISDATE(B2628),H2628,""""))"),"")</f>
        <v/>
      </c>
      <c r="L2628" s="40" t="str">
        <f>IFERROR(__xludf.DUMMYFUNCTION("IF(ISBLANK(B2628),"""",IF(ISDATE(B2628),TEXT(B2628,""M""),""""))"),"")</f>
        <v/>
      </c>
      <c r="M2628" s="29" t="str">
        <f>IFERROR(__xludf.DUMMYFUNCTION("IF(L2628="""","""",QUERY({'Dashboard-Dados'!$Y$2:$AA$13},""Select Col2 Where Col1=""&amp;L2628))"),"")</f>
        <v/>
      </c>
      <c r="N2628" s="29" t="str">
        <f>IFERROR(__xludf.DUMMYFUNCTION("IF(ISBLANK(B2628),"""",IF(ISDATE(B2628),TEXT(B2628,""yyyy""),""""))"),"")</f>
        <v/>
      </c>
    </row>
    <row r="2629">
      <c r="B2629" s="87"/>
      <c r="C2629" s="85"/>
      <c r="D2629" s="76"/>
      <c r="H2629" s="88"/>
      <c r="J2629" s="53" t="str">
        <f>IFERROR(__xludf.DUMMYFUNCTION("IF(ISBLANK(B2629),"""",IF(ISDATE(B2629),""X"",""""))"),"")</f>
        <v/>
      </c>
      <c r="K2629" s="40" t="str">
        <f>IFERROR(__xludf.DUMMYFUNCTION("IF(ISBLANK(B2629),"""",IF(ISDATE(B2629),H2629,""""))"),"")</f>
        <v/>
      </c>
      <c r="L2629" s="40" t="str">
        <f>IFERROR(__xludf.DUMMYFUNCTION("IF(ISBLANK(B2629),"""",IF(ISDATE(B2629),TEXT(B2629,""M""),""""))"),"")</f>
        <v/>
      </c>
      <c r="M2629" s="29" t="str">
        <f>IFERROR(__xludf.DUMMYFUNCTION("IF(L2629="""","""",QUERY({'Dashboard-Dados'!$Y$2:$AA$13},""Select Col2 Where Col1=""&amp;L2629))"),"")</f>
        <v/>
      </c>
      <c r="N2629" s="29" t="str">
        <f>IFERROR(__xludf.DUMMYFUNCTION("IF(ISBLANK(B2629),"""",IF(ISDATE(B2629),TEXT(B2629,""yyyy""),""""))"),"")</f>
        <v/>
      </c>
    </row>
    <row r="2630">
      <c r="B2630" s="89"/>
      <c r="C2630" s="86"/>
      <c r="D2630" s="71"/>
      <c r="H2630" s="90"/>
      <c r="J2630" s="53" t="str">
        <f>IFERROR(__xludf.DUMMYFUNCTION("IF(ISBLANK(B2630),"""",IF(ISDATE(B2630),""X"",""""))"),"")</f>
        <v/>
      </c>
      <c r="K2630" s="40" t="str">
        <f>IFERROR(__xludf.DUMMYFUNCTION("IF(ISBLANK(B2630),"""",IF(ISDATE(B2630),H2630,""""))"),"")</f>
        <v/>
      </c>
      <c r="L2630" s="40" t="str">
        <f>IFERROR(__xludf.DUMMYFUNCTION("IF(ISBLANK(B2630),"""",IF(ISDATE(B2630),TEXT(B2630,""M""),""""))"),"")</f>
        <v/>
      </c>
      <c r="M2630" s="29" t="str">
        <f>IFERROR(__xludf.DUMMYFUNCTION("IF(L2630="""","""",QUERY({'Dashboard-Dados'!$Y$2:$AA$13},""Select Col2 Where Col1=""&amp;L2630))"),"")</f>
        <v/>
      </c>
      <c r="N2630" s="29" t="str">
        <f>IFERROR(__xludf.DUMMYFUNCTION("IF(ISBLANK(B2630),"""",IF(ISDATE(B2630),TEXT(B2630,""yyyy""),""""))"),"")</f>
        <v/>
      </c>
    </row>
    <row r="2631">
      <c r="B2631" s="87"/>
      <c r="C2631" s="85"/>
      <c r="D2631" s="76"/>
      <c r="H2631" s="88"/>
      <c r="J2631" s="53" t="str">
        <f>IFERROR(__xludf.DUMMYFUNCTION("IF(ISBLANK(B2631),"""",IF(ISDATE(B2631),""X"",""""))"),"")</f>
        <v/>
      </c>
      <c r="K2631" s="40" t="str">
        <f>IFERROR(__xludf.DUMMYFUNCTION("IF(ISBLANK(B2631),"""",IF(ISDATE(B2631),H2631,""""))"),"")</f>
        <v/>
      </c>
      <c r="L2631" s="40" t="str">
        <f>IFERROR(__xludf.DUMMYFUNCTION("IF(ISBLANK(B2631),"""",IF(ISDATE(B2631),TEXT(B2631,""M""),""""))"),"")</f>
        <v/>
      </c>
      <c r="M2631" s="29" t="str">
        <f>IFERROR(__xludf.DUMMYFUNCTION("IF(L2631="""","""",QUERY({'Dashboard-Dados'!$Y$2:$AA$13},""Select Col2 Where Col1=""&amp;L2631))"),"")</f>
        <v/>
      </c>
      <c r="N2631" s="29" t="str">
        <f>IFERROR(__xludf.DUMMYFUNCTION("IF(ISBLANK(B2631),"""",IF(ISDATE(B2631),TEXT(B2631,""yyyy""),""""))"),"")</f>
        <v/>
      </c>
    </row>
    <row r="2632">
      <c r="B2632" s="89"/>
      <c r="C2632" s="86"/>
      <c r="D2632" s="71"/>
      <c r="H2632" s="90"/>
      <c r="J2632" s="53" t="str">
        <f>IFERROR(__xludf.DUMMYFUNCTION("IF(ISBLANK(B2632),"""",IF(ISDATE(B2632),""X"",""""))"),"")</f>
        <v/>
      </c>
      <c r="K2632" s="40" t="str">
        <f>IFERROR(__xludf.DUMMYFUNCTION("IF(ISBLANK(B2632),"""",IF(ISDATE(B2632),H2632,""""))"),"")</f>
        <v/>
      </c>
      <c r="L2632" s="40" t="str">
        <f>IFERROR(__xludf.DUMMYFUNCTION("IF(ISBLANK(B2632),"""",IF(ISDATE(B2632),TEXT(B2632,""M""),""""))"),"")</f>
        <v/>
      </c>
      <c r="M2632" s="29" t="str">
        <f>IFERROR(__xludf.DUMMYFUNCTION("IF(L2632="""","""",QUERY({'Dashboard-Dados'!$Y$2:$AA$13},""Select Col2 Where Col1=""&amp;L2632))"),"")</f>
        <v/>
      </c>
      <c r="N2632" s="29" t="str">
        <f>IFERROR(__xludf.DUMMYFUNCTION("IF(ISBLANK(B2632),"""",IF(ISDATE(B2632),TEXT(B2632,""yyyy""),""""))"),"")</f>
        <v/>
      </c>
    </row>
    <row r="2633">
      <c r="B2633" s="87"/>
      <c r="C2633" s="85"/>
      <c r="D2633" s="76"/>
      <c r="H2633" s="88"/>
      <c r="J2633" s="53" t="str">
        <f>IFERROR(__xludf.DUMMYFUNCTION("IF(ISBLANK(B2633),"""",IF(ISDATE(B2633),""X"",""""))"),"")</f>
        <v/>
      </c>
      <c r="K2633" s="40" t="str">
        <f>IFERROR(__xludf.DUMMYFUNCTION("IF(ISBLANK(B2633),"""",IF(ISDATE(B2633),H2633,""""))"),"")</f>
        <v/>
      </c>
      <c r="L2633" s="40" t="str">
        <f>IFERROR(__xludf.DUMMYFUNCTION("IF(ISBLANK(B2633),"""",IF(ISDATE(B2633),TEXT(B2633,""M""),""""))"),"")</f>
        <v/>
      </c>
      <c r="M2633" s="29" t="str">
        <f>IFERROR(__xludf.DUMMYFUNCTION("IF(L2633="""","""",QUERY({'Dashboard-Dados'!$Y$2:$AA$13},""Select Col2 Where Col1=""&amp;L2633))"),"")</f>
        <v/>
      </c>
      <c r="N2633" s="29" t="str">
        <f>IFERROR(__xludf.DUMMYFUNCTION("IF(ISBLANK(B2633),"""",IF(ISDATE(B2633),TEXT(B2633,""yyyy""),""""))"),"")</f>
        <v/>
      </c>
    </row>
    <row r="2634">
      <c r="B2634" s="89"/>
      <c r="C2634" s="86"/>
      <c r="D2634" s="71"/>
      <c r="H2634" s="90"/>
      <c r="J2634" s="53" t="str">
        <f>IFERROR(__xludf.DUMMYFUNCTION("IF(ISBLANK(B2634),"""",IF(ISDATE(B2634),""X"",""""))"),"")</f>
        <v/>
      </c>
      <c r="K2634" s="40" t="str">
        <f>IFERROR(__xludf.DUMMYFUNCTION("IF(ISBLANK(B2634),"""",IF(ISDATE(B2634),H2634,""""))"),"")</f>
        <v/>
      </c>
      <c r="L2634" s="40" t="str">
        <f>IFERROR(__xludf.DUMMYFUNCTION("IF(ISBLANK(B2634),"""",IF(ISDATE(B2634),TEXT(B2634,""M""),""""))"),"")</f>
        <v/>
      </c>
      <c r="M2634" s="29" t="str">
        <f>IFERROR(__xludf.DUMMYFUNCTION("IF(L2634="""","""",QUERY({'Dashboard-Dados'!$Y$2:$AA$13},""Select Col2 Where Col1=""&amp;L2634))"),"")</f>
        <v/>
      </c>
      <c r="N2634" s="29" t="str">
        <f>IFERROR(__xludf.DUMMYFUNCTION("IF(ISBLANK(B2634),"""",IF(ISDATE(B2634),TEXT(B2634,""yyyy""),""""))"),"")</f>
        <v/>
      </c>
    </row>
    <row r="2635">
      <c r="B2635" s="87"/>
      <c r="C2635" s="85"/>
      <c r="D2635" s="76"/>
      <c r="H2635" s="88"/>
      <c r="J2635" s="53" t="str">
        <f>IFERROR(__xludf.DUMMYFUNCTION("IF(ISBLANK(B2635),"""",IF(ISDATE(B2635),""X"",""""))"),"")</f>
        <v/>
      </c>
      <c r="K2635" s="40" t="str">
        <f>IFERROR(__xludf.DUMMYFUNCTION("IF(ISBLANK(B2635),"""",IF(ISDATE(B2635),H2635,""""))"),"")</f>
        <v/>
      </c>
      <c r="L2635" s="40" t="str">
        <f>IFERROR(__xludf.DUMMYFUNCTION("IF(ISBLANK(B2635),"""",IF(ISDATE(B2635),TEXT(B2635,""M""),""""))"),"")</f>
        <v/>
      </c>
      <c r="M2635" s="29" t="str">
        <f>IFERROR(__xludf.DUMMYFUNCTION("IF(L2635="""","""",QUERY({'Dashboard-Dados'!$Y$2:$AA$13},""Select Col2 Where Col1=""&amp;L2635))"),"")</f>
        <v/>
      </c>
      <c r="N2635" s="29" t="str">
        <f>IFERROR(__xludf.DUMMYFUNCTION("IF(ISBLANK(B2635),"""",IF(ISDATE(B2635),TEXT(B2635,""yyyy""),""""))"),"")</f>
        <v/>
      </c>
    </row>
    <row r="2636">
      <c r="B2636" s="89"/>
      <c r="C2636" s="86"/>
      <c r="D2636" s="71"/>
      <c r="H2636" s="90"/>
      <c r="J2636" s="53" t="str">
        <f>IFERROR(__xludf.DUMMYFUNCTION("IF(ISBLANK(B2636),"""",IF(ISDATE(B2636),""X"",""""))"),"")</f>
        <v/>
      </c>
      <c r="K2636" s="40" t="str">
        <f>IFERROR(__xludf.DUMMYFUNCTION("IF(ISBLANK(B2636),"""",IF(ISDATE(B2636),H2636,""""))"),"")</f>
        <v/>
      </c>
      <c r="L2636" s="40" t="str">
        <f>IFERROR(__xludf.DUMMYFUNCTION("IF(ISBLANK(B2636),"""",IF(ISDATE(B2636),TEXT(B2636,""M""),""""))"),"")</f>
        <v/>
      </c>
      <c r="M2636" s="29" t="str">
        <f>IFERROR(__xludf.DUMMYFUNCTION("IF(L2636="""","""",QUERY({'Dashboard-Dados'!$Y$2:$AA$13},""Select Col2 Where Col1=""&amp;L2636))"),"")</f>
        <v/>
      </c>
      <c r="N2636" s="29" t="str">
        <f>IFERROR(__xludf.DUMMYFUNCTION("IF(ISBLANK(B2636),"""",IF(ISDATE(B2636),TEXT(B2636,""yyyy""),""""))"),"")</f>
        <v/>
      </c>
    </row>
    <row r="2637">
      <c r="B2637" s="87"/>
      <c r="C2637" s="85"/>
      <c r="D2637" s="76"/>
      <c r="H2637" s="88"/>
      <c r="J2637" s="53" t="str">
        <f>IFERROR(__xludf.DUMMYFUNCTION("IF(ISBLANK(B2637),"""",IF(ISDATE(B2637),""X"",""""))"),"")</f>
        <v/>
      </c>
      <c r="K2637" s="40" t="str">
        <f>IFERROR(__xludf.DUMMYFUNCTION("IF(ISBLANK(B2637),"""",IF(ISDATE(B2637),H2637,""""))"),"")</f>
        <v/>
      </c>
      <c r="L2637" s="40" t="str">
        <f>IFERROR(__xludf.DUMMYFUNCTION("IF(ISBLANK(B2637),"""",IF(ISDATE(B2637),TEXT(B2637,""M""),""""))"),"")</f>
        <v/>
      </c>
      <c r="M2637" s="29" t="str">
        <f>IFERROR(__xludf.DUMMYFUNCTION("IF(L2637="""","""",QUERY({'Dashboard-Dados'!$Y$2:$AA$13},""Select Col2 Where Col1=""&amp;L2637))"),"")</f>
        <v/>
      </c>
      <c r="N2637" s="29" t="str">
        <f>IFERROR(__xludf.DUMMYFUNCTION("IF(ISBLANK(B2637),"""",IF(ISDATE(B2637),TEXT(B2637,""yyyy""),""""))"),"")</f>
        <v/>
      </c>
    </row>
    <row r="2638">
      <c r="B2638" s="89"/>
      <c r="C2638" s="86"/>
      <c r="D2638" s="71"/>
      <c r="H2638" s="90"/>
      <c r="J2638" s="53" t="str">
        <f>IFERROR(__xludf.DUMMYFUNCTION("IF(ISBLANK(B2638),"""",IF(ISDATE(B2638),""X"",""""))"),"")</f>
        <v/>
      </c>
      <c r="K2638" s="40" t="str">
        <f>IFERROR(__xludf.DUMMYFUNCTION("IF(ISBLANK(B2638),"""",IF(ISDATE(B2638),H2638,""""))"),"")</f>
        <v/>
      </c>
      <c r="L2638" s="40" t="str">
        <f>IFERROR(__xludf.DUMMYFUNCTION("IF(ISBLANK(B2638),"""",IF(ISDATE(B2638),TEXT(B2638,""M""),""""))"),"")</f>
        <v/>
      </c>
      <c r="M2638" s="29" t="str">
        <f>IFERROR(__xludf.DUMMYFUNCTION("IF(L2638="""","""",QUERY({'Dashboard-Dados'!$Y$2:$AA$13},""Select Col2 Where Col1=""&amp;L2638))"),"")</f>
        <v/>
      </c>
      <c r="N2638" s="29" t="str">
        <f>IFERROR(__xludf.DUMMYFUNCTION("IF(ISBLANK(B2638),"""",IF(ISDATE(B2638),TEXT(B2638,""yyyy""),""""))"),"")</f>
        <v/>
      </c>
    </row>
    <row r="2639">
      <c r="B2639" s="87"/>
      <c r="C2639" s="85"/>
      <c r="D2639" s="76"/>
      <c r="H2639" s="88"/>
      <c r="J2639" s="53" t="str">
        <f>IFERROR(__xludf.DUMMYFUNCTION("IF(ISBLANK(B2639),"""",IF(ISDATE(B2639),""X"",""""))"),"")</f>
        <v/>
      </c>
      <c r="K2639" s="40" t="str">
        <f>IFERROR(__xludf.DUMMYFUNCTION("IF(ISBLANK(B2639),"""",IF(ISDATE(B2639),H2639,""""))"),"")</f>
        <v/>
      </c>
      <c r="L2639" s="40" t="str">
        <f>IFERROR(__xludf.DUMMYFUNCTION("IF(ISBLANK(B2639),"""",IF(ISDATE(B2639),TEXT(B2639,""M""),""""))"),"")</f>
        <v/>
      </c>
      <c r="M2639" s="29" t="str">
        <f>IFERROR(__xludf.DUMMYFUNCTION("IF(L2639="""","""",QUERY({'Dashboard-Dados'!$Y$2:$AA$13},""Select Col2 Where Col1=""&amp;L2639))"),"")</f>
        <v/>
      </c>
      <c r="N2639" s="29" t="str">
        <f>IFERROR(__xludf.DUMMYFUNCTION("IF(ISBLANK(B2639),"""",IF(ISDATE(B2639),TEXT(B2639,""yyyy""),""""))"),"")</f>
        <v/>
      </c>
    </row>
    <row r="2640">
      <c r="B2640" s="89"/>
      <c r="C2640" s="86"/>
      <c r="D2640" s="71"/>
      <c r="H2640" s="90"/>
      <c r="J2640" s="53" t="str">
        <f>IFERROR(__xludf.DUMMYFUNCTION("IF(ISBLANK(B2640),"""",IF(ISDATE(B2640),""X"",""""))"),"")</f>
        <v/>
      </c>
      <c r="K2640" s="40" t="str">
        <f>IFERROR(__xludf.DUMMYFUNCTION("IF(ISBLANK(B2640),"""",IF(ISDATE(B2640),H2640,""""))"),"")</f>
        <v/>
      </c>
      <c r="L2640" s="40" t="str">
        <f>IFERROR(__xludf.DUMMYFUNCTION("IF(ISBLANK(B2640),"""",IF(ISDATE(B2640),TEXT(B2640,""M""),""""))"),"")</f>
        <v/>
      </c>
      <c r="M2640" s="29" t="str">
        <f>IFERROR(__xludf.DUMMYFUNCTION("IF(L2640="""","""",QUERY({'Dashboard-Dados'!$Y$2:$AA$13},""Select Col2 Where Col1=""&amp;L2640))"),"")</f>
        <v/>
      </c>
      <c r="N2640" s="29" t="str">
        <f>IFERROR(__xludf.DUMMYFUNCTION("IF(ISBLANK(B2640),"""",IF(ISDATE(B2640),TEXT(B2640,""yyyy""),""""))"),"")</f>
        <v/>
      </c>
    </row>
    <row r="2641">
      <c r="B2641" s="87"/>
      <c r="C2641" s="85"/>
      <c r="D2641" s="76"/>
      <c r="H2641" s="88"/>
      <c r="J2641" s="53" t="str">
        <f>IFERROR(__xludf.DUMMYFUNCTION("IF(ISBLANK(B2641),"""",IF(ISDATE(B2641),""X"",""""))"),"")</f>
        <v/>
      </c>
      <c r="K2641" s="40" t="str">
        <f>IFERROR(__xludf.DUMMYFUNCTION("IF(ISBLANK(B2641),"""",IF(ISDATE(B2641),H2641,""""))"),"")</f>
        <v/>
      </c>
      <c r="L2641" s="40" t="str">
        <f>IFERROR(__xludf.DUMMYFUNCTION("IF(ISBLANK(B2641),"""",IF(ISDATE(B2641),TEXT(B2641,""M""),""""))"),"")</f>
        <v/>
      </c>
      <c r="M2641" s="29" t="str">
        <f>IFERROR(__xludf.DUMMYFUNCTION("IF(L2641="""","""",QUERY({'Dashboard-Dados'!$Y$2:$AA$13},""Select Col2 Where Col1=""&amp;L2641))"),"")</f>
        <v/>
      </c>
      <c r="N2641" s="29" t="str">
        <f>IFERROR(__xludf.DUMMYFUNCTION("IF(ISBLANK(B2641),"""",IF(ISDATE(B2641),TEXT(B2641,""yyyy""),""""))"),"")</f>
        <v/>
      </c>
    </row>
    <row r="2642">
      <c r="B2642" s="89"/>
      <c r="C2642" s="86"/>
      <c r="D2642" s="71"/>
      <c r="H2642" s="90"/>
      <c r="J2642" s="53" t="str">
        <f>IFERROR(__xludf.DUMMYFUNCTION("IF(ISBLANK(B2642),"""",IF(ISDATE(B2642),""X"",""""))"),"")</f>
        <v/>
      </c>
      <c r="K2642" s="40" t="str">
        <f>IFERROR(__xludf.DUMMYFUNCTION("IF(ISBLANK(B2642),"""",IF(ISDATE(B2642),H2642,""""))"),"")</f>
        <v/>
      </c>
      <c r="L2642" s="40" t="str">
        <f>IFERROR(__xludf.DUMMYFUNCTION("IF(ISBLANK(B2642),"""",IF(ISDATE(B2642),TEXT(B2642,""M""),""""))"),"")</f>
        <v/>
      </c>
      <c r="M2642" s="29" t="str">
        <f>IFERROR(__xludf.DUMMYFUNCTION("IF(L2642="""","""",QUERY({'Dashboard-Dados'!$Y$2:$AA$13},""Select Col2 Where Col1=""&amp;L2642))"),"")</f>
        <v/>
      </c>
      <c r="N2642" s="29" t="str">
        <f>IFERROR(__xludf.DUMMYFUNCTION("IF(ISBLANK(B2642),"""",IF(ISDATE(B2642),TEXT(B2642,""yyyy""),""""))"),"")</f>
        <v/>
      </c>
    </row>
    <row r="2643">
      <c r="B2643" s="87"/>
      <c r="C2643" s="85"/>
      <c r="D2643" s="76"/>
      <c r="H2643" s="88"/>
      <c r="J2643" s="53" t="str">
        <f>IFERROR(__xludf.DUMMYFUNCTION("IF(ISBLANK(B2643),"""",IF(ISDATE(B2643),""X"",""""))"),"")</f>
        <v/>
      </c>
      <c r="K2643" s="40" t="str">
        <f>IFERROR(__xludf.DUMMYFUNCTION("IF(ISBLANK(B2643),"""",IF(ISDATE(B2643),H2643,""""))"),"")</f>
        <v/>
      </c>
      <c r="L2643" s="40" t="str">
        <f>IFERROR(__xludf.DUMMYFUNCTION("IF(ISBLANK(B2643),"""",IF(ISDATE(B2643),TEXT(B2643,""M""),""""))"),"")</f>
        <v/>
      </c>
      <c r="M2643" s="29" t="str">
        <f>IFERROR(__xludf.DUMMYFUNCTION("IF(L2643="""","""",QUERY({'Dashboard-Dados'!$Y$2:$AA$13},""Select Col2 Where Col1=""&amp;L2643))"),"")</f>
        <v/>
      </c>
      <c r="N2643" s="29" t="str">
        <f>IFERROR(__xludf.DUMMYFUNCTION("IF(ISBLANK(B2643),"""",IF(ISDATE(B2643),TEXT(B2643,""yyyy""),""""))"),"")</f>
        <v/>
      </c>
    </row>
    <row r="2644">
      <c r="B2644" s="89"/>
      <c r="C2644" s="86"/>
      <c r="D2644" s="71"/>
      <c r="H2644" s="90"/>
      <c r="J2644" s="53" t="str">
        <f>IFERROR(__xludf.DUMMYFUNCTION("IF(ISBLANK(B2644),"""",IF(ISDATE(B2644),""X"",""""))"),"")</f>
        <v/>
      </c>
      <c r="K2644" s="40" t="str">
        <f>IFERROR(__xludf.DUMMYFUNCTION("IF(ISBLANK(B2644),"""",IF(ISDATE(B2644),H2644,""""))"),"")</f>
        <v/>
      </c>
      <c r="L2644" s="40" t="str">
        <f>IFERROR(__xludf.DUMMYFUNCTION("IF(ISBLANK(B2644),"""",IF(ISDATE(B2644),TEXT(B2644,""M""),""""))"),"")</f>
        <v/>
      </c>
      <c r="M2644" s="29" t="str">
        <f>IFERROR(__xludf.DUMMYFUNCTION("IF(L2644="""","""",QUERY({'Dashboard-Dados'!$Y$2:$AA$13},""Select Col2 Where Col1=""&amp;L2644))"),"")</f>
        <v/>
      </c>
      <c r="N2644" s="29" t="str">
        <f>IFERROR(__xludf.DUMMYFUNCTION("IF(ISBLANK(B2644),"""",IF(ISDATE(B2644),TEXT(B2644,""yyyy""),""""))"),"")</f>
        <v/>
      </c>
    </row>
    <row r="2645">
      <c r="B2645" s="87"/>
      <c r="C2645" s="85"/>
      <c r="D2645" s="76"/>
      <c r="H2645" s="88"/>
      <c r="J2645" s="53" t="str">
        <f>IFERROR(__xludf.DUMMYFUNCTION("IF(ISBLANK(B2645),"""",IF(ISDATE(B2645),""X"",""""))"),"")</f>
        <v/>
      </c>
      <c r="K2645" s="40" t="str">
        <f>IFERROR(__xludf.DUMMYFUNCTION("IF(ISBLANK(B2645),"""",IF(ISDATE(B2645),H2645,""""))"),"")</f>
        <v/>
      </c>
      <c r="L2645" s="40" t="str">
        <f>IFERROR(__xludf.DUMMYFUNCTION("IF(ISBLANK(B2645),"""",IF(ISDATE(B2645),TEXT(B2645,""M""),""""))"),"")</f>
        <v/>
      </c>
      <c r="M2645" s="29" t="str">
        <f>IFERROR(__xludf.DUMMYFUNCTION("IF(L2645="""","""",QUERY({'Dashboard-Dados'!$Y$2:$AA$13},""Select Col2 Where Col1=""&amp;L2645))"),"")</f>
        <v/>
      </c>
      <c r="N2645" s="29" t="str">
        <f>IFERROR(__xludf.DUMMYFUNCTION("IF(ISBLANK(B2645),"""",IF(ISDATE(B2645),TEXT(B2645,""yyyy""),""""))"),"")</f>
        <v/>
      </c>
    </row>
    <row r="2646">
      <c r="B2646" s="89"/>
      <c r="C2646" s="86"/>
      <c r="D2646" s="71"/>
      <c r="H2646" s="90"/>
      <c r="J2646" s="53" t="str">
        <f>IFERROR(__xludf.DUMMYFUNCTION("IF(ISBLANK(B2646),"""",IF(ISDATE(B2646),""X"",""""))"),"")</f>
        <v/>
      </c>
      <c r="K2646" s="40" t="str">
        <f>IFERROR(__xludf.DUMMYFUNCTION("IF(ISBLANK(B2646),"""",IF(ISDATE(B2646),H2646,""""))"),"")</f>
        <v/>
      </c>
      <c r="L2646" s="40" t="str">
        <f>IFERROR(__xludf.DUMMYFUNCTION("IF(ISBLANK(B2646),"""",IF(ISDATE(B2646),TEXT(B2646,""M""),""""))"),"")</f>
        <v/>
      </c>
      <c r="M2646" s="29" t="str">
        <f>IFERROR(__xludf.DUMMYFUNCTION("IF(L2646="""","""",QUERY({'Dashboard-Dados'!$Y$2:$AA$13},""Select Col2 Where Col1=""&amp;L2646))"),"")</f>
        <v/>
      </c>
      <c r="N2646" s="29" t="str">
        <f>IFERROR(__xludf.DUMMYFUNCTION("IF(ISBLANK(B2646),"""",IF(ISDATE(B2646),TEXT(B2646,""yyyy""),""""))"),"")</f>
        <v/>
      </c>
    </row>
    <row r="2647">
      <c r="B2647" s="87"/>
      <c r="C2647" s="85"/>
      <c r="D2647" s="76"/>
      <c r="H2647" s="88"/>
      <c r="J2647" s="53" t="str">
        <f>IFERROR(__xludf.DUMMYFUNCTION("IF(ISBLANK(B2647),"""",IF(ISDATE(B2647),""X"",""""))"),"")</f>
        <v/>
      </c>
      <c r="K2647" s="40" t="str">
        <f>IFERROR(__xludf.DUMMYFUNCTION("IF(ISBLANK(B2647),"""",IF(ISDATE(B2647),H2647,""""))"),"")</f>
        <v/>
      </c>
      <c r="L2647" s="40" t="str">
        <f>IFERROR(__xludf.DUMMYFUNCTION("IF(ISBLANK(B2647),"""",IF(ISDATE(B2647),TEXT(B2647,""M""),""""))"),"")</f>
        <v/>
      </c>
      <c r="M2647" s="29" t="str">
        <f>IFERROR(__xludf.DUMMYFUNCTION("IF(L2647="""","""",QUERY({'Dashboard-Dados'!$Y$2:$AA$13},""Select Col2 Where Col1=""&amp;L2647))"),"")</f>
        <v/>
      </c>
      <c r="N2647" s="29" t="str">
        <f>IFERROR(__xludf.DUMMYFUNCTION("IF(ISBLANK(B2647),"""",IF(ISDATE(B2647),TEXT(B2647,""yyyy""),""""))"),"")</f>
        <v/>
      </c>
    </row>
    <row r="2648">
      <c r="B2648" s="89"/>
      <c r="C2648" s="86"/>
      <c r="D2648" s="71"/>
      <c r="H2648" s="90"/>
      <c r="J2648" s="53" t="str">
        <f>IFERROR(__xludf.DUMMYFUNCTION("IF(ISBLANK(B2648),"""",IF(ISDATE(B2648),""X"",""""))"),"")</f>
        <v/>
      </c>
      <c r="K2648" s="40" t="str">
        <f>IFERROR(__xludf.DUMMYFUNCTION("IF(ISBLANK(B2648),"""",IF(ISDATE(B2648),H2648,""""))"),"")</f>
        <v/>
      </c>
      <c r="L2648" s="40" t="str">
        <f>IFERROR(__xludf.DUMMYFUNCTION("IF(ISBLANK(B2648),"""",IF(ISDATE(B2648),TEXT(B2648,""M""),""""))"),"")</f>
        <v/>
      </c>
      <c r="M2648" s="29" t="str">
        <f>IFERROR(__xludf.DUMMYFUNCTION("IF(L2648="""","""",QUERY({'Dashboard-Dados'!$Y$2:$AA$13},""Select Col2 Where Col1=""&amp;L2648))"),"")</f>
        <v/>
      </c>
      <c r="N2648" s="29" t="str">
        <f>IFERROR(__xludf.DUMMYFUNCTION("IF(ISBLANK(B2648),"""",IF(ISDATE(B2648),TEXT(B2648,""yyyy""),""""))"),"")</f>
        <v/>
      </c>
    </row>
    <row r="2649">
      <c r="B2649" s="87"/>
      <c r="C2649" s="85"/>
      <c r="D2649" s="76"/>
      <c r="H2649" s="88"/>
      <c r="J2649" s="53" t="str">
        <f>IFERROR(__xludf.DUMMYFUNCTION("IF(ISBLANK(B2649),"""",IF(ISDATE(B2649),""X"",""""))"),"")</f>
        <v/>
      </c>
      <c r="K2649" s="40" t="str">
        <f>IFERROR(__xludf.DUMMYFUNCTION("IF(ISBLANK(B2649),"""",IF(ISDATE(B2649),H2649,""""))"),"")</f>
        <v/>
      </c>
      <c r="L2649" s="40" t="str">
        <f>IFERROR(__xludf.DUMMYFUNCTION("IF(ISBLANK(B2649),"""",IF(ISDATE(B2649),TEXT(B2649,""M""),""""))"),"")</f>
        <v/>
      </c>
      <c r="M2649" s="29" t="str">
        <f>IFERROR(__xludf.DUMMYFUNCTION("IF(L2649="""","""",QUERY({'Dashboard-Dados'!$Y$2:$AA$13},""Select Col2 Where Col1=""&amp;L2649))"),"")</f>
        <v/>
      </c>
      <c r="N2649" s="29" t="str">
        <f>IFERROR(__xludf.DUMMYFUNCTION("IF(ISBLANK(B2649),"""",IF(ISDATE(B2649),TEXT(B2649,""yyyy""),""""))"),"")</f>
        <v/>
      </c>
    </row>
    <row r="2650">
      <c r="B2650" s="89"/>
      <c r="C2650" s="86"/>
      <c r="D2650" s="71"/>
      <c r="H2650" s="90"/>
      <c r="J2650" s="53" t="str">
        <f>IFERROR(__xludf.DUMMYFUNCTION("IF(ISBLANK(B2650),"""",IF(ISDATE(B2650),""X"",""""))"),"")</f>
        <v/>
      </c>
      <c r="K2650" s="40" t="str">
        <f>IFERROR(__xludf.DUMMYFUNCTION("IF(ISBLANK(B2650),"""",IF(ISDATE(B2650),H2650,""""))"),"")</f>
        <v/>
      </c>
      <c r="L2650" s="40" t="str">
        <f>IFERROR(__xludf.DUMMYFUNCTION("IF(ISBLANK(B2650),"""",IF(ISDATE(B2650),TEXT(B2650,""M""),""""))"),"")</f>
        <v/>
      </c>
      <c r="M2650" s="29" t="str">
        <f>IFERROR(__xludf.DUMMYFUNCTION("IF(L2650="""","""",QUERY({'Dashboard-Dados'!$Y$2:$AA$13},""Select Col2 Where Col1=""&amp;L2650))"),"")</f>
        <v/>
      </c>
      <c r="N2650" s="29" t="str">
        <f>IFERROR(__xludf.DUMMYFUNCTION("IF(ISBLANK(B2650),"""",IF(ISDATE(B2650),TEXT(B2650,""yyyy""),""""))"),"")</f>
        <v/>
      </c>
    </row>
    <row r="2651">
      <c r="B2651" s="87"/>
      <c r="C2651" s="85"/>
      <c r="D2651" s="76"/>
      <c r="H2651" s="88"/>
      <c r="J2651" s="53" t="str">
        <f>IFERROR(__xludf.DUMMYFUNCTION("IF(ISBLANK(B2651),"""",IF(ISDATE(B2651),""X"",""""))"),"")</f>
        <v/>
      </c>
      <c r="K2651" s="40" t="str">
        <f>IFERROR(__xludf.DUMMYFUNCTION("IF(ISBLANK(B2651),"""",IF(ISDATE(B2651),H2651,""""))"),"")</f>
        <v/>
      </c>
      <c r="L2651" s="40" t="str">
        <f>IFERROR(__xludf.DUMMYFUNCTION("IF(ISBLANK(B2651),"""",IF(ISDATE(B2651),TEXT(B2651,""M""),""""))"),"")</f>
        <v/>
      </c>
      <c r="M2651" s="29" t="str">
        <f>IFERROR(__xludf.DUMMYFUNCTION("IF(L2651="""","""",QUERY({'Dashboard-Dados'!$Y$2:$AA$13},""Select Col2 Where Col1=""&amp;L2651))"),"")</f>
        <v/>
      </c>
      <c r="N2651" s="29" t="str">
        <f>IFERROR(__xludf.DUMMYFUNCTION("IF(ISBLANK(B2651),"""",IF(ISDATE(B2651),TEXT(B2651,""yyyy""),""""))"),"")</f>
        <v/>
      </c>
    </row>
    <row r="2652">
      <c r="B2652" s="89"/>
      <c r="C2652" s="86"/>
      <c r="D2652" s="71"/>
      <c r="H2652" s="90"/>
      <c r="J2652" s="53" t="str">
        <f>IFERROR(__xludf.DUMMYFUNCTION("IF(ISBLANK(B2652),"""",IF(ISDATE(B2652),""X"",""""))"),"")</f>
        <v/>
      </c>
      <c r="K2652" s="40" t="str">
        <f>IFERROR(__xludf.DUMMYFUNCTION("IF(ISBLANK(B2652),"""",IF(ISDATE(B2652),H2652,""""))"),"")</f>
        <v/>
      </c>
      <c r="L2652" s="40" t="str">
        <f>IFERROR(__xludf.DUMMYFUNCTION("IF(ISBLANK(B2652),"""",IF(ISDATE(B2652),TEXT(B2652,""M""),""""))"),"")</f>
        <v/>
      </c>
      <c r="M2652" s="29" t="str">
        <f>IFERROR(__xludf.DUMMYFUNCTION("IF(L2652="""","""",QUERY({'Dashboard-Dados'!$Y$2:$AA$13},""Select Col2 Where Col1=""&amp;L2652))"),"")</f>
        <v/>
      </c>
      <c r="N2652" s="29" t="str">
        <f>IFERROR(__xludf.DUMMYFUNCTION("IF(ISBLANK(B2652),"""",IF(ISDATE(B2652),TEXT(B2652,""yyyy""),""""))"),"")</f>
        <v/>
      </c>
    </row>
    <row r="2653">
      <c r="B2653" s="87"/>
      <c r="C2653" s="85"/>
      <c r="D2653" s="76"/>
      <c r="H2653" s="88"/>
      <c r="J2653" s="53" t="str">
        <f>IFERROR(__xludf.DUMMYFUNCTION("IF(ISBLANK(B2653),"""",IF(ISDATE(B2653),""X"",""""))"),"")</f>
        <v/>
      </c>
      <c r="K2653" s="40" t="str">
        <f>IFERROR(__xludf.DUMMYFUNCTION("IF(ISBLANK(B2653),"""",IF(ISDATE(B2653),H2653,""""))"),"")</f>
        <v/>
      </c>
      <c r="L2653" s="40" t="str">
        <f>IFERROR(__xludf.DUMMYFUNCTION("IF(ISBLANK(B2653),"""",IF(ISDATE(B2653),TEXT(B2653,""M""),""""))"),"")</f>
        <v/>
      </c>
      <c r="M2653" s="29" t="str">
        <f>IFERROR(__xludf.DUMMYFUNCTION("IF(L2653="""","""",QUERY({'Dashboard-Dados'!$Y$2:$AA$13},""Select Col2 Where Col1=""&amp;L2653))"),"")</f>
        <v/>
      </c>
      <c r="N2653" s="29" t="str">
        <f>IFERROR(__xludf.DUMMYFUNCTION("IF(ISBLANK(B2653),"""",IF(ISDATE(B2653),TEXT(B2653,""yyyy""),""""))"),"")</f>
        <v/>
      </c>
    </row>
    <row r="2654">
      <c r="B2654" s="89"/>
      <c r="C2654" s="86"/>
      <c r="D2654" s="71"/>
      <c r="H2654" s="90"/>
      <c r="J2654" s="53" t="str">
        <f>IFERROR(__xludf.DUMMYFUNCTION("IF(ISBLANK(B2654),"""",IF(ISDATE(B2654),""X"",""""))"),"")</f>
        <v/>
      </c>
      <c r="K2654" s="40" t="str">
        <f>IFERROR(__xludf.DUMMYFUNCTION("IF(ISBLANK(B2654),"""",IF(ISDATE(B2654),H2654,""""))"),"")</f>
        <v/>
      </c>
      <c r="L2654" s="40" t="str">
        <f>IFERROR(__xludf.DUMMYFUNCTION("IF(ISBLANK(B2654),"""",IF(ISDATE(B2654),TEXT(B2654,""M""),""""))"),"")</f>
        <v/>
      </c>
      <c r="M2654" s="29" t="str">
        <f>IFERROR(__xludf.DUMMYFUNCTION("IF(L2654="""","""",QUERY({'Dashboard-Dados'!$Y$2:$AA$13},""Select Col2 Where Col1=""&amp;L2654))"),"")</f>
        <v/>
      </c>
      <c r="N2654" s="29" t="str">
        <f>IFERROR(__xludf.DUMMYFUNCTION("IF(ISBLANK(B2654),"""",IF(ISDATE(B2654),TEXT(B2654,""yyyy""),""""))"),"")</f>
        <v/>
      </c>
    </row>
    <row r="2655">
      <c r="B2655" s="87"/>
      <c r="C2655" s="85"/>
      <c r="D2655" s="76"/>
      <c r="H2655" s="88"/>
      <c r="J2655" s="53" t="str">
        <f>IFERROR(__xludf.DUMMYFUNCTION("IF(ISBLANK(B2655),"""",IF(ISDATE(B2655),""X"",""""))"),"")</f>
        <v/>
      </c>
      <c r="K2655" s="40" t="str">
        <f>IFERROR(__xludf.DUMMYFUNCTION("IF(ISBLANK(B2655),"""",IF(ISDATE(B2655),H2655,""""))"),"")</f>
        <v/>
      </c>
      <c r="L2655" s="40" t="str">
        <f>IFERROR(__xludf.DUMMYFUNCTION("IF(ISBLANK(B2655),"""",IF(ISDATE(B2655),TEXT(B2655,""M""),""""))"),"")</f>
        <v/>
      </c>
      <c r="M2655" s="29" t="str">
        <f>IFERROR(__xludf.DUMMYFUNCTION("IF(L2655="""","""",QUERY({'Dashboard-Dados'!$Y$2:$AA$13},""Select Col2 Where Col1=""&amp;L2655))"),"")</f>
        <v/>
      </c>
      <c r="N2655" s="29" t="str">
        <f>IFERROR(__xludf.DUMMYFUNCTION("IF(ISBLANK(B2655),"""",IF(ISDATE(B2655),TEXT(B2655,""yyyy""),""""))"),"")</f>
        <v/>
      </c>
    </row>
    <row r="2656">
      <c r="B2656" s="89"/>
      <c r="C2656" s="86"/>
      <c r="D2656" s="71"/>
      <c r="H2656" s="90"/>
      <c r="J2656" s="53" t="str">
        <f>IFERROR(__xludf.DUMMYFUNCTION("IF(ISBLANK(B2656),"""",IF(ISDATE(B2656),""X"",""""))"),"")</f>
        <v/>
      </c>
      <c r="K2656" s="40" t="str">
        <f>IFERROR(__xludf.DUMMYFUNCTION("IF(ISBLANK(B2656),"""",IF(ISDATE(B2656),H2656,""""))"),"")</f>
        <v/>
      </c>
      <c r="L2656" s="40" t="str">
        <f>IFERROR(__xludf.DUMMYFUNCTION("IF(ISBLANK(B2656),"""",IF(ISDATE(B2656),TEXT(B2656,""M""),""""))"),"")</f>
        <v/>
      </c>
      <c r="M2656" s="29" t="str">
        <f>IFERROR(__xludf.DUMMYFUNCTION("IF(L2656="""","""",QUERY({'Dashboard-Dados'!$Y$2:$AA$13},""Select Col2 Where Col1=""&amp;L2656))"),"")</f>
        <v/>
      </c>
      <c r="N2656" s="29" t="str">
        <f>IFERROR(__xludf.DUMMYFUNCTION("IF(ISBLANK(B2656),"""",IF(ISDATE(B2656),TEXT(B2656,""yyyy""),""""))"),"")</f>
        <v/>
      </c>
    </row>
    <row r="2657">
      <c r="B2657" s="87"/>
      <c r="C2657" s="85"/>
      <c r="D2657" s="76"/>
      <c r="H2657" s="88"/>
      <c r="J2657" s="53" t="str">
        <f>IFERROR(__xludf.DUMMYFUNCTION("IF(ISBLANK(B2657),"""",IF(ISDATE(B2657),""X"",""""))"),"")</f>
        <v/>
      </c>
      <c r="K2657" s="40" t="str">
        <f>IFERROR(__xludf.DUMMYFUNCTION("IF(ISBLANK(B2657),"""",IF(ISDATE(B2657),H2657,""""))"),"")</f>
        <v/>
      </c>
      <c r="L2657" s="40" t="str">
        <f>IFERROR(__xludf.DUMMYFUNCTION("IF(ISBLANK(B2657),"""",IF(ISDATE(B2657),TEXT(B2657,""M""),""""))"),"")</f>
        <v/>
      </c>
      <c r="M2657" s="29" t="str">
        <f>IFERROR(__xludf.DUMMYFUNCTION("IF(L2657="""","""",QUERY({'Dashboard-Dados'!$Y$2:$AA$13},""Select Col2 Where Col1=""&amp;L2657))"),"")</f>
        <v/>
      </c>
      <c r="N2657" s="29" t="str">
        <f>IFERROR(__xludf.DUMMYFUNCTION("IF(ISBLANK(B2657),"""",IF(ISDATE(B2657),TEXT(B2657,""yyyy""),""""))"),"")</f>
        <v/>
      </c>
    </row>
    <row r="2658">
      <c r="B2658" s="89"/>
      <c r="C2658" s="86"/>
      <c r="D2658" s="71"/>
      <c r="H2658" s="90"/>
      <c r="J2658" s="53" t="str">
        <f>IFERROR(__xludf.DUMMYFUNCTION("IF(ISBLANK(B2658),"""",IF(ISDATE(B2658),""X"",""""))"),"")</f>
        <v/>
      </c>
      <c r="K2658" s="40" t="str">
        <f>IFERROR(__xludf.DUMMYFUNCTION("IF(ISBLANK(B2658),"""",IF(ISDATE(B2658),H2658,""""))"),"")</f>
        <v/>
      </c>
      <c r="L2658" s="40" t="str">
        <f>IFERROR(__xludf.DUMMYFUNCTION("IF(ISBLANK(B2658),"""",IF(ISDATE(B2658),TEXT(B2658,""M""),""""))"),"")</f>
        <v/>
      </c>
      <c r="M2658" s="29" t="str">
        <f>IFERROR(__xludf.DUMMYFUNCTION("IF(L2658="""","""",QUERY({'Dashboard-Dados'!$Y$2:$AA$13},""Select Col2 Where Col1=""&amp;L2658))"),"")</f>
        <v/>
      </c>
      <c r="N2658" s="29" t="str">
        <f>IFERROR(__xludf.DUMMYFUNCTION("IF(ISBLANK(B2658),"""",IF(ISDATE(B2658),TEXT(B2658,""yyyy""),""""))"),"")</f>
        <v/>
      </c>
    </row>
    <row r="2659">
      <c r="B2659" s="87"/>
      <c r="C2659" s="85"/>
      <c r="D2659" s="76"/>
      <c r="H2659" s="88"/>
      <c r="J2659" s="53" t="str">
        <f>IFERROR(__xludf.DUMMYFUNCTION("IF(ISBLANK(B2659),"""",IF(ISDATE(B2659),""X"",""""))"),"")</f>
        <v/>
      </c>
      <c r="K2659" s="40" t="str">
        <f>IFERROR(__xludf.DUMMYFUNCTION("IF(ISBLANK(B2659),"""",IF(ISDATE(B2659),H2659,""""))"),"")</f>
        <v/>
      </c>
      <c r="L2659" s="40" t="str">
        <f>IFERROR(__xludf.DUMMYFUNCTION("IF(ISBLANK(B2659),"""",IF(ISDATE(B2659),TEXT(B2659,""M""),""""))"),"")</f>
        <v/>
      </c>
      <c r="M2659" s="29" t="str">
        <f>IFERROR(__xludf.DUMMYFUNCTION("IF(L2659="""","""",QUERY({'Dashboard-Dados'!$Y$2:$AA$13},""Select Col2 Where Col1=""&amp;L2659))"),"")</f>
        <v/>
      </c>
      <c r="N2659" s="29" t="str">
        <f>IFERROR(__xludf.DUMMYFUNCTION("IF(ISBLANK(B2659),"""",IF(ISDATE(B2659),TEXT(B2659,""yyyy""),""""))"),"")</f>
        <v/>
      </c>
    </row>
    <row r="2660">
      <c r="B2660" s="89"/>
      <c r="C2660" s="86"/>
      <c r="D2660" s="71"/>
      <c r="H2660" s="90"/>
      <c r="J2660" s="53" t="str">
        <f>IFERROR(__xludf.DUMMYFUNCTION("IF(ISBLANK(B2660),"""",IF(ISDATE(B2660),""X"",""""))"),"")</f>
        <v/>
      </c>
      <c r="K2660" s="40" t="str">
        <f>IFERROR(__xludf.DUMMYFUNCTION("IF(ISBLANK(B2660),"""",IF(ISDATE(B2660),H2660,""""))"),"")</f>
        <v/>
      </c>
      <c r="L2660" s="40" t="str">
        <f>IFERROR(__xludf.DUMMYFUNCTION("IF(ISBLANK(B2660),"""",IF(ISDATE(B2660),TEXT(B2660,""M""),""""))"),"")</f>
        <v/>
      </c>
      <c r="M2660" s="29" t="str">
        <f>IFERROR(__xludf.DUMMYFUNCTION("IF(L2660="""","""",QUERY({'Dashboard-Dados'!$Y$2:$AA$13},""Select Col2 Where Col1=""&amp;L2660))"),"")</f>
        <v/>
      </c>
      <c r="N2660" s="29" t="str">
        <f>IFERROR(__xludf.DUMMYFUNCTION("IF(ISBLANK(B2660),"""",IF(ISDATE(B2660),TEXT(B2660,""yyyy""),""""))"),"")</f>
        <v/>
      </c>
    </row>
    <row r="2661">
      <c r="B2661" s="87"/>
      <c r="C2661" s="85"/>
      <c r="D2661" s="76"/>
      <c r="H2661" s="88"/>
      <c r="J2661" s="53" t="str">
        <f>IFERROR(__xludf.DUMMYFUNCTION("IF(ISBLANK(B2661),"""",IF(ISDATE(B2661),""X"",""""))"),"")</f>
        <v/>
      </c>
      <c r="K2661" s="40" t="str">
        <f>IFERROR(__xludf.DUMMYFUNCTION("IF(ISBLANK(B2661),"""",IF(ISDATE(B2661),H2661,""""))"),"")</f>
        <v/>
      </c>
      <c r="L2661" s="40" t="str">
        <f>IFERROR(__xludf.DUMMYFUNCTION("IF(ISBLANK(B2661),"""",IF(ISDATE(B2661),TEXT(B2661,""M""),""""))"),"")</f>
        <v/>
      </c>
      <c r="M2661" s="29" t="str">
        <f>IFERROR(__xludf.DUMMYFUNCTION("IF(L2661="""","""",QUERY({'Dashboard-Dados'!$Y$2:$AA$13},""Select Col2 Where Col1=""&amp;L2661))"),"")</f>
        <v/>
      </c>
      <c r="N2661" s="29" t="str">
        <f>IFERROR(__xludf.DUMMYFUNCTION("IF(ISBLANK(B2661),"""",IF(ISDATE(B2661),TEXT(B2661,""yyyy""),""""))"),"")</f>
        <v/>
      </c>
    </row>
    <row r="2662">
      <c r="B2662" s="89"/>
      <c r="C2662" s="86"/>
      <c r="D2662" s="71"/>
      <c r="H2662" s="90"/>
      <c r="J2662" s="53" t="str">
        <f>IFERROR(__xludf.DUMMYFUNCTION("IF(ISBLANK(B2662),"""",IF(ISDATE(B2662),""X"",""""))"),"")</f>
        <v/>
      </c>
      <c r="K2662" s="40" t="str">
        <f>IFERROR(__xludf.DUMMYFUNCTION("IF(ISBLANK(B2662),"""",IF(ISDATE(B2662),H2662,""""))"),"")</f>
        <v/>
      </c>
      <c r="L2662" s="40" t="str">
        <f>IFERROR(__xludf.DUMMYFUNCTION("IF(ISBLANK(B2662),"""",IF(ISDATE(B2662),TEXT(B2662,""M""),""""))"),"")</f>
        <v/>
      </c>
      <c r="M2662" s="29" t="str">
        <f>IFERROR(__xludf.DUMMYFUNCTION("IF(L2662="""","""",QUERY({'Dashboard-Dados'!$Y$2:$AA$13},""Select Col2 Where Col1=""&amp;L2662))"),"")</f>
        <v/>
      </c>
      <c r="N2662" s="29" t="str">
        <f>IFERROR(__xludf.DUMMYFUNCTION("IF(ISBLANK(B2662),"""",IF(ISDATE(B2662),TEXT(B2662,""yyyy""),""""))"),"")</f>
        <v/>
      </c>
    </row>
    <row r="2663">
      <c r="B2663" s="87"/>
      <c r="C2663" s="85"/>
      <c r="D2663" s="76"/>
      <c r="H2663" s="88"/>
      <c r="J2663" s="53" t="str">
        <f>IFERROR(__xludf.DUMMYFUNCTION("IF(ISBLANK(B2663),"""",IF(ISDATE(B2663),""X"",""""))"),"")</f>
        <v/>
      </c>
      <c r="K2663" s="40" t="str">
        <f>IFERROR(__xludf.DUMMYFUNCTION("IF(ISBLANK(B2663),"""",IF(ISDATE(B2663),H2663,""""))"),"")</f>
        <v/>
      </c>
      <c r="L2663" s="40" t="str">
        <f>IFERROR(__xludf.DUMMYFUNCTION("IF(ISBLANK(B2663),"""",IF(ISDATE(B2663),TEXT(B2663,""M""),""""))"),"")</f>
        <v/>
      </c>
      <c r="M2663" s="29" t="str">
        <f>IFERROR(__xludf.DUMMYFUNCTION("IF(L2663="""","""",QUERY({'Dashboard-Dados'!$Y$2:$AA$13},""Select Col2 Where Col1=""&amp;L2663))"),"")</f>
        <v/>
      </c>
      <c r="N2663" s="29" t="str">
        <f>IFERROR(__xludf.DUMMYFUNCTION("IF(ISBLANK(B2663),"""",IF(ISDATE(B2663),TEXT(B2663,""yyyy""),""""))"),"")</f>
        <v/>
      </c>
    </row>
    <row r="2664">
      <c r="B2664" s="89"/>
      <c r="C2664" s="86"/>
      <c r="D2664" s="71"/>
      <c r="H2664" s="90"/>
      <c r="J2664" s="53" t="str">
        <f>IFERROR(__xludf.DUMMYFUNCTION("IF(ISBLANK(B2664),"""",IF(ISDATE(B2664),""X"",""""))"),"")</f>
        <v/>
      </c>
      <c r="K2664" s="40" t="str">
        <f>IFERROR(__xludf.DUMMYFUNCTION("IF(ISBLANK(B2664),"""",IF(ISDATE(B2664),H2664,""""))"),"")</f>
        <v/>
      </c>
      <c r="L2664" s="40" t="str">
        <f>IFERROR(__xludf.DUMMYFUNCTION("IF(ISBLANK(B2664),"""",IF(ISDATE(B2664),TEXT(B2664,""M""),""""))"),"")</f>
        <v/>
      </c>
      <c r="M2664" s="29" t="str">
        <f>IFERROR(__xludf.DUMMYFUNCTION("IF(L2664="""","""",QUERY({'Dashboard-Dados'!$Y$2:$AA$13},""Select Col2 Where Col1=""&amp;L2664))"),"")</f>
        <v/>
      </c>
      <c r="N2664" s="29" t="str">
        <f>IFERROR(__xludf.DUMMYFUNCTION("IF(ISBLANK(B2664),"""",IF(ISDATE(B2664),TEXT(B2664,""yyyy""),""""))"),"")</f>
        <v/>
      </c>
    </row>
    <row r="2665">
      <c r="B2665" s="87"/>
      <c r="C2665" s="85"/>
      <c r="D2665" s="76"/>
      <c r="H2665" s="88"/>
      <c r="J2665" s="53" t="str">
        <f>IFERROR(__xludf.DUMMYFUNCTION("IF(ISBLANK(B2665),"""",IF(ISDATE(B2665),""X"",""""))"),"")</f>
        <v/>
      </c>
      <c r="K2665" s="40" t="str">
        <f>IFERROR(__xludf.DUMMYFUNCTION("IF(ISBLANK(B2665),"""",IF(ISDATE(B2665),H2665,""""))"),"")</f>
        <v/>
      </c>
      <c r="L2665" s="40" t="str">
        <f>IFERROR(__xludf.DUMMYFUNCTION("IF(ISBLANK(B2665),"""",IF(ISDATE(B2665),TEXT(B2665,""M""),""""))"),"")</f>
        <v/>
      </c>
      <c r="M2665" s="29" t="str">
        <f>IFERROR(__xludf.DUMMYFUNCTION("IF(L2665="""","""",QUERY({'Dashboard-Dados'!$Y$2:$AA$13},""Select Col2 Where Col1=""&amp;L2665))"),"")</f>
        <v/>
      </c>
      <c r="N2665" s="29" t="str">
        <f>IFERROR(__xludf.DUMMYFUNCTION("IF(ISBLANK(B2665),"""",IF(ISDATE(B2665),TEXT(B2665,""yyyy""),""""))"),"")</f>
        <v/>
      </c>
    </row>
    <row r="2666">
      <c r="B2666" s="89"/>
      <c r="C2666" s="86"/>
      <c r="D2666" s="71"/>
      <c r="H2666" s="90"/>
      <c r="J2666" s="53" t="str">
        <f>IFERROR(__xludf.DUMMYFUNCTION("IF(ISBLANK(B2666),"""",IF(ISDATE(B2666),""X"",""""))"),"")</f>
        <v/>
      </c>
      <c r="K2666" s="40" t="str">
        <f>IFERROR(__xludf.DUMMYFUNCTION("IF(ISBLANK(B2666),"""",IF(ISDATE(B2666),H2666,""""))"),"")</f>
        <v/>
      </c>
      <c r="L2666" s="40" t="str">
        <f>IFERROR(__xludf.DUMMYFUNCTION("IF(ISBLANK(B2666),"""",IF(ISDATE(B2666),TEXT(B2666,""M""),""""))"),"")</f>
        <v/>
      </c>
      <c r="M2666" s="29" t="str">
        <f>IFERROR(__xludf.DUMMYFUNCTION("IF(L2666="""","""",QUERY({'Dashboard-Dados'!$Y$2:$AA$13},""Select Col2 Where Col1=""&amp;L2666))"),"")</f>
        <v/>
      </c>
      <c r="N2666" s="29" t="str">
        <f>IFERROR(__xludf.DUMMYFUNCTION("IF(ISBLANK(B2666),"""",IF(ISDATE(B2666),TEXT(B2666,""yyyy""),""""))"),"")</f>
        <v/>
      </c>
    </row>
    <row r="2667">
      <c r="B2667" s="87"/>
      <c r="C2667" s="85"/>
      <c r="D2667" s="76"/>
      <c r="H2667" s="88"/>
      <c r="J2667" s="53" t="str">
        <f>IFERROR(__xludf.DUMMYFUNCTION("IF(ISBLANK(B2667),"""",IF(ISDATE(B2667),""X"",""""))"),"")</f>
        <v/>
      </c>
      <c r="K2667" s="40" t="str">
        <f>IFERROR(__xludf.DUMMYFUNCTION("IF(ISBLANK(B2667),"""",IF(ISDATE(B2667),H2667,""""))"),"")</f>
        <v/>
      </c>
      <c r="L2667" s="40" t="str">
        <f>IFERROR(__xludf.DUMMYFUNCTION("IF(ISBLANK(B2667),"""",IF(ISDATE(B2667),TEXT(B2667,""M""),""""))"),"")</f>
        <v/>
      </c>
      <c r="M2667" s="29" t="str">
        <f>IFERROR(__xludf.DUMMYFUNCTION("IF(L2667="""","""",QUERY({'Dashboard-Dados'!$Y$2:$AA$13},""Select Col2 Where Col1=""&amp;L2667))"),"")</f>
        <v/>
      </c>
      <c r="N2667" s="29" t="str">
        <f>IFERROR(__xludf.DUMMYFUNCTION("IF(ISBLANK(B2667),"""",IF(ISDATE(B2667),TEXT(B2667,""yyyy""),""""))"),"")</f>
        <v/>
      </c>
    </row>
    <row r="2668">
      <c r="B2668" s="89"/>
      <c r="C2668" s="86"/>
      <c r="D2668" s="71"/>
      <c r="H2668" s="90"/>
      <c r="J2668" s="53" t="str">
        <f>IFERROR(__xludf.DUMMYFUNCTION("IF(ISBLANK(B2668),"""",IF(ISDATE(B2668),""X"",""""))"),"")</f>
        <v/>
      </c>
      <c r="K2668" s="40" t="str">
        <f>IFERROR(__xludf.DUMMYFUNCTION("IF(ISBLANK(B2668),"""",IF(ISDATE(B2668),H2668,""""))"),"")</f>
        <v/>
      </c>
      <c r="L2668" s="40" t="str">
        <f>IFERROR(__xludf.DUMMYFUNCTION("IF(ISBLANK(B2668),"""",IF(ISDATE(B2668),TEXT(B2668,""M""),""""))"),"")</f>
        <v/>
      </c>
      <c r="M2668" s="29" t="str">
        <f>IFERROR(__xludf.DUMMYFUNCTION("IF(L2668="""","""",QUERY({'Dashboard-Dados'!$Y$2:$AA$13},""Select Col2 Where Col1=""&amp;L2668))"),"")</f>
        <v/>
      </c>
      <c r="N2668" s="29" t="str">
        <f>IFERROR(__xludf.DUMMYFUNCTION("IF(ISBLANK(B2668),"""",IF(ISDATE(B2668),TEXT(B2668,""yyyy""),""""))"),"")</f>
        <v/>
      </c>
    </row>
    <row r="2669">
      <c r="B2669" s="87"/>
      <c r="C2669" s="85"/>
      <c r="D2669" s="76"/>
      <c r="H2669" s="88"/>
      <c r="J2669" s="53" t="str">
        <f>IFERROR(__xludf.DUMMYFUNCTION("IF(ISBLANK(B2669),"""",IF(ISDATE(B2669),""X"",""""))"),"")</f>
        <v/>
      </c>
      <c r="K2669" s="40" t="str">
        <f>IFERROR(__xludf.DUMMYFUNCTION("IF(ISBLANK(B2669),"""",IF(ISDATE(B2669),H2669,""""))"),"")</f>
        <v/>
      </c>
      <c r="L2669" s="40" t="str">
        <f>IFERROR(__xludf.DUMMYFUNCTION("IF(ISBLANK(B2669),"""",IF(ISDATE(B2669),TEXT(B2669,""M""),""""))"),"")</f>
        <v/>
      </c>
      <c r="M2669" s="29" t="str">
        <f>IFERROR(__xludf.DUMMYFUNCTION("IF(L2669="""","""",QUERY({'Dashboard-Dados'!$Y$2:$AA$13},""Select Col2 Where Col1=""&amp;L2669))"),"")</f>
        <v/>
      </c>
      <c r="N2669" s="29" t="str">
        <f>IFERROR(__xludf.DUMMYFUNCTION("IF(ISBLANK(B2669),"""",IF(ISDATE(B2669),TEXT(B2669,""yyyy""),""""))"),"")</f>
        <v/>
      </c>
    </row>
    <row r="2670">
      <c r="B2670" s="89"/>
      <c r="C2670" s="86"/>
      <c r="D2670" s="71"/>
      <c r="H2670" s="90"/>
      <c r="J2670" s="53" t="str">
        <f>IFERROR(__xludf.DUMMYFUNCTION("IF(ISBLANK(B2670),"""",IF(ISDATE(B2670),""X"",""""))"),"")</f>
        <v/>
      </c>
      <c r="K2670" s="40" t="str">
        <f>IFERROR(__xludf.DUMMYFUNCTION("IF(ISBLANK(B2670),"""",IF(ISDATE(B2670),H2670,""""))"),"")</f>
        <v/>
      </c>
      <c r="L2670" s="40" t="str">
        <f>IFERROR(__xludf.DUMMYFUNCTION("IF(ISBLANK(B2670),"""",IF(ISDATE(B2670),TEXT(B2670,""M""),""""))"),"")</f>
        <v/>
      </c>
      <c r="M2670" s="29" t="str">
        <f>IFERROR(__xludf.DUMMYFUNCTION("IF(L2670="""","""",QUERY({'Dashboard-Dados'!$Y$2:$AA$13},""Select Col2 Where Col1=""&amp;L2670))"),"")</f>
        <v/>
      </c>
      <c r="N2670" s="29" t="str">
        <f>IFERROR(__xludf.DUMMYFUNCTION("IF(ISBLANK(B2670),"""",IF(ISDATE(B2670),TEXT(B2670,""yyyy""),""""))"),"")</f>
        <v/>
      </c>
    </row>
    <row r="2671">
      <c r="B2671" s="87"/>
      <c r="C2671" s="85"/>
      <c r="D2671" s="76"/>
      <c r="H2671" s="88"/>
      <c r="J2671" s="53" t="str">
        <f>IFERROR(__xludf.DUMMYFUNCTION("IF(ISBLANK(B2671),"""",IF(ISDATE(B2671),""X"",""""))"),"")</f>
        <v/>
      </c>
      <c r="K2671" s="40" t="str">
        <f>IFERROR(__xludf.DUMMYFUNCTION("IF(ISBLANK(B2671),"""",IF(ISDATE(B2671),H2671,""""))"),"")</f>
        <v/>
      </c>
      <c r="L2671" s="40" t="str">
        <f>IFERROR(__xludf.DUMMYFUNCTION("IF(ISBLANK(B2671),"""",IF(ISDATE(B2671),TEXT(B2671,""M""),""""))"),"")</f>
        <v/>
      </c>
      <c r="M2671" s="29" t="str">
        <f>IFERROR(__xludf.DUMMYFUNCTION("IF(L2671="""","""",QUERY({'Dashboard-Dados'!$Y$2:$AA$13},""Select Col2 Where Col1=""&amp;L2671))"),"")</f>
        <v/>
      </c>
      <c r="N2671" s="29" t="str">
        <f>IFERROR(__xludf.DUMMYFUNCTION("IF(ISBLANK(B2671),"""",IF(ISDATE(B2671),TEXT(B2671,""yyyy""),""""))"),"")</f>
        <v/>
      </c>
    </row>
    <row r="2672">
      <c r="B2672" s="89"/>
      <c r="C2672" s="86"/>
      <c r="D2672" s="71"/>
      <c r="H2672" s="90"/>
      <c r="J2672" s="53" t="str">
        <f>IFERROR(__xludf.DUMMYFUNCTION("IF(ISBLANK(B2672),"""",IF(ISDATE(B2672),""X"",""""))"),"")</f>
        <v/>
      </c>
      <c r="K2672" s="40" t="str">
        <f>IFERROR(__xludf.DUMMYFUNCTION("IF(ISBLANK(B2672),"""",IF(ISDATE(B2672),H2672,""""))"),"")</f>
        <v/>
      </c>
      <c r="L2672" s="40" t="str">
        <f>IFERROR(__xludf.DUMMYFUNCTION("IF(ISBLANK(B2672),"""",IF(ISDATE(B2672),TEXT(B2672,""M""),""""))"),"")</f>
        <v/>
      </c>
      <c r="M2672" s="29" t="str">
        <f>IFERROR(__xludf.DUMMYFUNCTION("IF(L2672="""","""",QUERY({'Dashboard-Dados'!$Y$2:$AA$13},""Select Col2 Where Col1=""&amp;L2672))"),"")</f>
        <v/>
      </c>
      <c r="N2672" s="29" t="str">
        <f>IFERROR(__xludf.DUMMYFUNCTION("IF(ISBLANK(B2672),"""",IF(ISDATE(B2672),TEXT(B2672,""yyyy""),""""))"),"")</f>
        <v/>
      </c>
    </row>
    <row r="2673">
      <c r="B2673" s="87"/>
      <c r="C2673" s="85"/>
      <c r="D2673" s="76"/>
      <c r="H2673" s="88"/>
      <c r="J2673" s="53" t="str">
        <f>IFERROR(__xludf.DUMMYFUNCTION("IF(ISBLANK(B2673),"""",IF(ISDATE(B2673),""X"",""""))"),"")</f>
        <v/>
      </c>
      <c r="K2673" s="40" t="str">
        <f>IFERROR(__xludf.DUMMYFUNCTION("IF(ISBLANK(B2673),"""",IF(ISDATE(B2673),H2673,""""))"),"")</f>
        <v/>
      </c>
      <c r="L2673" s="40" t="str">
        <f>IFERROR(__xludf.DUMMYFUNCTION("IF(ISBLANK(B2673),"""",IF(ISDATE(B2673),TEXT(B2673,""M""),""""))"),"")</f>
        <v/>
      </c>
      <c r="M2673" s="29" t="str">
        <f>IFERROR(__xludf.DUMMYFUNCTION("IF(L2673="""","""",QUERY({'Dashboard-Dados'!$Y$2:$AA$13},""Select Col2 Where Col1=""&amp;L2673))"),"")</f>
        <v/>
      </c>
      <c r="N2673" s="29" t="str">
        <f>IFERROR(__xludf.DUMMYFUNCTION("IF(ISBLANK(B2673),"""",IF(ISDATE(B2673),TEXT(B2673,""yyyy""),""""))"),"")</f>
        <v/>
      </c>
    </row>
    <row r="2674">
      <c r="B2674" s="89"/>
      <c r="C2674" s="86"/>
      <c r="D2674" s="71"/>
      <c r="H2674" s="90"/>
      <c r="J2674" s="53" t="str">
        <f>IFERROR(__xludf.DUMMYFUNCTION("IF(ISBLANK(B2674),"""",IF(ISDATE(B2674),""X"",""""))"),"")</f>
        <v/>
      </c>
      <c r="K2674" s="40" t="str">
        <f>IFERROR(__xludf.DUMMYFUNCTION("IF(ISBLANK(B2674),"""",IF(ISDATE(B2674),H2674,""""))"),"")</f>
        <v/>
      </c>
      <c r="L2674" s="40" t="str">
        <f>IFERROR(__xludf.DUMMYFUNCTION("IF(ISBLANK(B2674),"""",IF(ISDATE(B2674),TEXT(B2674,""M""),""""))"),"")</f>
        <v/>
      </c>
      <c r="M2674" s="29" t="str">
        <f>IFERROR(__xludf.DUMMYFUNCTION("IF(L2674="""","""",QUERY({'Dashboard-Dados'!$Y$2:$AA$13},""Select Col2 Where Col1=""&amp;L2674))"),"")</f>
        <v/>
      </c>
      <c r="N2674" s="29" t="str">
        <f>IFERROR(__xludf.DUMMYFUNCTION("IF(ISBLANK(B2674),"""",IF(ISDATE(B2674),TEXT(B2674,""yyyy""),""""))"),"")</f>
        <v/>
      </c>
    </row>
    <row r="2675">
      <c r="B2675" s="87"/>
      <c r="C2675" s="85"/>
      <c r="D2675" s="76"/>
      <c r="H2675" s="88"/>
      <c r="J2675" s="53" t="str">
        <f>IFERROR(__xludf.DUMMYFUNCTION("IF(ISBLANK(B2675),"""",IF(ISDATE(B2675),""X"",""""))"),"")</f>
        <v/>
      </c>
      <c r="K2675" s="40" t="str">
        <f>IFERROR(__xludf.DUMMYFUNCTION("IF(ISBLANK(B2675),"""",IF(ISDATE(B2675),H2675,""""))"),"")</f>
        <v/>
      </c>
      <c r="L2675" s="40" t="str">
        <f>IFERROR(__xludf.DUMMYFUNCTION("IF(ISBLANK(B2675),"""",IF(ISDATE(B2675),TEXT(B2675,""M""),""""))"),"")</f>
        <v/>
      </c>
      <c r="M2675" s="29" t="str">
        <f>IFERROR(__xludf.DUMMYFUNCTION("IF(L2675="""","""",QUERY({'Dashboard-Dados'!$Y$2:$AA$13},""Select Col2 Where Col1=""&amp;L2675))"),"")</f>
        <v/>
      </c>
      <c r="N2675" s="29" t="str">
        <f>IFERROR(__xludf.DUMMYFUNCTION("IF(ISBLANK(B2675),"""",IF(ISDATE(B2675),TEXT(B2675,""yyyy""),""""))"),"")</f>
        <v/>
      </c>
    </row>
    <row r="2676">
      <c r="B2676" s="89"/>
      <c r="C2676" s="86"/>
      <c r="D2676" s="71"/>
      <c r="H2676" s="90"/>
      <c r="J2676" s="53" t="str">
        <f>IFERROR(__xludf.DUMMYFUNCTION("IF(ISBLANK(B2676),"""",IF(ISDATE(B2676),""X"",""""))"),"")</f>
        <v/>
      </c>
      <c r="K2676" s="40" t="str">
        <f>IFERROR(__xludf.DUMMYFUNCTION("IF(ISBLANK(B2676),"""",IF(ISDATE(B2676),H2676,""""))"),"")</f>
        <v/>
      </c>
      <c r="L2676" s="40" t="str">
        <f>IFERROR(__xludf.DUMMYFUNCTION("IF(ISBLANK(B2676),"""",IF(ISDATE(B2676),TEXT(B2676,""M""),""""))"),"")</f>
        <v/>
      </c>
      <c r="M2676" s="29" t="str">
        <f>IFERROR(__xludf.DUMMYFUNCTION("IF(L2676="""","""",QUERY({'Dashboard-Dados'!$Y$2:$AA$13},""Select Col2 Where Col1=""&amp;L2676))"),"")</f>
        <v/>
      </c>
      <c r="N2676" s="29" t="str">
        <f>IFERROR(__xludf.DUMMYFUNCTION("IF(ISBLANK(B2676),"""",IF(ISDATE(B2676),TEXT(B2676,""yyyy""),""""))"),"")</f>
        <v/>
      </c>
    </row>
    <row r="2677">
      <c r="B2677" s="87"/>
      <c r="C2677" s="85"/>
      <c r="D2677" s="76"/>
      <c r="H2677" s="88"/>
      <c r="J2677" s="53" t="str">
        <f>IFERROR(__xludf.DUMMYFUNCTION("IF(ISBLANK(B2677),"""",IF(ISDATE(B2677),""X"",""""))"),"")</f>
        <v/>
      </c>
      <c r="K2677" s="40" t="str">
        <f>IFERROR(__xludf.DUMMYFUNCTION("IF(ISBLANK(B2677),"""",IF(ISDATE(B2677),H2677,""""))"),"")</f>
        <v/>
      </c>
      <c r="L2677" s="40" t="str">
        <f>IFERROR(__xludf.DUMMYFUNCTION("IF(ISBLANK(B2677),"""",IF(ISDATE(B2677),TEXT(B2677,""M""),""""))"),"")</f>
        <v/>
      </c>
      <c r="M2677" s="29" t="str">
        <f>IFERROR(__xludf.DUMMYFUNCTION("IF(L2677="""","""",QUERY({'Dashboard-Dados'!$Y$2:$AA$13},""Select Col2 Where Col1=""&amp;L2677))"),"")</f>
        <v/>
      </c>
      <c r="N2677" s="29" t="str">
        <f>IFERROR(__xludf.DUMMYFUNCTION("IF(ISBLANK(B2677),"""",IF(ISDATE(B2677),TEXT(B2677,""yyyy""),""""))"),"")</f>
        <v/>
      </c>
    </row>
    <row r="2678">
      <c r="B2678" s="89"/>
      <c r="C2678" s="86"/>
      <c r="D2678" s="71"/>
      <c r="H2678" s="90"/>
      <c r="J2678" s="53" t="str">
        <f>IFERROR(__xludf.DUMMYFUNCTION("IF(ISBLANK(B2678),"""",IF(ISDATE(B2678),""X"",""""))"),"")</f>
        <v/>
      </c>
      <c r="K2678" s="40" t="str">
        <f>IFERROR(__xludf.DUMMYFUNCTION("IF(ISBLANK(B2678),"""",IF(ISDATE(B2678),H2678,""""))"),"")</f>
        <v/>
      </c>
      <c r="L2678" s="40" t="str">
        <f>IFERROR(__xludf.DUMMYFUNCTION("IF(ISBLANK(B2678),"""",IF(ISDATE(B2678),TEXT(B2678,""M""),""""))"),"")</f>
        <v/>
      </c>
      <c r="M2678" s="29" t="str">
        <f>IFERROR(__xludf.DUMMYFUNCTION("IF(L2678="""","""",QUERY({'Dashboard-Dados'!$Y$2:$AA$13},""Select Col2 Where Col1=""&amp;L2678))"),"")</f>
        <v/>
      </c>
      <c r="N2678" s="29" t="str">
        <f>IFERROR(__xludf.DUMMYFUNCTION("IF(ISBLANK(B2678),"""",IF(ISDATE(B2678),TEXT(B2678,""yyyy""),""""))"),"")</f>
        <v/>
      </c>
    </row>
    <row r="2679">
      <c r="B2679" s="87"/>
      <c r="C2679" s="85"/>
      <c r="D2679" s="76"/>
      <c r="H2679" s="88"/>
      <c r="J2679" s="53" t="str">
        <f>IFERROR(__xludf.DUMMYFUNCTION("IF(ISBLANK(B2679),"""",IF(ISDATE(B2679),""X"",""""))"),"")</f>
        <v/>
      </c>
      <c r="K2679" s="40" t="str">
        <f>IFERROR(__xludf.DUMMYFUNCTION("IF(ISBLANK(B2679),"""",IF(ISDATE(B2679),H2679,""""))"),"")</f>
        <v/>
      </c>
      <c r="L2679" s="40" t="str">
        <f>IFERROR(__xludf.DUMMYFUNCTION("IF(ISBLANK(B2679),"""",IF(ISDATE(B2679),TEXT(B2679,""M""),""""))"),"")</f>
        <v/>
      </c>
      <c r="M2679" s="29" t="str">
        <f>IFERROR(__xludf.DUMMYFUNCTION("IF(L2679="""","""",QUERY({'Dashboard-Dados'!$Y$2:$AA$13},""Select Col2 Where Col1=""&amp;L2679))"),"")</f>
        <v/>
      </c>
      <c r="N2679" s="29" t="str">
        <f>IFERROR(__xludf.DUMMYFUNCTION("IF(ISBLANK(B2679),"""",IF(ISDATE(B2679),TEXT(B2679,""yyyy""),""""))"),"")</f>
        <v/>
      </c>
    </row>
    <row r="2680">
      <c r="B2680" s="89"/>
      <c r="C2680" s="86"/>
      <c r="D2680" s="71"/>
      <c r="H2680" s="90"/>
      <c r="J2680" s="53" t="str">
        <f>IFERROR(__xludf.DUMMYFUNCTION("IF(ISBLANK(B2680),"""",IF(ISDATE(B2680),""X"",""""))"),"")</f>
        <v/>
      </c>
      <c r="K2680" s="40" t="str">
        <f>IFERROR(__xludf.DUMMYFUNCTION("IF(ISBLANK(B2680),"""",IF(ISDATE(B2680),H2680,""""))"),"")</f>
        <v/>
      </c>
      <c r="L2680" s="40" t="str">
        <f>IFERROR(__xludf.DUMMYFUNCTION("IF(ISBLANK(B2680),"""",IF(ISDATE(B2680),TEXT(B2680,""M""),""""))"),"")</f>
        <v/>
      </c>
      <c r="M2680" s="29" t="str">
        <f>IFERROR(__xludf.DUMMYFUNCTION("IF(L2680="""","""",QUERY({'Dashboard-Dados'!$Y$2:$AA$13},""Select Col2 Where Col1=""&amp;L2680))"),"")</f>
        <v/>
      </c>
      <c r="N2680" s="29" t="str">
        <f>IFERROR(__xludf.DUMMYFUNCTION("IF(ISBLANK(B2680),"""",IF(ISDATE(B2680),TEXT(B2680,""yyyy""),""""))"),"")</f>
        <v/>
      </c>
    </row>
    <row r="2681">
      <c r="B2681" s="87"/>
      <c r="C2681" s="85"/>
      <c r="D2681" s="76"/>
      <c r="H2681" s="88"/>
      <c r="J2681" s="53" t="str">
        <f>IFERROR(__xludf.DUMMYFUNCTION("IF(ISBLANK(B2681),"""",IF(ISDATE(B2681),""X"",""""))"),"")</f>
        <v/>
      </c>
      <c r="K2681" s="40" t="str">
        <f>IFERROR(__xludf.DUMMYFUNCTION("IF(ISBLANK(B2681),"""",IF(ISDATE(B2681),H2681,""""))"),"")</f>
        <v/>
      </c>
      <c r="L2681" s="40" t="str">
        <f>IFERROR(__xludf.DUMMYFUNCTION("IF(ISBLANK(B2681),"""",IF(ISDATE(B2681),TEXT(B2681,""M""),""""))"),"")</f>
        <v/>
      </c>
      <c r="M2681" s="29" t="str">
        <f>IFERROR(__xludf.DUMMYFUNCTION("IF(L2681="""","""",QUERY({'Dashboard-Dados'!$Y$2:$AA$13},""Select Col2 Where Col1=""&amp;L2681))"),"")</f>
        <v/>
      </c>
      <c r="N2681" s="29" t="str">
        <f>IFERROR(__xludf.DUMMYFUNCTION("IF(ISBLANK(B2681),"""",IF(ISDATE(B2681),TEXT(B2681,""yyyy""),""""))"),"")</f>
        <v/>
      </c>
    </row>
    <row r="2682">
      <c r="B2682" s="89"/>
      <c r="C2682" s="86"/>
      <c r="D2682" s="71"/>
      <c r="H2682" s="90"/>
      <c r="J2682" s="53" t="str">
        <f>IFERROR(__xludf.DUMMYFUNCTION("IF(ISBLANK(B2682),"""",IF(ISDATE(B2682),""X"",""""))"),"")</f>
        <v/>
      </c>
      <c r="K2682" s="40" t="str">
        <f>IFERROR(__xludf.DUMMYFUNCTION("IF(ISBLANK(B2682),"""",IF(ISDATE(B2682),H2682,""""))"),"")</f>
        <v/>
      </c>
      <c r="L2682" s="40" t="str">
        <f>IFERROR(__xludf.DUMMYFUNCTION("IF(ISBLANK(B2682),"""",IF(ISDATE(B2682),TEXT(B2682,""M""),""""))"),"")</f>
        <v/>
      </c>
      <c r="M2682" s="29" t="str">
        <f>IFERROR(__xludf.DUMMYFUNCTION("IF(L2682="""","""",QUERY({'Dashboard-Dados'!$Y$2:$AA$13},""Select Col2 Where Col1=""&amp;L2682))"),"")</f>
        <v/>
      </c>
      <c r="N2682" s="29" t="str">
        <f>IFERROR(__xludf.DUMMYFUNCTION("IF(ISBLANK(B2682),"""",IF(ISDATE(B2682),TEXT(B2682,""yyyy""),""""))"),"")</f>
        <v/>
      </c>
    </row>
    <row r="2683">
      <c r="B2683" s="87"/>
      <c r="C2683" s="85"/>
      <c r="D2683" s="76"/>
      <c r="H2683" s="88"/>
      <c r="J2683" s="53" t="str">
        <f>IFERROR(__xludf.DUMMYFUNCTION("IF(ISBLANK(B2683),"""",IF(ISDATE(B2683),""X"",""""))"),"")</f>
        <v/>
      </c>
      <c r="K2683" s="40" t="str">
        <f>IFERROR(__xludf.DUMMYFUNCTION("IF(ISBLANK(B2683),"""",IF(ISDATE(B2683),H2683,""""))"),"")</f>
        <v/>
      </c>
      <c r="L2683" s="40" t="str">
        <f>IFERROR(__xludf.DUMMYFUNCTION("IF(ISBLANK(B2683),"""",IF(ISDATE(B2683),TEXT(B2683,""M""),""""))"),"")</f>
        <v/>
      </c>
      <c r="M2683" s="29" t="str">
        <f>IFERROR(__xludf.DUMMYFUNCTION("IF(L2683="""","""",QUERY({'Dashboard-Dados'!$Y$2:$AA$13},""Select Col2 Where Col1=""&amp;L2683))"),"")</f>
        <v/>
      </c>
      <c r="N2683" s="29" t="str">
        <f>IFERROR(__xludf.DUMMYFUNCTION("IF(ISBLANK(B2683),"""",IF(ISDATE(B2683),TEXT(B2683,""yyyy""),""""))"),"")</f>
        <v/>
      </c>
    </row>
    <row r="2684">
      <c r="B2684" s="89"/>
      <c r="C2684" s="86"/>
      <c r="D2684" s="71"/>
      <c r="H2684" s="90"/>
      <c r="J2684" s="53" t="str">
        <f>IFERROR(__xludf.DUMMYFUNCTION("IF(ISBLANK(B2684),"""",IF(ISDATE(B2684),""X"",""""))"),"")</f>
        <v/>
      </c>
      <c r="K2684" s="40" t="str">
        <f>IFERROR(__xludf.DUMMYFUNCTION("IF(ISBLANK(B2684),"""",IF(ISDATE(B2684),H2684,""""))"),"")</f>
        <v/>
      </c>
      <c r="L2684" s="40" t="str">
        <f>IFERROR(__xludf.DUMMYFUNCTION("IF(ISBLANK(B2684),"""",IF(ISDATE(B2684),TEXT(B2684,""M""),""""))"),"")</f>
        <v/>
      </c>
      <c r="M2684" s="29" t="str">
        <f>IFERROR(__xludf.DUMMYFUNCTION("IF(L2684="""","""",QUERY({'Dashboard-Dados'!$Y$2:$AA$13},""Select Col2 Where Col1=""&amp;L2684))"),"")</f>
        <v/>
      </c>
      <c r="N2684" s="29" t="str">
        <f>IFERROR(__xludf.DUMMYFUNCTION("IF(ISBLANK(B2684),"""",IF(ISDATE(B2684),TEXT(B2684,""yyyy""),""""))"),"")</f>
        <v/>
      </c>
    </row>
    <row r="2685">
      <c r="B2685" s="87"/>
      <c r="C2685" s="85"/>
      <c r="D2685" s="76"/>
      <c r="H2685" s="88"/>
      <c r="J2685" s="53" t="str">
        <f>IFERROR(__xludf.DUMMYFUNCTION("IF(ISBLANK(B2685),"""",IF(ISDATE(B2685),""X"",""""))"),"")</f>
        <v/>
      </c>
      <c r="K2685" s="40" t="str">
        <f>IFERROR(__xludf.DUMMYFUNCTION("IF(ISBLANK(B2685),"""",IF(ISDATE(B2685),H2685,""""))"),"")</f>
        <v/>
      </c>
      <c r="L2685" s="40" t="str">
        <f>IFERROR(__xludf.DUMMYFUNCTION("IF(ISBLANK(B2685),"""",IF(ISDATE(B2685),TEXT(B2685,""M""),""""))"),"")</f>
        <v/>
      </c>
      <c r="M2685" s="29" t="str">
        <f>IFERROR(__xludf.DUMMYFUNCTION("IF(L2685="""","""",QUERY({'Dashboard-Dados'!$Y$2:$AA$13},""Select Col2 Where Col1=""&amp;L2685))"),"")</f>
        <v/>
      </c>
      <c r="N2685" s="29" t="str">
        <f>IFERROR(__xludf.DUMMYFUNCTION("IF(ISBLANK(B2685),"""",IF(ISDATE(B2685),TEXT(B2685,""yyyy""),""""))"),"")</f>
        <v/>
      </c>
    </row>
    <row r="2686">
      <c r="B2686" s="89"/>
      <c r="C2686" s="86"/>
      <c r="D2686" s="71"/>
      <c r="H2686" s="90"/>
      <c r="J2686" s="53" t="str">
        <f>IFERROR(__xludf.DUMMYFUNCTION("IF(ISBLANK(B2686),"""",IF(ISDATE(B2686),""X"",""""))"),"")</f>
        <v/>
      </c>
      <c r="K2686" s="40" t="str">
        <f>IFERROR(__xludf.DUMMYFUNCTION("IF(ISBLANK(B2686),"""",IF(ISDATE(B2686),H2686,""""))"),"")</f>
        <v/>
      </c>
      <c r="L2686" s="40" t="str">
        <f>IFERROR(__xludf.DUMMYFUNCTION("IF(ISBLANK(B2686),"""",IF(ISDATE(B2686),TEXT(B2686,""M""),""""))"),"")</f>
        <v/>
      </c>
      <c r="M2686" s="29" t="str">
        <f>IFERROR(__xludf.DUMMYFUNCTION("IF(L2686="""","""",QUERY({'Dashboard-Dados'!$Y$2:$AA$13},""Select Col2 Where Col1=""&amp;L2686))"),"")</f>
        <v/>
      </c>
      <c r="N2686" s="29" t="str">
        <f>IFERROR(__xludf.DUMMYFUNCTION("IF(ISBLANK(B2686),"""",IF(ISDATE(B2686),TEXT(B2686,""yyyy""),""""))"),"")</f>
        <v/>
      </c>
    </row>
    <row r="2687">
      <c r="B2687" s="87"/>
      <c r="C2687" s="85"/>
      <c r="D2687" s="76"/>
      <c r="H2687" s="88"/>
      <c r="J2687" s="53" t="str">
        <f>IFERROR(__xludf.DUMMYFUNCTION("IF(ISBLANK(B2687),"""",IF(ISDATE(B2687),""X"",""""))"),"")</f>
        <v/>
      </c>
      <c r="K2687" s="40" t="str">
        <f>IFERROR(__xludf.DUMMYFUNCTION("IF(ISBLANK(B2687),"""",IF(ISDATE(B2687),H2687,""""))"),"")</f>
        <v/>
      </c>
      <c r="L2687" s="40" t="str">
        <f>IFERROR(__xludf.DUMMYFUNCTION("IF(ISBLANK(B2687),"""",IF(ISDATE(B2687),TEXT(B2687,""M""),""""))"),"")</f>
        <v/>
      </c>
      <c r="M2687" s="29" t="str">
        <f>IFERROR(__xludf.DUMMYFUNCTION("IF(L2687="""","""",QUERY({'Dashboard-Dados'!$Y$2:$AA$13},""Select Col2 Where Col1=""&amp;L2687))"),"")</f>
        <v/>
      </c>
      <c r="N2687" s="29" t="str">
        <f>IFERROR(__xludf.DUMMYFUNCTION("IF(ISBLANK(B2687),"""",IF(ISDATE(B2687),TEXT(B2687,""yyyy""),""""))"),"")</f>
        <v/>
      </c>
    </row>
    <row r="2688">
      <c r="B2688" s="89"/>
      <c r="C2688" s="86"/>
      <c r="D2688" s="71"/>
      <c r="H2688" s="90"/>
      <c r="J2688" s="53" t="str">
        <f>IFERROR(__xludf.DUMMYFUNCTION("IF(ISBLANK(B2688),"""",IF(ISDATE(B2688),""X"",""""))"),"")</f>
        <v/>
      </c>
      <c r="K2688" s="40" t="str">
        <f>IFERROR(__xludf.DUMMYFUNCTION("IF(ISBLANK(B2688),"""",IF(ISDATE(B2688),H2688,""""))"),"")</f>
        <v/>
      </c>
      <c r="L2688" s="40" t="str">
        <f>IFERROR(__xludf.DUMMYFUNCTION("IF(ISBLANK(B2688),"""",IF(ISDATE(B2688),TEXT(B2688,""M""),""""))"),"")</f>
        <v/>
      </c>
      <c r="M2688" s="29" t="str">
        <f>IFERROR(__xludf.DUMMYFUNCTION("IF(L2688="""","""",QUERY({'Dashboard-Dados'!$Y$2:$AA$13},""Select Col2 Where Col1=""&amp;L2688))"),"")</f>
        <v/>
      </c>
      <c r="N2688" s="29" t="str">
        <f>IFERROR(__xludf.DUMMYFUNCTION("IF(ISBLANK(B2688),"""",IF(ISDATE(B2688),TEXT(B2688,""yyyy""),""""))"),"")</f>
        <v/>
      </c>
    </row>
    <row r="2689">
      <c r="B2689" s="87"/>
      <c r="C2689" s="85"/>
      <c r="D2689" s="76"/>
      <c r="H2689" s="88"/>
      <c r="J2689" s="53" t="str">
        <f>IFERROR(__xludf.DUMMYFUNCTION("IF(ISBLANK(B2689),"""",IF(ISDATE(B2689),""X"",""""))"),"")</f>
        <v/>
      </c>
      <c r="K2689" s="40" t="str">
        <f>IFERROR(__xludf.DUMMYFUNCTION("IF(ISBLANK(B2689),"""",IF(ISDATE(B2689),H2689,""""))"),"")</f>
        <v/>
      </c>
      <c r="L2689" s="40" t="str">
        <f>IFERROR(__xludf.DUMMYFUNCTION("IF(ISBLANK(B2689),"""",IF(ISDATE(B2689),TEXT(B2689,""M""),""""))"),"")</f>
        <v/>
      </c>
      <c r="M2689" s="29" t="str">
        <f>IFERROR(__xludf.DUMMYFUNCTION("IF(L2689="""","""",QUERY({'Dashboard-Dados'!$Y$2:$AA$13},""Select Col2 Where Col1=""&amp;L2689))"),"")</f>
        <v/>
      </c>
      <c r="N2689" s="29" t="str">
        <f>IFERROR(__xludf.DUMMYFUNCTION("IF(ISBLANK(B2689),"""",IF(ISDATE(B2689),TEXT(B2689,""yyyy""),""""))"),"")</f>
        <v/>
      </c>
    </row>
    <row r="2690">
      <c r="B2690" s="89"/>
      <c r="C2690" s="86"/>
      <c r="D2690" s="71"/>
      <c r="H2690" s="90"/>
      <c r="J2690" s="53" t="str">
        <f>IFERROR(__xludf.DUMMYFUNCTION("IF(ISBLANK(B2690),"""",IF(ISDATE(B2690),""X"",""""))"),"")</f>
        <v/>
      </c>
      <c r="K2690" s="40" t="str">
        <f>IFERROR(__xludf.DUMMYFUNCTION("IF(ISBLANK(B2690),"""",IF(ISDATE(B2690),H2690,""""))"),"")</f>
        <v/>
      </c>
      <c r="L2690" s="40" t="str">
        <f>IFERROR(__xludf.DUMMYFUNCTION("IF(ISBLANK(B2690),"""",IF(ISDATE(B2690),TEXT(B2690,""M""),""""))"),"")</f>
        <v/>
      </c>
      <c r="M2690" s="29" t="str">
        <f>IFERROR(__xludf.DUMMYFUNCTION("IF(L2690="""","""",QUERY({'Dashboard-Dados'!$Y$2:$AA$13},""Select Col2 Where Col1=""&amp;L2690))"),"")</f>
        <v/>
      </c>
      <c r="N2690" s="29" t="str">
        <f>IFERROR(__xludf.DUMMYFUNCTION("IF(ISBLANK(B2690),"""",IF(ISDATE(B2690),TEXT(B2690,""yyyy""),""""))"),"")</f>
        <v/>
      </c>
    </row>
    <row r="2691">
      <c r="B2691" s="87"/>
      <c r="C2691" s="85"/>
      <c r="D2691" s="76"/>
      <c r="H2691" s="88"/>
      <c r="J2691" s="53" t="str">
        <f>IFERROR(__xludf.DUMMYFUNCTION("IF(ISBLANK(B2691),"""",IF(ISDATE(B2691),""X"",""""))"),"")</f>
        <v/>
      </c>
      <c r="K2691" s="40" t="str">
        <f>IFERROR(__xludf.DUMMYFUNCTION("IF(ISBLANK(B2691),"""",IF(ISDATE(B2691),H2691,""""))"),"")</f>
        <v/>
      </c>
      <c r="L2691" s="40" t="str">
        <f>IFERROR(__xludf.DUMMYFUNCTION("IF(ISBLANK(B2691),"""",IF(ISDATE(B2691),TEXT(B2691,""M""),""""))"),"")</f>
        <v/>
      </c>
      <c r="M2691" s="29" t="str">
        <f>IFERROR(__xludf.DUMMYFUNCTION("IF(L2691="""","""",QUERY({'Dashboard-Dados'!$Y$2:$AA$13},""Select Col2 Where Col1=""&amp;L2691))"),"")</f>
        <v/>
      </c>
      <c r="N2691" s="29" t="str">
        <f>IFERROR(__xludf.DUMMYFUNCTION("IF(ISBLANK(B2691),"""",IF(ISDATE(B2691),TEXT(B2691,""yyyy""),""""))"),"")</f>
        <v/>
      </c>
    </row>
    <row r="2692">
      <c r="B2692" s="89"/>
      <c r="C2692" s="86"/>
      <c r="D2692" s="71"/>
      <c r="H2692" s="90"/>
      <c r="J2692" s="53" t="str">
        <f>IFERROR(__xludf.DUMMYFUNCTION("IF(ISBLANK(B2692),"""",IF(ISDATE(B2692),""X"",""""))"),"")</f>
        <v/>
      </c>
      <c r="K2692" s="40" t="str">
        <f>IFERROR(__xludf.DUMMYFUNCTION("IF(ISBLANK(B2692),"""",IF(ISDATE(B2692),H2692,""""))"),"")</f>
        <v/>
      </c>
      <c r="L2692" s="40" t="str">
        <f>IFERROR(__xludf.DUMMYFUNCTION("IF(ISBLANK(B2692),"""",IF(ISDATE(B2692),TEXT(B2692,""M""),""""))"),"")</f>
        <v/>
      </c>
      <c r="M2692" s="29" t="str">
        <f>IFERROR(__xludf.DUMMYFUNCTION("IF(L2692="""","""",QUERY({'Dashboard-Dados'!$Y$2:$AA$13},""Select Col2 Where Col1=""&amp;L2692))"),"")</f>
        <v/>
      </c>
      <c r="N2692" s="29" t="str">
        <f>IFERROR(__xludf.DUMMYFUNCTION("IF(ISBLANK(B2692),"""",IF(ISDATE(B2692),TEXT(B2692,""yyyy""),""""))"),"")</f>
        <v/>
      </c>
    </row>
    <row r="2693">
      <c r="B2693" s="87"/>
      <c r="C2693" s="85"/>
      <c r="D2693" s="76"/>
      <c r="H2693" s="88"/>
      <c r="J2693" s="53" t="str">
        <f>IFERROR(__xludf.DUMMYFUNCTION("IF(ISBLANK(B2693),"""",IF(ISDATE(B2693),""X"",""""))"),"")</f>
        <v/>
      </c>
      <c r="K2693" s="40" t="str">
        <f>IFERROR(__xludf.DUMMYFUNCTION("IF(ISBLANK(B2693),"""",IF(ISDATE(B2693),H2693,""""))"),"")</f>
        <v/>
      </c>
      <c r="L2693" s="40" t="str">
        <f>IFERROR(__xludf.DUMMYFUNCTION("IF(ISBLANK(B2693),"""",IF(ISDATE(B2693),TEXT(B2693,""M""),""""))"),"")</f>
        <v/>
      </c>
      <c r="M2693" s="29" t="str">
        <f>IFERROR(__xludf.DUMMYFUNCTION("IF(L2693="""","""",QUERY({'Dashboard-Dados'!$Y$2:$AA$13},""Select Col2 Where Col1=""&amp;L2693))"),"")</f>
        <v/>
      </c>
      <c r="N2693" s="29" t="str">
        <f>IFERROR(__xludf.DUMMYFUNCTION("IF(ISBLANK(B2693),"""",IF(ISDATE(B2693),TEXT(B2693,""yyyy""),""""))"),"")</f>
        <v/>
      </c>
    </row>
    <row r="2694">
      <c r="B2694" s="89"/>
      <c r="C2694" s="86"/>
      <c r="D2694" s="71"/>
      <c r="H2694" s="90"/>
      <c r="J2694" s="53" t="str">
        <f>IFERROR(__xludf.DUMMYFUNCTION("IF(ISBLANK(B2694),"""",IF(ISDATE(B2694),""X"",""""))"),"")</f>
        <v/>
      </c>
      <c r="K2694" s="40" t="str">
        <f>IFERROR(__xludf.DUMMYFUNCTION("IF(ISBLANK(B2694),"""",IF(ISDATE(B2694),H2694,""""))"),"")</f>
        <v/>
      </c>
      <c r="L2694" s="40" t="str">
        <f>IFERROR(__xludf.DUMMYFUNCTION("IF(ISBLANK(B2694),"""",IF(ISDATE(B2694),TEXT(B2694,""M""),""""))"),"")</f>
        <v/>
      </c>
      <c r="M2694" s="29" t="str">
        <f>IFERROR(__xludf.DUMMYFUNCTION("IF(L2694="""","""",QUERY({'Dashboard-Dados'!$Y$2:$AA$13},""Select Col2 Where Col1=""&amp;L2694))"),"")</f>
        <v/>
      </c>
      <c r="N2694" s="29" t="str">
        <f>IFERROR(__xludf.DUMMYFUNCTION("IF(ISBLANK(B2694),"""",IF(ISDATE(B2694),TEXT(B2694,""yyyy""),""""))"),"")</f>
        <v/>
      </c>
    </row>
    <row r="2695">
      <c r="B2695" s="87"/>
      <c r="C2695" s="85"/>
      <c r="D2695" s="76"/>
      <c r="H2695" s="88"/>
      <c r="J2695" s="53" t="str">
        <f>IFERROR(__xludf.DUMMYFUNCTION("IF(ISBLANK(B2695),"""",IF(ISDATE(B2695),""X"",""""))"),"")</f>
        <v/>
      </c>
      <c r="K2695" s="40" t="str">
        <f>IFERROR(__xludf.DUMMYFUNCTION("IF(ISBLANK(B2695),"""",IF(ISDATE(B2695),H2695,""""))"),"")</f>
        <v/>
      </c>
      <c r="L2695" s="40" t="str">
        <f>IFERROR(__xludf.DUMMYFUNCTION("IF(ISBLANK(B2695),"""",IF(ISDATE(B2695),TEXT(B2695,""M""),""""))"),"")</f>
        <v/>
      </c>
      <c r="M2695" s="29" t="str">
        <f>IFERROR(__xludf.DUMMYFUNCTION("IF(L2695="""","""",QUERY({'Dashboard-Dados'!$Y$2:$AA$13},""Select Col2 Where Col1=""&amp;L2695))"),"")</f>
        <v/>
      </c>
      <c r="N2695" s="29" t="str">
        <f>IFERROR(__xludf.DUMMYFUNCTION("IF(ISBLANK(B2695),"""",IF(ISDATE(B2695),TEXT(B2695,""yyyy""),""""))"),"")</f>
        <v/>
      </c>
    </row>
    <row r="2696">
      <c r="B2696" s="89"/>
      <c r="C2696" s="86"/>
      <c r="D2696" s="71"/>
      <c r="H2696" s="90"/>
      <c r="J2696" s="53" t="str">
        <f>IFERROR(__xludf.DUMMYFUNCTION("IF(ISBLANK(B2696),"""",IF(ISDATE(B2696),""X"",""""))"),"")</f>
        <v/>
      </c>
      <c r="K2696" s="40" t="str">
        <f>IFERROR(__xludf.DUMMYFUNCTION("IF(ISBLANK(B2696),"""",IF(ISDATE(B2696),H2696,""""))"),"")</f>
        <v/>
      </c>
      <c r="L2696" s="40" t="str">
        <f>IFERROR(__xludf.DUMMYFUNCTION("IF(ISBLANK(B2696),"""",IF(ISDATE(B2696),TEXT(B2696,""M""),""""))"),"")</f>
        <v/>
      </c>
      <c r="M2696" s="29" t="str">
        <f>IFERROR(__xludf.DUMMYFUNCTION("IF(L2696="""","""",QUERY({'Dashboard-Dados'!$Y$2:$AA$13},""Select Col2 Where Col1=""&amp;L2696))"),"")</f>
        <v/>
      </c>
      <c r="N2696" s="29" t="str">
        <f>IFERROR(__xludf.DUMMYFUNCTION("IF(ISBLANK(B2696),"""",IF(ISDATE(B2696),TEXT(B2696,""yyyy""),""""))"),"")</f>
        <v/>
      </c>
    </row>
    <row r="2697">
      <c r="B2697" s="87"/>
      <c r="C2697" s="85"/>
      <c r="D2697" s="76"/>
      <c r="H2697" s="88"/>
      <c r="J2697" s="53" t="str">
        <f>IFERROR(__xludf.DUMMYFUNCTION("IF(ISBLANK(B2697),"""",IF(ISDATE(B2697),""X"",""""))"),"")</f>
        <v/>
      </c>
      <c r="K2697" s="40" t="str">
        <f>IFERROR(__xludf.DUMMYFUNCTION("IF(ISBLANK(B2697),"""",IF(ISDATE(B2697),H2697,""""))"),"")</f>
        <v/>
      </c>
      <c r="L2697" s="40" t="str">
        <f>IFERROR(__xludf.DUMMYFUNCTION("IF(ISBLANK(B2697),"""",IF(ISDATE(B2697),TEXT(B2697,""M""),""""))"),"")</f>
        <v/>
      </c>
      <c r="M2697" s="29" t="str">
        <f>IFERROR(__xludf.DUMMYFUNCTION("IF(L2697="""","""",QUERY({'Dashboard-Dados'!$Y$2:$AA$13},""Select Col2 Where Col1=""&amp;L2697))"),"")</f>
        <v/>
      </c>
      <c r="N2697" s="29" t="str">
        <f>IFERROR(__xludf.DUMMYFUNCTION("IF(ISBLANK(B2697),"""",IF(ISDATE(B2697),TEXT(B2697,""yyyy""),""""))"),"")</f>
        <v/>
      </c>
    </row>
    <row r="2698">
      <c r="B2698" s="89"/>
      <c r="C2698" s="86"/>
      <c r="D2698" s="71"/>
      <c r="H2698" s="90"/>
      <c r="J2698" s="53" t="str">
        <f>IFERROR(__xludf.DUMMYFUNCTION("IF(ISBLANK(B2698),"""",IF(ISDATE(B2698),""X"",""""))"),"")</f>
        <v/>
      </c>
      <c r="K2698" s="40" t="str">
        <f>IFERROR(__xludf.DUMMYFUNCTION("IF(ISBLANK(B2698),"""",IF(ISDATE(B2698),H2698,""""))"),"")</f>
        <v/>
      </c>
      <c r="L2698" s="40" t="str">
        <f>IFERROR(__xludf.DUMMYFUNCTION("IF(ISBLANK(B2698),"""",IF(ISDATE(B2698),TEXT(B2698,""M""),""""))"),"")</f>
        <v/>
      </c>
      <c r="M2698" s="29" t="str">
        <f>IFERROR(__xludf.DUMMYFUNCTION("IF(L2698="""","""",QUERY({'Dashboard-Dados'!$Y$2:$AA$13},""Select Col2 Where Col1=""&amp;L2698))"),"")</f>
        <v/>
      </c>
      <c r="N2698" s="29" t="str">
        <f>IFERROR(__xludf.DUMMYFUNCTION("IF(ISBLANK(B2698),"""",IF(ISDATE(B2698),TEXT(B2698,""yyyy""),""""))"),"")</f>
        <v/>
      </c>
    </row>
    <row r="2699">
      <c r="B2699" s="87"/>
      <c r="C2699" s="85"/>
      <c r="D2699" s="76"/>
      <c r="H2699" s="88"/>
      <c r="J2699" s="53" t="str">
        <f>IFERROR(__xludf.DUMMYFUNCTION("IF(ISBLANK(B2699),"""",IF(ISDATE(B2699),""X"",""""))"),"")</f>
        <v/>
      </c>
      <c r="K2699" s="40" t="str">
        <f>IFERROR(__xludf.DUMMYFUNCTION("IF(ISBLANK(B2699),"""",IF(ISDATE(B2699),H2699,""""))"),"")</f>
        <v/>
      </c>
      <c r="L2699" s="40" t="str">
        <f>IFERROR(__xludf.DUMMYFUNCTION("IF(ISBLANK(B2699),"""",IF(ISDATE(B2699),TEXT(B2699,""M""),""""))"),"")</f>
        <v/>
      </c>
      <c r="M2699" s="29" t="str">
        <f>IFERROR(__xludf.DUMMYFUNCTION("IF(L2699="""","""",QUERY({'Dashboard-Dados'!$Y$2:$AA$13},""Select Col2 Where Col1=""&amp;L2699))"),"")</f>
        <v/>
      </c>
      <c r="N2699" s="29" t="str">
        <f>IFERROR(__xludf.DUMMYFUNCTION("IF(ISBLANK(B2699),"""",IF(ISDATE(B2699),TEXT(B2699,""yyyy""),""""))"),"")</f>
        <v/>
      </c>
    </row>
    <row r="2700">
      <c r="B2700" s="89"/>
      <c r="C2700" s="86"/>
      <c r="D2700" s="71"/>
      <c r="H2700" s="90"/>
      <c r="J2700" s="53" t="str">
        <f>IFERROR(__xludf.DUMMYFUNCTION("IF(ISBLANK(B2700),"""",IF(ISDATE(B2700),""X"",""""))"),"")</f>
        <v/>
      </c>
      <c r="K2700" s="40" t="str">
        <f>IFERROR(__xludf.DUMMYFUNCTION("IF(ISBLANK(B2700),"""",IF(ISDATE(B2700),H2700,""""))"),"")</f>
        <v/>
      </c>
      <c r="L2700" s="40" t="str">
        <f>IFERROR(__xludf.DUMMYFUNCTION("IF(ISBLANK(B2700),"""",IF(ISDATE(B2700),TEXT(B2700,""M""),""""))"),"")</f>
        <v/>
      </c>
      <c r="M2700" s="29" t="str">
        <f>IFERROR(__xludf.DUMMYFUNCTION("IF(L2700="""","""",QUERY({'Dashboard-Dados'!$Y$2:$AA$13},""Select Col2 Where Col1=""&amp;L2700))"),"")</f>
        <v/>
      </c>
      <c r="N2700" s="29" t="str">
        <f>IFERROR(__xludf.DUMMYFUNCTION("IF(ISBLANK(B2700),"""",IF(ISDATE(B2700),TEXT(B2700,""yyyy""),""""))"),"")</f>
        <v/>
      </c>
    </row>
    <row r="2701">
      <c r="B2701" s="87"/>
      <c r="C2701" s="85"/>
      <c r="D2701" s="76"/>
      <c r="H2701" s="88"/>
      <c r="J2701" s="53" t="str">
        <f>IFERROR(__xludf.DUMMYFUNCTION("IF(ISBLANK(B2701),"""",IF(ISDATE(B2701),""X"",""""))"),"")</f>
        <v/>
      </c>
      <c r="K2701" s="40" t="str">
        <f>IFERROR(__xludf.DUMMYFUNCTION("IF(ISBLANK(B2701),"""",IF(ISDATE(B2701),H2701,""""))"),"")</f>
        <v/>
      </c>
      <c r="L2701" s="40" t="str">
        <f>IFERROR(__xludf.DUMMYFUNCTION("IF(ISBLANK(B2701),"""",IF(ISDATE(B2701),TEXT(B2701,""M""),""""))"),"")</f>
        <v/>
      </c>
      <c r="M2701" s="29" t="str">
        <f>IFERROR(__xludf.DUMMYFUNCTION("IF(L2701="""","""",QUERY({'Dashboard-Dados'!$Y$2:$AA$13},""Select Col2 Where Col1=""&amp;L2701))"),"")</f>
        <v/>
      </c>
      <c r="N2701" s="29" t="str">
        <f>IFERROR(__xludf.DUMMYFUNCTION("IF(ISBLANK(B2701),"""",IF(ISDATE(B2701),TEXT(B2701,""yyyy""),""""))"),"")</f>
        <v/>
      </c>
    </row>
    <row r="2702">
      <c r="B2702" s="89"/>
      <c r="C2702" s="86"/>
      <c r="D2702" s="71"/>
      <c r="H2702" s="90"/>
      <c r="J2702" s="53" t="str">
        <f>IFERROR(__xludf.DUMMYFUNCTION("IF(ISBLANK(B2702),"""",IF(ISDATE(B2702),""X"",""""))"),"")</f>
        <v/>
      </c>
      <c r="K2702" s="40" t="str">
        <f>IFERROR(__xludf.DUMMYFUNCTION("IF(ISBLANK(B2702),"""",IF(ISDATE(B2702),H2702,""""))"),"")</f>
        <v/>
      </c>
      <c r="L2702" s="40" t="str">
        <f>IFERROR(__xludf.DUMMYFUNCTION("IF(ISBLANK(B2702),"""",IF(ISDATE(B2702),TEXT(B2702,""M""),""""))"),"")</f>
        <v/>
      </c>
      <c r="M2702" s="29" t="str">
        <f>IFERROR(__xludf.DUMMYFUNCTION("IF(L2702="""","""",QUERY({'Dashboard-Dados'!$Y$2:$AA$13},""Select Col2 Where Col1=""&amp;L2702))"),"")</f>
        <v/>
      </c>
      <c r="N2702" s="29" t="str">
        <f>IFERROR(__xludf.DUMMYFUNCTION("IF(ISBLANK(B2702),"""",IF(ISDATE(B2702),TEXT(B2702,""yyyy""),""""))"),"")</f>
        <v/>
      </c>
    </row>
    <row r="2703">
      <c r="B2703" s="87"/>
      <c r="C2703" s="85"/>
      <c r="D2703" s="76"/>
      <c r="H2703" s="88"/>
      <c r="J2703" s="53" t="str">
        <f>IFERROR(__xludf.DUMMYFUNCTION("IF(ISBLANK(B2703),"""",IF(ISDATE(B2703),""X"",""""))"),"")</f>
        <v/>
      </c>
      <c r="K2703" s="40" t="str">
        <f>IFERROR(__xludf.DUMMYFUNCTION("IF(ISBLANK(B2703),"""",IF(ISDATE(B2703),H2703,""""))"),"")</f>
        <v/>
      </c>
      <c r="L2703" s="40" t="str">
        <f>IFERROR(__xludf.DUMMYFUNCTION("IF(ISBLANK(B2703),"""",IF(ISDATE(B2703),TEXT(B2703,""M""),""""))"),"")</f>
        <v/>
      </c>
      <c r="M2703" s="29" t="str">
        <f>IFERROR(__xludf.DUMMYFUNCTION("IF(L2703="""","""",QUERY({'Dashboard-Dados'!$Y$2:$AA$13},""Select Col2 Where Col1=""&amp;L2703))"),"")</f>
        <v/>
      </c>
      <c r="N2703" s="29" t="str">
        <f>IFERROR(__xludf.DUMMYFUNCTION("IF(ISBLANK(B2703),"""",IF(ISDATE(B2703),TEXT(B2703,""yyyy""),""""))"),"")</f>
        <v/>
      </c>
    </row>
    <row r="2704">
      <c r="B2704" s="89"/>
      <c r="C2704" s="86"/>
      <c r="D2704" s="71"/>
      <c r="H2704" s="90"/>
      <c r="J2704" s="53" t="str">
        <f>IFERROR(__xludf.DUMMYFUNCTION("IF(ISBLANK(B2704),"""",IF(ISDATE(B2704),""X"",""""))"),"")</f>
        <v/>
      </c>
      <c r="K2704" s="40" t="str">
        <f>IFERROR(__xludf.DUMMYFUNCTION("IF(ISBLANK(B2704),"""",IF(ISDATE(B2704),H2704,""""))"),"")</f>
        <v/>
      </c>
      <c r="L2704" s="40" t="str">
        <f>IFERROR(__xludf.DUMMYFUNCTION("IF(ISBLANK(B2704),"""",IF(ISDATE(B2704),TEXT(B2704,""M""),""""))"),"")</f>
        <v/>
      </c>
      <c r="M2704" s="29" t="str">
        <f>IFERROR(__xludf.DUMMYFUNCTION("IF(L2704="""","""",QUERY({'Dashboard-Dados'!$Y$2:$AA$13},""Select Col2 Where Col1=""&amp;L2704))"),"")</f>
        <v/>
      </c>
      <c r="N2704" s="29" t="str">
        <f>IFERROR(__xludf.DUMMYFUNCTION("IF(ISBLANK(B2704),"""",IF(ISDATE(B2704),TEXT(B2704,""yyyy""),""""))"),"")</f>
        <v/>
      </c>
    </row>
    <row r="2705">
      <c r="B2705" s="87"/>
      <c r="C2705" s="85"/>
      <c r="D2705" s="76"/>
      <c r="H2705" s="88"/>
      <c r="J2705" s="53" t="str">
        <f>IFERROR(__xludf.DUMMYFUNCTION("IF(ISBLANK(B2705),"""",IF(ISDATE(B2705),""X"",""""))"),"")</f>
        <v/>
      </c>
      <c r="K2705" s="40" t="str">
        <f>IFERROR(__xludf.DUMMYFUNCTION("IF(ISBLANK(B2705),"""",IF(ISDATE(B2705),H2705,""""))"),"")</f>
        <v/>
      </c>
      <c r="L2705" s="40" t="str">
        <f>IFERROR(__xludf.DUMMYFUNCTION("IF(ISBLANK(B2705),"""",IF(ISDATE(B2705),TEXT(B2705,""M""),""""))"),"")</f>
        <v/>
      </c>
      <c r="M2705" s="29" t="str">
        <f>IFERROR(__xludf.DUMMYFUNCTION("IF(L2705="""","""",QUERY({'Dashboard-Dados'!$Y$2:$AA$13},""Select Col2 Where Col1=""&amp;L2705))"),"")</f>
        <v/>
      </c>
      <c r="N2705" s="29" t="str">
        <f>IFERROR(__xludf.DUMMYFUNCTION("IF(ISBLANK(B2705),"""",IF(ISDATE(B2705),TEXT(B2705,""yyyy""),""""))"),"")</f>
        <v/>
      </c>
    </row>
    <row r="2706">
      <c r="B2706" s="89"/>
      <c r="C2706" s="86"/>
      <c r="D2706" s="71"/>
      <c r="H2706" s="90"/>
      <c r="J2706" s="53" t="str">
        <f>IFERROR(__xludf.DUMMYFUNCTION("IF(ISBLANK(B2706),"""",IF(ISDATE(B2706),""X"",""""))"),"")</f>
        <v/>
      </c>
      <c r="K2706" s="40" t="str">
        <f>IFERROR(__xludf.DUMMYFUNCTION("IF(ISBLANK(B2706),"""",IF(ISDATE(B2706),H2706,""""))"),"")</f>
        <v/>
      </c>
      <c r="L2706" s="40" t="str">
        <f>IFERROR(__xludf.DUMMYFUNCTION("IF(ISBLANK(B2706),"""",IF(ISDATE(B2706),TEXT(B2706,""M""),""""))"),"")</f>
        <v/>
      </c>
      <c r="M2706" s="29" t="str">
        <f>IFERROR(__xludf.DUMMYFUNCTION("IF(L2706="""","""",QUERY({'Dashboard-Dados'!$Y$2:$AA$13},""Select Col2 Where Col1=""&amp;L2706))"),"")</f>
        <v/>
      </c>
      <c r="N2706" s="29" t="str">
        <f>IFERROR(__xludf.DUMMYFUNCTION("IF(ISBLANK(B2706),"""",IF(ISDATE(B2706),TEXT(B2706,""yyyy""),""""))"),"")</f>
        <v/>
      </c>
    </row>
    <row r="2707">
      <c r="B2707" s="87"/>
      <c r="C2707" s="85"/>
      <c r="D2707" s="76"/>
      <c r="H2707" s="88"/>
      <c r="J2707" s="53" t="str">
        <f>IFERROR(__xludf.DUMMYFUNCTION("IF(ISBLANK(B2707),"""",IF(ISDATE(B2707),""X"",""""))"),"")</f>
        <v/>
      </c>
      <c r="K2707" s="40" t="str">
        <f>IFERROR(__xludf.DUMMYFUNCTION("IF(ISBLANK(B2707),"""",IF(ISDATE(B2707),H2707,""""))"),"")</f>
        <v/>
      </c>
      <c r="L2707" s="40" t="str">
        <f>IFERROR(__xludf.DUMMYFUNCTION("IF(ISBLANK(B2707),"""",IF(ISDATE(B2707),TEXT(B2707,""M""),""""))"),"")</f>
        <v/>
      </c>
      <c r="M2707" s="29" t="str">
        <f>IFERROR(__xludf.DUMMYFUNCTION("IF(L2707="""","""",QUERY({'Dashboard-Dados'!$Y$2:$AA$13},""Select Col2 Where Col1=""&amp;L2707))"),"")</f>
        <v/>
      </c>
      <c r="N2707" s="29" t="str">
        <f>IFERROR(__xludf.DUMMYFUNCTION("IF(ISBLANK(B2707),"""",IF(ISDATE(B2707),TEXT(B2707,""yyyy""),""""))"),"")</f>
        <v/>
      </c>
    </row>
    <row r="2708">
      <c r="B2708" s="89"/>
      <c r="C2708" s="86"/>
      <c r="D2708" s="71"/>
      <c r="H2708" s="90"/>
      <c r="J2708" s="53" t="str">
        <f>IFERROR(__xludf.DUMMYFUNCTION("IF(ISBLANK(B2708),"""",IF(ISDATE(B2708),""X"",""""))"),"")</f>
        <v/>
      </c>
      <c r="K2708" s="40" t="str">
        <f>IFERROR(__xludf.DUMMYFUNCTION("IF(ISBLANK(B2708),"""",IF(ISDATE(B2708),H2708,""""))"),"")</f>
        <v/>
      </c>
      <c r="L2708" s="40" t="str">
        <f>IFERROR(__xludf.DUMMYFUNCTION("IF(ISBLANK(B2708),"""",IF(ISDATE(B2708),TEXT(B2708,""M""),""""))"),"")</f>
        <v/>
      </c>
      <c r="M2708" s="29" t="str">
        <f>IFERROR(__xludf.DUMMYFUNCTION("IF(L2708="""","""",QUERY({'Dashboard-Dados'!$Y$2:$AA$13},""Select Col2 Where Col1=""&amp;L2708))"),"")</f>
        <v/>
      </c>
      <c r="N2708" s="29" t="str">
        <f>IFERROR(__xludf.DUMMYFUNCTION("IF(ISBLANK(B2708),"""",IF(ISDATE(B2708),TEXT(B2708,""yyyy""),""""))"),"")</f>
        <v/>
      </c>
    </row>
    <row r="2709">
      <c r="B2709" s="87"/>
      <c r="C2709" s="85"/>
      <c r="D2709" s="76"/>
      <c r="H2709" s="88"/>
      <c r="J2709" s="53" t="str">
        <f>IFERROR(__xludf.DUMMYFUNCTION("IF(ISBLANK(B2709),"""",IF(ISDATE(B2709),""X"",""""))"),"")</f>
        <v/>
      </c>
      <c r="K2709" s="40" t="str">
        <f>IFERROR(__xludf.DUMMYFUNCTION("IF(ISBLANK(B2709),"""",IF(ISDATE(B2709),H2709,""""))"),"")</f>
        <v/>
      </c>
      <c r="L2709" s="40" t="str">
        <f>IFERROR(__xludf.DUMMYFUNCTION("IF(ISBLANK(B2709),"""",IF(ISDATE(B2709),TEXT(B2709,""M""),""""))"),"")</f>
        <v/>
      </c>
      <c r="M2709" s="29" t="str">
        <f>IFERROR(__xludf.DUMMYFUNCTION("IF(L2709="""","""",QUERY({'Dashboard-Dados'!$Y$2:$AA$13},""Select Col2 Where Col1=""&amp;L2709))"),"")</f>
        <v/>
      </c>
      <c r="N2709" s="29" t="str">
        <f>IFERROR(__xludf.DUMMYFUNCTION("IF(ISBLANK(B2709),"""",IF(ISDATE(B2709),TEXT(B2709,""yyyy""),""""))"),"")</f>
        <v/>
      </c>
    </row>
    <row r="2710">
      <c r="B2710" s="89"/>
      <c r="C2710" s="86"/>
      <c r="D2710" s="71"/>
      <c r="H2710" s="90"/>
      <c r="J2710" s="53" t="str">
        <f>IFERROR(__xludf.DUMMYFUNCTION("IF(ISBLANK(B2710),"""",IF(ISDATE(B2710),""X"",""""))"),"")</f>
        <v/>
      </c>
      <c r="K2710" s="40" t="str">
        <f>IFERROR(__xludf.DUMMYFUNCTION("IF(ISBLANK(B2710),"""",IF(ISDATE(B2710),H2710,""""))"),"")</f>
        <v/>
      </c>
      <c r="L2710" s="40" t="str">
        <f>IFERROR(__xludf.DUMMYFUNCTION("IF(ISBLANK(B2710),"""",IF(ISDATE(B2710),TEXT(B2710,""M""),""""))"),"")</f>
        <v/>
      </c>
      <c r="M2710" s="29" t="str">
        <f>IFERROR(__xludf.DUMMYFUNCTION("IF(L2710="""","""",QUERY({'Dashboard-Dados'!$Y$2:$AA$13},""Select Col2 Where Col1=""&amp;L2710))"),"")</f>
        <v/>
      </c>
      <c r="N2710" s="29" t="str">
        <f>IFERROR(__xludf.DUMMYFUNCTION("IF(ISBLANK(B2710),"""",IF(ISDATE(B2710),TEXT(B2710,""yyyy""),""""))"),"")</f>
        <v/>
      </c>
    </row>
    <row r="2711">
      <c r="B2711" s="87"/>
      <c r="C2711" s="85"/>
      <c r="D2711" s="76"/>
      <c r="H2711" s="88"/>
      <c r="J2711" s="53" t="str">
        <f>IFERROR(__xludf.DUMMYFUNCTION("IF(ISBLANK(B2711),"""",IF(ISDATE(B2711),""X"",""""))"),"")</f>
        <v/>
      </c>
      <c r="K2711" s="40" t="str">
        <f>IFERROR(__xludf.DUMMYFUNCTION("IF(ISBLANK(B2711),"""",IF(ISDATE(B2711),H2711,""""))"),"")</f>
        <v/>
      </c>
      <c r="L2711" s="40" t="str">
        <f>IFERROR(__xludf.DUMMYFUNCTION("IF(ISBLANK(B2711),"""",IF(ISDATE(B2711),TEXT(B2711,""M""),""""))"),"")</f>
        <v/>
      </c>
      <c r="M2711" s="29" t="str">
        <f>IFERROR(__xludf.DUMMYFUNCTION("IF(L2711="""","""",QUERY({'Dashboard-Dados'!$Y$2:$AA$13},""Select Col2 Where Col1=""&amp;L2711))"),"")</f>
        <v/>
      </c>
      <c r="N2711" s="29" t="str">
        <f>IFERROR(__xludf.DUMMYFUNCTION("IF(ISBLANK(B2711),"""",IF(ISDATE(B2711),TEXT(B2711,""yyyy""),""""))"),"")</f>
        <v/>
      </c>
    </row>
    <row r="2712">
      <c r="B2712" s="89"/>
      <c r="C2712" s="86"/>
      <c r="D2712" s="71"/>
      <c r="H2712" s="90"/>
      <c r="J2712" s="53" t="str">
        <f>IFERROR(__xludf.DUMMYFUNCTION("IF(ISBLANK(B2712),"""",IF(ISDATE(B2712),""X"",""""))"),"")</f>
        <v/>
      </c>
      <c r="K2712" s="40" t="str">
        <f>IFERROR(__xludf.DUMMYFUNCTION("IF(ISBLANK(B2712),"""",IF(ISDATE(B2712),H2712,""""))"),"")</f>
        <v/>
      </c>
      <c r="L2712" s="40" t="str">
        <f>IFERROR(__xludf.DUMMYFUNCTION("IF(ISBLANK(B2712),"""",IF(ISDATE(B2712),TEXT(B2712,""M""),""""))"),"")</f>
        <v/>
      </c>
      <c r="M2712" s="29" t="str">
        <f>IFERROR(__xludf.DUMMYFUNCTION("IF(L2712="""","""",QUERY({'Dashboard-Dados'!$Y$2:$AA$13},""Select Col2 Where Col1=""&amp;L2712))"),"")</f>
        <v/>
      </c>
      <c r="N2712" s="29" t="str">
        <f>IFERROR(__xludf.DUMMYFUNCTION("IF(ISBLANK(B2712),"""",IF(ISDATE(B2712),TEXT(B2712,""yyyy""),""""))"),"")</f>
        <v/>
      </c>
    </row>
    <row r="2713">
      <c r="B2713" s="87"/>
      <c r="C2713" s="85"/>
      <c r="D2713" s="76"/>
      <c r="H2713" s="88"/>
      <c r="J2713" s="53" t="str">
        <f>IFERROR(__xludf.DUMMYFUNCTION("IF(ISBLANK(B2713),"""",IF(ISDATE(B2713),""X"",""""))"),"")</f>
        <v/>
      </c>
      <c r="K2713" s="40" t="str">
        <f>IFERROR(__xludf.DUMMYFUNCTION("IF(ISBLANK(B2713),"""",IF(ISDATE(B2713),H2713,""""))"),"")</f>
        <v/>
      </c>
      <c r="L2713" s="40" t="str">
        <f>IFERROR(__xludf.DUMMYFUNCTION("IF(ISBLANK(B2713),"""",IF(ISDATE(B2713),TEXT(B2713,""M""),""""))"),"")</f>
        <v/>
      </c>
      <c r="M2713" s="29" t="str">
        <f>IFERROR(__xludf.DUMMYFUNCTION("IF(L2713="""","""",QUERY({'Dashboard-Dados'!$Y$2:$AA$13},""Select Col2 Where Col1=""&amp;L2713))"),"")</f>
        <v/>
      </c>
      <c r="N2713" s="29" t="str">
        <f>IFERROR(__xludf.DUMMYFUNCTION("IF(ISBLANK(B2713),"""",IF(ISDATE(B2713),TEXT(B2713,""yyyy""),""""))"),"")</f>
        <v/>
      </c>
    </row>
    <row r="2714">
      <c r="B2714" s="89"/>
      <c r="C2714" s="86"/>
      <c r="D2714" s="71"/>
      <c r="H2714" s="90"/>
      <c r="J2714" s="53" t="str">
        <f>IFERROR(__xludf.DUMMYFUNCTION("IF(ISBLANK(B2714),"""",IF(ISDATE(B2714),""X"",""""))"),"")</f>
        <v/>
      </c>
      <c r="K2714" s="40" t="str">
        <f>IFERROR(__xludf.DUMMYFUNCTION("IF(ISBLANK(B2714),"""",IF(ISDATE(B2714),H2714,""""))"),"")</f>
        <v/>
      </c>
      <c r="L2714" s="40" t="str">
        <f>IFERROR(__xludf.DUMMYFUNCTION("IF(ISBLANK(B2714),"""",IF(ISDATE(B2714),TEXT(B2714,""M""),""""))"),"")</f>
        <v/>
      </c>
      <c r="M2714" s="29" t="str">
        <f>IFERROR(__xludf.DUMMYFUNCTION("IF(L2714="""","""",QUERY({'Dashboard-Dados'!$Y$2:$AA$13},""Select Col2 Where Col1=""&amp;L2714))"),"")</f>
        <v/>
      </c>
      <c r="N2714" s="29" t="str">
        <f>IFERROR(__xludf.DUMMYFUNCTION("IF(ISBLANK(B2714),"""",IF(ISDATE(B2714),TEXT(B2714,""yyyy""),""""))"),"")</f>
        <v/>
      </c>
    </row>
    <row r="2715">
      <c r="B2715" s="87"/>
      <c r="C2715" s="85"/>
      <c r="D2715" s="76"/>
      <c r="H2715" s="88"/>
      <c r="J2715" s="53" t="str">
        <f>IFERROR(__xludf.DUMMYFUNCTION("IF(ISBLANK(B2715),"""",IF(ISDATE(B2715),""X"",""""))"),"")</f>
        <v/>
      </c>
      <c r="K2715" s="40" t="str">
        <f>IFERROR(__xludf.DUMMYFUNCTION("IF(ISBLANK(B2715),"""",IF(ISDATE(B2715),H2715,""""))"),"")</f>
        <v/>
      </c>
      <c r="L2715" s="40" t="str">
        <f>IFERROR(__xludf.DUMMYFUNCTION("IF(ISBLANK(B2715),"""",IF(ISDATE(B2715),TEXT(B2715,""M""),""""))"),"")</f>
        <v/>
      </c>
      <c r="M2715" s="29" t="str">
        <f>IFERROR(__xludf.DUMMYFUNCTION("IF(L2715="""","""",QUERY({'Dashboard-Dados'!$Y$2:$AA$13},""Select Col2 Where Col1=""&amp;L2715))"),"")</f>
        <v/>
      </c>
      <c r="N2715" s="29" t="str">
        <f>IFERROR(__xludf.DUMMYFUNCTION("IF(ISBLANK(B2715),"""",IF(ISDATE(B2715),TEXT(B2715,""yyyy""),""""))"),"")</f>
        <v/>
      </c>
    </row>
    <row r="2716">
      <c r="B2716" s="89"/>
      <c r="C2716" s="86"/>
      <c r="D2716" s="71"/>
      <c r="H2716" s="90"/>
      <c r="J2716" s="53" t="str">
        <f>IFERROR(__xludf.DUMMYFUNCTION("IF(ISBLANK(B2716),"""",IF(ISDATE(B2716),""X"",""""))"),"")</f>
        <v/>
      </c>
      <c r="K2716" s="40" t="str">
        <f>IFERROR(__xludf.DUMMYFUNCTION("IF(ISBLANK(B2716),"""",IF(ISDATE(B2716),H2716,""""))"),"")</f>
        <v/>
      </c>
      <c r="L2716" s="40" t="str">
        <f>IFERROR(__xludf.DUMMYFUNCTION("IF(ISBLANK(B2716),"""",IF(ISDATE(B2716),TEXT(B2716,""M""),""""))"),"")</f>
        <v/>
      </c>
      <c r="M2716" s="29" t="str">
        <f>IFERROR(__xludf.DUMMYFUNCTION("IF(L2716="""","""",QUERY({'Dashboard-Dados'!$Y$2:$AA$13},""Select Col2 Where Col1=""&amp;L2716))"),"")</f>
        <v/>
      </c>
      <c r="N2716" s="29" t="str">
        <f>IFERROR(__xludf.DUMMYFUNCTION("IF(ISBLANK(B2716),"""",IF(ISDATE(B2716),TEXT(B2716,""yyyy""),""""))"),"")</f>
        <v/>
      </c>
    </row>
    <row r="2717">
      <c r="B2717" s="87"/>
      <c r="C2717" s="85"/>
      <c r="D2717" s="76"/>
      <c r="H2717" s="88"/>
      <c r="J2717" s="53" t="str">
        <f>IFERROR(__xludf.DUMMYFUNCTION("IF(ISBLANK(B2717),"""",IF(ISDATE(B2717),""X"",""""))"),"")</f>
        <v/>
      </c>
      <c r="K2717" s="40" t="str">
        <f>IFERROR(__xludf.DUMMYFUNCTION("IF(ISBLANK(B2717),"""",IF(ISDATE(B2717),H2717,""""))"),"")</f>
        <v/>
      </c>
      <c r="L2717" s="40" t="str">
        <f>IFERROR(__xludf.DUMMYFUNCTION("IF(ISBLANK(B2717),"""",IF(ISDATE(B2717),TEXT(B2717,""M""),""""))"),"")</f>
        <v/>
      </c>
      <c r="M2717" s="29" t="str">
        <f>IFERROR(__xludf.DUMMYFUNCTION("IF(L2717="""","""",QUERY({'Dashboard-Dados'!$Y$2:$AA$13},""Select Col2 Where Col1=""&amp;L2717))"),"")</f>
        <v/>
      </c>
      <c r="N2717" s="29" t="str">
        <f>IFERROR(__xludf.DUMMYFUNCTION("IF(ISBLANK(B2717),"""",IF(ISDATE(B2717),TEXT(B2717,""yyyy""),""""))"),"")</f>
        <v/>
      </c>
    </row>
    <row r="2718">
      <c r="B2718" s="89"/>
      <c r="C2718" s="86"/>
      <c r="D2718" s="71"/>
      <c r="H2718" s="90"/>
      <c r="J2718" s="53" t="str">
        <f>IFERROR(__xludf.DUMMYFUNCTION("IF(ISBLANK(B2718),"""",IF(ISDATE(B2718),""X"",""""))"),"")</f>
        <v/>
      </c>
      <c r="K2718" s="40" t="str">
        <f>IFERROR(__xludf.DUMMYFUNCTION("IF(ISBLANK(B2718),"""",IF(ISDATE(B2718),H2718,""""))"),"")</f>
        <v/>
      </c>
      <c r="L2718" s="40" t="str">
        <f>IFERROR(__xludf.DUMMYFUNCTION("IF(ISBLANK(B2718),"""",IF(ISDATE(B2718),TEXT(B2718,""M""),""""))"),"")</f>
        <v/>
      </c>
      <c r="M2718" s="29" t="str">
        <f>IFERROR(__xludf.DUMMYFUNCTION("IF(L2718="""","""",QUERY({'Dashboard-Dados'!$Y$2:$AA$13},""Select Col2 Where Col1=""&amp;L2718))"),"")</f>
        <v/>
      </c>
      <c r="N2718" s="29" t="str">
        <f>IFERROR(__xludf.DUMMYFUNCTION("IF(ISBLANK(B2718),"""",IF(ISDATE(B2718),TEXT(B2718,""yyyy""),""""))"),"")</f>
        <v/>
      </c>
    </row>
    <row r="2719">
      <c r="B2719" s="87"/>
      <c r="C2719" s="85"/>
      <c r="D2719" s="76"/>
      <c r="H2719" s="88"/>
      <c r="J2719" s="53" t="str">
        <f>IFERROR(__xludf.DUMMYFUNCTION("IF(ISBLANK(B2719),"""",IF(ISDATE(B2719),""X"",""""))"),"")</f>
        <v/>
      </c>
      <c r="K2719" s="40" t="str">
        <f>IFERROR(__xludf.DUMMYFUNCTION("IF(ISBLANK(B2719),"""",IF(ISDATE(B2719),H2719,""""))"),"")</f>
        <v/>
      </c>
      <c r="L2719" s="40" t="str">
        <f>IFERROR(__xludf.DUMMYFUNCTION("IF(ISBLANK(B2719),"""",IF(ISDATE(B2719),TEXT(B2719,""M""),""""))"),"")</f>
        <v/>
      </c>
      <c r="M2719" s="29" t="str">
        <f>IFERROR(__xludf.DUMMYFUNCTION("IF(L2719="""","""",QUERY({'Dashboard-Dados'!$Y$2:$AA$13},""Select Col2 Where Col1=""&amp;L2719))"),"")</f>
        <v/>
      </c>
      <c r="N2719" s="29" t="str">
        <f>IFERROR(__xludf.DUMMYFUNCTION("IF(ISBLANK(B2719),"""",IF(ISDATE(B2719),TEXT(B2719,""yyyy""),""""))"),"")</f>
        <v/>
      </c>
    </row>
    <row r="2720">
      <c r="B2720" s="89"/>
      <c r="C2720" s="86"/>
      <c r="D2720" s="71"/>
      <c r="H2720" s="90"/>
      <c r="J2720" s="53" t="str">
        <f>IFERROR(__xludf.DUMMYFUNCTION("IF(ISBLANK(B2720),"""",IF(ISDATE(B2720),""X"",""""))"),"")</f>
        <v/>
      </c>
      <c r="K2720" s="40" t="str">
        <f>IFERROR(__xludf.DUMMYFUNCTION("IF(ISBLANK(B2720),"""",IF(ISDATE(B2720),H2720,""""))"),"")</f>
        <v/>
      </c>
      <c r="L2720" s="40" t="str">
        <f>IFERROR(__xludf.DUMMYFUNCTION("IF(ISBLANK(B2720),"""",IF(ISDATE(B2720),TEXT(B2720,""M""),""""))"),"")</f>
        <v/>
      </c>
      <c r="M2720" s="29" t="str">
        <f>IFERROR(__xludf.DUMMYFUNCTION("IF(L2720="""","""",QUERY({'Dashboard-Dados'!$Y$2:$AA$13},""Select Col2 Where Col1=""&amp;L2720))"),"")</f>
        <v/>
      </c>
      <c r="N2720" s="29" t="str">
        <f>IFERROR(__xludf.DUMMYFUNCTION("IF(ISBLANK(B2720),"""",IF(ISDATE(B2720),TEXT(B2720,""yyyy""),""""))"),"")</f>
        <v/>
      </c>
    </row>
    <row r="2721">
      <c r="B2721" s="87"/>
      <c r="C2721" s="85"/>
      <c r="D2721" s="76"/>
      <c r="H2721" s="88"/>
      <c r="J2721" s="53" t="str">
        <f>IFERROR(__xludf.DUMMYFUNCTION("IF(ISBLANK(B2721),"""",IF(ISDATE(B2721),""X"",""""))"),"")</f>
        <v/>
      </c>
      <c r="K2721" s="40" t="str">
        <f>IFERROR(__xludf.DUMMYFUNCTION("IF(ISBLANK(B2721),"""",IF(ISDATE(B2721),H2721,""""))"),"")</f>
        <v/>
      </c>
      <c r="L2721" s="40" t="str">
        <f>IFERROR(__xludf.DUMMYFUNCTION("IF(ISBLANK(B2721),"""",IF(ISDATE(B2721),TEXT(B2721,""M""),""""))"),"")</f>
        <v/>
      </c>
      <c r="M2721" s="29" t="str">
        <f>IFERROR(__xludf.DUMMYFUNCTION("IF(L2721="""","""",QUERY({'Dashboard-Dados'!$Y$2:$AA$13},""Select Col2 Where Col1=""&amp;L2721))"),"")</f>
        <v/>
      </c>
      <c r="N2721" s="29" t="str">
        <f>IFERROR(__xludf.DUMMYFUNCTION("IF(ISBLANK(B2721),"""",IF(ISDATE(B2721),TEXT(B2721,""yyyy""),""""))"),"")</f>
        <v/>
      </c>
    </row>
    <row r="2722">
      <c r="B2722" s="89"/>
      <c r="C2722" s="86"/>
      <c r="D2722" s="71"/>
      <c r="H2722" s="90"/>
      <c r="J2722" s="53" t="str">
        <f>IFERROR(__xludf.DUMMYFUNCTION("IF(ISBLANK(B2722),"""",IF(ISDATE(B2722),""X"",""""))"),"")</f>
        <v/>
      </c>
      <c r="K2722" s="40" t="str">
        <f>IFERROR(__xludf.DUMMYFUNCTION("IF(ISBLANK(B2722),"""",IF(ISDATE(B2722),H2722,""""))"),"")</f>
        <v/>
      </c>
      <c r="L2722" s="40" t="str">
        <f>IFERROR(__xludf.DUMMYFUNCTION("IF(ISBLANK(B2722),"""",IF(ISDATE(B2722),TEXT(B2722,""M""),""""))"),"")</f>
        <v/>
      </c>
      <c r="M2722" s="29" t="str">
        <f>IFERROR(__xludf.DUMMYFUNCTION("IF(L2722="""","""",QUERY({'Dashboard-Dados'!$Y$2:$AA$13},""Select Col2 Where Col1=""&amp;L2722))"),"")</f>
        <v/>
      </c>
      <c r="N2722" s="29" t="str">
        <f>IFERROR(__xludf.DUMMYFUNCTION("IF(ISBLANK(B2722),"""",IF(ISDATE(B2722),TEXT(B2722,""yyyy""),""""))"),"")</f>
        <v/>
      </c>
    </row>
    <row r="2723">
      <c r="B2723" s="87"/>
      <c r="C2723" s="85"/>
      <c r="D2723" s="76"/>
      <c r="H2723" s="88"/>
      <c r="J2723" s="53" t="str">
        <f>IFERROR(__xludf.DUMMYFUNCTION("IF(ISBLANK(B2723),"""",IF(ISDATE(B2723),""X"",""""))"),"")</f>
        <v/>
      </c>
      <c r="K2723" s="40" t="str">
        <f>IFERROR(__xludf.DUMMYFUNCTION("IF(ISBLANK(B2723),"""",IF(ISDATE(B2723),H2723,""""))"),"")</f>
        <v/>
      </c>
      <c r="L2723" s="40" t="str">
        <f>IFERROR(__xludf.DUMMYFUNCTION("IF(ISBLANK(B2723),"""",IF(ISDATE(B2723),TEXT(B2723,""M""),""""))"),"")</f>
        <v/>
      </c>
      <c r="M2723" s="29" t="str">
        <f>IFERROR(__xludf.DUMMYFUNCTION("IF(L2723="""","""",QUERY({'Dashboard-Dados'!$Y$2:$AA$13},""Select Col2 Where Col1=""&amp;L2723))"),"")</f>
        <v/>
      </c>
      <c r="N2723" s="29" t="str">
        <f>IFERROR(__xludf.DUMMYFUNCTION("IF(ISBLANK(B2723),"""",IF(ISDATE(B2723),TEXT(B2723,""yyyy""),""""))"),"")</f>
        <v/>
      </c>
    </row>
    <row r="2724">
      <c r="B2724" s="89"/>
      <c r="C2724" s="86"/>
      <c r="D2724" s="71"/>
      <c r="H2724" s="90"/>
      <c r="J2724" s="53" t="str">
        <f>IFERROR(__xludf.DUMMYFUNCTION("IF(ISBLANK(B2724),"""",IF(ISDATE(B2724),""X"",""""))"),"")</f>
        <v/>
      </c>
      <c r="K2724" s="40" t="str">
        <f>IFERROR(__xludf.DUMMYFUNCTION("IF(ISBLANK(B2724),"""",IF(ISDATE(B2724),H2724,""""))"),"")</f>
        <v/>
      </c>
      <c r="L2724" s="40" t="str">
        <f>IFERROR(__xludf.DUMMYFUNCTION("IF(ISBLANK(B2724),"""",IF(ISDATE(B2724),TEXT(B2724,""M""),""""))"),"")</f>
        <v/>
      </c>
      <c r="M2724" s="29" t="str">
        <f>IFERROR(__xludf.DUMMYFUNCTION("IF(L2724="""","""",QUERY({'Dashboard-Dados'!$Y$2:$AA$13},""Select Col2 Where Col1=""&amp;L2724))"),"")</f>
        <v/>
      </c>
      <c r="N2724" s="29" t="str">
        <f>IFERROR(__xludf.DUMMYFUNCTION("IF(ISBLANK(B2724),"""",IF(ISDATE(B2724),TEXT(B2724,""yyyy""),""""))"),"")</f>
        <v/>
      </c>
    </row>
    <row r="2725">
      <c r="B2725" s="87"/>
      <c r="C2725" s="85"/>
      <c r="D2725" s="76"/>
      <c r="H2725" s="88"/>
      <c r="J2725" s="53" t="str">
        <f>IFERROR(__xludf.DUMMYFUNCTION("IF(ISBLANK(B2725),"""",IF(ISDATE(B2725),""X"",""""))"),"")</f>
        <v/>
      </c>
      <c r="K2725" s="40" t="str">
        <f>IFERROR(__xludf.DUMMYFUNCTION("IF(ISBLANK(B2725),"""",IF(ISDATE(B2725),H2725,""""))"),"")</f>
        <v/>
      </c>
      <c r="L2725" s="40" t="str">
        <f>IFERROR(__xludf.DUMMYFUNCTION("IF(ISBLANK(B2725),"""",IF(ISDATE(B2725),TEXT(B2725,""M""),""""))"),"")</f>
        <v/>
      </c>
      <c r="M2725" s="29" t="str">
        <f>IFERROR(__xludf.DUMMYFUNCTION("IF(L2725="""","""",QUERY({'Dashboard-Dados'!$Y$2:$AA$13},""Select Col2 Where Col1=""&amp;L2725))"),"")</f>
        <v/>
      </c>
      <c r="N2725" s="29" t="str">
        <f>IFERROR(__xludf.DUMMYFUNCTION("IF(ISBLANK(B2725),"""",IF(ISDATE(B2725),TEXT(B2725,""yyyy""),""""))"),"")</f>
        <v/>
      </c>
    </row>
    <row r="2726">
      <c r="B2726" s="89"/>
      <c r="C2726" s="86"/>
      <c r="D2726" s="71"/>
      <c r="H2726" s="90"/>
      <c r="J2726" s="53" t="str">
        <f>IFERROR(__xludf.DUMMYFUNCTION("IF(ISBLANK(B2726),"""",IF(ISDATE(B2726),""X"",""""))"),"")</f>
        <v/>
      </c>
      <c r="K2726" s="40" t="str">
        <f>IFERROR(__xludf.DUMMYFUNCTION("IF(ISBLANK(B2726),"""",IF(ISDATE(B2726),H2726,""""))"),"")</f>
        <v/>
      </c>
      <c r="L2726" s="40" t="str">
        <f>IFERROR(__xludf.DUMMYFUNCTION("IF(ISBLANK(B2726),"""",IF(ISDATE(B2726),TEXT(B2726,""M""),""""))"),"")</f>
        <v/>
      </c>
      <c r="M2726" s="29" t="str">
        <f>IFERROR(__xludf.DUMMYFUNCTION("IF(L2726="""","""",QUERY({'Dashboard-Dados'!$Y$2:$AA$13},""Select Col2 Where Col1=""&amp;L2726))"),"")</f>
        <v/>
      </c>
      <c r="N2726" s="29" t="str">
        <f>IFERROR(__xludf.DUMMYFUNCTION("IF(ISBLANK(B2726),"""",IF(ISDATE(B2726),TEXT(B2726,""yyyy""),""""))"),"")</f>
        <v/>
      </c>
    </row>
    <row r="2727">
      <c r="B2727" s="87"/>
      <c r="C2727" s="85"/>
      <c r="D2727" s="76"/>
      <c r="H2727" s="88"/>
      <c r="J2727" s="53" t="str">
        <f>IFERROR(__xludf.DUMMYFUNCTION("IF(ISBLANK(B2727),"""",IF(ISDATE(B2727),""X"",""""))"),"")</f>
        <v/>
      </c>
      <c r="K2727" s="40" t="str">
        <f>IFERROR(__xludf.DUMMYFUNCTION("IF(ISBLANK(B2727),"""",IF(ISDATE(B2727),H2727,""""))"),"")</f>
        <v/>
      </c>
      <c r="L2727" s="40" t="str">
        <f>IFERROR(__xludf.DUMMYFUNCTION("IF(ISBLANK(B2727),"""",IF(ISDATE(B2727),TEXT(B2727,""M""),""""))"),"")</f>
        <v/>
      </c>
      <c r="M2727" s="29" t="str">
        <f>IFERROR(__xludf.DUMMYFUNCTION("IF(L2727="""","""",QUERY({'Dashboard-Dados'!$Y$2:$AA$13},""Select Col2 Where Col1=""&amp;L2727))"),"")</f>
        <v/>
      </c>
      <c r="N2727" s="29" t="str">
        <f>IFERROR(__xludf.DUMMYFUNCTION("IF(ISBLANK(B2727),"""",IF(ISDATE(B2727),TEXT(B2727,""yyyy""),""""))"),"")</f>
        <v/>
      </c>
    </row>
    <row r="2728">
      <c r="B2728" s="89"/>
      <c r="C2728" s="86"/>
      <c r="D2728" s="71"/>
      <c r="H2728" s="90"/>
      <c r="J2728" s="53" t="str">
        <f>IFERROR(__xludf.DUMMYFUNCTION("IF(ISBLANK(B2728),"""",IF(ISDATE(B2728),""X"",""""))"),"")</f>
        <v/>
      </c>
      <c r="K2728" s="40" t="str">
        <f>IFERROR(__xludf.DUMMYFUNCTION("IF(ISBLANK(B2728),"""",IF(ISDATE(B2728),H2728,""""))"),"")</f>
        <v/>
      </c>
      <c r="L2728" s="40" t="str">
        <f>IFERROR(__xludf.DUMMYFUNCTION("IF(ISBLANK(B2728),"""",IF(ISDATE(B2728),TEXT(B2728,""M""),""""))"),"")</f>
        <v/>
      </c>
      <c r="M2728" s="29" t="str">
        <f>IFERROR(__xludf.DUMMYFUNCTION("IF(L2728="""","""",QUERY({'Dashboard-Dados'!$Y$2:$AA$13},""Select Col2 Where Col1=""&amp;L2728))"),"")</f>
        <v/>
      </c>
      <c r="N2728" s="29" t="str">
        <f>IFERROR(__xludf.DUMMYFUNCTION("IF(ISBLANK(B2728),"""",IF(ISDATE(B2728),TEXT(B2728,""yyyy""),""""))"),"")</f>
        <v/>
      </c>
    </row>
    <row r="2729">
      <c r="B2729" s="87"/>
      <c r="C2729" s="85"/>
      <c r="D2729" s="76"/>
      <c r="H2729" s="88"/>
      <c r="J2729" s="53" t="str">
        <f>IFERROR(__xludf.DUMMYFUNCTION("IF(ISBLANK(B2729),"""",IF(ISDATE(B2729),""X"",""""))"),"")</f>
        <v/>
      </c>
      <c r="K2729" s="40" t="str">
        <f>IFERROR(__xludf.DUMMYFUNCTION("IF(ISBLANK(B2729),"""",IF(ISDATE(B2729),H2729,""""))"),"")</f>
        <v/>
      </c>
      <c r="L2729" s="40" t="str">
        <f>IFERROR(__xludf.DUMMYFUNCTION("IF(ISBLANK(B2729),"""",IF(ISDATE(B2729),TEXT(B2729,""M""),""""))"),"")</f>
        <v/>
      </c>
      <c r="M2729" s="29" t="str">
        <f>IFERROR(__xludf.DUMMYFUNCTION("IF(L2729="""","""",QUERY({'Dashboard-Dados'!$Y$2:$AA$13},""Select Col2 Where Col1=""&amp;L2729))"),"")</f>
        <v/>
      </c>
      <c r="N2729" s="29" t="str">
        <f>IFERROR(__xludf.DUMMYFUNCTION("IF(ISBLANK(B2729),"""",IF(ISDATE(B2729),TEXT(B2729,""yyyy""),""""))"),"")</f>
        <v/>
      </c>
    </row>
    <row r="2730">
      <c r="B2730" s="89"/>
      <c r="C2730" s="86"/>
      <c r="D2730" s="71"/>
      <c r="H2730" s="90"/>
      <c r="J2730" s="53" t="str">
        <f>IFERROR(__xludf.DUMMYFUNCTION("IF(ISBLANK(B2730),"""",IF(ISDATE(B2730),""X"",""""))"),"")</f>
        <v/>
      </c>
      <c r="K2730" s="40" t="str">
        <f>IFERROR(__xludf.DUMMYFUNCTION("IF(ISBLANK(B2730),"""",IF(ISDATE(B2730),H2730,""""))"),"")</f>
        <v/>
      </c>
      <c r="L2730" s="40" t="str">
        <f>IFERROR(__xludf.DUMMYFUNCTION("IF(ISBLANK(B2730),"""",IF(ISDATE(B2730),TEXT(B2730,""M""),""""))"),"")</f>
        <v/>
      </c>
      <c r="M2730" s="29" t="str">
        <f>IFERROR(__xludf.DUMMYFUNCTION("IF(L2730="""","""",QUERY({'Dashboard-Dados'!$Y$2:$AA$13},""Select Col2 Where Col1=""&amp;L2730))"),"")</f>
        <v/>
      </c>
      <c r="N2730" s="29" t="str">
        <f>IFERROR(__xludf.DUMMYFUNCTION("IF(ISBLANK(B2730),"""",IF(ISDATE(B2730),TEXT(B2730,""yyyy""),""""))"),"")</f>
        <v/>
      </c>
    </row>
    <row r="2731">
      <c r="B2731" s="87"/>
      <c r="C2731" s="85"/>
      <c r="D2731" s="76"/>
      <c r="H2731" s="88"/>
      <c r="J2731" s="53" t="str">
        <f>IFERROR(__xludf.DUMMYFUNCTION("IF(ISBLANK(B2731),"""",IF(ISDATE(B2731),""X"",""""))"),"")</f>
        <v/>
      </c>
      <c r="K2731" s="40" t="str">
        <f>IFERROR(__xludf.DUMMYFUNCTION("IF(ISBLANK(B2731),"""",IF(ISDATE(B2731),H2731,""""))"),"")</f>
        <v/>
      </c>
      <c r="L2731" s="40" t="str">
        <f>IFERROR(__xludf.DUMMYFUNCTION("IF(ISBLANK(B2731),"""",IF(ISDATE(B2731),TEXT(B2731,""M""),""""))"),"")</f>
        <v/>
      </c>
      <c r="M2731" s="29" t="str">
        <f>IFERROR(__xludf.DUMMYFUNCTION("IF(L2731="""","""",QUERY({'Dashboard-Dados'!$Y$2:$AA$13},""Select Col2 Where Col1=""&amp;L2731))"),"")</f>
        <v/>
      </c>
      <c r="N2731" s="29" t="str">
        <f>IFERROR(__xludf.DUMMYFUNCTION("IF(ISBLANK(B2731),"""",IF(ISDATE(B2731),TEXT(B2731,""yyyy""),""""))"),"")</f>
        <v/>
      </c>
    </row>
    <row r="2732">
      <c r="B2732" s="89"/>
      <c r="C2732" s="86"/>
      <c r="D2732" s="71"/>
      <c r="H2732" s="90"/>
      <c r="J2732" s="53" t="str">
        <f>IFERROR(__xludf.DUMMYFUNCTION("IF(ISBLANK(B2732),"""",IF(ISDATE(B2732),""X"",""""))"),"")</f>
        <v/>
      </c>
      <c r="K2732" s="40" t="str">
        <f>IFERROR(__xludf.DUMMYFUNCTION("IF(ISBLANK(B2732),"""",IF(ISDATE(B2732),H2732,""""))"),"")</f>
        <v/>
      </c>
      <c r="L2732" s="40" t="str">
        <f>IFERROR(__xludf.DUMMYFUNCTION("IF(ISBLANK(B2732),"""",IF(ISDATE(B2732),TEXT(B2732,""M""),""""))"),"")</f>
        <v/>
      </c>
      <c r="M2732" s="29" t="str">
        <f>IFERROR(__xludf.DUMMYFUNCTION("IF(L2732="""","""",QUERY({'Dashboard-Dados'!$Y$2:$AA$13},""Select Col2 Where Col1=""&amp;L2732))"),"")</f>
        <v/>
      </c>
      <c r="N2732" s="29" t="str">
        <f>IFERROR(__xludf.DUMMYFUNCTION("IF(ISBLANK(B2732),"""",IF(ISDATE(B2732),TEXT(B2732,""yyyy""),""""))"),"")</f>
        <v/>
      </c>
    </row>
    <row r="2733">
      <c r="B2733" s="87"/>
      <c r="C2733" s="85"/>
      <c r="D2733" s="76"/>
      <c r="H2733" s="88"/>
      <c r="J2733" s="53" t="str">
        <f>IFERROR(__xludf.DUMMYFUNCTION("IF(ISBLANK(B2733),"""",IF(ISDATE(B2733),""X"",""""))"),"")</f>
        <v/>
      </c>
      <c r="K2733" s="40" t="str">
        <f>IFERROR(__xludf.DUMMYFUNCTION("IF(ISBLANK(B2733),"""",IF(ISDATE(B2733),H2733,""""))"),"")</f>
        <v/>
      </c>
      <c r="L2733" s="40" t="str">
        <f>IFERROR(__xludf.DUMMYFUNCTION("IF(ISBLANK(B2733),"""",IF(ISDATE(B2733),TEXT(B2733,""M""),""""))"),"")</f>
        <v/>
      </c>
      <c r="M2733" s="29" t="str">
        <f>IFERROR(__xludf.DUMMYFUNCTION("IF(L2733="""","""",QUERY({'Dashboard-Dados'!$Y$2:$AA$13},""Select Col2 Where Col1=""&amp;L2733))"),"")</f>
        <v/>
      </c>
      <c r="N2733" s="29" t="str">
        <f>IFERROR(__xludf.DUMMYFUNCTION("IF(ISBLANK(B2733),"""",IF(ISDATE(B2733),TEXT(B2733,""yyyy""),""""))"),"")</f>
        <v/>
      </c>
    </row>
    <row r="2734">
      <c r="B2734" s="89"/>
      <c r="C2734" s="86"/>
      <c r="D2734" s="71"/>
      <c r="H2734" s="90"/>
      <c r="J2734" s="53" t="str">
        <f>IFERROR(__xludf.DUMMYFUNCTION("IF(ISBLANK(B2734),"""",IF(ISDATE(B2734),""X"",""""))"),"")</f>
        <v/>
      </c>
      <c r="K2734" s="40" t="str">
        <f>IFERROR(__xludf.DUMMYFUNCTION("IF(ISBLANK(B2734),"""",IF(ISDATE(B2734),H2734,""""))"),"")</f>
        <v/>
      </c>
      <c r="L2734" s="40" t="str">
        <f>IFERROR(__xludf.DUMMYFUNCTION("IF(ISBLANK(B2734),"""",IF(ISDATE(B2734),TEXT(B2734,""M""),""""))"),"")</f>
        <v/>
      </c>
      <c r="M2734" s="29" t="str">
        <f>IFERROR(__xludf.DUMMYFUNCTION("IF(L2734="""","""",QUERY({'Dashboard-Dados'!$Y$2:$AA$13},""Select Col2 Where Col1=""&amp;L2734))"),"")</f>
        <v/>
      </c>
      <c r="N2734" s="29" t="str">
        <f>IFERROR(__xludf.DUMMYFUNCTION("IF(ISBLANK(B2734),"""",IF(ISDATE(B2734),TEXT(B2734,""yyyy""),""""))"),"")</f>
        <v/>
      </c>
    </row>
    <row r="2735">
      <c r="B2735" s="87"/>
      <c r="C2735" s="85"/>
      <c r="D2735" s="76"/>
      <c r="H2735" s="88"/>
      <c r="J2735" s="53" t="str">
        <f>IFERROR(__xludf.DUMMYFUNCTION("IF(ISBLANK(B2735),"""",IF(ISDATE(B2735),""X"",""""))"),"")</f>
        <v/>
      </c>
      <c r="K2735" s="40" t="str">
        <f>IFERROR(__xludf.DUMMYFUNCTION("IF(ISBLANK(B2735),"""",IF(ISDATE(B2735),H2735,""""))"),"")</f>
        <v/>
      </c>
      <c r="L2735" s="40" t="str">
        <f>IFERROR(__xludf.DUMMYFUNCTION("IF(ISBLANK(B2735),"""",IF(ISDATE(B2735),TEXT(B2735,""M""),""""))"),"")</f>
        <v/>
      </c>
      <c r="M2735" s="29" t="str">
        <f>IFERROR(__xludf.DUMMYFUNCTION("IF(L2735="""","""",QUERY({'Dashboard-Dados'!$Y$2:$AA$13},""Select Col2 Where Col1=""&amp;L2735))"),"")</f>
        <v/>
      </c>
      <c r="N2735" s="29" t="str">
        <f>IFERROR(__xludf.DUMMYFUNCTION("IF(ISBLANK(B2735),"""",IF(ISDATE(B2735),TEXT(B2735,""yyyy""),""""))"),"")</f>
        <v/>
      </c>
    </row>
    <row r="2736">
      <c r="B2736" s="89"/>
      <c r="C2736" s="86"/>
      <c r="D2736" s="71"/>
      <c r="H2736" s="90"/>
      <c r="J2736" s="53" t="str">
        <f>IFERROR(__xludf.DUMMYFUNCTION("IF(ISBLANK(B2736),"""",IF(ISDATE(B2736),""X"",""""))"),"")</f>
        <v/>
      </c>
      <c r="K2736" s="40" t="str">
        <f>IFERROR(__xludf.DUMMYFUNCTION("IF(ISBLANK(B2736),"""",IF(ISDATE(B2736),H2736,""""))"),"")</f>
        <v/>
      </c>
      <c r="L2736" s="40" t="str">
        <f>IFERROR(__xludf.DUMMYFUNCTION("IF(ISBLANK(B2736),"""",IF(ISDATE(B2736),TEXT(B2736,""M""),""""))"),"")</f>
        <v/>
      </c>
      <c r="M2736" s="29" t="str">
        <f>IFERROR(__xludf.DUMMYFUNCTION("IF(L2736="""","""",QUERY({'Dashboard-Dados'!$Y$2:$AA$13},""Select Col2 Where Col1=""&amp;L2736))"),"")</f>
        <v/>
      </c>
      <c r="N2736" s="29" t="str">
        <f>IFERROR(__xludf.DUMMYFUNCTION("IF(ISBLANK(B2736),"""",IF(ISDATE(B2736),TEXT(B2736,""yyyy""),""""))"),"")</f>
        <v/>
      </c>
    </row>
    <row r="2737">
      <c r="B2737" s="87"/>
      <c r="C2737" s="85"/>
      <c r="D2737" s="76"/>
      <c r="H2737" s="88"/>
      <c r="J2737" s="53" t="str">
        <f>IFERROR(__xludf.DUMMYFUNCTION("IF(ISBLANK(B2737),"""",IF(ISDATE(B2737),""X"",""""))"),"")</f>
        <v/>
      </c>
      <c r="K2737" s="40" t="str">
        <f>IFERROR(__xludf.DUMMYFUNCTION("IF(ISBLANK(B2737),"""",IF(ISDATE(B2737),H2737,""""))"),"")</f>
        <v/>
      </c>
      <c r="L2737" s="40" t="str">
        <f>IFERROR(__xludf.DUMMYFUNCTION("IF(ISBLANK(B2737),"""",IF(ISDATE(B2737),TEXT(B2737,""M""),""""))"),"")</f>
        <v/>
      </c>
      <c r="M2737" s="29" t="str">
        <f>IFERROR(__xludf.DUMMYFUNCTION("IF(L2737="""","""",QUERY({'Dashboard-Dados'!$Y$2:$AA$13},""Select Col2 Where Col1=""&amp;L2737))"),"")</f>
        <v/>
      </c>
      <c r="N2737" s="29" t="str">
        <f>IFERROR(__xludf.DUMMYFUNCTION("IF(ISBLANK(B2737),"""",IF(ISDATE(B2737),TEXT(B2737,""yyyy""),""""))"),"")</f>
        <v/>
      </c>
    </row>
    <row r="2738">
      <c r="B2738" s="89"/>
      <c r="C2738" s="86"/>
      <c r="D2738" s="71"/>
      <c r="H2738" s="90"/>
      <c r="J2738" s="53" t="str">
        <f>IFERROR(__xludf.DUMMYFUNCTION("IF(ISBLANK(B2738),"""",IF(ISDATE(B2738),""X"",""""))"),"")</f>
        <v/>
      </c>
      <c r="K2738" s="40" t="str">
        <f>IFERROR(__xludf.DUMMYFUNCTION("IF(ISBLANK(B2738),"""",IF(ISDATE(B2738),H2738,""""))"),"")</f>
        <v/>
      </c>
      <c r="L2738" s="40" t="str">
        <f>IFERROR(__xludf.DUMMYFUNCTION("IF(ISBLANK(B2738),"""",IF(ISDATE(B2738),TEXT(B2738,""M""),""""))"),"")</f>
        <v/>
      </c>
      <c r="M2738" s="29" t="str">
        <f>IFERROR(__xludf.DUMMYFUNCTION("IF(L2738="""","""",QUERY({'Dashboard-Dados'!$Y$2:$AA$13},""Select Col2 Where Col1=""&amp;L2738))"),"")</f>
        <v/>
      </c>
      <c r="N2738" s="29" t="str">
        <f>IFERROR(__xludf.DUMMYFUNCTION("IF(ISBLANK(B2738),"""",IF(ISDATE(B2738),TEXT(B2738,""yyyy""),""""))"),"")</f>
        <v/>
      </c>
    </row>
    <row r="2739">
      <c r="B2739" s="87"/>
      <c r="C2739" s="85"/>
      <c r="D2739" s="76"/>
      <c r="H2739" s="88"/>
      <c r="J2739" s="53" t="str">
        <f>IFERROR(__xludf.DUMMYFUNCTION("IF(ISBLANK(B2739),"""",IF(ISDATE(B2739),""X"",""""))"),"")</f>
        <v/>
      </c>
      <c r="K2739" s="40" t="str">
        <f>IFERROR(__xludf.DUMMYFUNCTION("IF(ISBLANK(B2739),"""",IF(ISDATE(B2739),H2739,""""))"),"")</f>
        <v/>
      </c>
      <c r="L2739" s="40" t="str">
        <f>IFERROR(__xludf.DUMMYFUNCTION("IF(ISBLANK(B2739),"""",IF(ISDATE(B2739),TEXT(B2739,""M""),""""))"),"")</f>
        <v/>
      </c>
      <c r="M2739" s="29" t="str">
        <f>IFERROR(__xludf.DUMMYFUNCTION("IF(L2739="""","""",QUERY({'Dashboard-Dados'!$Y$2:$AA$13},""Select Col2 Where Col1=""&amp;L2739))"),"")</f>
        <v/>
      </c>
      <c r="N2739" s="29" t="str">
        <f>IFERROR(__xludf.DUMMYFUNCTION("IF(ISBLANK(B2739),"""",IF(ISDATE(B2739),TEXT(B2739,""yyyy""),""""))"),"")</f>
        <v/>
      </c>
    </row>
    <row r="2740">
      <c r="B2740" s="89"/>
      <c r="C2740" s="86"/>
      <c r="D2740" s="71"/>
      <c r="H2740" s="90"/>
      <c r="J2740" s="53" t="str">
        <f>IFERROR(__xludf.DUMMYFUNCTION("IF(ISBLANK(B2740),"""",IF(ISDATE(B2740),""X"",""""))"),"")</f>
        <v/>
      </c>
      <c r="K2740" s="40" t="str">
        <f>IFERROR(__xludf.DUMMYFUNCTION("IF(ISBLANK(B2740),"""",IF(ISDATE(B2740),H2740,""""))"),"")</f>
        <v/>
      </c>
      <c r="L2740" s="40" t="str">
        <f>IFERROR(__xludf.DUMMYFUNCTION("IF(ISBLANK(B2740),"""",IF(ISDATE(B2740),TEXT(B2740,""M""),""""))"),"")</f>
        <v/>
      </c>
      <c r="M2740" s="29" t="str">
        <f>IFERROR(__xludf.DUMMYFUNCTION("IF(L2740="""","""",QUERY({'Dashboard-Dados'!$Y$2:$AA$13},""Select Col2 Where Col1=""&amp;L2740))"),"")</f>
        <v/>
      </c>
      <c r="N2740" s="29" t="str">
        <f>IFERROR(__xludf.DUMMYFUNCTION("IF(ISBLANK(B2740),"""",IF(ISDATE(B2740),TEXT(B2740,""yyyy""),""""))"),"")</f>
        <v/>
      </c>
    </row>
    <row r="2741">
      <c r="B2741" s="87"/>
      <c r="C2741" s="85"/>
      <c r="D2741" s="76"/>
      <c r="H2741" s="88"/>
      <c r="J2741" s="53" t="str">
        <f>IFERROR(__xludf.DUMMYFUNCTION("IF(ISBLANK(B2741),"""",IF(ISDATE(B2741),""X"",""""))"),"")</f>
        <v/>
      </c>
      <c r="K2741" s="40" t="str">
        <f>IFERROR(__xludf.DUMMYFUNCTION("IF(ISBLANK(B2741),"""",IF(ISDATE(B2741),H2741,""""))"),"")</f>
        <v/>
      </c>
      <c r="L2741" s="40" t="str">
        <f>IFERROR(__xludf.DUMMYFUNCTION("IF(ISBLANK(B2741),"""",IF(ISDATE(B2741),TEXT(B2741,""M""),""""))"),"")</f>
        <v/>
      </c>
      <c r="M2741" s="29" t="str">
        <f>IFERROR(__xludf.DUMMYFUNCTION("IF(L2741="""","""",QUERY({'Dashboard-Dados'!$Y$2:$AA$13},""Select Col2 Where Col1=""&amp;L2741))"),"")</f>
        <v/>
      </c>
      <c r="N2741" s="29" t="str">
        <f>IFERROR(__xludf.DUMMYFUNCTION("IF(ISBLANK(B2741),"""",IF(ISDATE(B2741),TEXT(B2741,""yyyy""),""""))"),"")</f>
        <v/>
      </c>
    </row>
    <row r="2742">
      <c r="B2742" s="89"/>
      <c r="C2742" s="86"/>
      <c r="D2742" s="71"/>
      <c r="H2742" s="90"/>
      <c r="J2742" s="53" t="str">
        <f>IFERROR(__xludf.DUMMYFUNCTION("IF(ISBLANK(B2742),"""",IF(ISDATE(B2742),""X"",""""))"),"")</f>
        <v/>
      </c>
      <c r="K2742" s="40" t="str">
        <f>IFERROR(__xludf.DUMMYFUNCTION("IF(ISBLANK(B2742),"""",IF(ISDATE(B2742),H2742,""""))"),"")</f>
        <v/>
      </c>
      <c r="L2742" s="40" t="str">
        <f>IFERROR(__xludf.DUMMYFUNCTION("IF(ISBLANK(B2742),"""",IF(ISDATE(B2742),TEXT(B2742,""M""),""""))"),"")</f>
        <v/>
      </c>
      <c r="M2742" s="29" t="str">
        <f>IFERROR(__xludf.DUMMYFUNCTION("IF(L2742="""","""",QUERY({'Dashboard-Dados'!$Y$2:$AA$13},""Select Col2 Where Col1=""&amp;L2742))"),"")</f>
        <v/>
      </c>
      <c r="N2742" s="29" t="str">
        <f>IFERROR(__xludf.DUMMYFUNCTION("IF(ISBLANK(B2742),"""",IF(ISDATE(B2742),TEXT(B2742,""yyyy""),""""))"),"")</f>
        <v/>
      </c>
    </row>
    <row r="2743">
      <c r="B2743" s="87"/>
      <c r="C2743" s="85"/>
      <c r="D2743" s="76"/>
      <c r="H2743" s="88"/>
      <c r="J2743" s="53" t="str">
        <f>IFERROR(__xludf.DUMMYFUNCTION("IF(ISBLANK(B2743),"""",IF(ISDATE(B2743),""X"",""""))"),"")</f>
        <v/>
      </c>
      <c r="K2743" s="40" t="str">
        <f>IFERROR(__xludf.DUMMYFUNCTION("IF(ISBLANK(B2743),"""",IF(ISDATE(B2743),H2743,""""))"),"")</f>
        <v/>
      </c>
      <c r="L2743" s="40" t="str">
        <f>IFERROR(__xludf.DUMMYFUNCTION("IF(ISBLANK(B2743),"""",IF(ISDATE(B2743),TEXT(B2743,""M""),""""))"),"")</f>
        <v/>
      </c>
      <c r="M2743" s="29" t="str">
        <f>IFERROR(__xludf.DUMMYFUNCTION("IF(L2743="""","""",QUERY({'Dashboard-Dados'!$Y$2:$AA$13},""Select Col2 Where Col1=""&amp;L2743))"),"")</f>
        <v/>
      </c>
      <c r="N2743" s="29" t="str">
        <f>IFERROR(__xludf.DUMMYFUNCTION("IF(ISBLANK(B2743),"""",IF(ISDATE(B2743),TEXT(B2743,""yyyy""),""""))"),"")</f>
        <v/>
      </c>
    </row>
    <row r="2744">
      <c r="B2744" s="89"/>
      <c r="C2744" s="86"/>
      <c r="D2744" s="71"/>
      <c r="H2744" s="90"/>
      <c r="J2744" s="53" t="str">
        <f>IFERROR(__xludf.DUMMYFUNCTION("IF(ISBLANK(B2744),"""",IF(ISDATE(B2744),""X"",""""))"),"")</f>
        <v/>
      </c>
      <c r="K2744" s="40" t="str">
        <f>IFERROR(__xludf.DUMMYFUNCTION("IF(ISBLANK(B2744),"""",IF(ISDATE(B2744),H2744,""""))"),"")</f>
        <v/>
      </c>
      <c r="L2744" s="40" t="str">
        <f>IFERROR(__xludf.DUMMYFUNCTION("IF(ISBLANK(B2744),"""",IF(ISDATE(B2744),TEXT(B2744,""M""),""""))"),"")</f>
        <v/>
      </c>
      <c r="M2744" s="29" t="str">
        <f>IFERROR(__xludf.DUMMYFUNCTION("IF(L2744="""","""",QUERY({'Dashboard-Dados'!$Y$2:$AA$13},""Select Col2 Where Col1=""&amp;L2744))"),"")</f>
        <v/>
      </c>
      <c r="N2744" s="29" t="str">
        <f>IFERROR(__xludf.DUMMYFUNCTION("IF(ISBLANK(B2744),"""",IF(ISDATE(B2744),TEXT(B2744,""yyyy""),""""))"),"")</f>
        <v/>
      </c>
    </row>
    <row r="2745">
      <c r="B2745" s="87"/>
      <c r="C2745" s="85"/>
      <c r="D2745" s="76"/>
      <c r="H2745" s="88"/>
      <c r="J2745" s="53" t="str">
        <f>IFERROR(__xludf.DUMMYFUNCTION("IF(ISBLANK(B2745),"""",IF(ISDATE(B2745),""X"",""""))"),"")</f>
        <v/>
      </c>
      <c r="K2745" s="40" t="str">
        <f>IFERROR(__xludf.DUMMYFUNCTION("IF(ISBLANK(B2745),"""",IF(ISDATE(B2745),H2745,""""))"),"")</f>
        <v/>
      </c>
      <c r="L2745" s="40" t="str">
        <f>IFERROR(__xludf.DUMMYFUNCTION("IF(ISBLANK(B2745),"""",IF(ISDATE(B2745),TEXT(B2745,""M""),""""))"),"")</f>
        <v/>
      </c>
      <c r="M2745" s="29" t="str">
        <f>IFERROR(__xludf.DUMMYFUNCTION("IF(L2745="""","""",QUERY({'Dashboard-Dados'!$Y$2:$AA$13},""Select Col2 Where Col1=""&amp;L2745))"),"")</f>
        <v/>
      </c>
      <c r="N2745" s="29" t="str">
        <f>IFERROR(__xludf.DUMMYFUNCTION("IF(ISBLANK(B2745),"""",IF(ISDATE(B2745),TEXT(B2745,""yyyy""),""""))"),"")</f>
        <v/>
      </c>
    </row>
    <row r="2746">
      <c r="B2746" s="89"/>
      <c r="C2746" s="86"/>
      <c r="D2746" s="71"/>
      <c r="H2746" s="90"/>
      <c r="J2746" s="53" t="str">
        <f>IFERROR(__xludf.DUMMYFUNCTION("IF(ISBLANK(B2746),"""",IF(ISDATE(B2746),""X"",""""))"),"")</f>
        <v/>
      </c>
      <c r="K2746" s="40" t="str">
        <f>IFERROR(__xludf.DUMMYFUNCTION("IF(ISBLANK(B2746),"""",IF(ISDATE(B2746),H2746,""""))"),"")</f>
        <v/>
      </c>
      <c r="L2746" s="40" t="str">
        <f>IFERROR(__xludf.DUMMYFUNCTION("IF(ISBLANK(B2746),"""",IF(ISDATE(B2746),TEXT(B2746,""M""),""""))"),"")</f>
        <v/>
      </c>
      <c r="M2746" s="29" t="str">
        <f>IFERROR(__xludf.DUMMYFUNCTION("IF(L2746="""","""",QUERY({'Dashboard-Dados'!$Y$2:$AA$13},""Select Col2 Where Col1=""&amp;L2746))"),"")</f>
        <v/>
      </c>
      <c r="N2746" s="29" t="str">
        <f>IFERROR(__xludf.DUMMYFUNCTION("IF(ISBLANK(B2746),"""",IF(ISDATE(B2746),TEXT(B2746,""yyyy""),""""))"),"")</f>
        <v/>
      </c>
    </row>
    <row r="2747">
      <c r="B2747" s="87"/>
      <c r="C2747" s="85"/>
      <c r="D2747" s="76"/>
      <c r="H2747" s="88"/>
      <c r="J2747" s="53" t="str">
        <f>IFERROR(__xludf.DUMMYFUNCTION("IF(ISBLANK(B2747),"""",IF(ISDATE(B2747),""X"",""""))"),"")</f>
        <v/>
      </c>
      <c r="K2747" s="40" t="str">
        <f>IFERROR(__xludf.DUMMYFUNCTION("IF(ISBLANK(B2747),"""",IF(ISDATE(B2747),H2747,""""))"),"")</f>
        <v/>
      </c>
      <c r="L2747" s="40" t="str">
        <f>IFERROR(__xludf.DUMMYFUNCTION("IF(ISBLANK(B2747),"""",IF(ISDATE(B2747),TEXT(B2747,""M""),""""))"),"")</f>
        <v/>
      </c>
      <c r="M2747" s="29" t="str">
        <f>IFERROR(__xludf.DUMMYFUNCTION("IF(L2747="""","""",QUERY({'Dashboard-Dados'!$Y$2:$AA$13},""Select Col2 Where Col1=""&amp;L2747))"),"")</f>
        <v/>
      </c>
      <c r="N2747" s="29" t="str">
        <f>IFERROR(__xludf.DUMMYFUNCTION("IF(ISBLANK(B2747),"""",IF(ISDATE(B2747),TEXT(B2747,""yyyy""),""""))"),"")</f>
        <v/>
      </c>
    </row>
    <row r="2748">
      <c r="B2748" s="89"/>
      <c r="C2748" s="86"/>
      <c r="D2748" s="71"/>
      <c r="H2748" s="90"/>
      <c r="J2748" s="53" t="str">
        <f>IFERROR(__xludf.DUMMYFUNCTION("IF(ISBLANK(B2748),"""",IF(ISDATE(B2748),""X"",""""))"),"")</f>
        <v/>
      </c>
      <c r="K2748" s="40" t="str">
        <f>IFERROR(__xludf.DUMMYFUNCTION("IF(ISBLANK(B2748),"""",IF(ISDATE(B2748),H2748,""""))"),"")</f>
        <v/>
      </c>
      <c r="L2748" s="40" t="str">
        <f>IFERROR(__xludf.DUMMYFUNCTION("IF(ISBLANK(B2748),"""",IF(ISDATE(B2748),TEXT(B2748,""M""),""""))"),"")</f>
        <v/>
      </c>
      <c r="M2748" s="29" t="str">
        <f>IFERROR(__xludf.DUMMYFUNCTION("IF(L2748="""","""",QUERY({'Dashboard-Dados'!$Y$2:$AA$13},""Select Col2 Where Col1=""&amp;L2748))"),"")</f>
        <v/>
      </c>
      <c r="N2748" s="29" t="str">
        <f>IFERROR(__xludf.DUMMYFUNCTION("IF(ISBLANK(B2748),"""",IF(ISDATE(B2748),TEXT(B2748,""yyyy""),""""))"),"")</f>
        <v/>
      </c>
    </row>
    <row r="2749">
      <c r="B2749" s="87"/>
      <c r="C2749" s="85"/>
      <c r="D2749" s="76"/>
      <c r="H2749" s="88"/>
      <c r="J2749" s="53" t="str">
        <f>IFERROR(__xludf.DUMMYFUNCTION("IF(ISBLANK(B2749),"""",IF(ISDATE(B2749),""X"",""""))"),"")</f>
        <v/>
      </c>
      <c r="K2749" s="40" t="str">
        <f>IFERROR(__xludf.DUMMYFUNCTION("IF(ISBLANK(B2749),"""",IF(ISDATE(B2749),H2749,""""))"),"")</f>
        <v/>
      </c>
      <c r="L2749" s="40" t="str">
        <f>IFERROR(__xludf.DUMMYFUNCTION("IF(ISBLANK(B2749),"""",IF(ISDATE(B2749),TEXT(B2749,""M""),""""))"),"")</f>
        <v/>
      </c>
      <c r="M2749" s="29" t="str">
        <f>IFERROR(__xludf.DUMMYFUNCTION("IF(L2749="""","""",QUERY({'Dashboard-Dados'!$Y$2:$AA$13},""Select Col2 Where Col1=""&amp;L2749))"),"")</f>
        <v/>
      </c>
      <c r="N2749" s="29" t="str">
        <f>IFERROR(__xludf.DUMMYFUNCTION("IF(ISBLANK(B2749),"""",IF(ISDATE(B2749),TEXT(B2749,""yyyy""),""""))"),"")</f>
        <v/>
      </c>
    </row>
    <row r="2750">
      <c r="B2750" s="89"/>
      <c r="C2750" s="86"/>
      <c r="D2750" s="71"/>
      <c r="H2750" s="90"/>
      <c r="J2750" s="53" t="str">
        <f>IFERROR(__xludf.DUMMYFUNCTION("IF(ISBLANK(B2750),"""",IF(ISDATE(B2750),""X"",""""))"),"")</f>
        <v/>
      </c>
      <c r="K2750" s="40" t="str">
        <f>IFERROR(__xludf.DUMMYFUNCTION("IF(ISBLANK(B2750),"""",IF(ISDATE(B2750),H2750,""""))"),"")</f>
        <v/>
      </c>
      <c r="L2750" s="40" t="str">
        <f>IFERROR(__xludf.DUMMYFUNCTION("IF(ISBLANK(B2750),"""",IF(ISDATE(B2750),TEXT(B2750,""M""),""""))"),"")</f>
        <v/>
      </c>
      <c r="M2750" s="29" t="str">
        <f>IFERROR(__xludf.DUMMYFUNCTION("IF(L2750="""","""",QUERY({'Dashboard-Dados'!$Y$2:$AA$13},""Select Col2 Where Col1=""&amp;L2750))"),"")</f>
        <v/>
      </c>
      <c r="N2750" s="29" t="str">
        <f>IFERROR(__xludf.DUMMYFUNCTION("IF(ISBLANK(B2750),"""",IF(ISDATE(B2750),TEXT(B2750,""yyyy""),""""))"),"")</f>
        <v/>
      </c>
    </row>
    <row r="2751">
      <c r="B2751" s="87"/>
      <c r="C2751" s="85"/>
      <c r="D2751" s="76"/>
      <c r="H2751" s="88"/>
      <c r="J2751" s="53" t="str">
        <f>IFERROR(__xludf.DUMMYFUNCTION("IF(ISBLANK(B2751),"""",IF(ISDATE(B2751),""X"",""""))"),"")</f>
        <v/>
      </c>
      <c r="K2751" s="40" t="str">
        <f>IFERROR(__xludf.DUMMYFUNCTION("IF(ISBLANK(B2751),"""",IF(ISDATE(B2751),H2751,""""))"),"")</f>
        <v/>
      </c>
      <c r="L2751" s="40" t="str">
        <f>IFERROR(__xludf.DUMMYFUNCTION("IF(ISBLANK(B2751),"""",IF(ISDATE(B2751),TEXT(B2751,""M""),""""))"),"")</f>
        <v/>
      </c>
      <c r="M2751" s="29" t="str">
        <f>IFERROR(__xludf.DUMMYFUNCTION("IF(L2751="""","""",QUERY({'Dashboard-Dados'!$Y$2:$AA$13},""Select Col2 Where Col1=""&amp;L2751))"),"")</f>
        <v/>
      </c>
      <c r="N2751" s="29" t="str">
        <f>IFERROR(__xludf.DUMMYFUNCTION("IF(ISBLANK(B2751),"""",IF(ISDATE(B2751),TEXT(B2751,""yyyy""),""""))"),"")</f>
        <v/>
      </c>
    </row>
    <row r="2752">
      <c r="B2752" s="89"/>
      <c r="C2752" s="86"/>
      <c r="D2752" s="71"/>
      <c r="H2752" s="90"/>
      <c r="J2752" s="53" t="str">
        <f>IFERROR(__xludf.DUMMYFUNCTION("IF(ISBLANK(B2752),"""",IF(ISDATE(B2752),""X"",""""))"),"")</f>
        <v/>
      </c>
      <c r="K2752" s="40" t="str">
        <f>IFERROR(__xludf.DUMMYFUNCTION("IF(ISBLANK(B2752),"""",IF(ISDATE(B2752),H2752,""""))"),"")</f>
        <v/>
      </c>
      <c r="L2752" s="40" t="str">
        <f>IFERROR(__xludf.DUMMYFUNCTION("IF(ISBLANK(B2752),"""",IF(ISDATE(B2752),TEXT(B2752,""M""),""""))"),"")</f>
        <v/>
      </c>
      <c r="M2752" s="29" t="str">
        <f>IFERROR(__xludf.DUMMYFUNCTION("IF(L2752="""","""",QUERY({'Dashboard-Dados'!$Y$2:$AA$13},""Select Col2 Where Col1=""&amp;L2752))"),"")</f>
        <v/>
      </c>
      <c r="N2752" s="29" t="str">
        <f>IFERROR(__xludf.DUMMYFUNCTION("IF(ISBLANK(B2752),"""",IF(ISDATE(B2752),TEXT(B2752,""yyyy""),""""))"),"")</f>
        <v/>
      </c>
    </row>
    <row r="2753">
      <c r="B2753" s="87"/>
      <c r="C2753" s="85"/>
      <c r="D2753" s="76"/>
      <c r="H2753" s="88"/>
      <c r="J2753" s="53" t="str">
        <f>IFERROR(__xludf.DUMMYFUNCTION("IF(ISBLANK(B2753),"""",IF(ISDATE(B2753),""X"",""""))"),"")</f>
        <v/>
      </c>
      <c r="K2753" s="40" t="str">
        <f>IFERROR(__xludf.DUMMYFUNCTION("IF(ISBLANK(B2753),"""",IF(ISDATE(B2753),H2753,""""))"),"")</f>
        <v/>
      </c>
      <c r="L2753" s="40" t="str">
        <f>IFERROR(__xludf.DUMMYFUNCTION("IF(ISBLANK(B2753),"""",IF(ISDATE(B2753),TEXT(B2753,""M""),""""))"),"")</f>
        <v/>
      </c>
      <c r="M2753" s="29" t="str">
        <f>IFERROR(__xludf.DUMMYFUNCTION("IF(L2753="""","""",QUERY({'Dashboard-Dados'!$Y$2:$AA$13},""Select Col2 Where Col1=""&amp;L2753))"),"")</f>
        <v/>
      </c>
      <c r="N2753" s="29" t="str">
        <f>IFERROR(__xludf.DUMMYFUNCTION("IF(ISBLANK(B2753),"""",IF(ISDATE(B2753),TEXT(B2753,""yyyy""),""""))"),"")</f>
        <v/>
      </c>
    </row>
    <row r="2754">
      <c r="B2754" s="89"/>
      <c r="C2754" s="86"/>
      <c r="D2754" s="71"/>
      <c r="H2754" s="90"/>
      <c r="J2754" s="53" t="str">
        <f>IFERROR(__xludf.DUMMYFUNCTION("IF(ISBLANK(B2754),"""",IF(ISDATE(B2754),""X"",""""))"),"")</f>
        <v/>
      </c>
      <c r="K2754" s="40" t="str">
        <f>IFERROR(__xludf.DUMMYFUNCTION("IF(ISBLANK(B2754),"""",IF(ISDATE(B2754),H2754,""""))"),"")</f>
        <v/>
      </c>
      <c r="L2754" s="40" t="str">
        <f>IFERROR(__xludf.DUMMYFUNCTION("IF(ISBLANK(B2754),"""",IF(ISDATE(B2754),TEXT(B2754,""M""),""""))"),"")</f>
        <v/>
      </c>
      <c r="M2754" s="29" t="str">
        <f>IFERROR(__xludf.DUMMYFUNCTION("IF(L2754="""","""",QUERY({'Dashboard-Dados'!$Y$2:$AA$13},""Select Col2 Where Col1=""&amp;L2754))"),"")</f>
        <v/>
      </c>
      <c r="N2754" s="29" t="str">
        <f>IFERROR(__xludf.DUMMYFUNCTION("IF(ISBLANK(B2754),"""",IF(ISDATE(B2754),TEXT(B2754,""yyyy""),""""))"),"")</f>
        <v/>
      </c>
    </row>
    <row r="2755">
      <c r="B2755" s="87"/>
      <c r="C2755" s="85"/>
      <c r="D2755" s="76"/>
      <c r="H2755" s="88"/>
      <c r="J2755" s="53" t="str">
        <f>IFERROR(__xludf.DUMMYFUNCTION("IF(ISBLANK(B2755),"""",IF(ISDATE(B2755),""X"",""""))"),"")</f>
        <v/>
      </c>
      <c r="K2755" s="40" t="str">
        <f>IFERROR(__xludf.DUMMYFUNCTION("IF(ISBLANK(B2755),"""",IF(ISDATE(B2755),H2755,""""))"),"")</f>
        <v/>
      </c>
      <c r="L2755" s="40" t="str">
        <f>IFERROR(__xludf.DUMMYFUNCTION("IF(ISBLANK(B2755),"""",IF(ISDATE(B2755),TEXT(B2755,""M""),""""))"),"")</f>
        <v/>
      </c>
      <c r="M2755" s="29" t="str">
        <f>IFERROR(__xludf.DUMMYFUNCTION("IF(L2755="""","""",QUERY({'Dashboard-Dados'!$Y$2:$AA$13},""Select Col2 Where Col1=""&amp;L2755))"),"")</f>
        <v/>
      </c>
      <c r="N2755" s="29" t="str">
        <f>IFERROR(__xludf.DUMMYFUNCTION("IF(ISBLANK(B2755),"""",IF(ISDATE(B2755),TEXT(B2755,""yyyy""),""""))"),"")</f>
        <v/>
      </c>
    </row>
    <row r="2756">
      <c r="B2756" s="89"/>
      <c r="C2756" s="86"/>
      <c r="D2756" s="71"/>
      <c r="H2756" s="90"/>
      <c r="J2756" s="53" t="str">
        <f>IFERROR(__xludf.DUMMYFUNCTION("IF(ISBLANK(B2756),"""",IF(ISDATE(B2756),""X"",""""))"),"")</f>
        <v/>
      </c>
      <c r="K2756" s="40" t="str">
        <f>IFERROR(__xludf.DUMMYFUNCTION("IF(ISBLANK(B2756),"""",IF(ISDATE(B2756),H2756,""""))"),"")</f>
        <v/>
      </c>
      <c r="L2756" s="40" t="str">
        <f>IFERROR(__xludf.DUMMYFUNCTION("IF(ISBLANK(B2756),"""",IF(ISDATE(B2756),TEXT(B2756,""M""),""""))"),"")</f>
        <v/>
      </c>
      <c r="M2756" s="29" t="str">
        <f>IFERROR(__xludf.DUMMYFUNCTION("IF(L2756="""","""",QUERY({'Dashboard-Dados'!$Y$2:$AA$13},""Select Col2 Where Col1=""&amp;L2756))"),"")</f>
        <v/>
      </c>
      <c r="N2756" s="29" t="str">
        <f>IFERROR(__xludf.DUMMYFUNCTION("IF(ISBLANK(B2756),"""",IF(ISDATE(B2756),TEXT(B2756,""yyyy""),""""))"),"")</f>
        <v/>
      </c>
    </row>
    <row r="2757">
      <c r="B2757" s="87"/>
      <c r="C2757" s="85"/>
      <c r="D2757" s="76"/>
      <c r="H2757" s="88"/>
      <c r="J2757" s="53" t="str">
        <f>IFERROR(__xludf.DUMMYFUNCTION("IF(ISBLANK(B2757),"""",IF(ISDATE(B2757),""X"",""""))"),"")</f>
        <v/>
      </c>
      <c r="K2757" s="40" t="str">
        <f>IFERROR(__xludf.DUMMYFUNCTION("IF(ISBLANK(B2757),"""",IF(ISDATE(B2757),H2757,""""))"),"")</f>
        <v/>
      </c>
      <c r="L2757" s="40" t="str">
        <f>IFERROR(__xludf.DUMMYFUNCTION("IF(ISBLANK(B2757),"""",IF(ISDATE(B2757),TEXT(B2757,""M""),""""))"),"")</f>
        <v/>
      </c>
      <c r="M2757" s="29" t="str">
        <f>IFERROR(__xludf.DUMMYFUNCTION("IF(L2757="""","""",QUERY({'Dashboard-Dados'!$Y$2:$AA$13},""Select Col2 Where Col1=""&amp;L2757))"),"")</f>
        <v/>
      </c>
      <c r="N2757" s="29" t="str">
        <f>IFERROR(__xludf.DUMMYFUNCTION("IF(ISBLANK(B2757),"""",IF(ISDATE(B2757),TEXT(B2757,""yyyy""),""""))"),"")</f>
        <v/>
      </c>
    </row>
    <row r="2758">
      <c r="B2758" s="89"/>
      <c r="C2758" s="86"/>
      <c r="D2758" s="71"/>
      <c r="H2758" s="90"/>
      <c r="J2758" s="53" t="str">
        <f>IFERROR(__xludf.DUMMYFUNCTION("IF(ISBLANK(B2758),"""",IF(ISDATE(B2758),""X"",""""))"),"")</f>
        <v/>
      </c>
      <c r="K2758" s="40" t="str">
        <f>IFERROR(__xludf.DUMMYFUNCTION("IF(ISBLANK(B2758),"""",IF(ISDATE(B2758),H2758,""""))"),"")</f>
        <v/>
      </c>
      <c r="L2758" s="40" t="str">
        <f>IFERROR(__xludf.DUMMYFUNCTION("IF(ISBLANK(B2758),"""",IF(ISDATE(B2758),TEXT(B2758,""M""),""""))"),"")</f>
        <v/>
      </c>
      <c r="M2758" s="29" t="str">
        <f>IFERROR(__xludf.DUMMYFUNCTION("IF(L2758="""","""",QUERY({'Dashboard-Dados'!$Y$2:$AA$13},""Select Col2 Where Col1=""&amp;L2758))"),"")</f>
        <v/>
      </c>
      <c r="N2758" s="29" t="str">
        <f>IFERROR(__xludf.DUMMYFUNCTION("IF(ISBLANK(B2758),"""",IF(ISDATE(B2758),TEXT(B2758,""yyyy""),""""))"),"")</f>
        <v/>
      </c>
    </row>
    <row r="2759">
      <c r="B2759" s="87"/>
      <c r="C2759" s="85"/>
      <c r="D2759" s="76"/>
      <c r="H2759" s="88"/>
      <c r="J2759" s="53" t="str">
        <f>IFERROR(__xludf.DUMMYFUNCTION("IF(ISBLANK(B2759),"""",IF(ISDATE(B2759),""X"",""""))"),"")</f>
        <v/>
      </c>
      <c r="K2759" s="40" t="str">
        <f>IFERROR(__xludf.DUMMYFUNCTION("IF(ISBLANK(B2759),"""",IF(ISDATE(B2759),H2759,""""))"),"")</f>
        <v/>
      </c>
      <c r="L2759" s="40" t="str">
        <f>IFERROR(__xludf.DUMMYFUNCTION("IF(ISBLANK(B2759),"""",IF(ISDATE(B2759),TEXT(B2759,""M""),""""))"),"")</f>
        <v/>
      </c>
      <c r="M2759" s="29" t="str">
        <f>IFERROR(__xludf.DUMMYFUNCTION("IF(L2759="""","""",QUERY({'Dashboard-Dados'!$Y$2:$AA$13},""Select Col2 Where Col1=""&amp;L2759))"),"")</f>
        <v/>
      </c>
      <c r="N2759" s="29" t="str">
        <f>IFERROR(__xludf.DUMMYFUNCTION("IF(ISBLANK(B2759),"""",IF(ISDATE(B2759),TEXT(B2759,""yyyy""),""""))"),"")</f>
        <v/>
      </c>
    </row>
    <row r="2760">
      <c r="B2760" s="89"/>
      <c r="C2760" s="86"/>
      <c r="D2760" s="71"/>
      <c r="H2760" s="90"/>
      <c r="J2760" s="53" t="str">
        <f>IFERROR(__xludf.DUMMYFUNCTION("IF(ISBLANK(B2760),"""",IF(ISDATE(B2760),""X"",""""))"),"")</f>
        <v/>
      </c>
      <c r="K2760" s="40" t="str">
        <f>IFERROR(__xludf.DUMMYFUNCTION("IF(ISBLANK(B2760),"""",IF(ISDATE(B2760),H2760,""""))"),"")</f>
        <v/>
      </c>
      <c r="L2760" s="40" t="str">
        <f>IFERROR(__xludf.DUMMYFUNCTION("IF(ISBLANK(B2760),"""",IF(ISDATE(B2760),TEXT(B2760,""M""),""""))"),"")</f>
        <v/>
      </c>
      <c r="M2760" s="29" t="str">
        <f>IFERROR(__xludf.DUMMYFUNCTION("IF(L2760="""","""",QUERY({'Dashboard-Dados'!$Y$2:$AA$13},""Select Col2 Where Col1=""&amp;L2760))"),"")</f>
        <v/>
      </c>
      <c r="N2760" s="29" t="str">
        <f>IFERROR(__xludf.DUMMYFUNCTION("IF(ISBLANK(B2760),"""",IF(ISDATE(B2760),TEXT(B2760,""yyyy""),""""))"),"")</f>
        <v/>
      </c>
    </row>
    <row r="2761">
      <c r="B2761" s="87"/>
      <c r="C2761" s="85"/>
      <c r="D2761" s="76"/>
      <c r="H2761" s="88"/>
      <c r="J2761" s="53" t="str">
        <f>IFERROR(__xludf.DUMMYFUNCTION("IF(ISBLANK(B2761),"""",IF(ISDATE(B2761),""X"",""""))"),"")</f>
        <v/>
      </c>
      <c r="K2761" s="40" t="str">
        <f>IFERROR(__xludf.DUMMYFUNCTION("IF(ISBLANK(B2761),"""",IF(ISDATE(B2761),H2761,""""))"),"")</f>
        <v/>
      </c>
      <c r="L2761" s="40" t="str">
        <f>IFERROR(__xludf.DUMMYFUNCTION("IF(ISBLANK(B2761),"""",IF(ISDATE(B2761),TEXT(B2761,""M""),""""))"),"")</f>
        <v/>
      </c>
      <c r="M2761" s="29" t="str">
        <f>IFERROR(__xludf.DUMMYFUNCTION("IF(L2761="""","""",QUERY({'Dashboard-Dados'!$Y$2:$AA$13},""Select Col2 Where Col1=""&amp;L2761))"),"")</f>
        <v/>
      </c>
      <c r="N2761" s="29" t="str">
        <f>IFERROR(__xludf.DUMMYFUNCTION("IF(ISBLANK(B2761),"""",IF(ISDATE(B2761),TEXT(B2761,""yyyy""),""""))"),"")</f>
        <v/>
      </c>
    </row>
    <row r="2762">
      <c r="B2762" s="89"/>
      <c r="C2762" s="86"/>
      <c r="D2762" s="71"/>
      <c r="H2762" s="90"/>
      <c r="J2762" s="53" t="str">
        <f>IFERROR(__xludf.DUMMYFUNCTION("IF(ISBLANK(B2762),"""",IF(ISDATE(B2762),""X"",""""))"),"")</f>
        <v/>
      </c>
      <c r="K2762" s="40" t="str">
        <f>IFERROR(__xludf.DUMMYFUNCTION("IF(ISBLANK(B2762),"""",IF(ISDATE(B2762),H2762,""""))"),"")</f>
        <v/>
      </c>
      <c r="L2762" s="40" t="str">
        <f>IFERROR(__xludf.DUMMYFUNCTION("IF(ISBLANK(B2762),"""",IF(ISDATE(B2762),TEXT(B2762,""M""),""""))"),"")</f>
        <v/>
      </c>
      <c r="M2762" s="29" t="str">
        <f>IFERROR(__xludf.DUMMYFUNCTION("IF(L2762="""","""",QUERY({'Dashboard-Dados'!$Y$2:$AA$13},""Select Col2 Where Col1=""&amp;L2762))"),"")</f>
        <v/>
      </c>
      <c r="N2762" s="29" t="str">
        <f>IFERROR(__xludf.DUMMYFUNCTION("IF(ISBLANK(B2762),"""",IF(ISDATE(B2762),TEXT(B2762,""yyyy""),""""))"),"")</f>
        <v/>
      </c>
    </row>
    <row r="2763">
      <c r="B2763" s="87"/>
      <c r="C2763" s="85"/>
      <c r="D2763" s="76"/>
      <c r="H2763" s="88"/>
      <c r="J2763" s="53" t="str">
        <f>IFERROR(__xludf.DUMMYFUNCTION("IF(ISBLANK(B2763),"""",IF(ISDATE(B2763),""X"",""""))"),"")</f>
        <v/>
      </c>
      <c r="K2763" s="40" t="str">
        <f>IFERROR(__xludf.DUMMYFUNCTION("IF(ISBLANK(B2763),"""",IF(ISDATE(B2763),H2763,""""))"),"")</f>
        <v/>
      </c>
      <c r="L2763" s="40" t="str">
        <f>IFERROR(__xludf.DUMMYFUNCTION("IF(ISBLANK(B2763),"""",IF(ISDATE(B2763),TEXT(B2763,""M""),""""))"),"")</f>
        <v/>
      </c>
      <c r="M2763" s="29" t="str">
        <f>IFERROR(__xludf.DUMMYFUNCTION("IF(L2763="""","""",QUERY({'Dashboard-Dados'!$Y$2:$AA$13},""Select Col2 Where Col1=""&amp;L2763))"),"")</f>
        <v/>
      </c>
      <c r="N2763" s="29" t="str">
        <f>IFERROR(__xludf.DUMMYFUNCTION("IF(ISBLANK(B2763),"""",IF(ISDATE(B2763),TEXT(B2763,""yyyy""),""""))"),"")</f>
        <v/>
      </c>
    </row>
    <row r="2764">
      <c r="B2764" s="89"/>
      <c r="C2764" s="86"/>
      <c r="D2764" s="71"/>
      <c r="H2764" s="90"/>
      <c r="J2764" s="53" t="str">
        <f>IFERROR(__xludf.DUMMYFUNCTION("IF(ISBLANK(B2764),"""",IF(ISDATE(B2764),""X"",""""))"),"")</f>
        <v/>
      </c>
      <c r="K2764" s="40" t="str">
        <f>IFERROR(__xludf.DUMMYFUNCTION("IF(ISBLANK(B2764),"""",IF(ISDATE(B2764),H2764,""""))"),"")</f>
        <v/>
      </c>
      <c r="L2764" s="40" t="str">
        <f>IFERROR(__xludf.DUMMYFUNCTION("IF(ISBLANK(B2764),"""",IF(ISDATE(B2764),TEXT(B2764,""M""),""""))"),"")</f>
        <v/>
      </c>
      <c r="M2764" s="29" t="str">
        <f>IFERROR(__xludf.DUMMYFUNCTION("IF(L2764="""","""",QUERY({'Dashboard-Dados'!$Y$2:$AA$13},""Select Col2 Where Col1=""&amp;L2764))"),"")</f>
        <v/>
      </c>
      <c r="N2764" s="29" t="str">
        <f>IFERROR(__xludf.DUMMYFUNCTION("IF(ISBLANK(B2764),"""",IF(ISDATE(B2764),TEXT(B2764,""yyyy""),""""))"),"")</f>
        <v/>
      </c>
    </row>
    <row r="2765">
      <c r="B2765" s="87"/>
      <c r="C2765" s="85"/>
      <c r="D2765" s="76"/>
      <c r="H2765" s="88"/>
      <c r="J2765" s="53" t="str">
        <f>IFERROR(__xludf.DUMMYFUNCTION("IF(ISBLANK(B2765),"""",IF(ISDATE(B2765),""X"",""""))"),"")</f>
        <v/>
      </c>
      <c r="K2765" s="40" t="str">
        <f>IFERROR(__xludf.DUMMYFUNCTION("IF(ISBLANK(B2765),"""",IF(ISDATE(B2765),H2765,""""))"),"")</f>
        <v/>
      </c>
      <c r="L2765" s="40" t="str">
        <f>IFERROR(__xludf.DUMMYFUNCTION("IF(ISBLANK(B2765),"""",IF(ISDATE(B2765),TEXT(B2765,""M""),""""))"),"")</f>
        <v/>
      </c>
      <c r="M2765" s="29" t="str">
        <f>IFERROR(__xludf.DUMMYFUNCTION("IF(L2765="""","""",QUERY({'Dashboard-Dados'!$Y$2:$AA$13},""Select Col2 Where Col1=""&amp;L2765))"),"")</f>
        <v/>
      </c>
      <c r="N2765" s="29" t="str">
        <f>IFERROR(__xludf.DUMMYFUNCTION("IF(ISBLANK(B2765),"""",IF(ISDATE(B2765),TEXT(B2765,""yyyy""),""""))"),"")</f>
        <v/>
      </c>
    </row>
    <row r="2766">
      <c r="B2766" s="89"/>
      <c r="C2766" s="86"/>
      <c r="D2766" s="71"/>
      <c r="H2766" s="90"/>
      <c r="J2766" s="53" t="str">
        <f>IFERROR(__xludf.DUMMYFUNCTION("IF(ISBLANK(B2766),"""",IF(ISDATE(B2766),""X"",""""))"),"")</f>
        <v/>
      </c>
      <c r="K2766" s="40" t="str">
        <f>IFERROR(__xludf.DUMMYFUNCTION("IF(ISBLANK(B2766),"""",IF(ISDATE(B2766),H2766,""""))"),"")</f>
        <v/>
      </c>
      <c r="L2766" s="40" t="str">
        <f>IFERROR(__xludf.DUMMYFUNCTION("IF(ISBLANK(B2766),"""",IF(ISDATE(B2766),TEXT(B2766,""M""),""""))"),"")</f>
        <v/>
      </c>
      <c r="M2766" s="29" t="str">
        <f>IFERROR(__xludf.DUMMYFUNCTION("IF(L2766="""","""",QUERY({'Dashboard-Dados'!$Y$2:$AA$13},""Select Col2 Where Col1=""&amp;L2766))"),"")</f>
        <v/>
      </c>
      <c r="N2766" s="29" t="str">
        <f>IFERROR(__xludf.DUMMYFUNCTION("IF(ISBLANK(B2766),"""",IF(ISDATE(B2766),TEXT(B2766,""yyyy""),""""))"),"")</f>
        <v/>
      </c>
    </row>
    <row r="2767">
      <c r="B2767" s="87"/>
      <c r="C2767" s="85"/>
      <c r="D2767" s="76"/>
      <c r="H2767" s="88"/>
      <c r="J2767" s="53" t="str">
        <f>IFERROR(__xludf.DUMMYFUNCTION("IF(ISBLANK(B2767),"""",IF(ISDATE(B2767),""X"",""""))"),"")</f>
        <v/>
      </c>
      <c r="K2767" s="40" t="str">
        <f>IFERROR(__xludf.DUMMYFUNCTION("IF(ISBLANK(B2767),"""",IF(ISDATE(B2767),H2767,""""))"),"")</f>
        <v/>
      </c>
      <c r="L2767" s="40" t="str">
        <f>IFERROR(__xludf.DUMMYFUNCTION("IF(ISBLANK(B2767),"""",IF(ISDATE(B2767),TEXT(B2767,""M""),""""))"),"")</f>
        <v/>
      </c>
      <c r="M2767" s="29" t="str">
        <f>IFERROR(__xludf.DUMMYFUNCTION("IF(L2767="""","""",QUERY({'Dashboard-Dados'!$Y$2:$AA$13},""Select Col2 Where Col1=""&amp;L2767))"),"")</f>
        <v/>
      </c>
      <c r="N2767" s="29" t="str">
        <f>IFERROR(__xludf.DUMMYFUNCTION("IF(ISBLANK(B2767),"""",IF(ISDATE(B2767),TEXT(B2767,""yyyy""),""""))"),"")</f>
        <v/>
      </c>
    </row>
    <row r="2768">
      <c r="B2768" s="89"/>
      <c r="C2768" s="86"/>
      <c r="D2768" s="71"/>
      <c r="H2768" s="90"/>
      <c r="J2768" s="53" t="str">
        <f>IFERROR(__xludf.DUMMYFUNCTION("IF(ISBLANK(B2768),"""",IF(ISDATE(B2768),""X"",""""))"),"")</f>
        <v/>
      </c>
      <c r="K2768" s="40" t="str">
        <f>IFERROR(__xludf.DUMMYFUNCTION("IF(ISBLANK(B2768),"""",IF(ISDATE(B2768),H2768,""""))"),"")</f>
        <v/>
      </c>
      <c r="L2768" s="40" t="str">
        <f>IFERROR(__xludf.DUMMYFUNCTION("IF(ISBLANK(B2768),"""",IF(ISDATE(B2768),TEXT(B2768,""M""),""""))"),"")</f>
        <v/>
      </c>
      <c r="M2768" s="29" t="str">
        <f>IFERROR(__xludf.DUMMYFUNCTION("IF(L2768="""","""",QUERY({'Dashboard-Dados'!$Y$2:$AA$13},""Select Col2 Where Col1=""&amp;L2768))"),"")</f>
        <v/>
      </c>
      <c r="N2768" s="29" t="str">
        <f>IFERROR(__xludf.DUMMYFUNCTION("IF(ISBLANK(B2768),"""",IF(ISDATE(B2768),TEXT(B2768,""yyyy""),""""))"),"")</f>
        <v/>
      </c>
    </row>
    <row r="2769">
      <c r="B2769" s="87"/>
      <c r="C2769" s="85"/>
      <c r="D2769" s="76"/>
      <c r="H2769" s="88"/>
      <c r="J2769" s="53" t="str">
        <f>IFERROR(__xludf.DUMMYFUNCTION("IF(ISBLANK(B2769),"""",IF(ISDATE(B2769),""X"",""""))"),"")</f>
        <v/>
      </c>
      <c r="K2769" s="40" t="str">
        <f>IFERROR(__xludf.DUMMYFUNCTION("IF(ISBLANK(B2769),"""",IF(ISDATE(B2769),H2769,""""))"),"")</f>
        <v/>
      </c>
      <c r="L2769" s="40" t="str">
        <f>IFERROR(__xludf.DUMMYFUNCTION("IF(ISBLANK(B2769),"""",IF(ISDATE(B2769),TEXT(B2769,""M""),""""))"),"")</f>
        <v/>
      </c>
      <c r="M2769" s="29" t="str">
        <f>IFERROR(__xludf.DUMMYFUNCTION("IF(L2769="""","""",QUERY({'Dashboard-Dados'!$Y$2:$AA$13},""Select Col2 Where Col1=""&amp;L2769))"),"")</f>
        <v/>
      </c>
      <c r="N2769" s="29" t="str">
        <f>IFERROR(__xludf.DUMMYFUNCTION("IF(ISBLANK(B2769),"""",IF(ISDATE(B2769),TEXT(B2769,""yyyy""),""""))"),"")</f>
        <v/>
      </c>
    </row>
    <row r="2770">
      <c r="B2770" s="89"/>
      <c r="C2770" s="86"/>
      <c r="D2770" s="71"/>
      <c r="H2770" s="90"/>
      <c r="J2770" s="53" t="str">
        <f>IFERROR(__xludf.DUMMYFUNCTION("IF(ISBLANK(B2770),"""",IF(ISDATE(B2770),""X"",""""))"),"")</f>
        <v/>
      </c>
      <c r="K2770" s="40" t="str">
        <f>IFERROR(__xludf.DUMMYFUNCTION("IF(ISBLANK(B2770),"""",IF(ISDATE(B2770),H2770,""""))"),"")</f>
        <v/>
      </c>
      <c r="L2770" s="40" t="str">
        <f>IFERROR(__xludf.DUMMYFUNCTION("IF(ISBLANK(B2770),"""",IF(ISDATE(B2770),TEXT(B2770,""M""),""""))"),"")</f>
        <v/>
      </c>
      <c r="M2770" s="29" t="str">
        <f>IFERROR(__xludf.DUMMYFUNCTION("IF(L2770="""","""",QUERY({'Dashboard-Dados'!$Y$2:$AA$13},""Select Col2 Where Col1=""&amp;L2770))"),"")</f>
        <v/>
      </c>
      <c r="N2770" s="29" t="str">
        <f>IFERROR(__xludf.DUMMYFUNCTION("IF(ISBLANK(B2770),"""",IF(ISDATE(B2770),TEXT(B2770,""yyyy""),""""))"),"")</f>
        <v/>
      </c>
    </row>
    <row r="2771">
      <c r="B2771" s="87"/>
      <c r="C2771" s="85"/>
      <c r="D2771" s="76"/>
      <c r="H2771" s="88"/>
      <c r="J2771" s="53" t="str">
        <f>IFERROR(__xludf.DUMMYFUNCTION("IF(ISBLANK(B2771),"""",IF(ISDATE(B2771),""X"",""""))"),"")</f>
        <v/>
      </c>
      <c r="K2771" s="40" t="str">
        <f>IFERROR(__xludf.DUMMYFUNCTION("IF(ISBLANK(B2771),"""",IF(ISDATE(B2771),H2771,""""))"),"")</f>
        <v/>
      </c>
      <c r="L2771" s="40" t="str">
        <f>IFERROR(__xludf.DUMMYFUNCTION("IF(ISBLANK(B2771),"""",IF(ISDATE(B2771),TEXT(B2771,""M""),""""))"),"")</f>
        <v/>
      </c>
      <c r="M2771" s="29" t="str">
        <f>IFERROR(__xludf.DUMMYFUNCTION("IF(L2771="""","""",QUERY({'Dashboard-Dados'!$Y$2:$AA$13},""Select Col2 Where Col1=""&amp;L2771))"),"")</f>
        <v/>
      </c>
      <c r="N2771" s="29" t="str">
        <f>IFERROR(__xludf.DUMMYFUNCTION("IF(ISBLANK(B2771),"""",IF(ISDATE(B2771),TEXT(B2771,""yyyy""),""""))"),"")</f>
        <v/>
      </c>
    </row>
    <row r="2772">
      <c r="B2772" s="89"/>
      <c r="C2772" s="86"/>
      <c r="D2772" s="71"/>
      <c r="H2772" s="90"/>
      <c r="J2772" s="53" t="str">
        <f>IFERROR(__xludf.DUMMYFUNCTION("IF(ISBLANK(B2772),"""",IF(ISDATE(B2772),""X"",""""))"),"")</f>
        <v/>
      </c>
      <c r="K2772" s="40" t="str">
        <f>IFERROR(__xludf.DUMMYFUNCTION("IF(ISBLANK(B2772),"""",IF(ISDATE(B2772),H2772,""""))"),"")</f>
        <v/>
      </c>
      <c r="L2772" s="40" t="str">
        <f>IFERROR(__xludf.DUMMYFUNCTION("IF(ISBLANK(B2772),"""",IF(ISDATE(B2772),TEXT(B2772,""M""),""""))"),"")</f>
        <v/>
      </c>
      <c r="M2772" s="29" t="str">
        <f>IFERROR(__xludf.DUMMYFUNCTION("IF(L2772="""","""",QUERY({'Dashboard-Dados'!$Y$2:$AA$13},""Select Col2 Where Col1=""&amp;L2772))"),"")</f>
        <v/>
      </c>
      <c r="N2772" s="29" t="str">
        <f>IFERROR(__xludf.DUMMYFUNCTION("IF(ISBLANK(B2772),"""",IF(ISDATE(B2772),TEXT(B2772,""yyyy""),""""))"),"")</f>
        <v/>
      </c>
    </row>
    <row r="2773">
      <c r="B2773" s="87"/>
      <c r="C2773" s="85"/>
      <c r="D2773" s="76"/>
      <c r="H2773" s="88"/>
      <c r="J2773" s="53" t="str">
        <f>IFERROR(__xludf.DUMMYFUNCTION("IF(ISBLANK(B2773),"""",IF(ISDATE(B2773),""X"",""""))"),"")</f>
        <v/>
      </c>
      <c r="K2773" s="40" t="str">
        <f>IFERROR(__xludf.DUMMYFUNCTION("IF(ISBLANK(B2773),"""",IF(ISDATE(B2773),H2773,""""))"),"")</f>
        <v/>
      </c>
      <c r="L2773" s="40" t="str">
        <f>IFERROR(__xludf.DUMMYFUNCTION("IF(ISBLANK(B2773),"""",IF(ISDATE(B2773),TEXT(B2773,""M""),""""))"),"")</f>
        <v/>
      </c>
      <c r="M2773" s="29" t="str">
        <f>IFERROR(__xludf.DUMMYFUNCTION("IF(L2773="""","""",QUERY({'Dashboard-Dados'!$Y$2:$AA$13},""Select Col2 Where Col1=""&amp;L2773))"),"")</f>
        <v/>
      </c>
      <c r="N2773" s="29" t="str">
        <f>IFERROR(__xludf.DUMMYFUNCTION("IF(ISBLANK(B2773),"""",IF(ISDATE(B2773),TEXT(B2773,""yyyy""),""""))"),"")</f>
        <v/>
      </c>
    </row>
    <row r="2774">
      <c r="B2774" s="89"/>
      <c r="C2774" s="86"/>
      <c r="D2774" s="71"/>
      <c r="H2774" s="90"/>
      <c r="J2774" s="53" t="str">
        <f>IFERROR(__xludf.DUMMYFUNCTION("IF(ISBLANK(B2774),"""",IF(ISDATE(B2774),""X"",""""))"),"")</f>
        <v/>
      </c>
      <c r="K2774" s="40" t="str">
        <f>IFERROR(__xludf.DUMMYFUNCTION("IF(ISBLANK(B2774),"""",IF(ISDATE(B2774),H2774,""""))"),"")</f>
        <v/>
      </c>
      <c r="L2774" s="40" t="str">
        <f>IFERROR(__xludf.DUMMYFUNCTION("IF(ISBLANK(B2774),"""",IF(ISDATE(B2774),TEXT(B2774,""M""),""""))"),"")</f>
        <v/>
      </c>
      <c r="M2774" s="29" t="str">
        <f>IFERROR(__xludf.DUMMYFUNCTION("IF(L2774="""","""",QUERY({'Dashboard-Dados'!$Y$2:$AA$13},""Select Col2 Where Col1=""&amp;L2774))"),"")</f>
        <v/>
      </c>
      <c r="N2774" s="29" t="str">
        <f>IFERROR(__xludf.DUMMYFUNCTION("IF(ISBLANK(B2774),"""",IF(ISDATE(B2774),TEXT(B2774,""yyyy""),""""))"),"")</f>
        <v/>
      </c>
    </row>
    <row r="2775">
      <c r="B2775" s="87"/>
      <c r="C2775" s="85"/>
      <c r="D2775" s="76"/>
      <c r="H2775" s="88"/>
      <c r="J2775" s="53" t="str">
        <f>IFERROR(__xludf.DUMMYFUNCTION("IF(ISBLANK(B2775),"""",IF(ISDATE(B2775),""X"",""""))"),"")</f>
        <v/>
      </c>
      <c r="K2775" s="40" t="str">
        <f>IFERROR(__xludf.DUMMYFUNCTION("IF(ISBLANK(B2775),"""",IF(ISDATE(B2775),H2775,""""))"),"")</f>
        <v/>
      </c>
      <c r="L2775" s="40" t="str">
        <f>IFERROR(__xludf.DUMMYFUNCTION("IF(ISBLANK(B2775),"""",IF(ISDATE(B2775),TEXT(B2775,""M""),""""))"),"")</f>
        <v/>
      </c>
      <c r="M2775" s="29" t="str">
        <f>IFERROR(__xludf.DUMMYFUNCTION("IF(L2775="""","""",QUERY({'Dashboard-Dados'!$Y$2:$AA$13},""Select Col2 Where Col1=""&amp;L2775))"),"")</f>
        <v/>
      </c>
      <c r="N2775" s="29" t="str">
        <f>IFERROR(__xludf.DUMMYFUNCTION("IF(ISBLANK(B2775),"""",IF(ISDATE(B2775),TEXT(B2775,""yyyy""),""""))"),"")</f>
        <v/>
      </c>
    </row>
    <row r="2776">
      <c r="B2776" s="89"/>
      <c r="C2776" s="86"/>
      <c r="D2776" s="71"/>
      <c r="H2776" s="90"/>
      <c r="J2776" s="53" t="str">
        <f>IFERROR(__xludf.DUMMYFUNCTION("IF(ISBLANK(B2776),"""",IF(ISDATE(B2776),""X"",""""))"),"")</f>
        <v/>
      </c>
      <c r="K2776" s="40" t="str">
        <f>IFERROR(__xludf.DUMMYFUNCTION("IF(ISBLANK(B2776),"""",IF(ISDATE(B2776),H2776,""""))"),"")</f>
        <v/>
      </c>
      <c r="L2776" s="40" t="str">
        <f>IFERROR(__xludf.DUMMYFUNCTION("IF(ISBLANK(B2776),"""",IF(ISDATE(B2776),TEXT(B2776,""M""),""""))"),"")</f>
        <v/>
      </c>
      <c r="M2776" s="29" t="str">
        <f>IFERROR(__xludf.DUMMYFUNCTION("IF(L2776="""","""",QUERY({'Dashboard-Dados'!$Y$2:$AA$13},""Select Col2 Where Col1=""&amp;L2776))"),"")</f>
        <v/>
      </c>
      <c r="N2776" s="29" t="str">
        <f>IFERROR(__xludf.DUMMYFUNCTION("IF(ISBLANK(B2776),"""",IF(ISDATE(B2776),TEXT(B2776,""yyyy""),""""))"),"")</f>
        <v/>
      </c>
    </row>
    <row r="2777">
      <c r="B2777" s="87"/>
      <c r="C2777" s="85"/>
      <c r="D2777" s="76"/>
      <c r="H2777" s="88"/>
      <c r="J2777" s="53" t="str">
        <f>IFERROR(__xludf.DUMMYFUNCTION("IF(ISBLANK(B2777),"""",IF(ISDATE(B2777),""X"",""""))"),"")</f>
        <v/>
      </c>
      <c r="K2777" s="40" t="str">
        <f>IFERROR(__xludf.DUMMYFUNCTION("IF(ISBLANK(B2777),"""",IF(ISDATE(B2777),H2777,""""))"),"")</f>
        <v/>
      </c>
      <c r="L2777" s="40" t="str">
        <f>IFERROR(__xludf.DUMMYFUNCTION("IF(ISBLANK(B2777),"""",IF(ISDATE(B2777),TEXT(B2777,""M""),""""))"),"")</f>
        <v/>
      </c>
      <c r="M2777" s="29" t="str">
        <f>IFERROR(__xludf.DUMMYFUNCTION("IF(L2777="""","""",QUERY({'Dashboard-Dados'!$Y$2:$AA$13},""Select Col2 Where Col1=""&amp;L2777))"),"")</f>
        <v/>
      </c>
      <c r="N2777" s="29" t="str">
        <f>IFERROR(__xludf.DUMMYFUNCTION("IF(ISBLANK(B2777),"""",IF(ISDATE(B2777),TEXT(B2777,""yyyy""),""""))"),"")</f>
        <v/>
      </c>
    </row>
    <row r="2778">
      <c r="B2778" s="89"/>
      <c r="C2778" s="86"/>
      <c r="D2778" s="71"/>
      <c r="H2778" s="90"/>
      <c r="J2778" s="53" t="str">
        <f>IFERROR(__xludf.DUMMYFUNCTION("IF(ISBLANK(B2778),"""",IF(ISDATE(B2778),""X"",""""))"),"")</f>
        <v/>
      </c>
      <c r="K2778" s="40" t="str">
        <f>IFERROR(__xludf.DUMMYFUNCTION("IF(ISBLANK(B2778),"""",IF(ISDATE(B2778),H2778,""""))"),"")</f>
        <v/>
      </c>
      <c r="L2778" s="40" t="str">
        <f>IFERROR(__xludf.DUMMYFUNCTION("IF(ISBLANK(B2778),"""",IF(ISDATE(B2778),TEXT(B2778,""M""),""""))"),"")</f>
        <v/>
      </c>
      <c r="M2778" s="29" t="str">
        <f>IFERROR(__xludf.DUMMYFUNCTION("IF(L2778="""","""",QUERY({'Dashboard-Dados'!$Y$2:$AA$13},""Select Col2 Where Col1=""&amp;L2778))"),"")</f>
        <v/>
      </c>
      <c r="N2778" s="29" t="str">
        <f>IFERROR(__xludf.DUMMYFUNCTION("IF(ISBLANK(B2778),"""",IF(ISDATE(B2778),TEXT(B2778,""yyyy""),""""))"),"")</f>
        <v/>
      </c>
    </row>
    <row r="2779">
      <c r="B2779" s="87"/>
      <c r="C2779" s="85"/>
      <c r="D2779" s="76"/>
      <c r="H2779" s="88"/>
      <c r="J2779" s="53" t="str">
        <f>IFERROR(__xludf.DUMMYFUNCTION("IF(ISBLANK(B2779),"""",IF(ISDATE(B2779),""X"",""""))"),"")</f>
        <v/>
      </c>
      <c r="K2779" s="40" t="str">
        <f>IFERROR(__xludf.DUMMYFUNCTION("IF(ISBLANK(B2779),"""",IF(ISDATE(B2779),H2779,""""))"),"")</f>
        <v/>
      </c>
      <c r="L2779" s="40" t="str">
        <f>IFERROR(__xludf.DUMMYFUNCTION("IF(ISBLANK(B2779),"""",IF(ISDATE(B2779),TEXT(B2779,""M""),""""))"),"")</f>
        <v/>
      </c>
      <c r="M2779" s="29" t="str">
        <f>IFERROR(__xludf.DUMMYFUNCTION("IF(L2779="""","""",QUERY({'Dashboard-Dados'!$Y$2:$AA$13},""Select Col2 Where Col1=""&amp;L2779))"),"")</f>
        <v/>
      </c>
      <c r="N2779" s="29" t="str">
        <f>IFERROR(__xludf.DUMMYFUNCTION("IF(ISBLANK(B2779),"""",IF(ISDATE(B2779),TEXT(B2779,""yyyy""),""""))"),"")</f>
        <v/>
      </c>
    </row>
    <row r="2780">
      <c r="B2780" s="89"/>
      <c r="C2780" s="86"/>
      <c r="D2780" s="71"/>
      <c r="H2780" s="90"/>
      <c r="J2780" s="53" t="str">
        <f>IFERROR(__xludf.DUMMYFUNCTION("IF(ISBLANK(B2780),"""",IF(ISDATE(B2780),""X"",""""))"),"")</f>
        <v/>
      </c>
      <c r="K2780" s="40" t="str">
        <f>IFERROR(__xludf.DUMMYFUNCTION("IF(ISBLANK(B2780),"""",IF(ISDATE(B2780),H2780,""""))"),"")</f>
        <v/>
      </c>
      <c r="L2780" s="40" t="str">
        <f>IFERROR(__xludf.DUMMYFUNCTION("IF(ISBLANK(B2780),"""",IF(ISDATE(B2780),TEXT(B2780,""M""),""""))"),"")</f>
        <v/>
      </c>
      <c r="M2780" s="29" t="str">
        <f>IFERROR(__xludf.DUMMYFUNCTION("IF(L2780="""","""",QUERY({'Dashboard-Dados'!$Y$2:$AA$13},""Select Col2 Where Col1=""&amp;L2780))"),"")</f>
        <v/>
      </c>
      <c r="N2780" s="29" t="str">
        <f>IFERROR(__xludf.DUMMYFUNCTION("IF(ISBLANK(B2780),"""",IF(ISDATE(B2780),TEXT(B2780,""yyyy""),""""))"),"")</f>
        <v/>
      </c>
    </row>
    <row r="2781">
      <c r="B2781" s="87"/>
      <c r="C2781" s="85"/>
      <c r="D2781" s="76"/>
      <c r="H2781" s="88"/>
      <c r="J2781" s="53" t="str">
        <f>IFERROR(__xludf.DUMMYFUNCTION("IF(ISBLANK(B2781),"""",IF(ISDATE(B2781),""X"",""""))"),"")</f>
        <v/>
      </c>
      <c r="K2781" s="40" t="str">
        <f>IFERROR(__xludf.DUMMYFUNCTION("IF(ISBLANK(B2781),"""",IF(ISDATE(B2781),H2781,""""))"),"")</f>
        <v/>
      </c>
      <c r="L2781" s="40" t="str">
        <f>IFERROR(__xludf.DUMMYFUNCTION("IF(ISBLANK(B2781),"""",IF(ISDATE(B2781),TEXT(B2781,""M""),""""))"),"")</f>
        <v/>
      </c>
      <c r="M2781" s="29" t="str">
        <f>IFERROR(__xludf.DUMMYFUNCTION("IF(L2781="""","""",QUERY({'Dashboard-Dados'!$Y$2:$AA$13},""Select Col2 Where Col1=""&amp;L2781))"),"")</f>
        <v/>
      </c>
      <c r="N2781" s="29" t="str">
        <f>IFERROR(__xludf.DUMMYFUNCTION("IF(ISBLANK(B2781),"""",IF(ISDATE(B2781),TEXT(B2781,""yyyy""),""""))"),"")</f>
        <v/>
      </c>
    </row>
    <row r="2782">
      <c r="B2782" s="89"/>
      <c r="C2782" s="86"/>
      <c r="D2782" s="71"/>
      <c r="H2782" s="90"/>
      <c r="J2782" s="53" t="str">
        <f>IFERROR(__xludf.DUMMYFUNCTION("IF(ISBLANK(B2782),"""",IF(ISDATE(B2782),""X"",""""))"),"")</f>
        <v/>
      </c>
      <c r="K2782" s="40" t="str">
        <f>IFERROR(__xludf.DUMMYFUNCTION("IF(ISBLANK(B2782),"""",IF(ISDATE(B2782),H2782,""""))"),"")</f>
        <v/>
      </c>
      <c r="L2782" s="40" t="str">
        <f>IFERROR(__xludf.DUMMYFUNCTION("IF(ISBLANK(B2782),"""",IF(ISDATE(B2782),TEXT(B2782,""M""),""""))"),"")</f>
        <v/>
      </c>
      <c r="M2782" s="29" t="str">
        <f>IFERROR(__xludf.DUMMYFUNCTION("IF(L2782="""","""",QUERY({'Dashboard-Dados'!$Y$2:$AA$13},""Select Col2 Where Col1=""&amp;L2782))"),"")</f>
        <v/>
      </c>
      <c r="N2782" s="29" t="str">
        <f>IFERROR(__xludf.DUMMYFUNCTION("IF(ISBLANK(B2782),"""",IF(ISDATE(B2782),TEXT(B2782,""yyyy""),""""))"),"")</f>
        <v/>
      </c>
    </row>
    <row r="2783">
      <c r="B2783" s="87"/>
      <c r="C2783" s="85"/>
      <c r="D2783" s="76"/>
      <c r="H2783" s="88"/>
      <c r="J2783" s="53" t="str">
        <f>IFERROR(__xludf.DUMMYFUNCTION("IF(ISBLANK(B2783),"""",IF(ISDATE(B2783),""X"",""""))"),"")</f>
        <v/>
      </c>
      <c r="K2783" s="40" t="str">
        <f>IFERROR(__xludf.DUMMYFUNCTION("IF(ISBLANK(B2783),"""",IF(ISDATE(B2783),H2783,""""))"),"")</f>
        <v/>
      </c>
      <c r="L2783" s="40" t="str">
        <f>IFERROR(__xludf.DUMMYFUNCTION("IF(ISBLANK(B2783),"""",IF(ISDATE(B2783),TEXT(B2783,""M""),""""))"),"")</f>
        <v/>
      </c>
      <c r="M2783" s="29" t="str">
        <f>IFERROR(__xludf.DUMMYFUNCTION("IF(L2783="""","""",QUERY({'Dashboard-Dados'!$Y$2:$AA$13},""Select Col2 Where Col1=""&amp;L2783))"),"")</f>
        <v/>
      </c>
      <c r="N2783" s="29" t="str">
        <f>IFERROR(__xludf.DUMMYFUNCTION("IF(ISBLANK(B2783),"""",IF(ISDATE(B2783),TEXT(B2783,""yyyy""),""""))"),"")</f>
        <v/>
      </c>
    </row>
    <row r="2784">
      <c r="B2784" s="89"/>
      <c r="C2784" s="86"/>
      <c r="D2784" s="71"/>
      <c r="H2784" s="90"/>
      <c r="J2784" s="53" t="str">
        <f>IFERROR(__xludf.DUMMYFUNCTION("IF(ISBLANK(B2784),"""",IF(ISDATE(B2784),""X"",""""))"),"")</f>
        <v/>
      </c>
      <c r="K2784" s="40" t="str">
        <f>IFERROR(__xludf.DUMMYFUNCTION("IF(ISBLANK(B2784),"""",IF(ISDATE(B2784),H2784,""""))"),"")</f>
        <v/>
      </c>
      <c r="L2784" s="40" t="str">
        <f>IFERROR(__xludf.DUMMYFUNCTION("IF(ISBLANK(B2784),"""",IF(ISDATE(B2784),TEXT(B2784,""M""),""""))"),"")</f>
        <v/>
      </c>
      <c r="M2784" s="29" t="str">
        <f>IFERROR(__xludf.DUMMYFUNCTION("IF(L2784="""","""",QUERY({'Dashboard-Dados'!$Y$2:$AA$13},""Select Col2 Where Col1=""&amp;L2784))"),"")</f>
        <v/>
      </c>
      <c r="N2784" s="29" t="str">
        <f>IFERROR(__xludf.DUMMYFUNCTION("IF(ISBLANK(B2784),"""",IF(ISDATE(B2784),TEXT(B2784,""yyyy""),""""))"),"")</f>
        <v/>
      </c>
    </row>
    <row r="2785">
      <c r="B2785" s="87"/>
      <c r="C2785" s="85"/>
      <c r="D2785" s="76"/>
      <c r="H2785" s="88"/>
      <c r="J2785" s="53" t="str">
        <f>IFERROR(__xludf.DUMMYFUNCTION("IF(ISBLANK(B2785),"""",IF(ISDATE(B2785),""X"",""""))"),"")</f>
        <v/>
      </c>
      <c r="K2785" s="40" t="str">
        <f>IFERROR(__xludf.DUMMYFUNCTION("IF(ISBLANK(B2785),"""",IF(ISDATE(B2785),H2785,""""))"),"")</f>
        <v/>
      </c>
      <c r="L2785" s="40" t="str">
        <f>IFERROR(__xludf.DUMMYFUNCTION("IF(ISBLANK(B2785),"""",IF(ISDATE(B2785),TEXT(B2785,""M""),""""))"),"")</f>
        <v/>
      </c>
      <c r="M2785" s="29" t="str">
        <f>IFERROR(__xludf.DUMMYFUNCTION("IF(L2785="""","""",QUERY({'Dashboard-Dados'!$Y$2:$AA$13},""Select Col2 Where Col1=""&amp;L2785))"),"")</f>
        <v/>
      </c>
      <c r="N2785" s="29" t="str">
        <f>IFERROR(__xludf.DUMMYFUNCTION("IF(ISBLANK(B2785),"""",IF(ISDATE(B2785),TEXT(B2785,""yyyy""),""""))"),"")</f>
        <v/>
      </c>
    </row>
    <row r="2786">
      <c r="B2786" s="89"/>
      <c r="C2786" s="86"/>
      <c r="D2786" s="71"/>
      <c r="H2786" s="90"/>
      <c r="J2786" s="53" t="str">
        <f>IFERROR(__xludf.DUMMYFUNCTION("IF(ISBLANK(B2786),"""",IF(ISDATE(B2786),""X"",""""))"),"")</f>
        <v/>
      </c>
      <c r="K2786" s="40" t="str">
        <f>IFERROR(__xludf.DUMMYFUNCTION("IF(ISBLANK(B2786),"""",IF(ISDATE(B2786),H2786,""""))"),"")</f>
        <v/>
      </c>
      <c r="L2786" s="40" t="str">
        <f>IFERROR(__xludf.DUMMYFUNCTION("IF(ISBLANK(B2786),"""",IF(ISDATE(B2786),TEXT(B2786,""M""),""""))"),"")</f>
        <v/>
      </c>
      <c r="M2786" s="29" t="str">
        <f>IFERROR(__xludf.DUMMYFUNCTION("IF(L2786="""","""",QUERY({'Dashboard-Dados'!$Y$2:$AA$13},""Select Col2 Where Col1=""&amp;L2786))"),"")</f>
        <v/>
      </c>
      <c r="N2786" s="29" t="str">
        <f>IFERROR(__xludf.DUMMYFUNCTION("IF(ISBLANK(B2786),"""",IF(ISDATE(B2786),TEXT(B2786,""yyyy""),""""))"),"")</f>
        <v/>
      </c>
    </row>
    <row r="2787">
      <c r="B2787" s="87"/>
      <c r="C2787" s="85"/>
      <c r="D2787" s="76"/>
      <c r="H2787" s="88"/>
      <c r="J2787" s="53" t="str">
        <f>IFERROR(__xludf.DUMMYFUNCTION("IF(ISBLANK(B2787),"""",IF(ISDATE(B2787),""X"",""""))"),"")</f>
        <v/>
      </c>
      <c r="K2787" s="40" t="str">
        <f>IFERROR(__xludf.DUMMYFUNCTION("IF(ISBLANK(B2787),"""",IF(ISDATE(B2787),H2787,""""))"),"")</f>
        <v/>
      </c>
      <c r="L2787" s="40" t="str">
        <f>IFERROR(__xludf.DUMMYFUNCTION("IF(ISBLANK(B2787),"""",IF(ISDATE(B2787),TEXT(B2787,""M""),""""))"),"")</f>
        <v/>
      </c>
      <c r="M2787" s="29" t="str">
        <f>IFERROR(__xludf.DUMMYFUNCTION("IF(L2787="""","""",QUERY({'Dashboard-Dados'!$Y$2:$AA$13},""Select Col2 Where Col1=""&amp;L2787))"),"")</f>
        <v/>
      </c>
      <c r="N2787" s="29" t="str">
        <f>IFERROR(__xludf.DUMMYFUNCTION("IF(ISBLANK(B2787),"""",IF(ISDATE(B2787),TEXT(B2787,""yyyy""),""""))"),"")</f>
        <v/>
      </c>
    </row>
    <row r="2788">
      <c r="B2788" s="89"/>
      <c r="C2788" s="86"/>
      <c r="D2788" s="71"/>
      <c r="H2788" s="90"/>
      <c r="J2788" s="53" t="str">
        <f>IFERROR(__xludf.DUMMYFUNCTION("IF(ISBLANK(B2788),"""",IF(ISDATE(B2788),""X"",""""))"),"")</f>
        <v/>
      </c>
      <c r="K2788" s="40" t="str">
        <f>IFERROR(__xludf.DUMMYFUNCTION("IF(ISBLANK(B2788),"""",IF(ISDATE(B2788),H2788,""""))"),"")</f>
        <v/>
      </c>
      <c r="L2788" s="40" t="str">
        <f>IFERROR(__xludf.DUMMYFUNCTION("IF(ISBLANK(B2788),"""",IF(ISDATE(B2788),TEXT(B2788,""M""),""""))"),"")</f>
        <v/>
      </c>
      <c r="M2788" s="29" t="str">
        <f>IFERROR(__xludf.DUMMYFUNCTION("IF(L2788="""","""",QUERY({'Dashboard-Dados'!$Y$2:$AA$13},""Select Col2 Where Col1=""&amp;L2788))"),"")</f>
        <v/>
      </c>
      <c r="N2788" s="29" t="str">
        <f>IFERROR(__xludf.DUMMYFUNCTION("IF(ISBLANK(B2788),"""",IF(ISDATE(B2788),TEXT(B2788,""yyyy""),""""))"),"")</f>
        <v/>
      </c>
    </row>
    <row r="2789">
      <c r="B2789" s="87"/>
      <c r="C2789" s="85"/>
      <c r="D2789" s="76"/>
      <c r="H2789" s="88"/>
      <c r="J2789" s="53" t="str">
        <f>IFERROR(__xludf.DUMMYFUNCTION("IF(ISBLANK(B2789),"""",IF(ISDATE(B2789),""X"",""""))"),"")</f>
        <v/>
      </c>
      <c r="K2789" s="40" t="str">
        <f>IFERROR(__xludf.DUMMYFUNCTION("IF(ISBLANK(B2789),"""",IF(ISDATE(B2789),H2789,""""))"),"")</f>
        <v/>
      </c>
      <c r="L2789" s="40" t="str">
        <f>IFERROR(__xludf.DUMMYFUNCTION("IF(ISBLANK(B2789),"""",IF(ISDATE(B2789),TEXT(B2789,""M""),""""))"),"")</f>
        <v/>
      </c>
      <c r="M2789" s="29" t="str">
        <f>IFERROR(__xludf.DUMMYFUNCTION("IF(L2789="""","""",QUERY({'Dashboard-Dados'!$Y$2:$AA$13},""Select Col2 Where Col1=""&amp;L2789))"),"")</f>
        <v/>
      </c>
      <c r="N2789" s="29" t="str">
        <f>IFERROR(__xludf.DUMMYFUNCTION("IF(ISBLANK(B2789),"""",IF(ISDATE(B2789),TEXT(B2789,""yyyy""),""""))"),"")</f>
        <v/>
      </c>
    </row>
    <row r="2790">
      <c r="B2790" s="89"/>
      <c r="C2790" s="86"/>
      <c r="D2790" s="71"/>
      <c r="H2790" s="90"/>
      <c r="J2790" s="53" t="str">
        <f>IFERROR(__xludf.DUMMYFUNCTION("IF(ISBLANK(B2790),"""",IF(ISDATE(B2790),""X"",""""))"),"")</f>
        <v/>
      </c>
      <c r="K2790" s="40" t="str">
        <f>IFERROR(__xludf.DUMMYFUNCTION("IF(ISBLANK(B2790),"""",IF(ISDATE(B2790),H2790,""""))"),"")</f>
        <v/>
      </c>
      <c r="L2790" s="40" t="str">
        <f>IFERROR(__xludf.DUMMYFUNCTION("IF(ISBLANK(B2790),"""",IF(ISDATE(B2790),TEXT(B2790,""M""),""""))"),"")</f>
        <v/>
      </c>
      <c r="M2790" s="29" t="str">
        <f>IFERROR(__xludf.DUMMYFUNCTION("IF(L2790="""","""",QUERY({'Dashboard-Dados'!$Y$2:$AA$13},""Select Col2 Where Col1=""&amp;L2790))"),"")</f>
        <v/>
      </c>
      <c r="N2790" s="29" t="str">
        <f>IFERROR(__xludf.DUMMYFUNCTION("IF(ISBLANK(B2790),"""",IF(ISDATE(B2790),TEXT(B2790,""yyyy""),""""))"),"")</f>
        <v/>
      </c>
    </row>
    <row r="2791">
      <c r="B2791" s="87"/>
      <c r="C2791" s="85"/>
      <c r="D2791" s="76"/>
      <c r="H2791" s="88"/>
      <c r="J2791" s="53" t="str">
        <f>IFERROR(__xludf.DUMMYFUNCTION("IF(ISBLANK(B2791),"""",IF(ISDATE(B2791),""X"",""""))"),"")</f>
        <v/>
      </c>
      <c r="K2791" s="40" t="str">
        <f>IFERROR(__xludf.DUMMYFUNCTION("IF(ISBLANK(B2791),"""",IF(ISDATE(B2791),H2791,""""))"),"")</f>
        <v/>
      </c>
      <c r="L2791" s="40" t="str">
        <f>IFERROR(__xludf.DUMMYFUNCTION("IF(ISBLANK(B2791),"""",IF(ISDATE(B2791),TEXT(B2791,""M""),""""))"),"")</f>
        <v/>
      </c>
      <c r="M2791" s="29" t="str">
        <f>IFERROR(__xludf.DUMMYFUNCTION("IF(L2791="""","""",QUERY({'Dashboard-Dados'!$Y$2:$AA$13},""Select Col2 Where Col1=""&amp;L2791))"),"")</f>
        <v/>
      </c>
      <c r="N2791" s="29" t="str">
        <f>IFERROR(__xludf.DUMMYFUNCTION("IF(ISBLANK(B2791),"""",IF(ISDATE(B2791),TEXT(B2791,""yyyy""),""""))"),"")</f>
        <v/>
      </c>
    </row>
    <row r="2792">
      <c r="B2792" s="89"/>
      <c r="C2792" s="86"/>
      <c r="D2792" s="71"/>
      <c r="H2792" s="90"/>
      <c r="J2792" s="53" t="str">
        <f>IFERROR(__xludf.DUMMYFUNCTION("IF(ISBLANK(B2792),"""",IF(ISDATE(B2792),""X"",""""))"),"")</f>
        <v/>
      </c>
      <c r="K2792" s="40" t="str">
        <f>IFERROR(__xludf.DUMMYFUNCTION("IF(ISBLANK(B2792),"""",IF(ISDATE(B2792),H2792,""""))"),"")</f>
        <v/>
      </c>
      <c r="L2792" s="40" t="str">
        <f>IFERROR(__xludf.DUMMYFUNCTION("IF(ISBLANK(B2792),"""",IF(ISDATE(B2792),TEXT(B2792,""M""),""""))"),"")</f>
        <v/>
      </c>
      <c r="M2792" s="29" t="str">
        <f>IFERROR(__xludf.DUMMYFUNCTION("IF(L2792="""","""",QUERY({'Dashboard-Dados'!$Y$2:$AA$13},""Select Col2 Where Col1=""&amp;L2792))"),"")</f>
        <v/>
      </c>
      <c r="N2792" s="29" t="str">
        <f>IFERROR(__xludf.DUMMYFUNCTION("IF(ISBLANK(B2792),"""",IF(ISDATE(B2792),TEXT(B2792,""yyyy""),""""))"),"")</f>
        <v/>
      </c>
    </row>
    <row r="2793">
      <c r="B2793" s="87"/>
      <c r="C2793" s="85"/>
      <c r="D2793" s="76"/>
      <c r="H2793" s="88"/>
      <c r="J2793" s="53" t="str">
        <f>IFERROR(__xludf.DUMMYFUNCTION("IF(ISBLANK(B2793),"""",IF(ISDATE(B2793),""X"",""""))"),"")</f>
        <v/>
      </c>
      <c r="K2793" s="40" t="str">
        <f>IFERROR(__xludf.DUMMYFUNCTION("IF(ISBLANK(B2793),"""",IF(ISDATE(B2793),H2793,""""))"),"")</f>
        <v/>
      </c>
      <c r="L2793" s="40" t="str">
        <f>IFERROR(__xludf.DUMMYFUNCTION("IF(ISBLANK(B2793),"""",IF(ISDATE(B2793),TEXT(B2793,""M""),""""))"),"")</f>
        <v/>
      </c>
      <c r="M2793" s="29" t="str">
        <f>IFERROR(__xludf.DUMMYFUNCTION("IF(L2793="""","""",QUERY({'Dashboard-Dados'!$Y$2:$AA$13},""Select Col2 Where Col1=""&amp;L2793))"),"")</f>
        <v/>
      </c>
      <c r="N2793" s="29" t="str">
        <f>IFERROR(__xludf.DUMMYFUNCTION("IF(ISBLANK(B2793),"""",IF(ISDATE(B2793),TEXT(B2793,""yyyy""),""""))"),"")</f>
        <v/>
      </c>
    </row>
    <row r="2794">
      <c r="B2794" s="89"/>
      <c r="C2794" s="86"/>
      <c r="D2794" s="71"/>
      <c r="H2794" s="90"/>
      <c r="J2794" s="53" t="str">
        <f>IFERROR(__xludf.DUMMYFUNCTION("IF(ISBLANK(B2794),"""",IF(ISDATE(B2794),""X"",""""))"),"")</f>
        <v/>
      </c>
      <c r="K2794" s="40" t="str">
        <f>IFERROR(__xludf.DUMMYFUNCTION("IF(ISBLANK(B2794),"""",IF(ISDATE(B2794),H2794,""""))"),"")</f>
        <v/>
      </c>
      <c r="L2794" s="40" t="str">
        <f>IFERROR(__xludf.DUMMYFUNCTION("IF(ISBLANK(B2794),"""",IF(ISDATE(B2794),TEXT(B2794,""M""),""""))"),"")</f>
        <v/>
      </c>
      <c r="M2794" s="29" t="str">
        <f>IFERROR(__xludf.DUMMYFUNCTION("IF(L2794="""","""",QUERY({'Dashboard-Dados'!$Y$2:$AA$13},""Select Col2 Where Col1=""&amp;L2794))"),"")</f>
        <v/>
      </c>
      <c r="N2794" s="29" t="str">
        <f>IFERROR(__xludf.DUMMYFUNCTION("IF(ISBLANK(B2794),"""",IF(ISDATE(B2794),TEXT(B2794,""yyyy""),""""))"),"")</f>
        <v/>
      </c>
    </row>
    <row r="2795">
      <c r="B2795" s="87"/>
      <c r="C2795" s="85"/>
      <c r="D2795" s="76"/>
      <c r="H2795" s="88"/>
      <c r="J2795" s="53" t="str">
        <f>IFERROR(__xludf.DUMMYFUNCTION("IF(ISBLANK(B2795),"""",IF(ISDATE(B2795),""X"",""""))"),"")</f>
        <v/>
      </c>
      <c r="K2795" s="40" t="str">
        <f>IFERROR(__xludf.DUMMYFUNCTION("IF(ISBLANK(B2795),"""",IF(ISDATE(B2795),H2795,""""))"),"")</f>
        <v/>
      </c>
      <c r="L2795" s="40" t="str">
        <f>IFERROR(__xludf.DUMMYFUNCTION("IF(ISBLANK(B2795),"""",IF(ISDATE(B2795),TEXT(B2795,""M""),""""))"),"")</f>
        <v/>
      </c>
      <c r="M2795" s="29" t="str">
        <f>IFERROR(__xludf.DUMMYFUNCTION("IF(L2795="""","""",QUERY({'Dashboard-Dados'!$Y$2:$AA$13},""Select Col2 Where Col1=""&amp;L2795))"),"")</f>
        <v/>
      </c>
      <c r="N2795" s="29" t="str">
        <f>IFERROR(__xludf.DUMMYFUNCTION("IF(ISBLANK(B2795),"""",IF(ISDATE(B2795),TEXT(B2795,""yyyy""),""""))"),"")</f>
        <v/>
      </c>
    </row>
    <row r="2796">
      <c r="B2796" s="89"/>
      <c r="C2796" s="86"/>
      <c r="D2796" s="71"/>
      <c r="H2796" s="90"/>
      <c r="J2796" s="53" t="str">
        <f>IFERROR(__xludf.DUMMYFUNCTION("IF(ISBLANK(B2796),"""",IF(ISDATE(B2796),""X"",""""))"),"")</f>
        <v/>
      </c>
      <c r="K2796" s="40" t="str">
        <f>IFERROR(__xludf.DUMMYFUNCTION("IF(ISBLANK(B2796),"""",IF(ISDATE(B2796),H2796,""""))"),"")</f>
        <v/>
      </c>
      <c r="L2796" s="40" t="str">
        <f>IFERROR(__xludf.DUMMYFUNCTION("IF(ISBLANK(B2796),"""",IF(ISDATE(B2796),TEXT(B2796,""M""),""""))"),"")</f>
        <v/>
      </c>
      <c r="M2796" s="29" t="str">
        <f>IFERROR(__xludf.DUMMYFUNCTION("IF(L2796="""","""",QUERY({'Dashboard-Dados'!$Y$2:$AA$13},""Select Col2 Where Col1=""&amp;L2796))"),"")</f>
        <v/>
      </c>
      <c r="N2796" s="29" t="str">
        <f>IFERROR(__xludf.DUMMYFUNCTION("IF(ISBLANK(B2796),"""",IF(ISDATE(B2796),TEXT(B2796,""yyyy""),""""))"),"")</f>
        <v/>
      </c>
    </row>
    <row r="2797">
      <c r="B2797" s="87"/>
      <c r="C2797" s="85"/>
      <c r="D2797" s="76"/>
      <c r="H2797" s="88"/>
      <c r="J2797" s="53" t="str">
        <f>IFERROR(__xludf.DUMMYFUNCTION("IF(ISBLANK(B2797),"""",IF(ISDATE(B2797),""X"",""""))"),"")</f>
        <v/>
      </c>
      <c r="K2797" s="40" t="str">
        <f>IFERROR(__xludf.DUMMYFUNCTION("IF(ISBLANK(B2797),"""",IF(ISDATE(B2797),H2797,""""))"),"")</f>
        <v/>
      </c>
      <c r="L2797" s="40" t="str">
        <f>IFERROR(__xludf.DUMMYFUNCTION("IF(ISBLANK(B2797),"""",IF(ISDATE(B2797),TEXT(B2797,""M""),""""))"),"")</f>
        <v/>
      </c>
      <c r="M2797" s="29" t="str">
        <f>IFERROR(__xludf.DUMMYFUNCTION("IF(L2797="""","""",QUERY({'Dashboard-Dados'!$Y$2:$AA$13},""Select Col2 Where Col1=""&amp;L2797))"),"")</f>
        <v/>
      </c>
      <c r="N2797" s="29" t="str">
        <f>IFERROR(__xludf.DUMMYFUNCTION("IF(ISBLANK(B2797),"""",IF(ISDATE(B2797),TEXT(B2797,""yyyy""),""""))"),"")</f>
        <v/>
      </c>
    </row>
    <row r="2798">
      <c r="B2798" s="89"/>
      <c r="C2798" s="86"/>
      <c r="D2798" s="71"/>
      <c r="H2798" s="90"/>
      <c r="J2798" s="53" t="str">
        <f>IFERROR(__xludf.DUMMYFUNCTION("IF(ISBLANK(B2798),"""",IF(ISDATE(B2798),""X"",""""))"),"")</f>
        <v/>
      </c>
      <c r="K2798" s="40" t="str">
        <f>IFERROR(__xludf.DUMMYFUNCTION("IF(ISBLANK(B2798),"""",IF(ISDATE(B2798),H2798,""""))"),"")</f>
        <v/>
      </c>
      <c r="L2798" s="40" t="str">
        <f>IFERROR(__xludf.DUMMYFUNCTION("IF(ISBLANK(B2798),"""",IF(ISDATE(B2798),TEXT(B2798,""M""),""""))"),"")</f>
        <v/>
      </c>
      <c r="M2798" s="29" t="str">
        <f>IFERROR(__xludf.DUMMYFUNCTION("IF(L2798="""","""",QUERY({'Dashboard-Dados'!$Y$2:$AA$13},""Select Col2 Where Col1=""&amp;L2798))"),"")</f>
        <v/>
      </c>
      <c r="N2798" s="29" t="str">
        <f>IFERROR(__xludf.DUMMYFUNCTION("IF(ISBLANK(B2798),"""",IF(ISDATE(B2798),TEXT(B2798,""yyyy""),""""))"),"")</f>
        <v/>
      </c>
    </row>
    <row r="2799">
      <c r="B2799" s="87"/>
      <c r="C2799" s="85"/>
      <c r="D2799" s="76"/>
      <c r="H2799" s="88"/>
      <c r="J2799" s="53" t="str">
        <f>IFERROR(__xludf.DUMMYFUNCTION("IF(ISBLANK(B2799),"""",IF(ISDATE(B2799),""X"",""""))"),"")</f>
        <v/>
      </c>
      <c r="K2799" s="40" t="str">
        <f>IFERROR(__xludf.DUMMYFUNCTION("IF(ISBLANK(B2799),"""",IF(ISDATE(B2799),H2799,""""))"),"")</f>
        <v/>
      </c>
      <c r="L2799" s="40" t="str">
        <f>IFERROR(__xludf.DUMMYFUNCTION("IF(ISBLANK(B2799),"""",IF(ISDATE(B2799),TEXT(B2799,""M""),""""))"),"")</f>
        <v/>
      </c>
      <c r="M2799" s="29" t="str">
        <f>IFERROR(__xludf.DUMMYFUNCTION("IF(L2799="""","""",QUERY({'Dashboard-Dados'!$Y$2:$AA$13},""Select Col2 Where Col1=""&amp;L2799))"),"")</f>
        <v/>
      </c>
      <c r="N2799" s="29" t="str">
        <f>IFERROR(__xludf.DUMMYFUNCTION("IF(ISBLANK(B2799),"""",IF(ISDATE(B2799),TEXT(B2799,""yyyy""),""""))"),"")</f>
        <v/>
      </c>
    </row>
    <row r="2800">
      <c r="B2800" s="89"/>
      <c r="C2800" s="86"/>
      <c r="D2800" s="71"/>
      <c r="H2800" s="90"/>
      <c r="J2800" s="53" t="str">
        <f>IFERROR(__xludf.DUMMYFUNCTION("IF(ISBLANK(B2800),"""",IF(ISDATE(B2800),""X"",""""))"),"")</f>
        <v/>
      </c>
      <c r="K2800" s="40" t="str">
        <f>IFERROR(__xludf.DUMMYFUNCTION("IF(ISBLANK(B2800),"""",IF(ISDATE(B2800),H2800,""""))"),"")</f>
        <v/>
      </c>
      <c r="L2800" s="40" t="str">
        <f>IFERROR(__xludf.DUMMYFUNCTION("IF(ISBLANK(B2800),"""",IF(ISDATE(B2800),TEXT(B2800,""M""),""""))"),"")</f>
        <v/>
      </c>
      <c r="M2800" s="29" t="str">
        <f>IFERROR(__xludf.DUMMYFUNCTION("IF(L2800="""","""",QUERY({'Dashboard-Dados'!$Y$2:$AA$13},""Select Col2 Where Col1=""&amp;L2800))"),"")</f>
        <v/>
      </c>
      <c r="N2800" s="29" t="str">
        <f>IFERROR(__xludf.DUMMYFUNCTION("IF(ISBLANK(B2800),"""",IF(ISDATE(B2800),TEXT(B2800,""yyyy""),""""))"),"")</f>
        <v/>
      </c>
    </row>
    <row r="2801">
      <c r="B2801" s="87"/>
      <c r="C2801" s="85"/>
      <c r="D2801" s="76"/>
      <c r="H2801" s="88"/>
      <c r="J2801" s="53" t="str">
        <f>IFERROR(__xludf.DUMMYFUNCTION("IF(ISBLANK(B2801),"""",IF(ISDATE(B2801),""X"",""""))"),"")</f>
        <v/>
      </c>
      <c r="K2801" s="40" t="str">
        <f>IFERROR(__xludf.DUMMYFUNCTION("IF(ISBLANK(B2801),"""",IF(ISDATE(B2801),H2801,""""))"),"")</f>
        <v/>
      </c>
      <c r="L2801" s="40" t="str">
        <f>IFERROR(__xludf.DUMMYFUNCTION("IF(ISBLANK(B2801),"""",IF(ISDATE(B2801),TEXT(B2801,""M""),""""))"),"")</f>
        <v/>
      </c>
      <c r="M2801" s="29" t="str">
        <f>IFERROR(__xludf.DUMMYFUNCTION("IF(L2801="""","""",QUERY({'Dashboard-Dados'!$Y$2:$AA$13},""Select Col2 Where Col1=""&amp;L2801))"),"")</f>
        <v/>
      </c>
      <c r="N2801" s="29" t="str">
        <f>IFERROR(__xludf.DUMMYFUNCTION("IF(ISBLANK(B2801),"""",IF(ISDATE(B2801),TEXT(B2801,""yyyy""),""""))"),"")</f>
        <v/>
      </c>
    </row>
    <row r="2802">
      <c r="B2802" s="89"/>
      <c r="C2802" s="86"/>
      <c r="D2802" s="71"/>
      <c r="H2802" s="90"/>
      <c r="J2802" s="53" t="str">
        <f>IFERROR(__xludf.DUMMYFUNCTION("IF(ISBLANK(B2802),"""",IF(ISDATE(B2802),""X"",""""))"),"")</f>
        <v/>
      </c>
      <c r="K2802" s="40" t="str">
        <f>IFERROR(__xludf.DUMMYFUNCTION("IF(ISBLANK(B2802),"""",IF(ISDATE(B2802),H2802,""""))"),"")</f>
        <v/>
      </c>
      <c r="L2802" s="40" t="str">
        <f>IFERROR(__xludf.DUMMYFUNCTION("IF(ISBLANK(B2802),"""",IF(ISDATE(B2802),TEXT(B2802,""M""),""""))"),"")</f>
        <v/>
      </c>
      <c r="M2802" s="29" t="str">
        <f>IFERROR(__xludf.DUMMYFUNCTION("IF(L2802="""","""",QUERY({'Dashboard-Dados'!$Y$2:$AA$13},""Select Col2 Where Col1=""&amp;L2802))"),"")</f>
        <v/>
      </c>
      <c r="N2802" s="29" t="str">
        <f>IFERROR(__xludf.DUMMYFUNCTION("IF(ISBLANK(B2802),"""",IF(ISDATE(B2802),TEXT(B2802,""yyyy""),""""))"),"")</f>
        <v/>
      </c>
    </row>
    <row r="2803">
      <c r="B2803" s="87"/>
      <c r="C2803" s="85"/>
      <c r="D2803" s="76"/>
      <c r="H2803" s="88"/>
      <c r="J2803" s="53" t="str">
        <f>IFERROR(__xludf.DUMMYFUNCTION("IF(ISBLANK(B2803),"""",IF(ISDATE(B2803),""X"",""""))"),"")</f>
        <v/>
      </c>
      <c r="K2803" s="40" t="str">
        <f>IFERROR(__xludf.DUMMYFUNCTION("IF(ISBLANK(B2803),"""",IF(ISDATE(B2803),H2803,""""))"),"")</f>
        <v/>
      </c>
      <c r="L2803" s="40" t="str">
        <f>IFERROR(__xludf.DUMMYFUNCTION("IF(ISBLANK(B2803),"""",IF(ISDATE(B2803),TEXT(B2803,""M""),""""))"),"")</f>
        <v/>
      </c>
      <c r="M2803" s="29" t="str">
        <f>IFERROR(__xludf.DUMMYFUNCTION("IF(L2803="""","""",QUERY({'Dashboard-Dados'!$Y$2:$AA$13},""Select Col2 Where Col1=""&amp;L2803))"),"")</f>
        <v/>
      </c>
      <c r="N2803" s="29" t="str">
        <f>IFERROR(__xludf.DUMMYFUNCTION("IF(ISBLANK(B2803),"""",IF(ISDATE(B2803),TEXT(B2803,""yyyy""),""""))"),"")</f>
        <v/>
      </c>
    </row>
    <row r="2804">
      <c r="B2804" s="89"/>
      <c r="C2804" s="86"/>
      <c r="D2804" s="71"/>
      <c r="H2804" s="90"/>
      <c r="J2804" s="53" t="str">
        <f>IFERROR(__xludf.DUMMYFUNCTION("IF(ISBLANK(B2804),"""",IF(ISDATE(B2804),""X"",""""))"),"")</f>
        <v/>
      </c>
      <c r="K2804" s="40" t="str">
        <f>IFERROR(__xludf.DUMMYFUNCTION("IF(ISBLANK(B2804),"""",IF(ISDATE(B2804),H2804,""""))"),"")</f>
        <v/>
      </c>
      <c r="L2804" s="40" t="str">
        <f>IFERROR(__xludf.DUMMYFUNCTION("IF(ISBLANK(B2804),"""",IF(ISDATE(B2804),TEXT(B2804,""M""),""""))"),"")</f>
        <v/>
      </c>
      <c r="M2804" s="29" t="str">
        <f>IFERROR(__xludf.DUMMYFUNCTION("IF(L2804="""","""",QUERY({'Dashboard-Dados'!$Y$2:$AA$13},""Select Col2 Where Col1=""&amp;L2804))"),"")</f>
        <v/>
      </c>
      <c r="N2804" s="29" t="str">
        <f>IFERROR(__xludf.DUMMYFUNCTION("IF(ISBLANK(B2804),"""",IF(ISDATE(B2804),TEXT(B2804,""yyyy""),""""))"),"")</f>
        <v/>
      </c>
    </row>
    <row r="2805">
      <c r="B2805" s="87"/>
      <c r="C2805" s="85"/>
      <c r="D2805" s="76"/>
      <c r="H2805" s="88"/>
      <c r="J2805" s="53" t="str">
        <f>IFERROR(__xludf.DUMMYFUNCTION("IF(ISBLANK(B2805),"""",IF(ISDATE(B2805),""X"",""""))"),"")</f>
        <v/>
      </c>
      <c r="K2805" s="40" t="str">
        <f>IFERROR(__xludf.DUMMYFUNCTION("IF(ISBLANK(B2805),"""",IF(ISDATE(B2805),H2805,""""))"),"")</f>
        <v/>
      </c>
      <c r="L2805" s="40" t="str">
        <f>IFERROR(__xludf.DUMMYFUNCTION("IF(ISBLANK(B2805),"""",IF(ISDATE(B2805),TEXT(B2805,""M""),""""))"),"")</f>
        <v/>
      </c>
      <c r="M2805" s="29" t="str">
        <f>IFERROR(__xludf.DUMMYFUNCTION("IF(L2805="""","""",QUERY({'Dashboard-Dados'!$Y$2:$AA$13},""Select Col2 Where Col1=""&amp;L2805))"),"")</f>
        <v/>
      </c>
      <c r="N2805" s="29" t="str">
        <f>IFERROR(__xludf.DUMMYFUNCTION("IF(ISBLANK(B2805),"""",IF(ISDATE(B2805),TEXT(B2805,""yyyy""),""""))"),"")</f>
        <v/>
      </c>
    </row>
    <row r="2806">
      <c r="B2806" s="89"/>
      <c r="C2806" s="86"/>
      <c r="D2806" s="71"/>
      <c r="H2806" s="90"/>
      <c r="J2806" s="53" t="str">
        <f>IFERROR(__xludf.DUMMYFUNCTION("IF(ISBLANK(B2806),"""",IF(ISDATE(B2806),""X"",""""))"),"")</f>
        <v/>
      </c>
      <c r="K2806" s="40" t="str">
        <f>IFERROR(__xludf.DUMMYFUNCTION("IF(ISBLANK(B2806),"""",IF(ISDATE(B2806),H2806,""""))"),"")</f>
        <v/>
      </c>
      <c r="L2806" s="40" t="str">
        <f>IFERROR(__xludf.DUMMYFUNCTION("IF(ISBLANK(B2806),"""",IF(ISDATE(B2806),TEXT(B2806,""M""),""""))"),"")</f>
        <v/>
      </c>
      <c r="M2806" s="29" t="str">
        <f>IFERROR(__xludf.DUMMYFUNCTION("IF(L2806="""","""",QUERY({'Dashboard-Dados'!$Y$2:$AA$13},""Select Col2 Where Col1=""&amp;L2806))"),"")</f>
        <v/>
      </c>
      <c r="N2806" s="29" t="str">
        <f>IFERROR(__xludf.DUMMYFUNCTION("IF(ISBLANK(B2806),"""",IF(ISDATE(B2806),TEXT(B2806,""yyyy""),""""))"),"")</f>
        <v/>
      </c>
    </row>
    <row r="2807">
      <c r="B2807" s="87"/>
      <c r="C2807" s="85"/>
      <c r="D2807" s="76"/>
      <c r="H2807" s="88"/>
      <c r="J2807" s="53" t="str">
        <f>IFERROR(__xludf.DUMMYFUNCTION("IF(ISBLANK(B2807),"""",IF(ISDATE(B2807),""X"",""""))"),"")</f>
        <v/>
      </c>
      <c r="K2807" s="40" t="str">
        <f>IFERROR(__xludf.DUMMYFUNCTION("IF(ISBLANK(B2807),"""",IF(ISDATE(B2807),H2807,""""))"),"")</f>
        <v/>
      </c>
      <c r="L2807" s="40" t="str">
        <f>IFERROR(__xludf.DUMMYFUNCTION("IF(ISBLANK(B2807),"""",IF(ISDATE(B2807),TEXT(B2807,""M""),""""))"),"")</f>
        <v/>
      </c>
      <c r="M2807" s="29" t="str">
        <f>IFERROR(__xludf.DUMMYFUNCTION("IF(L2807="""","""",QUERY({'Dashboard-Dados'!$Y$2:$AA$13},""Select Col2 Where Col1=""&amp;L2807))"),"")</f>
        <v/>
      </c>
      <c r="N2807" s="29" t="str">
        <f>IFERROR(__xludf.DUMMYFUNCTION("IF(ISBLANK(B2807),"""",IF(ISDATE(B2807),TEXT(B2807,""yyyy""),""""))"),"")</f>
        <v/>
      </c>
    </row>
    <row r="2808">
      <c r="B2808" s="89"/>
      <c r="C2808" s="86"/>
      <c r="D2808" s="71"/>
      <c r="H2808" s="90"/>
      <c r="J2808" s="53" t="str">
        <f>IFERROR(__xludf.DUMMYFUNCTION("IF(ISBLANK(B2808),"""",IF(ISDATE(B2808),""X"",""""))"),"")</f>
        <v/>
      </c>
      <c r="K2808" s="40" t="str">
        <f>IFERROR(__xludf.DUMMYFUNCTION("IF(ISBLANK(B2808),"""",IF(ISDATE(B2808),H2808,""""))"),"")</f>
        <v/>
      </c>
      <c r="L2808" s="40" t="str">
        <f>IFERROR(__xludf.DUMMYFUNCTION("IF(ISBLANK(B2808),"""",IF(ISDATE(B2808),TEXT(B2808,""M""),""""))"),"")</f>
        <v/>
      </c>
      <c r="M2808" s="29" t="str">
        <f>IFERROR(__xludf.DUMMYFUNCTION("IF(L2808="""","""",QUERY({'Dashboard-Dados'!$Y$2:$AA$13},""Select Col2 Where Col1=""&amp;L2808))"),"")</f>
        <v/>
      </c>
      <c r="N2808" s="29" t="str">
        <f>IFERROR(__xludf.DUMMYFUNCTION("IF(ISBLANK(B2808),"""",IF(ISDATE(B2808),TEXT(B2808,""yyyy""),""""))"),"")</f>
        <v/>
      </c>
    </row>
    <row r="2809">
      <c r="B2809" s="87"/>
      <c r="C2809" s="85"/>
      <c r="D2809" s="76"/>
      <c r="H2809" s="88"/>
      <c r="J2809" s="53" t="str">
        <f>IFERROR(__xludf.DUMMYFUNCTION("IF(ISBLANK(B2809),"""",IF(ISDATE(B2809),""X"",""""))"),"")</f>
        <v/>
      </c>
      <c r="K2809" s="40" t="str">
        <f>IFERROR(__xludf.DUMMYFUNCTION("IF(ISBLANK(B2809),"""",IF(ISDATE(B2809),H2809,""""))"),"")</f>
        <v/>
      </c>
      <c r="L2809" s="40" t="str">
        <f>IFERROR(__xludf.DUMMYFUNCTION("IF(ISBLANK(B2809),"""",IF(ISDATE(B2809),TEXT(B2809,""M""),""""))"),"")</f>
        <v/>
      </c>
      <c r="M2809" s="29" t="str">
        <f>IFERROR(__xludf.DUMMYFUNCTION("IF(L2809="""","""",QUERY({'Dashboard-Dados'!$Y$2:$AA$13},""Select Col2 Where Col1=""&amp;L2809))"),"")</f>
        <v/>
      </c>
      <c r="N2809" s="29" t="str">
        <f>IFERROR(__xludf.DUMMYFUNCTION("IF(ISBLANK(B2809),"""",IF(ISDATE(B2809),TEXT(B2809,""yyyy""),""""))"),"")</f>
        <v/>
      </c>
    </row>
    <row r="2810">
      <c r="B2810" s="89"/>
      <c r="C2810" s="86"/>
      <c r="D2810" s="71"/>
      <c r="H2810" s="90"/>
      <c r="J2810" s="53" t="str">
        <f>IFERROR(__xludf.DUMMYFUNCTION("IF(ISBLANK(B2810),"""",IF(ISDATE(B2810),""X"",""""))"),"")</f>
        <v/>
      </c>
      <c r="K2810" s="40" t="str">
        <f>IFERROR(__xludf.DUMMYFUNCTION("IF(ISBLANK(B2810),"""",IF(ISDATE(B2810),H2810,""""))"),"")</f>
        <v/>
      </c>
      <c r="L2810" s="40" t="str">
        <f>IFERROR(__xludf.DUMMYFUNCTION("IF(ISBLANK(B2810),"""",IF(ISDATE(B2810),TEXT(B2810,""M""),""""))"),"")</f>
        <v/>
      </c>
      <c r="M2810" s="29" t="str">
        <f>IFERROR(__xludf.DUMMYFUNCTION("IF(L2810="""","""",QUERY({'Dashboard-Dados'!$Y$2:$AA$13},""Select Col2 Where Col1=""&amp;L2810))"),"")</f>
        <v/>
      </c>
      <c r="N2810" s="29" t="str">
        <f>IFERROR(__xludf.DUMMYFUNCTION("IF(ISBLANK(B2810),"""",IF(ISDATE(B2810),TEXT(B2810,""yyyy""),""""))"),"")</f>
        <v/>
      </c>
    </row>
    <row r="2811">
      <c r="B2811" s="87"/>
      <c r="C2811" s="85"/>
      <c r="D2811" s="76"/>
      <c r="H2811" s="88"/>
      <c r="J2811" s="53" t="str">
        <f>IFERROR(__xludf.DUMMYFUNCTION("IF(ISBLANK(B2811),"""",IF(ISDATE(B2811),""X"",""""))"),"")</f>
        <v/>
      </c>
      <c r="K2811" s="40" t="str">
        <f>IFERROR(__xludf.DUMMYFUNCTION("IF(ISBLANK(B2811),"""",IF(ISDATE(B2811),H2811,""""))"),"")</f>
        <v/>
      </c>
      <c r="L2811" s="40" t="str">
        <f>IFERROR(__xludf.DUMMYFUNCTION("IF(ISBLANK(B2811),"""",IF(ISDATE(B2811),TEXT(B2811,""M""),""""))"),"")</f>
        <v/>
      </c>
      <c r="M2811" s="29" t="str">
        <f>IFERROR(__xludf.DUMMYFUNCTION("IF(L2811="""","""",QUERY({'Dashboard-Dados'!$Y$2:$AA$13},""Select Col2 Where Col1=""&amp;L2811))"),"")</f>
        <v/>
      </c>
      <c r="N2811" s="29" t="str">
        <f>IFERROR(__xludf.DUMMYFUNCTION("IF(ISBLANK(B2811),"""",IF(ISDATE(B2811),TEXT(B2811,""yyyy""),""""))"),"")</f>
        <v/>
      </c>
    </row>
    <row r="2812">
      <c r="B2812" s="89"/>
      <c r="C2812" s="86"/>
      <c r="D2812" s="71"/>
      <c r="H2812" s="90"/>
      <c r="J2812" s="53" t="str">
        <f>IFERROR(__xludf.DUMMYFUNCTION("IF(ISBLANK(B2812),"""",IF(ISDATE(B2812),""X"",""""))"),"")</f>
        <v/>
      </c>
      <c r="K2812" s="40" t="str">
        <f>IFERROR(__xludf.DUMMYFUNCTION("IF(ISBLANK(B2812),"""",IF(ISDATE(B2812),H2812,""""))"),"")</f>
        <v/>
      </c>
      <c r="L2812" s="40" t="str">
        <f>IFERROR(__xludf.DUMMYFUNCTION("IF(ISBLANK(B2812),"""",IF(ISDATE(B2812),TEXT(B2812,""M""),""""))"),"")</f>
        <v/>
      </c>
      <c r="M2812" s="29" t="str">
        <f>IFERROR(__xludf.DUMMYFUNCTION("IF(L2812="""","""",QUERY({'Dashboard-Dados'!$Y$2:$AA$13},""Select Col2 Where Col1=""&amp;L2812))"),"")</f>
        <v/>
      </c>
      <c r="N2812" s="29" t="str">
        <f>IFERROR(__xludf.DUMMYFUNCTION("IF(ISBLANK(B2812),"""",IF(ISDATE(B2812),TEXT(B2812,""yyyy""),""""))"),"")</f>
        <v/>
      </c>
    </row>
    <row r="2813">
      <c r="B2813" s="87"/>
      <c r="C2813" s="85"/>
      <c r="D2813" s="76"/>
      <c r="H2813" s="88"/>
      <c r="J2813" s="53" t="str">
        <f>IFERROR(__xludf.DUMMYFUNCTION("IF(ISBLANK(B2813),"""",IF(ISDATE(B2813),""X"",""""))"),"")</f>
        <v/>
      </c>
      <c r="K2813" s="40" t="str">
        <f>IFERROR(__xludf.DUMMYFUNCTION("IF(ISBLANK(B2813),"""",IF(ISDATE(B2813),H2813,""""))"),"")</f>
        <v/>
      </c>
      <c r="L2813" s="40" t="str">
        <f>IFERROR(__xludf.DUMMYFUNCTION("IF(ISBLANK(B2813),"""",IF(ISDATE(B2813),TEXT(B2813,""M""),""""))"),"")</f>
        <v/>
      </c>
      <c r="M2813" s="29" t="str">
        <f>IFERROR(__xludf.DUMMYFUNCTION("IF(L2813="""","""",QUERY({'Dashboard-Dados'!$Y$2:$AA$13},""Select Col2 Where Col1=""&amp;L2813))"),"")</f>
        <v/>
      </c>
      <c r="N2813" s="29" t="str">
        <f>IFERROR(__xludf.DUMMYFUNCTION("IF(ISBLANK(B2813),"""",IF(ISDATE(B2813),TEXT(B2813,""yyyy""),""""))"),"")</f>
        <v/>
      </c>
    </row>
    <row r="2814">
      <c r="B2814" s="89"/>
      <c r="C2814" s="86"/>
      <c r="D2814" s="71"/>
      <c r="H2814" s="90"/>
      <c r="J2814" s="53" t="str">
        <f>IFERROR(__xludf.DUMMYFUNCTION("IF(ISBLANK(B2814),"""",IF(ISDATE(B2814),""X"",""""))"),"")</f>
        <v/>
      </c>
      <c r="K2814" s="40" t="str">
        <f>IFERROR(__xludf.DUMMYFUNCTION("IF(ISBLANK(B2814),"""",IF(ISDATE(B2814),H2814,""""))"),"")</f>
        <v/>
      </c>
      <c r="L2814" s="40" t="str">
        <f>IFERROR(__xludf.DUMMYFUNCTION("IF(ISBLANK(B2814),"""",IF(ISDATE(B2814),TEXT(B2814,""M""),""""))"),"")</f>
        <v/>
      </c>
      <c r="M2814" s="29" t="str">
        <f>IFERROR(__xludf.DUMMYFUNCTION("IF(L2814="""","""",QUERY({'Dashboard-Dados'!$Y$2:$AA$13},""Select Col2 Where Col1=""&amp;L2814))"),"")</f>
        <v/>
      </c>
      <c r="N2814" s="29" t="str">
        <f>IFERROR(__xludf.DUMMYFUNCTION("IF(ISBLANK(B2814),"""",IF(ISDATE(B2814),TEXT(B2814,""yyyy""),""""))"),"")</f>
        <v/>
      </c>
    </row>
    <row r="2815">
      <c r="B2815" s="87"/>
      <c r="C2815" s="85"/>
      <c r="D2815" s="76"/>
      <c r="H2815" s="88"/>
      <c r="J2815" s="53" t="str">
        <f>IFERROR(__xludf.DUMMYFUNCTION("IF(ISBLANK(B2815),"""",IF(ISDATE(B2815),""X"",""""))"),"")</f>
        <v/>
      </c>
      <c r="K2815" s="40" t="str">
        <f>IFERROR(__xludf.DUMMYFUNCTION("IF(ISBLANK(B2815),"""",IF(ISDATE(B2815),H2815,""""))"),"")</f>
        <v/>
      </c>
      <c r="L2815" s="40" t="str">
        <f>IFERROR(__xludf.DUMMYFUNCTION("IF(ISBLANK(B2815),"""",IF(ISDATE(B2815),TEXT(B2815,""M""),""""))"),"")</f>
        <v/>
      </c>
      <c r="M2815" s="29" t="str">
        <f>IFERROR(__xludf.DUMMYFUNCTION("IF(L2815="""","""",QUERY({'Dashboard-Dados'!$Y$2:$AA$13},""Select Col2 Where Col1=""&amp;L2815))"),"")</f>
        <v/>
      </c>
      <c r="N2815" s="29" t="str">
        <f>IFERROR(__xludf.DUMMYFUNCTION("IF(ISBLANK(B2815),"""",IF(ISDATE(B2815),TEXT(B2815,""yyyy""),""""))"),"")</f>
        <v/>
      </c>
    </row>
    <row r="2816">
      <c r="B2816" s="89"/>
      <c r="C2816" s="86"/>
      <c r="D2816" s="71"/>
      <c r="H2816" s="90"/>
      <c r="J2816" s="53" t="str">
        <f>IFERROR(__xludf.DUMMYFUNCTION("IF(ISBLANK(B2816),"""",IF(ISDATE(B2816),""X"",""""))"),"")</f>
        <v/>
      </c>
      <c r="K2816" s="40" t="str">
        <f>IFERROR(__xludf.DUMMYFUNCTION("IF(ISBLANK(B2816),"""",IF(ISDATE(B2816),H2816,""""))"),"")</f>
        <v/>
      </c>
      <c r="L2816" s="40" t="str">
        <f>IFERROR(__xludf.DUMMYFUNCTION("IF(ISBLANK(B2816),"""",IF(ISDATE(B2816),TEXT(B2816,""M""),""""))"),"")</f>
        <v/>
      </c>
      <c r="M2816" s="29" t="str">
        <f>IFERROR(__xludf.DUMMYFUNCTION("IF(L2816="""","""",QUERY({'Dashboard-Dados'!$Y$2:$AA$13},""Select Col2 Where Col1=""&amp;L2816))"),"")</f>
        <v/>
      </c>
      <c r="N2816" s="29" t="str">
        <f>IFERROR(__xludf.DUMMYFUNCTION("IF(ISBLANK(B2816),"""",IF(ISDATE(B2816),TEXT(B2816,""yyyy""),""""))"),"")</f>
        <v/>
      </c>
    </row>
    <row r="2817">
      <c r="B2817" s="87"/>
      <c r="C2817" s="85"/>
      <c r="D2817" s="76"/>
      <c r="H2817" s="88"/>
      <c r="J2817" s="53" t="str">
        <f>IFERROR(__xludf.DUMMYFUNCTION("IF(ISBLANK(B2817),"""",IF(ISDATE(B2817),""X"",""""))"),"")</f>
        <v/>
      </c>
      <c r="K2817" s="40" t="str">
        <f>IFERROR(__xludf.DUMMYFUNCTION("IF(ISBLANK(B2817),"""",IF(ISDATE(B2817),H2817,""""))"),"")</f>
        <v/>
      </c>
      <c r="L2817" s="40" t="str">
        <f>IFERROR(__xludf.DUMMYFUNCTION("IF(ISBLANK(B2817),"""",IF(ISDATE(B2817),TEXT(B2817,""M""),""""))"),"")</f>
        <v/>
      </c>
      <c r="M2817" s="29" t="str">
        <f>IFERROR(__xludf.DUMMYFUNCTION("IF(L2817="""","""",QUERY({'Dashboard-Dados'!$Y$2:$AA$13},""Select Col2 Where Col1=""&amp;L2817))"),"")</f>
        <v/>
      </c>
      <c r="N2817" s="29" t="str">
        <f>IFERROR(__xludf.DUMMYFUNCTION("IF(ISBLANK(B2817),"""",IF(ISDATE(B2817),TEXT(B2817,""yyyy""),""""))"),"")</f>
        <v/>
      </c>
    </row>
    <row r="2818">
      <c r="B2818" s="89"/>
      <c r="C2818" s="86"/>
      <c r="D2818" s="71"/>
      <c r="H2818" s="90"/>
      <c r="J2818" s="53" t="str">
        <f>IFERROR(__xludf.DUMMYFUNCTION("IF(ISBLANK(B2818),"""",IF(ISDATE(B2818),""X"",""""))"),"")</f>
        <v/>
      </c>
      <c r="K2818" s="40" t="str">
        <f>IFERROR(__xludf.DUMMYFUNCTION("IF(ISBLANK(B2818),"""",IF(ISDATE(B2818),H2818,""""))"),"")</f>
        <v/>
      </c>
      <c r="L2818" s="40" t="str">
        <f>IFERROR(__xludf.DUMMYFUNCTION("IF(ISBLANK(B2818),"""",IF(ISDATE(B2818),TEXT(B2818,""M""),""""))"),"")</f>
        <v/>
      </c>
      <c r="M2818" s="29" t="str">
        <f>IFERROR(__xludf.DUMMYFUNCTION("IF(L2818="""","""",QUERY({'Dashboard-Dados'!$Y$2:$AA$13},""Select Col2 Where Col1=""&amp;L2818))"),"")</f>
        <v/>
      </c>
      <c r="N2818" s="29" t="str">
        <f>IFERROR(__xludf.DUMMYFUNCTION("IF(ISBLANK(B2818),"""",IF(ISDATE(B2818),TEXT(B2818,""yyyy""),""""))"),"")</f>
        <v/>
      </c>
    </row>
    <row r="2819">
      <c r="B2819" s="87"/>
      <c r="C2819" s="85"/>
      <c r="D2819" s="76"/>
      <c r="H2819" s="88"/>
      <c r="J2819" s="53" t="str">
        <f>IFERROR(__xludf.DUMMYFUNCTION("IF(ISBLANK(B2819),"""",IF(ISDATE(B2819),""X"",""""))"),"")</f>
        <v/>
      </c>
      <c r="K2819" s="40" t="str">
        <f>IFERROR(__xludf.DUMMYFUNCTION("IF(ISBLANK(B2819),"""",IF(ISDATE(B2819),H2819,""""))"),"")</f>
        <v/>
      </c>
      <c r="L2819" s="40" t="str">
        <f>IFERROR(__xludf.DUMMYFUNCTION("IF(ISBLANK(B2819),"""",IF(ISDATE(B2819),TEXT(B2819,""M""),""""))"),"")</f>
        <v/>
      </c>
      <c r="M2819" s="29" t="str">
        <f>IFERROR(__xludf.DUMMYFUNCTION("IF(L2819="""","""",QUERY({'Dashboard-Dados'!$Y$2:$AA$13},""Select Col2 Where Col1=""&amp;L2819))"),"")</f>
        <v/>
      </c>
      <c r="N2819" s="29" t="str">
        <f>IFERROR(__xludf.DUMMYFUNCTION("IF(ISBLANK(B2819),"""",IF(ISDATE(B2819),TEXT(B2819,""yyyy""),""""))"),"")</f>
        <v/>
      </c>
    </row>
    <row r="2820">
      <c r="B2820" s="89"/>
      <c r="C2820" s="86"/>
      <c r="D2820" s="71"/>
      <c r="H2820" s="90"/>
      <c r="J2820" s="53" t="str">
        <f>IFERROR(__xludf.DUMMYFUNCTION("IF(ISBLANK(B2820),"""",IF(ISDATE(B2820),""X"",""""))"),"")</f>
        <v/>
      </c>
      <c r="K2820" s="40" t="str">
        <f>IFERROR(__xludf.DUMMYFUNCTION("IF(ISBLANK(B2820),"""",IF(ISDATE(B2820),H2820,""""))"),"")</f>
        <v/>
      </c>
      <c r="L2820" s="40" t="str">
        <f>IFERROR(__xludf.DUMMYFUNCTION("IF(ISBLANK(B2820),"""",IF(ISDATE(B2820),TEXT(B2820,""M""),""""))"),"")</f>
        <v/>
      </c>
      <c r="M2820" s="29" t="str">
        <f>IFERROR(__xludf.DUMMYFUNCTION("IF(L2820="""","""",QUERY({'Dashboard-Dados'!$Y$2:$AA$13},""Select Col2 Where Col1=""&amp;L2820))"),"")</f>
        <v/>
      </c>
      <c r="N2820" s="29" t="str">
        <f>IFERROR(__xludf.DUMMYFUNCTION("IF(ISBLANK(B2820),"""",IF(ISDATE(B2820),TEXT(B2820,""yyyy""),""""))"),"")</f>
        <v/>
      </c>
    </row>
    <row r="2821">
      <c r="B2821" s="87"/>
      <c r="C2821" s="85"/>
      <c r="D2821" s="76"/>
      <c r="H2821" s="88"/>
      <c r="J2821" s="53" t="str">
        <f>IFERROR(__xludf.DUMMYFUNCTION("IF(ISBLANK(B2821),"""",IF(ISDATE(B2821),""X"",""""))"),"")</f>
        <v/>
      </c>
      <c r="K2821" s="40" t="str">
        <f>IFERROR(__xludf.DUMMYFUNCTION("IF(ISBLANK(B2821),"""",IF(ISDATE(B2821),H2821,""""))"),"")</f>
        <v/>
      </c>
      <c r="L2821" s="40" t="str">
        <f>IFERROR(__xludf.DUMMYFUNCTION("IF(ISBLANK(B2821),"""",IF(ISDATE(B2821),TEXT(B2821,""M""),""""))"),"")</f>
        <v/>
      </c>
      <c r="M2821" s="29" t="str">
        <f>IFERROR(__xludf.DUMMYFUNCTION("IF(L2821="""","""",QUERY({'Dashboard-Dados'!$Y$2:$AA$13},""Select Col2 Where Col1=""&amp;L2821))"),"")</f>
        <v/>
      </c>
      <c r="N2821" s="29" t="str">
        <f>IFERROR(__xludf.DUMMYFUNCTION("IF(ISBLANK(B2821),"""",IF(ISDATE(B2821),TEXT(B2821,""yyyy""),""""))"),"")</f>
        <v/>
      </c>
    </row>
    <row r="2822">
      <c r="B2822" s="89"/>
      <c r="C2822" s="86"/>
      <c r="D2822" s="71"/>
      <c r="H2822" s="90"/>
      <c r="J2822" s="53" t="str">
        <f>IFERROR(__xludf.DUMMYFUNCTION("IF(ISBLANK(B2822),"""",IF(ISDATE(B2822),""X"",""""))"),"")</f>
        <v/>
      </c>
      <c r="K2822" s="40" t="str">
        <f>IFERROR(__xludf.DUMMYFUNCTION("IF(ISBLANK(B2822),"""",IF(ISDATE(B2822),H2822,""""))"),"")</f>
        <v/>
      </c>
      <c r="L2822" s="40" t="str">
        <f>IFERROR(__xludf.DUMMYFUNCTION("IF(ISBLANK(B2822),"""",IF(ISDATE(B2822),TEXT(B2822,""M""),""""))"),"")</f>
        <v/>
      </c>
      <c r="M2822" s="29" t="str">
        <f>IFERROR(__xludf.DUMMYFUNCTION("IF(L2822="""","""",QUERY({'Dashboard-Dados'!$Y$2:$AA$13},""Select Col2 Where Col1=""&amp;L2822))"),"")</f>
        <v/>
      </c>
      <c r="N2822" s="29" t="str">
        <f>IFERROR(__xludf.DUMMYFUNCTION("IF(ISBLANK(B2822),"""",IF(ISDATE(B2822),TEXT(B2822,""yyyy""),""""))"),"")</f>
        <v/>
      </c>
    </row>
    <row r="2823">
      <c r="B2823" s="87"/>
      <c r="C2823" s="85"/>
      <c r="D2823" s="76"/>
      <c r="H2823" s="88"/>
      <c r="J2823" s="53" t="str">
        <f>IFERROR(__xludf.DUMMYFUNCTION("IF(ISBLANK(B2823),"""",IF(ISDATE(B2823),""X"",""""))"),"")</f>
        <v/>
      </c>
      <c r="K2823" s="40" t="str">
        <f>IFERROR(__xludf.DUMMYFUNCTION("IF(ISBLANK(B2823),"""",IF(ISDATE(B2823),H2823,""""))"),"")</f>
        <v/>
      </c>
      <c r="L2823" s="40" t="str">
        <f>IFERROR(__xludf.DUMMYFUNCTION("IF(ISBLANK(B2823),"""",IF(ISDATE(B2823),TEXT(B2823,""M""),""""))"),"")</f>
        <v/>
      </c>
      <c r="M2823" s="29" t="str">
        <f>IFERROR(__xludf.DUMMYFUNCTION("IF(L2823="""","""",QUERY({'Dashboard-Dados'!$Y$2:$AA$13},""Select Col2 Where Col1=""&amp;L2823))"),"")</f>
        <v/>
      </c>
      <c r="N2823" s="29" t="str">
        <f>IFERROR(__xludf.DUMMYFUNCTION("IF(ISBLANK(B2823),"""",IF(ISDATE(B2823),TEXT(B2823,""yyyy""),""""))"),"")</f>
        <v/>
      </c>
    </row>
    <row r="2824">
      <c r="B2824" s="89"/>
      <c r="C2824" s="86"/>
      <c r="D2824" s="71"/>
      <c r="H2824" s="90"/>
      <c r="J2824" s="53" t="str">
        <f>IFERROR(__xludf.DUMMYFUNCTION("IF(ISBLANK(B2824),"""",IF(ISDATE(B2824),""X"",""""))"),"")</f>
        <v/>
      </c>
      <c r="K2824" s="40" t="str">
        <f>IFERROR(__xludf.DUMMYFUNCTION("IF(ISBLANK(B2824),"""",IF(ISDATE(B2824),H2824,""""))"),"")</f>
        <v/>
      </c>
      <c r="L2824" s="40" t="str">
        <f>IFERROR(__xludf.DUMMYFUNCTION("IF(ISBLANK(B2824),"""",IF(ISDATE(B2824),TEXT(B2824,""M""),""""))"),"")</f>
        <v/>
      </c>
      <c r="M2824" s="29" t="str">
        <f>IFERROR(__xludf.DUMMYFUNCTION("IF(L2824="""","""",QUERY({'Dashboard-Dados'!$Y$2:$AA$13},""Select Col2 Where Col1=""&amp;L2824))"),"")</f>
        <v/>
      </c>
      <c r="N2824" s="29" t="str">
        <f>IFERROR(__xludf.DUMMYFUNCTION("IF(ISBLANK(B2824),"""",IF(ISDATE(B2824),TEXT(B2824,""yyyy""),""""))"),"")</f>
        <v/>
      </c>
    </row>
    <row r="2825">
      <c r="B2825" s="87"/>
      <c r="C2825" s="85"/>
      <c r="D2825" s="76"/>
      <c r="H2825" s="88"/>
      <c r="J2825" s="53" t="str">
        <f>IFERROR(__xludf.DUMMYFUNCTION("IF(ISBLANK(B2825),"""",IF(ISDATE(B2825),""X"",""""))"),"")</f>
        <v/>
      </c>
      <c r="K2825" s="40" t="str">
        <f>IFERROR(__xludf.DUMMYFUNCTION("IF(ISBLANK(B2825),"""",IF(ISDATE(B2825),H2825,""""))"),"")</f>
        <v/>
      </c>
      <c r="L2825" s="40" t="str">
        <f>IFERROR(__xludf.DUMMYFUNCTION("IF(ISBLANK(B2825),"""",IF(ISDATE(B2825),TEXT(B2825,""M""),""""))"),"")</f>
        <v/>
      </c>
      <c r="M2825" s="29" t="str">
        <f>IFERROR(__xludf.DUMMYFUNCTION("IF(L2825="""","""",QUERY({'Dashboard-Dados'!$Y$2:$AA$13},""Select Col2 Where Col1=""&amp;L2825))"),"")</f>
        <v/>
      </c>
      <c r="N2825" s="29" t="str">
        <f>IFERROR(__xludf.DUMMYFUNCTION("IF(ISBLANK(B2825),"""",IF(ISDATE(B2825),TEXT(B2825,""yyyy""),""""))"),"")</f>
        <v/>
      </c>
    </row>
    <row r="2826">
      <c r="B2826" s="89"/>
      <c r="C2826" s="86"/>
      <c r="D2826" s="71"/>
      <c r="H2826" s="90"/>
      <c r="J2826" s="53" t="str">
        <f>IFERROR(__xludf.DUMMYFUNCTION("IF(ISBLANK(B2826),"""",IF(ISDATE(B2826),""X"",""""))"),"")</f>
        <v/>
      </c>
      <c r="K2826" s="40" t="str">
        <f>IFERROR(__xludf.DUMMYFUNCTION("IF(ISBLANK(B2826),"""",IF(ISDATE(B2826),H2826,""""))"),"")</f>
        <v/>
      </c>
      <c r="L2826" s="40" t="str">
        <f>IFERROR(__xludf.DUMMYFUNCTION("IF(ISBLANK(B2826),"""",IF(ISDATE(B2826),TEXT(B2826,""M""),""""))"),"")</f>
        <v/>
      </c>
      <c r="M2826" s="29" t="str">
        <f>IFERROR(__xludf.DUMMYFUNCTION("IF(L2826="""","""",QUERY({'Dashboard-Dados'!$Y$2:$AA$13},""Select Col2 Where Col1=""&amp;L2826))"),"")</f>
        <v/>
      </c>
      <c r="N2826" s="29" t="str">
        <f>IFERROR(__xludf.DUMMYFUNCTION("IF(ISBLANK(B2826),"""",IF(ISDATE(B2826),TEXT(B2826,""yyyy""),""""))"),"")</f>
        <v/>
      </c>
    </row>
    <row r="2827">
      <c r="B2827" s="87"/>
      <c r="C2827" s="85"/>
      <c r="D2827" s="76"/>
      <c r="H2827" s="88"/>
      <c r="J2827" s="53" t="str">
        <f>IFERROR(__xludf.DUMMYFUNCTION("IF(ISBLANK(B2827),"""",IF(ISDATE(B2827),""X"",""""))"),"")</f>
        <v/>
      </c>
      <c r="K2827" s="40" t="str">
        <f>IFERROR(__xludf.DUMMYFUNCTION("IF(ISBLANK(B2827),"""",IF(ISDATE(B2827),H2827,""""))"),"")</f>
        <v/>
      </c>
      <c r="L2827" s="40" t="str">
        <f>IFERROR(__xludf.DUMMYFUNCTION("IF(ISBLANK(B2827),"""",IF(ISDATE(B2827),TEXT(B2827,""M""),""""))"),"")</f>
        <v/>
      </c>
      <c r="M2827" s="29" t="str">
        <f>IFERROR(__xludf.DUMMYFUNCTION("IF(L2827="""","""",QUERY({'Dashboard-Dados'!$Y$2:$AA$13},""Select Col2 Where Col1=""&amp;L2827))"),"")</f>
        <v/>
      </c>
      <c r="N2827" s="29" t="str">
        <f>IFERROR(__xludf.DUMMYFUNCTION("IF(ISBLANK(B2827),"""",IF(ISDATE(B2827),TEXT(B2827,""yyyy""),""""))"),"")</f>
        <v/>
      </c>
    </row>
    <row r="2828">
      <c r="B2828" s="89"/>
      <c r="C2828" s="86"/>
      <c r="D2828" s="71"/>
      <c r="H2828" s="90"/>
      <c r="J2828" s="53" t="str">
        <f>IFERROR(__xludf.DUMMYFUNCTION("IF(ISBLANK(B2828),"""",IF(ISDATE(B2828),""X"",""""))"),"")</f>
        <v/>
      </c>
      <c r="K2828" s="40" t="str">
        <f>IFERROR(__xludf.DUMMYFUNCTION("IF(ISBLANK(B2828),"""",IF(ISDATE(B2828),H2828,""""))"),"")</f>
        <v/>
      </c>
      <c r="L2828" s="40" t="str">
        <f>IFERROR(__xludf.DUMMYFUNCTION("IF(ISBLANK(B2828),"""",IF(ISDATE(B2828),TEXT(B2828,""M""),""""))"),"")</f>
        <v/>
      </c>
      <c r="M2828" s="29" t="str">
        <f>IFERROR(__xludf.DUMMYFUNCTION("IF(L2828="""","""",QUERY({'Dashboard-Dados'!$Y$2:$AA$13},""Select Col2 Where Col1=""&amp;L2828))"),"")</f>
        <v/>
      </c>
      <c r="N2828" s="29" t="str">
        <f>IFERROR(__xludf.DUMMYFUNCTION("IF(ISBLANK(B2828),"""",IF(ISDATE(B2828),TEXT(B2828,""yyyy""),""""))"),"")</f>
        <v/>
      </c>
    </row>
    <row r="2829">
      <c r="B2829" s="87"/>
      <c r="C2829" s="85"/>
      <c r="D2829" s="76"/>
      <c r="H2829" s="88"/>
      <c r="J2829" s="53" t="str">
        <f>IFERROR(__xludf.DUMMYFUNCTION("IF(ISBLANK(B2829),"""",IF(ISDATE(B2829),""X"",""""))"),"")</f>
        <v/>
      </c>
      <c r="K2829" s="40" t="str">
        <f>IFERROR(__xludf.DUMMYFUNCTION("IF(ISBLANK(B2829),"""",IF(ISDATE(B2829),H2829,""""))"),"")</f>
        <v/>
      </c>
      <c r="L2829" s="40" t="str">
        <f>IFERROR(__xludf.DUMMYFUNCTION("IF(ISBLANK(B2829),"""",IF(ISDATE(B2829),TEXT(B2829,""M""),""""))"),"")</f>
        <v/>
      </c>
      <c r="M2829" s="29" t="str">
        <f>IFERROR(__xludf.DUMMYFUNCTION("IF(L2829="""","""",QUERY({'Dashboard-Dados'!$Y$2:$AA$13},""Select Col2 Where Col1=""&amp;L2829))"),"")</f>
        <v/>
      </c>
      <c r="N2829" s="29" t="str">
        <f>IFERROR(__xludf.DUMMYFUNCTION("IF(ISBLANK(B2829),"""",IF(ISDATE(B2829),TEXT(B2829,""yyyy""),""""))"),"")</f>
        <v/>
      </c>
    </row>
    <row r="2830">
      <c r="B2830" s="89"/>
      <c r="C2830" s="86"/>
      <c r="D2830" s="71"/>
      <c r="H2830" s="90"/>
      <c r="J2830" s="53" t="str">
        <f>IFERROR(__xludf.DUMMYFUNCTION("IF(ISBLANK(B2830),"""",IF(ISDATE(B2830),""X"",""""))"),"")</f>
        <v/>
      </c>
      <c r="K2830" s="40" t="str">
        <f>IFERROR(__xludf.DUMMYFUNCTION("IF(ISBLANK(B2830),"""",IF(ISDATE(B2830),H2830,""""))"),"")</f>
        <v/>
      </c>
      <c r="L2830" s="40" t="str">
        <f>IFERROR(__xludf.DUMMYFUNCTION("IF(ISBLANK(B2830),"""",IF(ISDATE(B2830),TEXT(B2830,""M""),""""))"),"")</f>
        <v/>
      </c>
      <c r="M2830" s="29" t="str">
        <f>IFERROR(__xludf.DUMMYFUNCTION("IF(L2830="""","""",QUERY({'Dashboard-Dados'!$Y$2:$AA$13},""Select Col2 Where Col1=""&amp;L2830))"),"")</f>
        <v/>
      </c>
      <c r="N2830" s="29" t="str">
        <f>IFERROR(__xludf.DUMMYFUNCTION("IF(ISBLANK(B2830),"""",IF(ISDATE(B2830),TEXT(B2830,""yyyy""),""""))"),"")</f>
        <v/>
      </c>
    </row>
    <row r="2831">
      <c r="B2831" s="87"/>
      <c r="C2831" s="85"/>
      <c r="D2831" s="76"/>
      <c r="H2831" s="88"/>
      <c r="J2831" s="53" t="str">
        <f>IFERROR(__xludf.DUMMYFUNCTION("IF(ISBLANK(B2831),"""",IF(ISDATE(B2831),""X"",""""))"),"")</f>
        <v/>
      </c>
      <c r="K2831" s="40" t="str">
        <f>IFERROR(__xludf.DUMMYFUNCTION("IF(ISBLANK(B2831),"""",IF(ISDATE(B2831),H2831,""""))"),"")</f>
        <v/>
      </c>
      <c r="L2831" s="40" t="str">
        <f>IFERROR(__xludf.DUMMYFUNCTION("IF(ISBLANK(B2831),"""",IF(ISDATE(B2831),TEXT(B2831,""M""),""""))"),"")</f>
        <v/>
      </c>
      <c r="M2831" s="29" t="str">
        <f>IFERROR(__xludf.DUMMYFUNCTION("IF(L2831="""","""",QUERY({'Dashboard-Dados'!$Y$2:$AA$13},""Select Col2 Where Col1=""&amp;L2831))"),"")</f>
        <v/>
      </c>
      <c r="N2831" s="29" t="str">
        <f>IFERROR(__xludf.DUMMYFUNCTION("IF(ISBLANK(B2831),"""",IF(ISDATE(B2831),TEXT(B2831,""yyyy""),""""))"),"")</f>
        <v/>
      </c>
    </row>
    <row r="2832">
      <c r="B2832" s="89"/>
      <c r="C2832" s="86"/>
      <c r="D2832" s="71"/>
      <c r="H2832" s="90"/>
      <c r="J2832" s="53" t="str">
        <f>IFERROR(__xludf.DUMMYFUNCTION("IF(ISBLANK(B2832),"""",IF(ISDATE(B2832),""X"",""""))"),"")</f>
        <v/>
      </c>
      <c r="K2832" s="40" t="str">
        <f>IFERROR(__xludf.DUMMYFUNCTION("IF(ISBLANK(B2832),"""",IF(ISDATE(B2832),H2832,""""))"),"")</f>
        <v/>
      </c>
      <c r="L2832" s="40" t="str">
        <f>IFERROR(__xludf.DUMMYFUNCTION("IF(ISBLANK(B2832),"""",IF(ISDATE(B2832),TEXT(B2832,""M""),""""))"),"")</f>
        <v/>
      </c>
      <c r="M2832" s="29" t="str">
        <f>IFERROR(__xludf.DUMMYFUNCTION("IF(L2832="""","""",QUERY({'Dashboard-Dados'!$Y$2:$AA$13},""Select Col2 Where Col1=""&amp;L2832))"),"")</f>
        <v/>
      </c>
      <c r="N2832" s="29" t="str">
        <f>IFERROR(__xludf.DUMMYFUNCTION("IF(ISBLANK(B2832),"""",IF(ISDATE(B2832),TEXT(B2832,""yyyy""),""""))"),"")</f>
        <v/>
      </c>
    </row>
    <row r="2833">
      <c r="B2833" s="87"/>
      <c r="C2833" s="85"/>
      <c r="D2833" s="76"/>
      <c r="H2833" s="88"/>
      <c r="J2833" s="53" t="str">
        <f>IFERROR(__xludf.DUMMYFUNCTION("IF(ISBLANK(B2833),"""",IF(ISDATE(B2833),""X"",""""))"),"")</f>
        <v/>
      </c>
      <c r="K2833" s="40" t="str">
        <f>IFERROR(__xludf.DUMMYFUNCTION("IF(ISBLANK(B2833),"""",IF(ISDATE(B2833),H2833,""""))"),"")</f>
        <v/>
      </c>
      <c r="L2833" s="40" t="str">
        <f>IFERROR(__xludf.DUMMYFUNCTION("IF(ISBLANK(B2833),"""",IF(ISDATE(B2833),TEXT(B2833,""M""),""""))"),"")</f>
        <v/>
      </c>
      <c r="M2833" s="29" t="str">
        <f>IFERROR(__xludf.DUMMYFUNCTION("IF(L2833="""","""",QUERY({'Dashboard-Dados'!$Y$2:$AA$13},""Select Col2 Where Col1=""&amp;L2833))"),"")</f>
        <v/>
      </c>
      <c r="N2833" s="29" t="str">
        <f>IFERROR(__xludf.DUMMYFUNCTION("IF(ISBLANK(B2833),"""",IF(ISDATE(B2833),TEXT(B2833,""yyyy""),""""))"),"")</f>
        <v/>
      </c>
    </row>
    <row r="2834">
      <c r="B2834" s="89"/>
      <c r="C2834" s="86"/>
      <c r="D2834" s="71"/>
      <c r="H2834" s="90"/>
      <c r="J2834" s="53" t="str">
        <f>IFERROR(__xludf.DUMMYFUNCTION("IF(ISBLANK(B2834),"""",IF(ISDATE(B2834),""X"",""""))"),"")</f>
        <v/>
      </c>
      <c r="K2834" s="40" t="str">
        <f>IFERROR(__xludf.DUMMYFUNCTION("IF(ISBLANK(B2834),"""",IF(ISDATE(B2834),H2834,""""))"),"")</f>
        <v/>
      </c>
      <c r="L2834" s="40" t="str">
        <f>IFERROR(__xludf.DUMMYFUNCTION("IF(ISBLANK(B2834),"""",IF(ISDATE(B2834),TEXT(B2834,""M""),""""))"),"")</f>
        <v/>
      </c>
      <c r="M2834" s="29" t="str">
        <f>IFERROR(__xludf.DUMMYFUNCTION("IF(L2834="""","""",QUERY({'Dashboard-Dados'!$Y$2:$AA$13},""Select Col2 Where Col1=""&amp;L2834))"),"")</f>
        <v/>
      </c>
      <c r="N2834" s="29" t="str">
        <f>IFERROR(__xludf.DUMMYFUNCTION("IF(ISBLANK(B2834),"""",IF(ISDATE(B2834),TEXT(B2834,""yyyy""),""""))"),"")</f>
        <v/>
      </c>
    </row>
    <row r="2835">
      <c r="B2835" s="87"/>
      <c r="C2835" s="85"/>
      <c r="D2835" s="76"/>
      <c r="H2835" s="88"/>
      <c r="J2835" s="53" t="str">
        <f>IFERROR(__xludf.DUMMYFUNCTION("IF(ISBLANK(B2835),"""",IF(ISDATE(B2835),""X"",""""))"),"")</f>
        <v/>
      </c>
      <c r="K2835" s="40" t="str">
        <f>IFERROR(__xludf.DUMMYFUNCTION("IF(ISBLANK(B2835),"""",IF(ISDATE(B2835),H2835,""""))"),"")</f>
        <v/>
      </c>
      <c r="L2835" s="40" t="str">
        <f>IFERROR(__xludf.DUMMYFUNCTION("IF(ISBLANK(B2835),"""",IF(ISDATE(B2835),TEXT(B2835,""M""),""""))"),"")</f>
        <v/>
      </c>
      <c r="M2835" s="29" t="str">
        <f>IFERROR(__xludf.DUMMYFUNCTION("IF(L2835="""","""",QUERY({'Dashboard-Dados'!$Y$2:$AA$13},""Select Col2 Where Col1=""&amp;L2835))"),"")</f>
        <v/>
      </c>
      <c r="N2835" s="29" t="str">
        <f>IFERROR(__xludf.DUMMYFUNCTION("IF(ISBLANK(B2835),"""",IF(ISDATE(B2835),TEXT(B2835,""yyyy""),""""))"),"")</f>
        <v/>
      </c>
    </row>
    <row r="2836">
      <c r="B2836" s="89"/>
      <c r="C2836" s="86"/>
      <c r="D2836" s="71"/>
      <c r="H2836" s="90"/>
      <c r="J2836" s="53" t="str">
        <f>IFERROR(__xludf.DUMMYFUNCTION("IF(ISBLANK(B2836),"""",IF(ISDATE(B2836),""X"",""""))"),"")</f>
        <v/>
      </c>
      <c r="K2836" s="40" t="str">
        <f>IFERROR(__xludf.DUMMYFUNCTION("IF(ISBLANK(B2836),"""",IF(ISDATE(B2836),H2836,""""))"),"")</f>
        <v/>
      </c>
      <c r="L2836" s="40" t="str">
        <f>IFERROR(__xludf.DUMMYFUNCTION("IF(ISBLANK(B2836),"""",IF(ISDATE(B2836),TEXT(B2836,""M""),""""))"),"")</f>
        <v/>
      </c>
      <c r="M2836" s="29" t="str">
        <f>IFERROR(__xludf.DUMMYFUNCTION("IF(L2836="""","""",QUERY({'Dashboard-Dados'!$Y$2:$AA$13},""Select Col2 Where Col1=""&amp;L2836))"),"")</f>
        <v/>
      </c>
      <c r="N2836" s="29" t="str">
        <f>IFERROR(__xludf.DUMMYFUNCTION("IF(ISBLANK(B2836),"""",IF(ISDATE(B2836),TEXT(B2836,""yyyy""),""""))"),"")</f>
        <v/>
      </c>
    </row>
    <row r="2837">
      <c r="B2837" s="87"/>
      <c r="C2837" s="85"/>
      <c r="D2837" s="76"/>
      <c r="H2837" s="88"/>
      <c r="J2837" s="53" t="str">
        <f>IFERROR(__xludf.DUMMYFUNCTION("IF(ISBLANK(B2837),"""",IF(ISDATE(B2837),""X"",""""))"),"")</f>
        <v/>
      </c>
      <c r="K2837" s="40" t="str">
        <f>IFERROR(__xludf.DUMMYFUNCTION("IF(ISBLANK(B2837),"""",IF(ISDATE(B2837),H2837,""""))"),"")</f>
        <v/>
      </c>
      <c r="L2837" s="40" t="str">
        <f>IFERROR(__xludf.DUMMYFUNCTION("IF(ISBLANK(B2837),"""",IF(ISDATE(B2837),TEXT(B2837,""M""),""""))"),"")</f>
        <v/>
      </c>
      <c r="M2837" s="29" t="str">
        <f>IFERROR(__xludf.DUMMYFUNCTION("IF(L2837="""","""",QUERY({'Dashboard-Dados'!$Y$2:$AA$13},""Select Col2 Where Col1=""&amp;L2837))"),"")</f>
        <v/>
      </c>
      <c r="N2837" s="29" t="str">
        <f>IFERROR(__xludf.DUMMYFUNCTION("IF(ISBLANK(B2837),"""",IF(ISDATE(B2837),TEXT(B2837,""yyyy""),""""))"),"")</f>
        <v/>
      </c>
    </row>
    <row r="2838">
      <c r="B2838" s="89"/>
      <c r="C2838" s="86"/>
      <c r="D2838" s="71"/>
      <c r="H2838" s="90"/>
      <c r="J2838" s="53" t="str">
        <f>IFERROR(__xludf.DUMMYFUNCTION("IF(ISBLANK(B2838),"""",IF(ISDATE(B2838),""X"",""""))"),"")</f>
        <v/>
      </c>
      <c r="K2838" s="40" t="str">
        <f>IFERROR(__xludf.DUMMYFUNCTION("IF(ISBLANK(B2838),"""",IF(ISDATE(B2838),H2838,""""))"),"")</f>
        <v/>
      </c>
      <c r="L2838" s="40" t="str">
        <f>IFERROR(__xludf.DUMMYFUNCTION("IF(ISBLANK(B2838),"""",IF(ISDATE(B2838),TEXT(B2838,""M""),""""))"),"")</f>
        <v/>
      </c>
      <c r="M2838" s="29" t="str">
        <f>IFERROR(__xludf.DUMMYFUNCTION("IF(L2838="""","""",QUERY({'Dashboard-Dados'!$Y$2:$AA$13},""Select Col2 Where Col1=""&amp;L2838))"),"")</f>
        <v/>
      </c>
      <c r="N2838" s="29" t="str">
        <f>IFERROR(__xludf.DUMMYFUNCTION("IF(ISBLANK(B2838),"""",IF(ISDATE(B2838),TEXT(B2838,""yyyy""),""""))"),"")</f>
        <v/>
      </c>
    </row>
    <row r="2839">
      <c r="B2839" s="87"/>
      <c r="C2839" s="85"/>
      <c r="D2839" s="76"/>
      <c r="H2839" s="88"/>
      <c r="J2839" s="53" t="str">
        <f>IFERROR(__xludf.DUMMYFUNCTION("IF(ISBLANK(B2839),"""",IF(ISDATE(B2839),""X"",""""))"),"")</f>
        <v/>
      </c>
      <c r="K2839" s="40" t="str">
        <f>IFERROR(__xludf.DUMMYFUNCTION("IF(ISBLANK(B2839),"""",IF(ISDATE(B2839),H2839,""""))"),"")</f>
        <v/>
      </c>
      <c r="L2839" s="40" t="str">
        <f>IFERROR(__xludf.DUMMYFUNCTION("IF(ISBLANK(B2839),"""",IF(ISDATE(B2839),TEXT(B2839,""M""),""""))"),"")</f>
        <v/>
      </c>
      <c r="M2839" s="29" t="str">
        <f>IFERROR(__xludf.DUMMYFUNCTION("IF(L2839="""","""",QUERY({'Dashboard-Dados'!$Y$2:$AA$13},""Select Col2 Where Col1=""&amp;L2839))"),"")</f>
        <v/>
      </c>
      <c r="N2839" s="29" t="str">
        <f>IFERROR(__xludf.DUMMYFUNCTION("IF(ISBLANK(B2839),"""",IF(ISDATE(B2839),TEXT(B2839,""yyyy""),""""))"),"")</f>
        <v/>
      </c>
    </row>
    <row r="2840">
      <c r="B2840" s="89"/>
      <c r="C2840" s="86"/>
      <c r="D2840" s="71"/>
      <c r="H2840" s="90"/>
      <c r="J2840" s="53" t="str">
        <f>IFERROR(__xludf.DUMMYFUNCTION("IF(ISBLANK(B2840),"""",IF(ISDATE(B2840),""X"",""""))"),"")</f>
        <v/>
      </c>
      <c r="K2840" s="40" t="str">
        <f>IFERROR(__xludf.DUMMYFUNCTION("IF(ISBLANK(B2840),"""",IF(ISDATE(B2840),H2840,""""))"),"")</f>
        <v/>
      </c>
      <c r="L2840" s="40" t="str">
        <f>IFERROR(__xludf.DUMMYFUNCTION("IF(ISBLANK(B2840),"""",IF(ISDATE(B2840),TEXT(B2840,""M""),""""))"),"")</f>
        <v/>
      </c>
      <c r="M2840" s="29" t="str">
        <f>IFERROR(__xludf.DUMMYFUNCTION("IF(L2840="""","""",QUERY({'Dashboard-Dados'!$Y$2:$AA$13},""Select Col2 Where Col1=""&amp;L2840))"),"")</f>
        <v/>
      </c>
      <c r="N2840" s="29" t="str">
        <f>IFERROR(__xludf.DUMMYFUNCTION("IF(ISBLANK(B2840),"""",IF(ISDATE(B2840),TEXT(B2840,""yyyy""),""""))"),"")</f>
        <v/>
      </c>
    </row>
    <row r="2841">
      <c r="B2841" s="87"/>
      <c r="C2841" s="85"/>
      <c r="D2841" s="76"/>
      <c r="H2841" s="88"/>
      <c r="J2841" s="53" t="str">
        <f>IFERROR(__xludf.DUMMYFUNCTION("IF(ISBLANK(B2841),"""",IF(ISDATE(B2841),""X"",""""))"),"")</f>
        <v/>
      </c>
      <c r="K2841" s="40" t="str">
        <f>IFERROR(__xludf.DUMMYFUNCTION("IF(ISBLANK(B2841),"""",IF(ISDATE(B2841),H2841,""""))"),"")</f>
        <v/>
      </c>
      <c r="L2841" s="40" t="str">
        <f>IFERROR(__xludf.DUMMYFUNCTION("IF(ISBLANK(B2841),"""",IF(ISDATE(B2841),TEXT(B2841,""M""),""""))"),"")</f>
        <v/>
      </c>
      <c r="M2841" s="29" t="str">
        <f>IFERROR(__xludf.DUMMYFUNCTION("IF(L2841="""","""",QUERY({'Dashboard-Dados'!$Y$2:$AA$13},""Select Col2 Where Col1=""&amp;L2841))"),"")</f>
        <v/>
      </c>
      <c r="N2841" s="29" t="str">
        <f>IFERROR(__xludf.DUMMYFUNCTION("IF(ISBLANK(B2841),"""",IF(ISDATE(B2841),TEXT(B2841,""yyyy""),""""))"),"")</f>
        <v/>
      </c>
    </row>
    <row r="2842">
      <c r="B2842" s="89"/>
      <c r="C2842" s="86"/>
      <c r="D2842" s="71"/>
      <c r="H2842" s="90"/>
      <c r="J2842" s="53" t="str">
        <f>IFERROR(__xludf.DUMMYFUNCTION("IF(ISBLANK(B2842),"""",IF(ISDATE(B2842),""X"",""""))"),"")</f>
        <v/>
      </c>
      <c r="K2842" s="40" t="str">
        <f>IFERROR(__xludf.DUMMYFUNCTION("IF(ISBLANK(B2842),"""",IF(ISDATE(B2842),H2842,""""))"),"")</f>
        <v/>
      </c>
      <c r="L2842" s="40" t="str">
        <f>IFERROR(__xludf.DUMMYFUNCTION("IF(ISBLANK(B2842),"""",IF(ISDATE(B2842),TEXT(B2842,""M""),""""))"),"")</f>
        <v/>
      </c>
      <c r="M2842" s="29" t="str">
        <f>IFERROR(__xludf.DUMMYFUNCTION("IF(L2842="""","""",QUERY({'Dashboard-Dados'!$Y$2:$AA$13},""Select Col2 Where Col1=""&amp;L2842))"),"")</f>
        <v/>
      </c>
      <c r="N2842" s="29" t="str">
        <f>IFERROR(__xludf.DUMMYFUNCTION("IF(ISBLANK(B2842),"""",IF(ISDATE(B2842),TEXT(B2842,""yyyy""),""""))"),"")</f>
        <v/>
      </c>
    </row>
    <row r="2843">
      <c r="B2843" s="87"/>
      <c r="C2843" s="85"/>
      <c r="D2843" s="76"/>
      <c r="H2843" s="88"/>
      <c r="J2843" s="53" t="str">
        <f>IFERROR(__xludf.DUMMYFUNCTION("IF(ISBLANK(B2843),"""",IF(ISDATE(B2843),""X"",""""))"),"")</f>
        <v/>
      </c>
      <c r="K2843" s="40" t="str">
        <f>IFERROR(__xludf.DUMMYFUNCTION("IF(ISBLANK(B2843),"""",IF(ISDATE(B2843),H2843,""""))"),"")</f>
        <v/>
      </c>
      <c r="L2843" s="40" t="str">
        <f>IFERROR(__xludf.DUMMYFUNCTION("IF(ISBLANK(B2843),"""",IF(ISDATE(B2843),TEXT(B2843,""M""),""""))"),"")</f>
        <v/>
      </c>
      <c r="M2843" s="29" t="str">
        <f>IFERROR(__xludf.DUMMYFUNCTION("IF(L2843="""","""",QUERY({'Dashboard-Dados'!$Y$2:$AA$13},""Select Col2 Where Col1=""&amp;L2843))"),"")</f>
        <v/>
      </c>
      <c r="N2843" s="29" t="str">
        <f>IFERROR(__xludf.DUMMYFUNCTION("IF(ISBLANK(B2843),"""",IF(ISDATE(B2843),TEXT(B2843,""yyyy""),""""))"),"")</f>
        <v/>
      </c>
    </row>
    <row r="2844">
      <c r="B2844" s="89"/>
      <c r="C2844" s="86"/>
      <c r="D2844" s="71"/>
      <c r="H2844" s="90"/>
      <c r="J2844" s="53" t="str">
        <f>IFERROR(__xludf.DUMMYFUNCTION("IF(ISBLANK(B2844),"""",IF(ISDATE(B2844),""X"",""""))"),"")</f>
        <v/>
      </c>
      <c r="K2844" s="40" t="str">
        <f>IFERROR(__xludf.DUMMYFUNCTION("IF(ISBLANK(B2844),"""",IF(ISDATE(B2844),H2844,""""))"),"")</f>
        <v/>
      </c>
      <c r="L2844" s="40" t="str">
        <f>IFERROR(__xludf.DUMMYFUNCTION("IF(ISBLANK(B2844),"""",IF(ISDATE(B2844),TEXT(B2844,""M""),""""))"),"")</f>
        <v/>
      </c>
      <c r="M2844" s="29" t="str">
        <f>IFERROR(__xludf.DUMMYFUNCTION("IF(L2844="""","""",QUERY({'Dashboard-Dados'!$Y$2:$AA$13},""Select Col2 Where Col1=""&amp;L2844))"),"")</f>
        <v/>
      </c>
      <c r="N2844" s="29" t="str">
        <f>IFERROR(__xludf.DUMMYFUNCTION("IF(ISBLANK(B2844),"""",IF(ISDATE(B2844),TEXT(B2844,""yyyy""),""""))"),"")</f>
        <v/>
      </c>
    </row>
    <row r="2845">
      <c r="B2845" s="87"/>
      <c r="C2845" s="85"/>
      <c r="D2845" s="76"/>
      <c r="H2845" s="88"/>
      <c r="J2845" s="53" t="str">
        <f>IFERROR(__xludf.DUMMYFUNCTION("IF(ISBLANK(B2845),"""",IF(ISDATE(B2845),""X"",""""))"),"")</f>
        <v/>
      </c>
      <c r="K2845" s="40" t="str">
        <f>IFERROR(__xludf.DUMMYFUNCTION("IF(ISBLANK(B2845),"""",IF(ISDATE(B2845),H2845,""""))"),"")</f>
        <v/>
      </c>
      <c r="L2845" s="40" t="str">
        <f>IFERROR(__xludf.DUMMYFUNCTION("IF(ISBLANK(B2845),"""",IF(ISDATE(B2845),TEXT(B2845,""M""),""""))"),"")</f>
        <v/>
      </c>
      <c r="M2845" s="29" t="str">
        <f>IFERROR(__xludf.DUMMYFUNCTION("IF(L2845="""","""",QUERY({'Dashboard-Dados'!$Y$2:$AA$13},""Select Col2 Where Col1=""&amp;L2845))"),"")</f>
        <v/>
      </c>
      <c r="N2845" s="29" t="str">
        <f>IFERROR(__xludf.DUMMYFUNCTION("IF(ISBLANK(B2845),"""",IF(ISDATE(B2845),TEXT(B2845,""yyyy""),""""))"),"")</f>
        <v/>
      </c>
    </row>
    <row r="2846">
      <c r="B2846" s="89"/>
      <c r="C2846" s="86"/>
      <c r="D2846" s="71"/>
      <c r="H2846" s="90"/>
      <c r="J2846" s="53" t="str">
        <f>IFERROR(__xludf.DUMMYFUNCTION("IF(ISBLANK(B2846),"""",IF(ISDATE(B2846),""X"",""""))"),"")</f>
        <v/>
      </c>
      <c r="K2846" s="40" t="str">
        <f>IFERROR(__xludf.DUMMYFUNCTION("IF(ISBLANK(B2846),"""",IF(ISDATE(B2846),H2846,""""))"),"")</f>
        <v/>
      </c>
      <c r="L2846" s="40" t="str">
        <f>IFERROR(__xludf.DUMMYFUNCTION("IF(ISBLANK(B2846),"""",IF(ISDATE(B2846),TEXT(B2846,""M""),""""))"),"")</f>
        <v/>
      </c>
      <c r="M2846" s="29" t="str">
        <f>IFERROR(__xludf.DUMMYFUNCTION("IF(L2846="""","""",QUERY({'Dashboard-Dados'!$Y$2:$AA$13},""Select Col2 Where Col1=""&amp;L2846))"),"")</f>
        <v/>
      </c>
      <c r="N2846" s="29" t="str">
        <f>IFERROR(__xludf.DUMMYFUNCTION("IF(ISBLANK(B2846),"""",IF(ISDATE(B2846),TEXT(B2846,""yyyy""),""""))"),"")</f>
        <v/>
      </c>
    </row>
    <row r="2847">
      <c r="B2847" s="87"/>
      <c r="C2847" s="85"/>
      <c r="D2847" s="76"/>
      <c r="H2847" s="88"/>
      <c r="J2847" s="53" t="str">
        <f>IFERROR(__xludf.DUMMYFUNCTION("IF(ISBLANK(B2847),"""",IF(ISDATE(B2847),""X"",""""))"),"")</f>
        <v/>
      </c>
      <c r="K2847" s="40" t="str">
        <f>IFERROR(__xludf.DUMMYFUNCTION("IF(ISBLANK(B2847),"""",IF(ISDATE(B2847),H2847,""""))"),"")</f>
        <v/>
      </c>
      <c r="L2847" s="40" t="str">
        <f>IFERROR(__xludf.DUMMYFUNCTION("IF(ISBLANK(B2847),"""",IF(ISDATE(B2847),TEXT(B2847,""M""),""""))"),"")</f>
        <v/>
      </c>
      <c r="M2847" s="29" t="str">
        <f>IFERROR(__xludf.DUMMYFUNCTION("IF(L2847="""","""",QUERY({'Dashboard-Dados'!$Y$2:$AA$13},""Select Col2 Where Col1=""&amp;L2847))"),"")</f>
        <v/>
      </c>
      <c r="N2847" s="29" t="str">
        <f>IFERROR(__xludf.DUMMYFUNCTION("IF(ISBLANK(B2847),"""",IF(ISDATE(B2847),TEXT(B2847,""yyyy""),""""))"),"")</f>
        <v/>
      </c>
    </row>
    <row r="2848">
      <c r="B2848" s="89"/>
      <c r="C2848" s="86"/>
      <c r="D2848" s="71"/>
      <c r="H2848" s="90"/>
      <c r="J2848" s="53" t="str">
        <f>IFERROR(__xludf.DUMMYFUNCTION("IF(ISBLANK(B2848),"""",IF(ISDATE(B2848),""X"",""""))"),"")</f>
        <v/>
      </c>
      <c r="K2848" s="40" t="str">
        <f>IFERROR(__xludf.DUMMYFUNCTION("IF(ISBLANK(B2848),"""",IF(ISDATE(B2848),H2848,""""))"),"")</f>
        <v/>
      </c>
      <c r="L2848" s="40" t="str">
        <f>IFERROR(__xludf.DUMMYFUNCTION("IF(ISBLANK(B2848),"""",IF(ISDATE(B2848),TEXT(B2848,""M""),""""))"),"")</f>
        <v/>
      </c>
      <c r="M2848" s="29" t="str">
        <f>IFERROR(__xludf.DUMMYFUNCTION("IF(L2848="""","""",QUERY({'Dashboard-Dados'!$Y$2:$AA$13},""Select Col2 Where Col1=""&amp;L2848))"),"")</f>
        <v/>
      </c>
      <c r="N2848" s="29" t="str">
        <f>IFERROR(__xludf.DUMMYFUNCTION("IF(ISBLANK(B2848),"""",IF(ISDATE(B2848),TEXT(B2848,""yyyy""),""""))"),"")</f>
        <v/>
      </c>
    </row>
    <row r="2849">
      <c r="B2849" s="87"/>
      <c r="C2849" s="85"/>
      <c r="D2849" s="76"/>
      <c r="H2849" s="88"/>
      <c r="J2849" s="53" t="str">
        <f>IFERROR(__xludf.DUMMYFUNCTION("IF(ISBLANK(B2849),"""",IF(ISDATE(B2849),""X"",""""))"),"")</f>
        <v/>
      </c>
      <c r="K2849" s="40" t="str">
        <f>IFERROR(__xludf.DUMMYFUNCTION("IF(ISBLANK(B2849),"""",IF(ISDATE(B2849),H2849,""""))"),"")</f>
        <v/>
      </c>
      <c r="L2849" s="40" t="str">
        <f>IFERROR(__xludf.DUMMYFUNCTION("IF(ISBLANK(B2849),"""",IF(ISDATE(B2849),TEXT(B2849,""M""),""""))"),"")</f>
        <v/>
      </c>
      <c r="M2849" s="29" t="str">
        <f>IFERROR(__xludf.DUMMYFUNCTION("IF(L2849="""","""",QUERY({'Dashboard-Dados'!$Y$2:$AA$13},""Select Col2 Where Col1=""&amp;L2849))"),"")</f>
        <v/>
      </c>
      <c r="N2849" s="29" t="str">
        <f>IFERROR(__xludf.DUMMYFUNCTION("IF(ISBLANK(B2849),"""",IF(ISDATE(B2849),TEXT(B2849,""yyyy""),""""))"),"")</f>
        <v/>
      </c>
    </row>
    <row r="2850">
      <c r="B2850" s="89"/>
      <c r="C2850" s="86"/>
      <c r="D2850" s="71"/>
      <c r="H2850" s="90"/>
      <c r="J2850" s="53" t="str">
        <f>IFERROR(__xludf.DUMMYFUNCTION("IF(ISBLANK(B2850),"""",IF(ISDATE(B2850),""X"",""""))"),"")</f>
        <v/>
      </c>
      <c r="K2850" s="40" t="str">
        <f>IFERROR(__xludf.DUMMYFUNCTION("IF(ISBLANK(B2850),"""",IF(ISDATE(B2850),H2850,""""))"),"")</f>
        <v/>
      </c>
      <c r="L2850" s="40" t="str">
        <f>IFERROR(__xludf.DUMMYFUNCTION("IF(ISBLANK(B2850),"""",IF(ISDATE(B2850),TEXT(B2850,""M""),""""))"),"")</f>
        <v/>
      </c>
      <c r="M2850" s="29" t="str">
        <f>IFERROR(__xludf.DUMMYFUNCTION("IF(L2850="""","""",QUERY({'Dashboard-Dados'!$Y$2:$AA$13},""Select Col2 Where Col1=""&amp;L2850))"),"")</f>
        <v/>
      </c>
      <c r="N2850" s="29" t="str">
        <f>IFERROR(__xludf.DUMMYFUNCTION("IF(ISBLANK(B2850),"""",IF(ISDATE(B2850),TEXT(B2850,""yyyy""),""""))"),"")</f>
        <v/>
      </c>
    </row>
    <row r="2851">
      <c r="B2851" s="87"/>
      <c r="C2851" s="85"/>
      <c r="D2851" s="76"/>
      <c r="H2851" s="88"/>
      <c r="J2851" s="53" t="str">
        <f>IFERROR(__xludf.DUMMYFUNCTION("IF(ISBLANK(B2851),"""",IF(ISDATE(B2851),""X"",""""))"),"")</f>
        <v/>
      </c>
      <c r="K2851" s="40" t="str">
        <f>IFERROR(__xludf.DUMMYFUNCTION("IF(ISBLANK(B2851),"""",IF(ISDATE(B2851),H2851,""""))"),"")</f>
        <v/>
      </c>
      <c r="L2851" s="40" t="str">
        <f>IFERROR(__xludf.DUMMYFUNCTION("IF(ISBLANK(B2851),"""",IF(ISDATE(B2851),TEXT(B2851,""M""),""""))"),"")</f>
        <v/>
      </c>
      <c r="M2851" s="29" t="str">
        <f>IFERROR(__xludf.DUMMYFUNCTION("IF(L2851="""","""",QUERY({'Dashboard-Dados'!$Y$2:$AA$13},""Select Col2 Where Col1=""&amp;L2851))"),"")</f>
        <v/>
      </c>
      <c r="N2851" s="29" t="str">
        <f>IFERROR(__xludf.DUMMYFUNCTION("IF(ISBLANK(B2851),"""",IF(ISDATE(B2851),TEXT(B2851,""yyyy""),""""))"),"")</f>
        <v/>
      </c>
    </row>
    <row r="2852">
      <c r="B2852" s="89"/>
      <c r="C2852" s="86"/>
      <c r="D2852" s="71"/>
      <c r="H2852" s="90"/>
      <c r="J2852" s="53" t="str">
        <f>IFERROR(__xludf.DUMMYFUNCTION("IF(ISBLANK(B2852),"""",IF(ISDATE(B2852),""X"",""""))"),"")</f>
        <v/>
      </c>
      <c r="K2852" s="40" t="str">
        <f>IFERROR(__xludf.DUMMYFUNCTION("IF(ISBLANK(B2852),"""",IF(ISDATE(B2852),H2852,""""))"),"")</f>
        <v/>
      </c>
      <c r="L2852" s="40" t="str">
        <f>IFERROR(__xludf.DUMMYFUNCTION("IF(ISBLANK(B2852),"""",IF(ISDATE(B2852),TEXT(B2852,""M""),""""))"),"")</f>
        <v/>
      </c>
      <c r="M2852" s="29" t="str">
        <f>IFERROR(__xludf.DUMMYFUNCTION("IF(L2852="""","""",QUERY({'Dashboard-Dados'!$Y$2:$AA$13},""Select Col2 Where Col1=""&amp;L2852))"),"")</f>
        <v/>
      </c>
      <c r="N2852" s="29" t="str">
        <f>IFERROR(__xludf.DUMMYFUNCTION("IF(ISBLANK(B2852),"""",IF(ISDATE(B2852),TEXT(B2852,""yyyy""),""""))"),"")</f>
        <v/>
      </c>
    </row>
    <row r="2853">
      <c r="B2853" s="87"/>
      <c r="C2853" s="85"/>
      <c r="D2853" s="76"/>
      <c r="H2853" s="88"/>
      <c r="J2853" s="53" t="str">
        <f>IFERROR(__xludf.DUMMYFUNCTION("IF(ISBLANK(B2853),"""",IF(ISDATE(B2853),""X"",""""))"),"")</f>
        <v/>
      </c>
      <c r="K2853" s="40" t="str">
        <f>IFERROR(__xludf.DUMMYFUNCTION("IF(ISBLANK(B2853),"""",IF(ISDATE(B2853),H2853,""""))"),"")</f>
        <v/>
      </c>
      <c r="L2853" s="40" t="str">
        <f>IFERROR(__xludf.DUMMYFUNCTION("IF(ISBLANK(B2853),"""",IF(ISDATE(B2853),TEXT(B2853,""M""),""""))"),"")</f>
        <v/>
      </c>
      <c r="M2853" s="29" t="str">
        <f>IFERROR(__xludf.DUMMYFUNCTION("IF(L2853="""","""",QUERY({'Dashboard-Dados'!$Y$2:$AA$13},""Select Col2 Where Col1=""&amp;L2853))"),"")</f>
        <v/>
      </c>
      <c r="N2853" s="29" t="str">
        <f>IFERROR(__xludf.DUMMYFUNCTION("IF(ISBLANK(B2853),"""",IF(ISDATE(B2853),TEXT(B2853,""yyyy""),""""))"),"")</f>
        <v/>
      </c>
    </row>
    <row r="2854">
      <c r="B2854" s="89"/>
      <c r="C2854" s="86"/>
      <c r="D2854" s="71"/>
      <c r="H2854" s="90"/>
      <c r="J2854" s="53" t="str">
        <f>IFERROR(__xludf.DUMMYFUNCTION("IF(ISBLANK(B2854),"""",IF(ISDATE(B2854),""X"",""""))"),"")</f>
        <v/>
      </c>
      <c r="K2854" s="40" t="str">
        <f>IFERROR(__xludf.DUMMYFUNCTION("IF(ISBLANK(B2854),"""",IF(ISDATE(B2854),H2854,""""))"),"")</f>
        <v/>
      </c>
      <c r="L2854" s="40" t="str">
        <f>IFERROR(__xludf.DUMMYFUNCTION("IF(ISBLANK(B2854),"""",IF(ISDATE(B2854),TEXT(B2854,""M""),""""))"),"")</f>
        <v/>
      </c>
      <c r="M2854" s="29" t="str">
        <f>IFERROR(__xludf.DUMMYFUNCTION("IF(L2854="""","""",QUERY({'Dashboard-Dados'!$Y$2:$AA$13},""Select Col2 Where Col1=""&amp;L2854))"),"")</f>
        <v/>
      </c>
      <c r="N2854" s="29" t="str">
        <f>IFERROR(__xludf.DUMMYFUNCTION("IF(ISBLANK(B2854),"""",IF(ISDATE(B2854),TEXT(B2854,""yyyy""),""""))"),"")</f>
        <v/>
      </c>
    </row>
    <row r="2855">
      <c r="B2855" s="87"/>
      <c r="C2855" s="85"/>
      <c r="D2855" s="76"/>
      <c r="H2855" s="88"/>
      <c r="J2855" s="53" t="str">
        <f>IFERROR(__xludf.DUMMYFUNCTION("IF(ISBLANK(B2855),"""",IF(ISDATE(B2855),""X"",""""))"),"")</f>
        <v/>
      </c>
      <c r="K2855" s="40" t="str">
        <f>IFERROR(__xludf.DUMMYFUNCTION("IF(ISBLANK(B2855),"""",IF(ISDATE(B2855),H2855,""""))"),"")</f>
        <v/>
      </c>
      <c r="L2855" s="40" t="str">
        <f>IFERROR(__xludf.DUMMYFUNCTION("IF(ISBLANK(B2855),"""",IF(ISDATE(B2855),TEXT(B2855,""M""),""""))"),"")</f>
        <v/>
      </c>
      <c r="M2855" s="29" t="str">
        <f>IFERROR(__xludf.DUMMYFUNCTION("IF(L2855="""","""",QUERY({'Dashboard-Dados'!$Y$2:$AA$13},""Select Col2 Where Col1=""&amp;L2855))"),"")</f>
        <v/>
      </c>
      <c r="N2855" s="29" t="str">
        <f>IFERROR(__xludf.DUMMYFUNCTION("IF(ISBLANK(B2855),"""",IF(ISDATE(B2855),TEXT(B2855,""yyyy""),""""))"),"")</f>
        <v/>
      </c>
    </row>
    <row r="2856">
      <c r="B2856" s="89"/>
      <c r="C2856" s="86"/>
      <c r="D2856" s="71"/>
      <c r="H2856" s="90"/>
      <c r="J2856" s="53" t="str">
        <f>IFERROR(__xludf.DUMMYFUNCTION("IF(ISBLANK(B2856),"""",IF(ISDATE(B2856),""X"",""""))"),"")</f>
        <v/>
      </c>
      <c r="K2856" s="40" t="str">
        <f>IFERROR(__xludf.DUMMYFUNCTION("IF(ISBLANK(B2856),"""",IF(ISDATE(B2856),H2856,""""))"),"")</f>
        <v/>
      </c>
      <c r="L2856" s="40" t="str">
        <f>IFERROR(__xludf.DUMMYFUNCTION("IF(ISBLANK(B2856),"""",IF(ISDATE(B2856),TEXT(B2856,""M""),""""))"),"")</f>
        <v/>
      </c>
      <c r="M2856" s="29" t="str">
        <f>IFERROR(__xludf.DUMMYFUNCTION("IF(L2856="""","""",QUERY({'Dashboard-Dados'!$Y$2:$AA$13},""Select Col2 Where Col1=""&amp;L2856))"),"")</f>
        <v/>
      </c>
      <c r="N2856" s="29" t="str">
        <f>IFERROR(__xludf.DUMMYFUNCTION("IF(ISBLANK(B2856),"""",IF(ISDATE(B2856),TEXT(B2856,""yyyy""),""""))"),"")</f>
        <v/>
      </c>
    </row>
    <row r="2857">
      <c r="B2857" s="87"/>
      <c r="C2857" s="85"/>
      <c r="D2857" s="76"/>
      <c r="H2857" s="88"/>
      <c r="J2857" s="53" t="str">
        <f>IFERROR(__xludf.DUMMYFUNCTION("IF(ISBLANK(B2857),"""",IF(ISDATE(B2857),""X"",""""))"),"")</f>
        <v/>
      </c>
      <c r="K2857" s="40" t="str">
        <f>IFERROR(__xludf.DUMMYFUNCTION("IF(ISBLANK(B2857),"""",IF(ISDATE(B2857),H2857,""""))"),"")</f>
        <v/>
      </c>
      <c r="L2857" s="40" t="str">
        <f>IFERROR(__xludf.DUMMYFUNCTION("IF(ISBLANK(B2857),"""",IF(ISDATE(B2857),TEXT(B2857,""M""),""""))"),"")</f>
        <v/>
      </c>
      <c r="M2857" s="29" t="str">
        <f>IFERROR(__xludf.DUMMYFUNCTION("IF(L2857="""","""",QUERY({'Dashboard-Dados'!$Y$2:$AA$13},""Select Col2 Where Col1=""&amp;L2857))"),"")</f>
        <v/>
      </c>
      <c r="N2857" s="29" t="str">
        <f>IFERROR(__xludf.DUMMYFUNCTION("IF(ISBLANK(B2857),"""",IF(ISDATE(B2857),TEXT(B2857,""yyyy""),""""))"),"")</f>
        <v/>
      </c>
    </row>
    <row r="2858">
      <c r="B2858" s="89"/>
      <c r="C2858" s="86"/>
      <c r="D2858" s="71"/>
      <c r="H2858" s="90"/>
      <c r="J2858" s="53" t="str">
        <f>IFERROR(__xludf.DUMMYFUNCTION("IF(ISBLANK(B2858),"""",IF(ISDATE(B2858),""X"",""""))"),"")</f>
        <v/>
      </c>
      <c r="K2858" s="40" t="str">
        <f>IFERROR(__xludf.DUMMYFUNCTION("IF(ISBLANK(B2858),"""",IF(ISDATE(B2858),H2858,""""))"),"")</f>
        <v/>
      </c>
      <c r="L2858" s="40" t="str">
        <f>IFERROR(__xludf.DUMMYFUNCTION("IF(ISBLANK(B2858),"""",IF(ISDATE(B2858),TEXT(B2858,""M""),""""))"),"")</f>
        <v/>
      </c>
      <c r="M2858" s="29" t="str">
        <f>IFERROR(__xludf.DUMMYFUNCTION("IF(L2858="""","""",QUERY({'Dashboard-Dados'!$Y$2:$AA$13},""Select Col2 Where Col1=""&amp;L2858))"),"")</f>
        <v/>
      </c>
      <c r="N2858" s="29" t="str">
        <f>IFERROR(__xludf.DUMMYFUNCTION("IF(ISBLANK(B2858),"""",IF(ISDATE(B2858),TEXT(B2858,""yyyy""),""""))"),"")</f>
        <v/>
      </c>
    </row>
    <row r="2859">
      <c r="B2859" s="87"/>
      <c r="C2859" s="85"/>
      <c r="D2859" s="76"/>
      <c r="H2859" s="88"/>
      <c r="J2859" s="53" t="str">
        <f>IFERROR(__xludf.DUMMYFUNCTION("IF(ISBLANK(B2859),"""",IF(ISDATE(B2859),""X"",""""))"),"")</f>
        <v/>
      </c>
      <c r="K2859" s="40" t="str">
        <f>IFERROR(__xludf.DUMMYFUNCTION("IF(ISBLANK(B2859),"""",IF(ISDATE(B2859),H2859,""""))"),"")</f>
        <v/>
      </c>
      <c r="L2859" s="40" t="str">
        <f>IFERROR(__xludf.DUMMYFUNCTION("IF(ISBLANK(B2859),"""",IF(ISDATE(B2859),TEXT(B2859,""M""),""""))"),"")</f>
        <v/>
      </c>
      <c r="M2859" s="29" t="str">
        <f>IFERROR(__xludf.DUMMYFUNCTION("IF(L2859="""","""",QUERY({'Dashboard-Dados'!$Y$2:$AA$13},""Select Col2 Where Col1=""&amp;L2859))"),"")</f>
        <v/>
      </c>
      <c r="N2859" s="29" t="str">
        <f>IFERROR(__xludf.DUMMYFUNCTION("IF(ISBLANK(B2859),"""",IF(ISDATE(B2859),TEXT(B2859,""yyyy""),""""))"),"")</f>
        <v/>
      </c>
    </row>
    <row r="2860">
      <c r="B2860" s="89"/>
      <c r="C2860" s="86"/>
      <c r="D2860" s="71"/>
      <c r="H2860" s="90"/>
      <c r="J2860" s="53" t="str">
        <f>IFERROR(__xludf.DUMMYFUNCTION("IF(ISBLANK(B2860),"""",IF(ISDATE(B2860),""X"",""""))"),"")</f>
        <v/>
      </c>
      <c r="K2860" s="40" t="str">
        <f>IFERROR(__xludf.DUMMYFUNCTION("IF(ISBLANK(B2860),"""",IF(ISDATE(B2860),H2860,""""))"),"")</f>
        <v/>
      </c>
      <c r="L2860" s="40" t="str">
        <f>IFERROR(__xludf.DUMMYFUNCTION("IF(ISBLANK(B2860),"""",IF(ISDATE(B2860),TEXT(B2860,""M""),""""))"),"")</f>
        <v/>
      </c>
      <c r="M2860" s="29" t="str">
        <f>IFERROR(__xludf.DUMMYFUNCTION("IF(L2860="""","""",QUERY({'Dashboard-Dados'!$Y$2:$AA$13},""Select Col2 Where Col1=""&amp;L2860))"),"")</f>
        <v/>
      </c>
      <c r="N2860" s="29" t="str">
        <f>IFERROR(__xludf.DUMMYFUNCTION("IF(ISBLANK(B2860),"""",IF(ISDATE(B2860),TEXT(B2860,""yyyy""),""""))"),"")</f>
        <v/>
      </c>
    </row>
    <row r="2861">
      <c r="B2861" s="87"/>
      <c r="C2861" s="85"/>
      <c r="D2861" s="76"/>
      <c r="H2861" s="88"/>
      <c r="J2861" s="53" t="str">
        <f>IFERROR(__xludf.DUMMYFUNCTION("IF(ISBLANK(B2861),"""",IF(ISDATE(B2861),""X"",""""))"),"")</f>
        <v/>
      </c>
      <c r="K2861" s="40" t="str">
        <f>IFERROR(__xludf.DUMMYFUNCTION("IF(ISBLANK(B2861),"""",IF(ISDATE(B2861),H2861,""""))"),"")</f>
        <v/>
      </c>
      <c r="L2861" s="40" t="str">
        <f>IFERROR(__xludf.DUMMYFUNCTION("IF(ISBLANK(B2861),"""",IF(ISDATE(B2861),TEXT(B2861,""M""),""""))"),"")</f>
        <v/>
      </c>
      <c r="M2861" s="29" t="str">
        <f>IFERROR(__xludf.DUMMYFUNCTION("IF(L2861="""","""",QUERY({'Dashboard-Dados'!$Y$2:$AA$13},""Select Col2 Where Col1=""&amp;L2861))"),"")</f>
        <v/>
      </c>
      <c r="N2861" s="29" t="str">
        <f>IFERROR(__xludf.DUMMYFUNCTION("IF(ISBLANK(B2861),"""",IF(ISDATE(B2861),TEXT(B2861,""yyyy""),""""))"),"")</f>
        <v/>
      </c>
    </row>
    <row r="2862">
      <c r="B2862" s="89"/>
      <c r="C2862" s="86"/>
      <c r="D2862" s="71"/>
      <c r="H2862" s="90"/>
      <c r="J2862" s="53" t="str">
        <f>IFERROR(__xludf.DUMMYFUNCTION("IF(ISBLANK(B2862),"""",IF(ISDATE(B2862),""X"",""""))"),"")</f>
        <v/>
      </c>
      <c r="K2862" s="40" t="str">
        <f>IFERROR(__xludf.DUMMYFUNCTION("IF(ISBLANK(B2862),"""",IF(ISDATE(B2862),H2862,""""))"),"")</f>
        <v/>
      </c>
      <c r="L2862" s="40" t="str">
        <f>IFERROR(__xludf.DUMMYFUNCTION("IF(ISBLANK(B2862),"""",IF(ISDATE(B2862),TEXT(B2862,""M""),""""))"),"")</f>
        <v/>
      </c>
      <c r="M2862" s="29" t="str">
        <f>IFERROR(__xludf.DUMMYFUNCTION("IF(L2862="""","""",QUERY({'Dashboard-Dados'!$Y$2:$AA$13},""Select Col2 Where Col1=""&amp;L2862))"),"")</f>
        <v/>
      </c>
      <c r="N2862" s="29" t="str">
        <f>IFERROR(__xludf.DUMMYFUNCTION("IF(ISBLANK(B2862),"""",IF(ISDATE(B2862),TEXT(B2862,""yyyy""),""""))"),"")</f>
        <v/>
      </c>
    </row>
    <row r="2863">
      <c r="B2863" s="87"/>
      <c r="C2863" s="85"/>
      <c r="D2863" s="76"/>
      <c r="H2863" s="88"/>
      <c r="J2863" s="53" t="str">
        <f>IFERROR(__xludf.DUMMYFUNCTION("IF(ISBLANK(B2863),"""",IF(ISDATE(B2863),""X"",""""))"),"")</f>
        <v/>
      </c>
      <c r="K2863" s="40" t="str">
        <f>IFERROR(__xludf.DUMMYFUNCTION("IF(ISBLANK(B2863),"""",IF(ISDATE(B2863),H2863,""""))"),"")</f>
        <v/>
      </c>
      <c r="L2863" s="40" t="str">
        <f>IFERROR(__xludf.DUMMYFUNCTION("IF(ISBLANK(B2863),"""",IF(ISDATE(B2863),TEXT(B2863,""M""),""""))"),"")</f>
        <v/>
      </c>
      <c r="M2863" s="29" t="str">
        <f>IFERROR(__xludf.DUMMYFUNCTION("IF(L2863="""","""",QUERY({'Dashboard-Dados'!$Y$2:$AA$13},""Select Col2 Where Col1=""&amp;L2863))"),"")</f>
        <v/>
      </c>
      <c r="N2863" s="29" t="str">
        <f>IFERROR(__xludf.DUMMYFUNCTION("IF(ISBLANK(B2863),"""",IF(ISDATE(B2863),TEXT(B2863,""yyyy""),""""))"),"")</f>
        <v/>
      </c>
    </row>
    <row r="2864">
      <c r="B2864" s="89"/>
      <c r="C2864" s="86"/>
      <c r="D2864" s="71"/>
      <c r="H2864" s="90"/>
      <c r="J2864" s="53" t="str">
        <f>IFERROR(__xludf.DUMMYFUNCTION("IF(ISBLANK(B2864),"""",IF(ISDATE(B2864),""X"",""""))"),"")</f>
        <v/>
      </c>
      <c r="K2864" s="40" t="str">
        <f>IFERROR(__xludf.DUMMYFUNCTION("IF(ISBLANK(B2864),"""",IF(ISDATE(B2864),H2864,""""))"),"")</f>
        <v/>
      </c>
      <c r="L2864" s="40" t="str">
        <f>IFERROR(__xludf.DUMMYFUNCTION("IF(ISBLANK(B2864),"""",IF(ISDATE(B2864),TEXT(B2864,""M""),""""))"),"")</f>
        <v/>
      </c>
      <c r="M2864" s="29" t="str">
        <f>IFERROR(__xludf.DUMMYFUNCTION("IF(L2864="""","""",QUERY({'Dashboard-Dados'!$Y$2:$AA$13},""Select Col2 Where Col1=""&amp;L2864))"),"")</f>
        <v/>
      </c>
      <c r="N2864" s="29" t="str">
        <f>IFERROR(__xludf.DUMMYFUNCTION("IF(ISBLANK(B2864),"""",IF(ISDATE(B2864),TEXT(B2864,""yyyy""),""""))"),"")</f>
        <v/>
      </c>
    </row>
    <row r="2865">
      <c r="B2865" s="87"/>
      <c r="C2865" s="85"/>
      <c r="D2865" s="76"/>
      <c r="H2865" s="88"/>
      <c r="J2865" s="53" t="str">
        <f>IFERROR(__xludf.DUMMYFUNCTION("IF(ISBLANK(B2865),"""",IF(ISDATE(B2865),""X"",""""))"),"")</f>
        <v/>
      </c>
      <c r="K2865" s="40" t="str">
        <f>IFERROR(__xludf.DUMMYFUNCTION("IF(ISBLANK(B2865),"""",IF(ISDATE(B2865),H2865,""""))"),"")</f>
        <v/>
      </c>
      <c r="L2865" s="40" t="str">
        <f>IFERROR(__xludf.DUMMYFUNCTION("IF(ISBLANK(B2865),"""",IF(ISDATE(B2865),TEXT(B2865,""M""),""""))"),"")</f>
        <v/>
      </c>
      <c r="M2865" s="29" t="str">
        <f>IFERROR(__xludf.DUMMYFUNCTION("IF(L2865="""","""",QUERY({'Dashboard-Dados'!$Y$2:$AA$13},""Select Col2 Where Col1=""&amp;L2865))"),"")</f>
        <v/>
      </c>
      <c r="N2865" s="29" t="str">
        <f>IFERROR(__xludf.DUMMYFUNCTION("IF(ISBLANK(B2865),"""",IF(ISDATE(B2865),TEXT(B2865,""yyyy""),""""))"),"")</f>
        <v/>
      </c>
    </row>
    <row r="2866">
      <c r="B2866" s="89"/>
      <c r="C2866" s="86"/>
      <c r="D2866" s="71"/>
      <c r="H2866" s="90"/>
      <c r="J2866" s="53" t="str">
        <f>IFERROR(__xludf.DUMMYFUNCTION("IF(ISBLANK(B2866),"""",IF(ISDATE(B2866),""X"",""""))"),"")</f>
        <v/>
      </c>
      <c r="K2866" s="40" t="str">
        <f>IFERROR(__xludf.DUMMYFUNCTION("IF(ISBLANK(B2866),"""",IF(ISDATE(B2866),H2866,""""))"),"")</f>
        <v/>
      </c>
      <c r="L2866" s="40" t="str">
        <f>IFERROR(__xludf.DUMMYFUNCTION("IF(ISBLANK(B2866),"""",IF(ISDATE(B2866),TEXT(B2866,""M""),""""))"),"")</f>
        <v/>
      </c>
      <c r="M2866" s="29" t="str">
        <f>IFERROR(__xludf.DUMMYFUNCTION("IF(L2866="""","""",QUERY({'Dashboard-Dados'!$Y$2:$AA$13},""Select Col2 Where Col1=""&amp;L2866))"),"")</f>
        <v/>
      </c>
      <c r="N2866" s="29" t="str">
        <f>IFERROR(__xludf.DUMMYFUNCTION("IF(ISBLANK(B2866),"""",IF(ISDATE(B2866),TEXT(B2866,""yyyy""),""""))"),"")</f>
        <v/>
      </c>
    </row>
    <row r="2867">
      <c r="B2867" s="87"/>
      <c r="C2867" s="85"/>
      <c r="D2867" s="76"/>
      <c r="H2867" s="88"/>
      <c r="J2867" s="53" t="str">
        <f>IFERROR(__xludf.DUMMYFUNCTION("IF(ISBLANK(B2867),"""",IF(ISDATE(B2867),""X"",""""))"),"")</f>
        <v/>
      </c>
      <c r="K2867" s="40" t="str">
        <f>IFERROR(__xludf.DUMMYFUNCTION("IF(ISBLANK(B2867),"""",IF(ISDATE(B2867),H2867,""""))"),"")</f>
        <v/>
      </c>
      <c r="L2867" s="40" t="str">
        <f>IFERROR(__xludf.DUMMYFUNCTION("IF(ISBLANK(B2867),"""",IF(ISDATE(B2867),TEXT(B2867,""M""),""""))"),"")</f>
        <v/>
      </c>
      <c r="M2867" s="29" t="str">
        <f>IFERROR(__xludf.DUMMYFUNCTION("IF(L2867="""","""",QUERY({'Dashboard-Dados'!$Y$2:$AA$13},""Select Col2 Where Col1=""&amp;L2867))"),"")</f>
        <v/>
      </c>
      <c r="N2867" s="29" t="str">
        <f>IFERROR(__xludf.DUMMYFUNCTION("IF(ISBLANK(B2867),"""",IF(ISDATE(B2867),TEXT(B2867,""yyyy""),""""))"),"")</f>
        <v/>
      </c>
    </row>
    <row r="2868">
      <c r="B2868" s="89"/>
      <c r="C2868" s="86"/>
      <c r="D2868" s="71"/>
      <c r="H2868" s="90"/>
      <c r="J2868" s="53" t="str">
        <f>IFERROR(__xludf.DUMMYFUNCTION("IF(ISBLANK(B2868),"""",IF(ISDATE(B2868),""X"",""""))"),"")</f>
        <v/>
      </c>
      <c r="K2868" s="40" t="str">
        <f>IFERROR(__xludf.DUMMYFUNCTION("IF(ISBLANK(B2868),"""",IF(ISDATE(B2868),H2868,""""))"),"")</f>
        <v/>
      </c>
      <c r="L2868" s="40" t="str">
        <f>IFERROR(__xludf.DUMMYFUNCTION("IF(ISBLANK(B2868),"""",IF(ISDATE(B2868),TEXT(B2868,""M""),""""))"),"")</f>
        <v/>
      </c>
      <c r="M2868" s="29" t="str">
        <f>IFERROR(__xludf.DUMMYFUNCTION("IF(L2868="""","""",QUERY({'Dashboard-Dados'!$Y$2:$AA$13},""Select Col2 Where Col1=""&amp;L2868))"),"")</f>
        <v/>
      </c>
      <c r="N2868" s="29" t="str">
        <f>IFERROR(__xludf.DUMMYFUNCTION("IF(ISBLANK(B2868),"""",IF(ISDATE(B2868),TEXT(B2868,""yyyy""),""""))"),"")</f>
        <v/>
      </c>
    </row>
    <row r="2869">
      <c r="B2869" s="87"/>
      <c r="C2869" s="85"/>
      <c r="D2869" s="76"/>
      <c r="H2869" s="88"/>
      <c r="J2869" s="53" t="str">
        <f>IFERROR(__xludf.DUMMYFUNCTION("IF(ISBLANK(B2869),"""",IF(ISDATE(B2869),""X"",""""))"),"")</f>
        <v/>
      </c>
      <c r="K2869" s="40" t="str">
        <f>IFERROR(__xludf.DUMMYFUNCTION("IF(ISBLANK(B2869),"""",IF(ISDATE(B2869),H2869,""""))"),"")</f>
        <v/>
      </c>
      <c r="L2869" s="40" t="str">
        <f>IFERROR(__xludf.DUMMYFUNCTION("IF(ISBLANK(B2869),"""",IF(ISDATE(B2869),TEXT(B2869,""M""),""""))"),"")</f>
        <v/>
      </c>
      <c r="M2869" s="29" t="str">
        <f>IFERROR(__xludf.DUMMYFUNCTION("IF(L2869="""","""",QUERY({'Dashboard-Dados'!$Y$2:$AA$13},""Select Col2 Where Col1=""&amp;L2869))"),"")</f>
        <v/>
      </c>
      <c r="N2869" s="29" t="str">
        <f>IFERROR(__xludf.DUMMYFUNCTION("IF(ISBLANK(B2869),"""",IF(ISDATE(B2869),TEXT(B2869,""yyyy""),""""))"),"")</f>
        <v/>
      </c>
    </row>
    <row r="2870">
      <c r="B2870" s="89"/>
      <c r="C2870" s="86"/>
      <c r="D2870" s="71"/>
      <c r="H2870" s="90"/>
      <c r="J2870" s="53" t="str">
        <f>IFERROR(__xludf.DUMMYFUNCTION("IF(ISBLANK(B2870),"""",IF(ISDATE(B2870),""X"",""""))"),"")</f>
        <v/>
      </c>
      <c r="K2870" s="40" t="str">
        <f>IFERROR(__xludf.DUMMYFUNCTION("IF(ISBLANK(B2870),"""",IF(ISDATE(B2870),H2870,""""))"),"")</f>
        <v/>
      </c>
      <c r="L2870" s="40" t="str">
        <f>IFERROR(__xludf.DUMMYFUNCTION("IF(ISBLANK(B2870),"""",IF(ISDATE(B2870),TEXT(B2870,""M""),""""))"),"")</f>
        <v/>
      </c>
      <c r="M2870" s="29" t="str">
        <f>IFERROR(__xludf.DUMMYFUNCTION("IF(L2870="""","""",QUERY({'Dashboard-Dados'!$Y$2:$AA$13},""Select Col2 Where Col1=""&amp;L2870))"),"")</f>
        <v/>
      </c>
      <c r="N2870" s="29" t="str">
        <f>IFERROR(__xludf.DUMMYFUNCTION("IF(ISBLANK(B2870),"""",IF(ISDATE(B2870),TEXT(B2870,""yyyy""),""""))"),"")</f>
        <v/>
      </c>
    </row>
    <row r="2871">
      <c r="B2871" s="87"/>
      <c r="C2871" s="85"/>
      <c r="D2871" s="76"/>
      <c r="H2871" s="88"/>
      <c r="J2871" s="53" t="str">
        <f>IFERROR(__xludf.DUMMYFUNCTION("IF(ISBLANK(B2871),"""",IF(ISDATE(B2871),""X"",""""))"),"")</f>
        <v/>
      </c>
      <c r="K2871" s="40" t="str">
        <f>IFERROR(__xludf.DUMMYFUNCTION("IF(ISBLANK(B2871),"""",IF(ISDATE(B2871),H2871,""""))"),"")</f>
        <v/>
      </c>
      <c r="L2871" s="40" t="str">
        <f>IFERROR(__xludf.DUMMYFUNCTION("IF(ISBLANK(B2871),"""",IF(ISDATE(B2871),TEXT(B2871,""M""),""""))"),"")</f>
        <v/>
      </c>
      <c r="M2871" s="29" t="str">
        <f>IFERROR(__xludf.DUMMYFUNCTION("IF(L2871="""","""",QUERY({'Dashboard-Dados'!$Y$2:$AA$13},""Select Col2 Where Col1=""&amp;L2871))"),"")</f>
        <v/>
      </c>
      <c r="N2871" s="29" t="str">
        <f>IFERROR(__xludf.DUMMYFUNCTION("IF(ISBLANK(B2871),"""",IF(ISDATE(B2871),TEXT(B2871,""yyyy""),""""))"),"")</f>
        <v/>
      </c>
    </row>
    <row r="2872">
      <c r="B2872" s="89"/>
      <c r="C2872" s="86"/>
      <c r="D2872" s="71"/>
      <c r="H2872" s="90"/>
      <c r="J2872" s="53" t="str">
        <f>IFERROR(__xludf.DUMMYFUNCTION("IF(ISBLANK(B2872),"""",IF(ISDATE(B2872),""X"",""""))"),"")</f>
        <v/>
      </c>
      <c r="K2872" s="40" t="str">
        <f>IFERROR(__xludf.DUMMYFUNCTION("IF(ISBLANK(B2872),"""",IF(ISDATE(B2872),H2872,""""))"),"")</f>
        <v/>
      </c>
      <c r="L2872" s="40" t="str">
        <f>IFERROR(__xludf.DUMMYFUNCTION("IF(ISBLANK(B2872),"""",IF(ISDATE(B2872),TEXT(B2872,""M""),""""))"),"")</f>
        <v/>
      </c>
      <c r="M2872" s="29" t="str">
        <f>IFERROR(__xludf.DUMMYFUNCTION("IF(L2872="""","""",QUERY({'Dashboard-Dados'!$Y$2:$AA$13},""Select Col2 Where Col1=""&amp;L2872))"),"")</f>
        <v/>
      </c>
      <c r="N2872" s="29" t="str">
        <f>IFERROR(__xludf.DUMMYFUNCTION("IF(ISBLANK(B2872),"""",IF(ISDATE(B2872),TEXT(B2872,""yyyy""),""""))"),"")</f>
        <v/>
      </c>
    </row>
    <row r="2873">
      <c r="B2873" s="87"/>
      <c r="C2873" s="85"/>
      <c r="D2873" s="76"/>
      <c r="H2873" s="88"/>
      <c r="J2873" s="53" t="str">
        <f>IFERROR(__xludf.DUMMYFUNCTION("IF(ISBLANK(B2873),"""",IF(ISDATE(B2873),""X"",""""))"),"")</f>
        <v/>
      </c>
      <c r="K2873" s="40" t="str">
        <f>IFERROR(__xludf.DUMMYFUNCTION("IF(ISBLANK(B2873),"""",IF(ISDATE(B2873),H2873,""""))"),"")</f>
        <v/>
      </c>
      <c r="L2873" s="40" t="str">
        <f>IFERROR(__xludf.DUMMYFUNCTION("IF(ISBLANK(B2873),"""",IF(ISDATE(B2873),TEXT(B2873,""M""),""""))"),"")</f>
        <v/>
      </c>
      <c r="M2873" s="29" t="str">
        <f>IFERROR(__xludf.DUMMYFUNCTION("IF(L2873="""","""",QUERY({'Dashboard-Dados'!$Y$2:$AA$13},""Select Col2 Where Col1=""&amp;L2873))"),"")</f>
        <v/>
      </c>
      <c r="N2873" s="29" t="str">
        <f>IFERROR(__xludf.DUMMYFUNCTION("IF(ISBLANK(B2873),"""",IF(ISDATE(B2873),TEXT(B2873,""yyyy""),""""))"),"")</f>
        <v/>
      </c>
    </row>
    <row r="2874">
      <c r="B2874" s="89"/>
      <c r="C2874" s="86"/>
      <c r="D2874" s="71"/>
      <c r="H2874" s="90"/>
      <c r="J2874" s="53" t="str">
        <f>IFERROR(__xludf.DUMMYFUNCTION("IF(ISBLANK(B2874),"""",IF(ISDATE(B2874),""X"",""""))"),"")</f>
        <v/>
      </c>
      <c r="K2874" s="40" t="str">
        <f>IFERROR(__xludf.DUMMYFUNCTION("IF(ISBLANK(B2874),"""",IF(ISDATE(B2874),H2874,""""))"),"")</f>
        <v/>
      </c>
      <c r="L2874" s="40" t="str">
        <f>IFERROR(__xludf.DUMMYFUNCTION("IF(ISBLANK(B2874),"""",IF(ISDATE(B2874),TEXT(B2874,""M""),""""))"),"")</f>
        <v/>
      </c>
      <c r="M2874" s="29" t="str">
        <f>IFERROR(__xludf.DUMMYFUNCTION("IF(L2874="""","""",QUERY({'Dashboard-Dados'!$Y$2:$AA$13},""Select Col2 Where Col1=""&amp;L2874))"),"")</f>
        <v/>
      </c>
      <c r="N2874" s="29" t="str">
        <f>IFERROR(__xludf.DUMMYFUNCTION("IF(ISBLANK(B2874),"""",IF(ISDATE(B2874),TEXT(B2874,""yyyy""),""""))"),"")</f>
        <v/>
      </c>
    </row>
    <row r="2875">
      <c r="B2875" s="87"/>
      <c r="C2875" s="85"/>
      <c r="D2875" s="76"/>
      <c r="H2875" s="88"/>
      <c r="J2875" s="53" t="str">
        <f>IFERROR(__xludf.DUMMYFUNCTION("IF(ISBLANK(B2875),"""",IF(ISDATE(B2875),""X"",""""))"),"")</f>
        <v/>
      </c>
      <c r="K2875" s="40" t="str">
        <f>IFERROR(__xludf.DUMMYFUNCTION("IF(ISBLANK(B2875),"""",IF(ISDATE(B2875),H2875,""""))"),"")</f>
        <v/>
      </c>
      <c r="L2875" s="40" t="str">
        <f>IFERROR(__xludf.DUMMYFUNCTION("IF(ISBLANK(B2875),"""",IF(ISDATE(B2875),TEXT(B2875,""M""),""""))"),"")</f>
        <v/>
      </c>
      <c r="M2875" s="29" t="str">
        <f>IFERROR(__xludf.DUMMYFUNCTION("IF(L2875="""","""",QUERY({'Dashboard-Dados'!$Y$2:$AA$13},""Select Col2 Where Col1=""&amp;L2875))"),"")</f>
        <v/>
      </c>
      <c r="N2875" s="29" t="str">
        <f>IFERROR(__xludf.DUMMYFUNCTION("IF(ISBLANK(B2875),"""",IF(ISDATE(B2875),TEXT(B2875,""yyyy""),""""))"),"")</f>
        <v/>
      </c>
    </row>
    <row r="2876">
      <c r="B2876" s="89"/>
      <c r="C2876" s="86"/>
      <c r="D2876" s="71"/>
      <c r="H2876" s="90"/>
      <c r="J2876" s="53" t="str">
        <f>IFERROR(__xludf.DUMMYFUNCTION("IF(ISBLANK(B2876),"""",IF(ISDATE(B2876),""X"",""""))"),"")</f>
        <v/>
      </c>
      <c r="K2876" s="40" t="str">
        <f>IFERROR(__xludf.DUMMYFUNCTION("IF(ISBLANK(B2876),"""",IF(ISDATE(B2876),H2876,""""))"),"")</f>
        <v/>
      </c>
      <c r="L2876" s="40" t="str">
        <f>IFERROR(__xludf.DUMMYFUNCTION("IF(ISBLANK(B2876),"""",IF(ISDATE(B2876),TEXT(B2876,""M""),""""))"),"")</f>
        <v/>
      </c>
      <c r="M2876" s="29" t="str">
        <f>IFERROR(__xludf.DUMMYFUNCTION("IF(L2876="""","""",QUERY({'Dashboard-Dados'!$Y$2:$AA$13},""Select Col2 Where Col1=""&amp;L2876))"),"")</f>
        <v/>
      </c>
      <c r="N2876" s="29" t="str">
        <f>IFERROR(__xludf.DUMMYFUNCTION("IF(ISBLANK(B2876),"""",IF(ISDATE(B2876),TEXT(B2876,""yyyy""),""""))"),"")</f>
        <v/>
      </c>
    </row>
    <row r="2877">
      <c r="B2877" s="87"/>
      <c r="C2877" s="85"/>
      <c r="D2877" s="76"/>
      <c r="H2877" s="88"/>
      <c r="J2877" s="53" t="str">
        <f>IFERROR(__xludf.DUMMYFUNCTION("IF(ISBLANK(B2877),"""",IF(ISDATE(B2877),""X"",""""))"),"")</f>
        <v/>
      </c>
      <c r="K2877" s="40" t="str">
        <f>IFERROR(__xludf.DUMMYFUNCTION("IF(ISBLANK(B2877),"""",IF(ISDATE(B2877),H2877,""""))"),"")</f>
        <v/>
      </c>
      <c r="L2877" s="40" t="str">
        <f>IFERROR(__xludf.DUMMYFUNCTION("IF(ISBLANK(B2877),"""",IF(ISDATE(B2877),TEXT(B2877,""M""),""""))"),"")</f>
        <v/>
      </c>
      <c r="M2877" s="29" t="str">
        <f>IFERROR(__xludf.DUMMYFUNCTION("IF(L2877="""","""",QUERY({'Dashboard-Dados'!$Y$2:$AA$13},""Select Col2 Where Col1=""&amp;L2877))"),"")</f>
        <v/>
      </c>
      <c r="N2877" s="29" t="str">
        <f>IFERROR(__xludf.DUMMYFUNCTION("IF(ISBLANK(B2877),"""",IF(ISDATE(B2877),TEXT(B2877,""yyyy""),""""))"),"")</f>
        <v/>
      </c>
    </row>
    <row r="2878">
      <c r="B2878" s="89"/>
      <c r="C2878" s="86"/>
      <c r="D2878" s="71"/>
      <c r="H2878" s="90"/>
      <c r="J2878" s="53" t="str">
        <f>IFERROR(__xludf.DUMMYFUNCTION("IF(ISBLANK(B2878),"""",IF(ISDATE(B2878),""X"",""""))"),"")</f>
        <v/>
      </c>
      <c r="K2878" s="40" t="str">
        <f>IFERROR(__xludf.DUMMYFUNCTION("IF(ISBLANK(B2878),"""",IF(ISDATE(B2878),H2878,""""))"),"")</f>
        <v/>
      </c>
      <c r="L2878" s="40" t="str">
        <f>IFERROR(__xludf.DUMMYFUNCTION("IF(ISBLANK(B2878),"""",IF(ISDATE(B2878),TEXT(B2878,""M""),""""))"),"")</f>
        <v/>
      </c>
      <c r="M2878" s="29" t="str">
        <f>IFERROR(__xludf.DUMMYFUNCTION("IF(L2878="""","""",QUERY({'Dashboard-Dados'!$Y$2:$AA$13},""Select Col2 Where Col1=""&amp;L2878))"),"")</f>
        <v/>
      </c>
      <c r="N2878" s="29" t="str">
        <f>IFERROR(__xludf.DUMMYFUNCTION("IF(ISBLANK(B2878),"""",IF(ISDATE(B2878),TEXT(B2878,""yyyy""),""""))"),"")</f>
        <v/>
      </c>
    </row>
    <row r="2879">
      <c r="B2879" s="87"/>
      <c r="C2879" s="85"/>
      <c r="D2879" s="76"/>
      <c r="H2879" s="88"/>
      <c r="J2879" s="53" t="str">
        <f>IFERROR(__xludf.DUMMYFUNCTION("IF(ISBLANK(B2879),"""",IF(ISDATE(B2879),""X"",""""))"),"")</f>
        <v/>
      </c>
      <c r="K2879" s="40" t="str">
        <f>IFERROR(__xludf.DUMMYFUNCTION("IF(ISBLANK(B2879),"""",IF(ISDATE(B2879),H2879,""""))"),"")</f>
        <v/>
      </c>
      <c r="L2879" s="40" t="str">
        <f>IFERROR(__xludf.DUMMYFUNCTION("IF(ISBLANK(B2879),"""",IF(ISDATE(B2879),TEXT(B2879,""M""),""""))"),"")</f>
        <v/>
      </c>
      <c r="M2879" s="29" t="str">
        <f>IFERROR(__xludf.DUMMYFUNCTION("IF(L2879="""","""",QUERY({'Dashboard-Dados'!$Y$2:$AA$13},""Select Col2 Where Col1=""&amp;L2879))"),"")</f>
        <v/>
      </c>
      <c r="N2879" s="29" t="str">
        <f>IFERROR(__xludf.DUMMYFUNCTION("IF(ISBLANK(B2879),"""",IF(ISDATE(B2879),TEXT(B2879,""yyyy""),""""))"),"")</f>
        <v/>
      </c>
    </row>
    <row r="2880">
      <c r="B2880" s="89"/>
      <c r="C2880" s="86"/>
      <c r="D2880" s="71"/>
      <c r="H2880" s="90"/>
      <c r="J2880" s="53" t="str">
        <f>IFERROR(__xludf.DUMMYFUNCTION("IF(ISBLANK(B2880),"""",IF(ISDATE(B2880),""X"",""""))"),"")</f>
        <v/>
      </c>
      <c r="K2880" s="40" t="str">
        <f>IFERROR(__xludf.DUMMYFUNCTION("IF(ISBLANK(B2880),"""",IF(ISDATE(B2880),H2880,""""))"),"")</f>
        <v/>
      </c>
      <c r="L2880" s="40" t="str">
        <f>IFERROR(__xludf.DUMMYFUNCTION("IF(ISBLANK(B2880),"""",IF(ISDATE(B2880),TEXT(B2880,""M""),""""))"),"")</f>
        <v/>
      </c>
      <c r="M2880" s="29" t="str">
        <f>IFERROR(__xludf.DUMMYFUNCTION("IF(L2880="""","""",QUERY({'Dashboard-Dados'!$Y$2:$AA$13},""Select Col2 Where Col1=""&amp;L2880))"),"")</f>
        <v/>
      </c>
      <c r="N2880" s="29" t="str">
        <f>IFERROR(__xludf.DUMMYFUNCTION("IF(ISBLANK(B2880),"""",IF(ISDATE(B2880),TEXT(B2880,""yyyy""),""""))"),"")</f>
        <v/>
      </c>
    </row>
    <row r="2881">
      <c r="B2881" s="87"/>
      <c r="C2881" s="85"/>
      <c r="D2881" s="76"/>
      <c r="H2881" s="88"/>
      <c r="J2881" s="53" t="str">
        <f>IFERROR(__xludf.DUMMYFUNCTION("IF(ISBLANK(B2881),"""",IF(ISDATE(B2881),""X"",""""))"),"")</f>
        <v/>
      </c>
      <c r="K2881" s="40" t="str">
        <f>IFERROR(__xludf.DUMMYFUNCTION("IF(ISBLANK(B2881),"""",IF(ISDATE(B2881),H2881,""""))"),"")</f>
        <v/>
      </c>
      <c r="L2881" s="40" t="str">
        <f>IFERROR(__xludf.DUMMYFUNCTION("IF(ISBLANK(B2881),"""",IF(ISDATE(B2881),TEXT(B2881,""M""),""""))"),"")</f>
        <v/>
      </c>
      <c r="M2881" s="29" t="str">
        <f>IFERROR(__xludf.DUMMYFUNCTION("IF(L2881="""","""",QUERY({'Dashboard-Dados'!$Y$2:$AA$13},""Select Col2 Where Col1=""&amp;L2881))"),"")</f>
        <v/>
      </c>
      <c r="N2881" s="29" t="str">
        <f>IFERROR(__xludf.DUMMYFUNCTION("IF(ISBLANK(B2881),"""",IF(ISDATE(B2881),TEXT(B2881,""yyyy""),""""))"),"")</f>
        <v/>
      </c>
    </row>
    <row r="2882">
      <c r="B2882" s="89"/>
      <c r="C2882" s="86"/>
      <c r="D2882" s="71"/>
      <c r="H2882" s="90"/>
      <c r="J2882" s="53" t="str">
        <f>IFERROR(__xludf.DUMMYFUNCTION("IF(ISBLANK(B2882),"""",IF(ISDATE(B2882),""X"",""""))"),"")</f>
        <v/>
      </c>
      <c r="K2882" s="40" t="str">
        <f>IFERROR(__xludf.DUMMYFUNCTION("IF(ISBLANK(B2882),"""",IF(ISDATE(B2882),H2882,""""))"),"")</f>
        <v/>
      </c>
      <c r="L2882" s="40" t="str">
        <f>IFERROR(__xludf.DUMMYFUNCTION("IF(ISBLANK(B2882),"""",IF(ISDATE(B2882),TEXT(B2882,""M""),""""))"),"")</f>
        <v/>
      </c>
      <c r="M2882" s="29" t="str">
        <f>IFERROR(__xludf.DUMMYFUNCTION("IF(L2882="""","""",QUERY({'Dashboard-Dados'!$Y$2:$AA$13},""Select Col2 Where Col1=""&amp;L2882))"),"")</f>
        <v/>
      </c>
      <c r="N2882" s="29" t="str">
        <f>IFERROR(__xludf.DUMMYFUNCTION("IF(ISBLANK(B2882),"""",IF(ISDATE(B2882),TEXT(B2882,""yyyy""),""""))"),"")</f>
        <v/>
      </c>
    </row>
    <row r="2883">
      <c r="B2883" s="87"/>
      <c r="C2883" s="85"/>
      <c r="D2883" s="76"/>
      <c r="H2883" s="88"/>
      <c r="J2883" s="53" t="str">
        <f>IFERROR(__xludf.DUMMYFUNCTION("IF(ISBLANK(B2883),"""",IF(ISDATE(B2883),""X"",""""))"),"")</f>
        <v/>
      </c>
      <c r="K2883" s="40" t="str">
        <f>IFERROR(__xludf.DUMMYFUNCTION("IF(ISBLANK(B2883),"""",IF(ISDATE(B2883),H2883,""""))"),"")</f>
        <v/>
      </c>
      <c r="L2883" s="40" t="str">
        <f>IFERROR(__xludf.DUMMYFUNCTION("IF(ISBLANK(B2883),"""",IF(ISDATE(B2883),TEXT(B2883,""M""),""""))"),"")</f>
        <v/>
      </c>
      <c r="M2883" s="29" t="str">
        <f>IFERROR(__xludf.DUMMYFUNCTION("IF(L2883="""","""",QUERY({'Dashboard-Dados'!$Y$2:$AA$13},""Select Col2 Where Col1=""&amp;L2883))"),"")</f>
        <v/>
      </c>
      <c r="N2883" s="29" t="str">
        <f>IFERROR(__xludf.DUMMYFUNCTION("IF(ISBLANK(B2883),"""",IF(ISDATE(B2883),TEXT(B2883,""yyyy""),""""))"),"")</f>
        <v/>
      </c>
    </row>
    <row r="2884">
      <c r="B2884" s="89"/>
      <c r="C2884" s="86"/>
      <c r="D2884" s="71"/>
      <c r="H2884" s="90"/>
      <c r="J2884" s="53" t="str">
        <f>IFERROR(__xludf.DUMMYFUNCTION("IF(ISBLANK(B2884),"""",IF(ISDATE(B2884),""X"",""""))"),"")</f>
        <v/>
      </c>
      <c r="K2884" s="40" t="str">
        <f>IFERROR(__xludf.DUMMYFUNCTION("IF(ISBLANK(B2884),"""",IF(ISDATE(B2884),H2884,""""))"),"")</f>
        <v/>
      </c>
      <c r="L2884" s="40" t="str">
        <f>IFERROR(__xludf.DUMMYFUNCTION("IF(ISBLANK(B2884),"""",IF(ISDATE(B2884),TEXT(B2884,""M""),""""))"),"")</f>
        <v/>
      </c>
      <c r="M2884" s="29" t="str">
        <f>IFERROR(__xludf.DUMMYFUNCTION("IF(L2884="""","""",QUERY({'Dashboard-Dados'!$Y$2:$AA$13},""Select Col2 Where Col1=""&amp;L2884))"),"")</f>
        <v/>
      </c>
      <c r="N2884" s="29" t="str">
        <f>IFERROR(__xludf.DUMMYFUNCTION("IF(ISBLANK(B2884),"""",IF(ISDATE(B2884),TEXT(B2884,""yyyy""),""""))"),"")</f>
        <v/>
      </c>
    </row>
    <row r="2885">
      <c r="B2885" s="87"/>
      <c r="C2885" s="85"/>
      <c r="D2885" s="76"/>
      <c r="H2885" s="88"/>
      <c r="J2885" s="53" t="str">
        <f>IFERROR(__xludf.DUMMYFUNCTION("IF(ISBLANK(B2885),"""",IF(ISDATE(B2885),""X"",""""))"),"")</f>
        <v/>
      </c>
      <c r="K2885" s="40" t="str">
        <f>IFERROR(__xludf.DUMMYFUNCTION("IF(ISBLANK(B2885),"""",IF(ISDATE(B2885),H2885,""""))"),"")</f>
        <v/>
      </c>
      <c r="L2885" s="40" t="str">
        <f>IFERROR(__xludf.DUMMYFUNCTION("IF(ISBLANK(B2885),"""",IF(ISDATE(B2885),TEXT(B2885,""M""),""""))"),"")</f>
        <v/>
      </c>
      <c r="M2885" s="29" t="str">
        <f>IFERROR(__xludf.DUMMYFUNCTION("IF(L2885="""","""",QUERY({'Dashboard-Dados'!$Y$2:$AA$13},""Select Col2 Where Col1=""&amp;L2885))"),"")</f>
        <v/>
      </c>
      <c r="N2885" s="29" t="str">
        <f>IFERROR(__xludf.DUMMYFUNCTION("IF(ISBLANK(B2885),"""",IF(ISDATE(B2885),TEXT(B2885,""yyyy""),""""))"),"")</f>
        <v/>
      </c>
    </row>
    <row r="2886">
      <c r="B2886" s="89"/>
      <c r="C2886" s="86"/>
      <c r="D2886" s="71"/>
      <c r="H2886" s="90"/>
      <c r="J2886" s="53" t="str">
        <f>IFERROR(__xludf.DUMMYFUNCTION("IF(ISBLANK(B2886),"""",IF(ISDATE(B2886),""X"",""""))"),"")</f>
        <v/>
      </c>
      <c r="K2886" s="40" t="str">
        <f>IFERROR(__xludf.DUMMYFUNCTION("IF(ISBLANK(B2886),"""",IF(ISDATE(B2886),H2886,""""))"),"")</f>
        <v/>
      </c>
      <c r="L2886" s="40" t="str">
        <f>IFERROR(__xludf.DUMMYFUNCTION("IF(ISBLANK(B2886),"""",IF(ISDATE(B2886),TEXT(B2886,""M""),""""))"),"")</f>
        <v/>
      </c>
      <c r="M2886" s="29" t="str">
        <f>IFERROR(__xludf.DUMMYFUNCTION("IF(L2886="""","""",QUERY({'Dashboard-Dados'!$Y$2:$AA$13},""Select Col2 Where Col1=""&amp;L2886))"),"")</f>
        <v/>
      </c>
      <c r="N2886" s="29" t="str">
        <f>IFERROR(__xludf.DUMMYFUNCTION("IF(ISBLANK(B2886),"""",IF(ISDATE(B2886),TEXT(B2886,""yyyy""),""""))"),"")</f>
        <v/>
      </c>
    </row>
    <row r="2887">
      <c r="B2887" s="87"/>
      <c r="C2887" s="85"/>
      <c r="D2887" s="76"/>
      <c r="H2887" s="88"/>
      <c r="J2887" s="53" t="str">
        <f>IFERROR(__xludf.DUMMYFUNCTION("IF(ISBLANK(B2887),"""",IF(ISDATE(B2887),""X"",""""))"),"")</f>
        <v/>
      </c>
      <c r="K2887" s="40" t="str">
        <f>IFERROR(__xludf.DUMMYFUNCTION("IF(ISBLANK(B2887),"""",IF(ISDATE(B2887),H2887,""""))"),"")</f>
        <v/>
      </c>
      <c r="L2887" s="40" t="str">
        <f>IFERROR(__xludf.DUMMYFUNCTION("IF(ISBLANK(B2887),"""",IF(ISDATE(B2887),TEXT(B2887,""M""),""""))"),"")</f>
        <v/>
      </c>
      <c r="M2887" s="29" t="str">
        <f>IFERROR(__xludf.DUMMYFUNCTION("IF(L2887="""","""",QUERY({'Dashboard-Dados'!$Y$2:$AA$13},""Select Col2 Where Col1=""&amp;L2887))"),"")</f>
        <v/>
      </c>
      <c r="N2887" s="29" t="str">
        <f>IFERROR(__xludf.DUMMYFUNCTION("IF(ISBLANK(B2887),"""",IF(ISDATE(B2887),TEXT(B2887,""yyyy""),""""))"),"")</f>
        <v/>
      </c>
    </row>
    <row r="2888">
      <c r="B2888" s="89"/>
      <c r="C2888" s="86"/>
      <c r="D2888" s="71"/>
      <c r="H2888" s="90"/>
      <c r="J2888" s="53" t="str">
        <f>IFERROR(__xludf.DUMMYFUNCTION("IF(ISBLANK(B2888),"""",IF(ISDATE(B2888),""X"",""""))"),"")</f>
        <v/>
      </c>
      <c r="K2888" s="40" t="str">
        <f>IFERROR(__xludf.DUMMYFUNCTION("IF(ISBLANK(B2888),"""",IF(ISDATE(B2888),H2888,""""))"),"")</f>
        <v/>
      </c>
      <c r="L2888" s="40" t="str">
        <f>IFERROR(__xludf.DUMMYFUNCTION("IF(ISBLANK(B2888),"""",IF(ISDATE(B2888),TEXT(B2888,""M""),""""))"),"")</f>
        <v/>
      </c>
      <c r="M2888" s="29" t="str">
        <f>IFERROR(__xludf.DUMMYFUNCTION("IF(L2888="""","""",QUERY({'Dashboard-Dados'!$Y$2:$AA$13},""Select Col2 Where Col1=""&amp;L2888))"),"")</f>
        <v/>
      </c>
      <c r="N2888" s="29" t="str">
        <f>IFERROR(__xludf.DUMMYFUNCTION("IF(ISBLANK(B2888),"""",IF(ISDATE(B2888),TEXT(B2888,""yyyy""),""""))"),"")</f>
        <v/>
      </c>
    </row>
    <row r="2889">
      <c r="B2889" s="87"/>
      <c r="C2889" s="85"/>
      <c r="D2889" s="76"/>
      <c r="H2889" s="88"/>
      <c r="J2889" s="53" t="str">
        <f>IFERROR(__xludf.DUMMYFUNCTION("IF(ISBLANK(B2889),"""",IF(ISDATE(B2889),""X"",""""))"),"")</f>
        <v/>
      </c>
      <c r="K2889" s="40" t="str">
        <f>IFERROR(__xludf.DUMMYFUNCTION("IF(ISBLANK(B2889),"""",IF(ISDATE(B2889),H2889,""""))"),"")</f>
        <v/>
      </c>
      <c r="L2889" s="40" t="str">
        <f>IFERROR(__xludf.DUMMYFUNCTION("IF(ISBLANK(B2889),"""",IF(ISDATE(B2889),TEXT(B2889,""M""),""""))"),"")</f>
        <v/>
      </c>
      <c r="M2889" s="29" t="str">
        <f>IFERROR(__xludf.DUMMYFUNCTION("IF(L2889="""","""",QUERY({'Dashboard-Dados'!$Y$2:$AA$13},""Select Col2 Where Col1=""&amp;L2889))"),"")</f>
        <v/>
      </c>
      <c r="N2889" s="29" t="str">
        <f>IFERROR(__xludf.DUMMYFUNCTION("IF(ISBLANK(B2889),"""",IF(ISDATE(B2889),TEXT(B2889,""yyyy""),""""))"),"")</f>
        <v/>
      </c>
    </row>
    <row r="2890">
      <c r="B2890" s="89"/>
      <c r="C2890" s="86"/>
      <c r="D2890" s="71"/>
      <c r="H2890" s="90"/>
      <c r="J2890" s="53" t="str">
        <f>IFERROR(__xludf.DUMMYFUNCTION("IF(ISBLANK(B2890),"""",IF(ISDATE(B2890),""X"",""""))"),"")</f>
        <v/>
      </c>
      <c r="K2890" s="40" t="str">
        <f>IFERROR(__xludf.DUMMYFUNCTION("IF(ISBLANK(B2890),"""",IF(ISDATE(B2890),H2890,""""))"),"")</f>
        <v/>
      </c>
      <c r="L2890" s="40" t="str">
        <f>IFERROR(__xludf.DUMMYFUNCTION("IF(ISBLANK(B2890),"""",IF(ISDATE(B2890),TEXT(B2890,""M""),""""))"),"")</f>
        <v/>
      </c>
      <c r="M2890" s="29" t="str">
        <f>IFERROR(__xludf.DUMMYFUNCTION("IF(L2890="""","""",QUERY({'Dashboard-Dados'!$Y$2:$AA$13},""Select Col2 Where Col1=""&amp;L2890))"),"")</f>
        <v/>
      </c>
      <c r="N2890" s="29" t="str">
        <f>IFERROR(__xludf.DUMMYFUNCTION("IF(ISBLANK(B2890),"""",IF(ISDATE(B2890),TEXT(B2890,""yyyy""),""""))"),"")</f>
        <v/>
      </c>
    </row>
    <row r="2891">
      <c r="B2891" s="87"/>
      <c r="C2891" s="85"/>
      <c r="D2891" s="76"/>
      <c r="H2891" s="88"/>
      <c r="J2891" s="53" t="str">
        <f>IFERROR(__xludf.DUMMYFUNCTION("IF(ISBLANK(B2891),"""",IF(ISDATE(B2891),""X"",""""))"),"")</f>
        <v/>
      </c>
      <c r="K2891" s="40" t="str">
        <f>IFERROR(__xludf.DUMMYFUNCTION("IF(ISBLANK(B2891),"""",IF(ISDATE(B2891),H2891,""""))"),"")</f>
        <v/>
      </c>
      <c r="L2891" s="40" t="str">
        <f>IFERROR(__xludf.DUMMYFUNCTION("IF(ISBLANK(B2891),"""",IF(ISDATE(B2891),TEXT(B2891,""M""),""""))"),"")</f>
        <v/>
      </c>
      <c r="M2891" s="29" t="str">
        <f>IFERROR(__xludf.DUMMYFUNCTION("IF(L2891="""","""",QUERY({'Dashboard-Dados'!$Y$2:$AA$13},""Select Col2 Where Col1=""&amp;L2891))"),"")</f>
        <v/>
      </c>
      <c r="N2891" s="29" t="str">
        <f>IFERROR(__xludf.DUMMYFUNCTION("IF(ISBLANK(B2891),"""",IF(ISDATE(B2891),TEXT(B2891,""yyyy""),""""))"),"")</f>
        <v/>
      </c>
    </row>
    <row r="2892">
      <c r="B2892" s="89"/>
      <c r="C2892" s="86"/>
      <c r="D2892" s="71"/>
      <c r="H2892" s="90"/>
      <c r="J2892" s="53" t="str">
        <f>IFERROR(__xludf.DUMMYFUNCTION("IF(ISBLANK(B2892),"""",IF(ISDATE(B2892),""X"",""""))"),"")</f>
        <v/>
      </c>
      <c r="K2892" s="40" t="str">
        <f>IFERROR(__xludf.DUMMYFUNCTION("IF(ISBLANK(B2892),"""",IF(ISDATE(B2892),H2892,""""))"),"")</f>
        <v/>
      </c>
      <c r="L2892" s="40" t="str">
        <f>IFERROR(__xludf.DUMMYFUNCTION("IF(ISBLANK(B2892),"""",IF(ISDATE(B2892),TEXT(B2892,""M""),""""))"),"")</f>
        <v/>
      </c>
      <c r="M2892" s="29" t="str">
        <f>IFERROR(__xludf.DUMMYFUNCTION("IF(L2892="""","""",QUERY({'Dashboard-Dados'!$Y$2:$AA$13},""Select Col2 Where Col1=""&amp;L2892))"),"")</f>
        <v/>
      </c>
      <c r="N2892" s="29" t="str">
        <f>IFERROR(__xludf.DUMMYFUNCTION("IF(ISBLANK(B2892),"""",IF(ISDATE(B2892),TEXT(B2892,""yyyy""),""""))"),"")</f>
        <v/>
      </c>
    </row>
    <row r="2893">
      <c r="B2893" s="87"/>
      <c r="C2893" s="85"/>
      <c r="D2893" s="76"/>
      <c r="H2893" s="88"/>
      <c r="J2893" s="53" t="str">
        <f>IFERROR(__xludf.DUMMYFUNCTION("IF(ISBLANK(B2893),"""",IF(ISDATE(B2893),""X"",""""))"),"")</f>
        <v/>
      </c>
      <c r="K2893" s="40" t="str">
        <f>IFERROR(__xludf.DUMMYFUNCTION("IF(ISBLANK(B2893),"""",IF(ISDATE(B2893),H2893,""""))"),"")</f>
        <v/>
      </c>
      <c r="L2893" s="40" t="str">
        <f>IFERROR(__xludf.DUMMYFUNCTION("IF(ISBLANK(B2893),"""",IF(ISDATE(B2893),TEXT(B2893,""M""),""""))"),"")</f>
        <v/>
      </c>
      <c r="M2893" s="29" t="str">
        <f>IFERROR(__xludf.DUMMYFUNCTION("IF(L2893="""","""",QUERY({'Dashboard-Dados'!$Y$2:$AA$13},""Select Col2 Where Col1=""&amp;L2893))"),"")</f>
        <v/>
      </c>
      <c r="N2893" s="29" t="str">
        <f>IFERROR(__xludf.DUMMYFUNCTION("IF(ISBLANK(B2893),"""",IF(ISDATE(B2893),TEXT(B2893,""yyyy""),""""))"),"")</f>
        <v/>
      </c>
    </row>
    <row r="2894">
      <c r="B2894" s="89"/>
      <c r="C2894" s="86"/>
      <c r="D2894" s="71"/>
      <c r="H2894" s="90"/>
      <c r="J2894" s="53" t="str">
        <f>IFERROR(__xludf.DUMMYFUNCTION("IF(ISBLANK(B2894),"""",IF(ISDATE(B2894),""X"",""""))"),"")</f>
        <v/>
      </c>
      <c r="K2894" s="40" t="str">
        <f>IFERROR(__xludf.DUMMYFUNCTION("IF(ISBLANK(B2894),"""",IF(ISDATE(B2894),H2894,""""))"),"")</f>
        <v/>
      </c>
      <c r="L2894" s="40" t="str">
        <f>IFERROR(__xludf.DUMMYFUNCTION("IF(ISBLANK(B2894),"""",IF(ISDATE(B2894),TEXT(B2894,""M""),""""))"),"")</f>
        <v/>
      </c>
      <c r="M2894" s="29" t="str">
        <f>IFERROR(__xludf.DUMMYFUNCTION("IF(L2894="""","""",QUERY({'Dashboard-Dados'!$Y$2:$AA$13},""Select Col2 Where Col1=""&amp;L2894))"),"")</f>
        <v/>
      </c>
      <c r="N2894" s="29" t="str">
        <f>IFERROR(__xludf.DUMMYFUNCTION("IF(ISBLANK(B2894),"""",IF(ISDATE(B2894),TEXT(B2894,""yyyy""),""""))"),"")</f>
        <v/>
      </c>
    </row>
    <row r="2895">
      <c r="B2895" s="87"/>
      <c r="C2895" s="85"/>
      <c r="D2895" s="76"/>
      <c r="H2895" s="88"/>
      <c r="J2895" s="53" t="str">
        <f>IFERROR(__xludf.DUMMYFUNCTION("IF(ISBLANK(B2895),"""",IF(ISDATE(B2895),""X"",""""))"),"")</f>
        <v/>
      </c>
      <c r="K2895" s="40" t="str">
        <f>IFERROR(__xludf.DUMMYFUNCTION("IF(ISBLANK(B2895),"""",IF(ISDATE(B2895),H2895,""""))"),"")</f>
        <v/>
      </c>
      <c r="L2895" s="40" t="str">
        <f>IFERROR(__xludf.DUMMYFUNCTION("IF(ISBLANK(B2895),"""",IF(ISDATE(B2895),TEXT(B2895,""M""),""""))"),"")</f>
        <v/>
      </c>
      <c r="M2895" s="29" t="str">
        <f>IFERROR(__xludf.DUMMYFUNCTION("IF(L2895="""","""",QUERY({'Dashboard-Dados'!$Y$2:$AA$13},""Select Col2 Where Col1=""&amp;L2895))"),"")</f>
        <v/>
      </c>
      <c r="N2895" s="29" t="str">
        <f>IFERROR(__xludf.DUMMYFUNCTION("IF(ISBLANK(B2895),"""",IF(ISDATE(B2895),TEXT(B2895,""yyyy""),""""))"),"")</f>
        <v/>
      </c>
    </row>
    <row r="2896">
      <c r="B2896" s="89"/>
      <c r="C2896" s="86"/>
      <c r="D2896" s="71"/>
      <c r="H2896" s="90"/>
      <c r="J2896" s="53" t="str">
        <f>IFERROR(__xludf.DUMMYFUNCTION("IF(ISBLANK(B2896),"""",IF(ISDATE(B2896),""X"",""""))"),"")</f>
        <v/>
      </c>
      <c r="K2896" s="40" t="str">
        <f>IFERROR(__xludf.DUMMYFUNCTION("IF(ISBLANK(B2896),"""",IF(ISDATE(B2896),H2896,""""))"),"")</f>
        <v/>
      </c>
      <c r="L2896" s="40" t="str">
        <f>IFERROR(__xludf.DUMMYFUNCTION("IF(ISBLANK(B2896),"""",IF(ISDATE(B2896),TEXT(B2896,""M""),""""))"),"")</f>
        <v/>
      </c>
      <c r="M2896" s="29" t="str">
        <f>IFERROR(__xludf.DUMMYFUNCTION("IF(L2896="""","""",QUERY({'Dashboard-Dados'!$Y$2:$AA$13},""Select Col2 Where Col1=""&amp;L2896))"),"")</f>
        <v/>
      </c>
      <c r="N2896" s="29" t="str">
        <f>IFERROR(__xludf.DUMMYFUNCTION("IF(ISBLANK(B2896),"""",IF(ISDATE(B2896),TEXT(B2896,""yyyy""),""""))"),"")</f>
        <v/>
      </c>
    </row>
    <row r="2897">
      <c r="B2897" s="87"/>
      <c r="C2897" s="85"/>
      <c r="D2897" s="76"/>
      <c r="H2897" s="88"/>
      <c r="J2897" s="53" t="str">
        <f>IFERROR(__xludf.DUMMYFUNCTION("IF(ISBLANK(B2897),"""",IF(ISDATE(B2897),""X"",""""))"),"")</f>
        <v/>
      </c>
      <c r="K2897" s="40" t="str">
        <f>IFERROR(__xludf.DUMMYFUNCTION("IF(ISBLANK(B2897),"""",IF(ISDATE(B2897),H2897,""""))"),"")</f>
        <v/>
      </c>
      <c r="L2897" s="40" t="str">
        <f>IFERROR(__xludf.DUMMYFUNCTION("IF(ISBLANK(B2897),"""",IF(ISDATE(B2897),TEXT(B2897,""M""),""""))"),"")</f>
        <v/>
      </c>
      <c r="M2897" s="29" t="str">
        <f>IFERROR(__xludf.DUMMYFUNCTION("IF(L2897="""","""",QUERY({'Dashboard-Dados'!$Y$2:$AA$13},""Select Col2 Where Col1=""&amp;L2897))"),"")</f>
        <v/>
      </c>
      <c r="N2897" s="29" t="str">
        <f>IFERROR(__xludf.DUMMYFUNCTION("IF(ISBLANK(B2897),"""",IF(ISDATE(B2897),TEXT(B2897,""yyyy""),""""))"),"")</f>
        <v/>
      </c>
    </row>
    <row r="2898">
      <c r="B2898" s="89"/>
      <c r="C2898" s="86"/>
      <c r="D2898" s="71"/>
      <c r="H2898" s="90"/>
      <c r="J2898" s="53" t="str">
        <f>IFERROR(__xludf.DUMMYFUNCTION("IF(ISBLANK(B2898),"""",IF(ISDATE(B2898),""X"",""""))"),"")</f>
        <v/>
      </c>
      <c r="K2898" s="40" t="str">
        <f>IFERROR(__xludf.DUMMYFUNCTION("IF(ISBLANK(B2898),"""",IF(ISDATE(B2898),H2898,""""))"),"")</f>
        <v/>
      </c>
      <c r="L2898" s="40" t="str">
        <f>IFERROR(__xludf.DUMMYFUNCTION("IF(ISBLANK(B2898),"""",IF(ISDATE(B2898),TEXT(B2898,""M""),""""))"),"")</f>
        <v/>
      </c>
      <c r="M2898" s="29" t="str">
        <f>IFERROR(__xludf.DUMMYFUNCTION("IF(L2898="""","""",QUERY({'Dashboard-Dados'!$Y$2:$AA$13},""Select Col2 Where Col1=""&amp;L2898))"),"")</f>
        <v/>
      </c>
      <c r="N2898" s="29" t="str">
        <f>IFERROR(__xludf.DUMMYFUNCTION("IF(ISBLANK(B2898),"""",IF(ISDATE(B2898),TEXT(B2898,""yyyy""),""""))"),"")</f>
        <v/>
      </c>
    </row>
    <row r="2899">
      <c r="B2899" s="87"/>
      <c r="C2899" s="85"/>
      <c r="D2899" s="76"/>
      <c r="H2899" s="88"/>
      <c r="J2899" s="53" t="str">
        <f>IFERROR(__xludf.DUMMYFUNCTION("IF(ISBLANK(B2899),"""",IF(ISDATE(B2899),""X"",""""))"),"")</f>
        <v/>
      </c>
      <c r="K2899" s="40" t="str">
        <f>IFERROR(__xludf.DUMMYFUNCTION("IF(ISBLANK(B2899),"""",IF(ISDATE(B2899),H2899,""""))"),"")</f>
        <v/>
      </c>
      <c r="L2899" s="40" t="str">
        <f>IFERROR(__xludf.DUMMYFUNCTION("IF(ISBLANK(B2899),"""",IF(ISDATE(B2899),TEXT(B2899,""M""),""""))"),"")</f>
        <v/>
      </c>
      <c r="M2899" s="29" t="str">
        <f>IFERROR(__xludf.DUMMYFUNCTION("IF(L2899="""","""",QUERY({'Dashboard-Dados'!$Y$2:$AA$13},""Select Col2 Where Col1=""&amp;L2899))"),"")</f>
        <v/>
      </c>
      <c r="N2899" s="29" t="str">
        <f>IFERROR(__xludf.DUMMYFUNCTION("IF(ISBLANK(B2899),"""",IF(ISDATE(B2899),TEXT(B2899,""yyyy""),""""))"),"")</f>
        <v/>
      </c>
    </row>
    <row r="2900">
      <c r="B2900" s="89"/>
      <c r="C2900" s="86"/>
      <c r="D2900" s="71"/>
      <c r="H2900" s="90"/>
      <c r="J2900" s="53" t="str">
        <f>IFERROR(__xludf.DUMMYFUNCTION("IF(ISBLANK(B2900),"""",IF(ISDATE(B2900),""X"",""""))"),"")</f>
        <v/>
      </c>
      <c r="K2900" s="40" t="str">
        <f>IFERROR(__xludf.DUMMYFUNCTION("IF(ISBLANK(B2900),"""",IF(ISDATE(B2900),H2900,""""))"),"")</f>
        <v/>
      </c>
      <c r="L2900" s="40" t="str">
        <f>IFERROR(__xludf.DUMMYFUNCTION("IF(ISBLANK(B2900),"""",IF(ISDATE(B2900),TEXT(B2900,""M""),""""))"),"")</f>
        <v/>
      </c>
      <c r="M2900" s="29" t="str">
        <f>IFERROR(__xludf.DUMMYFUNCTION("IF(L2900="""","""",QUERY({'Dashboard-Dados'!$Y$2:$AA$13},""Select Col2 Where Col1=""&amp;L2900))"),"")</f>
        <v/>
      </c>
      <c r="N2900" s="29" t="str">
        <f>IFERROR(__xludf.DUMMYFUNCTION("IF(ISBLANK(B2900),"""",IF(ISDATE(B2900),TEXT(B2900,""yyyy""),""""))"),"")</f>
        <v/>
      </c>
    </row>
    <row r="2901">
      <c r="B2901" s="87"/>
      <c r="C2901" s="85"/>
      <c r="D2901" s="76"/>
      <c r="H2901" s="88"/>
      <c r="J2901" s="53" t="str">
        <f>IFERROR(__xludf.DUMMYFUNCTION("IF(ISBLANK(B2901),"""",IF(ISDATE(B2901),""X"",""""))"),"")</f>
        <v/>
      </c>
      <c r="K2901" s="40" t="str">
        <f>IFERROR(__xludf.DUMMYFUNCTION("IF(ISBLANK(B2901),"""",IF(ISDATE(B2901),H2901,""""))"),"")</f>
        <v/>
      </c>
      <c r="L2901" s="40" t="str">
        <f>IFERROR(__xludf.DUMMYFUNCTION("IF(ISBLANK(B2901),"""",IF(ISDATE(B2901),TEXT(B2901,""M""),""""))"),"")</f>
        <v/>
      </c>
      <c r="M2901" s="29" t="str">
        <f>IFERROR(__xludf.DUMMYFUNCTION("IF(L2901="""","""",QUERY({'Dashboard-Dados'!$Y$2:$AA$13},""Select Col2 Where Col1=""&amp;L2901))"),"")</f>
        <v/>
      </c>
      <c r="N2901" s="29" t="str">
        <f>IFERROR(__xludf.DUMMYFUNCTION("IF(ISBLANK(B2901),"""",IF(ISDATE(B2901),TEXT(B2901,""yyyy""),""""))"),"")</f>
        <v/>
      </c>
    </row>
    <row r="2902">
      <c r="B2902" s="89"/>
      <c r="C2902" s="86"/>
      <c r="D2902" s="71"/>
      <c r="H2902" s="90"/>
      <c r="J2902" s="53" t="str">
        <f>IFERROR(__xludf.DUMMYFUNCTION("IF(ISBLANK(B2902),"""",IF(ISDATE(B2902),""X"",""""))"),"")</f>
        <v/>
      </c>
      <c r="K2902" s="40" t="str">
        <f>IFERROR(__xludf.DUMMYFUNCTION("IF(ISBLANK(B2902),"""",IF(ISDATE(B2902),H2902,""""))"),"")</f>
        <v/>
      </c>
      <c r="L2902" s="40" t="str">
        <f>IFERROR(__xludf.DUMMYFUNCTION("IF(ISBLANK(B2902),"""",IF(ISDATE(B2902),TEXT(B2902,""M""),""""))"),"")</f>
        <v/>
      </c>
      <c r="M2902" s="29" t="str">
        <f>IFERROR(__xludf.DUMMYFUNCTION("IF(L2902="""","""",QUERY({'Dashboard-Dados'!$Y$2:$AA$13},""Select Col2 Where Col1=""&amp;L2902))"),"")</f>
        <v/>
      </c>
      <c r="N2902" s="29" t="str">
        <f>IFERROR(__xludf.DUMMYFUNCTION("IF(ISBLANK(B2902),"""",IF(ISDATE(B2902),TEXT(B2902,""yyyy""),""""))"),"")</f>
        <v/>
      </c>
    </row>
    <row r="2903">
      <c r="B2903" s="87"/>
      <c r="C2903" s="85"/>
      <c r="D2903" s="76"/>
      <c r="H2903" s="88"/>
      <c r="J2903" s="53" t="str">
        <f>IFERROR(__xludf.DUMMYFUNCTION("IF(ISBLANK(B2903),"""",IF(ISDATE(B2903),""X"",""""))"),"")</f>
        <v/>
      </c>
      <c r="K2903" s="40" t="str">
        <f>IFERROR(__xludf.DUMMYFUNCTION("IF(ISBLANK(B2903),"""",IF(ISDATE(B2903),H2903,""""))"),"")</f>
        <v/>
      </c>
      <c r="L2903" s="40" t="str">
        <f>IFERROR(__xludf.DUMMYFUNCTION("IF(ISBLANK(B2903),"""",IF(ISDATE(B2903),TEXT(B2903,""M""),""""))"),"")</f>
        <v/>
      </c>
      <c r="M2903" s="29" t="str">
        <f>IFERROR(__xludf.DUMMYFUNCTION("IF(L2903="""","""",QUERY({'Dashboard-Dados'!$Y$2:$AA$13},""Select Col2 Where Col1=""&amp;L2903))"),"")</f>
        <v/>
      </c>
      <c r="N2903" s="29" t="str">
        <f>IFERROR(__xludf.DUMMYFUNCTION("IF(ISBLANK(B2903),"""",IF(ISDATE(B2903),TEXT(B2903,""yyyy""),""""))"),"")</f>
        <v/>
      </c>
    </row>
    <row r="2904">
      <c r="B2904" s="89"/>
      <c r="C2904" s="86"/>
      <c r="D2904" s="71"/>
      <c r="H2904" s="90"/>
      <c r="J2904" s="53" t="str">
        <f>IFERROR(__xludf.DUMMYFUNCTION("IF(ISBLANK(B2904),"""",IF(ISDATE(B2904),""X"",""""))"),"")</f>
        <v/>
      </c>
      <c r="K2904" s="40" t="str">
        <f>IFERROR(__xludf.DUMMYFUNCTION("IF(ISBLANK(B2904),"""",IF(ISDATE(B2904),H2904,""""))"),"")</f>
        <v/>
      </c>
      <c r="L2904" s="40" t="str">
        <f>IFERROR(__xludf.DUMMYFUNCTION("IF(ISBLANK(B2904),"""",IF(ISDATE(B2904),TEXT(B2904,""M""),""""))"),"")</f>
        <v/>
      </c>
      <c r="M2904" s="29" t="str">
        <f>IFERROR(__xludf.DUMMYFUNCTION("IF(L2904="""","""",QUERY({'Dashboard-Dados'!$Y$2:$AA$13},""Select Col2 Where Col1=""&amp;L2904))"),"")</f>
        <v/>
      </c>
      <c r="N2904" s="29" t="str">
        <f>IFERROR(__xludf.DUMMYFUNCTION("IF(ISBLANK(B2904),"""",IF(ISDATE(B2904),TEXT(B2904,""yyyy""),""""))"),"")</f>
        <v/>
      </c>
    </row>
    <row r="2905">
      <c r="B2905" s="87"/>
      <c r="C2905" s="85"/>
      <c r="D2905" s="76"/>
      <c r="H2905" s="88"/>
      <c r="J2905" s="53" t="str">
        <f>IFERROR(__xludf.DUMMYFUNCTION("IF(ISBLANK(B2905),"""",IF(ISDATE(B2905),""X"",""""))"),"")</f>
        <v/>
      </c>
      <c r="K2905" s="40" t="str">
        <f>IFERROR(__xludf.DUMMYFUNCTION("IF(ISBLANK(B2905),"""",IF(ISDATE(B2905),H2905,""""))"),"")</f>
        <v/>
      </c>
      <c r="L2905" s="40" t="str">
        <f>IFERROR(__xludf.DUMMYFUNCTION("IF(ISBLANK(B2905),"""",IF(ISDATE(B2905),TEXT(B2905,""M""),""""))"),"")</f>
        <v/>
      </c>
      <c r="M2905" s="29" t="str">
        <f>IFERROR(__xludf.DUMMYFUNCTION("IF(L2905="""","""",QUERY({'Dashboard-Dados'!$Y$2:$AA$13},""Select Col2 Where Col1=""&amp;L2905))"),"")</f>
        <v/>
      </c>
      <c r="N2905" s="29" t="str">
        <f>IFERROR(__xludf.DUMMYFUNCTION("IF(ISBLANK(B2905),"""",IF(ISDATE(B2905),TEXT(B2905,""yyyy""),""""))"),"")</f>
        <v/>
      </c>
    </row>
    <row r="2906">
      <c r="B2906" s="89"/>
      <c r="C2906" s="86"/>
      <c r="D2906" s="71"/>
      <c r="H2906" s="90"/>
      <c r="J2906" s="53" t="str">
        <f>IFERROR(__xludf.DUMMYFUNCTION("IF(ISBLANK(B2906),"""",IF(ISDATE(B2906),""X"",""""))"),"")</f>
        <v/>
      </c>
      <c r="K2906" s="40" t="str">
        <f>IFERROR(__xludf.DUMMYFUNCTION("IF(ISBLANK(B2906),"""",IF(ISDATE(B2906),H2906,""""))"),"")</f>
        <v/>
      </c>
      <c r="L2906" s="40" t="str">
        <f>IFERROR(__xludf.DUMMYFUNCTION("IF(ISBLANK(B2906),"""",IF(ISDATE(B2906),TEXT(B2906,""M""),""""))"),"")</f>
        <v/>
      </c>
      <c r="M2906" s="29" t="str">
        <f>IFERROR(__xludf.DUMMYFUNCTION("IF(L2906="""","""",QUERY({'Dashboard-Dados'!$Y$2:$AA$13},""Select Col2 Where Col1=""&amp;L2906))"),"")</f>
        <v/>
      </c>
      <c r="N2906" s="29" t="str">
        <f>IFERROR(__xludf.DUMMYFUNCTION("IF(ISBLANK(B2906),"""",IF(ISDATE(B2906),TEXT(B2906,""yyyy""),""""))"),"")</f>
        <v/>
      </c>
    </row>
    <row r="2907">
      <c r="B2907" s="87"/>
      <c r="C2907" s="85"/>
      <c r="D2907" s="76"/>
      <c r="H2907" s="88"/>
      <c r="J2907" s="53" t="str">
        <f>IFERROR(__xludf.DUMMYFUNCTION("IF(ISBLANK(B2907),"""",IF(ISDATE(B2907),""X"",""""))"),"")</f>
        <v/>
      </c>
      <c r="K2907" s="40" t="str">
        <f>IFERROR(__xludf.DUMMYFUNCTION("IF(ISBLANK(B2907),"""",IF(ISDATE(B2907),H2907,""""))"),"")</f>
        <v/>
      </c>
      <c r="L2907" s="40" t="str">
        <f>IFERROR(__xludf.DUMMYFUNCTION("IF(ISBLANK(B2907),"""",IF(ISDATE(B2907),TEXT(B2907,""M""),""""))"),"")</f>
        <v/>
      </c>
      <c r="M2907" s="29" t="str">
        <f>IFERROR(__xludf.DUMMYFUNCTION("IF(L2907="""","""",QUERY({'Dashboard-Dados'!$Y$2:$AA$13},""Select Col2 Where Col1=""&amp;L2907))"),"")</f>
        <v/>
      </c>
      <c r="N2907" s="29" t="str">
        <f>IFERROR(__xludf.DUMMYFUNCTION("IF(ISBLANK(B2907),"""",IF(ISDATE(B2907),TEXT(B2907,""yyyy""),""""))"),"")</f>
        <v/>
      </c>
    </row>
    <row r="2908">
      <c r="B2908" s="89"/>
      <c r="C2908" s="86"/>
      <c r="D2908" s="71"/>
      <c r="H2908" s="90"/>
      <c r="J2908" s="53" t="str">
        <f>IFERROR(__xludf.DUMMYFUNCTION("IF(ISBLANK(B2908),"""",IF(ISDATE(B2908),""X"",""""))"),"")</f>
        <v/>
      </c>
      <c r="K2908" s="40" t="str">
        <f>IFERROR(__xludf.DUMMYFUNCTION("IF(ISBLANK(B2908),"""",IF(ISDATE(B2908),H2908,""""))"),"")</f>
        <v/>
      </c>
      <c r="L2908" s="40" t="str">
        <f>IFERROR(__xludf.DUMMYFUNCTION("IF(ISBLANK(B2908),"""",IF(ISDATE(B2908),TEXT(B2908,""M""),""""))"),"")</f>
        <v/>
      </c>
      <c r="M2908" s="29" t="str">
        <f>IFERROR(__xludf.DUMMYFUNCTION("IF(L2908="""","""",QUERY({'Dashboard-Dados'!$Y$2:$AA$13},""Select Col2 Where Col1=""&amp;L2908))"),"")</f>
        <v/>
      </c>
      <c r="N2908" s="29" t="str">
        <f>IFERROR(__xludf.DUMMYFUNCTION("IF(ISBLANK(B2908),"""",IF(ISDATE(B2908),TEXT(B2908,""yyyy""),""""))"),"")</f>
        <v/>
      </c>
    </row>
    <row r="2909">
      <c r="B2909" s="87"/>
      <c r="C2909" s="85"/>
      <c r="D2909" s="76"/>
      <c r="H2909" s="88"/>
      <c r="J2909" s="53" t="str">
        <f>IFERROR(__xludf.DUMMYFUNCTION("IF(ISBLANK(B2909),"""",IF(ISDATE(B2909),""X"",""""))"),"")</f>
        <v/>
      </c>
      <c r="K2909" s="40" t="str">
        <f>IFERROR(__xludf.DUMMYFUNCTION("IF(ISBLANK(B2909),"""",IF(ISDATE(B2909),H2909,""""))"),"")</f>
        <v/>
      </c>
      <c r="L2909" s="40" t="str">
        <f>IFERROR(__xludf.DUMMYFUNCTION("IF(ISBLANK(B2909),"""",IF(ISDATE(B2909),TEXT(B2909,""M""),""""))"),"")</f>
        <v/>
      </c>
      <c r="M2909" s="29" t="str">
        <f>IFERROR(__xludf.DUMMYFUNCTION("IF(L2909="""","""",QUERY({'Dashboard-Dados'!$Y$2:$AA$13},""Select Col2 Where Col1=""&amp;L2909))"),"")</f>
        <v/>
      </c>
      <c r="N2909" s="29" t="str">
        <f>IFERROR(__xludf.DUMMYFUNCTION("IF(ISBLANK(B2909),"""",IF(ISDATE(B2909),TEXT(B2909,""yyyy""),""""))"),"")</f>
        <v/>
      </c>
    </row>
    <row r="2910">
      <c r="B2910" s="89"/>
      <c r="C2910" s="86"/>
      <c r="D2910" s="71"/>
      <c r="H2910" s="90"/>
      <c r="J2910" s="53" t="str">
        <f>IFERROR(__xludf.DUMMYFUNCTION("IF(ISBLANK(B2910),"""",IF(ISDATE(B2910),""X"",""""))"),"")</f>
        <v/>
      </c>
      <c r="K2910" s="40" t="str">
        <f>IFERROR(__xludf.DUMMYFUNCTION("IF(ISBLANK(B2910),"""",IF(ISDATE(B2910),H2910,""""))"),"")</f>
        <v/>
      </c>
      <c r="L2910" s="40" t="str">
        <f>IFERROR(__xludf.DUMMYFUNCTION("IF(ISBLANK(B2910),"""",IF(ISDATE(B2910),TEXT(B2910,""M""),""""))"),"")</f>
        <v/>
      </c>
      <c r="M2910" s="29" t="str">
        <f>IFERROR(__xludf.DUMMYFUNCTION("IF(L2910="""","""",QUERY({'Dashboard-Dados'!$Y$2:$AA$13},""Select Col2 Where Col1=""&amp;L2910))"),"")</f>
        <v/>
      </c>
      <c r="N2910" s="29" t="str">
        <f>IFERROR(__xludf.DUMMYFUNCTION("IF(ISBLANK(B2910),"""",IF(ISDATE(B2910),TEXT(B2910,""yyyy""),""""))"),"")</f>
        <v/>
      </c>
    </row>
    <row r="2911">
      <c r="B2911" s="87"/>
      <c r="C2911" s="85"/>
      <c r="D2911" s="76"/>
      <c r="H2911" s="88"/>
      <c r="J2911" s="53" t="str">
        <f>IFERROR(__xludf.DUMMYFUNCTION("IF(ISBLANK(B2911),"""",IF(ISDATE(B2911),""X"",""""))"),"")</f>
        <v/>
      </c>
      <c r="K2911" s="40" t="str">
        <f>IFERROR(__xludf.DUMMYFUNCTION("IF(ISBLANK(B2911),"""",IF(ISDATE(B2911),H2911,""""))"),"")</f>
        <v/>
      </c>
      <c r="L2911" s="40" t="str">
        <f>IFERROR(__xludf.DUMMYFUNCTION("IF(ISBLANK(B2911),"""",IF(ISDATE(B2911),TEXT(B2911,""M""),""""))"),"")</f>
        <v/>
      </c>
      <c r="M2911" s="29" t="str">
        <f>IFERROR(__xludf.DUMMYFUNCTION("IF(L2911="""","""",QUERY({'Dashboard-Dados'!$Y$2:$AA$13},""Select Col2 Where Col1=""&amp;L2911))"),"")</f>
        <v/>
      </c>
      <c r="N2911" s="29" t="str">
        <f>IFERROR(__xludf.DUMMYFUNCTION("IF(ISBLANK(B2911),"""",IF(ISDATE(B2911),TEXT(B2911,""yyyy""),""""))"),"")</f>
        <v/>
      </c>
    </row>
    <row r="2912">
      <c r="B2912" s="89"/>
      <c r="C2912" s="86"/>
      <c r="D2912" s="71"/>
      <c r="H2912" s="90"/>
      <c r="J2912" s="53" t="str">
        <f>IFERROR(__xludf.DUMMYFUNCTION("IF(ISBLANK(B2912),"""",IF(ISDATE(B2912),""X"",""""))"),"")</f>
        <v/>
      </c>
      <c r="K2912" s="40" t="str">
        <f>IFERROR(__xludf.DUMMYFUNCTION("IF(ISBLANK(B2912),"""",IF(ISDATE(B2912),H2912,""""))"),"")</f>
        <v/>
      </c>
      <c r="L2912" s="40" t="str">
        <f>IFERROR(__xludf.DUMMYFUNCTION("IF(ISBLANK(B2912),"""",IF(ISDATE(B2912),TEXT(B2912,""M""),""""))"),"")</f>
        <v/>
      </c>
      <c r="M2912" s="29" t="str">
        <f>IFERROR(__xludf.DUMMYFUNCTION("IF(L2912="""","""",QUERY({'Dashboard-Dados'!$Y$2:$AA$13},""Select Col2 Where Col1=""&amp;L2912))"),"")</f>
        <v/>
      </c>
      <c r="N2912" s="29" t="str">
        <f>IFERROR(__xludf.DUMMYFUNCTION("IF(ISBLANK(B2912),"""",IF(ISDATE(B2912),TEXT(B2912,""yyyy""),""""))"),"")</f>
        <v/>
      </c>
    </row>
    <row r="2913">
      <c r="B2913" s="87"/>
      <c r="C2913" s="85"/>
      <c r="D2913" s="76"/>
      <c r="H2913" s="88"/>
      <c r="J2913" s="53" t="str">
        <f>IFERROR(__xludf.DUMMYFUNCTION("IF(ISBLANK(B2913),"""",IF(ISDATE(B2913),""X"",""""))"),"")</f>
        <v/>
      </c>
      <c r="K2913" s="40" t="str">
        <f>IFERROR(__xludf.DUMMYFUNCTION("IF(ISBLANK(B2913),"""",IF(ISDATE(B2913),H2913,""""))"),"")</f>
        <v/>
      </c>
      <c r="L2913" s="40" t="str">
        <f>IFERROR(__xludf.DUMMYFUNCTION("IF(ISBLANK(B2913),"""",IF(ISDATE(B2913),TEXT(B2913,""M""),""""))"),"")</f>
        <v/>
      </c>
      <c r="M2913" s="29" t="str">
        <f>IFERROR(__xludf.DUMMYFUNCTION("IF(L2913="""","""",QUERY({'Dashboard-Dados'!$Y$2:$AA$13},""Select Col2 Where Col1=""&amp;L2913))"),"")</f>
        <v/>
      </c>
      <c r="N2913" s="29" t="str">
        <f>IFERROR(__xludf.DUMMYFUNCTION("IF(ISBLANK(B2913),"""",IF(ISDATE(B2913),TEXT(B2913,""yyyy""),""""))"),"")</f>
        <v/>
      </c>
    </row>
    <row r="2914">
      <c r="B2914" s="89"/>
      <c r="C2914" s="86"/>
      <c r="D2914" s="71"/>
      <c r="H2914" s="90"/>
      <c r="J2914" s="53" t="str">
        <f>IFERROR(__xludf.DUMMYFUNCTION("IF(ISBLANK(B2914),"""",IF(ISDATE(B2914),""X"",""""))"),"")</f>
        <v/>
      </c>
      <c r="K2914" s="40" t="str">
        <f>IFERROR(__xludf.DUMMYFUNCTION("IF(ISBLANK(B2914),"""",IF(ISDATE(B2914),H2914,""""))"),"")</f>
        <v/>
      </c>
      <c r="L2914" s="40" t="str">
        <f>IFERROR(__xludf.DUMMYFUNCTION("IF(ISBLANK(B2914),"""",IF(ISDATE(B2914),TEXT(B2914,""M""),""""))"),"")</f>
        <v/>
      </c>
      <c r="M2914" s="29" t="str">
        <f>IFERROR(__xludf.DUMMYFUNCTION("IF(L2914="""","""",QUERY({'Dashboard-Dados'!$Y$2:$AA$13},""Select Col2 Where Col1=""&amp;L2914))"),"")</f>
        <v/>
      </c>
      <c r="N2914" s="29" t="str">
        <f>IFERROR(__xludf.DUMMYFUNCTION("IF(ISBLANK(B2914),"""",IF(ISDATE(B2914),TEXT(B2914,""yyyy""),""""))"),"")</f>
        <v/>
      </c>
    </row>
    <row r="2915">
      <c r="B2915" s="87"/>
      <c r="C2915" s="85"/>
      <c r="D2915" s="76"/>
      <c r="H2915" s="88"/>
      <c r="J2915" s="53" t="str">
        <f>IFERROR(__xludf.DUMMYFUNCTION("IF(ISBLANK(B2915),"""",IF(ISDATE(B2915),""X"",""""))"),"")</f>
        <v/>
      </c>
      <c r="K2915" s="40" t="str">
        <f>IFERROR(__xludf.DUMMYFUNCTION("IF(ISBLANK(B2915),"""",IF(ISDATE(B2915),H2915,""""))"),"")</f>
        <v/>
      </c>
      <c r="L2915" s="40" t="str">
        <f>IFERROR(__xludf.DUMMYFUNCTION("IF(ISBLANK(B2915),"""",IF(ISDATE(B2915),TEXT(B2915,""M""),""""))"),"")</f>
        <v/>
      </c>
      <c r="M2915" s="29" t="str">
        <f>IFERROR(__xludf.DUMMYFUNCTION("IF(L2915="""","""",QUERY({'Dashboard-Dados'!$Y$2:$AA$13},""Select Col2 Where Col1=""&amp;L2915))"),"")</f>
        <v/>
      </c>
      <c r="N2915" s="29" t="str">
        <f>IFERROR(__xludf.DUMMYFUNCTION("IF(ISBLANK(B2915),"""",IF(ISDATE(B2915),TEXT(B2915,""yyyy""),""""))"),"")</f>
        <v/>
      </c>
    </row>
    <row r="2916">
      <c r="B2916" s="89"/>
      <c r="C2916" s="86"/>
      <c r="D2916" s="71"/>
      <c r="H2916" s="90"/>
      <c r="J2916" s="53" t="str">
        <f>IFERROR(__xludf.DUMMYFUNCTION("IF(ISBLANK(B2916),"""",IF(ISDATE(B2916),""X"",""""))"),"")</f>
        <v/>
      </c>
      <c r="K2916" s="40" t="str">
        <f>IFERROR(__xludf.DUMMYFUNCTION("IF(ISBLANK(B2916),"""",IF(ISDATE(B2916),H2916,""""))"),"")</f>
        <v/>
      </c>
      <c r="L2916" s="40" t="str">
        <f>IFERROR(__xludf.DUMMYFUNCTION("IF(ISBLANK(B2916),"""",IF(ISDATE(B2916),TEXT(B2916,""M""),""""))"),"")</f>
        <v/>
      </c>
      <c r="M2916" s="29" t="str">
        <f>IFERROR(__xludf.DUMMYFUNCTION("IF(L2916="""","""",QUERY({'Dashboard-Dados'!$Y$2:$AA$13},""Select Col2 Where Col1=""&amp;L2916))"),"")</f>
        <v/>
      </c>
      <c r="N2916" s="29" t="str">
        <f>IFERROR(__xludf.DUMMYFUNCTION("IF(ISBLANK(B2916),"""",IF(ISDATE(B2916),TEXT(B2916,""yyyy""),""""))"),"")</f>
        <v/>
      </c>
    </row>
    <row r="2917">
      <c r="B2917" s="87"/>
      <c r="C2917" s="85"/>
      <c r="D2917" s="76"/>
      <c r="H2917" s="88"/>
      <c r="J2917" s="53" t="str">
        <f>IFERROR(__xludf.DUMMYFUNCTION("IF(ISBLANK(B2917),"""",IF(ISDATE(B2917),""X"",""""))"),"")</f>
        <v/>
      </c>
      <c r="K2917" s="40" t="str">
        <f>IFERROR(__xludf.DUMMYFUNCTION("IF(ISBLANK(B2917),"""",IF(ISDATE(B2917),H2917,""""))"),"")</f>
        <v/>
      </c>
      <c r="L2917" s="40" t="str">
        <f>IFERROR(__xludf.DUMMYFUNCTION("IF(ISBLANK(B2917),"""",IF(ISDATE(B2917),TEXT(B2917,""M""),""""))"),"")</f>
        <v/>
      </c>
      <c r="M2917" s="29" t="str">
        <f>IFERROR(__xludf.DUMMYFUNCTION("IF(L2917="""","""",QUERY({'Dashboard-Dados'!$Y$2:$AA$13},""Select Col2 Where Col1=""&amp;L2917))"),"")</f>
        <v/>
      </c>
      <c r="N2917" s="29" t="str">
        <f>IFERROR(__xludf.DUMMYFUNCTION("IF(ISBLANK(B2917),"""",IF(ISDATE(B2917),TEXT(B2917,""yyyy""),""""))"),"")</f>
        <v/>
      </c>
    </row>
    <row r="2918">
      <c r="B2918" s="89"/>
      <c r="C2918" s="86"/>
      <c r="D2918" s="71"/>
      <c r="H2918" s="90"/>
      <c r="J2918" s="53" t="str">
        <f>IFERROR(__xludf.DUMMYFUNCTION("IF(ISBLANK(B2918),"""",IF(ISDATE(B2918),""X"",""""))"),"")</f>
        <v/>
      </c>
      <c r="K2918" s="40" t="str">
        <f>IFERROR(__xludf.DUMMYFUNCTION("IF(ISBLANK(B2918),"""",IF(ISDATE(B2918),H2918,""""))"),"")</f>
        <v/>
      </c>
      <c r="L2918" s="40" t="str">
        <f>IFERROR(__xludf.DUMMYFUNCTION("IF(ISBLANK(B2918),"""",IF(ISDATE(B2918),TEXT(B2918,""M""),""""))"),"")</f>
        <v/>
      </c>
      <c r="M2918" s="29" t="str">
        <f>IFERROR(__xludf.DUMMYFUNCTION("IF(L2918="""","""",QUERY({'Dashboard-Dados'!$Y$2:$AA$13},""Select Col2 Where Col1=""&amp;L2918))"),"")</f>
        <v/>
      </c>
      <c r="N2918" s="29" t="str">
        <f>IFERROR(__xludf.DUMMYFUNCTION("IF(ISBLANK(B2918),"""",IF(ISDATE(B2918),TEXT(B2918,""yyyy""),""""))"),"")</f>
        <v/>
      </c>
    </row>
    <row r="2919">
      <c r="B2919" s="87"/>
      <c r="C2919" s="85"/>
      <c r="D2919" s="76"/>
      <c r="H2919" s="88"/>
      <c r="J2919" s="53" t="str">
        <f>IFERROR(__xludf.DUMMYFUNCTION("IF(ISBLANK(B2919),"""",IF(ISDATE(B2919),""X"",""""))"),"")</f>
        <v/>
      </c>
      <c r="K2919" s="40" t="str">
        <f>IFERROR(__xludf.DUMMYFUNCTION("IF(ISBLANK(B2919),"""",IF(ISDATE(B2919),H2919,""""))"),"")</f>
        <v/>
      </c>
      <c r="L2919" s="40" t="str">
        <f>IFERROR(__xludf.DUMMYFUNCTION("IF(ISBLANK(B2919),"""",IF(ISDATE(B2919),TEXT(B2919,""M""),""""))"),"")</f>
        <v/>
      </c>
      <c r="M2919" s="29" t="str">
        <f>IFERROR(__xludf.DUMMYFUNCTION("IF(L2919="""","""",QUERY({'Dashboard-Dados'!$Y$2:$AA$13},""Select Col2 Where Col1=""&amp;L2919))"),"")</f>
        <v/>
      </c>
      <c r="N2919" s="29" t="str">
        <f>IFERROR(__xludf.DUMMYFUNCTION("IF(ISBLANK(B2919),"""",IF(ISDATE(B2919),TEXT(B2919,""yyyy""),""""))"),"")</f>
        <v/>
      </c>
    </row>
    <row r="2920">
      <c r="B2920" s="89"/>
      <c r="C2920" s="86"/>
      <c r="D2920" s="71"/>
      <c r="H2920" s="90"/>
      <c r="J2920" s="53" t="str">
        <f>IFERROR(__xludf.DUMMYFUNCTION("IF(ISBLANK(B2920),"""",IF(ISDATE(B2920),""X"",""""))"),"")</f>
        <v/>
      </c>
      <c r="K2920" s="40" t="str">
        <f>IFERROR(__xludf.DUMMYFUNCTION("IF(ISBLANK(B2920),"""",IF(ISDATE(B2920),H2920,""""))"),"")</f>
        <v/>
      </c>
      <c r="L2920" s="40" t="str">
        <f>IFERROR(__xludf.DUMMYFUNCTION("IF(ISBLANK(B2920),"""",IF(ISDATE(B2920),TEXT(B2920,""M""),""""))"),"")</f>
        <v/>
      </c>
      <c r="M2920" s="29" t="str">
        <f>IFERROR(__xludf.DUMMYFUNCTION("IF(L2920="""","""",QUERY({'Dashboard-Dados'!$Y$2:$AA$13},""Select Col2 Where Col1=""&amp;L2920))"),"")</f>
        <v/>
      </c>
      <c r="N2920" s="29" t="str">
        <f>IFERROR(__xludf.DUMMYFUNCTION("IF(ISBLANK(B2920),"""",IF(ISDATE(B2920),TEXT(B2920,""yyyy""),""""))"),"")</f>
        <v/>
      </c>
    </row>
    <row r="2921">
      <c r="B2921" s="87"/>
      <c r="C2921" s="85"/>
      <c r="D2921" s="76"/>
      <c r="H2921" s="88"/>
      <c r="J2921" s="53" t="str">
        <f>IFERROR(__xludf.DUMMYFUNCTION("IF(ISBLANK(B2921),"""",IF(ISDATE(B2921),""X"",""""))"),"")</f>
        <v/>
      </c>
      <c r="K2921" s="40" t="str">
        <f>IFERROR(__xludf.DUMMYFUNCTION("IF(ISBLANK(B2921),"""",IF(ISDATE(B2921),H2921,""""))"),"")</f>
        <v/>
      </c>
      <c r="L2921" s="40" t="str">
        <f>IFERROR(__xludf.DUMMYFUNCTION("IF(ISBLANK(B2921),"""",IF(ISDATE(B2921),TEXT(B2921,""M""),""""))"),"")</f>
        <v/>
      </c>
      <c r="M2921" s="29" t="str">
        <f>IFERROR(__xludf.DUMMYFUNCTION("IF(L2921="""","""",QUERY({'Dashboard-Dados'!$Y$2:$AA$13},""Select Col2 Where Col1=""&amp;L2921))"),"")</f>
        <v/>
      </c>
      <c r="N2921" s="29" t="str">
        <f>IFERROR(__xludf.DUMMYFUNCTION("IF(ISBLANK(B2921),"""",IF(ISDATE(B2921),TEXT(B2921,""yyyy""),""""))"),"")</f>
        <v/>
      </c>
    </row>
    <row r="2922">
      <c r="B2922" s="89"/>
      <c r="C2922" s="86"/>
      <c r="D2922" s="71"/>
      <c r="H2922" s="90"/>
      <c r="J2922" s="53" t="str">
        <f>IFERROR(__xludf.DUMMYFUNCTION("IF(ISBLANK(B2922),"""",IF(ISDATE(B2922),""X"",""""))"),"")</f>
        <v/>
      </c>
      <c r="K2922" s="40" t="str">
        <f>IFERROR(__xludf.DUMMYFUNCTION("IF(ISBLANK(B2922),"""",IF(ISDATE(B2922),H2922,""""))"),"")</f>
        <v/>
      </c>
      <c r="L2922" s="40" t="str">
        <f>IFERROR(__xludf.DUMMYFUNCTION("IF(ISBLANK(B2922),"""",IF(ISDATE(B2922),TEXT(B2922,""M""),""""))"),"")</f>
        <v/>
      </c>
      <c r="M2922" s="29" t="str">
        <f>IFERROR(__xludf.DUMMYFUNCTION("IF(L2922="""","""",QUERY({'Dashboard-Dados'!$Y$2:$AA$13},""Select Col2 Where Col1=""&amp;L2922))"),"")</f>
        <v/>
      </c>
      <c r="N2922" s="29" t="str">
        <f>IFERROR(__xludf.DUMMYFUNCTION("IF(ISBLANK(B2922),"""",IF(ISDATE(B2922),TEXT(B2922,""yyyy""),""""))"),"")</f>
        <v/>
      </c>
    </row>
    <row r="2923">
      <c r="B2923" s="87"/>
      <c r="C2923" s="85"/>
      <c r="D2923" s="76"/>
      <c r="H2923" s="88"/>
      <c r="J2923" s="53" t="str">
        <f>IFERROR(__xludf.DUMMYFUNCTION("IF(ISBLANK(B2923),"""",IF(ISDATE(B2923),""X"",""""))"),"")</f>
        <v/>
      </c>
      <c r="K2923" s="40" t="str">
        <f>IFERROR(__xludf.DUMMYFUNCTION("IF(ISBLANK(B2923),"""",IF(ISDATE(B2923),H2923,""""))"),"")</f>
        <v/>
      </c>
      <c r="L2923" s="40" t="str">
        <f>IFERROR(__xludf.DUMMYFUNCTION("IF(ISBLANK(B2923),"""",IF(ISDATE(B2923),TEXT(B2923,""M""),""""))"),"")</f>
        <v/>
      </c>
      <c r="M2923" s="29" t="str">
        <f>IFERROR(__xludf.DUMMYFUNCTION("IF(L2923="""","""",QUERY({'Dashboard-Dados'!$Y$2:$AA$13},""Select Col2 Where Col1=""&amp;L2923))"),"")</f>
        <v/>
      </c>
      <c r="N2923" s="29" t="str">
        <f>IFERROR(__xludf.DUMMYFUNCTION("IF(ISBLANK(B2923),"""",IF(ISDATE(B2923),TEXT(B2923,""yyyy""),""""))"),"")</f>
        <v/>
      </c>
    </row>
    <row r="2924">
      <c r="B2924" s="89"/>
      <c r="C2924" s="86"/>
      <c r="D2924" s="71"/>
      <c r="H2924" s="90"/>
      <c r="J2924" s="53" t="str">
        <f>IFERROR(__xludf.DUMMYFUNCTION("IF(ISBLANK(B2924),"""",IF(ISDATE(B2924),""X"",""""))"),"")</f>
        <v/>
      </c>
      <c r="K2924" s="40" t="str">
        <f>IFERROR(__xludf.DUMMYFUNCTION("IF(ISBLANK(B2924),"""",IF(ISDATE(B2924),H2924,""""))"),"")</f>
        <v/>
      </c>
      <c r="L2924" s="40" t="str">
        <f>IFERROR(__xludf.DUMMYFUNCTION("IF(ISBLANK(B2924),"""",IF(ISDATE(B2924),TEXT(B2924,""M""),""""))"),"")</f>
        <v/>
      </c>
      <c r="M2924" s="29" t="str">
        <f>IFERROR(__xludf.DUMMYFUNCTION("IF(L2924="""","""",QUERY({'Dashboard-Dados'!$Y$2:$AA$13},""Select Col2 Where Col1=""&amp;L2924))"),"")</f>
        <v/>
      </c>
      <c r="N2924" s="29" t="str">
        <f>IFERROR(__xludf.DUMMYFUNCTION("IF(ISBLANK(B2924),"""",IF(ISDATE(B2924),TEXT(B2924,""yyyy""),""""))"),"")</f>
        <v/>
      </c>
    </row>
    <row r="2925">
      <c r="B2925" s="87"/>
      <c r="C2925" s="85"/>
      <c r="D2925" s="76"/>
      <c r="H2925" s="88"/>
      <c r="J2925" s="53" t="str">
        <f>IFERROR(__xludf.DUMMYFUNCTION("IF(ISBLANK(B2925),"""",IF(ISDATE(B2925),""X"",""""))"),"")</f>
        <v/>
      </c>
      <c r="K2925" s="40" t="str">
        <f>IFERROR(__xludf.DUMMYFUNCTION("IF(ISBLANK(B2925),"""",IF(ISDATE(B2925),H2925,""""))"),"")</f>
        <v/>
      </c>
      <c r="L2925" s="40" t="str">
        <f>IFERROR(__xludf.DUMMYFUNCTION("IF(ISBLANK(B2925),"""",IF(ISDATE(B2925),TEXT(B2925,""M""),""""))"),"")</f>
        <v/>
      </c>
      <c r="M2925" s="29" t="str">
        <f>IFERROR(__xludf.DUMMYFUNCTION("IF(L2925="""","""",QUERY({'Dashboard-Dados'!$Y$2:$AA$13},""Select Col2 Where Col1=""&amp;L2925))"),"")</f>
        <v/>
      </c>
      <c r="N2925" s="29" t="str">
        <f>IFERROR(__xludf.DUMMYFUNCTION("IF(ISBLANK(B2925),"""",IF(ISDATE(B2925),TEXT(B2925,""yyyy""),""""))"),"")</f>
        <v/>
      </c>
    </row>
    <row r="2926">
      <c r="B2926" s="89"/>
      <c r="C2926" s="86"/>
      <c r="D2926" s="71"/>
      <c r="H2926" s="90"/>
      <c r="J2926" s="53" t="str">
        <f>IFERROR(__xludf.DUMMYFUNCTION("IF(ISBLANK(B2926),"""",IF(ISDATE(B2926),""X"",""""))"),"")</f>
        <v/>
      </c>
      <c r="K2926" s="40" t="str">
        <f>IFERROR(__xludf.DUMMYFUNCTION("IF(ISBLANK(B2926),"""",IF(ISDATE(B2926),H2926,""""))"),"")</f>
        <v/>
      </c>
      <c r="L2926" s="40" t="str">
        <f>IFERROR(__xludf.DUMMYFUNCTION("IF(ISBLANK(B2926),"""",IF(ISDATE(B2926),TEXT(B2926,""M""),""""))"),"")</f>
        <v/>
      </c>
      <c r="M2926" s="29" t="str">
        <f>IFERROR(__xludf.DUMMYFUNCTION("IF(L2926="""","""",QUERY({'Dashboard-Dados'!$Y$2:$AA$13},""Select Col2 Where Col1=""&amp;L2926))"),"")</f>
        <v/>
      </c>
      <c r="N2926" s="29" t="str">
        <f>IFERROR(__xludf.DUMMYFUNCTION("IF(ISBLANK(B2926),"""",IF(ISDATE(B2926),TEXT(B2926,""yyyy""),""""))"),"")</f>
        <v/>
      </c>
    </row>
    <row r="2927">
      <c r="B2927" s="87"/>
      <c r="C2927" s="85"/>
      <c r="D2927" s="76"/>
      <c r="H2927" s="88"/>
      <c r="J2927" s="53" t="str">
        <f>IFERROR(__xludf.DUMMYFUNCTION("IF(ISBLANK(B2927),"""",IF(ISDATE(B2927),""X"",""""))"),"")</f>
        <v/>
      </c>
      <c r="K2927" s="40" t="str">
        <f>IFERROR(__xludf.DUMMYFUNCTION("IF(ISBLANK(B2927),"""",IF(ISDATE(B2927),H2927,""""))"),"")</f>
        <v/>
      </c>
      <c r="L2927" s="40" t="str">
        <f>IFERROR(__xludf.DUMMYFUNCTION("IF(ISBLANK(B2927),"""",IF(ISDATE(B2927),TEXT(B2927,""M""),""""))"),"")</f>
        <v/>
      </c>
      <c r="M2927" s="29" t="str">
        <f>IFERROR(__xludf.DUMMYFUNCTION("IF(L2927="""","""",QUERY({'Dashboard-Dados'!$Y$2:$AA$13},""Select Col2 Where Col1=""&amp;L2927))"),"")</f>
        <v/>
      </c>
      <c r="N2927" s="29" t="str">
        <f>IFERROR(__xludf.DUMMYFUNCTION("IF(ISBLANK(B2927),"""",IF(ISDATE(B2927),TEXT(B2927,""yyyy""),""""))"),"")</f>
        <v/>
      </c>
    </row>
    <row r="2928">
      <c r="B2928" s="89"/>
      <c r="C2928" s="86"/>
      <c r="D2928" s="71"/>
      <c r="H2928" s="90"/>
      <c r="J2928" s="53" t="str">
        <f>IFERROR(__xludf.DUMMYFUNCTION("IF(ISBLANK(B2928),"""",IF(ISDATE(B2928),""X"",""""))"),"")</f>
        <v/>
      </c>
      <c r="K2928" s="40" t="str">
        <f>IFERROR(__xludf.DUMMYFUNCTION("IF(ISBLANK(B2928),"""",IF(ISDATE(B2928),H2928,""""))"),"")</f>
        <v/>
      </c>
      <c r="L2928" s="40" t="str">
        <f>IFERROR(__xludf.DUMMYFUNCTION("IF(ISBLANK(B2928),"""",IF(ISDATE(B2928),TEXT(B2928,""M""),""""))"),"")</f>
        <v/>
      </c>
      <c r="M2928" s="29" t="str">
        <f>IFERROR(__xludf.DUMMYFUNCTION("IF(L2928="""","""",QUERY({'Dashboard-Dados'!$Y$2:$AA$13},""Select Col2 Where Col1=""&amp;L2928))"),"")</f>
        <v/>
      </c>
      <c r="N2928" s="29" t="str">
        <f>IFERROR(__xludf.DUMMYFUNCTION("IF(ISBLANK(B2928),"""",IF(ISDATE(B2928),TEXT(B2928,""yyyy""),""""))"),"")</f>
        <v/>
      </c>
    </row>
    <row r="2929">
      <c r="B2929" s="87"/>
      <c r="C2929" s="85"/>
      <c r="D2929" s="76"/>
      <c r="H2929" s="88"/>
      <c r="J2929" s="53" t="str">
        <f>IFERROR(__xludf.DUMMYFUNCTION("IF(ISBLANK(B2929),"""",IF(ISDATE(B2929),""X"",""""))"),"")</f>
        <v/>
      </c>
      <c r="K2929" s="40" t="str">
        <f>IFERROR(__xludf.DUMMYFUNCTION("IF(ISBLANK(B2929),"""",IF(ISDATE(B2929),H2929,""""))"),"")</f>
        <v/>
      </c>
      <c r="L2929" s="40" t="str">
        <f>IFERROR(__xludf.DUMMYFUNCTION("IF(ISBLANK(B2929),"""",IF(ISDATE(B2929),TEXT(B2929,""M""),""""))"),"")</f>
        <v/>
      </c>
      <c r="M2929" s="29" t="str">
        <f>IFERROR(__xludf.DUMMYFUNCTION("IF(L2929="""","""",QUERY({'Dashboard-Dados'!$Y$2:$AA$13},""Select Col2 Where Col1=""&amp;L2929))"),"")</f>
        <v/>
      </c>
      <c r="N2929" s="29" t="str">
        <f>IFERROR(__xludf.DUMMYFUNCTION("IF(ISBLANK(B2929),"""",IF(ISDATE(B2929),TEXT(B2929,""yyyy""),""""))"),"")</f>
        <v/>
      </c>
    </row>
    <row r="2930">
      <c r="B2930" s="89"/>
      <c r="C2930" s="86"/>
      <c r="D2930" s="71"/>
      <c r="H2930" s="90"/>
      <c r="J2930" s="53" t="str">
        <f>IFERROR(__xludf.DUMMYFUNCTION("IF(ISBLANK(B2930),"""",IF(ISDATE(B2930),""X"",""""))"),"")</f>
        <v/>
      </c>
      <c r="K2930" s="40" t="str">
        <f>IFERROR(__xludf.DUMMYFUNCTION("IF(ISBLANK(B2930),"""",IF(ISDATE(B2930),H2930,""""))"),"")</f>
        <v/>
      </c>
      <c r="L2930" s="40" t="str">
        <f>IFERROR(__xludf.DUMMYFUNCTION("IF(ISBLANK(B2930),"""",IF(ISDATE(B2930),TEXT(B2930,""M""),""""))"),"")</f>
        <v/>
      </c>
      <c r="M2930" s="29" t="str">
        <f>IFERROR(__xludf.DUMMYFUNCTION("IF(L2930="""","""",QUERY({'Dashboard-Dados'!$Y$2:$AA$13},""Select Col2 Where Col1=""&amp;L2930))"),"")</f>
        <v/>
      </c>
      <c r="N2930" s="29" t="str">
        <f>IFERROR(__xludf.DUMMYFUNCTION("IF(ISBLANK(B2930),"""",IF(ISDATE(B2930),TEXT(B2930,""yyyy""),""""))"),"")</f>
        <v/>
      </c>
    </row>
    <row r="2931">
      <c r="B2931" s="87"/>
      <c r="C2931" s="85"/>
      <c r="D2931" s="76"/>
      <c r="H2931" s="88"/>
      <c r="J2931" s="53" t="str">
        <f>IFERROR(__xludf.DUMMYFUNCTION("IF(ISBLANK(B2931),"""",IF(ISDATE(B2931),""X"",""""))"),"")</f>
        <v/>
      </c>
      <c r="K2931" s="40" t="str">
        <f>IFERROR(__xludf.DUMMYFUNCTION("IF(ISBLANK(B2931),"""",IF(ISDATE(B2931),H2931,""""))"),"")</f>
        <v/>
      </c>
      <c r="L2931" s="40" t="str">
        <f>IFERROR(__xludf.DUMMYFUNCTION("IF(ISBLANK(B2931),"""",IF(ISDATE(B2931),TEXT(B2931,""M""),""""))"),"")</f>
        <v/>
      </c>
      <c r="M2931" s="29" t="str">
        <f>IFERROR(__xludf.DUMMYFUNCTION("IF(L2931="""","""",QUERY({'Dashboard-Dados'!$Y$2:$AA$13},""Select Col2 Where Col1=""&amp;L2931))"),"")</f>
        <v/>
      </c>
      <c r="N2931" s="29" t="str">
        <f>IFERROR(__xludf.DUMMYFUNCTION("IF(ISBLANK(B2931),"""",IF(ISDATE(B2931),TEXT(B2931,""yyyy""),""""))"),"")</f>
        <v/>
      </c>
    </row>
    <row r="2932">
      <c r="B2932" s="89"/>
      <c r="C2932" s="86"/>
      <c r="D2932" s="71"/>
      <c r="H2932" s="90"/>
      <c r="J2932" s="53" t="str">
        <f>IFERROR(__xludf.DUMMYFUNCTION("IF(ISBLANK(B2932),"""",IF(ISDATE(B2932),""X"",""""))"),"")</f>
        <v/>
      </c>
      <c r="K2932" s="40" t="str">
        <f>IFERROR(__xludf.DUMMYFUNCTION("IF(ISBLANK(B2932),"""",IF(ISDATE(B2932),H2932,""""))"),"")</f>
        <v/>
      </c>
      <c r="L2932" s="40" t="str">
        <f>IFERROR(__xludf.DUMMYFUNCTION("IF(ISBLANK(B2932),"""",IF(ISDATE(B2932),TEXT(B2932,""M""),""""))"),"")</f>
        <v/>
      </c>
      <c r="M2932" s="29" t="str">
        <f>IFERROR(__xludf.DUMMYFUNCTION("IF(L2932="""","""",QUERY({'Dashboard-Dados'!$Y$2:$AA$13},""Select Col2 Where Col1=""&amp;L2932))"),"")</f>
        <v/>
      </c>
      <c r="N2932" s="29" t="str">
        <f>IFERROR(__xludf.DUMMYFUNCTION("IF(ISBLANK(B2932),"""",IF(ISDATE(B2932),TEXT(B2932,""yyyy""),""""))"),"")</f>
        <v/>
      </c>
    </row>
    <row r="2933">
      <c r="B2933" s="87"/>
      <c r="C2933" s="85"/>
      <c r="D2933" s="76"/>
      <c r="H2933" s="88"/>
      <c r="J2933" s="53" t="str">
        <f>IFERROR(__xludf.DUMMYFUNCTION("IF(ISBLANK(B2933),"""",IF(ISDATE(B2933),""X"",""""))"),"")</f>
        <v/>
      </c>
      <c r="K2933" s="40" t="str">
        <f>IFERROR(__xludf.DUMMYFUNCTION("IF(ISBLANK(B2933),"""",IF(ISDATE(B2933),H2933,""""))"),"")</f>
        <v/>
      </c>
      <c r="L2933" s="40" t="str">
        <f>IFERROR(__xludf.DUMMYFUNCTION("IF(ISBLANK(B2933),"""",IF(ISDATE(B2933),TEXT(B2933,""M""),""""))"),"")</f>
        <v/>
      </c>
      <c r="M2933" s="29" t="str">
        <f>IFERROR(__xludf.DUMMYFUNCTION("IF(L2933="""","""",QUERY({'Dashboard-Dados'!$Y$2:$AA$13},""Select Col2 Where Col1=""&amp;L2933))"),"")</f>
        <v/>
      </c>
      <c r="N2933" s="29" t="str">
        <f>IFERROR(__xludf.DUMMYFUNCTION("IF(ISBLANK(B2933),"""",IF(ISDATE(B2933),TEXT(B2933,""yyyy""),""""))"),"")</f>
        <v/>
      </c>
    </row>
    <row r="2934">
      <c r="B2934" s="89"/>
      <c r="C2934" s="86"/>
      <c r="D2934" s="71"/>
      <c r="H2934" s="90"/>
      <c r="J2934" s="53" t="str">
        <f>IFERROR(__xludf.DUMMYFUNCTION("IF(ISBLANK(B2934),"""",IF(ISDATE(B2934),""X"",""""))"),"")</f>
        <v/>
      </c>
      <c r="K2934" s="40" t="str">
        <f>IFERROR(__xludf.DUMMYFUNCTION("IF(ISBLANK(B2934),"""",IF(ISDATE(B2934),H2934,""""))"),"")</f>
        <v/>
      </c>
      <c r="L2934" s="40" t="str">
        <f>IFERROR(__xludf.DUMMYFUNCTION("IF(ISBLANK(B2934),"""",IF(ISDATE(B2934),TEXT(B2934,""M""),""""))"),"")</f>
        <v/>
      </c>
      <c r="M2934" s="29" t="str">
        <f>IFERROR(__xludf.DUMMYFUNCTION("IF(L2934="""","""",QUERY({'Dashboard-Dados'!$Y$2:$AA$13},""Select Col2 Where Col1=""&amp;L2934))"),"")</f>
        <v/>
      </c>
      <c r="N2934" s="29" t="str">
        <f>IFERROR(__xludf.DUMMYFUNCTION("IF(ISBLANK(B2934),"""",IF(ISDATE(B2934),TEXT(B2934,""yyyy""),""""))"),"")</f>
        <v/>
      </c>
    </row>
    <row r="2935">
      <c r="B2935" s="87"/>
      <c r="C2935" s="85"/>
      <c r="D2935" s="76"/>
      <c r="H2935" s="88"/>
      <c r="J2935" s="53" t="str">
        <f>IFERROR(__xludf.DUMMYFUNCTION("IF(ISBLANK(B2935),"""",IF(ISDATE(B2935),""X"",""""))"),"")</f>
        <v/>
      </c>
      <c r="K2935" s="40" t="str">
        <f>IFERROR(__xludf.DUMMYFUNCTION("IF(ISBLANK(B2935),"""",IF(ISDATE(B2935),H2935,""""))"),"")</f>
        <v/>
      </c>
      <c r="L2935" s="40" t="str">
        <f>IFERROR(__xludf.DUMMYFUNCTION("IF(ISBLANK(B2935),"""",IF(ISDATE(B2935),TEXT(B2935,""M""),""""))"),"")</f>
        <v/>
      </c>
      <c r="M2935" s="29" t="str">
        <f>IFERROR(__xludf.DUMMYFUNCTION("IF(L2935="""","""",QUERY({'Dashboard-Dados'!$Y$2:$AA$13},""Select Col2 Where Col1=""&amp;L2935))"),"")</f>
        <v/>
      </c>
      <c r="N2935" s="29" t="str">
        <f>IFERROR(__xludf.DUMMYFUNCTION("IF(ISBLANK(B2935),"""",IF(ISDATE(B2935),TEXT(B2935,""yyyy""),""""))"),"")</f>
        <v/>
      </c>
    </row>
    <row r="2936">
      <c r="B2936" s="89"/>
      <c r="C2936" s="86"/>
      <c r="D2936" s="71"/>
      <c r="H2936" s="90"/>
      <c r="J2936" s="53" t="str">
        <f>IFERROR(__xludf.DUMMYFUNCTION("IF(ISBLANK(B2936),"""",IF(ISDATE(B2936),""X"",""""))"),"")</f>
        <v/>
      </c>
      <c r="K2936" s="40" t="str">
        <f>IFERROR(__xludf.DUMMYFUNCTION("IF(ISBLANK(B2936),"""",IF(ISDATE(B2936),H2936,""""))"),"")</f>
        <v/>
      </c>
      <c r="L2936" s="40" t="str">
        <f>IFERROR(__xludf.DUMMYFUNCTION("IF(ISBLANK(B2936),"""",IF(ISDATE(B2936),TEXT(B2936,""M""),""""))"),"")</f>
        <v/>
      </c>
      <c r="M2936" s="29" t="str">
        <f>IFERROR(__xludf.DUMMYFUNCTION("IF(L2936="""","""",QUERY({'Dashboard-Dados'!$Y$2:$AA$13},""Select Col2 Where Col1=""&amp;L2936))"),"")</f>
        <v/>
      </c>
      <c r="N2936" s="29" t="str">
        <f>IFERROR(__xludf.DUMMYFUNCTION("IF(ISBLANK(B2936),"""",IF(ISDATE(B2936),TEXT(B2936,""yyyy""),""""))"),"")</f>
        <v/>
      </c>
    </row>
    <row r="2937">
      <c r="B2937" s="87"/>
      <c r="C2937" s="85"/>
      <c r="D2937" s="76"/>
      <c r="H2937" s="88"/>
      <c r="J2937" s="53" t="str">
        <f>IFERROR(__xludf.DUMMYFUNCTION("IF(ISBLANK(B2937),"""",IF(ISDATE(B2937),""X"",""""))"),"")</f>
        <v/>
      </c>
      <c r="K2937" s="40" t="str">
        <f>IFERROR(__xludf.DUMMYFUNCTION("IF(ISBLANK(B2937),"""",IF(ISDATE(B2937),H2937,""""))"),"")</f>
        <v/>
      </c>
      <c r="L2937" s="40" t="str">
        <f>IFERROR(__xludf.DUMMYFUNCTION("IF(ISBLANK(B2937),"""",IF(ISDATE(B2937),TEXT(B2937,""M""),""""))"),"")</f>
        <v/>
      </c>
      <c r="M2937" s="29" t="str">
        <f>IFERROR(__xludf.DUMMYFUNCTION("IF(L2937="""","""",QUERY({'Dashboard-Dados'!$Y$2:$AA$13},""Select Col2 Where Col1=""&amp;L2937))"),"")</f>
        <v/>
      </c>
      <c r="N2937" s="29" t="str">
        <f>IFERROR(__xludf.DUMMYFUNCTION("IF(ISBLANK(B2937),"""",IF(ISDATE(B2937),TEXT(B2937,""yyyy""),""""))"),"")</f>
        <v/>
      </c>
    </row>
    <row r="2938">
      <c r="B2938" s="89"/>
      <c r="C2938" s="86"/>
      <c r="D2938" s="71"/>
      <c r="H2938" s="90"/>
      <c r="J2938" s="53" t="str">
        <f>IFERROR(__xludf.DUMMYFUNCTION("IF(ISBLANK(B2938),"""",IF(ISDATE(B2938),""X"",""""))"),"")</f>
        <v/>
      </c>
      <c r="K2938" s="40" t="str">
        <f>IFERROR(__xludf.DUMMYFUNCTION("IF(ISBLANK(B2938),"""",IF(ISDATE(B2938),H2938,""""))"),"")</f>
        <v/>
      </c>
      <c r="L2938" s="40" t="str">
        <f>IFERROR(__xludf.DUMMYFUNCTION("IF(ISBLANK(B2938),"""",IF(ISDATE(B2938),TEXT(B2938,""M""),""""))"),"")</f>
        <v/>
      </c>
      <c r="M2938" s="29" t="str">
        <f>IFERROR(__xludf.DUMMYFUNCTION("IF(L2938="""","""",QUERY({'Dashboard-Dados'!$Y$2:$AA$13},""Select Col2 Where Col1=""&amp;L2938))"),"")</f>
        <v/>
      </c>
      <c r="N2938" s="29" t="str">
        <f>IFERROR(__xludf.DUMMYFUNCTION("IF(ISBLANK(B2938),"""",IF(ISDATE(B2938),TEXT(B2938,""yyyy""),""""))"),"")</f>
        <v/>
      </c>
    </row>
    <row r="2939">
      <c r="B2939" s="87"/>
      <c r="C2939" s="85"/>
      <c r="D2939" s="76"/>
      <c r="H2939" s="88"/>
      <c r="J2939" s="53" t="str">
        <f>IFERROR(__xludf.DUMMYFUNCTION("IF(ISBLANK(B2939),"""",IF(ISDATE(B2939),""X"",""""))"),"")</f>
        <v/>
      </c>
      <c r="K2939" s="40" t="str">
        <f>IFERROR(__xludf.DUMMYFUNCTION("IF(ISBLANK(B2939),"""",IF(ISDATE(B2939),H2939,""""))"),"")</f>
        <v/>
      </c>
      <c r="L2939" s="40" t="str">
        <f>IFERROR(__xludf.DUMMYFUNCTION("IF(ISBLANK(B2939),"""",IF(ISDATE(B2939),TEXT(B2939,""M""),""""))"),"")</f>
        <v/>
      </c>
      <c r="M2939" s="29" t="str">
        <f>IFERROR(__xludf.DUMMYFUNCTION("IF(L2939="""","""",QUERY({'Dashboard-Dados'!$Y$2:$AA$13},""Select Col2 Where Col1=""&amp;L2939))"),"")</f>
        <v/>
      </c>
      <c r="N2939" s="29" t="str">
        <f>IFERROR(__xludf.DUMMYFUNCTION("IF(ISBLANK(B2939),"""",IF(ISDATE(B2939),TEXT(B2939,""yyyy""),""""))"),"")</f>
        <v/>
      </c>
    </row>
    <row r="2940">
      <c r="B2940" s="89"/>
      <c r="C2940" s="86"/>
      <c r="D2940" s="71"/>
      <c r="H2940" s="90"/>
      <c r="J2940" s="53" t="str">
        <f>IFERROR(__xludf.DUMMYFUNCTION("IF(ISBLANK(B2940),"""",IF(ISDATE(B2940),""X"",""""))"),"")</f>
        <v/>
      </c>
      <c r="K2940" s="40" t="str">
        <f>IFERROR(__xludf.DUMMYFUNCTION("IF(ISBLANK(B2940),"""",IF(ISDATE(B2940),H2940,""""))"),"")</f>
        <v/>
      </c>
      <c r="L2940" s="40" t="str">
        <f>IFERROR(__xludf.DUMMYFUNCTION("IF(ISBLANK(B2940),"""",IF(ISDATE(B2940),TEXT(B2940,""M""),""""))"),"")</f>
        <v/>
      </c>
      <c r="M2940" s="29" t="str">
        <f>IFERROR(__xludf.DUMMYFUNCTION("IF(L2940="""","""",QUERY({'Dashboard-Dados'!$Y$2:$AA$13},""Select Col2 Where Col1=""&amp;L2940))"),"")</f>
        <v/>
      </c>
      <c r="N2940" s="29" t="str">
        <f>IFERROR(__xludf.DUMMYFUNCTION("IF(ISBLANK(B2940),"""",IF(ISDATE(B2940),TEXT(B2940,""yyyy""),""""))"),"")</f>
        <v/>
      </c>
    </row>
    <row r="2941">
      <c r="B2941" s="87"/>
      <c r="C2941" s="85"/>
      <c r="D2941" s="76"/>
      <c r="H2941" s="88"/>
      <c r="J2941" s="53" t="str">
        <f>IFERROR(__xludf.DUMMYFUNCTION("IF(ISBLANK(B2941),"""",IF(ISDATE(B2941),""X"",""""))"),"")</f>
        <v/>
      </c>
      <c r="K2941" s="40" t="str">
        <f>IFERROR(__xludf.DUMMYFUNCTION("IF(ISBLANK(B2941),"""",IF(ISDATE(B2941),H2941,""""))"),"")</f>
        <v/>
      </c>
      <c r="L2941" s="40" t="str">
        <f>IFERROR(__xludf.DUMMYFUNCTION("IF(ISBLANK(B2941),"""",IF(ISDATE(B2941),TEXT(B2941,""M""),""""))"),"")</f>
        <v/>
      </c>
      <c r="M2941" s="29" t="str">
        <f>IFERROR(__xludf.DUMMYFUNCTION("IF(L2941="""","""",QUERY({'Dashboard-Dados'!$Y$2:$AA$13},""Select Col2 Where Col1=""&amp;L2941))"),"")</f>
        <v/>
      </c>
      <c r="N2941" s="29" t="str">
        <f>IFERROR(__xludf.DUMMYFUNCTION("IF(ISBLANK(B2941),"""",IF(ISDATE(B2941),TEXT(B2941,""yyyy""),""""))"),"")</f>
        <v/>
      </c>
    </row>
    <row r="2942">
      <c r="B2942" s="89"/>
      <c r="C2942" s="86"/>
      <c r="D2942" s="71"/>
      <c r="H2942" s="90"/>
      <c r="J2942" s="53" t="str">
        <f>IFERROR(__xludf.DUMMYFUNCTION("IF(ISBLANK(B2942),"""",IF(ISDATE(B2942),""X"",""""))"),"")</f>
        <v/>
      </c>
      <c r="K2942" s="40" t="str">
        <f>IFERROR(__xludf.DUMMYFUNCTION("IF(ISBLANK(B2942),"""",IF(ISDATE(B2942),H2942,""""))"),"")</f>
        <v/>
      </c>
      <c r="L2942" s="40" t="str">
        <f>IFERROR(__xludf.DUMMYFUNCTION("IF(ISBLANK(B2942),"""",IF(ISDATE(B2942),TEXT(B2942,""M""),""""))"),"")</f>
        <v/>
      </c>
      <c r="M2942" s="29" t="str">
        <f>IFERROR(__xludf.DUMMYFUNCTION("IF(L2942="""","""",QUERY({'Dashboard-Dados'!$Y$2:$AA$13},""Select Col2 Where Col1=""&amp;L2942))"),"")</f>
        <v/>
      </c>
      <c r="N2942" s="29" t="str">
        <f>IFERROR(__xludf.DUMMYFUNCTION("IF(ISBLANK(B2942),"""",IF(ISDATE(B2942),TEXT(B2942,""yyyy""),""""))"),"")</f>
        <v/>
      </c>
    </row>
    <row r="2943">
      <c r="B2943" s="87"/>
      <c r="C2943" s="85"/>
      <c r="D2943" s="76"/>
      <c r="H2943" s="88"/>
      <c r="J2943" s="53" t="str">
        <f>IFERROR(__xludf.DUMMYFUNCTION("IF(ISBLANK(B2943),"""",IF(ISDATE(B2943),""X"",""""))"),"")</f>
        <v/>
      </c>
      <c r="K2943" s="40" t="str">
        <f>IFERROR(__xludf.DUMMYFUNCTION("IF(ISBLANK(B2943),"""",IF(ISDATE(B2943),H2943,""""))"),"")</f>
        <v/>
      </c>
      <c r="L2943" s="40" t="str">
        <f>IFERROR(__xludf.DUMMYFUNCTION("IF(ISBLANK(B2943),"""",IF(ISDATE(B2943),TEXT(B2943,""M""),""""))"),"")</f>
        <v/>
      </c>
      <c r="M2943" s="29" t="str">
        <f>IFERROR(__xludf.DUMMYFUNCTION("IF(L2943="""","""",QUERY({'Dashboard-Dados'!$Y$2:$AA$13},""Select Col2 Where Col1=""&amp;L2943))"),"")</f>
        <v/>
      </c>
      <c r="N2943" s="29" t="str">
        <f>IFERROR(__xludf.DUMMYFUNCTION("IF(ISBLANK(B2943),"""",IF(ISDATE(B2943),TEXT(B2943,""yyyy""),""""))"),"")</f>
        <v/>
      </c>
    </row>
    <row r="2944">
      <c r="B2944" s="89"/>
      <c r="C2944" s="86"/>
      <c r="D2944" s="71"/>
      <c r="H2944" s="90"/>
      <c r="J2944" s="53" t="str">
        <f>IFERROR(__xludf.DUMMYFUNCTION("IF(ISBLANK(B2944),"""",IF(ISDATE(B2944),""X"",""""))"),"")</f>
        <v/>
      </c>
      <c r="K2944" s="40" t="str">
        <f>IFERROR(__xludf.DUMMYFUNCTION("IF(ISBLANK(B2944),"""",IF(ISDATE(B2944),H2944,""""))"),"")</f>
        <v/>
      </c>
      <c r="L2944" s="40" t="str">
        <f>IFERROR(__xludf.DUMMYFUNCTION("IF(ISBLANK(B2944),"""",IF(ISDATE(B2944),TEXT(B2944,""M""),""""))"),"")</f>
        <v/>
      </c>
      <c r="M2944" s="29" t="str">
        <f>IFERROR(__xludf.DUMMYFUNCTION("IF(L2944="""","""",QUERY({'Dashboard-Dados'!$Y$2:$AA$13},""Select Col2 Where Col1=""&amp;L2944))"),"")</f>
        <v/>
      </c>
      <c r="N2944" s="29" t="str">
        <f>IFERROR(__xludf.DUMMYFUNCTION("IF(ISBLANK(B2944),"""",IF(ISDATE(B2944),TEXT(B2944,""yyyy""),""""))"),"")</f>
        <v/>
      </c>
    </row>
    <row r="2945">
      <c r="B2945" s="87"/>
      <c r="C2945" s="85"/>
      <c r="D2945" s="76"/>
      <c r="H2945" s="88"/>
      <c r="J2945" s="53" t="str">
        <f>IFERROR(__xludf.DUMMYFUNCTION("IF(ISBLANK(B2945),"""",IF(ISDATE(B2945),""X"",""""))"),"")</f>
        <v/>
      </c>
      <c r="K2945" s="40" t="str">
        <f>IFERROR(__xludf.DUMMYFUNCTION("IF(ISBLANK(B2945),"""",IF(ISDATE(B2945),H2945,""""))"),"")</f>
        <v/>
      </c>
      <c r="L2945" s="40" t="str">
        <f>IFERROR(__xludf.DUMMYFUNCTION("IF(ISBLANK(B2945),"""",IF(ISDATE(B2945),TEXT(B2945,""M""),""""))"),"")</f>
        <v/>
      </c>
      <c r="M2945" s="29" t="str">
        <f>IFERROR(__xludf.DUMMYFUNCTION("IF(L2945="""","""",QUERY({'Dashboard-Dados'!$Y$2:$AA$13},""Select Col2 Where Col1=""&amp;L2945))"),"")</f>
        <v/>
      </c>
      <c r="N2945" s="29" t="str">
        <f>IFERROR(__xludf.DUMMYFUNCTION("IF(ISBLANK(B2945),"""",IF(ISDATE(B2945),TEXT(B2945,""yyyy""),""""))"),"")</f>
        <v/>
      </c>
    </row>
    <row r="2946">
      <c r="B2946" s="89"/>
      <c r="C2946" s="86"/>
      <c r="D2946" s="71"/>
      <c r="H2946" s="90"/>
      <c r="J2946" s="53" t="str">
        <f>IFERROR(__xludf.DUMMYFUNCTION("IF(ISBLANK(B2946),"""",IF(ISDATE(B2946),""X"",""""))"),"")</f>
        <v/>
      </c>
      <c r="K2946" s="40" t="str">
        <f>IFERROR(__xludf.DUMMYFUNCTION("IF(ISBLANK(B2946),"""",IF(ISDATE(B2946),H2946,""""))"),"")</f>
        <v/>
      </c>
      <c r="L2946" s="40" t="str">
        <f>IFERROR(__xludf.DUMMYFUNCTION("IF(ISBLANK(B2946),"""",IF(ISDATE(B2946),TEXT(B2946,""M""),""""))"),"")</f>
        <v/>
      </c>
      <c r="M2946" s="29" t="str">
        <f>IFERROR(__xludf.DUMMYFUNCTION("IF(L2946="""","""",QUERY({'Dashboard-Dados'!$Y$2:$AA$13},""Select Col2 Where Col1=""&amp;L2946))"),"")</f>
        <v/>
      </c>
      <c r="N2946" s="29" t="str">
        <f>IFERROR(__xludf.DUMMYFUNCTION("IF(ISBLANK(B2946),"""",IF(ISDATE(B2946),TEXT(B2946,""yyyy""),""""))"),"")</f>
        <v/>
      </c>
    </row>
    <row r="2947">
      <c r="B2947" s="87"/>
      <c r="C2947" s="85"/>
      <c r="D2947" s="76"/>
      <c r="H2947" s="88"/>
      <c r="J2947" s="53" t="str">
        <f>IFERROR(__xludf.DUMMYFUNCTION("IF(ISBLANK(B2947),"""",IF(ISDATE(B2947),""X"",""""))"),"")</f>
        <v/>
      </c>
      <c r="K2947" s="40" t="str">
        <f>IFERROR(__xludf.DUMMYFUNCTION("IF(ISBLANK(B2947),"""",IF(ISDATE(B2947),H2947,""""))"),"")</f>
        <v/>
      </c>
      <c r="L2947" s="40" t="str">
        <f>IFERROR(__xludf.DUMMYFUNCTION("IF(ISBLANK(B2947),"""",IF(ISDATE(B2947),TEXT(B2947,""M""),""""))"),"")</f>
        <v/>
      </c>
      <c r="M2947" s="29" t="str">
        <f>IFERROR(__xludf.DUMMYFUNCTION("IF(L2947="""","""",QUERY({'Dashboard-Dados'!$Y$2:$AA$13},""Select Col2 Where Col1=""&amp;L2947))"),"")</f>
        <v/>
      </c>
      <c r="N2947" s="29" t="str">
        <f>IFERROR(__xludf.DUMMYFUNCTION("IF(ISBLANK(B2947),"""",IF(ISDATE(B2947),TEXT(B2947,""yyyy""),""""))"),"")</f>
        <v/>
      </c>
    </row>
    <row r="2948">
      <c r="B2948" s="89"/>
      <c r="C2948" s="86"/>
      <c r="D2948" s="71"/>
      <c r="H2948" s="90"/>
      <c r="J2948" s="53" t="str">
        <f>IFERROR(__xludf.DUMMYFUNCTION("IF(ISBLANK(B2948),"""",IF(ISDATE(B2948),""X"",""""))"),"")</f>
        <v/>
      </c>
      <c r="K2948" s="40" t="str">
        <f>IFERROR(__xludf.DUMMYFUNCTION("IF(ISBLANK(B2948),"""",IF(ISDATE(B2948),H2948,""""))"),"")</f>
        <v/>
      </c>
      <c r="L2948" s="40" t="str">
        <f>IFERROR(__xludf.DUMMYFUNCTION("IF(ISBLANK(B2948),"""",IF(ISDATE(B2948),TEXT(B2948,""M""),""""))"),"")</f>
        <v/>
      </c>
      <c r="M2948" s="29" t="str">
        <f>IFERROR(__xludf.DUMMYFUNCTION("IF(L2948="""","""",QUERY({'Dashboard-Dados'!$Y$2:$AA$13},""Select Col2 Where Col1=""&amp;L2948))"),"")</f>
        <v/>
      </c>
      <c r="N2948" s="29" t="str">
        <f>IFERROR(__xludf.DUMMYFUNCTION("IF(ISBLANK(B2948),"""",IF(ISDATE(B2948),TEXT(B2948,""yyyy""),""""))"),"")</f>
        <v/>
      </c>
    </row>
    <row r="2949">
      <c r="B2949" s="87"/>
      <c r="C2949" s="85"/>
      <c r="D2949" s="76"/>
      <c r="H2949" s="88"/>
      <c r="J2949" s="53" t="str">
        <f>IFERROR(__xludf.DUMMYFUNCTION("IF(ISBLANK(B2949),"""",IF(ISDATE(B2949),""X"",""""))"),"")</f>
        <v/>
      </c>
      <c r="K2949" s="40" t="str">
        <f>IFERROR(__xludf.DUMMYFUNCTION("IF(ISBLANK(B2949),"""",IF(ISDATE(B2949),H2949,""""))"),"")</f>
        <v/>
      </c>
      <c r="L2949" s="40" t="str">
        <f>IFERROR(__xludf.DUMMYFUNCTION("IF(ISBLANK(B2949),"""",IF(ISDATE(B2949),TEXT(B2949,""M""),""""))"),"")</f>
        <v/>
      </c>
      <c r="M2949" s="29" t="str">
        <f>IFERROR(__xludf.DUMMYFUNCTION("IF(L2949="""","""",QUERY({'Dashboard-Dados'!$Y$2:$AA$13},""Select Col2 Where Col1=""&amp;L2949))"),"")</f>
        <v/>
      </c>
      <c r="N2949" s="29" t="str">
        <f>IFERROR(__xludf.DUMMYFUNCTION("IF(ISBLANK(B2949),"""",IF(ISDATE(B2949),TEXT(B2949,""yyyy""),""""))"),"")</f>
        <v/>
      </c>
    </row>
    <row r="2950">
      <c r="B2950" s="89"/>
      <c r="C2950" s="86"/>
      <c r="D2950" s="71"/>
      <c r="H2950" s="90"/>
      <c r="J2950" s="53" t="str">
        <f>IFERROR(__xludf.DUMMYFUNCTION("IF(ISBLANK(B2950),"""",IF(ISDATE(B2950),""X"",""""))"),"")</f>
        <v/>
      </c>
      <c r="K2950" s="40" t="str">
        <f>IFERROR(__xludf.DUMMYFUNCTION("IF(ISBLANK(B2950),"""",IF(ISDATE(B2950),H2950,""""))"),"")</f>
        <v/>
      </c>
      <c r="L2950" s="40" t="str">
        <f>IFERROR(__xludf.DUMMYFUNCTION("IF(ISBLANK(B2950),"""",IF(ISDATE(B2950),TEXT(B2950,""M""),""""))"),"")</f>
        <v/>
      </c>
      <c r="M2950" s="29" t="str">
        <f>IFERROR(__xludf.DUMMYFUNCTION("IF(L2950="""","""",QUERY({'Dashboard-Dados'!$Y$2:$AA$13},""Select Col2 Where Col1=""&amp;L2950))"),"")</f>
        <v/>
      </c>
      <c r="N2950" s="29" t="str">
        <f>IFERROR(__xludf.DUMMYFUNCTION("IF(ISBLANK(B2950),"""",IF(ISDATE(B2950),TEXT(B2950,""yyyy""),""""))"),"")</f>
        <v/>
      </c>
    </row>
    <row r="2951">
      <c r="B2951" s="87"/>
      <c r="C2951" s="85"/>
      <c r="D2951" s="76"/>
      <c r="H2951" s="88"/>
      <c r="J2951" s="53" t="str">
        <f>IFERROR(__xludf.DUMMYFUNCTION("IF(ISBLANK(B2951),"""",IF(ISDATE(B2951),""X"",""""))"),"")</f>
        <v/>
      </c>
      <c r="K2951" s="40" t="str">
        <f>IFERROR(__xludf.DUMMYFUNCTION("IF(ISBLANK(B2951),"""",IF(ISDATE(B2951),H2951,""""))"),"")</f>
        <v/>
      </c>
      <c r="L2951" s="40" t="str">
        <f>IFERROR(__xludf.DUMMYFUNCTION("IF(ISBLANK(B2951),"""",IF(ISDATE(B2951),TEXT(B2951,""M""),""""))"),"")</f>
        <v/>
      </c>
      <c r="M2951" s="29" t="str">
        <f>IFERROR(__xludf.DUMMYFUNCTION("IF(L2951="""","""",QUERY({'Dashboard-Dados'!$Y$2:$AA$13},""Select Col2 Where Col1=""&amp;L2951))"),"")</f>
        <v/>
      </c>
      <c r="N2951" s="29" t="str">
        <f>IFERROR(__xludf.DUMMYFUNCTION("IF(ISBLANK(B2951),"""",IF(ISDATE(B2951),TEXT(B2951,""yyyy""),""""))"),"")</f>
        <v/>
      </c>
    </row>
    <row r="2952">
      <c r="B2952" s="89"/>
      <c r="C2952" s="86"/>
      <c r="D2952" s="71"/>
      <c r="H2952" s="90"/>
      <c r="J2952" s="53" t="str">
        <f>IFERROR(__xludf.DUMMYFUNCTION("IF(ISBLANK(B2952),"""",IF(ISDATE(B2952),""X"",""""))"),"")</f>
        <v/>
      </c>
      <c r="K2952" s="40" t="str">
        <f>IFERROR(__xludf.DUMMYFUNCTION("IF(ISBLANK(B2952),"""",IF(ISDATE(B2952),H2952,""""))"),"")</f>
        <v/>
      </c>
      <c r="L2952" s="40" t="str">
        <f>IFERROR(__xludf.DUMMYFUNCTION("IF(ISBLANK(B2952),"""",IF(ISDATE(B2952),TEXT(B2952,""M""),""""))"),"")</f>
        <v/>
      </c>
      <c r="M2952" s="29" t="str">
        <f>IFERROR(__xludf.DUMMYFUNCTION("IF(L2952="""","""",QUERY({'Dashboard-Dados'!$Y$2:$AA$13},""Select Col2 Where Col1=""&amp;L2952))"),"")</f>
        <v/>
      </c>
      <c r="N2952" s="29" t="str">
        <f>IFERROR(__xludf.DUMMYFUNCTION("IF(ISBLANK(B2952),"""",IF(ISDATE(B2952),TEXT(B2952,""yyyy""),""""))"),"")</f>
        <v/>
      </c>
    </row>
    <row r="2953">
      <c r="B2953" s="87"/>
      <c r="C2953" s="85"/>
      <c r="D2953" s="76"/>
      <c r="H2953" s="88"/>
      <c r="J2953" s="53" t="str">
        <f>IFERROR(__xludf.DUMMYFUNCTION("IF(ISBLANK(B2953),"""",IF(ISDATE(B2953),""X"",""""))"),"")</f>
        <v/>
      </c>
      <c r="K2953" s="40" t="str">
        <f>IFERROR(__xludf.DUMMYFUNCTION("IF(ISBLANK(B2953),"""",IF(ISDATE(B2953),H2953,""""))"),"")</f>
        <v/>
      </c>
      <c r="L2953" s="40" t="str">
        <f>IFERROR(__xludf.DUMMYFUNCTION("IF(ISBLANK(B2953),"""",IF(ISDATE(B2953),TEXT(B2953,""M""),""""))"),"")</f>
        <v/>
      </c>
      <c r="M2953" s="29" t="str">
        <f>IFERROR(__xludf.DUMMYFUNCTION("IF(L2953="""","""",QUERY({'Dashboard-Dados'!$Y$2:$AA$13},""Select Col2 Where Col1=""&amp;L2953))"),"")</f>
        <v/>
      </c>
      <c r="N2953" s="29" t="str">
        <f>IFERROR(__xludf.DUMMYFUNCTION("IF(ISBLANK(B2953),"""",IF(ISDATE(B2953),TEXT(B2953,""yyyy""),""""))"),"")</f>
        <v/>
      </c>
    </row>
    <row r="2954">
      <c r="B2954" s="89"/>
      <c r="C2954" s="86"/>
      <c r="D2954" s="71"/>
      <c r="H2954" s="90"/>
      <c r="J2954" s="53" t="str">
        <f>IFERROR(__xludf.DUMMYFUNCTION("IF(ISBLANK(B2954),"""",IF(ISDATE(B2954),""X"",""""))"),"")</f>
        <v/>
      </c>
      <c r="K2954" s="40" t="str">
        <f>IFERROR(__xludf.DUMMYFUNCTION("IF(ISBLANK(B2954),"""",IF(ISDATE(B2954),H2954,""""))"),"")</f>
        <v/>
      </c>
      <c r="L2954" s="40" t="str">
        <f>IFERROR(__xludf.DUMMYFUNCTION("IF(ISBLANK(B2954),"""",IF(ISDATE(B2954),TEXT(B2954,""M""),""""))"),"")</f>
        <v/>
      </c>
      <c r="M2954" s="29" t="str">
        <f>IFERROR(__xludf.DUMMYFUNCTION("IF(L2954="""","""",QUERY({'Dashboard-Dados'!$Y$2:$AA$13},""Select Col2 Where Col1=""&amp;L2954))"),"")</f>
        <v/>
      </c>
      <c r="N2954" s="29" t="str">
        <f>IFERROR(__xludf.DUMMYFUNCTION("IF(ISBLANK(B2954),"""",IF(ISDATE(B2954),TEXT(B2954,""yyyy""),""""))"),"")</f>
        <v/>
      </c>
    </row>
    <row r="2955">
      <c r="B2955" s="87"/>
      <c r="C2955" s="85"/>
      <c r="D2955" s="76"/>
      <c r="H2955" s="88"/>
      <c r="J2955" s="53" t="str">
        <f>IFERROR(__xludf.DUMMYFUNCTION("IF(ISBLANK(B2955),"""",IF(ISDATE(B2955),""X"",""""))"),"")</f>
        <v/>
      </c>
      <c r="K2955" s="40" t="str">
        <f>IFERROR(__xludf.DUMMYFUNCTION("IF(ISBLANK(B2955),"""",IF(ISDATE(B2955),H2955,""""))"),"")</f>
        <v/>
      </c>
      <c r="L2955" s="40" t="str">
        <f>IFERROR(__xludf.DUMMYFUNCTION("IF(ISBLANK(B2955),"""",IF(ISDATE(B2955),TEXT(B2955,""M""),""""))"),"")</f>
        <v/>
      </c>
      <c r="M2955" s="29" t="str">
        <f>IFERROR(__xludf.DUMMYFUNCTION("IF(L2955="""","""",QUERY({'Dashboard-Dados'!$Y$2:$AA$13},""Select Col2 Where Col1=""&amp;L2955))"),"")</f>
        <v/>
      </c>
      <c r="N2955" s="29" t="str">
        <f>IFERROR(__xludf.DUMMYFUNCTION("IF(ISBLANK(B2955),"""",IF(ISDATE(B2955),TEXT(B2955,""yyyy""),""""))"),"")</f>
        <v/>
      </c>
    </row>
    <row r="2956">
      <c r="B2956" s="89"/>
      <c r="C2956" s="86"/>
      <c r="D2956" s="71"/>
      <c r="H2956" s="90"/>
      <c r="J2956" s="53" t="str">
        <f>IFERROR(__xludf.DUMMYFUNCTION("IF(ISBLANK(B2956),"""",IF(ISDATE(B2956),""X"",""""))"),"")</f>
        <v/>
      </c>
      <c r="K2956" s="40" t="str">
        <f>IFERROR(__xludf.DUMMYFUNCTION("IF(ISBLANK(B2956),"""",IF(ISDATE(B2956),H2956,""""))"),"")</f>
        <v/>
      </c>
      <c r="L2956" s="40" t="str">
        <f>IFERROR(__xludf.DUMMYFUNCTION("IF(ISBLANK(B2956),"""",IF(ISDATE(B2956),TEXT(B2956,""M""),""""))"),"")</f>
        <v/>
      </c>
      <c r="M2956" s="29" t="str">
        <f>IFERROR(__xludf.DUMMYFUNCTION("IF(L2956="""","""",QUERY({'Dashboard-Dados'!$Y$2:$AA$13},""Select Col2 Where Col1=""&amp;L2956))"),"")</f>
        <v/>
      </c>
      <c r="N2956" s="29" t="str">
        <f>IFERROR(__xludf.DUMMYFUNCTION("IF(ISBLANK(B2956),"""",IF(ISDATE(B2956),TEXT(B2956,""yyyy""),""""))"),"")</f>
        <v/>
      </c>
    </row>
    <row r="2957">
      <c r="B2957" s="87"/>
      <c r="C2957" s="85"/>
      <c r="D2957" s="76"/>
      <c r="H2957" s="88"/>
      <c r="J2957" s="53" t="str">
        <f>IFERROR(__xludf.DUMMYFUNCTION("IF(ISBLANK(B2957),"""",IF(ISDATE(B2957),""X"",""""))"),"")</f>
        <v/>
      </c>
      <c r="K2957" s="40" t="str">
        <f>IFERROR(__xludf.DUMMYFUNCTION("IF(ISBLANK(B2957),"""",IF(ISDATE(B2957),H2957,""""))"),"")</f>
        <v/>
      </c>
      <c r="L2957" s="40" t="str">
        <f>IFERROR(__xludf.DUMMYFUNCTION("IF(ISBLANK(B2957),"""",IF(ISDATE(B2957),TEXT(B2957,""M""),""""))"),"")</f>
        <v/>
      </c>
      <c r="M2957" s="29" t="str">
        <f>IFERROR(__xludf.DUMMYFUNCTION("IF(L2957="""","""",QUERY({'Dashboard-Dados'!$Y$2:$AA$13},""Select Col2 Where Col1=""&amp;L2957))"),"")</f>
        <v/>
      </c>
      <c r="N2957" s="29" t="str">
        <f>IFERROR(__xludf.DUMMYFUNCTION("IF(ISBLANK(B2957),"""",IF(ISDATE(B2957),TEXT(B2957,""yyyy""),""""))"),"")</f>
        <v/>
      </c>
    </row>
    <row r="2958">
      <c r="B2958" s="89"/>
      <c r="C2958" s="86"/>
      <c r="D2958" s="71"/>
      <c r="H2958" s="90"/>
      <c r="J2958" s="53" t="str">
        <f>IFERROR(__xludf.DUMMYFUNCTION("IF(ISBLANK(B2958),"""",IF(ISDATE(B2958),""X"",""""))"),"")</f>
        <v/>
      </c>
      <c r="K2958" s="40" t="str">
        <f>IFERROR(__xludf.DUMMYFUNCTION("IF(ISBLANK(B2958),"""",IF(ISDATE(B2958),H2958,""""))"),"")</f>
        <v/>
      </c>
      <c r="L2958" s="40" t="str">
        <f>IFERROR(__xludf.DUMMYFUNCTION("IF(ISBLANK(B2958),"""",IF(ISDATE(B2958),TEXT(B2958,""M""),""""))"),"")</f>
        <v/>
      </c>
      <c r="M2958" s="29" t="str">
        <f>IFERROR(__xludf.DUMMYFUNCTION("IF(L2958="""","""",QUERY({'Dashboard-Dados'!$Y$2:$AA$13},""Select Col2 Where Col1=""&amp;L2958))"),"")</f>
        <v/>
      </c>
      <c r="N2958" s="29" t="str">
        <f>IFERROR(__xludf.DUMMYFUNCTION("IF(ISBLANK(B2958),"""",IF(ISDATE(B2958),TEXT(B2958,""yyyy""),""""))"),"")</f>
        <v/>
      </c>
    </row>
    <row r="2959">
      <c r="B2959" s="87"/>
      <c r="C2959" s="85"/>
      <c r="D2959" s="76"/>
      <c r="H2959" s="88"/>
      <c r="J2959" s="53" t="str">
        <f>IFERROR(__xludf.DUMMYFUNCTION("IF(ISBLANK(B2959),"""",IF(ISDATE(B2959),""X"",""""))"),"")</f>
        <v/>
      </c>
      <c r="K2959" s="40" t="str">
        <f>IFERROR(__xludf.DUMMYFUNCTION("IF(ISBLANK(B2959),"""",IF(ISDATE(B2959),H2959,""""))"),"")</f>
        <v/>
      </c>
      <c r="L2959" s="40" t="str">
        <f>IFERROR(__xludf.DUMMYFUNCTION("IF(ISBLANK(B2959),"""",IF(ISDATE(B2959),TEXT(B2959,""M""),""""))"),"")</f>
        <v/>
      </c>
      <c r="M2959" s="29" t="str">
        <f>IFERROR(__xludf.DUMMYFUNCTION("IF(L2959="""","""",QUERY({'Dashboard-Dados'!$Y$2:$AA$13},""Select Col2 Where Col1=""&amp;L2959))"),"")</f>
        <v/>
      </c>
      <c r="N2959" s="29" t="str">
        <f>IFERROR(__xludf.DUMMYFUNCTION("IF(ISBLANK(B2959),"""",IF(ISDATE(B2959),TEXT(B2959,""yyyy""),""""))"),"")</f>
        <v/>
      </c>
    </row>
    <row r="2960">
      <c r="B2960" s="89"/>
      <c r="C2960" s="86"/>
      <c r="D2960" s="71"/>
      <c r="H2960" s="90"/>
      <c r="J2960" s="53" t="str">
        <f>IFERROR(__xludf.DUMMYFUNCTION("IF(ISBLANK(B2960),"""",IF(ISDATE(B2960),""X"",""""))"),"")</f>
        <v/>
      </c>
      <c r="K2960" s="40" t="str">
        <f>IFERROR(__xludf.DUMMYFUNCTION("IF(ISBLANK(B2960),"""",IF(ISDATE(B2960),H2960,""""))"),"")</f>
        <v/>
      </c>
      <c r="L2960" s="40" t="str">
        <f>IFERROR(__xludf.DUMMYFUNCTION("IF(ISBLANK(B2960),"""",IF(ISDATE(B2960),TEXT(B2960,""M""),""""))"),"")</f>
        <v/>
      </c>
      <c r="M2960" s="29" t="str">
        <f>IFERROR(__xludf.DUMMYFUNCTION("IF(L2960="""","""",QUERY({'Dashboard-Dados'!$Y$2:$AA$13},""Select Col2 Where Col1=""&amp;L2960))"),"")</f>
        <v/>
      </c>
      <c r="N2960" s="29" t="str">
        <f>IFERROR(__xludf.DUMMYFUNCTION("IF(ISBLANK(B2960),"""",IF(ISDATE(B2960),TEXT(B2960,""yyyy""),""""))"),"")</f>
        <v/>
      </c>
    </row>
    <row r="2961">
      <c r="B2961" s="87"/>
      <c r="C2961" s="85"/>
      <c r="D2961" s="76"/>
      <c r="H2961" s="88"/>
      <c r="J2961" s="53" t="str">
        <f>IFERROR(__xludf.DUMMYFUNCTION("IF(ISBLANK(B2961),"""",IF(ISDATE(B2961),""X"",""""))"),"")</f>
        <v/>
      </c>
      <c r="K2961" s="40" t="str">
        <f>IFERROR(__xludf.DUMMYFUNCTION("IF(ISBLANK(B2961),"""",IF(ISDATE(B2961),H2961,""""))"),"")</f>
        <v/>
      </c>
      <c r="L2961" s="40" t="str">
        <f>IFERROR(__xludf.DUMMYFUNCTION("IF(ISBLANK(B2961),"""",IF(ISDATE(B2961),TEXT(B2961,""M""),""""))"),"")</f>
        <v/>
      </c>
      <c r="M2961" s="29" t="str">
        <f>IFERROR(__xludf.DUMMYFUNCTION("IF(L2961="""","""",QUERY({'Dashboard-Dados'!$Y$2:$AA$13},""Select Col2 Where Col1=""&amp;L2961))"),"")</f>
        <v/>
      </c>
      <c r="N2961" s="29" t="str">
        <f>IFERROR(__xludf.DUMMYFUNCTION("IF(ISBLANK(B2961),"""",IF(ISDATE(B2961),TEXT(B2961,""yyyy""),""""))"),"")</f>
        <v/>
      </c>
    </row>
    <row r="2962">
      <c r="B2962" s="89"/>
      <c r="C2962" s="86"/>
      <c r="D2962" s="71"/>
      <c r="H2962" s="90"/>
      <c r="J2962" s="53" t="str">
        <f>IFERROR(__xludf.DUMMYFUNCTION("IF(ISBLANK(B2962),"""",IF(ISDATE(B2962),""X"",""""))"),"")</f>
        <v/>
      </c>
      <c r="K2962" s="40" t="str">
        <f>IFERROR(__xludf.DUMMYFUNCTION("IF(ISBLANK(B2962),"""",IF(ISDATE(B2962),H2962,""""))"),"")</f>
        <v/>
      </c>
      <c r="L2962" s="40" t="str">
        <f>IFERROR(__xludf.DUMMYFUNCTION("IF(ISBLANK(B2962),"""",IF(ISDATE(B2962),TEXT(B2962,""M""),""""))"),"")</f>
        <v/>
      </c>
      <c r="M2962" s="29" t="str">
        <f>IFERROR(__xludf.DUMMYFUNCTION("IF(L2962="""","""",QUERY({'Dashboard-Dados'!$Y$2:$AA$13},""Select Col2 Where Col1=""&amp;L2962))"),"")</f>
        <v/>
      </c>
      <c r="N2962" s="29" t="str">
        <f>IFERROR(__xludf.DUMMYFUNCTION("IF(ISBLANK(B2962),"""",IF(ISDATE(B2962),TEXT(B2962,""yyyy""),""""))"),"")</f>
        <v/>
      </c>
    </row>
    <row r="2963">
      <c r="B2963" s="87"/>
      <c r="C2963" s="85"/>
      <c r="D2963" s="76"/>
      <c r="H2963" s="88"/>
      <c r="J2963" s="53" t="str">
        <f>IFERROR(__xludf.DUMMYFUNCTION("IF(ISBLANK(B2963),"""",IF(ISDATE(B2963),""X"",""""))"),"")</f>
        <v/>
      </c>
      <c r="K2963" s="40" t="str">
        <f>IFERROR(__xludf.DUMMYFUNCTION("IF(ISBLANK(B2963),"""",IF(ISDATE(B2963),H2963,""""))"),"")</f>
        <v/>
      </c>
      <c r="L2963" s="40" t="str">
        <f>IFERROR(__xludf.DUMMYFUNCTION("IF(ISBLANK(B2963),"""",IF(ISDATE(B2963),TEXT(B2963,""M""),""""))"),"")</f>
        <v/>
      </c>
      <c r="M2963" s="29" t="str">
        <f>IFERROR(__xludf.DUMMYFUNCTION("IF(L2963="""","""",QUERY({'Dashboard-Dados'!$Y$2:$AA$13},""Select Col2 Where Col1=""&amp;L2963))"),"")</f>
        <v/>
      </c>
      <c r="N2963" s="29" t="str">
        <f>IFERROR(__xludf.DUMMYFUNCTION("IF(ISBLANK(B2963),"""",IF(ISDATE(B2963),TEXT(B2963,""yyyy""),""""))"),"")</f>
        <v/>
      </c>
    </row>
    <row r="2964">
      <c r="B2964" s="89"/>
      <c r="C2964" s="86"/>
      <c r="D2964" s="71"/>
      <c r="H2964" s="90"/>
      <c r="J2964" s="53" t="str">
        <f>IFERROR(__xludf.DUMMYFUNCTION("IF(ISBLANK(B2964),"""",IF(ISDATE(B2964),""X"",""""))"),"")</f>
        <v/>
      </c>
      <c r="K2964" s="40" t="str">
        <f>IFERROR(__xludf.DUMMYFUNCTION("IF(ISBLANK(B2964),"""",IF(ISDATE(B2964),H2964,""""))"),"")</f>
        <v/>
      </c>
      <c r="L2964" s="40" t="str">
        <f>IFERROR(__xludf.DUMMYFUNCTION("IF(ISBLANK(B2964),"""",IF(ISDATE(B2964),TEXT(B2964,""M""),""""))"),"")</f>
        <v/>
      </c>
      <c r="M2964" s="29" t="str">
        <f>IFERROR(__xludf.DUMMYFUNCTION("IF(L2964="""","""",QUERY({'Dashboard-Dados'!$Y$2:$AA$13},""Select Col2 Where Col1=""&amp;L2964))"),"")</f>
        <v/>
      </c>
      <c r="N2964" s="29" t="str">
        <f>IFERROR(__xludf.DUMMYFUNCTION("IF(ISBLANK(B2964),"""",IF(ISDATE(B2964),TEXT(B2964,""yyyy""),""""))"),"")</f>
        <v/>
      </c>
    </row>
    <row r="2965">
      <c r="B2965" s="87"/>
      <c r="C2965" s="85"/>
      <c r="D2965" s="76"/>
      <c r="H2965" s="88"/>
      <c r="J2965" s="53" t="str">
        <f>IFERROR(__xludf.DUMMYFUNCTION("IF(ISBLANK(B2965),"""",IF(ISDATE(B2965),""X"",""""))"),"")</f>
        <v/>
      </c>
      <c r="K2965" s="40" t="str">
        <f>IFERROR(__xludf.DUMMYFUNCTION("IF(ISBLANK(B2965),"""",IF(ISDATE(B2965),H2965,""""))"),"")</f>
        <v/>
      </c>
      <c r="L2965" s="40" t="str">
        <f>IFERROR(__xludf.DUMMYFUNCTION("IF(ISBLANK(B2965),"""",IF(ISDATE(B2965),TEXT(B2965,""M""),""""))"),"")</f>
        <v/>
      </c>
      <c r="M2965" s="29" t="str">
        <f>IFERROR(__xludf.DUMMYFUNCTION("IF(L2965="""","""",QUERY({'Dashboard-Dados'!$Y$2:$AA$13},""Select Col2 Where Col1=""&amp;L2965))"),"")</f>
        <v/>
      </c>
      <c r="N2965" s="29" t="str">
        <f>IFERROR(__xludf.DUMMYFUNCTION("IF(ISBLANK(B2965),"""",IF(ISDATE(B2965),TEXT(B2965,""yyyy""),""""))"),"")</f>
        <v/>
      </c>
    </row>
    <row r="2966">
      <c r="B2966" s="89"/>
      <c r="C2966" s="86"/>
      <c r="D2966" s="71"/>
      <c r="H2966" s="90"/>
      <c r="J2966" s="53" t="str">
        <f>IFERROR(__xludf.DUMMYFUNCTION("IF(ISBLANK(B2966),"""",IF(ISDATE(B2966),""X"",""""))"),"")</f>
        <v/>
      </c>
      <c r="K2966" s="40" t="str">
        <f>IFERROR(__xludf.DUMMYFUNCTION("IF(ISBLANK(B2966),"""",IF(ISDATE(B2966),H2966,""""))"),"")</f>
        <v/>
      </c>
      <c r="L2966" s="40" t="str">
        <f>IFERROR(__xludf.DUMMYFUNCTION("IF(ISBLANK(B2966),"""",IF(ISDATE(B2966),TEXT(B2966,""M""),""""))"),"")</f>
        <v/>
      </c>
      <c r="M2966" s="29" t="str">
        <f>IFERROR(__xludf.DUMMYFUNCTION("IF(L2966="""","""",QUERY({'Dashboard-Dados'!$Y$2:$AA$13},""Select Col2 Where Col1=""&amp;L2966))"),"")</f>
        <v/>
      </c>
      <c r="N2966" s="29" t="str">
        <f>IFERROR(__xludf.DUMMYFUNCTION("IF(ISBLANK(B2966),"""",IF(ISDATE(B2966),TEXT(B2966,""yyyy""),""""))"),"")</f>
        <v/>
      </c>
    </row>
    <row r="2967">
      <c r="B2967" s="87"/>
      <c r="C2967" s="85"/>
      <c r="D2967" s="76"/>
      <c r="H2967" s="88"/>
      <c r="J2967" s="53" t="str">
        <f>IFERROR(__xludf.DUMMYFUNCTION("IF(ISBLANK(B2967),"""",IF(ISDATE(B2967),""X"",""""))"),"")</f>
        <v/>
      </c>
      <c r="K2967" s="40" t="str">
        <f>IFERROR(__xludf.DUMMYFUNCTION("IF(ISBLANK(B2967),"""",IF(ISDATE(B2967),H2967,""""))"),"")</f>
        <v/>
      </c>
      <c r="L2967" s="40" t="str">
        <f>IFERROR(__xludf.DUMMYFUNCTION("IF(ISBLANK(B2967),"""",IF(ISDATE(B2967),TEXT(B2967,""M""),""""))"),"")</f>
        <v/>
      </c>
      <c r="M2967" s="29" t="str">
        <f>IFERROR(__xludf.DUMMYFUNCTION("IF(L2967="""","""",QUERY({'Dashboard-Dados'!$Y$2:$AA$13},""Select Col2 Where Col1=""&amp;L2967))"),"")</f>
        <v/>
      </c>
      <c r="N2967" s="29" t="str">
        <f>IFERROR(__xludf.DUMMYFUNCTION("IF(ISBLANK(B2967),"""",IF(ISDATE(B2967),TEXT(B2967,""yyyy""),""""))"),"")</f>
        <v/>
      </c>
    </row>
    <row r="2968">
      <c r="B2968" s="89"/>
      <c r="C2968" s="86"/>
      <c r="D2968" s="71"/>
      <c r="H2968" s="90"/>
      <c r="J2968" s="53" t="str">
        <f>IFERROR(__xludf.DUMMYFUNCTION("IF(ISBLANK(B2968),"""",IF(ISDATE(B2968),""X"",""""))"),"")</f>
        <v/>
      </c>
      <c r="K2968" s="40" t="str">
        <f>IFERROR(__xludf.DUMMYFUNCTION("IF(ISBLANK(B2968),"""",IF(ISDATE(B2968),H2968,""""))"),"")</f>
        <v/>
      </c>
      <c r="L2968" s="40" t="str">
        <f>IFERROR(__xludf.DUMMYFUNCTION("IF(ISBLANK(B2968),"""",IF(ISDATE(B2968),TEXT(B2968,""M""),""""))"),"")</f>
        <v/>
      </c>
      <c r="M2968" s="29" t="str">
        <f>IFERROR(__xludf.DUMMYFUNCTION("IF(L2968="""","""",QUERY({'Dashboard-Dados'!$Y$2:$AA$13},""Select Col2 Where Col1=""&amp;L2968))"),"")</f>
        <v/>
      </c>
      <c r="N2968" s="29" t="str">
        <f>IFERROR(__xludf.DUMMYFUNCTION("IF(ISBLANK(B2968),"""",IF(ISDATE(B2968),TEXT(B2968,""yyyy""),""""))"),"")</f>
        <v/>
      </c>
    </row>
    <row r="2969">
      <c r="B2969" s="87"/>
      <c r="C2969" s="85"/>
      <c r="D2969" s="76"/>
      <c r="H2969" s="88"/>
      <c r="J2969" s="53" t="str">
        <f>IFERROR(__xludf.DUMMYFUNCTION("IF(ISBLANK(B2969),"""",IF(ISDATE(B2969),""X"",""""))"),"")</f>
        <v/>
      </c>
      <c r="K2969" s="40" t="str">
        <f>IFERROR(__xludf.DUMMYFUNCTION("IF(ISBLANK(B2969),"""",IF(ISDATE(B2969),H2969,""""))"),"")</f>
        <v/>
      </c>
      <c r="L2969" s="40" t="str">
        <f>IFERROR(__xludf.DUMMYFUNCTION("IF(ISBLANK(B2969),"""",IF(ISDATE(B2969),TEXT(B2969,""M""),""""))"),"")</f>
        <v/>
      </c>
      <c r="M2969" s="29" t="str">
        <f>IFERROR(__xludf.DUMMYFUNCTION("IF(L2969="""","""",QUERY({'Dashboard-Dados'!$Y$2:$AA$13},""Select Col2 Where Col1=""&amp;L2969))"),"")</f>
        <v/>
      </c>
      <c r="N2969" s="29" t="str">
        <f>IFERROR(__xludf.DUMMYFUNCTION("IF(ISBLANK(B2969),"""",IF(ISDATE(B2969),TEXT(B2969,""yyyy""),""""))"),"")</f>
        <v/>
      </c>
    </row>
    <row r="2970">
      <c r="B2970" s="89"/>
      <c r="C2970" s="86"/>
      <c r="D2970" s="71"/>
      <c r="H2970" s="90"/>
      <c r="J2970" s="53" t="str">
        <f>IFERROR(__xludf.DUMMYFUNCTION("IF(ISBLANK(B2970),"""",IF(ISDATE(B2970),""X"",""""))"),"")</f>
        <v/>
      </c>
      <c r="K2970" s="40" t="str">
        <f>IFERROR(__xludf.DUMMYFUNCTION("IF(ISBLANK(B2970),"""",IF(ISDATE(B2970),H2970,""""))"),"")</f>
        <v/>
      </c>
      <c r="L2970" s="40" t="str">
        <f>IFERROR(__xludf.DUMMYFUNCTION("IF(ISBLANK(B2970),"""",IF(ISDATE(B2970),TEXT(B2970,""M""),""""))"),"")</f>
        <v/>
      </c>
      <c r="M2970" s="29" t="str">
        <f>IFERROR(__xludf.DUMMYFUNCTION("IF(L2970="""","""",QUERY({'Dashboard-Dados'!$Y$2:$AA$13},""Select Col2 Where Col1=""&amp;L2970))"),"")</f>
        <v/>
      </c>
      <c r="N2970" s="29" t="str">
        <f>IFERROR(__xludf.DUMMYFUNCTION("IF(ISBLANK(B2970),"""",IF(ISDATE(B2970),TEXT(B2970,""yyyy""),""""))"),"")</f>
        <v/>
      </c>
    </row>
    <row r="2971">
      <c r="B2971" s="87"/>
      <c r="C2971" s="85"/>
      <c r="D2971" s="76"/>
      <c r="H2971" s="88"/>
      <c r="J2971" s="53" t="str">
        <f>IFERROR(__xludf.DUMMYFUNCTION("IF(ISBLANK(B2971),"""",IF(ISDATE(B2971),""X"",""""))"),"")</f>
        <v/>
      </c>
      <c r="K2971" s="40" t="str">
        <f>IFERROR(__xludf.DUMMYFUNCTION("IF(ISBLANK(B2971),"""",IF(ISDATE(B2971),H2971,""""))"),"")</f>
        <v/>
      </c>
      <c r="L2971" s="40" t="str">
        <f>IFERROR(__xludf.DUMMYFUNCTION("IF(ISBLANK(B2971),"""",IF(ISDATE(B2971),TEXT(B2971,""M""),""""))"),"")</f>
        <v/>
      </c>
      <c r="M2971" s="29" t="str">
        <f>IFERROR(__xludf.DUMMYFUNCTION("IF(L2971="""","""",QUERY({'Dashboard-Dados'!$Y$2:$AA$13},""Select Col2 Where Col1=""&amp;L2971))"),"")</f>
        <v/>
      </c>
      <c r="N2971" s="29" t="str">
        <f>IFERROR(__xludf.DUMMYFUNCTION("IF(ISBLANK(B2971),"""",IF(ISDATE(B2971),TEXT(B2971,""yyyy""),""""))"),"")</f>
        <v/>
      </c>
    </row>
    <row r="2972">
      <c r="B2972" s="89"/>
      <c r="C2972" s="86"/>
      <c r="D2972" s="71"/>
      <c r="H2972" s="90"/>
      <c r="J2972" s="53" t="str">
        <f>IFERROR(__xludf.DUMMYFUNCTION("IF(ISBLANK(B2972),"""",IF(ISDATE(B2972),""X"",""""))"),"")</f>
        <v/>
      </c>
      <c r="K2972" s="40" t="str">
        <f>IFERROR(__xludf.DUMMYFUNCTION("IF(ISBLANK(B2972),"""",IF(ISDATE(B2972),H2972,""""))"),"")</f>
        <v/>
      </c>
      <c r="L2972" s="40" t="str">
        <f>IFERROR(__xludf.DUMMYFUNCTION("IF(ISBLANK(B2972),"""",IF(ISDATE(B2972),TEXT(B2972,""M""),""""))"),"")</f>
        <v/>
      </c>
      <c r="M2972" s="29" t="str">
        <f>IFERROR(__xludf.DUMMYFUNCTION("IF(L2972="""","""",QUERY({'Dashboard-Dados'!$Y$2:$AA$13},""Select Col2 Where Col1=""&amp;L2972))"),"")</f>
        <v/>
      </c>
      <c r="N2972" s="29" t="str">
        <f>IFERROR(__xludf.DUMMYFUNCTION("IF(ISBLANK(B2972),"""",IF(ISDATE(B2972),TEXT(B2972,""yyyy""),""""))"),"")</f>
        <v/>
      </c>
    </row>
    <row r="2973">
      <c r="B2973" s="87"/>
      <c r="C2973" s="85"/>
      <c r="D2973" s="76"/>
      <c r="H2973" s="88"/>
      <c r="J2973" s="53" t="str">
        <f>IFERROR(__xludf.DUMMYFUNCTION("IF(ISBLANK(B2973),"""",IF(ISDATE(B2973),""X"",""""))"),"")</f>
        <v/>
      </c>
      <c r="K2973" s="40" t="str">
        <f>IFERROR(__xludf.DUMMYFUNCTION("IF(ISBLANK(B2973),"""",IF(ISDATE(B2973),H2973,""""))"),"")</f>
        <v/>
      </c>
      <c r="L2973" s="40" t="str">
        <f>IFERROR(__xludf.DUMMYFUNCTION("IF(ISBLANK(B2973),"""",IF(ISDATE(B2973),TEXT(B2973,""M""),""""))"),"")</f>
        <v/>
      </c>
      <c r="M2973" s="29" t="str">
        <f>IFERROR(__xludf.DUMMYFUNCTION("IF(L2973="""","""",QUERY({'Dashboard-Dados'!$Y$2:$AA$13},""Select Col2 Where Col1=""&amp;L2973))"),"")</f>
        <v/>
      </c>
      <c r="N2973" s="29" t="str">
        <f>IFERROR(__xludf.DUMMYFUNCTION("IF(ISBLANK(B2973),"""",IF(ISDATE(B2973),TEXT(B2973,""yyyy""),""""))"),"")</f>
        <v/>
      </c>
    </row>
    <row r="2974">
      <c r="B2974" s="89"/>
      <c r="C2974" s="86"/>
      <c r="D2974" s="71"/>
      <c r="H2974" s="90"/>
      <c r="J2974" s="53" t="str">
        <f>IFERROR(__xludf.DUMMYFUNCTION("IF(ISBLANK(B2974),"""",IF(ISDATE(B2974),""X"",""""))"),"")</f>
        <v/>
      </c>
      <c r="K2974" s="40" t="str">
        <f>IFERROR(__xludf.DUMMYFUNCTION("IF(ISBLANK(B2974),"""",IF(ISDATE(B2974),H2974,""""))"),"")</f>
        <v/>
      </c>
      <c r="L2974" s="40" t="str">
        <f>IFERROR(__xludf.DUMMYFUNCTION("IF(ISBLANK(B2974),"""",IF(ISDATE(B2974),TEXT(B2974,""M""),""""))"),"")</f>
        <v/>
      </c>
      <c r="M2974" s="29" t="str">
        <f>IFERROR(__xludf.DUMMYFUNCTION("IF(L2974="""","""",QUERY({'Dashboard-Dados'!$Y$2:$AA$13},""Select Col2 Where Col1=""&amp;L2974))"),"")</f>
        <v/>
      </c>
      <c r="N2974" s="29" t="str">
        <f>IFERROR(__xludf.DUMMYFUNCTION("IF(ISBLANK(B2974),"""",IF(ISDATE(B2974),TEXT(B2974,""yyyy""),""""))"),"")</f>
        <v/>
      </c>
    </row>
    <row r="2975">
      <c r="B2975" s="87"/>
      <c r="C2975" s="85"/>
      <c r="D2975" s="76"/>
      <c r="H2975" s="88"/>
      <c r="J2975" s="53" t="str">
        <f>IFERROR(__xludf.DUMMYFUNCTION("IF(ISBLANK(B2975),"""",IF(ISDATE(B2975),""X"",""""))"),"")</f>
        <v/>
      </c>
      <c r="K2975" s="40" t="str">
        <f>IFERROR(__xludf.DUMMYFUNCTION("IF(ISBLANK(B2975),"""",IF(ISDATE(B2975),H2975,""""))"),"")</f>
        <v/>
      </c>
      <c r="L2975" s="40" t="str">
        <f>IFERROR(__xludf.DUMMYFUNCTION("IF(ISBLANK(B2975),"""",IF(ISDATE(B2975),TEXT(B2975,""M""),""""))"),"")</f>
        <v/>
      </c>
      <c r="M2975" s="29" t="str">
        <f>IFERROR(__xludf.DUMMYFUNCTION("IF(L2975="""","""",QUERY({'Dashboard-Dados'!$Y$2:$AA$13},""Select Col2 Where Col1=""&amp;L2975))"),"")</f>
        <v/>
      </c>
      <c r="N2975" s="29" t="str">
        <f>IFERROR(__xludf.DUMMYFUNCTION("IF(ISBLANK(B2975),"""",IF(ISDATE(B2975),TEXT(B2975,""yyyy""),""""))"),"")</f>
        <v/>
      </c>
    </row>
    <row r="2976">
      <c r="B2976" s="89"/>
      <c r="C2976" s="86"/>
      <c r="D2976" s="71"/>
      <c r="H2976" s="90"/>
      <c r="J2976" s="53" t="str">
        <f>IFERROR(__xludf.DUMMYFUNCTION("IF(ISBLANK(B2976),"""",IF(ISDATE(B2976),""X"",""""))"),"")</f>
        <v/>
      </c>
      <c r="K2976" s="40" t="str">
        <f>IFERROR(__xludf.DUMMYFUNCTION("IF(ISBLANK(B2976),"""",IF(ISDATE(B2976),H2976,""""))"),"")</f>
        <v/>
      </c>
      <c r="L2976" s="40" t="str">
        <f>IFERROR(__xludf.DUMMYFUNCTION("IF(ISBLANK(B2976),"""",IF(ISDATE(B2976),TEXT(B2976,""M""),""""))"),"")</f>
        <v/>
      </c>
      <c r="M2976" s="29" t="str">
        <f>IFERROR(__xludf.DUMMYFUNCTION("IF(L2976="""","""",QUERY({'Dashboard-Dados'!$Y$2:$AA$13},""Select Col2 Where Col1=""&amp;L2976))"),"")</f>
        <v/>
      </c>
      <c r="N2976" s="29" t="str">
        <f>IFERROR(__xludf.DUMMYFUNCTION("IF(ISBLANK(B2976),"""",IF(ISDATE(B2976),TEXT(B2976,""yyyy""),""""))"),"")</f>
        <v/>
      </c>
    </row>
    <row r="2977">
      <c r="B2977" s="87"/>
      <c r="C2977" s="85"/>
      <c r="D2977" s="76"/>
      <c r="H2977" s="88"/>
      <c r="J2977" s="53" t="str">
        <f>IFERROR(__xludf.DUMMYFUNCTION("IF(ISBLANK(B2977),"""",IF(ISDATE(B2977),""X"",""""))"),"")</f>
        <v/>
      </c>
      <c r="K2977" s="40" t="str">
        <f>IFERROR(__xludf.DUMMYFUNCTION("IF(ISBLANK(B2977),"""",IF(ISDATE(B2977),H2977,""""))"),"")</f>
        <v/>
      </c>
      <c r="L2977" s="40" t="str">
        <f>IFERROR(__xludf.DUMMYFUNCTION("IF(ISBLANK(B2977),"""",IF(ISDATE(B2977),TEXT(B2977,""M""),""""))"),"")</f>
        <v/>
      </c>
      <c r="M2977" s="29" t="str">
        <f>IFERROR(__xludf.DUMMYFUNCTION("IF(L2977="""","""",QUERY({'Dashboard-Dados'!$Y$2:$AA$13},""Select Col2 Where Col1=""&amp;L2977))"),"")</f>
        <v/>
      </c>
      <c r="N2977" s="29" t="str">
        <f>IFERROR(__xludf.DUMMYFUNCTION("IF(ISBLANK(B2977),"""",IF(ISDATE(B2977),TEXT(B2977,""yyyy""),""""))"),"")</f>
        <v/>
      </c>
    </row>
    <row r="2978">
      <c r="B2978" s="89"/>
      <c r="C2978" s="86"/>
      <c r="D2978" s="71"/>
      <c r="H2978" s="90"/>
      <c r="J2978" s="53" t="str">
        <f>IFERROR(__xludf.DUMMYFUNCTION("IF(ISBLANK(B2978),"""",IF(ISDATE(B2978),""X"",""""))"),"")</f>
        <v/>
      </c>
      <c r="K2978" s="40" t="str">
        <f>IFERROR(__xludf.DUMMYFUNCTION("IF(ISBLANK(B2978),"""",IF(ISDATE(B2978),H2978,""""))"),"")</f>
        <v/>
      </c>
      <c r="L2978" s="40" t="str">
        <f>IFERROR(__xludf.DUMMYFUNCTION("IF(ISBLANK(B2978),"""",IF(ISDATE(B2978),TEXT(B2978,""M""),""""))"),"")</f>
        <v/>
      </c>
      <c r="M2978" s="29" t="str">
        <f>IFERROR(__xludf.DUMMYFUNCTION("IF(L2978="""","""",QUERY({'Dashboard-Dados'!$Y$2:$AA$13},""Select Col2 Where Col1=""&amp;L2978))"),"")</f>
        <v/>
      </c>
      <c r="N2978" s="29" t="str">
        <f>IFERROR(__xludf.DUMMYFUNCTION("IF(ISBLANK(B2978),"""",IF(ISDATE(B2978),TEXT(B2978,""yyyy""),""""))"),"")</f>
        <v/>
      </c>
    </row>
    <row r="2979">
      <c r="B2979" s="87"/>
      <c r="C2979" s="85"/>
      <c r="D2979" s="76"/>
      <c r="H2979" s="88"/>
      <c r="J2979" s="53" t="str">
        <f>IFERROR(__xludf.DUMMYFUNCTION("IF(ISBLANK(B2979),"""",IF(ISDATE(B2979),""X"",""""))"),"")</f>
        <v/>
      </c>
      <c r="K2979" s="40" t="str">
        <f>IFERROR(__xludf.DUMMYFUNCTION("IF(ISBLANK(B2979),"""",IF(ISDATE(B2979),H2979,""""))"),"")</f>
        <v/>
      </c>
      <c r="L2979" s="40" t="str">
        <f>IFERROR(__xludf.DUMMYFUNCTION("IF(ISBLANK(B2979),"""",IF(ISDATE(B2979),TEXT(B2979,""M""),""""))"),"")</f>
        <v/>
      </c>
      <c r="M2979" s="29" t="str">
        <f>IFERROR(__xludf.DUMMYFUNCTION("IF(L2979="""","""",QUERY({'Dashboard-Dados'!$Y$2:$AA$13},""Select Col2 Where Col1=""&amp;L2979))"),"")</f>
        <v/>
      </c>
      <c r="N2979" s="29" t="str">
        <f>IFERROR(__xludf.DUMMYFUNCTION("IF(ISBLANK(B2979),"""",IF(ISDATE(B2979),TEXT(B2979,""yyyy""),""""))"),"")</f>
        <v/>
      </c>
    </row>
    <row r="2980">
      <c r="B2980" s="89"/>
      <c r="C2980" s="86"/>
      <c r="D2980" s="71"/>
      <c r="H2980" s="90"/>
      <c r="J2980" s="53" t="str">
        <f>IFERROR(__xludf.DUMMYFUNCTION("IF(ISBLANK(B2980),"""",IF(ISDATE(B2980),""X"",""""))"),"")</f>
        <v/>
      </c>
      <c r="K2980" s="40" t="str">
        <f>IFERROR(__xludf.DUMMYFUNCTION("IF(ISBLANK(B2980),"""",IF(ISDATE(B2980),H2980,""""))"),"")</f>
        <v/>
      </c>
      <c r="L2980" s="40" t="str">
        <f>IFERROR(__xludf.DUMMYFUNCTION("IF(ISBLANK(B2980),"""",IF(ISDATE(B2980),TEXT(B2980,""M""),""""))"),"")</f>
        <v/>
      </c>
      <c r="M2980" s="29" t="str">
        <f>IFERROR(__xludf.DUMMYFUNCTION("IF(L2980="""","""",QUERY({'Dashboard-Dados'!$Y$2:$AA$13},""Select Col2 Where Col1=""&amp;L2980))"),"")</f>
        <v/>
      </c>
      <c r="N2980" s="29" t="str">
        <f>IFERROR(__xludf.DUMMYFUNCTION("IF(ISBLANK(B2980),"""",IF(ISDATE(B2980),TEXT(B2980,""yyyy""),""""))"),"")</f>
        <v/>
      </c>
    </row>
    <row r="2981">
      <c r="B2981" s="87"/>
      <c r="C2981" s="85"/>
      <c r="D2981" s="76"/>
      <c r="H2981" s="88"/>
      <c r="J2981" s="53" t="str">
        <f>IFERROR(__xludf.DUMMYFUNCTION("IF(ISBLANK(B2981),"""",IF(ISDATE(B2981),""X"",""""))"),"")</f>
        <v/>
      </c>
      <c r="K2981" s="40" t="str">
        <f>IFERROR(__xludf.DUMMYFUNCTION("IF(ISBLANK(B2981),"""",IF(ISDATE(B2981),H2981,""""))"),"")</f>
        <v/>
      </c>
      <c r="L2981" s="40" t="str">
        <f>IFERROR(__xludf.DUMMYFUNCTION("IF(ISBLANK(B2981),"""",IF(ISDATE(B2981),TEXT(B2981,""M""),""""))"),"")</f>
        <v/>
      </c>
      <c r="M2981" s="29" t="str">
        <f>IFERROR(__xludf.DUMMYFUNCTION("IF(L2981="""","""",QUERY({'Dashboard-Dados'!$Y$2:$AA$13},""Select Col2 Where Col1=""&amp;L2981))"),"")</f>
        <v/>
      </c>
      <c r="N2981" s="29" t="str">
        <f>IFERROR(__xludf.DUMMYFUNCTION("IF(ISBLANK(B2981),"""",IF(ISDATE(B2981),TEXT(B2981,""yyyy""),""""))"),"")</f>
        <v/>
      </c>
    </row>
    <row r="2982">
      <c r="B2982" s="89"/>
      <c r="C2982" s="86"/>
      <c r="D2982" s="71"/>
      <c r="H2982" s="90"/>
      <c r="J2982" s="53" t="str">
        <f>IFERROR(__xludf.DUMMYFUNCTION("IF(ISBLANK(B2982),"""",IF(ISDATE(B2982),""X"",""""))"),"")</f>
        <v/>
      </c>
      <c r="K2982" s="40" t="str">
        <f>IFERROR(__xludf.DUMMYFUNCTION("IF(ISBLANK(B2982),"""",IF(ISDATE(B2982),H2982,""""))"),"")</f>
        <v/>
      </c>
      <c r="L2982" s="40" t="str">
        <f>IFERROR(__xludf.DUMMYFUNCTION("IF(ISBLANK(B2982),"""",IF(ISDATE(B2982),TEXT(B2982,""M""),""""))"),"")</f>
        <v/>
      </c>
      <c r="M2982" s="29" t="str">
        <f>IFERROR(__xludf.DUMMYFUNCTION("IF(L2982="""","""",QUERY({'Dashboard-Dados'!$Y$2:$AA$13},""Select Col2 Where Col1=""&amp;L2982))"),"")</f>
        <v/>
      </c>
      <c r="N2982" s="29" t="str">
        <f>IFERROR(__xludf.DUMMYFUNCTION("IF(ISBLANK(B2982),"""",IF(ISDATE(B2982),TEXT(B2982,""yyyy""),""""))"),"")</f>
        <v/>
      </c>
    </row>
    <row r="2983">
      <c r="B2983" s="87"/>
      <c r="C2983" s="85"/>
      <c r="D2983" s="76"/>
      <c r="H2983" s="88"/>
      <c r="J2983" s="53" t="str">
        <f>IFERROR(__xludf.DUMMYFUNCTION("IF(ISBLANK(B2983),"""",IF(ISDATE(B2983),""X"",""""))"),"")</f>
        <v/>
      </c>
      <c r="K2983" s="40" t="str">
        <f>IFERROR(__xludf.DUMMYFUNCTION("IF(ISBLANK(B2983),"""",IF(ISDATE(B2983),H2983,""""))"),"")</f>
        <v/>
      </c>
      <c r="L2983" s="40" t="str">
        <f>IFERROR(__xludf.DUMMYFUNCTION("IF(ISBLANK(B2983),"""",IF(ISDATE(B2983),TEXT(B2983,""M""),""""))"),"")</f>
        <v/>
      </c>
      <c r="M2983" s="29" t="str">
        <f>IFERROR(__xludf.DUMMYFUNCTION("IF(L2983="""","""",QUERY({'Dashboard-Dados'!$Y$2:$AA$13},""Select Col2 Where Col1=""&amp;L2983))"),"")</f>
        <v/>
      </c>
      <c r="N2983" s="29" t="str">
        <f>IFERROR(__xludf.DUMMYFUNCTION("IF(ISBLANK(B2983),"""",IF(ISDATE(B2983),TEXT(B2983,""yyyy""),""""))"),"")</f>
        <v/>
      </c>
    </row>
    <row r="2984">
      <c r="B2984" s="89"/>
      <c r="C2984" s="86"/>
      <c r="D2984" s="71"/>
      <c r="H2984" s="90"/>
      <c r="J2984" s="53" t="str">
        <f>IFERROR(__xludf.DUMMYFUNCTION("IF(ISBLANK(B2984),"""",IF(ISDATE(B2984),""X"",""""))"),"")</f>
        <v/>
      </c>
      <c r="K2984" s="40" t="str">
        <f>IFERROR(__xludf.DUMMYFUNCTION("IF(ISBLANK(B2984),"""",IF(ISDATE(B2984),H2984,""""))"),"")</f>
        <v/>
      </c>
      <c r="L2984" s="40" t="str">
        <f>IFERROR(__xludf.DUMMYFUNCTION("IF(ISBLANK(B2984),"""",IF(ISDATE(B2984),TEXT(B2984,""M""),""""))"),"")</f>
        <v/>
      </c>
      <c r="M2984" s="29" t="str">
        <f>IFERROR(__xludf.DUMMYFUNCTION("IF(L2984="""","""",QUERY({'Dashboard-Dados'!$Y$2:$AA$13},""Select Col2 Where Col1=""&amp;L2984))"),"")</f>
        <v/>
      </c>
      <c r="N2984" s="29" t="str">
        <f>IFERROR(__xludf.DUMMYFUNCTION("IF(ISBLANK(B2984),"""",IF(ISDATE(B2984),TEXT(B2984,""yyyy""),""""))"),"")</f>
        <v/>
      </c>
    </row>
    <row r="2985">
      <c r="B2985" s="87"/>
      <c r="C2985" s="85"/>
      <c r="D2985" s="76"/>
      <c r="H2985" s="88"/>
      <c r="J2985" s="53" t="str">
        <f>IFERROR(__xludf.DUMMYFUNCTION("IF(ISBLANK(B2985),"""",IF(ISDATE(B2985),""X"",""""))"),"")</f>
        <v/>
      </c>
      <c r="K2985" s="40" t="str">
        <f>IFERROR(__xludf.DUMMYFUNCTION("IF(ISBLANK(B2985),"""",IF(ISDATE(B2985),H2985,""""))"),"")</f>
        <v/>
      </c>
      <c r="L2985" s="40" t="str">
        <f>IFERROR(__xludf.DUMMYFUNCTION("IF(ISBLANK(B2985),"""",IF(ISDATE(B2985),TEXT(B2985,""M""),""""))"),"")</f>
        <v/>
      </c>
      <c r="M2985" s="29" t="str">
        <f>IFERROR(__xludf.DUMMYFUNCTION("IF(L2985="""","""",QUERY({'Dashboard-Dados'!$Y$2:$AA$13},""Select Col2 Where Col1=""&amp;L2985))"),"")</f>
        <v/>
      </c>
      <c r="N2985" s="29" t="str">
        <f>IFERROR(__xludf.DUMMYFUNCTION("IF(ISBLANK(B2985),"""",IF(ISDATE(B2985),TEXT(B2985,""yyyy""),""""))"),"")</f>
        <v/>
      </c>
    </row>
    <row r="2986">
      <c r="B2986" s="89"/>
      <c r="C2986" s="86"/>
      <c r="D2986" s="71"/>
      <c r="H2986" s="90"/>
      <c r="J2986" s="53" t="str">
        <f>IFERROR(__xludf.DUMMYFUNCTION("IF(ISBLANK(B2986),"""",IF(ISDATE(B2986),""X"",""""))"),"")</f>
        <v/>
      </c>
      <c r="K2986" s="40" t="str">
        <f>IFERROR(__xludf.DUMMYFUNCTION("IF(ISBLANK(B2986),"""",IF(ISDATE(B2986),H2986,""""))"),"")</f>
        <v/>
      </c>
      <c r="L2986" s="40" t="str">
        <f>IFERROR(__xludf.DUMMYFUNCTION("IF(ISBLANK(B2986),"""",IF(ISDATE(B2986),TEXT(B2986,""M""),""""))"),"")</f>
        <v/>
      </c>
      <c r="M2986" s="29" t="str">
        <f>IFERROR(__xludf.DUMMYFUNCTION("IF(L2986="""","""",QUERY({'Dashboard-Dados'!$Y$2:$AA$13},""Select Col2 Where Col1=""&amp;L2986))"),"")</f>
        <v/>
      </c>
      <c r="N2986" s="29" t="str">
        <f>IFERROR(__xludf.DUMMYFUNCTION("IF(ISBLANK(B2986),"""",IF(ISDATE(B2986),TEXT(B2986,""yyyy""),""""))"),"")</f>
        <v/>
      </c>
    </row>
    <row r="2987">
      <c r="B2987" s="87"/>
      <c r="C2987" s="85"/>
      <c r="D2987" s="76"/>
      <c r="H2987" s="88"/>
      <c r="J2987" s="53" t="str">
        <f>IFERROR(__xludf.DUMMYFUNCTION("IF(ISBLANK(B2987),"""",IF(ISDATE(B2987),""X"",""""))"),"")</f>
        <v/>
      </c>
      <c r="K2987" s="40" t="str">
        <f>IFERROR(__xludf.DUMMYFUNCTION("IF(ISBLANK(B2987),"""",IF(ISDATE(B2987),H2987,""""))"),"")</f>
        <v/>
      </c>
      <c r="L2987" s="40" t="str">
        <f>IFERROR(__xludf.DUMMYFUNCTION("IF(ISBLANK(B2987),"""",IF(ISDATE(B2987),TEXT(B2987,""M""),""""))"),"")</f>
        <v/>
      </c>
      <c r="M2987" s="29" t="str">
        <f>IFERROR(__xludf.DUMMYFUNCTION("IF(L2987="""","""",QUERY({'Dashboard-Dados'!$Y$2:$AA$13},""Select Col2 Where Col1=""&amp;L2987))"),"")</f>
        <v/>
      </c>
      <c r="N2987" s="29" t="str">
        <f>IFERROR(__xludf.DUMMYFUNCTION("IF(ISBLANK(B2987),"""",IF(ISDATE(B2987),TEXT(B2987,""yyyy""),""""))"),"")</f>
        <v/>
      </c>
    </row>
    <row r="2988">
      <c r="B2988" s="89"/>
      <c r="C2988" s="86"/>
      <c r="D2988" s="71"/>
      <c r="H2988" s="90"/>
      <c r="J2988" s="53" t="str">
        <f>IFERROR(__xludf.DUMMYFUNCTION("IF(ISBLANK(B2988),"""",IF(ISDATE(B2988),""X"",""""))"),"")</f>
        <v/>
      </c>
      <c r="K2988" s="40" t="str">
        <f>IFERROR(__xludf.DUMMYFUNCTION("IF(ISBLANK(B2988),"""",IF(ISDATE(B2988),H2988,""""))"),"")</f>
        <v/>
      </c>
      <c r="L2988" s="40" t="str">
        <f>IFERROR(__xludf.DUMMYFUNCTION("IF(ISBLANK(B2988),"""",IF(ISDATE(B2988),TEXT(B2988,""M""),""""))"),"")</f>
        <v/>
      </c>
      <c r="M2988" s="29" t="str">
        <f>IFERROR(__xludf.DUMMYFUNCTION("IF(L2988="""","""",QUERY({'Dashboard-Dados'!$Y$2:$AA$13},""Select Col2 Where Col1=""&amp;L2988))"),"")</f>
        <v/>
      </c>
      <c r="N2988" s="29" t="str">
        <f>IFERROR(__xludf.DUMMYFUNCTION("IF(ISBLANK(B2988),"""",IF(ISDATE(B2988),TEXT(B2988,""yyyy""),""""))"),"")</f>
        <v/>
      </c>
    </row>
    <row r="2989">
      <c r="B2989" s="87"/>
      <c r="C2989" s="85"/>
      <c r="D2989" s="76"/>
      <c r="H2989" s="88"/>
      <c r="J2989" s="53" t="str">
        <f>IFERROR(__xludf.DUMMYFUNCTION("IF(ISBLANK(B2989),"""",IF(ISDATE(B2989),""X"",""""))"),"")</f>
        <v/>
      </c>
      <c r="K2989" s="40" t="str">
        <f>IFERROR(__xludf.DUMMYFUNCTION("IF(ISBLANK(B2989),"""",IF(ISDATE(B2989),H2989,""""))"),"")</f>
        <v/>
      </c>
      <c r="L2989" s="40" t="str">
        <f>IFERROR(__xludf.DUMMYFUNCTION("IF(ISBLANK(B2989),"""",IF(ISDATE(B2989),TEXT(B2989,""M""),""""))"),"")</f>
        <v/>
      </c>
      <c r="M2989" s="29" t="str">
        <f>IFERROR(__xludf.DUMMYFUNCTION("IF(L2989="""","""",QUERY({'Dashboard-Dados'!$Y$2:$AA$13},""Select Col2 Where Col1=""&amp;L2989))"),"")</f>
        <v/>
      </c>
      <c r="N2989" s="29" t="str">
        <f>IFERROR(__xludf.DUMMYFUNCTION("IF(ISBLANK(B2989),"""",IF(ISDATE(B2989),TEXT(B2989,""yyyy""),""""))"),"")</f>
        <v/>
      </c>
    </row>
    <row r="2990">
      <c r="B2990" s="89"/>
      <c r="C2990" s="86"/>
      <c r="D2990" s="71"/>
      <c r="H2990" s="90"/>
      <c r="J2990" s="53" t="str">
        <f>IFERROR(__xludf.DUMMYFUNCTION("IF(ISBLANK(B2990),"""",IF(ISDATE(B2990),""X"",""""))"),"")</f>
        <v/>
      </c>
      <c r="K2990" s="40" t="str">
        <f>IFERROR(__xludf.DUMMYFUNCTION("IF(ISBLANK(B2990),"""",IF(ISDATE(B2990),H2990,""""))"),"")</f>
        <v/>
      </c>
      <c r="L2990" s="40" t="str">
        <f>IFERROR(__xludf.DUMMYFUNCTION("IF(ISBLANK(B2990),"""",IF(ISDATE(B2990),TEXT(B2990,""M""),""""))"),"")</f>
        <v/>
      </c>
      <c r="M2990" s="29" t="str">
        <f>IFERROR(__xludf.DUMMYFUNCTION("IF(L2990="""","""",QUERY({'Dashboard-Dados'!$Y$2:$AA$13},""Select Col2 Where Col1=""&amp;L2990))"),"")</f>
        <v/>
      </c>
      <c r="N2990" s="29" t="str">
        <f>IFERROR(__xludf.DUMMYFUNCTION("IF(ISBLANK(B2990),"""",IF(ISDATE(B2990),TEXT(B2990,""yyyy""),""""))"),"")</f>
        <v/>
      </c>
    </row>
    <row r="2991">
      <c r="B2991" s="87"/>
      <c r="C2991" s="85"/>
      <c r="D2991" s="76"/>
      <c r="H2991" s="88"/>
      <c r="J2991" s="53" t="str">
        <f>IFERROR(__xludf.DUMMYFUNCTION("IF(ISBLANK(B2991),"""",IF(ISDATE(B2991),""X"",""""))"),"")</f>
        <v/>
      </c>
      <c r="K2991" s="40" t="str">
        <f>IFERROR(__xludf.DUMMYFUNCTION("IF(ISBLANK(B2991),"""",IF(ISDATE(B2991),H2991,""""))"),"")</f>
        <v/>
      </c>
      <c r="L2991" s="40" t="str">
        <f>IFERROR(__xludf.DUMMYFUNCTION("IF(ISBLANK(B2991),"""",IF(ISDATE(B2991),TEXT(B2991,""M""),""""))"),"")</f>
        <v/>
      </c>
      <c r="M2991" s="29" t="str">
        <f>IFERROR(__xludf.DUMMYFUNCTION("IF(L2991="""","""",QUERY({'Dashboard-Dados'!$Y$2:$AA$13},""Select Col2 Where Col1=""&amp;L2991))"),"")</f>
        <v/>
      </c>
      <c r="N2991" s="29" t="str">
        <f>IFERROR(__xludf.DUMMYFUNCTION("IF(ISBLANK(B2991),"""",IF(ISDATE(B2991),TEXT(B2991,""yyyy""),""""))"),"")</f>
        <v/>
      </c>
    </row>
    <row r="2992">
      <c r="B2992" s="89"/>
      <c r="C2992" s="86"/>
      <c r="D2992" s="71"/>
      <c r="H2992" s="90"/>
      <c r="J2992" s="53" t="str">
        <f>IFERROR(__xludf.DUMMYFUNCTION("IF(ISBLANK(B2992),"""",IF(ISDATE(B2992),""X"",""""))"),"")</f>
        <v/>
      </c>
      <c r="K2992" s="40" t="str">
        <f>IFERROR(__xludf.DUMMYFUNCTION("IF(ISBLANK(B2992),"""",IF(ISDATE(B2992),H2992,""""))"),"")</f>
        <v/>
      </c>
      <c r="L2992" s="40" t="str">
        <f>IFERROR(__xludf.DUMMYFUNCTION("IF(ISBLANK(B2992),"""",IF(ISDATE(B2992),TEXT(B2992,""M""),""""))"),"")</f>
        <v/>
      </c>
      <c r="M2992" s="29" t="str">
        <f>IFERROR(__xludf.DUMMYFUNCTION("IF(L2992="""","""",QUERY({'Dashboard-Dados'!$Y$2:$AA$13},""Select Col2 Where Col1=""&amp;L2992))"),"")</f>
        <v/>
      </c>
      <c r="N2992" s="29" t="str">
        <f>IFERROR(__xludf.DUMMYFUNCTION("IF(ISBLANK(B2992),"""",IF(ISDATE(B2992),TEXT(B2992,""yyyy""),""""))"),"")</f>
        <v/>
      </c>
    </row>
    <row r="2993">
      <c r="B2993" s="87"/>
      <c r="C2993" s="85"/>
      <c r="D2993" s="76"/>
      <c r="H2993" s="88"/>
      <c r="J2993" s="53" t="str">
        <f>IFERROR(__xludf.DUMMYFUNCTION("IF(ISBLANK(B2993),"""",IF(ISDATE(B2993),""X"",""""))"),"")</f>
        <v/>
      </c>
      <c r="K2993" s="40" t="str">
        <f>IFERROR(__xludf.DUMMYFUNCTION("IF(ISBLANK(B2993),"""",IF(ISDATE(B2993),H2993,""""))"),"")</f>
        <v/>
      </c>
      <c r="L2993" s="40" t="str">
        <f>IFERROR(__xludf.DUMMYFUNCTION("IF(ISBLANK(B2993),"""",IF(ISDATE(B2993),TEXT(B2993,""M""),""""))"),"")</f>
        <v/>
      </c>
      <c r="M2993" s="29" t="str">
        <f>IFERROR(__xludf.DUMMYFUNCTION("IF(L2993="""","""",QUERY({'Dashboard-Dados'!$Y$2:$AA$13},""Select Col2 Where Col1=""&amp;L2993))"),"")</f>
        <v/>
      </c>
      <c r="N2993" s="29" t="str">
        <f>IFERROR(__xludf.DUMMYFUNCTION("IF(ISBLANK(B2993),"""",IF(ISDATE(B2993),TEXT(B2993,""yyyy""),""""))"),"")</f>
        <v/>
      </c>
    </row>
    <row r="2994">
      <c r="B2994" s="89"/>
      <c r="C2994" s="86"/>
      <c r="D2994" s="71"/>
      <c r="H2994" s="90"/>
      <c r="J2994" s="53" t="str">
        <f>IFERROR(__xludf.DUMMYFUNCTION("IF(ISBLANK(B2994),"""",IF(ISDATE(B2994),""X"",""""))"),"")</f>
        <v/>
      </c>
      <c r="K2994" s="40" t="str">
        <f>IFERROR(__xludf.DUMMYFUNCTION("IF(ISBLANK(B2994),"""",IF(ISDATE(B2994),H2994,""""))"),"")</f>
        <v/>
      </c>
      <c r="L2994" s="40" t="str">
        <f>IFERROR(__xludf.DUMMYFUNCTION("IF(ISBLANK(B2994),"""",IF(ISDATE(B2994),TEXT(B2994,""M""),""""))"),"")</f>
        <v/>
      </c>
      <c r="M2994" s="29" t="str">
        <f>IFERROR(__xludf.DUMMYFUNCTION("IF(L2994="""","""",QUERY({'Dashboard-Dados'!$Y$2:$AA$13},""Select Col2 Where Col1=""&amp;L2994))"),"")</f>
        <v/>
      </c>
      <c r="N2994" s="29" t="str">
        <f>IFERROR(__xludf.DUMMYFUNCTION("IF(ISBLANK(B2994),"""",IF(ISDATE(B2994),TEXT(B2994,""yyyy""),""""))"),"")</f>
        <v/>
      </c>
    </row>
    <row r="2995">
      <c r="B2995" s="87"/>
      <c r="C2995" s="85"/>
      <c r="D2995" s="76"/>
      <c r="H2995" s="88"/>
      <c r="J2995" s="53" t="str">
        <f>IFERROR(__xludf.DUMMYFUNCTION("IF(ISBLANK(B2995),"""",IF(ISDATE(B2995),""X"",""""))"),"")</f>
        <v/>
      </c>
      <c r="K2995" s="40" t="str">
        <f>IFERROR(__xludf.DUMMYFUNCTION("IF(ISBLANK(B2995),"""",IF(ISDATE(B2995),H2995,""""))"),"")</f>
        <v/>
      </c>
      <c r="L2995" s="40" t="str">
        <f>IFERROR(__xludf.DUMMYFUNCTION("IF(ISBLANK(B2995),"""",IF(ISDATE(B2995),TEXT(B2995,""M""),""""))"),"")</f>
        <v/>
      </c>
      <c r="M2995" s="29" t="str">
        <f>IFERROR(__xludf.DUMMYFUNCTION("IF(L2995="""","""",QUERY({'Dashboard-Dados'!$Y$2:$AA$13},""Select Col2 Where Col1=""&amp;L2995))"),"")</f>
        <v/>
      </c>
      <c r="N2995" s="29" t="str">
        <f>IFERROR(__xludf.DUMMYFUNCTION("IF(ISBLANK(B2995),"""",IF(ISDATE(B2995),TEXT(B2995,""yyyy""),""""))"),"")</f>
        <v/>
      </c>
    </row>
    <row r="2996">
      <c r="B2996" s="89"/>
      <c r="C2996" s="86"/>
      <c r="D2996" s="71"/>
      <c r="H2996" s="90"/>
      <c r="J2996" s="53" t="str">
        <f>IFERROR(__xludf.DUMMYFUNCTION("IF(ISBLANK(B2996),"""",IF(ISDATE(B2996),""X"",""""))"),"")</f>
        <v/>
      </c>
      <c r="K2996" s="40" t="str">
        <f>IFERROR(__xludf.DUMMYFUNCTION("IF(ISBLANK(B2996),"""",IF(ISDATE(B2996),H2996,""""))"),"")</f>
        <v/>
      </c>
      <c r="L2996" s="40" t="str">
        <f>IFERROR(__xludf.DUMMYFUNCTION("IF(ISBLANK(B2996),"""",IF(ISDATE(B2996),TEXT(B2996,""M""),""""))"),"")</f>
        <v/>
      </c>
      <c r="M2996" s="29" t="str">
        <f>IFERROR(__xludf.DUMMYFUNCTION("IF(L2996="""","""",QUERY({'Dashboard-Dados'!$Y$2:$AA$13},""Select Col2 Where Col1=""&amp;L2996))"),"")</f>
        <v/>
      </c>
      <c r="N2996" s="29" t="str">
        <f>IFERROR(__xludf.DUMMYFUNCTION("IF(ISBLANK(B2996),"""",IF(ISDATE(B2996),TEXT(B2996,""yyyy""),""""))"),"")</f>
        <v/>
      </c>
    </row>
    <row r="2997">
      <c r="B2997" s="87"/>
      <c r="C2997" s="85"/>
      <c r="D2997" s="76"/>
      <c r="H2997" s="88"/>
      <c r="J2997" s="53" t="str">
        <f>IFERROR(__xludf.DUMMYFUNCTION("IF(ISBLANK(B2997),"""",IF(ISDATE(B2997),""X"",""""))"),"")</f>
        <v/>
      </c>
      <c r="K2997" s="40" t="str">
        <f>IFERROR(__xludf.DUMMYFUNCTION("IF(ISBLANK(B2997),"""",IF(ISDATE(B2997),H2997,""""))"),"")</f>
        <v/>
      </c>
      <c r="L2997" s="40" t="str">
        <f>IFERROR(__xludf.DUMMYFUNCTION("IF(ISBLANK(B2997),"""",IF(ISDATE(B2997),TEXT(B2997,""M""),""""))"),"")</f>
        <v/>
      </c>
      <c r="M2997" s="29" t="str">
        <f>IFERROR(__xludf.DUMMYFUNCTION("IF(L2997="""","""",QUERY({'Dashboard-Dados'!$Y$2:$AA$13},""Select Col2 Where Col1=""&amp;L2997))"),"")</f>
        <v/>
      </c>
      <c r="N2997" s="29" t="str">
        <f>IFERROR(__xludf.DUMMYFUNCTION("IF(ISBLANK(B2997),"""",IF(ISDATE(B2997),TEXT(B2997,""yyyy""),""""))"),"")</f>
        <v/>
      </c>
    </row>
    <row r="2998">
      <c r="B2998" s="89"/>
      <c r="C2998" s="86"/>
      <c r="D2998" s="71"/>
      <c r="H2998" s="90"/>
      <c r="J2998" s="53" t="str">
        <f>IFERROR(__xludf.DUMMYFUNCTION("IF(ISBLANK(B2998),"""",IF(ISDATE(B2998),""X"",""""))"),"")</f>
        <v/>
      </c>
      <c r="K2998" s="40" t="str">
        <f>IFERROR(__xludf.DUMMYFUNCTION("IF(ISBLANK(B2998),"""",IF(ISDATE(B2998),H2998,""""))"),"")</f>
        <v/>
      </c>
      <c r="L2998" s="40" t="str">
        <f>IFERROR(__xludf.DUMMYFUNCTION("IF(ISBLANK(B2998),"""",IF(ISDATE(B2998),TEXT(B2998,""M""),""""))"),"")</f>
        <v/>
      </c>
      <c r="M2998" s="29" t="str">
        <f>IFERROR(__xludf.DUMMYFUNCTION("IF(L2998="""","""",QUERY({'Dashboard-Dados'!$Y$2:$AA$13},""Select Col2 Where Col1=""&amp;L2998))"),"")</f>
        <v/>
      </c>
      <c r="N2998" s="29" t="str">
        <f>IFERROR(__xludf.DUMMYFUNCTION("IF(ISBLANK(B2998),"""",IF(ISDATE(B2998),TEXT(B2998,""yyyy""),""""))"),"")</f>
        <v/>
      </c>
    </row>
    <row r="2999">
      <c r="B2999" s="87"/>
      <c r="C2999" s="85"/>
      <c r="D2999" s="76"/>
      <c r="H2999" s="88"/>
      <c r="J2999" s="53" t="str">
        <f>IFERROR(__xludf.DUMMYFUNCTION("IF(ISBLANK(B2999),"""",IF(ISDATE(B2999),""X"",""""))"),"")</f>
        <v/>
      </c>
      <c r="K2999" s="40" t="str">
        <f>IFERROR(__xludf.DUMMYFUNCTION("IF(ISBLANK(B2999),"""",IF(ISDATE(B2999),H2999,""""))"),"")</f>
        <v/>
      </c>
      <c r="L2999" s="40" t="str">
        <f>IFERROR(__xludf.DUMMYFUNCTION("IF(ISBLANK(B2999),"""",IF(ISDATE(B2999),TEXT(B2999,""M""),""""))"),"")</f>
        <v/>
      </c>
      <c r="M2999" s="29" t="str">
        <f>IFERROR(__xludf.DUMMYFUNCTION("IF(L2999="""","""",QUERY({'Dashboard-Dados'!$Y$2:$AA$13},""Select Col2 Where Col1=""&amp;L2999))"),"")</f>
        <v/>
      </c>
      <c r="N2999" s="29" t="str">
        <f>IFERROR(__xludf.DUMMYFUNCTION("IF(ISBLANK(B2999),"""",IF(ISDATE(B2999),TEXT(B2999,""yyyy""),""""))"),"")</f>
        <v/>
      </c>
    </row>
  </sheetData>
  <customSheetViews>
    <customSheetView guid="{1134576E-3995-47B8-B889-9FB980475BDE}" filter="1" showAutoFilter="1">
      <autoFilter ref="$B$3:$N$2999"/>
    </customSheetView>
    <customSheetView guid="{FBD20B96-901D-45DA-9700-E9D11D407245}" filter="1" showAutoFilter="1">
      <autoFilter ref="$B$3:$H$2999"/>
    </customSheetView>
  </customSheetViews>
  <mergeCells count="2998">
    <mergeCell ref="D2746:G2746"/>
    <mergeCell ref="D2747:G2747"/>
    <mergeCell ref="D2748:G2748"/>
    <mergeCell ref="D2749:G2749"/>
    <mergeCell ref="D2750:G2750"/>
    <mergeCell ref="D2751:G2751"/>
    <mergeCell ref="D2752:G2752"/>
    <mergeCell ref="D2753:G2753"/>
    <mergeCell ref="D2754:G2754"/>
    <mergeCell ref="D2755:G2755"/>
    <mergeCell ref="D2756:G2756"/>
    <mergeCell ref="D2757:G2757"/>
    <mergeCell ref="D2758:G2758"/>
    <mergeCell ref="D2759:G2759"/>
    <mergeCell ref="D2760:G2760"/>
    <mergeCell ref="D2761:G2761"/>
    <mergeCell ref="D2762:G2762"/>
    <mergeCell ref="D2763:G2763"/>
    <mergeCell ref="D2764:G2764"/>
    <mergeCell ref="D2765:G2765"/>
    <mergeCell ref="D2766:G2766"/>
    <mergeCell ref="D2767:G2767"/>
    <mergeCell ref="D2768:G2768"/>
    <mergeCell ref="D2769:G2769"/>
    <mergeCell ref="D2770:G2770"/>
    <mergeCell ref="D2771:G2771"/>
    <mergeCell ref="D2772:G2772"/>
    <mergeCell ref="D2773:G2773"/>
    <mergeCell ref="D2774:G2774"/>
    <mergeCell ref="D2775:G2775"/>
    <mergeCell ref="D2776:G2776"/>
    <mergeCell ref="D2777:G2777"/>
    <mergeCell ref="D2778:G2778"/>
    <mergeCell ref="D2779:G2779"/>
    <mergeCell ref="D2780:G2780"/>
    <mergeCell ref="D2781:G2781"/>
    <mergeCell ref="D2782:G2782"/>
    <mergeCell ref="D2783:G2783"/>
    <mergeCell ref="D2784:G2784"/>
    <mergeCell ref="D2785:G2785"/>
    <mergeCell ref="D2786:G2786"/>
    <mergeCell ref="D2787:G2787"/>
    <mergeCell ref="D2788:G2788"/>
    <mergeCell ref="D2789:G2789"/>
    <mergeCell ref="D2790:G2790"/>
    <mergeCell ref="D2791:G2791"/>
    <mergeCell ref="D2792:G2792"/>
    <mergeCell ref="D2793:G2793"/>
    <mergeCell ref="D2794:G2794"/>
    <mergeCell ref="D2795:G2795"/>
    <mergeCell ref="D2796:G2796"/>
    <mergeCell ref="D2797:G2797"/>
    <mergeCell ref="D2798:G2798"/>
    <mergeCell ref="D2799:G2799"/>
    <mergeCell ref="D2800:G2800"/>
    <mergeCell ref="D2801:G2801"/>
    <mergeCell ref="D2802:G2802"/>
    <mergeCell ref="D2803:G2803"/>
    <mergeCell ref="D2804:G2804"/>
    <mergeCell ref="D2805:G2805"/>
    <mergeCell ref="D2806:G2806"/>
    <mergeCell ref="D2807:G2807"/>
    <mergeCell ref="D2808:G2808"/>
    <mergeCell ref="D2809:G2809"/>
    <mergeCell ref="D2810:G2810"/>
    <mergeCell ref="D2811:G2811"/>
    <mergeCell ref="D2812:G2812"/>
    <mergeCell ref="D2813:G2813"/>
    <mergeCell ref="D2814:G2814"/>
    <mergeCell ref="D2815:G2815"/>
    <mergeCell ref="D2816:G2816"/>
    <mergeCell ref="D2817:G2817"/>
    <mergeCell ref="D2818:G2818"/>
    <mergeCell ref="D2819:G2819"/>
    <mergeCell ref="D2820:G2820"/>
    <mergeCell ref="D2821:G2821"/>
    <mergeCell ref="D2822:G2822"/>
    <mergeCell ref="D2823:G2823"/>
    <mergeCell ref="D2824:G2824"/>
    <mergeCell ref="D2825:G2825"/>
    <mergeCell ref="D2826:G2826"/>
    <mergeCell ref="D2827:G2827"/>
    <mergeCell ref="D2828:G2828"/>
    <mergeCell ref="D2829:G2829"/>
    <mergeCell ref="D2830:G2830"/>
    <mergeCell ref="D2831:G2831"/>
    <mergeCell ref="D2832:G2832"/>
    <mergeCell ref="D2833:G2833"/>
    <mergeCell ref="D2834:G2834"/>
    <mergeCell ref="D2835:G2835"/>
    <mergeCell ref="D2836:G2836"/>
    <mergeCell ref="D2837:G2837"/>
    <mergeCell ref="D2838:G2838"/>
    <mergeCell ref="D2839:G2839"/>
    <mergeCell ref="D2840:G2840"/>
    <mergeCell ref="D2841:G2841"/>
    <mergeCell ref="D2842:G2842"/>
    <mergeCell ref="D2843:G2843"/>
    <mergeCell ref="D2844:G2844"/>
    <mergeCell ref="D2845:G2845"/>
    <mergeCell ref="D2846:G2846"/>
    <mergeCell ref="D2847:G2847"/>
    <mergeCell ref="D2848:G2848"/>
    <mergeCell ref="D2849:G2849"/>
    <mergeCell ref="D2850:G2850"/>
    <mergeCell ref="D2851:G2851"/>
    <mergeCell ref="D2852:G2852"/>
    <mergeCell ref="D2853:G2853"/>
    <mergeCell ref="D2854:G2854"/>
    <mergeCell ref="D2855:G2855"/>
    <mergeCell ref="D2856:G2856"/>
    <mergeCell ref="D2857:G2857"/>
    <mergeCell ref="D2858:G2858"/>
    <mergeCell ref="D2859:G2859"/>
    <mergeCell ref="D2860:G2860"/>
    <mergeCell ref="D2861:G2861"/>
    <mergeCell ref="D2862:G2862"/>
    <mergeCell ref="D2863:G2863"/>
    <mergeCell ref="D2864:G2864"/>
    <mergeCell ref="D2865:G2865"/>
    <mergeCell ref="D2866:G2866"/>
    <mergeCell ref="D2867:G2867"/>
    <mergeCell ref="D2868:G2868"/>
    <mergeCell ref="D2869:G2869"/>
    <mergeCell ref="D2870:G2870"/>
    <mergeCell ref="D2871:G2871"/>
    <mergeCell ref="D2872:G2872"/>
    <mergeCell ref="D2873:G2873"/>
    <mergeCell ref="D2874:G2874"/>
    <mergeCell ref="D2875:G2875"/>
    <mergeCell ref="D2876:G2876"/>
    <mergeCell ref="D2877:G2877"/>
    <mergeCell ref="D2878:G2878"/>
    <mergeCell ref="D2879:G2879"/>
    <mergeCell ref="D2880:G2880"/>
    <mergeCell ref="D2881:G2881"/>
    <mergeCell ref="D2882:G2882"/>
    <mergeCell ref="D2883:G2883"/>
    <mergeCell ref="D2884:G2884"/>
    <mergeCell ref="D2885:G2885"/>
    <mergeCell ref="D2886:G2886"/>
    <mergeCell ref="D2887:G2887"/>
    <mergeCell ref="D2888:G2888"/>
    <mergeCell ref="D2889:G2889"/>
    <mergeCell ref="D2890:G2890"/>
    <mergeCell ref="D2891:G2891"/>
    <mergeCell ref="D2892:G2892"/>
    <mergeCell ref="D2893:G2893"/>
    <mergeCell ref="D2894:G2894"/>
    <mergeCell ref="D2895:G2895"/>
    <mergeCell ref="D2896:G2896"/>
    <mergeCell ref="D2897:G2897"/>
    <mergeCell ref="D2898:G2898"/>
    <mergeCell ref="D2899:G2899"/>
    <mergeCell ref="D2900:G2900"/>
    <mergeCell ref="D2901:G2901"/>
    <mergeCell ref="D2902:G2902"/>
    <mergeCell ref="D2903:G2903"/>
    <mergeCell ref="D2904:G2904"/>
    <mergeCell ref="D2905:G2905"/>
    <mergeCell ref="D2906:G2906"/>
    <mergeCell ref="D2907:G2907"/>
    <mergeCell ref="D2908:G2908"/>
    <mergeCell ref="D2909:G2909"/>
    <mergeCell ref="D2910:G2910"/>
    <mergeCell ref="D2911:G2911"/>
    <mergeCell ref="D2912:G2912"/>
    <mergeCell ref="D2913:G2913"/>
    <mergeCell ref="D2914:G2914"/>
    <mergeCell ref="D2915:G2915"/>
    <mergeCell ref="D2916:G2916"/>
    <mergeCell ref="D2917:G2917"/>
    <mergeCell ref="D2918:G2918"/>
    <mergeCell ref="D2919:G2919"/>
    <mergeCell ref="D2920:G2920"/>
    <mergeCell ref="D2921:G2921"/>
    <mergeCell ref="D2922:G2922"/>
    <mergeCell ref="D2923:G2923"/>
    <mergeCell ref="D2924:G2924"/>
    <mergeCell ref="D2925:G2925"/>
    <mergeCell ref="D2926:G2926"/>
    <mergeCell ref="D2927:G2927"/>
    <mergeCell ref="D2928:G2928"/>
    <mergeCell ref="D2929:G2929"/>
    <mergeCell ref="D2930:G2930"/>
    <mergeCell ref="D2931:G2931"/>
    <mergeCell ref="D2932:G2932"/>
    <mergeCell ref="D2933:G2933"/>
    <mergeCell ref="D2934:G2934"/>
    <mergeCell ref="D2935:G2935"/>
    <mergeCell ref="D2936:G2936"/>
    <mergeCell ref="D2937:G2937"/>
    <mergeCell ref="D2938:G2938"/>
    <mergeCell ref="D2939:G2939"/>
    <mergeCell ref="D2940:G2940"/>
    <mergeCell ref="D2941:G2941"/>
    <mergeCell ref="D2998:G2998"/>
    <mergeCell ref="D2999:G2999"/>
    <mergeCell ref="D2991:G2991"/>
    <mergeCell ref="D2992:G2992"/>
    <mergeCell ref="D2993:G2993"/>
    <mergeCell ref="D2994:G2994"/>
    <mergeCell ref="D2995:G2995"/>
    <mergeCell ref="D2996:G2996"/>
    <mergeCell ref="D2997:G2997"/>
    <mergeCell ref="D2942:G2942"/>
    <mergeCell ref="D2943:G2943"/>
    <mergeCell ref="D2944:G2944"/>
    <mergeCell ref="D2945:G2945"/>
    <mergeCell ref="D2946:G2946"/>
    <mergeCell ref="D2947:G2947"/>
    <mergeCell ref="D2948:G2948"/>
    <mergeCell ref="D2949:G2949"/>
    <mergeCell ref="D2950:G2950"/>
    <mergeCell ref="D2951:G2951"/>
    <mergeCell ref="D2952:G2952"/>
    <mergeCell ref="D2953:G2953"/>
    <mergeCell ref="D2954:G2954"/>
    <mergeCell ref="D2955:G2955"/>
    <mergeCell ref="D2956:G2956"/>
    <mergeCell ref="D2957:G2957"/>
    <mergeCell ref="D2958:G2958"/>
    <mergeCell ref="D2959:G2959"/>
    <mergeCell ref="D2960:G2960"/>
    <mergeCell ref="D2961:G2961"/>
    <mergeCell ref="D2962:G2962"/>
    <mergeCell ref="D2963:G2963"/>
    <mergeCell ref="D2964:G2964"/>
    <mergeCell ref="D2965:G2965"/>
    <mergeCell ref="D2966:G2966"/>
    <mergeCell ref="D2967:G2967"/>
    <mergeCell ref="D2968:G2968"/>
    <mergeCell ref="D2969:G2969"/>
    <mergeCell ref="D2970:G2970"/>
    <mergeCell ref="D2971:G2971"/>
    <mergeCell ref="D2972:G2972"/>
    <mergeCell ref="D2973:G2973"/>
    <mergeCell ref="D2974:G2974"/>
    <mergeCell ref="D2975:G2975"/>
    <mergeCell ref="D2976:G2976"/>
    <mergeCell ref="D2977:G2977"/>
    <mergeCell ref="D2978:G2978"/>
    <mergeCell ref="D2979:G2979"/>
    <mergeCell ref="D2980:G2980"/>
    <mergeCell ref="D2981:G2981"/>
    <mergeCell ref="D2982:G2982"/>
    <mergeCell ref="D2983:G2983"/>
    <mergeCell ref="D2984:G2984"/>
    <mergeCell ref="D2985:G2985"/>
    <mergeCell ref="D2986:G2986"/>
    <mergeCell ref="D2987:G2987"/>
    <mergeCell ref="D2988:G2988"/>
    <mergeCell ref="D2989:G2989"/>
    <mergeCell ref="D2990:G2990"/>
    <mergeCell ref="D2403:G2403"/>
    <mergeCell ref="D2404:G2404"/>
    <mergeCell ref="D2405:G2405"/>
    <mergeCell ref="D2406:G2406"/>
    <mergeCell ref="D2407:G2407"/>
    <mergeCell ref="D2408:G2408"/>
    <mergeCell ref="D2409:G2409"/>
    <mergeCell ref="D2410:G2410"/>
    <mergeCell ref="D2411:G2411"/>
    <mergeCell ref="D2412:G2412"/>
    <mergeCell ref="D2413:G2413"/>
    <mergeCell ref="D2414:G2414"/>
    <mergeCell ref="D2415:G2415"/>
    <mergeCell ref="D2416:G2416"/>
    <mergeCell ref="D2417:G2417"/>
    <mergeCell ref="D2418:G2418"/>
    <mergeCell ref="D2419:G2419"/>
    <mergeCell ref="D2420:G2420"/>
    <mergeCell ref="D2421:G2421"/>
    <mergeCell ref="D2422:G2422"/>
    <mergeCell ref="D2423:G2423"/>
    <mergeCell ref="D2424:G2424"/>
    <mergeCell ref="D2425:G2425"/>
    <mergeCell ref="D2426:G2426"/>
    <mergeCell ref="D2427:G2427"/>
    <mergeCell ref="D2428:G2428"/>
    <mergeCell ref="D2429:G2429"/>
    <mergeCell ref="D2430:G2430"/>
    <mergeCell ref="D2431:G2431"/>
    <mergeCell ref="D2432:G2432"/>
    <mergeCell ref="D2433:G2433"/>
    <mergeCell ref="D2434:G2434"/>
    <mergeCell ref="D2435:G2435"/>
    <mergeCell ref="D2436:G2436"/>
    <mergeCell ref="D2437:G2437"/>
    <mergeCell ref="D2438:G2438"/>
    <mergeCell ref="D2439:G2439"/>
    <mergeCell ref="D2440:G2440"/>
    <mergeCell ref="D2441:G2441"/>
    <mergeCell ref="D2442:G2442"/>
    <mergeCell ref="D2443:G2443"/>
    <mergeCell ref="D2444:G2444"/>
    <mergeCell ref="D2445:G2445"/>
    <mergeCell ref="D2446:G2446"/>
    <mergeCell ref="D2447:G2447"/>
    <mergeCell ref="D2448:G2448"/>
    <mergeCell ref="D2449:G2449"/>
    <mergeCell ref="D2450:G2450"/>
    <mergeCell ref="D2451:G2451"/>
    <mergeCell ref="D2452:G2452"/>
    <mergeCell ref="D2453:G2453"/>
    <mergeCell ref="D2454:G2454"/>
    <mergeCell ref="D2455:G2455"/>
    <mergeCell ref="D2456:G2456"/>
    <mergeCell ref="D2457:G2457"/>
    <mergeCell ref="D2458:G2458"/>
    <mergeCell ref="D2459:G2459"/>
    <mergeCell ref="D2460:G2460"/>
    <mergeCell ref="D2461:G2461"/>
    <mergeCell ref="D2462:G2462"/>
    <mergeCell ref="D2463:G2463"/>
    <mergeCell ref="D2464:G2464"/>
    <mergeCell ref="D2465:G2465"/>
    <mergeCell ref="D2466:G2466"/>
    <mergeCell ref="D2467:G2467"/>
    <mergeCell ref="D2468:G2468"/>
    <mergeCell ref="D2469:G2469"/>
    <mergeCell ref="D2470:G2470"/>
    <mergeCell ref="D2471:G2471"/>
    <mergeCell ref="D2472:G2472"/>
    <mergeCell ref="D2473:G2473"/>
    <mergeCell ref="D2474:G2474"/>
    <mergeCell ref="D2475:G2475"/>
    <mergeCell ref="D2476:G2476"/>
    <mergeCell ref="D2477:G2477"/>
    <mergeCell ref="D2478:G2478"/>
    <mergeCell ref="D2479:G2479"/>
    <mergeCell ref="D2480:G2480"/>
    <mergeCell ref="D2481:G2481"/>
    <mergeCell ref="D2482:G2482"/>
    <mergeCell ref="D2483:G2483"/>
    <mergeCell ref="D2484:G2484"/>
    <mergeCell ref="D2485:G2485"/>
    <mergeCell ref="D2486:G2486"/>
    <mergeCell ref="D2487:G2487"/>
    <mergeCell ref="D2488:G2488"/>
    <mergeCell ref="D2489:G2489"/>
    <mergeCell ref="D2490:G2490"/>
    <mergeCell ref="D2491:G2491"/>
    <mergeCell ref="D2492:G2492"/>
    <mergeCell ref="D2493:G2493"/>
    <mergeCell ref="D2494:G2494"/>
    <mergeCell ref="D2495:G2495"/>
    <mergeCell ref="D2496:G2496"/>
    <mergeCell ref="D2497:G2497"/>
    <mergeCell ref="D2498:G2498"/>
    <mergeCell ref="D2499:G2499"/>
    <mergeCell ref="D2500:G2500"/>
    <mergeCell ref="D2501:G2501"/>
    <mergeCell ref="D2502:G2502"/>
    <mergeCell ref="D2503:G2503"/>
    <mergeCell ref="D2504:G2504"/>
    <mergeCell ref="D2505:G2505"/>
    <mergeCell ref="D2506:G2506"/>
    <mergeCell ref="D2507:G2507"/>
    <mergeCell ref="D2508:G2508"/>
    <mergeCell ref="D2509:G2509"/>
    <mergeCell ref="D2510:G2510"/>
    <mergeCell ref="D2511:G2511"/>
    <mergeCell ref="D2512:G2512"/>
    <mergeCell ref="D2513:G2513"/>
    <mergeCell ref="D2514:G2514"/>
    <mergeCell ref="D2515:G2515"/>
    <mergeCell ref="D2516:G2516"/>
    <mergeCell ref="D2517:G2517"/>
    <mergeCell ref="D2518:G2518"/>
    <mergeCell ref="D2519:G2519"/>
    <mergeCell ref="D2520:G2520"/>
    <mergeCell ref="D2521:G2521"/>
    <mergeCell ref="D2522:G2522"/>
    <mergeCell ref="D2523:G2523"/>
    <mergeCell ref="D2524:G2524"/>
    <mergeCell ref="D2525:G2525"/>
    <mergeCell ref="D2526:G2526"/>
    <mergeCell ref="D2527:G2527"/>
    <mergeCell ref="D2528:G2528"/>
    <mergeCell ref="D2529:G2529"/>
    <mergeCell ref="D2530:G2530"/>
    <mergeCell ref="D2531:G2531"/>
    <mergeCell ref="D2532:G2532"/>
    <mergeCell ref="D2533:G2533"/>
    <mergeCell ref="D2534:G2534"/>
    <mergeCell ref="D2535:G2535"/>
    <mergeCell ref="D2536:G2536"/>
    <mergeCell ref="D2537:G2537"/>
    <mergeCell ref="D2538:G2538"/>
    <mergeCell ref="D2539:G2539"/>
    <mergeCell ref="D2540:G2540"/>
    <mergeCell ref="D2541:G2541"/>
    <mergeCell ref="D2542:G2542"/>
    <mergeCell ref="D2543:G2543"/>
    <mergeCell ref="D2544:G2544"/>
    <mergeCell ref="D2545:G2545"/>
    <mergeCell ref="D2546:G2546"/>
    <mergeCell ref="D2547:G2547"/>
    <mergeCell ref="D2548:G2548"/>
    <mergeCell ref="D2549:G2549"/>
    <mergeCell ref="D2550:G2550"/>
    <mergeCell ref="D2551:G2551"/>
    <mergeCell ref="D2552:G2552"/>
    <mergeCell ref="D2553:G2553"/>
    <mergeCell ref="D2554:G2554"/>
    <mergeCell ref="D2555:G2555"/>
    <mergeCell ref="D2556:G2556"/>
    <mergeCell ref="D2557:G2557"/>
    <mergeCell ref="D2558:G2558"/>
    <mergeCell ref="D2559:G2559"/>
    <mergeCell ref="D2560:G2560"/>
    <mergeCell ref="D2561:G2561"/>
    <mergeCell ref="D2562:G2562"/>
    <mergeCell ref="D2563:G2563"/>
    <mergeCell ref="D2564:G2564"/>
    <mergeCell ref="D2565:G2565"/>
    <mergeCell ref="D2566:G2566"/>
    <mergeCell ref="D2567:G2567"/>
    <mergeCell ref="D2568:G2568"/>
    <mergeCell ref="D2569:G2569"/>
    <mergeCell ref="D2570:G2570"/>
    <mergeCell ref="D2571:G2571"/>
    <mergeCell ref="D2572:G2572"/>
    <mergeCell ref="D2573:G2573"/>
    <mergeCell ref="D2574:G2574"/>
    <mergeCell ref="D2575:G2575"/>
    <mergeCell ref="D2576:G2576"/>
    <mergeCell ref="D2577:G2577"/>
    <mergeCell ref="D2578:G2578"/>
    <mergeCell ref="D2579:G2579"/>
    <mergeCell ref="D2580:G2580"/>
    <mergeCell ref="D2581:G2581"/>
    <mergeCell ref="D2582:G2582"/>
    <mergeCell ref="D2583:G2583"/>
    <mergeCell ref="D2584:G2584"/>
    <mergeCell ref="D2585:G2585"/>
    <mergeCell ref="D2586:G2586"/>
    <mergeCell ref="D2587:G2587"/>
    <mergeCell ref="D2588:G2588"/>
    <mergeCell ref="D2589:G2589"/>
    <mergeCell ref="D2590:G2590"/>
    <mergeCell ref="D2591:G2591"/>
    <mergeCell ref="D2592:G2592"/>
    <mergeCell ref="D2593:G2593"/>
    <mergeCell ref="D2594:G2594"/>
    <mergeCell ref="D2595:G2595"/>
    <mergeCell ref="D2596:G2596"/>
    <mergeCell ref="D2597:G2597"/>
    <mergeCell ref="D2598:G2598"/>
    <mergeCell ref="D2599:G2599"/>
    <mergeCell ref="D2600:G2600"/>
    <mergeCell ref="D2601:G2601"/>
    <mergeCell ref="D2602:G2602"/>
    <mergeCell ref="D2603:G2603"/>
    <mergeCell ref="D2604:G2604"/>
    <mergeCell ref="D2605:G2605"/>
    <mergeCell ref="D2606:G2606"/>
    <mergeCell ref="D2607:G2607"/>
    <mergeCell ref="D2608:G2608"/>
    <mergeCell ref="D2609:G2609"/>
    <mergeCell ref="D2610:G2610"/>
    <mergeCell ref="D2611:G2611"/>
    <mergeCell ref="D2612:G2612"/>
    <mergeCell ref="D2613:G2613"/>
    <mergeCell ref="D2614:G2614"/>
    <mergeCell ref="D2615:G2615"/>
    <mergeCell ref="D2616:G2616"/>
    <mergeCell ref="D2617:G2617"/>
    <mergeCell ref="D2618:G2618"/>
    <mergeCell ref="D2619:G2619"/>
    <mergeCell ref="D2620:G2620"/>
    <mergeCell ref="D2621:G2621"/>
    <mergeCell ref="D2622:G2622"/>
    <mergeCell ref="D2623:G2623"/>
    <mergeCell ref="D2624:G2624"/>
    <mergeCell ref="D2625:G2625"/>
    <mergeCell ref="D2626:G2626"/>
    <mergeCell ref="D2627:G2627"/>
    <mergeCell ref="D2628:G2628"/>
    <mergeCell ref="D2629:G2629"/>
    <mergeCell ref="D2630:G2630"/>
    <mergeCell ref="D2631:G2631"/>
    <mergeCell ref="D2632:G2632"/>
    <mergeCell ref="D2633:G2633"/>
    <mergeCell ref="D2634:G2634"/>
    <mergeCell ref="D2635:G2635"/>
    <mergeCell ref="D2636:G2636"/>
    <mergeCell ref="D2637:G2637"/>
    <mergeCell ref="D2638:G2638"/>
    <mergeCell ref="D2639:G2639"/>
    <mergeCell ref="D2640:G2640"/>
    <mergeCell ref="D2641:G2641"/>
    <mergeCell ref="D2642:G2642"/>
    <mergeCell ref="D2643:G2643"/>
    <mergeCell ref="D2644:G2644"/>
    <mergeCell ref="D2645:G2645"/>
    <mergeCell ref="D2646:G2646"/>
    <mergeCell ref="D2647:G2647"/>
    <mergeCell ref="D2648:G2648"/>
    <mergeCell ref="D2649:G2649"/>
    <mergeCell ref="D2650:G2650"/>
    <mergeCell ref="D2651:G2651"/>
    <mergeCell ref="D2652:G2652"/>
    <mergeCell ref="D2653:G2653"/>
    <mergeCell ref="D2654:G2654"/>
    <mergeCell ref="D2655:G2655"/>
    <mergeCell ref="D2656:G2656"/>
    <mergeCell ref="D2657:G2657"/>
    <mergeCell ref="D2658:G2658"/>
    <mergeCell ref="D2659:G2659"/>
    <mergeCell ref="D2660:G2660"/>
    <mergeCell ref="D2661:G2661"/>
    <mergeCell ref="D2662:G2662"/>
    <mergeCell ref="D2663:G2663"/>
    <mergeCell ref="D2664:G2664"/>
    <mergeCell ref="D2665:G2665"/>
    <mergeCell ref="D2666:G2666"/>
    <mergeCell ref="D2667:G2667"/>
    <mergeCell ref="D2668:G2668"/>
    <mergeCell ref="D2669:G2669"/>
    <mergeCell ref="D2670:G2670"/>
    <mergeCell ref="D2671:G2671"/>
    <mergeCell ref="D2672:G2672"/>
    <mergeCell ref="D2673:G2673"/>
    <mergeCell ref="D2674:G2674"/>
    <mergeCell ref="D2675:G2675"/>
    <mergeCell ref="D2676:G2676"/>
    <mergeCell ref="D2677:G2677"/>
    <mergeCell ref="D2678:G2678"/>
    <mergeCell ref="D2679:G2679"/>
    <mergeCell ref="D2680:G2680"/>
    <mergeCell ref="D2681:G2681"/>
    <mergeCell ref="D2682:G2682"/>
    <mergeCell ref="D2683:G2683"/>
    <mergeCell ref="D2684:G2684"/>
    <mergeCell ref="D2685:G2685"/>
    <mergeCell ref="D2686:G2686"/>
    <mergeCell ref="D2687:G2687"/>
    <mergeCell ref="D2688:G2688"/>
    <mergeCell ref="D2689:G2689"/>
    <mergeCell ref="D2690:G2690"/>
    <mergeCell ref="D2691:G2691"/>
    <mergeCell ref="D2692:G2692"/>
    <mergeCell ref="D2693:G2693"/>
    <mergeCell ref="D2694:G2694"/>
    <mergeCell ref="D2695:G2695"/>
    <mergeCell ref="D2696:G2696"/>
    <mergeCell ref="D2697:G2697"/>
    <mergeCell ref="D2698:G2698"/>
    <mergeCell ref="D2699:G2699"/>
    <mergeCell ref="D2700:G2700"/>
    <mergeCell ref="D2701:G2701"/>
    <mergeCell ref="D2702:G2702"/>
    <mergeCell ref="D2703:G2703"/>
    <mergeCell ref="D2704:G2704"/>
    <mergeCell ref="D2705:G2705"/>
    <mergeCell ref="D2706:G2706"/>
    <mergeCell ref="D2707:G2707"/>
    <mergeCell ref="D2708:G2708"/>
    <mergeCell ref="D2709:G2709"/>
    <mergeCell ref="D2710:G2710"/>
    <mergeCell ref="D2711:G2711"/>
    <mergeCell ref="D2712:G2712"/>
    <mergeCell ref="D2713:G2713"/>
    <mergeCell ref="D2714:G2714"/>
    <mergeCell ref="D2715:G2715"/>
    <mergeCell ref="D2716:G2716"/>
    <mergeCell ref="D2717:G2717"/>
    <mergeCell ref="D2718:G2718"/>
    <mergeCell ref="D2719:G2719"/>
    <mergeCell ref="D2720:G2720"/>
    <mergeCell ref="D2721:G2721"/>
    <mergeCell ref="D2722:G2722"/>
    <mergeCell ref="D2723:G2723"/>
    <mergeCell ref="D2724:G2724"/>
    <mergeCell ref="D2725:G2725"/>
    <mergeCell ref="D2726:G2726"/>
    <mergeCell ref="D2727:G2727"/>
    <mergeCell ref="D2728:G2728"/>
    <mergeCell ref="D2729:G2729"/>
    <mergeCell ref="D2730:G2730"/>
    <mergeCell ref="D2731:G2731"/>
    <mergeCell ref="D2732:G2732"/>
    <mergeCell ref="D2733:G2733"/>
    <mergeCell ref="D2734:G2734"/>
    <mergeCell ref="D2735:G2735"/>
    <mergeCell ref="D2736:G2736"/>
    <mergeCell ref="D2737:G2737"/>
    <mergeCell ref="D2738:G2738"/>
    <mergeCell ref="D2739:G2739"/>
    <mergeCell ref="D2740:G2740"/>
    <mergeCell ref="D2741:G2741"/>
    <mergeCell ref="D2742:G2742"/>
    <mergeCell ref="D2743:G2743"/>
    <mergeCell ref="D2744:G2744"/>
    <mergeCell ref="D2745:G2745"/>
    <mergeCell ref="B1:G1"/>
    <mergeCell ref="D3:G3"/>
    <mergeCell ref="D4:G4"/>
    <mergeCell ref="D5:G5"/>
    <mergeCell ref="D6:G6"/>
    <mergeCell ref="D7:G7"/>
    <mergeCell ref="D8:G8"/>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52:G52"/>
    <mergeCell ref="D53:G53"/>
    <mergeCell ref="D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 ref="D69:G69"/>
    <mergeCell ref="D70:G70"/>
    <mergeCell ref="D71:G71"/>
    <mergeCell ref="D72:G72"/>
    <mergeCell ref="D73:G73"/>
    <mergeCell ref="D74:G74"/>
    <mergeCell ref="D75:G75"/>
    <mergeCell ref="D76:G76"/>
    <mergeCell ref="D77:G77"/>
    <mergeCell ref="D78:G78"/>
    <mergeCell ref="D79:G79"/>
    <mergeCell ref="D80:G80"/>
    <mergeCell ref="D81:G81"/>
    <mergeCell ref="D82:G82"/>
    <mergeCell ref="D83:G83"/>
    <mergeCell ref="D84:G84"/>
    <mergeCell ref="D85:G85"/>
    <mergeCell ref="D86:G86"/>
    <mergeCell ref="D87:G87"/>
    <mergeCell ref="D88:G88"/>
    <mergeCell ref="D89:G89"/>
    <mergeCell ref="D90:G90"/>
    <mergeCell ref="D91:G91"/>
    <mergeCell ref="D92:G92"/>
    <mergeCell ref="D93:G93"/>
    <mergeCell ref="D94:G94"/>
    <mergeCell ref="D95:G95"/>
    <mergeCell ref="D96:G96"/>
    <mergeCell ref="D97:G97"/>
    <mergeCell ref="D98:G98"/>
    <mergeCell ref="D99:G99"/>
    <mergeCell ref="D100:G100"/>
    <mergeCell ref="D101:G101"/>
    <mergeCell ref="D102:G102"/>
    <mergeCell ref="D103:G103"/>
    <mergeCell ref="D104:G104"/>
    <mergeCell ref="D105:G105"/>
    <mergeCell ref="D106:G106"/>
    <mergeCell ref="D107:G107"/>
    <mergeCell ref="D108:G108"/>
    <mergeCell ref="D109:G109"/>
    <mergeCell ref="D110:G110"/>
    <mergeCell ref="D111:G111"/>
    <mergeCell ref="D112:G112"/>
    <mergeCell ref="D113:G113"/>
    <mergeCell ref="D114:G114"/>
    <mergeCell ref="D115:G115"/>
    <mergeCell ref="D116:G116"/>
    <mergeCell ref="D117:G117"/>
    <mergeCell ref="D118:G118"/>
    <mergeCell ref="D119:G119"/>
    <mergeCell ref="D120:G120"/>
    <mergeCell ref="D121:G121"/>
    <mergeCell ref="D122:G122"/>
    <mergeCell ref="D123:G123"/>
    <mergeCell ref="D124:G124"/>
    <mergeCell ref="D125:G125"/>
    <mergeCell ref="D126:G126"/>
    <mergeCell ref="D127:G127"/>
    <mergeCell ref="D128:G128"/>
    <mergeCell ref="D129:G129"/>
    <mergeCell ref="D130:G130"/>
    <mergeCell ref="D131:G131"/>
    <mergeCell ref="D132:G132"/>
    <mergeCell ref="D133:G133"/>
    <mergeCell ref="D134:G134"/>
    <mergeCell ref="D135:G135"/>
    <mergeCell ref="D136:G136"/>
    <mergeCell ref="D137:G137"/>
    <mergeCell ref="D138:G138"/>
    <mergeCell ref="D139:G139"/>
    <mergeCell ref="D140:G140"/>
    <mergeCell ref="D141:G141"/>
    <mergeCell ref="D142:G142"/>
    <mergeCell ref="D143:G143"/>
    <mergeCell ref="D144:G144"/>
    <mergeCell ref="D145:G145"/>
    <mergeCell ref="D146:G146"/>
    <mergeCell ref="D147:G147"/>
    <mergeCell ref="D148:G148"/>
    <mergeCell ref="D149:G149"/>
    <mergeCell ref="D150:G150"/>
    <mergeCell ref="D151:G151"/>
    <mergeCell ref="D152:G152"/>
    <mergeCell ref="D153:G153"/>
    <mergeCell ref="D154:G154"/>
    <mergeCell ref="D155:G155"/>
    <mergeCell ref="D156:G156"/>
    <mergeCell ref="D157:G157"/>
    <mergeCell ref="D158:G158"/>
    <mergeCell ref="D159:G159"/>
    <mergeCell ref="D160:G160"/>
    <mergeCell ref="D161:G161"/>
    <mergeCell ref="D162:G162"/>
    <mergeCell ref="D163:G163"/>
    <mergeCell ref="D164:G164"/>
    <mergeCell ref="D165:G165"/>
    <mergeCell ref="D166:G166"/>
    <mergeCell ref="D167:G167"/>
    <mergeCell ref="D168:G168"/>
    <mergeCell ref="D169:G169"/>
    <mergeCell ref="D170:G170"/>
    <mergeCell ref="D171:G171"/>
    <mergeCell ref="D172:G172"/>
    <mergeCell ref="D173:G173"/>
    <mergeCell ref="D174:G174"/>
    <mergeCell ref="D175:G175"/>
    <mergeCell ref="D176:G176"/>
    <mergeCell ref="D177:G177"/>
    <mergeCell ref="D178:G178"/>
    <mergeCell ref="D179:G179"/>
    <mergeCell ref="D180:G180"/>
    <mergeCell ref="D181:G181"/>
    <mergeCell ref="D182:G182"/>
    <mergeCell ref="D183:G183"/>
    <mergeCell ref="D184:G184"/>
    <mergeCell ref="D185:G185"/>
    <mergeCell ref="D186:G186"/>
    <mergeCell ref="D187:G187"/>
    <mergeCell ref="D188:G188"/>
    <mergeCell ref="D189:G189"/>
    <mergeCell ref="D190:G190"/>
    <mergeCell ref="D191:G191"/>
    <mergeCell ref="D192:G192"/>
    <mergeCell ref="D193:G193"/>
    <mergeCell ref="D194:G194"/>
    <mergeCell ref="D195:G195"/>
    <mergeCell ref="D196:G196"/>
    <mergeCell ref="D197:G197"/>
    <mergeCell ref="D198:G198"/>
    <mergeCell ref="D199:G199"/>
    <mergeCell ref="D200:G200"/>
    <mergeCell ref="D201:G201"/>
    <mergeCell ref="D202:G202"/>
    <mergeCell ref="D203:G203"/>
    <mergeCell ref="D204:G204"/>
    <mergeCell ref="D205:G205"/>
    <mergeCell ref="D206:G206"/>
    <mergeCell ref="D207:G207"/>
    <mergeCell ref="D208:G208"/>
    <mergeCell ref="D209:G209"/>
    <mergeCell ref="D210:G210"/>
    <mergeCell ref="D211:G211"/>
    <mergeCell ref="D212:G212"/>
    <mergeCell ref="D213:G213"/>
    <mergeCell ref="D214:G214"/>
    <mergeCell ref="D215:G215"/>
    <mergeCell ref="D216:G216"/>
    <mergeCell ref="D217:G217"/>
    <mergeCell ref="D218:G218"/>
    <mergeCell ref="D219:G219"/>
    <mergeCell ref="D220:G220"/>
    <mergeCell ref="D221:G221"/>
    <mergeCell ref="D222:G222"/>
    <mergeCell ref="D223:G223"/>
    <mergeCell ref="D224:G224"/>
    <mergeCell ref="D225:G225"/>
    <mergeCell ref="D226:G226"/>
    <mergeCell ref="D227:G227"/>
    <mergeCell ref="D228:G228"/>
    <mergeCell ref="D229:G229"/>
    <mergeCell ref="D230:G230"/>
    <mergeCell ref="D231:G231"/>
    <mergeCell ref="D232:G232"/>
    <mergeCell ref="D233:G233"/>
    <mergeCell ref="D234:G234"/>
    <mergeCell ref="D235:G235"/>
    <mergeCell ref="D236:G236"/>
    <mergeCell ref="D237:G237"/>
    <mergeCell ref="D238:G238"/>
    <mergeCell ref="D239:G239"/>
    <mergeCell ref="D240:G240"/>
    <mergeCell ref="D241:G241"/>
    <mergeCell ref="D242:G242"/>
    <mergeCell ref="D243:G243"/>
    <mergeCell ref="D244:G244"/>
    <mergeCell ref="D245:G245"/>
    <mergeCell ref="D246:G246"/>
    <mergeCell ref="D247:G247"/>
    <mergeCell ref="D248:G248"/>
    <mergeCell ref="D249:G249"/>
    <mergeCell ref="D250:G250"/>
    <mergeCell ref="D251:G251"/>
    <mergeCell ref="D252:G252"/>
    <mergeCell ref="D253:G253"/>
    <mergeCell ref="D254:G254"/>
    <mergeCell ref="D255:G255"/>
    <mergeCell ref="D256:G256"/>
    <mergeCell ref="D257:G257"/>
    <mergeCell ref="D258:G258"/>
    <mergeCell ref="D259:G259"/>
    <mergeCell ref="D260:G260"/>
    <mergeCell ref="D261:G261"/>
    <mergeCell ref="D262:G262"/>
    <mergeCell ref="D263:G263"/>
    <mergeCell ref="D264:G264"/>
    <mergeCell ref="D265:G265"/>
    <mergeCell ref="D266:G266"/>
    <mergeCell ref="D267:G267"/>
    <mergeCell ref="D268:G268"/>
    <mergeCell ref="D269:G269"/>
    <mergeCell ref="D270:G270"/>
    <mergeCell ref="D271:G271"/>
    <mergeCell ref="D272:G272"/>
    <mergeCell ref="D273:G273"/>
    <mergeCell ref="D274:G274"/>
    <mergeCell ref="D275:G275"/>
    <mergeCell ref="D276:G276"/>
    <mergeCell ref="D277:G277"/>
    <mergeCell ref="D278:G278"/>
    <mergeCell ref="D279:G279"/>
    <mergeCell ref="D280:G280"/>
    <mergeCell ref="D281:G281"/>
    <mergeCell ref="D282:G282"/>
    <mergeCell ref="D283:G283"/>
    <mergeCell ref="D284:G284"/>
    <mergeCell ref="D285:G285"/>
    <mergeCell ref="D286:G286"/>
    <mergeCell ref="D287:G287"/>
    <mergeCell ref="D288:G288"/>
    <mergeCell ref="D289:G289"/>
    <mergeCell ref="D290:G290"/>
    <mergeCell ref="D291:G291"/>
    <mergeCell ref="D292:G292"/>
    <mergeCell ref="D293:G293"/>
    <mergeCell ref="D294:G294"/>
    <mergeCell ref="D295:G295"/>
    <mergeCell ref="D296:G296"/>
    <mergeCell ref="D297:G297"/>
    <mergeCell ref="D298:G298"/>
    <mergeCell ref="D299:G299"/>
    <mergeCell ref="D300:G300"/>
    <mergeCell ref="D301:G301"/>
    <mergeCell ref="D302:G302"/>
    <mergeCell ref="D303:G303"/>
    <mergeCell ref="D304:G304"/>
    <mergeCell ref="D305:G305"/>
    <mergeCell ref="D306:G306"/>
    <mergeCell ref="D307:G307"/>
    <mergeCell ref="D308:G308"/>
    <mergeCell ref="D309:G309"/>
    <mergeCell ref="D310:G310"/>
    <mergeCell ref="D311:G311"/>
    <mergeCell ref="D312:G312"/>
    <mergeCell ref="D313:G313"/>
    <mergeCell ref="D314:G314"/>
    <mergeCell ref="D315:G315"/>
    <mergeCell ref="D316:G316"/>
    <mergeCell ref="D317:G317"/>
    <mergeCell ref="D318:G318"/>
    <mergeCell ref="D319:G319"/>
    <mergeCell ref="D320:G320"/>
    <mergeCell ref="D321:G321"/>
    <mergeCell ref="D322:G322"/>
    <mergeCell ref="D323:G323"/>
    <mergeCell ref="D324:G324"/>
    <mergeCell ref="D325:G325"/>
    <mergeCell ref="D326:G326"/>
    <mergeCell ref="D327:G327"/>
    <mergeCell ref="D328:G328"/>
    <mergeCell ref="D329:G329"/>
    <mergeCell ref="D330:G330"/>
    <mergeCell ref="D331:G331"/>
    <mergeCell ref="D332:G332"/>
    <mergeCell ref="D333:G333"/>
    <mergeCell ref="D334:G334"/>
    <mergeCell ref="D335:G335"/>
    <mergeCell ref="D336:G336"/>
    <mergeCell ref="D337:G337"/>
    <mergeCell ref="D338:G338"/>
    <mergeCell ref="D339:G339"/>
    <mergeCell ref="D340:G340"/>
    <mergeCell ref="D341:G341"/>
    <mergeCell ref="D342:G342"/>
    <mergeCell ref="D343:G343"/>
    <mergeCell ref="D344:G344"/>
    <mergeCell ref="D345:G345"/>
    <mergeCell ref="D346:G346"/>
    <mergeCell ref="D347:G347"/>
    <mergeCell ref="D348:G348"/>
    <mergeCell ref="D349:G349"/>
    <mergeCell ref="D350:G350"/>
    <mergeCell ref="D351:G351"/>
    <mergeCell ref="D352:G352"/>
    <mergeCell ref="D353:G353"/>
    <mergeCell ref="D354:G354"/>
    <mergeCell ref="D355:G355"/>
    <mergeCell ref="D356:G356"/>
    <mergeCell ref="D357:G357"/>
    <mergeCell ref="D358:G358"/>
    <mergeCell ref="D359:G359"/>
    <mergeCell ref="D360:G360"/>
    <mergeCell ref="D361:G361"/>
    <mergeCell ref="D362:G362"/>
    <mergeCell ref="D363:G363"/>
    <mergeCell ref="D364:G364"/>
    <mergeCell ref="D365:G365"/>
    <mergeCell ref="D366:G366"/>
    <mergeCell ref="D367:G367"/>
    <mergeCell ref="D368:G368"/>
    <mergeCell ref="D369:G369"/>
    <mergeCell ref="D370:G370"/>
    <mergeCell ref="D371:G371"/>
    <mergeCell ref="D372:G372"/>
    <mergeCell ref="D373:G373"/>
    <mergeCell ref="D374:G374"/>
    <mergeCell ref="D375:G375"/>
    <mergeCell ref="D376:G376"/>
    <mergeCell ref="D377:G377"/>
    <mergeCell ref="D378:G378"/>
    <mergeCell ref="D379:G379"/>
    <mergeCell ref="D380:G380"/>
    <mergeCell ref="D381:G381"/>
    <mergeCell ref="D382:G382"/>
    <mergeCell ref="D383:G383"/>
    <mergeCell ref="D384:G384"/>
    <mergeCell ref="D385:G385"/>
    <mergeCell ref="D386:G386"/>
    <mergeCell ref="D387:G387"/>
    <mergeCell ref="D388:G388"/>
    <mergeCell ref="D389:G389"/>
    <mergeCell ref="D390:G390"/>
    <mergeCell ref="D391:G391"/>
    <mergeCell ref="D392:G392"/>
    <mergeCell ref="D393:G393"/>
    <mergeCell ref="D394:G394"/>
    <mergeCell ref="D395:G395"/>
    <mergeCell ref="D396:G396"/>
    <mergeCell ref="D397:G397"/>
    <mergeCell ref="D398:G398"/>
    <mergeCell ref="D399:G399"/>
    <mergeCell ref="D400:G400"/>
    <mergeCell ref="D401:G401"/>
    <mergeCell ref="D402:G402"/>
    <mergeCell ref="D403:G403"/>
    <mergeCell ref="D404:G404"/>
    <mergeCell ref="D405:G405"/>
    <mergeCell ref="D406:G406"/>
    <mergeCell ref="D407:G407"/>
    <mergeCell ref="D408:G408"/>
    <mergeCell ref="D409:G409"/>
    <mergeCell ref="D410:G410"/>
    <mergeCell ref="D411:G411"/>
    <mergeCell ref="D412:G412"/>
    <mergeCell ref="D413:G413"/>
    <mergeCell ref="D414:G414"/>
    <mergeCell ref="D415:G415"/>
    <mergeCell ref="D416:G416"/>
    <mergeCell ref="D417:G417"/>
    <mergeCell ref="D418:G418"/>
    <mergeCell ref="D419:G419"/>
    <mergeCell ref="D420:G420"/>
    <mergeCell ref="D421:G421"/>
    <mergeCell ref="D422:G422"/>
    <mergeCell ref="D423:G423"/>
    <mergeCell ref="D424:G424"/>
    <mergeCell ref="D425:G425"/>
    <mergeCell ref="D426:G426"/>
    <mergeCell ref="D427:G427"/>
    <mergeCell ref="D428:G428"/>
    <mergeCell ref="D429:G429"/>
    <mergeCell ref="D430:G430"/>
    <mergeCell ref="D431:G431"/>
    <mergeCell ref="D432:G432"/>
    <mergeCell ref="D433:G433"/>
    <mergeCell ref="D434:G434"/>
    <mergeCell ref="D435:G435"/>
    <mergeCell ref="D436:G436"/>
    <mergeCell ref="D437:G437"/>
    <mergeCell ref="D438:G438"/>
    <mergeCell ref="D439:G439"/>
    <mergeCell ref="D440:G440"/>
    <mergeCell ref="D441:G441"/>
    <mergeCell ref="D442:G442"/>
    <mergeCell ref="D443:G443"/>
    <mergeCell ref="D444:G444"/>
    <mergeCell ref="D445:G445"/>
    <mergeCell ref="D446:G446"/>
    <mergeCell ref="D447:G447"/>
    <mergeCell ref="D448:G448"/>
    <mergeCell ref="D449:G449"/>
    <mergeCell ref="D450:G450"/>
    <mergeCell ref="D451:G451"/>
    <mergeCell ref="D452:G452"/>
    <mergeCell ref="D453:G453"/>
    <mergeCell ref="D454:G454"/>
    <mergeCell ref="D455:G455"/>
    <mergeCell ref="D456:G456"/>
    <mergeCell ref="D457:G457"/>
    <mergeCell ref="D458:G458"/>
    <mergeCell ref="D459:G459"/>
    <mergeCell ref="D460:G460"/>
    <mergeCell ref="D461:G461"/>
    <mergeCell ref="D462:G462"/>
    <mergeCell ref="D463:G463"/>
    <mergeCell ref="D464:G464"/>
    <mergeCell ref="D465:G465"/>
    <mergeCell ref="D466:G466"/>
    <mergeCell ref="D467:G467"/>
    <mergeCell ref="D468:G468"/>
    <mergeCell ref="D469:G469"/>
    <mergeCell ref="D470:G470"/>
    <mergeCell ref="D471:G471"/>
    <mergeCell ref="D472:G472"/>
    <mergeCell ref="D473:G473"/>
    <mergeCell ref="D474:G474"/>
    <mergeCell ref="D475:G475"/>
    <mergeCell ref="D476:G476"/>
    <mergeCell ref="D477:G477"/>
    <mergeCell ref="D478:G478"/>
    <mergeCell ref="D479:G479"/>
    <mergeCell ref="D480:G480"/>
    <mergeCell ref="D481:G481"/>
    <mergeCell ref="D482:G482"/>
    <mergeCell ref="D483:G483"/>
    <mergeCell ref="D484:G484"/>
    <mergeCell ref="D485:G485"/>
    <mergeCell ref="D486:G486"/>
    <mergeCell ref="D487:G487"/>
    <mergeCell ref="D488:G488"/>
    <mergeCell ref="D489:G489"/>
    <mergeCell ref="D490:G490"/>
    <mergeCell ref="D491:G491"/>
    <mergeCell ref="D492:G492"/>
    <mergeCell ref="D493:G493"/>
    <mergeCell ref="D494:G494"/>
    <mergeCell ref="D495:G495"/>
    <mergeCell ref="D496:G496"/>
    <mergeCell ref="D497:G497"/>
    <mergeCell ref="D498:G498"/>
    <mergeCell ref="D499:G499"/>
    <mergeCell ref="D500:G500"/>
    <mergeCell ref="D501:G501"/>
    <mergeCell ref="D502:G502"/>
    <mergeCell ref="D503:G503"/>
    <mergeCell ref="D504:G504"/>
    <mergeCell ref="D505:G505"/>
    <mergeCell ref="D506:G506"/>
    <mergeCell ref="D507:G507"/>
    <mergeCell ref="D508:G508"/>
    <mergeCell ref="D509:G509"/>
    <mergeCell ref="D510:G510"/>
    <mergeCell ref="D511:G511"/>
    <mergeCell ref="D512:G512"/>
    <mergeCell ref="D513:G513"/>
    <mergeCell ref="D514:G514"/>
    <mergeCell ref="D515:G515"/>
    <mergeCell ref="D516:G516"/>
    <mergeCell ref="D517:G517"/>
    <mergeCell ref="D518:G518"/>
    <mergeCell ref="D519:G519"/>
    <mergeCell ref="D520:G520"/>
    <mergeCell ref="D521:G521"/>
    <mergeCell ref="D522:G522"/>
    <mergeCell ref="D523:G523"/>
    <mergeCell ref="D524:G524"/>
    <mergeCell ref="D525:G525"/>
    <mergeCell ref="D526:G526"/>
    <mergeCell ref="D527:G527"/>
    <mergeCell ref="D528:G528"/>
    <mergeCell ref="D529:G529"/>
    <mergeCell ref="D530:G530"/>
    <mergeCell ref="D531:G531"/>
    <mergeCell ref="D532:G532"/>
    <mergeCell ref="D533:G533"/>
    <mergeCell ref="D534:G534"/>
    <mergeCell ref="D535:G535"/>
    <mergeCell ref="D536:G536"/>
    <mergeCell ref="D537:G537"/>
    <mergeCell ref="D538:G538"/>
    <mergeCell ref="D539:G539"/>
    <mergeCell ref="D540:G540"/>
    <mergeCell ref="D541:G541"/>
    <mergeCell ref="D542:G542"/>
    <mergeCell ref="D543:G543"/>
    <mergeCell ref="D544:G544"/>
    <mergeCell ref="D545:G545"/>
    <mergeCell ref="D546:G546"/>
    <mergeCell ref="D547:G547"/>
    <mergeCell ref="D548:G548"/>
    <mergeCell ref="D549:G549"/>
    <mergeCell ref="D550:G550"/>
    <mergeCell ref="D551:G551"/>
    <mergeCell ref="D552:G552"/>
    <mergeCell ref="D553:G553"/>
    <mergeCell ref="D554:G554"/>
    <mergeCell ref="D555:G555"/>
    <mergeCell ref="D556:G556"/>
    <mergeCell ref="D557:G557"/>
    <mergeCell ref="D558:G558"/>
    <mergeCell ref="D559:G559"/>
    <mergeCell ref="D560:G560"/>
    <mergeCell ref="D561:G561"/>
    <mergeCell ref="D562:G562"/>
    <mergeCell ref="D563:G563"/>
    <mergeCell ref="D564:G564"/>
    <mergeCell ref="D565:G565"/>
    <mergeCell ref="D566:G566"/>
    <mergeCell ref="D567:G567"/>
    <mergeCell ref="D568:G568"/>
    <mergeCell ref="D569:G569"/>
    <mergeCell ref="D570:G570"/>
    <mergeCell ref="D571:G571"/>
    <mergeCell ref="D572:G572"/>
    <mergeCell ref="D573:G573"/>
    <mergeCell ref="D574:G574"/>
    <mergeCell ref="D575:G575"/>
    <mergeCell ref="D576:G576"/>
    <mergeCell ref="D577:G577"/>
    <mergeCell ref="D578:G578"/>
    <mergeCell ref="D579:G579"/>
    <mergeCell ref="D580:G580"/>
    <mergeCell ref="D581:G581"/>
    <mergeCell ref="D582:G582"/>
    <mergeCell ref="D583:G583"/>
    <mergeCell ref="D584:G584"/>
    <mergeCell ref="D585:G585"/>
    <mergeCell ref="D586:G586"/>
    <mergeCell ref="D587:G587"/>
    <mergeCell ref="D588:G588"/>
    <mergeCell ref="D589:G589"/>
    <mergeCell ref="D590:G590"/>
    <mergeCell ref="D591:G591"/>
    <mergeCell ref="D592:G592"/>
    <mergeCell ref="D593:G593"/>
    <mergeCell ref="D594:G594"/>
    <mergeCell ref="D595:G595"/>
    <mergeCell ref="D596:G596"/>
    <mergeCell ref="D597:G597"/>
    <mergeCell ref="D598:G598"/>
    <mergeCell ref="D599:G599"/>
    <mergeCell ref="D600:G600"/>
    <mergeCell ref="D601:G601"/>
    <mergeCell ref="D602:G602"/>
    <mergeCell ref="D603:G603"/>
    <mergeCell ref="D604:G604"/>
    <mergeCell ref="D605:G605"/>
    <mergeCell ref="D606:G606"/>
    <mergeCell ref="D607:G607"/>
    <mergeCell ref="D608:G608"/>
    <mergeCell ref="D609:G609"/>
    <mergeCell ref="D610:G610"/>
    <mergeCell ref="D611:G611"/>
    <mergeCell ref="D612:G612"/>
    <mergeCell ref="D613:G613"/>
    <mergeCell ref="D614:G614"/>
    <mergeCell ref="D615:G615"/>
    <mergeCell ref="D616:G616"/>
    <mergeCell ref="D617:G617"/>
    <mergeCell ref="D618:G618"/>
    <mergeCell ref="D619:G619"/>
    <mergeCell ref="D620:G620"/>
    <mergeCell ref="D621:G621"/>
    <mergeCell ref="D622:G622"/>
    <mergeCell ref="D623:G623"/>
    <mergeCell ref="D624:G624"/>
    <mergeCell ref="D625:G625"/>
    <mergeCell ref="D626:G626"/>
    <mergeCell ref="D627:G627"/>
    <mergeCell ref="D628:G628"/>
    <mergeCell ref="D629:G629"/>
    <mergeCell ref="D630:G630"/>
    <mergeCell ref="D631:G631"/>
    <mergeCell ref="D632:G632"/>
    <mergeCell ref="D633:G633"/>
    <mergeCell ref="D634:G634"/>
    <mergeCell ref="D635:G635"/>
    <mergeCell ref="D636:G636"/>
    <mergeCell ref="D637:G637"/>
    <mergeCell ref="D638:G638"/>
    <mergeCell ref="D639:G639"/>
    <mergeCell ref="D640:G640"/>
    <mergeCell ref="D641:G641"/>
    <mergeCell ref="D642:G642"/>
    <mergeCell ref="D643:G643"/>
    <mergeCell ref="D644:G644"/>
    <mergeCell ref="D645:G645"/>
    <mergeCell ref="D646:G646"/>
    <mergeCell ref="D647:G647"/>
    <mergeCell ref="D648:G648"/>
    <mergeCell ref="D649:G649"/>
    <mergeCell ref="D650:G650"/>
    <mergeCell ref="D651:G651"/>
    <mergeCell ref="D652:G652"/>
    <mergeCell ref="D653:G653"/>
    <mergeCell ref="D654:G654"/>
    <mergeCell ref="D655:G655"/>
    <mergeCell ref="D656:G656"/>
    <mergeCell ref="D657:G657"/>
    <mergeCell ref="D658:G658"/>
    <mergeCell ref="D659:G659"/>
    <mergeCell ref="D660:G660"/>
    <mergeCell ref="D661:G661"/>
    <mergeCell ref="D662:G662"/>
    <mergeCell ref="D663:G663"/>
    <mergeCell ref="D664:G664"/>
    <mergeCell ref="D665:G665"/>
    <mergeCell ref="D666:G666"/>
    <mergeCell ref="D667:G667"/>
    <mergeCell ref="D668:G668"/>
    <mergeCell ref="D669:G669"/>
    <mergeCell ref="D670:G670"/>
    <mergeCell ref="D671:G671"/>
    <mergeCell ref="D672:G672"/>
    <mergeCell ref="D673:G673"/>
    <mergeCell ref="D674:G674"/>
    <mergeCell ref="D675:G675"/>
    <mergeCell ref="D676:G676"/>
    <mergeCell ref="D677:G677"/>
    <mergeCell ref="D678:G678"/>
    <mergeCell ref="D679:G679"/>
    <mergeCell ref="D680:G680"/>
    <mergeCell ref="D681:G681"/>
    <mergeCell ref="D682:G682"/>
    <mergeCell ref="D683:G683"/>
    <mergeCell ref="D684:G684"/>
    <mergeCell ref="D685:G685"/>
    <mergeCell ref="D686:G686"/>
    <mergeCell ref="D687:G687"/>
    <mergeCell ref="D688:G688"/>
    <mergeCell ref="D689:G689"/>
    <mergeCell ref="D690:G690"/>
    <mergeCell ref="D691:G691"/>
    <mergeCell ref="D692:G692"/>
    <mergeCell ref="D693:G693"/>
    <mergeCell ref="D694:G694"/>
    <mergeCell ref="D695:G695"/>
    <mergeCell ref="D696:G696"/>
    <mergeCell ref="D697:G697"/>
    <mergeCell ref="D698:G698"/>
    <mergeCell ref="D699:G699"/>
    <mergeCell ref="D700:G700"/>
    <mergeCell ref="D701:G701"/>
    <mergeCell ref="D702:G702"/>
    <mergeCell ref="D703:G703"/>
    <mergeCell ref="D704:G704"/>
    <mergeCell ref="D705:G705"/>
    <mergeCell ref="D706:G706"/>
    <mergeCell ref="D707:G707"/>
    <mergeCell ref="D708:G708"/>
    <mergeCell ref="D709:G709"/>
    <mergeCell ref="D710:G710"/>
    <mergeCell ref="D711:G711"/>
    <mergeCell ref="D712:G712"/>
    <mergeCell ref="D713:G713"/>
    <mergeCell ref="D714:G714"/>
    <mergeCell ref="D715:G715"/>
    <mergeCell ref="D716:G716"/>
    <mergeCell ref="D717:G717"/>
    <mergeCell ref="D718:G718"/>
    <mergeCell ref="D719:G719"/>
    <mergeCell ref="D720:G720"/>
    <mergeCell ref="D721:G721"/>
    <mergeCell ref="D722:G722"/>
    <mergeCell ref="D723:G723"/>
    <mergeCell ref="D724:G724"/>
    <mergeCell ref="D725:G725"/>
    <mergeCell ref="D726:G726"/>
    <mergeCell ref="D727:G727"/>
    <mergeCell ref="D728:G728"/>
    <mergeCell ref="D729:G729"/>
    <mergeCell ref="D730:G730"/>
    <mergeCell ref="D731:G731"/>
    <mergeCell ref="D732:G732"/>
    <mergeCell ref="D733:G733"/>
    <mergeCell ref="D734:G734"/>
    <mergeCell ref="D735:G735"/>
    <mergeCell ref="D736:G736"/>
    <mergeCell ref="D737:G737"/>
    <mergeCell ref="D738:G738"/>
    <mergeCell ref="D739:G739"/>
    <mergeCell ref="D740:G740"/>
    <mergeCell ref="D741:G741"/>
    <mergeCell ref="D742:G742"/>
    <mergeCell ref="D743:G743"/>
    <mergeCell ref="D744:G744"/>
    <mergeCell ref="D745:G745"/>
    <mergeCell ref="D746:G746"/>
    <mergeCell ref="D747:G747"/>
    <mergeCell ref="D748:G748"/>
    <mergeCell ref="D749:G749"/>
    <mergeCell ref="D750:G750"/>
    <mergeCell ref="D751:G751"/>
    <mergeCell ref="D752:G752"/>
    <mergeCell ref="D753:G753"/>
    <mergeCell ref="D754:G754"/>
    <mergeCell ref="D755:G755"/>
    <mergeCell ref="D756:G756"/>
    <mergeCell ref="D757:G757"/>
    <mergeCell ref="D758:G758"/>
    <mergeCell ref="D759:G759"/>
    <mergeCell ref="D760:G760"/>
    <mergeCell ref="D761:G761"/>
    <mergeCell ref="D762:G762"/>
    <mergeCell ref="D763:G763"/>
    <mergeCell ref="D764:G764"/>
    <mergeCell ref="D765:G765"/>
    <mergeCell ref="D766:G766"/>
    <mergeCell ref="D767:G767"/>
    <mergeCell ref="D768:G768"/>
    <mergeCell ref="D769:G769"/>
    <mergeCell ref="D770:G770"/>
    <mergeCell ref="D771:G771"/>
    <mergeCell ref="D772:G772"/>
    <mergeCell ref="D773:G773"/>
    <mergeCell ref="D774:G774"/>
    <mergeCell ref="D775:G775"/>
    <mergeCell ref="D776:G776"/>
    <mergeCell ref="D777:G777"/>
    <mergeCell ref="D778:G778"/>
    <mergeCell ref="D779:G779"/>
    <mergeCell ref="D780:G780"/>
    <mergeCell ref="D781:G781"/>
    <mergeCell ref="D782:G782"/>
    <mergeCell ref="D783:G783"/>
    <mergeCell ref="D784:G784"/>
    <mergeCell ref="D785:G785"/>
    <mergeCell ref="D786:G786"/>
    <mergeCell ref="D787:G787"/>
    <mergeCell ref="D788:G788"/>
    <mergeCell ref="D789:G789"/>
    <mergeCell ref="D790:G790"/>
    <mergeCell ref="D791:G791"/>
    <mergeCell ref="D792:G792"/>
    <mergeCell ref="D793:G793"/>
    <mergeCell ref="D794:G794"/>
    <mergeCell ref="D795:G795"/>
    <mergeCell ref="D796:G796"/>
    <mergeCell ref="D797:G797"/>
    <mergeCell ref="D798:G798"/>
    <mergeCell ref="D799:G799"/>
    <mergeCell ref="D800:G800"/>
    <mergeCell ref="D801:G801"/>
    <mergeCell ref="D802:G802"/>
    <mergeCell ref="D803:G803"/>
    <mergeCell ref="D804:G804"/>
    <mergeCell ref="D805:G805"/>
    <mergeCell ref="D806:G806"/>
    <mergeCell ref="D807:G807"/>
    <mergeCell ref="D808:G808"/>
    <mergeCell ref="D809:G809"/>
    <mergeCell ref="D810:G810"/>
    <mergeCell ref="D811:G811"/>
    <mergeCell ref="D812:G812"/>
    <mergeCell ref="D813:G813"/>
    <mergeCell ref="D814:G814"/>
    <mergeCell ref="D815:G815"/>
    <mergeCell ref="D816:G816"/>
    <mergeCell ref="D817:G817"/>
    <mergeCell ref="D818:G818"/>
    <mergeCell ref="D819:G819"/>
    <mergeCell ref="D820:G820"/>
    <mergeCell ref="D821:G821"/>
    <mergeCell ref="D822:G822"/>
    <mergeCell ref="D823:G823"/>
    <mergeCell ref="D824:G824"/>
    <mergeCell ref="D825:G825"/>
    <mergeCell ref="D826:G826"/>
    <mergeCell ref="D827:G827"/>
    <mergeCell ref="D828:G828"/>
    <mergeCell ref="D829:G829"/>
    <mergeCell ref="D830:G830"/>
    <mergeCell ref="D831:G831"/>
    <mergeCell ref="D832:G832"/>
    <mergeCell ref="D833:G833"/>
    <mergeCell ref="D834:G834"/>
    <mergeCell ref="D835:G835"/>
    <mergeCell ref="D836:G836"/>
    <mergeCell ref="D837:G837"/>
    <mergeCell ref="D838:G838"/>
    <mergeCell ref="D839:G839"/>
    <mergeCell ref="D840:G840"/>
    <mergeCell ref="D841:G841"/>
    <mergeCell ref="D842:G842"/>
    <mergeCell ref="D843:G843"/>
    <mergeCell ref="D844:G844"/>
    <mergeCell ref="D845:G845"/>
    <mergeCell ref="D846:G846"/>
    <mergeCell ref="D847:G847"/>
    <mergeCell ref="D848:G848"/>
    <mergeCell ref="D849:G849"/>
    <mergeCell ref="D850:G850"/>
    <mergeCell ref="D851:G851"/>
    <mergeCell ref="D852:G852"/>
    <mergeCell ref="D853:G853"/>
    <mergeCell ref="D854:G854"/>
    <mergeCell ref="D855:G855"/>
    <mergeCell ref="D856:G856"/>
    <mergeCell ref="D857:G857"/>
    <mergeCell ref="D858:G858"/>
    <mergeCell ref="D859:G859"/>
    <mergeCell ref="D860:G860"/>
    <mergeCell ref="D861:G861"/>
    <mergeCell ref="D862:G862"/>
    <mergeCell ref="D863:G863"/>
    <mergeCell ref="D864:G864"/>
    <mergeCell ref="D865:G865"/>
    <mergeCell ref="D866:G866"/>
    <mergeCell ref="D867:G867"/>
    <mergeCell ref="D868:G868"/>
    <mergeCell ref="D869:G869"/>
    <mergeCell ref="D870:G870"/>
    <mergeCell ref="D871:G871"/>
    <mergeCell ref="D872:G872"/>
    <mergeCell ref="D873:G873"/>
    <mergeCell ref="D874:G874"/>
    <mergeCell ref="D875:G875"/>
    <mergeCell ref="D876:G876"/>
    <mergeCell ref="D877:G877"/>
    <mergeCell ref="D878:G878"/>
    <mergeCell ref="D879:G879"/>
    <mergeCell ref="D880:G880"/>
    <mergeCell ref="D881:G881"/>
    <mergeCell ref="D882:G882"/>
    <mergeCell ref="D883:G883"/>
    <mergeCell ref="D884:G884"/>
    <mergeCell ref="D885:G885"/>
    <mergeCell ref="D886:G886"/>
    <mergeCell ref="D887:G887"/>
    <mergeCell ref="D888:G888"/>
    <mergeCell ref="D889:G889"/>
    <mergeCell ref="D890:G890"/>
    <mergeCell ref="D891:G891"/>
    <mergeCell ref="D892:G892"/>
    <mergeCell ref="D893:G893"/>
    <mergeCell ref="D894:G894"/>
    <mergeCell ref="D895:G895"/>
    <mergeCell ref="D896:G896"/>
    <mergeCell ref="D897:G897"/>
    <mergeCell ref="D898:G898"/>
    <mergeCell ref="D899:G899"/>
    <mergeCell ref="D900:G900"/>
    <mergeCell ref="D901:G901"/>
    <mergeCell ref="D902:G902"/>
    <mergeCell ref="D903:G903"/>
    <mergeCell ref="D904:G904"/>
    <mergeCell ref="D905:G905"/>
    <mergeCell ref="D906:G906"/>
    <mergeCell ref="D907:G907"/>
    <mergeCell ref="D908:G908"/>
    <mergeCell ref="D909:G909"/>
    <mergeCell ref="D910:G910"/>
    <mergeCell ref="D911:G911"/>
    <mergeCell ref="D912:G912"/>
    <mergeCell ref="D913:G913"/>
    <mergeCell ref="D914:G914"/>
    <mergeCell ref="D915:G915"/>
    <mergeCell ref="D916:G916"/>
    <mergeCell ref="D917:G917"/>
    <mergeCell ref="D918:G918"/>
    <mergeCell ref="D919:G919"/>
    <mergeCell ref="D920:G920"/>
    <mergeCell ref="D921:G921"/>
    <mergeCell ref="D922:G922"/>
    <mergeCell ref="D923:G923"/>
    <mergeCell ref="D924:G924"/>
    <mergeCell ref="D925:G925"/>
    <mergeCell ref="D926:G926"/>
    <mergeCell ref="D927:G927"/>
    <mergeCell ref="D928:G928"/>
    <mergeCell ref="D929:G929"/>
    <mergeCell ref="D930:G930"/>
    <mergeCell ref="D931:G931"/>
    <mergeCell ref="D932:G932"/>
    <mergeCell ref="D933:G933"/>
    <mergeCell ref="D934:G934"/>
    <mergeCell ref="D935:G935"/>
    <mergeCell ref="D936:G936"/>
    <mergeCell ref="D937:G937"/>
    <mergeCell ref="D938:G938"/>
    <mergeCell ref="D939:G939"/>
    <mergeCell ref="D940:G940"/>
    <mergeCell ref="D941:G941"/>
    <mergeCell ref="D942:G942"/>
    <mergeCell ref="D943:G943"/>
    <mergeCell ref="D944:G944"/>
    <mergeCell ref="D945:G945"/>
    <mergeCell ref="D946:G946"/>
    <mergeCell ref="D947:G947"/>
    <mergeCell ref="D948:G948"/>
    <mergeCell ref="D949:G949"/>
    <mergeCell ref="D950:G950"/>
    <mergeCell ref="D951:G951"/>
    <mergeCell ref="D952:G952"/>
    <mergeCell ref="D953:G953"/>
    <mergeCell ref="D954:G954"/>
    <mergeCell ref="D955:G955"/>
    <mergeCell ref="D956:G956"/>
    <mergeCell ref="D957:G957"/>
    <mergeCell ref="D958:G958"/>
    <mergeCell ref="D959:G959"/>
    <mergeCell ref="D960:G960"/>
    <mergeCell ref="D961:G961"/>
    <mergeCell ref="D962:G962"/>
    <mergeCell ref="D963:G963"/>
    <mergeCell ref="D964:G964"/>
    <mergeCell ref="D965:G965"/>
    <mergeCell ref="D966:G966"/>
    <mergeCell ref="D967:G967"/>
    <mergeCell ref="D968:G968"/>
    <mergeCell ref="D969:G969"/>
    <mergeCell ref="D970:G970"/>
    <mergeCell ref="D971:G971"/>
    <mergeCell ref="D972:G972"/>
    <mergeCell ref="D973:G973"/>
    <mergeCell ref="D974:G974"/>
    <mergeCell ref="D975:G975"/>
    <mergeCell ref="D976:G976"/>
    <mergeCell ref="D977:G977"/>
    <mergeCell ref="D978:G978"/>
    <mergeCell ref="D979:G979"/>
    <mergeCell ref="D980:G980"/>
    <mergeCell ref="D981:G981"/>
    <mergeCell ref="D982:G982"/>
    <mergeCell ref="D983:G983"/>
    <mergeCell ref="D984:G984"/>
    <mergeCell ref="D985:G985"/>
    <mergeCell ref="D986:G986"/>
    <mergeCell ref="D987:G987"/>
    <mergeCell ref="D988:G988"/>
    <mergeCell ref="D989:G989"/>
    <mergeCell ref="D990:G990"/>
    <mergeCell ref="D991:G991"/>
    <mergeCell ref="D992:G992"/>
    <mergeCell ref="D993:G993"/>
    <mergeCell ref="D994:G994"/>
    <mergeCell ref="D995:G995"/>
    <mergeCell ref="D996:G996"/>
    <mergeCell ref="D997:G997"/>
    <mergeCell ref="D998:G998"/>
    <mergeCell ref="D999:G999"/>
    <mergeCell ref="D1000:G1000"/>
    <mergeCell ref="D1001:G1001"/>
    <mergeCell ref="D1002:G1002"/>
    <mergeCell ref="D1003:G1003"/>
    <mergeCell ref="D1004:G1004"/>
    <mergeCell ref="D1005:G1005"/>
    <mergeCell ref="D1006:G1006"/>
    <mergeCell ref="D1007:G1007"/>
    <mergeCell ref="D1008:G1008"/>
    <mergeCell ref="D1009:G1009"/>
    <mergeCell ref="D1010:G1010"/>
    <mergeCell ref="D1011:G1011"/>
    <mergeCell ref="D1012:G1012"/>
    <mergeCell ref="D1013:G1013"/>
    <mergeCell ref="D1014:G1014"/>
    <mergeCell ref="D1015:G1015"/>
    <mergeCell ref="D1016:G1016"/>
    <mergeCell ref="D1017:G1017"/>
    <mergeCell ref="D1018:G1018"/>
    <mergeCell ref="D1019:G1019"/>
    <mergeCell ref="D1020:G1020"/>
    <mergeCell ref="D1021:G1021"/>
    <mergeCell ref="D1022:G1022"/>
    <mergeCell ref="D1023:G1023"/>
    <mergeCell ref="D1024:G1024"/>
    <mergeCell ref="D1025:G1025"/>
    <mergeCell ref="D1026:G1026"/>
    <mergeCell ref="D1027:G1027"/>
    <mergeCell ref="D1028:G1028"/>
    <mergeCell ref="D1029:G1029"/>
    <mergeCell ref="D1030:G1030"/>
    <mergeCell ref="D1031:G1031"/>
    <mergeCell ref="D1032:G1032"/>
    <mergeCell ref="D1033:G1033"/>
    <mergeCell ref="D1034:G1034"/>
    <mergeCell ref="D1035:G1035"/>
    <mergeCell ref="D1036:G1036"/>
    <mergeCell ref="D1037:G1037"/>
    <mergeCell ref="D1038:G1038"/>
    <mergeCell ref="D1039:G1039"/>
    <mergeCell ref="D1040:G1040"/>
    <mergeCell ref="D1041:G1041"/>
    <mergeCell ref="D1042:G1042"/>
    <mergeCell ref="D1043:G1043"/>
    <mergeCell ref="D1044:G1044"/>
    <mergeCell ref="D1045:G1045"/>
    <mergeCell ref="D1046:G1046"/>
    <mergeCell ref="D1047:G1047"/>
    <mergeCell ref="D1048:G1048"/>
    <mergeCell ref="D1049:G1049"/>
    <mergeCell ref="D1050:G1050"/>
    <mergeCell ref="D1051:G1051"/>
    <mergeCell ref="D1052:G1052"/>
    <mergeCell ref="D1053:G1053"/>
    <mergeCell ref="D1054:G1054"/>
    <mergeCell ref="D1055:G1055"/>
    <mergeCell ref="D1056:G1056"/>
    <mergeCell ref="D1057:G1057"/>
    <mergeCell ref="D1058:G1058"/>
    <mergeCell ref="D1059:G1059"/>
    <mergeCell ref="D1060:G1060"/>
    <mergeCell ref="D1061:G1061"/>
    <mergeCell ref="D1062:G1062"/>
    <mergeCell ref="D1063:G1063"/>
    <mergeCell ref="D1064:G1064"/>
    <mergeCell ref="D1065:G1065"/>
    <mergeCell ref="D1066:G1066"/>
    <mergeCell ref="D1067:G1067"/>
    <mergeCell ref="D1068:G1068"/>
    <mergeCell ref="D1069:G1069"/>
    <mergeCell ref="D1070:G1070"/>
    <mergeCell ref="D1071:G1071"/>
    <mergeCell ref="D1072:G1072"/>
    <mergeCell ref="D1073:G1073"/>
    <mergeCell ref="D1074:G1074"/>
    <mergeCell ref="D1075:G1075"/>
    <mergeCell ref="D1076:G1076"/>
    <mergeCell ref="D1077:G1077"/>
    <mergeCell ref="D1078:G1078"/>
    <mergeCell ref="D1079:G1079"/>
    <mergeCell ref="D1080:G1080"/>
    <mergeCell ref="D1081:G1081"/>
    <mergeCell ref="D1082:G1082"/>
    <mergeCell ref="D1083:G1083"/>
    <mergeCell ref="D1084:G1084"/>
    <mergeCell ref="D1085:G1085"/>
    <mergeCell ref="D1086:G1086"/>
    <mergeCell ref="D1087:G1087"/>
    <mergeCell ref="D1088:G1088"/>
    <mergeCell ref="D1089:G1089"/>
    <mergeCell ref="D1090:G1090"/>
    <mergeCell ref="D1091:G1091"/>
    <mergeCell ref="D1092:G1092"/>
    <mergeCell ref="D1093:G1093"/>
    <mergeCell ref="D1094:G1094"/>
    <mergeCell ref="D1095:G1095"/>
    <mergeCell ref="D1096:G1096"/>
    <mergeCell ref="D1097:G1097"/>
    <mergeCell ref="D1098:G1098"/>
    <mergeCell ref="D1099:G1099"/>
    <mergeCell ref="D1100:G1100"/>
    <mergeCell ref="D1101:G1101"/>
    <mergeCell ref="D1102:G1102"/>
    <mergeCell ref="D1103:G1103"/>
    <mergeCell ref="D1104:G1104"/>
    <mergeCell ref="D1105:G1105"/>
    <mergeCell ref="D1106:G1106"/>
    <mergeCell ref="D1107:G1107"/>
    <mergeCell ref="D1108:G1108"/>
    <mergeCell ref="D1109:G1109"/>
    <mergeCell ref="D1110:G1110"/>
    <mergeCell ref="D1111:G1111"/>
    <mergeCell ref="D1112:G1112"/>
    <mergeCell ref="D1113:G1113"/>
    <mergeCell ref="D1114:G1114"/>
    <mergeCell ref="D1115:G1115"/>
    <mergeCell ref="D1116:G1116"/>
    <mergeCell ref="D1117:G1117"/>
    <mergeCell ref="D1118:G1118"/>
    <mergeCell ref="D1119:G1119"/>
    <mergeCell ref="D1120:G1120"/>
    <mergeCell ref="D1121:G1121"/>
    <mergeCell ref="D1122:G1122"/>
    <mergeCell ref="D1123:G1123"/>
    <mergeCell ref="D1124:G1124"/>
    <mergeCell ref="D1125:G1125"/>
    <mergeCell ref="D1126:G1126"/>
    <mergeCell ref="D1127:G1127"/>
    <mergeCell ref="D1128:G1128"/>
    <mergeCell ref="D1129:G1129"/>
    <mergeCell ref="D1130:G1130"/>
    <mergeCell ref="D1131:G1131"/>
    <mergeCell ref="D1132:G1132"/>
    <mergeCell ref="D1133:G1133"/>
    <mergeCell ref="D1134:G1134"/>
    <mergeCell ref="D1135:G1135"/>
    <mergeCell ref="D1136:G1136"/>
    <mergeCell ref="D1137:G1137"/>
    <mergeCell ref="D1138:G1138"/>
    <mergeCell ref="D1139:G1139"/>
    <mergeCell ref="D1140:G1140"/>
    <mergeCell ref="D1141:G1141"/>
    <mergeCell ref="D1142:G1142"/>
    <mergeCell ref="D1143:G1143"/>
    <mergeCell ref="D1144:G1144"/>
    <mergeCell ref="D1145:G1145"/>
    <mergeCell ref="D1146:G1146"/>
    <mergeCell ref="D1147:G1147"/>
    <mergeCell ref="D1148:G1148"/>
    <mergeCell ref="D1149:G1149"/>
    <mergeCell ref="D1150:G1150"/>
    <mergeCell ref="D1151:G1151"/>
    <mergeCell ref="D1152:G1152"/>
    <mergeCell ref="D1153:G1153"/>
    <mergeCell ref="D1154:G1154"/>
    <mergeCell ref="D1155:G1155"/>
    <mergeCell ref="D1156:G1156"/>
    <mergeCell ref="D1157:G1157"/>
    <mergeCell ref="D1158:G1158"/>
    <mergeCell ref="D1159:G1159"/>
    <mergeCell ref="D1160:G1160"/>
    <mergeCell ref="D1161:G1161"/>
    <mergeCell ref="D1162:G1162"/>
    <mergeCell ref="D1163:G1163"/>
    <mergeCell ref="D1164:G1164"/>
    <mergeCell ref="D1165:G1165"/>
    <mergeCell ref="D1166:G1166"/>
    <mergeCell ref="D1167:G1167"/>
    <mergeCell ref="D1168:G1168"/>
    <mergeCell ref="D1169:G1169"/>
    <mergeCell ref="D1170:G1170"/>
    <mergeCell ref="D1171:G1171"/>
    <mergeCell ref="D1172:G1172"/>
    <mergeCell ref="D1173:G1173"/>
    <mergeCell ref="D1174:G1174"/>
    <mergeCell ref="D1175:G1175"/>
    <mergeCell ref="D1176:G1176"/>
    <mergeCell ref="D1177:G1177"/>
    <mergeCell ref="D1178:G1178"/>
    <mergeCell ref="D1179:G1179"/>
    <mergeCell ref="D1180:G1180"/>
    <mergeCell ref="D1181:G1181"/>
    <mergeCell ref="D1182:G1182"/>
    <mergeCell ref="D1183:G1183"/>
    <mergeCell ref="D1184:G1184"/>
    <mergeCell ref="D1185:G1185"/>
    <mergeCell ref="D1186:G1186"/>
    <mergeCell ref="D1187:G1187"/>
    <mergeCell ref="D1188:G1188"/>
    <mergeCell ref="D1189:G1189"/>
    <mergeCell ref="D1190:G1190"/>
    <mergeCell ref="D1191:G1191"/>
    <mergeCell ref="D1192:G1192"/>
    <mergeCell ref="D1193:G1193"/>
    <mergeCell ref="D1194:G1194"/>
    <mergeCell ref="D1195:G1195"/>
    <mergeCell ref="D1196:G1196"/>
    <mergeCell ref="D1197:G1197"/>
    <mergeCell ref="D1198:G1198"/>
    <mergeCell ref="D1199:G1199"/>
    <mergeCell ref="D1200:G1200"/>
    <mergeCell ref="D1201:G1201"/>
    <mergeCell ref="D1202:G1202"/>
    <mergeCell ref="D1203:G1203"/>
    <mergeCell ref="D1204:G1204"/>
    <mergeCell ref="D1205:G1205"/>
    <mergeCell ref="D1206:G1206"/>
    <mergeCell ref="D1207:G1207"/>
    <mergeCell ref="D1208:G1208"/>
    <mergeCell ref="D1209:G1209"/>
    <mergeCell ref="D1210:G1210"/>
    <mergeCell ref="D1211:G1211"/>
    <mergeCell ref="D1212:G1212"/>
    <mergeCell ref="D1213:G1213"/>
    <mergeCell ref="D1214:G1214"/>
    <mergeCell ref="D1215:G1215"/>
    <mergeCell ref="D1216:G1216"/>
    <mergeCell ref="D1217:G1217"/>
    <mergeCell ref="D1218:G1218"/>
    <mergeCell ref="D1219:G1219"/>
    <mergeCell ref="D1220:G1220"/>
    <mergeCell ref="D1221:G1221"/>
    <mergeCell ref="D1222:G1222"/>
    <mergeCell ref="D1223:G1223"/>
    <mergeCell ref="D1224:G1224"/>
    <mergeCell ref="D1225:G1225"/>
    <mergeCell ref="D1226:G1226"/>
    <mergeCell ref="D1227:G1227"/>
    <mergeCell ref="D1228:G1228"/>
    <mergeCell ref="D1229:G1229"/>
    <mergeCell ref="D1230:G1230"/>
    <mergeCell ref="D1231:G1231"/>
    <mergeCell ref="D1232:G1232"/>
    <mergeCell ref="D1233:G1233"/>
    <mergeCell ref="D1234:G1234"/>
    <mergeCell ref="D1235:G1235"/>
    <mergeCell ref="D1236:G1236"/>
    <mergeCell ref="D1237:G1237"/>
    <mergeCell ref="D1238:G1238"/>
    <mergeCell ref="D1239:G1239"/>
    <mergeCell ref="D1240:G1240"/>
    <mergeCell ref="D1241:G1241"/>
    <mergeCell ref="D1242:G1242"/>
    <mergeCell ref="D1243:G1243"/>
    <mergeCell ref="D1244:G1244"/>
    <mergeCell ref="D1245:G1245"/>
    <mergeCell ref="D1246:G1246"/>
    <mergeCell ref="D1247:G1247"/>
    <mergeCell ref="D1248:G1248"/>
    <mergeCell ref="D1249:G1249"/>
    <mergeCell ref="D1250:G1250"/>
    <mergeCell ref="D1251:G1251"/>
    <mergeCell ref="D1252:G1252"/>
    <mergeCell ref="D1253:G1253"/>
    <mergeCell ref="D1254:G1254"/>
    <mergeCell ref="D1255:G1255"/>
    <mergeCell ref="D1256:G1256"/>
    <mergeCell ref="D1257:G1257"/>
    <mergeCell ref="D1258:G1258"/>
    <mergeCell ref="D1259:G1259"/>
    <mergeCell ref="D1260:G1260"/>
    <mergeCell ref="D1261:G1261"/>
    <mergeCell ref="D1262:G1262"/>
    <mergeCell ref="D1263:G1263"/>
    <mergeCell ref="D1264:G1264"/>
    <mergeCell ref="D1265:G1265"/>
    <mergeCell ref="D1266:G1266"/>
    <mergeCell ref="D1267:G1267"/>
    <mergeCell ref="D1268:G1268"/>
    <mergeCell ref="D1269:G1269"/>
    <mergeCell ref="D1270:G1270"/>
    <mergeCell ref="D1271:G1271"/>
    <mergeCell ref="D1272:G1272"/>
    <mergeCell ref="D1273:G1273"/>
    <mergeCell ref="D1274:G1274"/>
    <mergeCell ref="D1275:G1275"/>
    <mergeCell ref="D1276:G1276"/>
    <mergeCell ref="D1277:G1277"/>
    <mergeCell ref="D1278:G1278"/>
    <mergeCell ref="D1279:G1279"/>
    <mergeCell ref="D1280:G1280"/>
    <mergeCell ref="D1281:G1281"/>
    <mergeCell ref="D1282:G1282"/>
    <mergeCell ref="D1283:G1283"/>
    <mergeCell ref="D1284:G1284"/>
    <mergeCell ref="D1285:G1285"/>
    <mergeCell ref="D1286:G1286"/>
    <mergeCell ref="D1287:G1287"/>
    <mergeCell ref="D1288:G1288"/>
    <mergeCell ref="D1289:G1289"/>
    <mergeCell ref="D1290:G1290"/>
    <mergeCell ref="D1291:G1291"/>
    <mergeCell ref="D1292:G1292"/>
    <mergeCell ref="D1293:G1293"/>
    <mergeCell ref="D1294:G1294"/>
    <mergeCell ref="D1295:G1295"/>
    <mergeCell ref="D1296:G1296"/>
    <mergeCell ref="D1297:G1297"/>
    <mergeCell ref="D1298:G1298"/>
    <mergeCell ref="D1299:G1299"/>
    <mergeCell ref="D1300:G1300"/>
    <mergeCell ref="D1301:G1301"/>
    <mergeCell ref="D1302:G1302"/>
    <mergeCell ref="D1303:G1303"/>
    <mergeCell ref="D1304:G1304"/>
    <mergeCell ref="D1305:G1305"/>
    <mergeCell ref="D1306:G1306"/>
    <mergeCell ref="D1307:G1307"/>
    <mergeCell ref="D1308:G1308"/>
    <mergeCell ref="D1309:G1309"/>
    <mergeCell ref="D1310:G1310"/>
    <mergeCell ref="D1311:G1311"/>
    <mergeCell ref="D1312:G1312"/>
    <mergeCell ref="D1313:G1313"/>
    <mergeCell ref="D1314:G1314"/>
    <mergeCell ref="D1315:G1315"/>
    <mergeCell ref="D1316:G1316"/>
    <mergeCell ref="D1317:G1317"/>
    <mergeCell ref="D1318:G1318"/>
    <mergeCell ref="D1319:G1319"/>
    <mergeCell ref="D1320:G1320"/>
    <mergeCell ref="D1321:G1321"/>
    <mergeCell ref="D1322:G1322"/>
    <mergeCell ref="D1323:G1323"/>
    <mergeCell ref="D1324:G1324"/>
    <mergeCell ref="D1325:G1325"/>
    <mergeCell ref="D1326:G1326"/>
    <mergeCell ref="D1327:G1327"/>
    <mergeCell ref="D1328:G1328"/>
    <mergeCell ref="D1329:G1329"/>
    <mergeCell ref="D1330:G1330"/>
    <mergeCell ref="D1331:G1331"/>
    <mergeCell ref="D1332:G1332"/>
    <mergeCell ref="D1333:G1333"/>
    <mergeCell ref="D1334:G1334"/>
    <mergeCell ref="D1335:G1335"/>
    <mergeCell ref="D1336:G1336"/>
    <mergeCell ref="D1337:G1337"/>
    <mergeCell ref="D1338:G1338"/>
    <mergeCell ref="D1339:G1339"/>
    <mergeCell ref="D1340:G1340"/>
    <mergeCell ref="D1341:G1341"/>
    <mergeCell ref="D1342:G1342"/>
    <mergeCell ref="D1343:G1343"/>
    <mergeCell ref="D1344:G1344"/>
    <mergeCell ref="D1345:G1345"/>
    <mergeCell ref="D1346:G1346"/>
    <mergeCell ref="D1347:G1347"/>
    <mergeCell ref="D1348:G1348"/>
    <mergeCell ref="D1349:G1349"/>
    <mergeCell ref="D1350:G1350"/>
    <mergeCell ref="D1351:G1351"/>
    <mergeCell ref="D1352:G1352"/>
    <mergeCell ref="D1353:G1353"/>
    <mergeCell ref="D1354:G1354"/>
    <mergeCell ref="D1355:G1355"/>
    <mergeCell ref="D1356:G1356"/>
    <mergeCell ref="D1357:G1357"/>
    <mergeCell ref="D1358:G1358"/>
    <mergeCell ref="D1359:G1359"/>
    <mergeCell ref="D1360:G1360"/>
    <mergeCell ref="D1361:G1361"/>
    <mergeCell ref="D1362:G1362"/>
    <mergeCell ref="D1363:G1363"/>
    <mergeCell ref="D1364:G1364"/>
    <mergeCell ref="D1365:G1365"/>
    <mergeCell ref="D1366:G1366"/>
    <mergeCell ref="D1367:G1367"/>
    <mergeCell ref="D1368:G1368"/>
    <mergeCell ref="D1369:G1369"/>
    <mergeCell ref="D1370:G1370"/>
    <mergeCell ref="D1371:G1371"/>
    <mergeCell ref="D1372:G1372"/>
    <mergeCell ref="D1373:G1373"/>
    <mergeCell ref="D1374:G1374"/>
    <mergeCell ref="D1375:G1375"/>
    <mergeCell ref="D1376:G1376"/>
    <mergeCell ref="D1377:G1377"/>
    <mergeCell ref="D1378:G1378"/>
    <mergeCell ref="D1379:G1379"/>
    <mergeCell ref="D1380:G1380"/>
    <mergeCell ref="D1381:G1381"/>
    <mergeCell ref="D1382:G1382"/>
    <mergeCell ref="D1383:G1383"/>
    <mergeCell ref="D1384:G1384"/>
    <mergeCell ref="D1385:G1385"/>
    <mergeCell ref="D1386:G1386"/>
    <mergeCell ref="D1387:G1387"/>
    <mergeCell ref="D1388:G1388"/>
    <mergeCell ref="D1389:G1389"/>
    <mergeCell ref="D1390:G1390"/>
    <mergeCell ref="D1391:G1391"/>
    <mergeCell ref="D1392:G1392"/>
    <mergeCell ref="D1393:G1393"/>
    <mergeCell ref="D1394:G1394"/>
    <mergeCell ref="D1395:G1395"/>
    <mergeCell ref="D1396:G1396"/>
    <mergeCell ref="D1397:G1397"/>
    <mergeCell ref="D1398:G1398"/>
    <mergeCell ref="D1399:G1399"/>
    <mergeCell ref="D1400:G1400"/>
    <mergeCell ref="D1401:G1401"/>
    <mergeCell ref="D1402:G1402"/>
    <mergeCell ref="D1403:G1403"/>
    <mergeCell ref="D1404:G1404"/>
    <mergeCell ref="D1405:G1405"/>
    <mergeCell ref="D1406:G1406"/>
    <mergeCell ref="D1407:G1407"/>
    <mergeCell ref="D1408:G1408"/>
    <mergeCell ref="D1409:G1409"/>
    <mergeCell ref="D1410:G1410"/>
    <mergeCell ref="D1411:G1411"/>
    <mergeCell ref="D1412:G1412"/>
    <mergeCell ref="D1413:G1413"/>
    <mergeCell ref="D1414:G1414"/>
    <mergeCell ref="D1415:G1415"/>
    <mergeCell ref="D1416:G1416"/>
    <mergeCell ref="D1417:G1417"/>
    <mergeCell ref="D1418:G1418"/>
    <mergeCell ref="D1419:G1419"/>
    <mergeCell ref="D1420:G1420"/>
    <mergeCell ref="D1421:G1421"/>
    <mergeCell ref="D1422:G1422"/>
    <mergeCell ref="D1423:G1423"/>
    <mergeCell ref="D1424:G1424"/>
    <mergeCell ref="D1425:G1425"/>
    <mergeCell ref="D1426:G1426"/>
    <mergeCell ref="D1427:G1427"/>
    <mergeCell ref="D1428:G1428"/>
    <mergeCell ref="D1429:G1429"/>
    <mergeCell ref="D1430:G1430"/>
    <mergeCell ref="D1431:G1431"/>
    <mergeCell ref="D1432:G1432"/>
    <mergeCell ref="D1433:G1433"/>
    <mergeCell ref="D1434:G1434"/>
    <mergeCell ref="D1435:G1435"/>
    <mergeCell ref="D1436:G1436"/>
    <mergeCell ref="D1437:G1437"/>
    <mergeCell ref="D1438:G1438"/>
    <mergeCell ref="D1439:G1439"/>
    <mergeCell ref="D1440:G1440"/>
    <mergeCell ref="D1441:G1441"/>
    <mergeCell ref="D1442:G1442"/>
    <mergeCell ref="D1443:G1443"/>
    <mergeCell ref="D1444:G1444"/>
    <mergeCell ref="D1445:G1445"/>
    <mergeCell ref="D1446:G1446"/>
    <mergeCell ref="D1447:G1447"/>
    <mergeCell ref="D1448:G1448"/>
    <mergeCell ref="D1449:G1449"/>
    <mergeCell ref="D1450:G1450"/>
    <mergeCell ref="D1451:G1451"/>
    <mergeCell ref="D1452:G1452"/>
    <mergeCell ref="D1453:G1453"/>
    <mergeCell ref="D1454:G1454"/>
    <mergeCell ref="D1455:G1455"/>
    <mergeCell ref="D1456:G1456"/>
    <mergeCell ref="D1457:G1457"/>
    <mergeCell ref="D1458:G1458"/>
    <mergeCell ref="D1459:G1459"/>
    <mergeCell ref="D1460:G1460"/>
    <mergeCell ref="D1461:G1461"/>
    <mergeCell ref="D1462:G1462"/>
    <mergeCell ref="D1463:G1463"/>
    <mergeCell ref="D1464:G1464"/>
    <mergeCell ref="D1465:G1465"/>
    <mergeCell ref="D1466:G1466"/>
    <mergeCell ref="D1467:G1467"/>
    <mergeCell ref="D1468:G1468"/>
    <mergeCell ref="D1469:G1469"/>
    <mergeCell ref="D1470:G1470"/>
    <mergeCell ref="D1471:G1471"/>
    <mergeCell ref="D1472:G1472"/>
    <mergeCell ref="D1473:G1473"/>
    <mergeCell ref="D1474:G1474"/>
    <mergeCell ref="D1475:G1475"/>
    <mergeCell ref="D1476:G1476"/>
    <mergeCell ref="D1477:G1477"/>
    <mergeCell ref="D1478:G1478"/>
    <mergeCell ref="D1479:G1479"/>
    <mergeCell ref="D1480:G1480"/>
    <mergeCell ref="D1481:G1481"/>
    <mergeCell ref="D1482:G1482"/>
    <mergeCell ref="D1483:G1483"/>
    <mergeCell ref="D1484:G1484"/>
    <mergeCell ref="D1485:G1485"/>
    <mergeCell ref="D1486:G1486"/>
    <mergeCell ref="D1487:G1487"/>
    <mergeCell ref="D1488:G1488"/>
    <mergeCell ref="D1489:G1489"/>
    <mergeCell ref="D1490:G1490"/>
    <mergeCell ref="D1491:G1491"/>
    <mergeCell ref="D1492:G1492"/>
    <mergeCell ref="D1493:G1493"/>
    <mergeCell ref="D1494:G1494"/>
    <mergeCell ref="D1495:G1495"/>
    <mergeCell ref="D1496:G1496"/>
    <mergeCell ref="D1497:G1497"/>
    <mergeCell ref="D1498:G1498"/>
    <mergeCell ref="D1499:G1499"/>
    <mergeCell ref="D1500:G1500"/>
    <mergeCell ref="D1501:G1501"/>
    <mergeCell ref="D1502:G1502"/>
    <mergeCell ref="D1503:G1503"/>
    <mergeCell ref="D1504:G1504"/>
    <mergeCell ref="D1505:G1505"/>
    <mergeCell ref="D1506:G1506"/>
    <mergeCell ref="D1507:G1507"/>
    <mergeCell ref="D1508:G1508"/>
    <mergeCell ref="D1509:G1509"/>
    <mergeCell ref="D1510:G1510"/>
    <mergeCell ref="D1511:G1511"/>
    <mergeCell ref="D1512:G1512"/>
    <mergeCell ref="D1513:G1513"/>
    <mergeCell ref="D1514:G1514"/>
    <mergeCell ref="D1515:G1515"/>
    <mergeCell ref="D1516:G1516"/>
    <mergeCell ref="D1517:G1517"/>
    <mergeCell ref="D1518:G1518"/>
    <mergeCell ref="D1519:G1519"/>
    <mergeCell ref="D1520:G1520"/>
    <mergeCell ref="D1521:G1521"/>
    <mergeCell ref="D1522:G1522"/>
    <mergeCell ref="D1523:G1523"/>
    <mergeCell ref="D1524:G1524"/>
    <mergeCell ref="D1525:G1525"/>
    <mergeCell ref="D1526:G1526"/>
    <mergeCell ref="D1527:G1527"/>
    <mergeCell ref="D1528:G1528"/>
    <mergeCell ref="D1529:G1529"/>
    <mergeCell ref="D1530:G1530"/>
    <mergeCell ref="D1531:G1531"/>
    <mergeCell ref="D1532:G1532"/>
    <mergeCell ref="D1533:G1533"/>
    <mergeCell ref="D1534:G1534"/>
    <mergeCell ref="D1535:G1535"/>
    <mergeCell ref="D1536:G1536"/>
    <mergeCell ref="D1537:G1537"/>
    <mergeCell ref="D1538:G1538"/>
    <mergeCell ref="D1539:G1539"/>
    <mergeCell ref="D1540:G1540"/>
    <mergeCell ref="D1541:G1541"/>
    <mergeCell ref="D1542:G1542"/>
    <mergeCell ref="D1543:G1543"/>
    <mergeCell ref="D1544:G1544"/>
    <mergeCell ref="D1545:G1545"/>
    <mergeCell ref="D1546:G1546"/>
    <mergeCell ref="D1547:G1547"/>
    <mergeCell ref="D1548:G1548"/>
    <mergeCell ref="D1549:G1549"/>
    <mergeCell ref="D1550:G1550"/>
    <mergeCell ref="D1551:G1551"/>
    <mergeCell ref="D1552:G1552"/>
    <mergeCell ref="D1553:G1553"/>
    <mergeCell ref="D1554:G1554"/>
    <mergeCell ref="D1555:G1555"/>
    <mergeCell ref="D1556:G1556"/>
    <mergeCell ref="D1557:G1557"/>
    <mergeCell ref="D1558:G1558"/>
    <mergeCell ref="D1559:G1559"/>
    <mergeCell ref="D1560:G1560"/>
    <mergeCell ref="D1561:G1561"/>
    <mergeCell ref="D1562:G1562"/>
    <mergeCell ref="D1563:G1563"/>
    <mergeCell ref="D1564:G1564"/>
    <mergeCell ref="D1565:G1565"/>
    <mergeCell ref="D1566:G1566"/>
    <mergeCell ref="D1567:G1567"/>
    <mergeCell ref="D1568:G1568"/>
    <mergeCell ref="D1569:G1569"/>
    <mergeCell ref="D1570:G1570"/>
    <mergeCell ref="D1571:G1571"/>
    <mergeCell ref="D1572:G1572"/>
    <mergeCell ref="D1573:G1573"/>
    <mergeCell ref="D1574:G1574"/>
    <mergeCell ref="D1575:G1575"/>
    <mergeCell ref="D1576:G1576"/>
    <mergeCell ref="D1577:G1577"/>
    <mergeCell ref="D1578:G1578"/>
    <mergeCell ref="D1579:G1579"/>
    <mergeCell ref="D1580:G1580"/>
    <mergeCell ref="D1581:G1581"/>
    <mergeCell ref="D1582:G1582"/>
    <mergeCell ref="D1583:G1583"/>
    <mergeCell ref="D1584:G1584"/>
    <mergeCell ref="D1585:G1585"/>
    <mergeCell ref="D1586:G1586"/>
    <mergeCell ref="D1587:G1587"/>
    <mergeCell ref="D1588:G1588"/>
    <mergeCell ref="D1589:G1589"/>
    <mergeCell ref="D1590:G1590"/>
    <mergeCell ref="D1591:G1591"/>
    <mergeCell ref="D1592:G1592"/>
    <mergeCell ref="D1593:G1593"/>
    <mergeCell ref="D1594:G1594"/>
    <mergeCell ref="D1595:G1595"/>
    <mergeCell ref="D1596:G1596"/>
    <mergeCell ref="D1597:G1597"/>
    <mergeCell ref="D1598:G1598"/>
    <mergeCell ref="D1599:G1599"/>
    <mergeCell ref="D1600:G1600"/>
    <mergeCell ref="D1601:G1601"/>
    <mergeCell ref="D1602:G1602"/>
    <mergeCell ref="D1603:G1603"/>
    <mergeCell ref="D1604:G1604"/>
    <mergeCell ref="D1605:G1605"/>
    <mergeCell ref="D1606:G1606"/>
    <mergeCell ref="D1607:G1607"/>
    <mergeCell ref="D1608:G1608"/>
    <mergeCell ref="D1609:G1609"/>
    <mergeCell ref="D1610:G1610"/>
    <mergeCell ref="D1611:G1611"/>
    <mergeCell ref="D1612:G1612"/>
    <mergeCell ref="D1613:G1613"/>
    <mergeCell ref="D1614:G1614"/>
    <mergeCell ref="D1615:G1615"/>
    <mergeCell ref="D1616:G1616"/>
    <mergeCell ref="D1617:G1617"/>
    <mergeCell ref="D1618:G1618"/>
    <mergeCell ref="D1619:G1619"/>
    <mergeCell ref="D1620:G1620"/>
    <mergeCell ref="D1621:G1621"/>
    <mergeCell ref="D1622:G1622"/>
    <mergeCell ref="D1623:G1623"/>
    <mergeCell ref="D1624:G1624"/>
    <mergeCell ref="D1625:G1625"/>
    <mergeCell ref="D1626:G1626"/>
    <mergeCell ref="D1627:G1627"/>
    <mergeCell ref="D1628:G1628"/>
    <mergeCell ref="D1629:G1629"/>
    <mergeCell ref="D1630:G1630"/>
    <mergeCell ref="D1631:G1631"/>
    <mergeCell ref="D1632:G1632"/>
    <mergeCell ref="D1633:G1633"/>
    <mergeCell ref="D1634:G1634"/>
    <mergeCell ref="D1635:G1635"/>
    <mergeCell ref="D1636:G1636"/>
    <mergeCell ref="D1637:G1637"/>
    <mergeCell ref="D1638:G1638"/>
    <mergeCell ref="D1639:G1639"/>
    <mergeCell ref="D1640:G1640"/>
    <mergeCell ref="D1641:G1641"/>
    <mergeCell ref="D1642:G1642"/>
    <mergeCell ref="D1643:G1643"/>
    <mergeCell ref="D1644:G1644"/>
    <mergeCell ref="D1645:G1645"/>
    <mergeCell ref="D1646:G1646"/>
    <mergeCell ref="D1647:G1647"/>
    <mergeCell ref="D1648:G1648"/>
    <mergeCell ref="D1649:G1649"/>
    <mergeCell ref="D1650:G1650"/>
    <mergeCell ref="D1651:G1651"/>
    <mergeCell ref="D1652:G1652"/>
    <mergeCell ref="D1653:G1653"/>
    <mergeCell ref="D1654:G1654"/>
    <mergeCell ref="D1655:G1655"/>
    <mergeCell ref="D1656:G1656"/>
    <mergeCell ref="D1657:G1657"/>
    <mergeCell ref="D1658:G1658"/>
    <mergeCell ref="D1659:G1659"/>
    <mergeCell ref="D1660:G1660"/>
    <mergeCell ref="D1661:G1661"/>
    <mergeCell ref="D1662:G1662"/>
    <mergeCell ref="D1663:G1663"/>
    <mergeCell ref="D1664:G1664"/>
    <mergeCell ref="D1665:G1665"/>
    <mergeCell ref="D1666:G1666"/>
    <mergeCell ref="D1667:G1667"/>
    <mergeCell ref="D1668:G1668"/>
    <mergeCell ref="D1669:G1669"/>
    <mergeCell ref="D1670:G1670"/>
    <mergeCell ref="D1671:G1671"/>
    <mergeCell ref="D1672:G1672"/>
    <mergeCell ref="D1673:G1673"/>
    <mergeCell ref="D1674:G1674"/>
    <mergeCell ref="D1675:G1675"/>
    <mergeCell ref="D1676:G1676"/>
    <mergeCell ref="D1677:G1677"/>
    <mergeCell ref="D1678:G1678"/>
    <mergeCell ref="D1679:G1679"/>
    <mergeCell ref="D1680:G1680"/>
    <mergeCell ref="D1681:G1681"/>
    <mergeCell ref="D1682:G1682"/>
    <mergeCell ref="D1683:G1683"/>
    <mergeCell ref="D1684:G1684"/>
    <mergeCell ref="D1685:G1685"/>
    <mergeCell ref="D1686:G1686"/>
    <mergeCell ref="D1687:G1687"/>
    <mergeCell ref="D1688:G1688"/>
    <mergeCell ref="D1689:G1689"/>
    <mergeCell ref="D1690:G1690"/>
    <mergeCell ref="D1691:G1691"/>
    <mergeCell ref="D1692:G1692"/>
    <mergeCell ref="D1693:G1693"/>
    <mergeCell ref="D1694:G1694"/>
    <mergeCell ref="D1695:G1695"/>
    <mergeCell ref="D1696:G1696"/>
    <mergeCell ref="D1697:G1697"/>
    <mergeCell ref="D1698:G1698"/>
    <mergeCell ref="D1699:G1699"/>
    <mergeCell ref="D1700:G1700"/>
    <mergeCell ref="D1701:G1701"/>
    <mergeCell ref="D1702:G1702"/>
    <mergeCell ref="D1703:G1703"/>
    <mergeCell ref="D1704:G1704"/>
    <mergeCell ref="D1705:G1705"/>
    <mergeCell ref="D1706:G1706"/>
    <mergeCell ref="D1707:G1707"/>
    <mergeCell ref="D1708:G1708"/>
    <mergeCell ref="D1709:G1709"/>
    <mergeCell ref="D1710:G1710"/>
    <mergeCell ref="D1711:G1711"/>
    <mergeCell ref="D1712:G1712"/>
    <mergeCell ref="D1713:G1713"/>
    <mergeCell ref="D1714:G1714"/>
    <mergeCell ref="D1715:G1715"/>
    <mergeCell ref="D1716:G1716"/>
    <mergeCell ref="D1717:G1717"/>
    <mergeCell ref="D1718:G1718"/>
    <mergeCell ref="D1719:G1719"/>
    <mergeCell ref="D1720:G1720"/>
    <mergeCell ref="D1721:G1721"/>
    <mergeCell ref="D1722:G1722"/>
    <mergeCell ref="D1723:G1723"/>
    <mergeCell ref="D1724:G1724"/>
    <mergeCell ref="D1725:G1725"/>
    <mergeCell ref="D1726:G1726"/>
    <mergeCell ref="D1727:G1727"/>
    <mergeCell ref="D1728:G1728"/>
    <mergeCell ref="D1729:G1729"/>
    <mergeCell ref="D1730:G1730"/>
    <mergeCell ref="D1731:G1731"/>
    <mergeCell ref="D1732:G1732"/>
    <mergeCell ref="D1733:G1733"/>
    <mergeCell ref="D1734:G1734"/>
    <mergeCell ref="D1735:G1735"/>
    <mergeCell ref="D1736:G1736"/>
    <mergeCell ref="D1737:G1737"/>
    <mergeCell ref="D1738:G1738"/>
    <mergeCell ref="D1739:G1739"/>
    <mergeCell ref="D1740:G1740"/>
    <mergeCell ref="D1741:G1741"/>
    <mergeCell ref="D1742:G1742"/>
    <mergeCell ref="D1743:G1743"/>
    <mergeCell ref="D1744:G1744"/>
    <mergeCell ref="D1745:G1745"/>
    <mergeCell ref="D1746:G1746"/>
    <mergeCell ref="D1747:G1747"/>
    <mergeCell ref="D1748:G1748"/>
    <mergeCell ref="D1749:G1749"/>
    <mergeCell ref="D1750:G1750"/>
    <mergeCell ref="D1751:G1751"/>
    <mergeCell ref="D1752:G1752"/>
    <mergeCell ref="D1753:G1753"/>
    <mergeCell ref="D1754:G1754"/>
    <mergeCell ref="D1755:G1755"/>
    <mergeCell ref="D1756:G1756"/>
    <mergeCell ref="D1757:G1757"/>
    <mergeCell ref="D1758:G1758"/>
    <mergeCell ref="D1759:G1759"/>
    <mergeCell ref="D1760:G1760"/>
    <mergeCell ref="D1761:G1761"/>
    <mergeCell ref="D1762:G1762"/>
    <mergeCell ref="D1763:G1763"/>
    <mergeCell ref="D1764:G1764"/>
    <mergeCell ref="D1765:G1765"/>
    <mergeCell ref="D1766:G1766"/>
    <mergeCell ref="D1767:G1767"/>
    <mergeCell ref="D1768:G1768"/>
    <mergeCell ref="D1769:G1769"/>
    <mergeCell ref="D1770:G1770"/>
    <mergeCell ref="D1771:G1771"/>
    <mergeCell ref="D1772:G1772"/>
    <mergeCell ref="D1773:G1773"/>
    <mergeCell ref="D1774:G1774"/>
    <mergeCell ref="D1775:G1775"/>
    <mergeCell ref="D1776:G1776"/>
    <mergeCell ref="D1777:G1777"/>
    <mergeCell ref="D1778:G1778"/>
    <mergeCell ref="D1779:G1779"/>
    <mergeCell ref="D1780:G1780"/>
    <mergeCell ref="D1781:G1781"/>
    <mergeCell ref="D1782:G1782"/>
    <mergeCell ref="D1783:G1783"/>
    <mergeCell ref="D1784:G1784"/>
    <mergeCell ref="D1785:G1785"/>
    <mergeCell ref="D1786:G1786"/>
    <mergeCell ref="D1787:G1787"/>
    <mergeCell ref="D1788:G1788"/>
    <mergeCell ref="D1789:G1789"/>
    <mergeCell ref="D1790:G1790"/>
    <mergeCell ref="D1791:G1791"/>
    <mergeCell ref="D1792:G1792"/>
    <mergeCell ref="D1793:G1793"/>
    <mergeCell ref="D1794:G1794"/>
    <mergeCell ref="D1795:G1795"/>
    <mergeCell ref="D1796:G1796"/>
    <mergeCell ref="D1797:G1797"/>
    <mergeCell ref="D1798:G1798"/>
    <mergeCell ref="D1799:G1799"/>
    <mergeCell ref="D1800:G1800"/>
    <mergeCell ref="D1801:G1801"/>
    <mergeCell ref="D1802:G1802"/>
    <mergeCell ref="D1803:G1803"/>
    <mergeCell ref="D1804:G1804"/>
    <mergeCell ref="D1805:G1805"/>
    <mergeCell ref="D1806:G1806"/>
    <mergeCell ref="D1807:G1807"/>
    <mergeCell ref="D1808:G1808"/>
    <mergeCell ref="D1809:G1809"/>
    <mergeCell ref="D1810:G1810"/>
    <mergeCell ref="D1811:G1811"/>
    <mergeCell ref="D1812:G1812"/>
    <mergeCell ref="D1813:G1813"/>
    <mergeCell ref="D1814:G1814"/>
    <mergeCell ref="D1815:G1815"/>
    <mergeCell ref="D1816:G1816"/>
    <mergeCell ref="D1817:G1817"/>
    <mergeCell ref="D1818:G1818"/>
    <mergeCell ref="D1819:G1819"/>
    <mergeCell ref="D1820:G1820"/>
    <mergeCell ref="D1821:G1821"/>
    <mergeCell ref="D1822:G1822"/>
    <mergeCell ref="D1823:G1823"/>
    <mergeCell ref="D1824:G1824"/>
    <mergeCell ref="D1825:G1825"/>
    <mergeCell ref="D1826:G1826"/>
    <mergeCell ref="D1827:G1827"/>
    <mergeCell ref="D1828:G1828"/>
    <mergeCell ref="D1829:G1829"/>
    <mergeCell ref="D1830:G1830"/>
    <mergeCell ref="D1831:G1831"/>
    <mergeCell ref="D1832:G1832"/>
    <mergeCell ref="D1833:G1833"/>
    <mergeCell ref="D1834:G1834"/>
    <mergeCell ref="D1835:G1835"/>
    <mergeCell ref="D1836:G1836"/>
    <mergeCell ref="D1837:G1837"/>
    <mergeCell ref="D1838:G1838"/>
    <mergeCell ref="D1839:G1839"/>
    <mergeCell ref="D1840:G1840"/>
    <mergeCell ref="D1841:G1841"/>
    <mergeCell ref="D1842:G1842"/>
    <mergeCell ref="D1843:G1843"/>
    <mergeCell ref="D1844:G1844"/>
    <mergeCell ref="D1845:G1845"/>
    <mergeCell ref="D1846:G1846"/>
    <mergeCell ref="D1847:G1847"/>
    <mergeCell ref="D1848:G1848"/>
    <mergeCell ref="D1849:G1849"/>
    <mergeCell ref="D1850:G1850"/>
    <mergeCell ref="D1851:G1851"/>
    <mergeCell ref="D1852:G1852"/>
    <mergeCell ref="D1853:G1853"/>
    <mergeCell ref="D1854:G1854"/>
    <mergeCell ref="D1855:G1855"/>
    <mergeCell ref="D1856:G1856"/>
    <mergeCell ref="D1857:G1857"/>
    <mergeCell ref="D1858:G1858"/>
    <mergeCell ref="D1859:G1859"/>
    <mergeCell ref="D1860:G1860"/>
    <mergeCell ref="D1861:G1861"/>
    <mergeCell ref="D1862:G1862"/>
    <mergeCell ref="D1863:G1863"/>
    <mergeCell ref="D1864:G1864"/>
    <mergeCell ref="D1865:G1865"/>
    <mergeCell ref="D1866:G1866"/>
    <mergeCell ref="D1867:G1867"/>
    <mergeCell ref="D1868:G1868"/>
    <mergeCell ref="D1869:G1869"/>
    <mergeCell ref="D1870:G1870"/>
    <mergeCell ref="D1871:G1871"/>
    <mergeCell ref="D1872:G1872"/>
    <mergeCell ref="D1873:G1873"/>
    <mergeCell ref="D1874:G1874"/>
    <mergeCell ref="D1875:G1875"/>
    <mergeCell ref="D1876:G1876"/>
    <mergeCell ref="D1877:G1877"/>
    <mergeCell ref="D1878:G1878"/>
    <mergeCell ref="D1879:G1879"/>
    <mergeCell ref="D1880:G1880"/>
    <mergeCell ref="D1881:G1881"/>
    <mergeCell ref="D1882:G1882"/>
    <mergeCell ref="D1883:G1883"/>
    <mergeCell ref="D1884:G1884"/>
    <mergeCell ref="D1885:G1885"/>
    <mergeCell ref="D1886:G1886"/>
    <mergeCell ref="D1887:G1887"/>
    <mergeCell ref="D1888:G1888"/>
    <mergeCell ref="D1889:G1889"/>
    <mergeCell ref="D1890:G1890"/>
    <mergeCell ref="D1891:G1891"/>
    <mergeCell ref="D1892:G1892"/>
    <mergeCell ref="D1893:G1893"/>
    <mergeCell ref="D1894:G1894"/>
    <mergeCell ref="D1895:G1895"/>
    <mergeCell ref="D1896:G1896"/>
    <mergeCell ref="D1897:G1897"/>
    <mergeCell ref="D1898:G1898"/>
    <mergeCell ref="D1899:G1899"/>
    <mergeCell ref="D1900:G1900"/>
    <mergeCell ref="D1901:G1901"/>
    <mergeCell ref="D1902:G1902"/>
    <mergeCell ref="D1903:G1903"/>
    <mergeCell ref="D1904:G1904"/>
    <mergeCell ref="D1905:G1905"/>
    <mergeCell ref="D1906:G1906"/>
    <mergeCell ref="D1907:G1907"/>
    <mergeCell ref="D1908:G1908"/>
    <mergeCell ref="D1909:G1909"/>
    <mergeCell ref="D1910:G1910"/>
    <mergeCell ref="D1911:G1911"/>
    <mergeCell ref="D1912:G1912"/>
    <mergeCell ref="D1913:G1913"/>
    <mergeCell ref="D1914:G1914"/>
    <mergeCell ref="D1915:G1915"/>
    <mergeCell ref="D1916:G1916"/>
    <mergeCell ref="D1917:G1917"/>
    <mergeCell ref="D1918:G1918"/>
    <mergeCell ref="D1919:G1919"/>
    <mergeCell ref="D1920:G1920"/>
    <mergeCell ref="D1921:G1921"/>
    <mergeCell ref="D1922:G1922"/>
    <mergeCell ref="D1923:G1923"/>
    <mergeCell ref="D1924:G1924"/>
    <mergeCell ref="D1925:G1925"/>
    <mergeCell ref="D1926:G1926"/>
    <mergeCell ref="D1927:G1927"/>
    <mergeCell ref="D1928:G1928"/>
    <mergeCell ref="D1929:G1929"/>
    <mergeCell ref="D1930:G1930"/>
    <mergeCell ref="D1931:G1931"/>
    <mergeCell ref="D1932:G1932"/>
    <mergeCell ref="D1933:G1933"/>
    <mergeCell ref="D1934:G1934"/>
    <mergeCell ref="D1935:G1935"/>
    <mergeCell ref="D1936:G1936"/>
    <mergeCell ref="D1937:G1937"/>
    <mergeCell ref="D1938:G1938"/>
    <mergeCell ref="D1939:G1939"/>
    <mergeCell ref="D1940:G1940"/>
    <mergeCell ref="D1941:G1941"/>
    <mergeCell ref="D1942:G1942"/>
    <mergeCell ref="D1943:G1943"/>
    <mergeCell ref="D1944:G1944"/>
    <mergeCell ref="D1945:G1945"/>
    <mergeCell ref="D1946:G1946"/>
    <mergeCell ref="D1947:G1947"/>
    <mergeCell ref="D1948:G1948"/>
    <mergeCell ref="D1949:G1949"/>
    <mergeCell ref="D1950:G1950"/>
    <mergeCell ref="D1951:G1951"/>
    <mergeCell ref="D1952:G1952"/>
    <mergeCell ref="D1953:G1953"/>
    <mergeCell ref="D1954:G1954"/>
    <mergeCell ref="D1955:G1955"/>
    <mergeCell ref="D1956:G1956"/>
    <mergeCell ref="D1957:G1957"/>
    <mergeCell ref="D1958:G1958"/>
    <mergeCell ref="D1959:G1959"/>
    <mergeCell ref="D1960:G1960"/>
    <mergeCell ref="D1961:G1961"/>
    <mergeCell ref="D1962:G1962"/>
    <mergeCell ref="D1963:G1963"/>
    <mergeCell ref="D1964:G1964"/>
    <mergeCell ref="D1965:G1965"/>
    <mergeCell ref="D1966:G1966"/>
    <mergeCell ref="D1967:G1967"/>
    <mergeCell ref="D1968:G1968"/>
    <mergeCell ref="D1969:G1969"/>
    <mergeCell ref="D1970:G1970"/>
    <mergeCell ref="D1971:G1971"/>
    <mergeCell ref="D1972:G1972"/>
    <mergeCell ref="D1973:G1973"/>
    <mergeCell ref="D1974:G1974"/>
    <mergeCell ref="D1975:G1975"/>
    <mergeCell ref="D1976:G1976"/>
    <mergeCell ref="D1977:G1977"/>
    <mergeCell ref="D1978:G1978"/>
    <mergeCell ref="D1979:G1979"/>
    <mergeCell ref="D1980:G1980"/>
    <mergeCell ref="D1981:G1981"/>
    <mergeCell ref="D1982:G1982"/>
    <mergeCell ref="D1983:G1983"/>
    <mergeCell ref="D1984:G1984"/>
    <mergeCell ref="D1985:G1985"/>
    <mergeCell ref="D1986:G1986"/>
    <mergeCell ref="D1987:G1987"/>
    <mergeCell ref="D1988:G1988"/>
    <mergeCell ref="D1989:G1989"/>
    <mergeCell ref="D1990:G1990"/>
    <mergeCell ref="D1991:G1991"/>
    <mergeCell ref="D1992:G1992"/>
    <mergeCell ref="D1993:G1993"/>
    <mergeCell ref="D1994:G1994"/>
    <mergeCell ref="D1995:G1995"/>
    <mergeCell ref="D1996:G1996"/>
    <mergeCell ref="D1997:G1997"/>
    <mergeCell ref="D1998:G1998"/>
    <mergeCell ref="D1999:G1999"/>
    <mergeCell ref="D2000:G2000"/>
    <mergeCell ref="D2001:G2001"/>
    <mergeCell ref="D2002:G2002"/>
    <mergeCell ref="D2003:G2003"/>
    <mergeCell ref="D2004:G2004"/>
    <mergeCell ref="D2005:G2005"/>
    <mergeCell ref="D2006:G2006"/>
    <mergeCell ref="D2007:G2007"/>
    <mergeCell ref="D2008:G2008"/>
    <mergeCell ref="D2009:G2009"/>
    <mergeCell ref="D2010:G2010"/>
    <mergeCell ref="D2011:G2011"/>
    <mergeCell ref="D2012:G2012"/>
    <mergeCell ref="D2013:G2013"/>
    <mergeCell ref="D2014:G2014"/>
    <mergeCell ref="D2015:G2015"/>
    <mergeCell ref="D2016:G2016"/>
    <mergeCell ref="D2017:G2017"/>
    <mergeCell ref="D2018:G2018"/>
    <mergeCell ref="D2019:G2019"/>
    <mergeCell ref="D2020:G2020"/>
    <mergeCell ref="D2021:G2021"/>
    <mergeCell ref="D2022:G2022"/>
    <mergeCell ref="D2023:G2023"/>
    <mergeCell ref="D2024:G2024"/>
    <mergeCell ref="D2025:G2025"/>
    <mergeCell ref="D2026:G2026"/>
    <mergeCell ref="D2027:G2027"/>
    <mergeCell ref="D2028:G2028"/>
    <mergeCell ref="D2029:G2029"/>
    <mergeCell ref="D2030:G2030"/>
    <mergeCell ref="D2031:G2031"/>
    <mergeCell ref="D2032:G2032"/>
    <mergeCell ref="D2033:G2033"/>
    <mergeCell ref="D2034:G2034"/>
    <mergeCell ref="D2035:G2035"/>
    <mergeCell ref="D2036:G2036"/>
    <mergeCell ref="D2037:G2037"/>
    <mergeCell ref="D2038:G2038"/>
    <mergeCell ref="D2039:G2039"/>
    <mergeCell ref="D2040:G2040"/>
    <mergeCell ref="D2041:G2041"/>
    <mergeCell ref="D2042:G2042"/>
    <mergeCell ref="D2043:G2043"/>
    <mergeCell ref="D2044:G2044"/>
    <mergeCell ref="D2045:G2045"/>
    <mergeCell ref="D2046:G2046"/>
    <mergeCell ref="D2047:G2047"/>
    <mergeCell ref="D2048:G2048"/>
    <mergeCell ref="D2049:G2049"/>
    <mergeCell ref="D2050:G2050"/>
    <mergeCell ref="D2051:G2051"/>
    <mergeCell ref="D2052:G2052"/>
    <mergeCell ref="D2053:G2053"/>
    <mergeCell ref="D2054:G2054"/>
    <mergeCell ref="D2055:G2055"/>
    <mergeCell ref="D2056:G2056"/>
    <mergeCell ref="D2057:G2057"/>
    <mergeCell ref="D2058:G2058"/>
    <mergeCell ref="D2059:G2059"/>
    <mergeCell ref="D2060:G2060"/>
    <mergeCell ref="D2061:G2061"/>
    <mergeCell ref="D2062:G2062"/>
    <mergeCell ref="D2063:G2063"/>
    <mergeCell ref="D2064:G2064"/>
    <mergeCell ref="D2065:G2065"/>
    <mergeCell ref="D2066:G2066"/>
    <mergeCell ref="D2067:G2067"/>
    <mergeCell ref="D2068:G2068"/>
    <mergeCell ref="D2069:G2069"/>
    <mergeCell ref="D2070:G2070"/>
    <mergeCell ref="D2071:G2071"/>
    <mergeCell ref="D2072:G2072"/>
    <mergeCell ref="D2073:G2073"/>
    <mergeCell ref="D2074:G2074"/>
    <mergeCell ref="D2075:G2075"/>
    <mergeCell ref="D2076:G2076"/>
    <mergeCell ref="D2077:G2077"/>
    <mergeCell ref="D2078:G2078"/>
    <mergeCell ref="D2079:G2079"/>
    <mergeCell ref="D2080:G2080"/>
    <mergeCell ref="D2081:G2081"/>
    <mergeCell ref="D2082:G2082"/>
    <mergeCell ref="D2083:G2083"/>
    <mergeCell ref="D2084:G2084"/>
    <mergeCell ref="D2085:G2085"/>
    <mergeCell ref="D2086:G2086"/>
    <mergeCell ref="D2087:G2087"/>
    <mergeCell ref="D2088:G2088"/>
    <mergeCell ref="D2089:G2089"/>
    <mergeCell ref="D2090:G2090"/>
    <mergeCell ref="D2091:G2091"/>
    <mergeCell ref="D2092:G2092"/>
    <mergeCell ref="D2093:G2093"/>
    <mergeCell ref="D2094:G2094"/>
    <mergeCell ref="D2095:G2095"/>
    <mergeCell ref="D2096:G2096"/>
    <mergeCell ref="D2097:G2097"/>
    <mergeCell ref="D2098:G2098"/>
    <mergeCell ref="D2099:G2099"/>
    <mergeCell ref="D2100:G2100"/>
    <mergeCell ref="D2101:G2101"/>
    <mergeCell ref="D2102:G2102"/>
    <mergeCell ref="D2103:G2103"/>
    <mergeCell ref="D2104:G2104"/>
    <mergeCell ref="D2105:G2105"/>
    <mergeCell ref="D2106:G2106"/>
    <mergeCell ref="D2107:G2107"/>
    <mergeCell ref="D2108:G2108"/>
    <mergeCell ref="D2109:G2109"/>
    <mergeCell ref="D2110:G2110"/>
    <mergeCell ref="D2111:G2111"/>
    <mergeCell ref="D2112:G2112"/>
    <mergeCell ref="D2113:G2113"/>
    <mergeCell ref="D2114:G2114"/>
    <mergeCell ref="D2115:G2115"/>
    <mergeCell ref="D2116:G2116"/>
    <mergeCell ref="D2117:G2117"/>
    <mergeCell ref="D2118:G2118"/>
    <mergeCell ref="D2119:G2119"/>
    <mergeCell ref="D2120:G2120"/>
    <mergeCell ref="D2121:G2121"/>
    <mergeCell ref="D2122:G2122"/>
    <mergeCell ref="D2123:G2123"/>
    <mergeCell ref="D2124:G2124"/>
    <mergeCell ref="D2125:G2125"/>
    <mergeCell ref="D2126:G2126"/>
    <mergeCell ref="D2127:G2127"/>
    <mergeCell ref="D2128:G2128"/>
    <mergeCell ref="D2129:G2129"/>
    <mergeCell ref="D2130:G2130"/>
    <mergeCell ref="D2131:G2131"/>
    <mergeCell ref="D2132:G2132"/>
    <mergeCell ref="D2133:G2133"/>
    <mergeCell ref="D2134:G2134"/>
    <mergeCell ref="D2135:G2135"/>
    <mergeCell ref="D2136:G2136"/>
    <mergeCell ref="D2137:G2137"/>
    <mergeCell ref="D2138:G2138"/>
    <mergeCell ref="D2139:G2139"/>
    <mergeCell ref="D2140:G2140"/>
    <mergeCell ref="D2141:G2141"/>
    <mergeCell ref="D2142:G2142"/>
    <mergeCell ref="D2143:G2143"/>
    <mergeCell ref="D2144:G2144"/>
    <mergeCell ref="D2145:G2145"/>
    <mergeCell ref="D2146:G2146"/>
    <mergeCell ref="D2147:G2147"/>
    <mergeCell ref="D2148:G2148"/>
    <mergeCell ref="D2149:G2149"/>
    <mergeCell ref="D2150:G2150"/>
    <mergeCell ref="D2151:G2151"/>
    <mergeCell ref="D2152:G2152"/>
    <mergeCell ref="D2153:G2153"/>
    <mergeCell ref="D2154:G2154"/>
    <mergeCell ref="D2155:G2155"/>
    <mergeCell ref="D2156:G2156"/>
    <mergeCell ref="D2157:G2157"/>
    <mergeCell ref="D2158:G2158"/>
    <mergeCell ref="D2159:G2159"/>
    <mergeCell ref="D2160:G2160"/>
    <mergeCell ref="D2161:G2161"/>
    <mergeCell ref="D2162:G2162"/>
    <mergeCell ref="D2163:G2163"/>
    <mergeCell ref="D2164:G2164"/>
    <mergeCell ref="D2165:G2165"/>
    <mergeCell ref="D2166:G2166"/>
    <mergeCell ref="D2167:G2167"/>
    <mergeCell ref="D2168:G2168"/>
    <mergeCell ref="D2169:G2169"/>
    <mergeCell ref="D2170:G2170"/>
    <mergeCell ref="D2171:G2171"/>
    <mergeCell ref="D2172:G2172"/>
    <mergeCell ref="D2173:G2173"/>
    <mergeCell ref="D2174:G2174"/>
    <mergeCell ref="D2175:G2175"/>
    <mergeCell ref="D2176:G2176"/>
    <mergeCell ref="D2177:G2177"/>
    <mergeCell ref="D2178:G2178"/>
    <mergeCell ref="D2179:G2179"/>
    <mergeCell ref="D2180:G2180"/>
    <mergeCell ref="D2181:G2181"/>
    <mergeCell ref="D2182:G2182"/>
    <mergeCell ref="D2183:G2183"/>
    <mergeCell ref="D2184:G2184"/>
    <mergeCell ref="D2185:G2185"/>
    <mergeCell ref="D2186:G2186"/>
    <mergeCell ref="D2187:G2187"/>
    <mergeCell ref="D2188:G2188"/>
    <mergeCell ref="D2189:G2189"/>
    <mergeCell ref="D2190:G2190"/>
    <mergeCell ref="D2191:G2191"/>
    <mergeCell ref="D2192:G2192"/>
    <mergeCell ref="D2193:G2193"/>
    <mergeCell ref="D2194:G2194"/>
    <mergeCell ref="D2195:G2195"/>
    <mergeCell ref="D2196:G2196"/>
    <mergeCell ref="D2197:G2197"/>
    <mergeCell ref="D2198:G2198"/>
    <mergeCell ref="D2199:G2199"/>
    <mergeCell ref="D2200:G2200"/>
    <mergeCell ref="D2201:G2201"/>
    <mergeCell ref="D2202:G2202"/>
    <mergeCell ref="D2203:G2203"/>
    <mergeCell ref="D2204:G2204"/>
    <mergeCell ref="D2205:G2205"/>
    <mergeCell ref="D2206:G2206"/>
    <mergeCell ref="D2207:G2207"/>
    <mergeCell ref="D2208:G2208"/>
    <mergeCell ref="D2209:G2209"/>
    <mergeCell ref="D2210:G2210"/>
    <mergeCell ref="D2211:G2211"/>
    <mergeCell ref="D2212:G2212"/>
    <mergeCell ref="D2213:G2213"/>
    <mergeCell ref="D2214:G2214"/>
    <mergeCell ref="D2215:G2215"/>
    <mergeCell ref="D2216:G2216"/>
    <mergeCell ref="D2217:G2217"/>
    <mergeCell ref="D2218:G2218"/>
    <mergeCell ref="D2219:G2219"/>
    <mergeCell ref="D2220:G2220"/>
    <mergeCell ref="D2221:G2221"/>
    <mergeCell ref="D2222:G2222"/>
    <mergeCell ref="D2223:G2223"/>
    <mergeCell ref="D2224:G2224"/>
    <mergeCell ref="D2225:G2225"/>
    <mergeCell ref="D2226:G2226"/>
    <mergeCell ref="D2227:G2227"/>
    <mergeCell ref="D2228:G2228"/>
    <mergeCell ref="D2229:G2229"/>
    <mergeCell ref="D2230:G2230"/>
    <mergeCell ref="D2231:G2231"/>
    <mergeCell ref="D2232:G2232"/>
    <mergeCell ref="D2233:G2233"/>
    <mergeCell ref="D2234:G2234"/>
    <mergeCell ref="D2235:G2235"/>
    <mergeCell ref="D2236:G2236"/>
    <mergeCell ref="D2237:G2237"/>
    <mergeCell ref="D2238:G2238"/>
    <mergeCell ref="D2239:G2239"/>
    <mergeCell ref="D2240:G2240"/>
    <mergeCell ref="D2241:G2241"/>
    <mergeCell ref="D2242:G2242"/>
    <mergeCell ref="D2243:G2243"/>
    <mergeCell ref="D2244:G2244"/>
    <mergeCell ref="D2245:G2245"/>
    <mergeCell ref="D2246:G2246"/>
    <mergeCell ref="D2247:G2247"/>
    <mergeCell ref="D2248:G2248"/>
    <mergeCell ref="D2249:G2249"/>
    <mergeCell ref="D2250:G2250"/>
    <mergeCell ref="D2251:G2251"/>
    <mergeCell ref="D2252:G2252"/>
    <mergeCell ref="D2253:G2253"/>
    <mergeCell ref="D2254:G2254"/>
    <mergeCell ref="D2255:G2255"/>
    <mergeCell ref="D2256:G2256"/>
    <mergeCell ref="D2257:G2257"/>
    <mergeCell ref="D2258:G2258"/>
    <mergeCell ref="D2259:G2259"/>
    <mergeCell ref="D2260:G2260"/>
    <mergeCell ref="D2261:G2261"/>
    <mergeCell ref="D2262:G2262"/>
    <mergeCell ref="D2263:G2263"/>
    <mergeCell ref="D2264:G2264"/>
    <mergeCell ref="D2265:G2265"/>
    <mergeCell ref="D2266:G2266"/>
    <mergeCell ref="D2267:G2267"/>
    <mergeCell ref="D2268:G2268"/>
    <mergeCell ref="D2269:G2269"/>
    <mergeCell ref="D2270:G2270"/>
    <mergeCell ref="D2271:G2271"/>
    <mergeCell ref="D2272:G2272"/>
    <mergeCell ref="D2273:G2273"/>
    <mergeCell ref="D2274:G2274"/>
    <mergeCell ref="D2275:G2275"/>
    <mergeCell ref="D2276:G2276"/>
    <mergeCell ref="D2277:G2277"/>
    <mergeCell ref="D2278:G2278"/>
    <mergeCell ref="D2279:G2279"/>
    <mergeCell ref="D2280:G2280"/>
    <mergeCell ref="D2281:G2281"/>
    <mergeCell ref="D2282:G2282"/>
    <mergeCell ref="D2283:G2283"/>
    <mergeCell ref="D2284:G2284"/>
    <mergeCell ref="D2285:G2285"/>
    <mergeCell ref="D2286:G2286"/>
    <mergeCell ref="D2287:G2287"/>
    <mergeCell ref="D2288:G2288"/>
    <mergeCell ref="D2289:G2289"/>
    <mergeCell ref="D2290:G2290"/>
    <mergeCell ref="D2291:G2291"/>
    <mergeCell ref="D2292:G2292"/>
    <mergeCell ref="D2293:G2293"/>
    <mergeCell ref="D2294:G2294"/>
    <mergeCell ref="D2295:G2295"/>
    <mergeCell ref="D2296:G2296"/>
    <mergeCell ref="D2297:G2297"/>
    <mergeCell ref="D2298:G2298"/>
    <mergeCell ref="D2299:G2299"/>
    <mergeCell ref="D2300:G2300"/>
    <mergeCell ref="D2301:G2301"/>
    <mergeCell ref="D2302:G2302"/>
    <mergeCell ref="D2303:G2303"/>
    <mergeCell ref="D2304:G2304"/>
    <mergeCell ref="D2305:G2305"/>
    <mergeCell ref="D2306:G2306"/>
    <mergeCell ref="D2307:G2307"/>
    <mergeCell ref="D2308:G2308"/>
    <mergeCell ref="D2309:G2309"/>
    <mergeCell ref="D2310:G2310"/>
    <mergeCell ref="D2311:G2311"/>
    <mergeCell ref="D2312:G2312"/>
    <mergeCell ref="D2313:G2313"/>
    <mergeCell ref="D2314:G2314"/>
    <mergeCell ref="D2315:G2315"/>
    <mergeCell ref="D2316:G2316"/>
    <mergeCell ref="D2317:G2317"/>
    <mergeCell ref="D2318:G2318"/>
    <mergeCell ref="D2319:G2319"/>
    <mergeCell ref="D2320:G2320"/>
    <mergeCell ref="D2321:G2321"/>
    <mergeCell ref="D2322:G2322"/>
    <mergeCell ref="D2323:G2323"/>
    <mergeCell ref="D2324:G2324"/>
    <mergeCell ref="D2325:G2325"/>
    <mergeCell ref="D2326:G2326"/>
    <mergeCell ref="D2327:G2327"/>
    <mergeCell ref="D2328:G2328"/>
    <mergeCell ref="D2329:G2329"/>
    <mergeCell ref="D2330:G2330"/>
    <mergeCell ref="D2331:G2331"/>
    <mergeCell ref="D2332:G2332"/>
    <mergeCell ref="D2333:G2333"/>
    <mergeCell ref="D2334:G2334"/>
    <mergeCell ref="D2335:G2335"/>
    <mergeCell ref="D2336:G2336"/>
    <mergeCell ref="D2337:G2337"/>
    <mergeCell ref="D2338:G2338"/>
    <mergeCell ref="D2339:G2339"/>
    <mergeCell ref="D2340:G2340"/>
    <mergeCell ref="D2341:G2341"/>
    <mergeCell ref="D2342:G2342"/>
    <mergeCell ref="D2343:G2343"/>
    <mergeCell ref="D2344:G2344"/>
    <mergeCell ref="D2345:G2345"/>
    <mergeCell ref="D2346:G2346"/>
    <mergeCell ref="D2347:G2347"/>
    <mergeCell ref="D2348:G2348"/>
    <mergeCell ref="D2349:G2349"/>
    <mergeCell ref="D2350:G2350"/>
    <mergeCell ref="D2351:G2351"/>
    <mergeCell ref="D2352:G2352"/>
    <mergeCell ref="D2353:G2353"/>
    <mergeCell ref="D2354:G2354"/>
    <mergeCell ref="D2355:G2355"/>
    <mergeCell ref="D2356:G2356"/>
    <mergeCell ref="D2357:G2357"/>
    <mergeCell ref="D2358:G2358"/>
    <mergeCell ref="D2359:G2359"/>
    <mergeCell ref="D2360:G2360"/>
    <mergeCell ref="D2361:G2361"/>
    <mergeCell ref="D2362:G2362"/>
    <mergeCell ref="D2363:G2363"/>
    <mergeCell ref="D2364:G2364"/>
    <mergeCell ref="D2365:G2365"/>
    <mergeCell ref="D2366:G2366"/>
    <mergeCell ref="D2367:G2367"/>
    <mergeCell ref="D2368:G2368"/>
    <mergeCell ref="D2369:G2369"/>
    <mergeCell ref="D2370:G2370"/>
    <mergeCell ref="D2371:G2371"/>
    <mergeCell ref="D2372:G2372"/>
    <mergeCell ref="D2373:G2373"/>
    <mergeCell ref="D2374:G2374"/>
    <mergeCell ref="D2375:G2375"/>
    <mergeCell ref="D2376:G2376"/>
    <mergeCell ref="D2377:G2377"/>
    <mergeCell ref="D2378:G2378"/>
    <mergeCell ref="D2379:G2379"/>
    <mergeCell ref="D2380:G2380"/>
    <mergeCell ref="D2381:G2381"/>
    <mergeCell ref="D2382:G2382"/>
    <mergeCell ref="D2383:G2383"/>
    <mergeCell ref="D2384:G2384"/>
    <mergeCell ref="D2385:G2385"/>
    <mergeCell ref="D2386:G2386"/>
    <mergeCell ref="D2387:G2387"/>
    <mergeCell ref="D2388:G2388"/>
    <mergeCell ref="D2389:G2389"/>
    <mergeCell ref="D2390:G2390"/>
    <mergeCell ref="D2391:G2391"/>
    <mergeCell ref="D2392:G2392"/>
    <mergeCell ref="D2393:G2393"/>
    <mergeCell ref="D2394:G2394"/>
    <mergeCell ref="D2395:G2395"/>
    <mergeCell ref="D2396:G2396"/>
    <mergeCell ref="D2397:G2397"/>
    <mergeCell ref="D2398:G2398"/>
    <mergeCell ref="D2399:G2399"/>
    <mergeCell ref="D2400:G2400"/>
    <mergeCell ref="D2401:G2401"/>
    <mergeCell ref="D2402:G2402"/>
  </mergeCells>
  <dataValidations>
    <dataValidation type="custom" allowBlank="1" showDropDown="1" showInputMessage="1" prompt="Digite um valor numérico" sqref="H4:H2999">
      <formula1>ISNUMBER(H4:H2999)</formula1>
    </dataValidation>
    <dataValidation type="list" allowBlank="1" showErrorMessage="1" sqref="C4:C2999">
      <formula1>"Despesa,Investimento"</formula1>
    </dataValidation>
    <dataValidation type="custom" allowBlank="1" showDropDown="1" showInputMessage="1" prompt="Digite uma data válida" sqref="B4:B2999">
      <formula1>OR(NOT(ISERROR(DATEVALUE(B4))), AND(ISNUMBER(B4), LEFT(CELL("format", B4))="D"))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8.88"/>
    <col customWidth="1" min="3" max="3" width="1.38"/>
    <col customWidth="1" min="4" max="4" width="18.88"/>
    <col customWidth="1" min="5" max="5" width="1.38"/>
    <col customWidth="1" min="6" max="6" width="18.88"/>
    <col customWidth="1" min="7" max="7" width="1.38"/>
    <col customWidth="1" min="8" max="8" width="18.88"/>
    <col customWidth="1" min="9" max="9" width="1.38"/>
    <col customWidth="1" min="10" max="10" width="18.88"/>
    <col customWidth="1" min="11" max="11" width="1.38"/>
    <col customWidth="1" min="12" max="12" width="19.5"/>
    <col customWidth="1" min="13" max="13" width="2.63"/>
  </cols>
  <sheetData>
    <row r="1" ht="60.0" customHeight="1">
      <c r="A1" s="1"/>
      <c r="B1" s="1" t="s">
        <v>42</v>
      </c>
      <c r="L1" s="1"/>
      <c r="M1" s="38"/>
    </row>
    <row r="2">
      <c r="B2" s="91"/>
    </row>
    <row r="3">
      <c r="B3" s="44" t="s">
        <v>30</v>
      </c>
      <c r="C3" s="92"/>
      <c r="D3" s="44" t="s">
        <v>43</v>
      </c>
      <c r="E3" s="92"/>
      <c r="F3" s="44" t="s">
        <v>44</v>
      </c>
      <c r="G3" s="92"/>
      <c r="H3" s="44" t="s">
        <v>45</v>
      </c>
      <c r="I3" s="92"/>
      <c r="J3" s="44" t="s">
        <v>46</v>
      </c>
      <c r="K3" s="93"/>
      <c r="L3" s="94" t="s">
        <v>47</v>
      </c>
      <c r="M3" s="95"/>
    </row>
    <row r="4">
      <c r="B4" s="96" t="s">
        <v>48</v>
      </c>
      <c r="C4" s="14"/>
      <c r="D4" s="96" t="s">
        <v>49</v>
      </c>
      <c r="E4" s="14"/>
      <c r="F4" s="96" t="s">
        <v>50</v>
      </c>
      <c r="G4" s="16"/>
      <c r="H4" s="49"/>
      <c r="I4" s="16"/>
      <c r="J4" s="49"/>
      <c r="L4" s="49" t="s">
        <v>51</v>
      </c>
      <c r="M4" s="16"/>
    </row>
    <row r="5">
      <c r="B5" s="96" t="s">
        <v>52</v>
      </c>
      <c r="C5" s="14"/>
      <c r="D5" s="96" t="s">
        <v>53</v>
      </c>
      <c r="E5" s="14"/>
      <c r="F5" s="96" t="s">
        <v>54</v>
      </c>
      <c r="G5" s="14"/>
      <c r="H5" s="96"/>
      <c r="I5" s="14"/>
      <c r="J5" s="96"/>
      <c r="L5" s="49" t="s">
        <v>55</v>
      </c>
      <c r="M5" s="16"/>
    </row>
    <row r="6">
      <c r="B6" s="96" t="s">
        <v>56</v>
      </c>
      <c r="C6" s="14"/>
      <c r="D6" s="96" t="s">
        <v>57</v>
      </c>
      <c r="E6" s="14"/>
      <c r="F6" s="96" t="s">
        <v>58</v>
      </c>
      <c r="G6" s="14"/>
      <c r="H6" s="96"/>
      <c r="I6" s="14"/>
      <c r="J6" s="96"/>
      <c r="L6" s="49" t="s">
        <v>59</v>
      </c>
      <c r="M6" s="16"/>
    </row>
    <row r="7">
      <c r="B7" s="96" t="s">
        <v>60</v>
      </c>
      <c r="D7" s="96"/>
      <c r="E7" s="14"/>
      <c r="F7" s="96" t="s">
        <v>61</v>
      </c>
      <c r="G7" s="14"/>
      <c r="H7" s="96"/>
      <c r="I7" s="14"/>
      <c r="J7" s="96"/>
      <c r="L7" s="49" t="s">
        <v>62</v>
      </c>
      <c r="M7" s="16"/>
    </row>
    <row r="8">
      <c r="B8" s="96" t="s">
        <v>63</v>
      </c>
      <c r="D8" s="96"/>
      <c r="E8" s="14"/>
      <c r="F8" s="96" t="s">
        <v>64</v>
      </c>
      <c r="G8" s="14"/>
      <c r="H8" s="96"/>
      <c r="I8" s="14"/>
      <c r="J8" s="96"/>
      <c r="L8" s="49" t="s">
        <v>65</v>
      </c>
      <c r="M8" s="16"/>
    </row>
    <row r="9">
      <c r="B9" s="96" t="s">
        <v>66</v>
      </c>
      <c r="D9" s="96"/>
      <c r="E9" s="14"/>
      <c r="F9" s="96" t="s">
        <v>67</v>
      </c>
      <c r="G9" s="14"/>
      <c r="H9" s="96"/>
      <c r="I9" s="14"/>
      <c r="J9" s="96"/>
      <c r="L9" s="49" t="s">
        <v>68</v>
      </c>
      <c r="M9" s="16"/>
    </row>
    <row r="10">
      <c r="B10" s="96" t="s">
        <v>69</v>
      </c>
      <c r="D10" s="96"/>
      <c r="E10" s="14"/>
      <c r="F10" s="96" t="s">
        <v>70</v>
      </c>
      <c r="G10" s="14"/>
      <c r="H10" s="96"/>
      <c r="I10" s="14"/>
      <c r="J10" s="96"/>
      <c r="L10" s="49" t="s">
        <v>71</v>
      </c>
      <c r="M10" s="16"/>
    </row>
    <row r="11">
      <c r="B11" s="96" t="s">
        <v>72</v>
      </c>
      <c r="D11" s="96"/>
      <c r="E11" s="14"/>
      <c r="F11" s="96" t="s">
        <v>73</v>
      </c>
      <c r="G11" s="14"/>
      <c r="H11" s="96"/>
      <c r="I11" s="14"/>
      <c r="J11" s="96"/>
      <c r="L11" s="49" t="s">
        <v>31</v>
      </c>
      <c r="M11" s="16"/>
    </row>
    <row r="12">
      <c r="B12" s="96" t="s">
        <v>74</v>
      </c>
      <c r="D12" s="96"/>
      <c r="E12" s="14"/>
      <c r="F12" s="96" t="s">
        <v>75</v>
      </c>
      <c r="G12" s="14"/>
      <c r="H12" s="96"/>
      <c r="I12" s="14"/>
      <c r="J12" s="96"/>
      <c r="L12" s="49" t="s">
        <v>76</v>
      </c>
      <c r="M12" s="16"/>
    </row>
    <row r="13">
      <c r="B13" s="96" t="s">
        <v>77</v>
      </c>
      <c r="D13" s="96"/>
      <c r="E13" s="14"/>
      <c r="F13" s="96" t="s">
        <v>78</v>
      </c>
      <c r="G13" s="14"/>
      <c r="H13" s="96"/>
      <c r="I13" s="14"/>
      <c r="J13" s="96"/>
      <c r="L13" s="49" t="s">
        <v>46</v>
      </c>
      <c r="M13" s="16"/>
    </row>
    <row r="14">
      <c r="B14" s="96" t="s">
        <v>79</v>
      </c>
      <c r="D14" s="96"/>
      <c r="E14" s="14"/>
      <c r="F14" s="96" t="s">
        <v>80</v>
      </c>
      <c r="G14" s="14"/>
      <c r="H14" s="96"/>
      <c r="I14" s="14"/>
      <c r="J14" s="96"/>
      <c r="L14" s="56"/>
    </row>
    <row r="15">
      <c r="B15" s="96" t="s">
        <v>81</v>
      </c>
      <c r="D15" s="96"/>
      <c r="E15" s="14"/>
      <c r="F15" s="96" t="s">
        <v>82</v>
      </c>
      <c r="G15" s="14"/>
      <c r="H15" s="96"/>
      <c r="I15" s="14"/>
      <c r="J15" s="96"/>
      <c r="L15" s="56"/>
    </row>
    <row r="16">
      <c r="B16" s="49"/>
      <c r="D16" s="49"/>
      <c r="E16" s="14"/>
      <c r="F16" s="49" t="s">
        <v>83</v>
      </c>
      <c r="G16" s="14"/>
      <c r="H16" s="49"/>
      <c r="I16" s="14"/>
      <c r="J16" s="49"/>
      <c r="L16" s="56"/>
    </row>
    <row r="17">
      <c r="B17" s="49"/>
      <c r="D17" s="49"/>
      <c r="E17" s="14"/>
      <c r="F17" s="49" t="s">
        <v>84</v>
      </c>
      <c r="G17" s="14"/>
      <c r="H17" s="49"/>
      <c r="I17" s="14"/>
      <c r="J17" s="49"/>
      <c r="L17" s="56"/>
    </row>
    <row r="18">
      <c r="B18" s="49"/>
      <c r="D18" s="49"/>
      <c r="E18" s="14"/>
      <c r="F18" s="49" t="s">
        <v>85</v>
      </c>
      <c r="G18" s="14"/>
      <c r="H18" s="49"/>
      <c r="I18" s="14"/>
      <c r="J18" s="49"/>
      <c r="L18" s="56"/>
    </row>
    <row r="19">
      <c r="B19" s="49"/>
      <c r="D19" s="49"/>
      <c r="E19" s="14"/>
      <c r="F19" s="49" t="s">
        <v>86</v>
      </c>
      <c r="G19" s="14"/>
      <c r="H19" s="49"/>
      <c r="I19" s="14"/>
      <c r="J19" s="49"/>
      <c r="L19" s="56"/>
    </row>
    <row r="20">
      <c r="B20" s="49"/>
      <c r="D20" s="49"/>
      <c r="E20" s="14"/>
      <c r="F20" s="49" t="s">
        <v>87</v>
      </c>
      <c r="G20" s="14"/>
      <c r="H20" s="49"/>
      <c r="I20" s="14"/>
      <c r="J20" s="49"/>
      <c r="L20" s="56"/>
    </row>
    <row r="21">
      <c r="B21" s="49"/>
      <c r="D21" s="49"/>
      <c r="E21" s="14"/>
      <c r="F21" s="49" t="s">
        <v>88</v>
      </c>
      <c r="G21" s="14"/>
      <c r="H21" s="49"/>
      <c r="I21" s="14"/>
      <c r="J21" s="49"/>
      <c r="L21" s="56"/>
    </row>
    <row r="22">
      <c r="B22" s="49"/>
      <c r="D22" s="49"/>
      <c r="E22" s="14"/>
      <c r="F22" s="49" t="s">
        <v>89</v>
      </c>
      <c r="G22" s="14"/>
      <c r="H22" s="49"/>
      <c r="I22" s="14"/>
      <c r="J22" s="49"/>
      <c r="L22" s="56"/>
    </row>
    <row r="23">
      <c r="B23" s="49"/>
      <c r="D23" s="49"/>
      <c r="E23" s="14"/>
      <c r="F23" s="49" t="s">
        <v>90</v>
      </c>
      <c r="G23" s="14"/>
      <c r="H23" s="49"/>
      <c r="I23" s="14"/>
      <c r="J23" s="49"/>
      <c r="L23" s="56"/>
    </row>
    <row r="24">
      <c r="B24" s="49"/>
      <c r="D24" s="49"/>
      <c r="E24" s="14"/>
      <c r="F24" s="49" t="s">
        <v>91</v>
      </c>
      <c r="G24" s="14"/>
      <c r="H24" s="49"/>
      <c r="I24" s="14"/>
      <c r="J24" s="49"/>
      <c r="L24" s="56"/>
    </row>
    <row r="25">
      <c r="B25" s="49"/>
      <c r="D25" s="49"/>
      <c r="E25" s="14"/>
      <c r="F25" s="49" t="s">
        <v>92</v>
      </c>
      <c r="G25" s="14"/>
      <c r="H25" s="49"/>
      <c r="I25" s="14"/>
      <c r="J25" s="49"/>
      <c r="L25" s="56"/>
    </row>
    <row r="26">
      <c r="B26" s="49"/>
      <c r="D26" s="49"/>
      <c r="E26" s="14"/>
      <c r="F26" s="49" t="s">
        <v>93</v>
      </c>
      <c r="G26" s="14"/>
      <c r="H26" s="49"/>
      <c r="I26" s="14"/>
      <c r="J26" s="49"/>
      <c r="L26" s="56"/>
    </row>
    <row r="27">
      <c r="B27" s="49"/>
      <c r="D27" s="49"/>
      <c r="F27" s="49"/>
      <c r="H27" s="49"/>
      <c r="J27" s="49"/>
      <c r="L27" s="56"/>
    </row>
    <row r="28">
      <c r="B28" s="49"/>
      <c r="D28" s="49"/>
      <c r="F28" s="49"/>
      <c r="H28" s="49"/>
      <c r="J28" s="49"/>
      <c r="L28" s="56"/>
    </row>
    <row r="29">
      <c r="B29" s="49"/>
      <c r="D29" s="49"/>
      <c r="F29" s="49"/>
      <c r="H29" s="49"/>
      <c r="J29" s="49"/>
      <c r="L29" s="56"/>
    </row>
    <row r="30">
      <c r="B30" s="49"/>
      <c r="D30" s="49"/>
      <c r="F30" s="49"/>
      <c r="H30" s="49"/>
      <c r="J30" s="49"/>
      <c r="L30" s="56"/>
    </row>
    <row r="31">
      <c r="B31" s="49"/>
      <c r="D31" s="49"/>
      <c r="F31" s="49"/>
      <c r="H31" s="49"/>
      <c r="J31" s="49"/>
      <c r="L31" s="56"/>
    </row>
    <row r="32">
      <c r="B32" s="49"/>
      <c r="D32" s="49"/>
      <c r="F32" s="49"/>
      <c r="H32" s="49"/>
      <c r="J32" s="49"/>
      <c r="L32" s="56"/>
    </row>
    <row r="33">
      <c r="B33" s="49"/>
      <c r="D33" s="49"/>
      <c r="F33" s="49"/>
      <c r="H33" s="49"/>
      <c r="J33" s="49"/>
      <c r="L33" s="56"/>
    </row>
    <row r="34">
      <c r="B34" s="49"/>
      <c r="D34" s="49"/>
      <c r="F34" s="49"/>
      <c r="H34" s="49"/>
      <c r="J34" s="49"/>
      <c r="L34" s="56"/>
    </row>
    <row r="35">
      <c r="B35" s="49"/>
      <c r="D35" s="49"/>
      <c r="F35" s="49"/>
      <c r="H35" s="49"/>
      <c r="J35" s="49"/>
      <c r="L35" s="56"/>
    </row>
    <row r="36">
      <c r="B36" s="49"/>
      <c r="D36" s="49"/>
      <c r="F36" s="49"/>
      <c r="H36" s="49"/>
      <c r="J36" s="49"/>
      <c r="L36" s="56"/>
    </row>
    <row r="37">
      <c r="B37" s="49"/>
      <c r="D37" s="49"/>
      <c r="F37" s="49"/>
      <c r="H37" s="49"/>
      <c r="J37" s="49"/>
      <c r="L37" s="56"/>
    </row>
    <row r="38">
      <c r="B38" s="49"/>
      <c r="D38" s="49"/>
      <c r="F38" s="49"/>
      <c r="H38" s="49"/>
      <c r="J38" s="49"/>
      <c r="L38" s="56"/>
    </row>
    <row r="39">
      <c r="B39" s="49"/>
      <c r="D39" s="49"/>
      <c r="F39" s="49"/>
      <c r="H39" s="49"/>
      <c r="J39" s="49"/>
      <c r="L39" s="56"/>
    </row>
    <row r="40">
      <c r="B40" s="49"/>
      <c r="D40" s="49"/>
      <c r="F40" s="49"/>
      <c r="H40" s="49"/>
      <c r="J40" s="49"/>
      <c r="L40" s="56"/>
    </row>
    <row r="41">
      <c r="B41" s="49"/>
      <c r="D41" s="49"/>
      <c r="F41" s="49"/>
      <c r="H41" s="49"/>
      <c r="J41" s="49"/>
      <c r="L41" s="56"/>
    </row>
    <row r="42">
      <c r="B42" s="49"/>
      <c r="D42" s="49"/>
      <c r="F42" s="49"/>
      <c r="H42" s="49"/>
      <c r="J42" s="49"/>
      <c r="L42" s="56"/>
    </row>
    <row r="43">
      <c r="B43" s="49"/>
      <c r="D43" s="49"/>
      <c r="F43" s="49"/>
      <c r="H43" s="49"/>
      <c r="J43" s="49"/>
      <c r="L43" s="56"/>
    </row>
    <row r="44">
      <c r="B44" s="49"/>
      <c r="D44" s="49"/>
      <c r="F44" s="49"/>
      <c r="H44" s="49"/>
      <c r="J44" s="49"/>
      <c r="L44" s="56"/>
    </row>
    <row r="45">
      <c r="B45" s="49"/>
      <c r="D45" s="49"/>
      <c r="F45" s="49"/>
      <c r="H45" s="49"/>
      <c r="J45" s="49"/>
      <c r="L45" s="56"/>
    </row>
    <row r="46">
      <c r="B46" s="49"/>
      <c r="D46" s="49"/>
      <c r="F46" s="49"/>
      <c r="H46" s="49"/>
      <c r="J46" s="49"/>
      <c r="L46" s="56"/>
    </row>
    <row r="47">
      <c r="B47" s="49"/>
      <c r="D47" s="49"/>
      <c r="F47" s="49"/>
      <c r="H47" s="49"/>
      <c r="J47" s="49"/>
      <c r="L47" s="56"/>
    </row>
    <row r="48">
      <c r="B48" s="49"/>
      <c r="D48" s="49"/>
      <c r="F48" s="49"/>
      <c r="H48" s="49"/>
      <c r="J48" s="49"/>
      <c r="L48" s="56"/>
    </row>
    <row r="49">
      <c r="B49" s="49"/>
      <c r="D49" s="49"/>
      <c r="F49" s="49"/>
      <c r="H49" s="49"/>
      <c r="J49" s="49"/>
      <c r="L49" s="56"/>
    </row>
    <row r="50">
      <c r="B50" s="97"/>
      <c r="C50" s="98"/>
      <c r="D50" s="97"/>
      <c r="E50" s="98"/>
      <c r="F50" s="97"/>
      <c r="G50" s="98"/>
      <c r="H50" s="97"/>
      <c r="I50" s="98"/>
      <c r="J50" s="97"/>
      <c r="L50" s="56"/>
    </row>
    <row r="51">
      <c r="B51" s="99"/>
      <c r="C51" s="100"/>
      <c r="D51" s="99"/>
      <c r="E51" s="100"/>
      <c r="F51" s="99"/>
      <c r="G51" s="100"/>
      <c r="H51" s="99"/>
      <c r="I51" s="100"/>
      <c r="J51" s="99"/>
      <c r="L51" s="56"/>
    </row>
    <row r="52">
      <c r="B52" s="97"/>
      <c r="C52" s="98"/>
      <c r="D52" s="97"/>
      <c r="E52" s="98"/>
      <c r="F52" s="97"/>
      <c r="G52" s="98"/>
      <c r="H52" s="97"/>
      <c r="I52" s="98"/>
      <c r="J52" s="97"/>
      <c r="L52" s="56"/>
    </row>
    <row r="53">
      <c r="B53" s="99"/>
      <c r="C53" s="100"/>
      <c r="D53" s="99"/>
      <c r="E53" s="100"/>
      <c r="F53" s="99"/>
      <c r="G53" s="100"/>
      <c r="H53" s="99"/>
      <c r="I53" s="100"/>
      <c r="J53" s="99"/>
      <c r="L53" s="56"/>
    </row>
    <row r="54">
      <c r="B54" s="97"/>
      <c r="C54" s="98"/>
      <c r="D54" s="97"/>
      <c r="E54" s="98"/>
      <c r="F54" s="97"/>
      <c r="G54" s="98"/>
      <c r="H54" s="97"/>
      <c r="I54" s="98"/>
      <c r="J54" s="97"/>
      <c r="L54" s="56"/>
    </row>
    <row r="55">
      <c r="B55" s="56"/>
      <c r="D55" s="56"/>
      <c r="F55" s="56"/>
      <c r="H55" s="56"/>
      <c r="J55" s="56"/>
      <c r="L55" s="56"/>
    </row>
    <row r="56">
      <c r="B56" s="56"/>
      <c r="D56" s="56"/>
      <c r="F56" s="56"/>
      <c r="H56" s="56"/>
      <c r="J56" s="56"/>
      <c r="L56" s="56"/>
    </row>
    <row r="57">
      <c r="B57" s="56"/>
      <c r="D57" s="56"/>
      <c r="F57" s="56"/>
      <c r="H57" s="56"/>
      <c r="J57" s="56"/>
      <c r="L57" s="56"/>
    </row>
    <row r="58">
      <c r="B58" s="56"/>
      <c r="D58" s="56"/>
      <c r="F58" s="56"/>
      <c r="H58" s="56"/>
      <c r="J58" s="56"/>
      <c r="L58" s="56"/>
    </row>
    <row r="59">
      <c r="B59" s="56"/>
      <c r="D59" s="56"/>
      <c r="F59" s="56"/>
      <c r="H59" s="56"/>
      <c r="J59" s="56"/>
      <c r="L59" s="56"/>
    </row>
    <row r="60">
      <c r="B60" s="56"/>
      <c r="D60" s="56"/>
      <c r="F60" s="56"/>
      <c r="H60" s="56"/>
      <c r="J60" s="56"/>
      <c r="L60" s="56"/>
    </row>
    <row r="61">
      <c r="B61" s="56"/>
      <c r="D61" s="56"/>
      <c r="F61" s="56"/>
      <c r="H61" s="56"/>
      <c r="J61" s="56"/>
      <c r="L61" s="56"/>
    </row>
    <row r="62">
      <c r="B62" s="56"/>
      <c r="D62" s="56"/>
      <c r="F62" s="56"/>
      <c r="H62" s="56"/>
      <c r="J62" s="56"/>
      <c r="L62" s="56"/>
    </row>
    <row r="63">
      <c r="B63" s="56"/>
      <c r="D63" s="56"/>
      <c r="F63" s="56"/>
      <c r="H63" s="56"/>
      <c r="J63" s="56"/>
      <c r="L63" s="56"/>
    </row>
    <row r="64">
      <c r="B64" s="101"/>
      <c r="D64" s="101"/>
      <c r="F64" s="101"/>
      <c r="H64" s="101"/>
      <c r="J64" s="101"/>
      <c r="L64" s="56"/>
    </row>
    <row r="65">
      <c r="B65" s="101"/>
      <c r="D65" s="101"/>
      <c r="F65" s="101"/>
      <c r="H65" s="101"/>
      <c r="J65" s="101"/>
      <c r="L65" s="56"/>
    </row>
    <row r="66">
      <c r="B66" s="101"/>
      <c r="D66" s="101"/>
      <c r="F66" s="101"/>
      <c r="H66" s="101"/>
      <c r="J66" s="101"/>
      <c r="L66" s="56"/>
    </row>
    <row r="67">
      <c r="B67" s="101"/>
      <c r="D67" s="101"/>
      <c r="F67" s="101"/>
      <c r="H67" s="101"/>
      <c r="J67" s="101"/>
      <c r="L67" s="56"/>
    </row>
    <row r="68">
      <c r="B68" s="101"/>
      <c r="D68" s="101"/>
      <c r="F68" s="101"/>
      <c r="H68" s="101"/>
      <c r="J68" s="101"/>
      <c r="L68" s="56"/>
    </row>
    <row r="69">
      <c r="B69" s="101"/>
      <c r="D69" s="101"/>
      <c r="F69" s="101"/>
      <c r="H69" s="101"/>
      <c r="J69" s="101"/>
      <c r="L69" s="56"/>
    </row>
    <row r="70">
      <c r="B70" s="101"/>
      <c r="D70" s="101"/>
      <c r="F70" s="101"/>
      <c r="H70" s="101"/>
      <c r="J70" s="101"/>
      <c r="L70" s="56"/>
    </row>
    <row r="71">
      <c r="B71" s="101"/>
      <c r="D71" s="101"/>
      <c r="F71" s="101"/>
      <c r="H71" s="101"/>
      <c r="J71" s="101"/>
      <c r="L71" s="56"/>
    </row>
    <row r="72">
      <c r="B72" s="101"/>
      <c r="D72" s="101"/>
      <c r="F72" s="101"/>
      <c r="H72" s="101"/>
      <c r="J72" s="101"/>
      <c r="L72" s="56"/>
    </row>
    <row r="73">
      <c r="B73" s="101"/>
      <c r="D73" s="101"/>
      <c r="F73" s="101"/>
      <c r="H73" s="101"/>
      <c r="J73" s="101"/>
      <c r="L73" s="56"/>
    </row>
    <row r="74">
      <c r="B74" s="101"/>
      <c r="D74" s="101"/>
      <c r="F74" s="101"/>
      <c r="H74" s="101"/>
      <c r="J74" s="101"/>
      <c r="L74" s="56"/>
    </row>
    <row r="75">
      <c r="B75" s="101"/>
      <c r="D75" s="101"/>
      <c r="F75" s="101"/>
      <c r="H75" s="101"/>
      <c r="J75" s="101"/>
      <c r="L75" s="56"/>
    </row>
    <row r="76">
      <c r="B76" s="101"/>
      <c r="D76" s="101"/>
      <c r="F76" s="101"/>
      <c r="H76" s="101"/>
      <c r="J76" s="101"/>
      <c r="L76" s="56"/>
    </row>
    <row r="77">
      <c r="B77" s="101"/>
      <c r="D77" s="101"/>
      <c r="F77" s="101"/>
      <c r="H77" s="101"/>
      <c r="J77" s="101"/>
      <c r="L77" s="56"/>
    </row>
    <row r="78">
      <c r="B78" s="101"/>
      <c r="D78" s="101"/>
      <c r="F78" s="101"/>
      <c r="H78" s="101"/>
      <c r="J78" s="101"/>
      <c r="L78" s="56"/>
    </row>
    <row r="79">
      <c r="B79" s="101"/>
      <c r="D79" s="101"/>
      <c r="F79" s="101"/>
      <c r="H79" s="101"/>
      <c r="J79" s="101"/>
      <c r="L79" s="56"/>
    </row>
    <row r="80">
      <c r="B80" s="101"/>
      <c r="D80" s="101"/>
      <c r="F80" s="101"/>
      <c r="H80" s="101"/>
      <c r="J80" s="101"/>
      <c r="L80" s="56"/>
    </row>
    <row r="81">
      <c r="B81" s="101"/>
      <c r="D81" s="101"/>
      <c r="F81" s="101"/>
      <c r="H81" s="101"/>
      <c r="J81" s="101"/>
      <c r="L81" s="56"/>
    </row>
    <row r="82">
      <c r="B82" s="101"/>
      <c r="D82" s="101"/>
      <c r="F82" s="101"/>
      <c r="H82" s="101"/>
      <c r="J82" s="101"/>
      <c r="L82" s="56"/>
    </row>
    <row r="83">
      <c r="B83" s="101"/>
      <c r="D83" s="101"/>
      <c r="F83" s="101"/>
      <c r="H83" s="101"/>
      <c r="J83" s="101"/>
      <c r="L83" s="56"/>
    </row>
    <row r="84">
      <c r="B84" s="101"/>
      <c r="D84" s="101"/>
      <c r="F84" s="101"/>
      <c r="H84" s="101"/>
      <c r="J84" s="101"/>
      <c r="L84" s="56"/>
    </row>
    <row r="85">
      <c r="B85" s="101"/>
      <c r="D85" s="101"/>
      <c r="F85" s="101"/>
      <c r="H85" s="101"/>
      <c r="J85" s="101"/>
      <c r="L85" s="56"/>
    </row>
    <row r="86">
      <c r="B86" s="101"/>
      <c r="D86" s="101"/>
      <c r="F86" s="101"/>
      <c r="H86" s="101"/>
      <c r="J86" s="101"/>
      <c r="L86" s="56"/>
    </row>
    <row r="87">
      <c r="B87" s="101"/>
      <c r="D87" s="101"/>
      <c r="F87" s="101"/>
      <c r="H87" s="101"/>
      <c r="J87" s="101"/>
      <c r="L87" s="56"/>
    </row>
    <row r="88">
      <c r="B88" s="101"/>
      <c r="D88" s="101"/>
      <c r="F88" s="101"/>
      <c r="H88" s="101"/>
      <c r="J88" s="101"/>
      <c r="L88" s="56"/>
    </row>
    <row r="89">
      <c r="B89" s="101"/>
      <c r="D89" s="101"/>
      <c r="F89" s="101"/>
      <c r="H89" s="101"/>
      <c r="J89" s="101"/>
      <c r="L89" s="56"/>
    </row>
    <row r="90">
      <c r="B90" s="101"/>
      <c r="D90" s="101"/>
      <c r="F90" s="101"/>
      <c r="H90" s="101"/>
      <c r="J90" s="101"/>
      <c r="L90" s="56"/>
    </row>
    <row r="91">
      <c r="B91" s="101"/>
      <c r="D91" s="101"/>
      <c r="F91" s="101"/>
      <c r="H91" s="101"/>
      <c r="J91" s="101"/>
      <c r="L91" s="56"/>
    </row>
    <row r="92">
      <c r="B92" s="101"/>
      <c r="D92" s="101"/>
      <c r="F92" s="101"/>
      <c r="H92" s="101"/>
      <c r="J92" s="101"/>
      <c r="L92" s="56"/>
    </row>
    <row r="93">
      <c r="B93" s="101"/>
      <c r="D93" s="101"/>
      <c r="F93" s="101"/>
      <c r="H93" s="101"/>
      <c r="J93" s="101"/>
      <c r="L93" s="56"/>
    </row>
    <row r="94">
      <c r="B94" s="101"/>
      <c r="D94" s="101"/>
      <c r="F94" s="101"/>
      <c r="H94" s="101"/>
      <c r="J94" s="101"/>
      <c r="L94" s="56"/>
    </row>
    <row r="95">
      <c r="B95" s="101"/>
      <c r="D95" s="101"/>
      <c r="F95" s="101"/>
      <c r="H95" s="101"/>
      <c r="J95" s="101"/>
      <c r="L95" s="56"/>
    </row>
    <row r="96">
      <c r="B96" s="101"/>
      <c r="D96" s="101"/>
      <c r="F96" s="101"/>
      <c r="H96" s="101"/>
      <c r="J96" s="101"/>
      <c r="L96" s="56"/>
    </row>
    <row r="97">
      <c r="B97" s="101"/>
      <c r="D97" s="101"/>
      <c r="F97" s="101"/>
      <c r="H97" s="101"/>
      <c r="J97" s="101"/>
      <c r="L97" s="56"/>
    </row>
    <row r="98">
      <c r="B98" s="101"/>
      <c r="D98" s="101"/>
      <c r="F98" s="101"/>
      <c r="H98" s="101"/>
      <c r="J98" s="101"/>
      <c r="L98" s="56"/>
    </row>
    <row r="99">
      <c r="B99" s="101"/>
      <c r="D99" s="101"/>
      <c r="F99" s="101"/>
      <c r="H99" s="101"/>
      <c r="J99" s="101"/>
      <c r="L99" s="56"/>
    </row>
    <row r="100">
      <c r="B100" s="101"/>
      <c r="D100" s="101"/>
      <c r="F100" s="101"/>
      <c r="H100" s="101"/>
      <c r="J100" s="101"/>
      <c r="L100" s="56"/>
    </row>
    <row r="101">
      <c r="B101" s="101"/>
      <c r="D101" s="101"/>
      <c r="F101" s="101"/>
      <c r="H101" s="101"/>
      <c r="J101" s="101"/>
      <c r="L101" s="56"/>
    </row>
    <row r="102">
      <c r="B102" s="101"/>
      <c r="D102" s="101"/>
      <c r="F102" s="101"/>
      <c r="H102" s="101"/>
      <c r="J102" s="101"/>
      <c r="L102" s="56"/>
    </row>
    <row r="103">
      <c r="B103" s="101"/>
      <c r="D103" s="101"/>
      <c r="F103" s="101"/>
      <c r="H103" s="101"/>
      <c r="J103" s="101"/>
      <c r="L103" s="56"/>
    </row>
    <row r="104">
      <c r="B104" s="101"/>
      <c r="D104" s="101"/>
      <c r="F104" s="101"/>
      <c r="H104" s="101"/>
      <c r="J104" s="101"/>
      <c r="L104" s="56"/>
    </row>
    <row r="105">
      <c r="B105" s="101"/>
      <c r="D105" s="101"/>
      <c r="F105" s="101"/>
      <c r="H105" s="101"/>
      <c r="J105" s="101"/>
      <c r="L105" s="56"/>
    </row>
    <row r="106">
      <c r="B106" s="101"/>
      <c r="D106" s="101"/>
      <c r="F106" s="101"/>
      <c r="H106" s="101"/>
      <c r="J106" s="101"/>
      <c r="L106" s="56"/>
    </row>
    <row r="107">
      <c r="B107" s="101"/>
      <c r="D107" s="101"/>
      <c r="F107" s="101"/>
      <c r="H107" s="101"/>
      <c r="J107" s="101"/>
      <c r="L107" s="56"/>
    </row>
    <row r="108">
      <c r="B108" s="101"/>
      <c r="D108" s="101"/>
      <c r="F108" s="101"/>
      <c r="H108" s="101"/>
      <c r="J108" s="101"/>
      <c r="L108" s="56"/>
    </row>
    <row r="109">
      <c r="B109" s="101"/>
      <c r="D109" s="101"/>
      <c r="F109" s="101"/>
      <c r="H109" s="101"/>
      <c r="J109" s="101"/>
      <c r="L109" s="56"/>
    </row>
    <row r="110">
      <c r="B110" s="101"/>
      <c r="D110" s="101"/>
      <c r="F110" s="101"/>
      <c r="H110" s="101"/>
      <c r="J110" s="101"/>
      <c r="L110" s="56"/>
    </row>
    <row r="111">
      <c r="B111" s="101"/>
      <c r="D111" s="101"/>
      <c r="F111" s="101"/>
      <c r="H111" s="101"/>
      <c r="J111" s="101"/>
      <c r="L111" s="56"/>
    </row>
    <row r="112">
      <c r="B112" s="101"/>
      <c r="D112" s="101"/>
      <c r="F112" s="101"/>
      <c r="H112" s="101"/>
      <c r="J112" s="101"/>
      <c r="L112" s="56"/>
    </row>
    <row r="113">
      <c r="B113" s="101"/>
      <c r="D113" s="101"/>
      <c r="F113" s="101"/>
      <c r="H113" s="101"/>
      <c r="J113" s="101"/>
      <c r="L113" s="56"/>
    </row>
    <row r="114">
      <c r="B114" s="101"/>
      <c r="D114" s="101"/>
      <c r="F114" s="101"/>
      <c r="H114" s="101"/>
      <c r="J114" s="101"/>
      <c r="L114" s="56"/>
    </row>
    <row r="115">
      <c r="B115" s="101"/>
      <c r="D115" s="101"/>
      <c r="F115" s="101"/>
      <c r="H115" s="101"/>
      <c r="J115" s="101"/>
      <c r="L115" s="56"/>
    </row>
    <row r="116">
      <c r="B116" s="101"/>
      <c r="D116" s="101"/>
      <c r="F116" s="101"/>
      <c r="H116" s="101"/>
      <c r="J116" s="101"/>
      <c r="L116" s="56"/>
    </row>
    <row r="117">
      <c r="B117" s="101"/>
      <c r="D117" s="101"/>
      <c r="F117" s="101"/>
      <c r="H117" s="101"/>
      <c r="J117" s="101"/>
      <c r="L117" s="56"/>
    </row>
    <row r="118">
      <c r="B118" s="101"/>
      <c r="D118" s="101"/>
      <c r="F118" s="101"/>
      <c r="H118" s="101"/>
      <c r="J118" s="101"/>
      <c r="L118" s="56"/>
    </row>
    <row r="119">
      <c r="B119" s="101"/>
      <c r="D119" s="101"/>
      <c r="F119" s="101"/>
      <c r="H119" s="101"/>
      <c r="J119" s="101"/>
      <c r="L119" s="56"/>
    </row>
    <row r="120">
      <c r="B120" s="101"/>
      <c r="D120" s="101"/>
      <c r="F120" s="101"/>
      <c r="H120" s="101"/>
      <c r="J120" s="101"/>
      <c r="L120" s="56"/>
    </row>
    <row r="121">
      <c r="B121" s="101"/>
      <c r="D121" s="101"/>
      <c r="F121" s="101"/>
      <c r="H121" s="101"/>
      <c r="J121" s="101"/>
      <c r="L121" s="56"/>
    </row>
    <row r="122">
      <c r="B122" s="101"/>
      <c r="D122" s="101"/>
      <c r="F122" s="101"/>
      <c r="H122" s="101"/>
      <c r="J122" s="101"/>
      <c r="L122" s="56"/>
    </row>
    <row r="123">
      <c r="B123" s="101"/>
      <c r="D123" s="101"/>
      <c r="F123" s="101"/>
      <c r="H123" s="101"/>
      <c r="J123" s="101"/>
      <c r="L123" s="56"/>
    </row>
    <row r="124">
      <c r="B124" s="101"/>
      <c r="D124" s="101"/>
      <c r="F124" s="101"/>
      <c r="H124" s="101"/>
      <c r="J124" s="101"/>
      <c r="L124" s="56"/>
    </row>
    <row r="125">
      <c r="B125" s="101"/>
      <c r="D125" s="101"/>
      <c r="F125" s="101"/>
      <c r="H125" s="101"/>
      <c r="J125" s="101"/>
      <c r="L125" s="56"/>
    </row>
    <row r="126">
      <c r="B126" s="101"/>
      <c r="D126" s="101"/>
      <c r="F126" s="101"/>
      <c r="H126" s="101"/>
      <c r="J126" s="101"/>
      <c r="L126" s="56"/>
    </row>
    <row r="127">
      <c r="B127" s="101"/>
      <c r="D127" s="101"/>
      <c r="F127" s="101"/>
      <c r="H127" s="101"/>
      <c r="J127" s="101"/>
      <c r="L127" s="56"/>
    </row>
    <row r="128">
      <c r="B128" s="101"/>
      <c r="D128" s="101"/>
      <c r="F128" s="101"/>
      <c r="H128" s="101"/>
      <c r="J128" s="101"/>
      <c r="L128" s="56"/>
    </row>
    <row r="129">
      <c r="B129" s="101"/>
      <c r="D129" s="101"/>
      <c r="F129" s="101"/>
      <c r="H129" s="101"/>
      <c r="J129" s="101"/>
      <c r="L129" s="56"/>
    </row>
    <row r="130">
      <c r="B130" s="101"/>
      <c r="D130" s="101"/>
      <c r="F130" s="101"/>
      <c r="H130" s="101"/>
      <c r="J130" s="101"/>
      <c r="L130" s="56"/>
    </row>
    <row r="131">
      <c r="B131" s="101"/>
      <c r="D131" s="101"/>
      <c r="F131" s="101"/>
      <c r="H131" s="101"/>
      <c r="J131" s="101"/>
      <c r="L131" s="56"/>
    </row>
    <row r="132">
      <c r="B132" s="101"/>
      <c r="D132" s="101"/>
      <c r="F132" s="101"/>
      <c r="H132" s="101"/>
      <c r="J132" s="101"/>
      <c r="L132" s="56"/>
    </row>
    <row r="133">
      <c r="B133" s="101"/>
      <c r="D133" s="101"/>
      <c r="F133" s="101"/>
      <c r="H133" s="101"/>
      <c r="J133" s="101"/>
      <c r="L133" s="56"/>
    </row>
    <row r="134">
      <c r="B134" s="101"/>
      <c r="D134" s="101"/>
      <c r="F134" s="101"/>
      <c r="H134" s="101"/>
      <c r="J134" s="101"/>
      <c r="L134" s="56"/>
    </row>
    <row r="135">
      <c r="B135" s="101"/>
      <c r="D135" s="101"/>
      <c r="F135" s="101"/>
      <c r="H135" s="101"/>
      <c r="J135" s="101"/>
      <c r="L135" s="56"/>
    </row>
    <row r="136">
      <c r="B136" s="101"/>
      <c r="D136" s="101"/>
      <c r="F136" s="101"/>
      <c r="H136" s="101"/>
      <c r="J136" s="101"/>
      <c r="L136" s="56"/>
    </row>
    <row r="137">
      <c r="B137" s="101"/>
      <c r="D137" s="101"/>
      <c r="F137" s="101"/>
      <c r="H137" s="101"/>
      <c r="J137" s="101"/>
      <c r="L137" s="56"/>
    </row>
    <row r="138">
      <c r="B138" s="101"/>
      <c r="D138" s="101"/>
      <c r="F138" s="101"/>
      <c r="H138" s="101"/>
      <c r="J138" s="101"/>
      <c r="L138" s="56"/>
    </row>
    <row r="139">
      <c r="B139" s="101"/>
      <c r="D139" s="101"/>
      <c r="F139" s="101"/>
      <c r="H139" s="101"/>
      <c r="J139" s="101"/>
      <c r="L139" s="56"/>
    </row>
    <row r="140">
      <c r="B140" s="101"/>
      <c r="D140" s="101"/>
      <c r="F140" s="101"/>
      <c r="H140" s="101"/>
      <c r="J140" s="101"/>
      <c r="L140" s="56"/>
    </row>
    <row r="141">
      <c r="B141" s="101"/>
      <c r="D141" s="101"/>
      <c r="F141" s="101"/>
      <c r="H141" s="101"/>
      <c r="J141" s="101"/>
      <c r="L141" s="56"/>
    </row>
    <row r="142">
      <c r="B142" s="101"/>
      <c r="D142" s="101"/>
      <c r="F142" s="101"/>
      <c r="H142" s="101"/>
      <c r="J142" s="101"/>
      <c r="L142" s="56"/>
    </row>
    <row r="143">
      <c r="B143" s="101"/>
      <c r="D143" s="101"/>
      <c r="F143" s="101"/>
      <c r="H143" s="101"/>
      <c r="J143" s="101"/>
      <c r="L143" s="56"/>
    </row>
    <row r="144">
      <c r="B144" s="101"/>
      <c r="D144" s="101"/>
      <c r="F144" s="101"/>
      <c r="H144" s="101"/>
      <c r="J144" s="101"/>
      <c r="L144" s="56"/>
    </row>
    <row r="145">
      <c r="B145" s="101"/>
      <c r="D145" s="101"/>
      <c r="F145" s="101"/>
      <c r="H145" s="101"/>
      <c r="J145" s="101"/>
      <c r="L145" s="56"/>
    </row>
    <row r="146">
      <c r="B146" s="101"/>
      <c r="D146" s="101"/>
      <c r="F146" s="101"/>
      <c r="H146" s="101"/>
      <c r="J146" s="101"/>
      <c r="L146" s="56"/>
    </row>
    <row r="147">
      <c r="B147" s="101"/>
      <c r="D147" s="101"/>
      <c r="F147" s="101"/>
      <c r="H147" s="101"/>
      <c r="J147" s="101"/>
      <c r="L147" s="56"/>
    </row>
    <row r="148">
      <c r="B148" s="101"/>
      <c r="D148" s="101"/>
      <c r="F148" s="101"/>
      <c r="H148" s="101"/>
      <c r="J148" s="101"/>
      <c r="L148" s="56"/>
    </row>
    <row r="149">
      <c r="B149" s="101"/>
      <c r="D149" s="101"/>
      <c r="F149" s="101"/>
      <c r="H149" s="101"/>
      <c r="J149" s="101"/>
      <c r="L149" s="56"/>
    </row>
    <row r="150">
      <c r="B150" s="101"/>
      <c r="D150" s="101"/>
      <c r="F150" s="101"/>
      <c r="H150" s="101"/>
      <c r="J150" s="101"/>
      <c r="L150" s="56"/>
    </row>
    <row r="151">
      <c r="B151" s="101"/>
      <c r="D151" s="101"/>
      <c r="F151" s="101"/>
      <c r="H151" s="101"/>
      <c r="J151" s="101"/>
      <c r="L151" s="56"/>
    </row>
    <row r="152">
      <c r="B152" s="101"/>
      <c r="D152" s="101"/>
      <c r="F152" s="101"/>
      <c r="H152" s="101"/>
      <c r="J152" s="101"/>
      <c r="L152" s="56"/>
    </row>
    <row r="153">
      <c r="B153" s="101"/>
      <c r="D153" s="101"/>
      <c r="F153" s="101"/>
      <c r="H153" s="101"/>
      <c r="J153" s="101"/>
      <c r="L153" s="56"/>
    </row>
    <row r="154">
      <c r="B154" s="101"/>
      <c r="D154" s="101"/>
      <c r="F154" s="101"/>
      <c r="H154" s="101"/>
      <c r="J154" s="101"/>
      <c r="L154" s="56"/>
    </row>
    <row r="155">
      <c r="B155" s="101"/>
      <c r="D155" s="101"/>
      <c r="F155" s="101"/>
      <c r="H155" s="101"/>
      <c r="J155" s="101"/>
      <c r="L155" s="56"/>
    </row>
    <row r="156">
      <c r="B156" s="101"/>
      <c r="D156" s="101"/>
      <c r="F156" s="101"/>
      <c r="H156" s="101"/>
      <c r="J156" s="101"/>
      <c r="L156" s="56"/>
    </row>
    <row r="157">
      <c r="B157" s="101"/>
      <c r="D157" s="101"/>
      <c r="F157" s="101"/>
      <c r="H157" s="101"/>
      <c r="J157" s="101"/>
      <c r="L157" s="56"/>
    </row>
    <row r="158">
      <c r="B158" s="101"/>
      <c r="D158" s="101"/>
      <c r="F158" s="101"/>
      <c r="H158" s="101"/>
      <c r="J158" s="101"/>
      <c r="L158" s="56"/>
    </row>
    <row r="159">
      <c r="B159" s="101"/>
      <c r="D159" s="101"/>
      <c r="F159" s="101"/>
      <c r="H159" s="101"/>
      <c r="J159" s="101"/>
      <c r="L159" s="56"/>
    </row>
    <row r="160">
      <c r="B160" s="101"/>
      <c r="D160" s="101"/>
      <c r="F160" s="101"/>
      <c r="H160" s="101"/>
      <c r="J160" s="101"/>
      <c r="L160" s="56"/>
    </row>
    <row r="161">
      <c r="B161" s="101"/>
      <c r="D161" s="101"/>
      <c r="F161" s="101"/>
      <c r="H161" s="101"/>
      <c r="J161" s="101"/>
      <c r="L161" s="56"/>
    </row>
    <row r="162">
      <c r="B162" s="101"/>
      <c r="D162" s="101"/>
      <c r="F162" s="101"/>
      <c r="H162" s="101"/>
      <c r="J162" s="101"/>
      <c r="L162" s="56"/>
    </row>
    <row r="163">
      <c r="B163" s="101"/>
      <c r="D163" s="101"/>
      <c r="F163" s="101"/>
      <c r="H163" s="101"/>
      <c r="J163" s="101"/>
      <c r="L163" s="56"/>
    </row>
    <row r="164">
      <c r="B164" s="101"/>
      <c r="D164" s="101"/>
      <c r="F164" s="101"/>
      <c r="H164" s="101"/>
      <c r="J164" s="101"/>
      <c r="L164" s="56"/>
    </row>
    <row r="165">
      <c r="B165" s="101"/>
      <c r="D165" s="101"/>
      <c r="F165" s="101"/>
      <c r="H165" s="101"/>
      <c r="J165" s="101"/>
      <c r="L165" s="56"/>
    </row>
    <row r="166">
      <c r="B166" s="101"/>
      <c r="D166" s="101"/>
      <c r="F166" s="101"/>
      <c r="H166" s="101"/>
      <c r="J166" s="101"/>
      <c r="L166" s="56"/>
    </row>
    <row r="167">
      <c r="B167" s="101"/>
      <c r="D167" s="101"/>
      <c r="F167" s="101"/>
      <c r="H167" s="101"/>
      <c r="J167" s="101"/>
      <c r="L167" s="56"/>
    </row>
    <row r="168">
      <c r="B168" s="101"/>
      <c r="D168" s="101"/>
      <c r="F168" s="101"/>
      <c r="H168" s="101"/>
      <c r="J168" s="101"/>
      <c r="L168" s="56"/>
    </row>
    <row r="169">
      <c r="B169" s="101"/>
      <c r="D169" s="101"/>
      <c r="F169" s="101"/>
      <c r="H169" s="101"/>
      <c r="J169" s="101"/>
      <c r="L169" s="56"/>
    </row>
    <row r="170">
      <c r="B170" s="101"/>
      <c r="D170" s="101"/>
      <c r="F170" s="101"/>
      <c r="H170" s="101"/>
      <c r="J170" s="101"/>
      <c r="L170" s="56"/>
    </row>
    <row r="171">
      <c r="B171" s="101"/>
      <c r="D171" s="101"/>
      <c r="F171" s="101"/>
      <c r="H171" s="101"/>
      <c r="J171" s="101"/>
      <c r="L171" s="56"/>
    </row>
    <row r="172">
      <c r="B172" s="101"/>
      <c r="D172" s="101"/>
      <c r="F172" s="101"/>
      <c r="H172" s="101"/>
      <c r="J172" s="101"/>
      <c r="L172" s="56"/>
    </row>
    <row r="173">
      <c r="B173" s="101"/>
      <c r="D173" s="101"/>
      <c r="F173" s="101"/>
      <c r="H173" s="101"/>
      <c r="J173" s="101"/>
      <c r="L173" s="56"/>
    </row>
    <row r="174">
      <c r="B174" s="101"/>
      <c r="D174" s="101"/>
      <c r="F174" s="101"/>
      <c r="H174" s="101"/>
      <c r="J174" s="101"/>
      <c r="L174" s="56"/>
    </row>
    <row r="175">
      <c r="B175" s="101"/>
      <c r="D175" s="101"/>
      <c r="F175" s="101"/>
      <c r="H175" s="101"/>
      <c r="J175" s="101"/>
      <c r="L175" s="56"/>
    </row>
    <row r="176">
      <c r="B176" s="101"/>
      <c r="D176" s="101"/>
      <c r="F176" s="101"/>
      <c r="H176" s="101"/>
      <c r="J176" s="101"/>
      <c r="L176" s="56"/>
    </row>
    <row r="177">
      <c r="B177" s="101"/>
      <c r="D177" s="101"/>
      <c r="F177" s="101"/>
      <c r="H177" s="101"/>
      <c r="J177" s="101"/>
      <c r="L177" s="56"/>
    </row>
    <row r="178">
      <c r="B178" s="101"/>
      <c r="D178" s="101"/>
      <c r="F178" s="101"/>
      <c r="H178" s="101"/>
      <c r="J178" s="101"/>
      <c r="L178" s="56"/>
    </row>
    <row r="179">
      <c r="B179" s="101"/>
      <c r="D179" s="101"/>
      <c r="F179" s="101"/>
      <c r="H179" s="101"/>
      <c r="J179" s="101"/>
      <c r="L179" s="56"/>
    </row>
    <row r="180">
      <c r="B180" s="101"/>
      <c r="D180" s="101"/>
      <c r="F180" s="101"/>
      <c r="H180" s="101"/>
      <c r="J180" s="101"/>
      <c r="L180" s="56"/>
    </row>
    <row r="181">
      <c r="B181" s="101"/>
      <c r="D181" s="101"/>
      <c r="F181" s="101"/>
      <c r="H181" s="101"/>
      <c r="J181" s="101"/>
      <c r="L181" s="56"/>
    </row>
    <row r="182">
      <c r="B182" s="101"/>
      <c r="D182" s="101"/>
      <c r="F182" s="101"/>
      <c r="H182" s="101"/>
      <c r="J182" s="101"/>
      <c r="L182" s="56"/>
    </row>
    <row r="183">
      <c r="B183" s="101"/>
      <c r="D183" s="101"/>
      <c r="F183" s="101"/>
      <c r="H183" s="101"/>
      <c r="J183" s="101"/>
      <c r="L183" s="56"/>
    </row>
    <row r="184">
      <c r="B184" s="101"/>
      <c r="D184" s="101"/>
      <c r="F184" s="101"/>
      <c r="H184" s="101"/>
      <c r="J184" s="101"/>
      <c r="L184" s="56"/>
    </row>
    <row r="185">
      <c r="B185" s="101"/>
      <c r="D185" s="101"/>
      <c r="F185" s="101"/>
      <c r="H185" s="101"/>
      <c r="J185" s="101"/>
      <c r="L185" s="56"/>
    </row>
    <row r="186">
      <c r="B186" s="101"/>
      <c r="D186" s="101"/>
      <c r="F186" s="101"/>
      <c r="H186" s="101"/>
      <c r="J186" s="101"/>
      <c r="L186" s="56"/>
    </row>
    <row r="187">
      <c r="B187" s="101"/>
      <c r="D187" s="101"/>
      <c r="F187" s="101"/>
      <c r="H187" s="101"/>
      <c r="J187" s="101"/>
      <c r="L187" s="56"/>
    </row>
    <row r="188">
      <c r="B188" s="101"/>
      <c r="D188" s="101"/>
      <c r="F188" s="101"/>
      <c r="H188" s="101"/>
      <c r="J188" s="101"/>
      <c r="L188" s="56"/>
    </row>
    <row r="189">
      <c r="B189" s="101"/>
      <c r="D189" s="101"/>
      <c r="F189" s="101"/>
      <c r="H189" s="101"/>
      <c r="J189" s="101"/>
      <c r="L189" s="56"/>
    </row>
    <row r="190">
      <c r="B190" s="101"/>
      <c r="D190" s="101"/>
      <c r="F190" s="101"/>
      <c r="H190" s="101"/>
      <c r="J190" s="101"/>
      <c r="L190" s="56"/>
    </row>
    <row r="191">
      <c r="B191" s="101"/>
      <c r="D191" s="101"/>
      <c r="F191" s="101"/>
      <c r="H191" s="101"/>
      <c r="J191" s="101"/>
      <c r="L191" s="56"/>
    </row>
    <row r="192">
      <c r="B192" s="101"/>
      <c r="D192" s="101"/>
      <c r="F192" s="101"/>
      <c r="H192" s="101"/>
      <c r="J192" s="101"/>
      <c r="L192" s="56"/>
    </row>
    <row r="193">
      <c r="B193" s="101"/>
      <c r="D193" s="101"/>
      <c r="F193" s="101"/>
      <c r="H193" s="101"/>
      <c r="J193" s="101"/>
      <c r="L193" s="56"/>
    </row>
    <row r="194">
      <c r="B194" s="101"/>
      <c r="D194" s="101"/>
      <c r="F194" s="101"/>
      <c r="H194" s="101"/>
      <c r="J194" s="101"/>
      <c r="L194" s="56"/>
    </row>
    <row r="195">
      <c r="B195" s="101"/>
      <c r="D195" s="101"/>
      <c r="F195" s="101"/>
      <c r="H195" s="101"/>
      <c r="J195" s="101"/>
      <c r="L195" s="56"/>
    </row>
    <row r="196">
      <c r="B196" s="101"/>
      <c r="D196" s="101"/>
      <c r="F196" s="101"/>
      <c r="H196" s="101"/>
      <c r="J196" s="101"/>
      <c r="L196" s="56"/>
    </row>
    <row r="197">
      <c r="B197" s="101"/>
      <c r="D197" s="101"/>
      <c r="F197" s="101"/>
      <c r="H197" s="101"/>
      <c r="J197" s="101"/>
      <c r="L197" s="56"/>
    </row>
    <row r="198">
      <c r="B198" s="101"/>
      <c r="D198" s="101"/>
      <c r="F198" s="101"/>
      <c r="H198" s="101"/>
      <c r="J198" s="101"/>
      <c r="L198" s="56"/>
    </row>
    <row r="199">
      <c r="B199" s="101"/>
      <c r="D199" s="101"/>
      <c r="F199" s="101"/>
      <c r="H199" s="101"/>
      <c r="J199" s="101"/>
      <c r="L199" s="56"/>
    </row>
    <row r="200">
      <c r="B200" s="101"/>
      <c r="D200" s="101"/>
      <c r="F200" s="101"/>
      <c r="H200" s="101"/>
      <c r="J200" s="101"/>
      <c r="L200" s="56"/>
    </row>
    <row r="201">
      <c r="B201" s="101"/>
      <c r="D201" s="101"/>
      <c r="F201" s="101"/>
      <c r="H201" s="101"/>
      <c r="J201" s="101"/>
      <c r="L201" s="56"/>
    </row>
    <row r="202">
      <c r="B202" s="101"/>
      <c r="D202" s="101"/>
      <c r="F202" s="101"/>
      <c r="H202" s="101"/>
      <c r="J202" s="101"/>
      <c r="L202" s="56"/>
    </row>
    <row r="203">
      <c r="B203" s="101"/>
      <c r="D203" s="101"/>
      <c r="F203" s="101"/>
      <c r="H203" s="101"/>
      <c r="J203" s="101"/>
      <c r="L203" s="56"/>
    </row>
    <row r="204">
      <c r="B204" s="101"/>
      <c r="D204" s="101"/>
      <c r="F204" s="101"/>
      <c r="H204" s="101"/>
      <c r="J204" s="101"/>
      <c r="L204" s="56"/>
    </row>
    <row r="205">
      <c r="B205" s="101"/>
      <c r="D205" s="101"/>
      <c r="F205" s="101"/>
      <c r="H205" s="101"/>
      <c r="J205" s="101"/>
      <c r="L205" s="56"/>
    </row>
    <row r="206">
      <c r="B206" s="101"/>
      <c r="D206" s="101"/>
      <c r="F206" s="101"/>
      <c r="H206" s="101"/>
      <c r="J206" s="101"/>
      <c r="L206" s="56"/>
    </row>
    <row r="207">
      <c r="B207" s="101"/>
      <c r="D207" s="101"/>
      <c r="F207" s="101"/>
      <c r="H207" s="101"/>
      <c r="J207" s="101"/>
      <c r="L207" s="56"/>
    </row>
    <row r="208">
      <c r="B208" s="101"/>
      <c r="D208" s="101"/>
      <c r="F208" s="101"/>
      <c r="H208" s="101"/>
      <c r="J208" s="101"/>
      <c r="L208" s="56"/>
    </row>
    <row r="209">
      <c r="B209" s="101"/>
      <c r="D209" s="101"/>
      <c r="F209" s="101"/>
      <c r="H209" s="101"/>
      <c r="J209" s="101"/>
      <c r="L209" s="56"/>
    </row>
    <row r="210">
      <c r="B210" s="101"/>
      <c r="D210" s="101"/>
      <c r="F210" s="101"/>
      <c r="H210" s="101"/>
      <c r="J210" s="101"/>
      <c r="L210" s="56"/>
    </row>
    <row r="211">
      <c r="B211" s="101"/>
      <c r="D211" s="101"/>
      <c r="F211" s="101"/>
      <c r="H211" s="101"/>
      <c r="J211" s="101"/>
      <c r="L211" s="56"/>
    </row>
    <row r="212">
      <c r="B212" s="101"/>
      <c r="D212" s="101"/>
      <c r="F212" s="101"/>
      <c r="H212" s="101"/>
      <c r="J212" s="101"/>
      <c r="L212" s="56"/>
    </row>
    <row r="213">
      <c r="B213" s="101"/>
      <c r="D213" s="101"/>
      <c r="F213" s="101"/>
      <c r="H213" s="101"/>
      <c r="J213" s="101"/>
      <c r="L213" s="56"/>
    </row>
    <row r="214">
      <c r="B214" s="101"/>
      <c r="D214" s="101"/>
      <c r="F214" s="101"/>
      <c r="H214" s="101"/>
      <c r="J214" s="101"/>
      <c r="L214" s="56"/>
    </row>
    <row r="215">
      <c r="B215" s="101"/>
      <c r="D215" s="101"/>
      <c r="F215" s="101"/>
      <c r="H215" s="101"/>
      <c r="J215" s="101"/>
      <c r="L215" s="56"/>
    </row>
    <row r="216">
      <c r="B216" s="101"/>
      <c r="D216" s="101"/>
      <c r="F216" s="101"/>
      <c r="H216" s="101"/>
      <c r="J216" s="101"/>
      <c r="L216" s="56"/>
    </row>
    <row r="217">
      <c r="B217" s="101"/>
      <c r="D217" s="101"/>
      <c r="F217" s="101"/>
      <c r="H217" s="101"/>
      <c r="J217" s="101"/>
      <c r="L217" s="56"/>
    </row>
    <row r="218">
      <c r="B218" s="101"/>
      <c r="D218" s="101"/>
      <c r="F218" s="101"/>
      <c r="H218" s="101"/>
      <c r="J218" s="101"/>
      <c r="L218" s="56"/>
    </row>
    <row r="219">
      <c r="B219" s="101"/>
      <c r="D219" s="101"/>
      <c r="F219" s="101"/>
      <c r="H219" s="101"/>
      <c r="J219" s="101"/>
      <c r="L219" s="56"/>
    </row>
    <row r="220">
      <c r="B220" s="101"/>
      <c r="D220" s="101"/>
      <c r="F220" s="101"/>
      <c r="H220" s="101"/>
      <c r="J220" s="101"/>
      <c r="L220" s="56"/>
    </row>
    <row r="221">
      <c r="B221" s="101"/>
      <c r="D221" s="101"/>
      <c r="F221" s="101"/>
      <c r="H221" s="101"/>
      <c r="J221" s="101"/>
      <c r="L221" s="56"/>
    </row>
    <row r="222">
      <c r="B222" s="101"/>
      <c r="D222" s="101"/>
      <c r="F222" s="101"/>
      <c r="H222" s="101"/>
      <c r="J222" s="101"/>
      <c r="L222" s="56"/>
    </row>
    <row r="223">
      <c r="B223" s="101"/>
      <c r="D223" s="101"/>
      <c r="F223" s="101"/>
      <c r="H223" s="101"/>
      <c r="J223" s="101"/>
      <c r="L223" s="56"/>
    </row>
    <row r="224">
      <c r="B224" s="101"/>
      <c r="D224" s="101"/>
      <c r="F224" s="101"/>
      <c r="H224" s="101"/>
      <c r="J224" s="101"/>
      <c r="L224" s="56"/>
    </row>
    <row r="225">
      <c r="B225" s="101"/>
      <c r="D225" s="101"/>
      <c r="F225" s="101"/>
      <c r="H225" s="101"/>
      <c r="J225" s="101"/>
      <c r="L225" s="56"/>
    </row>
    <row r="226">
      <c r="B226" s="101"/>
      <c r="D226" s="101"/>
      <c r="F226" s="101"/>
      <c r="H226" s="101"/>
      <c r="J226" s="101"/>
      <c r="L226" s="56"/>
    </row>
    <row r="227">
      <c r="B227" s="101"/>
      <c r="D227" s="101"/>
      <c r="F227" s="101"/>
      <c r="H227" s="101"/>
      <c r="J227" s="101"/>
      <c r="L227" s="56"/>
    </row>
    <row r="228">
      <c r="B228" s="101"/>
      <c r="D228" s="101"/>
      <c r="F228" s="101"/>
      <c r="H228" s="101"/>
      <c r="J228" s="101"/>
      <c r="L228" s="56"/>
    </row>
    <row r="229">
      <c r="B229" s="101"/>
      <c r="D229" s="101"/>
      <c r="F229" s="101"/>
      <c r="H229" s="101"/>
      <c r="J229" s="101"/>
      <c r="L229" s="56"/>
    </row>
    <row r="230">
      <c r="B230" s="101"/>
      <c r="D230" s="101"/>
      <c r="F230" s="101"/>
      <c r="H230" s="101"/>
      <c r="J230" s="101"/>
      <c r="L230" s="56"/>
    </row>
    <row r="231">
      <c r="B231" s="101"/>
      <c r="D231" s="101"/>
      <c r="F231" s="101"/>
      <c r="H231" s="101"/>
      <c r="J231" s="101"/>
      <c r="L231" s="56"/>
    </row>
    <row r="232">
      <c r="B232" s="101"/>
      <c r="D232" s="101"/>
      <c r="F232" s="101"/>
      <c r="H232" s="101"/>
      <c r="J232" s="101"/>
      <c r="L232" s="56"/>
    </row>
    <row r="233">
      <c r="B233" s="101"/>
      <c r="D233" s="101"/>
      <c r="F233" s="101"/>
      <c r="H233" s="101"/>
      <c r="J233" s="101"/>
      <c r="L233" s="56"/>
    </row>
    <row r="234">
      <c r="B234" s="101"/>
      <c r="D234" s="101"/>
      <c r="F234" s="101"/>
      <c r="H234" s="101"/>
      <c r="J234" s="101"/>
      <c r="L234" s="56"/>
    </row>
    <row r="235">
      <c r="B235" s="101"/>
      <c r="D235" s="101"/>
      <c r="F235" s="101"/>
      <c r="H235" s="101"/>
      <c r="J235" s="101"/>
      <c r="L235" s="56"/>
    </row>
    <row r="236">
      <c r="B236" s="101"/>
      <c r="D236" s="101"/>
      <c r="F236" s="101"/>
      <c r="H236" s="101"/>
      <c r="J236" s="101"/>
      <c r="L236" s="56"/>
    </row>
    <row r="237">
      <c r="B237" s="101"/>
      <c r="D237" s="101"/>
      <c r="F237" s="101"/>
      <c r="H237" s="101"/>
      <c r="J237" s="101"/>
      <c r="L237" s="56"/>
    </row>
    <row r="238">
      <c r="B238" s="101"/>
      <c r="D238" s="101"/>
      <c r="F238" s="101"/>
      <c r="H238" s="101"/>
      <c r="J238" s="101"/>
      <c r="L238" s="56"/>
    </row>
    <row r="239">
      <c r="B239" s="101"/>
      <c r="D239" s="101"/>
      <c r="F239" s="101"/>
      <c r="H239" s="101"/>
      <c r="J239" s="101"/>
      <c r="L239" s="56"/>
    </row>
    <row r="240">
      <c r="B240" s="101"/>
      <c r="D240" s="101"/>
      <c r="F240" s="101"/>
      <c r="H240" s="101"/>
      <c r="J240" s="101"/>
      <c r="L240" s="56"/>
    </row>
    <row r="241">
      <c r="B241" s="101"/>
      <c r="D241" s="101"/>
      <c r="F241" s="101"/>
      <c r="H241" s="101"/>
      <c r="J241" s="101"/>
      <c r="L241" s="56"/>
    </row>
    <row r="242">
      <c r="B242" s="101"/>
      <c r="D242" s="101"/>
      <c r="F242" s="101"/>
      <c r="H242" s="101"/>
      <c r="J242" s="101"/>
      <c r="L242" s="56"/>
    </row>
    <row r="243">
      <c r="B243" s="101"/>
      <c r="D243" s="101"/>
      <c r="F243" s="101"/>
      <c r="H243" s="101"/>
      <c r="J243" s="101"/>
      <c r="L243" s="56"/>
    </row>
    <row r="244">
      <c r="B244" s="101"/>
      <c r="D244" s="101"/>
      <c r="F244" s="101"/>
      <c r="H244" s="101"/>
      <c r="J244" s="101"/>
      <c r="L244" s="56"/>
    </row>
    <row r="245">
      <c r="B245" s="101"/>
      <c r="D245" s="101"/>
      <c r="F245" s="101"/>
      <c r="H245" s="101"/>
      <c r="J245" s="101"/>
      <c r="L245" s="56"/>
    </row>
    <row r="246">
      <c r="B246" s="101"/>
      <c r="D246" s="101"/>
      <c r="F246" s="101"/>
      <c r="H246" s="101"/>
      <c r="J246" s="101"/>
      <c r="L246" s="56"/>
    </row>
    <row r="247">
      <c r="B247" s="101"/>
      <c r="D247" s="101"/>
      <c r="F247" s="101"/>
      <c r="H247" s="101"/>
      <c r="J247" s="101"/>
      <c r="L247" s="56"/>
    </row>
    <row r="248">
      <c r="B248" s="101"/>
      <c r="D248" s="101"/>
      <c r="F248" s="101"/>
      <c r="H248" s="101"/>
      <c r="J248" s="101"/>
      <c r="L248" s="56"/>
    </row>
    <row r="249">
      <c r="B249" s="101"/>
      <c r="D249" s="101"/>
      <c r="F249" s="101"/>
      <c r="H249" s="101"/>
      <c r="J249" s="101"/>
      <c r="L249" s="56"/>
    </row>
    <row r="250">
      <c r="B250" s="101"/>
      <c r="D250" s="101"/>
      <c r="F250" s="101"/>
      <c r="H250" s="101"/>
      <c r="J250" s="101"/>
      <c r="L250" s="56"/>
    </row>
    <row r="251">
      <c r="B251" s="101"/>
      <c r="D251" s="101"/>
      <c r="F251" s="101"/>
      <c r="H251" s="101"/>
      <c r="J251" s="101"/>
      <c r="L251" s="56"/>
    </row>
    <row r="252">
      <c r="B252" s="101"/>
      <c r="D252" s="101"/>
      <c r="F252" s="101"/>
      <c r="H252" s="101"/>
      <c r="J252" s="101"/>
      <c r="L252" s="56"/>
    </row>
    <row r="253">
      <c r="B253" s="101"/>
      <c r="D253" s="101"/>
      <c r="F253" s="101"/>
      <c r="H253" s="101"/>
      <c r="J253" s="101"/>
      <c r="L253" s="56"/>
    </row>
    <row r="254">
      <c r="B254" s="101"/>
      <c r="D254" s="101"/>
      <c r="F254" s="101"/>
      <c r="H254" s="101"/>
      <c r="J254" s="101"/>
      <c r="L254" s="56"/>
    </row>
    <row r="255">
      <c r="B255" s="101"/>
      <c r="D255" s="101"/>
      <c r="F255" s="101"/>
      <c r="H255" s="101"/>
      <c r="J255" s="101"/>
      <c r="L255" s="56"/>
    </row>
    <row r="256">
      <c r="B256" s="101"/>
      <c r="D256" s="101"/>
      <c r="F256" s="101"/>
      <c r="H256" s="101"/>
      <c r="J256" s="101"/>
      <c r="L256" s="56"/>
    </row>
    <row r="257">
      <c r="B257" s="101"/>
      <c r="D257" s="101"/>
      <c r="F257" s="101"/>
      <c r="H257" s="101"/>
      <c r="J257" s="101"/>
      <c r="L257" s="56"/>
    </row>
    <row r="258">
      <c r="B258" s="101"/>
      <c r="D258" s="101"/>
      <c r="F258" s="101"/>
      <c r="H258" s="101"/>
      <c r="J258" s="101"/>
      <c r="L258" s="56"/>
    </row>
    <row r="259">
      <c r="B259" s="101"/>
      <c r="D259" s="101"/>
      <c r="F259" s="101"/>
      <c r="H259" s="101"/>
      <c r="J259" s="101"/>
      <c r="L259" s="56"/>
    </row>
    <row r="260">
      <c r="B260" s="101"/>
      <c r="D260" s="101"/>
      <c r="F260" s="101"/>
      <c r="H260" s="101"/>
      <c r="J260" s="101"/>
      <c r="L260" s="56"/>
    </row>
    <row r="261">
      <c r="B261" s="101"/>
      <c r="D261" s="101"/>
      <c r="F261" s="101"/>
      <c r="H261" s="101"/>
      <c r="J261" s="101"/>
      <c r="L261" s="56"/>
    </row>
    <row r="262">
      <c r="B262" s="101"/>
      <c r="D262" s="101"/>
      <c r="F262" s="101"/>
      <c r="H262" s="101"/>
      <c r="J262" s="101"/>
      <c r="L262" s="56"/>
    </row>
    <row r="263">
      <c r="B263" s="101"/>
      <c r="D263" s="101"/>
      <c r="F263" s="101"/>
      <c r="H263" s="101"/>
      <c r="J263" s="101"/>
      <c r="L263" s="56"/>
    </row>
    <row r="264">
      <c r="B264" s="101"/>
      <c r="D264" s="101"/>
      <c r="F264" s="101"/>
      <c r="H264" s="101"/>
      <c r="J264" s="101"/>
      <c r="L264" s="56"/>
    </row>
    <row r="265">
      <c r="B265" s="101"/>
      <c r="D265" s="101"/>
      <c r="F265" s="101"/>
      <c r="H265" s="101"/>
      <c r="J265" s="101"/>
      <c r="L265" s="56"/>
    </row>
    <row r="266">
      <c r="B266" s="101"/>
      <c r="D266" s="101"/>
      <c r="F266" s="101"/>
      <c r="H266" s="101"/>
      <c r="J266" s="101"/>
      <c r="L266" s="56"/>
    </row>
    <row r="267">
      <c r="B267" s="101"/>
      <c r="D267" s="101"/>
      <c r="F267" s="101"/>
      <c r="H267" s="101"/>
      <c r="J267" s="101"/>
      <c r="L267" s="56"/>
    </row>
    <row r="268">
      <c r="B268" s="101"/>
      <c r="D268" s="101"/>
      <c r="F268" s="101"/>
      <c r="H268" s="101"/>
      <c r="J268" s="101"/>
      <c r="L268" s="56"/>
    </row>
    <row r="269">
      <c r="B269" s="101"/>
      <c r="D269" s="101"/>
      <c r="F269" s="101"/>
      <c r="H269" s="101"/>
      <c r="J269" s="101"/>
      <c r="L269" s="56"/>
    </row>
    <row r="270">
      <c r="B270" s="101"/>
      <c r="D270" s="101"/>
      <c r="F270" s="101"/>
      <c r="H270" s="101"/>
      <c r="J270" s="101"/>
      <c r="L270" s="56"/>
    </row>
    <row r="271">
      <c r="B271" s="101"/>
      <c r="D271" s="101"/>
      <c r="F271" s="101"/>
      <c r="H271" s="101"/>
      <c r="J271" s="101"/>
      <c r="L271" s="56"/>
    </row>
    <row r="272">
      <c r="B272" s="101"/>
      <c r="D272" s="101"/>
      <c r="F272" s="101"/>
      <c r="H272" s="101"/>
      <c r="J272" s="101"/>
      <c r="L272" s="56"/>
    </row>
    <row r="273">
      <c r="B273" s="101"/>
      <c r="D273" s="101"/>
      <c r="F273" s="101"/>
      <c r="H273" s="101"/>
      <c r="J273" s="101"/>
      <c r="L273" s="56"/>
    </row>
    <row r="274">
      <c r="B274" s="101"/>
      <c r="D274" s="101"/>
      <c r="F274" s="101"/>
      <c r="H274" s="101"/>
      <c r="J274" s="101"/>
      <c r="L274" s="56"/>
    </row>
    <row r="275">
      <c r="B275" s="101"/>
      <c r="D275" s="101"/>
      <c r="F275" s="101"/>
      <c r="H275" s="101"/>
      <c r="J275" s="101"/>
      <c r="L275" s="56"/>
    </row>
    <row r="276">
      <c r="B276" s="101"/>
      <c r="D276" s="101"/>
      <c r="F276" s="101"/>
      <c r="H276" s="101"/>
      <c r="J276" s="101"/>
      <c r="L276" s="56"/>
    </row>
    <row r="277">
      <c r="B277" s="101"/>
      <c r="D277" s="101"/>
      <c r="F277" s="101"/>
      <c r="H277" s="101"/>
      <c r="J277" s="101"/>
      <c r="L277" s="56"/>
    </row>
    <row r="278">
      <c r="B278" s="101"/>
      <c r="D278" s="101"/>
      <c r="F278" s="101"/>
      <c r="H278" s="101"/>
      <c r="J278" s="101"/>
      <c r="L278" s="56"/>
    </row>
    <row r="279">
      <c r="B279" s="101"/>
      <c r="D279" s="101"/>
      <c r="F279" s="101"/>
      <c r="H279" s="101"/>
      <c r="J279" s="101"/>
      <c r="L279" s="56"/>
    </row>
    <row r="280">
      <c r="B280" s="101"/>
      <c r="D280" s="101"/>
      <c r="F280" s="101"/>
      <c r="H280" s="101"/>
      <c r="J280" s="101"/>
      <c r="L280" s="56"/>
    </row>
    <row r="281">
      <c r="B281" s="101"/>
      <c r="D281" s="101"/>
      <c r="F281" s="101"/>
      <c r="H281" s="101"/>
      <c r="J281" s="101"/>
      <c r="L281" s="56"/>
    </row>
    <row r="282">
      <c r="B282" s="101"/>
      <c r="D282" s="101"/>
      <c r="F282" s="101"/>
      <c r="H282" s="101"/>
      <c r="J282" s="101"/>
      <c r="L282" s="56"/>
    </row>
    <row r="283">
      <c r="B283" s="101"/>
      <c r="D283" s="101"/>
      <c r="F283" s="101"/>
      <c r="H283" s="101"/>
      <c r="J283" s="101"/>
      <c r="L283" s="56"/>
    </row>
    <row r="284">
      <c r="B284" s="101"/>
      <c r="D284" s="101"/>
      <c r="F284" s="101"/>
      <c r="H284" s="101"/>
      <c r="J284" s="101"/>
      <c r="L284" s="56"/>
    </row>
    <row r="285">
      <c r="B285" s="101"/>
      <c r="D285" s="101"/>
      <c r="F285" s="101"/>
      <c r="H285" s="101"/>
      <c r="J285" s="101"/>
      <c r="L285" s="56"/>
    </row>
    <row r="286">
      <c r="B286" s="101"/>
      <c r="D286" s="101"/>
      <c r="F286" s="101"/>
      <c r="H286" s="101"/>
      <c r="J286" s="101"/>
      <c r="L286" s="56"/>
    </row>
    <row r="287">
      <c r="B287" s="101"/>
      <c r="D287" s="101"/>
      <c r="F287" s="101"/>
      <c r="H287" s="101"/>
      <c r="J287" s="101"/>
      <c r="L287" s="56"/>
    </row>
    <row r="288">
      <c r="B288" s="101"/>
      <c r="D288" s="101"/>
      <c r="F288" s="101"/>
      <c r="H288" s="101"/>
      <c r="J288" s="101"/>
      <c r="L288" s="56"/>
    </row>
    <row r="289">
      <c r="B289" s="101"/>
      <c r="D289" s="101"/>
      <c r="F289" s="101"/>
      <c r="H289" s="101"/>
      <c r="J289" s="101"/>
      <c r="L289" s="56"/>
    </row>
    <row r="290">
      <c r="B290" s="101"/>
      <c r="D290" s="101"/>
      <c r="F290" s="101"/>
      <c r="H290" s="101"/>
      <c r="J290" s="101"/>
      <c r="L290" s="56"/>
    </row>
    <row r="291">
      <c r="B291" s="101"/>
      <c r="D291" s="101"/>
      <c r="F291" s="101"/>
      <c r="H291" s="101"/>
      <c r="J291" s="101"/>
      <c r="L291" s="56"/>
    </row>
    <row r="292">
      <c r="B292" s="101"/>
      <c r="D292" s="101"/>
      <c r="F292" s="101"/>
      <c r="H292" s="101"/>
      <c r="J292" s="101"/>
      <c r="L292" s="56"/>
    </row>
    <row r="293">
      <c r="B293" s="101"/>
      <c r="D293" s="101"/>
      <c r="F293" s="101"/>
      <c r="H293" s="101"/>
      <c r="J293" s="101"/>
      <c r="L293" s="56"/>
    </row>
    <row r="294">
      <c r="B294" s="101"/>
      <c r="D294" s="101"/>
      <c r="F294" s="101"/>
      <c r="H294" s="101"/>
      <c r="J294" s="101"/>
      <c r="L294" s="56"/>
    </row>
    <row r="295">
      <c r="B295" s="101"/>
      <c r="D295" s="101"/>
      <c r="F295" s="101"/>
      <c r="H295" s="101"/>
      <c r="J295" s="101"/>
      <c r="L295" s="56"/>
    </row>
    <row r="296">
      <c r="B296" s="101"/>
      <c r="D296" s="101"/>
      <c r="F296" s="101"/>
      <c r="H296" s="101"/>
      <c r="J296" s="101"/>
      <c r="L296" s="56"/>
    </row>
    <row r="297">
      <c r="B297" s="101"/>
      <c r="D297" s="101"/>
      <c r="F297" s="101"/>
      <c r="H297" s="101"/>
      <c r="J297" s="101"/>
      <c r="L297" s="56"/>
    </row>
    <row r="298">
      <c r="B298" s="101"/>
      <c r="D298" s="101"/>
      <c r="F298" s="101"/>
      <c r="H298" s="101"/>
      <c r="J298" s="101"/>
      <c r="L298" s="56"/>
    </row>
    <row r="299">
      <c r="B299" s="101"/>
      <c r="D299" s="101"/>
      <c r="F299" s="101"/>
      <c r="H299" s="101"/>
      <c r="J299" s="101"/>
      <c r="L299" s="56"/>
    </row>
    <row r="300">
      <c r="B300" s="101"/>
      <c r="D300" s="101"/>
      <c r="F300" s="101"/>
      <c r="H300" s="101"/>
      <c r="J300" s="101"/>
      <c r="L300" s="56"/>
    </row>
    <row r="301">
      <c r="B301" s="101"/>
      <c r="D301" s="101"/>
      <c r="F301" s="101"/>
      <c r="H301" s="101"/>
      <c r="J301" s="101"/>
      <c r="L301" s="56"/>
    </row>
    <row r="302">
      <c r="B302" s="101"/>
      <c r="D302" s="101"/>
      <c r="F302" s="101"/>
      <c r="H302" s="101"/>
      <c r="J302" s="101"/>
      <c r="L302" s="56"/>
    </row>
    <row r="303">
      <c r="B303" s="101"/>
      <c r="D303" s="101"/>
      <c r="F303" s="101"/>
      <c r="H303" s="101"/>
      <c r="J303" s="101"/>
      <c r="L303" s="56"/>
    </row>
    <row r="304">
      <c r="B304" s="101"/>
      <c r="D304" s="101"/>
      <c r="F304" s="101"/>
      <c r="H304" s="101"/>
      <c r="J304" s="101"/>
      <c r="L304" s="56"/>
    </row>
    <row r="305">
      <c r="B305" s="101"/>
      <c r="D305" s="101"/>
      <c r="F305" s="101"/>
      <c r="H305" s="101"/>
      <c r="J305" s="101"/>
      <c r="L305" s="56"/>
    </row>
    <row r="306">
      <c r="B306" s="101"/>
      <c r="D306" s="101"/>
      <c r="F306" s="101"/>
      <c r="H306" s="101"/>
      <c r="J306" s="101"/>
      <c r="L306" s="56"/>
    </row>
    <row r="307">
      <c r="B307" s="101"/>
      <c r="D307" s="101"/>
      <c r="F307" s="101"/>
      <c r="H307" s="101"/>
      <c r="J307" s="101"/>
      <c r="L307" s="56"/>
    </row>
    <row r="308">
      <c r="B308" s="101"/>
      <c r="D308" s="101"/>
      <c r="F308" s="101"/>
      <c r="H308" s="101"/>
      <c r="J308" s="101"/>
      <c r="L308" s="56"/>
    </row>
    <row r="309">
      <c r="B309" s="101"/>
      <c r="D309" s="101"/>
      <c r="F309" s="101"/>
      <c r="H309" s="101"/>
      <c r="J309" s="101"/>
      <c r="L309" s="56"/>
    </row>
    <row r="310">
      <c r="B310" s="101"/>
      <c r="D310" s="101"/>
      <c r="F310" s="101"/>
      <c r="H310" s="101"/>
      <c r="J310" s="101"/>
      <c r="L310" s="56"/>
    </row>
    <row r="311">
      <c r="B311" s="101"/>
      <c r="D311" s="101"/>
      <c r="F311" s="101"/>
      <c r="H311" s="101"/>
      <c r="J311" s="101"/>
      <c r="L311" s="56"/>
    </row>
    <row r="312">
      <c r="B312" s="101"/>
      <c r="D312" s="101"/>
      <c r="F312" s="101"/>
      <c r="H312" s="101"/>
      <c r="J312" s="101"/>
      <c r="L312" s="56"/>
    </row>
    <row r="313">
      <c r="B313" s="101"/>
      <c r="D313" s="101"/>
      <c r="F313" s="101"/>
      <c r="H313" s="101"/>
      <c r="J313" s="101"/>
      <c r="L313" s="56"/>
    </row>
    <row r="314">
      <c r="B314" s="101"/>
      <c r="D314" s="101"/>
      <c r="F314" s="101"/>
      <c r="H314" s="101"/>
      <c r="J314" s="101"/>
      <c r="L314" s="56"/>
    </row>
    <row r="315">
      <c r="B315" s="101"/>
      <c r="D315" s="101"/>
      <c r="F315" s="101"/>
      <c r="H315" s="101"/>
      <c r="J315" s="101"/>
      <c r="L315" s="56"/>
    </row>
    <row r="316">
      <c r="B316" s="101"/>
      <c r="D316" s="101"/>
      <c r="F316" s="101"/>
      <c r="H316" s="101"/>
      <c r="J316" s="101"/>
      <c r="L316" s="56"/>
    </row>
    <row r="317">
      <c r="B317" s="101"/>
      <c r="D317" s="101"/>
      <c r="F317" s="101"/>
      <c r="H317" s="101"/>
      <c r="J317" s="101"/>
      <c r="L317" s="56"/>
    </row>
    <row r="318">
      <c r="B318" s="101"/>
      <c r="D318" s="101"/>
      <c r="F318" s="101"/>
      <c r="H318" s="101"/>
      <c r="J318" s="101"/>
      <c r="L318" s="56"/>
    </row>
    <row r="319">
      <c r="B319" s="101"/>
      <c r="D319" s="101"/>
      <c r="F319" s="101"/>
      <c r="H319" s="101"/>
      <c r="J319" s="101"/>
      <c r="L319" s="56"/>
    </row>
    <row r="320">
      <c r="B320" s="101"/>
      <c r="D320" s="101"/>
      <c r="F320" s="101"/>
      <c r="H320" s="101"/>
      <c r="J320" s="101"/>
      <c r="L320" s="56"/>
    </row>
    <row r="321">
      <c r="B321" s="101"/>
      <c r="D321" s="101"/>
      <c r="F321" s="101"/>
      <c r="H321" s="101"/>
      <c r="J321" s="101"/>
      <c r="L321" s="56"/>
    </row>
    <row r="322">
      <c r="B322" s="101"/>
      <c r="D322" s="101"/>
      <c r="F322" s="101"/>
      <c r="H322" s="101"/>
      <c r="J322" s="101"/>
      <c r="L322" s="56"/>
    </row>
    <row r="323">
      <c r="B323" s="101"/>
      <c r="D323" s="101"/>
      <c r="F323" s="101"/>
      <c r="H323" s="101"/>
      <c r="J323" s="101"/>
      <c r="L323" s="56"/>
    </row>
    <row r="324">
      <c r="B324" s="101"/>
      <c r="D324" s="101"/>
      <c r="F324" s="101"/>
      <c r="H324" s="101"/>
      <c r="J324" s="101"/>
      <c r="L324" s="56"/>
    </row>
    <row r="325">
      <c r="B325" s="101"/>
      <c r="D325" s="101"/>
      <c r="F325" s="101"/>
      <c r="H325" s="101"/>
      <c r="J325" s="101"/>
      <c r="L325" s="56"/>
    </row>
    <row r="326">
      <c r="B326" s="101"/>
      <c r="D326" s="101"/>
      <c r="F326" s="101"/>
      <c r="H326" s="101"/>
      <c r="J326" s="101"/>
      <c r="L326" s="56"/>
    </row>
    <row r="327">
      <c r="B327" s="101"/>
      <c r="D327" s="101"/>
      <c r="F327" s="101"/>
      <c r="H327" s="101"/>
      <c r="J327" s="101"/>
      <c r="L327" s="56"/>
    </row>
    <row r="328">
      <c r="B328" s="101"/>
      <c r="D328" s="101"/>
      <c r="F328" s="101"/>
      <c r="H328" s="101"/>
      <c r="J328" s="101"/>
      <c r="L328" s="56"/>
    </row>
    <row r="329">
      <c r="B329" s="101"/>
      <c r="D329" s="101"/>
      <c r="F329" s="101"/>
      <c r="H329" s="101"/>
      <c r="J329" s="101"/>
      <c r="L329" s="56"/>
    </row>
    <row r="330">
      <c r="B330" s="101"/>
      <c r="D330" s="101"/>
      <c r="F330" s="101"/>
      <c r="H330" s="101"/>
      <c r="J330" s="101"/>
      <c r="L330" s="56"/>
    </row>
    <row r="331">
      <c r="B331" s="101"/>
      <c r="D331" s="101"/>
      <c r="F331" s="101"/>
      <c r="H331" s="101"/>
      <c r="J331" s="101"/>
      <c r="L331" s="56"/>
    </row>
    <row r="332">
      <c r="B332" s="101"/>
      <c r="D332" s="101"/>
      <c r="F332" s="101"/>
      <c r="H332" s="101"/>
      <c r="J332" s="101"/>
      <c r="L332" s="56"/>
    </row>
    <row r="333">
      <c r="B333" s="101"/>
      <c r="D333" s="101"/>
      <c r="F333" s="101"/>
      <c r="H333" s="101"/>
      <c r="J333" s="101"/>
      <c r="L333" s="56"/>
    </row>
    <row r="334">
      <c r="B334" s="101"/>
      <c r="D334" s="101"/>
      <c r="F334" s="101"/>
      <c r="H334" s="101"/>
      <c r="J334" s="101"/>
      <c r="L334" s="56"/>
    </row>
    <row r="335">
      <c r="B335" s="101"/>
      <c r="D335" s="101"/>
      <c r="F335" s="101"/>
      <c r="H335" s="101"/>
      <c r="J335" s="101"/>
      <c r="L335" s="56"/>
    </row>
    <row r="336">
      <c r="B336" s="101"/>
      <c r="D336" s="101"/>
      <c r="F336" s="101"/>
      <c r="H336" s="101"/>
      <c r="J336" s="101"/>
      <c r="L336" s="56"/>
    </row>
    <row r="337">
      <c r="B337" s="101"/>
      <c r="D337" s="101"/>
      <c r="F337" s="101"/>
      <c r="H337" s="101"/>
      <c r="J337" s="101"/>
      <c r="L337" s="56"/>
    </row>
    <row r="338">
      <c r="B338" s="101"/>
      <c r="D338" s="101"/>
      <c r="F338" s="101"/>
      <c r="H338" s="101"/>
      <c r="J338" s="101"/>
      <c r="L338" s="56"/>
    </row>
    <row r="339">
      <c r="B339" s="101"/>
      <c r="D339" s="101"/>
      <c r="F339" s="101"/>
      <c r="H339" s="101"/>
      <c r="J339" s="101"/>
      <c r="L339" s="56"/>
    </row>
    <row r="340">
      <c r="B340" s="101"/>
      <c r="D340" s="101"/>
      <c r="F340" s="101"/>
      <c r="H340" s="101"/>
      <c r="J340" s="101"/>
      <c r="L340" s="56"/>
    </row>
    <row r="341">
      <c r="B341" s="101"/>
      <c r="D341" s="101"/>
      <c r="F341" s="101"/>
      <c r="H341" s="101"/>
      <c r="J341" s="101"/>
      <c r="L341" s="56"/>
    </row>
    <row r="342">
      <c r="B342" s="101"/>
      <c r="D342" s="101"/>
      <c r="F342" s="101"/>
      <c r="H342" s="101"/>
      <c r="J342" s="101"/>
      <c r="L342" s="56"/>
    </row>
    <row r="343">
      <c r="B343" s="101"/>
      <c r="D343" s="101"/>
      <c r="F343" s="101"/>
      <c r="H343" s="101"/>
      <c r="J343" s="101"/>
      <c r="L343" s="56"/>
    </row>
    <row r="344">
      <c r="B344" s="101"/>
      <c r="D344" s="101"/>
      <c r="F344" s="101"/>
      <c r="H344" s="101"/>
      <c r="J344" s="101"/>
      <c r="L344" s="56"/>
    </row>
    <row r="345">
      <c r="B345" s="101"/>
      <c r="D345" s="101"/>
      <c r="F345" s="101"/>
      <c r="H345" s="101"/>
      <c r="J345" s="101"/>
      <c r="L345" s="56"/>
    </row>
    <row r="346">
      <c r="B346" s="101"/>
      <c r="D346" s="101"/>
      <c r="F346" s="101"/>
      <c r="H346" s="101"/>
      <c r="J346" s="101"/>
      <c r="L346" s="56"/>
    </row>
    <row r="347">
      <c r="B347" s="101"/>
      <c r="D347" s="101"/>
      <c r="F347" s="101"/>
      <c r="H347" s="101"/>
      <c r="J347" s="101"/>
      <c r="L347" s="56"/>
    </row>
    <row r="348">
      <c r="B348" s="101"/>
      <c r="D348" s="101"/>
      <c r="F348" s="101"/>
      <c r="H348" s="101"/>
      <c r="J348" s="101"/>
      <c r="L348" s="56"/>
    </row>
    <row r="349">
      <c r="B349" s="101"/>
      <c r="D349" s="101"/>
      <c r="F349" s="101"/>
      <c r="H349" s="101"/>
      <c r="J349" s="101"/>
      <c r="L349" s="56"/>
    </row>
    <row r="350">
      <c r="B350" s="101"/>
      <c r="D350" s="101"/>
      <c r="F350" s="101"/>
      <c r="H350" s="101"/>
      <c r="J350" s="101"/>
      <c r="L350" s="56"/>
    </row>
    <row r="351">
      <c r="B351" s="101"/>
      <c r="D351" s="101"/>
      <c r="F351" s="101"/>
      <c r="H351" s="101"/>
      <c r="J351" s="101"/>
      <c r="L351" s="56"/>
    </row>
    <row r="352">
      <c r="B352" s="101"/>
      <c r="D352" s="101"/>
      <c r="F352" s="101"/>
      <c r="H352" s="101"/>
      <c r="J352" s="101"/>
      <c r="L352" s="56"/>
    </row>
    <row r="353">
      <c r="B353" s="101"/>
      <c r="D353" s="101"/>
      <c r="F353" s="101"/>
      <c r="H353" s="101"/>
      <c r="J353" s="101"/>
      <c r="L353" s="56"/>
    </row>
    <row r="354">
      <c r="B354" s="101"/>
      <c r="D354" s="101"/>
      <c r="F354" s="101"/>
      <c r="H354" s="101"/>
      <c r="J354" s="101"/>
      <c r="L354" s="56"/>
    </row>
    <row r="355">
      <c r="B355" s="101"/>
      <c r="D355" s="101"/>
      <c r="F355" s="101"/>
      <c r="H355" s="101"/>
      <c r="J355" s="101"/>
      <c r="L355" s="56"/>
    </row>
    <row r="356">
      <c r="B356" s="101"/>
      <c r="D356" s="101"/>
      <c r="F356" s="101"/>
      <c r="H356" s="101"/>
      <c r="J356" s="101"/>
      <c r="L356" s="56"/>
    </row>
    <row r="357">
      <c r="B357" s="101"/>
      <c r="D357" s="101"/>
      <c r="F357" s="101"/>
      <c r="H357" s="101"/>
      <c r="J357" s="101"/>
      <c r="L357" s="56"/>
    </row>
    <row r="358">
      <c r="B358" s="101"/>
      <c r="D358" s="101"/>
      <c r="F358" s="101"/>
      <c r="H358" s="101"/>
      <c r="J358" s="101"/>
      <c r="L358" s="56"/>
    </row>
    <row r="359">
      <c r="B359" s="101"/>
      <c r="D359" s="101"/>
      <c r="F359" s="101"/>
      <c r="H359" s="101"/>
      <c r="J359" s="101"/>
      <c r="L359" s="56"/>
    </row>
    <row r="360">
      <c r="B360" s="101"/>
      <c r="D360" s="101"/>
      <c r="F360" s="101"/>
      <c r="H360" s="101"/>
      <c r="J360" s="101"/>
      <c r="L360" s="56"/>
    </row>
    <row r="361">
      <c r="B361" s="101"/>
      <c r="D361" s="101"/>
      <c r="F361" s="101"/>
      <c r="H361" s="101"/>
      <c r="J361" s="101"/>
      <c r="L361" s="56"/>
    </row>
    <row r="362">
      <c r="B362" s="101"/>
      <c r="D362" s="101"/>
      <c r="F362" s="101"/>
      <c r="H362" s="101"/>
      <c r="J362" s="101"/>
      <c r="L362" s="56"/>
    </row>
    <row r="363">
      <c r="B363" s="101"/>
      <c r="D363" s="101"/>
      <c r="F363" s="101"/>
      <c r="H363" s="101"/>
      <c r="J363" s="101"/>
      <c r="L363" s="56"/>
    </row>
    <row r="364">
      <c r="B364" s="101"/>
      <c r="D364" s="101"/>
      <c r="F364" s="101"/>
      <c r="H364" s="101"/>
      <c r="J364" s="101"/>
      <c r="L364" s="56"/>
    </row>
    <row r="365">
      <c r="B365" s="101"/>
      <c r="D365" s="101"/>
      <c r="F365" s="101"/>
      <c r="H365" s="101"/>
      <c r="J365" s="101"/>
      <c r="L365" s="56"/>
    </row>
    <row r="366">
      <c r="B366" s="101"/>
      <c r="D366" s="101"/>
      <c r="F366" s="101"/>
      <c r="H366" s="101"/>
      <c r="J366" s="101"/>
      <c r="L366" s="56"/>
    </row>
    <row r="367">
      <c r="B367" s="101"/>
      <c r="D367" s="101"/>
      <c r="F367" s="101"/>
      <c r="H367" s="101"/>
      <c r="J367" s="101"/>
      <c r="L367" s="56"/>
    </row>
    <row r="368">
      <c r="B368" s="101"/>
      <c r="D368" s="101"/>
      <c r="F368" s="101"/>
      <c r="H368" s="101"/>
      <c r="J368" s="101"/>
      <c r="L368" s="56"/>
    </row>
    <row r="369">
      <c r="B369" s="101"/>
      <c r="D369" s="101"/>
      <c r="F369" s="101"/>
      <c r="H369" s="101"/>
      <c r="J369" s="101"/>
      <c r="L369" s="56"/>
    </row>
    <row r="370">
      <c r="B370" s="101"/>
      <c r="D370" s="101"/>
      <c r="F370" s="101"/>
      <c r="H370" s="101"/>
      <c r="J370" s="101"/>
      <c r="L370" s="56"/>
    </row>
    <row r="371">
      <c r="B371" s="101"/>
      <c r="D371" s="101"/>
      <c r="F371" s="101"/>
      <c r="H371" s="101"/>
      <c r="J371" s="101"/>
      <c r="L371" s="56"/>
    </row>
    <row r="372">
      <c r="B372" s="101"/>
      <c r="D372" s="101"/>
      <c r="F372" s="101"/>
      <c r="H372" s="101"/>
      <c r="J372" s="101"/>
      <c r="L372" s="56"/>
    </row>
    <row r="373">
      <c r="B373" s="101"/>
      <c r="D373" s="101"/>
      <c r="F373" s="101"/>
      <c r="H373" s="101"/>
      <c r="J373" s="101"/>
      <c r="L373" s="56"/>
    </row>
    <row r="374">
      <c r="B374" s="101"/>
      <c r="D374" s="101"/>
      <c r="F374" s="101"/>
      <c r="H374" s="101"/>
      <c r="J374" s="101"/>
      <c r="L374" s="56"/>
    </row>
    <row r="375">
      <c r="B375" s="101"/>
      <c r="D375" s="101"/>
      <c r="F375" s="101"/>
      <c r="H375" s="101"/>
      <c r="J375" s="101"/>
      <c r="L375" s="56"/>
    </row>
    <row r="376">
      <c r="B376" s="101"/>
      <c r="D376" s="101"/>
      <c r="F376" s="101"/>
      <c r="H376" s="101"/>
      <c r="J376" s="101"/>
      <c r="L376" s="56"/>
    </row>
    <row r="377">
      <c r="B377" s="101"/>
      <c r="D377" s="101"/>
      <c r="F377" s="101"/>
      <c r="H377" s="101"/>
      <c r="J377" s="101"/>
      <c r="L377" s="56"/>
    </row>
    <row r="378">
      <c r="B378" s="101"/>
      <c r="D378" s="101"/>
      <c r="F378" s="101"/>
      <c r="H378" s="101"/>
      <c r="J378" s="101"/>
      <c r="L378" s="56"/>
    </row>
    <row r="379">
      <c r="B379" s="101"/>
      <c r="D379" s="101"/>
      <c r="F379" s="101"/>
      <c r="H379" s="101"/>
      <c r="J379" s="101"/>
      <c r="L379" s="56"/>
    </row>
    <row r="380">
      <c r="B380" s="101"/>
      <c r="D380" s="101"/>
      <c r="F380" s="101"/>
      <c r="H380" s="101"/>
      <c r="J380" s="101"/>
      <c r="L380" s="56"/>
    </row>
    <row r="381">
      <c r="B381" s="101"/>
      <c r="D381" s="101"/>
      <c r="F381" s="101"/>
      <c r="H381" s="101"/>
      <c r="J381" s="101"/>
      <c r="L381" s="56"/>
    </row>
    <row r="382">
      <c r="B382" s="101"/>
      <c r="D382" s="101"/>
      <c r="F382" s="101"/>
      <c r="H382" s="101"/>
      <c r="J382" s="101"/>
      <c r="L382" s="56"/>
    </row>
    <row r="383">
      <c r="B383" s="101"/>
      <c r="D383" s="101"/>
      <c r="F383" s="101"/>
      <c r="H383" s="101"/>
      <c r="J383" s="101"/>
      <c r="L383" s="56"/>
    </row>
    <row r="384">
      <c r="B384" s="101"/>
      <c r="D384" s="101"/>
      <c r="F384" s="101"/>
      <c r="H384" s="101"/>
      <c r="J384" s="101"/>
      <c r="L384" s="56"/>
    </row>
    <row r="385">
      <c r="B385" s="101"/>
      <c r="D385" s="101"/>
      <c r="F385" s="101"/>
      <c r="H385" s="101"/>
      <c r="J385" s="101"/>
      <c r="L385" s="56"/>
    </row>
    <row r="386">
      <c r="B386" s="101"/>
      <c r="D386" s="101"/>
      <c r="F386" s="101"/>
      <c r="H386" s="101"/>
      <c r="J386" s="101"/>
      <c r="L386" s="56"/>
    </row>
    <row r="387">
      <c r="B387" s="101"/>
      <c r="D387" s="101"/>
      <c r="F387" s="101"/>
      <c r="H387" s="101"/>
      <c r="J387" s="101"/>
      <c r="L387" s="56"/>
    </row>
    <row r="388">
      <c r="B388" s="101"/>
      <c r="D388" s="101"/>
      <c r="F388" s="101"/>
      <c r="H388" s="101"/>
      <c r="J388" s="101"/>
      <c r="L388" s="56"/>
    </row>
    <row r="389">
      <c r="B389" s="101"/>
      <c r="D389" s="101"/>
      <c r="F389" s="101"/>
      <c r="H389" s="101"/>
      <c r="J389" s="101"/>
      <c r="L389" s="56"/>
    </row>
    <row r="390">
      <c r="B390" s="101"/>
      <c r="D390" s="101"/>
      <c r="F390" s="101"/>
      <c r="H390" s="101"/>
      <c r="J390" s="101"/>
      <c r="L390" s="56"/>
    </row>
    <row r="391">
      <c r="B391" s="101"/>
      <c r="D391" s="101"/>
      <c r="F391" s="101"/>
      <c r="H391" s="101"/>
      <c r="J391" s="101"/>
      <c r="L391" s="56"/>
    </row>
    <row r="392">
      <c r="B392" s="101"/>
      <c r="D392" s="101"/>
      <c r="F392" s="101"/>
      <c r="H392" s="101"/>
      <c r="J392" s="101"/>
      <c r="L392" s="56"/>
    </row>
    <row r="393">
      <c r="B393" s="101"/>
      <c r="D393" s="101"/>
      <c r="F393" s="101"/>
      <c r="H393" s="101"/>
      <c r="J393" s="101"/>
      <c r="L393" s="56"/>
    </row>
    <row r="394">
      <c r="B394" s="101"/>
      <c r="D394" s="101"/>
      <c r="F394" s="101"/>
      <c r="H394" s="101"/>
      <c r="J394" s="101"/>
      <c r="L394" s="56"/>
    </row>
    <row r="395">
      <c r="B395" s="101"/>
      <c r="D395" s="101"/>
      <c r="F395" s="101"/>
      <c r="H395" s="101"/>
      <c r="J395" s="101"/>
      <c r="L395" s="56"/>
    </row>
    <row r="396">
      <c r="B396" s="101"/>
      <c r="D396" s="101"/>
      <c r="F396" s="101"/>
      <c r="H396" s="101"/>
      <c r="J396" s="101"/>
      <c r="L396" s="56"/>
    </row>
    <row r="397">
      <c r="B397" s="101"/>
      <c r="D397" s="101"/>
      <c r="F397" s="101"/>
      <c r="H397" s="101"/>
      <c r="J397" s="101"/>
      <c r="L397" s="56"/>
    </row>
    <row r="398">
      <c r="B398" s="101"/>
      <c r="D398" s="101"/>
      <c r="F398" s="101"/>
      <c r="H398" s="101"/>
      <c r="J398" s="101"/>
      <c r="L398" s="56"/>
    </row>
    <row r="399">
      <c r="B399" s="101"/>
      <c r="D399" s="101"/>
      <c r="F399" s="101"/>
      <c r="H399" s="101"/>
      <c r="J399" s="101"/>
      <c r="L399" s="56"/>
    </row>
    <row r="400">
      <c r="B400" s="101"/>
      <c r="D400" s="101"/>
      <c r="F400" s="101"/>
      <c r="H400" s="101"/>
      <c r="J400" s="101"/>
      <c r="L400" s="56"/>
    </row>
    <row r="401">
      <c r="B401" s="101"/>
      <c r="D401" s="101"/>
      <c r="F401" s="101"/>
      <c r="H401" s="101"/>
      <c r="J401" s="101"/>
      <c r="L401" s="56"/>
    </row>
    <row r="402">
      <c r="B402" s="101"/>
      <c r="D402" s="101"/>
      <c r="F402" s="101"/>
      <c r="H402" s="101"/>
      <c r="J402" s="101"/>
      <c r="L402" s="56"/>
    </row>
    <row r="403">
      <c r="B403" s="101"/>
      <c r="D403" s="101"/>
      <c r="F403" s="101"/>
      <c r="H403" s="101"/>
      <c r="J403" s="101"/>
      <c r="L403" s="56"/>
    </row>
    <row r="404">
      <c r="B404" s="101"/>
      <c r="D404" s="101"/>
      <c r="F404" s="101"/>
      <c r="H404" s="101"/>
      <c r="J404" s="101"/>
      <c r="L404" s="56"/>
    </row>
    <row r="405">
      <c r="B405" s="101"/>
      <c r="D405" s="101"/>
      <c r="F405" s="101"/>
      <c r="H405" s="101"/>
      <c r="J405" s="101"/>
      <c r="L405" s="56"/>
    </row>
    <row r="406">
      <c r="B406" s="101"/>
      <c r="D406" s="101"/>
      <c r="F406" s="101"/>
      <c r="H406" s="101"/>
      <c r="J406" s="101"/>
      <c r="L406" s="56"/>
    </row>
    <row r="407">
      <c r="B407" s="101"/>
      <c r="D407" s="101"/>
      <c r="F407" s="101"/>
      <c r="H407" s="101"/>
      <c r="J407" s="101"/>
      <c r="L407" s="56"/>
    </row>
    <row r="408">
      <c r="B408" s="101"/>
      <c r="D408" s="101"/>
      <c r="F408" s="101"/>
      <c r="H408" s="101"/>
      <c r="J408" s="101"/>
      <c r="L408" s="56"/>
    </row>
    <row r="409">
      <c r="B409" s="101"/>
      <c r="D409" s="101"/>
      <c r="F409" s="101"/>
      <c r="H409" s="101"/>
      <c r="J409" s="101"/>
      <c r="L409" s="56"/>
    </row>
    <row r="410">
      <c r="B410" s="101"/>
      <c r="D410" s="101"/>
      <c r="F410" s="101"/>
      <c r="H410" s="101"/>
      <c r="J410" s="101"/>
      <c r="L410" s="56"/>
    </row>
    <row r="411">
      <c r="B411" s="101"/>
      <c r="D411" s="101"/>
      <c r="F411" s="101"/>
      <c r="H411" s="101"/>
      <c r="J411" s="101"/>
      <c r="L411" s="56"/>
    </row>
    <row r="412">
      <c r="B412" s="101"/>
      <c r="D412" s="101"/>
      <c r="F412" s="101"/>
      <c r="H412" s="101"/>
      <c r="J412" s="101"/>
      <c r="L412" s="56"/>
    </row>
    <row r="413">
      <c r="B413" s="101"/>
      <c r="D413" s="101"/>
      <c r="F413" s="101"/>
      <c r="H413" s="101"/>
      <c r="J413" s="101"/>
      <c r="L413" s="56"/>
    </row>
    <row r="414">
      <c r="B414" s="101"/>
      <c r="D414" s="101"/>
      <c r="F414" s="101"/>
      <c r="H414" s="101"/>
      <c r="J414" s="101"/>
      <c r="L414" s="56"/>
    </row>
    <row r="415">
      <c r="B415" s="101"/>
      <c r="D415" s="101"/>
      <c r="F415" s="101"/>
      <c r="H415" s="101"/>
      <c r="J415" s="101"/>
      <c r="L415" s="56"/>
    </row>
    <row r="416">
      <c r="B416" s="101"/>
      <c r="D416" s="101"/>
      <c r="F416" s="101"/>
      <c r="H416" s="101"/>
      <c r="J416" s="101"/>
      <c r="L416" s="56"/>
    </row>
    <row r="417">
      <c r="B417" s="101"/>
      <c r="D417" s="101"/>
      <c r="F417" s="101"/>
      <c r="H417" s="101"/>
      <c r="J417" s="101"/>
      <c r="L417" s="56"/>
    </row>
    <row r="418">
      <c r="B418" s="101"/>
      <c r="D418" s="101"/>
      <c r="F418" s="101"/>
      <c r="H418" s="101"/>
      <c r="J418" s="101"/>
      <c r="L418" s="56"/>
    </row>
    <row r="419">
      <c r="B419" s="101"/>
      <c r="D419" s="101"/>
      <c r="F419" s="101"/>
      <c r="H419" s="101"/>
      <c r="J419" s="101"/>
      <c r="L419" s="56"/>
    </row>
    <row r="420">
      <c r="B420" s="101"/>
      <c r="D420" s="101"/>
      <c r="F420" s="101"/>
      <c r="H420" s="101"/>
      <c r="J420" s="101"/>
      <c r="L420" s="56"/>
    </row>
    <row r="421">
      <c r="B421" s="101"/>
      <c r="D421" s="101"/>
      <c r="F421" s="101"/>
      <c r="H421" s="101"/>
      <c r="J421" s="101"/>
      <c r="L421" s="56"/>
    </row>
    <row r="422">
      <c r="B422" s="101"/>
      <c r="D422" s="101"/>
      <c r="F422" s="101"/>
      <c r="H422" s="101"/>
      <c r="J422" s="101"/>
      <c r="L422" s="56"/>
    </row>
    <row r="423">
      <c r="B423" s="101"/>
      <c r="D423" s="101"/>
      <c r="F423" s="101"/>
      <c r="H423" s="101"/>
      <c r="J423" s="101"/>
      <c r="L423" s="56"/>
    </row>
    <row r="424">
      <c r="B424" s="101"/>
      <c r="D424" s="101"/>
      <c r="F424" s="101"/>
      <c r="H424" s="101"/>
      <c r="J424" s="101"/>
      <c r="L424" s="56"/>
    </row>
    <row r="425">
      <c r="B425" s="101"/>
      <c r="D425" s="101"/>
      <c r="F425" s="101"/>
      <c r="H425" s="101"/>
      <c r="J425" s="101"/>
      <c r="L425" s="56"/>
    </row>
    <row r="426">
      <c r="B426" s="101"/>
      <c r="D426" s="101"/>
      <c r="F426" s="101"/>
      <c r="H426" s="101"/>
      <c r="J426" s="101"/>
      <c r="L426" s="56"/>
    </row>
    <row r="427">
      <c r="B427" s="101"/>
      <c r="D427" s="101"/>
      <c r="F427" s="101"/>
      <c r="H427" s="101"/>
      <c r="J427" s="101"/>
      <c r="L427" s="56"/>
    </row>
    <row r="428">
      <c r="B428" s="101"/>
      <c r="D428" s="101"/>
      <c r="F428" s="101"/>
      <c r="H428" s="101"/>
      <c r="J428" s="101"/>
      <c r="L428" s="56"/>
    </row>
    <row r="429">
      <c r="B429" s="101"/>
      <c r="D429" s="101"/>
      <c r="F429" s="101"/>
      <c r="H429" s="101"/>
      <c r="J429" s="101"/>
      <c r="L429" s="56"/>
    </row>
    <row r="430">
      <c r="B430" s="101"/>
      <c r="D430" s="101"/>
      <c r="F430" s="101"/>
      <c r="H430" s="101"/>
      <c r="J430" s="101"/>
      <c r="L430" s="56"/>
    </row>
    <row r="431">
      <c r="B431" s="101"/>
      <c r="D431" s="101"/>
      <c r="F431" s="101"/>
      <c r="H431" s="101"/>
      <c r="J431" s="101"/>
      <c r="L431" s="56"/>
    </row>
    <row r="432">
      <c r="B432" s="101"/>
      <c r="D432" s="101"/>
      <c r="F432" s="101"/>
      <c r="H432" s="101"/>
      <c r="J432" s="101"/>
      <c r="L432" s="56"/>
    </row>
    <row r="433">
      <c r="B433" s="101"/>
      <c r="D433" s="101"/>
      <c r="F433" s="101"/>
      <c r="H433" s="101"/>
      <c r="J433" s="101"/>
      <c r="L433" s="56"/>
    </row>
    <row r="434">
      <c r="B434" s="101"/>
      <c r="D434" s="101"/>
      <c r="F434" s="101"/>
      <c r="H434" s="101"/>
      <c r="J434" s="101"/>
      <c r="L434" s="56"/>
    </row>
    <row r="435">
      <c r="B435" s="101"/>
      <c r="D435" s="101"/>
      <c r="F435" s="101"/>
      <c r="H435" s="101"/>
      <c r="J435" s="101"/>
      <c r="L435" s="56"/>
    </row>
    <row r="436">
      <c r="B436" s="101"/>
      <c r="D436" s="101"/>
      <c r="F436" s="101"/>
      <c r="H436" s="101"/>
      <c r="J436" s="101"/>
      <c r="L436" s="56"/>
    </row>
    <row r="437">
      <c r="B437" s="101"/>
      <c r="D437" s="101"/>
      <c r="F437" s="101"/>
      <c r="H437" s="101"/>
      <c r="J437" s="101"/>
      <c r="L437" s="56"/>
    </row>
    <row r="438">
      <c r="B438" s="101"/>
      <c r="D438" s="101"/>
      <c r="F438" s="101"/>
      <c r="H438" s="101"/>
      <c r="J438" s="101"/>
      <c r="L438" s="56"/>
    </row>
    <row r="439">
      <c r="B439" s="101"/>
      <c r="D439" s="101"/>
      <c r="F439" s="101"/>
      <c r="H439" s="101"/>
      <c r="J439" s="101"/>
      <c r="L439" s="56"/>
    </row>
    <row r="440">
      <c r="B440" s="101"/>
      <c r="D440" s="101"/>
      <c r="F440" s="101"/>
      <c r="H440" s="101"/>
      <c r="J440" s="101"/>
      <c r="L440" s="56"/>
    </row>
    <row r="441">
      <c r="B441" s="101"/>
      <c r="D441" s="101"/>
      <c r="F441" s="101"/>
      <c r="H441" s="101"/>
      <c r="J441" s="101"/>
      <c r="L441" s="56"/>
    </row>
    <row r="442">
      <c r="B442" s="101"/>
      <c r="D442" s="101"/>
      <c r="F442" s="101"/>
      <c r="H442" s="101"/>
      <c r="J442" s="101"/>
      <c r="L442" s="56"/>
    </row>
    <row r="443">
      <c r="B443" s="101"/>
      <c r="D443" s="101"/>
      <c r="F443" s="101"/>
      <c r="H443" s="101"/>
      <c r="J443" s="101"/>
      <c r="L443" s="56"/>
    </row>
    <row r="444">
      <c r="B444" s="101"/>
      <c r="D444" s="101"/>
      <c r="F444" s="101"/>
      <c r="H444" s="101"/>
      <c r="J444" s="101"/>
      <c r="L444" s="56"/>
    </row>
    <row r="445">
      <c r="B445" s="101"/>
      <c r="D445" s="101"/>
      <c r="F445" s="101"/>
      <c r="H445" s="101"/>
      <c r="J445" s="101"/>
      <c r="L445" s="56"/>
    </row>
    <row r="446">
      <c r="B446" s="101"/>
      <c r="D446" s="101"/>
      <c r="F446" s="101"/>
      <c r="H446" s="101"/>
      <c r="J446" s="101"/>
      <c r="L446" s="56"/>
    </row>
    <row r="447">
      <c r="B447" s="101"/>
      <c r="D447" s="101"/>
      <c r="F447" s="101"/>
      <c r="H447" s="101"/>
      <c r="J447" s="101"/>
      <c r="L447" s="56"/>
    </row>
    <row r="448">
      <c r="B448" s="101"/>
      <c r="D448" s="101"/>
      <c r="F448" s="101"/>
      <c r="H448" s="101"/>
      <c r="J448" s="101"/>
      <c r="L448" s="56"/>
    </row>
    <row r="449">
      <c r="B449" s="101"/>
      <c r="D449" s="101"/>
      <c r="F449" s="101"/>
      <c r="H449" s="101"/>
      <c r="J449" s="101"/>
      <c r="L449" s="56"/>
    </row>
    <row r="450">
      <c r="B450" s="101"/>
      <c r="D450" s="101"/>
      <c r="F450" s="101"/>
      <c r="H450" s="101"/>
      <c r="J450" s="101"/>
      <c r="L450" s="56"/>
    </row>
    <row r="451">
      <c r="B451" s="101"/>
      <c r="D451" s="101"/>
      <c r="F451" s="101"/>
      <c r="H451" s="101"/>
      <c r="J451" s="101"/>
      <c r="L451" s="56"/>
    </row>
    <row r="452">
      <c r="B452" s="101"/>
      <c r="D452" s="101"/>
      <c r="F452" s="101"/>
      <c r="H452" s="101"/>
      <c r="J452" s="101"/>
      <c r="L452" s="56"/>
    </row>
    <row r="453">
      <c r="B453" s="101"/>
      <c r="D453" s="101"/>
      <c r="F453" s="101"/>
      <c r="H453" s="101"/>
      <c r="J453" s="101"/>
      <c r="L453" s="56"/>
    </row>
    <row r="454">
      <c r="B454" s="101"/>
      <c r="D454" s="101"/>
      <c r="F454" s="101"/>
      <c r="H454" s="101"/>
      <c r="J454" s="101"/>
      <c r="L454" s="56"/>
    </row>
    <row r="455">
      <c r="B455" s="101"/>
      <c r="D455" s="101"/>
      <c r="F455" s="101"/>
      <c r="H455" s="101"/>
      <c r="J455" s="101"/>
      <c r="L455" s="56"/>
    </row>
    <row r="456">
      <c r="B456" s="101"/>
      <c r="D456" s="101"/>
      <c r="F456" s="101"/>
      <c r="H456" s="101"/>
      <c r="J456" s="101"/>
      <c r="L456" s="56"/>
    </row>
    <row r="457">
      <c r="B457" s="101"/>
      <c r="D457" s="101"/>
      <c r="F457" s="101"/>
      <c r="H457" s="101"/>
      <c r="J457" s="101"/>
      <c r="L457" s="56"/>
    </row>
    <row r="458">
      <c r="B458" s="101"/>
      <c r="D458" s="101"/>
      <c r="F458" s="101"/>
      <c r="H458" s="101"/>
      <c r="J458" s="101"/>
      <c r="L458" s="56"/>
    </row>
    <row r="459">
      <c r="B459" s="101"/>
      <c r="D459" s="101"/>
      <c r="F459" s="101"/>
      <c r="H459" s="101"/>
      <c r="J459" s="101"/>
      <c r="L459" s="56"/>
    </row>
    <row r="460">
      <c r="B460" s="101"/>
      <c r="D460" s="101"/>
      <c r="F460" s="101"/>
      <c r="H460" s="101"/>
      <c r="J460" s="101"/>
      <c r="L460" s="56"/>
    </row>
    <row r="461">
      <c r="B461" s="101"/>
      <c r="D461" s="101"/>
      <c r="F461" s="101"/>
      <c r="H461" s="101"/>
      <c r="J461" s="101"/>
      <c r="L461" s="56"/>
    </row>
    <row r="462">
      <c r="B462" s="101"/>
      <c r="D462" s="101"/>
      <c r="F462" s="101"/>
      <c r="H462" s="101"/>
      <c r="J462" s="101"/>
      <c r="L462" s="56"/>
    </row>
    <row r="463">
      <c r="B463" s="101"/>
      <c r="D463" s="101"/>
      <c r="F463" s="101"/>
      <c r="H463" s="101"/>
      <c r="J463" s="101"/>
      <c r="L463" s="56"/>
    </row>
    <row r="464">
      <c r="B464" s="101"/>
      <c r="D464" s="101"/>
      <c r="F464" s="101"/>
      <c r="H464" s="101"/>
      <c r="J464" s="101"/>
      <c r="L464" s="56"/>
    </row>
    <row r="465">
      <c r="B465" s="101"/>
      <c r="D465" s="101"/>
      <c r="F465" s="101"/>
      <c r="H465" s="101"/>
      <c r="J465" s="101"/>
      <c r="L465" s="56"/>
    </row>
    <row r="466">
      <c r="B466" s="101"/>
      <c r="D466" s="101"/>
      <c r="F466" s="101"/>
      <c r="H466" s="101"/>
      <c r="J466" s="101"/>
      <c r="L466" s="56"/>
    </row>
    <row r="467">
      <c r="B467" s="101"/>
      <c r="D467" s="101"/>
      <c r="F467" s="101"/>
      <c r="H467" s="101"/>
      <c r="J467" s="101"/>
      <c r="L467" s="56"/>
    </row>
    <row r="468">
      <c r="B468" s="101"/>
      <c r="D468" s="101"/>
      <c r="F468" s="101"/>
      <c r="H468" s="101"/>
      <c r="J468" s="101"/>
      <c r="L468" s="56"/>
    </row>
    <row r="469">
      <c r="B469" s="101"/>
      <c r="D469" s="101"/>
      <c r="F469" s="101"/>
      <c r="H469" s="101"/>
      <c r="J469" s="101"/>
      <c r="L469" s="56"/>
    </row>
    <row r="470">
      <c r="B470" s="101"/>
      <c r="D470" s="101"/>
      <c r="F470" s="101"/>
      <c r="H470" s="101"/>
      <c r="J470" s="101"/>
      <c r="L470" s="56"/>
    </row>
    <row r="471">
      <c r="B471" s="101"/>
      <c r="D471" s="101"/>
      <c r="F471" s="101"/>
      <c r="H471" s="101"/>
      <c r="J471" s="101"/>
      <c r="L471" s="56"/>
    </row>
    <row r="472">
      <c r="B472" s="101"/>
      <c r="D472" s="101"/>
      <c r="F472" s="101"/>
      <c r="H472" s="101"/>
      <c r="J472" s="101"/>
      <c r="L472" s="56"/>
    </row>
    <row r="473">
      <c r="B473" s="101"/>
      <c r="D473" s="101"/>
      <c r="F473" s="101"/>
      <c r="H473" s="101"/>
      <c r="J473" s="101"/>
      <c r="L473" s="56"/>
    </row>
    <row r="474">
      <c r="B474" s="101"/>
      <c r="D474" s="101"/>
      <c r="F474" s="101"/>
      <c r="H474" s="101"/>
      <c r="J474" s="101"/>
      <c r="L474" s="56"/>
    </row>
    <row r="475">
      <c r="B475" s="101"/>
      <c r="D475" s="101"/>
      <c r="F475" s="101"/>
      <c r="H475" s="101"/>
      <c r="J475" s="101"/>
      <c r="L475" s="56"/>
    </row>
    <row r="476">
      <c r="B476" s="101"/>
      <c r="D476" s="101"/>
      <c r="F476" s="101"/>
      <c r="H476" s="101"/>
      <c r="J476" s="101"/>
      <c r="L476" s="56"/>
    </row>
    <row r="477">
      <c r="B477" s="101"/>
      <c r="D477" s="101"/>
      <c r="F477" s="101"/>
      <c r="H477" s="101"/>
      <c r="J477" s="101"/>
      <c r="L477" s="56"/>
    </row>
    <row r="478">
      <c r="B478" s="101"/>
      <c r="D478" s="101"/>
      <c r="F478" s="101"/>
      <c r="H478" s="101"/>
      <c r="J478" s="101"/>
      <c r="L478" s="56"/>
    </row>
    <row r="479">
      <c r="B479" s="101"/>
      <c r="D479" s="101"/>
      <c r="F479" s="101"/>
      <c r="H479" s="101"/>
      <c r="J479" s="101"/>
      <c r="L479" s="56"/>
    </row>
    <row r="480">
      <c r="B480" s="101"/>
      <c r="D480" s="101"/>
      <c r="F480" s="101"/>
      <c r="H480" s="101"/>
      <c r="J480" s="101"/>
      <c r="L480" s="56"/>
    </row>
    <row r="481">
      <c r="B481" s="101"/>
      <c r="D481" s="101"/>
      <c r="F481" s="101"/>
      <c r="H481" s="101"/>
      <c r="J481" s="101"/>
      <c r="L481" s="56"/>
    </row>
    <row r="482">
      <c r="B482" s="101"/>
      <c r="D482" s="101"/>
      <c r="F482" s="101"/>
      <c r="H482" s="101"/>
      <c r="J482" s="101"/>
      <c r="L482" s="56"/>
    </row>
    <row r="483">
      <c r="B483" s="101"/>
      <c r="D483" s="101"/>
      <c r="F483" s="101"/>
      <c r="H483" s="101"/>
      <c r="J483" s="101"/>
      <c r="L483" s="56"/>
    </row>
    <row r="484">
      <c r="B484" s="101"/>
      <c r="D484" s="101"/>
      <c r="F484" s="101"/>
      <c r="H484" s="101"/>
      <c r="J484" s="101"/>
      <c r="L484" s="56"/>
    </row>
    <row r="485">
      <c r="B485" s="101"/>
      <c r="D485" s="101"/>
      <c r="F485" s="101"/>
      <c r="H485" s="101"/>
      <c r="J485" s="101"/>
      <c r="L485" s="56"/>
    </row>
    <row r="486">
      <c r="B486" s="101"/>
      <c r="D486" s="101"/>
      <c r="F486" s="101"/>
      <c r="H486" s="101"/>
      <c r="J486" s="101"/>
      <c r="L486" s="56"/>
    </row>
    <row r="487">
      <c r="B487" s="101"/>
      <c r="D487" s="101"/>
      <c r="F487" s="101"/>
      <c r="H487" s="101"/>
      <c r="J487" s="101"/>
      <c r="L487" s="56"/>
    </row>
    <row r="488">
      <c r="B488" s="101"/>
      <c r="D488" s="101"/>
      <c r="F488" s="101"/>
      <c r="H488" s="101"/>
      <c r="J488" s="101"/>
      <c r="L488" s="56"/>
    </row>
    <row r="489">
      <c r="B489" s="101"/>
      <c r="D489" s="101"/>
      <c r="F489" s="101"/>
      <c r="H489" s="101"/>
      <c r="J489" s="101"/>
      <c r="L489" s="56"/>
    </row>
    <row r="490">
      <c r="B490" s="101"/>
      <c r="D490" s="101"/>
      <c r="F490" s="101"/>
      <c r="H490" s="101"/>
      <c r="J490" s="101"/>
      <c r="L490" s="56"/>
    </row>
    <row r="491">
      <c r="B491" s="101"/>
      <c r="D491" s="101"/>
      <c r="F491" s="101"/>
      <c r="H491" s="101"/>
      <c r="J491" s="101"/>
      <c r="L491" s="56"/>
    </row>
    <row r="492">
      <c r="B492" s="101"/>
      <c r="D492" s="101"/>
      <c r="F492" s="101"/>
      <c r="H492" s="101"/>
      <c r="J492" s="101"/>
      <c r="L492" s="56"/>
    </row>
    <row r="493">
      <c r="B493" s="101"/>
      <c r="D493" s="101"/>
      <c r="F493" s="101"/>
      <c r="H493" s="101"/>
      <c r="J493" s="101"/>
      <c r="L493" s="56"/>
    </row>
    <row r="494">
      <c r="B494" s="101"/>
      <c r="D494" s="101"/>
      <c r="F494" s="101"/>
      <c r="H494" s="101"/>
      <c r="J494" s="101"/>
      <c r="L494" s="56"/>
    </row>
    <row r="495">
      <c r="B495" s="101"/>
      <c r="D495" s="101"/>
      <c r="F495" s="101"/>
      <c r="H495" s="101"/>
      <c r="J495" s="101"/>
      <c r="L495" s="56"/>
    </row>
    <row r="496">
      <c r="B496" s="101"/>
      <c r="D496" s="101"/>
      <c r="F496" s="101"/>
      <c r="H496" s="101"/>
      <c r="J496" s="101"/>
      <c r="L496" s="56"/>
    </row>
    <row r="497">
      <c r="B497" s="101"/>
      <c r="D497" s="101"/>
      <c r="F497" s="101"/>
      <c r="H497" s="101"/>
      <c r="J497" s="101"/>
      <c r="L497" s="56"/>
    </row>
    <row r="498">
      <c r="B498" s="101"/>
      <c r="D498" s="101"/>
      <c r="F498" s="101"/>
      <c r="H498" s="101"/>
      <c r="J498" s="101"/>
      <c r="L498" s="56"/>
    </row>
    <row r="499">
      <c r="B499" s="101"/>
      <c r="D499" s="101"/>
      <c r="F499" s="101"/>
      <c r="H499" s="101"/>
      <c r="J499" s="101"/>
      <c r="L499" s="56"/>
    </row>
    <row r="500">
      <c r="B500" s="101"/>
      <c r="D500" s="101"/>
      <c r="F500" s="101"/>
      <c r="H500" s="101"/>
      <c r="J500" s="101"/>
      <c r="L500" s="56"/>
    </row>
    <row r="501">
      <c r="B501" s="101"/>
      <c r="D501" s="101"/>
      <c r="F501" s="101"/>
      <c r="H501" s="101"/>
      <c r="J501" s="101"/>
      <c r="L501" s="56"/>
    </row>
    <row r="502">
      <c r="B502" s="101"/>
      <c r="D502" s="101"/>
      <c r="F502" s="101"/>
      <c r="H502" s="101"/>
      <c r="J502" s="101"/>
      <c r="L502" s="56"/>
    </row>
    <row r="503">
      <c r="B503" s="101"/>
      <c r="D503" s="101"/>
      <c r="F503" s="101"/>
      <c r="H503" s="101"/>
      <c r="J503" s="101"/>
      <c r="L503" s="56"/>
    </row>
    <row r="504">
      <c r="B504" s="101"/>
      <c r="D504" s="101"/>
      <c r="F504" s="101"/>
      <c r="H504" s="101"/>
      <c r="J504" s="101"/>
      <c r="L504" s="56"/>
    </row>
    <row r="505">
      <c r="B505" s="101"/>
      <c r="D505" s="101"/>
      <c r="F505" s="101"/>
      <c r="H505" s="101"/>
      <c r="J505" s="101"/>
      <c r="L505" s="56"/>
    </row>
    <row r="506">
      <c r="B506" s="101"/>
      <c r="D506" s="101"/>
      <c r="F506" s="101"/>
      <c r="H506" s="101"/>
      <c r="J506" s="101"/>
      <c r="L506" s="56"/>
    </row>
    <row r="507">
      <c r="B507" s="101"/>
      <c r="D507" s="101"/>
      <c r="F507" s="101"/>
      <c r="H507" s="101"/>
      <c r="J507" s="101"/>
      <c r="L507" s="56"/>
    </row>
    <row r="508">
      <c r="B508" s="101"/>
      <c r="D508" s="101"/>
      <c r="F508" s="101"/>
      <c r="H508" s="101"/>
      <c r="J508" s="101"/>
      <c r="L508" s="56"/>
    </row>
    <row r="509">
      <c r="B509" s="101"/>
      <c r="D509" s="101"/>
      <c r="F509" s="101"/>
      <c r="H509" s="101"/>
      <c r="J509" s="101"/>
      <c r="L509" s="56"/>
    </row>
    <row r="510">
      <c r="B510" s="101"/>
      <c r="D510" s="101"/>
      <c r="F510" s="101"/>
      <c r="H510" s="101"/>
      <c r="J510" s="101"/>
      <c r="L510" s="56"/>
    </row>
    <row r="511">
      <c r="B511" s="101"/>
      <c r="D511" s="101"/>
      <c r="F511" s="101"/>
      <c r="H511" s="101"/>
      <c r="J511" s="101"/>
      <c r="L511" s="56"/>
    </row>
    <row r="512">
      <c r="B512" s="101"/>
      <c r="D512" s="101"/>
      <c r="F512" s="101"/>
      <c r="H512" s="101"/>
      <c r="J512" s="101"/>
      <c r="L512" s="56"/>
    </row>
    <row r="513">
      <c r="B513" s="101"/>
      <c r="D513" s="101"/>
      <c r="F513" s="101"/>
      <c r="H513" s="101"/>
      <c r="J513" s="101"/>
      <c r="L513" s="56"/>
    </row>
    <row r="514">
      <c r="B514" s="101"/>
      <c r="D514" s="101"/>
      <c r="F514" s="101"/>
      <c r="H514" s="101"/>
      <c r="J514" s="101"/>
      <c r="L514" s="56"/>
    </row>
    <row r="515">
      <c r="B515" s="101"/>
      <c r="D515" s="101"/>
      <c r="F515" s="101"/>
      <c r="H515" s="101"/>
      <c r="J515" s="101"/>
      <c r="L515" s="56"/>
    </row>
    <row r="516">
      <c r="B516" s="101"/>
      <c r="D516" s="101"/>
      <c r="F516" s="101"/>
      <c r="H516" s="101"/>
      <c r="J516" s="101"/>
      <c r="L516" s="56"/>
    </row>
    <row r="517">
      <c r="B517" s="101"/>
      <c r="D517" s="101"/>
      <c r="F517" s="101"/>
      <c r="H517" s="101"/>
      <c r="J517" s="101"/>
      <c r="L517" s="56"/>
    </row>
    <row r="518">
      <c r="B518" s="101"/>
      <c r="D518" s="101"/>
      <c r="F518" s="101"/>
      <c r="H518" s="101"/>
      <c r="J518" s="101"/>
      <c r="L518" s="56"/>
    </row>
    <row r="519">
      <c r="B519" s="101"/>
      <c r="D519" s="101"/>
      <c r="F519" s="101"/>
      <c r="H519" s="101"/>
      <c r="J519" s="101"/>
      <c r="L519" s="56"/>
    </row>
    <row r="520">
      <c r="B520" s="101"/>
      <c r="D520" s="101"/>
      <c r="F520" s="101"/>
      <c r="H520" s="101"/>
      <c r="J520" s="101"/>
      <c r="L520" s="56"/>
    </row>
    <row r="521">
      <c r="B521" s="101"/>
      <c r="D521" s="101"/>
      <c r="F521" s="101"/>
      <c r="H521" s="101"/>
      <c r="J521" s="101"/>
      <c r="L521" s="56"/>
    </row>
    <row r="522">
      <c r="B522" s="101"/>
      <c r="D522" s="101"/>
      <c r="F522" s="101"/>
      <c r="H522" s="101"/>
      <c r="J522" s="101"/>
      <c r="L522" s="56"/>
    </row>
    <row r="523">
      <c r="B523" s="101"/>
      <c r="D523" s="101"/>
      <c r="F523" s="101"/>
      <c r="H523" s="101"/>
      <c r="J523" s="101"/>
      <c r="L523" s="56"/>
    </row>
    <row r="524">
      <c r="B524" s="101"/>
      <c r="D524" s="101"/>
      <c r="F524" s="101"/>
      <c r="H524" s="101"/>
      <c r="J524" s="101"/>
      <c r="L524" s="56"/>
    </row>
    <row r="525">
      <c r="B525" s="101"/>
      <c r="D525" s="101"/>
      <c r="F525" s="101"/>
      <c r="H525" s="101"/>
      <c r="J525" s="101"/>
      <c r="L525" s="56"/>
    </row>
    <row r="526">
      <c r="B526" s="101"/>
      <c r="D526" s="101"/>
      <c r="F526" s="101"/>
      <c r="H526" s="101"/>
      <c r="J526" s="101"/>
      <c r="L526" s="56"/>
    </row>
    <row r="527">
      <c r="B527" s="101"/>
      <c r="D527" s="101"/>
      <c r="F527" s="101"/>
      <c r="H527" s="101"/>
      <c r="J527" s="101"/>
      <c r="L527" s="56"/>
    </row>
    <row r="528">
      <c r="B528" s="101"/>
      <c r="D528" s="101"/>
      <c r="F528" s="101"/>
      <c r="H528" s="101"/>
      <c r="J528" s="101"/>
      <c r="L528" s="56"/>
    </row>
    <row r="529">
      <c r="B529" s="101"/>
      <c r="D529" s="101"/>
      <c r="F529" s="101"/>
      <c r="H529" s="101"/>
      <c r="J529" s="101"/>
      <c r="L529" s="56"/>
    </row>
    <row r="530">
      <c r="B530" s="101"/>
      <c r="D530" s="101"/>
      <c r="F530" s="101"/>
      <c r="H530" s="101"/>
      <c r="J530" s="101"/>
      <c r="L530" s="56"/>
    </row>
    <row r="531">
      <c r="B531" s="101"/>
      <c r="D531" s="101"/>
      <c r="F531" s="101"/>
      <c r="H531" s="101"/>
      <c r="J531" s="101"/>
      <c r="L531" s="56"/>
    </row>
    <row r="532">
      <c r="B532" s="101"/>
      <c r="D532" s="101"/>
      <c r="F532" s="101"/>
      <c r="H532" s="101"/>
      <c r="J532" s="101"/>
      <c r="L532" s="56"/>
    </row>
    <row r="533">
      <c r="B533" s="101"/>
      <c r="D533" s="101"/>
      <c r="F533" s="101"/>
      <c r="H533" s="101"/>
      <c r="J533" s="101"/>
      <c r="L533" s="56"/>
    </row>
    <row r="534">
      <c r="B534" s="101"/>
      <c r="D534" s="101"/>
      <c r="F534" s="101"/>
      <c r="H534" s="101"/>
      <c r="J534" s="101"/>
      <c r="L534" s="56"/>
    </row>
    <row r="535">
      <c r="B535" s="101"/>
      <c r="D535" s="101"/>
      <c r="F535" s="101"/>
      <c r="H535" s="101"/>
      <c r="J535" s="101"/>
      <c r="L535" s="56"/>
    </row>
    <row r="536">
      <c r="B536" s="101"/>
      <c r="D536" s="101"/>
      <c r="F536" s="101"/>
      <c r="H536" s="101"/>
      <c r="J536" s="101"/>
      <c r="L536" s="56"/>
    </row>
    <row r="537">
      <c r="B537" s="101"/>
      <c r="D537" s="101"/>
      <c r="F537" s="101"/>
      <c r="H537" s="101"/>
      <c r="J537" s="101"/>
      <c r="L537" s="56"/>
    </row>
    <row r="538">
      <c r="B538" s="101"/>
      <c r="D538" s="101"/>
      <c r="F538" s="101"/>
      <c r="H538" s="101"/>
      <c r="J538" s="101"/>
      <c r="L538" s="56"/>
    </row>
    <row r="539">
      <c r="B539" s="101"/>
      <c r="D539" s="101"/>
      <c r="F539" s="101"/>
      <c r="H539" s="101"/>
      <c r="J539" s="101"/>
      <c r="L539" s="56"/>
    </row>
    <row r="540">
      <c r="B540" s="101"/>
      <c r="D540" s="101"/>
      <c r="F540" s="101"/>
      <c r="H540" s="101"/>
      <c r="J540" s="101"/>
      <c r="L540" s="56"/>
    </row>
    <row r="541">
      <c r="B541" s="101"/>
      <c r="D541" s="101"/>
      <c r="F541" s="101"/>
      <c r="H541" s="101"/>
      <c r="J541" s="101"/>
      <c r="L541" s="56"/>
    </row>
    <row r="542">
      <c r="B542" s="101"/>
      <c r="D542" s="101"/>
      <c r="F542" s="101"/>
      <c r="H542" s="101"/>
      <c r="J542" s="101"/>
      <c r="L542" s="56"/>
    </row>
    <row r="543">
      <c r="B543" s="101"/>
      <c r="D543" s="101"/>
      <c r="F543" s="101"/>
      <c r="H543" s="101"/>
      <c r="J543" s="101"/>
      <c r="L543" s="56"/>
    </row>
    <row r="544">
      <c r="B544" s="101"/>
      <c r="D544" s="101"/>
      <c r="F544" s="101"/>
      <c r="H544" s="101"/>
      <c r="J544" s="101"/>
      <c r="L544" s="56"/>
    </row>
    <row r="545">
      <c r="B545" s="101"/>
      <c r="D545" s="101"/>
      <c r="F545" s="101"/>
      <c r="H545" s="101"/>
      <c r="J545" s="101"/>
      <c r="L545" s="56"/>
    </row>
    <row r="546">
      <c r="B546" s="101"/>
      <c r="D546" s="101"/>
      <c r="F546" s="101"/>
      <c r="H546" s="101"/>
      <c r="J546" s="101"/>
      <c r="L546" s="56"/>
    </row>
    <row r="547">
      <c r="B547" s="101"/>
      <c r="D547" s="101"/>
      <c r="F547" s="101"/>
      <c r="H547" s="101"/>
      <c r="J547" s="101"/>
      <c r="L547" s="56"/>
    </row>
    <row r="548">
      <c r="B548" s="101"/>
      <c r="D548" s="101"/>
      <c r="F548" s="101"/>
      <c r="H548" s="101"/>
      <c r="J548" s="101"/>
      <c r="L548" s="56"/>
    </row>
    <row r="549">
      <c r="B549" s="101"/>
      <c r="D549" s="101"/>
      <c r="F549" s="101"/>
      <c r="H549" s="101"/>
      <c r="J549" s="101"/>
      <c r="L549" s="56"/>
    </row>
    <row r="550">
      <c r="B550" s="101"/>
      <c r="D550" s="101"/>
      <c r="F550" s="101"/>
      <c r="H550" s="101"/>
      <c r="J550" s="101"/>
      <c r="L550" s="56"/>
    </row>
    <row r="551">
      <c r="B551" s="101"/>
      <c r="D551" s="101"/>
      <c r="F551" s="101"/>
      <c r="H551" s="101"/>
      <c r="J551" s="101"/>
      <c r="L551" s="56"/>
    </row>
    <row r="552">
      <c r="B552" s="101"/>
      <c r="D552" s="101"/>
      <c r="F552" s="101"/>
      <c r="H552" s="101"/>
      <c r="J552" s="101"/>
      <c r="L552" s="56"/>
    </row>
    <row r="553">
      <c r="B553" s="101"/>
      <c r="D553" s="101"/>
      <c r="F553" s="101"/>
      <c r="H553" s="101"/>
      <c r="J553" s="101"/>
      <c r="L553" s="56"/>
    </row>
    <row r="554">
      <c r="B554" s="101"/>
      <c r="D554" s="101"/>
      <c r="F554" s="101"/>
      <c r="H554" s="101"/>
      <c r="J554" s="101"/>
      <c r="L554" s="56"/>
    </row>
    <row r="555">
      <c r="B555" s="101"/>
      <c r="D555" s="101"/>
      <c r="F555" s="101"/>
      <c r="H555" s="101"/>
      <c r="J555" s="101"/>
      <c r="L555" s="56"/>
    </row>
    <row r="556">
      <c r="B556" s="101"/>
      <c r="D556" s="101"/>
      <c r="F556" s="101"/>
      <c r="H556" s="101"/>
      <c r="J556" s="101"/>
      <c r="L556" s="56"/>
    </row>
    <row r="557">
      <c r="B557" s="101"/>
      <c r="D557" s="101"/>
      <c r="F557" s="101"/>
      <c r="H557" s="101"/>
      <c r="J557" s="101"/>
      <c r="L557" s="56"/>
    </row>
    <row r="558">
      <c r="B558" s="101"/>
      <c r="D558" s="101"/>
      <c r="F558" s="101"/>
      <c r="H558" s="101"/>
      <c r="J558" s="101"/>
      <c r="L558" s="56"/>
    </row>
    <row r="559">
      <c r="B559" s="101"/>
      <c r="D559" s="101"/>
      <c r="F559" s="101"/>
      <c r="H559" s="101"/>
      <c r="J559" s="101"/>
      <c r="L559" s="56"/>
    </row>
    <row r="560">
      <c r="B560" s="101"/>
      <c r="D560" s="101"/>
      <c r="F560" s="101"/>
      <c r="H560" s="101"/>
      <c r="J560" s="101"/>
      <c r="L560" s="56"/>
    </row>
    <row r="561">
      <c r="B561" s="101"/>
      <c r="D561" s="101"/>
      <c r="F561" s="101"/>
      <c r="H561" s="101"/>
      <c r="J561" s="101"/>
      <c r="L561" s="56"/>
    </row>
    <row r="562">
      <c r="B562" s="101"/>
      <c r="D562" s="101"/>
      <c r="F562" s="101"/>
      <c r="H562" s="101"/>
      <c r="J562" s="101"/>
      <c r="L562" s="56"/>
    </row>
    <row r="563">
      <c r="B563" s="101"/>
      <c r="D563" s="101"/>
      <c r="F563" s="101"/>
      <c r="H563" s="101"/>
      <c r="J563" s="101"/>
      <c r="L563" s="56"/>
    </row>
    <row r="564">
      <c r="B564" s="101"/>
      <c r="D564" s="101"/>
      <c r="F564" s="101"/>
      <c r="H564" s="101"/>
      <c r="J564" s="101"/>
      <c r="L564" s="56"/>
    </row>
    <row r="565">
      <c r="B565" s="101"/>
      <c r="D565" s="101"/>
      <c r="F565" s="101"/>
      <c r="H565" s="101"/>
      <c r="J565" s="101"/>
      <c r="L565" s="56"/>
    </row>
    <row r="566">
      <c r="B566" s="101"/>
      <c r="D566" s="101"/>
      <c r="F566" s="101"/>
      <c r="H566" s="101"/>
      <c r="J566" s="101"/>
      <c r="L566" s="56"/>
    </row>
    <row r="567">
      <c r="B567" s="101"/>
      <c r="D567" s="101"/>
      <c r="F567" s="101"/>
      <c r="H567" s="101"/>
      <c r="J567" s="101"/>
      <c r="L567" s="56"/>
    </row>
    <row r="568">
      <c r="B568" s="101"/>
      <c r="D568" s="101"/>
      <c r="F568" s="101"/>
      <c r="H568" s="101"/>
      <c r="J568" s="101"/>
      <c r="L568" s="56"/>
    </row>
    <row r="569">
      <c r="B569" s="101"/>
      <c r="D569" s="101"/>
      <c r="F569" s="101"/>
      <c r="H569" s="101"/>
      <c r="J569" s="101"/>
      <c r="L569" s="56"/>
    </row>
    <row r="570">
      <c r="B570" s="101"/>
      <c r="D570" s="101"/>
      <c r="F570" s="101"/>
      <c r="H570" s="101"/>
      <c r="J570" s="101"/>
      <c r="L570" s="56"/>
    </row>
    <row r="571">
      <c r="B571" s="101"/>
      <c r="D571" s="101"/>
      <c r="F571" s="101"/>
      <c r="H571" s="101"/>
      <c r="J571" s="101"/>
      <c r="L571" s="56"/>
    </row>
    <row r="572">
      <c r="B572" s="101"/>
      <c r="D572" s="101"/>
      <c r="F572" s="101"/>
      <c r="H572" s="101"/>
      <c r="J572" s="101"/>
      <c r="L572" s="56"/>
    </row>
    <row r="573">
      <c r="B573" s="101"/>
      <c r="D573" s="101"/>
      <c r="F573" s="101"/>
      <c r="H573" s="101"/>
      <c r="J573" s="101"/>
      <c r="L573" s="56"/>
    </row>
    <row r="574">
      <c r="B574" s="101"/>
      <c r="D574" s="101"/>
      <c r="F574" s="101"/>
      <c r="H574" s="101"/>
      <c r="J574" s="101"/>
      <c r="L574" s="56"/>
    </row>
    <row r="575">
      <c r="B575" s="101"/>
      <c r="D575" s="101"/>
      <c r="F575" s="101"/>
      <c r="H575" s="101"/>
      <c r="J575" s="101"/>
      <c r="L575" s="56"/>
    </row>
    <row r="576">
      <c r="B576" s="101"/>
      <c r="D576" s="101"/>
      <c r="F576" s="101"/>
      <c r="H576" s="101"/>
      <c r="J576" s="101"/>
      <c r="L576" s="56"/>
    </row>
    <row r="577">
      <c r="B577" s="101"/>
      <c r="D577" s="101"/>
      <c r="F577" s="101"/>
      <c r="H577" s="101"/>
      <c r="J577" s="101"/>
      <c r="L577" s="56"/>
    </row>
    <row r="578">
      <c r="B578" s="101"/>
      <c r="D578" s="101"/>
      <c r="F578" s="101"/>
      <c r="H578" s="101"/>
      <c r="J578" s="101"/>
      <c r="L578" s="56"/>
    </row>
    <row r="579">
      <c r="B579" s="101"/>
      <c r="D579" s="101"/>
      <c r="F579" s="101"/>
      <c r="H579" s="101"/>
      <c r="J579" s="101"/>
      <c r="L579" s="56"/>
    </row>
    <row r="580">
      <c r="B580" s="101"/>
      <c r="D580" s="101"/>
      <c r="F580" s="101"/>
      <c r="H580" s="101"/>
      <c r="J580" s="101"/>
      <c r="L580" s="56"/>
    </row>
    <row r="581">
      <c r="B581" s="101"/>
      <c r="D581" s="101"/>
      <c r="F581" s="101"/>
      <c r="H581" s="101"/>
      <c r="J581" s="101"/>
      <c r="L581" s="56"/>
    </row>
    <row r="582">
      <c r="B582" s="101"/>
      <c r="D582" s="101"/>
      <c r="F582" s="101"/>
      <c r="H582" s="101"/>
      <c r="J582" s="101"/>
      <c r="L582" s="56"/>
    </row>
    <row r="583">
      <c r="B583" s="101"/>
      <c r="D583" s="101"/>
      <c r="F583" s="101"/>
      <c r="H583" s="101"/>
      <c r="J583" s="101"/>
      <c r="L583" s="56"/>
    </row>
    <row r="584">
      <c r="B584" s="101"/>
      <c r="D584" s="101"/>
      <c r="F584" s="101"/>
      <c r="H584" s="101"/>
      <c r="J584" s="101"/>
      <c r="L584" s="56"/>
    </row>
    <row r="585">
      <c r="B585" s="101"/>
      <c r="D585" s="101"/>
      <c r="F585" s="101"/>
      <c r="H585" s="101"/>
      <c r="J585" s="101"/>
      <c r="L585" s="56"/>
    </row>
    <row r="586">
      <c r="B586" s="101"/>
      <c r="D586" s="101"/>
      <c r="F586" s="101"/>
      <c r="H586" s="101"/>
      <c r="J586" s="101"/>
      <c r="L586" s="56"/>
    </row>
    <row r="587">
      <c r="B587" s="101"/>
      <c r="D587" s="101"/>
      <c r="F587" s="101"/>
      <c r="H587" s="101"/>
      <c r="J587" s="101"/>
      <c r="L587" s="56"/>
    </row>
    <row r="588">
      <c r="B588" s="101"/>
      <c r="D588" s="101"/>
      <c r="F588" s="101"/>
      <c r="H588" s="101"/>
      <c r="J588" s="101"/>
      <c r="L588" s="56"/>
    </row>
    <row r="589">
      <c r="B589" s="101"/>
      <c r="D589" s="101"/>
      <c r="F589" s="101"/>
      <c r="H589" s="101"/>
      <c r="J589" s="101"/>
      <c r="L589" s="56"/>
    </row>
    <row r="590">
      <c r="B590" s="101"/>
      <c r="D590" s="101"/>
      <c r="F590" s="101"/>
      <c r="H590" s="101"/>
      <c r="J590" s="101"/>
      <c r="L590" s="56"/>
    </row>
    <row r="591">
      <c r="B591" s="101"/>
      <c r="D591" s="101"/>
      <c r="F591" s="101"/>
      <c r="H591" s="101"/>
      <c r="J591" s="101"/>
      <c r="L591" s="56"/>
    </row>
    <row r="592">
      <c r="B592" s="101"/>
      <c r="D592" s="101"/>
      <c r="F592" s="101"/>
      <c r="H592" s="101"/>
      <c r="J592" s="101"/>
      <c r="L592" s="56"/>
    </row>
    <row r="593">
      <c r="B593" s="101"/>
      <c r="D593" s="101"/>
      <c r="F593" s="101"/>
      <c r="H593" s="101"/>
      <c r="J593" s="101"/>
      <c r="L593" s="56"/>
    </row>
    <row r="594">
      <c r="B594" s="101"/>
      <c r="D594" s="101"/>
      <c r="F594" s="101"/>
      <c r="H594" s="101"/>
      <c r="J594" s="101"/>
      <c r="L594" s="56"/>
    </row>
    <row r="595">
      <c r="B595" s="101"/>
      <c r="D595" s="101"/>
      <c r="F595" s="101"/>
      <c r="H595" s="101"/>
      <c r="J595" s="101"/>
      <c r="L595" s="56"/>
    </row>
    <row r="596">
      <c r="B596" s="101"/>
      <c r="D596" s="101"/>
      <c r="F596" s="101"/>
      <c r="H596" s="101"/>
      <c r="J596" s="101"/>
      <c r="L596" s="56"/>
    </row>
    <row r="597">
      <c r="B597" s="101"/>
      <c r="D597" s="101"/>
      <c r="F597" s="101"/>
      <c r="H597" s="101"/>
      <c r="J597" s="101"/>
      <c r="L597" s="56"/>
    </row>
    <row r="598">
      <c r="B598" s="101"/>
      <c r="D598" s="101"/>
      <c r="F598" s="101"/>
      <c r="H598" s="101"/>
      <c r="J598" s="101"/>
      <c r="L598" s="56"/>
    </row>
    <row r="599">
      <c r="B599" s="101"/>
      <c r="D599" s="101"/>
      <c r="F599" s="101"/>
      <c r="H599" s="101"/>
      <c r="J599" s="101"/>
      <c r="L599" s="56"/>
    </row>
    <row r="600">
      <c r="B600" s="101"/>
      <c r="D600" s="101"/>
      <c r="F600" s="101"/>
      <c r="H600" s="101"/>
      <c r="J600" s="101"/>
      <c r="L600" s="56"/>
    </row>
    <row r="601">
      <c r="B601" s="101"/>
      <c r="D601" s="101"/>
      <c r="F601" s="101"/>
      <c r="H601" s="101"/>
      <c r="J601" s="101"/>
      <c r="L601" s="56"/>
    </row>
    <row r="602">
      <c r="B602" s="101"/>
      <c r="D602" s="101"/>
      <c r="F602" s="101"/>
      <c r="H602" s="101"/>
      <c r="J602" s="101"/>
      <c r="L602" s="56"/>
    </row>
    <row r="603">
      <c r="B603" s="101"/>
      <c r="D603" s="101"/>
      <c r="F603" s="101"/>
      <c r="H603" s="101"/>
      <c r="J603" s="101"/>
      <c r="L603" s="56"/>
    </row>
    <row r="604">
      <c r="B604" s="101"/>
      <c r="D604" s="101"/>
      <c r="F604" s="101"/>
      <c r="H604" s="101"/>
      <c r="J604" s="101"/>
      <c r="L604" s="56"/>
    </row>
    <row r="605">
      <c r="B605" s="101"/>
      <c r="D605" s="101"/>
      <c r="F605" s="101"/>
      <c r="H605" s="101"/>
      <c r="J605" s="101"/>
      <c r="L605" s="56"/>
    </row>
    <row r="606">
      <c r="B606" s="101"/>
      <c r="D606" s="101"/>
      <c r="F606" s="101"/>
      <c r="H606" s="101"/>
      <c r="J606" s="101"/>
      <c r="L606" s="56"/>
    </row>
    <row r="607">
      <c r="B607" s="101"/>
      <c r="D607" s="101"/>
      <c r="F607" s="101"/>
      <c r="H607" s="101"/>
      <c r="J607" s="101"/>
      <c r="L607" s="56"/>
    </row>
    <row r="608">
      <c r="B608" s="101"/>
      <c r="D608" s="101"/>
      <c r="F608" s="101"/>
      <c r="H608" s="101"/>
      <c r="J608" s="101"/>
      <c r="L608" s="56"/>
    </row>
    <row r="609">
      <c r="B609" s="101"/>
      <c r="D609" s="101"/>
      <c r="F609" s="101"/>
      <c r="H609" s="101"/>
      <c r="J609" s="101"/>
      <c r="L609" s="56"/>
    </row>
    <row r="610">
      <c r="B610" s="101"/>
      <c r="D610" s="101"/>
      <c r="F610" s="101"/>
      <c r="H610" s="101"/>
      <c r="J610" s="101"/>
      <c r="L610" s="56"/>
    </row>
    <row r="611">
      <c r="B611" s="101"/>
      <c r="D611" s="101"/>
      <c r="F611" s="101"/>
      <c r="H611" s="101"/>
      <c r="J611" s="101"/>
      <c r="L611" s="56"/>
    </row>
    <row r="612">
      <c r="B612" s="101"/>
      <c r="D612" s="101"/>
      <c r="F612" s="101"/>
      <c r="H612" s="101"/>
      <c r="J612" s="101"/>
      <c r="L612" s="56"/>
    </row>
    <row r="613">
      <c r="B613" s="101"/>
      <c r="D613" s="101"/>
      <c r="F613" s="101"/>
      <c r="H613" s="101"/>
      <c r="J613" s="101"/>
      <c r="L613" s="56"/>
    </row>
    <row r="614">
      <c r="B614" s="101"/>
      <c r="D614" s="101"/>
      <c r="F614" s="101"/>
      <c r="H614" s="101"/>
      <c r="J614" s="101"/>
      <c r="L614" s="56"/>
    </row>
    <row r="615">
      <c r="B615" s="101"/>
      <c r="D615" s="101"/>
      <c r="F615" s="101"/>
      <c r="H615" s="101"/>
      <c r="J615" s="101"/>
      <c r="L615" s="56"/>
    </row>
    <row r="616">
      <c r="B616" s="101"/>
      <c r="D616" s="101"/>
      <c r="F616" s="101"/>
      <c r="H616" s="101"/>
      <c r="J616" s="101"/>
      <c r="L616" s="56"/>
    </row>
    <row r="617">
      <c r="B617" s="101"/>
      <c r="D617" s="101"/>
      <c r="F617" s="101"/>
      <c r="H617" s="101"/>
      <c r="J617" s="101"/>
      <c r="L617" s="56"/>
    </row>
    <row r="618">
      <c r="B618" s="101"/>
      <c r="D618" s="101"/>
      <c r="F618" s="101"/>
      <c r="H618" s="101"/>
      <c r="J618" s="101"/>
      <c r="L618" s="56"/>
    </row>
    <row r="619">
      <c r="B619" s="101"/>
      <c r="D619" s="101"/>
      <c r="F619" s="101"/>
      <c r="H619" s="101"/>
      <c r="J619" s="101"/>
      <c r="L619" s="56"/>
    </row>
    <row r="620">
      <c r="B620" s="101"/>
      <c r="D620" s="101"/>
      <c r="F620" s="101"/>
      <c r="H620" s="101"/>
      <c r="J620" s="101"/>
      <c r="L620" s="56"/>
    </row>
    <row r="621">
      <c r="B621" s="101"/>
      <c r="D621" s="101"/>
      <c r="F621" s="101"/>
      <c r="H621" s="101"/>
      <c r="J621" s="101"/>
      <c r="L621" s="56"/>
    </row>
    <row r="622">
      <c r="B622" s="101"/>
      <c r="D622" s="101"/>
      <c r="F622" s="101"/>
      <c r="H622" s="101"/>
      <c r="J622" s="101"/>
      <c r="L622" s="56"/>
    </row>
    <row r="623">
      <c r="B623" s="101"/>
      <c r="D623" s="101"/>
      <c r="F623" s="101"/>
      <c r="H623" s="101"/>
      <c r="J623" s="101"/>
      <c r="L623" s="56"/>
    </row>
    <row r="624">
      <c r="B624" s="101"/>
      <c r="D624" s="101"/>
      <c r="F624" s="101"/>
      <c r="H624" s="101"/>
      <c r="J624" s="101"/>
      <c r="L624" s="56"/>
    </row>
    <row r="625">
      <c r="B625" s="101"/>
      <c r="D625" s="101"/>
      <c r="F625" s="101"/>
      <c r="H625" s="101"/>
      <c r="J625" s="101"/>
      <c r="L625" s="56"/>
    </row>
    <row r="626">
      <c r="B626" s="101"/>
      <c r="D626" s="101"/>
      <c r="F626" s="101"/>
      <c r="H626" s="101"/>
      <c r="J626" s="101"/>
      <c r="L626" s="56"/>
    </row>
    <row r="627">
      <c r="B627" s="101"/>
      <c r="D627" s="101"/>
      <c r="F627" s="101"/>
      <c r="H627" s="101"/>
      <c r="J627" s="101"/>
      <c r="L627" s="56"/>
    </row>
    <row r="628">
      <c r="B628" s="101"/>
      <c r="D628" s="101"/>
      <c r="F628" s="101"/>
      <c r="H628" s="101"/>
      <c r="J628" s="101"/>
      <c r="L628" s="56"/>
    </row>
    <row r="629">
      <c r="B629" s="101"/>
      <c r="D629" s="101"/>
      <c r="F629" s="101"/>
      <c r="H629" s="101"/>
      <c r="J629" s="101"/>
      <c r="L629" s="56"/>
    </row>
    <row r="630">
      <c r="B630" s="101"/>
      <c r="D630" s="101"/>
      <c r="F630" s="101"/>
      <c r="H630" s="101"/>
      <c r="J630" s="101"/>
      <c r="L630" s="56"/>
    </row>
    <row r="631">
      <c r="B631" s="101"/>
      <c r="D631" s="101"/>
      <c r="F631" s="101"/>
      <c r="H631" s="101"/>
      <c r="J631" s="101"/>
      <c r="L631" s="56"/>
    </row>
    <row r="632">
      <c r="B632" s="101"/>
      <c r="D632" s="101"/>
      <c r="F632" s="101"/>
      <c r="H632" s="101"/>
      <c r="J632" s="101"/>
      <c r="L632" s="56"/>
    </row>
    <row r="633">
      <c r="B633" s="101"/>
      <c r="D633" s="101"/>
      <c r="F633" s="101"/>
      <c r="H633" s="101"/>
      <c r="J633" s="101"/>
      <c r="L633" s="56"/>
    </row>
    <row r="634">
      <c r="B634" s="101"/>
      <c r="D634" s="101"/>
      <c r="F634" s="101"/>
      <c r="H634" s="101"/>
      <c r="J634" s="101"/>
      <c r="L634" s="56"/>
    </row>
    <row r="635">
      <c r="B635" s="101"/>
      <c r="D635" s="101"/>
      <c r="F635" s="101"/>
      <c r="H635" s="101"/>
      <c r="J635" s="101"/>
      <c r="L635" s="56"/>
    </row>
    <row r="636">
      <c r="B636" s="101"/>
      <c r="D636" s="101"/>
      <c r="F636" s="101"/>
      <c r="H636" s="101"/>
      <c r="J636" s="101"/>
      <c r="L636" s="56"/>
    </row>
    <row r="637">
      <c r="B637" s="101"/>
      <c r="D637" s="101"/>
      <c r="F637" s="101"/>
      <c r="H637" s="101"/>
      <c r="J637" s="101"/>
      <c r="L637" s="56"/>
    </row>
    <row r="638">
      <c r="B638" s="101"/>
      <c r="D638" s="101"/>
      <c r="F638" s="101"/>
      <c r="H638" s="101"/>
      <c r="J638" s="101"/>
      <c r="L638" s="56"/>
    </row>
    <row r="639">
      <c r="B639" s="101"/>
      <c r="D639" s="101"/>
      <c r="F639" s="101"/>
      <c r="H639" s="101"/>
      <c r="J639" s="101"/>
      <c r="L639" s="56"/>
    </row>
    <row r="640">
      <c r="B640" s="101"/>
      <c r="D640" s="101"/>
      <c r="F640" s="101"/>
      <c r="H640" s="101"/>
      <c r="J640" s="101"/>
      <c r="L640" s="56"/>
    </row>
    <row r="641">
      <c r="B641" s="101"/>
      <c r="D641" s="101"/>
      <c r="F641" s="101"/>
      <c r="H641" s="101"/>
      <c r="J641" s="101"/>
      <c r="L641" s="56"/>
    </row>
    <row r="642">
      <c r="B642" s="101"/>
      <c r="D642" s="101"/>
      <c r="F642" s="101"/>
      <c r="H642" s="101"/>
      <c r="J642" s="101"/>
      <c r="L642" s="56"/>
    </row>
    <row r="643">
      <c r="B643" s="101"/>
      <c r="D643" s="101"/>
      <c r="F643" s="101"/>
      <c r="H643" s="101"/>
      <c r="J643" s="101"/>
      <c r="L643" s="56"/>
    </row>
    <row r="644">
      <c r="B644" s="101"/>
      <c r="D644" s="101"/>
      <c r="F644" s="101"/>
      <c r="H644" s="101"/>
      <c r="J644" s="101"/>
      <c r="L644" s="56"/>
    </row>
    <row r="645">
      <c r="B645" s="101"/>
      <c r="D645" s="101"/>
      <c r="F645" s="101"/>
      <c r="H645" s="101"/>
      <c r="J645" s="101"/>
      <c r="L645" s="56"/>
    </row>
    <row r="646">
      <c r="B646" s="101"/>
      <c r="D646" s="101"/>
      <c r="F646" s="101"/>
      <c r="H646" s="101"/>
      <c r="J646" s="101"/>
      <c r="L646" s="56"/>
    </row>
    <row r="647">
      <c r="B647" s="101"/>
      <c r="D647" s="101"/>
      <c r="F647" s="101"/>
      <c r="H647" s="101"/>
      <c r="J647" s="101"/>
      <c r="L647" s="56"/>
    </row>
    <row r="648">
      <c r="B648" s="101"/>
      <c r="D648" s="101"/>
      <c r="F648" s="101"/>
      <c r="H648" s="101"/>
      <c r="J648" s="101"/>
      <c r="L648" s="56"/>
    </row>
    <row r="649">
      <c r="B649" s="101"/>
      <c r="D649" s="101"/>
      <c r="F649" s="101"/>
      <c r="H649" s="101"/>
      <c r="J649" s="101"/>
      <c r="L649" s="56"/>
    </row>
    <row r="650">
      <c r="B650" s="101"/>
      <c r="D650" s="101"/>
      <c r="F650" s="101"/>
      <c r="H650" s="101"/>
      <c r="J650" s="101"/>
      <c r="L650" s="56"/>
    </row>
    <row r="651">
      <c r="B651" s="101"/>
      <c r="D651" s="101"/>
      <c r="F651" s="101"/>
      <c r="H651" s="101"/>
      <c r="J651" s="101"/>
      <c r="L651" s="56"/>
    </row>
    <row r="652">
      <c r="B652" s="101"/>
      <c r="D652" s="101"/>
      <c r="F652" s="101"/>
      <c r="H652" s="101"/>
      <c r="J652" s="101"/>
      <c r="L652" s="56"/>
    </row>
    <row r="653">
      <c r="B653" s="101"/>
      <c r="D653" s="101"/>
      <c r="F653" s="101"/>
      <c r="H653" s="101"/>
      <c r="J653" s="101"/>
      <c r="L653" s="56"/>
    </row>
    <row r="654">
      <c r="B654" s="101"/>
      <c r="D654" s="101"/>
      <c r="F654" s="101"/>
      <c r="H654" s="101"/>
      <c r="J654" s="101"/>
      <c r="L654" s="56"/>
    </row>
    <row r="655">
      <c r="B655" s="101"/>
      <c r="D655" s="101"/>
      <c r="F655" s="101"/>
      <c r="H655" s="101"/>
      <c r="J655" s="101"/>
      <c r="L655" s="56"/>
    </row>
    <row r="656">
      <c r="B656" s="101"/>
      <c r="D656" s="101"/>
      <c r="F656" s="101"/>
      <c r="H656" s="101"/>
      <c r="J656" s="101"/>
      <c r="L656" s="56"/>
    </row>
    <row r="657">
      <c r="B657" s="101"/>
      <c r="D657" s="101"/>
      <c r="F657" s="101"/>
      <c r="H657" s="101"/>
      <c r="J657" s="101"/>
      <c r="L657" s="56"/>
    </row>
    <row r="658">
      <c r="B658" s="101"/>
      <c r="D658" s="101"/>
      <c r="F658" s="101"/>
      <c r="H658" s="101"/>
      <c r="J658" s="101"/>
      <c r="L658" s="56"/>
    </row>
    <row r="659">
      <c r="B659" s="101"/>
      <c r="D659" s="101"/>
      <c r="F659" s="101"/>
      <c r="H659" s="101"/>
      <c r="J659" s="101"/>
      <c r="L659" s="56"/>
    </row>
    <row r="660">
      <c r="B660" s="101"/>
      <c r="D660" s="101"/>
      <c r="F660" s="101"/>
      <c r="H660" s="101"/>
      <c r="J660" s="101"/>
      <c r="L660" s="56"/>
    </row>
    <row r="661">
      <c r="B661" s="101"/>
      <c r="D661" s="101"/>
      <c r="F661" s="101"/>
      <c r="H661" s="101"/>
      <c r="J661" s="101"/>
      <c r="L661" s="56"/>
    </row>
    <row r="662">
      <c r="B662" s="101"/>
      <c r="D662" s="101"/>
      <c r="F662" s="101"/>
      <c r="H662" s="101"/>
      <c r="J662" s="101"/>
      <c r="L662" s="56"/>
    </row>
    <row r="663">
      <c r="B663" s="101"/>
      <c r="D663" s="101"/>
      <c r="F663" s="101"/>
      <c r="H663" s="101"/>
      <c r="J663" s="101"/>
      <c r="L663" s="56"/>
    </row>
    <row r="664">
      <c r="B664" s="101"/>
      <c r="D664" s="101"/>
      <c r="F664" s="101"/>
      <c r="H664" s="101"/>
      <c r="J664" s="101"/>
      <c r="L664" s="56"/>
    </row>
    <row r="665">
      <c r="B665" s="101"/>
      <c r="D665" s="101"/>
      <c r="F665" s="101"/>
      <c r="H665" s="101"/>
      <c r="J665" s="101"/>
      <c r="L665" s="56"/>
    </row>
    <row r="666">
      <c r="B666" s="101"/>
      <c r="D666" s="101"/>
      <c r="F666" s="101"/>
      <c r="H666" s="101"/>
      <c r="J666" s="101"/>
      <c r="L666" s="56"/>
    </row>
    <row r="667">
      <c r="B667" s="101"/>
      <c r="D667" s="101"/>
      <c r="F667" s="101"/>
      <c r="H667" s="101"/>
      <c r="J667" s="101"/>
      <c r="L667" s="56"/>
    </row>
    <row r="668">
      <c r="B668" s="101"/>
      <c r="D668" s="101"/>
      <c r="F668" s="101"/>
      <c r="H668" s="101"/>
      <c r="J668" s="101"/>
      <c r="L668" s="56"/>
    </row>
    <row r="669">
      <c r="B669" s="101"/>
      <c r="D669" s="101"/>
      <c r="F669" s="101"/>
      <c r="H669" s="101"/>
      <c r="J669" s="101"/>
      <c r="L669" s="56"/>
    </row>
    <row r="670">
      <c r="B670" s="101"/>
      <c r="D670" s="101"/>
      <c r="F670" s="101"/>
      <c r="H670" s="101"/>
      <c r="J670" s="101"/>
      <c r="L670" s="56"/>
    </row>
    <row r="671">
      <c r="B671" s="101"/>
      <c r="D671" s="101"/>
      <c r="F671" s="101"/>
      <c r="H671" s="101"/>
      <c r="J671" s="101"/>
      <c r="L671" s="56"/>
    </row>
    <row r="672">
      <c r="B672" s="101"/>
      <c r="D672" s="101"/>
      <c r="F672" s="101"/>
      <c r="H672" s="101"/>
      <c r="J672" s="101"/>
      <c r="L672" s="56"/>
    </row>
    <row r="673">
      <c r="B673" s="101"/>
      <c r="D673" s="101"/>
      <c r="F673" s="101"/>
      <c r="H673" s="101"/>
      <c r="J673" s="101"/>
      <c r="L673" s="56"/>
    </row>
    <row r="674">
      <c r="B674" s="101"/>
      <c r="D674" s="101"/>
      <c r="F674" s="101"/>
      <c r="H674" s="101"/>
      <c r="J674" s="101"/>
      <c r="L674" s="56"/>
    </row>
    <row r="675">
      <c r="B675" s="101"/>
      <c r="D675" s="101"/>
      <c r="F675" s="101"/>
      <c r="H675" s="101"/>
      <c r="J675" s="101"/>
      <c r="L675" s="56"/>
    </row>
    <row r="676">
      <c r="B676" s="101"/>
      <c r="D676" s="101"/>
      <c r="F676" s="101"/>
      <c r="H676" s="101"/>
      <c r="J676" s="101"/>
      <c r="L676" s="56"/>
    </row>
    <row r="677">
      <c r="B677" s="101"/>
      <c r="D677" s="101"/>
      <c r="F677" s="101"/>
      <c r="H677" s="101"/>
      <c r="J677" s="101"/>
      <c r="L677" s="56"/>
    </row>
    <row r="678">
      <c r="B678" s="101"/>
      <c r="D678" s="101"/>
      <c r="F678" s="101"/>
      <c r="H678" s="101"/>
      <c r="J678" s="101"/>
      <c r="L678" s="56"/>
    </row>
    <row r="679">
      <c r="B679" s="101"/>
      <c r="D679" s="101"/>
      <c r="F679" s="101"/>
      <c r="H679" s="101"/>
      <c r="J679" s="101"/>
      <c r="L679" s="56"/>
    </row>
    <row r="680">
      <c r="B680" s="101"/>
      <c r="D680" s="101"/>
      <c r="F680" s="101"/>
      <c r="H680" s="101"/>
      <c r="J680" s="101"/>
      <c r="L680" s="56"/>
    </row>
    <row r="681">
      <c r="B681" s="101"/>
      <c r="D681" s="101"/>
      <c r="F681" s="101"/>
      <c r="H681" s="101"/>
      <c r="J681" s="101"/>
      <c r="L681" s="56"/>
    </row>
    <row r="682">
      <c r="B682" s="101"/>
      <c r="D682" s="101"/>
      <c r="F682" s="101"/>
      <c r="H682" s="101"/>
      <c r="J682" s="101"/>
      <c r="L682" s="56"/>
    </row>
    <row r="683">
      <c r="B683" s="101"/>
      <c r="D683" s="101"/>
      <c r="F683" s="101"/>
      <c r="H683" s="101"/>
      <c r="J683" s="101"/>
      <c r="L683" s="56"/>
    </row>
    <row r="684">
      <c r="B684" s="101"/>
      <c r="D684" s="101"/>
      <c r="F684" s="101"/>
      <c r="H684" s="101"/>
      <c r="J684" s="101"/>
      <c r="L684" s="56"/>
    </row>
    <row r="685">
      <c r="B685" s="101"/>
      <c r="D685" s="101"/>
      <c r="F685" s="101"/>
      <c r="H685" s="101"/>
      <c r="J685" s="101"/>
      <c r="L685" s="56"/>
    </row>
    <row r="686">
      <c r="B686" s="101"/>
      <c r="D686" s="101"/>
      <c r="F686" s="101"/>
      <c r="H686" s="101"/>
      <c r="J686" s="101"/>
      <c r="L686" s="56"/>
    </row>
    <row r="687">
      <c r="B687" s="101"/>
      <c r="D687" s="101"/>
      <c r="F687" s="101"/>
      <c r="H687" s="101"/>
      <c r="J687" s="101"/>
      <c r="L687" s="56"/>
    </row>
    <row r="688">
      <c r="B688" s="101"/>
      <c r="D688" s="101"/>
      <c r="F688" s="101"/>
      <c r="H688" s="101"/>
      <c r="J688" s="101"/>
      <c r="L688" s="56"/>
    </row>
    <row r="689">
      <c r="B689" s="101"/>
      <c r="D689" s="101"/>
      <c r="F689" s="101"/>
      <c r="H689" s="101"/>
      <c r="J689" s="101"/>
      <c r="L689" s="56"/>
    </row>
    <row r="690">
      <c r="B690" s="101"/>
      <c r="D690" s="101"/>
      <c r="F690" s="101"/>
      <c r="H690" s="101"/>
      <c r="J690" s="101"/>
      <c r="L690" s="56"/>
    </row>
    <row r="691">
      <c r="B691" s="101"/>
      <c r="D691" s="101"/>
      <c r="F691" s="101"/>
      <c r="H691" s="101"/>
      <c r="J691" s="101"/>
      <c r="L691" s="56"/>
    </row>
    <row r="692">
      <c r="B692" s="101"/>
      <c r="D692" s="101"/>
      <c r="F692" s="101"/>
      <c r="H692" s="101"/>
      <c r="J692" s="101"/>
      <c r="L692" s="56"/>
    </row>
    <row r="693">
      <c r="B693" s="101"/>
      <c r="D693" s="101"/>
      <c r="F693" s="101"/>
      <c r="H693" s="101"/>
      <c r="J693" s="101"/>
      <c r="L693" s="56"/>
    </row>
    <row r="694">
      <c r="B694" s="101"/>
      <c r="D694" s="101"/>
      <c r="F694" s="101"/>
      <c r="H694" s="101"/>
      <c r="J694" s="101"/>
      <c r="L694" s="56"/>
    </row>
    <row r="695">
      <c r="B695" s="101"/>
      <c r="D695" s="101"/>
      <c r="F695" s="101"/>
      <c r="H695" s="101"/>
      <c r="J695" s="101"/>
      <c r="L695" s="56"/>
    </row>
    <row r="696">
      <c r="B696" s="101"/>
      <c r="D696" s="101"/>
      <c r="F696" s="101"/>
      <c r="H696" s="101"/>
      <c r="J696" s="101"/>
      <c r="L696" s="56"/>
    </row>
    <row r="697">
      <c r="B697" s="101"/>
      <c r="D697" s="101"/>
      <c r="F697" s="101"/>
      <c r="H697" s="101"/>
      <c r="J697" s="101"/>
      <c r="L697" s="56"/>
    </row>
    <row r="698">
      <c r="B698" s="101"/>
      <c r="D698" s="101"/>
      <c r="F698" s="101"/>
      <c r="H698" s="101"/>
      <c r="J698" s="101"/>
      <c r="L698" s="56"/>
    </row>
    <row r="699">
      <c r="B699" s="101"/>
      <c r="D699" s="101"/>
      <c r="F699" s="101"/>
      <c r="H699" s="101"/>
      <c r="J699" s="101"/>
      <c r="L699" s="56"/>
    </row>
    <row r="700">
      <c r="B700" s="101"/>
      <c r="D700" s="101"/>
      <c r="F700" s="101"/>
      <c r="H700" s="101"/>
      <c r="J700" s="101"/>
      <c r="L700" s="56"/>
    </row>
    <row r="701">
      <c r="B701" s="101"/>
      <c r="D701" s="101"/>
      <c r="F701" s="101"/>
      <c r="H701" s="101"/>
      <c r="J701" s="101"/>
      <c r="L701" s="56"/>
    </row>
    <row r="702">
      <c r="B702" s="101"/>
      <c r="D702" s="101"/>
      <c r="F702" s="101"/>
      <c r="H702" s="101"/>
      <c r="J702" s="101"/>
      <c r="L702" s="56"/>
    </row>
    <row r="703">
      <c r="B703" s="101"/>
      <c r="D703" s="101"/>
      <c r="F703" s="101"/>
      <c r="H703" s="101"/>
      <c r="J703" s="101"/>
      <c r="L703" s="56"/>
    </row>
    <row r="704">
      <c r="B704" s="101"/>
      <c r="D704" s="101"/>
      <c r="F704" s="101"/>
      <c r="H704" s="101"/>
      <c r="J704" s="101"/>
      <c r="L704" s="56"/>
    </row>
    <row r="705">
      <c r="B705" s="101"/>
      <c r="D705" s="101"/>
      <c r="F705" s="101"/>
      <c r="H705" s="101"/>
      <c r="J705" s="101"/>
      <c r="L705" s="56"/>
    </row>
    <row r="706">
      <c r="B706" s="101"/>
      <c r="D706" s="101"/>
      <c r="F706" s="101"/>
      <c r="H706" s="101"/>
      <c r="J706" s="101"/>
      <c r="L706" s="56"/>
    </row>
    <row r="707">
      <c r="B707" s="101"/>
      <c r="D707" s="101"/>
      <c r="F707" s="101"/>
      <c r="H707" s="101"/>
      <c r="J707" s="101"/>
      <c r="L707" s="56"/>
    </row>
    <row r="708">
      <c r="B708" s="101"/>
      <c r="D708" s="101"/>
      <c r="F708" s="101"/>
      <c r="H708" s="101"/>
      <c r="J708" s="101"/>
      <c r="L708" s="56"/>
    </row>
    <row r="709">
      <c r="B709" s="101"/>
      <c r="D709" s="101"/>
      <c r="F709" s="101"/>
      <c r="H709" s="101"/>
      <c r="J709" s="101"/>
      <c r="L709" s="56"/>
    </row>
    <row r="710">
      <c r="B710" s="101"/>
      <c r="D710" s="101"/>
      <c r="F710" s="101"/>
      <c r="H710" s="101"/>
      <c r="J710" s="101"/>
      <c r="L710" s="56"/>
    </row>
    <row r="711">
      <c r="B711" s="101"/>
      <c r="D711" s="101"/>
      <c r="F711" s="101"/>
      <c r="H711" s="101"/>
      <c r="J711" s="101"/>
      <c r="L711" s="56"/>
    </row>
    <row r="712">
      <c r="B712" s="101"/>
      <c r="D712" s="101"/>
      <c r="F712" s="101"/>
      <c r="H712" s="101"/>
      <c r="J712" s="101"/>
      <c r="L712" s="56"/>
    </row>
    <row r="713">
      <c r="B713" s="101"/>
      <c r="D713" s="101"/>
      <c r="F713" s="101"/>
      <c r="H713" s="101"/>
      <c r="J713" s="101"/>
      <c r="L713" s="56"/>
    </row>
    <row r="714">
      <c r="B714" s="101"/>
      <c r="D714" s="101"/>
      <c r="F714" s="101"/>
      <c r="H714" s="101"/>
      <c r="J714" s="101"/>
      <c r="L714" s="56"/>
    </row>
    <row r="715">
      <c r="B715" s="101"/>
      <c r="D715" s="101"/>
      <c r="F715" s="101"/>
      <c r="H715" s="101"/>
      <c r="J715" s="101"/>
      <c r="L715" s="56"/>
    </row>
    <row r="716">
      <c r="B716" s="101"/>
      <c r="D716" s="101"/>
      <c r="F716" s="101"/>
      <c r="H716" s="101"/>
      <c r="J716" s="101"/>
      <c r="L716" s="56"/>
    </row>
    <row r="717">
      <c r="B717" s="101"/>
      <c r="D717" s="101"/>
      <c r="F717" s="101"/>
      <c r="H717" s="101"/>
      <c r="J717" s="101"/>
      <c r="L717" s="56"/>
    </row>
    <row r="718">
      <c r="B718" s="101"/>
      <c r="D718" s="101"/>
      <c r="F718" s="101"/>
      <c r="H718" s="101"/>
      <c r="J718" s="101"/>
      <c r="L718" s="56"/>
    </row>
    <row r="719">
      <c r="B719" s="101"/>
      <c r="D719" s="101"/>
      <c r="F719" s="101"/>
      <c r="H719" s="101"/>
      <c r="J719" s="101"/>
      <c r="L719" s="56"/>
    </row>
    <row r="720">
      <c r="B720" s="101"/>
      <c r="D720" s="101"/>
      <c r="F720" s="101"/>
      <c r="H720" s="101"/>
      <c r="J720" s="101"/>
      <c r="L720" s="56"/>
    </row>
    <row r="721">
      <c r="B721" s="101"/>
      <c r="D721" s="101"/>
      <c r="F721" s="101"/>
      <c r="H721" s="101"/>
      <c r="J721" s="101"/>
      <c r="L721" s="56"/>
    </row>
    <row r="722">
      <c r="B722" s="101"/>
      <c r="D722" s="101"/>
      <c r="F722" s="101"/>
      <c r="H722" s="101"/>
      <c r="J722" s="101"/>
      <c r="L722" s="56"/>
    </row>
    <row r="723">
      <c r="B723" s="101"/>
      <c r="D723" s="101"/>
      <c r="F723" s="101"/>
      <c r="H723" s="101"/>
      <c r="J723" s="101"/>
      <c r="L723" s="56"/>
    </row>
    <row r="724">
      <c r="B724" s="101"/>
      <c r="D724" s="101"/>
      <c r="F724" s="101"/>
      <c r="H724" s="101"/>
      <c r="J724" s="101"/>
      <c r="L724" s="56"/>
    </row>
    <row r="725">
      <c r="B725" s="101"/>
      <c r="D725" s="101"/>
      <c r="F725" s="101"/>
      <c r="H725" s="101"/>
      <c r="J725" s="101"/>
      <c r="L725" s="56"/>
    </row>
    <row r="726">
      <c r="B726" s="101"/>
      <c r="D726" s="101"/>
      <c r="F726" s="101"/>
      <c r="H726" s="101"/>
      <c r="J726" s="101"/>
      <c r="L726" s="56"/>
    </row>
    <row r="727">
      <c r="B727" s="101"/>
      <c r="D727" s="101"/>
      <c r="F727" s="101"/>
      <c r="H727" s="101"/>
      <c r="J727" s="101"/>
      <c r="L727" s="56"/>
    </row>
    <row r="728">
      <c r="B728" s="101"/>
      <c r="D728" s="101"/>
      <c r="F728" s="101"/>
      <c r="H728" s="101"/>
      <c r="J728" s="101"/>
      <c r="L728" s="56"/>
    </row>
    <row r="729">
      <c r="B729" s="101"/>
      <c r="D729" s="101"/>
      <c r="F729" s="101"/>
      <c r="H729" s="101"/>
      <c r="J729" s="101"/>
      <c r="L729" s="56"/>
    </row>
    <row r="730">
      <c r="B730" s="101"/>
      <c r="D730" s="101"/>
      <c r="F730" s="101"/>
      <c r="H730" s="101"/>
      <c r="J730" s="101"/>
      <c r="L730" s="56"/>
    </row>
    <row r="731">
      <c r="B731" s="101"/>
      <c r="D731" s="101"/>
      <c r="F731" s="101"/>
      <c r="H731" s="101"/>
      <c r="J731" s="101"/>
      <c r="L731" s="56"/>
    </row>
    <row r="732">
      <c r="B732" s="101"/>
      <c r="D732" s="101"/>
      <c r="F732" s="101"/>
      <c r="H732" s="101"/>
      <c r="J732" s="101"/>
      <c r="L732" s="56"/>
    </row>
    <row r="733">
      <c r="B733" s="101"/>
      <c r="D733" s="101"/>
      <c r="F733" s="101"/>
      <c r="H733" s="101"/>
      <c r="J733" s="101"/>
      <c r="L733" s="56"/>
    </row>
    <row r="734">
      <c r="B734" s="101"/>
      <c r="D734" s="101"/>
      <c r="F734" s="101"/>
      <c r="H734" s="101"/>
      <c r="J734" s="101"/>
      <c r="L734" s="56"/>
    </row>
    <row r="735">
      <c r="B735" s="101"/>
      <c r="D735" s="101"/>
      <c r="F735" s="101"/>
      <c r="H735" s="101"/>
      <c r="J735" s="101"/>
      <c r="L735" s="56"/>
    </row>
    <row r="736">
      <c r="B736" s="101"/>
      <c r="D736" s="101"/>
      <c r="F736" s="101"/>
      <c r="H736" s="101"/>
      <c r="J736" s="101"/>
      <c r="L736" s="56"/>
    </row>
    <row r="737">
      <c r="B737" s="101"/>
      <c r="D737" s="101"/>
      <c r="F737" s="101"/>
      <c r="H737" s="101"/>
      <c r="J737" s="101"/>
      <c r="L737" s="56"/>
    </row>
    <row r="738">
      <c r="B738" s="101"/>
      <c r="D738" s="101"/>
      <c r="F738" s="101"/>
      <c r="H738" s="101"/>
      <c r="J738" s="101"/>
      <c r="L738" s="56"/>
    </row>
    <row r="739">
      <c r="B739" s="101"/>
      <c r="D739" s="101"/>
      <c r="F739" s="101"/>
      <c r="H739" s="101"/>
      <c r="J739" s="101"/>
      <c r="L739" s="56"/>
    </row>
    <row r="740">
      <c r="B740" s="101"/>
      <c r="D740" s="101"/>
      <c r="F740" s="101"/>
      <c r="H740" s="101"/>
      <c r="J740" s="101"/>
      <c r="L740" s="56"/>
    </row>
    <row r="741">
      <c r="B741" s="101"/>
      <c r="D741" s="101"/>
      <c r="F741" s="101"/>
      <c r="H741" s="101"/>
      <c r="J741" s="101"/>
      <c r="L741" s="56"/>
    </row>
    <row r="742">
      <c r="B742" s="101"/>
      <c r="D742" s="101"/>
      <c r="F742" s="101"/>
      <c r="H742" s="101"/>
      <c r="J742" s="101"/>
      <c r="L742" s="56"/>
    </row>
    <row r="743">
      <c r="B743" s="101"/>
      <c r="D743" s="101"/>
      <c r="F743" s="101"/>
      <c r="H743" s="101"/>
      <c r="J743" s="101"/>
      <c r="L743" s="56"/>
    </row>
    <row r="744">
      <c r="B744" s="101"/>
      <c r="D744" s="101"/>
      <c r="F744" s="101"/>
      <c r="H744" s="101"/>
      <c r="J744" s="101"/>
      <c r="L744" s="56"/>
    </row>
    <row r="745">
      <c r="B745" s="101"/>
      <c r="D745" s="101"/>
      <c r="F745" s="101"/>
      <c r="H745" s="101"/>
      <c r="J745" s="101"/>
      <c r="L745" s="56"/>
    </row>
    <row r="746">
      <c r="B746" s="101"/>
      <c r="D746" s="101"/>
      <c r="F746" s="101"/>
      <c r="H746" s="101"/>
      <c r="J746" s="101"/>
      <c r="L746" s="56"/>
    </row>
    <row r="747">
      <c r="B747" s="101"/>
      <c r="D747" s="101"/>
      <c r="F747" s="101"/>
      <c r="H747" s="101"/>
      <c r="J747" s="101"/>
      <c r="L747" s="56"/>
    </row>
    <row r="748">
      <c r="B748" s="101"/>
      <c r="D748" s="101"/>
      <c r="F748" s="101"/>
      <c r="H748" s="101"/>
      <c r="J748" s="101"/>
      <c r="L748" s="56"/>
    </row>
    <row r="749">
      <c r="B749" s="101"/>
      <c r="D749" s="101"/>
      <c r="F749" s="101"/>
      <c r="H749" s="101"/>
      <c r="J749" s="101"/>
      <c r="L749" s="56"/>
    </row>
    <row r="750">
      <c r="B750" s="101"/>
      <c r="D750" s="101"/>
      <c r="F750" s="101"/>
      <c r="H750" s="101"/>
      <c r="J750" s="101"/>
      <c r="L750" s="56"/>
    </row>
    <row r="751">
      <c r="B751" s="101"/>
      <c r="D751" s="101"/>
      <c r="F751" s="101"/>
      <c r="H751" s="101"/>
      <c r="J751" s="101"/>
      <c r="L751" s="56"/>
    </row>
    <row r="752">
      <c r="B752" s="101"/>
      <c r="D752" s="101"/>
      <c r="F752" s="101"/>
      <c r="H752" s="101"/>
      <c r="J752" s="101"/>
      <c r="L752" s="56"/>
    </row>
    <row r="753">
      <c r="B753" s="101"/>
      <c r="D753" s="101"/>
      <c r="F753" s="101"/>
      <c r="H753" s="101"/>
      <c r="J753" s="101"/>
      <c r="L753" s="56"/>
    </row>
    <row r="754">
      <c r="B754" s="101"/>
      <c r="D754" s="101"/>
      <c r="F754" s="101"/>
      <c r="H754" s="101"/>
      <c r="J754" s="101"/>
      <c r="L754" s="56"/>
    </row>
    <row r="755">
      <c r="B755" s="101"/>
      <c r="D755" s="101"/>
      <c r="F755" s="101"/>
      <c r="H755" s="101"/>
      <c r="J755" s="101"/>
      <c r="L755" s="56"/>
    </row>
    <row r="756">
      <c r="B756" s="101"/>
      <c r="D756" s="101"/>
      <c r="F756" s="101"/>
      <c r="H756" s="101"/>
      <c r="J756" s="101"/>
      <c r="L756" s="56"/>
    </row>
    <row r="757">
      <c r="B757" s="101"/>
      <c r="D757" s="101"/>
      <c r="F757" s="101"/>
      <c r="H757" s="101"/>
      <c r="J757" s="101"/>
      <c r="L757" s="56"/>
    </row>
    <row r="758">
      <c r="B758" s="101"/>
      <c r="D758" s="101"/>
      <c r="F758" s="101"/>
      <c r="H758" s="101"/>
      <c r="J758" s="101"/>
      <c r="L758" s="56"/>
    </row>
    <row r="759">
      <c r="B759" s="101"/>
      <c r="D759" s="101"/>
      <c r="F759" s="101"/>
      <c r="H759" s="101"/>
      <c r="J759" s="101"/>
      <c r="L759" s="56"/>
    </row>
    <row r="760">
      <c r="B760" s="101"/>
      <c r="D760" s="101"/>
      <c r="F760" s="101"/>
      <c r="H760" s="101"/>
      <c r="J760" s="101"/>
      <c r="L760" s="56"/>
    </row>
    <row r="761">
      <c r="B761" s="101"/>
      <c r="D761" s="101"/>
      <c r="F761" s="101"/>
      <c r="H761" s="101"/>
      <c r="J761" s="101"/>
      <c r="L761" s="56"/>
    </row>
    <row r="762">
      <c r="B762" s="101"/>
      <c r="D762" s="101"/>
      <c r="F762" s="101"/>
      <c r="H762" s="101"/>
      <c r="J762" s="101"/>
      <c r="L762" s="56"/>
    </row>
    <row r="763">
      <c r="B763" s="101"/>
      <c r="D763" s="101"/>
      <c r="F763" s="101"/>
      <c r="H763" s="101"/>
      <c r="J763" s="101"/>
      <c r="L763" s="56"/>
    </row>
    <row r="764">
      <c r="B764" s="101"/>
      <c r="D764" s="101"/>
      <c r="F764" s="101"/>
      <c r="H764" s="101"/>
      <c r="J764" s="101"/>
      <c r="L764" s="56"/>
    </row>
    <row r="765">
      <c r="B765" s="101"/>
      <c r="D765" s="101"/>
      <c r="F765" s="101"/>
      <c r="H765" s="101"/>
      <c r="J765" s="101"/>
      <c r="L765" s="56"/>
    </row>
    <row r="766">
      <c r="B766" s="101"/>
      <c r="D766" s="101"/>
      <c r="F766" s="101"/>
      <c r="H766" s="101"/>
      <c r="J766" s="101"/>
      <c r="L766" s="56"/>
    </row>
    <row r="767">
      <c r="B767" s="101"/>
      <c r="D767" s="101"/>
      <c r="F767" s="101"/>
      <c r="H767" s="101"/>
      <c r="J767" s="101"/>
      <c r="L767" s="56"/>
    </row>
    <row r="768">
      <c r="B768" s="101"/>
      <c r="D768" s="101"/>
      <c r="F768" s="101"/>
      <c r="H768" s="101"/>
      <c r="J768" s="101"/>
      <c r="L768" s="56"/>
    </row>
    <row r="769">
      <c r="B769" s="101"/>
      <c r="D769" s="101"/>
      <c r="F769" s="101"/>
      <c r="H769" s="101"/>
      <c r="J769" s="101"/>
      <c r="L769" s="56"/>
    </row>
    <row r="770">
      <c r="B770" s="101"/>
      <c r="D770" s="101"/>
      <c r="F770" s="101"/>
      <c r="H770" s="101"/>
      <c r="J770" s="101"/>
      <c r="L770" s="56"/>
    </row>
    <row r="771">
      <c r="B771" s="101"/>
      <c r="D771" s="101"/>
      <c r="F771" s="101"/>
      <c r="H771" s="101"/>
      <c r="J771" s="101"/>
      <c r="L771" s="56"/>
    </row>
    <row r="772">
      <c r="B772" s="101"/>
      <c r="D772" s="101"/>
      <c r="F772" s="101"/>
      <c r="H772" s="101"/>
      <c r="J772" s="101"/>
      <c r="L772" s="56"/>
    </row>
    <row r="773">
      <c r="B773" s="101"/>
      <c r="D773" s="101"/>
      <c r="F773" s="101"/>
      <c r="H773" s="101"/>
      <c r="J773" s="101"/>
      <c r="L773" s="56"/>
    </row>
    <row r="774">
      <c r="B774" s="101"/>
      <c r="D774" s="101"/>
      <c r="F774" s="101"/>
      <c r="H774" s="101"/>
      <c r="J774" s="101"/>
      <c r="L774" s="56"/>
    </row>
    <row r="775">
      <c r="B775" s="101"/>
      <c r="D775" s="101"/>
      <c r="F775" s="101"/>
      <c r="H775" s="101"/>
      <c r="J775" s="101"/>
      <c r="L775" s="56"/>
    </row>
    <row r="776">
      <c r="B776" s="101"/>
      <c r="D776" s="101"/>
      <c r="F776" s="101"/>
      <c r="H776" s="101"/>
      <c r="J776" s="101"/>
      <c r="L776" s="56"/>
    </row>
    <row r="777">
      <c r="B777" s="101"/>
      <c r="D777" s="101"/>
      <c r="F777" s="101"/>
      <c r="H777" s="101"/>
      <c r="J777" s="101"/>
      <c r="L777" s="56"/>
    </row>
    <row r="778">
      <c r="B778" s="101"/>
      <c r="D778" s="101"/>
      <c r="F778" s="101"/>
      <c r="H778" s="101"/>
      <c r="J778" s="101"/>
      <c r="L778" s="56"/>
    </row>
    <row r="779">
      <c r="B779" s="101"/>
      <c r="D779" s="101"/>
      <c r="F779" s="101"/>
      <c r="H779" s="101"/>
      <c r="J779" s="101"/>
      <c r="L779" s="56"/>
    </row>
    <row r="780">
      <c r="B780" s="101"/>
      <c r="D780" s="101"/>
      <c r="F780" s="101"/>
      <c r="H780" s="101"/>
      <c r="J780" s="101"/>
      <c r="L780" s="56"/>
    </row>
    <row r="781">
      <c r="B781" s="101"/>
      <c r="D781" s="101"/>
      <c r="F781" s="101"/>
      <c r="H781" s="101"/>
      <c r="J781" s="101"/>
      <c r="L781" s="56"/>
    </row>
    <row r="782">
      <c r="B782" s="101"/>
      <c r="D782" s="101"/>
      <c r="F782" s="101"/>
      <c r="H782" s="101"/>
      <c r="J782" s="101"/>
      <c r="L782" s="56"/>
    </row>
    <row r="783">
      <c r="B783" s="101"/>
      <c r="D783" s="101"/>
      <c r="F783" s="101"/>
      <c r="H783" s="101"/>
      <c r="J783" s="101"/>
      <c r="L783" s="56"/>
    </row>
    <row r="784">
      <c r="B784" s="101"/>
      <c r="D784" s="101"/>
      <c r="F784" s="101"/>
      <c r="H784" s="101"/>
      <c r="J784" s="101"/>
      <c r="L784" s="56"/>
    </row>
    <row r="785">
      <c r="B785" s="101"/>
      <c r="D785" s="101"/>
      <c r="F785" s="101"/>
      <c r="H785" s="101"/>
      <c r="J785" s="101"/>
      <c r="L785" s="56"/>
    </row>
    <row r="786">
      <c r="B786" s="101"/>
      <c r="D786" s="101"/>
      <c r="F786" s="101"/>
      <c r="H786" s="101"/>
      <c r="J786" s="101"/>
      <c r="L786" s="56"/>
    </row>
    <row r="787">
      <c r="B787" s="101"/>
      <c r="D787" s="101"/>
      <c r="F787" s="101"/>
      <c r="H787" s="101"/>
      <c r="J787" s="101"/>
      <c r="L787" s="56"/>
    </row>
    <row r="788">
      <c r="B788" s="101"/>
      <c r="D788" s="101"/>
      <c r="F788" s="101"/>
      <c r="H788" s="101"/>
      <c r="J788" s="101"/>
      <c r="L788" s="56"/>
    </row>
    <row r="789">
      <c r="B789" s="101"/>
      <c r="D789" s="101"/>
      <c r="F789" s="101"/>
      <c r="H789" s="101"/>
      <c r="J789" s="101"/>
      <c r="L789" s="56"/>
    </row>
    <row r="790">
      <c r="B790" s="101"/>
      <c r="D790" s="101"/>
      <c r="F790" s="101"/>
      <c r="H790" s="101"/>
      <c r="J790" s="101"/>
      <c r="L790" s="56"/>
    </row>
    <row r="791">
      <c r="B791" s="101"/>
      <c r="D791" s="101"/>
      <c r="F791" s="101"/>
      <c r="H791" s="101"/>
      <c r="J791" s="101"/>
      <c r="L791" s="56"/>
    </row>
    <row r="792">
      <c r="B792" s="101"/>
      <c r="D792" s="101"/>
      <c r="F792" s="101"/>
      <c r="H792" s="101"/>
      <c r="J792" s="101"/>
      <c r="L792" s="56"/>
    </row>
    <row r="793">
      <c r="B793" s="101"/>
      <c r="D793" s="101"/>
      <c r="F793" s="101"/>
      <c r="H793" s="101"/>
      <c r="J793" s="101"/>
      <c r="L793" s="56"/>
    </row>
    <row r="794">
      <c r="B794" s="101"/>
      <c r="D794" s="101"/>
      <c r="F794" s="101"/>
      <c r="H794" s="101"/>
      <c r="J794" s="101"/>
      <c r="L794" s="56"/>
    </row>
    <row r="795">
      <c r="B795" s="101"/>
      <c r="D795" s="101"/>
      <c r="F795" s="101"/>
      <c r="H795" s="101"/>
      <c r="J795" s="101"/>
      <c r="L795" s="56"/>
    </row>
    <row r="796">
      <c r="B796" s="101"/>
      <c r="D796" s="101"/>
      <c r="F796" s="101"/>
      <c r="H796" s="101"/>
      <c r="J796" s="101"/>
      <c r="L796" s="56"/>
    </row>
    <row r="797">
      <c r="B797" s="101"/>
      <c r="D797" s="101"/>
      <c r="F797" s="101"/>
      <c r="H797" s="101"/>
      <c r="J797" s="101"/>
      <c r="L797" s="56"/>
    </row>
    <row r="798">
      <c r="B798" s="101"/>
      <c r="D798" s="101"/>
      <c r="F798" s="101"/>
      <c r="H798" s="101"/>
      <c r="J798" s="101"/>
      <c r="L798" s="56"/>
    </row>
    <row r="799">
      <c r="B799" s="101"/>
      <c r="D799" s="101"/>
      <c r="F799" s="101"/>
      <c r="H799" s="101"/>
      <c r="J799" s="101"/>
      <c r="L799" s="56"/>
    </row>
    <row r="800">
      <c r="B800" s="101"/>
      <c r="D800" s="101"/>
      <c r="F800" s="101"/>
      <c r="H800" s="101"/>
      <c r="J800" s="101"/>
      <c r="L800" s="56"/>
    </row>
    <row r="801">
      <c r="B801" s="101"/>
      <c r="D801" s="101"/>
      <c r="F801" s="101"/>
      <c r="H801" s="101"/>
      <c r="J801" s="101"/>
      <c r="L801" s="56"/>
    </row>
    <row r="802">
      <c r="B802" s="101"/>
      <c r="D802" s="101"/>
      <c r="F802" s="101"/>
      <c r="H802" s="101"/>
      <c r="J802" s="101"/>
      <c r="L802" s="56"/>
    </row>
    <row r="803">
      <c r="B803" s="101"/>
      <c r="D803" s="101"/>
      <c r="F803" s="101"/>
      <c r="H803" s="101"/>
      <c r="J803" s="101"/>
      <c r="L803" s="56"/>
    </row>
    <row r="804">
      <c r="B804" s="101"/>
      <c r="D804" s="101"/>
      <c r="F804" s="101"/>
      <c r="H804" s="101"/>
      <c r="J804" s="101"/>
      <c r="L804" s="56"/>
    </row>
    <row r="805">
      <c r="B805" s="101"/>
      <c r="D805" s="101"/>
      <c r="F805" s="101"/>
      <c r="H805" s="101"/>
      <c r="J805" s="101"/>
      <c r="L805" s="56"/>
    </row>
    <row r="806">
      <c r="B806" s="101"/>
      <c r="D806" s="101"/>
      <c r="F806" s="101"/>
      <c r="H806" s="101"/>
      <c r="J806" s="101"/>
      <c r="L806" s="56"/>
    </row>
    <row r="807">
      <c r="B807" s="101"/>
      <c r="D807" s="101"/>
      <c r="F807" s="101"/>
      <c r="H807" s="101"/>
      <c r="J807" s="101"/>
      <c r="L807" s="56"/>
    </row>
    <row r="808">
      <c r="B808" s="101"/>
      <c r="D808" s="101"/>
      <c r="F808" s="101"/>
      <c r="H808" s="101"/>
      <c r="J808" s="101"/>
      <c r="L808" s="56"/>
    </row>
    <row r="809">
      <c r="B809" s="101"/>
      <c r="D809" s="101"/>
      <c r="F809" s="101"/>
      <c r="H809" s="101"/>
      <c r="J809" s="101"/>
      <c r="L809" s="56"/>
    </row>
    <row r="810">
      <c r="B810" s="101"/>
      <c r="D810" s="101"/>
      <c r="F810" s="101"/>
      <c r="H810" s="101"/>
      <c r="J810" s="101"/>
      <c r="L810" s="56"/>
    </row>
    <row r="811">
      <c r="B811" s="101"/>
      <c r="D811" s="101"/>
      <c r="F811" s="101"/>
      <c r="H811" s="101"/>
      <c r="J811" s="101"/>
      <c r="L811" s="56"/>
    </row>
    <row r="812">
      <c r="B812" s="101"/>
      <c r="D812" s="101"/>
      <c r="F812" s="101"/>
      <c r="H812" s="101"/>
      <c r="J812" s="101"/>
      <c r="L812" s="56"/>
    </row>
    <row r="813">
      <c r="B813" s="101"/>
      <c r="D813" s="101"/>
      <c r="F813" s="101"/>
      <c r="H813" s="101"/>
      <c r="J813" s="101"/>
      <c r="L813" s="56"/>
    </row>
    <row r="814">
      <c r="B814" s="101"/>
      <c r="D814" s="101"/>
      <c r="F814" s="101"/>
      <c r="H814" s="101"/>
      <c r="J814" s="101"/>
      <c r="L814" s="56"/>
    </row>
    <row r="815">
      <c r="B815" s="101"/>
      <c r="D815" s="101"/>
      <c r="F815" s="101"/>
      <c r="H815" s="101"/>
      <c r="J815" s="101"/>
      <c r="L815" s="56"/>
    </row>
    <row r="816">
      <c r="B816" s="101"/>
      <c r="D816" s="101"/>
      <c r="F816" s="101"/>
      <c r="H816" s="101"/>
      <c r="J816" s="101"/>
      <c r="L816" s="56"/>
    </row>
    <row r="817">
      <c r="B817" s="101"/>
      <c r="D817" s="101"/>
      <c r="F817" s="101"/>
      <c r="H817" s="101"/>
      <c r="J817" s="101"/>
      <c r="L817" s="56"/>
    </row>
    <row r="818">
      <c r="B818" s="101"/>
      <c r="D818" s="101"/>
      <c r="F818" s="101"/>
      <c r="H818" s="101"/>
      <c r="J818" s="101"/>
      <c r="L818" s="56"/>
    </row>
    <row r="819">
      <c r="B819" s="101"/>
      <c r="D819" s="101"/>
      <c r="F819" s="101"/>
      <c r="H819" s="101"/>
      <c r="J819" s="101"/>
      <c r="L819" s="56"/>
    </row>
    <row r="820">
      <c r="B820" s="101"/>
      <c r="D820" s="101"/>
      <c r="F820" s="101"/>
      <c r="H820" s="101"/>
      <c r="J820" s="101"/>
      <c r="L820" s="56"/>
    </row>
    <row r="821">
      <c r="B821" s="101"/>
      <c r="D821" s="101"/>
      <c r="F821" s="101"/>
      <c r="H821" s="101"/>
      <c r="J821" s="101"/>
      <c r="L821" s="56"/>
    </row>
    <row r="822">
      <c r="B822" s="101"/>
      <c r="D822" s="101"/>
      <c r="F822" s="101"/>
      <c r="H822" s="101"/>
      <c r="J822" s="101"/>
      <c r="L822" s="56"/>
    </row>
    <row r="823">
      <c r="B823" s="101"/>
      <c r="D823" s="101"/>
      <c r="F823" s="101"/>
      <c r="H823" s="101"/>
      <c r="J823" s="101"/>
      <c r="L823" s="56"/>
    </row>
    <row r="824">
      <c r="B824" s="101"/>
      <c r="D824" s="101"/>
      <c r="F824" s="101"/>
      <c r="H824" s="101"/>
      <c r="J824" s="101"/>
      <c r="L824" s="56"/>
    </row>
    <row r="825">
      <c r="B825" s="101"/>
      <c r="D825" s="101"/>
      <c r="F825" s="101"/>
      <c r="H825" s="101"/>
      <c r="J825" s="101"/>
      <c r="L825" s="56"/>
    </row>
    <row r="826">
      <c r="B826" s="101"/>
      <c r="D826" s="101"/>
      <c r="F826" s="101"/>
      <c r="H826" s="101"/>
      <c r="J826" s="101"/>
      <c r="L826" s="56"/>
    </row>
    <row r="827">
      <c r="B827" s="101"/>
      <c r="D827" s="101"/>
      <c r="F827" s="101"/>
      <c r="H827" s="101"/>
      <c r="J827" s="101"/>
      <c r="L827" s="56"/>
    </row>
    <row r="828">
      <c r="B828" s="101"/>
      <c r="D828" s="101"/>
      <c r="F828" s="101"/>
      <c r="H828" s="101"/>
      <c r="J828" s="101"/>
      <c r="L828" s="56"/>
    </row>
    <row r="829">
      <c r="B829" s="101"/>
      <c r="D829" s="101"/>
      <c r="F829" s="101"/>
      <c r="H829" s="101"/>
      <c r="J829" s="101"/>
      <c r="L829" s="56"/>
    </row>
    <row r="830">
      <c r="B830" s="101"/>
      <c r="D830" s="101"/>
      <c r="F830" s="101"/>
      <c r="H830" s="101"/>
      <c r="J830" s="101"/>
      <c r="L830" s="56"/>
    </row>
    <row r="831">
      <c r="B831" s="101"/>
      <c r="D831" s="101"/>
      <c r="F831" s="101"/>
      <c r="H831" s="101"/>
      <c r="J831" s="101"/>
      <c r="L831" s="56"/>
    </row>
    <row r="832">
      <c r="B832" s="101"/>
      <c r="D832" s="101"/>
      <c r="F832" s="101"/>
      <c r="H832" s="101"/>
      <c r="J832" s="101"/>
      <c r="L832" s="56"/>
    </row>
    <row r="833">
      <c r="B833" s="101"/>
      <c r="D833" s="101"/>
      <c r="F833" s="101"/>
      <c r="H833" s="101"/>
      <c r="J833" s="101"/>
      <c r="L833" s="56"/>
    </row>
    <row r="834">
      <c r="B834" s="101"/>
      <c r="D834" s="101"/>
      <c r="F834" s="101"/>
      <c r="H834" s="101"/>
      <c r="J834" s="101"/>
      <c r="L834" s="56"/>
    </row>
    <row r="835">
      <c r="B835" s="101"/>
      <c r="D835" s="101"/>
      <c r="F835" s="101"/>
      <c r="H835" s="101"/>
      <c r="J835" s="101"/>
      <c r="L835" s="56"/>
    </row>
    <row r="836">
      <c r="B836" s="101"/>
      <c r="D836" s="101"/>
      <c r="F836" s="101"/>
      <c r="H836" s="101"/>
      <c r="J836" s="101"/>
      <c r="L836" s="56"/>
    </row>
    <row r="837">
      <c r="B837" s="101"/>
      <c r="D837" s="101"/>
      <c r="F837" s="101"/>
      <c r="H837" s="101"/>
      <c r="J837" s="101"/>
      <c r="L837" s="56"/>
    </row>
    <row r="838">
      <c r="B838" s="101"/>
      <c r="D838" s="101"/>
      <c r="F838" s="101"/>
      <c r="H838" s="101"/>
      <c r="J838" s="101"/>
      <c r="L838" s="56"/>
    </row>
    <row r="839">
      <c r="B839" s="101"/>
      <c r="D839" s="101"/>
      <c r="F839" s="101"/>
      <c r="H839" s="101"/>
      <c r="J839" s="101"/>
      <c r="L839" s="56"/>
    </row>
    <row r="840">
      <c r="B840" s="101"/>
      <c r="D840" s="101"/>
      <c r="F840" s="101"/>
      <c r="H840" s="101"/>
      <c r="J840" s="101"/>
      <c r="L840" s="56"/>
    </row>
    <row r="841">
      <c r="B841" s="101"/>
      <c r="D841" s="101"/>
      <c r="F841" s="101"/>
      <c r="H841" s="101"/>
      <c r="J841" s="101"/>
      <c r="L841" s="56"/>
    </row>
    <row r="842">
      <c r="B842" s="101"/>
      <c r="D842" s="101"/>
      <c r="F842" s="101"/>
      <c r="H842" s="101"/>
      <c r="J842" s="101"/>
      <c r="L842" s="56"/>
    </row>
    <row r="843">
      <c r="B843" s="101"/>
      <c r="D843" s="101"/>
      <c r="F843" s="101"/>
      <c r="H843" s="101"/>
      <c r="J843" s="101"/>
      <c r="L843" s="56"/>
    </row>
    <row r="844">
      <c r="B844" s="101"/>
      <c r="D844" s="101"/>
      <c r="F844" s="101"/>
      <c r="H844" s="101"/>
      <c r="J844" s="101"/>
      <c r="L844" s="56"/>
    </row>
    <row r="845">
      <c r="B845" s="101"/>
      <c r="D845" s="101"/>
      <c r="F845" s="101"/>
      <c r="H845" s="101"/>
      <c r="J845" s="101"/>
      <c r="L845" s="56"/>
    </row>
    <row r="846">
      <c r="B846" s="101"/>
      <c r="D846" s="101"/>
      <c r="F846" s="101"/>
      <c r="H846" s="101"/>
      <c r="J846" s="101"/>
      <c r="L846" s="56"/>
    </row>
    <row r="847">
      <c r="B847" s="101"/>
      <c r="D847" s="101"/>
      <c r="F847" s="101"/>
      <c r="H847" s="101"/>
      <c r="J847" s="101"/>
      <c r="L847" s="56"/>
    </row>
    <row r="848">
      <c r="B848" s="101"/>
      <c r="D848" s="101"/>
      <c r="F848" s="101"/>
      <c r="H848" s="101"/>
      <c r="J848" s="101"/>
      <c r="L848" s="56"/>
    </row>
    <row r="849">
      <c r="B849" s="101"/>
      <c r="D849" s="101"/>
      <c r="F849" s="101"/>
      <c r="H849" s="101"/>
      <c r="J849" s="101"/>
      <c r="L849" s="56"/>
    </row>
    <row r="850">
      <c r="B850" s="101"/>
      <c r="D850" s="101"/>
      <c r="F850" s="101"/>
      <c r="H850" s="101"/>
      <c r="J850" s="101"/>
      <c r="L850" s="56"/>
    </row>
    <row r="851">
      <c r="B851" s="101"/>
      <c r="D851" s="101"/>
      <c r="F851" s="101"/>
      <c r="H851" s="101"/>
      <c r="J851" s="101"/>
      <c r="L851" s="56"/>
    </row>
    <row r="852">
      <c r="B852" s="101"/>
      <c r="D852" s="101"/>
      <c r="F852" s="101"/>
      <c r="H852" s="101"/>
      <c r="J852" s="101"/>
      <c r="L852" s="56"/>
    </row>
    <row r="853">
      <c r="B853" s="101"/>
      <c r="D853" s="101"/>
      <c r="F853" s="101"/>
      <c r="H853" s="101"/>
      <c r="J853" s="101"/>
      <c r="L853" s="56"/>
    </row>
    <row r="854">
      <c r="B854" s="101"/>
      <c r="D854" s="101"/>
      <c r="F854" s="101"/>
      <c r="H854" s="101"/>
      <c r="J854" s="101"/>
      <c r="L854" s="56"/>
    </row>
    <row r="855">
      <c r="B855" s="101"/>
      <c r="D855" s="101"/>
      <c r="F855" s="101"/>
      <c r="H855" s="101"/>
      <c r="J855" s="101"/>
      <c r="L855" s="56"/>
    </row>
    <row r="856">
      <c r="B856" s="101"/>
      <c r="D856" s="101"/>
      <c r="F856" s="101"/>
      <c r="H856" s="101"/>
      <c r="J856" s="101"/>
      <c r="L856" s="56"/>
    </row>
    <row r="857">
      <c r="B857" s="101"/>
      <c r="D857" s="101"/>
      <c r="F857" s="101"/>
      <c r="H857" s="101"/>
      <c r="J857" s="101"/>
      <c r="L857" s="56"/>
    </row>
    <row r="858">
      <c r="B858" s="101"/>
      <c r="D858" s="101"/>
      <c r="F858" s="101"/>
      <c r="H858" s="101"/>
      <c r="J858" s="101"/>
      <c r="L858" s="56"/>
    </row>
    <row r="859">
      <c r="B859" s="101"/>
      <c r="D859" s="101"/>
      <c r="F859" s="101"/>
      <c r="H859" s="101"/>
      <c r="J859" s="101"/>
      <c r="L859" s="56"/>
    </row>
    <row r="860">
      <c r="B860" s="101"/>
      <c r="D860" s="101"/>
      <c r="F860" s="101"/>
      <c r="H860" s="101"/>
      <c r="J860" s="101"/>
      <c r="L860" s="56"/>
    </row>
    <row r="861">
      <c r="B861" s="101"/>
      <c r="D861" s="101"/>
      <c r="F861" s="101"/>
      <c r="H861" s="101"/>
      <c r="J861" s="101"/>
      <c r="L861" s="56"/>
    </row>
    <row r="862">
      <c r="B862" s="101"/>
      <c r="D862" s="101"/>
      <c r="F862" s="101"/>
      <c r="H862" s="101"/>
      <c r="J862" s="101"/>
      <c r="L862" s="56"/>
    </row>
    <row r="863">
      <c r="B863" s="101"/>
      <c r="D863" s="101"/>
      <c r="F863" s="101"/>
      <c r="H863" s="101"/>
      <c r="J863" s="101"/>
      <c r="L863" s="56"/>
    </row>
    <row r="864">
      <c r="B864" s="101"/>
      <c r="D864" s="101"/>
      <c r="F864" s="101"/>
      <c r="H864" s="101"/>
      <c r="J864" s="101"/>
      <c r="L864" s="56"/>
    </row>
    <row r="865">
      <c r="B865" s="101"/>
      <c r="D865" s="101"/>
      <c r="F865" s="101"/>
      <c r="H865" s="101"/>
      <c r="J865" s="101"/>
      <c r="L865" s="56"/>
    </row>
    <row r="866">
      <c r="B866" s="101"/>
      <c r="D866" s="101"/>
      <c r="F866" s="101"/>
      <c r="H866" s="101"/>
      <c r="J866" s="101"/>
      <c r="L866" s="56"/>
    </row>
    <row r="867">
      <c r="B867" s="101"/>
      <c r="D867" s="101"/>
      <c r="F867" s="101"/>
      <c r="H867" s="101"/>
      <c r="J867" s="101"/>
      <c r="L867" s="56"/>
    </row>
    <row r="868">
      <c r="B868" s="101"/>
      <c r="D868" s="101"/>
      <c r="F868" s="101"/>
      <c r="H868" s="101"/>
      <c r="J868" s="101"/>
      <c r="L868" s="56"/>
    </row>
    <row r="869">
      <c r="B869" s="101"/>
      <c r="D869" s="101"/>
      <c r="F869" s="101"/>
      <c r="H869" s="101"/>
      <c r="J869" s="101"/>
      <c r="L869" s="56"/>
    </row>
    <row r="870">
      <c r="B870" s="101"/>
      <c r="D870" s="101"/>
      <c r="F870" s="101"/>
      <c r="H870" s="101"/>
      <c r="J870" s="101"/>
      <c r="L870" s="56"/>
    </row>
    <row r="871">
      <c r="B871" s="101"/>
      <c r="D871" s="101"/>
      <c r="F871" s="101"/>
      <c r="H871" s="101"/>
      <c r="J871" s="101"/>
      <c r="L871" s="56"/>
    </row>
    <row r="872">
      <c r="B872" s="101"/>
      <c r="D872" s="101"/>
      <c r="F872" s="101"/>
      <c r="H872" s="101"/>
      <c r="J872" s="101"/>
      <c r="L872" s="56"/>
    </row>
    <row r="873">
      <c r="B873" s="101"/>
      <c r="D873" s="101"/>
      <c r="F873" s="101"/>
      <c r="H873" s="101"/>
      <c r="J873" s="101"/>
      <c r="L873" s="56"/>
    </row>
    <row r="874">
      <c r="B874" s="101"/>
      <c r="D874" s="101"/>
      <c r="F874" s="101"/>
      <c r="H874" s="101"/>
      <c r="J874" s="101"/>
      <c r="L874" s="56"/>
    </row>
    <row r="875">
      <c r="B875" s="101"/>
      <c r="D875" s="101"/>
      <c r="F875" s="101"/>
      <c r="H875" s="101"/>
      <c r="J875" s="101"/>
      <c r="L875" s="56"/>
    </row>
    <row r="876">
      <c r="B876" s="101"/>
      <c r="D876" s="101"/>
      <c r="F876" s="101"/>
      <c r="H876" s="101"/>
      <c r="J876" s="101"/>
      <c r="L876" s="56"/>
    </row>
    <row r="877">
      <c r="B877" s="101"/>
      <c r="D877" s="101"/>
      <c r="F877" s="101"/>
      <c r="H877" s="101"/>
      <c r="J877" s="101"/>
      <c r="L877" s="56"/>
    </row>
    <row r="878">
      <c r="B878" s="101"/>
      <c r="D878" s="101"/>
      <c r="F878" s="101"/>
      <c r="H878" s="101"/>
      <c r="J878" s="101"/>
      <c r="L878" s="56"/>
    </row>
    <row r="879">
      <c r="B879" s="101"/>
      <c r="D879" s="101"/>
      <c r="F879" s="101"/>
      <c r="H879" s="101"/>
      <c r="J879" s="101"/>
      <c r="L879" s="56"/>
    </row>
    <row r="880">
      <c r="B880" s="101"/>
      <c r="D880" s="101"/>
      <c r="F880" s="101"/>
      <c r="H880" s="101"/>
      <c r="J880" s="101"/>
      <c r="L880" s="56"/>
    </row>
    <row r="881">
      <c r="B881" s="101"/>
      <c r="D881" s="101"/>
      <c r="F881" s="101"/>
      <c r="H881" s="101"/>
      <c r="J881" s="101"/>
      <c r="L881" s="56"/>
    </row>
    <row r="882">
      <c r="B882" s="101"/>
      <c r="D882" s="101"/>
      <c r="F882" s="101"/>
      <c r="H882" s="101"/>
      <c r="J882" s="101"/>
      <c r="L882" s="56"/>
    </row>
    <row r="883">
      <c r="B883" s="101"/>
      <c r="D883" s="101"/>
      <c r="F883" s="101"/>
      <c r="H883" s="101"/>
      <c r="J883" s="101"/>
      <c r="L883" s="56"/>
    </row>
    <row r="884">
      <c r="B884" s="101"/>
      <c r="D884" s="101"/>
      <c r="F884" s="101"/>
      <c r="H884" s="101"/>
      <c r="J884" s="101"/>
      <c r="L884" s="56"/>
    </row>
    <row r="885">
      <c r="B885" s="101"/>
      <c r="D885" s="101"/>
      <c r="F885" s="101"/>
      <c r="H885" s="101"/>
      <c r="J885" s="101"/>
      <c r="L885" s="56"/>
    </row>
    <row r="886">
      <c r="B886" s="101"/>
      <c r="D886" s="101"/>
      <c r="F886" s="101"/>
      <c r="H886" s="101"/>
      <c r="J886" s="101"/>
      <c r="L886" s="56"/>
    </row>
    <row r="887">
      <c r="B887" s="101"/>
      <c r="D887" s="101"/>
      <c r="F887" s="101"/>
      <c r="H887" s="101"/>
      <c r="J887" s="101"/>
      <c r="L887" s="56"/>
    </row>
    <row r="888">
      <c r="B888" s="101"/>
      <c r="D888" s="101"/>
      <c r="F888" s="101"/>
      <c r="H888" s="101"/>
      <c r="J888" s="101"/>
      <c r="L888" s="56"/>
    </row>
    <row r="889">
      <c r="B889" s="101"/>
      <c r="D889" s="101"/>
      <c r="F889" s="101"/>
      <c r="H889" s="101"/>
      <c r="J889" s="101"/>
      <c r="L889" s="56"/>
    </row>
    <row r="890">
      <c r="B890" s="101"/>
      <c r="D890" s="101"/>
      <c r="F890" s="101"/>
      <c r="H890" s="101"/>
      <c r="J890" s="101"/>
      <c r="L890" s="56"/>
    </row>
    <row r="891">
      <c r="B891" s="101"/>
      <c r="D891" s="101"/>
      <c r="F891" s="101"/>
      <c r="H891" s="101"/>
      <c r="J891" s="101"/>
      <c r="L891" s="56"/>
    </row>
    <row r="892">
      <c r="B892" s="101"/>
      <c r="D892" s="101"/>
      <c r="F892" s="101"/>
      <c r="H892" s="101"/>
      <c r="J892" s="101"/>
      <c r="L892" s="56"/>
    </row>
    <row r="893">
      <c r="B893" s="101"/>
      <c r="D893" s="101"/>
      <c r="F893" s="101"/>
      <c r="H893" s="101"/>
      <c r="J893" s="101"/>
      <c r="L893" s="56"/>
    </row>
    <row r="894">
      <c r="B894" s="101"/>
      <c r="D894" s="101"/>
      <c r="F894" s="101"/>
      <c r="H894" s="101"/>
      <c r="J894" s="101"/>
      <c r="L894" s="56"/>
    </row>
    <row r="895">
      <c r="B895" s="101"/>
      <c r="D895" s="101"/>
      <c r="F895" s="101"/>
      <c r="H895" s="101"/>
      <c r="J895" s="101"/>
      <c r="L895" s="56"/>
    </row>
    <row r="896">
      <c r="B896" s="101"/>
      <c r="D896" s="101"/>
      <c r="F896" s="101"/>
      <c r="H896" s="101"/>
      <c r="J896" s="101"/>
      <c r="L896" s="56"/>
    </row>
    <row r="897">
      <c r="B897" s="101"/>
      <c r="D897" s="101"/>
      <c r="F897" s="101"/>
      <c r="H897" s="101"/>
      <c r="J897" s="101"/>
      <c r="L897" s="56"/>
    </row>
    <row r="898">
      <c r="B898" s="101"/>
      <c r="D898" s="101"/>
      <c r="F898" s="101"/>
      <c r="H898" s="101"/>
      <c r="J898" s="101"/>
      <c r="L898" s="56"/>
    </row>
    <row r="899">
      <c r="B899" s="101"/>
      <c r="D899" s="101"/>
      <c r="F899" s="101"/>
      <c r="H899" s="101"/>
      <c r="J899" s="101"/>
      <c r="L899" s="56"/>
    </row>
    <row r="900">
      <c r="B900" s="101"/>
      <c r="D900" s="101"/>
      <c r="F900" s="101"/>
      <c r="H900" s="101"/>
      <c r="J900" s="101"/>
      <c r="L900" s="56"/>
    </row>
    <row r="901">
      <c r="B901" s="101"/>
      <c r="D901" s="101"/>
      <c r="F901" s="101"/>
      <c r="H901" s="101"/>
      <c r="J901" s="101"/>
      <c r="L901" s="56"/>
    </row>
    <row r="902">
      <c r="B902" s="101"/>
      <c r="D902" s="101"/>
      <c r="F902" s="101"/>
      <c r="H902" s="101"/>
      <c r="J902" s="101"/>
      <c r="L902" s="56"/>
    </row>
    <row r="903">
      <c r="B903" s="101"/>
      <c r="D903" s="101"/>
      <c r="F903" s="101"/>
      <c r="H903" s="101"/>
      <c r="J903" s="101"/>
      <c r="L903" s="56"/>
    </row>
    <row r="904">
      <c r="B904" s="101"/>
      <c r="D904" s="101"/>
      <c r="F904" s="101"/>
      <c r="H904" s="101"/>
      <c r="J904" s="101"/>
      <c r="L904" s="56"/>
    </row>
    <row r="905">
      <c r="B905" s="101"/>
      <c r="D905" s="101"/>
      <c r="F905" s="101"/>
      <c r="H905" s="101"/>
      <c r="J905" s="101"/>
      <c r="L905" s="56"/>
    </row>
    <row r="906">
      <c r="B906" s="101"/>
      <c r="D906" s="101"/>
      <c r="F906" s="101"/>
      <c r="H906" s="101"/>
      <c r="J906" s="101"/>
      <c r="L906" s="56"/>
    </row>
    <row r="907">
      <c r="B907" s="101"/>
      <c r="D907" s="101"/>
      <c r="F907" s="101"/>
      <c r="H907" s="101"/>
      <c r="J907" s="101"/>
      <c r="L907" s="56"/>
    </row>
    <row r="908">
      <c r="B908" s="101"/>
      <c r="D908" s="101"/>
      <c r="F908" s="101"/>
      <c r="H908" s="101"/>
      <c r="J908" s="101"/>
      <c r="L908" s="56"/>
    </row>
    <row r="909">
      <c r="B909" s="101"/>
      <c r="D909" s="101"/>
      <c r="F909" s="101"/>
      <c r="H909" s="101"/>
      <c r="J909" s="101"/>
      <c r="L909" s="56"/>
    </row>
    <row r="910">
      <c r="B910" s="101"/>
      <c r="D910" s="101"/>
      <c r="F910" s="101"/>
      <c r="H910" s="101"/>
      <c r="J910" s="101"/>
      <c r="L910" s="56"/>
    </row>
    <row r="911">
      <c r="B911" s="101"/>
      <c r="D911" s="101"/>
      <c r="F911" s="101"/>
      <c r="H911" s="101"/>
      <c r="J911" s="101"/>
      <c r="L911" s="56"/>
    </row>
    <row r="912">
      <c r="B912" s="101"/>
      <c r="D912" s="101"/>
      <c r="F912" s="101"/>
      <c r="H912" s="101"/>
      <c r="J912" s="101"/>
      <c r="L912" s="56"/>
    </row>
    <row r="913">
      <c r="B913" s="101"/>
      <c r="D913" s="101"/>
      <c r="F913" s="101"/>
      <c r="H913" s="101"/>
      <c r="J913" s="101"/>
      <c r="L913" s="56"/>
    </row>
    <row r="914">
      <c r="B914" s="101"/>
      <c r="D914" s="101"/>
      <c r="F914" s="101"/>
      <c r="H914" s="101"/>
      <c r="J914" s="101"/>
      <c r="L914" s="56"/>
    </row>
    <row r="915">
      <c r="B915" s="101"/>
      <c r="D915" s="101"/>
      <c r="F915" s="101"/>
      <c r="H915" s="101"/>
      <c r="J915" s="101"/>
      <c r="L915" s="56"/>
    </row>
    <row r="916">
      <c r="B916" s="101"/>
      <c r="D916" s="101"/>
      <c r="F916" s="101"/>
      <c r="H916" s="101"/>
      <c r="J916" s="101"/>
      <c r="L916" s="56"/>
    </row>
    <row r="917">
      <c r="B917" s="101"/>
      <c r="D917" s="101"/>
      <c r="F917" s="101"/>
      <c r="H917" s="101"/>
      <c r="J917" s="101"/>
      <c r="L917" s="56"/>
    </row>
    <row r="918">
      <c r="B918" s="101"/>
      <c r="D918" s="101"/>
      <c r="F918" s="101"/>
      <c r="H918" s="101"/>
      <c r="J918" s="101"/>
      <c r="L918" s="56"/>
    </row>
    <row r="919">
      <c r="B919" s="101"/>
      <c r="D919" s="101"/>
      <c r="F919" s="101"/>
      <c r="H919" s="101"/>
      <c r="J919" s="101"/>
      <c r="L919" s="56"/>
    </row>
    <row r="920">
      <c r="B920" s="101"/>
      <c r="D920" s="101"/>
      <c r="F920" s="101"/>
      <c r="H920" s="101"/>
      <c r="J920" s="101"/>
      <c r="L920" s="56"/>
    </row>
    <row r="921">
      <c r="B921" s="101"/>
      <c r="D921" s="101"/>
      <c r="F921" s="101"/>
      <c r="H921" s="101"/>
      <c r="J921" s="101"/>
      <c r="L921" s="56"/>
    </row>
    <row r="922">
      <c r="B922" s="101"/>
      <c r="D922" s="101"/>
      <c r="F922" s="101"/>
      <c r="H922" s="101"/>
      <c r="J922" s="101"/>
      <c r="L922" s="56"/>
    </row>
    <row r="923">
      <c r="B923" s="101"/>
      <c r="D923" s="101"/>
      <c r="F923" s="101"/>
      <c r="H923" s="101"/>
      <c r="J923" s="101"/>
      <c r="L923" s="56"/>
    </row>
    <row r="924">
      <c r="B924" s="101"/>
      <c r="D924" s="101"/>
      <c r="F924" s="101"/>
      <c r="H924" s="101"/>
      <c r="J924" s="101"/>
      <c r="L924" s="56"/>
    </row>
    <row r="925">
      <c r="B925" s="101"/>
      <c r="D925" s="101"/>
      <c r="F925" s="101"/>
      <c r="H925" s="101"/>
      <c r="J925" s="101"/>
      <c r="L925" s="56"/>
    </row>
    <row r="926">
      <c r="B926" s="101"/>
      <c r="D926" s="101"/>
      <c r="F926" s="101"/>
      <c r="H926" s="101"/>
      <c r="J926" s="101"/>
      <c r="L926" s="56"/>
    </row>
    <row r="927">
      <c r="B927" s="101"/>
      <c r="D927" s="101"/>
      <c r="F927" s="101"/>
      <c r="H927" s="101"/>
      <c r="J927" s="101"/>
      <c r="L927" s="56"/>
    </row>
    <row r="928">
      <c r="B928" s="101"/>
      <c r="D928" s="101"/>
      <c r="F928" s="101"/>
      <c r="H928" s="101"/>
      <c r="J928" s="101"/>
      <c r="L928" s="56"/>
    </row>
    <row r="929">
      <c r="B929" s="101"/>
      <c r="D929" s="101"/>
      <c r="F929" s="101"/>
      <c r="H929" s="101"/>
      <c r="J929" s="101"/>
      <c r="L929" s="56"/>
    </row>
    <row r="930">
      <c r="B930" s="101"/>
      <c r="D930" s="101"/>
      <c r="F930" s="101"/>
      <c r="H930" s="101"/>
      <c r="J930" s="101"/>
      <c r="L930" s="56"/>
    </row>
    <row r="931">
      <c r="B931" s="101"/>
      <c r="D931" s="101"/>
      <c r="F931" s="101"/>
      <c r="H931" s="101"/>
      <c r="J931" s="101"/>
      <c r="L931" s="56"/>
    </row>
    <row r="932">
      <c r="B932" s="101"/>
      <c r="D932" s="101"/>
      <c r="F932" s="101"/>
      <c r="H932" s="101"/>
      <c r="J932" s="101"/>
      <c r="L932" s="56"/>
    </row>
    <row r="933">
      <c r="B933" s="101"/>
      <c r="D933" s="101"/>
      <c r="F933" s="101"/>
      <c r="H933" s="101"/>
      <c r="J933" s="101"/>
      <c r="L933" s="56"/>
    </row>
    <row r="934">
      <c r="B934" s="101"/>
      <c r="D934" s="101"/>
      <c r="F934" s="101"/>
      <c r="H934" s="101"/>
      <c r="J934" s="101"/>
      <c r="L934" s="56"/>
    </row>
    <row r="935">
      <c r="B935" s="101"/>
      <c r="D935" s="101"/>
      <c r="F935" s="101"/>
      <c r="H935" s="101"/>
      <c r="J935" s="101"/>
      <c r="L935" s="56"/>
    </row>
    <row r="936">
      <c r="B936" s="101"/>
      <c r="D936" s="101"/>
      <c r="F936" s="101"/>
      <c r="H936" s="101"/>
      <c r="J936" s="101"/>
      <c r="L936" s="56"/>
    </row>
    <row r="937">
      <c r="B937" s="101"/>
      <c r="D937" s="101"/>
      <c r="F937" s="101"/>
      <c r="H937" s="101"/>
      <c r="J937" s="101"/>
      <c r="L937" s="56"/>
    </row>
    <row r="938">
      <c r="B938" s="101"/>
      <c r="D938" s="101"/>
      <c r="F938" s="101"/>
      <c r="H938" s="101"/>
      <c r="J938" s="101"/>
      <c r="L938" s="56"/>
    </row>
    <row r="939">
      <c r="B939" s="101"/>
      <c r="D939" s="101"/>
      <c r="F939" s="101"/>
      <c r="H939" s="101"/>
      <c r="J939" s="101"/>
      <c r="L939" s="56"/>
    </row>
    <row r="940">
      <c r="B940" s="101"/>
      <c r="D940" s="101"/>
      <c r="F940" s="101"/>
      <c r="H940" s="101"/>
      <c r="J940" s="101"/>
      <c r="L940" s="56"/>
    </row>
    <row r="941">
      <c r="B941" s="101"/>
      <c r="D941" s="101"/>
      <c r="F941" s="101"/>
      <c r="H941" s="101"/>
      <c r="J941" s="101"/>
      <c r="L941" s="56"/>
    </row>
    <row r="942">
      <c r="B942" s="101"/>
      <c r="D942" s="101"/>
      <c r="F942" s="101"/>
      <c r="H942" s="101"/>
      <c r="J942" s="101"/>
      <c r="L942" s="56"/>
    </row>
    <row r="943">
      <c r="B943" s="101"/>
      <c r="D943" s="101"/>
      <c r="F943" s="101"/>
      <c r="H943" s="101"/>
      <c r="J943" s="101"/>
      <c r="L943" s="56"/>
    </row>
    <row r="944">
      <c r="B944" s="101"/>
      <c r="D944" s="101"/>
      <c r="F944" s="101"/>
      <c r="H944" s="101"/>
      <c r="J944" s="101"/>
      <c r="L944" s="56"/>
    </row>
    <row r="945">
      <c r="B945" s="101"/>
      <c r="D945" s="101"/>
      <c r="F945" s="101"/>
      <c r="H945" s="101"/>
      <c r="J945" s="101"/>
      <c r="L945" s="56"/>
    </row>
    <row r="946">
      <c r="B946" s="101"/>
      <c r="D946" s="101"/>
      <c r="F946" s="101"/>
      <c r="H946" s="101"/>
      <c r="J946" s="101"/>
      <c r="L946" s="56"/>
    </row>
    <row r="947">
      <c r="B947" s="101"/>
      <c r="D947" s="101"/>
      <c r="F947" s="101"/>
      <c r="H947" s="101"/>
      <c r="J947" s="101"/>
      <c r="L947" s="56"/>
    </row>
    <row r="948">
      <c r="B948" s="101"/>
      <c r="D948" s="101"/>
      <c r="F948" s="101"/>
      <c r="H948" s="101"/>
      <c r="J948" s="101"/>
      <c r="L948" s="56"/>
    </row>
    <row r="949">
      <c r="B949" s="101"/>
      <c r="D949" s="101"/>
      <c r="F949" s="101"/>
      <c r="H949" s="101"/>
      <c r="J949" s="101"/>
      <c r="L949" s="56"/>
    </row>
    <row r="950">
      <c r="B950" s="101"/>
      <c r="D950" s="101"/>
      <c r="F950" s="101"/>
      <c r="H950" s="101"/>
      <c r="J950" s="101"/>
      <c r="L950" s="56"/>
    </row>
    <row r="951">
      <c r="B951" s="101"/>
      <c r="D951" s="101"/>
      <c r="F951" s="101"/>
      <c r="H951" s="101"/>
      <c r="J951" s="101"/>
      <c r="L951" s="56"/>
    </row>
    <row r="952">
      <c r="B952" s="101"/>
      <c r="D952" s="101"/>
      <c r="F952" s="101"/>
      <c r="H952" s="101"/>
      <c r="J952" s="101"/>
      <c r="L952" s="56"/>
    </row>
    <row r="953">
      <c r="B953" s="101"/>
      <c r="D953" s="101"/>
      <c r="F953" s="101"/>
      <c r="H953" s="101"/>
      <c r="J953" s="101"/>
      <c r="L953" s="56"/>
    </row>
    <row r="954">
      <c r="B954" s="101"/>
      <c r="D954" s="101"/>
      <c r="F954" s="101"/>
      <c r="H954" s="101"/>
      <c r="J954" s="101"/>
      <c r="L954" s="56"/>
    </row>
    <row r="955">
      <c r="B955" s="101"/>
      <c r="D955" s="101"/>
      <c r="F955" s="101"/>
      <c r="H955" s="101"/>
      <c r="J955" s="101"/>
      <c r="L955" s="56"/>
    </row>
    <row r="956">
      <c r="B956" s="101"/>
      <c r="D956" s="101"/>
      <c r="F956" s="101"/>
      <c r="H956" s="101"/>
      <c r="J956" s="101"/>
      <c r="L956" s="56"/>
    </row>
    <row r="957">
      <c r="B957" s="101"/>
      <c r="D957" s="101"/>
      <c r="F957" s="101"/>
      <c r="H957" s="101"/>
      <c r="J957" s="101"/>
      <c r="L957" s="56"/>
    </row>
    <row r="958">
      <c r="B958" s="101"/>
      <c r="D958" s="101"/>
      <c r="F958" s="101"/>
      <c r="H958" s="101"/>
      <c r="J958" s="101"/>
      <c r="L958" s="56"/>
    </row>
    <row r="959">
      <c r="B959" s="101"/>
      <c r="D959" s="101"/>
      <c r="F959" s="101"/>
      <c r="H959" s="101"/>
      <c r="J959" s="101"/>
      <c r="L959" s="56"/>
    </row>
    <row r="960">
      <c r="B960" s="101"/>
      <c r="D960" s="101"/>
      <c r="F960" s="101"/>
      <c r="H960" s="101"/>
      <c r="J960" s="101"/>
      <c r="L960" s="56"/>
    </row>
    <row r="961">
      <c r="B961" s="101"/>
      <c r="D961" s="101"/>
      <c r="F961" s="101"/>
      <c r="H961" s="101"/>
      <c r="J961" s="101"/>
      <c r="L961" s="56"/>
    </row>
    <row r="962">
      <c r="B962" s="101"/>
      <c r="D962" s="101"/>
      <c r="F962" s="101"/>
      <c r="H962" s="101"/>
      <c r="J962" s="101"/>
      <c r="L962" s="56"/>
    </row>
    <row r="963">
      <c r="B963" s="101"/>
      <c r="D963" s="101"/>
      <c r="F963" s="101"/>
      <c r="H963" s="101"/>
      <c r="J963" s="101"/>
      <c r="L963" s="56"/>
    </row>
    <row r="964">
      <c r="B964" s="101"/>
      <c r="D964" s="101"/>
      <c r="F964" s="101"/>
      <c r="H964" s="101"/>
      <c r="J964" s="101"/>
      <c r="L964" s="56"/>
    </row>
    <row r="965">
      <c r="B965" s="101"/>
      <c r="D965" s="101"/>
      <c r="F965" s="101"/>
      <c r="H965" s="101"/>
      <c r="J965" s="101"/>
      <c r="L965" s="56"/>
    </row>
    <row r="966">
      <c r="B966" s="101"/>
      <c r="D966" s="101"/>
      <c r="F966" s="101"/>
      <c r="H966" s="101"/>
      <c r="J966" s="101"/>
      <c r="L966" s="56"/>
    </row>
    <row r="967">
      <c r="B967" s="101"/>
      <c r="D967" s="101"/>
      <c r="F967" s="101"/>
      <c r="H967" s="101"/>
      <c r="J967" s="101"/>
      <c r="L967" s="56"/>
    </row>
    <row r="968">
      <c r="B968" s="101"/>
      <c r="D968" s="101"/>
      <c r="F968" s="101"/>
      <c r="H968" s="101"/>
      <c r="J968" s="101"/>
      <c r="L968" s="56"/>
    </row>
    <row r="969">
      <c r="B969" s="101"/>
      <c r="D969" s="101"/>
      <c r="F969" s="101"/>
      <c r="H969" s="101"/>
      <c r="J969" s="101"/>
      <c r="L969" s="56"/>
    </row>
    <row r="970">
      <c r="B970" s="101"/>
      <c r="D970" s="101"/>
      <c r="F970" s="101"/>
      <c r="H970" s="101"/>
      <c r="J970" s="101"/>
      <c r="L970" s="56"/>
    </row>
    <row r="971">
      <c r="B971" s="101"/>
      <c r="D971" s="101"/>
      <c r="F971" s="101"/>
      <c r="H971" s="101"/>
      <c r="J971" s="101"/>
      <c r="L971" s="56"/>
    </row>
    <row r="972">
      <c r="B972" s="101"/>
      <c r="D972" s="101"/>
      <c r="F972" s="101"/>
      <c r="H972" s="101"/>
      <c r="J972" s="101"/>
      <c r="L972" s="56"/>
    </row>
    <row r="973">
      <c r="B973" s="101"/>
      <c r="D973" s="101"/>
      <c r="F973" s="101"/>
      <c r="H973" s="101"/>
      <c r="J973" s="101"/>
      <c r="L973" s="56"/>
    </row>
    <row r="974">
      <c r="B974" s="101"/>
      <c r="D974" s="101"/>
      <c r="F974" s="101"/>
      <c r="H974" s="101"/>
      <c r="J974" s="101"/>
      <c r="L974" s="56"/>
    </row>
    <row r="975">
      <c r="B975" s="101"/>
      <c r="D975" s="101"/>
      <c r="F975" s="101"/>
      <c r="H975" s="101"/>
      <c r="J975" s="101"/>
      <c r="L975" s="56"/>
    </row>
    <row r="976">
      <c r="B976" s="101"/>
      <c r="D976" s="101"/>
      <c r="F976" s="101"/>
      <c r="H976" s="101"/>
      <c r="J976" s="101"/>
      <c r="L976" s="56"/>
    </row>
    <row r="977">
      <c r="B977" s="101"/>
      <c r="D977" s="101"/>
      <c r="F977" s="101"/>
      <c r="H977" s="101"/>
      <c r="J977" s="101"/>
      <c r="L977" s="56"/>
    </row>
    <row r="978">
      <c r="B978" s="101"/>
      <c r="D978" s="101"/>
      <c r="F978" s="101"/>
      <c r="H978" s="101"/>
      <c r="J978" s="101"/>
      <c r="L978" s="56"/>
    </row>
    <row r="979">
      <c r="B979" s="101"/>
      <c r="D979" s="101"/>
      <c r="F979" s="101"/>
      <c r="H979" s="101"/>
      <c r="J979" s="101"/>
      <c r="L979" s="56"/>
    </row>
    <row r="980">
      <c r="B980" s="101"/>
      <c r="D980" s="101"/>
      <c r="F980" s="101"/>
      <c r="H980" s="101"/>
      <c r="J980" s="101"/>
      <c r="L980" s="56"/>
    </row>
    <row r="981">
      <c r="B981" s="101"/>
      <c r="D981" s="101"/>
      <c r="F981" s="101"/>
      <c r="H981" s="101"/>
      <c r="J981" s="101"/>
      <c r="L981" s="56"/>
    </row>
    <row r="982">
      <c r="B982" s="101"/>
      <c r="D982" s="101"/>
      <c r="F982" s="101"/>
      <c r="H982" s="101"/>
      <c r="J982" s="101"/>
      <c r="L982" s="56"/>
    </row>
    <row r="983">
      <c r="B983" s="101"/>
      <c r="D983" s="101"/>
      <c r="F983" s="101"/>
      <c r="H983" s="101"/>
      <c r="J983" s="101"/>
      <c r="L983" s="56"/>
    </row>
    <row r="984">
      <c r="B984" s="101"/>
      <c r="D984" s="101"/>
      <c r="F984" s="101"/>
      <c r="H984" s="101"/>
      <c r="J984" s="101"/>
      <c r="L984" s="56"/>
    </row>
    <row r="985">
      <c r="B985" s="101"/>
      <c r="D985" s="101"/>
      <c r="F985" s="101"/>
      <c r="H985" s="101"/>
      <c r="J985" s="101"/>
      <c r="L985" s="56"/>
    </row>
    <row r="986">
      <c r="B986" s="101"/>
      <c r="D986" s="101"/>
      <c r="F986" s="101"/>
      <c r="H986" s="101"/>
      <c r="J986" s="101"/>
      <c r="L986" s="56"/>
    </row>
    <row r="987">
      <c r="B987" s="101"/>
      <c r="D987" s="101"/>
      <c r="F987" s="101"/>
      <c r="H987" s="101"/>
      <c r="J987" s="101"/>
      <c r="L987" s="56"/>
    </row>
    <row r="988">
      <c r="B988" s="101"/>
      <c r="D988" s="101"/>
      <c r="F988" s="101"/>
      <c r="H988" s="101"/>
      <c r="J988" s="101"/>
      <c r="L988" s="56"/>
    </row>
    <row r="989">
      <c r="B989" s="101"/>
      <c r="D989" s="101"/>
      <c r="F989" s="101"/>
      <c r="H989" s="101"/>
      <c r="J989" s="101"/>
      <c r="L989" s="56"/>
    </row>
    <row r="990">
      <c r="B990" s="101"/>
      <c r="D990" s="101"/>
      <c r="F990" s="101"/>
      <c r="H990" s="101"/>
      <c r="J990" s="101"/>
      <c r="L990" s="56"/>
    </row>
    <row r="991">
      <c r="B991" s="101"/>
      <c r="D991" s="101"/>
      <c r="F991" s="101"/>
      <c r="H991" s="101"/>
      <c r="J991" s="101"/>
      <c r="L991" s="56"/>
    </row>
    <row r="992">
      <c r="B992" s="101"/>
      <c r="D992" s="101"/>
      <c r="F992" s="101"/>
      <c r="H992" s="101"/>
      <c r="J992" s="101"/>
      <c r="L992" s="56"/>
    </row>
    <row r="993">
      <c r="B993" s="101"/>
      <c r="D993" s="101"/>
      <c r="F993" s="101"/>
      <c r="H993" s="101"/>
      <c r="J993" s="101"/>
      <c r="L993" s="56"/>
    </row>
    <row r="994">
      <c r="B994" s="101"/>
      <c r="D994" s="101"/>
      <c r="F994" s="101"/>
      <c r="H994" s="101"/>
      <c r="J994" s="101"/>
      <c r="L994" s="56"/>
    </row>
    <row r="995">
      <c r="B995" s="101"/>
      <c r="D995" s="101"/>
      <c r="F995" s="101"/>
      <c r="H995" s="101"/>
      <c r="J995" s="101"/>
      <c r="L995" s="56"/>
    </row>
  </sheetData>
  <customSheetViews>
    <customSheetView guid="{FBD20B96-901D-45DA-9700-E9D11D407245}" filter="1" showAutoFilter="1">
      <autoFilter ref="$B$3:$L$995"/>
    </customSheetView>
  </customSheetViews>
  <mergeCells count="1">
    <mergeCell ref="B1:K1"/>
  </mergeCells>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88"/>
    <col customWidth="1" min="10" max="10" width="2.88"/>
    <col customWidth="1" min="11" max="11" width="2.75"/>
    <col customWidth="1" min="12" max="99" width="2.88"/>
    <col customWidth="1" min="100" max="109" width="3.75"/>
    <col customWidth="1" min="110" max="110" width="3.63"/>
    <col customWidth="1" min="111" max="111" width="3.5"/>
    <col customWidth="1" min="112" max="119" width="3.63"/>
    <col customWidth="1" min="120" max="210" width="3.75"/>
    <col customWidth="1" min="211" max="211" width="3.63"/>
    <col customWidth="1" min="212" max="310" width="3.75"/>
    <col customWidth="1" min="311" max="311" width="3.63"/>
    <col customWidth="1" min="312" max="410" width="3.75"/>
    <col customWidth="1" min="411" max="411" width="3.63"/>
    <col customWidth="1" min="412" max="510" width="3.75"/>
    <col customWidth="1" min="511" max="511" width="3.63"/>
    <col customWidth="1" min="512" max="610" width="3.75"/>
    <col customWidth="1" min="611" max="611" width="3.63"/>
    <col customWidth="1" min="612" max="710" width="3.75"/>
    <col customWidth="1" min="711" max="711" width="3.63"/>
    <col customWidth="1" min="712" max="810" width="3.75"/>
    <col customWidth="1" min="811" max="811" width="3.63"/>
    <col customWidth="1" min="812" max="910" width="3.75"/>
    <col customWidth="1" min="911" max="911" width="3.63"/>
    <col customWidth="1" min="912" max="999" width="3.75"/>
    <col customWidth="1" min="1000" max="1010" width="4.75"/>
    <col customWidth="1" min="1011" max="1011" width="4.63"/>
    <col customWidth="1" min="1012" max="1099" width="4.75"/>
    <col customWidth="1" min="1100" max="1109" width="4.63"/>
    <col customWidth="1" min="1110" max="1110" width="4.5"/>
    <col customWidth="1" min="1111" max="1111" width="4.38"/>
    <col customWidth="1" min="1112" max="1119" width="4.5"/>
    <col customWidth="1" min="1120" max="1199" width="4.63"/>
    <col customWidth="1" min="1200" max="1200" width="4.75"/>
  </cols>
  <sheetData>
    <row r="1">
      <c r="A1" s="29">
        <f t="shared" ref="A1:ATD1" si="1">COLUMN()</f>
        <v>1</v>
      </c>
      <c r="B1" s="29">
        <f t="shared" si="1"/>
        <v>2</v>
      </c>
      <c r="C1" s="29">
        <f t="shared" si="1"/>
        <v>3</v>
      </c>
      <c r="D1" s="29">
        <f t="shared" si="1"/>
        <v>4</v>
      </c>
      <c r="E1" s="29">
        <f t="shared" si="1"/>
        <v>5</v>
      </c>
      <c r="F1" s="29">
        <f t="shared" si="1"/>
        <v>6</v>
      </c>
      <c r="G1" s="29">
        <f t="shared" si="1"/>
        <v>7</v>
      </c>
      <c r="H1" s="29">
        <f t="shared" si="1"/>
        <v>8</v>
      </c>
      <c r="I1" s="29">
        <f t="shared" si="1"/>
        <v>9</v>
      </c>
      <c r="J1" s="29">
        <f t="shared" si="1"/>
        <v>10</v>
      </c>
      <c r="K1" s="29">
        <f t="shared" si="1"/>
        <v>11</v>
      </c>
      <c r="L1" s="29">
        <f t="shared" si="1"/>
        <v>12</v>
      </c>
      <c r="M1" s="29">
        <f t="shared" si="1"/>
        <v>13</v>
      </c>
      <c r="N1" s="29">
        <f t="shared" si="1"/>
        <v>14</v>
      </c>
      <c r="O1" s="29">
        <f t="shared" si="1"/>
        <v>15</v>
      </c>
      <c r="P1" s="29">
        <f t="shared" si="1"/>
        <v>16</v>
      </c>
      <c r="Q1" s="29">
        <f t="shared" si="1"/>
        <v>17</v>
      </c>
      <c r="R1" s="29">
        <f t="shared" si="1"/>
        <v>18</v>
      </c>
      <c r="S1" s="29">
        <f t="shared" si="1"/>
        <v>19</v>
      </c>
      <c r="T1" s="29">
        <f t="shared" si="1"/>
        <v>20</v>
      </c>
      <c r="U1" s="29">
        <f t="shared" si="1"/>
        <v>21</v>
      </c>
      <c r="V1" s="29">
        <f t="shared" si="1"/>
        <v>22</v>
      </c>
      <c r="W1" s="29">
        <f t="shared" si="1"/>
        <v>23</v>
      </c>
      <c r="X1" s="29">
        <f t="shared" si="1"/>
        <v>24</v>
      </c>
      <c r="Y1" s="29">
        <f t="shared" si="1"/>
        <v>25</v>
      </c>
      <c r="Z1" s="29">
        <f t="shared" si="1"/>
        <v>26</v>
      </c>
      <c r="AA1" s="29">
        <f t="shared" si="1"/>
        <v>27</v>
      </c>
      <c r="AB1" s="29">
        <f t="shared" si="1"/>
        <v>28</v>
      </c>
      <c r="AC1" s="29">
        <f t="shared" si="1"/>
        <v>29</v>
      </c>
      <c r="AD1" s="29">
        <f t="shared" si="1"/>
        <v>30</v>
      </c>
      <c r="AE1" s="29">
        <f t="shared" si="1"/>
        <v>31</v>
      </c>
      <c r="AF1" s="29">
        <f t="shared" si="1"/>
        <v>32</v>
      </c>
      <c r="AG1" s="29">
        <f t="shared" si="1"/>
        <v>33</v>
      </c>
      <c r="AH1" s="29">
        <f t="shared" si="1"/>
        <v>34</v>
      </c>
      <c r="AI1" s="29">
        <f t="shared" si="1"/>
        <v>35</v>
      </c>
      <c r="AJ1" s="29">
        <f t="shared" si="1"/>
        <v>36</v>
      </c>
      <c r="AK1" s="29">
        <f t="shared" si="1"/>
        <v>37</v>
      </c>
      <c r="AL1" s="29">
        <f t="shared" si="1"/>
        <v>38</v>
      </c>
      <c r="AM1" s="29">
        <f t="shared" si="1"/>
        <v>39</v>
      </c>
      <c r="AN1" s="29">
        <f t="shared" si="1"/>
        <v>40</v>
      </c>
      <c r="AO1" s="29">
        <f t="shared" si="1"/>
        <v>41</v>
      </c>
      <c r="AP1" s="29">
        <f t="shared" si="1"/>
        <v>42</v>
      </c>
      <c r="AQ1" s="29">
        <f t="shared" si="1"/>
        <v>43</v>
      </c>
      <c r="AR1" s="29">
        <f t="shared" si="1"/>
        <v>44</v>
      </c>
      <c r="AS1" s="29">
        <f t="shared" si="1"/>
        <v>45</v>
      </c>
      <c r="AT1" s="29">
        <f t="shared" si="1"/>
        <v>46</v>
      </c>
      <c r="AU1" s="29">
        <f t="shared" si="1"/>
        <v>47</v>
      </c>
      <c r="AV1" s="29">
        <f t="shared" si="1"/>
        <v>48</v>
      </c>
      <c r="AW1" s="29">
        <f t="shared" si="1"/>
        <v>49</v>
      </c>
      <c r="AX1" s="29">
        <f t="shared" si="1"/>
        <v>50</v>
      </c>
      <c r="AY1" s="29">
        <f t="shared" si="1"/>
        <v>51</v>
      </c>
      <c r="AZ1" s="29">
        <f t="shared" si="1"/>
        <v>52</v>
      </c>
      <c r="BA1" s="29">
        <f t="shared" si="1"/>
        <v>53</v>
      </c>
      <c r="BB1" s="29">
        <f t="shared" si="1"/>
        <v>54</v>
      </c>
      <c r="BC1" s="29">
        <f t="shared" si="1"/>
        <v>55</v>
      </c>
      <c r="BD1" s="29">
        <f t="shared" si="1"/>
        <v>56</v>
      </c>
      <c r="BE1" s="29">
        <f t="shared" si="1"/>
        <v>57</v>
      </c>
      <c r="BF1" s="29">
        <f t="shared" si="1"/>
        <v>58</v>
      </c>
      <c r="BG1" s="29">
        <f t="shared" si="1"/>
        <v>59</v>
      </c>
      <c r="BH1" s="29">
        <f t="shared" si="1"/>
        <v>60</v>
      </c>
      <c r="BI1" s="29">
        <f t="shared" si="1"/>
        <v>61</v>
      </c>
      <c r="BJ1" s="29">
        <f t="shared" si="1"/>
        <v>62</v>
      </c>
      <c r="BK1" s="29">
        <f t="shared" si="1"/>
        <v>63</v>
      </c>
      <c r="BL1" s="29">
        <f t="shared" si="1"/>
        <v>64</v>
      </c>
      <c r="BM1" s="29">
        <f t="shared" si="1"/>
        <v>65</v>
      </c>
      <c r="BN1" s="29">
        <f t="shared" si="1"/>
        <v>66</v>
      </c>
      <c r="BO1" s="29">
        <f t="shared" si="1"/>
        <v>67</v>
      </c>
      <c r="BP1" s="29">
        <f t="shared" si="1"/>
        <v>68</v>
      </c>
      <c r="BQ1" s="29">
        <f t="shared" si="1"/>
        <v>69</v>
      </c>
      <c r="BR1" s="29">
        <f t="shared" si="1"/>
        <v>70</v>
      </c>
      <c r="BS1" s="29">
        <f t="shared" si="1"/>
        <v>71</v>
      </c>
      <c r="BT1" s="29">
        <f t="shared" si="1"/>
        <v>72</v>
      </c>
      <c r="BU1" s="29">
        <f t="shared" si="1"/>
        <v>73</v>
      </c>
      <c r="BV1" s="29">
        <f t="shared" si="1"/>
        <v>74</v>
      </c>
      <c r="BW1" s="29">
        <f t="shared" si="1"/>
        <v>75</v>
      </c>
      <c r="BX1" s="29">
        <f t="shared" si="1"/>
        <v>76</v>
      </c>
      <c r="BY1" s="29">
        <f t="shared" si="1"/>
        <v>77</v>
      </c>
      <c r="BZ1" s="29">
        <f t="shared" si="1"/>
        <v>78</v>
      </c>
      <c r="CA1" s="29">
        <f t="shared" si="1"/>
        <v>79</v>
      </c>
      <c r="CB1" s="29">
        <f t="shared" si="1"/>
        <v>80</v>
      </c>
      <c r="CC1" s="29">
        <f t="shared" si="1"/>
        <v>81</v>
      </c>
      <c r="CD1" s="29">
        <f t="shared" si="1"/>
        <v>82</v>
      </c>
      <c r="CE1" s="29">
        <f t="shared" si="1"/>
        <v>83</v>
      </c>
      <c r="CF1" s="29">
        <f t="shared" si="1"/>
        <v>84</v>
      </c>
      <c r="CG1" s="29">
        <f t="shared" si="1"/>
        <v>85</v>
      </c>
      <c r="CH1" s="29">
        <f t="shared" si="1"/>
        <v>86</v>
      </c>
      <c r="CI1" s="29">
        <f t="shared" si="1"/>
        <v>87</v>
      </c>
      <c r="CJ1" s="29">
        <f t="shared" si="1"/>
        <v>88</v>
      </c>
      <c r="CK1" s="29">
        <f t="shared" si="1"/>
        <v>89</v>
      </c>
      <c r="CL1" s="29">
        <f t="shared" si="1"/>
        <v>90</v>
      </c>
      <c r="CM1" s="29">
        <f t="shared" si="1"/>
        <v>91</v>
      </c>
      <c r="CN1" s="29">
        <f t="shared" si="1"/>
        <v>92</v>
      </c>
      <c r="CO1" s="29">
        <f t="shared" si="1"/>
        <v>93</v>
      </c>
      <c r="CP1" s="29">
        <f t="shared" si="1"/>
        <v>94</v>
      </c>
      <c r="CQ1" s="29">
        <f t="shared" si="1"/>
        <v>95</v>
      </c>
      <c r="CR1" s="29">
        <f t="shared" si="1"/>
        <v>96</v>
      </c>
      <c r="CS1" s="29">
        <f t="shared" si="1"/>
        <v>97</v>
      </c>
      <c r="CT1" s="29">
        <f t="shared" si="1"/>
        <v>98</v>
      </c>
      <c r="CU1" s="29">
        <f t="shared" si="1"/>
        <v>99</v>
      </c>
      <c r="CV1" s="29">
        <f t="shared" si="1"/>
        <v>100</v>
      </c>
      <c r="CW1" s="29">
        <f t="shared" si="1"/>
        <v>101</v>
      </c>
      <c r="CX1" s="29">
        <f t="shared" si="1"/>
        <v>102</v>
      </c>
      <c r="CY1" s="29">
        <f t="shared" si="1"/>
        <v>103</v>
      </c>
      <c r="CZ1" s="29">
        <f t="shared" si="1"/>
        <v>104</v>
      </c>
      <c r="DA1" s="29">
        <f t="shared" si="1"/>
        <v>105</v>
      </c>
      <c r="DB1" s="29">
        <f t="shared" si="1"/>
        <v>106</v>
      </c>
      <c r="DC1" s="29">
        <f t="shared" si="1"/>
        <v>107</v>
      </c>
      <c r="DD1" s="29">
        <f t="shared" si="1"/>
        <v>108</v>
      </c>
      <c r="DE1" s="29">
        <f t="shared" si="1"/>
        <v>109</v>
      </c>
      <c r="DF1" s="29">
        <f t="shared" si="1"/>
        <v>110</v>
      </c>
      <c r="DG1" s="29">
        <f t="shared" si="1"/>
        <v>111</v>
      </c>
      <c r="DH1" s="29">
        <f t="shared" si="1"/>
        <v>112</v>
      </c>
      <c r="DI1" s="29">
        <f t="shared" si="1"/>
        <v>113</v>
      </c>
      <c r="DJ1" s="29">
        <f t="shared" si="1"/>
        <v>114</v>
      </c>
      <c r="DK1" s="29">
        <f t="shared" si="1"/>
        <v>115</v>
      </c>
      <c r="DL1" s="29">
        <f t="shared" si="1"/>
        <v>116</v>
      </c>
      <c r="DM1" s="29">
        <f t="shared" si="1"/>
        <v>117</v>
      </c>
      <c r="DN1" s="29">
        <f t="shared" si="1"/>
        <v>118</v>
      </c>
      <c r="DO1" s="29">
        <f t="shared" si="1"/>
        <v>119</v>
      </c>
      <c r="DP1" s="29">
        <f t="shared" si="1"/>
        <v>120</v>
      </c>
      <c r="DQ1" s="29">
        <f t="shared" si="1"/>
        <v>121</v>
      </c>
      <c r="DR1" s="29">
        <f t="shared" si="1"/>
        <v>122</v>
      </c>
      <c r="DS1" s="29">
        <f t="shared" si="1"/>
        <v>123</v>
      </c>
      <c r="DT1" s="29">
        <f t="shared" si="1"/>
        <v>124</v>
      </c>
      <c r="DU1" s="29">
        <f t="shared" si="1"/>
        <v>125</v>
      </c>
      <c r="DV1" s="29">
        <f t="shared" si="1"/>
        <v>126</v>
      </c>
      <c r="DW1" s="29">
        <f t="shared" si="1"/>
        <v>127</v>
      </c>
      <c r="DX1" s="29">
        <f t="shared" si="1"/>
        <v>128</v>
      </c>
      <c r="DY1" s="29">
        <f t="shared" si="1"/>
        <v>129</v>
      </c>
      <c r="DZ1" s="29">
        <f t="shared" si="1"/>
        <v>130</v>
      </c>
      <c r="EA1" s="29">
        <f t="shared" si="1"/>
        <v>131</v>
      </c>
      <c r="EB1" s="29">
        <f t="shared" si="1"/>
        <v>132</v>
      </c>
      <c r="EC1" s="29">
        <f t="shared" si="1"/>
        <v>133</v>
      </c>
      <c r="ED1" s="29">
        <f t="shared" si="1"/>
        <v>134</v>
      </c>
      <c r="EE1" s="29">
        <f t="shared" si="1"/>
        <v>135</v>
      </c>
      <c r="EF1" s="29">
        <f t="shared" si="1"/>
        <v>136</v>
      </c>
      <c r="EG1" s="29">
        <f t="shared" si="1"/>
        <v>137</v>
      </c>
      <c r="EH1" s="29">
        <f t="shared" si="1"/>
        <v>138</v>
      </c>
      <c r="EI1" s="29">
        <f t="shared" si="1"/>
        <v>139</v>
      </c>
      <c r="EJ1" s="29">
        <f t="shared" si="1"/>
        <v>140</v>
      </c>
      <c r="EK1" s="29">
        <f t="shared" si="1"/>
        <v>141</v>
      </c>
      <c r="EL1" s="29">
        <f t="shared" si="1"/>
        <v>142</v>
      </c>
      <c r="EM1" s="29">
        <f t="shared" si="1"/>
        <v>143</v>
      </c>
      <c r="EN1" s="29">
        <f t="shared" si="1"/>
        <v>144</v>
      </c>
      <c r="EO1" s="29">
        <f t="shared" si="1"/>
        <v>145</v>
      </c>
      <c r="EP1" s="29">
        <f t="shared" si="1"/>
        <v>146</v>
      </c>
      <c r="EQ1" s="29">
        <f t="shared" si="1"/>
        <v>147</v>
      </c>
      <c r="ER1" s="29">
        <f t="shared" si="1"/>
        <v>148</v>
      </c>
      <c r="ES1" s="29">
        <f t="shared" si="1"/>
        <v>149</v>
      </c>
      <c r="ET1" s="29">
        <f t="shared" si="1"/>
        <v>150</v>
      </c>
      <c r="EU1" s="29">
        <f t="shared" si="1"/>
        <v>151</v>
      </c>
      <c r="EV1" s="29">
        <f t="shared" si="1"/>
        <v>152</v>
      </c>
      <c r="EW1" s="29">
        <f t="shared" si="1"/>
        <v>153</v>
      </c>
      <c r="EX1" s="29">
        <f t="shared" si="1"/>
        <v>154</v>
      </c>
      <c r="EY1" s="29">
        <f t="shared" si="1"/>
        <v>155</v>
      </c>
      <c r="EZ1" s="29">
        <f t="shared" si="1"/>
        <v>156</v>
      </c>
      <c r="FA1" s="29">
        <f t="shared" si="1"/>
        <v>157</v>
      </c>
      <c r="FB1" s="29">
        <f t="shared" si="1"/>
        <v>158</v>
      </c>
      <c r="FC1" s="29">
        <f t="shared" si="1"/>
        <v>159</v>
      </c>
      <c r="FD1" s="29">
        <f t="shared" si="1"/>
        <v>160</v>
      </c>
      <c r="FE1" s="29">
        <f t="shared" si="1"/>
        <v>161</v>
      </c>
      <c r="FF1" s="29">
        <f t="shared" si="1"/>
        <v>162</v>
      </c>
      <c r="FG1" s="29">
        <f t="shared" si="1"/>
        <v>163</v>
      </c>
      <c r="FH1" s="29">
        <f t="shared" si="1"/>
        <v>164</v>
      </c>
      <c r="FI1" s="29">
        <f t="shared" si="1"/>
        <v>165</v>
      </c>
      <c r="FJ1" s="29">
        <f t="shared" si="1"/>
        <v>166</v>
      </c>
      <c r="FK1" s="29">
        <f t="shared" si="1"/>
        <v>167</v>
      </c>
      <c r="FL1" s="29">
        <f t="shared" si="1"/>
        <v>168</v>
      </c>
      <c r="FM1" s="29">
        <f t="shared" si="1"/>
        <v>169</v>
      </c>
      <c r="FN1" s="29">
        <f t="shared" si="1"/>
        <v>170</v>
      </c>
      <c r="FO1" s="29">
        <f t="shared" si="1"/>
        <v>171</v>
      </c>
      <c r="FP1" s="29">
        <f t="shared" si="1"/>
        <v>172</v>
      </c>
      <c r="FQ1" s="29">
        <f t="shared" si="1"/>
        <v>173</v>
      </c>
      <c r="FR1" s="29">
        <f t="shared" si="1"/>
        <v>174</v>
      </c>
      <c r="FS1" s="29">
        <f t="shared" si="1"/>
        <v>175</v>
      </c>
      <c r="FT1" s="29">
        <f t="shared" si="1"/>
        <v>176</v>
      </c>
      <c r="FU1" s="29">
        <f t="shared" si="1"/>
        <v>177</v>
      </c>
      <c r="FV1" s="29">
        <f t="shared" si="1"/>
        <v>178</v>
      </c>
      <c r="FW1" s="29">
        <f t="shared" si="1"/>
        <v>179</v>
      </c>
      <c r="FX1" s="29">
        <f t="shared" si="1"/>
        <v>180</v>
      </c>
      <c r="FY1" s="29">
        <f t="shared" si="1"/>
        <v>181</v>
      </c>
      <c r="FZ1" s="29">
        <f t="shared" si="1"/>
        <v>182</v>
      </c>
      <c r="GA1" s="29">
        <f t="shared" si="1"/>
        <v>183</v>
      </c>
      <c r="GB1" s="29">
        <f t="shared" si="1"/>
        <v>184</v>
      </c>
      <c r="GC1" s="29">
        <f t="shared" si="1"/>
        <v>185</v>
      </c>
      <c r="GD1" s="29">
        <f t="shared" si="1"/>
        <v>186</v>
      </c>
      <c r="GE1" s="29">
        <f t="shared" si="1"/>
        <v>187</v>
      </c>
      <c r="GF1" s="29">
        <f t="shared" si="1"/>
        <v>188</v>
      </c>
      <c r="GG1" s="29">
        <f t="shared" si="1"/>
        <v>189</v>
      </c>
      <c r="GH1" s="29">
        <f t="shared" si="1"/>
        <v>190</v>
      </c>
      <c r="GI1" s="29">
        <f t="shared" si="1"/>
        <v>191</v>
      </c>
      <c r="GJ1" s="29">
        <f t="shared" si="1"/>
        <v>192</v>
      </c>
      <c r="GK1" s="29">
        <f t="shared" si="1"/>
        <v>193</v>
      </c>
      <c r="GL1" s="29">
        <f t="shared" si="1"/>
        <v>194</v>
      </c>
      <c r="GM1" s="29">
        <f t="shared" si="1"/>
        <v>195</v>
      </c>
      <c r="GN1" s="29">
        <f t="shared" si="1"/>
        <v>196</v>
      </c>
      <c r="GO1" s="29">
        <f t="shared" si="1"/>
        <v>197</v>
      </c>
      <c r="GP1" s="29">
        <f t="shared" si="1"/>
        <v>198</v>
      </c>
      <c r="GQ1" s="29">
        <f t="shared" si="1"/>
        <v>199</v>
      </c>
      <c r="GR1" s="29">
        <f t="shared" si="1"/>
        <v>200</v>
      </c>
      <c r="GS1" s="29">
        <f t="shared" si="1"/>
        <v>201</v>
      </c>
      <c r="GT1" s="29">
        <f t="shared" si="1"/>
        <v>202</v>
      </c>
      <c r="GU1" s="29">
        <f t="shared" si="1"/>
        <v>203</v>
      </c>
      <c r="GV1" s="29">
        <f t="shared" si="1"/>
        <v>204</v>
      </c>
      <c r="GW1" s="29">
        <f t="shared" si="1"/>
        <v>205</v>
      </c>
      <c r="GX1" s="29">
        <f t="shared" si="1"/>
        <v>206</v>
      </c>
      <c r="GY1" s="29">
        <f t="shared" si="1"/>
        <v>207</v>
      </c>
      <c r="GZ1" s="29">
        <f t="shared" si="1"/>
        <v>208</v>
      </c>
      <c r="HA1" s="29">
        <f t="shared" si="1"/>
        <v>209</v>
      </c>
      <c r="HB1" s="29">
        <f t="shared" si="1"/>
        <v>210</v>
      </c>
      <c r="HC1" s="29">
        <f t="shared" si="1"/>
        <v>211</v>
      </c>
      <c r="HD1" s="29">
        <f t="shared" si="1"/>
        <v>212</v>
      </c>
      <c r="HE1" s="29">
        <f t="shared" si="1"/>
        <v>213</v>
      </c>
      <c r="HF1" s="29">
        <f t="shared" si="1"/>
        <v>214</v>
      </c>
      <c r="HG1" s="29">
        <f t="shared" si="1"/>
        <v>215</v>
      </c>
      <c r="HH1" s="29">
        <f t="shared" si="1"/>
        <v>216</v>
      </c>
      <c r="HI1" s="29">
        <f t="shared" si="1"/>
        <v>217</v>
      </c>
      <c r="HJ1" s="29">
        <f t="shared" si="1"/>
        <v>218</v>
      </c>
      <c r="HK1" s="29">
        <f t="shared" si="1"/>
        <v>219</v>
      </c>
      <c r="HL1" s="29">
        <f t="shared" si="1"/>
        <v>220</v>
      </c>
      <c r="HM1" s="29">
        <f t="shared" si="1"/>
        <v>221</v>
      </c>
      <c r="HN1" s="29">
        <f t="shared" si="1"/>
        <v>222</v>
      </c>
      <c r="HO1" s="29">
        <f t="shared" si="1"/>
        <v>223</v>
      </c>
      <c r="HP1" s="29">
        <f t="shared" si="1"/>
        <v>224</v>
      </c>
      <c r="HQ1" s="29">
        <f t="shared" si="1"/>
        <v>225</v>
      </c>
      <c r="HR1" s="29">
        <f t="shared" si="1"/>
        <v>226</v>
      </c>
      <c r="HS1" s="29">
        <f t="shared" si="1"/>
        <v>227</v>
      </c>
      <c r="HT1" s="29">
        <f t="shared" si="1"/>
        <v>228</v>
      </c>
      <c r="HU1" s="29">
        <f t="shared" si="1"/>
        <v>229</v>
      </c>
      <c r="HV1" s="29">
        <f t="shared" si="1"/>
        <v>230</v>
      </c>
      <c r="HW1" s="29">
        <f t="shared" si="1"/>
        <v>231</v>
      </c>
      <c r="HX1" s="29">
        <f t="shared" si="1"/>
        <v>232</v>
      </c>
      <c r="HY1" s="29">
        <f t="shared" si="1"/>
        <v>233</v>
      </c>
      <c r="HZ1" s="29">
        <f t="shared" si="1"/>
        <v>234</v>
      </c>
      <c r="IA1" s="29">
        <f t="shared" si="1"/>
        <v>235</v>
      </c>
      <c r="IB1" s="29">
        <f t="shared" si="1"/>
        <v>236</v>
      </c>
      <c r="IC1" s="29">
        <f t="shared" si="1"/>
        <v>237</v>
      </c>
      <c r="ID1" s="29">
        <f t="shared" si="1"/>
        <v>238</v>
      </c>
      <c r="IE1" s="29">
        <f t="shared" si="1"/>
        <v>239</v>
      </c>
      <c r="IF1" s="29">
        <f t="shared" si="1"/>
        <v>240</v>
      </c>
      <c r="IG1" s="29">
        <f t="shared" si="1"/>
        <v>241</v>
      </c>
      <c r="IH1" s="29">
        <f t="shared" si="1"/>
        <v>242</v>
      </c>
      <c r="II1" s="29">
        <f t="shared" si="1"/>
        <v>243</v>
      </c>
      <c r="IJ1" s="29">
        <f t="shared" si="1"/>
        <v>244</v>
      </c>
      <c r="IK1" s="29">
        <f t="shared" si="1"/>
        <v>245</v>
      </c>
      <c r="IL1" s="29">
        <f t="shared" si="1"/>
        <v>246</v>
      </c>
      <c r="IM1" s="29">
        <f t="shared" si="1"/>
        <v>247</v>
      </c>
      <c r="IN1" s="29">
        <f t="shared" si="1"/>
        <v>248</v>
      </c>
      <c r="IO1" s="29">
        <f t="shared" si="1"/>
        <v>249</v>
      </c>
      <c r="IP1" s="29">
        <f t="shared" si="1"/>
        <v>250</v>
      </c>
      <c r="IQ1" s="29">
        <f t="shared" si="1"/>
        <v>251</v>
      </c>
      <c r="IR1" s="29">
        <f t="shared" si="1"/>
        <v>252</v>
      </c>
      <c r="IS1" s="29">
        <f t="shared" si="1"/>
        <v>253</v>
      </c>
      <c r="IT1" s="29">
        <f t="shared" si="1"/>
        <v>254</v>
      </c>
      <c r="IU1" s="29">
        <f t="shared" si="1"/>
        <v>255</v>
      </c>
      <c r="IV1" s="29">
        <f t="shared" si="1"/>
        <v>256</v>
      </c>
      <c r="IW1" s="29">
        <f t="shared" si="1"/>
        <v>257</v>
      </c>
      <c r="IX1" s="29">
        <f t="shared" si="1"/>
        <v>258</v>
      </c>
      <c r="IY1" s="29">
        <f t="shared" si="1"/>
        <v>259</v>
      </c>
      <c r="IZ1" s="29">
        <f t="shared" si="1"/>
        <v>260</v>
      </c>
      <c r="JA1" s="29">
        <f t="shared" si="1"/>
        <v>261</v>
      </c>
      <c r="JB1" s="29">
        <f t="shared" si="1"/>
        <v>262</v>
      </c>
      <c r="JC1" s="29">
        <f t="shared" si="1"/>
        <v>263</v>
      </c>
      <c r="JD1" s="29">
        <f t="shared" si="1"/>
        <v>264</v>
      </c>
      <c r="JE1" s="29">
        <f t="shared" si="1"/>
        <v>265</v>
      </c>
      <c r="JF1" s="29">
        <f t="shared" si="1"/>
        <v>266</v>
      </c>
      <c r="JG1" s="29">
        <f t="shared" si="1"/>
        <v>267</v>
      </c>
      <c r="JH1" s="29">
        <f t="shared" si="1"/>
        <v>268</v>
      </c>
      <c r="JI1" s="29">
        <f t="shared" si="1"/>
        <v>269</v>
      </c>
      <c r="JJ1" s="29">
        <f t="shared" si="1"/>
        <v>270</v>
      </c>
      <c r="JK1" s="29">
        <f t="shared" si="1"/>
        <v>271</v>
      </c>
      <c r="JL1" s="29">
        <f t="shared" si="1"/>
        <v>272</v>
      </c>
      <c r="JM1" s="29">
        <f t="shared" si="1"/>
        <v>273</v>
      </c>
      <c r="JN1" s="29">
        <f t="shared" si="1"/>
        <v>274</v>
      </c>
      <c r="JO1" s="29">
        <f t="shared" si="1"/>
        <v>275</v>
      </c>
      <c r="JP1" s="29">
        <f t="shared" si="1"/>
        <v>276</v>
      </c>
      <c r="JQ1" s="29">
        <f t="shared" si="1"/>
        <v>277</v>
      </c>
      <c r="JR1" s="29">
        <f t="shared" si="1"/>
        <v>278</v>
      </c>
      <c r="JS1" s="29">
        <f t="shared" si="1"/>
        <v>279</v>
      </c>
      <c r="JT1" s="29">
        <f t="shared" si="1"/>
        <v>280</v>
      </c>
      <c r="JU1" s="29">
        <f t="shared" si="1"/>
        <v>281</v>
      </c>
      <c r="JV1" s="29">
        <f t="shared" si="1"/>
        <v>282</v>
      </c>
      <c r="JW1" s="29">
        <f t="shared" si="1"/>
        <v>283</v>
      </c>
      <c r="JX1" s="29">
        <f t="shared" si="1"/>
        <v>284</v>
      </c>
      <c r="JY1" s="29">
        <f t="shared" si="1"/>
        <v>285</v>
      </c>
      <c r="JZ1" s="29">
        <f t="shared" si="1"/>
        <v>286</v>
      </c>
      <c r="KA1" s="29">
        <f t="shared" si="1"/>
        <v>287</v>
      </c>
      <c r="KB1" s="29">
        <f t="shared" si="1"/>
        <v>288</v>
      </c>
      <c r="KC1" s="29">
        <f t="shared" si="1"/>
        <v>289</v>
      </c>
      <c r="KD1" s="29">
        <f t="shared" si="1"/>
        <v>290</v>
      </c>
      <c r="KE1" s="29">
        <f t="shared" si="1"/>
        <v>291</v>
      </c>
      <c r="KF1" s="29">
        <f t="shared" si="1"/>
        <v>292</v>
      </c>
      <c r="KG1" s="29">
        <f t="shared" si="1"/>
        <v>293</v>
      </c>
      <c r="KH1" s="29">
        <f t="shared" si="1"/>
        <v>294</v>
      </c>
      <c r="KI1" s="29">
        <f t="shared" si="1"/>
        <v>295</v>
      </c>
      <c r="KJ1" s="29">
        <f t="shared" si="1"/>
        <v>296</v>
      </c>
      <c r="KK1" s="29">
        <f t="shared" si="1"/>
        <v>297</v>
      </c>
      <c r="KL1" s="29">
        <f t="shared" si="1"/>
        <v>298</v>
      </c>
      <c r="KM1" s="29">
        <f t="shared" si="1"/>
        <v>299</v>
      </c>
      <c r="KN1" s="29">
        <f t="shared" si="1"/>
        <v>300</v>
      </c>
      <c r="KO1" s="29">
        <f t="shared" si="1"/>
        <v>301</v>
      </c>
      <c r="KP1" s="29">
        <f t="shared" si="1"/>
        <v>302</v>
      </c>
      <c r="KQ1" s="29">
        <f t="shared" si="1"/>
        <v>303</v>
      </c>
      <c r="KR1" s="29">
        <f t="shared" si="1"/>
        <v>304</v>
      </c>
      <c r="KS1" s="29">
        <f t="shared" si="1"/>
        <v>305</v>
      </c>
      <c r="KT1" s="29">
        <f t="shared" si="1"/>
        <v>306</v>
      </c>
      <c r="KU1" s="29">
        <f t="shared" si="1"/>
        <v>307</v>
      </c>
      <c r="KV1" s="29">
        <f t="shared" si="1"/>
        <v>308</v>
      </c>
      <c r="KW1" s="29">
        <f t="shared" si="1"/>
        <v>309</v>
      </c>
      <c r="KX1" s="29">
        <f t="shared" si="1"/>
        <v>310</v>
      </c>
      <c r="KY1" s="29">
        <f t="shared" si="1"/>
        <v>311</v>
      </c>
      <c r="KZ1" s="29">
        <f t="shared" si="1"/>
        <v>312</v>
      </c>
      <c r="LA1" s="29">
        <f t="shared" si="1"/>
        <v>313</v>
      </c>
      <c r="LB1" s="29">
        <f t="shared" si="1"/>
        <v>314</v>
      </c>
      <c r="LC1" s="29">
        <f t="shared" si="1"/>
        <v>315</v>
      </c>
      <c r="LD1" s="29">
        <f t="shared" si="1"/>
        <v>316</v>
      </c>
      <c r="LE1" s="29">
        <f t="shared" si="1"/>
        <v>317</v>
      </c>
      <c r="LF1" s="29">
        <f t="shared" si="1"/>
        <v>318</v>
      </c>
      <c r="LG1" s="29">
        <f t="shared" si="1"/>
        <v>319</v>
      </c>
      <c r="LH1" s="29">
        <f t="shared" si="1"/>
        <v>320</v>
      </c>
      <c r="LI1" s="29">
        <f t="shared" si="1"/>
        <v>321</v>
      </c>
      <c r="LJ1" s="29">
        <f t="shared" si="1"/>
        <v>322</v>
      </c>
      <c r="LK1" s="29">
        <f t="shared" si="1"/>
        <v>323</v>
      </c>
      <c r="LL1" s="29">
        <f t="shared" si="1"/>
        <v>324</v>
      </c>
      <c r="LM1" s="29">
        <f t="shared" si="1"/>
        <v>325</v>
      </c>
      <c r="LN1" s="29">
        <f t="shared" si="1"/>
        <v>326</v>
      </c>
      <c r="LO1" s="29">
        <f t="shared" si="1"/>
        <v>327</v>
      </c>
      <c r="LP1" s="29">
        <f t="shared" si="1"/>
        <v>328</v>
      </c>
      <c r="LQ1" s="29">
        <f t="shared" si="1"/>
        <v>329</v>
      </c>
      <c r="LR1" s="29">
        <f t="shared" si="1"/>
        <v>330</v>
      </c>
      <c r="LS1" s="29">
        <f t="shared" si="1"/>
        <v>331</v>
      </c>
      <c r="LT1" s="29">
        <f t="shared" si="1"/>
        <v>332</v>
      </c>
      <c r="LU1" s="29">
        <f t="shared" si="1"/>
        <v>333</v>
      </c>
      <c r="LV1" s="29">
        <f t="shared" si="1"/>
        <v>334</v>
      </c>
      <c r="LW1" s="29">
        <f t="shared" si="1"/>
        <v>335</v>
      </c>
      <c r="LX1" s="29">
        <f t="shared" si="1"/>
        <v>336</v>
      </c>
      <c r="LY1" s="29">
        <f t="shared" si="1"/>
        <v>337</v>
      </c>
      <c r="LZ1" s="29">
        <f t="shared" si="1"/>
        <v>338</v>
      </c>
      <c r="MA1" s="29">
        <f t="shared" si="1"/>
        <v>339</v>
      </c>
      <c r="MB1" s="29">
        <f t="shared" si="1"/>
        <v>340</v>
      </c>
      <c r="MC1" s="29">
        <f t="shared" si="1"/>
        <v>341</v>
      </c>
      <c r="MD1" s="29">
        <f t="shared" si="1"/>
        <v>342</v>
      </c>
      <c r="ME1" s="29">
        <f t="shared" si="1"/>
        <v>343</v>
      </c>
      <c r="MF1" s="29">
        <f t="shared" si="1"/>
        <v>344</v>
      </c>
      <c r="MG1" s="29">
        <f t="shared" si="1"/>
        <v>345</v>
      </c>
      <c r="MH1" s="29">
        <f t="shared" si="1"/>
        <v>346</v>
      </c>
      <c r="MI1" s="29">
        <f t="shared" si="1"/>
        <v>347</v>
      </c>
      <c r="MJ1" s="29">
        <f t="shared" si="1"/>
        <v>348</v>
      </c>
      <c r="MK1" s="29">
        <f t="shared" si="1"/>
        <v>349</v>
      </c>
      <c r="ML1" s="29">
        <f t="shared" si="1"/>
        <v>350</v>
      </c>
      <c r="MM1" s="29">
        <f t="shared" si="1"/>
        <v>351</v>
      </c>
      <c r="MN1" s="29">
        <f t="shared" si="1"/>
        <v>352</v>
      </c>
      <c r="MO1" s="29">
        <f t="shared" si="1"/>
        <v>353</v>
      </c>
      <c r="MP1" s="29">
        <f t="shared" si="1"/>
        <v>354</v>
      </c>
      <c r="MQ1" s="29">
        <f t="shared" si="1"/>
        <v>355</v>
      </c>
      <c r="MR1" s="29">
        <f t="shared" si="1"/>
        <v>356</v>
      </c>
      <c r="MS1" s="29">
        <f t="shared" si="1"/>
        <v>357</v>
      </c>
      <c r="MT1" s="29">
        <f t="shared" si="1"/>
        <v>358</v>
      </c>
      <c r="MU1" s="29">
        <f t="shared" si="1"/>
        <v>359</v>
      </c>
      <c r="MV1" s="29">
        <f t="shared" si="1"/>
        <v>360</v>
      </c>
      <c r="MW1" s="29">
        <f t="shared" si="1"/>
        <v>361</v>
      </c>
      <c r="MX1" s="29">
        <f t="shared" si="1"/>
        <v>362</v>
      </c>
      <c r="MY1" s="29">
        <f t="shared" si="1"/>
        <v>363</v>
      </c>
      <c r="MZ1" s="29">
        <f t="shared" si="1"/>
        <v>364</v>
      </c>
      <c r="NA1" s="29">
        <f t="shared" si="1"/>
        <v>365</v>
      </c>
      <c r="NB1" s="29">
        <f t="shared" si="1"/>
        <v>366</v>
      </c>
      <c r="NC1" s="29">
        <f t="shared" si="1"/>
        <v>367</v>
      </c>
      <c r="ND1" s="29">
        <f t="shared" si="1"/>
        <v>368</v>
      </c>
      <c r="NE1" s="29">
        <f t="shared" si="1"/>
        <v>369</v>
      </c>
      <c r="NF1" s="29">
        <f t="shared" si="1"/>
        <v>370</v>
      </c>
      <c r="NG1" s="29">
        <f t="shared" si="1"/>
        <v>371</v>
      </c>
      <c r="NH1" s="29">
        <f t="shared" si="1"/>
        <v>372</v>
      </c>
      <c r="NI1" s="29">
        <f t="shared" si="1"/>
        <v>373</v>
      </c>
      <c r="NJ1" s="29">
        <f t="shared" si="1"/>
        <v>374</v>
      </c>
      <c r="NK1" s="29">
        <f t="shared" si="1"/>
        <v>375</v>
      </c>
      <c r="NL1" s="29">
        <f t="shared" si="1"/>
        <v>376</v>
      </c>
      <c r="NM1" s="29">
        <f t="shared" si="1"/>
        <v>377</v>
      </c>
      <c r="NN1" s="29">
        <f t="shared" si="1"/>
        <v>378</v>
      </c>
      <c r="NO1" s="29">
        <f t="shared" si="1"/>
        <v>379</v>
      </c>
      <c r="NP1" s="29">
        <f t="shared" si="1"/>
        <v>380</v>
      </c>
      <c r="NQ1" s="29">
        <f t="shared" si="1"/>
        <v>381</v>
      </c>
      <c r="NR1" s="29">
        <f t="shared" si="1"/>
        <v>382</v>
      </c>
      <c r="NS1" s="29">
        <f t="shared" si="1"/>
        <v>383</v>
      </c>
      <c r="NT1" s="29">
        <f t="shared" si="1"/>
        <v>384</v>
      </c>
      <c r="NU1" s="29">
        <f t="shared" si="1"/>
        <v>385</v>
      </c>
      <c r="NV1" s="29">
        <f t="shared" si="1"/>
        <v>386</v>
      </c>
      <c r="NW1" s="29">
        <f t="shared" si="1"/>
        <v>387</v>
      </c>
      <c r="NX1" s="29">
        <f t="shared" si="1"/>
        <v>388</v>
      </c>
      <c r="NY1" s="29">
        <f t="shared" si="1"/>
        <v>389</v>
      </c>
      <c r="NZ1" s="29">
        <f t="shared" si="1"/>
        <v>390</v>
      </c>
      <c r="OA1" s="29">
        <f t="shared" si="1"/>
        <v>391</v>
      </c>
      <c r="OB1" s="29">
        <f t="shared" si="1"/>
        <v>392</v>
      </c>
      <c r="OC1" s="29">
        <f t="shared" si="1"/>
        <v>393</v>
      </c>
      <c r="OD1" s="29">
        <f t="shared" si="1"/>
        <v>394</v>
      </c>
      <c r="OE1" s="29">
        <f t="shared" si="1"/>
        <v>395</v>
      </c>
      <c r="OF1" s="29">
        <f t="shared" si="1"/>
        <v>396</v>
      </c>
      <c r="OG1" s="29">
        <f t="shared" si="1"/>
        <v>397</v>
      </c>
      <c r="OH1" s="29">
        <f t="shared" si="1"/>
        <v>398</v>
      </c>
      <c r="OI1" s="29">
        <f t="shared" si="1"/>
        <v>399</v>
      </c>
      <c r="OJ1" s="29">
        <f t="shared" si="1"/>
        <v>400</v>
      </c>
      <c r="OK1" s="29">
        <f t="shared" si="1"/>
        <v>401</v>
      </c>
      <c r="OL1" s="29">
        <f t="shared" si="1"/>
        <v>402</v>
      </c>
      <c r="OM1" s="29">
        <f t="shared" si="1"/>
        <v>403</v>
      </c>
      <c r="ON1" s="29">
        <f t="shared" si="1"/>
        <v>404</v>
      </c>
      <c r="OO1" s="29">
        <f t="shared" si="1"/>
        <v>405</v>
      </c>
      <c r="OP1" s="29">
        <f t="shared" si="1"/>
        <v>406</v>
      </c>
      <c r="OQ1" s="29">
        <f t="shared" si="1"/>
        <v>407</v>
      </c>
      <c r="OR1" s="29">
        <f t="shared" si="1"/>
        <v>408</v>
      </c>
      <c r="OS1" s="29">
        <f t="shared" si="1"/>
        <v>409</v>
      </c>
      <c r="OT1" s="29">
        <f t="shared" si="1"/>
        <v>410</v>
      </c>
      <c r="OU1" s="29">
        <f t="shared" si="1"/>
        <v>411</v>
      </c>
      <c r="OV1" s="29">
        <f t="shared" si="1"/>
        <v>412</v>
      </c>
      <c r="OW1" s="29">
        <f t="shared" si="1"/>
        <v>413</v>
      </c>
      <c r="OX1" s="29">
        <f t="shared" si="1"/>
        <v>414</v>
      </c>
      <c r="OY1" s="29">
        <f t="shared" si="1"/>
        <v>415</v>
      </c>
      <c r="OZ1" s="29">
        <f t="shared" si="1"/>
        <v>416</v>
      </c>
      <c r="PA1" s="29">
        <f t="shared" si="1"/>
        <v>417</v>
      </c>
      <c r="PB1" s="29">
        <f t="shared" si="1"/>
        <v>418</v>
      </c>
      <c r="PC1" s="29">
        <f t="shared" si="1"/>
        <v>419</v>
      </c>
      <c r="PD1" s="29">
        <f t="shared" si="1"/>
        <v>420</v>
      </c>
      <c r="PE1" s="29">
        <f t="shared" si="1"/>
        <v>421</v>
      </c>
      <c r="PF1" s="29">
        <f t="shared" si="1"/>
        <v>422</v>
      </c>
      <c r="PG1" s="29">
        <f t="shared" si="1"/>
        <v>423</v>
      </c>
      <c r="PH1" s="29">
        <f t="shared" si="1"/>
        <v>424</v>
      </c>
      <c r="PI1" s="29">
        <f t="shared" si="1"/>
        <v>425</v>
      </c>
      <c r="PJ1" s="29">
        <f t="shared" si="1"/>
        <v>426</v>
      </c>
      <c r="PK1" s="29">
        <f t="shared" si="1"/>
        <v>427</v>
      </c>
      <c r="PL1" s="29">
        <f t="shared" si="1"/>
        <v>428</v>
      </c>
      <c r="PM1" s="29">
        <f t="shared" si="1"/>
        <v>429</v>
      </c>
      <c r="PN1" s="29">
        <f t="shared" si="1"/>
        <v>430</v>
      </c>
      <c r="PO1" s="29">
        <f t="shared" si="1"/>
        <v>431</v>
      </c>
      <c r="PP1" s="29">
        <f t="shared" si="1"/>
        <v>432</v>
      </c>
      <c r="PQ1" s="29">
        <f t="shared" si="1"/>
        <v>433</v>
      </c>
      <c r="PR1" s="29">
        <f t="shared" si="1"/>
        <v>434</v>
      </c>
      <c r="PS1" s="29">
        <f t="shared" si="1"/>
        <v>435</v>
      </c>
      <c r="PT1" s="29">
        <f t="shared" si="1"/>
        <v>436</v>
      </c>
      <c r="PU1" s="29">
        <f t="shared" si="1"/>
        <v>437</v>
      </c>
      <c r="PV1" s="29">
        <f t="shared" si="1"/>
        <v>438</v>
      </c>
      <c r="PW1" s="29">
        <f t="shared" si="1"/>
        <v>439</v>
      </c>
      <c r="PX1" s="29">
        <f t="shared" si="1"/>
        <v>440</v>
      </c>
      <c r="PY1" s="29">
        <f t="shared" si="1"/>
        <v>441</v>
      </c>
      <c r="PZ1" s="29">
        <f t="shared" si="1"/>
        <v>442</v>
      </c>
      <c r="QA1" s="29">
        <f t="shared" si="1"/>
        <v>443</v>
      </c>
      <c r="QB1" s="29">
        <f t="shared" si="1"/>
        <v>444</v>
      </c>
      <c r="QC1" s="29">
        <f t="shared" si="1"/>
        <v>445</v>
      </c>
      <c r="QD1" s="29">
        <f t="shared" si="1"/>
        <v>446</v>
      </c>
      <c r="QE1" s="29">
        <f t="shared" si="1"/>
        <v>447</v>
      </c>
      <c r="QF1" s="29">
        <f t="shared" si="1"/>
        <v>448</v>
      </c>
      <c r="QG1" s="29">
        <f t="shared" si="1"/>
        <v>449</v>
      </c>
      <c r="QH1" s="29">
        <f t="shared" si="1"/>
        <v>450</v>
      </c>
      <c r="QI1" s="29">
        <f t="shared" si="1"/>
        <v>451</v>
      </c>
      <c r="QJ1" s="29">
        <f t="shared" si="1"/>
        <v>452</v>
      </c>
      <c r="QK1" s="29">
        <f t="shared" si="1"/>
        <v>453</v>
      </c>
      <c r="QL1" s="29">
        <f t="shared" si="1"/>
        <v>454</v>
      </c>
      <c r="QM1" s="29">
        <f t="shared" si="1"/>
        <v>455</v>
      </c>
      <c r="QN1" s="29">
        <f t="shared" si="1"/>
        <v>456</v>
      </c>
      <c r="QO1" s="29">
        <f t="shared" si="1"/>
        <v>457</v>
      </c>
      <c r="QP1" s="29">
        <f t="shared" si="1"/>
        <v>458</v>
      </c>
      <c r="QQ1" s="29">
        <f t="shared" si="1"/>
        <v>459</v>
      </c>
      <c r="QR1" s="29">
        <f t="shared" si="1"/>
        <v>460</v>
      </c>
      <c r="QS1" s="29">
        <f t="shared" si="1"/>
        <v>461</v>
      </c>
      <c r="QT1" s="29">
        <f t="shared" si="1"/>
        <v>462</v>
      </c>
      <c r="QU1" s="29">
        <f t="shared" si="1"/>
        <v>463</v>
      </c>
      <c r="QV1" s="29">
        <f t="shared" si="1"/>
        <v>464</v>
      </c>
      <c r="QW1" s="29">
        <f t="shared" si="1"/>
        <v>465</v>
      </c>
      <c r="QX1" s="29">
        <f t="shared" si="1"/>
        <v>466</v>
      </c>
      <c r="QY1" s="29">
        <f t="shared" si="1"/>
        <v>467</v>
      </c>
      <c r="QZ1" s="29">
        <f t="shared" si="1"/>
        <v>468</v>
      </c>
      <c r="RA1" s="29">
        <f t="shared" si="1"/>
        <v>469</v>
      </c>
      <c r="RB1" s="29">
        <f t="shared" si="1"/>
        <v>470</v>
      </c>
      <c r="RC1" s="29">
        <f t="shared" si="1"/>
        <v>471</v>
      </c>
      <c r="RD1" s="29">
        <f t="shared" si="1"/>
        <v>472</v>
      </c>
      <c r="RE1" s="29">
        <f t="shared" si="1"/>
        <v>473</v>
      </c>
      <c r="RF1" s="29">
        <f t="shared" si="1"/>
        <v>474</v>
      </c>
      <c r="RG1" s="29">
        <f t="shared" si="1"/>
        <v>475</v>
      </c>
      <c r="RH1" s="29">
        <f t="shared" si="1"/>
        <v>476</v>
      </c>
      <c r="RI1" s="29">
        <f t="shared" si="1"/>
        <v>477</v>
      </c>
      <c r="RJ1" s="29">
        <f t="shared" si="1"/>
        <v>478</v>
      </c>
      <c r="RK1" s="29">
        <f t="shared" si="1"/>
        <v>479</v>
      </c>
      <c r="RL1" s="29">
        <f t="shared" si="1"/>
        <v>480</v>
      </c>
      <c r="RM1" s="29">
        <f t="shared" si="1"/>
        <v>481</v>
      </c>
      <c r="RN1" s="29">
        <f t="shared" si="1"/>
        <v>482</v>
      </c>
      <c r="RO1" s="29">
        <f t="shared" si="1"/>
        <v>483</v>
      </c>
      <c r="RP1" s="29">
        <f t="shared" si="1"/>
        <v>484</v>
      </c>
      <c r="RQ1" s="29">
        <f t="shared" si="1"/>
        <v>485</v>
      </c>
      <c r="RR1" s="29">
        <f t="shared" si="1"/>
        <v>486</v>
      </c>
      <c r="RS1" s="29">
        <f t="shared" si="1"/>
        <v>487</v>
      </c>
      <c r="RT1" s="29">
        <f t="shared" si="1"/>
        <v>488</v>
      </c>
      <c r="RU1" s="29">
        <f t="shared" si="1"/>
        <v>489</v>
      </c>
      <c r="RV1" s="29">
        <f t="shared" si="1"/>
        <v>490</v>
      </c>
      <c r="RW1" s="29">
        <f t="shared" si="1"/>
        <v>491</v>
      </c>
      <c r="RX1" s="29">
        <f t="shared" si="1"/>
        <v>492</v>
      </c>
      <c r="RY1" s="29">
        <f t="shared" si="1"/>
        <v>493</v>
      </c>
      <c r="RZ1" s="29">
        <f t="shared" si="1"/>
        <v>494</v>
      </c>
      <c r="SA1" s="29">
        <f t="shared" si="1"/>
        <v>495</v>
      </c>
      <c r="SB1" s="29">
        <f t="shared" si="1"/>
        <v>496</v>
      </c>
      <c r="SC1" s="29">
        <f t="shared" si="1"/>
        <v>497</v>
      </c>
      <c r="SD1" s="29">
        <f t="shared" si="1"/>
        <v>498</v>
      </c>
      <c r="SE1" s="29">
        <f t="shared" si="1"/>
        <v>499</v>
      </c>
      <c r="SF1" s="29">
        <f t="shared" si="1"/>
        <v>500</v>
      </c>
      <c r="SG1" s="29">
        <f t="shared" si="1"/>
        <v>501</v>
      </c>
      <c r="SH1" s="29">
        <f t="shared" si="1"/>
        <v>502</v>
      </c>
      <c r="SI1" s="29">
        <f t="shared" si="1"/>
        <v>503</v>
      </c>
      <c r="SJ1" s="29">
        <f t="shared" si="1"/>
        <v>504</v>
      </c>
      <c r="SK1" s="29">
        <f t="shared" si="1"/>
        <v>505</v>
      </c>
      <c r="SL1" s="29">
        <f t="shared" si="1"/>
        <v>506</v>
      </c>
      <c r="SM1" s="29">
        <f t="shared" si="1"/>
        <v>507</v>
      </c>
      <c r="SN1" s="29">
        <f t="shared" si="1"/>
        <v>508</v>
      </c>
      <c r="SO1" s="29">
        <f t="shared" si="1"/>
        <v>509</v>
      </c>
      <c r="SP1" s="29">
        <f t="shared" si="1"/>
        <v>510</v>
      </c>
      <c r="SQ1" s="29">
        <f t="shared" si="1"/>
        <v>511</v>
      </c>
      <c r="SR1" s="29">
        <f t="shared" si="1"/>
        <v>512</v>
      </c>
      <c r="SS1" s="29">
        <f t="shared" si="1"/>
        <v>513</v>
      </c>
      <c r="ST1" s="29">
        <f t="shared" si="1"/>
        <v>514</v>
      </c>
      <c r="SU1" s="29">
        <f t="shared" si="1"/>
        <v>515</v>
      </c>
      <c r="SV1" s="29">
        <f t="shared" si="1"/>
        <v>516</v>
      </c>
      <c r="SW1" s="29">
        <f t="shared" si="1"/>
        <v>517</v>
      </c>
      <c r="SX1" s="29">
        <f t="shared" si="1"/>
        <v>518</v>
      </c>
      <c r="SY1" s="29">
        <f t="shared" si="1"/>
        <v>519</v>
      </c>
      <c r="SZ1" s="29">
        <f t="shared" si="1"/>
        <v>520</v>
      </c>
      <c r="TA1" s="29">
        <f t="shared" si="1"/>
        <v>521</v>
      </c>
      <c r="TB1" s="29">
        <f t="shared" si="1"/>
        <v>522</v>
      </c>
      <c r="TC1" s="29">
        <f t="shared" si="1"/>
        <v>523</v>
      </c>
      <c r="TD1" s="29">
        <f t="shared" si="1"/>
        <v>524</v>
      </c>
      <c r="TE1" s="29">
        <f t="shared" si="1"/>
        <v>525</v>
      </c>
      <c r="TF1" s="29">
        <f t="shared" si="1"/>
        <v>526</v>
      </c>
      <c r="TG1" s="29">
        <f t="shared" si="1"/>
        <v>527</v>
      </c>
      <c r="TH1" s="29">
        <f t="shared" si="1"/>
        <v>528</v>
      </c>
      <c r="TI1" s="29">
        <f t="shared" si="1"/>
        <v>529</v>
      </c>
      <c r="TJ1" s="29">
        <f t="shared" si="1"/>
        <v>530</v>
      </c>
      <c r="TK1" s="29">
        <f t="shared" si="1"/>
        <v>531</v>
      </c>
      <c r="TL1" s="29">
        <f t="shared" si="1"/>
        <v>532</v>
      </c>
      <c r="TM1" s="29">
        <f t="shared" si="1"/>
        <v>533</v>
      </c>
      <c r="TN1" s="29">
        <f t="shared" si="1"/>
        <v>534</v>
      </c>
      <c r="TO1" s="29">
        <f t="shared" si="1"/>
        <v>535</v>
      </c>
      <c r="TP1" s="29">
        <f t="shared" si="1"/>
        <v>536</v>
      </c>
      <c r="TQ1" s="29">
        <f t="shared" si="1"/>
        <v>537</v>
      </c>
      <c r="TR1" s="29">
        <f t="shared" si="1"/>
        <v>538</v>
      </c>
      <c r="TS1" s="29">
        <f t="shared" si="1"/>
        <v>539</v>
      </c>
      <c r="TT1" s="29">
        <f t="shared" si="1"/>
        <v>540</v>
      </c>
      <c r="TU1" s="29">
        <f t="shared" si="1"/>
        <v>541</v>
      </c>
      <c r="TV1" s="29">
        <f t="shared" si="1"/>
        <v>542</v>
      </c>
      <c r="TW1" s="29">
        <f t="shared" si="1"/>
        <v>543</v>
      </c>
      <c r="TX1" s="29">
        <f t="shared" si="1"/>
        <v>544</v>
      </c>
      <c r="TY1" s="29">
        <f t="shared" si="1"/>
        <v>545</v>
      </c>
      <c r="TZ1" s="29">
        <f t="shared" si="1"/>
        <v>546</v>
      </c>
      <c r="UA1" s="29">
        <f t="shared" si="1"/>
        <v>547</v>
      </c>
      <c r="UB1" s="29">
        <f t="shared" si="1"/>
        <v>548</v>
      </c>
      <c r="UC1" s="29">
        <f t="shared" si="1"/>
        <v>549</v>
      </c>
      <c r="UD1" s="29">
        <f t="shared" si="1"/>
        <v>550</v>
      </c>
      <c r="UE1" s="29">
        <f t="shared" si="1"/>
        <v>551</v>
      </c>
      <c r="UF1" s="29">
        <f t="shared" si="1"/>
        <v>552</v>
      </c>
      <c r="UG1" s="29">
        <f t="shared" si="1"/>
        <v>553</v>
      </c>
      <c r="UH1" s="29">
        <f t="shared" si="1"/>
        <v>554</v>
      </c>
      <c r="UI1" s="29">
        <f t="shared" si="1"/>
        <v>555</v>
      </c>
      <c r="UJ1" s="29">
        <f t="shared" si="1"/>
        <v>556</v>
      </c>
      <c r="UK1" s="29">
        <f t="shared" si="1"/>
        <v>557</v>
      </c>
      <c r="UL1" s="29">
        <f t="shared" si="1"/>
        <v>558</v>
      </c>
      <c r="UM1" s="29">
        <f t="shared" si="1"/>
        <v>559</v>
      </c>
      <c r="UN1" s="29">
        <f t="shared" si="1"/>
        <v>560</v>
      </c>
      <c r="UO1" s="29">
        <f t="shared" si="1"/>
        <v>561</v>
      </c>
      <c r="UP1" s="29">
        <f t="shared" si="1"/>
        <v>562</v>
      </c>
      <c r="UQ1" s="29">
        <f t="shared" si="1"/>
        <v>563</v>
      </c>
      <c r="UR1" s="29">
        <f t="shared" si="1"/>
        <v>564</v>
      </c>
      <c r="US1" s="29">
        <f t="shared" si="1"/>
        <v>565</v>
      </c>
      <c r="UT1" s="29">
        <f t="shared" si="1"/>
        <v>566</v>
      </c>
      <c r="UU1" s="29">
        <f t="shared" si="1"/>
        <v>567</v>
      </c>
      <c r="UV1" s="29">
        <f t="shared" si="1"/>
        <v>568</v>
      </c>
      <c r="UW1" s="29">
        <f t="shared" si="1"/>
        <v>569</v>
      </c>
      <c r="UX1" s="29">
        <f t="shared" si="1"/>
        <v>570</v>
      </c>
      <c r="UY1" s="29">
        <f t="shared" si="1"/>
        <v>571</v>
      </c>
      <c r="UZ1" s="29">
        <f t="shared" si="1"/>
        <v>572</v>
      </c>
      <c r="VA1" s="29">
        <f t="shared" si="1"/>
        <v>573</v>
      </c>
      <c r="VB1" s="29">
        <f t="shared" si="1"/>
        <v>574</v>
      </c>
      <c r="VC1" s="29">
        <f t="shared" si="1"/>
        <v>575</v>
      </c>
      <c r="VD1" s="29">
        <f t="shared" si="1"/>
        <v>576</v>
      </c>
      <c r="VE1" s="29">
        <f t="shared" si="1"/>
        <v>577</v>
      </c>
      <c r="VF1" s="29">
        <f t="shared" si="1"/>
        <v>578</v>
      </c>
      <c r="VG1" s="29">
        <f t="shared" si="1"/>
        <v>579</v>
      </c>
      <c r="VH1" s="29">
        <f t="shared" si="1"/>
        <v>580</v>
      </c>
      <c r="VI1" s="29">
        <f t="shared" si="1"/>
        <v>581</v>
      </c>
      <c r="VJ1" s="29">
        <f t="shared" si="1"/>
        <v>582</v>
      </c>
      <c r="VK1" s="29">
        <f t="shared" si="1"/>
        <v>583</v>
      </c>
      <c r="VL1" s="29">
        <f t="shared" si="1"/>
        <v>584</v>
      </c>
      <c r="VM1" s="29">
        <f t="shared" si="1"/>
        <v>585</v>
      </c>
      <c r="VN1" s="29">
        <f t="shared" si="1"/>
        <v>586</v>
      </c>
      <c r="VO1" s="29">
        <f t="shared" si="1"/>
        <v>587</v>
      </c>
      <c r="VP1" s="29">
        <f t="shared" si="1"/>
        <v>588</v>
      </c>
      <c r="VQ1" s="29">
        <f t="shared" si="1"/>
        <v>589</v>
      </c>
      <c r="VR1" s="29">
        <f t="shared" si="1"/>
        <v>590</v>
      </c>
      <c r="VS1" s="29">
        <f t="shared" si="1"/>
        <v>591</v>
      </c>
      <c r="VT1" s="29">
        <f t="shared" si="1"/>
        <v>592</v>
      </c>
      <c r="VU1" s="29">
        <f t="shared" si="1"/>
        <v>593</v>
      </c>
      <c r="VV1" s="29">
        <f t="shared" si="1"/>
        <v>594</v>
      </c>
      <c r="VW1" s="29">
        <f t="shared" si="1"/>
        <v>595</v>
      </c>
      <c r="VX1" s="29">
        <f t="shared" si="1"/>
        <v>596</v>
      </c>
      <c r="VY1" s="29">
        <f t="shared" si="1"/>
        <v>597</v>
      </c>
      <c r="VZ1" s="29">
        <f t="shared" si="1"/>
        <v>598</v>
      </c>
      <c r="WA1" s="29">
        <f t="shared" si="1"/>
        <v>599</v>
      </c>
      <c r="WB1" s="29">
        <f t="shared" si="1"/>
        <v>600</v>
      </c>
      <c r="WC1" s="29">
        <f t="shared" si="1"/>
        <v>601</v>
      </c>
      <c r="WD1" s="29">
        <f t="shared" si="1"/>
        <v>602</v>
      </c>
      <c r="WE1" s="29">
        <f t="shared" si="1"/>
        <v>603</v>
      </c>
      <c r="WF1" s="29">
        <f t="shared" si="1"/>
        <v>604</v>
      </c>
      <c r="WG1" s="29">
        <f t="shared" si="1"/>
        <v>605</v>
      </c>
      <c r="WH1" s="29">
        <f t="shared" si="1"/>
        <v>606</v>
      </c>
      <c r="WI1" s="29">
        <f t="shared" si="1"/>
        <v>607</v>
      </c>
      <c r="WJ1" s="29">
        <f t="shared" si="1"/>
        <v>608</v>
      </c>
      <c r="WK1" s="29">
        <f t="shared" si="1"/>
        <v>609</v>
      </c>
      <c r="WL1" s="29">
        <f t="shared" si="1"/>
        <v>610</v>
      </c>
      <c r="WM1" s="29">
        <f t="shared" si="1"/>
        <v>611</v>
      </c>
      <c r="WN1" s="29">
        <f t="shared" si="1"/>
        <v>612</v>
      </c>
      <c r="WO1" s="29">
        <f t="shared" si="1"/>
        <v>613</v>
      </c>
      <c r="WP1" s="29">
        <f t="shared" si="1"/>
        <v>614</v>
      </c>
      <c r="WQ1" s="29">
        <f t="shared" si="1"/>
        <v>615</v>
      </c>
      <c r="WR1" s="29">
        <f t="shared" si="1"/>
        <v>616</v>
      </c>
      <c r="WS1" s="29">
        <f t="shared" si="1"/>
        <v>617</v>
      </c>
      <c r="WT1" s="29">
        <f t="shared" si="1"/>
        <v>618</v>
      </c>
      <c r="WU1" s="29">
        <f t="shared" si="1"/>
        <v>619</v>
      </c>
      <c r="WV1" s="29">
        <f t="shared" si="1"/>
        <v>620</v>
      </c>
      <c r="WW1" s="29">
        <f t="shared" si="1"/>
        <v>621</v>
      </c>
      <c r="WX1" s="29">
        <f t="shared" si="1"/>
        <v>622</v>
      </c>
      <c r="WY1" s="29">
        <f t="shared" si="1"/>
        <v>623</v>
      </c>
      <c r="WZ1" s="29">
        <f t="shared" si="1"/>
        <v>624</v>
      </c>
      <c r="XA1" s="29">
        <f t="shared" si="1"/>
        <v>625</v>
      </c>
      <c r="XB1" s="29">
        <f t="shared" si="1"/>
        <v>626</v>
      </c>
      <c r="XC1" s="29">
        <f t="shared" si="1"/>
        <v>627</v>
      </c>
      <c r="XD1" s="29">
        <f t="shared" si="1"/>
        <v>628</v>
      </c>
      <c r="XE1" s="29">
        <f t="shared" si="1"/>
        <v>629</v>
      </c>
      <c r="XF1" s="29">
        <f t="shared" si="1"/>
        <v>630</v>
      </c>
      <c r="XG1" s="29">
        <f t="shared" si="1"/>
        <v>631</v>
      </c>
      <c r="XH1" s="29">
        <f t="shared" si="1"/>
        <v>632</v>
      </c>
      <c r="XI1" s="29">
        <f t="shared" si="1"/>
        <v>633</v>
      </c>
      <c r="XJ1" s="29">
        <f t="shared" si="1"/>
        <v>634</v>
      </c>
      <c r="XK1" s="29">
        <f t="shared" si="1"/>
        <v>635</v>
      </c>
      <c r="XL1" s="29">
        <f t="shared" si="1"/>
        <v>636</v>
      </c>
      <c r="XM1" s="29">
        <f t="shared" si="1"/>
        <v>637</v>
      </c>
      <c r="XN1" s="29">
        <f t="shared" si="1"/>
        <v>638</v>
      </c>
      <c r="XO1" s="29">
        <f t="shared" si="1"/>
        <v>639</v>
      </c>
      <c r="XP1" s="29">
        <f t="shared" si="1"/>
        <v>640</v>
      </c>
      <c r="XQ1" s="29">
        <f t="shared" si="1"/>
        <v>641</v>
      </c>
      <c r="XR1" s="29">
        <f t="shared" si="1"/>
        <v>642</v>
      </c>
      <c r="XS1" s="29">
        <f t="shared" si="1"/>
        <v>643</v>
      </c>
      <c r="XT1" s="29">
        <f t="shared" si="1"/>
        <v>644</v>
      </c>
      <c r="XU1" s="29">
        <f t="shared" si="1"/>
        <v>645</v>
      </c>
      <c r="XV1" s="29">
        <f t="shared" si="1"/>
        <v>646</v>
      </c>
      <c r="XW1" s="29">
        <f t="shared" si="1"/>
        <v>647</v>
      </c>
      <c r="XX1" s="29">
        <f t="shared" si="1"/>
        <v>648</v>
      </c>
      <c r="XY1" s="29">
        <f t="shared" si="1"/>
        <v>649</v>
      </c>
      <c r="XZ1" s="29">
        <f t="shared" si="1"/>
        <v>650</v>
      </c>
      <c r="YA1" s="29">
        <f t="shared" si="1"/>
        <v>651</v>
      </c>
      <c r="YB1" s="29">
        <f t="shared" si="1"/>
        <v>652</v>
      </c>
      <c r="YC1" s="29">
        <f t="shared" si="1"/>
        <v>653</v>
      </c>
      <c r="YD1" s="29">
        <f t="shared" si="1"/>
        <v>654</v>
      </c>
      <c r="YE1" s="29">
        <f t="shared" si="1"/>
        <v>655</v>
      </c>
      <c r="YF1" s="29">
        <f t="shared" si="1"/>
        <v>656</v>
      </c>
      <c r="YG1" s="29">
        <f t="shared" si="1"/>
        <v>657</v>
      </c>
      <c r="YH1" s="29">
        <f t="shared" si="1"/>
        <v>658</v>
      </c>
      <c r="YI1" s="29">
        <f t="shared" si="1"/>
        <v>659</v>
      </c>
      <c r="YJ1" s="29">
        <f t="shared" si="1"/>
        <v>660</v>
      </c>
      <c r="YK1" s="29">
        <f t="shared" si="1"/>
        <v>661</v>
      </c>
      <c r="YL1" s="29">
        <f t="shared" si="1"/>
        <v>662</v>
      </c>
      <c r="YM1" s="29">
        <f t="shared" si="1"/>
        <v>663</v>
      </c>
      <c r="YN1" s="29">
        <f t="shared" si="1"/>
        <v>664</v>
      </c>
      <c r="YO1" s="29">
        <f t="shared" si="1"/>
        <v>665</v>
      </c>
      <c r="YP1" s="29">
        <f t="shared" si="1"/>
        <v>666</v>
      </c>
      <c r="YQ1" s="29">
        <f t="shared" si="1"/>
        <v>667</v>
      </c>
      <c r="YR1" s="29">
        <f t="shared" si="1"/>
        <v>668</v>
      </c>
      <c r="YS1" s="29">
        <f t="shared" si="1"/>
        <v>669</v>
      </c>
      <c r="YT1" s="29">
        <f t="shared" si="1"/>
        <v>670</v>
      </c>
      <c r="YU1" s="29">
        <f t="shared" si="1"/>
        <v>671</v>
      </c>
      <c r="YV1" s="29">
        <f t="shared" si="1"/>
        <v>672</v>
      </c>
      <c r="YW1" s="29">
        <f t="shared" si="1"/>
        <v>673</v>
      </c>
      <c r="YX1" s="29">
        <f t="shared" si="1"/>
        <v>674</v>
      </c>
      <c r="YY1" s="29">
        <f t="shared" si="1"/>
        <v>675</v>
      </c>
      <c r="YZ1" s="29">
        <f t="shared" si="1"/>
        <v>676</v>
      </c>
      <c r="ZA1" s="29">
        <f t="shared" si="1"/>
        <v>677</v>
      </c>
      <c r="ZB1" s="29">
        <f t="shared" si="1"/>
        <v>678</v>
      </c>
      <c r="ZC1" s="29">
        <f t="shared" si="1"/>
        <v>679</v>
      </c>
      <c r="ZD1" s="29">
        <f t="shared" si="1"/>
        <v>680</v>
      </c>
      <c r="ZE1" s="29">
        <f t="shared" si="1"/>
        <v>681</v>
      </c>
      <c r="ZF1" s="29">
        <f t="shared" si="1"/>
        <v>682</v>
      </c>
      <c r="ZG1" s="29">
        <f t="shared" si="1"/>
        <v>683</v>
      </c>
      <c r="ZH1" s="29">
        <f t="shared" si="1"/>
        <v>684</v>
      </c>
      <c r="ZI1" s="29">
        <f t="shared" si="1"/>
        <v>685</v>
      </c>
      <c r="ZJ1" s="29">
        <f t="shared" si="1"/>
        <v>686</v>
      </c>
      <c r="ZK1" s="29">
        <f t="shared" si="1"/>
        <v>687</v>
      </c>
      <c r="ZL1" s="29">
        <f t="shared" si="1"/>
        <v>688</v>
      </c>
      <c r="ZM1" s="29">
        <f t="shared" si="1"/>
        <v>689</v>
      </c>
      <c r="ZN1" s="29">
        <f t="shared" si="1"/>
        <v>690</v>
      </c>
      <c r="ZO1" s="29">
        <f t="shared" si="1"/>
        <v>691</v>
      </c>
      <c r="ZP1" s="29">
        <f t="shared" si="1"/>
        <v>692</v>
      </c>
      <c r="ZQ1" s="29">
        <f t="shared" si="1"/>
        <v>693</v>
      </c>
      <c r="ZR1" s="29">
        <f t="shared" si="1"/>
        <v>694</v>
      </c>
      <c r="ZS1" s="29">
        <f t="shared" si="1"/>
        <v>695</v>
      </c>
      <c r="ZT1" s="29">
        <f t="shared" si="1"/>
        <v>696</v>
      </c>
      <c r="ZU1" s="29">
        <f t="shared" si="1"/>
        <v>697</v>
      </c>
      <c r="ZV1" s="29">
        <f t="shared" si="1"/>
        <v>698</v>
      </c>
      <c r="ZW1" s="29">
        <f t="shared" si="1"/>
        <v>699</v>
      </c>
      <c r="ZX1" s="29">
        <f t="shared" si="1"/>
        <v>700</v>
      </c>
      <c r="ZY1" s="29">
        <f t="shared" si="1"/>
        <v>701</v>
      </c>
      <c r="ZZ1" s="29">
        <f t="shared" si="1"/>
        <v>702</v>
      </c>
      <c r="AAA1" s="29">
        <f t="shared" si="1"/>
        <v>703</v>
      </c>
      <c r="AAB1" s="29">
        <f t="shared" si="1"/>
        <v>704</v>
      </c>
      <c r="AAC1" s="29">
        <f t="shared" si="1"/>
        <v>705</v>
      </c>
      <c r="AAD1" s="29">
        <f t="shared" si="1"/>
        <v>706</v>
      </c>
      <c r="AAE1" s="29">
        <f t="shared" si="1"/>
        <v>707</v>
      </c>
      <c r="AAF1" s="29">
        <f t="shared" si="1"/>
        <v>708</v>
      </c>
      <c r="AAG1" s="29">
        <f t="shared" si="1"/>
        <v>709</v>
      </c>
      <c r="AAH1" s="29">
        <f t="shared" si="1"/>
        <v>710</v>
      </c>
      <c r="AAI1" s="29">
        <f t="shared" si="1"/>
        <v>711</v>
      </c>
      <c r="AAJ1" s="29">
        <f t="shared" si="1"/>
        <v>712</v>
      </c>
      <c r="AAK1" s="29">
        <f t="shared" si="1"/>
        <v>713</v>
      </c>
      <c r="AAL1" s="29">
        <f t="shared" si="1"/>
        <v>714</v>
      </c>
      <c r="AAM1" s="29">
        <f t="shared" si="1"/>
        <v>715</v>
      </c>
      <c r="AAN1" s="29">
        <f t="shared" si="1"/>
        <v>716</v>
      </c>
      <c r="AAO1" s="29">
        <f t="shared" si="1"/>
        <v>717</v>
      </c>
      <c r="AAP1" s="29">
        <f t="shared" si="1"/>
        <v>718</v>
      </c>
      <c r="AAQ1" s="29">
        <f t="shared" si="1"/>
        <v>719</v>
      </c>
      <c r="AAR1" s="29">
        <f t="shared" si="1"/>
        <v>720</v>
      </c>
      <c r="AAS1" s="29">
        <f t="shared" si="1"/>
        <v>721</v>
      </c>
      <c r="AAT1" s="29">
        <f t="shared" si="1"/>
        <v>722</v>
      </c>
      <c r="AAU1" s="29">
        <f t="shared" si="1"/>
        <v>723</v>
      </c>
      <c r="AAV1" s="29">
        <f t="shared" si="1"/>
        <v>724</v>
      </c>
      <c r="AAW1" s="29">
        <f t="shared" si="1"/>
        <v>725</v>
      </c>
      <c r="AAX1" s="29">
        <f t="shared" si="1"/>
        <v>726</v>
      </c>
      <c r="AAY1" s="29">
        <f t="shared" si="1"/>
        <v>727</v>
      </c>
      <c r="AAZ1" s="29">
        <f t="shared" si="1"/>
        <v>728</v>
      </c>
      <c r="ABA1" s="29">
        <f t="shared" si="1"/>
        <v>729</v>
      </c>
      <c r="ABB1" s="29">
        <f t="shared" si="1"/>
        <v>730</v>
      </c>
      <c r="ABC1" s="29">
        <f t="shared" si="1"/>
        <v>731</v>
      </c>
      <c r="ABD1" s="29">
        <f t="shared" si="1"/>
        <v>732</v>
      </c>
      <c r="ABE1" s="29">
        <f t="shared" si="1"/>
        <v>733</v>
      </c>
      <c r="ABF1" s="29">
        <f t="shared" si="1"/>
        <v>734</v>
      </c>
      <c r="ABG1" s="29">
        <f t="shared" si="1"/>
        <v>735</v>
      </c>
      <c r="ABH1" s="29">
        <f t="shared" si="1"/>
        <v>736</v>
      </c>
      <c r="ABI1" s="29">
        <f t="shared" si="1"/>
        <v>737</v>
      </c>
      <c r="ABJ1" s="29">
        <f t="shared" si="1"/>
        <v>738</v>
      </c>
      <c r="ABK1" s="29">
        <f t="shared" si="1"/>
        <v>739</v>
      </c>
      <c r="ABL1" s="29">
        <f t="shared" si="1"/>
        <v>740</v>
      </c>
      <c r="ABM1" s="29">
        <f t="shared" si="1"/>
        <v>741</v>
      </c>
      <c r="ABN1" s="29">
        <f t="shared" si="1"/>
        <v>742</v>
      </c>
      <c r="ABO1" s="29">
        <f t="shared" si="1"/>
        <v>743</v>
      </c>
      <c r="ABP1" s="29">
        <f t="shared" si="1"/>
        <v>744</v>
      </c>
      <c r="ABQ1" s="29">
        <f t="shared" si="1"/>
        <v>745</v>
      </c>
      <c r="ABR1" s="29">
        <f t="shared" si="1"/>
        <v>746</v>
      </c>
      <c r="ABS1" s="29">
        <f t="shared" si="1"/>
        <v>747</v>
      </c>
      <c r="ABT1" s="29">
        <f t="shared" si="1"/>
        <v>748</v>
      </c>
      <c r="ABU1" s="29">
        <f t="shared" si="1"/>
        <v>749</v>
      </c>
      <c r="ABV1" s="29">
        <f t="shared" si="1"/>
        <v>750</v>
      </c>
      <c r="ABW1" s="29">
        <f t="shared" si="1"/>
        <v>751</v>
      </c>
      <c r="ABX1" s="29">
        <f t="shared" si="1"/>
        <v>752</v>
      </c>
      <c r="ABY1" s="29">
        <f t="shared" si="1"/>
        <v>753</v>
      </c>
      <c r="ABZ1" s="29">
        <f t="shared" si="1"/>
        <v>754</v>
      </c>
      <c r="ACA1" s="29">
        <f t="shared" si="1"/>
        <v>755</v>
      </c>
      <c r="ACB1" s="29">
        <f t="shared" si="1"/>
        <v>756</v>
      </c>
      <c r="ACC1" s="29">
        <f t="shared" si="1"/>
        <v>757</v>
      </c>
      <c r="ACD1" s="29">
        <f t="shared" si="1"/>
        <v>758</v>
      </c>
      <c r="ACE1" s="29">
        <f t="shared" si="1"/>
        <v>759</v>
      </c>
      <c r="ACF1" s="29">
        <f t="shared" si="1"/>
        <v>760</v>
      </c>
      <c r="ACG1" s="29">
        <f t="shared" si="1"/>
        <v>761</v>
      </c>
      <c r="ACH1" s="29">
        <f t="shared" si="1"/>
        <v>762</v>
      </c>
      <c r="ACI1" s="29">
        <f t="shared" si="1"/>
        <v>763</v>
      </c>
      <c r="ACJ1" s="29">
        <f t="shared" si="1"/>
        <v>764</v>
      </c>
      <c r="ACK1" s="29">
        <f t="shared" si="1"/>
        <v>765</v>
      </c>
      <c r="ACL1" s="29">
        <f t="shared" si="1"/>
        <v>766</v>
      </c>
      <c r="ACM1" s="29">
        <f t="shared" si="1"/>
        <v>767</v>
      </c>
      <c r="ACN1" s="29">
        <f t="shared" si="1"/>
        <v>768</v>
      </c>
      <c r="ACO1" s="29">
        <f t="shared" si="1"/>
        <v>769</v>
      </c>
      <c r="ACP1" s="29">
        <f t="shared" si="1"/>
        <v>770</v>
      </c>
      <c r="ACQ1" s="29">
        <f t="shared" si="1"/>
        <v>771</v>
      </c>
      <c r="ACR1" s="29">
        <f t="shared" si="1"/>
        <v>772</v>
      </c>
      <c r="ACS1" s="29">
        <f t="shared" si="1"/>
        <v>773</v>
      </c>
      <c r="ACT1" s="29">
        <f t="shared" si="1"/>
        <v>774</v>
      </c>
      <c r="ACU1" s="29">
        <f t="shared" si="1"/>
        <v>775</v>
      </c>
      <c r="ACV1" s="29">
        <f t="shared" si="1"/>
        <v>776</v>
      </c>
      <c r="ACW1" s="29">
        <f t="shared" si="1"/>
        <v>777</v>
      </c>
      <c r="ACX1" s="29">
        <f t="shared" si="1"/>
        <v>778</v>
      </c>
      <c r="ACY1" s="29">
        <f t="shared" si="1"/>
        <v>779</v>
      </c>
      <c r="ACZ1" s="29">
        <f t="shared" si="1"/>
        <v>780</v>
      </c>
      <c r="ADA1" s="29">
        <f t="shared" si="1"/>
        <v>781</v>
      </c>
      <c r="ADB1" s="29">
        <f t="shared" si="1"/>
        <v>782</v>
      </c>
      <c r="ADC1" s="29">
        <f t="shared" si="1"/>
        <v>783</v>
      </c>
      <c r="ADD1" s="29">
        <f t="shared" si="1"/>
        <v>784</v>
      </c>
      <c r="ADE1" s="29">
        <f t="shared" si="1"/>
        <v>785</v>
      </c>
      <c r="ADF1" s="29">
        <f t="shared" si="1"/>
        <v>786</v>
      </c>
      <c r="ADG1" s="29">
        <f t="shared" si="1"/>
        <v>787</v>
      </c>
      <c r="ADH1" s="29">
        <f t="shared" si="1"/>
        <v>788</v>
      </c>
      <c r="ADI1" s="29">
        <f t="shared" si="1"/>
        <v>789</v>
      </c>
      <c r="ADJ1" s="29">
        <f t="shared" si="1"/>
        <v>790</v>
      </c>
      <c r="ADK1" s="29">
        <f t="shared" si="1"/>
        <v>791</v>
      </c>
      <c r="ADL1" s="29">
        <f t="shared" si="1"/>
        <v>792</v>
      </c>
      <c r="ADM1" s="29">
        <f t="shared" si="1"/>
        <v>793</v>
      </c>
      <c r="ADN1" s="29">
        <f t="shared" si="1"/>
        <v>794</v>
      </c>
      <c r="ADO1" s="29">
        <f t="shared" si="1"/>
        <v>795</v>
      </c>
      <c r="ADP1" s="29">
        <f t="shared" si="1"/>
        <v>796</v>
      </c>
      <c r="ADQ1" s="29">
        <f t="shared" si="1"/>
        <v>797</v>
      </c>
      <c r="ADR1" s="29">
        <f t="shared" si="1"/>
        <v>798</v>
      </c>
      <c r="ADS1" s="29">
        <f t="shared" si="1"/>
        <v>799</v>
      </c>
      <c r="ADT1" s="29">
        <f t="shared" si="1"/>
        <v>800</v>
      </c>
      <c r="ADU1" s="29">
        <f t="shared" si="1"/>
        <v>801</v>
      </c>
      <c r="ADV1" s="29">
        <f t="shared" si="1"/>
        <v>802</v>
      </c>
      <c r="ADW1" s="29">
        <f t="shared" si="1"/>
        <v>803</v>
      </c>
      <c r="ADX1" s="29">
        <f t="shared" si="1"/>
        <v>804</v>
      </c>
      <c r="ADY1" s="29">
        <f t="shared" si="1"/>
        <v>805</v>
      </c>
      <c r="ADZ1" s="29">
        <f t="shared" si="1"/>
        <v>806</v>
      </c>
      <c r="AEA1" s="29">
        <f t="shared" si="1"/>
        <v>807</v>
      </c>
      <c r="AEB1" s="29">
        <f t="shared" si="1"/>
        <v>808</v>
      </c>
      <c r="AEC1" s="29">
        <f t="shared" si="1"/>
        <v>809</v>
      </c>
      <c r="AED1" s="29">
        <f t="shared" si="1"/>
        <v>810</v>
      </c>
      <c r="AEE1" s="29">
        <f t="shared" si="1"/>
        <v>811</v>
      </c>
      <c r="AEF1" s="29">
        <f t="shared" si="1"/>
        <v>812</v>
      </c>
      <c r="AEG1" s="29">
        <f t="shared" si="1"/>
        <v>813</v>
      </c>
      <c r="AEH1" s="29">
        <f t="shared" si="1"/>
        <v>814</v>
      </c>
      <c r="AEI1" s="29">
        <f t="shared" si="1"/>
        <v>815</v>
      </c>
      <c r="AEJ1" s="29">
        <f t="shared" si="1"/>
        <v>816</v>
      </c>
      <c r="AEK1" s="29">
        <f t="shared" si="1"/>
        <v>817</v>
      </c>
      <c r="AEL1" s="29">
        <f t="shared" si="1"/>
        <v>818</v>
      </c>
      <c r="AEM1" s="29">
        <f t="shared" si="1"/>
        <v>819</v>
      </c>
      <c r="AEN1" s="29">
        <f t="shared" si="1"/>
        <v>820</v>
      </c>
      <c r="AEO1" s="29">
        <f t="shared" si="1"/>
        <v>821</v>
      </c>
      <c r="AEP1" s="29">
        <f t="shared" si="1"/>
        <v>822</v>
      </c>
      <c r="AEQ1" s="29">
        <f t="shared" si="1"/>
        <v>823</v>
      </c>
      <c r="AER1" s="29">
        <f t="shared" si="1"/>
        <v>824</v>
      </c>
      <c r="AES1" s="29">
        <f t="shared" si="1"/>
        <v>825</v>
      </c>
      <c r="AET1" s="29">
        <f t="shared" si="1"/>
        <v>826</v>
      </c>
      <c r="AEU1" s="29">
        <f t="shared" si="1"/>
        <v>827</v>
      </c>
      <c r="AEV1" s="29">
        <f t="shared" si="1"/>
        <v>828</v>
      </c>
      <c r="AEW1" s="29">
        <f t="shared" si="1"/>
        <v>829</v>
      </c>
      <c r="AEX1" s="29">
        <f t="shared" si="1"/>
        <v>830</v>
      </c>
      <c r="AEY1" s="29">
        <f t="shared" si="1"/>
        <v>831</v>
      </c>
      <c r="AEZ1" s="29">
        <f t="shared" si="1"/>
        <v>832</v>
      </c>
      <c r="AFA1" s="29">
        <f t="shared" si="1"/>
        <v>833</v>
      </c>
      <c r="AFB1" s="29">
        <f t="shared" si="1"/>
        <v>834</v>
      </c>
      <c r="AFC1" s="29">
        <f t="shared" si="1"/>
        <v>835</v>
      </c>
      <c r="AFD1" s="29">
        <f t="shared" si="1"/>
        <v>836</v>
      </c>
      <c r="AFE1" s="29">
        <f t="shared" si="1"/>
        <v>837</v>
      </c>
      <c r="AFF1" s="29">
        <f t="shared" si="1"/>
        <v>838</v>
      </c>
      <c r="AFG1" s="29">
        <f t="shared" si="1"/>
        <v>839</v>
      </c>
      <c r="AFH1" s="29">
        <f t="shared" si="1"/>
        <v>840</v>
      </c>
      <c r="AFI1" s="29">
        <f t="shared" si="1"/>
        <v>841</v>
      </c>
      <c r="AFJ1" s="29">
        <f t="shared" si="1"/>
        <v>842</v>
      </c>
      <c r="AFK1" s="29">
        <f t="shared" si="1"/>
        <v>843</v>
      </c>
      <c r="AFL1" s="29">
        <f t="shared" si="1"/>
        <v>844</v>
      </c>
      <c r="AFM1" s="29">
        <f t="shared" si="1"/>
        <v>845</v>
      </c>
      <c r="AFN1" s="29">
        <f t="shared" si="1"/>
        <v>846</v>
      </c>
      <c r="AFO1" s="29">
        <f t="shared" si="1"/>
        <v>847</v>
      </c>
      <c r="AFP1" s="29">
        <f t="shared" si="1"/>
        <v>848</v>
      </c>
      <c r="AFQ1" s="29">
        <f t="shared" si="1"/>
        <v>849</v>
      </c>
      <c r="AFR1" s="29">
        <f t="shared" si="1"/>
        <v>850</v>
      </c>
      <c r="AFS1" s="29">
        <f t="shared" si="1"/>
        <v>851</v>
      </c>
      <c r="AFT1" s="29">
        <f t="shared" si="1"/>
        <v>852</v>
      </c>
      <c r="AFU1" s="29">
        <f t="shared" si="1"/>
        <v>853</v>
      </c>
      <c r="AFV1" s="29">
        <f t="shared" si="1"/>
        <v>854</v>
      </c>
      <c r="AFW1" s="29">
        <f t="shared" si="1"/>
        <v>855</v>
      </c>
      <c r="AFX1" s="29">
        <f t="shared" si="1"/>
        <v>856</v>
      </c>
      <c r="AFY1" s="29">
        <f t="shared" si="1"/>
        <v>857</v>
      </c>
      <c r="AFZ1" s="29">
        <f t="shared" si="1"/>
        <v>858</v>
      </c>
      <c r="AGA1" s="29">
        <f t="shared" si="1"/>
        <v>859</v>
      </c>
      <c r="AGB1" s="29">
        <f t="shared" si="1"/>
        <v>860</v>
      </c>
      <c r="AGC1" s="29">
        <f t="shared" si="1"/>
        <v>861</v>
      </c>
      <c r="AGD1" s="29">
        <f t="shared" si="1"/>
        <v>862</v>
      </c>
      <c r="AGE1" s="29">
        <f t="shared" si="1"/>
        <v>863</v>
      </c>
      <c r="AGF1" s="29">
        <f t="shared" si="1"/>
        <v>864</v>
      </c>
      <c r="AGG1" s="29">
        <f t="shared" si="1"/>
        <v>865</v>
      </c>
      <c r="AGH1" s="29">
        <f t="shared" si="1"/>
        <v>866</v>
      </c>
      <c r="AGI1" s="29">
        <f t="shared" si="1"/>
        <v>867</v>
      </c>
      <c r="AGJ1" s="29">
        <f t="shared" si="1"/>
        <v>868</v>
      </c>
      <c r="AGK1" s="29">
        <f t="shared" si="1"/>
        <v>869</v>
      </c>
      <c r="AGL1" s="29">
        <f t="shared" si="1"/>
        <v>870</v>
      </c>
      <c r="AGM1" s="29">
        <f t="shared" si="1"/>
        <v>871</v>
      </c>
      <c r="AGN1" s="29">
        <f t="shared" si="1"/>
        <v>872</v>
      </c>
      <c r="AGO1" s="29">
        <f t="shared" si="1"/>
        <v>873</v>
      </c>
      <c r="AGP1" s="29">
        <f t="shared" si="1"/>
        <v>874</v>
      </c>
      <c r="AGQ1" s="29">
        <f t="shared" si="1"/>
        <v>875</v>
      </c>
      <c r="AGR1" s="29">
        <f t="shared" si="1"/>
        <v>876</v>
      </c>
      <c r="AGS1" s="29">
        <f t="shared" si="1"/>
        <v>877</v>
      </c>
      <c r="AGT1" s="29">
        <f t="shared" si="1"/>
        <v>878</v>
      </c>
      <c r="AGU1" s="29">
        <f t="shared" si="1"/>
        <v>879</v>
      </c>
      <c r="AGV1" s="29">
        <f t="shared" si="1"/>
        <v>880</v>
      </c>
      <c r="AGW1" s="29">
        <f t="shared" si="1"/>
        <v>881</v>
      </c>
      <c r="AGX1" s="29">
        <f t="shared" si="1"/>
        <v>882</v>
      </c>
      <c r="AGY1" s="29">
        <f t="shared" si="1"/>
        <v>883</v>
      </c>
      <c r="AGZ1" s="29">
        <f t="shared" si="1"/>
        <v>884</v>
      </c>
      <c r="AHA1" s="29">
        <f t="shared" si="1"/>
        <v>885</v>
      </c>
      <c r="AHB1" s="29">
        <f t="shared" si="1"/>
        <v>886</v>
      </c>
      <c r="AHC1" s="29">
        <f t="shared" si="1"/>
        <v>887</v>
      </c>
      <c r="AHD1" s="29">
        <f t="shared" si="1"/>
        <v>888</v>
      </c>
      <c r="AHE1" s="29">
        <f t="shared" si="1"/>
        <v>889</v>
      </c>
      <c r="AHF1" s="29">
        <f t="shared" si="1"/>
        <v>890</v>
      </c>
      <c r="AHG1" s="29">
        <f t="shared" si="1"/>
        <v>891</v>
      </c>
      <c r="AHH1" s="29">
        <f t="shared" si="1"/>
        <v>892</v>
      </c>
      <c r="AHI1" s="29">
        <f t="shared" si="1"/>
        <v>893</v>
      </c>
      <c r="AHJ1" s="29">
        <f t="shared" si="1"/>
        <v>894</v>
      </c>
      <c r="AHK1" s="29">
        <f t="shared" si="1"/>
        <v>895</v>
      </c>
      <c r="AHL1" s="29">
        <f t="shared" si="1"/>
        <v>896</v>
      </c>
      <c r="AHM1" s="29">
        <f t="shared" si="1"/>
        <v>897</v>
      </c>
      <c r="AHN1" s="29">
        <f t="shared" si="1"/>
        <v>898</v>
      </c>
      <c r="AHO1" s="29">
        <f t="shared" si="1"/>
        <v>899</v>
      </c>
      <c r="AHP1" s="29">
        <f t="shared" si="1"/>
        <v>900</v>
      </c>
      <c r="AHQ1" s="29">
        <f t="shared" si="1"/>
        <v>901</v>
      </c>
      <c r="AHR1" s="29">
        <f t="shared" si="1"/>
        <v>902</v>
      </c>
      <c r="AHS1" s="29">
        <f t="shared" si="1"/>
        <v>903</v>
      </c>
      <c r="AHT1" s="29">
        <f t="shared" si="1"/>
        <v>904</v>
      </c>
      <c r="AHU1" s="29">
        <f t="shared" si="1"/>
        <v>905</v>
      </c>
      <c r="AHV1" s="29">
        <f t="shared" si="1"/>
        <v>906</v>
      </c>
      <c r="AHW1" s="29">
        <f t="shared" si="1"/>
        <v>907</v>
      </c>
      <c r="AHX1" s="29">
        <f t="shared" si="1"/>
        <v>908</v>
      </c>
      <c r="AHY1" s="29">
        <f t="shared" si="1"/>
        <v>909</v>
      </c>
      <c r="AHZ1" s="29">
        <f t="shared" si="1"/>
        <v>910</v>
      </c>
      <c r="AIA1" s="29">
        <f t="shared" si="1"/>
        <v>911</v>
      </c>
      <c r="AIB1" s="29">
        <f t="shared" si="1"/>
        <v>912</v>
      </c>
      <c r="AIC1" s="29">
        <f t="shared" si="1"/>
        <v>913</v>
      </c>
      <c r="AID1" s="29">
        <f t="shared" si="1"/>
        <v>914</v>
      </c>
      <c r="AIE1" s="29">
        <f t="shared" si="1"/>
        <v>915</v>
      </c>
      <c r="AIF1" s="29">
        <f t="shared" si="1"/>
        <v>916</v>
      </c>
      <c r="AIG1" s="29">
        <f t="shared" si="1"/>
        <v>917</v>
      </c>
      <c r="AIH1" s="29">
        <f t="shared" si="1"/>
        <v>918</v>
      </c>
      <c r="AII1" s="29">
        <f t="shared" si="1"/>
        <v>919</v>
      </c>
      <c r="AIJ1" s="29">
        <f t="shared" si="1"/>
        <v>920</v>
      </c>
      <c r="AIK1" s="29">
        <f t="shared" si="1"/>
        <v>921</v>
      </c>
      <c r="AIL1" s="29">
        <f t="shared" si="1"/>
        <v>922</v>
      </c>
      <c r="AIM1" s="29">
        <f t="shared" si="1"/>
        <v>923</v>
      </c>
      <c r="AIN1" s="29">
        <f t="shared" si="1"/>
        <v>924</v>
      </c>
      <c r="AIO1" s="29">
        <f t="shared" si="1"/>
        <v>925</v>
      </c>
      <c r="AIP1" s="29">
        <f t="shared" si="1"/>
        <v>926</v>
      </c>
      <c r="AIQ1" s="29">
        <f t="shared" si="1"/>
        <v>927</v>
      </c>
      <c r="AIR1" s="29">
        <f t="shared" si="1"/>
        <v>928</v>
      </c>
      <c r="AIS1" s="29">
        <f t="shared" si="1"/>
        <v>929</v>
      </c>
      <c r="AIT1" s="29">
        <f t="shared" si="1"/>
        <v>930</v>
      </c>
      <c r="AIU1" s="29">
        <f t="shared" si="1"/>
        <v>931</v>
      </c>
      <c r="AIV1" s="29">
        <f t="shared" si="1"/>
        <v>932</v>
      </c>
      <c r="AIW1" s="29">
        <f t="shared" si="1"/>
        <v>933</v>
      </c>
      <c r="AIX1" s="29">
        <f t="shared" si="1"/>
        <v>934</v>
      </c>
      <c r="AIY1" s="29">
        <f t="shared" si="1"/>
        <v>935</v>
      </c>
      <c r="AIZ1" s="29">
        <f t="shared" si="1"/>
        <v>936</v>
      </c>
      <c r="AJA1" s="29">
        <f t="shared" si="1"/>
        <v>937</v>
      </c>
      <c r="AJB1" s="29">
        <f t="shared" si="1"/>
        <v>938</v>
      </c>
      <c r="AJC1" s="29">
        <f t="shared" si="1"/>
        <v>939</v>
      </c>
      <c r="AJD1" s="29">
        <f t="shared" si="1"/>
        <v>940</v>
      </c>
      <c r="AJE1" s="29">
        <f t="shared" si="1"/>
        <v>941</v>
      </c>
      <c r="AJF1" s="29">
        <f t="shared" si="1"/>
        <v>942</v>
      </c>
      <c r="AJG1" s="29">
        <f t="shared" si="1"/>
        <v>943</v>
      </c>
      <c r="AJH1" s="29">
        <f t="shared" si="1"/>
        <v>944</v>
      </c>
      <c r="AJI1" s="29">
        <f t="shared" si="1"/>
        <v>945</v>
      </c>
      <c r="AJJ1" s="29">
        <f t="shared" si="1"/>
        <v>946</v>
      </c>
      <c r="AJK1" s="29">
        <f t="shared" si="1"/>
        <v>947</v>
      </c>
      <c r="AJL1" s="29">
        <f t="shared" si="1"/>
        <v>948</v>
      </c>
      <c r="AJM1" s="29">
        <f t="shared" si="1"/>
        <v>949</v>
      </c>
      <c r="AJN1" s="29">
        <f t="shared" si="1"/>
        <v>950</v>
      </c>
      <c r="AJO1" s="29">
        <f t="shared" si="1"/>
        <v>951</v>
      </c>
      <c r="AJP1" s="29">
        <f t="shared" si="1"/>
        <v>952</v>
      </c>
      <c r="AJQ1" s="29">
        <f t="shared" si="1"/>
        <v>953</v>
      </c>
      <c r="AJR1" s="29">
        <f t="shared" si="1"/>
        <v>954</v>
      </c>
      <c r="AJS1" s="29">
        <f t="shared" si="1"/>
        <v>955</v>
      </c>
      <c r="AJT1" s="29">
        <f t="shared" si="1"/>
        <v>956</v>
      </c>
      <c r="AJU1" s="29">
        <f t="shared" si="1"/>
        <v>957</v>
      </c>
      <c r="AJV1" s="29">
        <f t="shared" si="1"/>
        <v>958</v>
      </c>
      <c r="AJW1" s="29">
        <f t="shared" si="1"/>
        <v>959</v>
      </c>
      <c r="AJX1" s="29">
        <f t="shared" si="1"/>
        <v>960</v>
      </c>
      <c r="AJY1" s="29">
        <f t="shared" si="1"/>
        <v>961</v>
      </c>
      <c r="AJZ1" s="29">
        <f t="shared" si="1"/>
        <v>962</v>
      </c>
      <c r="AKA1" s="29">
        <f t="shared" si="1"/>
        <v>963</v>
      </c>
      <c r="AKB1" s="29">
        <f t="shared" si="1"/>
        <v>964</v>
      </c>
      <c r="AKC1" s="29">
        <f t="shared" si="1"/>
        <v>965</v>
      </c>
      <c r="AKD1" s="29">
        <f t="shared" si="1"/>
        <v>966</v>
      </c>
      <c r="AKE1" s="29">
        <f t="shared" si="1"/>
        <v>967</v>
      </c>
      <c r="AKF1" s="29">
        <f t="shared" si="1"/>
        <v>968</v>
      </c>
      <c r="AKG1" s="29">
        <f t="shared" si="1"/>
        <v>969</v>
      </c>
      <c r="AKH1" s="29">
        <f t="shared" si="1"/>
        <v>970</v>
      </c>
      <c r="AKI1" s="29">
        <f t="shared" si="1"/>
        <v>971</v>
      </c>
      <c r="AKJ1" s="29">
        <f t="shared" si="1"/>
        <v>972</v>
      </c>
      <c r="AKK1" s="29">
        <f t="shared" si="1"/>
        <v>973</v>
      </c>
      <c r="AKL1" s="29">
        <f t="shared" si="1"/>
        <v>974</v>
      </c>
      <c r="AKM1" s="29">
        <f t="shared" si="1"/>
        <v>975</v>
      </c>
      <c r="AKN1" s="29">
        <f t="shared" si="1"/>
        <v>976</v>
      </c>
      <c r="AKO1" s="29">
        <f t="shared" si="1"/>
        <v>977</v>
      </c>
      <c r="AKP1" s="29">
        <f t="shared" si="1"/>
        <v>978</v>
      </c>
      <c r="AKQ1" s="29">
        <f t="shared" si="1"/>
        <v>979</v>
      </c>
      <c r="AKR1" s="29">
        <f t="shared" si="1"/>
        <v>980</v>
      </c>
      <c r="AKS1" s="29">
        <f t="shared" si="1"/>
        <v>981</v>
      </c>
      <c r="AKT1" s="29">
        <f t="shared" si="1"/>
        <v>982</v>
      </c>
      <c r="AKU1" s="29">
        <f t="shared" si="1"/>
        <v>983</v>
      </c>
      <c r="AKV1" s="29">
        <f t="shared" si="1"/>
        <v>984</v>
      </c>
      <c r="AKW1" s="29">
        <f t="shared" si="1"/>
        <v>985</v>
      </c>
      <c r="AKX1" s="29">
        <f t="shared" si="1"/>
        <v>986</v>
      </c>
      <c r="AKY1" s="29">
        <f t="shared" si="1"/>
        <v>987</v>
      </c>
      <c r="AKZ1" s="29">
        <f t="shared" si="1"/>
        <v>988</v>
      </c>
      <c r="ALA1" s="29">
        <f t="shared" si="1"/>
        <v>989</v>
      </c>
      <c r="ALB1" s="29">
        <f t="shared" si="1"/>
        <v>990</v>
      </c>
      <c r="ALC1" s="29">
        <f t="shared" si="1"/>
        <v>991</v>
      </c>
      <c r="ALD1" s="29">
        <f t="shared" si="1"/>
        <v>992</v>
      </c>
      <c r="ALE1" s="29">
        <f t="shared" si="1"/>
        <v>993</v>
      </c>
      <c r="ALF1" s="29">
        <f t="shared" si="1"/>
        <v>994</v>
      </c>
      <c r="ALG1" s="29">
        <f t="shared" si="1"/>
        <v>995</v>
      </c>
      <c r="ALH1" s="29">
        <f t="shared" si="1"/>
        <v>996</v>
      </c>
      <c r="ALI1" s="29">
        <f t="shared" si="1"/>
        <v>997</v>
      </c>
      <c r="ALJ1" s="29">
        <f t="shared" si="1"/>
        <v>998</v>
      </c>
      <c r="ALK1" s="29">
        <f t="shared" si="1"/>
        <v>999</v>
      </c>
      <c r="ALL1" s="29">
        <f t="shared" si="1"/>
        <v>1000</v>
      </c>
      <c r="ALM1" s="29">
        <f t="shared" si="1"/>
        <v>1001</v>
      </c>
      <c r="ALN1" s="29">
        <f t="shared" si="1"/>
        <v>1002</v>
      </c>
      <c r="ALO1" s="29">
        <f t="shared" si="1"/>
        <v>1003</v>
      </c>
      <c r="ALP1" s="29">
        <f t="shared" si="1"/>
        <v>1004</v>
      </c>
      <c r="ALQ1" s="29">
        <f t="shared" si="1"/>
        <v>1005</v>
      </c>
      <c r="ALR1" s="29">
        <f t="shared" si="1"/>
        <v>1006</v>
      </c>
      <c r="ALS1" s="29">
        <f t="shared" si="1"/>
        <v>1007</v>
      </c>
      <c r="ALT1" s="29">
        <f t="shared" si="1"/>
        <v>1008</v>
      </c>
      <c r="ALU1" s="29">
        <f t="shared" si="1"/>
        <v>1009</v>
      </c>
      <c r="ALV1" s="29">
        <f t="shared" si="1"/>
        <v>1010</v>
      </c>
      <c r="ALW1" s="29">
        <f t="shared" si="1"/>
        <v>1011</v>
      </c>
      <c r="ALX1" s="29">
        <f t="shared" si="1"/>
        <v>1012</v>
      </c>
      <c r="ALY1" s="29">
        <f t="shared" si="1"/>
        <v>1013</v>
      </c>
      <c r="ALZ1" s="29">
        <f t="shared" si="1"/>
        <v>1014</v>
      </c>
      <c r="AMA1" s="29">
        <f t="shared" si="1"/>
        <v>1015</v>
      </c>
      <c r="AMB1" s="29">
        <f t="shared" si="1"/>
        <v>1016</v>
      </c>
      <c r="AMC1" s="29">
        <f t="shared" si="1"/>
        <v>1017</v>
      </c>
      <c r="AMD1" s="29">
        <f t="shared" si="1"/>
        <v>1018</v>
      </c>
      <c r="AME1" s="29">
        <f t="shared" si="1"/>
        <v>1019</v>
      </c>
      <c r="AMF1" s="29">
        <f t="shared" si="1"/>
        <v>1020</v>
      </c>
      <c r="AMG1" s="29">
        <f t="shared" si="1"/>
        <v>1021</v>
      </c>
      <c r="AMH1" s="29">
        <f t="shared" si="1"/>
        <v>1022</v>
      </c>
      <c r="AMI1" s="29">
        <f t="shared" si="1"/>
        <v>1023</v>
      </c>
      <c r="AMJ1" s="29">
        <f t="shared" si="1"/>
        <v>1024</v>
      </c>
      <c r="AMK1" s="29">
        <f t="shared" si="1"/>
        <v>1025</v>
      </c>
      <c r="AML1" s="29">
        <f t="shared" si="1"/>
        <v>1026</v>
      </c>
      <c r="AMM1" s="29">
        <f t="shared" si="1"/>
        <v>1027</v>
      </c>
      <c r="AMN1" s="29">
        <f t="shared" si="1"/>
        <v>1028</v>
      </c>
      <c r="AMO1" s="29">
        <f t="shared" si="1"/>
        <v>1029</v>
      </c>
      <c r="AMP1" s="29">
        <f t="shared" si="1"/>
        <v>1030</v>
      </c>
      <c r="AMQ1" s="29">
        <f t="shared" si="1"/>
        <v>1031</v>
      </c>
      <c r="AMR1" s="29">
        <f t="shared" si="1"/>
        <v>1032</v>
      </c>
      <c r="AMS1" s="29">
        <f t="shared" si="1"/>
        <v>1033</v>
      </c>
      <c r="AMT1" s="29">
        <f t="shared" si="1"/>
        <v>1034</v>
      </c>
      <c r="AMU1" s="29">
        <f t="shared" si="1"/>
        <v>1035</v>
      </c>
      <c r="AMV1" s="29">
        <f t="shared" si="1"/>
        <v>1036</v>
      </c>
      <c r="AMW1" s="29">
        <f t="shared" si="1"/>
        <v>1037</v>
      </c>
      <c r="AMX1" s="29">
        <f t="shared" si="1"/>
        <v>1038</v>
      </c>
      <c r="AMY1" s="29">
        <f t="shared" si="1"/>
        <v>1039</v>
      </c>
      <c r="AMZ1" s="29">
        <f t="shared" si="1"/>
        <v>1040</v>
      </c>
      <c r="ANA1" s="29">
        <f t="shared" si="1"/>
        <v>1041</v>
      </c>
      <c r="ANB1" s="29">
        <f t="shared" si="1"/>
        <v>1042</v>
      </c>
      <c r="ANC1" s="29">
        <f t="shared" si="1"/>
        <v>1043</v>
      </c>
      <c r="AND1" s="29">
        <f t="shared" si="1"/>
        <v>1044</v>
      </c>
      <c r="ANE1" s="29">
        <f t="shared" si="1"/>
        <v>1045</v>
      </c>
      <c r="ANF1" s="29">
        <f t="shared" si="1"/>
        <v>1046</v>
      </c>
      <c r="ANG1" s="29">
        <f t="shared" si="1"/>
        <v>1047</v>
      </c>
      <c r="ANH1" s="29">
        <f t="shared" si="1"/>
        <v>1048</v>
      </c>
      <c r="ANI1" s="29">
        <f t="shared" si="1"/>
        <v>1049</v>
      </c>
      <c r="ANJ1" s="29">
        <f t="shared" si="1"/>
        <v>1050</v>
      </c>
      <c r="ANK1" s="29">
        <f t="shared" si="1"/>
        <v>1051</v>
      </c>
      <c r="ANL1" s="29">
        <f t="shared" si="1"/>
        <v>1052</v>
      </c>
      <c r="ANM1" s="29">
        <f t="shared" si="1"/>
        <v>1053</v>
      </c>
      <c r="ANN1" s="29">
        <f t="shared" si="1"/>
        <v>1054</v>
      </c>
      <c r="ANO1" s="29">
        <f t="shared" si="1"/>
        <v>1055</v>
      </c>
      <c r="ANP1" s="29">
        <f t="shared" si="1"/>
        <v>1056</v>
      </c>
      <c r="ANQ1" s="29">
        <f t="shared" si="1"/>
        <v>1057</v>
      </c>
      <c r="ANR1" s="29">
        <f t="shared" si="1"/>
        <v>1058</v>
      </c>
      <c r="ANS1" s="29">
        <f t="shared" si="1"/>
        <v>1059</v>
      </c>
      <c r="ANT1" s="29">
        <f t="shared" si="1"/>
        <v>1060</v>
      </c>
      <c r="ANU1" s="29">
        <f t="shared" si="1"/>
        <v>1061</v>
      </c>
      <c r="ANV1" s="29">
        <f t="shared" si="1"/>
        <v>1062</v>
      </c>
      <c r="ANW1" s="29">
        <f t="shared" si="1"/>
        <v>1063</v>
      </c>
      <c r="ANX1" s="29">
        <f t="shared" si="1"/>
        <v>1064</v>
      </c>
      <c r="ANY1" s="29">
        <f t="shared" si="1"/>
        <v>1065</v>
      </c>
      <c r="ANZ1" s="29">
        <f t="shared" si="1"/>
        <v>1066</v>
      </c>
      <c r="AOA1" s="29">
        <f t="shared" si="1"/>
        <v>1067</v>
      </c>
      <c r="AOB1" s="29">
        <f t="shared" si="1"/>
        <v>1068</v>
      </c>
      <c r="AOC1" s="29">
        <f t="shared" si="1"/>
        <v>1069</v>
      </c>
      <c r="AOD1" s="29">
        <f t="shared" si="1"/>
        <v>1070</v>
      </c>
      <c r="AOE1" s="29">
        <f t="shared" si="1"/>
        <v>1071</v>
      </c>
      <c r="AOF1" s="29">
        <f t="shared" si="1"/>
        <v>1072</v>
      </c>
      <c r="AOG1" s="29">
        <f t="shared" si="1"/>
        <v>1073</v>
      </c>
      <c r="AOH1" s="29">
        <f t="shared" si="1"/>
        <v>1074</v>
      </c>
      <c r="AOI1" s="29">
        <f t="shared" si="1"/>
        <v>1075</v>
      </c>
      <c r="AOJ1" s="29">
        <f t="shared" si="1"/>
        <v>1076</v>
      </c>
      <c r="AOK1" s="29">
        <f t="shared" si="1"/>
        <v>1077</v>
      </c>
      <c r="AOL1" s="29">
        <f t="shared" si="1"/>
        <v>1078</v>
      </c>
      <c r="AOM1" s="29">
        <f t="shared" si="1"/>
        <v>1079</v>
      </c>
      <c r="AON1" s="29">
        <f t="shared" si="1"/>
        <v>1080</v>
      </c>
      <c r="AOO1" s="29">
        <f t="shared" si="1"/>
        <v>1081</v>
      </c>
      <c r="AOP1" s="29">
        <f t="shared" si="1"/>
        <v>1082</v>
      </c>
      <c r="AOQ1" s="29">
        <f t="shared" si="1"/>
        <v>1083</v>
      </c>
      <c r="AOR1" s="29">
        <f t="shared" si="1"/>
        <v>1084</v>
      </c>
      <c r="AOS1" s="29">
        <f t="shared" si="1"/>
        <v>1085</v>
      </c>
      <c r="AOT1" s="29">
        <f t="shared" si="1"/>
        <v>1086</v>
      </c>
      <c r="AOU1" s="29">
        <f t="shared" si="1"/>
        <v>1087</v>
      </c>
      <c r="AOV1" s="29">
        <f t="shared" si="1"/>
        <v>1088</v>
      </c>
      <c r="AOW1" s="29">
        <f t="shared" si="1"/>
        <v>1089</v>
      </c>
      <c r="AOX1" s="29">
        <f t="shared" si="1"/>
        <v>1090</v>
      </c>
      <c r="AOY1" s="29">
        <f t="shared" si="1"/>
        <v>1091</v>
      </c>
      <c r="AOZ1" s="29">
        <f t="shared" si="1"/>
        <v>1092</v>
      </c>
      <c r="APA1" s="29">
        <f t="shared" si="1"/>
        <v>1093</v>
      </c>
      <c r="APB1" s="29">
        <f t="shared" si="1"/>
        <v>1094</v>
      </c>
      <c r="APC1" s="29">
        <f t="shared" si="1"/>
        <v>1095</v>
      </c>
      <c r="APD1" s="29">
        <f t="shared" si="1"/>
        <v>1096</v>
      </c>
      <c r="APE1" s="29">
        <f t="shared" si="1"/>
        <v>1097</v>
      </c>
      <c r="APF1" s="29">
        <f t="shared" si="1"/>
        <v>1098</v>
      </c>
      <c r="APG1" s="29">
        <f t="shared" si="1"/>
        <v>1099</v>
      </c>
      <c r="APH1" s="29">
        <f t="shared" si="1"/>
        <v>1100</v>
      </c>
      <c r="API1" s="29">
        <f t="shared" si="1"/>
        <v>1101</v>
      </c>
      <c r="APJ1" s="29">
        <f t="shared" si="1"/>
        <v>1102</v>
      </c>
      <c r="APK1" s="29">
        <f t="shared" si="1"/>
        <v>1103</v>
      </c>
      <c r="APL1" s="29">
        <f t="shared" si="1"/>
        <v>1104</v>
      </c>
      <c r="APM1" s="29">
        <f t="shared" si="1"/>
        <v>1105</v>
      </c>
      <c r="APN1" s="29">
        <f t="shared" si="1"/>
        <v>1106</v>
      </c>
      <c r="APO1" s="29">
        <f t="shared" si="1"/>
        <v>1107</v>
      </c>
      <c r="APP1" s="29">
        <f t="shared" si="1"/>
        <v>1108</v>
      </c>
      <c r="APQ1" s="29">
        <f t="shared" si="1"/>
        <v>1109</v>
      </c>
      <c r="APR1" s="29">
        <f t="shared" si="1"/>
        <v>1110</v>
      </c>
      <c r="APS1" s="29">
        <f t="shared" si="1"/>
        <v>1111</v>
      </c>
      <c r="APT1" s="29">
        <f t="shared" si="1"/>
        <v>1112</v>
      </c>
      <c r="APU1" s="29">
        <f t="shared" si="1"/>
        <v>1113</v>
      </c>
      <c r="APV1" s="29">
        <f t="shared" si="1"/>
        <v>1114</v>
      </c>
      <c r="APW1" s="29">
        <f t="shared" si="1"/>
        <v>1115</v>
      </c>
      <c r="APX1" s="29">
        <f t="shared" si="1"/>
        <v>1116</v>
      </c>
      <c r="APY1" s="29">
        <f t="shared" si="1"/>
        <v>1117</v>
      </c>
      <c r="APZ1" s="29">
        <f t="shared" si="1"/>
        <v>1118</v>
      </c>
      <c r="AQA1" s="29">
        <f t="shared" si="1"/>
        <v>1119</v>
      </c>
      <c r="AQB1" s="29">
        <f t="shared" si="1"/>
        <v>1120</v>
      </c>
      <c r="AQC1" s="29">
        <f t="shared" si="1"/>
        <v>1121</v>
      </c>
      <c r="AQD1" s="29">
        <f t="shared" si="1"/>
        <v>1122</v>
      </c>
      <c r="AQE1" s="29">
        <f t="shared" si="1"/>
        <v>1123</v>
      </c>
      <c r="AQF1" s="29">
        <f t="shared" si="1"/>
        <v>1124</v>
      </c>
      <c r="AQG1" s="29">
        <f t="shared" si="1"/>
        <v>1125</v>
      </c>
      <c r="AQH1" s="29">
        <f t="shared" si="1"/>
        <v>1126</v>
      </c>
      <c r="AQI1" s="29">
        <f t="shared" si="1"/>
        <v>1127</v>
      </c>
      <c r="AQJ1" s="29">
        <f t="shared" si="1"/>
        <v>1128</v>
      </c>
      <c r="AQK1" s="29">
        <f t="shared" si="1"/>
        <v>1129</v>
      </c>
      <c r="AQL1" s="29">
        <f t="shared" si="1"/>
        <v>1130</v>
      </c>
      <c r="AQM1" s="29">
        <f t="shared" si="1"/>
        <v>1131</v>
      </c>
      <c r="AQN1" s="29">
        <f t="shared" si="1"/>
        <v>1132</v>
      </c>
      <c r="AQO1" s="29">
        <f t="shared" si="1"/>
        <v>1133</v>
      </c>
      <c r="AQP1" s="29">
        <f t="shared" si="1"/>
        <v>1134</v>
      </c>
      <c r="AQQ1" s="29">
        <f t="shared" si="1"/>
        <v>1135</v>
      </c>
      <c r="AQR1" s="29">
        <f t="shared" si="1"/>
        <v>1136</v>
      </c>
      <c r="AQS1" s="29">
        <f t="shared" si="1"/>
        <v>1137</v>
      </c>
      <c r="AQT1" s="29">
        <f t="shared" si="1"/>
        <v>1138</v>
      </c>
      <c r="AQU1" s="29">
        <f t="shared" si="1"/>
        <v>1139</v>
      </c>
      <c r="AQV1" s="29">
        <f t="shared" si="1"/>
        <v>1140</v>
      </c>
      <c r="AQW1" s="29">
        <f t="shared" si="1"/>
        <v>1141</v>
      </c>
      <c r="AQX1" s="29">
        <f t="shared" si="1"/>
        <v>1142</v>
      </c>
      <c r="AQY1" s="29">
        <f t="shared" si="1"/>
        <v>1143</v>
      </c>
      <c r="AQZ1" s="29">
        <f t="shared" si="1"/>
        <v>1144</v>
      </c>
      <c r="ARA1" s="29">
        <f t="shared" si="1"/>
        <v>1145</v>
      </c>
      <c r="ARB1" s="29">
        <f t="shared" si="1"/>
        <v>1146</v>
      </c>
      <c r="ARC1" s="29">
        <f t="shared" si="1"/>
        <v>1147</v>
      </c>
      <c r="ARD1" s="29">
        <f t="shared" si="1"/>
        <v>1148</v>
      </c>
      <c r="ARE1" s="29">
        <f t="shared" si="1"/>
        <v>1149</v>
      </c>
      <c r="ARF1" s="29">
        <f t="shared" si="1"/>
        <v>1150</v>
      </c>
      <c r="ARG1" s="29">
        <f t="shared" si="1"/>
        <v>1151</v>
      </c>
      <c r="ARH1" s="29">
        <f t="shared" si="1"/>
        <v>1152</v>
      </c>
      <c r="ARI1" s="29">
        <f t="shared" si="1"/>
        <v>1153</v>
      </c>
      <c r="ARJ1" s="29">
        <f t="shared" si="1"/>
        <v>1154</v>
      </c>
      <c r="ARK1" s="29">
        <f t="shared" si="1"/>
        <v>1155</v>
      </c>
      <c r="ARL1" s="29">
        <f t="shared" si="1"/>
        <v>1156</v>
      </c>
      <c r="ARM1" s="29">
        <f t="shared" si="1"/>
        <v>1157</v>
      </c>
      <c r="ARN1" s="29">
        <f t="shared" si="1"/>
        <v>1158</v>
      </c>
      <c r="ARO1" s="29">
        <f t="shared" si="1"/>
        <v>1159</v>
      </c>
      <c r="ARP1" s="29">
        <f t="shared" si="1"/>
        <v>1160</v>
      </c>
      <c r="ARQ1" s="29">
        <f t="shared" si="1"/>
        <v>1161</v>
      </c>
      <c r="ARR1" s="29">
        <f t="shared" si="1"/>
        <v>1162</v>
      </c>
      <c r="ARS1" s="29">
        <f t="shared" si="1"/>
        <v>1163</v>
      </c>
      <c r="ART1" s="29">
        <f t="shared" si="1"/>
        <v>1164</v>
      </c>
      <c r="ARU1" s="29">
        <f t="shared" si="1"/>
        <v>1165</v>
      </c>
      <c r="ARV1" s="29">
        <f t="shared" si="1"/>
        <v>1166</v>
      </c>
      <c r="ARW1" s="29">
        <f t="shared" si="1"/>
        <v>1167</v>
      </c>
      <c r="ARX1" s="29">
        <f t="shared" si="1"/>
        <v>1168</v>
      </c>
      <c r="ARY1" s="29">
        <f t="shared" si="1"/>
        <v>1169</v>
      </c>
      <c r="ARZ1" s="29">
        <f t="shared" si="1"/>
        <v>1170</v>
      </c>
      <c r="ASA1" s="29">
        <f t="shared" si="1"/>
        <v>1171</v>
      </c>
      <c r="ASB1" s="29">
        <f t="shared" si="1"/>
        <v>1172</v>
      </c>
      <c r="ASC1" s="29">
        <f t="shared" si="1"/>
        <v>1173</v>
      </c>
      <c r="ASD1" s="29">
        <f t="shared" si="1"/>
        <v>1174</v>
      </c>
      <c r="ASE1" s="29">
        <f t="shared" si="1"/>
        <v>1175</v>
      </c>
      <c r="ASF1" s="29">
        <f t="shared" si="1"/>
        <v>1176</v>
      </c>
      <c r="ASG1" s="29">
        <f t="shared" si="1"/>
        <v>1177</v>
      </c>
      <c r="ASH1" s="29">
        <f t="shared" si="1"/>
        <v>1178</v>
      </c>
      <c r="ASI1" s="29">
        <f t="shared" si="1"/>
        <v>1179</v>
      </c>
      <c r="ASJ1" s="29">
        <f t="shared" si="1"/>
        <v>1180</v>
      </c>
      <c r="ASK1" s="29">
        <f t="shared" si="1"/>
        <v>1181</v>
      </c>
      <c r="ASL1" s="29">
        <f t="shared" si="1"/>
        <v>1182</v>
      </c>
      <c r="ASM1" s="29">
        <f t="shared" si="1"/>
        <v>1183</v>
      </c>
      <c r="ASN1" s="29">
        <f t="shared" si="1"/>
        <v>1184</v>
      </c>
      <c r="ASO1" s="29">
        <f t="shared" si="1"/>
        <v>1185</v>
      </c>
      <c r="ASP1" s="29">
        <f t="shared" si="1"/>
        <v>1186</v>
      </c>
      <c r="ASQ1" s="29">
        <f t="shared" si="1"/>
        <v>1187</v>
      </c>
      <c r="ASR1" s="29">
        <f t="shared" si="1"/>
        <v>1188</v>
      </c>
      <c r="ASS1" s="29">
        <f t="shared" si="1"/>
        <v>1189</v>
      </c>
      <c r="AST1" s="29">
        <f t="shared" si="1"/>
        <v>1190</v>
      </c>
      <c r="ASU1" s="29">
        <f t="shared" si="1"/>
        <v>1191</v>
      </c>
      <c r="ASV1" s="29">
        <f t="shared" si="1"/>
        <v>1192</v>
      </c>
      <c r="ASW1" s="29">
        <f t="shared" si="1"/>
        <v>1193</v>
      </c>
      <c r="ASX1" s="29">
        <f t="shared" si="1"/>
        <v>1194</v>
      </c>
      <c r="ASY1" s="29">
        <f t="shared" si="1"/>
        <v>1195</v>
      </c>
      <c r="ASZ1" s="29">
        <f t="shared" si="1"/>
        <v>1196</v>
      </c>
      <c r="ATA1" s="29">
        <f t="shared" si="1"/>
        <v>1197</v>
      </c>
      <c r="ATB1" s="29">
        <f t="shared" si="1"/>
        <v>1198</v>
      </c>
      <c r="ATC1" s="29">
        <f t="shared" si="1"/>
        <v>1199</v>
      </c>
      <c r="ATD1" s="29">
        <f t="shared" si="1"/>
        <v>1200</v>
      </c>
    </row>
    <row r="6">
      <c r="A6" s="29" t="str">
        <f t="array" ref="A6:ALD6">IFNA(TRANSPOSE(INDEX('Parâmetros'!$B$4:$J3001,,MATCH(Exames!F4,'Parâmetros'!$B$3:$J$3,0))),"")</f>
        <v>US Abdominal</v>
      </c>
      <c r="B6" s="29" t="s">
        <v>52</v>
      </c>
      <c r="C6" s="29" t="s">
        <v>56</v>
      </c>
      <c r="D6" s="29" t="s">
        <v>60</v>
      </c>
      <c r="E6" s="29" t="s">
        <v>63</v>
      </c>
      <c r="F6" s="29" t="s">
        <v>66</v>
      </c>
      <c r="G6" s="29" t="s">
        <v>69</v>
      </c>
      <c r="H6" s="29" t="s">
        <v>72</v>
      </c>
      <c r="I6" s="29" t="s">
        <v>74</v>
      </c>
      <c r="J6" s="29" t="s">
        <v>77</v>
      </c>
      <c r="K6" s="29" t="s">
        <v>79</v>
      </c>
      <c r="L6" s="29" t="s">
        <v>81</v>
      </c>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c r="JD6" s="29"/>
      <c r="JE6" s="29"/>
      <c r="JF6" s="29"/>
      <c r="JG6" s="29"/>
      <c r="JH6" s="29"/>
      <c r="JI6" s="29"/>
      <c r="JJ6" s="29"/>
      <c r="JK6" s="29"/>
      <c r="JL6" s="29"/>
      <c r="JM6" s="29"/>
      <c r="JN6" s="29"/>
      <c r="JO6" s="29"/>
      <c r="JP6" s="29"/>
      <c r="JQ6" s="29"/>
      <c r="JR6" s="29"/>
      <c r="JS6" s="29"/>
      <c r="JT6" s="29"/>
      <c r="JU6" s="29"/>
      <c r="JV6" s="29"/>
      <c r="JW6" s="29"/>
      <c r="JX6" s="29"/>
      <c r="JY6" s="29"/>
      <c r="JZ6" s="29"/>
      <c r="KA6" s="29"/>
      <c r="KB6" s="29"/>
      <c r="KC6" s="29"/>
      <c r="KD6" s="29"/>
      <c r="KE6" s="29"/>
      <c r="KF6" s="29"/>
      <c r="KG6" s="29"/>
      <c r="KH6" s="29"/>
      <c r="KI6" s="29"/>
      <c r="KJ6" s="29"/>
      <c r="KK6" s="29"/>
      <c r="KL6" s="29"/>
      <c r="KM6" s="29"/>
      <c r="KN6" s="29"/>
      <c r="KO6" s="29"/>
      <c r="KP6" s="29"/>
      <c r="KQ6" s="29"/>
      <c r="KR6" s="29"/>
      <c r="KS6" s="29"/>
      <c r="KT6" s="29"/>
      <c r="KU6" s="29"/>
      <c r="KV6" s="29"/>
      <c r="KW6" s="29"/>
      <c r="KX6" s="29"/>
      <c r="KY6" s="29"/>
      <c r="KZ6" s="29"/>
      <c r="LA6" s="29"/>
      <c r="LB6" s="29"/>
      <c r="LC6" s="29"/>
      <c r="LD6" s="29"/>
      <c r="LE6" s="29"/>
      <c r="LF6" s="29"/>
      <c r="LG6" s="29"/>
      <c r="LH6" s="29"/>
      <c r="LI6" s="29"/>
      <c r="LJ6" s="29"/>
      <c r="LK6" s="29"/>
      <c r="LL6" s="29"/>
      <c r="LM6" s="29"/>
      <c r="LN6" s="29"/>
      <c r="LO6" s="29"/>
      <c r="LP6" s="29"/>
      <c r="LQ6" s="29"/>
      <c r="LR6" s="29"/>
      <c r="LS6" s="29"/>
      <c r="LT6" s="29"/>
      <c r="LU6" s="29"/>
      <c r="LV6" s="29"/>
      <c r="LW6" s="29"/>
      <c r="LX6" s="29"/>
      <c r="LY6" s="29"/>
      <c r="LZ6" s="29"/>
      <c r="MA6" s="29"/>
      <c r="MB6" s="29"/>
      <c r="MC6" s="29"/>
      <c r="MD6" s="29"/>
      <c r="ME6" s="29"/>
      <c r="MF6" s="29"/>
      <c r="MG6" s="29"/>
      <c r="MH6" s="29"/>
      <c r="MI6" s="29"/>
      <c r="MJ6" s="29"/>
      <c r="MK6" s="29"/>
      <c r="ML6" s="29"/>
      <c r="MM6" s="29"/>
      <c r="MN6" s="29"/>
      <c r="MO6" s="29"/>
      <c r="MP6" s="29"/>
      <c r="MQ6" s="29"/>
      <c r="MR6" s="29"/>
      <c r="MS6" s="29"/>
      <c r="MT6" s="29"/>
      <c r="MU6" s="29"/>
      <c r="MV6" s="29"/>
      <c r="MW6" s="29"/>
      <c r="MX6" s="29"/>
      <c r="MY6" s="29"/>
      <c r="MZ6" s="29"/>
      <c r="NA6" s="29"/>
      <c r="NB6" s="29"/>
      <c r="NC6" s="29"/>
      <c r="ND6" s="29"/>
      <c r="NE6" s="29"/>
      <c r="NF6" s="29"/>
      <c r="NG6" s="29"/>
      <c r="NH6" s="29"/>
      <c r="NI6" s="29"/>
      <c r="NJ6" s="29"/>
      <c r="NK6" s="29"/>
      <c r="NL6" s="29"/>
      <c r="NM6" s="29"/>
      <c r="NN6" s="29"/>
      <c r="NO6" s="29"/>
      <c r="NP6" s="29"/>
      <c r="NQ6" s="29"/>
      <c r="NR6" s="29"/>
      <c r="NS6" s="29"/>
      <c r="NT6" s="29"/>
      <c r="NU6" s="29"/>
      <c r="NV6" s="29"/>
      <c r="NW6" s="29"/>
      <c r="NX6" s="29"/>
      <c r="NY6" s="29"/>
      <c r="NZ6" s="29"/>
      <c r="OA6" s="29"/>
      <c r="OB6" s="29"/>
      <c r="OC6" s="29"/>
      <c r="OD6" s="29"/>
      <c r="OE6" s="29"/>
      <c r="OF6" s="29"/>
      <c r="OG6" s="29"/>
      <c r="OH6" s="29"/>
      <c r="OI6" s="29"/>
      <c r="OJ6" s="29"/>
      <c r="OK6" s="29"/>
      <c r="OL6" s="29"/>
      <c r="OM6" s="29"/>
      <c r="ON6" s="29"/>
      <c r="OO6" s="29"/>
      <c r="OP6" s="29"/>
      <c r="OQ6" s="29"/>
      <c r="OR6" s="29"/>
      <c r="OS6" s="29"/>
      <c r="OT6" s="29"/>
      <c r="OU6" s="29"/>
      <c r="OV6" s="29"/>
      <c r="OW6" s="29"/>
      <c r="OX6" s="29"/>
      <c r="OY6" s="29"/>
      <c r="OZ6" s="29"/>
      <c r="PA6" s="29"/>
      <c r="PB6" s="29"/>
      <c r="PC6" s="29"/>
      <c r="PD6" s="29"/>
      <c r="PE6" s="29"/>
      <c r="PF6" s="29"/>
      <c r="PG6" s="29"/>
      <c r="PH6" s="29"/>
      <c r="PI6" s="29"/>
      <c r="PJ6" s="29"/>
      <c r="PK6" s="29"/>
      <c r="PL6" s="29"/>
      <c r="PM6" s="29"/>
      <c r="PN6" s="29"/>
      <c r="PO6" s="29"/>
      <c r="PP6" s="29"/>
      <c r="PQ6" s="29"/>
      <c r="PR6" s="29"/>
      <c r="PS6" s="29"/>
      <c r="PT6" s="29"/>
      <c r="PU6" s="29"/>
      <c r="PV6" s="29"/>
      <c r="PW6" s="29"/>
      <c r="PX6" s="29"/>
      <c r="PY6" s="29"/>
      <c r="PZ6" s="29"/>
      <c r="QA6" s="29"/>
      <c r="QB6" s="29"/>
      <c r="QC6" s="29"/>
      <c r="QD6" s="29"/>
      <c r="QE6" s="29"/>
      <c r="QF6" s="29"/>
      <c r="QG6" s="29"/>
      <c r="QH6" s="29"/>
      <c r="QI6" s="29"/>
      <c r="QJ6" s="29"/>
      <c r="QK6" s="29"/>
      <c r="QL6" s="29"/>
      <c r="QM6" s="29"/>
      <c r="QN6" s="29"/>
      <c r="QO6" s="29"/>
      <c r="QP6" s="29"/>
      <c r="QQ6" s="29"/>
      <c r="QR6" s="29"/>
      <c r="QS6" s="29"/>
      <c r="QT6" s="29"/>
      <c r="QU6" s="29"/>
      <c r="QV6" s="29"/>
      <c r="QW6" s="29"/>
      <c r="QX6" s="29"/>
      <c r="QY6" s="29"/>
      <c r="QZ6" s="29"/>
      <c r="RA6" s="29"/>
      <c r="RB6" s="29"/>
      <c r="RC6" s="29"/>
      <c r="RD6" s="29"/>
      <c r="RE6" s="29"/>
      <c r="RF6" s="29"/>
      <c r="RG6" s="29"/>
      <c r="RH6" s="29"/>
      <c r="RI6" s="29"/>
      <c r="RJ6" s="29"/>
      <c r="RK6" s="29"/>
      <c r="RL6" s="29"/>
      <c r="RM6" s="29"/>
      <c r="RN6" s="29"/>
      <c r="RO6" s="29"/>
      <c r="RP6" s="29"/>
      <c r="RQ6" s="29"/>
      <c r="RR6" s="29"/>
      <c r="RS6" s="29"/>
      <c r="RT6" s="29"/>
      <c r="RU6" s="29"/>
      <c r="RV6" s="29"/>
      <c r="RW6" s="29"/>
      <c r="RX6" s="29"/>
      <c r="RY6" s="29"/>
      <c r="RZ6" s="29"/>
      <c r="SA6" s="29"/>
      <c r="SB6" s="29"/>
      <c r="SC6" s="29"/>
      <c r="SD6" s="29"/>
      <c r="SE6" s="29"/>
      <c r="SF6" s="29"/>
      <c r="SG6" s="29"/>
      <c r="SH6" s="29"/>
      <c r="SI6" s="29"/>
      <c r="SJ6" s="29"/>
      <c r="SK6" s="29"/>
      <c r="SL6" s="29"/>
      <c r="SM6" s="29"/>
      <c r="SN6" s="29"/>
      <c r="SO6" s="29"/>
      <c r="SP6" s="29"/>
      <c r="SQ6" s="29"/>
      <c r="SR6" s="29"/>
      <c r="SS6" s="29"/>
      <c r="ST6" s="29"/>
      <c r="SU6" s="29"/>
      <c r="SV6" s="29"/>
      <c r="SW6" s="29"/>
      <c r="SX6" s="29"/>
      <c r="SY6" s="29"/>
      <c r="SZ6" s="29"/>
      <c r="TA6" s="29"/>
      <c r="TB6" s="29"/>
      <c r="TC6" s="29"/>
      <c r="TD6" s="29"/>
      <c r="TE6" s="29"/>
      <c r="TF6" s="29"/>
      <c r="TG6" s="29"/>
      <c r="TH6" s="29"/>
      <c r="TI6" s="29"/>
      <c r="TJ6" s="29"/>
      <c r="TK6" s="29"/>
      <c r="TL6" s="29"/>
      <c r="TM6" s="29"/>
      <c r="TN6" s="29"/>
      <c r="TO6" s="29"/>
      <c r="TP6" s="29"/>
      <c r="TQ6" s="29"/>
      <c r="TR6" s="29"/>
      <c r="TS6" s="29"/>
      <c r="TT6" s="29"/>
      <c r="TU6" s="29"/>
      <c r="TV6" s="29"/>
      <c r="TW6" s="29"/>
      <c r="TX6" s="29"/>
      <c r="TY6" s="29"/>
      <c r="TZ6" s="29"/>
      <c r="UA6" s="29"/>
      <c r="UB6" s="29"/>
      <c r="UC6" s="29"/>
      <c r="UD6" s="29"/>
      <c r="UE6" s="29"/>
      <c r="UF6" s="29"/>
      <c r="UG6" s="29"/>
      <c r="UH6" s="29"/>
      <c r="UI6" s="29"/>
      <c r="UJ6" s="29"/>
      <c r="UK6" s="29"/>
      <c r="UL6" s="29"/>
      <c r="UM6" s="29"/>
      <c r="UN6" s="29"/>
      <c r="UO6" s="29"/>
      <c r="UP6" s="29"/>
      <c r="UQ6" s="29"/>
      <c r="UR6" s="29"/>
      <c r="US6" s="29"/>
      <c r="UT6" s="29"/>
      <c r="UU6" s="29"/>
      <c r="UV6" s="29"/>
      <c r="UW6" s="29"/>
      <c r="UX6" s="29"/>
      <c r="UY6" s="29"/>
      <c r="UZ6" s="29"/>
      <c r="VA6" s="29"/>
      <c r="VB6" s="29"/>
      <c r="VC6" s="29"/>
      <c r="VD6" s="29"/>
      <c r="VE6" s="29"/>
      <c r="VF6" s="29"/>
      <c r="VG6" s="29"/>
      <c r="VH6" s="29"/>
      <c r="VI6" s="29"/>
      <c r="VJ6" s="29"/>
      <c r="VK6" s="29"/>
      <c r="VL6" s="29"/>
      <c r="VM6" s="29"/>
      <c r="VN6" s="29"/>
      <c r="VO6" s="29"/>
      <c r="VP6" s="29"/>
      <c r="VQ6" s="29"/>
      <c r="VR6" s="29"/>
      <c r="VS6" s="29"/>
      <c r="VT6" s="29"/>
      <c r="VU6" s="29"/>
      <c r="VV6" s="29"/>
      <c r="VW6" s="29"/>
      <c r="VX6" s="29"/>
      <c r="VY6" s="29"/>
      <c r="VZ6" s="29"/>
      <c r="WA6" s="29"/>
      <c r="WB6" s="29"/>
      <c r="WC6" s="29"/>
      <c r="WD6" s="29"/>
      <c r="WE6" s="29"/>
      <c r="WF6" s="29"/>
      <c r="WG6" s="29"/>
      <c r="WH6" s="29"/>
      <c r="WI6" s="29"/>
      <c r="WJ6" s="29"/>
      <c r="WK6" s="29"/>
      <c r="WL6" s="29"/>
      <c r="WM6" s="29"/>
      <c r="WN6" s="29"/>
      <c r="WO6" s="29"/>
      <c r="WP6" s="29"/>
      <c r="WQ6" s="29"/>
      <c r="WR6" s="29"/>
      <c r="WS6" s="29"/>
      <c r="WT6" s="29"/>
      <c r="WU6" s="29"/>
      <c r="WV6" s="29"/>
      <c r="WW6" s="29"/>
      <c r="WX6" s="29"/>
      <c r="WY6" s="29"/>
      <c r="WZ6" s="29"/>
      <c r="XA6" s="29"/>
      <c r="XB6" s="29"/>
      <c r="XC6" s="29"/>
      <c r="XD6" s="29"/>
      <c r="XE6" s="29"/>
      <c r="XF6" s="29"/>
      <c r="XG6" s="29"/>
      <c r="XH6" s="29"/>
      <c r="XI6" s="29"/>
      <c r="XJ6" s="29"/>
      <c r="XK6" s="29"/>
      <c r="XL6" s="29"/>
      <c r="XM6" s="29"/>
      <c r="XN6" s="29"/>
      <c r="XO6" s="29"/>
      <c r="XP6" s="29"/>
      <c r="XQ6" s="29"/>
      <c r="XR6" s="29"/>
      <c r="XS6" s="29"/>
      <c r="XT6" s="29"/>
      <c r="XU6" s="29"/>
      <c r="XV6" s="29"/>
      <c r="XW6" s="29"/>
      <c r="XX6" s="29"/>
      <c r="XY6" s="29"/>
      <c r="XZ6" s="29"/>
      <c r="YA6" s="29"/>
      <c r="YB6" s="29"/>
      <c r="YC6" s="29"/>
      <c r="YD6" s="29"/>
      <c r="YE6" s="29"/>
      <c r="YF6" s="29"/>
      <c r="YG6" s="29"/>
      <c r="YH6" s="29"/>
      <c r="YI6" s="29"/>
      <c r="YJ6" s="29"/>
      <c r="YK6" s="29"/>
      <c r="YL6" s="29"/>
      <c r="YM6" s="29"/>
      <c r="YN6" s="29"/>
      <c r="YO6" s="29"/>
      <c r="YP6" s="29"/>
      <c r="YQ6" s="29"/>
      <c r="YR6" s="29"/>
      <c r="YS6" s="29"/>
      <c r="YT6" s="29"/>
      <c r="YU6" s="29"/>
      <c r="YV6" s="29"/>
      <c r="YW6" s="29"/>
      <c r="YX6" s="29"/>
      <c r="YY6" s="29"/>
      <c r="YZ6" s="29"/>
      <c r="ZA6" s="29"/>
      <c r="ZB6" s="29"/>
      <c r="ZC6" s="29"/>
      <c r="ZD6" s="29"/>
      <c r="ZE6" s="29"/>
      <c r="ZF6" s="29"/>
      <c r="ZG6" s="29"/>
      <c r="ZH6" s="29"/>
      <c r="ZI6" s="29"/>
      <c r="ZJ6" s="29"/>
      <c r="ZK6" s="29"/>
      <c r="ZL6" s="29"/>
      <c r="ZM6" s="29"/>
      <c r="ZN6" s="29"/>
      <c r="ZO6" s="29"/>
      <c r="ZP6" s="29"/>
      <c r="ZQ6" s="29"/>
      <c r="ZR6" s="29"/>
      <c r="ZS6" s="29"/>
      <c r="ZT6" s="29"/>
      <c r="ZU6" s="29"/>
      <c r="ZV6" s="29"/>
      <c r="ZW6" s="29"/>
      <c r="ZX6" s="29"/>
      <c r="ZY6" s="29"/>
      <c r="ZZ6" s="29"/>
      <c r="AAA6" s="29"/>
      <c r="AAB6" s="29"/>
      <c r="AAC6" s="29"/>
      <c r="AAD6" s="29"/>
      <c r="AAE6" s="29"/>
      <c r="AAF6" s="29"/>
      <c r="AAG6" s="29"/>
      <c r="AAH6" s="29"/>
      <c r="AAI6" s="29"/>
      <c r="AAJ6" s="29"/>
      <c r="AAK6" s="29"/>
      <c r="AAL6" s="29"/>
      <c r="AAM6" s="29"/>
      <c r="AAN6" s="29"/>
      <c r="AAO6" s="29"/>
      <c r="AAP6" s="29"/>
      <c r="AAQ6" s="29"/>
      <c r="AAR6" s="29"/>
      <c r="AAS6" s="29"/>
      <c r="AAT6" s="29"/>
      <c r="AAU6" s="29"/>
      <c r="AAV6" s="29"/>
      <c r="AAW6" s="29"/>
      <c r="AAX6" s="29"/>
      <c r="AAY6" s="29"/>
      <c r="AAZ6" s="29"/>
      <c r="ABA6" s="29"/>
      <c r="ABB6" s="29"/>
      <c r="ABC6" s="29"/>
      <c r="ABD6" s="29"/>
      <c r="ABE6" s="29"/>
      <c r="ABF6" s="29"/>
      <c r="ABG6" s="29"/>
      <c r="ABH6" s="29"/>
      <c r="ABI6" s="29"/>
      <c r="ABJ6" s="29"/>
      <c r="ABK6" s="29"/>
      <c r="ABL6" s="29"/>
      <c r="ABM6" s="29"/>
      <c r="ABN6" s="29"/>
      <c r="ABO6" s="29"/>
      <c r="ABP6" s="29"/>
      <c r="ABQ6" s="29"/>
      <c r="ABR6" s="29"/>
      <c r="ABS6" s="29"/>
      <c r="ABT6" s="29"/>
      <c r="ABU6" s="29"/>
      <c r="ABV6" s="29"/>
      <c r="ABW6" s="29"/>
      <c r="ABX6" s="29"/>
      <c r="ABY6" s="29"/>
      <c r="ABZ6" s="29"/>
      <c r="ACA6" s="29"/>
      <c r="ACB6" s="29"/>
      <c r="ACC6" s="29"/>
      <c r="ACD6" s="29"/>
      <c r="ACE6" s="29"/>
      <c r="ACF6" s="29"/>
      <c r="ACG6" s="29"/>
      <c r="ACH6" s="29"/>
      <c r="ACI6" s="29"/>
      <c r="ACJ6" s="29"/>
      <c r="ACK6" s="29"/>
      <c r="ACL6" s="29"/>
      <c r="ACM6" s="29"/>
      <c r="ACN6" s="29"/>
      <c r="ACO6" s="29"/>
      <c r="ACP6" s="29"/>
      <c r="ACQ6" s="29"/>
      <c r="ACR6" s="29"/>
      <c r="ACS6" s="29"/>
      <c r="ACT6" s="29"/>
      <c r="ACU6" s="29"/>
      <c r="ACV6" s="29"/>
      <c r="ACW6" s="29"/>
      <c r="ACX6" s="29"/>
      <c r="ACY6" s="29"/>
      <c r="ACZ6" s="29"/>
      <c r="ADA6" s="29"/>
      <c r="ADB6" s="29"/>
      <c r="ADC6" s="29"/>
      <c r="ADD6" s="29"/>
      <c r="ADE6" s="29"/>
      <c r="ADF6" s="29"/>
      <c r="ADG6" s="29"/>
      <c r="ADH6" s="29"/>
      <c r="ADI6" s="29"/>
      <c r="ADJ6" s="29"/>
      <c r="ADK6" s="29"/>
      <c r="ADL6" s="29"/>
      <c r="ADM6" s="29"/>
      <c r="ADN6" s="29"/>
      <c r="ADO6" s="29"/>
      <c r="ADP6" s="29"/>
      <c r="ADQ6" s="29"/>
      <c r="ADR6" s="29"/>
      <c r="ADS6" s="29"/>
      <c r="ADT6" s="29"/>
      <c r="ADU6" s="29"/>
      <c r="ADV6" s="29"/>
      <c r="ADW6" s="29"/>
      <c r="ADX6" s="29"/>
      <c r="ADY6" s="29"/>
      <c r="ADZ6" s="29"/>
      <c r="AEA6" s="29"/>
      <c r="AEB6" s="29"/>
      <c r="AEC6" s="29"/>
      <c r="AED6" s="29"/>
      <c r="AEE6" s="29"/>
      <c r="AEF6" s="29"/>
      <c r="AEG6" s="29"/>
      <c r="AEH6" s="29"/>
      <c r="AEI6" s="29"/>
      <c r="AEJ6" s="29"/>
      <c r="AEK6" s="29"/>
      <c r="AEL6" s="29"/>
      <c r="AEM6" s="29"/>
      <c r="AEN6" s="29"/>
      <c r="AEO6" s="29"/>
      <c r="AEP6" s="29"/>
      <c r="AEQ6" s="29"/>
      <c r="AER6" s="29"/>
      <c r="AES6" s="29"/>
      <c r="AET6" s="29"/>
      <c r="AEU6" s="29"/>
      <c r="AEV6" s="29"/>
      <c r="AEW6" s="29"/>
      <c r="AEX6" s="29"/>
      <c r="AEY6" s="29"/>
      <c r="AEZ6" s="29"/>
      <c r="AFA6" s="29"/>
      <c r="AFB6" s="29"/>
      <c r="AFC6" s="29"/>
      <c r="AFD6" s="29"/>
      <c r="AFE6" s="29"/>
      <c r="AFF6" s="29"/>
      <c r="AFG6" s="29"/>
      <c r="AFH6" s="29"/>
      <c r="AFI6" s="29"/>
      <c r="AFJ6" s="29"/>
      <c r="AFK6" s="29"/>
      <c r="AFL6" s="29"/>
      <c r="AFM6" s="29"/>
      <c r="AFN6" s="29"/>
      <c r="AFO6" s="29"/>
      <c r="AFP6" s="29"/>
      <c r="AFQ6" s="29"/>
      <c r="AFR6" s="29"/>
      <c r="AFS6" s="29"/>
      <c r="AFT6" s="29"/>
      <c r="AFU6" s="29"/>
      <c r="AFV6" s="29"/>
      <c r="AFW6" s="29"/>
      <c r="AFX6" s="29"/>
      <c r="AFY6" s="29"/>
      <c r="AFZ6" s="29"/>
      <c r="AGA6" s="29"/>
      <c r="AGB6" s="29"/>
      <c r="AGC6" s="29"/>
      <c r="AGD6" s="29"/>
      <c r="AGE6" s="29"/>
      <c r="AGF6" s="29"/>
      <c r="AGG6" s="29"/>
      <c r="AGH6" s="29"/>
      <c r="AGI6" s="29"/>
      <c r="AGJ6" s="29"/>
      <c r="AGK6" s="29"/>
      <c r="AGL6" s="29"/>
      <c r="AGM6" s="29"/>
      <c r="AGN6" s="29"/>
      <c r="AGO6" s="29"/>
      <c r="AGP6" s="29"/>
      <c r="AGQ6" s="29"/>
      <c r="AGR6" s="29"/>
      <c r="AGS6" s="29"/>
      <c r="AGT6" s="29"/>
      <c r="AGU6" s="29"/>
      <c r="AGV6" s="29"/>
      <c r="AGW6" s="29"/>
      <c r="AGX6" s="29"/>
      <c r="AGY6" s="29"/>
      <c r="AGZ6" s="29"/>
      <c r="AHA6" s="29"/>
      <c r="AHB6" s="29"/>
      <c r="AHC6" s="29"/>
      <c r="AHD6" s="29"/>
      <c r="AHE6" s="29"/>
      <c r="AHF6" s="29"/>
      <c r="AHG6" s="29"/>
      <c r="AHH6" s="29"/>
      <c r="AHI6" s="29"/>
      <c r="AHJ6" s="29"/>
      <c r="AHK6" s="29"/>
      <c r="AHL6" s="29"/>
      <c r="AHM6" s="29"/>
      <c r="AHN6" s="29"/>
      <c r="AHO6" s="29"/>
      <c r="AHP6" s="29"/>
      <c r="AHQ6" s="29"/>
      <c r="AHR6" s="29"/>
      <c r="AHS6" s="29"/>
      <c r="AHT6" s="29"/>
      <c r="AHU6" s="29"/>
      <c r="AHV6" s="29"/>
      <c r="AHW6" s="29"/>
      <c r="AHX6" s="29"/>
      <c r="AHY6" s="29"/>
      <c r="AHZ6" s="29"/>
      <c r="AIA6" s="29"/>
      <c r="AIB6" s="29"/>
      <c r="AIC6" s="29"/>
      <c r="AID6" s="29"/>
      <c r="AIE6" s="29"/>
      <c r="AIF6" s="29"/>
      <c r="AIG6" s="29"/>
      <c r="AIH6" s="29"/>
      <c r="AII6" s="29"/>
      <c r="AIJ6" s="29"/>
      <c r="AIK6" s="29"/>
      <c r="AIL6" s="29"/>
      <c r="AIM6" s="29"/>
      <c r="AIN6" s="29"/>
      <c r="AIO6" s="29"/>
      <c r="AIP6" s="29"/>
      <c r="AIQ6" s="29"/>
      <c r="AIR6" s="29"/>
      <c r="AIS6" s="29"/>
      <c r="AIT6" s="29"/>
      <c r="AIU6" s="29"/>
      <c r="AIV6" s="29"/>
      <c r="AIW6" s="29"/>
      <c r="AIX6" s="29"/>
      <c r="AIY6" s="29"/>
      <c r="AIZ6" s="29"/>
      <c r="AJA6" s="29"/>
      <c r="AJB6" s="29"/>
      <c r="AJC6" s="29"/>
      <c r="AJD6" s="29"/>
      <c r="AJE6" s="29"/>
      <c r="AJF6" s="29"/>
      <c r="AJG6" s="29"/>
      <c r="AJH6" s="29"/>
      <c r="AJI6" s="29"/>
      <c r="AJJ6" s="29"/>
      <c r="AJK6" s="29"/>
      <c r="AJL6" s="29"/>
      <c r="AJM6" s="29"/>
      <c r="AJN6" s="29"/>
      <c r="AJO6" s="29"/>
      <c r="AJP6" s="29"/>
      <c r="AJQ6" s="29"/>
      <c r="AJR6" s="29"/>
      <c r="AJS6" s="29"/>
      <c r="AJT6" s="29"/>
      <c r="AJU6" s="29"/>
      <c r="AJV6" s="29"/>
      <c r="AJW6" s="29"/>
      <c r="AJX6" s="29"/>
      <c r="AJY6" s="29"/>
      <c r="AJZ6" s="29"/>
      <c r="AKA6" s="29"/>
      <c r="AKB6" s="29"/>
      <c r="AKC6" s="29"/>
      <c r="AKD6" s="29"/>
      <c r="AKE6" s="29"/>
      <c r="AKF6" s="29"/>
      <c r="AKG6" s="29"/>
      <c r="AKH6" s="29"/>
      <c r="AKI6" s="29"/>
      <c r="AKJ6" s="29"/>
      <c r="AKK6" s="29"/>
      <c r="AKL6" s="29"/>
      <c r="AKM6" s="29"/>
      <c r="AKN6" s="29"/>
      <c r="AKO6" s="29"/>
      <c r="AKP6" s="29"/>
      <c r="AKQ6" s="29"/>
      <c r="AKR6" s="29"/>
      <c r="AKS6" s="29"/>
      <c r="AKT6" s="29"/>
      <c r="AKU6" s="29"/>
      <c r="AKV6" s="29"/>
      <c r="AKW6" s="29"/>
      <c r="AKX6" s="29"/>
      <c r="AKY6" s="29"/>
      <c r="AKZ6" s="29"/>
      <c r="ALA6" s="29"/>
      <c r="ALB6" s="29"/>
      <c r="ALC6" s="29"/>
      <c r="ALD6" s="29"/>
    </row>
    <row r="7">
      <c r="A7" s="29" t="str">
        <f t="array" ref="A7">IFNA(TRANSPOSE(INDEX('Parâmetros'!$B$4:$J3001,,MATCH(Exames!F5,'Parâmetros'!$B$3:$J$3,0))),"")</f>
        <v/>
      </c>
    </row>
    <row r="8">
      <c r="A8" s="29" t="str">
        <f t="array" ref="A8">IFNA(TRANSPOSE(INDEX('Parâmetros'!$B$4:$J3001,,MATCH(Exames!F6,'Parâmetros'!$B$3:$J$3,0))),"")</f>
        <v/>
      </c>
    </row>
    <row r="9">
      <c r="A9" s="29" t="str">
        <f t="array" ref="A9">IFNA(TRANSPOSE(INDEX('Parâmetros'!$B$4:$J3001,,MATCH(Exames!F7,'Parâmetros'!$B$3:$J$3,0))),"")</f>
        <v/>
      </c>
    </row>
    <row r="10">
      <c r="A10" s="29" t="str">
        <f t="array" ref="A10">IFNA(TRANSPOSE(INDEX('Parâmetros'!$B$4:$J3001,,MATCH(Exames!F8,'Parâmetros'!$B$3:$J$3,0))),"")</f>
        <v/>
      </c>
    </row>
    <row r="11">
      <c r="A11" s="29" t="str">
        <f t="array" ref="A11">IFNA(TRANSPOSE(INDEX('Parâmetros'!$B$4:$J3001,,MATCH(Exames!F9,'Parâmetros'!$B$3:$J$3,0))),"")</f>
        <v/>
      </c>
    </row>
    <row r="12">
      <c r="A12" s="29" t="str">
        <f t="array" ref="A12">IFNA(TRANSPOSE(INDEX('Parâmetros'!$B$4:$J3001,,MATCH(Exames!F10,'Parâmetros'!$B$3:$J$3,0))),"")</f>
        <v/>
      </c>
    </row>
    <row r="13">
      <c r="A13" s="29" t="str">
        <f t="array" ref="A13">IFNA(TRANSPOSE(INDEX('Parâmetros'!$B$4:$J3001,,MATCH(Exames!F11,'Parâmetros'!$B$3:$J$3,0))),"")</f>
        <v/>
      </c>
    </row>
    <row r="14">
      <c r="A14" s="29" t="str">
        <f t="array" ref="A14">IFNA(TRANSPOSE(INDEX('Parâmetros'!$B$4:$J3001,,MATCH(Exames!F12,'Parâmetros'!$B$3:$J$3,0))),"")</f>
        <v/>
      </c>
    </row>
    <row r="15">
      <c r="A15" s="29" t="str">
        <f t="array" ref="A15">IFNA(TRANSPOSE(INDEX('Parâmetros'!$B$4:$J3001,,MATCH(Exames!F13,'Parâmetros'!$B$3:$J$3,0))),"")</f>
        <v/>
      </c>
    </row>
    <row r="16">
      <c r="A16" s="29" t="str">
        <f t="array" ref="A16">IFNA(TRANSPOSE(INDEX('Parâmetros'!$B$4:$J3001,,MATCH(Exames!F14,'Parâmetros'!$B$3:$J$3,0))),"")</f>
        <v/>
      </c>
    </row>
    <row r="17">
      <c r="A17" s="29" t="str">
        <f t="array" ref="A17">IFNA(TRANSPOSE(INDEX('Parâmetros'!$B$4:$J3001,,MATCH(Exames!F15,'Parâmetros'!$B$3:$J$3,0))),"")</f>
        <v/>
      </c>
    </row>
    <row r="18">
      <c r="A18" s="29" t="str">
        <f t="array" ref="A18">IFNA(TRANSPOSE(INDEX('Parâmetros'!$B$4:$J3001,,MATCH(Exames!F16,'Parâmetros'!$B$3:$J$3,0))),"")</f>
        <v/>
      </c>
    </row>
    <row r="19">
      <c r="A19" s="29" t="str">
        <f t="array" ref="A19">IFNA(TRANSPOSE(INDEX('Parâmetros'!$B$4:$J3001,,MATCH(Exames!F17,'Parâmetros'!$B$3:$J$3,0))),"")</f>
        <v/>
      </c>
    </row>
    <row r="20">
      <c r="A20" s="29" t="str">
        <f t="array" ref="A20">IFNA(TRANSPOSE(INDEX('Parâmetros'!$B$4:$J3001,,MATCH(Exames!F18,'Parâmetros'!$B$3:$J$3,0))),"")</f>
        <v/>
      </c>
    </row>
    <row r="21">
      <c r="A21" s="29" t="str">
        <f t="array" ref="A21">IFNA(TRANSPOSE(INDEX('Parâmetros'!$B$4:$J3001,,MATCH(Exames!F19,'Parâmetros'!$B$3:$J$3,0))),"")</f>
        <v/>
      </c>
    </row>
    <row r="22">
      <c r="A22" s="29" t="str">
        <f t="array" ref="A22">IFNA(TRANSPOSE(INDEX('Parâmetros'!$B$4:$J3001,,MATCH(Exames!F20,'Parâmetros'!$B$3:$J$3,0))),"")</f>
        <v/>
      </c>
    </row>
    <row r="23">
      <c r="A23" s="29" t="str">
        <f t="array" ref="A23">IFNA(TRANSPOSE(INDEX('Parâmetros'!$B$4:$J3001,,MATCH(Exames!F21,'Parâmetros'!$B$3:$J$3,0))),"")</f>
        <v/>
      </c>
    </row>
    <row r="24">
      <c r="A24" s="29" t="str">
        <f t="array" ref="A24">IFNA(TRANSPOSE(INDEX('Parâmetros'!$B$4:$J3001,,MATCH(Exames!F22,'Parâmetros'!$B$3:$J$3,0))),"")</f>
        <v/>
      </c>
    </row>
    <row r="25">
      <c r="A25" s="29" t="str">
        <f t="array" ref="A25">IFNA(TRANSPOSE(INDEX('Parâmetros'!$B$4:$J3001,,MATCH(Exames!F23,'Parâmetros'!$B$3:$J$3,0))),"")</f>
        <v/>
      </c>
    </row>
    <row r="26">
      <c r="A26" s="29" t="str">
        <f t="array" ref="A26">IFNA(TRANSPOSE(INDEX('Parâmetros'!$B$4:$J3001,,MATCH(Exames!F24,'Parâmetros'!$B$3:$J$3,0))),"")</f>
        <v/>
      </c>
    </row>
    <row r="27">
      <c r="A27" s="29" t="str">
        <f t="array" ref="A27">IFNA(TRANSPOSE(INDEX('Parâmetros'!$B$4:$J3001,,MATCH(Exames!F25,'Parâmetros'!$B$3:$J$3,0))),"")</f>
        <v/>
      </c>
    </row>
    <row r="28">
      <c r="A28" s="29" t="str">
        <f t="array" ref="A28">IFNA(TRANSPOSE(INDEX('Parâmetros'!$B$4:$J3001,,MATCH(Exames!F26,'Parâmetros'!$B$3:$J$3,0))),"")</f>
        <v/>
      </c>
    </row>
    <row r="29">
      <c r="A29" s="29" t="str">
        <f t="array" ref="A29">IFNA(TRANSPOSE(INDEX('Parâmetros'!$B$4:$J3001,,MATCH(Exames!F27,'Parâmetros'!$B$3:$J$3,0))),"")</f>
        <v/>
      </c>
    </row>
    <row r="30">
      <c r="A30" s="29" t="str">
        <f t="array" ref="A30">IFNA(TRANSPOSE(INDEX('Parâmetros'!$B$4:$J3001,,MATCH(Exames!F28,'Parâmetros'!$B$3:$J$3,0))),"")</f>
        <v/>
      </c>
    </row>
    <row r="31">
      <c r="A31" s="29" t="str">
        <f t="array" ref="A31">IFNA(TRANSPOSE(INDEX('Parâmetros'!$B$4:$J3001,,MATCH(Exames!F29,'Parâmetros'!$B$3:$J$3,0))),"")</f>
        <v/>
      </c>
    </row>
    <row r="32">
      <c r="A32" s="29" t="str">
        <f t="array" ref="A32">IFNA(TRANSPOSE(INDEX('Parâmetros'!$B$4:$J3001,,MATCH(Exames!F30,'Parâmetros'!$B$3:$J$3,0))),"")</f>
        <v/>
      </c>
    </row>
    <row r="33">
      <c r="A33" s="29" t="str">
        <f t="array" ref="A33">IFNA(TRANSPOSE(INDEX('Parâmetros'!$B$4:$J3001,,MATCH(Exames!F31,'Parâmetros'!$B$3:$J$3,0))),"")</f>
        <v/>
      </c>
    </row>
    <row r="34">
      <c r="A34" s="29" t="str">
        <f t="array" ref="A34">IFNA(TRANSPOSE(INDEX('Parâmetros'!$B$4:$J3001,,MATCH(Exames!F32,'Parâmetros'!$B$3:$J$3,0))),"")</f>
        <v/>
      </c>
    </row>
    <row r="35">
      <c r="A35" s="29" t="str">
        <f t="array" ref="A35">IFNA(TRANSPOSE(INDEX('Parâmetros'!$B$4:$J3001,,MATCH(Exames!F33,'Parâmetros'!$B$3:$J$3,0))),"")</f>
        <v/>
      </c>
    </row>
    <row r="36">
      <c r="A36" s="29" t="str">
        <f t="array" ref="A36">IFNA(TRANSPOSE(INDEX('Parâmetros'!$B$4:$J3001,,MATCH(Exames!F34,'Parâmetros'!$B$3:$J$3,0))),"")</f>
        <v/>
      </c>
    </row>
    <row r="37">
      <c r="A37" s="29" t="str">
        <f t="array" ref="A37">IFNA(TRANSPOSE(INDEX('Parâmetros'!$B$4:$J3001,,MATCH(Exames!F35,'Parâmetros'!$B$3:$J$3,0))),"")</f>
        <v/>
      </c>
    </row>
    <row r="38">
      <c r="A38" s="29" t="str">
        <f t="array" ref="A38">IFNA(TRANSPOSE(INDEX('Parâmetros'!$B$4:$J3001,,MATCH(Exames!F36,'Parâmetros'!$B$3:$J$3,0))),"")</f>
        <v/>
      </c>
    </row>
    <row r="39">
      <c r="A39" s="29" t="str">
        <f t="array" ref="A39">IFNA(TRANSPOSE(INDEX('Parâmetros'!$B$4:$J3001,,MATCH(Exames!F37,'Parâmetros'!$B$3:$J$3,0))),"")</f>
        <v/>
      </c>
    </row>
    <row r="40">
      <c r="A40" s="29" t="str">
        <f t="array" ref="A40">IFNA(TRANSPOSE(INDEX('Parâmetros'!$B$4:$J3001,,MATCH(Exames!F38,'Parâmetros'!$B$3:$J$3,0))),"")</f>
        <v/>
      </c>
    </row>
    <row r="41">
      <c r="A41" s="29" t="str">
        <f t="array" ref="A41">IFNA(TRANSPOSE(INDEX('Parâmetros'!$B$4:$J3001,,MATCH(Exames!F39,'Parâmetros'!$B$3:$J$3,0))),"")</f>
        <v/>
      </c>
    </row>
    <row r="42">
      <c r="A42" s="29" t="str">
        <f t="array" ref="A42">IFNA(TRANSPOSE(INDEX('Parâmetros'!$B$4:$J3001,,MATCH(Exames!F40,'Parâmetros'!$B$3:$J$3,0))),"")</f>
        <v/>
      </c>
    </row>
    <row r="43">
      <c r="A43" s="29" t="str">
        <f t="array" ref="A43">IFNA(TRANSPOSE(INDEX('Parâmetros'!$B$4:$J3001,,MATCH(Exames!F41,'Parâmetros'!$B$3:$J$3,0))),"")</f>
        <v/>
      </c>
    </row>
    <row r="44">
      <c r="A44" s="29" t="str">
        <f t="array" ref="A44">IFNA(TRANSPOSE(INDEX('Parâmetros'!$B$4:$J3001,,MATCH(Exames!F42,'Parâmetros'!$B$3:$J$3,0))),"")</f>
        <v/>
      </c>
    </row>
    <row r="45">
      <c r="A45" s="29" t="str">
        <f t="array" ref="A45">IFNA(TRANSPOSE(INDEX('Parâmetros'!$B$4:$J3001,,MATCH(Exames!F43,'Parâmetros'!$B$3:$J$3,0))),"")</f>
        <v/>
      </c>
    </row>
    <row r="46">
      <c r="A46" s="29" t="str">
        <f t="array" ref="A46">IFNA(TRANSPOSE(INDEX('Parâmetros'!$B$4:$J3001,,MATCH(Exames!F44,'Parâmetros'!$B$3:$J$3,0))),"")</f>
        <v/>
      </c>
    </row>
    <row r="47">
      <c r="A47" s="29" t="str">
        <f t="array" ref="A47">IFNA(TRANSPOSE(INDEX('Parâmetros'!$B$4:$J3001,,MATCH(Exames!F45,'Parâmetros'!$B$3:$J$3,0))),"")</f>
        <v/>
      </c>
    </row>
    <row r="48">
      <c r="A48" s="29" t="str">
        <f t="array" ref="A48">IFNA(TRANSPOSE(INDEX('Parâmetros'!$B$4:$J3001,,MATCH(Exames!F46,'Parâmetros'!$B$3:$J$3,0))),"")</f>
        <v/>
      </c>
    </row>
    <row r="49">
      <c r="A49" s="29" t="str">
        <f t="array" ref="A49">IFNA(TRANSPOSE(INDEX('Parâmetros'!$B$4:$J3001,,MATCH(Exames!F47,'Parâmetros'!$B$3:$J$3,0))),"")</f>
        <v/>
      </c>
    </row>
    <row r="50">
      <c r="A50" s="29" t="str">
        <f t="array" ref="A50">IFNA(TRANSPOSE(INDEX('Parâmetros'!$B$4:$J3001,,MATCH(Exames!F48,'Parâmetros'!$B$3:$J$3,0))),"")</f>
        <v/>
      </c>
    </row>
    <row r="51">
      <c r="A51" s="29" t="str">
        <f t="array" ref="A51">IFNA(TRANSPOSE(INDEX('Parâmetros'!$B$4:$J3001,,MATCH(Exames!F49,'Parâmetros'!$B$3:$J$3,0))),"")</f>
        <v/>
      </c>
    </row>
    <row r="52">
      <c r="A52" s="29" t="str">
        <f t="array" ref="A52">IFNA(TRANSPOSE(INDEX('Parâmetros'!$B$4:$J3001,,MATCH(Exames!F50,'Parâmetros'!$B$3:$J$3,0))),"")</f>
        <v/>
      </c>
    </row>
    <row r="53">
      <c r="A53" s="29" t="str">
        <f t="array" ref="A53">IFNA(TRANSPOSE(INDEX('Parâmetros'!$B$4:$J3001,,MATCH(Exames!F51,'Parâmetros'!$B$3:$J$3,0))),"")</f>
        <v/>
      </c>
    </row>
    <row r="54">
      <c r="A54" s="29" t="str">
        <f t="array" ref="A54">IFNA(TRANSPOSE(INDEX('Parâmetros'!$B$4:$J3001,,MATCH(Exames!F52,'Parâmetros'!$B$3:$J$3,0))),"")</f>
        <v/>
      </c>
    </row>
    <row r="55">
      <c r="A55" s="29" t="str">
        <f t="array" ref="A55">IFNA(TRANSPOSE(INDEX('Parâmetros'!$B$4:$J3001,,MATCH(Exames!F53,'Parâmetros'!$B$3:$J$3,0))),"")</f>
        <v/>
      </c>
    </row>
    <row r="56">
      <c r="A56" s="29" t="str">
        <f t="array" ref="A56">IFNA(TRANSPOSE(INDEX('Parâmetros'!$B$4:$J3001,,MATCH(Exames!F54,'Parâmetros'!$B$3:$J$3,0))),"")</f>
        <v/>
      </c>
    </row>
    <row r="57">
      <c r="A57" s="29" t="str">
        <f t="array" ref="A57">IFNA(TRANSPOSE(INDEX('Parâmetros'!$B$4:$J3001,,MATCH(Exames!F55,'Parâmetros'!$B$3:$J$3,0))),"")</f>
        <v/>
      </c>
    </row>
    <row r="58">
      <c r="A58" s="29" t="str">
        <f t="array" ref="A58">IFNA(TRANSPOSE(INDEX('Parâmetros'!$B$4:$J3001,,MATCH(Exames!F56,'Parâmetros'!$B$3:$J$3,0))),"")</f>
        <v/>
      </c>
    </row>
    <row r="59">
      <c r="A59" s="29" t="str">
        <f t="array" ref="A59">IFNA(TRANSPOSE(INDEX('Parâmetros'!$B$4:$J3001,,MATCH(Exames!F57,'Parâmetros'!$B$3:$J$3,0))),"")</f>
        <v/>
      </c>
    </row>
    <row r="60">
      <c r="A60" s="29" t="str">
        <f t="array" ref="A60">IFNA(TRANSPOSE(INDEX('Parâmetros'!$B$4:$J3001,,MATCH(Exames!F58,'Parâmetros'!$B$3:$J$3,0))),"")</f>
        <v/>
      </c>
    </row>
    <row r="61">
      <c r="A61" s="29" t="str">
        <f t="array" ref="A61">IFNA(TRANSPOSE(INDEX('Parâmetros'!$B$4:$J3001,,MATCH(Exames!F59,'Parâmetros'!$B$3:$J$3,0))),"")</f>
        <v/>
      </c>
    </row>
    <row r="62">
      <c r="A62" s="29" t="str">
        <f t="array" ref="A62">IFNA(TRANSPOSE(INDEX('Parâmetros'!$B$4:$J3001,,MATCH(Exames!F60,'Parâmetros'!$B$3:$J$3,0))),"")</f>
        <v/>
      </c>
    </row>
    <row r="63">
      <c r="A63" s="29" t="str">
        <f t="array" ref="A63">IFNA(TRANSPOSE(INDEX('Parâmetros'!$B$4:$J3001,,MATCH(Exames!F61,'Parâmetros'!$B$3:$J$3,0))),"")</f>
        <v/>
      </c>
    </row>
    <row r="64">
      <c r="A64" s="29" t="str">
        <f t="array" ref="A64">IFNA(TRANSPOSE(INDEX('Parâmetros'!$B$4:$J3001,,MATCH(Exames!F62,'Parâmetros'!$B$3:$J$3,0))),"")</f>
        <v/>
      </c>
    </row>
    <row r="65">
      <c r="A65" s="29" t="str">
        <f t="array" ref="A65">IFNA(TRANSPOSE(INDEX('Parâmetros'!$B$4:$J3001,,MATCH(Exames!F63,'Parâmetros'!$B$3:$J$3,0))),"")</f>
        <v/>
      </c>
    </row>
    <row r="66">
      <c r="A66" s="29" t="str">
        <f t="array" ref="A66">IFNA(TRANSPOSE(INDEX('Parâmetros'!$B$4:$J3001,,MATCH(Exames!F64,'Parâmetros'!$B$3:$J$3,0))),"")</f>
        <v/>
      </c>
    </row>
    <row r="67">
      <c r="A67" s="29" t="str">
        <f t="array" ref="A67">IFNA(TRANSPOSE(INDEX('Parâmetros'!$B$4:$J3001,,MATCH(Exames!F65,'Parâmetros'!$B$3:$J$3,0))),"")</f>
        <v/>
      </c>
    </row>
    <row r="68">
      <c r="A68" s="29" t="str">
        <f t="array" ref="A68">IFNA(TRANSPOSE(INDEX('Parâmetros'!$B$4:$J3001,,MATCH(Exames!F66,'Parâmetros'!$B$3:$J$3,0))),"")</f>
        <v/>
      </c>
    </row>
    <row r="69">
      <c r="A69" s="29" t="str">
        <f t="array" ref="A69">IFNA(TRANSPOSE(INDEX('Parâmetros'!$B$4:$J3001,,MATCH(Exames!F67,'Parâmetros'!$B$3:$J$3,0))),"")</f>
        <v/>
      </c>
    </row>
    <row r="70">
      <c r="A70" s="29" t="str">
        <f t="array" ref="A70">IFNA(TRANSPOSE(INDEX('Parâmetros'!$B$4:$J3001,,MATCH(Exames!F68,'Parâmetros'!$B$3:$J$3,0))),"")</f>
        <v/>
      </c>
    </row>
    <row r="71">
      <c r="A71" s="29" t="str">
        <f t="array" ref="A71">IFNA(TRANSPOSE(INDEX('Parâmetros'!$B$4:$J3001,,MATCH(Exames!F69,'Parâmetros'!$B$3:$J$3,0))),"")</f>
        <v/>
      </c>
    </row>
    <row r="72">
      <c r="A72" s="29" t="str">
        <f t="array" ref="A72">IFNA(TRANSPOSE(INDEX('Parâmetros'!$B$4:$J3001,,MATCH(Exames!F70,'Parâmetros'!$B$3:$J$3,0))),"")</f>
        <v/>
      </c>
    </row>
    <row r="73">
      <c r="A73" s="29" t="str">
        <f t="array" ref="A73">IFNA(TRANSPOSE(INDEX('Parâmetros'!$B$4:$J3001,,MATCH(Exames!F71,'Parâmetros'!$B$3:$J$3,0))),"")</f>
        <v/>
      </c>
    </row>
    <row r="74">
      <c r="A74" s="29" t="str">
        <f t="array" ref="A74">IFNA(TRANSPOSE(INDEX('Parâmetros'!$B$4:$J3001,,MATCH(Exames!F72,'Parâmetros'!$B$3:$J$3,0))),"")</f>
        <v/>
      </c>
    </row>
    <row r="75">
      <c r="A75" s="29" t="str">
        <f t="array" ref="A75">IFNA(TRANSPOSE(INDEX('Parâmetros'!$B$4:$J3001,,MATCH(Exames!F73,'Parâmetros'!$B$3:$J$3,0))),"")</f>
        <v/>
      </c>
    </row>
    <row r="76">
      <c r="A76" s="29" t="str">
        <f t="array" ref="A76">IFNA(TRANSPOSE(INDEX('Parâmetros'!$B$4:$J3001,,MATCH(Exames!F74,'Parâmetros'!$B$3:$J$3,0))),"")</f>
        <v/>
      </c>
    </row>
    <row r="77">
      <c r="A77" s="29" t="str">
        <f t="array" ref="A77">IFNA(TRANSPOSE(INDEX('Parâmetros'!$B$4:$J3001,,MATCH(Exames!F75,'Parâmetros'!$B$3:$J$3,0))),"")</f>
        <v/>
      </c>
    </row>
    <row r="78">
      <c r="A78" s="29" t="str">
        <f t="array" ref="A78">IFNA(TRANSPOSE(INDEX('Parâmetros'!$B$4:$J3001,,MATCH(Exames!F76,'Parâmetros'!$B$3:$J$3,0))),"")</f>
        <v/>
      </c>
    </row>
    <row r="79">
      <c r="A79" s="29" t="str">
        <f t="array" ref="A79">IFNA(TRANSPOSE(INDEX('Parâmetros'!$B$4:$J3001,,MATCH(Exames!F77,'Parâmetros'!$B$3:$J$3,0))),"")</f>
        <v/>
      </c>
    </row>
    <row r="80">
      <c r="A80" s="29" t="str">
        <f t="array" ref="A80">IFNA(TRANSPOSE(INDEX('Parâmetros'!$B$4:$J3001,,MATCH(Exames!F78,'Parâmetros'!$B$3:$J$3,0))),"")</f>
        <v/>
      </c>
    </row>
    <row r="81">
      <c r="A81" s="29" t="str">
        <f t="array" ref="A81">IFNA(TRANSPOSE(INDEX('Parâmetros'!$B$4:$J3001,,MATCH(Exames!F79,'Parâmetros'!$B$3:$J$3,0))),"")</f>
        <v/>
      </c>
    </row>
    <row r="82">
      <c r="A82" s="29" t="str">
        <f t="array" ref="A82">IFNA(TRANSPOSE(INDEX('Parâmetros'!$B$4:$J3001,,MATCH(Exames!F80,'Parâmetros'!$B$3:$J$3,0))),"")</f>
        <v/>
      </c>
    </row>
    <row r="83">
      <c r="A83" s="29" t="str">
        <f t="array" ref="A83">IFNA(TRANSPOSE(INDEX('Parâmetros'!$B$4:$J3001,,MATCH(Exames!F81,'Parâmetros'!$B$3:$J$3,0))),"")</f>
        <v/>
      </c>
    </row>
    <row r="84">
      <c r="A84" s="29" t="str">
        <f t="array" ref="A84">IFNA(TRANSPOSE(INDEX('Parâmetros'!$B$4:$J3001,,MATCH(Exames!F82,'Parâmetros'!$B$3:$J$3,0))),"")</f>
        <v/>
      </c>
    </row>
    <row r="85">
      <c r="A85" s="29" t="str">
        <f t="array" ref="A85">IFNA(TRANSPOSE(INDEX('Parâmetros'!$B$4:$J3001,,MATCH(Exames!F83,'Parâmetros'!$B$3:$J$3,0))),"")</f>
        <v/>
      </c>
    </row>
    <row r="86">
      <c r="A86" s="29" t="str">
        <f t="array" ref="A86">IFNA(TRANSPOSE(INDEX('Parâmetros'!$B$4:$J3001,,MATCH(Exames!F84,'Parâmetros'!$B$3:$J$3,0))),"")</f>
        <v/>
      </c>
    </row>
    <row r="87">
      <c r="A87" s="29" t="str">
        <f t="array" ref="A87">IFNA(TRANSPOSE(INDEX('Parâmetros'!$B$4:$J3001,,MATCH(Exames!F85,'Parâmetros'!$B$3:$J$3,0))),"")</f>
        <v/>
      </c>
    </row>
    <row r="88">
      <c r="A88" s="29" t="str">
        <f t="array" ref="A88">IFNA(TRANSPOSE(INDEX('Parâmetros'!$B$4:$J3001,,MATCH(Exames!F86,'Parâmetros'!$B$3:$J$3,0))),"")</f>
        <v/>
      </c>
    </row>
    <row r="89">
      <c r="A89" s="29" t="str">
        <f t="array" ref="A89">IFNA(TRANSPOSE(INDEX('Parâmetros'!$B$4:$J3001,,MATCH(Exames!F87,'Parâmetros'!$B$3:$J$3,0))),"")</f>
        <v/>
      </c>
    </row>
    <row r="90">
      <c r="A90" s="29" t="str">
        <f t="array" ref="A90">IFNA(TRANSPOSE(INDEX('Parâmetros'!$B$4:$J3001,,MATCH(Exames!F88,'Parâmetros'!$B$3:$J$3,0))),"")</f>
        <v/>
      </c>
    </row>
    <row r="91">
      <c r="A91" s="29" t="str">
        <f t="array" ref="A91">IFNA(TRANSPOSE(INDEX('Parâmetros'!$B$4:$J3001,,MATCH(Exames!F89,'Parâmetros'!$B$3:$J$3,0))),"")</f>
        <v/>
      </c>
    </row>
    <row r="92">
      <c r="A92" s="29" t="str">
        <f t="array" ref="A92">IFNA(TRANSPOSE(INDEX('Parâmetros'!$B$4:$J3001,,MATCH(Exames!F90,'Parâmetros'!$B$3:$J$3,0))),"")</f>
        <v/>
      </c>
    </row>
    <row r="93">
      <c r="A93" s="29" t="str">
        <f t="array" ref="A93">IFNA(TRANSPOSE(INDEX('Parâmetros'!$B$4:$J3001,,MATCH(Exames!F91,'Parâmetros'!$B$3:$J$3,0))),"")</f>
        <v/>
      </c>
    </row>
    <row r="94">
      <c r="A94" s="29" t="str">
        <f t="array" ref="A94">IFNA(TRANSPOSE(INDEX('Parâmetros'!$B$4:$J3001,,MATCH(Exames!F92,'Parâmetros'!$B$3:$J$3,0))),"")</f>
        <v/>
      </c>
    </row>
    <row r="95">
      <c r="A95" s="29" t="str">
        <f t="array" ref="A95">IFNA(TRANSPOSE(INDEX('Parâmetros'!$B$4:$J3001,,MATCH(Exames!F93,'Parâmetros'!$B$3:$J$3,0))),"")</f>
        <v/>
      </c>
    </row>
    <row r="96">
      <c r="A96" s="29" t="str">
        <f t="array" ref="A96">IFNA(TRANSPOSE(INDEX('Parâmetros'!$B$4:$J3001,,MATCH(Exames!F94,'Parâmetros'!$B$3:$J$3,0))),"")</f>
        <v/>
      </c>
    </row>
    <row r="97">
      <c r="A97" s="29" t="str">
        <f t="array" ref="A97">IFNA(TRANSPOSE(INDEX('Parâmetros'!$B$4:$J3001,,MATCH(Exames!F95,'Parâmetros'!$B$3:$J$3,0))),"")</f>
        <v/>
      </c>
    </row>
    <row r="98">
      <c r="A98" s="29" t="str">
        <f t="array" ref="A98">IFNA(TRANSPOSE(INDEX('Parâmetros'!$B$4:$J3001,,MATCH(Exames!F96,'Parâmetros'!$B$3:$J$3,0))),"")</f>
        <v/>
      </c>
    </row>
    <row r="99">
      <c r="A99" s="29" t="str">
        <f t="array" ref="A99">IFNA(TRANSPOSE(INDEX('Parâmetros'!$B$4:$J3001,,MATCH(Exames!F97,'Parâmetros'!$B$3:$J$3,0))),"")</f>
        <v/>
      </c>
    </row>
    <row r="100">
      <c r="A100" s="29" t="str">
        <f t="array" ref="A100">IFNA(TRANSPOSE(INDEX('Parâmetros'!$B$4:$J3001,,MATCH(Exames!F98,'Parâmetros'!$B$3:$J$3,0))),"")</f>
        <v/>
      </c>
    </row>
    <row r="101">
      <c r="A101" s="29" t="str">
        <f t="array" ref="A101">IFNA(TRANSPOSE(INDEX('Parâmetros'!$B$4:$J3001,,MATCH(Exames!F99,'Parâmetros'!$B$3:$J$3,0))),"")</f>
        <v/>
      </c>
    </row>
    <row r="102">
      <c r="A102" s="29" t="str">
        <f t="array" ref="A102">IFNA(TRANSPOSE(INDEX('Parâmetros'!$B$4:$J3001,,MATCH(Exames!F100,'Parâmetros'!$B$3:$J$3,0))),"")</f>
        <v/>
      </c>
    </row>
    <row r="103">
      <c r="A103" s="29" t="str">
        <f t="array" ref="A103">IFNA(TRANSPOSE(INDEX('Parâmetros'!$B$4:$J3001,,MATCH(Exames!F101,'Parâmetros'!$B$3:$J$3,0))),"")</f>
        <v/>
      </c>
    </row>
    <row r="104">
      <c r="A104" s="29" t="str">
        <f t="array" ref="A104">IFNA(TRANSPOSE(INDEX('Parâmetros'!$B$4:$J3001,,MATCH(Exames!F102,'Parâmetros'!$B$3:$J$3,0))),"")</f>
        <v/>
      </c>
    </row>
    <row r="105">
      <c r="A105" s="29" t="str">
        <f t="array" ref="A105">IFNA(TRANSPOSE(INDEX('Parâmetros'!$B$4:$J3001,,MATCH(Exames!F103,'Parâmetros'!$B$3:$J$3,0))),"")</f>
        <v/>
      </c>
    </row>
    <row r="106">
      <c r="A106" s="29" t="str">
        <f t="array" ref="A106">IFNA(TRANSPOSE(INDEX('Parâmetros'!$B$4:$J3001,,MATCH(Exames!F104,'Parâmetros'!$B$3:$J$3,0))),"")</f>
        <v/>
      </c>
    </row>
    <row r="107">
      <c r="A107" s="29" t="str">
        <f t="array" ref="A107">IFNA(TRANSPOSE(INDEX('Parâmetros'!$B$4:$J3001,,MATCH(Exames!F105,'Parâmetros'!$B$3:$J$3,0))),"")</f>
        <v/>
      </c>
    </row>
    <row r="108">
      <c r="A108" s="29" t="str">
        <f t="array" ref="A108">IFNA(TRANSPOSE(INDEX('Parâmetros'!$B$4:$J3001,,MATCH(Exames!F106,'Parâmetros'!$B$3:$J$3,0))),"")</f>
        <v/>
      </c>
    </row>
    <row r="109">
      <c r="A109" s="29" t="str">
        <f t="array" ref="A109">IFNA(TRANSPOSE(INDEX('Parâmetros'!$B$4:$J3001,,MATCH(Exames!F107,'Parâmetros'!$B$3:$J$3,0))),"")</f>
        <v/>
      </c>
    </row>
    <row r="110">
      <c r="A110" s="29" t="str">
        <f t="array" ref="A110">IFNA(TRANSPOSE(INDEX('Parâmetros'!$B$4:$J3001,,MATCH(Exames!F108,'Parâmetros'!$B$3:$J$3,0))),"")</f>
        <v/>
      </c>
    </row>
    <row r="111">
      <c r="A111" s="29" t="str">
        <f t="array" ref="A111">IFNA(TRANSPOSE(INDEX('Parâmetros'!$B$4:$J3001,,MATCH(Exames!F109,'Parâmetros'!$B$3:$J$3,0))),"")</f>
        <v/>
      </c>
    </row>
    <row r="112">
      <c r="A112" s="29" t="str">
        <f t="array" ref="A112">IFNA(TRANSPOSE(INDEX('Parâmetros'!$B$4:$J3001,,MATCH(Exames!F110,'Parâmetros'!$B$3:$J$3,0))),"")</f>
        <v/>
      </c>
    </row>
    <row r="113">
      <c r="A113" s="29" t="str">
        <f t="array" ref="A113">IFNA(TRANSPOSE(INDEX('Parâmetros'!$B$4:$J3001,,MATCH(Exames!F111,'Parâmetros'!$B$3:$J$3,0))),"")</f>
        <v/>
      </c>
    </row>
    <row r="114">
      <c r="A114" s="29" t="str">
        <f t="array" ref="A114">IFNA(TRANSPOSE(INDEX('Parâmetros'!$B$4:$J3001,,MATCH(Exames!F112,'Parâmetros'!$B$3:$J$3,0))),"")</f>
        <v/>
      </c>
    </row>
    <row r="115">
      <c r="A115" s="29" t="str">
        <f t="array" ref="A115">IFNA(TRANSPOSE(INDEX('Parâmetros'!$B$4:$J3001,,MATCH(Exames!F113,'Parâmetros'!$B$3:$J$3,0))),"")</f>
        <v/>
      </c>
    </row>
    <row r="116">
      <c r="A116" s="29" t="str">
        <f t="array" ref="A116">IFNA(TRANSPOSE(INDEX('Parâmetros'!$B$4:$J3001,,MATCH(Exames!F114,'Parâmetros'!$B$3:$J$3,0))),"")</f>
        <v/>
      </c>
    </row>
    <row r="117">
      <c r="A117" s="29" t="str">
        <f t="array" ref="A117">IFNA(TRANSPOSE(INDEX('Parâmetros'!$B$4:$J3001,,MATCH(Exames!F115,'Parâmetros'!$B$3:$J$3,0))),"")</f>
        <v/>
      </c>
    </row>
    <row r="118">
      <c r="A118" s="29" t="str">
        <f t="array" ref="A118">IFNA(TRANSPOSE(INDEX('Parâmetros'!$B$4:$J3001,,MATCH(Exames!F116,'Parâmetros'!$B$3:$J$3,0))),"")</f>
        <v/>
      </c>
    </row>
    <row r="119">
      <c r="A119" s="29" t="str">
        <f t="array" ref="A119">IFNA(TRANSPOSE(INDEX('Parâmetros'!$B$4:$J3001,,MATCH(Exames!F117,'Parâmetros'!$B$3:$J$3,0))),"")</f>
        <v/>
      </c>
    </row>
    <row r="120">
      <c r="A120" s="29" t="str">
        <f t="array" ref="A120">IFNA(TRANSPOSE(INDEX('Parâmetros'!$B$4:$J3001,,MATCH(Exames!F118,'Parâmetros'!$B$3:$J$3,0))),"")</f>
        <v/>
      </c>
    </row>
    <row r="121">
      <c r="A121" s="29" t="str">
        <f t="array" ref="A121">IFNA(TRANSPOSE(INDEX('Parâmetros'!$B$4:$J3001,,MATCH(Exames!F119,'Parâmetros'!$B$3:$J$3,0))),"")</f>
        <v/>
      </c>
    </row>
    <row r="122">
      <c r="A122" s="29" t="str">
        <f t="array" ref="A122">IFNA(TRANSPOSE(INDEX('Parâmetros'!$B$4:$J3001,,MATCH(Exames!F120,'Parâmetros'!$B$3:$J$3,0))),"")</f>
        <v/>
      </c>
    </row>
    <row r="123">
      <c r="A123" s="29" t="str">
        <f t="array" ref="A123">IFNA(TRANSPOSE(INDEX('Parâmetros'!$B$4:$J3001,,MATCH(Exames!F121,'Parâmetros'!$B$3:$J$3,0))),"")</f>
        <v/>
      </c>
    </row>
    <row r="124">
      <c r="A124" s="29" t="str">
        <f t="array" ref="A124">IFNA(TRANSPOSE(INDEX('Parâmetros'!$B$4:$J3001,,MATCH(Exames!F122,'Parâmetros'!$B$3:$J$3,0))),"")</f>
        <v/>
      </c>
    </row>
    <row r="125">
      <c r="A125" s="29" t="str">
        <f t="array" ref="A125">IFNA(TRANSPOSE(INDEX('Parâmetros'!$B$4:$J3001,,MATCH(Exames!F123,'Parâmetros'!$B$3:$J$3,0))),"")</f>
        <v/>
      </c>
    </row>
    <row r="126">
      <c r="A126" s="29" t="str">
        <f t="array" ref="A126">IFNA(TRANSPOSE(INDEX('Parâmetros'!$B$4:$J3001,,MATCH(Exames!F124,'Parâmetros'!$B$3:$J$3,0))),"")</f>
        <v/>
      </c>
    </row>
    <row r="127">
      <c r="A127" s="29" t="str">
        <f t="array" ref="A127">IFNA(TRANSPOSE(INDEX('Parâmetros'!$B$4:$J3001,,MATCH(Exames!F125,'Parâmetros'!$B$3:$J$3,0))),"")</f>
        <v/>
      </c>
    </row>
    <row r="128">
      <c r="A128" s="29" t="str">
        <f t="array" ref="A128">IFNA(TRANSPOSE(INDEX('Parâmetros'!$B$4:$J3001,,MATCH(Exames!F126,'Parâmetros'!$B$3:$J$3,0))),"")</f>
        <v/>
      </c>
    </row>
    <row r="129">
      <c r="A129" s="29" t="str">
        <f t="array" ref="A129">IFNA(TRANSPOSE(INDEX('Parâmetros'!$B$4:$J3001,,MATCH(Exames!F127,'Parâmetros'!$B$3:$J$3,0))),"")</f>
        <v/>
      </c>
    </row>
    <row r="130">
      <c r="A130" s="29" t="str">
        <f t="array" ref="A130">IFNA(TRANSPOSE(INDEX('Parâmetros'!$B$4:$J3001,,MATCH(Exames!F128,'Parâmetros'!$B$3:$J$3,0))),"")</f>
        <v/>
      </c>
    </row>
    <row r="131">
      <c r="A131" s="29" t="str">
        <f t="array" ref="A131">IFNA(TRANSPOSE(INDEX('Parâmetros'!$B$4:$J3001,,MATCH(Exames!F129,'Parâmetros'!$B$3:$J$3,0))),"")</f>
        <v/>
      </c>
    </row>
    <row r="132">
      <c r="A132" s="29" t="str">
        <f t="array" ref="A132">IFNA(TRANSPOSE(INDEX('Parâmetros'!$B$4:$J3001,,MATCH(Exames!F130,'Parâmetros'!$B$3:$J$3,0))),"")</f>
        <v/>
      </c>
    </row>
    <row r="133">
      <c r="A133" s="29" t="str">
        <f t="array" ref="A133">IFNA(TRANSPOSE(INDEX('Parâmetros'!$B$4:$J3001,,MATCH(Exames!F131,'Parâmetros'!$B$3:$J$3,0))),"")</f>
        <v/>
      </c>
    </row>
    <row r="134">
      <c r="A134" s="29" t="str">
        <f t="array" ref="A134">IFNA(TRANSPOSE(INDEX('Parâmetros'!$B$4:$J3001,,MATCH(Exames!F132,'Parâmetros'!$B$3:$J$3,0))),"")</f>
        <v/>
      </c>
    </row>
    <row r="135">
      <c r="A135" s="29" t="str">
        <f t="array" ref="A135">IFNA(TRANSPOSE(INDEX('Parâmetros'!$B$4:$J3001,,MATCH(Exames!F133,'Parâmetros'!$B$3:$J$3,0))),"")</f>
        <v/>
      </c>
    </row>
    <row r="136">
      <c r="A136" s="29" t="str">
        <f t="array" ref="A136">IFNA(TRANSPOSE(INDEX('Parâmetros'!$B$4:$J3001,,MATCH(Exames!F134,'Parâmetros'!$B$3:$J$3,0))),"")</f>
        <v/>
      </c>
    </row>
    <row r="137">
      <c r="A137" s="29" t="str">
        <f t="array" ref="A137">IFNA(TRANSPOSE(INDEX('Parâmetros'!$B$4:$J3001,,MATCH(Exames!F135,'Parâmetros'!$B$3:$J$3,0))),"")</f>
        <v/>
      </c>
    </row>
    <row r="138">
      <c r="A138" s="29" t="str">
        <f t="array" ref="A138">IFNA(TRANSPOSE(INDEX('Parâmetros'!$B$4:$J3001,,MATCH(Exames!F136,'Parâmetros'!$B$3:$J$3,0))),"")</f>
        <v/>
      </c>
    </row>
    <row r="139">
      <c r="A139" s="29" t="str">
        <f t="array" ref="A139">IFNA(TRANSPOSE(INDEX('Parâmetros'!$B$4:$J3001,,MATCH(Exames!F137,'Parâmetros'!$B$3:$J$3,0))),"")</f>
        <v/>
      </c>
    </row>
    <row r="140">
      <c r="A140" s="29" t="str">
        <f t="array" ref="A140">IFNA(TRANSPOSE(INDEX('Parâmetros'!$B$4:$J3001,,MATCH(Exames!F138,'Parâmetros'!$B$3:$J$3,0))),"")</f>
        <v/>
      </c>
    </row>
    <row r="141">
      <c r="A141" s="29" t="str">
        <f t="array" ref="A141">IFNA(TRANSPOSE(INDEX('Parâmetros'!$B$4:$J3001,,MATCH(Exames!F139,'Parâmetros'!$B$3:$J$3,0))),"")</f>
        <v/>
      </c>
    </row>
    <row r="142">
      <c r="A142" s="29" t="str">
        <f t="array" ref="A142">IFNA(TRANSPOSE(INDEX('Parâmetros'!$B$4:$J3001,,MATCH(Exames!F140,'Parâmetros'!$B$3:$J$3,0))),"")</f>
        <v/>
      </c>
    </row>
    <row r="143">
      <c r="A143" s="29" t="str">
        <f t="array" ref="A143">IFNA(TRANSPOSE(INDEX('Parâmetros'!$B$4:$J3001,,MATCH(Exames!F141,'Parâmetros'!$B$3:$J$3,0))),"")</f>
        <v/>
      </c>
    </row>
    <row r="144">
      <c r="A144" s="29" t="str">
        <f t="array" ref="A144">IFNA(TRANSPOSE(INDEX('Parâmetros'!$B$4:$J3001,,MATCH(Exames!F142,'Parâmetros'!$B$3:$J$3,0))),"")</f>
        <v/>
      </c>
    </row>
    <row r="145">
      <c r="A145" s="29" t="str">
        <f t="array" ref="A145">IFNA(TRANSPOSE(INDEX('Parâmetros'!$B$4:$J3001,,MATCH(Exames!F143,'Parâmetros'!$B$3:$J$3,0))),"")</f>
        <v/>
      </c>
    </row>
    <row r="146">
      <c r="A146" s="29" t="str">
        <f t="array" ref="A146">IFNA(TRANSPOSE(INDEX('Parâmetros'!$B$4:$J3001,,MATCH(Exames!F144,'Parâmetros'!$B$3:$J$3,0))),"")</f>
        <v/>
      </c>
    </row>
    <row r="147">
      <c r="A147" s="29" t="str">
        <f t="array" ref="A147">IFNA(TRANSPOSE(INDEX('Parâmetros'!$B$4:$J3001,,MATCH(Exames!F145,'Parâmetros'!$B$3:$J$3,0))),"")</f>
        <v/>
      </c>
    </row>
    <row r="148">
      <c r="A148" s="29" t="str">
        <f t="array" ref="A148">IFNA(TRANSPOSE(INDEX('Parâmetros'!$B$4:$J3001,,MATCH(Exames!F146,'Parâmetros'!$B$3:$J$3,0))),"")</f>
        <v/>
      </c>
    </row>
    <row r="149">
      <c r="A149" s="29" t="str">
        <f t="array" ref="A149">IFNA(TRANSPOSE(INDEX('Parâmetros'!$B$4:$J3001,,MATCH(Exames!F147,'Parâmetros'!$B$3:$J$3,0))),"")</f>
        <v/>
      </c>
    </row>
    <row r="150">
      <c r="A150" s="29" t="str">
        <f t="array" ref="A150">IFNA(TRANSPOSE(INDEX('Parâmetros'!$B$4:$J3001,,MATCH(Exames!F148,'Parâmetros'!$B$3:$J$3,0))),"")</f>
        <v/>
      </c>
    </row>
    <row r="151">
      <c r="A151" s="29" t="str">
        <f t="array" ref="A151">IFNA(TRANSPOSE(INDEX('Parâmetros'!$B$4:$J3001,,MATCH(Exames!F149,'Parâmetros'!$B$3:$J$3,0))),"")</f>
        <v/>
      </c>
    </row>
    <row r="152">
      <c r="A152" s="29" t="str">
        <f t="array" ref="A152">IFNA(TRANSPOSE(INDEX('Parâmetros'!$B$4:$J3001,,MATCH(Exames!F150,'Parâmetros'!$B$3:$J$3,0))),"")</f>
        <v/>
      </c>
    </row>
    <row r="153">
      <c r="A153" s="29" t="str">
        <f t="array" ref="A153">IFNA(TRANSPOSE(INDEX('Parâmetros'!$B$4:$J3001,,MATCH(Exames!F151,'Parâmetros'!$B$3:$J$3,0))),"")</f>
        <v/>
      </c>
    </row>
    <row r="154">
      <c r="A154" s="29" t="str">
        <f t="array" ref="A154">IFNA(TRANSPOSE(INDEX('Parâmetros'!$B$4:$J3001,,MATCH(Exames!F152,'Parâmetros'!$B$3:$J$3,0))),"")</f>
        <v/>
      </c>
    </row>
    <row r="155">
      <c r="A155" s="29" t="str">
        <f t="array" ref="A155">IFNA(TRANSPOSE(INDEX('Parâmetros'!$B$4:$J3001,,MATCH(Exames!F153,'Parâmetros'!$B$3:$J$3,0))),"")</f>
        <v/>
      </c>
    </row>
    <row r="156">
      <c r="A156" s="29" t="str">
        <f t="array" ref="A156">IFNA(TRANSPOSE(INDEX('Parâmetros'!$B$4:$J3001,,MATCH(Exames!F154,'Parâmetros'!$B$3:$J$3,0))),"")</f>
        <v/>
      </c>
    </row>
    <row r="157">
      <c r="A157" s="29" t="str">
        <f t="array" ref="A157">IFNA(TRANSPOSE(INDEX('Parâmetros'!$B$4:$J3001,,MATCH(Exames!F155,'Parâmetros'!$B$3:$J$3,0))),"")</f>
        <v/>
      </c>
    </row>
    <row r="158">
      <c r="A158" s="29" t="str">
        <f t="array" ref="A158">IFNA(TRANSPOSE(INDEX('Parâmetros'!$B$4:$J3001,,MATCH(Exames!F156,'Parâmetros'!$B$3:$J$3,0))),"")</f>
        <v/>
      </c>
    </row>
    <row r="159">
      <c r="A159" s="29" t="str">
        <f t="array" ref="A159">IFNA(TRANSPOSE(INDEX('Parâmetros'!$B$4:$J3001,,MATCH(Exames!F157,'Parâmetros'!$B$3:$J$3,0))),"")</f>
        <v/>
      </c>
    </row>
    <row r="160">
      <c r="A160" s="29" t="str">
        <f t="array" ref="A160">IFNA(TRANSPOSE(INDEX('Parâmetros'!$B$4:$J3001,,MATCH(Exames!F158,'Parâmetros'!$B$3:$J$3,0))),"")</f>
        <v/>
      </c>
    </row>
    <row r="161">
      <c r="A161" s="29" t="str">
        <f t="array" ref="A161">IFNA(TRANSPOSE(INDEX('Parâmetros'!$B$4:$J3001,,MATCH(Exames!F159,'Parâmetros'!$B$3:$J$3,0))),"")</f>
        <v/>
      </c>
    </row>
    <row r="162">
      <c r="A162" s="29" t="str">
        <f t="array" ref="A162">IFNA(TRANSPOSE(INDEX('Parâmetros'!$B$4:$J3001,,MATCH(Exames!F160,'Parâmetros'!$B$3:$J$3,0))),"")</f>
        <v/>
      </c>
    </row>
    <row r="163">
      <c r="A163" s="29" t="str">
        <f t="array" ref="A163">IFNA(TRANSPOSE(INDEX('Parâmetros'!$B$4:$J3001,,MATCH(Exames!F161,'Parâmetros'!$B$3:$J$3,0))),"")</f>
        <v/>
      </c>
    </row>
    <row r="164">
      <c r="A164" s="29" t="str">
        <f t="array" ref="A164">IFNA(TRANSPOSE(INDEX('Parâmetros'!$B$4:$J3001,,MATCH(Exames!F162,'Parâmetros'!$B$3:$J$3,0))),"")</f>
        <v/>
      </c>
    </row>
    <row r="165">
      <c r="A165" s="29" t="str">
        <f t="array" ref="A165">IFNA(TRANSPOSE(INDEX('Parâmetros'!$B$4:$J3001,,MATCH(Exames!F163,'Parâmetros'!$B$3:$J$3,0))),"")</f>
        <v/>
      </c>
    </row>
    <row r="166">
      <c r="A166" s="29" t="str">
        <f t="array" ref="A166">IFNA(TRANSPOSE(INDEX('Parâmetros'!$B$4:$J3001,,MATCH(Exames!F164,'Parâmetros'!$B$3:$J$3,0))),"")</f>
        <v/>
      </c>
    </row>
    <row r="167">
      <c r="A167" s="29" t="str">
        <f t="array" ref="A167">IFNA(TRANSPOSE(INDEX('Parâmetros'!$B$4:$J3001,,MATCH(Exames!F165,'Parâmetros'!$B$3:$J$3,0))),"")</f>
        <v/>
      </c>
    </row>
    <row r="168">
      <c r="A168" s="29" t="str">
        <f t="array" ref="A168">IFNA(TRANSPOSE(INDEX('Parâmetros'!$B$4:$J3001,,MATCH(Exames!F166,'Parâmetros'!$B$3:$J$3,0))),"")</f>
        <v/>
      </c>
    </row>
    <row r="169">
      <c r="A169" s="29" t="str">
        <f t="array" ref="A169">IFNA(TRANSPOSE(INDEX('Parâmetros'!$B$4:$J3001,,MATCH(Exames!F167,'Parâmetros'!$B$3:$J$3,0))),"")</f>
        <v/>
      </c>
    </row>
    <row r="170">
      <c r="A170" s="29" t="str">
        <f t="array" ref="A170">IFNA(TRANSPOSE(INDEX('Parâmetros'!$B$4:$J3001,,MATCH(Exames!F168,'Parâmetros'!$B$3:$J$3,0))),"")</f>
        <v/>
      </c>
    </row>
    <row r="171">
      <c r="A171" s="29" t="str">
        <f t="array" ref="A171">IFNA(TRANSPOSE(INDEX('Parâmetros'!$B$4:$J3001,,MATCH(Exames!F169,'Parâmetros'!$B$3:$J$3,0))),"")</f>
        <v/>
      </c>
    </row>
    <row r="172">
      <c r="A172" s="29" t="str">
        <f t="array" ref="A172">IFNA(TRANSPOSE(INDEX('Parâmetros'!$B$4:$J3001,,MATCH(Exames!F170,'Parâmetros'!$B$3:$J$3,0))),"")</f>
        <v/>
      </c>
    </row>
    <row r="173">
      <c r="A173" s="29" t="str">
        <f t="array" ref="A173">IFNA(TRANSPOSE(INDEX('Parâmetros'!$B$4:$J3001,,MATCH(Exames!F171,'Parâmetros'!$B$3:$J$3,0))),"")</f>
        <v/>
      </c>
    </row>
    <row r="174">
      <c r="A174" s="29" t="str">
        <f t="array" ref="A174">IFNA(TRANSPOSE(INDEX('Parâmetros'!$B$4:$J3001,,MATCH(Exames!F172,'Parâmetros'!$B$3:$J$3,0))),"")</f>
        <v/>
      </c>
    </row>
    <row r="175">
      <c r="A175" s="29" t="str">
        <f t="array" ref="A175">IFNA(TRANSPOSE(INDEX('Parâmetros'!$B$4:$J3001,,MATCH(Exames!F173,'Parâmetros'!$B$3:$J$3,0))),"")</f>
        <v/>
      </c>
    </row>
    <row r="176">
      <c r="A176" s="29" t="str">
        <f t="array" ref="A176">IFNA(TRANSPOSE(INDEX('Parâmetros'!$B$4:$J3001,,MATCH(Exames!F174,'Parâmetros'!$B$3:$J$3,0))),"")</f>
        <v/>
      </c>
    </row>
    <row r="177">
      <c r="A177" s="29" t="str">
        <f t="array" ref="A177">IFNA(TRANSPOSE(INDEX('Parâmetros'!$B$4:$J3001,,MATCH(Exames!F175,'Parâmetros'!$B$3:$J$3,0))),"")</f>
        <v/>
      </c>
    </row>
    <row r="178">
      <c r="A178" s="29" t="str">
        <f t="array" ref="A178">IFNA(TRANSPOSE(INDEX('Parâmetros'!$B$4:$J3001,,MATCH(Exames!F176,'Parâmetros'!$B$3:$J$3,0))),"")</f>
        <v/>
      </c>
    </row>
    <row r="179">
      <c r="A179" s="29" t="str">
        <f t="array" ref="A179">IFNA(TRANSPOSE(INDEX('Parâmetros'!$B$4:$J3001,,MATCH(Exames!F177,'Parâmetros'!$B$3:$J$3,0))),"")</f>
        <v/>
      </c>
    </row>
    <row r="180">
      <c r="A180" s="29" t="str">
        <f t="array" ref="A180">IFNA(TRANSPOSE(INDEX('Parâmetros'!$B$4:$J3001,,MATCH(Exames!F178,'Parâmetros'!$B$3:$J$3,0))),"")</f>
        <v/>
      </c>
    </row>
    <row r="181">
      <c r="A181" s="29" t="str">
        <f t="array" ref="A181">IFNA(TRANSPOSE(INDEX('Parâmetros'!$B$4:$J3001,,MATCH(Exames!F179,'Parâmetros'!$B$3:$J$3,0))),"")</f>
        <v/>
      </c>
    </row>
    <row r="182">
      <c r="A182" s="29" t="str">
        <f t="array" ref="A182">IFNA(TRANSPOSE(INDEX('Parâmetros'!$B$4:$J3001,,MATCH(Exames!F180,'Parâmetros'!$B$3:$J$3,0))),"")</f>
        <v/>
      </c>
    </row>
    <row r="183">
      <c r="A183" s="29" t="str">
        <f t="array" ref="A183">IFNA(TRANSPOSE(INDEX('Parâmetros'!$B$4:$J3001,,MATCH(Exames!F181,'Parâmetros'!$B$3:$J$3,0))),"")</f>
        <v/>
      </c>
    </row>
    <row r="184">
      <c r="A184" s="29" t="str">
        <f t="array" ref="A184">IFNA(TRANSPOSE(INDEX('Parâmetros'!$B$4:$J3001,,MATCH(Exames!F182,'Parâmetros'!$B$3:$J$3,0))),"")</f>
        <v/>
      </c>
    </row>
    <row r="185">
      <c r="A185" s="29" t="str">
        <f t="array" ref="A185">IFNA(TRANSPOSE(INDEX('Parâmetros'!$B$4:$J3001,,MATCH(Exames!F183,'Parâmetros'!$B$3:$J$3,0))),"")</f>
        <v/>
      </c>
    </row>
    <row r="186">
      <c r="A186" s="29" t="str">
        <f t="array" ref="A186">IFNA(TRANSPOSE(INDEX('Parâmetros'!$B$4:$J3001,,MATCH(Exames!F184,'Parâmetros'!$B$3:$J$3,0))),"")</f>
        <v/>
      </c>
    </row>
    <row r="187">
      <c r="A187" s="29" t="str">
        <f t="array" ref="A187">IFNA(TRANSPOSE(INDEX('Parâmetros'!$B$4:$J3001,,MATCH(Exames!F185,'Parâmetros'!$B$3:$J$3,0))),"")</f>
        <v/>
      </c>
    </row>
    <row r="188">
      <c r="A188" s="29" t="str">
        <f t="array" ref="A188">IFNA(TRANSPOSE(INDEX('Parâmetros'!$B$4:$J3001,,MATCH(Exames!F186,'Parâmetros'!$B$3:$J$3,0))),"")</f>
        <v/>
      </c>
    </row>
    <row r="189">
      <c r="A189" s="29" t="str">
        <f t="array" ref="A189">IFNA(TRANSPOSE(INDEX('Parâmetros'!$B$4:$J3001,,MATCH(Exames!F187,'Parâmetros'!$B$3:$J$3,0))),"")</f>
        <v/>
      </c>
    </row>
    <row r="190">
      <c r="A190" s="29" t="str">
        <f t="array" ref="A190">IFNA(TRANSPOSE(INDEX('Parâmetros'!$B$4:$J3001,,MATCH(Exames!F188,'Parâmetros'!$B$3:$J$3,0))),"")</f>
        <v/>
      </c>
    </row>
    <row r="191">
      <c r="A191" s="29" t="str">
        <f t="array" ref="A191">IFNA(TRANSPOSE(INDEX('Parâmetros'!$B$4:$J3001,,MATCH(Exames!F189,'Parâmetros'!$B$3:$J$3,0))),"")</f>
        <v/>
      </c>
    </row>
    <row r="192">
      <c r="A192" s="29" t="str">
        <f t="array" ref="A192">IFNA(TRANSPOSE(INDEX('Parâmetros'!$B$4:$J3001,,MATCH(Exames!F190,'Parâmetros'!$B$3:$J$3,0))),"")</f>
        <v/>
      </c>
    </row>
    <row r="193">
      <c r="A193" s="29" t="str">
        <f t="array" ref="A193">IFNA(TRANSPOSE(INDEX('Parâmetros'!$B$4:$J3001,,MATCH(Exames!F191,'Parâmetros'!$B$3:$J$3,0))),"")</f>
        <v/>
      </c>
    </row>
    <row r="194">
      <c r="A194" s="29" t="str">
        <f t="array" ref="A194">IFNA(TRANSPOSE(INDEX('Parâmetros'!$B$4:$J3001,,MATCH(Exames!F192,'Parâmetros'!$B$3:$J$3,0))),"")</f>
        <v/>
      </c>
    </row>
    <row r="195">
      <c r="A195" s="29" t="str">
        <f t="array" ref="A195">IFNA(TRANSPOSE(INDEX('Parâmetros'!$B$4:$J3001,,MATCH(Exames!F193,'Parâmetros'!$B$3:$J$3,0))),"")</f>
        <v/>
      </c>
    </row>
    <row r="196">
      <c r="A196" s="29" t="str">
        <f t="array" ref="A196">IFNA(TRANSPOSE(INDEX('Parâmetros'!$B$4:$J3001,,MATCH(Exames!F194,'Parâmetros'!$B$3:$J$3,0))),"")</f>
        <v/>
      </c>
    </row>
    <row r="197">
      <c r="A197" s="29" t="str">
        <f t="array" ref="A197">IFNA(TRANSPOSE(INDEX('Parâmetros'!$B$4:$J3001,,MATCH(Exames!F195,'Parâmetros'!$B$3:$J$3,0))),"")</f>
        <v/>
      </c>
    </row>
    <row r="198">
      <c r="A198" s="29" t="str">
        <f t="array" ref="A198">IFNA(TRANSPOSE(INDEX('Parâmetros'!$B$4:$J3001,,MATCH(Exames!F196,'Parâmetros'!$B$3:$J$3,0))),"")</f>
        <v/>
      </c>
    </row>
    <row r="199">
      <c r="A199" s="29" t="str">
        <f t="array" ref="A199">IFNA(TRANSPOSE(INDEX('Parâmetros'!$B$4:$J3001,,MATCH(Exames!F197,'Parâmetros'!$B$3:$J$3,0))),"")</f>
        <v/>
      </c>
    </row>
    <row r="200">
      <c r="A200" s="29" t="str">
        <f t="array" ref="A200">IFNA(TRANSPOSE(INDEX('Parâmetros'!$B$4:$J3001,,MATCH(Exames!F198,'Parâmetros'!$B$3:$J$3,0))),"")</f>
        <v/>
      </c>
    </row>
    <row r="201">
      <c r="A201" s="29" t="str">
        <f t="array" ref="A201">IFNA(TRANSPOSE(INDEX('Parâmetros'!$B$4:$J3001,,MATCH(Exames!F199,'Parâmetros'!$B$3:$J$3,0))),"")</f>
        <v/>
      </c>
    </row>
    <row r="202">
      <c r="A202" s="29" t="str">
        <f t="array" ref="A202">IFNA(TRANSPOSE(INDEX('Parâmetros'!$B$4:$J3001,,MATCH(Exames!F200,'Parâmetros'!$B$3:$J$3,0))),"")</f>
        <v/>
      </c>
    </row>
    <row r="203">
      <c r="A203" s="29" t="str">
        <f t="array" ref="A203">IFNA(TRANSPOSE(INDEX('Parâmetros'!$B$4:$J3001,,MATCH(Exames!F201,'Parâmetros'!$B$3:$J$3,0))),"")</f>
        <v/>
      </c>
    </row>
    <row r="204">
      <c r="A204" s="29" t="str">
        <f t="array" ref="A204">IFNA(TRANSPOSE(INDEX('Parâmetros'!$B$4:$J3001,,MATCH(Exames!F202,'Parâmetros'!$B$3:$J$3,0))),"")</f>
        <v/>
      </c>
    </row>
    <row r="205">
      <c r="A205" s="29" t="str">
        <f t="array" ref="A205">IFNA(TRANSPOSE(INDEX('Parâmetros'!$B$4:$J3001,,MATCH(Exames!F203,'Parâmetros'!$B$3:$J$3,0))),"")</f>
        <v/>
      </c>
    </row>
    <row r="206">
      <c r="A206" s="29" t="str">
        <f t="array" ref="A206">IFNA(TRANSPOSE(INDEX('Parâmetros'!$B$4:$J3001,,MATCH(Exames!F204,'Parâmetros'!$B$3:$J$3,0))),"")</f>
        <v/>
      </c>
    </row>
    <row r="207">
      <c r="A207" s="29" t="str">
        <f t="array" ref="A207">IFNA(TRANSPOSE(INDEX('Parâmetros'!$B$4:$J3001,,MATCH(Exames!F205,'Parâmetros'!$B$3:$J$3,0))),"")</f>
        <v/>
      </c>
    </row>
    <row r="208">
      <c r="A208" s="29" t="str">
        <f t="array" ref="A208">IFNA(TRANSPOSE(INDEX('Parâmetros'!$B$4:$J3001,,MATCH(Exames!F206,'Parâmetros'!$B$3:$J$3,0))),"")</f>
        <v/>
      </c>
    </row>
    <row r="209">
      <c r="A209" s="29" t="str">
        <f t="array" ref="A209">IFNA(TRANSPOSE(INDEX('Parâmetros'!$B$4:$J3001,,MATCH(Exames!F207,'Parâmetros'!$B$3:$J$3,0))),"")</f>
        <v/>
      </c>
    </row>
    <row r="210">
      <c r="A210" s="29" t="str">
        <f t="array" ref="A210">IFNA(TRANSPOSE(INDEX('Parâmetros'!$B$4:$J3001,,MATCH(Exames!F208,'Parâmetros'!$B$3:$J$3,0))),"")</f>
        <v/>
      </c>
    </row>
    <row r="211">
      <c r="A211" s="29" t="str">
        <f t="array" ref="A211">IFNA(TRANSPOSE(INDEX('Parâmetros'!$B$4:$J3001,,MATCH(Exames!F209,'Parâmetros'!$B$3:$J$3,0))),"")</f>
        <v/>
      </c>
    </row>
    <row r="212">
      <c r="A212" s="29" t="str">
        <f t="array" ref="A212">IFNA(TRANSPOSE(INDEX('Parâmetros'!$B$4:$J3001,,MATCH(Exames!F210,'Parâmetros'!$B$3:$J$3,0))),"")</f>
        <v/>
      </c>
    </row>
    <row r="213">
      <c r="A213" s="29" t="str">
        <f t="array" ref="A213">IFNA(TRANSPOSE(INDEX('Parâmetros'!$B$4:$J3001,,MATCH(Exames!F211,'Parâmetros'!$B$3:$J$3,0))),"")</f>
        <v/>
      </c>
    </row>
    <row r="214">
      <c r="A214" s="29" t="str">
        <f t="array" ref="A214">IFNA(TRANSPOSE(INDEX('Parâmetros'!$B$4:$J3001,,MATCH(Exames!F212,'Parâmetros'!$B$3:$J$3,0))),"")</f>
        <v/>
      </c>
    </row>
    <row r="215">
      <c r="A215" s="29" t="str">
        <f t="array" ref="A215">IFNA(TRANSPOSE(INDEX('Parâmetros'!$B$4:$J3001,,MATCH(Exames!F213,'Parâmetros'!$B$3:$J$3,0))),"")</f>
        <v/>
      </c>
    </row>
    <row r="216">
      <c r="A216" s="29" t="str">
        <f t="array" ref="A216">IFNA(TRANSPOSE(INDEX('Parâmetros'!$B$4:$J3001,,MATCH(Exames!F214,'Parâmetros'!$B$3:$J$3,0))),"")</f>
        <v/>
      </c>
    </row>
    <row r="217">
      <c r="A217" s="29" t="str">
        <f t="array" ref="A217">IFNA(TRANSPOSE(INDEX('Parâmetros'!$B$4:$J3001,,MATCH(Exames!F215,'Parâmetros'!$B$3:$J$3,0))),"")</f>
        <v/>
      </c>
    </row>
    <row r="218">
      <c r="A218" s="29" t="str">
        <f t="array" ref="A218">IFNA(TRANSPOSE(INDEX('Parâmetros'!$B$4:$J3001,,MATCH(Exames!F216,'Parâmetros'!$B$3:$J$3,0))),"")</f>
        <v/>
      </c>
    </row>
    <row r="219">
      <c r="A219" s="29" t="str">
        <f t="array" ref="A219">IFNA(TRANSPOSE(INDEX('Parâmetros'!$B$4:$J3001,,MATCH(Exames!F217,'Parâmetros'!$B$3:$J$3,0))),"")</f>
        <v/>
      </c>
    </row>
    <row r="220">
      <c r="A220" s="29" t="str">
        <f t="array" ref="A220">IFNA(TRANSPOSE(INDEX('Parâmetros'!$B$4:$J3001,,MATCH(Exames!F218,'Parâmetros'!$B$3:$J$3,0))),"")</f>
        <v/>
      </c>
    </row>
    <row r="221">
      <c r="A221" s="29" t="str">
        <f t="array" ref="A221">IFNA(TRANSPOSE(INDEX('Parâmetros'!$B$4:$J3001,,MATCH(Exames!F219,'Parâmetros'!$B$3:$J$3,0))),"")</f>
        <v/>
      </c>
    </row>
    <row r="222">
      <c r="A222" s="29" t="str">
        <f t="array" ref="A222">IFNA(TRANSPOSE(INDEX('Parâmetros'!$B$4:$J3001,,MATCH(Exames!F220,'Parâmetros'!$B$3:$J$3,0))),"")</f>
        <v/>
      </c>
    </row>
    <row r="223">
      <c r="A223" s="29" t="str">
        <f t="array" ref="A223">IFNA(TRANSPOSE(INDEX('Parâmetros'!$B$4:$J3001,,MATCH(Exames!F221,'Parâmetros'!$B$3:$J$3,0))),"")</f>
        <v/>
      </c>
    </row>
    <row r="224">
      <c r="A224" s="29" t="str">
        <f t="array" ref="A224">IFNA(TRANSPOSE(INDEX('Parâmetros'!$B$4:$J3001,,MATCH(Exames!F222,'Parâmetros'!$B$3:$J$3,0))),"")</f>
        <v/>
      </c>
    </row>
    <row r="225">
      <c r="A225" s="29" t="str">
        <f t="array" ref="A225">IFNA(TRANSPOSE(INDEX('Parâmetros'!$B$4:$J3001,,MATCH(Exames!F223,'Parâmetros'!$B$3:$J$3,0))),"")</f>
        <v/>
      </c>
    </row>
    <row r="226">
      <c r="A226" s="29" t="str">
        <f t="array" ref="A226">IFNA(TRANSPOSE(INDEX('Parâmetros'!$B$4:$J3001,,MATCH(Exames!F224,'Parâmetros'!$B$3:$J$3,0))),"")</f>
        <v/>
      </c>
    </row>
    <row r="227">
      <c r="A227" s="29" t="str">
        <f t="array" ref="A227">IFNA(TRANSPOSE(INDEX('Parâmetros'!$B$4:$J3001,,MATCH(Exames!F225,'Parâmetros'!$B$3:$J$3,0))),"")</f>
        <v/>
      </c>
    </row>
    <row r="228">
      <c r="A228" s="29" t="str">
        <f t="array" ref="A228">IFNA(TRANSPOSE(INDEX('Parâmetros'!$B$4:$J3001,,MATCH(Exames!F226,'Parâmetros'!$B$3:$J$3,0))),"")</f>
        <v/>
      </c>
    </row>
    <row r="229">
      <c r="A229" s="29" t="str">
        <f t="array" ref="A229">IFNA(TRANSPOSE(INDEX('Parâmetros'!$B$4:$J3001,,MATCH(Exames!F227,'Parâmetros'!$B$3:$J$3,0))),"")</f>
        <v/>
      </c>
    </row>
    <row r="230">
      <c r="A230" s="29" t="str">
        <f t="array" ref="A230">IFNA(TRANSPOSE(INDEX('Parâmetros'!$B$4:$J3001,,MATCH(Exames!F228,'Parâmetros'!$B$3:$J$3,0))),"")</f>
        <v/>
      </c>
    </row>
    <row r="231">
      <c r="A231" s="29" t="str">
        <f t="array" ref="A231">IFNA(TRANSPOSE(INDEX('Parâmetros'!$B$4:$J3001,,MATCH(Exames!F229,'Parâmetros'!$B$3:$J$3,0))),"")</f>
        <v/>
      </c>
    </row>
    <row r="232">
      <c r="A232" s="29" t="str">
        <f t="array" ref="A232">IFNA(TRANSPOSE(INDEX('Parâmetros'!$B$4:$J3001,,MATCH(Exames!F230,'Parâmetros'!$B$3:$J$3,0))),"")</f>
        <v/>
      </c>
    </row>
    <row r="233">
      <c r="A233" s="29" t="str">
        <f t="array" ref="A233">IFNA(TRANSPOSE(INDEX('Parâmetros'!$B$4:$J3001,,MATCH(Exames!F231,'Parâmetros'!$B$3:$J$3,0))),"")</f>
        <v/>
      </c>
    </row>
    <row r="234">
      <c r="A234" s="29" t="str">
        <f t="array" ref="A234">IFNA(TRANSPOSE(INDEX('Parâmetros'!$B$4:$J3001,,MATCH(Exames!F232,'Parâmetros'!$B$3:$J$3,0))),"")</f>
        <v/>
      </c>
    </row>
    <row r="235">
      <c r="A235" s="29" t="str">
        <f t="array" ref="A235">IFNA(TRANSPOSE(INDEX('Parâmetros'!$B$4:$J3001,,MATCH(Exames!F233,'Parâmetros'!$B$3:$J$3,0))),"")</f>
        <v/>
      </c>
    </row>
    <row r="236">
      <c r="A236" s="29" t="str">
        <f t="array" ref="A236">IFNA(TRANSPOSE(INDEX('Parâmetros'!$B$4:$J3001,,MATCH(Exames!F234,'Parâmetros'!$B$3:$J$3,0))),"")</f>
        <v/>
      </c>
    </row>
    <row r="237">
      <c r="A237" s="29" t="str">
        <f t="array" ref="A237">IFNA(TRANSPOSE(INDEX('Parâmetros'!$B$4:$J3001,,MATCH(Exames!F235,'Parâmetros'!$B$3:$J$3,0))),"")</f>
        <v/>
      </c>
    </row>
    <row r="238">
      <c r="A238" s="29" t="str">
        <f t="array" ref="A238">IFNA(TRANSPOSE(INDEX('Parâmetros'!$B$4:$J3001,,MATCH(Exames!F236,'Parâmetros'!$B$3:$J$3,0))),"")</f>
        <v/>
      </c>
    </row>
    <row r="239">
      <c r="A239" s="29" t="str">
        <f t="array" ref="A239">IFNA(TRANSPOSE(INDEX('Parâmetros'!$B$4:$J3001,,MATCH(Exames!F237,'Parâmetros'!$B$3:$J$3,0))),"")</f>
        <v/>
      </c>
    </row>
    <row r="240">
      <c r="A240" s="29" t="str">
        <f t="array" ref="A240">IFNA(TRANSPOSE(INDEX('Parâmetros'!$B$4:$J3001,,MATCH(Exames!F238,'Parâmetros'!$B$3:$J$3,0))),"")</f>
        <v/>
      </c>
    </row>
    <row r="241">
      <c r="A241" s="29" t="str">
        <f t="array" ref="A241">IFNA(TRANSPOSE(INDEX('Parâmetros'!$B$4:$J3001,,MATCH(Exames!F239,'Parâmetros'!$B$3:$J$3,0))),"")</f>
        <v/>
      </c>
    </row>
    <row r="242">
      <c r="A242" s="29" t="str">
        <f t="array" ref="A242">IFNA(TRANSPOSE(INDEX('Parâmetros'!$B$4:$J3001,,MATCH(Exames!F240,'Parâmetros'!$B$3:$J$3,0))),"")</f>
        <v/>
      </c>
    </row>
    <row r="243">
      <c r="A243" s="29" t="str">
        <f t="array" ref="A243">IFNA(TRANSPOSE(INDEX('Parâmetros'!$B$4:$J3001,,MATCH(Exames!F241,'Parâmetros'!$B$3:$J$3,0))),"")</f>
        <v/>
      </c>
    </row>
    <row r="244">
      <c r="A244" s="29" t="str">
        <f t="array" ref="A244">IFNA(TRANSPOSE(INDEX('Parâmetros'!$B$4:$J3001,,MATCH(Exames!F242,'Parâmetros'!$B$3:$J$3,0))),"")</f>
        <v/>
      </c>
    </row>
    <row r="245">
      <c r="A245" s="29" t="str">
        <f t="array" ref="A245">IFNA(TRANSPOSE(INDEX('Parâmetros'!$B$4:$J3001,,MATCH(Exames!F243,'Parâmetros'!$B$3:$J$3,0))),"")</f>
        <v/>
      </c>
    </row>
    <row r="246">
      <c r="A246" s="29" t="str">
        <f t="array" ref="A246">IFNA(TRANSPOSE(INDEX('Parâmetros'!$B$4:$J3001,,MATCH(Exames!F244,'Parâmetros'!$B$3:$J$3,0))),"")</f>
        <v/>
      </c>
    </row>
    <row r="247">
      <c r="A247" s="29" t="str">
        <f t="array" ref="A247">IFNA(TRANSPOSE(INDEX('Parâmetros'!$B$4:$J3001,,MATCH(Exames!F245,'Parâmetros'!$B$3:$J$3,0))),"")</f>
        <v/>
      </c>
    </row>
    <row r="248">
      <c r="A248" s="29" t="str">
        <f t="array" ref="A248">IFNA(TRANSPOSE(INDEX('Parâmetros'!$B$4:$J3001,,MATCH(Exames!F246,'Parâmetros'!$B$3:$J$3,0))),"")</f>
        <v/>
      </c>
    </row>
    <row r="249">
      <c r="A249" s="29" t="str">
        <f t="array" ref="A249">IFNA(TRANSPOSE(INDEX('Parâmetros'!$B$4:$J3001,,MATCH(Exames!F247,'Parâmetros'!$B$3:$J$3,0))),"")</f>
        <v/>
      </c>
    </row>
    <row r="250">
      <c r="A250" s="29" t="str">
        <f t="array" ref="A250">IFNA(TRANSPOSE(INDEX('Parâmetros'!$B$4:$J3001,,MATCH(Exames!F248,'Parâmetros'!$B$3:$J$3,0))),"")</f>
        <v/>
      </c>
    </row>
    <row r="251">
      <c r="A251" s="29" t="str">
        <f t="array" ref="A251">IFNA(TRANSPOSE(INDEX('Parâmetros'!$B$4:$J3001,,MATCH(Exames!F249,'Parâmetros'!$B$3:$J$3,0))),"")</f>
        <v/>
      </c>
    </row>
    <row r="252">
      <c r="A252" s="29" t="str">
        <f t="array" ref="A252">IFNA(TRANSPOSE(INDEX('Parâmetros'!$B$4:$J3001,,MATCH(Exames!F250,'Parâmetros'!$B$3:$J$3,0))),"")</f>
        <v/>
      </c>
    </row>
    <row r="253">
      <c r="A253" s="29" t="str">
        <f t="array" ref="A253">IFNA(TRANSPOSE(INDEX('Parâmetros'!$B$4:$J3001,,MATCH(Exames!F251,'Parâmetros'!$B$3:$J$3,0))),"")</f>
        <v/>
      </c>
    </row>
    <row r="254">
      <c r="A254" s="29" t="str">
        <f t="array" ref="A254">IFNA(TRANSPOSE(INDEX('Parâmetros'!$B$4:$J3001,,MATCH(Exames!F252,'Parâmetros'!$B$3:$J$3,0))),"")</f>
        <v/>
      </c>
    </row>
    <row r="255">
      <c r="A255" s="29" t="str">
        <f t="array" ref="A255">IFNA(TRANSPOSE(INDEX('Parâmetros'!$B$4:$J3001,,MATCH(Exames!F253,'Parâmetros'!$B$3:$J$3,0))),"")</f>
        <v/>
      </c>
    </row>
    <row r="256">
      <c r="A256" s="29" t="str">
        <f t="array" ref="A256">IFNA(TRANSPOSE(INDEX('Parâmetros'!$B$4:$J3001,,MATCH(Exames!F254,'Parâmetros'!$B$3:$J$3,0))),"")</f>
        <v/>
      </c>
    </row>
    <row r="257">
      <c r="A257" s="29" t="str">
        <f t="array" ref="A257">IFNA(TRANSPOSE(INDEX('Parâmetros'!$B$4:$J3001,,MATCH(Exames!F255,'Parâmetros'!$B$3:$J$3,0))),"")</f>
        <v/>
      </c>
    </row>
    <row r="258">
      <c r="A258" s="29" t="str">
        <f t="array" ref="A258">IFNA(TRANSPOSE(INDEX('Parâmetros'!$B$4:$J3001,,MATCH(Exames!F256,'Parâmetros'!$B$3:$J$3,0))),"")</f>
        <v/>
      </c>
    </row>
    <row r="259">
      <c r="A259" s="29" t="str">
        <f t="array" ref="A259">IFNA(TRANSPOSE(INDEX('Parâmetros'!$B$4:$J3001,,MATCH(Exames!F257,'Parâmetros'!$B$3:$J$3,0))),"")</f>
        <v/>
      </c>
    </row>
    <row r="260">
      <c r="A260" s="29" t="str">
        <f t="array" ref="A260">IFNA(TRANSPOSE(INDEX('Parâmetros'!$B$4:$J3001,,MATCH(Exames!F258,'Parâmetros'!$B$3:$J$3,0))),"")</f>
        <v/>
      </c>
    </row>
    <row r="261">
      <c r="A261" s="29" t="str">
        <f t="array" ref="A261">IFNA(TRANSPOSE(INDEX('Parâmetros'!$B$4:$J3001,,MATCH(Exames!F259,'Parâmetros'!$B$3:$J$3,0))),"")</f>
        <v/>
      </c>
    </row>
    <row r="262">
      <c r="A262" s="29" t="str">
        <f t="array" ref="A262">IFNA(TRANSPOSE(INDEX('Parâmetros'!$B$4:$J3001,,MATCH(Exames!F260,'Parâmetros'!$B$3:$J$3,0))),"")</f>
        <v/>
      </c>
    </row>
    <row r="263">
      <c r="A263" s="29" t="str">
        <f t="array" ref="A263">IFNA(TRANSPOSE(INDEX('Parâmetros'!$B$4:$J3001,,MATCH(Exames!F261,'Parâmetros'!$B$3:$J$3,0))),"")</f>
        <v/>
      </c>
    </row>
    <row r="264">
      <c r="A264" s="29" t="str">
        <f t="array" ref="A264">IFNA(TRANSPOSE(INDEX('Parâmetros'!$B$4:$J3001,,MATCH(Exames!F262,'Parâmetros'!$B$3:$J$3,0))),"")</f>
        <v/>
      </c>
    </row>
    <row r="265">
      <c r="A265" s="29" t="str">
        <f t="array" ref="A265">IFNA(TRANSPOSE(INDEX('Parâmetros'!$B$4:$J3001,,MATCH(Exames!F263,'Parâmetros'!$B$3:$J$3,0))),"")</f>
        <v/>
      </c>
    </row>
    <row r="266">
      <c r="A266" s="29" t="str">
        <f t="array" ref="A266">IFNA(TRANSPOSE(INDEX('Parâmetros'!$B$4:$J3001,,MATCH(Exames!F264,'Parâmetros'!$B$3:$J$3,0))),"")</f>
        <v/>
      </c>
    </row>
    <row r="267">
      <c r="A267" s="29" t="str">
        <f t="array" ref="A267">IFNA(TRANSPOSE(INDEX('Parâmetros'!$B$4:$J3001,,MATCH(Exames!F265,'Parâmetros'!$B$3:$J$3,0))),"")</f>
        <v/>
      </c>
    </row>
    <row r="268">
      <c r="A268" s="29" t="str">
        <f t="array" ref="A268">IFNA(TRANSPOSE(INDEX('Parâmetros'!$B$4:$J3001,,MATCH(Exames!F266,'Parâmetros'!$B$3:$J$3,0))),"")</f>
        <v/>
      </c>
    </row>
    <row r="269">
      <c r="A269" s="29" t="str">
        <f t="array" ref="A269">IFNA(TRANSPOSE(INDEX('Parâmetros'!$B$4:$J3001,,MATCH(Exames!F267,'Parâmetros'!$B$3:$J$3,0))),"")</f>
        <v/>
      </c>
    </row>
    <row r="270">
      <c r="A270" s="29" t="str">
        <f t="array" ref="A270">IFNA(TRANSPOSE(INDEX('Parâmetros'!$B$4:$J3001,,MATCH(Exames!F268,'Parâmetros'!$B$3:$J$3,0))),"")</f>
        <v/>
      </c>
    </row>
    <row r="271">
      <c r="A271" s="29" t="str">
        <f t="array" ref="A271">IFNA(TRANSPOSE(INDEX('Parâmetros'!$B$4:$J3001,,MATCH(Exames!F269,'Parâmetros'!$B$3:$J$3,0))),"")</f>
        <v/>
      </c>
    </row>
    <row r="272">
      <c r="A272" s="29" t="str">
        <f t="array" ref="A272">IFNA(TRANSPOSE(INDEX('Parâmetros'!$B$4:$J3001,,MATCH(Exames!F270,'Parâmetros'!$B$3:$J$3,0))),"")</f>
        <v/>
      </c>
    </row>
    <row r="273">
      <c r="A273" s="29" t="str">
        <f t="array" ref="A273">IFNA(TRANSPOSE(INDEX('Parâmetros'!$B$4:$J3001,,MATCH(Exames!F271,'Parâmetros'!$B$3:$J$3,0))),"")</f>
        <v/>
      </c>
    </row>
    <row r="274">
      <c r="A274" s="29" t="str">
        <f t="array" ref="A274">IFNA(TRANSPOSE(INDEX('Parâmetros'!$B$4:$J3001,,MATCH(Exames!F272,'Parâmetros'!$B$3:$J$3,0))),"")</f>
        <v/>
      </c>
    </row>
    <row r="275">
      <c r="A275" s="29" t="str">
        <f t="array" ref="A275">IFNA(TRANSPOSE(INDEX('Parâmetros'!$B$4:$J3001,,MATCH(Exames!F273,'Parâmetros'!$B$3:$J$3,0))),"")</f>
        <v/>
      </c>
    </row>
    <row r="276">
      <c r="A276" s="29" t="str">
        <f t="array" ref="A276">IFNA(TRANSPOSE(INDEX('Parâmetros'!$B$4:$J3001,,MATCH(Exames!F274,'Parâmetros'!$B$3:$J$3,0))),"")</f>
        <v/>
      </c>
    </row>
    <row r="277">
      <c r="A277" s="29" t="str">
        <f t="array" ref="A277">IFNA(TRANSPOSE(INDEX('Parâmetros'!$B$4:$J3001,,MATCH(Exames!F275,'Parâmetros'!$B$3:$J$3,0))),"")</f>
        <v/>
      </c>
    </row>
    <row r="278">
      <c r="A278" s="29" t="str">
        <f t="array" ref="A278">IFNA(TRANSPOSE(INDEX('Parâmetros'!$B$4:$J3001,,MATCH(Exames!F276,'Parâmetros'!$B$3:$J$3,0))),"")</f>
        <v/>
      </c>
    </row>
    <row r="279">
      <c r="A279" s="29" t="str">
        <f t="array" ref="A279">IFNA(TRANSPOSE(INDEX('Parâmetros'!$B$4:$J3001,,MATCH(Exames!F277,'Parâmetros'!$B$3:$J$3,0))),"")</f>
        <v/>
      </c>
    </row>
    <row r="280">
      <c r="A280" s="29" t="str">
        <f t="array" ref="A280">IFNA(TRANSPOSE(INDEX('Parâmetros'!$B$4:$J3001,,MATCH(Exames!F278,'Parâmetros'!$B$3:$J$3,0))),"")</f>
        <v/>
      </c>
    </row>
    <row r="281">
      <c r="A281" s="29" t="str">
        <f t="array" ref="A281">IFNA(TRANSPOSE(INDEX('Parâmetros'!$B$4:$J3001,,MATCH(Exames!F279,'Parâmetros'!$B$3:$J$3,0))),"")</f>
        <v/>
      </c>
    </row>
    <row r="282">
      <c r="A282" s="29" t="str">
        <f t="array" ref="A282">IFNA(TRANSPOSE(INDEX('Parâmetros'!$B$4:$J3001,,MATCH(Exames!F280,'Parâmetros'!$B$3:$J$3,0))),"")</f>
        <v/>
      </c>
    </row>
    <row r="283">
      <c r="A283" s="29" t="str">
        <f t="array" ref="A283">IFNA(TRANSPOSE(INDEX('Parâmetros'!$B$4:$J3001,,MATCH(Exames!F281,'Parâmetros'!$B$3:$J$3,0))),"")</f>
        <v/>
      </c>
    </row>
    <row r="284">
      <c r="A284" s="29" t="str">
        <f t="array" ref="A284">IFNA(TRANSPOSE(INDEX('Parâmetros'!$B$4:$J3001,,MATCH(Exames!F282,'Parâmetros'!$B$3:$J$3,0))),"")</f>
        <v/>
      </c>
    </row>
    <row r="285">
      <c r="A285" s="29" t="str">
        <f t="array" ref="A285">IFNA(TRANSPOSE(INDEX('Parâmetros'!$B$4:$J3001,,MATCH(Exames!F283,'Parâmetros'!$B$3:$J$3,0))),"")</f>
        <v/>
      </c>
    </row>
    <row r="286">
      <c r="A286" s="29" t="str">
        <f t="array" ref="A286">IFNA(TRANSPOSE(INDEX('Parâmetros'!$B$4:$J3001,,MATCH(Exames!F284,'Parâmetros'!$B$3:$J$3,0))),"")</f>
        <v/>
      </c>
    </row>
    <row r="287">
      <c r="A287" s="29" t="str">
        <f t="array" ref="A287">IFNA(TRANSPOSE(INDEX('Parâmetros'!$B$4:$J3001,,MATCH(Exames!F285,'Parâmetros'!$B$3:$J$3,0))),"")</f>
        <v/>
      </c>
    </row>
    <row r="288">
      <c r="A288" s="29" t="str">
        <f t="array" ref="A288">IFNA(TRANSPOSE(INDEX('Parâmetros'!$B$4:$J3001,,MATCH(Exames!F286,'Parâmetros'!$B$3:$J$3,0))),"")</f>
        <v/>
      </c>
    </row>
    <row r="289">
      <c r="A289" s="29" t="str">
        <f t="array" ref="A289">IFNA(TRANSPOSE(INDEX('Parâmetros'!$B$4:$J3001,,MATCH(Exames!F287,'Parâmetros'!$B$3:$J$3,0))),"")</f>
        <v/>
      </c>
    </row>
    <row r="290">
      <c r="A290" s="29" t="str">
        <f t="array" ref="A290">IFNA(TRANSPOSE(INDEX('Parâmetros'!$B$4:$J3001,,MATCH(Exames!F288,'Parâmetros'!$B$3:$J$3,0))),"")</f>
        <v/>
      </c>
    </row>
    <row r="291">
      <c r="A291" s="29" t="str">
        <f t="array" ref="A291">IFNA(TRANSPOSE(INDEX('Parâmetros'!$B$4:$J3001,,MATCH(Exames!F289,'Parâmetros'!$B$3:$J$3,0))),"")</f>
        <v/>
      </c>
    </row>
    <row r="292">
      <c r="A292" s="29" t="str">
        <f t="array" ref="A292">IFNA(TRANSPOSE(INDEX('Parâmetros'!$B$4:$J3001,,MATCH(Exames!F290,'Parâmetros'!$B$3:$J$3,0))),"")</f>
        <v/>
      </c>
    </row>
    <row r="293">
      <c r="A293" s="29" t="str">
        <f t="array" ref="A293">IFNA(TRANSPOSE(INDEX('Parâmetros'!$B$4:$J3001,,MATCH(Exames!F291,'Parâmetros'!$B$3:$J$3,0))),"")</f>
        <v/>
      </c>
    </row>
    <row r="294">
      <c r="A294" s="29" t="str">
        <f t="array" ref="A294">IFNA(TRANSPOSE(INDEX('Parâmetros'!$B$4:$J3001,,MATCH(Exames!F292,'Parâmetros'!$B$3:$J$3,0))),"")</f>
        <v/>
      </c>
    </row>
    <row r="295">
      <c r="A295" s="29" t="str">
        <f t="array" ref="A295">IFNA(TRANSPOSE(INDEX('Parâmetros'!$B$4:$J3001,,MATCH(Exames!F293,'Parâmetros'!$B$3:$J$3,0))),"")</f>
        <v/>
      </c>
    </row>
    <row r="296">
      <c r="A296" s="29" t="str">
        <f t="array" ref="A296">IFNA(TRANSPOSE(INDEX('Parâmetros'!$B$4:$J3001,,MATCH(Exames!F294,'Parâmetros'!$B$3:$J$3,0))),"")</f>
        <v/>
      </c>
    </row>
    <row r="297">
      <c r="A297" s="29" t="str">
        <f t="array" ref="A297">IFNA(TRANSPOSE(INDEX('Parâmetros'!$B$4:$J3001,,MATCH(Exames!F295,'Parâmetros'!$B$3:$J$3,0))),"")</f>
        <v/>
      </c>
    </row>
    <row r="298">
      <c r="A298" s="29" t="str">
        <f t="array" ref="A298">IFNA(TRANSPOSE(INDEX('Parâmetros'!$B$4:$J3001,,MATCH(Exames!F296,'Parâmetros'!$B$3:$J$3,0))),"")</f>
        <v/>
      </c>
    </row>
    <row r="299">
      <c r="A299" s="29" t="str">
        <f t="array" ref="A299">IFNA(TRANSPOSE(INDEX('Parâmetros'!$B$4:$J3001,,MATCH(Exames!F297,'Parâmetros'!$B$3:$J$3,0))),"")</f>
        <v/>
      </c>
    </row>
    <row r="300">
      <c r="A300" s="29" t="str">
        <f t="array" ref="A300">IFNA(TRANSPOSE(INDEX('Parâmetros'!$B$4:$J3001,,MATCH(Exames!F298,'Parâmetros'!$B$3:$J$3,0))),"")</f>
        <v/>
      </c>
    </row>
    <row r="301">
      <c r="A301" s="29" t="str">
        <f t="array" ref="A301">IFNA(TRANSPOSE(INDEX('Parâmetros'!$B$4:$J3001,,MATCH(Exames!F299,'Parâmetros'!$B$3:$J$3,0))),"")</f>
        <v/>
      </c>
    </row>
    <row r="302">
      <c r="A302" s="29" t="str">
        <f t="array" ref="A302">IFNA(TRANSPOSE(INDEX('Parâmetros'!$B$4:$J3001,,MATCH(Exames!F300,'Parâmetros'!$B$3:$J$3,0))),"")</f>
        <v/>
      </c>
    </row>
    <row r="303">
      <c r="A303" s="29" t="str">
        <f t="array" ref="A303">IFNA(TRANSPOSE(INDEX('Parâmetros'!$B$4:$J3001,,MATCH(Exames!F301,'Parâmetros'!$B$3:$J$3,0))),"")</f>
        <v/>
      </c>
    </row>
    <row r="304">
      <c r="A304" s="29" t="str">
        <f t="array" ref="A304">IFNA(TRANSPOSE(INDEX('Parâmetros'!$B$4:$J3001,,MATCH(Exames!F302,'Parâmetros'!$B$3:$J$3,0))),"")</f>
        <v/>
      </c>
    </row>
    <row r="305">
      <c r="A305" s="29" t="str">
        <f t="array" ref="A305">IFNA(TRANSPOSE(INDEX('Parâmetros'!$B$4:$J3001,,MATCH(Exames!F303,'Parâmetros'!$B$3:$J$3,0))),"")</f>
        <v/>
      </c>
    </row>
    <row r="306">
      <c r="A306" s="29" t="str">
        <f t="array" ref="A306">IFNA(TRANSPOSE(INDEX('Parâmetros'!$B$4:$J3001,,MATCH(Exames!F304,'Parâmetros'!$B$3:$J$3,0))),"")</f>
        <v/>
      </c>
    </row>
    <row r="307">
      <c r="A307" s="29" t="str">
        <f t="array" ref="A307">IFNA(TRANSPOSE(INDEX('Parâmetros'!$B$4:$J3001,,MATCH(Exames!F305,'Parâmetros'!$B$3:$J$3,0))),"")</f>
        <v/>
      </c>
    </row>
    <row r="308">
      <c r="A308" s="29" t="str">
        <f t="array" ref="A308">IFNA(TRANSPOSE(INDEX('Parâmetros'!$B$4:$J3001,,MATCH(Exames!F306,'Parâmetros'!$B$3:$J$3,0))),"")</f>
        <v/>
      </c>
    </row>
    <row r="309">
      <c r="A309" s="29" t="str">
        <f t="array" ref="A309">IFNA(TRANSPOSE(INDEX('Parâmetros'!$B$4:$J3001,,MATCH(Exames!F307,'Parâmetros'!$B$3:$J$3,0))),"")</f>
        <v/>
      </c>
    </row>
    <row r="310">
      <c r="A310" s="29" t="str">
        <f t="array" ref="A310">IFNA(TRANSPOSE(INDEX('Parâmetros'!$B$4:$J3001,,MATCH(Exames!F308,'Parâmetros'!$B$3:$J$3,0))),"")</f>
        <v/>
      </c>
    </row>
    <row r="311">
      <c r="A311" s="29" t="str">
        <f t="array" ref="A311">IFNA(TRANSPOSE(INDEX('Parâmetros'!$B$4:$J3001,,MATCH(Exames!F309,'Parâmetros'!$B$3:$J$3,0))),"")</f>
        <v/>
      </c>
    </row>
    <row r="312">
      <c r="A312" s="29" t="str">
        <f t="array" ref="A312">IFNA(TRANSPOSE(INDEX('Parâmetros'!$B$4:$J3001,,MATCH(Exames!F310,'Parâmetros'!$B$3:$J$3,0))),"")</f>
        <v/>
      </c>
    </row>
    <row r="313">
      <c r="A313" s="29" t="str">
        <f t="array" ref="A313">IFNA(TRANSPOSE(INDEX('Parâmetros'!$B$4:$J3001,,MATCH(Exames!F311,'Parâmetros'!$B$3:$J$3,0))),"")</f>
        <v/>
      </c>
    </row>
    <row r="314">
      <c r="A314" s="29" t="str">
        <f t="array" ref="A314">IFNA(TRANSPOSE(INDEX('Parâmetros'!$B$4:$J3001,,MATCH(Exames!F312,'Parâmetros'!$B$3:$J$3,0))),"")</f>
        <v/>
      </c>
    </row>
    <row r="315">
      <c r="A315" s="29" t="str">
        <f t="array" ref="A315">IFNA(TRANSPOSE(INDEX('Parâmetros'!$B$4:$J3001,,MATCH(Exames!F313,'Parâmetros'!$B$3:$J$3,0))),"")</f>
        <v/>
      </c>
    </row>
    <row r="316">
      <c r="A316" s="29" t="str">
        <f t="array" ref="A316">IFNA(TRANSPOSE(INDEX('Parâmetros'!$B$4:$J3001,,MATCH(Exames!F314,'Parâmetros'!$B$3:$J$3,0))),"")</f>
        <v/>
      </c>
    </row>
    <row r="317">
      <c r="A317" s="29" t="str">
        <f t="array" ref="A317">IFNA(TRANSPOSE(INDEX('Parâmetros'!$B$4:$J3001,,MATCH(Exames!F315,'Parâmetros'!$B$3:$J$3,0))),"")</f>
        <v/>
      </c>
    </row>
    <row r="318">
      <c r="A318" s="29" t="str">
        <f t="array" ref="A318">IFNA(TRANSPOSE(INDEX('Parâmetros'!$B$4:$J3001,,MATCH(Exames!F316,'Parâmetros'!$B$3:$J$3,0))),"")</f>
        <v/>
      </c>
    </row>
    <row r="319">
      <c r="A319" s="29" t="str">
        <f t="array" ref="A319">IFNA(TRANSPOSE(INDEX('Parâmetros'!$B$4:$J3001,,MATCH(Exames!F317,'Parâmetros'!$B$3:$J$3,0))),"")</f>
        <v/>
      </c>
    </row>
    <row r="320">
      <c r="A320" s="29" t="str">
        <f t="array" ref="A320">IFNA(TRANSPOSE(INDEX('Parâmetros'!$B$4:$J3001,,MATCH(Exames!F318,'Parâmetros'!$B$3:$J$3,0))),"")</f>
        <v/>
      </c>
    </row>
    <row r="321">
      <c r="A321" s="29" t="str">
        <f t="array" ref="A321">IFNA(TRANSPOSE(INDEX('Parâmetros'!$B$4:$J3001,,MATCH(Exames!F319,'Parâmetros'!$B$3:$J$3,0))),"")</f>
        <v/>
      </c>
    </row>
    <row r="322">
      <c r="A322" s="29" t="str">
        <f t="array" ref="A322">IFNA(TRANSPOSE(INDEX('Parâmetros'!$B$4:$J3001,,MATCH(Exames!F320,'Parâmetros'!$B$3:$J$3,0))),"")</f>
        <v/>
      </c>
    </row>
    <row r="323">
      <c r="A323" s="29" t="str">
        <f t="array" ref="A323">IFNA(TRANSPOSE(INDEX('Parâmetros'!$B$4:$J3001,,MATCH(Exames!F321,'Parâmetros'!$B$3:$J$3,0))),"")</f>
        <v/>
      </c>
    </row>
    <row r="324">
      <c r="A324" s="29" t="str">
        <f t="array" ref="A324">IFNA(TRANSPOSE(INDEX('Parâmetros'!$B$4:$J3001,,MATCH(Exames!F322,'Parâmetros'!$B$3:$J$3,0))),"")</f>
        <v/>
      </c>
    </row>
    <row r="325">
      <c r="A325" s="29" t="str">
        <f t="array" ref="A325">IFNA(TRANSPOSE(INDEX('Parâmetros'!$B$4:$J3001,,MATCH(Exames!F323,'Parâmetros'!$B$3:$J$3,0))),"")</f>
        <v/>
      </c>
    </row>
    <row r="326">
      <c r="A326" s="29" t="str">
        <f t="array" ref="A326">IFNA(TRANSPOSE(INDEX('Parâmetros'!$B$4:$J3001,,MATCH(Exames!F324,'Parâmetros'!$B$3:$J$3,0))),"")</f>
        <v/>
      </c>
    </row>
    <row r="327">
      <c r="A327" s="29" t="str">
        <f t="array" ref="A327">IFNA(TRANSPOSE(INDEX('Parâmetros'!$B$4:$J3001,,MATCH(Exames!F325,'Parâmetros'!$B$3:$J$3,0))),"")</f>
        <v/>
      </c>
    </row>
    <row r="328">
      <c r="A328" s="29" t="str">
        <f t="array" ref="A328">IFNA(TRANSPOSE(INDEX('Parâmetros'!$B$4:$J3001,,MATCH(Exames!F326,'Parâmetros'!$B$3:$J$3,0))),"")</f>
        <v/>
      </c>
    </row>
    <row r="329">
      <c r="A329" s="29" t="str">
        <f t="array" ref="A329">IFNA(TRANSPOSE(INDEX('Parâmetros'!$B$4:$J3001,,MATCH(Exames!F327,'Parâmetros'!$B$3:$J$3,0))),"")</f>
        <v/>
      </c>
    </row>
    <row r="330">
      <c r="A330" s="29" t="str">
        <f t="array" ref="A330">IFNA(TRANSPOSE(INDEX('Parâmetros'!$B$4:$J3001,,MATCH(Exames!F328,'Parâmetros'!$B$3:$J$3,0))),"")</f>
        <v/>
      </c>
    </row>
    <row r="331">
      <c r="A331" s="29" t="str">
        <f t="array" ref="A331">IFNA(TRANSPOSE(INDEX('Parâmetros'!$B$4:$J3001,,MATCH(Exames!F329,'Parâmetros'!$B$3:$J$3,0))),"")</f>
        <v/>
      </c>
    </row>
    <row r="332">
      <c r="A332" s="29" t="str">
        <f t="array" ref="A332">IFNA(TRANSPOSE(INDEX('Parâmetros'!$B$4:$J3001,,MATCH(Exames!F330,'Parâmetros'!$B$3:$J$3,0))),"")</f>
        <v/>
      </c>
    </row>
    <row r="333">
      <c r="A333" s="29" t="str">
        <f t="array" ref="A333">IFNA(TRANSPOSE(INDEX('Parâmetros'!$B$4:$J3001,,MATCH(Exames!F331,'Parâmetros'!$B$3:$J$3,0))),"")</f>
        <v/>
      </c>
    </row>
    <row r="334">
      <c r="A334" s="29" t="str">
        <f t="array" ref="A334">IFNA(TRANSPOSE(INDEX('Parâmetros'!$B$4:$J3001,,MATCH(Exames!F332,'Parâmetros'!$B$3:$J$3,0))),"")</f>
        <v/>
      </c>
    </row>
    <row r="335">
      <c r="A335" s="29" t="str">
        <f t="array" ref="A335">IFNA(TRANSPOSE(INDEX('Parâmetros'!$B$4:$J3001,,MATCH(Exames!F333,'Parâmetros'!$B$3:$J$3,0))),"")</f>
        <v/>
      </c>
    </row>
    <row r="336">
      <c r="A336" s="29" t="str">
        <f t="array" ref="A336">IFNA(TRANSPOSE(INDEX('Parâmetros'!$B$4:$J3001,,MATCH(Exames!F334,'Parâmetros'!$B$3:$J$3,0))),"")</f>
        <v/>
      </c>
    </row>
    <row r="337">
      <c r="A337" s="29" t="str">
        <f t="array" ref="A337">IFNA(TRANSPOSE(INDEX('Parâmetros'!$B$4:$J3001,,MATCH(Exames!F335,'Parâmetros'!$B$3:$J$3,0))),"")</f>
        <v/>
      </c>
    </row>
    <row r="338">
      <c r="A338" s="29" t="str">
        <f t="array" ref="A338">IFNA(TRANSPOSE(INDEX('Parâmetros'!$B$4:$J3001,,MATCH(Exames!F336,'Parâmetros'!$B$3:$J$3,0))),"")</f>
        <v/>
      </c>
    </row>
    <row r="339">
      <c r="A339" s="29" t="str">
        <f t="array" ref="A339">IFNA(TRANSPOSE(INDEX('Parâmetros'!$B$4:$J3001,,MATCH(Exames!F337,'Parâmetros'!$B$3:$J$3,0))),"")</f>
        <v/>
      </c>
    </row>
    <row r="340">
      <c r="A340" s="29" t="str">
        <f t="array" ref="A340">IFNA(TRANSPOSE(INDEX('Parâmetros'!$B$4:$J3001,,MATCH(Exames!F338,'Parâmetros'!$B$3:$J$3,0))),"")</f>
        <v/>
      </c>
    </row>
    <row r="341">
      <c r="A341" s="29" t="str">
        <f t="array" ref="A341">IFNA(TRANSPOSE(INDEX('Parâmetros'!$B$4:$J3001,,MATCH(Exames!F339,'Parâmetros'!$B$3:$J$3,0))),"")</f>
        <v/>
      </c>
    </row>
    <row r="342">
      <c r="A342" s="29" t="str">
        <f t="array" ref="A342">IFNA(TRANSPOSE(INDEX('Parâmetros'!$B$4:$J3001,,MATCH(Exames!F340,'Parâmetros'!$B$3:$J$3,0))),"")</f>
        <v/>
      </c>
    </row>
    <row r="343">
      <c r="A343" s="29" t="str">
        <f t="array" ref="A343">IFNA(TRANSPOSE(INDEX('Parâmetros'!$B$4:$J3001,,MATCH(Exames!F341,'Parâmetros'!$B$3:$J$3,0))),"")</f>
        <v/>
      </c>
    </row>
    <row r="344">
      <c r="A344" s="29" t="str">
        <f t="array" ref="A344">IFNA(TRANSPOSE(INDEX('Parâmetros'!$B$4:$J3001,,MATCH(Exames!F342,'Parâmetros'!$B$3:$J$3,0))),"")</f>
        <v/>
      </c>
    </row>
    <row r="345">
      <c r="A345" s="29" t="str">
        <f t="array" ref="A345">IFNA(TRANSPOSE(INDEX('Parâmetros'!$B$4:$J3001,,MATCH(Exames!F343,'Parâmetros'!$B$3:$J$3,0))),"")</f>
        <v/>
      </c>
    </row>
    <row r="346">
      <c r="A346" s="29" t="str">
        <f t="array" ref="A346">IFNA(TRANSPOSE(INDEX('Parâmetros'!$B$4:$J3001,,MATCH(Exames!F344,'Parâmetros'!$B$3:$J$3,0))),"")</f>
        <v/>
      </c>
    </row>
    <row r="347">
      <c r="A347" s="29" t="str">
        <f t="array" ref="A347">IFNA(TRANSPOSE(INDEX('Parâmetros'!$B$4:$J3001,,MATCH(Exames!F345,'Parâmetros'!$B$3:$J$3,0))),"")</f>
        <v/>
      </c>
    </row>
    <row r="348">
      <c r="A348" s="29" t="str">
        <f t="array" ref="A348">IFNA(TRANSPOSE(INDEX('Parâmetros'!$B$4:$J3001,,MATCH(Exames!F346,'Parâmetros'!$B$3:$J$3,0))),"")</f>
        <v/>
      </c>
    </row>
    <row r="349">
      <c r="A349" s="29" t="str">
        <f t="array" ref="A349">IFNA(TRANSPOSE(INDEX('Parâmetros'!$B$4:$J3001,,MATCH(Exames!F347,'Parâmetros'!$B$3:$J$3,0))),"")</f>
        <v/>
      </c>
    </row>
    <row r="350">
      <c r="A350" s="29" t="str">
        <f t="array" ref="A350">IFNA(TRANSPOSE(INDEX('Parâmetros'!$B$4:$J3001,,MATCH(Exames!F348,'Parâmetros'!$B$3:$J$3,0))),"")</f>
        <v/>
      </c>
    </row>
    <row r="351">
      <c r="A351" s="29" t="str">
        <f t="array" ref="A351">IFNA(TRANSPOSE(INDEX('Parâmetros'!$B$4:$J3001,,MATCH(Exames!F349,'Parâmetros'!$B$3:$J$3,0))),"")</f>
        <v/>
      </c>
    </row>
    <row r="352">
      <c r="A352" s="29" t="str">
        <f t="array" ref="A352">IFNA(TRANSPOSE(INDEX('Parâmetros'!$B$4:$J3001,,MATCH(Exames!F350,'Parâmetros'!$B$3:$J$3,0))),"")</f>
        <v/>
      </c>
    </row>
    <row r="353">
      <c r="A353" s="29" t="str">
        <f t="array" ref="A353">IFNA(TRANSPOSE(INDEX('Parâmetros'!$B$4:$J3001,,MATCH(Exames!F351,'Parâmetros'!$B$3:$J$3,0))),"")</f>
        <v/>
      </c>
    </row>
    <row r="354">
      <c r="A354" s="29" t="str">
        <f t="array" ref="A354">IFNA(TRANSPOSE(INDEX('Parâmetros'!$B$4:$J3001,,MATCH(Exames!F352,'Parâmetros'!$B$3:$J$3,0))),"")</f>
        <v/>
      </c>
    </row>
    <row r="355">
      <c r="A355" s="29" t="str">
        <f t="array" ref="A355">IFNA(TRANSPOSE(INDEX('Parâmetros'!$B$4:$J3001,,MATCH(Exames!F353,'Parâmetros'!$B$3:$J$3,0))),"")</f>
        <v/>
      </c>
    </row>
    <row r="356">
      <c r="A356" s="29" t="str">
        <f t="array" ref="A356">IFNA(TRANSPOSE(INDEX('Parâmetros'!$B$4:$J3001,,MATCH(Exames!F354,'Parâmetros'!$B$3:$J$3,0))),"")</f>
        <v/>
      </c>
    </row>
    <row r="357">
      <c r="A357" s="29" t="str">
        <f t="array" ref="A357">IFNA(TRANSPOSE(INDEX('Parâmetros'!$B$4:$J3001,,MATCH(Exames!F355,'Parâmetros'!$B$3:$J$3,0))),"")</f>
        <v/>
      </c>
    </row>
    <row r="358">
      <c r="A358" s="29" t="str">
        <f t="array" ref="A358">IFNA(TRANSPOSE(INDEX('Parâmetros'!$B$4:$J3001,,MATCH(Exames!F356,'Parâmetros'!$B$3:$J$3,0))),"")</f>
        <v/>
      </c>
    </row>
    <row r="359">
      <c r="A359" s="29" t="str">
        <f t="array" ref="A359">IFNA(TRANSPOSE(INDEX('Parâmetros'!$B$4:$J3001,,MATCH(Exames!F357,'Parâmetros'!$B$3:$J$3,0))),"")</f>
        <v/>
      </c>
    </row>
    <row r="360">
      <c r="A360" s="29" t="str">
        <f t="array" ref="A360">IFNA(TRANSPOSE(INDEX('Parâmetros'!$B$4:$J3001,,MATCH(Exames!F358,'Parâmetros'!$B$3:$J$3,0))),"")</f>
        <v/>
      </c>
    </row>
    <row r="361">
      <c r="A361" s="29" t="str">
        <f t="array" ref="A361">IFNA(TRANSPOSE(INDEX('Parâmetros'!$B$4:$J3001,,MATCH(Exames!F359,'Parâmetros'!$B$3:$J$3,0))),"")</f>
        <v/>
      </c>
    </row>
    <row r="362">
      <c r="A362" s="29" t="str">
        <f t="array" ref="A362">IFNA(TRANSPOSE(INDEX('Parâmetros'!$B$4:$J3001,,MATCH(Exames!F360,'Parâmetros'!$B$3:$J$3,0))),"")</f>
        <v/>
      </c>
    </row>
    <row r="363">
      <c r="A363" s="29" t="str">
        <f t="array" ref="A363">IFNA(TRANSPOSE(INDEX('Parâmetros'!$B$4:$J3001,,MATCH(Exames!F361,'Parâmetros'!$B$3:$J$3,0))),"")</f>
        <v/>
      </c>
    </row>
    <row r="364">
      <c r="A364" s="29" t="str">
        <f t="array" ref="A364">IFNA(TRANSPOSE(INDEX('Parâmetros'!$B$4:$J3001,,MATCH(Exames!F362,'Parâmetros'!$B$3:$J$3,0))),"")</f>
        <v/>
      </c>
    </row>
    <row r="365">
      <c r="A365" s="29" t="str">
        <f t="array" ref="A365">IFNA(TRANSPOSE(INDEX('Parâmetros'!$B$4:$J3001,,MATCH(Exames!F363,'Parâmetros'!$B$3:$J$3,0))),"")</f>
        <v/>
      </c>
    </row>
    <row r="366">
      <c r="A366" s="29" t="str">
        <f t="array" ref="A366">IFNA(TRANSPOSE(INDEX('Parâmetros'!$B$4:$J3001,,MATCH(Exames!F364,'Parâmetros'!$B$3:$J$3,0))),"")</f>
        <v/>
      </c>
    </row>
    <row r="367">
      <c r="A367" s="29" t="str">
        <f t="array" ref="A367">IFNA(TRANSPOSE(INDEX('Parâmetros'!$B$4:$J3001,,MATCH(Exames!F365,'Parâmetros'!$B$3:$J$3,0))),"")</f>
        <v/>
      </c>
    </row>
    <row r="368">
      <c r="A368" s="29" t="str">
        <f t="array" ref="A368">IFNA(TRANSPOSE(INDEX('Parâmetros'!$B$4:$J3001,,MATCH(Exames!F366,'Parâmetros'!$B$3:$J$3,0))),"")</f>
        <v/>
      </c>
    </row>
    <row r="369">
      <c r="A369" s="29" t="str">
        <f t="array" ref="A369">IFNA(TRANSPOSE(INDEX('Parâmetros'!$B$4:$J3001,,MATCH(Exames!F367,'Parâmetros'!$B$3:$J$3,0))),"")</f>
        <v/>
      </c>
    </row>
    <row r="370">
      <c r="A370" s="29" t="str">
        <f t="array" ref="A370">IFNA(TRANSPOSE(INDEX('Parâmetros'!$B$4:$J3001,,MATCH(Exames!F368,'Parâmetros'!$B$3:$J$3,0))),"")</f>
        <v/>
      </c>
    </row>
    <row r="371">
      <c r="A371" s="29" t="str">
        <f t="array" ref="A371">IFNA(TRANSPOSE(INDEX('Parâmetros'!$B$4:$J3001,,MATCH(Exames!F369,'Parâmetros'!$B$3:$J$3,0))),"")</f>
        <v/>
      </c>
    </row>
    <row r="372">
      <c r="A372" s="29" t="str">
        <f t="array" ref="A372">IFNA(TRANSPOSE(INDEX('Parâmetros'!$B$4:$J3001,,MATCH(Exames!F370,'Parâmetros'!$B$3:$J$3,0))),"")</f>
        <v/>
      </c>
    </row>
    <row r="373">
      <c r="A373" s="29" t="str">
        <f t="array" ref="A373">IFNA(TRANSPOSE(INDEX('Parâmetros'!$B$4:$J3001,,MATCH(Exames!F371,'Parâmetros'!$B$3:$J$3,0))),"")</f>
        <v/>
      </c>
    </row>
    <row r="374">
      <c r="A374" s="29" t="str">
        <f t="array" ref="A374">IFNA(TRANSPOSE(INDEX('Parâmetros'!$B$4:$J3001,,MATCH(Exames!F372,'Parâmetros'!$B$3:$J$3,0))),"")</f>
        <v/>
      </c>
    </row>
    <row r="375">
      <c r="A375" s="29" t="str">
        <f t="array" ref="A375">IFNA(TRANSPOSE(INDEX('Parâmetros'!$B$4:$J3001,,MATCH(Exames!F373,'Parâmetros'!$B$3:$J$3,0))),"")</f>
        <v/>
      </c>
    </row>
    <row r="376">
      <c r="A376" s="29" t="str">
        <f t="array" ref="A376">IFNA(TRANSPOSE(INDEX('Parâmetros'!$B$4:$J3001,,MATCH(Exames!F374,'Parâmetros'!$B$3:$J$3,0))),"")</f>
        <v/>
      </c>
    </row>
    <row r="377">
      <c r="A377" s="29" t="str">
        <f t="array" ref="A377">IFNA(TRANSPOSE(INDEX('Parâmetros'!$B$4:$J3001,,MATCH(Exames!F375,'Parâmetros'!$B$3:$J$3,0))),"")</f>
        <v/>
      </c>
    </row>
    <row r="378">
      <c r="A378" s="29" t="str">
        <f t="array" ref="A378">IFNA(TRANSPOSE(INDEX('Parâmetros'!$B$4:$J3001,,MATCH(Exames!F376,'Parâmetros'!$B$3:$J$3,0))),"")</f>
        <v/>
      </c>
    </row>
    <row r="379">
      <c r="A379" s="29" t="str">
        <f t="array" ref="A379">IFNA(TRANSPOSE(INDEX('Parâmetros'!$B$4:$J3001,,MATCH(Exames!F377,'Parâmetros'!$B$3:$J$3,0))),"")</f>
        <v/>
      </c>
    </row>
    <row r="380">
      <c r="A380" s="29" t="str">
        <f t="array" ref="A380">IFNA(TRANSPOSE(INDEX('Parâmetros'!$B$4:$J3001,,MATCH(Exames!F378,'Parâmetros'!$B$3:$J$3,0))),"")</f>
        <v/>
      </c>
    </row>
    <row r="381">
      <c r="A381" s="29" t="str">
        <f t="array" ref="A381">IFNA(TRANSPOSE(INDEX('Parâmetros'!$B$4:$J3001,,MATCH(Exames!F379,'Parâmetros'!$B$3:$J$3,0))),"")</f>
        <v/>
      </c>
    </row>
    <row r="382">
      <c r="A382" s="29" t="str">
        <f t="array" ref="A382">IFNA(TRANSPOSE(INDEX('Parâmetros'!$B$4:$J3001,,MATCH(Exames!F380,'Parâmetros'!$B$3:$J$3,0))),"")</f>
        <v/>
      </c>
    </row>
    <row r="383">
      <c r="A383" s="29" t="str">
        <f t="array" ref="A383">IFNA(TRANSPOSE(INDEX('Parâmetros'!$B$4:$J3001,,MATCH(Exames!F381,'Parâmetros'!$B$3:$J$3,0))),"")</f>
        <v/>
      </c>
    </row>
    <row r="384">
      <c r="A384" s="29" t="str">
        <f t="array" ref="A384">IFNA(TRANSPOSE(INDEX('Parâmetros'!$B$4:$J3001,,MATCH(Exames!F382,'Parâmetros'!$B$3:$J$3,0))),"")</f>
        <v/>
      </c>
    </row>
    <row r="385">
      <c r="A385" s="29" t="str">
        <f t="array" ref="A385">IFNA(TRANSPOSE(INDEX('Parâmetros'!$B$4:$J3001,,MATCH(Exames!F383,'Parâmetros'!$B$3:$J$3,0))),"")</f>
        <v/>
      </c>
    </row>
    <row r="386">
      <c r="A386" s="29" t="str">
        <f t="array" ref="A386">IFNA(TRANSPOSE(INDEX('Parâmetros'!$B$4:$J3001,,MATCH(Exames!F384,'Parâmetros'!$B$3:$J$3,0))),"")</f>
        <v/>
      </c>
    </row>
    <row r="387">
      <c r="A387" s="29" t="str">
        <f t="array" ref="A387">IFNA(TRANSPOSE(INDEX('Parâmetros'!$B$4:$J3001,,MATCH(Exames!F385,'Parâmetros'!$B$3:$J$3,0))),"")</f>
        <v/>
      </c>
    </row>
    <row r="388">
      <c r="A388" s="29" t="str">
        <f t="array" ref="A388">IFNA(TRANSPOSE(INDEX('Parâmetros'!$B$4:$J3001,,MATCH(Exames!F386,'Parâmetros'!$B$3:$J$3,0))),"")</f>
        <v/>
      </c>
    </row>
    <row r="389">
      <c r="A389" s="29" t="str">
        <f t="array" ref="A389">IFNA(TRANSPOSE(INDEX('Parâmetros'!$B$4:$J3001,,MATCH(Exames!F387,'Parâmetros'!$B$3:$J$3,0))),"")</f>
        <v/>
      </c>
    </row>
    <row r="390">
      <c r="A390" s="29" t="str">
        <f t="array" ref="A390">IFNA(TRANSPOSE(INDEX('Parâmetros'!$B$4:$J3001,,MATCH(Exames!F388,'Parâmetros'!$B$3:$J$3,0))),"")</f>
        <v/>
      </c>
    </row>
    <row r="391">
      <c r="A391" s="29" t="str">
        <f t="array" ref="A391">IFNA(TRANSPOSE(INDEX('Parâmetros'!$B$4:$J3001,,MATCH(Exames!F389,'Parâmetros'!$B$3:$J$3,0))),"")</f>
        <v/>
      </c>
    </row>
    <row r="392">
      <c r="A392" s="29" t="str">
        <f t="array" ref="A392">IFNA(TRANSPOSE(INDEX('Parâmetros'!$B$4:$J3001,,MATCH(Exames!F390,'Parâmetros'!$B$3:$J$3,0))),"")</f>
        <v/>
      </c>
    </row>
    <row r="393">
      <c r="A393" s="29" t="str">
        <f t="array" ref="A393">IFNA(TRANSPOSE(INDEX('Parâmetros'!$B$4:$J3001,,MATCH(Exames!F391,'Parâmetros'!$B$3:$J$3,0))),"")</f>
        <v/>
      </c>
    </row>
    <row r="394">
      <c r="A394" s="29" t="str">
        <f t="array" ref="A394">IFNA(TRANSPOSE(INDEX('Parâmetros'!$B$4:$J3001,,MATCH(Exames!F392,'Parâmetros'!$B$3:$J$3,0))),"")</f>
        <v/>
      </c>
    </row>
    <row r="395">
      <c r="A395" s="29" t="str">
        <f t="array" ref="A395">IFNA(TRANSPOSE(INDEX('Parâmetros'!$B$4:$J3001,,MATCH(Exames!F393,'Parâmetros'!$B$3:$J$3,0))),"")</f>
        <v/>
      </c>
    </row>
    <row r="396">
      <c r="A396" s="29" t="str">
        <f t="array" ref="A396">IFNA(TRANSPOSE(INDEX('Parâmetros'!$B$4:$J3001,,MATCH(Exames!F394,'Parâmetros'!$B$3:$J$3,0))),"")</f>
        <v/>
      </c>
    </row>
    <row r="397">
      <c r="A397" s="29" t="str">
        <f t="array" ref="A397">IFNA(TRANSPOSE(INDEX('Parâmetros'!$B$4:$J3001,,MATCH(Exames!F395,'Parâmetros'!$B$3:$J$3,0))),"")</f>
        <v/>
      </c>
    </row>
    <row r="398">
      <c r="A398" s="29" t="str">
        <f t="array" ref="A398">IFNA(TRANSPOSE(INDEX('Parâmetros'!$B$4:$J3001,,MATCH(Exames!F396,'Parâmetros'!$B$3:$J$3,0))),"")</f>
        <v/>
      </c>
    </row>
    <row r="399">
      <c r="A399" s="29" t="str">
        <f t="array" ref="A399">IFNA(TRANSPOSE(INDEX('Parâmetros'!$B$4:$J3001,,MATCH(Exames!F397,'Parâmetros'!$B$3:$J$3,0))),"")</f>
        <v/>
      </c>
    </row>
    <row r="400">
      <c r="A400" s="29" t="str">
        <f t="array" ref="A400">IFNA(TRANSPOSE(INDEX('Parâmetros'!$B$4:$J3001,,MATCH(Exames!F398,'Parâmetros'!$B$3:$J$3,0))),"")</f>
        <v/>
      </c>
    </row>
    <row r="401">
      <c r="A401" s="29" t="str">
        <f t="array" ref="A401">IFNA(TRANSPOSE(INDEX('Parâmetros'!$B$4:$J3001,,MATCH(Exames!F399,'Parâmetros'!$B$3:$J$3,0))),"")</f>
        <v/>
      </c>
    </row>
    <row r="402">
      <c r="A402" s="29" t="str">
        <f t="array" ref="A402">IFNA(TRANSPOSE(INDEX('Parâmetros'!$B$4:$J3001,,MATCH(Exames!F400,'Parâmetros'!$B$3:$J$3,0))),"")</f>
        <v/>
      </c>
    </row>
    <row r="403">
      <c r="A403" s="29" t="str">
        <f t="array" ref="A403">IFNA(TRANSPOSE(INDEX('Parâmetros'!$B$4:$J3001,,MATCH(Exames!F401,'Parâmetros'!$B$3:$J$3,0))),"")</f>
        <v/>
      </c>
    </row>
    <row r="404">
      <c r="A404" s="29" t="str">
        <f t="array" ref="A404">IFNA(TRANSPOSE(INDEX('Parâmetros'!$B$4:$J3001,,MATCH(Exames!F402,'Parâmetros'!$B$3:$J$3,0))),"")</f>
        <v/>
      </c>
    </row>
    <row r="405">
      <c r="A405" s="29" t="str">
        <f t="array" ref="A405">IFNA(TRANSPOSE(INDEX('Parâmetros'!$B$4:$J3001,,MATCH(Exames!F403,'Parâmetros'!$B$3:$J$3,0))),"")</f>
        <v/>
      </c>
    </row>
    <row r="406">
      <c r="A406" s="29" t="str">
        <f t="array" ref="A406">IFNA(TRANSPOSE(INDEX('Parâmetros'!$B$4:$J3001,,MATCH(Exames!F404,'Parâmetros'!$B$3:$J$3,0))),"")</f>
        <v/>
      </c>
    </row>
    <row r="407">
      <c r="A407" s="29" t="str">
        <f t="array" ref="A407">IFNA(TRANSPOSE(INDEX('Parâmetros'!$B$4:$J3001,,MATCH(Exames!F405,'Parâmetros'!$B$3:$J$3,0))),"")</f>
        <v/>
      </c>
    </row>
    <row r="408">
      <c r="A408" s="29" t="str">
        <f t="array" ref="A408">IFNA(TRANSPOSE(INDEX('Parâmetros'!$B$4:$J3001,,MATCH(Exames!F406,'Parâmetros'!$B$3:$J$3,0))),"")</f>
        <v/>
      </c>
    </row>
    <row r="409">
      <c r="A409" s="29" t="str">
        <f t="array" ref="A409">IFNA(TRANSPOSE(INDEX('Parâmetros'!$B$4:$J3001,,MATCH(Exames!F407,'Parâmetros'!$B$3:$J$3,0))),"")</f>
        <v/>
      </c>
    </row>
    <row r="410">
      <c r="A410" s="29" t="str">
        <f t="array" ref="A410">IFNA(TRANSPOSE(INDEX('Parâmetros'!$B$4:$J3001,,MATCH(Exames!F408,'Parâmetros'!$B$3:$J$3,0))),"")</f>
        <v/>
      </c>
    </row>
    <row r="411">
      <c r="A411" s="29" t="str">
        <f t="array" ref="A411">IFNA(TRANSPOSE(INDEX('Parâmetros'!$B$4:$J3001,,MATCH(Exames!F409,'Parâmetros'!$B$3:$J$3,0))),"")</f>
        <v/>
      </c>
    </row>
    <row r="412">
      <c r="A412" s="29" t="str">
        <f t="array" ref="A412">IFNA(TRANSPOSE(INDEX('Parâmetros'!$B$4:$J3001,,MATCH(Exames!F410,'Parâmetros'!$B$3:$J$3,0))),"")</f>
        <v/>
      </c>
    </row>
    <row r="413">
      <c r="A413" s="29" t="str">
        <f t="array" ref="A413">IFNA(TRANSPOSE(INDEX('Parâmetros'!$B$4:$J3001,,MATCH(Exames!F411,'Parâmetros'!$B$3:$J$3,0))),"")</f>
        <v/>
      </c>
    </row>
    <row r="414">
      <c r="A414" s="29" t="str">
        <f t="array" ref="A414">IFNA(TRANSPOSE(INDEX('Parâmetros'!$B$4:$J3001,,MATCH(Exames!F412,'Parâmetros'!$B$3:$J$3,0))),"")</f>
        <v/>
      </c>
    </row>
    <row r="415">
      <c r="A415" s="29" t="str">
        <f t="array" ref="A415">IFNA(TRANSPOSE(INDEX('Parâmetros'!$B$4:$J3001,,MATCH(Exames!F413,'Parâmetros'!$B$3:$J$3,0))),"")</f>
        <v/>
      </c>
    </row>
    <row r="416">
      <c r="A416" s="29" t="str">
        <f t="array" ref="A416">IFNA(TRANSPOSE(INDEX('Parâmetros'!$B$4:$J3001,,MATCH(Exames!F414,'Parâmetros'!$B$3:$J$3,0))),"")</f>
        <v/>
      </c>
    </row>
    <row r="417">
      <c r="A417" s="29" t="str">
        <f t="array" ref="A417">IFNA(TRANSPOSE(INDEX('Parâmetros'!$B$4:$J3001,,MATCH(Exames!F415,'Parâmetros'!$B$3:$J$3,0))),"")</f>
        <v/>
      </c>
    </row>
    <row r="418">
      <c r="A418" s="29" t="str">
        <f t="array" ref="A418">IFNA(TRANSPOSE(INDEX('Parâmetros'!$B$4:$J3001,,MATCH(Exames!F416,'Parâmetros'!$B$3:$J$3,0))),"")</f>
        <v/>
      </c>
    </row>
    <row r="419">
      <c r="A419" s="29" t="str">
        <f t="array" ref="A419">IFNA(TRANSPOSE(INDEX('Parâmetros'!$B$4:$J3001,,MATCH(Exames!F417,'Parâmetros'!$B$3:$J$3,0))),"")</f>
        <v/>
      </c>
    </row>
    <row r="420">
      <c r="A420" s="29" t="str">
        <f t="array" ref="A420">IFNA(TRANSPOSE(INDEX('Parâmetros'!$B$4:$J3001,,MATCH(Exames!F418,'Parâmetros'!$B$3:$J$3,0))),"")</f>
        <v/>
      </c>
    </row>
    <row r="421">
      <c r="A421" s="29" t="str">
        <f t="array" ref="A421">IFNA(TRANSPOSE(INDEX('Parâmetros'!$B$4:$J3001,,MATCH(Exames!F419,'Parâmetros'!$B$3:$J$3,0))),"")</f>
        <v/>
      </c>
    </row>
    <row r="422">
      <c r="A422" s="29" t="str">
        <f t="array" ref="A422">IFNA(TRANSPOSE(INDEX('Parâmetros'!$B$4:$J3001,,MATCH(Exames!F420,'Parâmetros'!$B$3:$J$3,0))),"")</f>
        <v/>
      </c>
    </row>
    <row r="423">
      <c r="A423" s="29" t="str">
        <f t="array" ref="A423">IFNA(TRANSPOSE(INDEX('Parâmetros'!$B$4:$J3001,,MATCH(Exames!F421,'Parâmetros'!$B$3:$J$3,0))),"")</f>
        <v/>
      </c>
    </row>
    <row r="424">
      <c r="A424" s="29" t="str">
        <f t="array" ref="A424">IFNA(TRANSPOSE(INDEX('Parâmetros'!$B$4:$J3001,,MATCH(Exames!F422,'Parâmetros'!$B$3:$J$3,0))),"")</f>
        <v/>
      </c>
    </row>
    <row r="425">
      <c r="A425" s="29" t="str">
        <f t="array" ref="A425">IFNA(TRANSPOSE(INDEX('Parâmetros'!$B$4:$J3001,,MATCH(Exames!F423,'Parâmetros'!$B$3:$J$3,0))),"")</f>
        <v/>
      </c>
    </row>
    <row r="426">
      <c r="A426" s="29" t="str">
        <f t="array" ref="A426">IFNA(TRANSPOSE(INDEX('Parâmetros'!$B$4:$J3001,,MATCH(Exames!F424,'Parâmetros'!$B$3:$J$3,0))),"")</f>
        <v/>
      </c>
    </row>
    <row r="427">
      <c r="A427" s="29" t="str">
        <f t="array" ref="A427">IFNA(TRANSPOSE(INDEX('Parâmetros'!$B$4:$J3001,,MATCH(Exames!F425,'Parâmetros'!$B$3:$J$3,0))),"")</f>
        <v/>
      </c>
    </row>
    <row r="428">
      <c r="A428" s="29" t="str">
        <f t="array" ref="A428">IFNA(TRANSPOSE(INDEX('Parâmetros'!$B$4:$J3001,,MATCH(Exames!F426,'Parâmetros'!$B$3:$J$3,0))),"")</f>
        <v/>
      </c>
    </row>
    <row r="429">
      <c r="A429" s="29" t="str">
        <f t="array" ref="A429">IFNA(TRANSPOSE(INDEX('Parâmetros'!$B$4:$J3001,,MATCH(Exames!F427,'Parâmetros'!$B$3:$J$3,0))),"")</f>
        <v/>
      </c>
    </row>
    <row r="430">
      <c r="A430" s="29" t="str">
        <f t="array" ref="A430">IFNA(TRANSPOSE(INDEX('Parâmetros'!$B$4:$J3001,,MATCH(Exames!F428,'Parâmetros'!$B$3:$J$3,0))),"")</f>
        <v/>
      </c>
    </row>
    <row r="431">
      <c r="A431" s="29" t="str">
        <f t="array" ref="A431">IFNA(TRANSPOSE(INDEX('Parâmetros'!$B$4:$J3001,,MATCH(Exames!F429,'Parâmetros'!$B$3:$J$3,0))),"")</f>
        <v/>
      </c>
    </row>
    <row r="432">
      <c r="A432" s="29" t="str">
        <f t="array" ref="A432">IFNA(TRANSPOSE(INDEX('Parâmetros'!$B$4:$J3001,,MATCH(Exames!F430,'Parâmetros'!$B$3:$J$3,0))),"")</f>
        <v/>
      </c>
    </row>
    <row r="433">
      <c r="A433" s="29" t="str">
        <f t="array" ref="A433">IFNA(TRANSPOSE(INDEX('Parâmetros'!$B$4:$J3001,,MATCH(Exames!F431,'Parâmetros'!$B$3:$J$3,0))),"")</f>
        <v/>
      </c>
    </row>
    <row r="434">
      <c r="A434" s="29" t="str">
        <f t="array" ref="A434">IFNA(TRANSPOSE(INDEX('Parâmetros'!$B$4:$J3001,,MATCH(Exames!F432,'Parâmetros'!$B$3:$J$3,0))),"")</f>
        <v/>
      </c>
    </row>
    <row r="435">
      <c r="A435" s="29" t="str">
        <f t="array" ref="A435">IFNA(TRANSPOSE(INDEX('Parâmetros'!$B$4:$J3001,,MATCH(Exames!F433,'Parâmetros'!$B$3:$J$3,0))),"")</f>
        <v/>
      </c>
    </row>
    <row r="436">
      <c r="A436" s="29" t="str">
        <f t="array" ref="A436">IFNA(TRANSPOSE(INDEX('Parâmetros'!$B$4:$J3001,,MATCH(Exames!F434,'Parâmetros'!$B$3:$J$3,0))),"")</f>
        <v/>
      </c>
    </row>
    <row r="437">
      <c r="A437" s="29" t="str">
        <f t="array" ref="A437">IFNA(TRANSPOSE(INDEX('Parâmetros'!$B$4:$J3001,,MATCH(Exames!F435,'Parâmetros'!$B$3:$J$3,0))),"")</f>
        <v/>
      </c>
    </row>
    <row r="438">
      <c r="A438" s="29" t="str">
        <f t="array" ref="A438">IFNA(TRANSPOSE(INDEX('Parâmetros'!$B$4:$J3001,,MATCH(Exames!F436,'Parâmetros'!$B$3:$J$3,0))),"")</f>
        <v/>
      </c>
    </row>
    <row r="439">
      <c r="A439" s="29" t="str">
        <f t="array" ref="A439">IFNA(TRANSPOSE(INDEX('Parâmetros'!$B$4:$J3001,,MATCH(Exames!F437,'Parâmetros'!$B$3:$J$3,0))),"")</f>
        <v/>
      </c>
    </row>
    <row r="440">
      <c r="A440" s="29" t="str">
        <f t="array" ref="A440">IFNA(TRANSPOSE(INDEX('Parâmetros'!$B$4:$J3001,,MATCH(Exames!F438,'Parâmetros'!$B$3:$J$3,0))),"")</f>
        <v/>
      </c>
    </row>
    <row r="441">
      <c r="A441" s="29" t="str">
        <f t="array" ref="A441">IFNA(TRANSPOSE(INDEX('Parâmetros'!$B$4:$J3001,,MATCH(Exames!F439,'Parâmetros'!$B$3:$J$3,0))),"")</f>
        <v/>
      </c>
    </row>
    <row r="442">
      <c r="A442" s="29" t="str">
        <f t="array" ref="A442">IFNA(TRANSPOSE(INDEX('Parâmetros'!$B$4:$J3001,,MATCH(Exames!F440,'Parâmetros'!$B$3:$J$3,0))),"")</f>
        <v/>
      </c>
    </row>
    <row r="443">
      <c r="A443" s="29" t="str">
        <f t="array" ref="A443">IFNA(TRANSPOSE(INDEX('Parâmetros'!$B$4:$J3001,,MATCH(Exames!F441,'Parâmetros'!$B$3:$J$3,0))),"")</f>
        <v/>
      </c>
    </row>
    <row r="444">
      <c r="A444" s="29" t="str">
        <f t="array" ref="A444">IFNA(TRANSPOSE(INDEX('Parâmetros'!$B$4:$J3001,,MATCH(Exames!F442,'Parâmetros'!$B$3:$J$3,0))),"")</f>
        <v/>
      </c>
    </row>
    <row r="445">
      <c r="A445" s="29" t="str">
        <f t="array" ref="A445">IFNA(TRANSPOSE(INDEX('Parâmetros'!$B$4:$J3001,,MATCH(Exames!F443,'Parâmetros'!$B$3:$J$3,0))),"")</f>
        <v/>
      </c>
    </row>
    <row r="446">
      <c r="A446" s="29" t="str">
        <f t="array" ref="A446">IFNA(TRANSPOSE(INDEX('Parâmetros'!$B$4:$J3001,,MATCH(Exames!F444,'Parâmetros'!$B$3:$J$3,0))),"")</f>
        <v/>
      </c>
    </row>
    <row r="447">
      <c r="A447" s="29" t="str">
        <f t="array" ref="A447">IFNA(TRANSPOSE(INDEX('Parâmetros'!$B$4:$J3001,,MATCH(Exames!F445,'Parâmetros'!$B$3:$J$3,0))),"")</f>
        <v/>
      </c>
    </row>
    <row r="448">
      <c r="A448" s="29" t="str">
        <f t="array" ref="A448">IFNA(TRANSPOSE(INDEX('Parâmetros'!$B$4:$J3001,,MATCH(Exames!F446,'Parâmetros'!$B$3:$J$3,0))),"")</f>
        <v/>
      </c>
    </row>
    <row r="449">
      <c r="A449" s="29" t="str">
        <f t="array" ref="A449">IFNA(TRANSPOSE(INDEX('Parâmetros'!$B$4:$J3001,,MATCH(Exames!F447,'Parâmetros'!$B$3:$J$3,0))),"")</f>
        <v/>
      </c>
    </row>
    <row r="450">
      <c r="A450" s="29" t="str">
        <f t="array" ref="A450">IFNA(TRANSPOSE(INDEX('Parâmetros'!$B$4:$J3001,,MATCH(Exames!F448,'Parâmetros'!$B$3:$J$3,0))),"")</f>
        <v/>
      </c>
    </row>
    <row r="451">
      <c r="A451" s="29" t="str">
        <f t="array" ref="A451">IFNA(TRANSPOSE(INDEX('Parâmetros'!$B$4:$J3001,,MATCH(Exames!F449,'Parâmetros'!$B$3:$J$3,0))),"")</f>
        <v/>
      </c>
    </row>
    <row r="452">
      <c r="A452" s="29" t="str">
        <f t="array" ref="A452">IFNA(TRANSPOSE(INDEX('Parâmetros'!$B$4:$J3001,,MATCH(Exames!F450,'Parâmetros'!$B$3:$J$3,0))),"")</f>
        <v/>
      </c>
    </row>
    <row r="453">
      <c r="A453" s="29" t="str">
        <f t="array" ref="A453">IFNA(TRANSPOSE(INDEX('Parâmetros'!$B$4:$J3001,,MATCH(Exames!F451,'Parâmetros'!$B$3:$J$3,0))),"")</f>
        <v/>
      </c>
    </row>
    <row r="454">
      <c r="A454" s="29" t="str">
        <f t="array" ref="A454">IFNA(TRANSPOSE(INDEX('Parâmetros'!$B$4:$J3001,,MATCH(Exames!F452,'Parâmetros'!$B$3:$J$3,0))),"")</f>
        <v/>
      </c>
    </row>
    <row r="455">
      <c r="A455" s="29" t="str">
        <f t="array" ref="A455">IFNA(TRANSPOSE(INDEX('Parâmetros'!$B$4:$J3001,,MATCH(Exames!F453,'Parâmetros'!$B$3:$J$3,0))),"")</f>
        <v/>
      </c>
    </row>
    <row r="456">
      <c r="A456" s="29" t="str">
        <f t="array" ref="A456">IFNA(TRANSPOSE(INDEX('Parâmetros'!$B$4:$J3001,,MATCH(Exames!F454,'Parâmetros'!$B$3:$J$3,0))),"")</f>
        <v/>
      </c>
    </row>
    <row r="457">
      <c r="A457" s="29" t="str">
        <f t="array" ref="A457">IFNA(TRANSPOSE(INDEX('Parâmetros'!$B$4:$J3001,,MATCH(Exames!F455,'Parâmetros'!$B$3:$J$3,0))),"")</f>
        <v/>
      </c>
    </row>
    <row r="458">
      <c r="A458" s="29" t="str">
        <f t="array" ref="A458">IFNA(TRANSPOSE(INDEX('Parâmetros'!$B$4:$J3001,,MATCH(Exames!F456,'Parâmetros'!$B$3:$J$3,0))),"")</f>
        <v/>
      </c>
    </row>
    <row r="459">
      <c r="A459" s="29" t="str">
        <f t="array" ref="A459">IFNA(TRANSPOSE(INDEX('Parâmetros'!$B$4:$J3001,,MATCH(Exames!F457,'Parâmetros'!$B$3:$J$3,0))),"")</f>
        <v/>
      </c>
    </row>
    <row r="460">
      <c r="A460" s="29" t="str">
        <f t="array" ref="A460">IFNA(TRANSPOSE(INDEX('Parâmetros'!$B$4:$J3001,,MATCH(Exames!F458,'Parâmetros'!$B$3:$J$3,0))),"")</f>
        <v/>
      </c>
    </row>
    <row r="461">
      <c r="A461" s="29" t="str">
        <f t="array" ref="A461">IFNA(TRANSPOSE(INDEX('Parâmetros'!$B$4:$J3001,,MATCH(Exames!F459,'Parâmetros'!$B$3:$J$3,0))),"")</f>
        <v/>
      </c>
    </row>
    <row r="462">
      <c r="A462" s="29" t="str">
        <f t="array" ref="A462">IFNA(TRANSPOSE(INDEX('Parâmetros'!$B$4:$J3001,,MATCH(Exames!F460,'Parâmetros'!$B$3:$J$3,0))),"")</f>
        <v/>
      </c>
    </row>
    <row r="463">
      <c r="A463" s="29" t="str">
        <f t="array" ref="A463">IFNA(TRANSPOSE(INDEX('Parâmetros'!$B$4:$J3001,,MATCH(Exames!F461,'Parâmetros'!$B$3:$J$3,0))),"")</f>
        <v/>
      </c>
    </row>
    <row r="464">
      <c r="A464" s="29" t="str">
        <f t="array" ref="A464">IFNA(TRANSPOSE(INDEX('Parâmetros'!$B$4:$J3001,,MATCH(Exames!F462,'Parâmetros'!$B$3:$J$3,0))),"")</f>
        <v/>
      </c>
    </row>
    <row r="465">
      <c r="A465" s="29" t="str">
        <f t="array" ref="A465">IFNA(TRANSPOSE(INDEX('Parâmetros'!$B$4:$J3001,,MATCH(Exames!F463,'Parâmetros'!$B$3:$J$3,0))),"")</f>
        <v/>
      </c>
    </row>
    <row r="466">
      <c r="A466" s="29" t="str">
        <f t="array" ref="A466">IFNA(TRANSPOSE(INDEX('Parâmetros'!$B$4:$J3001,,MATCH(Exames!F464,'Parâmetros'!$B$3:$J$3,0))),"")</f>
        <v/>
      </c>
    </row>
    <row r="467">
      <c r="A467" s="29" t="str">
        <f t="array" ref="A467">IFNA(TRANSPOSE(INDEX('Parâmetros'!$B$4:$J3001,,MATCH(Exames!F465,'Parâmetros'!$B$3:$J$3,0))),"")</f>
        <v/>
      </c>
    </row>
    <row r="468">
      <c r="A468" s="29" t="str">
        <f t="array" ref="A468">IFNA(TRANSPOSE(INDEX('Parâmetros'!$B$4:$J3001,,MATCH(Exames!F466,'Parâmetros'!$B$3:$J$3,0))),"")</f>
        <v/>
      </c>
    </row>
    <row r="469">
      <c r="A469" s="29" t="str">
        <f t="array" ref="A469">IFNA(TRANSPOSE(INDEX('Parâmetros'!$B$4:$J3001,,MATCH(Exames!F467,'Parâmetros'!$B$3:$J$3,0))),"")</f>
        <v/>
      </c>
    </row>
    <row r="470">
      <c r="A470" s="29" t="str">
        <f t="array" ref="A470">IFNA(TRANSPOSE(INDEX('Parâmetros'!$B$4:$J3001,,MATCH(Exames!F468,'Parâmetros'!$B$3:$J$3,0))),"")</f>
        <v/>
      </c>
    </row>
    <row r="471">
      <c r="A471" s="29" t="str">
        <f t="array" ref="A471">IFNA(TRANSPOSE(INDEX('Parâmetros'!$B$4:$J3001,,MATCH(Exames!F469,'Parâmetros'!$B$3:$J$3,0))),"")</f>
        <v/>
      </c>
    </row>
    <row r="472">
      <c r="A472" s="29" t="str">
        <f t="array" ref="A472">IFNA(TRANSPOSE(INDEX('Parâmetros'!$B$4:$J3001,,MATCH(Exames!F470,'Parâmetros'!$B$3:$J$3,0))),"")</f>
        <v/>
      </c>
    </row>
    <row r="473">
      <c r="A473" s="29" t="str">
        <f t="array" ref="A473">IFNA(TRANSPOSE(INDEX('Parâmetros'!$B$4:$J3001,,MATCH(Exames!F471,'Parâmetros'!$B$3:$J$3,0))),"")</f>
        <v/>
      </c>
    </row>
    <row r="474">
      <c r="A474" s="29" t="str">
        <f t="array" ref="A474">IFNA(TRANSPOSE(INDEX('Parâmetros'!$B$4:$J3001,,MATCH(Exames!F472,'Parâmetros'!$B$3:$J$3,0))),"")</f>
        <v/>
      </c>
    </row>
    <row r="475">
      <c r="A475" s="29" t="str">
        <f t="array" ref="A475">IFNA(TRANSPOSE(INDEX('Parâmetros'!$B$4:$J3001,,MATCH(Exames!F473,'Parâmetros'!$B$3:$J$3,0))),"")</f>
        <v/>
      </c>
    </row>
    <row r="476">
      <c r="A476" s="29" t="str">
        <f t="array" ref="A476">IFNA(TRANSPOSE(INDEX('Parâmetros'!$B$4:$J3001,,MATCH(Exames!F474,'Parâmetros'!$B$3:$J$3,0))),"")</f>
        <v/>
      </c>
    </row>
    <row r="477">
      <c r="A477" s="29" t="str">
        <f t="array" ref="A477">IFNA(TRANSPOSE(INDEX('Parâmetros'!$B$4:$J3001,,MATCH(Exames!F475,'Parâmetros'!$B$3:$J$3,0))),"")</f>
        <v/>
      </c>
    </row>
    <row r="478">
      <c r="A478" s="29" t="str">
        <f t="array" ref="A478">IFNA(TRANSPOSE(INDEX('Parâmetros'!$B$4:$J3001,,MATCH(Exames!F476,'Parâmetros'!$B$3:$J$3,0))),"")</f>
        <v/>
      </c>
    </row>
    <row r="479">
      <c r="A479" s="29" t="str">
        <f t="array" ref="A479">IFNA(TRANSPOSE(INDEX('Parâmetros'!$B$4:$J3001,,MATCH(Exames!F477,'Parâmetros'!$B$3:$J$3,0))),"")</f>
        <v/>
      </c>
    </row>
    <row r="480">
      <c r="A480" s="29" t="str">
        <f t="array" ref="A480">IFNA(TRANSPOSE(INDEX('Parâmetros'!$B$4:$J3001,,MATCH(Exames!F478,'Parâmetros'!$B$3:$J$3,0))),"")</f>
        <v/>
      </c>
    </row>
    <row r="481">
      <c r="A481" s="29" t="str">
        <f t="array" ref="A481">IFNA(TRANSPOSE(INDEX('Parâmetros'!$B$4:$J3001,,MATCH(Exames!F479,'Parâmetros'!$B$3:$J$3,0))),"")</f>
        <v/>
      </c>
    </row>
    <row r="482">
      <c r="A482" s="29" t="str">
        <f t="array" ref="A482">IFNA(TRANSPOSE(INDEX('Parâmetros'!$B$4:$J3001,,MATCH(Exames!F480,'Parâmetros'!$B$3:$J$3,0))),"")</f>
        <v/>
      </c>
    </row>
    <row r="483">
      <c r="A483" s="29" t="str">
        <f t="array" ref="A483">IFNA(TRANSPOSE(INDEX('Parâmetros'!$B$4:$J3001,,MATCH(Exames!F481,'Parâmetros'!$B$3:$J$3,0))),"")</f>
        <v/>
      </c>
    </row>
    <row r="484">
      <c r="A484" s="29" t="str">
        <f t="array" ref="A484">IFNA(TRANSPOSE(INDEX('Parâmetros'!$B$4:$J3001,,MATCH(Exames!F482,'Parâmetros'!$B$3:$J$3,0))),"")</f>
        <v/>
      </c>
    </row>
    <row r="485">
      <c r="A485" s="29" t="str">
        <f t="array" ref="A485">IFNA(TRANSPOSE(INDEX('Parâmetros'!$B$4:$J3001,,MATCH(Exames!F483,'Parâmetros'!$B$3:$J$3,0))),"")</f>
        <v/>
      </c>
    </row>
    <row r="486">
      <c r="A486" s="29" t="str">
        <f t="array" ref="A486">IFNA(TRANSPOSE(INDEX('Parâmetros'!$B$4:$J3001,,MATCH(Exames!F484,'Parâmetros'!$B$3:$J$3,0))),"")</f>
        <v/>
      </c>
    </row>
    <row r="487">
      <c r="A487" s="29" t="str">
        <f t="array" ref="A487">IFNA(TRANSPOSE(INDEX('Parâmetros'!$B$4:$J3001,,MATCH(Exames!F485,'Parâmetros'!$B$3:$J$3,0))),"")</f>
        <v/>
      </c>
    </row>
    <row r="488">
      <c r="A488" s="29" t="str">
        <f t="array" ref="A488">IFNA(TRANSPOSE(INDEX('Parâmetros'!$B$4:$J3001,,MATCH(Exames!F486,'Parâmetros'!$B$3:$J$3,0))),"")</f>
        <v/>
      </c>
    </row>
    <row r="489">
      <c r="A489" s="29" t="str">
        <f t="array" ref="A489">IFNA(TRANSPOSE(INDEX('Parâmetros'!$B$4:$J3001,,MATCH(Exames!F487,'Parâmetros'!$B$3:$J$3,0))),"")</f>
        <v/>
      </c>
    </row>
    <row r="490">
      <c r="A490" s="29" t="str">
        <f t="array" ref="A490">IFNA(TRANSPOSE(INDEX('Parâmetros'!$B$4:$J3001,,MATCH(Exames!F488,'Parâmetros'!$B$3:$J$3,0))),"")</f>
        <v/>
      </c>
    </row>
    <row r="491">
      <c r="A491" s="29" t="str">
        <f t="array" ref="A491">IFNA(TRANSPOSE(INDEX('Parâmetros'!$B$4:$J3001,,MATCH(Exames!F489,'Parâmetros'!$B$3:$J$3,0))),"")</f>
        <v/>
      </c>
    </row>
    <row r="492">
      <c r="A492" s="29" t="str">
        <f t="array" ref="A492">IFNA(TRANSPOSE(INDEX('Parâmetros'!$B$4:$J3001,,MATCH(Exames!F490,'Parâmetros'!$B$3:$J$3,0))),"")</f>
        <v/>
      </c>
    </row>
    <row r="493">
      <c r="A493" s="29" t="str">
        <f t="array" ref="A493">IFNA(TRANSPOSE(INDEX('Parâmetros'!$B$4:$J3001,,MATCH(Exames!F491,'Parâmetros'!$B$3:$J$3,0))),"")</f>
        <v/>
      </c>
    </row>
    <row r="494">
      <c r="A494" s="29" t="str">
        <f t="array" ref="A494">IFNA(TRANSPOSE(INDEX('Parâmetros'!$B$4:$J3001,,MATCH(Exames!F492,'Parâmetros'!$B$3:$J$3,0))),"")</f>
        <v/>
      </c>
    </row>
    <row r="495">
      <c r="A495" s="29" t="str">
        <f t="array" ref="A495">IFNA(TRANSPOSE(INDEX('Parâmetros'!$B$4:$J3001,,MATCH(Exames!F493,'Parâmetros'!$B$3:$J$3,0))),"")</f>
        <v/>
      </c>
    </row>
    <row r="496">
      <c r="A496" s="29" t="str">
        <f t="array" ref="A496">IFNA(TRANSPOSE(INDEX('Parâmetros'!$B$4:$J3001,,MATCH(Exames!F494,'Parâmetros'!$B$3:$J$3,0))),"")</f>
        <v/>
      </c>
    </row>
    <row r="497">
      <c r="A497" s="29" t="str">
        <f t="array" ref="A497">IFNA(TRANSPOSE(INDEX('Parâmetros'!$B$4:$J3001,,MATCH(Exames!F495,'Parâmetros'!$B$3:$J$3,0))),"")</f>
        <v/>
      </c>
    </row>
    <row r="498">
      <c r="A498" s="29" t="str">
        <f t="array" ref="A498">IFNA(TRANSPOSE(INDEX('Parâmetros'!$B$4:$J3001,,MATCH(Exames!F496,'Parâmetros'!$B$3:$J$3,0))),"")</f>
        <v/>
      </c>
    </row>
    <row r="499">
      <c r="A499" s="29" t="str">
        <f t="array" ref="A499">IFNA(TRANSPOSE(INDEX('Parâmetros'!$B$4:$J3001,,MATCH(Exames!F497,'Parâmetros'!$B$3:$J$3,0))),"")</f>
        <v/>
      </c>
    </row>
    <row r="500">
      <c r="A500" s="29" t="str">
        <f t="array" ref="A500">IFNA(TRANSPOSE(INDEX('Parâmetros'!$B$4:$J3001,,MATCH(Exames!F498,'Parâmetros'!$B$3:$J$3,0))),"")</f>
        <v/>
      </c>
    </row>
    <row r="501">
      <c r="A501" s="29" t="str">
        <f t="array" ref="A501">IFNA(TRANSPOSE(INDEX('Parâmetros'!$B$4:$J3001,,MATCH(Exames!F499,'Parâmetros'!$B$3:$J$3,0))),"")</f>
        <v/>
      </c>
    </row>
    <row r="502">
      <c r="A502" s="29" t="str">
        <f t="array" ref="A502">IFNA(TRANSPOSE(INDEX('Parâmetros'!$B$4:$J3001,,MATCH(Exames!F500,'Parâmetros'!$B$3:$J$3,0))),"")</f>
        <v/>
      </c>
    </row>
    <row r="503">
      <c r="A503" s="29" t="str">
        <f t="array" ref="A503">IFNA(TRANSPOSE(INDEX('Parâmetros'!$B$4:$J3001,,MATCH(Exames!F501,'Parâmetros'!$B$3:$J$3,0))),"")</f>
        <v/>
      </c>
    </row>
    <row r="504">
      <c r="A504" s="29" t="str">
        <f t="array" ref="A504">IFNA(TRANSPOSE(INDEX('Parâmetros'!$B$4:$J3001,,MATCH(Exames!F502,'Parâmetros'!$B$3:$J$3,0))),"")</f>
        <v/>
      </c>
    </row>
    <row r="505">
      <c r="A505" s="29" t="str">
        <f t="array" ref="A505">IFNA(TRANSPOSE(INDEX('Parâmetros'!$B$4:$J3001,,MATCH(Exames!F503,'Parâmetros'!$B$3:$J$3,0))),"")</f>
        <v/>
      </c>
    </row>
    <row r="506">
      <c r="A506" s="29" t="str">
        <f t="array" ref="A506">IFNA(TRANSPOSE(INDEX('Parâmetros'!$B$4:$J3001,,MATCH(Exames!F504,'Parâmetros'!$B$3:$J$3,0))),"")</f>
        <v/>
      </c>
    </row>
    <row r="507">
      <c r="A507" s="29" t="str">
        <f t="array" ref="A507">IFNA(TRANSPOSE(INDEX('Parâmetros'!$B$4:$J3001,,MATCH(Exames!F505,'Parâmetros'!$B$3:$J$3,0))),"")</f>
        <v/>
      </c>
    </row>
    <row r="508">
      <c r="A508" s="29" t="str">
        <f t="array" ref="A508">IFNA(TRANSPOSE(INDEX('Parâmetros'!$B$4:$J3001,,MATCH(Exames!F506,'Parâmetros'!$B$3:$J$3,0))),"")</f>
        <v/>
      </c>
    </row>
    <row r="509">
      <c r="A509" s="29" t="str">
        <f t="array" ref="A509">IFNA(TRANSPOSE(INDEX('Parâmetros'!$B$4:$J3001,,MATCH(Exames!F507,'Parâmetros'!$B$3:$J$3,0))),"")</f>
        <v/>
      </c>
    </row>
    <row r="510">
      <c r="A510" s="29" t="str">
        <f t="array" ref="A510">IFNA(TRANSPOSE(INDEX('Parâmetros'!$B$4:$J3001,,MATCH(Exames!F508,'Parâmetros'!$B$3:$J$3,0))),"")</f>
        <v/>
      </c>
    </row>
    <row r="511">
      <c r="A511" s="29" t="str">
        <f t="array" ref="A511">IFNA(TRANSPOSE(INDEX('Parâmetros'!$B$4:$J3001,,MATCH(Exames!F509,'Parâmetros'!$B$3:$J$3,0))),"")</f>
        <v/>
      </c>
    </row>
    <row r="512">
      <c r="A512" s="29" t="str">
        <f t="array" ref="A512">IFNA(TRANSPOSE(INDEX('Parâmetros'!$B$4:$J3001,,MATCH(Exames!F510,'Parâmetros'!$B$3:$J$3,0))),"")</f>
        <v/>
      </c>
    </row>
    <row r="513">
      <c r="A513" s="29" t="str">
        <f t="array" ref="A513">IFNA(TRANSPOSE(INDEX('Parâmetros'!$B$4:$J3001,,MATCH(Exames!F511,'Parâmetros'!$B$3:$J$3,0))),"")</f>
        <v/>
      </c>
    </row>
    <row r="514">
      <c r="A514" s="29" t="str">
        <f t="array" ref="A514">IFNA(TRANSPOSE(INDEX('Parâmetros'!$B$4:$J3001,,MATCH(Exames!F512,'Parâmetros'!$B$3:$J$3,0))),"")</f>
        <v/>
      </c>
    </row>
    <row r="515">
      <c r="A515" s="29" t="str">
        <f t="array" ref="A515">IFNA(TRANSPOSE(INDEX('Parâmetros'!$B$4:$J3001,,MATCH(Exames!F513,'Parâmetros'!$B$3:$J$3,0))),"")</f>
        <v/>
      </c>
    </row>
    <row r="516">
      <c r="A516" s="29" t="str">
        <f t="array" ref="A516">IFNA(TRANSPOSE(INDEX('Parâmetros'!$B$4:$J3001,,MATCH(Exames!F514,'Parâmetros'!$B$3:$J$3,0))),"")</f>
        <v/>
      </c>
    </row>
    <row r="517">
      <c r="A517" s="29" t="str">
        <f t="array" ref="A517">IFNA(TRANSPOSE(INDEX('Parâmetros'!$B$4:$J3001,,MATCH(Exames!F515,'Parâmetros'!$B$3:$J$3,0))),"")</f>
        <v/>
      </c>
    </row>
    <row r="518">
      <c r="A518" s="29" t="str">
        <f t="array" ref="A518">IFNA(TRANSPOSE(INDEX('Parâmetros'!$B$4:$J3001,,MATCH(Exames!F516,'Parâmetros'!$B$3:$J$3,0))),"")</f>
        <v/>
      </c>
    </row>
    <row r="519">
      <c r="A519" s="29" t="str">
        <f t="array" ref="A519">IFNA(TRANSPOSE(INDEX('Parâmetros'!$B$4:$J3001,,MATCH(Exames!F517,'Parâmetros'!$B$3:$J$3,0))),"")</f>
        <v/>
      </c>
    </row>
    <row r="520">
      <c r="A520" s="29" t="str">
        <f t="array" ref="A520">IFNA(TRANSPOSE(INDEX('Parâmetros'!$B$4:$J3001,,MATCH(Exames!F518,'Parâmetros'!$B$3:$J$3,0))),"")</f>
        <v/>
      </c>
    </row>
    <row r="521">
      <c r="A521" s="29" t="str">
        <f t="array" ref="A521">IFNA(TRANSPOSE(INDEX('Parâmetros'!$B$4:$J3001,,MATCH(Exames!F519,'Parâmetros'!$B$3:$J$3,0))),"")</f>
        <v/>
      </c>
    </row>
    <row r="522">
      <c r="A522" s="29" t="str">
        <f t="array" ref="A522">IFNA(TRANSPOSE(INDEX('Parâmetros'!$B$4:$J3001,,MATCH(Exames!F520,'Parâmetros'!$B$3:$J$3,0))),"")</f>
        <v/>
      </c>
    </row>
    <row r="523">
      <c r="A523" s="29" t="str">
        <f t="array" ref="A523">IFNA(TRANSPOSE(INDEX('Parâmetros'!$B$4:$J3001,,MATCH(Exames!F521,'Parâmetros'!$B$3:$J$3,0))),"")</f>
        <v/>
      </c>
    </row>
    <row r="524">
      <c r="A524" s="29" t="str">
        <f t="array" ref="A524">IFNA(TRANSPOSE(INDEX('Parâmetros'!$B$4:$J3001,,MATCH(Exames!F522,'Parâmetros'!$B$3:$J$3,0))),"")</f>
        <v/>
      </c>
    </row>
    <row r="525">
      <c r="A525" s="29" t="str">
        <f t="array" ref="A525">IFNA(TRANSPOSE(INDEX('Parâmetros'!$B$4:$J3001,,MATCH(Exames!F523,'Parâmetros'!$B$3:$J$3,0))),"")</f>
        <v/>
      </c>
    </row>
    <row r="526">
      <c r="A526" s="29" t="str">
        <f t="array" ref="A526">IFNA(TRANSPOSE(INDEX('Parâmetros'!$B$4:$J3001,,MATCH(Exames!F524,'Parâmetros'!$B$3:$J$3,0))),"")</f>
        <v/>
      </c>
    </row>
    <row r="527">
      <c r="A527" s="29" t="str">
        <f t="array" ref="A527">IFNA(TRANSPOSE(INDEX('Parâmetros'!$B$4:$J3001,,MATCH(Exames!F525,'Parâmetros'!$B$3:$J$3,0))),"")</f>
        <v/>
      </c>
    </row>
    <row r="528">
      <c r="A528" s="29" t="str">
        <f t="array" ref="A528">IFNA(TRANSPOSE(INDEX('Parâmetros'!$B$4:$J3001,,MATCH(Exames!F526,'Parâmetros'!$B$3:$J$3,0))),"")</f>
        <v/>
      </c>
    </row>
    <row r="529">
      <c r="A529" s="29" t="str">
        <f t="array" ref="A529">IFNA(TRANSPOSE(INDEX('Parâmetros'!$B$4:$J3001,,MATCH(Exames!F527,'Parâmetros'!$B$3:$J$3,0))),"")</f>
        <v/>
      </c>
    </row>
    <row r="530">
      <c r="A530" s="29" t="str">
        <f t="array" ref="A530">IFNA(TRANSPOSE(INDEX('Parâmetros'!$B$4:$J3001,,MATCH(Exames!F528,'Parâmetros'!$B$3:$J$3,0))),"")</f>
        <v/>
      </c>
    </row>
    <row r="531">
      <c r="A531" s="29" t="str">
        <f t="array" ref="A531">IFNA(TRANSPOSE(INDEX('Parâmetros'!$B$4:$J3001,,MATCH(Exames!F529,'Parâmetros'!$B$3:$J$3,0))),"")</f>
        <v/>
      </c>
    </row>
    <row r="532">
      <c r="A532" s="29" t="str">
        <f t="array" ref="A532">IFNA(TRANSPOSE(INDEX('Parâmetros'!$B$4:$J3001,,MATCH(Exames!F530,'Parâmetros'!$B$3:$J$3,0))),"")</f>
        <v/>
      </c>
    </row>
    <row r="533">
      <c r="A533" s="29" t="str">
        <f t="array" ref="A533">IFNA(TRANSPOSE(INDEX('Parâmetros'!$B$4:$J3001,,MATCH(Exames!F531,'Parâmetros'!$B$3:$J$3,0))),"")</f>
        <v/>
      </c>
    </row>
    <row r="534">
      <c r="A534" s="29" t="str">
        <f t="array" ref="A534">IFNA(TRANSPOSE(INDEX('Parâmetros'!$B$4:$J3001,,MATCH(Exames!F532,'Parâmetros'!$B$3:$J$3,0))),"")</f>
        <v/>
      </c>
    </row>
    <row r="535">
      <c r="A535" s="29" t="str">
        <f t="array" ref="A535">IFNA(TRANSPOSE(INDEX('Parâmetros'!$B$4:$J3001,,MATCH(Exames!F533,'Parâmetros'!$B$3:$J$3,0))),"")</f>
        <v/>
      </c>
    </row>
    <row r="536">
      <c r="A536" s="29" t="str">
        <f t="array" ref="A536">IFNA(TRANSPOSE(INDEX('Parâmetros'!$B$4:$J3001,,MATCH(Exames!F534,'Parâmetros'!$B$3:$J$3,0))),"")</f>
        <v/>
      </c>
    </row>
    <row r="537">
      <c r="A537" s="29" t="str">
        <f t="array" ref="A537">IFNA(TRANSPOSE(INDEX('Parâmetros'!$B$4:$J3001,,MATCH(Exames!F535,'Parâmetros'!$B$3:$J$3,0))),"")</f>
        <v/>
      </c>
    </row>
    <row r="538">
      <c r="A538" s="29" t="str">
        <f t="array" ref="A538">IFNA(TRANSPOSE(INDEX('Parâmetros'!$B$4:$J3001,,MATCH(Exames!F536,'Parâmetros'!$B$3:$J$3,0))),"")</f>
        <v/>
      </c>
    </row>
    <row r="539">
      <c r="A539" s="29" t="str">
        <f t="array" ref="A539">IFNA(TRANSPOSE(INDEX('Parâmetros'!$B$4:$J3001,,MATCH(Exames!F537,'Parâmetros'!$B$3:$J$3,0))),"")</f>
        <v/>
      </c>
    </row>
    <row r="540">
      <c r="A540" s="29" t="str">
        <f t="array" ref="A540">IFNA(TRANSPOSE(INDEX('Parâmetros'!$B$4:$J3001,,MATCH(Exames!F538,'Parâmetros'!$B$3:$J$3,0))),"")</f>
        <v/>
      </c>
    </row>
    <row r="541">
      <c r="A541" s="29" t="str">
        <f t="array" ref="A541">IFNA(TRANSPOSE(INDEX('Parâmetros'!$B$4:$J3001,,MATCH(Exames!F539,'Parâmetros'!$B$3:$J$3,0))),"")</f>
        <v/>
      </c>
    </row>
    <row r="542">
      <c r="A542" s="29" t="str">
        <f t="array" ref="A542">IFNA(TRANSPOSE(INDEX('Parâmetros'!$B$4:$J3001,,MATCH(Exames!F540,'Parâmetros'!$B$3:$J$3,0))),"")</f>
        <v/>
      </c>
    </row>
    <row r="543">
      <c r="A543" s="29" t="str">
        <f t="array" ref="A543">IFNA(TRANSPOSE(INDEX('Parâmetros'!$B$4:$J3001,,MATCH(Exames!F541,'Parâmetros'!$B$3:$J$3,0))),"")</f>
        <v/>
      </c>
    </row>
    <row r="544">
      <c r="A544" s="29" t="str">
        <f t="array" ref="A544">IFNA(TRANSPOSE(INDEX('Parâmetros'!$B$4:$J3001,,MATCH(Exames!F542,'Parâmetros'!$B$3:$J$3,0))),"")</f>
        <v/>
      </c>
    </row>
    <row r="545">
      <c r="A545" s="29" t="str">
        <f t="array" ref="A545">IFNA(TRANSPOSE(INDEX('Parâmetros'!$B$4:$J3001,,MATCH(Exames!F543,'Parâmetros'!$B$3:$J$3,0))),"")</f>
        <v/>
      </c>
    </row>
    <row r="546">
      <c r="A546" s="29" t="str">
        <f t="array" ref="A546">IFNA(TRANSPOSE(INDEX('Parâmetros'!$B$4:$J3001,,MATCH(Exames!F544,'Parâmetros'!$B$3:$J$3,0))),"")</f>
        <v/>
      </c>
    </row>
    <row r="547">
      <c r="A547" s="29" t="str">
        <f t="array" ref="A547">IFNA(TRANSPOSE(INDEX('Parâmetros'!$B$4:$J3001,,MATCH(Exames!F545,'Parâmetros'!$B$3:$J$3,0))),"")</f>
        <v/>
      </c>
    </row>
    <row r="548">
      <c r="A548" s="29" t="str">
        <f t="array" ref="A548">IFNA(TRANSPOSE(INDEX('Parâmetros'!$B$4:$J3001,,MATCH(Exames!F546,'Parâmetros'!$B$3:$J$3,0))),"")</f>
        <v/>
      </c>
    </row>
    <row r="549">
      <c r="A549" s="29" t="str">
        <f t="array" ref="A549">IFNA(TRANSPOSE(INDEX('Parâmetros'!$B$4:$J3001,,MATCH(Exames!F547,'Parâmetros'!$B$3:$J$3,0))),"")</f>
        <v/>
      </c>
    </row>
    <row r="550">
      <c r="A550" s="29" t="str">
        <f t="array" ref="A550">IFNA(TRANSPOSE(INDEX('Parâmetros'!$B$4:$J3001,,MATCH(Exames!F548,'Parâmetros'!$B$3:$J$3,0))),"")</f>
        <v/>
      </c>
    </row>
    <row r="551">
      <c r="A551" s="29" t="str">
        <f t="array" ref="A551">IFNA(TRANSPOSE(INDEX('Parâmetros'!$B$4:$J3001,,MATCH(Exames!F549,'Parâmetros'!$B$3:$J$3,0))),"")</f>
        <v/>
      </c>
    </row>
    <row r="552">
      <c r="A552" s="29" t="str">
        <f t="array" ref="A552">IFNA(TRANSPOSE(INDEX('Parâmetros'!$B$4:$J3001,,MATCH(Exames!F550,'Parâmetros'!$B$3:$J$3,0))),"")</f>
        <v/>
      </c>
    </row>
    <row r="553">
      <c r="A553" s="29" t="str">
        <f t="array" ref="A553">IFNA(TRANSPOSE(INDEX('Parâmetros'!$B$4:$J3001,,MATCH(Exames!F551,'Parâmetros'!$B$3:$J$3,0))),"")</f>
        <v/>
      </c>
    </row>
    <row r="554">
      <c r="A554" s="29" t="str">
        <f t="array" ref="A554">IFNA(TRANSPOSE(INDEX('Parâmetros'!$B$4:$J3001,,MATCH(Exames!F552,'Parâmetros'!$B$3:$J$3,0))),"")</f>
        <v/>
      </c>
    </row>
    <row r="555">
      <c r="A555" s="29" t="str">
        <f t="array" ref="A555">IFNA(TRANSPOSE(INDEX('Parâmetros'!$B$4:$J3001,,MATCH(Exames!F553,'Parâmetros'!$B$3:$J$3,0))),"")</f>
        <v/>
      </c>
    </row>
    <row r="556">
      <c r="A556" s="29" t="str">
        <f t="array" ref="A556">IFNA(TRANSPOSE(INDEX('Parâmetros'!$B$4:$J3001,,MATCH(Exames!F554,'Parâmetros'!$B$3:$J$3,0))),"")</f>
        <v/>
      </c>
    </row>
    <row r="557">
      <c r="A557" s="29" t="str">
        <f t="array" ref="A557">IFNA(TRANSPOSE(INDEX('Parâmetros'!$B$4:$J3001,,MATCH(Exames!F555,'Parâmetros'!$B$3:$J$3,0))),"")</f>
        <v/>
      </c>
    </row>
    <row r="558">
      <c r="A558" s="29" t="str">
        <f t="array" ref="A558">IFNA(TRANSPOSE(INDEX('Parâmetros'!$B$4:$J3001,,MATCH(Exames!F556,'Parâmetros'!$B$3:$J$3,0))),"")</f>
        <v/>
      </c>
    </row>
    <row r="559">
      <c r="A559" s="29" t="str">
        <f t="array" ref="A559">IFNA(TRANSPOSE(INDEX('Parâmetros'!$B$4:$J3001,,MATCH(Exames!F557,'Parâmetros'!$B$3:$J$3,0))),"")</f>
        <v/>
      </c>
    </row>
    <row r="560">
      <c r="A560" s="29" t="str">
        <f t="array" ref="A560">IFNA(TRANSPOSE(INDEX('Parâmetros'!$B$4:$J3001,,MATCH(Exames!F558,'Parâmetros'!$B$3:$J$3,0))),"")</f>
        <v/>
      </c>
    </row>
    <row r="561">
      <c r="A561" s="29" t="str">
        <f t="array" ref="A561">IFNA(TRANSPOSE(INDEX('Parâmetros'!$B$4:$J3001,,MATCH(Exames!F559,'Parâmetros'!$B$3:$J$3,0))),"")</f>
        <v/>
      </c>
    </row>
    <row r="562">
      <c r="A562" s="29" t="str">
        <f t="array" ref="A562">IFNA(TRANSPOSE(INDEX('Parâmetros'!$B$4:$J3001,,MATCH(Exames!F560,'Parâmetros'!$B$3:$J$3,0))),"")</f>
        <v/>
      </c>
    </row>
    <row r="563">
      <c r="A563" s="29" t="str">
        <f t="array" ref="A563">IFNA(TRANSPOSE(INDEX('Parâmetros'!$B$4:$J3001,,MATCH(Exames!F561,'Parâmetros'!$B$3:$J$3,0))),"")</f>
        <v/>
      </c>
    </row>
    <row r="564">
      <c r="A564" s="29" t="str">
        <f t="array" ref="A564">IFNA(TRANSPOSE(INDEX('Parâmetros'!$B$4:$J3001,,MATCH(Exames!F562,'Parâmetros'!$B$3:$J$3,0))),"")</f>
        <v/>
      </c>
    </row>
    <row r="565">
      <c r="A565" s="29" t="str">
        <f t="array" ref="A565">IFNA(TRANSPOSE(INDEX('Parâmetros'!$B$4:$J3001,,MATCH(Exames!F563,'Parâmetros'!$B$3:$J$3,0))),"")</f>
        <v/>
      </c>
    </row>
    <row r="566">
      <c r="A566" s="29" t="str">
        <f t="array" ref="A566">IFNA(TRANSPOSE(INDEX('Parâmetros'!$B$4:$J3001,,MATCH(Exames!F564,'Parâmetros'!$B$3:$J$3,0))),"")</f>
        <v/>
      </c>
    </row>
    <row r="567">
      <c r="A567" s="29" t="str">
        <f t="array" ref="A567">IFNA(TRANSPOSE(INDEX('Parâmetros'!$B$4:$J3001,,MATCH(Exames!F565,'Parâmetros'!$B$3:$J$3,0))),"")</f>
        <v/>
      </c>
    </row>
    <row r="568">
      <c r="A568" s="29" t="str">
        <f t="array" ref="A568">IFNA(TRANSPOSE(INDEX('Parâmetros'!$B$4:$J3001,,MATCH(Exames!F566,'Parâmetros'!$B$3:$J$3,0))),"")</f>
        <v/>
      </c>
    </row>
    <row r="569">
      <c r="A569" s="29" t="str">
        <f t="array" ref="A569">IFNA(TRANSPOSE(INDEX('Parâmetros'!$B$4:$J3001,,MATCH(Exames!F567,'Parâmetros'!$B$3:$J$3,0))),"")</f>
        <v/>
      </c>
    </row>
    <row r="570">
      <c r="A570" s="29" t="str">
        <f t="array" ref="A570">IFNA(TRANSPOSE(INDEX('Parâmetros'!$B$4:$J3001,,MATCH(Exames!F568,'Parâmetros'!$B$3:$J$3,0))),"")</f>
        <v/>
      </c>
    </row>
    <row r="571">
      <c r="A571" s="29" t="str">
        <f t="array" ref="A571">IFNA(TRANSPOSE(INDEX('Parâmetros'!$B$4:$J3001,,MATCH(Exames!F569,'Parâmetros'!$B$3:$J$3,0))),"")</f>
        <v/>
      </c>
    </row>
    <row r="572">
      <c r="A572" s="29" t="str">
        <f t="array" ref="A572">IFNA(TRANSPOSE(INDEX('Parâmetros'!$B$4:$J3001,,MATCH(Exames!F570,'Parâmetros'!$B$3:$J$3,0))),"")</f>
        <v/>
      </c>
    </row>
    <row r="573">
      <c r="A573" s="29" t="str">
        <f t="array" ref="A573">IFNA(TRANSPOSE(INDEX('Parâmetros'!$B$4:$J3001,,MATCH(Exames!F571,'Parâmetros'!$B$3:$J$3,0))),"")</f>
        <v/>
      </c>
    </row>
    <row r="574">
      <c r="A574" s="29" t="str">
        <f t="array" ref="A574">IFNA(TRANSPOSE(INDEX('Parâmetros'!$B$4:$J3001,,MATCH(Exames!F572,'Parâmetros'!$B$3:$J$3,0))),"")</f>
        <v/>
      </c>
    </row>
    <row r="575">
      <c r="A575" s="29" t="str">
        <f t="array" ref="A575">IFNA(TRANSPOSE(INDEX('Parâmetros'!$B$4:$J3001,,MATCH(Exames!F573,'Parâmetros'!$B$3:$J$3,0))),"")</f>
        <v/>
      </c>
    </row>
    <row r="576">
      <c r="A576" s="29" t="str">
        <f t="array" ref="A576">IFNA(TRANSPOSE(INDEX('Parâmetros'!$B$4:$J3001,,MATCH(Exames!F574,'Parâmetros'!$B$3:$J$3,0))),"")</f>
        <v/>
      </c>
    </row>
    <row r="577">
      <c r="A577" s="29" t="str">
        <f t="array" ref="A577">IFNA(TRANSPOSE(INDEX('Parâmetros'!$B$4:$J3001,,MATCH(Exames!F575,'Parâmetros'!$B$3:$J$3,0))),"")</f>
        <v/>
      </c>
    </row>
    <row r="578">
      <c r="A578" s="29" t="str">
        <f t="array" ref="A578">IFNA(TRANSPOSE(INDEX('Parâmetros'!$B$4:$J3001,,MATCH(Exames!F576,'Parâmetros'!$B$3:$J$3,0))),"")</f>
        <v/>
      </c>
    </row>
    <row r="579">
      <c r="A579" s="29" t="str">
        <f t="array" ref="A579">IFNA(TRANSPOSE(INDEX('Parâmetros'!$B$4:$J3001,,MATCH(Exames!F577,'Parâmetros'!$B$3:$J$3,0))),"")</f>
        <v/>
      </c>
    </row>
    <row r="580">
      <c r="A580" s="29" t="str">
        <f t="array" ref="A580">IFNA(TRANSPOSE(INDEX('Parâmetros'!$B$4:$J3001,,MATCH(Exames!F578,'Parâmetros'!$B$3:$J$3,0))),"")</f>
        <v/>
      </c>
    </row>
    <row r="581">
      <c r="A581" s="29" t="str">
        <f t="array" ref="A581">IFNA(TRANSPOSE(INDEX('Parâmetros'!$B$4:$J3001,,MATCH(Exames!F579,'Parâmetros'!$B$3:$J$3,0))),"")</f>
        <v/>
      </c>
    </row>
    <row r="582">
      <c r="A582" s="29" t="str">
        <f t="array" ref="A582">IFNA(TRANSPOSE(INDEX('Parâmetros'!$B$4:$J3001,,MATCH(Exames!F580,'Parâmetros'!$B$3:$J$3,0))),"")</f>
        <v/>
      </c>
    </row>
    <row r="583">
      <c r="A583" s="29" t="str">
        <f t="array" ref="A583">IFNA(TRANSPOSE(INDEX('Parâmetros'!$B$4:$J3001,,MATCH(Exames!F581,'Parâmetros'!$B$3:$J$3,0))),"")</f>
        <v/>
      </c>
    </row>
    <row r="584">
      <c r="A584" s="29" t="str">
        <f t="array" ref="A584">IFNA(TRANSPOSE(INDEX('Parâmetros'!$B$4:$J3001,,MATCH(Exames!F582,'Parâmetros'!$B$3:$J$3,0))),"")</f>
        <v/>
      </c>
    </row>
    <row r="585">
      <c r="A585" s="29" t="str">
        <f t="array" ref="A585">IFNA(TRANSPOSE(INDEX('Parâmetros'!$B$4:$J3001,,MATCH(Exames!F583,'Parâmetros'!$B$3:$J$3,0))),"")</f>
        <v/>
      </c>
    </row>
    <row r="586">
      <c r="A586" s="29" t="str">
        <f t="array" ref="A586">IFNA(TRANSPOSE(INDEX('Parâmetros'!$B$4:$J3001,,MATCH(Exames!F584,'Parâmetros'!$B$3:$J$3,0))),"")</f>
        <v/>
      </c>
    </row>
    <row r="587">
      <c r="A587" s="29" t="str">
        <f t="array" ref="A587">IFNA(TRANSPOSE(INDEX('Parâmetros'!$B$4:$J3001,,MATCH(Exames!F585,'Parâmetros'!$B$3:$J$3,0))),"")</f>
        <v/>
      </c>
    </row>
    <row r="588">
      <c r="A588" s="29" t="str">
        <f t="array" ref="A588">IFNA(TRANSPOSE(INDEX('Parâmetros'!$B$4:$J3001,,MATCH(Exames!F586,'Parâmetros'!$B$3:$J$3,0))),"")</f>
        <v/>
      </c>
    </row>
    <row r="589">
      <c r="A589" s="29" t="str">
        <f t="array" ref="A589">IFNA(TRANSPOSE(INDEX('Parâmetros'!$B$4:$J3001,,MATCH(Exames!F587,'Parâmetros'!$B$3:$J$3,0))),"")</f>
        <v/>
      </c>
    </row>
    <row r="590">
      <c r="A590" s="29" t="str">
        <f t="array" ref="A590">IFNA(TRANSPOSE(INDEX('Parâmetros'!$B$4:$J3001,,MATCH(Exames!F588,'Parâmetros'!$B$3:$J$3,0))),"")</f>
        <v/>
      </c>
    </row>
    <row r="591">
      <c r="A591" s="29" t="str">
        <f t="array" ref="A591">IFNA(TRANSPOSE(INDEX('Parâmetros'!$B$4:$J3001,,MATCH(Exames!F589,'Parâmetros'!$B$3:$J$3,0))),"")</f>
        <v/>
      </c>
    </row>
    <row r="592">
      <c r="A592" s="29" t="str">
        <f t="array" ref="A592">IFNA(TRANSPOSE(INDEX('Parâmetros'!$B$4:$J3001,,MATCH(Exames!F590,'Parâmetros'!$B$3:$J$3,0))),"")</f>
        <v/>
      </c>
    </row>
    <row r="593">
      <c r="A593" s="29" t="str">
        <f t="array" ref="A593">IFNA(TRANSPOSE(INDEX('Parâmetros'!$B$4:$J3001,,MATCH(Exames!F591,'Parâmetros'!$B$3:$J$3,0))),"")</f>
        <v/>
      </c>
    </row>
    <row r="594">
      <c r="A594" s="29" t="str">
        <f t="array" ref="A594">IFNA(TRANSPOSE(INDEX('Parâmetros'!$B$4:$J3001,,MATCH(Exames!F592,'Parâmetros'!$B$3:$J$3,0))),"")</f>
        <v/>
      </c>
    </row>
    <row r="595">
      <c r="A595" s="29" t="str">
        <f t="array" ref="A595">IFNA(TRANSPOSE(INDEX('Parâmetros'!$B$4:$J3001,,MATCH(Exames!F593,'Parâmetros'!$B$3:$J$3,0))),"")</f>
        <v/>
      </c>
    </row>
    <row r="596">
      <c r="A596" s="29" t="str">
        <f t="array" ref="A596">IFNA(TRANSPOSE(INDEX('Parâmetros'!$B$4:$J3001,,MATCH(Exames!F594,'Parâmetros'!$B$3:$J$3,0))),"")</f>
        <v/>
      </c>
    </row>
    <row r="597">
      <c r="A597" s="29" t="str">
        <f t="array" ref="A597">IFNA(TRANSPOSE(INDEX('Parâmetros'!$B$4:$J3001,,MATCH(Exames!F595,'Parâmetros'!$B$3:$J$3,0))),"")</f>
        <v/>
      </c>
    </row>
    <row r="598">
      <c r="A598" s="29" t="str">
        <f t="array" ref="A598">IFNA(TRANSPOSE(INDEX('Parâmetros'!$B$4:$J3001,,MATCH(Exames!F596,'Parâmetros'!$B$3:$J$3,0))),"")</f>
        <v/>
      </c>
    </row>
    <row r="599">
      <c r="A599" s="29" t="str">
        <f t="array" ref="A599">IFNA(TRANSPOSE(INDEX('Parâmetros'!$B$4:$J3001,,MATCH(Exames!F597,'Parâmetros'!$B$3:$J$3,0))),"")</f>
        <v/>
      </c>
    </row>
    <row r="600">
      <c r="A600" s="29" t="str">
        <f t="array" ref="A600">IFNA(TRANSPOSE(INDEX('Parâmetros'!$B$4:$J3001,,MATCH(Exames!F598,'Parâmetros'!$B$3:$J$3,0))),"")</f>
        <v/>
      </c>
    </row>
    <row r="601">
      <c r="A601" s="29" t="str">
        <f t="array" ref="A601">IFNA(TRANSPOSE(INDEX('Parâmetros'!$B$4:$J3001,,MATCH(Exames!F599,'Parâmetros'!$B$3:$J$3,0))),"")</f>
        <v/>
      </c>
    </row>
    <row r="602">
      <c r="A602" s="29" t="str">
        <f t="array" ref="A602">IFNA(TRANSPOSE(INDEX('Parâmetros'!$B$4:$J3001,,MATCH(Exames!F600,'Parâmetros'!$B$3:$J$3,0))),"")</f>
        <v/>
      </c>
    </row>
    <row r="603">
      <c r="A603" s="29" t="str">
        <f t="array" ref="A603">IFNA(TRANSPOSE(INDEX('Parâmetros'!$B$4:$J3001,,MATCH(Exames!F601,'Parâmetros'!$B$3:$J$3,0))),"")</f>
        <v/>
      </c>
    </row>
    <row r="604">
      <c r="A604" s="29" t="str">
        <f t="array" ref="A604">IFNA(TRANSPOSE(INDEX('Parâmetros'!$B$4:$J3001,,MATCH(Exames!F602,'Parâmetros'!$B$3:$J$3,0))),"")</f>
        <v/>
      </c>
    </row>
    <row r="605">
      <c r="A605" s="29" t="str">
        <f t="array" ref="A605">IFNA(TRANSPOSE(INDEX('Parâmetros'!$B$4:$J3001,,MATCH(Exames!F603,'Parâmetros'!$B$3:$J$3,0))),"")</f>
        <v/>
      </c>
    </row>
    <row r="606">
      <c r="A606" s="29" t="str">
        <f t="array" ref="A606">IFNA(TRANSPOSE(INDEX('Parâmetros'!$B$4:$J3001,,MATCH(Exames!F604,'Parâmetros'!$B$3:$J$3,0))),"")</f>
        <v/>
      </c>
    </row>
    <row r="607">
      <c r="A607" s="29" t="str">
        <f t="array" ref="A607">IFNA(TRANSPOSE(INDEX('Parâmetros'!$B$4:$J3001,,MATCH(Exames!F605,'Parâmetros'!$B$3:$J$3,0))),"")</f>
        <v/>
      </c>
    </row>
    <row r="608">
      <c r="A608" s="29" t="str">
        <f t="array" ref="A608">IFNA(TRANSPOSE(INDEX('Parâmetros'!$B$4:$J3001,,MATCH(Exames!F606,'Parâmetros'!$B$3:$J$3,0))),"")</f>
        <v/>
      </c>
    </row>
    <row r="609">
      <c r="A609" s="29" t="str">
        <f t="array" ref="A609">IFNA(TRANSPOSE(INDEX('Parâmetros'!$B$4:$J3001,,MATCH(Exames!F607,'Parâmetros'!$B$3:$J$3,0))),"")</f>
        <v/>
      </c>
    </row>
    <row r="610">
      <c r="A610" s="29" t="str">
        <f t="array" ref="A610">IFNA(TRANSPOSE(INDEX('Parâmetros'!$B$4:$J3001,,MATCH(Exames!F608,'Parâmetros'!$B$3:$J$3,0))),"")</f>
        <v/>
      </c>
    </row>
    <row r="611">
      <c r="A611" s="29" t="str">
        <f t="array" ref="A611">IFNA(TRANSPOSE(INDEX('Parâmetros'!$B$4:$J3001,,MATCH(Exames!F609,'Parâmetros'!$B$3:$J$3,0))),"")</f>
        <v/>
      </c>
    </row>
    <row r="612">
      <c r="A612" s="29" t="str">
        <f t="array" ref="A612">IFNA(TRANSPOSE(INDEX('Parâmetros'!$B$4:$J3001,,MATCH(Exames!F610,'Parâmetros'!$B$3:$J$3,0))),"")</f>
        <v/>
      </c>
    </row>
    <row r="613">
      <c r="A613" s="29" t="str">
        <f t="array" ref="A613">IFNA(TRANSPOSE(INDEX('Parâmetros'!$B$4:$J3001,,MATCH(Exames!F611,'Parâmetros'!$B$3:$J$3,0))),"")</f>
        <v/>
      </c>
    </row>
    <row r="614">
      <c r="A614" s="29" t="str">
        <f t="array" ref="A614">IFNA(TRANSPOSE(INDEX('Parâmetros'!$B$4:$J3001,,MATCH(Exames!F612,'Parâmetros'!$B$3:$J$3,0))),"")</f>
        <v/>
      </c>
    </row>
    <row r="615">
      <c r="A615" s="29" t="str">
        <f t="array" ref="A615">IFNA(TRANSPOSE(INDEX('Parâmetros'!$B$4:$J3001,,MATCH(Exames!F613,'Parâmetros'!$B$3:$J$3,0))),"")</f>
        <v/>
      </c>
    </row>
    <row r="616">
      <c r="A616" s="29" t="str">
        <f t="array" ref="A616">IFNA(TRANSPOSE(INDEX('Parâmetros'!$B$4:$J3001,,MATCH(Exames!F614,'Parâmetros'!$B$3:$J$3,0))),"")</f>
        <v/>
      </c>
    </row>
    <row r="617">
      <c r="A617" s="29" t="str">
        <f t="array" ref="A617">IFNA(TRANSPOSE(INDEX('Parâmetros'!$B$4:$J3001,,MATCH(Exames!F615,'Parâmetros'!$B$3:$J$3,0))),"")</f>
        <v/>
      </c>
    </row>
    <row r="618">
      <c r="A618" s="29" t="str">
        <f t="array" ref="A618">IFNA(TRANSPOSE(INDEX('Parâmetros'!$B$4:$J3001,,MATCH(Exames!F616,'Parâmetros'!$B$3:$J$3,0))),"")</f>
        <v/>
      </c>
    </row>
    <row r="619">
      <c r="A619" s="29" t="str">
        <f t="array" ref="A619">IFNA(TRANSPOSE(INDEX('Parâmetros'!$B$4:$J3001,,MATCH(Exames!F617,'Parâmetros'!$B$3:$J$3,0))),"")</f>
        <v/>
      </c>
    </row>
    <row r="620">
      <c r="A620" s="29" t="str">
        <f t="array" ref="A620">IFNA(TRANSPOSE(INDEX('Parâmetros'!$B$4:$J3001,,MATCH(Exames!F618,'Parâmetros'!$B$3:$J$3,0))),"")</f>
        <v/>
      </c>
    </row>
    <row r="621">
      <c r="A621" s="29" t="str">
        <f t="array" ref="A621">IFNA(TRANSPOSE(INDEX('Parâmetros'!$B$4:$J3001,,MATCH(Exames!F619,'Parâmetros'!$B$3:$J$3,0))),"")</f>
        <v/>
      </c>
    </row>
    <row r="622">
      <c r="A622" s="29" t="str">
        <f t="array" ref="A622">IFNA(TRANSPOSE(INDEX('Parâmetros'!$B$4:$J3001,,MATCH(Exames!F620,'Parâmetros'!$B$3:$J$3,0))),"")</f>
        <v/>
      </c>
    </row>
    <row r="623">
      <c r="A623" s="29" t="str">
        <f t="array" ref="A623">IFNA(TRANSPOSE(INDEX('Parâmetros'!$B$4:$J3001,,MATCH(Exames!F621,'Parâmetros'!$B$3:$J$3,0))),"")</f>
        <v/>
      </c>
    </row>
    <row r="624">
      <c r="A624" s="29" t="str">
        <f t="array" ref="A624">IFNA(TRANSPOSE(INDEX('Parâmetros'!$B$4:$J3001,,MATCH(Exames!F622,'Parâmetros'!$B$3:$J$3,0))),"")</f>
        <v/>
      </c>
    </row>
    <row r="625">
      <c r="A625" s="29" t="str">
        <f t="array" ref="A625">IFNA(TRANSPOSE(INDEX('Parâmetros'!$B$4:$J3001,,MATCH(Exames!F623,'Parâmetros'!$B$3:$J$3,0))),"")</f>
        <v/>
      </c>
    </row>
    <row r="626">
      <c r="A626" s="29" t="str">
        <f t="array" ref="A626">IFNA(TRANSPOSE(INDEX('Parâmetros'!$B$4:$J3001,,MATCH(Exames!F624,'Parâmetros'!$B$3:$J$3,0))),"")</f>
        <v/>
      </c>
    </row>
    <row r="627">
      <c r="A627" s="29" t="str">
        <f t="array" ref="A627">IFNA(TRANSPOSE(INDEX('Parâmetros'!$B$4:$J3001,,MATCH(Exames!F625,'Parâmetros'!$B$3:$J$3,0))),"")</f>
        <v/>
      </c>
    </row>
    <row r="628">
      <c r="A628" s="29" t="str">
        <f t="array" ref="A628">IFNA(TRANSPOSE(INDEX('Parâmetros'!$B$4:$J3001,,MATCH(Exames!F626,'Parâmetros'!$B$3:$J$3,0))),"")</f>
        <v/>
      </c>
    </row>
    <row r="629">
      <c r="A629" s="29" t="str">
        <f t="array" ref="A629">IFNA(TRANSPOSE(INDEX('Parâmetros'!$B$4:$J3001,,MATCH(Exames!F627,'Parâmetros'!$B$3:$J$3,0))),"")</f>
        <v/>
      </c>
    </row>
    <row r="630">
      <c r="A630" s="29" t="str">
        <f t="array" ref="A630">IFNA(TRANSPOSE(INDEX('Parâmetros'!$B$4:$J3001,,MATCH(Exames!F628,'Parâmetros'!$B$3:$J$3,0))),"")</f>
        <v/>
      </c>
    </row>
    <row r="631">
      <c r="A631" s="29" t="str">
        <f t="array" ref="A631">IFNA(TRANSPOSE(INDEX('Parâmetros'!$B$4:$J3001,,MATCH(Exames!F629,'Parâmetros'!$B$3:$J$3,0))),"")</f>
        <v/>
      </c>
    </row>
    <row r="632">
      <c r="A632" s="29" t="str">
        <f t="array" ref="A632">IFNA(TRANSPOSE(INDEX('Parâmetros'!$B$4:$J3001,,MATCH(Exames!F630,'Parâmetros'!$B$3:$J$3,0))),"")</f>
        <v/>
      </c>
    </row>
    <row r="633">
      <c r="A633" s="29" t="str">
        <f t="array" ref="A633">IFNA(TRANSPOSE(INDEX('Parâmetros'!$B$4:$J3001,,MATCH(Exames!F631,'Parâmetros'!$B$3:$J$3,0))),"")</f>
        <v/>
      </c>
    </row>
    <row r="634">
      <c r="A634" s="29" t="str">
        <f t="array" ref="A634">IFNA(TRANSPOSE(INDEX('Parâmetros'!$B$4:$J3001,,MATCH(Exames!F632,'Parâmetros'!$B$3:$J$3,0))),"")</f>
        <v/>
      </c>
    </row>
    <row r="635">
      <c r="A635" s="29" t="str">
        <f t="array" ref="A635">IFNA(TRANSPOSE(INDEX('Parâmetros'!$B$4:$J3001,,MATCH(Exames!F633,'Parâmetros'!$B$3:$J$3,0))),"")</f>
        <v/>
      </c>
    </row>
    <row r="636">
      <c r="A636" s="29" t="str">
        <f t="array" ref="A636">IFNA(TRANSPOSE(INDEX('Parâmetros'!$B$4:$J3001,,MATCH(Exames!F634,'Parâmetros'!$B$3:$J$3,0))),"")</f>
        <v/>
      </c>
    </row>
    <row r="637">
      <c r="A637" s="29" t="str">
        <f t="array" ref="A637">IFNA(TRANSPOSE(INDEX('Parâmetros'!$B$4:$J3001,,MATCH(Exames!F635,'Parâmetros'!$B$3:$J$3,0))),"")</f>
        <v/>
      </c>
    </row>
    <row r="638">
      <c r="A638" s="29" t="str">
        <f t="array" ref="A638">IFNA(TRANSPOSE(INDEX('Parâmetros'!$B$4:$J3001,,MATCH(Exames!F636,'Parâmetros'!$B$3:$J$3,0))),"")</f>
        <v/>
      </c>
    </row>
    <row r="639">
      <c r="A639" s="29" t="str">
        <f t="array" ref="A639">IFNA(TRANSPOSE(INDEX('Parâmetros'!$B$4:$J3001,,MATCH(Exames!F637,'Parâmetros'!$B$3:$J$3,0))),"")</f>
        <v/>
      </c>
    </row>
    <row r="640">
      <c r="A640" s="29" t="str">
        <f t="array" ref="A640">IFNA(TRANSPOSE(INDEX('Parâmetros'!$B$4:$J3001,,MATCH(Exames!F638,'Parâmetros'!$B$3:$J$3,0))),"")</f>
        <v/>
      </c>
    </row>
    <row r="641">
      <c r="A641" s="29" t="str">
        <f t="array" ref="A641">IFNA(TRANSPOSE(INDEX('Parâmetros'!$B$4:$J3001,,MATCH(Exames!F639,'Parâmetros'!$B$3:$J$3,0))),"")</f>
        <v/>
      </c>
    </row>
    <row r="642">
      <c r="A642" s="29" t="str">
        <f t="array" ref="A642">IFNA(TRANSPOSE(INDEX('Parâmetros'!$B$4:$J3001,,MATCH(Exames!F640,'Parâmetros'!$B$3:$J$3,0))),"")</f>
        <v/>
      </c>
    </row>
    <row r="643">
      <c r="A643" s="29" t="str">
        <f t="array" ref="A643">IFNA(TRANSPOSE(INDEX('Parâmetros'!$B$4:$J3001,,MATCH(Exames!F641,'Parâmetros'!$B$3:$J$3,0))),"")</f>
        <v/>
      </c>
    </row>
    <row r="644">
      <c r="A644" s="29" t="str">
        <f t="array" ref="A644">IFNA(TRANSPOSE(INDEX('Parâmetros'!$B$4:$J3001,,MATCH(Exames!F642,'Parâmetros'!$B$3:$J$3,0))),"")</f>
        <v/>
      </c>
    </row>
    <row r="645">
      <c r="A645" s="29" t="str">
        <f t="array" ref="A645">IFNA(TRANSPOSE(INDEX('Parâmetros'!$B$4:$J3001,,MATCH(Exames!F643,'Parâmetros'!$B$3:$J$3,0))),"")</f>
        <v/>
      </c>
    </row>
    <row r="646">
      <c r="A646" s="29" t="str">
        <f t="array" ref="A646">IFNA(TRANSPOSE(INDEX('Parâmetros'!$B$4:$J3001,,MATCH(Exames!F644,'Parâmetros'!$B$3:$J$3,0))),"")</f>
        <v/>
      </c>
    </row>
    <row r="647">
      <c r="A647" s="29" t="str">
        <f t="array" ref="A647">IFNA(TRANSPOSE(INDEX('Parâmetros'!$B$4:$J3001,,MATCH(Exames!F645,'Parâmetros'!$B$3:$J$3,0))),"")</f>
        <v/>
      </c>
    </row>
    <row r="648">
      <c r="A648" s="29" t="str">
        <f t="array" ref="A648">IFNA(TRANSPOSE(INDEX('Parâmetros'!$B$4:$J3001,,MATCH(Exames!F646,'Parâmetros'!$B$3:$J$3,0))),"")</f>
        <v/>
      </c>
    </row>
    <row r="649">
      <c r="A649" s="29" t="str">
        <f t="array" ref="A649">IFNA(TRANSPOSE(INDEX('Parâmetros'!$B$4:$J3001,,MATCH(Exames!F647,'Parâmetros'!$B$3:$J$3,0))),"")</f>
        <v/>
      </c>
    </row>
    <row r="650">
      <c r="A650" s="29" t="str">
        <f t="array" ref="A650">IFNA(TRANSPOSE(INDEX('Parâmetros'!$B$4:$J3001,,MATCH(Exames!F648,'Parâmetros'!$B$3:$J$3,0))),"")</f>
        <v/>
      </c>
    </row>
    <row r="651">
      <c r="A651" s="29" t="str">
        <f t="array" ref="A651">IFNA(TRANSPOSE(INDEX('Parâmetros'!$B$4:$J3001,,MATCH(Exames!F649,'Parâmetros'!$B$3:$J$3,0))),"")</f>
        <v/>
      </c>
    </row>
    <row r="652">
      <c r="A652" s="29" t="str">
        <f t="array" ref="A652">IFNA(TRANSPOSE(INDEX('Parâmetros'!$B$4:$J3001,,MATCH(Exames!F650,'Parâmetros'!$B$3:$J$3,0))),"")</f>
        <v/>
      </c>
    </row>
    <row r="653">
      <c r="A653" s="29" t="str">
        <f t="array" ref="A653">IFNA(TRANSPOSE(INDEX('Parâmetros'!$B$4:$J3001,,MATCH(Exames!F651,'Parâmetros'!$B$3:$J$3,0))),"")</f>
        <v/>
      </c>
    </row>
    <row r="654">
      <c r="A654" s="29" t="str">
        <f t="array" ref="A654">IFNA(TRANSPOSE(INDEX('Parâmetros'!$B$4:$J3001,,MATCH(Exames!F652,'Parâmetros'!$B$3:$J$3,0))),"")</f>
        <v/>
      </c>
    </row>
    <row r="655">
      <c r="A655" s="29" t="str">
        <f t="array" ref="A655">IFNA(TRANSPOSE(INDEX('Parâmetros'!$B$4:$J3001,,MATCH(Exames!F653,'Parâmetros'!$B$3:$J$3,0))),"")</f>
        <v/>
      </c>
    </row>
    <row r="656">
      <c r="A656" s="29" t="str">
        <f t="array" ref="A656">IFNA(TRANSPOSE(INDEX('Parâmetros'!$B$4:$J3001,,MATCH(Exames!F654,'Parâmetros'!$B$3:$J$3,0))),"")</f>
        <v/>
      </c>
    </row>
    <row r="657">
      <c r="A657" s="29" t="str">
        <f t="array" ref="A657">IFNA(TRANSPOSE(INDEX('Parâmetros'!$B$4:$J3001,,MATCH(Exames!F655,'Parâmetros'!$B$3:$J$3,0))),"")</f>
        <v/>
      </c>
    </row>
    <row r="658">
      <c r="A658" s="29" t="str">
        <f t="array" ref="A658">IFNA(TRANSPOSE(INDEX('Parâmetros'!$B$4:$J3001,,MATCH(Exames!F656,'Parâmetros'!$B$3:$J$3,0))),"")</f>
        <v/>
      </c>
    </row>
    <row r="659">
      <c r="A659" s="29" t="str">
        <f t="array" ref="A659">IFNA(TRANSPOSE(INDEX('Parâmetros'!$B$4:$J3001,,MATCH(Exames!F657,'Parâmetros'!$B$3:$J$3,0))),"")</f>
        <v/>
      </c>
    </row>
    <row r="660">
      <c r="A660" s="29" t="str">
        <f t="array" ref="A660">IFNA(TRANSPOSE(INDEX('Parâmetros'!$B$4:$J3001,,MATCH(Exames!F658,'Parâmetros'!$B$3:$J$3,0))),"")</f>
        <v/>
      </c>
    </row>
    <row r="661">
      <c r="A661" s="29" t="str">
        <f t="array" ref="A661">IFNA(TRANSPOSE(INDEX('Parâmetros'!$B$4:$J3001,,MATCH(Exames!F659,'Parâmetros'!$B$3:$J$3,0))),"")</f>
        <v/>
      </c>
    </row>
    <row r="662">
      <c r="A662" s="29" t="str">
        <f t="array" ref="A662">IFNA(TRANSPOSE(INDEX('Parâmetros'!$B$4:$J3001,,MATCH(Exames!F660,'Parâmetros'!$B$3:$J$3,0))),"")</f>
        <v/>
      </c>
    </row>
    <row r="663">
      <c r="A663" s="29" t="str">
        <f t="array" ref="A663">IFNA(TRANSPOSE(INDEX('Parâmetros'!$B$4:$J3001,,MATCH(Exames!F661,'Parâmetros'!$B$3:$J$3,0))),"")</f>
        <v/>
      </c>
    </row>
    <row r="664">
      <c r="A664" s="29" t="str">
        <f t="array" ref="A664">IFNA(TRANSPOSE(INDEX('Parâmetros'!$B$4:$J3001,,MATCH(Exames!F662,'Parâmetros'!$B$3:$J$3,0))),"")</f>
        <v/>
      </c>
    </row>
    <row r="665">
      <c r="A665" s="29" t="str">
        <f t="array" ref="A665">IFNA(TRANSPOSE(INDEX('Parâmetros'!$B$4:$J3001,,MATCH(Exames!F663,'Parâmetros'!$B$3:$J$3,0))),"")</f>
        <v/>
      </c>
    </row>
    <row r="666">
      <c r="A666" s="29" t="str">
        <f t="array" ref="A666">IFNA(TRANSPOSE(INDEX('Parâmetros'!$B$4:$J3001,,MATCH(Exames!F664,'Parâmetros'!$B$3:$J$3,0))),"")</f>
        <v/>
      </c>
    </row>
    <row r="667">
      <c r="A667" s="29" t="str">
        <f t="array" ref="A667">IFNA(TRANSPOSE(INDEX('Parâmetros'!$B$4:$J3001,,MATCH(Exames!F665,'Parâmetros'!$B$3:$J$3,0))),"")</f>
        <v/>
      </c>
    </row>
    <row r="668">
      <c r="A668" s="29" t="str">
        <f t="array" ref="A668">IFNA(TRANSPOSE(INDEX('Parâmetros'!$B$4:$J3001,,MATCH(Exames!F666,'Parâmetros'!$B$3:$J$3,0))),"")</f>
        <v/>
      </c>
    </row>
    <row r="669">
      <c r="A669" s="29" t="str">
        <f t="array" ref="A669">IFNA(TRANSPOSE(INDEX('Parâmetros'!$B$4:$J3001,,MATCH(Exames!F667,'Parâmetros'!$B$3:$J$3,0))),"")</f>
        <v/>
      </c>
    </row>
    <row r="670">
      <c r="A670" s="29" t="str">
        <f t="array" ref="A670">IFNA(TRANSPOSE(INDEX('Parâmetros'!$B$4:$J3001,,MATCH(Exames!F668,'Parâmetros'!$B$3:$J$3,0))),"")</f>
        <v/>
      </c>
    </row>
    <row r="671">
      <c r="A671" s="29" t="str">
        <f t="array" ref="A671">IFNA(TRANSPOSE(INDEX('Parâmetros'!$B$4:$J3001,,MATCH(Exames!F669,'Parâmetros'!$B$3:$J$3,0))),"")</f>
        <v/>
      </c>
    </row>
    <row r="672">
      <c r="A672" s="29" t="str">
        <f t="array" ref="A672">IFNA(TRANSPOSE(INDEX('Parâmetros'!$B$4:$J3001,,MATCH(Exames!F670,'Parâmetros'!$B$3:$J$3,0))),"")</f>
        <v/>
      </c>
    </row>
    <row r="673">
      <c r="A673" s="29" t="str">
        <f t="array" ref="A673">IFNA(TRANSPOSE(INDEX('Parâmetros'!$B$4:$J3001,,MATCH(Exames!F671,'Parâmetros'!$B$3:$J$3,0))),"")</f>
        <v/>
      </c>
    </row>
    <row r="674">
      <c r="A674" s="29" t="str">
        <f t="array" ref="A674">IFNA(TRANSPOSE(INDEX('Parâmetros'!$B$4:$J3001,,MATCH(Exames!F672,'Parâmetros'!$B$3:$J$3,0))),"")</f>
        <v/>
      </c>
    </row>
    <row r="675">
      <c r="A675" s="29" t="str">
        <f t="array" ref="A675">IFNA(TRANSPOSE(INDEX('Parâmetros'!$B$4:$J3001,,MATCH(Exames!F673,'Parâmetros'!$B$3:$J$3,0))),"")</f>
        <v/>
      </c>
    </row>
    <row r="676">
      <c r="A676" s="29" t="str">
        <f t="array" ref="A676">IFNA(TRANSPOSE(INDEX('Parâmetros'!$B$4:$J3001,,MATCH(Exames!F674,'Parâmetros'!$B$3:$J$3,0))),"")</f>
        <v/>
      </c>
    </row>
    <row r="677">
      <c r="A677" s="29" t="str">
        <f t="array" ref="A677">IFNA(TRANSPOSE(INDEX('Parâmetros'!$B$4:$J3001,,MATCH(Exames!F675,'Parâmetros'!$B$3:$J$3,0))),"")</f>
        <v/>
      </c>
    </row>
    <row r="678">
      <c r="A678" s="29" t="str">
        <f t="array" ref="A678">IFNA(TRANSPOSE(INDEX('Parâmetros'!$B$4:$J3001,,MATCH(Exames!F676,'Parâmetros'!$B$3:$J$3,0))),"")</f>
        <v/>
      </c>
    </row>
    <row r="679">
      <c r="A679" s="29" t="str">
        <f t="array" ref="A679">IFNA(TRANSPOSE(INDEX('Parâmetros'!$B$4:$J3001,,MATCH(Exames!F677,'Parâmetros'!$B$3:$J$3,0))),"")</f>
        <v/>
      </c>
    </row>
    <row r="680">
      <c r="A680" s="29" t="str">
        <f t="array" ref="A680">IFNA(TRANSPOSE(INDEX('Parâmetros'!$B$4:$J3001,,MATCH(Exames!F678,'Parâmetros'!$B$3:$J$3,0))),"")</f>
        <v/>
      </c>
    </row>
    <row r="681">
      <c r="A681" s="29" t="str">
        <f t="array" ref="A681">IFNA(TRANSPOSE(INDEX('Parâmetros'!$B$4:$J3001,,MATCH(Exames!F679,'Parâmetros'!$B$3:$J$3,0))),"")</f>
        <v/>
      </c>
    </row>
    <row r="682">
      <c r="A682" s="29" t="str">
        <f t="array" ref="A682">IFNA(TRANSPOSE(INDEX('Parâmetros'!$B$4:$J3001,,MATCH(Exames!F680,'Parâmetros'!$B$3:$J$3,0))),"")</f>
        <v/>
      </c>
    </row>
    <row r="683">
      <c r="A683" s="29" t="str">
        <f t="array" ref="A683">IFNA(TRANSPOSE(INDEX('Parâmetros'!$B$4:$J3001,,MATCH(Exames!F681,'Parâmetros'!$B$3:$J$3,0))),"")</f>
        <v/>
      </c>
    </row>
    <row r="684">
      <c r="A684" s="29" t="str">
        <f t="array" ref="A684">IFNA(TRANSPOSE(INDEX('Parâmetros'!$B$4:$J3001,,MATCH(Exames!F682,'Parâmetros'!$B$3:$J$3,0))),"")</f>
        <v/>
      </c>
    </row>
    <row r="685">
      <c r="A685" s="29" t="str">
        <f t="array" ref="A685">IFNA(TRANSPOSE(INDEX('Parâmetros'!$B$4:$J3001,,MATCH(Exames!F683,'Parâmetros'!$B$3:$J$3,0))),"")</f>
        <v/>
      </c>
    </row>
    <row r="686">
      <c r="A686" s="29" t="str">
        <f t="array" ref="A686">IFNA(TRANSPOSE(INDEX('Parâmetros'!$B$4:$J3001,,MATCH(Exames!F684,'Parâmetros'!$B$3:$J$3,0))),"")</f>
        <v/>
      </c>
    </row>
    <row r="687">
      <c r="A687" s="29" t="str">
        <f t="array" ref="A687">IFNA(TRANSPOSE(INDEX('Parâmetros'!$B$4:$J3001,,MATCH(Exames!F685,'Parâmetros'!$B$3:$J$3,0))),"")</f>
        <v/>
      </c>
    </row>
    <row r="688">
      <c r="A688" s="29" t="str">
        <f t="array" ref="A688">IFNA(TRANSPOSE(INDEX('Parâmetros'!$B$4:$J3001,,MATCH(Exames!F686,'Parâmetros'!$B$3:$J$3,0))),"")</f>
        <v/>
      </c>
    </row>
    <row r="689">
      <c r="A689" s="29" t="str">
        <f t="array" ref="A689">IFNA(TRANSPOSE(INDEX('Parâmetros'!$B$4:$J3001,,MATCH(Exames!F687,'Parâmetros'!$B$3:$J$3,0))),"")</f>
        <v/>
      </c>
    </row>
    <row r="690">
      <c r="A690" s="29" t="str">
        <f t="array" ref="A690">IFNA(TRANSPOSE(INDEX('Parâmetros'!$B$4:$J3001,,MATCH(Exames!F688,'Parâmetros'!$B$3:$J$3,0))),"")</f>
        <v/>
      </c>
    </row>
    <row r="691">
      <c r="A691" s="29" t="str">
        <f t="array" ref="A691">IFNA(TRANSPOSE(INDEX('Parâmetros'!$B$4:$J3001,,MATCH(Exames!F689,'Parâmetros'!$B$3:$J$3,0))),"")</f>
        <v/>
      </c>
    </row>
    <row r="692">
      <c r="A692" s="29" t="str">
        <f t="array" ref="A692">IFNA(TRANSPOSE(INDEX('Parâmetros'!$B$4:$J3001,,MATCH(Exames!F690,'Parâmetros'!$B$3:$J$3,0))),"")</f>
        <v/>
      </c>
    </row>
    <row r="693">
      <c r="A693" s="29" t="str">
        <f t="array" ref="A693">IFNA(TRANSPOSE(INDEX('Parâmetros'!$B$4:$J3001,,MATCH(Exames!F691,'Parâmetros'!$B$3:$J$3,0))),"")</f>
        <v/>
      </c>
    </row>
    <row r="694">
      <c r="A694" s="29" t="str">
        <f t="array" ref="A694">IFNA(TRANSPOSE(INDEX('Parâmetros'!$B$4:$J3001,,MATCH(Exames!F692,'Parâmetros'!$B$3:$J$3,0))),"")</f>
        <v/>
      </c>
    </row>
    <row r="695">
      <c r="A695" s="29" t="str">
        <f t="array" ref="A695">IFNA(TRANSPOSE(INDEX('Parâmetros'!$B$4:$J3001,,MATCH(Exames!F693,'Parâmetros'!$B$3:$J$3,0))),"")</f>
        <v/>
      </c>
    </row>
    <row r="696">
      <c r="A696" s="29" t="str">
        <f t="array" ref="A696">IFNA(TRANSPOSE(INDEX('Parâmetros'!$B$4:$J3001,,MATCH(Exames!F694,'Parâmetros'!$B$3:$J$3,0))),"")</f>
        <v/>
      </c>
    </row>
    <row r="697">
      <c r="A697" s="29" t="str">
        <f t="array" ref="A697">IFNA(TRANSPOSE(INDEX('Parâmetros'!$B$4:$J3001,,MATCH(Exames!F695,'Parâmetros'!$B$3:$J$3,0))),"")</f>
        <v/>
      </c>
    </row>
    <row r="698">
      <c r="A698" s="29" t="str">
        <f t="array" ref="A698">IFNA(TRANSPOSE(INDEX('Parâmetros'!$B$4:$J3001,,MATCH(Exames!F696,'Parâmetros'!$B$3:$J$3,0))),"")</f>
        <v/>
      </c>
    </row>
    <row r="699">
      <c r="A699" s="29" t="str">
        <f t="array" ref="A699">IFNA(TRANSPOSE(INDEX('Parâmetros'!$B$4:$J3001,,MATCH(Exames!F697,'Parâmetros'!$B$3:$J$3,0))),"")</f>
        <v/>
      </c>
    </row>
    <row r="700">
      <c r="A700" s="29" t="str">
        <f t="array" ref="A700">IFNA(TRANSPOSE(INDEX('Parâmetros'!$B$4:$J3001,,MATCH(Exames!F698,'Parâmetros'!$B$3:$J$3,0))),"")</f>
        <v/>
      </c>
    </row>
    <row r="701">
      <c r="A701" s="29" t="str">
        <f t="array" ref="A701">IFNA(TRANSPOSE(INDEX('Parâmetros'!$B$4:$J3001,,MATCH(Exames!F699,'Parâmetros'!$B$3:$J$3,0))),"")</f>
        <v/>
      </c>
    </row>
    <row r="702">
      <c r="A702" s="29" t="str">
        <f t="array" ref="A702">IFNA(TRANSPOSE(INDEX('Parâmetros'!$B$4:$J3001,,MATCH(Exames!F700,'Parâmetros'!$B$3:$J$3,0))),"")</f>
        <v/>
      </c>
    </row>
    <row r="703">
      <c r="A703" s="29" t="str">
        <f t="array" ref="A703">IFNA(TRANSPOSE(INDEX('Parâmetros'!$B$4:$J3001,,MATCH(Exames!F701,'Parâmetros'!$B$3:$J$3,0))),"")</f>
        <v/>
      </c>
    </row>
    <row r="704">
      <c r="A704" s="29" t="str">
        <f t="array" ref="A704">IFNA(TRANSPOSE(INDEX('Parâmetros'!$B$4:$J3001,,MATCH(Exames!F702,'Parâmetros'!$B$3:$J$3,0))),"")</f>
        <v/>
      </c>
    </row>
    <row r="705">
      <c r="A705" s="29" t="str">
        <f t="array" ref="A705">IFNA(TRANSPOSE(INDEX('Parâmetros'!$B$4:$J3001,,MATCH(Exames!F703,'Parâmetros'!$B$3:$J$3,0))),"")</f>
        <v/>
      </c>
    </row>
    <row r="706">
      <c r="A706" s="29" t="str">
        <f t="array" ref="A706">IFNA(TRANSPOSE(INDEX('Parâmetros'!$B$4:$J3001,,MATCH(Exames!F704,'Parâmetros'!$B$3:$J$3,0))),"")</f>
        <v/>
      </c>
    </row>
    <row r="707">
      <c r="A707" s="29" t="str">
        <f t="array" ref="A707">IFNA(TRANSPOSE(INDEX('Parâmetros'!$B$4:$J3001,,MATCH(Exames!F705,'Parâmetros'!$B$3:$J$3,0))),"")</f>
        <v/>
      </c>
    </row>
    <row r="708">
      <c r="A708" s="29" t="str">
        <f t="array" ref="A708">IFNA(TRANSPOSE(INDEX('Parâmetros'!$B$4:$J3001,,MATCH(Exames!F706,'Parâmetros'!$B$3:$J$3,0))),"")</f>
        <v/>
      </c>
    </row>
    <row r="709">
      <c r="A709" s="29" t="str">
        <f t="array" ref="A709">IFNA(TRANSPOSE(INDEX('Parâmetros'!$B$4:$J3001,,MATCH(Exames!F707,'Parâmetros'!$B$3:$J$3,0))),"")</f>
        <v/>
      </c>
    </row>
    <row r="710">
      <c r="A710" s="29" t="str">
        <f t="array" ref="A710">IFNA(TRANSPOSE(INDEX('Parâmetros'!$B$4:$J3001,,MATCH(Exames!F708,'Parâmetros'!$B$3:$J$3,0))),"")</f>
        <v/>
      </c>
    </row>
    <row r="711">
      <c r="A711" s="29" t="str">
        <f t="array" ref="A711">IFNA(TRANSPOSE(INDEX('Parâmetros'!$B$4:$J3001,,MATCH(Exames!F709,'Parâmetros'!$B$3:$J$3,0))),"")</f>
        <v/>
      </c>
    </row>
    <row r="712">
      <c r="A712" s="29" t="str">
        <f t="array" ref="A712">IFNA(TRANSPOSE(INDEX('Parâmetros'!$B$4:$J3001,,MATCH(Exames!F710,'Parâmetros'!$B$3:$J$3,0))),"")</f>
        <v/>
      </c>
    </row>
    <row r="713">
      <c r="A713" s="29" t="str">
        <f t="array" ref="A713">IFNA(TRANSPOSE(INDEX('Parâmetros'!$B$4:$J3001,,MATCH(Exames!F711,'Parâmetros'!$B$3:$J$3,0))),"")</f>
        <v/>
      </c>
    </row>
    <row r="714">
      <c r="A714" s="29" t="str">
        <f t="array" ref="A714">IFNA(TRANSPOSE(INDEX('Parâmetros'!$B$4:$J3001,,MATCH(Exames!F712,'Parâmetros'!$B$3:$J$3,0))),"")</f>
        <v/>
      </c>
    </row>
    <row r="715">
      <c r="A715" s="29" t="str">
        <f t="array" ref="A715">IFNA(TRANSPOSE(INDEX('Parâmetros'!$B$4:$J3001,,MATCH(Exames!F713,'Parâmetros'!$B$3:$J$3,0))),"")</f>
        <v/>
      </c>
    </row>
    <row r="716">
      <c r="A716" s="29" t="str">
        <f t="array" ref="A716">IFNA(TRANSPOSE(INDEX('Parâmetros'!$B$4:$J3001,,MATCH(Exames!F714,'Parâmetros'!$B$3:$J$3,0))),"")</f>
        <v/>
      </c>
    </row>
    <row r="717">
      <c r="A717" s="29" t="str">
        <f t="array" ref="A717">IFNA(TRANSPOSE(INDEX('Parâmetros'!$B$4:$J3001,,MATCH(Exames!F715,'Parâmetros'!$B$3:$J$3,0))),"")</f>
        <v/>
      </c>
    </row>
    <row r="718">
      <c r="A718" s="29" t="str">
        <f t="array" ref="A718">IFNA(TRANSPOSE(INDEX('Parâmetros'!$B$4:$J3001,,MATCH(Exames!F716,'Parâmetros'!$B$3:$J$3,0))),"")</f>
        <v/>
      </c>
    </row>
    <row r="719">
      <c r="A719" s="29" t="str">
        <f t="array" ref="A719">IFNA(TRANSPOSE(INDEX('Parâmetros'!$B$4:$J3001,,MATCH(Exames!F717,'Parâmetros'!$B$3:$J$3,0))),"")</f>
        <v/>
      </c>
    </row>
    <row r="720">
      <c r="A720" s="29" t="str">
        <f t="array" ref="A720">IFNA(TRANSPOSE(INDEX('Parâmetros'!$B$4:$J3001,,MATCH(Exames!F718,'Parâmetros'!$B$3:$J$3,0))),"")</f>
        <v/>
      </c>
    </row>
    <row r="721">
      <c r="A721" s="29" t="str">
        <f t="array" ref="A721">IFNA(TRANSPOSE(INDEX('Parâmetros'!$B$4:$J3001,,MATCH(Exames!F719,'Parâmetros'!$B$3:$J$3,0))),"")</f>
        <v/>
      </c>
    </row>
    <row r="722">
      <c r="A722" s="29" t="str">
        <f t="array" ref="A722">IFNA(TRANSPOSE(INDEX('Parâmetros'!$B$4:$J3001,,MATCH(Exames!F720,'Parâmetros'!$B$3:$J$3,0))),"")</f>
        <v/>
      </c>
    </row>
    <row r="723">
      <c r="A723" s="29" t="str">
        <f t="array" ref="A723">IFNA(TRANSPOSE(INDEX('Parâmetros'!$B$4:$J3001,,MATCH(Exames!F721,'Parâmetros'!$B$3:$J$3,0))),"")</f>
        <v/>
      </c>
    </row>
    <row r="724">
      <c r="A724" s="29" t="str">
        <f t="array" ref="A724">IFNA(TRANSPOSE(INDEX('Parâmetros'!$B$4:$J3001,,MATCH(Exames!F722,'Parâmetros'!$B$3:$J$3,0))),"")</f>
        <v/>
      </c>
    </row>
    <row r="725">
      <c r="A725" s="29" t="str">
        <f t="array" ref="A725">IFNA(TRANSPOSE(INDEX('Parâmetros'!$B$4:$J3001,,MATCH(Exames!F723,'Parâmetros'!$B$3:$J$3,0))),"")</f>
        <v/>
      </c>
    </row>
    <row r="726">
      <c r="A726" s="29" t="str">
        <f t="array" ref="A726">IFNA(TRANSPOSE(INDEX('Parâmetros'!$B$4:$J3001,,MATCH(Exames!F724,'Parâmetros'!$B$3:$J$3,0))),"")</f>
        <v/>
      </c>
    </row>
    <row r="727">
      <c r="A727" s="29" t="str">
        <f t="array" ref="A727">IFNA(TRANSPOSE(INDEX('Parâmetros'!$B$4:$J3001,,MATCH(Exames!F725,'Parâmetros'!$B$3:$J$3,0))),"")</f>
        <v/>
      </c>
    </row>
    <row r="728">
      <c r="A728" s="29" t="str">
        <f t="array" ref="A728">IFNA(TRANSPOSE(INDEX('Parâmetros'!$B$4:$J3001,,MATCH(Exames!F726,'Parâmetros'!$B$3:$J$3,0))),"")</f>
        <v/>
      </c>
    </row>
    <row r="729">
      <c r="A729" s="29" t="str">
        <f t="array" ref="A729">IFNA(TRANSPOSE(INDEX('Parâmetros'!$B$4:$J3001,,MATCH(Exames!F727,'Parâmetros'!$B$3:$J$3,0))),"")</f>
        <v/>
      </c>
    </row>
    <row r="730">
      <c r="A730" s="29" t="str">
        <f t="array" ref="A730">IFNA(TRANSPOSE(INDEX('Parâmetros'!$B$4:$J3001,,MATCH(Exames!F728,'Parâmetros'!$B$3:$J$3,0))),"")</f>
        <v/>
      </c>
    </row>
    <row r="731">
      <c r="A731" s="29" t="str">
        <f t="array" ref="A731">IFNA(TRANSPOSE(INDEX('Parâmetros'!$B$4:$J3001,,MATCH(Exames!F729,'Parâmetros'!$B$3:$J$3,0))),"")</f>
        <v/>
      </c>
    </row>
    <row r="732">
      <c r="A732" s="29" t="str">
        <f t="array" ref="A732">IFNA(TRANSPOSE(INDEX('Parâmetros'!$B$4:$J3001,,MATCH(Exames!F730,'Parâmetros'!$B$3:$J$3,0))),"")</f>
        <v/>
      </c>
    </row>
    <row r="733">
      <c r="A733" s="29" t="str">
        <f t="array" ref="A733">IFNA(TRANSPOSE(INDEX('Parâmetros'!$B$4:$J3001,,MATCH(Exames!F731,'Parâmetros'!$B$3:$J$3,0))),"")</f>
        <v/>
      </c>
    </row>
    <row r="734">
      <c r="A734" s="29" t="str">
        <f t="array" ref="A734">IFNA(TRANSPOSE(INDEX('Parâmetros'!$B$4:$J3001,,MATCH(Exames!F732,'Parâmetros'!$B$3:$J$3,0))),"")</f>
        <v/>
      </c>
    </row>
    <row r="735">
      <c r="A735" s="29" t="str">
        <f t="array" ref="A735">IFNA(TRANSPOSE(INDEX('Parâmetros'!$B$4:$J3001,,MATCH(Exames!F733,'Parâmetros'!$B$3:$J$3,0))),"")</f>
        <v/>
      </c>
    </row>
    <row r="736">
      <c r="A736" s="29" t="str">
        <f t="array" ref="A736">IFNA(TRANSPOSE(INDEX('Parâmetros'!$B$4:$J3001,,MATCH(Exames!F734,'Parâmetros'!$B$3:$J$3,0))),"")</f>
        <v/>
      </c>
    </row>
    <row r="737">
      <c r="A737" s="29" t="str">
        <f t="array" ref="A737">IFNA(TRANSPOSE(INDEX('Parâmetros'!$B$4:$J3001,,MATCH(Exames!F735,'Parâmetros'!$B$3:$J$3,0))),"")</f>
        <v/>
      </c>
    </row>
    <row r="738">
      <c r="A738" s="29" t="str">
        <f t="array" ref="A738">IFNA(TRANSPOSE(INDEX('Parâmetros'!$B$4:$J3001,,MATCH(Exames!F736,'Parâmetros'!$B$3:$J$3,0))),"")</f>
        <v/>
      </c>
    </row>
    <row r="739">
      <c r="A739" s="29" t="str">
        <f t="array" ref="A739">IFNA(TRANSPOSE(INDEX('Parâmetros'!$B$4:$J3001,,MATCH(Exames!F737,'Parâmetros'!$B$3:$J$3,0))),"")</f>
        <v/>
      </c>
    </row>
    <row r="740">
      <c r="A740" s="29" t="str">
        <f t="array" ref="A740">IFNA(TRANSPOSE(INDEX('Parâmetros'!$B$4:$J3001,,MATCH(Exames!F738,'Parâmetros'!$B$3:$J$3,0))),"")</f>
        <v/>
      </c>
    </row>
    <row r="741">
      <c r="A741" s="29" t="str">
        <f t="array" ref="A741">IFNA(TRANSPOSE(INDEX('Parâmetros'!$B$4:$J3001,,MATCH(Exames!F739,'Parâmetros'!$B$3:$J$3,0))),"")</f>
        <v/>
      </c>
    </row>
    <row r="742">
      <c r="A742" s="29" t="str">
        <f t="array" ref="A742">IFNA(TRANSPOSE(INDEX('Parâmetros'!$B$4:$J3001,,MATCH(Exames!F740,'Parâmetros'!$B$3:$J$3,0))),"")</f>
        <v/>
      </c>
    </row>
    <row r="743">
      <c r="A743" s="29" t="str">
        <f t="array" ref="A743">IFNA(TRANSPOSE(INDEX('Parâmetros'!$B$4:$J3001,,MATCH(Exames!F741,'Parâmetros'!$B$3:$J$3,0))),"")</f>
        <v/>
      </c>
    </row>
    <row r="744">
      <c r="A744" s="29" t="str">
        <f t="array" ref="A744">IFNA(TRANSPOSE(INDEX('Parâmetros'!$B$4:$J3001,,MATCH(Exames!F742,'Parâmetros'!$B$3:$J$3,0))),"")</f>
        <v/>
      </c>
    </row>
    <row r="745">
      <c r="A745" s="29" t="str">
        <f t="array" ref="A745">IFNA(TRANSPOSE(INDEX('Parâmetros'!$B$4:$J3001,,MATCH(Exames!F743,'Parâmetros'!$B$3:$J$3,0))),"")</f>
        <v/>
      </c>
    </row>
    <row r="746">
      <c r="A746" s="29" t="str">
        <f t="array" ref="A746">IFNA(TRANSPOSE(INDEX('Parâmetros'!$B$4:$J3001,,MATCH(Exames!F744,'Parâmetros'!$B$3:$J$3,0))),"")</f>
        <v/>
      </c>
    </row>
    <row r="747">
      <c r="A747" s="29" t="str">
        <f t="array" ref="A747">IFNA(TRANSPOSE(INDEX('Parâmetros'!$B$4:$J3001,,MATCH(Exames!F745,'Parâmetros'!$B$3:$J$3,0))),"")</f>
        <v/>
      </c>
    </row>
    <row r="748">
      <c r="A748" s="29" t="str">
        <f t="array" ref="A748">IFNA(TRANSPOSE(INDEX('Parâmetros'!$B$4:$J3001,,MATCH(Exames!F746,'Parâmetros'!$B$3:$J$3,0))),"")</f>
        <v/>
      </c>
    </row>
    <row r="749">
      <c r="A749" s="29" t="str">
        <f t="array" ref="A749">IFNA(TRANSPOSE(INDEX('Parâmetros'!$B$4:$J3001,,MATCH(Exames!F747,'Parâmetros'!$B$3:$J$3,0))),"")</f>
        <v/>
      </c>
    </row>
    <row r="750">
      <c r="A750" s="29" t="str">
        <f t="array" ref="A750">IFNA(TRANSPOSE(INDEX('Parâmetros'!$B$4:$J3001,,MATCH(Exames!F748,'Parâmetros'!$B$3:$J$3,0))),"")</f>
        <v/>
      </c>
    </row>
    <row r="751">
      <c r="A751" s="29" t="str">
        <f t="array" ref="A751">IFNA(TRANSPOSE(INDEX('Parâmetros'!$B$4:$J3001,,MATCH(Exames!F749,'Parâmetros'!$B$3:$J$3,0))),"")</f>
        <v/>
      </c>
    </row>
    <row r="752">
      <c r="A752" s="29" t="str">
        <f t="array" ref="A752">IFNA(TRANSPOSE(INDEX('Parâmetros'!$B$4:$J3001,,MATCH(Exames!F750,'Parâmetros'!$B$3:$J$3,0))),"")</f>
        <v/>
      </c>
    </row>
    <row r="753">
      <c r="A753" s="29" t="str">
        <f t="array" ref="A753">IFNA(TRANSPOSE(INDEX('Parâmetros'!$B$4:$J3001,,MATCH(Exames!F751,'Parâmetros'!$B$3:$J$3,0))),"")</f>
        <v/>
      </c>
    </row>
    <row r="754">
      <c r="A754" s="29" t="str">
        <f t="array" ref="A754">IFNA(TRANSPOSE(INDEX('Parâmetros'!$B$4:$J3001,,MATCH(Exames!F752,'Parâmetros'!$B$3:$J$3,0))),"")</f>
        <v/>
      </c>
    </row>
    <row r="755">
      <c r="A755" s="29" t="str">
        <f t="array" ref="A755">IFNA(TRANSPOSE(INDEX('Parâmetros'!$B$4:$J3001,,MATCH(Exames!F753,'Parâmetros'!$B$3:$J$3,0))),"")</f>
        <v/>
      </c>
    </row>
    <row r="756">
      <c r="A756" s="29" t="str">
        <f t="array" ref="A756">IFNA(TRANSPOSE(INDEX('Parâmetros'!$B$4:$J3001,,MATCH(Exames!F754,'Parâmetros'!$B$3:$J$3,0))),"")</f>
        <v/>
      </c>
    </row>
    <row r="757">
      <c r="A757" s="29" t="str">
        <f t="array" ref="A757">IFNA(TRANSPOSE(INDEX('Parâmetros'!$B$4:$J3001,,MATCH(Exames!F755,'Parâmetros'!$B$3:$J$3,0))),"")</f>
        <v/>
      </c>
    </row>
    <row r="758">
      <c r="A758" s="29" t="str">
        <f t="array" ref="A758">IFNA(TRANSPOSE(INDEX('Parâmetros'!$B$4:$J3001,,MATCH(Exames!F756,'Parâmetros'!$B$3:$J$3,0))),"")</f>
        <v/>
      </c>
    </row>
    <row r="759">
      <c r="A759" s="29" t="str">
        <f t="array" ref="A759">IFNA(TRANSPOSE(INDEX('Parâmetros'!$B$4:$J3001,,MATCH(Exames!F757,'Parâmetros'!$B$3:$J$3,0))),"")</f>
        <v/>
      </c>
    </row>
    <row r="760">
      <c r="A760" s="29" t="str">
        <f t="array" ref="A760">IFNA(TRANSPOSE(INDEX('Parâmetros'!$B$4:$J3001,,MATCH(Exames!F758,'Parâmetros'!$B$3:$J$3,0))),"")</f>
        <v/>
      </c>
    </row>
    <row r="761">
      <c r="A761" s="29" t="str">
        <f t="array" ref="A761">IFNA(TRANSPOSE(INDEX('Parâmetros'!$B$4:$J3001,,MATCH(Exames!F759,'Parâmetros'!$B$3:$J$3,0))),"")</f>
        <v/>
      </c>
    </row>
    <row r="762">
      <c r="A762" s="29" t="str">
        <f t="array" ref="A762">IFNA(TRANSPOSE(INDEX('Parâmetros'!$B$4:$J3001,,MATCH(Exames!F760,'Parâmetros'!$B$3:$J$3,0))),"")</f>
        <v/>
      </c>
    </row>
    <row r="763">
      <c r="A763" s="29" t="str">
        <f t="array" ref="A763">IFNA(TRANSPOSE(INDEX('Parâmetros'!$B$4:$J3001,,MATCH(Exames!F761,'Parâmetros'!$B$3:$J$3,0))),"")</f>
        <v/>
      </c>
    </row>
    <row r="764">
      <c r="A764" s="29" t="str">
        <f t="array" ref="A764">IFNA(TRANSPOSE(INDEX('Parâmetros'!$B$4:$J3001,,MATCH(Exames!F762,'Parâmetros'!$B$3:$J$3,0))),"")</f>
        <v/>
      </c>
    </row>
    <row r="765">
      <c r="A765" s="29" t="str">
        <f t="array" ref="A765">IFNA(TRANSPOSE(INDEX('Parâmetros'!$B$4:$J3001,,MATCH(Exames!F763,'Parâmetros'!$B$3:$J$3,0))),"")</f>
        <v/>
      </c>
    </row>
    <row r="766">
      <c r="A766" s="29" t="str">
        <f t="array" ref="A766">IFNA(TRANSPOSE(INDEX('Parâmetros'!$B$4:$J3001,,MATCH(Exames!F764,'Parâmetros'!$B$3:$J$3,0))),"")</f>
        <v/>
      </c>
    </row>
    <row r="767">
      <c r="A767" s="29" t="str">
        <f t="array" ref="A767">IFNA(TRANSPOSE(INDEX('Parâmetros'!$B$4:$J3001,,MATCH(Exames!F765,'Parâmetros'!$B$3:$J$3,0))),"")</f>
        <v/>
      </c>
    </row>
    <row r="768">
      <c r="A768" s="29" t="str">
        <f t="array" ref="A768">IFNA(TRANSPOSE(INDEX('Parâmetros'!$B$4:$J3001,,MATCH(Exames!F766,'Parâmetros'!$B$3:$J$3,0))),"")</f>
        <v/>
      </c>
    </row>
    <row r="769">
      <c r="A769" s="29" t="str">
        <f t="array" ref="A769">IFNA(TRANSPOSE(INDEX('Parâmetros'!$B$4:$J3001,,MATCH(Exames!F767,'Parâmetros'!$B$3:$J$3,0))),"")</f>
        <v/>
      </c>
    </row>
    <row r="770">
      <c r="A770" s="29" t="str">
        <f t="array" ref="A770">IFNA(TRANSPOSE(INDEX('Parâmetros'!$B$4:$J3001,,MATCH(Exames!F768,'Parâmetros'!$B$3:$J$3,0))),"")</f>
        <v/>
      </c>
    </row>
    <row r="771">
      <c r="A771" s="29" t="str">
        <f t="array" ref="A771">IFNA(TRANSPOSE(INDEX('Parâmetros'!$B$4:$J3001,,MATCH(Exames!F769,'Parâmetros'!$B$3:$J$3,0))),"")</f>
        <v/>
      </c>
    </row>
    <row r="772">
      <c r="A772" s="29" t="str">
        <f t="array" ref="A772">IFNA(TRANSPOSE(INDEX('Parâmetros'!$B$4:$J3001,,MATCH(Exames!F770,'Parâmetros'!$B$3:$J$3,0))),"")</f>
        <v/>
      </c>
    </row>
    <row r="773">
      <c r="A773" s="29" t="str">
        <f t="array" ref="A773">IFNA(TRANSPOSE(INDEX('Parâmetros'!$B$4:$J3001,,MATCH(Exames!F771,'Parâmetros'!$B$3:$J$3,0))),"")</f>
        <v/>
      </c>
    </row>
    <row r="774">
      <c r="A774" s="29" t="str">
        <f t="array" ref="A774">IFNA(TRANSPOSE(INDEX('Parâmetros'!$B$4:$J3001,,MATCH(Exames!F772,'Parâmetros'!$B$3:$J$3,0))),"")</f>
        <v/>
      </c>
    </row>
    <row r="775">
      <c r="A775" s="29" t="str">
        <f t="array" ref="A775">IFNA(TRANSPOSE(INDEX('Parâmetros'!$B$4:$J3001,,MATCH(Exames!F773,'Parâmetros'!$B$3:$J$3,0))),"")</f>
        <v/>
      </c>
    </row>
    <row r="776">
      <c r="A776" s="29" t="str">
        <f t="array" ref="A776">IFNA(TRANSPOSE(INDEX('Parâmetros'!$B$4:$J3001,,MATCH(Exames!F774,'Parâmetros'!$B$3:$J$3,0))),"")</f>
        <v/>
      </c>
    </row>
    <row r="777">
      <c r="A777" s="29" t="str">
        <f t="array" ref="A777">IFNA(TRANSPOSE(INDEX('Parâmetros'!$B$4:$J3001,,MATCH(Exames!F775,'Parâmetros'!$B$3:$J$3,0))),"")</f>
        <v/>
      </c>
    </row>
    <row r="778">
      <c r="A778" s="29" t="str">
        <f t="array" ref="A778">IFNA(TRANSPOSE(INDEX('Parâmetros'!$B$4:$J3001,,MATCH(Exames!F776,'Parâmetros'!$B$3:$J$3,0))),"")</f>
        <v/>
      </c>
    </row>
    <row r="779">
      <c r="A779" s="29" t="str">
        <f t="array" ref="A779">IFNA(TRANSPOSE(INDEX('Parâmetros'!$B$4:$J3001,,MATCH(Exames!F777,'Parâmetros'!$B$3:$J$3,0))),"")</f>
        <v/>
      </c>
    </row>
    <row r="780">
      <c r="A780" s="29" t="str">
        <f t="array" ref="A780">IFNA(TRANSPOSE(INDEX('Parâmetros'!$B$4:$J3001,,MATCH(Exames!F778,'Parâmetros'!$B$3:$J$3,0))),"")</f>
        <v/>
      </c>
    </row>
    <row r="781">
      <c r="A781" s="29" t="str">
        <f t="array" ref="A781">IFNA(TRANSPOSE(INDEX('Parâmetros'!$B$4:$J3001,,MATCH(Exames!F779,'Parâmetros'!$B$3:$J$3,0))),"")</f>
        <v/>
      </c>
    </row>
    <row r="782">
      <c r="A782" s="29" t="str">
        <f t="array" ref="A782">IFNA(TRANSPOSE(INDEX('Parâmetros'!$B$4:$J3001,,MATCH(Exames!F780,'Parâmetros'!$B$3:$J$3,0))),"")</f>
        <v/>
      </c>
    </row>
    <row r="783">
      <c r="A783" s="29" t="str">
        <f t="array" ref="A783">IFNA(TRANSPOSE(INDEX('Parâmetros'!$B$4:$J3001,,MATCH(Exames!F781,'Parâmetros'!$B$3:$J$3,0))),"")</f>
        <v/>
      </c>
    </row>
    <row r="784">
      <c r="A784" s="29" t="str">
        <f t="array" ref="A784">IFNA(TRANSPOSE(INDEX('Parâmetros'!$B$4:$J3001,,MATCH(Exames!F782,'Parâmetros'!$B$3:$J$3,0))),"")</f>
        <v/>
      </c>
    </row>
    <row r="785">
      <c r="A785" s="29" t="str">
        <f t="array" ref="A785">IFNA(TRANSPOSE(INDEX('Parâmetros'!$B$4:$J3001,,MATCH(Exames!F783,'Parâmetros'!$B$3:$J$3,0))),"")</f>
        <v/>
      </c>
    </row>
    <row r="786">
      <c r="A786" s="29" t="str">
        <f t="array" ref="A786">IFNA(TRANSPOSE(INDEX('Parâmetros'!$B$4:$J3001,,MATCH(Exames!F784,'Parâmetros'!$B$3:$J$3,0))),"")</f>
        <v/>
      </c>
    </row>
    <row r="787">
      <c r="A787" s="29" t="str">
        <f t="array" ref="A787">IFNA(TRANSPOSE(INDEX('Parâmetros'!$B$4:$J3001,,MATCH(Exames!F785,'Parâmetros'!$B$3:$J$3,0))),"")</f>
        <v/>
      </c>
    </row>
    <row r="788">
      <c r="A788" s="29" t="str">
        <f t="array" ref="A788">IFNA(TRANSPOSE(INDEX('Parâmetros'!$B$4:$J3001,,MATCH(Exames!F786,'Parâmetros'!$B$3:$J$3,0))),"")</f>
        <v/>
      </c>
    </row>
    <row r="789">
      <c r="A789" s="29" t="str">
        <f t="array" ref="A789">IFNA(TRANSPOSE(INDEX('Parâmetros'!$B$4:$J3001,,MATCH(Exames!F787,'Parâmetros'!$B$3:$J$3,0))),"")</f>
        <v/>
      </c>
    </row>
    <row r="790">
      <c r="A790" s="29" t="str">
        <f t="array" ref="A790">IFNA(TRANSPOSE(INDEX('Parâmetros'!$B$4:$J3001,,MATCH(Exames!F788,'Parâmetros'!$B$3:$J$3,0))),"")</f>
        <v/>
      </c>
    </row>
    <row r="791">
      <c r="A791" s="29" t="str">
        <f t="array" ref="A791">IFNA(TRANSPOSE(INDEX('Parâmetros'!$B$4:$J3001,,MATCH(Exames!F789,'Parâmetros'!$B$3:$J$3,0))),"")</f>
        <v/>
      </c>
    </row>
    <row r="792">
      <c r="A792" s="29" t="str">
        <f t="array" ref="A792">IFNA(TRANSPOSE(INDEX('Parâmetros'!$B$4:$J3001,,MATCH(Exames!F790,'Parâmetros'!$B$3:$J$3,0))),"")</f>
        <v/>
      </c>
    </row>
    <row r="793">
      <c r="A793" s="29" t="str">
        <f t="array" ref="A793">IFNA(TRANSPOSE(INDEX('Parâmetros'!$B$4:$J3001,,MATCH(Exames!F791,'Parâmetros'!$B$3:$J$3,0))),"")</f>
        <v/>
      </c>
    </row>
    <row r="794">
      <c r="A794" s="29" t="str">
        <f t="array" ref="A794">IFNA(TRANSPOSE(INDEX('Parâmetros'!$B$4:$J3001,,MATCH(Exames!F792,'Parâmetros'!$B$3:$J$3,0))),"")</f>
        <v/>
      </c>
    </row>
    <row r="795">
      <c r="A795" s="29" t="str">
        <f t="array" ref="A795">IFNA(TRANSPOSE(INDEX('Parâmetros'!$B$4:$J3001,,MATCH(Exames!F793,'Parâmetros'!$B$3:$J$3,0))),"")</f>
        <v/>
      </c>
    </row>
    <row r="796">
      <c r="A796" s="29" t="str">
        <f t="array" ref="A796">IFNA(TRANSPOSE(INDEX('Parâmetros'!$B$4:$J3001,,MATCH(Exames!F794,'Parâmetros'!$B$3:$J$3,0))),"")</f>
        <v/>
      </c>
    </row>
    <row r="797">
      <c r="A797" s="29" t="str">
        <f t="array" ref="A797">IFNA(TRANSPOSE(INDEX('Parâmetros'!$B$4:$J3001,,MATCH(Exames!F795,'Parâmetros'!$B$3:$J$3,0))),"")</f>
        <v/>
      </c>
    </row>
    <row r="798">
      <c r="A798" s="29" t="str">
        <f t="array" ref="A798">IFNA(TRANSPOSE(INDEX('Parâmetros'!$B$4:$J3001,,MATCH(Exames!F796,'Parâmetros'!$B$3:$J$3,0))),"")</f>
        <v/>
      </c>
    </row>
    <row r="799">
      <c r="A799" s="29" t="str">
        <f t="array" ref="A799">IFNA(TRANSPOSE(INDEX('Parâmetros'!$B$4:$J3001,,MATCH(Exames!F797,'Parâmetros'!$B$3:$J$3,0))),"")</f>
        <v/>
      </c>
    </row>
    <row r="800">
      <c r="A800" s="29" t="str">
        <f t="array" ref="A800">IFNA(TRANSPOSE(INDEX('Parâmetros'!$B$4:$J3001,,MATCH(Exames!F798,'Parâmetros'!$B$3:$J$3,0))),"")</f>
        <v/>
      </c>
    </row>
    <row r="801">
      <c r="A801" s="29" t="str">
        <f t="array" ref="A801">IFNA(TRANSPOSE(INDEX('Parâmetros'!$B$4:$J3001,,MATCH(Exames!F799,'Parâmetros'!$B$3:$J$3,0))),"")</f>
        <v/>
      </c>
    </row>
    <row r="802">
      <c r="A802" s="29" t="str">
        <f t="array" ref="A802">IFNA(TRANSPOSE(INDEX('Parâmetros'!$B$4:$J3001,,MATCH(Exames!F800,'Parâmetros'!$B$3:$J$3,0))),"")</f>
        <v/>
      </c>
    </row>
    <row r="803">
      <c r="A803" s="29" t="str">
        <f t="array" ref="A803">IFNA(TRANSPOSE(INDEX('Parâmetros'!$B$4:$J3001,,MATCH(Exames!F801,'Parâmetros'!$B$3:$J$3,0))),"")</f>
        <v/>
      </c>
    </row>
    <row r="804">
      <c r="A804" s="29" t="str">
        <f t="array" ref="A804">IFNA(TRANSPOSE(INDEX('Parâmetros'!$B$4:$J3001,,MATCH(Exames!F802,'Parâmetros'!$B$3:$J$3,0))),"")</f>
        <v/>
      </c>
    </row>
    <row r="805">
      <c r="A805" s="29" t="str">
        <f t="array" ref="A805">IFNA(TRANSPOSE(INDEX('Parâmetros'!$B$4:$J3001,,MATCH(Exames!F803,'Parâmetros'!$B$3:$J$3,0))),"")</f>
        <v/>
      </c>
    </row>
    <row r="806">
      <c r="A806" s="29" t="str">
        <f t="array" ref="A806">IFNA(TRANSPOSE(INDEX('Parâmetros'!$B$4:$J3001,,MATCH(Exames!F804,'Parâmetros'!$B$3:$J$3,0))),"")</f>
        <v/>
      </c>
    </row>
    <row r="807">
      <c r="A807" s="29" t="str">
        <f t="array" ref="A807">IFNA(TRANSPOSE(INDEX('Parâmetros'!$B$4:$J3001,,MATCH(Exames!F805,'Parâmetros'!$B$3:$J$3,0))),"")</f>
        <v/>
      </c>
    </row>
    <row r="808">
      <c r="A808" s="29" t="str">
        <f t="array" ref="A808">IFNA(TRANSPOSE(INDEX('Parâmetros'!$B$4:$J3001,,MATCH(Exames!F806,'Parâmetros'!$B$3:$J$3,0))),"")</f>
        <v/>
      </c>
    </row>
    <row r="809">
      <c r="A809" s="29" t="str">
        <f t="array" ref="A809">IFNA(TRANSPOSE(INDEX('Parâmetros'!$B$4:$J3001,,MATCH(Exames!F807,'Parâmetros'!$B$3:$J$3,0))),"")</f>
        <v/>
      </c>
    </row>
    <row r="810">
      <c r="A810" s="29" t="str">
        <f t="array" ref="A810">IFNA(TRANSPOSE(INDEX('Parâmetros'!$B$4:$J3001,,MATCH(Exames!F808,'Parâmetros'!$B$3:$J$3,0))),"")</f>
        <v/>
      </c>
    </row>
    <row r="811">
      <c r="A811" s="29" t="str">
        <f t="array" ref="A811">IFNA(TRANSPOSE(INDEX('Parâmetros'!$B$4:$J3001,,MATCH(Exames!F809,'Parâmetros'!$B$3:$J$3,0))),"")</f>
        <v/>
      </c>
    </row>
    <row r="812">
      <c r="A812" s="29" t="str">
        <f t="array" ref="A812">IFNA(TRANSPOSE(INDEX('Parâmetros'!$B$4:$J3001,,MATCH(Exames!F810,'Parâmetros'!$B$3:$J$3,0))),"")</f>
        <v/>
      </c>
    </row>
    <row r="813">
      <c r="A813" s="29" t="str">
        <f t="array" ref="A813">IFNA(TRANSPOSE(INDEX('Parâmetros'!$B$4:$J3001,,MATCH(Exames!F811,'Parâmetros'!$B$3:$J$3,0))),"")</f>
        <v/>
      </c>
    </row>
    <row r="814">
      <c r="A814" s="29" t="str">
        <f t="array" ref="A814">IFNA(TRANSPOSE(INDEX('Parâmetros'!$B$4:$J3001,,MATCH(Exames!F812,'Parâmetros'!$B$3:$J$3,0))),"")</f>
        <v/>
      </c>
    </row>
    <row r="815">
      <c r="A815" s="29" t="str">
        <f t="array" ref="A815">IFNA(TRANSPOSE(INDEX('Parâmetros'!$B$4:$J3001,,MATCH(Exames!F813,'Parâmetros'!$B$3:$J$3,0))),"")</f>
        <v/>
      </c>
    </row>
    <row r="816">
      <c r="A816" s="29" t="str">
        <f t="array" ref="A816">IFNA(TRANSPOSE(INDEX('Parâmetros'!$B$4:$J3001,,MATCH(Exames!F814,'Parâmetros'!$B$3:$J$3,0))),"")</f>
        <v/>
      </c>
    </row>
    <row r="817">
      <c r="A817" s="29" t="str">
        <f t="array" ref="A817">IFNA(TRANSPOSE(INDEX('Parâmetros'!$B$4:$J3001,,MATCH(Exames!F815,'Parâmetros'!$B$3:$J$3,0))),"")</f>
        <v/>
      </c>
    </row>
    <row r="818">
      <c r="A818" s="29" t="str">
        <f t="array" ref="A818">IFNA(TRANSPOSE(INDEX('Parâmetros'!$B$4:$J3001,,MATCH(Exames!F816,'Parâmetros'!$B$3:$J$3,0))),"")</f>
        <v/>
      </c>
    </row>
    <row r="819">
      <c r="A819" s="29" t="str">
        <f t="array" ref="A819">IFNA(TRANSPOSE(INDEX('Parâmetros'!$B$4:$J3001,,MATCH(Exames!F817,'Parâmetros'!$B$3:$J$3,0))),"")</f>
        <v/>
      </c>
    </row>
    <row r="820">
      <c r="A820" s="29" t="str">
        <f t="array" ref="A820">IFNA(TRANSPOSE(INDEX('Parâmetros'!$B$4:$J3001,,MATCH(Exames!F818,'Parâmetros'!$B$3:$J$3,0))),"")</f>
        <v/>
      </c>
    </row>
    <row r="821">
      <c r="A821" s="29" t="str">
        <f t="array" ref="A821">IFNA(TRANSPOSE(INDEX('Parâmetros'!$B$4:$J3001,,MATCH(Exames!F819,'Parâmetros'!$B$3:$J$3,0))),"")</f>
        <v/>
      </c>
    </row>
    <row r="822">
      <c r="A822" s="29" t="str">
        <f t="array" ref="A822">IFNA(TRANSPOSE(INDEX('Parâmetros'!$B$4:$J3001,,MATCH(Exames!F820,'Parâmetros'!$B$3:$J$3,0))),"")</f>
        <v/>
      </c>
    </row>
    <row r="823">
      <c r="A823" s="29" t="str">
        <f t="array" ref="A823">IFNA(TRANSPOSE(INDEX('Parâmetros'!$B$4:$J3001,,MATCH(Exames!F821,'Parâmetros'!$B$3:$J$3,0))),"")</f>
        <v/>
      </c>
    </row>
    <row r="824">
      <c r="A824" s="29" t="str">
        <f t="array" ref="A824">IFNA(TRANSPOSE(INDEX('Parâmetros'!$B$4:$J3001,,MATCH(Exames!F822,'Parâmetros'!$B$3:$J$3,0))),"")</f>
        <v/>
      </c>
    </row>
    <row r="825">
      <c r="A825" s="29" t="str">
        <f t="array" ref="A825">IFNA(TRANSPOSE(INDEX('Parâmetros'!$B$4:$J3001,,MATCH(Exames!F823,'Parâmetros'!$B$3:$J$3,0))),"")</f>
        <v/>
      </c>
    </row>
    <row r="826">
      <c r="A826" s="29" t="str">
        <f t="array" ref="A826">IFNA(TRANSPOSE(INDEX('Parâmetros'!$B$4:$J3001,,MATCH(Exames!F824,'Parâmetros'!$B$3:$J$3,0))),"")</f>
        <v/>
      </c>
    </row>
    <row r="827">
      <c r="A827" s="29" t="str">
        <f t="array" ref="A827">IFNA(TRANSPOSE(INDEX('Parâmetros'!$B$4:$J3001,,MATCH(Exames!F825,'Parâmetros'!$B$3:$J$3,0))),"")</f>
        <v/>
      </c>
    </row>
    <row r="828">
      <c r="A828" s="29" t="str">
        <f t="array" ref="A828">IFNA(TRANSPOSE(INDEX('Parâmetros'!$B$4:$J3001,,MATCH(Exames!F826,'Parâmetros'!$B$3:$J$3,0))),"")</f>
        <v/>
      </c>
    </row>
    <row r="829">
      <c r="A829" s="29" t="str">
        <f t="array" ref="A829">IFNA(TRANSPOSE(INDEX('Parâmetros'!$B$4:$J3001,,MATCH(Exames!F827,'Parâmetros'!$B$3:$J$3,0))),"")</f>
        <v/>
      </c>
    </row>
    <row r="830">
      <c r="A830" s="29" t="str">
        <f t="array" ref="A830">IFNA(TRANSPOSE(INDEX('Parâmetros'!$B$4:$J3001,,MATCH(Exames!F828,'Parâmetros'!$B$3:$J$3,0))),"")</f>
        <v/>
      </c>
    </row>
    <row r="831">
      <c r="A831" s="29" t="str">
        <f t="array" ref="A831">IFNA(TRANSPOSE(INDEX('Parâmetros'!$B$4:$J3001,,MATCH(Exames!F829,'Parâmetros'!$B$3:$J$3,0))),"")</f>
        <v/>
      </c>
    </row>
    <row r="832">
      <c r="A832" s="29" t="str">
        <f t="array" ref="A832">IFNA(TRANSPOSE(INDEX('Parâmetros'!$B$4:$J3001,,MATCH(Exames!F830,'Parâmetros'!$B$3:$J$3,0))),"")</f>
        <v/>
      </c>
    </row>
    <row r="833">
      <c r="A833" s="29" t="str">
        <f t="array" ref="A833">IFNA(TRANSPOSE(INDEX('Parâmetros'!$B$4:$J3001,,MATCH(Exames!F831,'Parâmetros'!$B$3:$J$3,0))),"")</f>
        <v/>
      </c>
    </row>
    <row r="834">
      <c r="A834" s="29" t="str">
        <f t="array" ref="A834">IFNA(TRANSPOSE(INDEX('Parâmetros'!$B$4:$J3001,,MATCH(Exames!F832,'Parâmetros'!$B$3:$J$3,0))),"")</f>
        <v/>
      </c>
    </row>
    <row r="835">
      <c r="A835" s="29" t="str">
        <f t="array" ref="A835">IFNA(TRANSPOSE(INDEX('Parâmetros'!$B$4:$J3001,,MATCH(Exames!F833,'Parâmetros'!$B$3:$J$3,0))),"")</f>
        <v/>
      </c>
    </row>
    <row r="836">
      <c r="A836" s="29" t="str">
        <f t="array" ref="A836">IFNA(TRANSPOSE(INDEX('Parâmetros'!$B$4:$J3001,,MATCH(Exames!F834,'Parâmetros'!$B$3:$J$3,0))),"")</f>
        <v/>
      </c>
    </row>
    <row r="837">
      <c r="A837" s="29" t="str">
        <f t="array" ref="A837">IFNA(TRANSPOSE(INDEX('Parâmetros'!$B$4:$J3001,,MATCH(Exames!F835,'Parâmetros'!$B$3:$J$3,0))),"")</f>
        <v/>
      </c>
    </row>
    <row r="838">
      <c r="A838" s="29" t="str">
        <f t="array" ref="A838">IFNA(TRANSPOSE(INDEX('Parâmetros'!$B$4:$J3001,,MATCH(Exames!F836,'Parâmetros'!$B$3:$J$3,0))),"")</f>
        <v/>
      </c>
    </row>
    <row r="839">
      <c r="A839" s="29" t="str">
        <f t="array" ref="A839">IFNA(TRANSPOSE(INDEX('Parâmetros'!$B$4:$J3001,,MATCH(Exames!F837,'Parâmetros'!$B$3:$J$3,0))),"")</f>
        <v/>
      </c>
    </row>
    <row r="840">
      <c r="A840" s="29" t="str">
        <f t="array" ref="A840">IFNA(TRANSPOSE(INDEX('Parâmetros'!$B$4:$J3001,,MATCH(Exames!F838,'Parâmetros'!$B$3:$J$3,0))),"")</f>
        <v/>
      </c>
    </row>
    <row r="841">
      <c r="A841" s="29" t="str">
        <f t="array" ref="A841">IFNA(TRANSPOSE(INDEX('Parâmetros'!$B$4:$J3001,,MATCH(Exames!F839,'Parâmetros'!$B$3:$J$3,0))),"")</f>
        <v/>
      </c>
    </row>
    <row r="842">
      <c r="A842" s="29" t="str">
        <f t="array" ref="A842">IFNA(TRANSPOSE(INDEX('Parâmetros'!$B$4:$J3001,,MATCH(Exames!F840,'Parâmetros'!$B$3:$J$3,0))),"")</f>
        <v/>
      </c>
    </row>
    <row r="843">
      <c r="A843" s="29" t="str">
        <f t="array" ref="A843">IFNA(TRANSPOSE(INDEX('Parâmetros'!$B$4:$J3001,,MATCH(Exames!F841,'Parâmetros'!$B$3:$J$3,0))),"")</f>
        <v/>
      </c>
    </row>
    <row r="844">
      <c r="A844" s="29" t="str">
        <f t="array" ref="A844">IFNA(TRANSPOSE(INDEX('Parâmetros'!$B$4:$J3001,,MATCH(Exames!F842,'Parâmetros'!$B$3:$J$3,0))),"")</f>
        <v/>
      </c>
    </row>
    <row r="845">
      <c r="A845" s="29" t="str">
        <f t="array" ref="A845">IFNA(TRANSPOSE(INDEX('Parâmetros'!$B$4:$J3001,,MATCH(Exames!F843,'Parâmetros'!$B$3:$J$3,0))),"")</f>
        <v/>
      </c>
    </row>
    <row r="846">
      <c r="A846" s="29" t="str">
        <f t="array" ref="A846">IFNA(TRANSPOSE(INDEX('Parâmetros'!$B$4:$J3001,,MATCH(Exames!F844,'Parâmetros'!$B$3:$J$3,0))),"")</f>
        <v/>
      </c>
    </row>
    <row r="847">
      <c r="A847" s="29" t="str">
        <f t="array" ref="A847">IFNA(TRANSPOSE(INDEX('Parâmetros'!$B$4:$J3001,,MATCH(Exames!F845,'Parâmetros'!$B$3:$J$3,0))),"")</f>
        <v/>
      </c>
    </row>
    <row r="848">
      <c r="A848" s="29" t="str">
        <f t="array" ref="A848">IFNA(TRANSPOSE(INDEX('Parâmetros'!$B$4:$J3001,,MATCH(Exames!F846,'Parâmetros'!$B$3:$J$3,0))),"")</f>
        <v/>
      </c>
    </row>
    <row r="849">
      <c r="A849" s="29" t="str">
        <f t="array" ref="A849">IFNA(TRANSPOSE(INDEX('Parâmetros'!$B$4:$J3001,,MATCH(Exames!F847,'Parâmetros'!$B$3:$J$3,0))),"")</f>
        <v/>
      </c>
    </row>
    <row r="850">
      <c r="A850" s="29" t="str">
        <f t="array" ref="A850">IFNA(TRANSPOSE(INDEX('Parâmetros'!$B$4:$J3001,,MATCH(Exames!F848,'Parâmetros'!$B$3:$J$3,0))),"")</f>
        <v/>
      </c>
    </row>
    <row r="851">
      <c r="A851" s="29" t="str">
        <f t="array" ref="A851">IFNA(TRANSPOSE(INDEX('Parâmetros'!$B$4:$J3001,,MATCH(Exames!F849,'Parâmetros'!$B$3:$J$3,0))),"")</f>
        <v/>
      </c>
    </row>
    <row r="852">
      <c r="A852" s="29" t="str">
        <f t="array" ref="A852">IFNA(TRANSPOSE(INDEX('Parâmetros'!$B$4:$J3001,,MATCH(Exames!F850,'Parâmetros'!$B$3:$J$3,0))),"")</f>
        <v/>
      </c>
    </row>
    <row r="853">
      <c r="A853" s="29" t="str">
        <f t="array" ref="A853">IFNA(TRANSPOSE(INDEX('Parâmetros'!$B$4:$J3001,,MATCH(Exames!F851,'Parâmetros'!$B$3:$J$3,0))),"")</f>
        <v/>
      </c>
    </row>
    <row r="854">
      <c r="A854" s="29" t="str">
        <f t="array" ref="A854">IFNA(TRANSPOSE(INDEX('Parâmetros'!$B$4:$J3001,,MATCH(Exames!F852,'Parâmetros'!$B$3:$J$3,0))),"")</f>
        <v/>
      </c>
    </row>
    <row r="855">
      <c r="A855" s="29" t="str">
        <f t="array" ref="A855">IFNA(TRANSPOSE(INDEX('Parâmetros'!$B$4:$J3001,,MATCH(Exames!F853,'Parâmetros'!$B$3:$J$3,0))),"")</f>
        <v/>
      </c>
    </row>
    <row r="856">
      <c r="A856" s="29" t="str">
        <f t="array" ref="A856">IFNA(TRANSPOSE(INDEX('Parâmetros'!$B$4:$J3001,,MATCH(Exames!F854,'Parâmetros'!$B$3:$J$3,0))),"")</f>
        <v/>
      </c>
    </row>
    <row r="857">
      <c r="A857" s="29" t="str">
        <f t="array" ref="A857">IFNA(TRANSPOSE(INDEX('Parâmetros'!$B$4:$J3001,,MATCH(Exames!F855,'Parâmetros'!$B$3:$J$3,0))),"")</f>
        <v/>
      </c>
    </row>
    <row r="858">
      <c r="A858" s="29" t="str">
        <f t="array" ref="A858">IFNA(TRANSPOSE(INDEX('Parâmetros'!$B$4:$J3001,,MATCH(Exames!F856,'Parâmetros'!$B$3:$J$3,0))),"")</f>
        <v/>
      </c>
    </row>
    <row r="859">
      <c r="A859" s="29" t="str">
        <f t="array" ref="A859">IFNA(TRANSPOSE(INDEX('Parâmetros'!$B$4:$J3001,,MATCH(Exames!F857,'Parâmetros'!$B$3:$J$3,0))),"")</f>
        <v/>
      </c>
    </row>
    <row r="860">
      <c r="A860" s="29" t="str">
        <f t="array" ref="A860">IFNA(TRANSPOSE(INDEX('Parâmetros'!$B$4:$J3001,,MATCH(Exames!F858,'Parâmetros'!$B$3:$J$3,0))),"")</f>
        <v/>
      </c>
    </row>
    <row r="861">
      <c r="A861" s="29" t="str">
        <f t="array" ref="A861">IFNA(TRANSPOSE(INDEX('Parâmetros'!$B$4:$J3001,,MATCH(Exames!F859,'Parâmetros'!$B$3:$J$3,0))),"")</f>
        <v/>
      </c>
    </row>
    <row r="862">
      <c r="A862" s="29" t="str">
        <f t="array" ref="A862">IFNA(TRANSPOSE(INDEX('Parâmetros'!$B$4:$J3001,,MATCH(Exames!F860,'Parâmetros'!$B$3:$J$3,0))),"")</f>
        <v/>
      </c>
    </row>
    <row r="863">
      <c r="A863" s="29" t="str">
        <f t="array" ref="A863">IFNA(TRANSPOSE(INDEX('Parâmetros'!$B$4:$J3001,,MATCH(Exames!F861,'Parâmetros'!$B$3:$J$3,0))),"")</f>
        <v/>
      </c>
    </row>
    <row r="864">
      <c r="A864" s="29" t="str">
        <f t="array" ref="A864">IFNA(TRANSPOSE(INDEX('Parâmetros'!$B$4:$J3001,,MATCH(Exames!F862,'Parâmetros'!$B$3:$J$3,0))),"")</f>
        <v/>
      </c>
    </row>
    <row r="865">
      <c r="A865" s="29" t="str">
        <f t="array" ref="A865">IFNA(TRANSPOSE(INDEX('Parâmetros'!$B$4:$J3001,,MATCH(Exames!F863,'Parâmetros'!$B$3:$J$3,0))),"")</f>
        <v/>
      </c>
    </row>
    <row r="866">
      <c r="A866" s="29" t="str">
        <f t="array" ref="A866">IFNA(TRANSPOSE(INDEX('Parâmetros'!$B$4:$J3001,,MATCH(Exames!F864,'Parâmetros'!$B$3:$J$3,0))),"")</f>
        <v/>
      </c>
    </row>
    <row r="867">
      <c r="A867" s="29" t="str">
        <f t="array" ref="A867">IFNA(TRANSPOSE(INDEX('Parâmetros'!$B$4:$J3001,,MATCH(Exames!F865,'Parâmetros'!$B$3:$J$3,0))),"")</f>
        <v/>
      </c>
    </row>
    <row r="868">
      <c r="A868" s="29" t="str">
        <f t="array" ref="A868">IFNA(TRANSPOSE(INDEX('Parâmetros'!$B$4:$J3001,,MATCH(Exames!F866,'Parâmetros'!$B$3:$J$3,0))),"")</f>
        <v/>
      </c>
    </row>
    <row r="869">
      <c r="A869" s="29" t="str">
        <f t="array" ref="A869">IFNA(TRANSPOSE(INDEX('Parâmetros'!$B$4:$J3001,,MATCH(Exames!F867,'Parâmetros'!$B$3:$J$3,0))),"")</f>
        <v/>
      </c>
    </row>
    <row r="870">
      <c r="A870" s="29" t="str">
        <f t="array" ref="A870">IFNA(TRANSPOSE(INDEX('Parâmetros'!$B$4:$J3001,,MATCH(Exames!F868,'Parâmetros'!$B$3:$J$3,0))),"")</f>
        <v/>
      </c>
    </row>
    <row r="871">
      <c r="A871" s="29" t="str">
        <f t="array" ref="A871">IFNA(TRANSPOSE(INDEX('Parâmetros'!$B$4:$J3001,,MATCH(Exames!F869,'Parâmetros'!$B$3:$J$3,0))),"")</f>
        <v/>
      </c>
    </row>
    <row r="872">
      <c r="A872" s="29" t="str">
        <f t="array" ref="A872">IFNA(TRANSPOSE(INDEX('Parâmetros'!$B$4:$J3001,,MATCH(Exames!F870,'Parâmetros'!$B$3:$J$3,0))),"")</f>
        <v/>
      </c>
    </row>
    <row r="873">
      <c r="A873" s="29" t="str">
        <f t="array" ref="A873">IFNA(TRANSPOSE(INDEX('Parâmetros'!$B$4:$J3001,,MATCH(Exames!F871,'Parâmetros'!$B$3:$J$3,0))),"")</f>
        <v/>
      </c>
    </row>
    <row r="874">
      <c r="A874" s="29" t="str">
        <f t="array" ref="A874">IFNA(TRANSPOSE(INDEX('Parâmetros'!$B$4:$J3001,,MATCH(Exames!F872,'Parâmetros'!$B$3:$J$3,0))),"")</f>
        <v/>
      </c>
    </row>
    <row r="875">
      <c r="A875" s="29" t="str">
        <f t="array" ref="A875">IFNA(TRANSPOSE(INDEX('Parâmetros'!$B$4:$J3001,,MATCH(Exames!F873,'Parâmetros'!$B$3:$J$3,0))),"")</f>
        <v/>
      </c>
    </row>
    <row r="876">
      <c r="A876" s="29" t="str">
        <f t="array" ref="A876">IFNA(TRANSPOSE(INDEX('Parâmetros'!$B$4:$J3001,,MATCH(Exames!F874,'Parâmetros'!$B$3:$J$3,0))),"")</f>
        <v/>
      </c>
    </row>
    <row r="877">
      <c r="A877" s="29" t="str">
        <f t="array" ref="A877">IFNA(TRANSPOSE(INDEX('Parâmetros'!$B$4:$J3001,,MATCH(Exames!F875,'Parâmetros'!$B$3:$J$3,0))),"")</f>
        <v/>
      </c>
    </row>
    <row r="878">
      <c r="A878" s="29" t="str">
        <f t="array" ref="A878">IFNA(TRANSPOSE(INDEX('Parâmetros'!$B$4:$J3001,,MATCH(Exames!F876,'Parâmetros'!$B$3:$J$3,0))),"")</f>
        <v/>
      </c>
    </row>
    <row r="879">
      <c r="A879" s="29" t="str">
        <f t="array" ref="A879">IFNA(TRANSPOSE(INDEX('Parâmetros'!$B$4:$J3001,,MATCH(Exames!F877,'Parâmetros'!$B$3:$J$3,0))),"")</f>
        <v/>
      </c>
    </row>
    <row r="880">
      <c r="A880" s="29" t="str">
        <f t="array" ref="A880">IFNA(TRANSPOSE(INDEX('Parâmetros'!$B$4:$J3001,,MATCH(Exames!F878,'Parâmetros'!$B$3:$J$3,0))),"")</f>
        <v/>
      </c>
    </row>
    <row r="881">
      <c r="A881" s="29" t="str">
        <f t="array" ref="A881">IFNA(TRANSPOSE(INDEX('Parâmetros'!$B$4:$J3001,,MATCH(Exames!F879,'Parâmetros'!$B$3:$J$3,0))),"")</f>
        <v/>
      </c>
    </row>
    <row r="882">
      <c r="A882" s="29" t="str">
        <f t="array" ref="A882">IFNA(TRANSPOSE(INDEX('Parâmetros'!$B$4:$J3001,,MATCH(Exames!F880,'Parâmetros'!$B$3:$J$3,0))),"")</f>
        <v/>
      </c>
    </row>
    <row r="883">
      <c r="A883" s="29" t="str">
        <f t="array" ref="A883">IFNA(TRANSPOSE(INDEX('Parâmetros'!$B$4:$J3001,,MATCH(Exames!F881,'Parâmetros'!$B$3:$J$3,0))),"")</f>
        <v/>
      </c>
    </row>
    <row r="884">
      <c r="A884" s="29" t="str">
        <f t="array" ref="A884">IFNA(TRANSPOSE(INDEX('Parâmetros'!$B$4:$J3001,,MATCH(Exames!F882,'Parâmetros'!$B$3:$J$3,0))),"")</f>
        <v/>
      </c>
    </row>
    <row r="885">
      <c r="A885" s="29" t="str">
        <f t="array" ref="A885">IFNA(TRANSPOSE(INDEX('Parâmetros'!$B$4:$J3001,,MATCH(Exames!F883,'Parâmetros'!$B$3:$J$3,0))),"")</f>
        <v/>
      </c>
    </row>
    <row r="886">
      <c r="A886" s="29" t="str">
        <f t="array" ref="A886">IFNA(TRANSPOSE(INDEX('Parâmetros'!$B$4:$J3001,,MATCH(Exames!F884,'Parâmetros'!$B$3:$J$3,0))),"")</f>
        <v/>
      </c>
    </row>
    <row r="887">
      <c r="A887" s="29" t="str">
        <f t="array" ref="A887">IFNA(TRANSPOSE(INDEX('Parâmetros'!$B$4:$J3001,,MATCH(Exames!F885,'Parâmetros'!$B$3:$J$3,0))),"")</f>
        <v/>
      </c>
    </row>
    <row r="888">
      <c r="A888" s="29" t="str">
        <f t="array" ref="A888">IFNA(TRANSPOSE(INDEX('Parâmetros'!$B$4:$J3001,,MATCH(Exames!F886,'Parâmetros'!$B$3:$J$3,0))),"")</f>
        <v/>
      </c>
    </row>
    <row r="889">
      <c r="A889" s="29" t="str">
        <f t="array" ref="A889">IFNA(TRANSPOSE(INDEX('Parâmetros'!$B$4:$J3001,,MATCH(Exames!F887,'Parâmetros'!$B$3:$J$3,0))),"")</f>
        <v/>
      </c>
    </row>
    <row r="890">
      <c r="A890" s="29" t="str">
        <f t="array" ref="A890">IFNA(TRANSPOSE(INDEX('Parâmetros'!$B$4:$J3001,,MATCH(Exames!F888,'Parâmetros'!$B$3:$J$3,0))),"")</f>
        <v/>
      </c>
    </row>
    <row r="891">
      <c r="A891" s="29" t="str">
        <f t="array" ref="A891">IFNA(TRANSPOSE(INDEX('Parâmetros'!$B$4:$J3001,,MATCH(Exames!F889,'Parâmetros'!$B$3:$J$3,0))),"")</f>
        <v/>
      </c>
    </row>
    <row r="892">
      <c r="A892" s="29" t="str">
        <f t="array" ref="A892">IFNA(TRANSPOSE(INDEX('Parâmetros'!$B$4:$J3001,,MATCH(Exames!F890,'Parâmetros'!$B$3:$J$3,0))),"")</f>
        <v/>
      </c>
    </row>
    <row r="893">
      <c r="A893" s="29" t="str">
        <f t="array" ref="A893">IFNA(TRANSPOSE(INDEX('Parâmetros'!$B$4:$J3001,,MATCH(Exames!F891,'Parâmetros'!$B$3:$J$3,0))),"")</f>
        <v/>
      </c>
    </row>
    <row r="894">
      <c r="A894" s="29" t="str">
        <f t="array" ref="A894">IFNA(TRANSPOSE(INDEX('Parâmetros'!$B$4:$J3001,,MATCH(Exames!F892,'Parâmetros'!$B$3:$J$3,0))),"")</f>
        <v/>
      </c>
    </row>
    <row r="895">
      <c r="A895" s="29" t="str">
        <f t="array" ref="A895">IFNA(TRANSPOSE(INDEX('Parâmetros'!$B$4:$J3001,,MATCH(Exames!F893,'Parâmetros'!$B$3:$J$3,0))),"")</f>
        <v/>
      </c>
    </row>
    <row r="896">
      <c r="A896" s="29" t="str">
        <f t="array" ref="A896">IFNA(TRANSPOSE(INDEX('Parâmetros'!$B$4:$J3001,,MATCH(Exames!F894,'Parâmetros'!$B$3:$J$3,0))),"")</f>
        <v/>
      </c>
    </row>
    <row r="897">
      <c r="A897" s="29" t="str">
        <f t="array" ref="A897">IFNA(TRANSPOSE(INDEX('Parâmetros'!$B$4:$J3001,,MATCH(Exames!F895,'Parâmetros'!$B$3:$J$3,0))),"")</f>
        <v/>
      </c>
    </row>
    <row r="898">
      <c r="A898" s="29" t="str">
        <f t="array" ref="A898">IFNA(TRANSPOSE(INDEX('Parâmetros'!$B$4:$J3001,,MATCH(Exames!F896,'Parâmetros'!$B$3:$J$3,0))),"")</f>
        <v/>
      </c>
    </row>
    <row r="899">
      <c r="A899" s="29" t="str">
        <f t="array" ref="A899">IFNA(TRANSPOSE(INDEX('Parâmetros'!$B$4:$J3001,,MATCH(Exames!F897,'Parâmetros'!$B$3:$J$3,0))),"")</f>
        <v/>
      </c>
    </row>
    <row r="900">
      <c r="A900" s="29" t="str">
        <f t="array" ref="A900">IFNA(TRANSPOSE(INDEX('Parâmetros'!$B$4:$J3001,,MATCH(Exames!F898,'Parâmetros'!$B$3:$J$3,0))),"")</f>
        <v/>
      </c>
    </row>
    <row r="901">
      <c r="A901" s="29" t="str">
        <f t="array" ref="A901">IFNA(TRANSPOSE(INDEX('Parâmetros'!$B$4:$J3001,,MATCH(Exames!F899,'Parâmetros'!$B$3:$J$3,0))),"")</f>
        <v/>
      </c>
    </row>
    <row r="902">
      <c r="A902" s="29" t="str">
        <f t="array" ref="A902">IFNA(TRANSPOSE(INDEX('Parâmetros'!$B$4:$J3001,,MATCH(Exames!F900,'Parâmetros'!$B$3:$J$3,0))),"")</f>
        <v/>
      </c>
    </row>
    <row r="903">
      <c r="A903" s="29" t="str">
        <f t="array" ref="A903">IFNA(TRANSPOSE(INDEX('Parâmetros'!$B$4:$J3001,,MATCH(Exames!F901,'Parâmetros'!$B$3:$J$3,0))),"")</f>
        <v/>
      </c>
    </row>
    <row r="904">
      <c r="A904" s="29" t="str">
        <f t="array" ref="A904">IFNA(TRANSPOSE(INDEX('Parâmetros'!$B$4:$J3001,,MATCH(Exames!F902,'Parâmetros'!$B$3:$J$3,0))),"")</f>
        <v/>
      </c>
    </row>
    <row r="905">
      <c r="A905" s="29" t="str">
        <f t="array" ref="A905">IFNA(TRANSPOSE(INDEX('Parâmetros'!$B$4:$J3001,,MATCH(Exames!F903,'Parâmetros'!$B$3:$J$3,0))),"")</f>
        <v/>
      </c>
    </row>
    <row r="906">
      <c r="A906" s="29" t="str">
        <f t="array" ref="A906">IFNA(TRANSPOSE(INDEX('Parâmetros'!$B$4:$J3001,,MATCH(Exames!F904,'Parâmetros'!$B$3:$J$3,0))),"")</f>
        <v/>
      </c>
    </row>
    <row r="907">
      <c r="A907" s="29" t="str">
        <f t="array" ref="A907">IFNA(TRANSPOSE(INDEX('Parâmetros'!$B$4:$J3001,,MATCH(Exames!F905,'Parâmetros'!$B$3:$J$3,0))),"")</f>
        <v/>
      </c>
    </row>
    <row r="908">
      <c r="A908" s="29" t="str">
        <f t="array" ref="A908">IFNA(TRANSPOSE(INDEX('Parâmetros'!$B$4:$J3001,,MATCH(Exames!F906,'Parâmetros'!$B$3:$J$3,0))),"")</f>
        <v/>
      </c>
    </row>
    <row r="909">
      <c r="A909" s="29" t="str">
        <f t="array" ref="A909">IFNA(TRANSPOSE(INDEX('Parâmetros'!$B$4:$J3001,,MATCH(Exames!F907,'Parâmetros'!$B$3:$J$3,0))),"")</f>
        <v/>
      </c>
    </row>
    <row r="910">
      <c r="A910" s="29" t="str">
        <f t="array" ref="A910">IFNA(TRANSPOSE(INDEX('Parâmetros'!$B$4:$J3001,,MATCH(Exames!F908,'Parâmetros'!$B$3:$J$3,0))),"")</f>
        <v/>
      </c>
    </row>
    <row r="911">
      <c r="A911" s="29" t="str">
        <f t="array" ref="A911">IFNA(TRANSPOSE(INDEX('Parâmetros'!$B$4:$J3001,,MATCH(Exames!F909,'Parâmetros'!$B$3:$J$3,0))),"")</f>
        <v/>
      </c>
    </row>
    <row r="912">
      <c r="A912" s="29" t="str">
        <f t="array" ref="A912">IFNA(TRANSPOSE(INDEX('Parâmetros'!$B$4:$J3001,,MATCH(Exames!F910,'Parâmetros'!$B$3:$J$3,0))),"")</f>
        <v/>
      </c>
    </row>
    <row r="913">
      <c r="A913" s="29" t="str">
        <f t="array" ref="A913">IFNA(TRANSPOSE(INDEX('Parâmetros'!$B$4:$J3001,,MATCH(Exames!F911,'Parâmetros'!$B$3:$J$3,0))),"")</f>
        <v/>
      </c>
    </row>
    <row r="914">
      <c r="A914" s="29" t="str">
        <f t="array" ref="A914">IFNA(TRANSPOSE(INDEX('Parâmetros'!$B$4:$J3001,,MATCH(Exames!F912,'Parâmetros'!$B$3:$J$3,0))),"")</f>
        <v/>
      </c>
    </row>
    <row r="915">
      <c r="A915" s="29" t="str">
        <f t="array" ref="A915">IFNA(TRANSPOSE(INDEX('Parâmetros'!$B$4:$J3001,,MATCH(Exames!F913,'Parâmetros'!$B$3:$J$3,0))),"")</f>
        <v/>
      </c>
    </row>
    <row r="916">
      <c r="A916" s="29" t="str">
        <f t="array" ref="A916">IFNA(TRANSPOSE(INDEX('Parâmetros'!$B$4:$J3001,,MATCH(Exames!F914,'Parâmetros'!$B$3:$J$3,0))),"")</f>
        <v/>
      </c>
    </row>
    <row r="917">
      <c r="A917" s="29" t="str">
        <f t="array" ref="A917">IFNA(TRANSPOSE(INDEX('Parâmetros'!$B$4:$J3001,,MATCH(Exames!F915,'Parâmetros'!$B$3:$J$3,0))),"")</f>
        <v/>
      </c>
    </row>
    <row r="918">
      <c r="A918" s="29" t="str">
        <f t="array" ref="A918">IFNA(TRANSPOSE(INDEX('Parâmetros'!$B$4:$J3001,,MATCH(Exames!F916,'Parâmetros'!$B$3:$J$3,0))),"")</f>
        <v/>
      </c>
    </row>
    <row r="919">
      <c r="A919" s="29" t="str">
        <f t="array" ref="A919">IFNA(TRANSPOSE(INDEX('Parâmetros'!$B$4:$J3001,,MATCH(Exames!F917,'Parâmetros'!$B$3:$J$3,0))),"")</f>
        <v/>
      </c>
    </row>
    <row r="920">
      <c r="A920" s="29" t="str">
        <f t="array" ref="A920">IFNA(TRANSPOSE(INDEX('Parâmetros'!$B$4:$J3001,,MATCH(Exames!F918,'Parâmetros'!$B$3:$J$3,0))),"")</f>
        <v/>
      </c>
    </row>
    <row r="921">
      <c r="A921" s="29" t="str">
        <f t="array" ref="A921">IFNA(TRANSPOSE(INDEX('Parâmetros'!$B$4:$J3001,,MATCH(Exames!F919,'Parâmetros'!$B$3:$J$3,0))),"")</f>
        <v/>
      </c>
    </row>
    <row r="922">
      <c r="A922" s="29" t="str">
        <f t="array" ref="A922">IFNA(TRANSPOSE(INDEX('Parâmetros'!$B$4:$J3001,,MATCH(Exames!F920,'Parâmetros'!$B$3:$J$3,0))),"")</f>
        <v/>
      </c>
    </row>
    <row r="923">
      <c r="A923" s="29" t="str">
        <f t="array" ref="A923">IFNA(TRANSPOSE(INDEX('Parâmetros'!$B$4:$J3001,,MATCH(Exames!F921,'Parâmetros'!$B$3:$J$3,0))),"")</f>
        <v/>
      </c>
    </row>
    <row r="924">
      <c r="A924" s="29" t="str">
        <f t="array" ref="A924">IFNA(TRANSPOSE(INDEX('Parâmetros'!$B$4:$J3001,,MATCH(Exames!F922,'Parâmetros'!$B$3:$J$3,0))),"")</f>
        <v/>
      </c>
    </row>
    <row r="925">
      <c r="A925" s="29" t="str">
        <f t="array" ref="A925">IFNA(TRANSPOSE(INDEX('Parâmetros'!$B$4:$J3001,,MATCH(Exames!F923,'Parâmetros'!$B$3:$J$3,0))),"")</f>
        <v/>
      </c>
    </row>
    <row r="926">
      <c r="A926" s="29" t="str">
        <f t="array" ref="A926">IFNA(TRANSPOSE(INDEX('Parâmetros'!$B$4:$J3001,,MATCH(Exames!F924,'Parâmetros'!$B$3:$J$3,0))),"")</f>
        <v/>
      </c>
    </row>
    <row r="927">
      <c r="A927" s="29" t="str">
        <f t="array" ref="A927">IFNA(TRANSPOSE(INDEX('Parâmetros'!$B$4:$J3001,,MATCH(Exames!F925,'Parâmetros'!$B$3:$J$3,0))),"")</f>
        <v/>
      </c>
    </row>
    <row r="928">
      <c r="A928" s="29" t="str">
        <f t="array" ref="A928">IFNA(TRANSPOSE(INDEX('Parâmetros'!$B$4:$J3001,,MATCH(Exames!F926,'Parâmetros'!$B$3:$J$3,0))),"")</f>
        <v/>
      </c>
    </row>
    <row r="929">
      <c r="A929" s="29" t="str">
        <f t="array" ref="A929">IFNA(TRANSPOSE(INDEX('Parâmetros'!$B$4:$J3001,,MATCH(Exames!F927,'Parâmetros'!$B$3:$J$3,0))),"")</f>
        <v/>
      </c>
    </row>
    <row r="930">
      <c r="A930" s="29" t="str">
        <f t="array" ref="A930">IFNA(TRANSPOSE(INDEX('Parâmetros'!$B$4:$J3001,,MATCH(Exames!F928,'Parâmetros'!$B$3:$J$3,0))),"")</f>
        <v/>
      </c>
    </row>
    <row r="931">
      <c r="A931" s="29" t="str">
        <f t="array" ref="A931">IFNA(TRANSPOSE(INDEX('Parâmetros'!$B$4:$J3001,,MATCH(Exames!F929,'Parâmetros'!$B$3:$J$3,0))),"")</f>
        <v/>
      </c>
    </row>
    <row r="932">
      <c r="A932" s="29" t="str">
        <f t="array" ref="A932">IFNA(TRANSPOSE(INDEX('Parâmetros'!$B$4:$J3001,,MATCH(Exames!F930,'Parâmetros'!$B$3:$J$3,0))),"")</f>
        <v/>
      </c>
    </row>
    <row r="933">
      <c r="A933" s="29" t="str">
        <f t="array" ref="A933">IFNA(TRANSPOSE(INDEX('Parâmetros'!$B$4:$J3001,,MATCH(Exames!F931,'Parâmetros'!$B$3:$J$3,0))),"")</f>
        <v/>
      </c>
    </row>
    <row r="934">
      <c r="A934" s="29" t="str">
        <f t="array" ref="A934">IFNA(TRANSPOSE(INDEX('Parâmetros'!$B$4:$J3001,,MATCH(Exames!F932,'Parâmetros'!$B$3:$J$3,0))),"")</f>
        <v/>
      </c>
    </row>
    <row r="935">
      <c r="A935" s="29" t="str">
        <f t="array" ref="A935">IFNA(TRANSPOSE(INDEX('Parâmetros'!$B$4:$J3001,,MATCH(Exames!F933,'Parâmetros'!$B$3:$J$3,0))),"")</f>
        <v/>
      </c>
    </row>
    <row r="936">
      <c r="A936" s="29" t="str">
        <f t="array" ref="A936">IFNA(TRANSPOSE(INDEX('Parâmetros'!$B$4:$J3001,,MATCH(Exames!F934,'Parâmetros'!$B$3:$J$3,0))),"")</f>
        <v/>
      </c>
    </row>
    <row r="937">
      <c r="A937" s="29" t="str">
        <f t="array" ref="A937">IFNA(TRANSPOSE(INDEX('Parâmetros'!$B$4:$J3001,,MATCH(Exames!F935,'Parâmetros'!$B$3:$J$3,0))),"")</f>
        <v/>
      </c>
    </row>
    <row r="938">
      <c r="A938" s="29" t="str">
        <f t="array" ref="A938">IFNA(TRANSPOSE(INDEX('Parâmetros'!$B$4:$J3001,,MATCH(Exames!F936,'Parâmetros'!$B$3:$J$3,0))),"")</f>
        <v/>
      </c>
    </row>
    <row r="939">
      <c r="A939" s="29" t="str">
        <f t="array" ref="A939">IFNA(TRANSPOSE(INDEX('Parâmetros'!$B$4:$J3001,,MATCH(Exames!F937,'Parâmetros'!$B$3:$J$3,0))),"")</f>
        <v/>
      </c>
    </row>
    <row r="940">
      <c r="A940" s="29" t="str">
        <f t="array" ref="A940">IFNA(TRANSPOSE(INDEX('Parâmetros'!$B$4:$J3001,,MATCH(Exames!F938,'Parâmetros'!$B$3:$J$3,0))),"")</f>
        <v/>
      </c>
    </row>
    <row r="941">
      <c r="A941" s="29" t="str">
        <f t="array" ref="A941">IFNA(TRANSPOSE(INDEX('Parâmetros'!$B$4:$J3001,,MATCH(Exames!F939,'Parâmetros'!$B$3:$J$3,0))),"")</f>
        <v/>
      </c>
    </row>
    <row r="942">
      <c r="A942" s="29" t="str">
        <f t="array" ref="A942">IFNA(TRANSPOSE(INDEX('Parâmetros'!$B$4:$J3001,,MATCH(Exames!F940,'Parâmetros'!$B$3:$J$3,0))),"")</f>
        <v/>
      </c>
    </row>
    <row r="943">
      <c r="A943" s="29" t="str">
        <f t="array" ref="A943">IFNA(TRANSPOSE(INDEX('Parâmetros'!$B$4:$J3001,,MATCH(Exames!F941,'Parâmetros'!$B$3:$J$3,0))),"")</f>
        <v/>
      </c>
    </row>
    <row r="944">
      <c r="A944" s="29" t="str">
        <f t="array" ref="A944">IFNA(TRANSPOSE(INDEX('Parâmetros'!$B$4:$J3001,,MATCH(Exames!F942,'Parâmetros'!$B$3:$J$3,0))),"")</f>
        <v/>
      </c>
    </row>
    <row r="945">
      <c r="A945" s="29" t="str">
        <f t="array" ref="A945">IFNA(TRANSPOSE(INDEX('Parâmetros'!$B$4:$J3001,,MATCH(Exames!F943,'Parâmetros'!$B$3:$J$3,0))),"")</f>
        <v/>
      </c>
    </row>
    <row r="946">
      <c r="A946" s="29" t="str">
        <f t="array" ref="A946">IFNA(TRANSPOSE(INDEX('Parâmetros'!$B$4:$J3001,,MATCH(Exames!F944,'Parâmetros'!$B$3:$J$3,0))),"")</f>
        <v/>
      </c>
    </row>
    <row r="947">
      <c r="A947" s="29" t="str">
        <f t="array" ref="A947">IFNA(TRANSPOSE(INDEX('Parâmetros'!$B$4:$J3001,,MATCH(Exames!F945,'Parâmetros'!$B$3:$J$3,0))),"")</f>
        <v/>
      </c>
    </row>
    <row r="948">
      <c r="A948" s="29" t="str">
        <f t="array" ref="A948">IFNA(TRANSPOSE(INDEX('Parâmetros'!$B$4:$J3001,,MATCH(Exames!F946,'Parâmetros'!$B$3:$J$3,0))),"")</f>
        <v/>
      </c>
    </row>
    <row r="949">
      <c r="A949" s="29" t="str">
        <f t="array" ref="A949">IFNA(TRANSPOSE(INDEX('Parâmetros'!$B$4:$J3001,,MATCH(Exames!F947,'Parâmetros'!$B$3:$J$3,0))),"")</f>
        <v/>
      </c>
    </row>
    <row r="950">
      <c r="A950" s="29" t="str">
        <f t="array" ref="A950">IFNA(TRANSPOSE(INDEX('Parâmetros'!$B$4:$J3001,,MATCH(Exames!F948,'Parâmetros'!$B$3:$J$3,0))),"")</f>
        <v/>
      </c>
    </row>
    <row r="951">
      <c r="A951" s="29" t="str">
        <f t="array" ref="A951">IFNA(TRANSPOSE(INDEX('Parâmetros'!$B$4:$J3001,,MATCH(Exames!F949,'Parâmetros'!$B$3:$J$3,0))),"")</f>
        <v/>
      </c>
    </row>
    <row r="952">
      <c r="A952" s="29" t="str">
        <f t="array" ref="A952">IFNA(TRANSPOSE(INDEX('Parâmetros'!$B$4:$J3001,,MATCH(Exames!F950,'Parâmetros'!$B$3:$J$3,0))),"")</f>
        <v/>
      </c>
    </row>
    <row r="953">
      <c r="A953" s="29" t="str">
        <f t="array" ref="A953">IFNA(TRANSPOSE(INDEX('Parâmetros'!$B$4:$J3001,,MATCH(Exames!F951,'Parâmetros'!$B$3:$J$3,0))),"")</f>
        <v/>
      </c>
    </row>
    <row r="954">
      <c r="A954" s="29" t="str">
        <f t="array" ref="A954">IFNA(TRANSPOSE(INDEX('Parâmetros'!$B$4:$J3001,,MATCH(Exames!F952,'Parâmetros'!$B$3:$J$3,0))),"")</f>
        <v/>
      </c>
    </row>
    <row r="955">
      <c r="A955" s="29" t="str">
        <f t="array" ref="A955">IFNA(TRANSPOSE(INDEX('Parâmetros'!$B$4:$J3001,,MATCH(Exames!F953,'Parâmetros'!$B$3:$J$3,0))),"")</f>
        <v/>
      </c>
    </row>
    <row r="956">
      <c r="A956" s="29" t="str">
        <f t="array" ref="A956">IFNA(TRANSPOSE(INDEX('Parâmetros'!$B$4:$J3001,,MATCH(Exames!F954,'Parâmetros'!$B$3:$J$3,0))),"")</f>
        <v/>
      </c>
    </row>
    <row r="957">
      <c r="A957" s="29" t="str">
        <f t="array" ref="A957">IFNA(TRANSPOSE(INDEX('Parâmetros'!$B$4:$J3001,,MATCH(Exames!F955,'Parâmetros'!$B$3:$J$3,0))),"")</f>
        <v/>
      </c>
    </row>
    <row r="958">
      <c r="A958" s="29" t="str">
        <f t="array" ref="A958">IFNA(TRANSPOSE(INDEX('Parâmetros'!$B$4:$J3001,,MATCH(Exames!F956,'Parâmetros'!$B$3:$J$3,0))),"")</f>
        <v/>
      </c>
    </row>
    <row r="959">
      <c r="A959" s="29" t="str">
        <f t="array" ref="A959">IFNA(TRANSPOSE(INDEX('Parâmetros'!$B$4:$J3001,,MATCH(Exames!F957,'Parâmetros'!$B$3:$J$3,0))),"")</f>
        <v/>
      </c>
    </row>
    <row r="960">
      <c r="A960" s="29" t="str">
        <f t="array" ref="A960">IFNA(TRANSPOSE(INDEX('Parâmetros'!$B$4:$J3001,,MATCH(Exames!F958,'Parâmetros'!$B$3:$J$3,0))),"")</f>
        <v/>
      </c>
    </row>
    <row r="961">
      <c r="A961" s="29" t="str">
        <f t="array" ref="A961">IFNA(TRANSPOSE(INDEX('Parâmetros'!$B$4:$J3001,,MATCH(Exames!F959,'Parâmetros'!$B$3:$J$3,0))),"")</f>
        <v/>
      </c>
    </row>
    <row r="962">
      <c r="A962" s="29" t="str">
        <f t="array" ref="A962">IFNA(TRANSPOSE(INDEX('Parâmetros'!$B$4:$J3001,,MATCH(Exames!F960,'Parâmetros'!$B$3:$J$3,0))),"")</f>
        <v/>
      </c>
    </row>
    <row r="963">
      <c r="A963" s="29" t="str">
        <f t="array" ref="A963">IFNA(TRANSPOSE(INDEX('Parâmetros'!$B$4:$J3001,,MATCH(Exames!F961,'Parâmetros'!$B$3:$J$3,0))),"")</f>
        <v/>
      </c>
    </row>
    <row r="964">
      <c r="A964" s="29" t="str">
        <f t="array" ref="A964">IFNA(TRANSPOSE(INDEX('Parâmetros'!$B$4:$J3001,,MATCH(Exames!F962,'Parâmetros'!$B$3:$J$3,0))),"")</f>
        <v/>
      </c>
    </row>
    <row r="965">
      <c r="A965" s="29" t="str">
        <f t="array" ref="A965">IFNA(TRANSPOSE(INDEX('Parâmetros'!$B$4:$J3001,,MATCH(Exames!F963,'Parâmetros'!$B$3:$J$3,0))),"")</f>
        <v/>
      </c>
    </row>
    <row r="966">
      <c r="A966" s="29" t="str">
        <f t="array" ref="A966">IFNA(TRANSPOSE(INDEX('Parâmetros'!$B$4:$J3001,,MATCH(Exames!F964,'Parâmetros'!$B$3:$J$3,0))),"")</f>
        <v/>
      </c>
    </row>
    <row r="967">
      <c r="A967" s="29" t="str">
        <f t="array" ref="A967">IFNA(TRANSPOSE(INDEX('Parâmetros'!$B$4:$J3001,,MATCH(Exames!F965,'Parâmetros'!$B$3:$J$3,0))),"")</f>
        <v/>
      </c>
    </row>
    <row r="968">
      <c r="A968" s="29" t="str">
        <f t="array" ref="A968">IFNA(TRANSPOSE(INDEX('Parâmetros'!$B$4:$J3001,,MATCH(Exames!F966,'Parâmetros'!$B$3:$J$3,0))),"")</f>
        <v/>
      </c>
    </row>
    <row r="969">
      <c r="A969" s="29" t="str">
        <f t="array" ref="A969">IFNA(TRANSPOSE(INDEX('Parâmetros'!$B$4:$J3001,,MATCH(Exames!F967,'Parâmetros'!$B$3:$J$3,0))),"")</f>
        <v/>
      </c>
    </row>
    <row r="970">
      <c r="A970" s="29" t="str">
        <f t="array" ref="A970">IFNA(TRANSPOSE(INDEX('Parâmetros'!$B$4:$J3001,,MATCH(Exames!F968,'Parâmetros'!$B$3:$J$3,0))),"")</f>
        <v/>
      </c>
    </row>
    <row r="971">
      <c r="A971" s="29" t="str">
        <f t="array" ref="A971">IFNA(TRANSPOSE(INDEX('Parâmetros'!$B$4:$J3001,,MATCH(Exames!F969,'Parâmetros'!$B$3:$J$3,0))),"")</f>
        <v/>
      </c>
    </row>
    <row r="972">
      <c r="A972" s="29" t="str">
        <f t="array" ref="A972">IFNA(TRANSPOSE(INDEX('Parâmetros'!$B$4:$J3001,,MATCH(Exames!F970,'Parâmetros'!$B$3:$J$3,0))),"")</f>
        <v/>
      </c>
    </row>
    <row r="973">
      <c r="A973" s="29" t="str">
        <f t="array" ref="A973">IFNA(TRANSPOSE(INDEX('Parâmetros'!$B$4:$J3001,,MATCH(Exames!F971,'Parâmetros'!$B$3:$J$3,0))),"")</f>
        <v/>
      </c>
    </row>
    <row r="974">
      <c r="A974" s="29" t="str">
        <f t="array" ref="A974">IFNA(TRANSPOSE(INDEX('Parâmetros'!$B$4:$J3001,,MATCH(Exames!F972,'Parâmetros'!$B$3:$J$3,0))),"")</f>
        <v/>
      </c>
    </row>
    <row r="975">
      <c r="A975" s="29" t="str">
        <f t="array" ref="A975">IFNA(TRANSPOSE(INDEX('Parâmetros'!$B$4:$J3001,,MATCH(Exames!F973,'Parâmetros'!$B$3:$J$3,0))),"")</f>
        <v/>
      </c>
    </row>
    <row r="976">
      <c r="A976" s="29" t="str">
        <f t="array" ref="A976">IFNA(TRANSPOSE(INDEX('Parâmetros'!$B$4:$J3001,,MATCH(Exames!F974,'Parâmetros'!$B$3:$J$3,0))),"")</f>
        <v/>
      </c>
    </row>
    <row r="977">
      <c r="A977" s="29" t="str">
        <f t="array" ref="A977">IFNA(TRANSPOSE(INDEX('Parâmetros'!$B$4:$J3001,,MATCH(Exames!F975,'Parâmetros'!$B$3:$J$3,0))),"")</f>
        <v/>
      </c>
    </row>
    <row r="978">
      <c r="A978" s="29" t="str">
        <f t="array" ref="A978">IFNA(TRANSPOSE(INDEX('Parâmetros'!$B$4:$J3001,,MATCH(Exames!F976,'Parâmetros'!$B$3:$J$3,0))),"")</f>
        <v/>
      </c>
    </row>
    <row r="979">
      <c r="A979" s="29" t="str">
        <f t="array" ref="A979">IFNA(TRANSPOSE(INDEX('Parâmetros'!$B$4:$J3001,,MATCH(Exames!F977,'Parâmetros'!$B$3:$J$3,0))),"")</f>
        <v/>
      </c>
    </row>
    <row r="980">
      <c r="A980" s="29" t="str">
        <f t="array" ref="A980">IFNA(TRANSPOSE(INDEX('Parâmetros'!$B$4:$J3001,,MATCH(Exames!F978,'Parâmetros'!$B$3:$J$3,0))),"")</f>
        <v/>
      </c>
    </row>
    <row r="981">
      <c r="A981" s="29" t="str">
        <f t="array" ref="A981">IFNA(TRANSPOSE(INDEX('Parâmetros'!$B$4:$J3001,,MATCH(Exames!F979,'Parâmetros'!$B$3:$J$3,0))),"")</f>
        <v/>
      </c>
    </row>
    <row r="982">
      <c r="A982" s="29" t="str">
        <f t="array" ref="A982">IFNA(TRANSPOSE(INDEX('Parâmetros'!$B$4:$J3001,,MATCH(Exames!F980,'Parâmetros'!$B$3:$J$3,0))),"")</f>
        <v/>
      </c>
    </row>
    <row r="983">
      <c r="A983" s="29" t="str">
        <f t="array" ref="A983">IFNA(TRANSPOSE(INDEX('Parâmetros'!$B$4:$J3001,,MATCH(Exames!F981,'Parâmetros'!$B$3:$J$3,0))),"")</f>
        <v/>
      </c>
    </row>
    <row r="984">
      <c r="A984" s="29" t="str">
        <f t="array" ref="A984">IFNA(TRANSPOSE(INDEX('Parâmetros'!$B$4:$J3001,,MATCH(Exames!F982,'Parâmetros'!$B$3:$J$3,0))),"")</f>
        <v/>
      </c>
    </row>
    <row r="985">
      <c r="A985" s="29" t="str">
        <f t="array" ref="A985">IFNA(TRANSPOSE(INDEX('Parâmetros'!$B$4:$J3001,,MATCH(Exames!F983,'Parâmetros'!$B$3:$J$3,0))),"")</f>
        <v/>
      </c>
    </row>
    <row r="986">
      <c r="A986" s="29" t="str">
        <f t="array" ref="A986">IFNA(TRANSPOSE(INDEX('Parâmetros'!$B$4:$J3001,,MATCH(Exames!F984,'Parâmetros'!$B$3:$J$3,0))),"")</f>
        <v/>
      </c>
    </row>
    <row r="987">
      <c r="A987" s="29" t="str">
        <f t="array" ref="A987">IFNA(TRANSPOSE(INDEX('Parâmetros'!$B$4:$J3001,,MATCH(Exames!F985,'Parâmetros'!$B$3:$J$3,0))),"")</f>
        <v/>
      </c>
    </row>
    <row r="988">
      <c r="A988" s="29" t="str">
        <f t="array" ref="A988">IFNA(TRANSPOSE(INDEX('Parâmetros'!$B$4:$J3001,,MATCH(Exames!F986,'Parâmetros'!$B$3:$J$3,0))),"")</f>
        <v/>
      </c>
    </row>
    <row r="989">
      <c r="A989" s="29" t="str">
        <f t="array" ref="A989">IFNA(TRANSPOSE(INDEX('Parâmetros'!$B$4:$J3001,,MATCH(Exames!F987,'Parâmetros'!$B$3:$J$3,0))),"")</f>
        <v/>
      </c>
    </row>
    <row r="990">
      <c r="A990" s="29" t="str">
        <f t="array" ref="A990">IFNA(TRANSPOSE(INDEX('Parâmetros'!$B$4:$J3001,,MATCH(Exames!F988,'Parâmetros'!$B$3:$J$3,0))),"")</f>
        <v/>
      </c>
    </row>
    <row r="991">
      <c r="A991" s="29" t="str">
        <f t="array" ref="A991">IFNA(TRANSPOSE(INDEX('Parâmetros'!$B$4:$J3001,,MATCH(Exames!F989,'Parâmetros'!$B$3:$J$3,0))),"")</f>
        <v/>
      </c>
    </row>
    <row r="992">
      <c r="A992" s="29" t="str">
        <f t="array" ref="A992">IFNA(TRANSPOSE(INDEX('Parâmetros'!$B$4:$J3001,,MATCH(Exames!F990,'Parâmetros'!$B$3:$J$3,0))),"")</f>
        <v/>
      </c>
    </row>
    <row r="993">
      <c r="A993" s="29" t="str">
        <f t="array" ref="A993">IFNA(TRANSPOSE(INDEX('Parâmetros'!$B$4:$J3001,,MATCH(Exames!F991,'Parâmetros'!$B$3:$J$3,0))),"")</f>
        <v/>
      </c>
    </row>
    <row r="994">
      <c r="A994" s="29" t="str">
        <f t="array" ref="A994">IFNA(TRANSPOSE(INDEX('Parâmetros'!$B$4:$J3001,,MATCH(Exames!F992,'Parâmetros'!$B$3:$J$3,0))),"")</f>
        <v/>
      </c>
    </row>
    <row r="995">
      <c r="A995" s="29" t="str">
        <f t="array" ref="A995">IFNA(TRANSPOSE(INDEX('Parâmetros'!$B$4:$J3001,,MATCH(Exames!F993,'Parâmetros'!$B$3:$J$3,0))),"")</f>
        <v/>
      </c>
    </row>
    <row r="996">
      <c r="A996" s="29" t="str">
        <f t="array" ref="A996">IFNA(TRANSPOSE(INDEX('Parâmetros'!$B$4:$J3001,,MATCH(Exames!F994,'Parâmetros'!$B$3:$J$3,0))),"")</f>
        <v/>
      </c>
    </row>
    <row r="997">
      <c r="A997" s="29" t="str">
        <f t="array" ref="A997">IFNA(TRANSPOSE(INDEX('Parâmetros'!$B$4:$J3001,,MATCH(Exames!F995,'Parâmetros'!$B$3:$J$3,0))),"")</f>
        <v/>
      </c>
    </row>
    <row r="998">
      <c r="A998" s="29" t="str">
        <f t="array" ref="A998">IFNA(TRANSPOSE(INDEX('Parâmetros'!$B$4:$J3001,,MATCH(Exames!F996,'Parâmetros'!$B$3:$J$3,0))),"")</f>
        <v/>
      </c>
    </row>
    <row r="999">
      <c r="A999" s="29" t="str">
        <f t="array" ref="A999">IFNA(TRANSPOSE(INDEX('Parâmetros'!$B$4:$J3001,,MATCH(Exames!F997,'Parâmetros'!$B$3:$J$3,0))),"")</f>
        <v/>
      </c>
    </row>
    <row r="1000">
      <c r="A1000" s="29" t="str">
        <f t="array" ref="A1000">IFNA(TRANSPOSE(INDEX('Parâmetros'!$B$4:$J3001,,MATCH(Exames!F998,'Parâmetros'!$B$3:$J$3,0))),"")</f>
        <v/>
      </c>
    </row>
    <row r="1001">
      <c r="A1001" s="29" t="str">
        <f t="array" ref="A1001">IFNA(TRANSPOSE(INDEX('Parâmetros'!$B$4:$J3001,,MATCH(Exames!F999,'Parâmetros'!$B$3:$J$3,0))),"")</f>
        <v/>
      </c>
    </row>
    <row r="1002">
      <c r="A1002" s="29" t="str">
        <f t="array" ref="A1002">IFNA(TRANSPOSE(INDEX('Parâmetros'!$B$4:$J3001,,MATCH(Exames!F1000,'Parâmetros'!$B$3:$J$3,0))),"")</f>
        <v/>
      </c>
    </row>
    <row r="1003">
      <c r="A1003" s="29" t="str">
        <f t="array" ref="A1003">IFNA(TRANSPOSE(INDEX('Parâmetros'!$B$4:$J3001,,MATCH(Exames!F1001,'Parâmetros'!$B$3:$J$3,0))),"")</f>
        <v/>
      </c>
    </row>
    <row r="1004">
      <c r="A1004" s="29" t="str">
        <f t="array" ref="A1004">IFNA(TRANSPOSE(INDEX('Parâmetros'!$B$4:$J3001,,MATCH(Exames!F1002,'Parâmetros'!$B$3:$J$3,0))),"")</f>
        <v/>
      </c>
    </row>
    <row r="1005">
      <c r="A1005" s="29" t="str">
        <f t="array" ref="A1005">IFNA(TRANSPOSE(INDEX('Parâmetros'!$B$4:$J3001,,MATCH(Exames!F1003,'Parâmetros'!$B$3:$J$3,0))),"")</f>
        <v/>
      </c>
    </row>
    <row r="1006">
      <c r="A1006" s="29" t="str">
        <f t="array" ref="A1006">IFNA(TRANSPOSE(INDEX('Parâmetros'!$B$4:$J3001,,MATCH(Exames!F1004,'Parâmetros'!$B$3:$J$3,0))),"")</f>
        <v/>
      </c>
    </row>
    <row r="1007">
      <c r="A1007" s="29" t="str">
        <f t="array" ref="A1007">IFNA(TRANSPOSE(INDEX('Parâmetros'!$B$4:$J3001,,MATCH(Exames!F1005,'Parâmetros'!$B$3:$J$3,0))),"")</f>
        <v/>
      </c>
    </row>
    <row r="1008">
      <c r="A1008" s="29" t="str">
        <f t="array" ref="A1008">IFNA(TRANSPOSE(INDEX('Parâmetros'!$B$4:$J3001,,MATCH(Exames!F1006,'Parâmetros'!$B$3:$J$3,0))),"")</f>
        <v/>
      </c>
    </row>
    <row r="1009">
      <c r="A1009" s="29" t="str">
        <f t="array" ref="A1009">IFNA(TRANSPOSE(INDEX('Parâmetros'!$B$4:$J3001,,MATCH(Exames!F1007,'Parâmetros'!$B$3:$J$3,0))),"")</f>
        <v/>
      </c>
    </row>
    <row r="1010">
      <c r="A1010" s="29" t="str">
        <f t="array" ref="A1010">IFNA(TRANSPOSE(INDEX('Parâmetros'!$B$4:$J3001,,MATCH(Exames!F1008,'Parâmetros'!$B$3:$J$3,0))),"")</f>
        <v/>
      </c>
    </row>
    <row r="1011">
      <c r="A1011" s="29" t="str">
        <f t="array" ref="A1011">IFNA(TRANSPOSE(INDEX('Parâmetros'!$B$4:$J3001,,MATCH(Exames!F1009,'Parâmetros'!$B$3:$J$3,0))),"")</f>
        <v/>
      </c>
    </row>
    <row r="1012">
      <c r="A1012" s="29" t="str">
        <f t="array" ref="A1012">IFNA(TRANSPOSE(INDEX('Parâmetros'!$B$4:$J3001,,MATCH(Exames!F1010,'Parâmetros'!$B$3:$J$3,0))),"")</f>
        <v/>
      </c>
    </row>
    <row r="1013">
      <c r="A1013" s="29" t="str">
        <f t="array" ref="A1013">IFNA(TRANSPOSE(INDEX('Parâmetros'!$B$4:$J3001,,MATCH(Exames!F1011,'Parâmetros'!$B$3:$J$3,0))),"")</f>
        <v/>
      </c>
    </row>
    <row r="1014">
      <c r="A1014" s="29" t="str">
        <f t="array" ref="A1014">IFNA(TRANSPOSE(INDEX('Parâmetros'!$B$4:$J3001,,MATCH(Exames!F1012,'Parâmetros'!$B$3:$J$3,0))),"")</f>
        <v/>
      </c>
    </row>
    <row r="1015">
      <c r="A1015" s="29" t="str">
        <f t="array" ref="A1015">IFNA(TRANSPOSE(INDEX('Parâmetros'!$B$4:$J3001,,MATCH(Exames!F1013,'Parâmetros'!$B$3:$J$3,0))),"")</f>
        <v/>
      </c>
    </row>
    <row r="1016">
      <c r="A1016" s="29" t="str">
        <f t="array" ref="A1016">IFNA(TRANSPOSE(INDEX('Parâmetros'!$B$4:$J3001,,MATCH(Exames!F1014,'Parâmetros'!$B$3:$J$3,0))),"")</f>
        <v/>
      </c>
    </row>
    <row r="1017">
      <c r="A1017" s="29" t="str">
        <f t="array" ref="A1017">IFNA(TRANSPOSE(INDEX('Parâmetros'!$B$4:$J3001,,MATCH(Exames!F1015,'Parâmetros'!$B$3:$J$3,0))),"")</f>
        <v/>
      </c>
    </row>
    <row r="1018">
      <c r="A1018" s="29" t="str">
        <f t="array" ref="A1018">IFNA(TRANSPOSE(INDEX('Parâmetros'!$B$4:$J3001,,MATCH(Exames!F1016,'Parâmetros'!$B$3:$J$3,0))),"")</f>
        <v/>
      </c>
    </row>
    <row r="1019">
      <c r="A1019" s="29" t="str">
        <f t="array" ref="A1019">IFNA(TRANSPOSE(INDEX('Parâmetros'!$B$4:$J3001,,MATCH(Exames!F1017,'Parâmetros'!$B$3:$J$3,0))),"")</f>
        <v/>
      </c>
    </row>
    <row r="1020">
      <c r="A1020" s="29" t="str">
        <f t="array" ref="A1020">IFNA(TRANSPOSE(INDEX('Parâmetros'!$B$4:$J3001,,MATCH(Exames!F1018,'Parâmetros'!$B$3:$J$3,0))),"")</f>
        <v/>
      </c>
    </row>
    <row r="1021">
      <c r="A1021" s="29" t="str">
        <f t="array" ref="A1021">IFNA(TRANSPOSE(INDEX('Parâmetros'!$B$4:$J3001,,MATCH(Exames!F1019,'Parâmetros'!$B$3:$J$3,0))),"")</f>
        <v/>
      </c>
    </row>
    <row r="1022">
      <c r="A1022" s="29" t="str">
        <f t="array" ref="A1022">IFNA(TRANSPOSE(INDEX('Parâmetros'!$B$4:$J3001,,MATCH(Exames!F1020,'Parâmetros'!$B$3:$J$3,0))),"")</f>
        <v/>
      </c>
    </row>
    <row r="1023">
      <c r="A1023" s="29" t="str">
        <f t="array" ref="A1023">IFNA(TRANSPOSE(INDEX('Parâmetros'!$B$4:$J3001,,MATCH(Exames!F1021,'Parâmetros'!$B$3:$J$3,0))),"")</f>
        <v/>
      </c>
    </row>
    <row r="1024">
      <c r="A1024" s="29" t="str">
        <f t="array" ref="A1024">IFNA(TRANSPOSE(INDEX('Parâmetros'!$B$4:$J3001,,MATCH(Exames!F1022,'Parâmetros'!$B$3:$J$3,0))),"")</f>
        <v/>
      </c>
    </row>
    <row r="1025">
      <c r="A1025" s="29" t="str">
        <f t="array" ref="A1025">IFNA(TRANSPOSE(INDEX('Parâmetros'!$B$4:$J3001,,MATCH(Exames!F1023,'Parâmetros'!$B$3:$J$3,0))),"")</f>
        <v/>
      </c>
    </row>
    <row r="1026">
      <c r="A1026" s="29" t="str">
        <f t="array" ref="A1026">IFNA(TRANSPOSE(INDEX('Parâmetros'!$B$4:$J3001,,MATCH(Exames!F1024,'Parâmetros'!$B$3:$J$3,0))),"")</f>
        <v/>
      </c>
    </row>
    <row r="1027">
      <c r="A1027" s="29" t="str">
        <f t="array" ref="A1027">IFNA(TRANSPOSE(INDEX('Parâmetros'!$B$4:$J3001,,MATCH(Exames!F1025,'Parâmetros'!$B$3:$J$3,0))),"")</f>
        <v/>
      </c>
    </row>
    <row r="1028">
      <c r="A1028" s="29" t="str">
        <f t="array" ref="A1028">IFNA(TRANSPOSE(INDEX('Parâmetros'!$B$4:$J3001,,MATCH(Exames!F1026,'Parâmetros'!$B$3:$J$3,0))),"")</f>
        <v/>
      </c>
    </row>
    <row r="1029">
      <c r="A1029" s="29" t="str">
        <f t="array" ref="A1029">IFNA(TRANSPOSE(INDEX('Parâmetros'!$B$4:$J3001,,MATCH(Exames!F1027,'Parâmetros'!$B$3:$J$3,0))),"")</f>
        <v/>
      </c>
    </row>
    <row r="1030">
      <c r="A1030" s="29" t="str">
        <f t="array" ref="A1030">IFNA(TRANSPOSE(INDEX('Parâmetros'!$B$4:$J3001,,MATCH(Exames!F1028,'Parâmetros'!$B$3:$J$3,0))),"")</f>
        <v/>
      </c>
    </row>
    <row r="1031">
      <c r="A1031" s="29" t="str">
        <f t="array" ref="A1031">IFNA(TRANSPOSE(INDEX('Parâmetros'!$B$4:$J3001,,MATCH(Exames!F1029,'Parâmetros'!$B$3:$J$3,0))),"")</f>
        <v/>
      </c>
    </row>
    <row r="1032">
      <c r="A1032" s="29" t="str">
        <f t="array" ref="A1032">IFNA(TRANSPOSE(INDEX('Parâmetros'!$B$4:$J3001,,MATCH(Exames!F1030,'Parâmetros'!$B$3:$J$3,0))),"")</f>
        <v/>
      </c>
    </row>
    <row r="1033">
      <c r="A1033" s="29" t="str">
        <f t="array" ref="A1033">IFNA(TRANSPOSE(INDEX('Parâmetros'!$B$4:$J3001,,MATCH(Exames!F1031,'Parâmetros'!$B$3:$J$3,0))),"")</f>
        <v/>
      </c>
    </row>
    <row r="1034">
      <c r="A1034" s="29" t="str">
        <f t="array" ref="A1034">IFNA(TRANSPOSE(INDEX('Parâmetros'!$B$4:$J3001,,MATCH(Exames!F1032,'Parâmetros'!$B$3:$J$3,0))),"")</f>
        <v/>
      </c>
    </row>
    <row r="1035">
      <c r="A1035" s="29" t="str">
        <f t="array" ref="A1035">IFNA(TRANSPOSE(INDEX('Parâmetros'!$B$4:$J3001,,MATCH(Exames!F1033,'Parâmetros'!$B$3:$J$3,0))),"")</f>
        <v/>
      </c>
    </row>
    <row r="1036">
      <c r="A1036" s="29" t="str">
        <f t="array" ref="A1036">IFNA(TRANSPOSE(INDEX('Parâmetros'!$B$4:$J3001,,MATCH(Exames!F1034,'Parâmetros'!$B$3:$J$3,0))),"")</f>
        <v/>
      </c>
    </row>
    <row r="1037">
      <c r="A1037" s="29" t="str">
        <f t="array" ref="A1037">IFNA(TRANSPOSE(INDEX('Parâmetros'!$B$4:$J3001,,MATCH(Exames!F1035,'Parâmetros'!$B$3:$J$3,0))),"")</f>
        <v/>
      </c>
    </row>
    <row r="1038">
      <c r="A1038" s="29" t="str">
        <f t="array" ref="A1038">IFNA(TRANSPOSE(INDEX('Parâmetros'!$B$4:$J3001,,MATCH(Exames!F1036,'Parâmetros'!$B$3:$J$3,0))),"")</f>
        <v/>
      </c>
    </row>
    <row r="1039">
      <c r="A1039" s="29" t="str">
        <f t="array" ref="A1039">IFNA(TRANSPOSE(INDEX('Parâmetros'!$B$4:$J3001,,MATCH(Exames!F1037,'Parâmetros'!$B$3:$J$3,0))),"")</f>
        <v/>
      </c>
    </row>
    <row r="1040">
      <c r="A1040" s="29" t="str">
        <f t="array" ref="A1040">IFNA(TRANSPOSE(INDEX('Parâmetros'!$B$4:$J3001,,MATCH(Exames!F1038,'Parâmetros'!$B$3:$J$3,0))),"")</f>
        <v/>
      </c>
    </row>
    <row r="1041">
      <c r="A1041" s="29" t="str">
        <f t="array" ref="A1041">IFNA(TRANSPOSE(INDEX('Parâmetros'!$B$4:$J3001,,MATCH(Exames!F1039,'Parâmetros'!$B$3:$J$3,0))),"")</f>
        <v/>
      </c>
    </row>
    <row r="1042">
      <c r="A1042" s="29" t="str">
        <f t="array" ref="A1042">IFNA(TRANSPOSE(INDEX('Parâmetros'!$B$4:$J3001,,MATCH(Exames!F1040,'Parâmetros'!$B$3:$J$3,0))),"")</f>
        <v/>
      </c>
    </row>
    <row r="1043">
      <c r="A1043" s="29" t="str">
        <f t="array" ref="A1043">IFNA(TRANSPOSE(INDEX('Parâmetros'!$B$4:$J3001,,MATCH(Exames!F1041,'Parâmetros'!$B$3:$J$3,0))),"")</f>
        <v/>
      </c>
    </row>
    <row r="1044">
      <c r="A1044" s="29" t="str">
        <f t="array" ref="A1044">IFNA(TRANSPOSE(INDEX('Parâmetros'!$B$4:$J3001,,MATCH(Exames!F1042,'Parâmetros'!$B$3:$J$3,0))),"")</f>
        <v/>
      </c>
    </row>
    <row r="1045">
      <c r="A1045" s="29" t="str">
        <f t="array" ref="A1045">IFNA(TRANSPOSE(INDEX('Parâmetros'!$B$4:$J3001,,MATCH(Exames!F1043,'Parâmetros'!$B$3:$J$3,0))),"")</f>
        <v/>
      </c>
    </row>
    <row r="1046">
      <c r="A1046" s="29" t="str">
        <f t="array" ref="A1046">IFNA(TRANSPOSE(INDEX('Parâmetros'!$B$4:$J3001,,MATCH(Exames!F1044,'Parâmetros'!$B$3:$J$3,0))),"")</f>
        <v/>
      </c>
    </row>
    <row r="1047">
      <c r="A1047" s="29" t="str">
        <f t="array" ref="A1047">IFNA(TRANSPOSE(INDEX('Parâmetros'!$B$4:$J3001,,MATCH(Exames!F1045,'Parâmetros'!$B$3:$J$3,0))),"")</f>
        <v/>
      </c>
    </row>
    <row r="1048">
      <c r="A1048" s="29" t="str">
        <f t="array" ref="A1048">IFNA(TRANSPOSE(INDEX('Parâmetros'!$B$4:$J3001,,MATCH(Exames!F1046,'Parâmetros'!$B$3:$J$3,0))),"")</f>
        <v/>
      </c>
    </row>
    <row r="1049">
      <c r="A1049" s="29" t="str">
        <f t="array" ref="A1049">IFNA(TRANSPOSE(INDEX('Parâmetros'!$B$4:$J3001,,MATCH(Exames!F1047,'Parâmetros'!$B$3:$J$3,0))),"")</f>
        <v/>
      </c>
    </row>
    <row r="1050">
      <c r="A1050" s="29" t="str">
        <f t="array" ref="A1050">IFNA(TRANSPOSE(INDEX('Parâmetros'!$B$4:$J3001,,MATCH(Exames!F1048,'Parâmetros'!$B$3:$J$3,0))),"")</f>
        <v/>
      </c>
    </row>
    <row r="1051">
      <c r="A1051" s="29" t="str">
        <f t="array" ref="A1051">IFNA(TRANSPOSE(INDEX('Parâmetros'!$B$4:$J3001,,MATCH(Exames!F1049,'Parâmetros'!$B$3:$J$3,0))),"")</f>
        <v/>
      </c>
    </row>
    <row r="1052">
      <c r="A1052" s="29" t="str">
        <f t="array" ref="A1052">IFNA(TRANSPOSE(INDEX('Parâmetros'!$B$4:$J3001,,MATCH(Exames!F1050,'Parâmetros'!$B$3:$J$3,0))),"")</f>
        <v/>
      </c>
    </row>
    <row r="1053">
      <c r="A1053" s="29" t="str">
        <f t="array" ref="A1053">IFNA(TRANSPOSE(INDEX('Parâmetros'!$B$4:$J3001,,MATCH(Exames!F1051,'Parâmetros'!$B$3:$J$3,0))),"")</f>
        <v/>
      </c>
    </row>
    <row r="1054">
      <c r="A1054" s="29" t="str">
        <f t="array" ref="A1054">IFNA(TRANSPOSE(INDEX('Parâmetros'!$B$4:$J3001,,MATCH(Exames!F1052,'Parâmetros'!$B$3:$J$3,0))),"")</f>
        <v/>
      </c>
    </row>
    <row r="1055">
      <c r="A1055" s="29" t="str">
        <f t="array" ref="A1055">IFNA(TRANSPOSE(INDEX('Parâmetros'!$B$4:$J3001,,MATCH(Exames!F1053,'Parâmetros'!$B$3:$J$3,0))),"")</f>
        <v/>
      </c>
    </row>
    <row r="1056">
      <c r="A1056" s="29" t="str">
        <f t="array" ref="A1056">IFNA(TRANSPOSE(INDEX('Parâmetros'!$B$4:$J3001,,MATCH(Exames!F1054,'Parâmetros'!$B$3:$J$3,0))),"")</f>
        <v/>
      </c>
    </row>
    <row r="1057">
      <c r="A1057" s="29" t="str">
        <f t="array" ref="A1057">IFNA(TRANSPOSE(INDEX('Parâmetros'!$B$4:$J3001,,MATCH(Exames!F1055,'Parâmetros'!$B$3:$J$3,0))),"")</f>
        <v/>
      </c>
    </row>
    <row r="1058">
      <c r="A1058" s="29" t="str">
        <f t="array" ref="A1058">IFNA(TRANSPOSE(INDEX('Parâmetros'!$B$4:$J3001,,MATCH(Exames!F1056,'Parâmetros'!$B$3:$J$3,0))),"")</f>
        <v/>
      </c>
    </row>
    <row r="1059">
      <c r="A1059" s="29" t="str">
        <f t="array" ref="A1059">IFNA(TRANSPOSE(INDEX('Parâmetros'!$B$4:$J3001,,MATCH(Exames!F1057,'Parâmetros'!$B$3:$J$3,0))),"")</f>
        <v/>
      </c>
    </row>
    <row r="1060">
      <c r="A1060" s="29" t="str">
        <f t="array" ref="A1060">IFNA(TRANSPOSE(INDEX('Parâmetros'!$B$4:$J3001,,MATCH(Exames!F1058,'Parâmetros'!$B$3:$J$3,0))),"")</f>
        <v/>
      </c>
    </row>
    <row r="1061">
      <c r="A1061" s="29" t="str">
        <f t="array" ref="A1061">IFNA(TRANSPOSE(INDEX('Parâmetros'!$B$4:$J3001,,MATCH(Exames!F1059,'Parâmetros'!$B$3:$J$3,0))),"")</f>
        <v/>
      </c>
    </row>
    <row r="1062">
      <c r="A1062" s="29" t="str">
        <f t="array" ref="A1062">IFNA(TRANSPOSE(INDEX('Parâmetros'!$B$4:$J3001,,MATCH(Exames!F1060,'Parâmetros'!$B$3:$J$3,0))),"")</f>
        <v/>
      </c>
    </row>
    <row r="1063">
      <c r="A1063" s="29" t="str">
        <f t="array" ref="A1063">IFNA(TRANSPOSE(INDEX('Parâmetros'!$B$4:$J3001,,MATCH(Exames!F1061,'Parâmetros'!$B$3:$J$3,0))),"")</f>
        <v/>
      </c>
    </row>
    <row r="1064">
      <c r="A1064" s="29" t="str">
        <f t="array" ref="A1064">IFNA(TRANSPOSE(INDEX('Parâmetros'!$B$4:$J3001,,MATCH(Exames!F1062,'Parâmetros'!$B$3:$J$3,0))),"")</f>
        <v/>
      </c>
    </row>
    <row r="1065">
      <c r="A1065" s="29" t="str">
        <f t="array" ref="A1065">IFNA(TRANSPOSE(INDEX('Parâmetros'!$B$4:$J3001,,MATCH(Exames!F1063,'Parâmetros'!$B$3:$J$3,0))),"")</f>
        <v/>
      </c>
    </row>
    <row r="1066">
      <c r="A1066" s="29" t="str">
        <f t="array" ref="A1066">IFNA(TRANSPOSE(INDEX('Parâmetros'!$B$4:$J3001,,MATCH(Exames!F1064,'Parâmetros'!$B$3:$J$3,0))),"")</f>
        <v/>
      </c>
    </row>
    <row r="1067">
      <c r="A1067" s="29" t="str">
        <f t="array" ref="A1067">IFNA(TRANSPOSE(INDEX('Parâmetros'!$B$4:$J3001,,MATCH(Exames!F1065,'Parâmetros'!$B$3:$J$3,0))),"")</f>
        <v/>
      </c>
    </row>
    <row r="1068">
      <c r="A1068" s="29" t="str">
        <f t="array" ref="A1068">IFNA(TRANSPOSE(INDEX('Parâmetros'!$B$4:$J3001,,MATCH(Exames!F1066,'Parâmetros'!$B$3:$J$3,0))),"")</f>
        <v/>
      </c>
    </row>
    <row r="1069">
      <c r="A1069" s="29" t="str">
        <f t="array" ref="A1069">IFNA(TRANSPOSE(INDEX('Parâmetros'!$B$4:$J3001,,MATCH(Exames!F1067,'Parâmetros'!$B$3:$J$3,0))),"")</f>
        <v/>
      </c>
    </row>
    <row r="1070">
      <c r="A1070" s="29" t="str">
        <f t="array" ref="A1070">IFNA(TRANSPOSE(INDEX('Parâmetros'!$B$4:$J3001,,MATCH(Exames!F1068,'Parâmetros'!$B$3:$J$3,0))),"")</f>
        <v/>
      </c>
    </row>
    <row r="1071">
      <c r="A1071" s="29" t="str">
        <f t="array" ref="A1071">IFNA(TRANSPOSE(INDEX('Parâmetros'!$B$4:$J3001,,MATCH(Exames!F1069,'Parâmetros'!$B$3:$J$3,0))),"")</f>
        <v/>
      </c>
    </row>
    <row r="1072">
      <c r="A1072" s="29" t="str">
        <f t="array" ref="A1072">IFNA(TRANSPOSE(INDEX('Parâmetros'!$B$4:$J3001,,MATCH(Exames!F1070,'Parâmetros'!$B$3:$J$3,0))),"")</f>
        <v/>
      </c>
    </row>
    <row r="1073">
      <c r="A1073" s="29" t="str">
        <f t="array" ref="A1073">IFNA(TRANSPOSE(INDEX('Parâmetros'!$B$4:$J3001,,MATCH(Exames!F1071,'Parâmetros'!$B$3:$J$3,0))),"")</f>
        <v/>
      </c>
    </row>
    <row r="1074">
      <c r="A1074" s="29" t="str">
        <f t="array" ref="A1074">IFNA(TRANSPOSE(INDEX('Parâmetros'!$B$4:$J3001,,MATCH(Exames!F1072,'Parâmetros'!$B$3:$J$3,0))),"")</f>
        <v/>
      </c>
    </row>
    <row r="1075">
      <c r="A1075" s="29" t="str">
        <f t="array" ref="A1075">IFNA(TRANSPOSE(INDEX('Parâmetros'!$B$4:$J3001,,MATCH(Exames!F1073,'Parâmetros'!$B$3:$J$3,0))),"")</f>
        <v/>
      </c>
    </row>
    <row r="1076">
      <c r="A1076" s="29" t="str">
        <f t="array" ref="A1076">IFNA(TRANSPOSE(INDEX('Parâmetros'!$B$4:$J3001,,MATCH(Exames!F1074,'Parâmetros'!$B$3:$J$3,0))),"")</f>
        <v/>
      </c>
    </row>
    <row r="1077">
      <c r="A1077" s="29" t="str">
        <f t="array" ref="A1077">IFNA(TRANSPOSE(INDEX('Parâmetros'!$B$4:$J3001,,MATCH(Exames!F1075,'Parâmetros'!$B$3:$J$3,0))),"")</f>
        <v/>
      </c>
    </row>
    <row r="1078">
      <c r="A1078" s="29" t="str">
        <f t="array" ref="A1078">IFNA(TRANSPOSE(INDEX('Parâmetros'!$B$4:$J3001,,MATCH(Exames!F1076,'Parâmetros'!$B$3:$J$3,0))),"")</f>
        <v/>
      </c>
    </row>
    <row r="1079">
      <c r="A1079" s="29" t="str">
        <f t="array" ref="A1079">IFNA(TRANSPOSE(INDEX('Parâmetros'!$B$4:$J3001,,MATCH(Exames!F1077,'Parâmetros'!$B$3:$J$3,0))),"")</f>
        <v/>
      </c>
    </row>
    <row r="1080">
      <c r="A1080" s="29" t="str">
        <f t="array" ref="A1080">IFNA(TRANSPOSE(INDEX('Parâmetros'!$B$4:$J3001,,MATCH(Exames!F1078,'Parâmetros'!$B$3:$J$3,0))),"")</f>
        <v/>
      </c>
    </row>
    <row r="1081">
      <c r="A1081" s="29" t="str">
        <f t="array" ref="A1081">IFNA(TRANSPOSE(INDEX('Parâmetros'!$B$4:$J3001,,MATCH(Exames!F1079,'Parâmetros'!$B$3:$J$3,0))),"")</f>
        <v/>
      </c>
    </row>
    <row r="1082">
      <c r="A1082" s="29" t="str">
        <f t="array" ref="A1082">IFNA(TRANSPOSE(INDEX('Parâmetros'!$B$4:$J3001,,MATCH(Exames!F1080,'Parâmetros'!$B$3:$J$3,0))),"")</f>
        <v/>
      </c>
    </row>
    <row r="1083">
      <c r="A1083" s="29" t="str">
        <f t="array" ref="A1083">IFNA(TRANSPOSE(INDEX('Parâmetros'!$B$4:$J3001,,MATCH(Exames!F1081,'Parâmetros'!$B$3:$J$3,0))),"")</f>
        <v/>
      </c>
    </row>
    <row r="1084">
      <c r="A1084" s="29" t="str">
        <f t="array" ref="A1084">IFNA(TRANSPOSE(INDEX('Parâmetros'!$B$4:$J3001,,MATCH(Exames!F1082,'Parâmetros'!$B$3:$J$3,0))),"")</f>
        <v/>
      </c>
    </row>
    <row r="1085">
      <c r="A1085" s="29" t="str">
        <f t="array" ref="A1085">IFNA(TRANSPOSE(INDEX('Parâmetros'!$B$4:$J3001,,MATCH(Exames!F1083,'Parâmetros'!$B$3:$J$3,0))),"")</f>
        <v/>
      </c>
    </row>
    <row r="1086">
      <c r="A1086" s="29" t="str">
        <f t="array" ref="A1086">IFNA(TRANSPOSE(INDEX('Parâmetros'!$B$4:$J3001,,MATCH(Exames!F1084,'Parâmetros'!$B$3:$J$3,0))),"")</f>
        <v/>
      </c>
    </row>
    <row r="1087">
      <c r="A1087" s="29" t="str">
        <f t="array" ref="A1087">IFNA(TRANSPOSE(INDEX('Parâmetros'!$B$4:$J3001,,MATCH(Exames!F1085,'Parâmetros'!$B$3:$J$3,0))),"")</f>
        <v/>
      </c>
    </row>
    <row r="1088">
      <c r="A1088" s="29" t="str">
        <f t="array" ref="A1088">IFNA(TRANSPOSE(INDEX('Parâmetros'!$B$4:$J3001,,MATCH(Exames!F1086,'Parâmetros'!$B$3:$J$3,0))),"")</f>
        <v/>
      </c>
    </row>
    <row r="1089">
      <c r="A1089" s="29" t="str">
        <f t="array" ref="A1089">IFNA(TRANSPOSE(INDEX('Parâmetros'!$B$4:$J3001,,MATCH(Exames!F1087,'Parâmetros'!$B$3:$J$3,0))),"")</f>
        <v/>
      </c>
    </row>
    <row r="1090">
      <c r="A1090" s="29" t="str">
        <f t="array" ref="A1090">IFNA(TRANSPOSE(INDEX('Parâmetros'!$B$4:$J3001,,MATCH(Exames!F1088,'Parâmetros'!$B$3:$J$3,0))),"")</f>
        <v/>
      </c>
    </row>
    <row r="1091">
      <c r="A1091" s="29" t="str">
        <f t="array" ref="A1091">IFNA(TRANSPOSE(INDEX('Parâmetros'!$B$4:$J3001,,MATCH(Exames!F1089,'Parâmetros'!$B$3:$J$3,0))),"")</f>
        <v/>
      </c>
    </row>
    <row r="1092">
      <c r="A1092" s="29" t="str">
        <f t="array" ref="A1092">IFNA(TRANSPOSE(INDEX('Parâmetros'!$B$4:$J3001,,MATCH(Exames!F1090,'Parâmetros'!$B$3:$J$3,0))),"")</f>
        <v/>
      </c>
    </row>
    <row r="1093">
      <c r="A1093" s="29" t="str">
        <f t="array" ref="A1093">IFNA(TRANSPOSE(INDEX('Parâmetros'!$B$4:$J3001,,MATCH(Exames!F1091,'Parâmetros'!$B$3:$J$3,0))),"")</f>
        <v/>
      </c>
    </row>
    <row r="1094">
      <c r="A1094" s="29" t="str">
        <f t="array" ref="A1094">IFNA(TRANSPOSE(INDEX('Parâmetros'!$B$4:$J3001,,MATCH(Exames!F1092,'Parâmetros'!$B$3:$J$3,0))),"")</f>
        <v/>
      </c>
    </row>
    <row r="1095">
      <c r="A1095" s="29" t="str">
        <f t="array" ref="A1095">IFNA(TRANSPOSE(INDEX('Parâmetros'!$B$4:$J3001,,MATCH(Exames!F1093,'Parâmetros'!$B$3:$J$3,0))),"")</f>
        <v/>
      </c>
    </row>
    <row r="1096">
      <c r="A1096" s="29" t="str">
        <f t="array" ref="A1096">IFNA(TRANSPOSE(INDEX('Parâmetros'!$B$4:$J3001,,MATCH(Exames!F1094,'Parâmetros'!$B$3:$J$3,0))),"")</f>
        <v/>
      </c>
    </row>
    <row r="1097">
      <c r="A1097" s="29" t="str">
        <f t="array" ref="A1097">IFNA(TRANSPOSE(INDEX('Parâmetros'!$B$4:$J3001,,MATCH(Exames!F1095,'Parâmetros'!$B$3:$J$3,0))),"")</f>
        <v/>
      </c>
    </row>
    <row r="1098">
      <c r="A1098" s="29" t="str">
        <f t="array" ref="A1098">IFNA(TRANSPOSE(INDEX('Parâmetros'!$B$4:$J3001,,MATCH(Exames!F1096,'Parâmetros'!$B$3:$J$3,0))),"")</f>
        <v/>
      </c>
    </row>
    <row r="1099">
      <c r="A1099" s="29" t="str">
        <f t="array" ref="A1099">IFNA(TRANSPOSE(INDEX('Parâmetros'!$B$4:$J3001,,MATCH(Exames!F1097,'Parâmetros'!$B$3:$J$3,0))),"")</f>
        <v/>
      </c>
    </row>
    <row r="1100">
      <c r="A1100" s="29" t="str">
        <f t="array" ref="A1100">IFNA(TRANSPOSE(INDEX('Parâmetros'!$B$4:$J3001,,MATCH(Exames!F1098,'Parâmetros'!$B$3:$J$3,0))),"")</f>
        <v/>
      </c>
    </row>
    <row r="1101">
      <c r="A1101" s="29" t="str">
        <f t="array" ref="A1101">IFNA(TRANSPOSE(INDEX('Parâmetros'!$B$4:$J3001,,MATCH(Exames!F1099,'Parâmetros'!$B$3:$J$3,0))),"")</f>
        <v/>
      </c>
    </row>
    <row r="1102">
      <c r="A1102" s="29" t="str">
        <f t="array" ref="A1102">IFNA(TRANSPOSE(INDEX('Parâmetros'!$B$4:$J3001,,MATCH(Exames!F1100,'Parâmetros'!$B$3:$J$3,0))),"")</f>
        <v/>
      </c>
    </row>
    <row r="1103">
      <c r="A1103" s="29" t="str">
        <f t="array" ref="A1103">IFNA(TRANSPOSE(INDEX('Parâmetros'!$B$4:$J3001,,MATCH(Exames!F1101,'Parâmetros'!$B$3:$J$3,0))),"")</f>
        <v/>
      </c>
    </row>
    <row r="1104">
      <c r="A1104" s="29" t="str">
        <f t="array" ref="A1104">IFNA(TRANSPOSE(INDEX('Parâmetros'!$B$4:$J3001,,MATCH(Exames!F1102,'Parâmetros'!$B$3:$J$3,0))),"")</f>
        <v/>
      </c>
    </row>
    <row r="1105">
      <c r="A1105" s="29" t="str">
        <f t="array" ref="A1105">IFNA(TRANSPOSE(INDEX('Parâmetros'!$B$4:$J3001,,MATCH(Exames!F1103,'Parâmetros'!$B$3:$J$3,0))),"")</f>
        <v/>
      </c>
    </row>
    <row r="1106">
      <c r="A1106" s="29" t="str">
        <f t="array" ref="A1106">IFNA(TRANSPOSE(INDEX('Parâmetros'!$B$4:$J3001,,MATCH(Exames!F1104,'Parâmetros'!$B$3:$J$3,0))),"")</f>
        <v/>
      </c>
    </row>
    <row r="1107">
      <c r="A1107" s="29" t="str">
        <f t="array" ref="A1107">IFNA(TRANSPOSE(INDEX('Parâmetros'!$B$4:$J3001,,MATCH(Exames!F1105,'Parâmetros'!$B$3:$J$3,0))),"")</f>
        <v/>
      </c>
    </row>
    <row r="1108">
      <c r="A1108" s="29" t="str">
        <f t="array" ref="A1108">IFNA(TRANSPOSE(INDEX('Parâmetros'!$B$4:$J3001,,MATCH(Exames!F1106,'Parâmetros'!$B$3:$J$3,0))),"")</f>
        <v/>
      </c>
    </row>
    <row r="1109">
      <c r="A1109" s="29" t="str">
        <f t="array" ref="A1109">IFNA(TRANSPOSE(INDEX('Parâmetros'!$B$4:$J3001,,MATCH(Exames!F1107,'Parâmetros'!$B$3:$J$3,0))),"")</f>
        <v/>
      </c>
    </row>
    <row r="1110">
      <c r="A1110" s="29" t="str">
        <f t="array" ref="A1110">IFNA(TRANSPOSE(INDEX('Parâmetros'!$B$4:$J3001,,MATCH(Exames!F1108,'Parâmetros'!$B$3:$J$3,0))),"")</f>
        <v/>
      </c>
    </row>
    <row r="1111">
      <c r="A1111" s="29" t="str">
        <f t="array" ref="A1111">IFNA(TRANSPOSE(INDEX('Parâmetros'!$B$4:$J3001,,MATCH(Exames!F1109,'Parâmetros'!$B$3:$J$3,0))),"")</f>
        <v/>
      </c>
    </row>
    <row r="1112">
      <c r="A1112" s="29" t="str">
        <f t="array" ref="A1112">IFNA(TRANSPOSE(INDEX('Parâmetros'!$B$4:$J3001,,MATCH(Exames!F1110,'Parâmetros'!$B$3:$J$3,0))),"")</f>
        <v/>
      </c>
    </row>
    <row r="1113">
      <c r="A1113" s="29" t="str">
        <f t="array" ref="A1113">IFNA(TRANSPOSE(INDEX('Parâmetros'!$B$4:$J3001,,MATCH(Exames!F1111,'Parâmetros'!$B$3:$J$3,0))),"")</f>
        <v/>
      </c>
    </row>
    <row r="1114">
      <c r="A1114" s="29" t="str">
        <f t="array" ref="A1114">IFNA(TRANSPOSE(INDEX('Parâmetros'!$B$4:$J3001,,MATCH(Exames!F1112,'Parâmetros'!$B$3:$J$3,0))),"")</f>
        <v/>
      </c>
    </row>
    <row r="1115">
      <c r="A1115" s="29" t="str">
        <f t="array" ref="A1115">IFNA(TRANSPOSE(INDEX('Parâmetros'!$B$4:$J3001,,MATCH(Exames!F1113,'Parâmetros'!$B$3:$J$3,0))),"")</f>
        <v/>
      </c>
    </row>
    <row r="1116">
      <c r="A1116" s="29" t="str">
        <f t="array" ref="A1116">IFNA(TRANSPOSE(INDEX('Parâmetros'!$B$4:$J3001,,MATCH(Exames!F1114,'Parâmetros'!$B$3:$J$3,0))),"")</f>
        <v/>
      </c>
    </row>
    <row r="1117">
      <c r="A1117" s="29" t="str">
        <f t="array" ref="A1117">IFNA(TRANSPOSE(INDEX('Parâmetros'!$B$4:$J3001,,MATCH(Exames!F1115,'Parâmetros'!$B$3:$J$3,0))),"")</f>
        <v/>
      </c>
    </row>
    <row r="1118">
      <c r="A1118" s="29" t="str">
        <f t="array" ref="A1118">IFNA(TRANSPOSE(INDEX('Parâmetros'!$B$4:$J3001,,MATCH(Exames!F1116,'Parâmetros'!$B$3:$J$3,0))),"")</f>
        <v/>
      </c>
    </row>
    <row r="1119">
      <c r="A1119" s="29" t="str">
        <f t="array" ref="A1119">IFNA(TRANSPOSE(INDEX('Parâmetros'!$B$4:$J3001,,MATCH(Exames!F1117,'Parâmetros'!$B$3:$J$3,0))),"")</f>
        <v/>
      </c>
    </row>
    <row r="1120">
      <c r="A1120" s="29" t="str">
        <f t="array" ref="A1120">IFNA(TRANSPOSE(INDEX('Parâmetros'!$B$4:$J3001,,MATCH(Exames!F1118,'Parâmetros'!$B$3:$J$3,0))),"")</f>
        <v/>
      </c>
    </row>
    <row r="1121">
      <c r="A1121" s="29" t="str">
        <f t="array" ref="A1121">IFNA(TRANSPOSE(INDEX('Parâmetros'!$B$4:$J3001,,MATCH(Exames!F1119,'Parâmetros'!$B$3:$J$3,0))),"")</f>
        <v/>
      </c>
    </row>
    <row r="1122">
      <c r="A1122" s="29" t="str">
        <f t="array" ref="A1122">IFNA(TRANSPOSE(INDEX('Parâmetros'!$B$4:$J3001,,MATCH(Exames!F1120,'Parâmetros'!$B$3:$J$3,0))),"")</f>
        <v/>
      </c>
    </row>
    <row r="1123">
      <c r="A1123" s="29" t="str">
        <f t="array" ref="A1123">IFNA(TRANSPOSE(INDEX('Parâmetros'!$B$4:$J3001,,MATCH(Exames!F1121,'Parâmetros'!$B$3:$J$3,0))),"")</f>
        <v/>
      </c>
    </row>
    <row r="1124">
      <c r="A1124" s="29" t="str">
        <f t="array" ref="A1124">IFNA(TRANSPOSE(INDEX('Parâmetros'!$B$4:$J3001,,MATCH(Exames!F1122,'Parâmetros'!$B$3:$J$3,0))),"")</f>
        <v/>
      </c>
    </row>
    <row r="1125">
      <c r="A1125" s="29" t="str">
        <f t="array" ref="A1125">IFNA(TRANSPOSE(INDEX('Parâmetros'!$B$4:$J3001,,MATCH(Exames!F1123,'Parâmetros'!$B$3:$J$3,0))),"")</f>
        <v/>
      </c>
    </row>
    <row r="1126">
      <c r="A1126" s="29" t="str">
        <f t="array" ref="A1126">IFNA(TRANSPOSE(INDEX('Parâmetros'!$B$4:$J3001,,MATCH(Exames!F1124,'Parâmetros'!$B$3:$J$3,0))),"")</f>
        <v/>
      </c>
    </row>
    <row r="1127">
      <c r="A1127" s="29" t="str">
        <f t="array" ref="A1127">IFNA(TRANSPOSE(INDEX('Parâmetros'!$B$4:$J3001,,MATCH(Exames!F1125,'Parâmetros'!$B$3:$J$3,0))),"")</f>
        <v/>
      </c>
    </row>
    <row r="1128">
      <c r="A1128" s="29" t="str">
        <f t="array" ref="A1128">IFNA(TRANSPOSE(INDEX('Parâmetros'!$B$4:$J3001,,MATCH(Exames!F1126,'Parâmetros'!$B$3:$J$3,0))),"")</f>
        <v/>
      </c>
    </row>
    <row r="1129">
      <c r="A1129" s="29" t="str">
        <f t="array" ref="A1129">IFNA(TRANSPOSE(INDEX('Parâmetros'!$B$4:$J3001,,MATCH(Exames!F1127,'Parâmetros'!$B$3:$J$3,0))),"")</f>
        <v/>
      </c>
    </row>
    <row r="1130">
      <c r="A1130" s="29" t="str">
        <f t="array" ref="A1130">IFNA(TRANSPOSE(INDEX('Parâmetros'!$B$4:$J3001,,MATCH(Exames!F1128,'Parâmetros'!$B$3:$J$3,0))),"")</f>
        <v/>
      </c>
    </row>
    <row r="1131">
      <c r="A1131" s="29" t="str">
        <f t="array" ref="A1131">IFNA(TRANSPOSE(INDEX('Parâmetros'!$B$4:$J3001,,MATCH(Exames!F1129,'Parâmetros'!$B$3:$J$3,0))),"")</f>
        <v/>
      </c>
    </row>
    <row r="1132">
      <c r="A1132" s="29" t="str">
        <f t="array" ref="A1132">IFNA(TRANSPOSE(INDEX('Parâmetros'!$B$4:$J3001,,MATCH(Exames!F1130,'Parâmetros'!$B$3:$J$3,0))),"")</f>
        <v/>
      </c>
    </row>
    <row r="1133">
      <c r="A1133" s="29" t="str">
        <f t="array" ref="A1133">IFNA(TRANSPOSE(INDEX('Parâmetros'!$B$4:$J3001,,MATCH(Exames!F1131,'Parâmetros'!$B$3:$J$3,0))),"")</f>
        <v/>
      </c>
    </row>
    <row r="1134">
      <c r="A1134" s="29" t="str">
        <f t="array" ref="A1134">IFNA(TRANSPOSE(INDEX('Parâmetros'!$B$4:$J3001,,MATCH(Exames!F1132,'Parâmetros'!$B$3:$J$3,0))),"")</f>
        <v/>
      </c>
    </row>
    <row r="1135">
      <c r="A1135" s="29" t="str">
        <f t="array" ref="A1135">IFNA(TRANSPOSE(INDEX('Parâmetros'!$B$4:$J3001,,MATCH(Exames!F1133,'Parâmetros'!$B$3:$J$3,0))),"")</f>
        <v/>
      </c>
    </row>
    <row r="1136">
      <c r="A1136" s="29" t="str">
        <f t="array" ref="A1136">IFNA(TRANSPOSE(INDEX('Parâmetros'!$B$4:$J3001,,MATCH(Exames!F1134,'Parâmetros'!$B$3:$J$3,0))),"")</f>
        <v/>
      </c>
    </row>
    <row r="1137">
      <c r="A1137" s="29" t="str">
        <f t="array" ref="A1137">IFNA(TRANSPOSE(INDEX('Parâmetros'!$B$4:$J3001,,MATCH(Exames!F1135,'Parâmetros'!$B$3:$J$3,0))),"")</f>
        <v/>
      </c>
    </row>
    <row r="1138">
      <c r="A1138" s="29" t="str">
        <f t="array" ref="A1138">IFNA(TRANSPOSE(INDEX('Parâmetros'!$B$4:$J3001,,MATCH(Exames!F1136,'Parâmetros'!$B$3:$J$3,0))),"")</f>
        <v/>
      </c>
    </row>
    <row r="1139">
      <c r="A1139" s="29" t="str">
        <f t="array" ref="A1139">IFNA(TRANSPOSE(INDEX('Parâmetros'!$B$4:$J3001,,MATCH(Exames!F1137,'Parâmetros'!$B$3:$J$3,0))),"")</f>
        <v/>
      </c>
    </row>
    <row r="1140">
      <c r="A1140" s="29" t="str">
        <f t="array" ref="A1140">IFNA(TRANSPOSE(INDEX('Parâmetros'!$B$4:$J3001,,MATCH(Exames!F1138,'Parâmetros'!$B$3:$J$3,0))),"")</f>
        <v/>
      </c>
    </row>
    <row r="1141">
      <c r="A1141" s="29" t="str">
        <f t="array" ref="A1141">IFNA(TRANSPOSE(INDEX('Parâmetros'!$B$4:$J3001,,MATCH(Exames!F1139,'Parâmetros'!$B$3:$J$3,0))),"")</f>
        <v/>
      </c>
    </row>
    <row r="1142">
      <c r="A1142" s="29" t="str">
        <f t="array" ref="A1142">IFNA(TRANSPOSE(INDEX('Parâmetros'!$B$4:$J3001,,MATCH(Exames!F1140,'Parâmetros'!$B$3:$J$3,0))),"")</f>
        <v/>
      </c>
    </row>
    <row r="1143">
      <c r="A1143" s="29" t="str">
        <f t="array" ref="A1143">IFNA(TRANSPOSE(INDEX('Parâmetros'!$B$4:$J3001,,MATCH(Exames!F1141,'Parâmetros'!$B$3:$J$3,0))),"")</f>
        <v/>
      </c>
    </row>
    <row r="1144">
      <c r="A1144" s="29" t="str">
        <f t="array" ref="A1144">IFNA(TRANSPOSE(INDEX('Parâmetros'!$B$4:$J3001,,MATCH(Exames!F1142,'Parâmetros'!$B$3:$J$3,0))),"")</f>
        <v/>
      </c>
    </row>
    <row r="1145">
      <c r="A1145" s="29" t="str">
        <f t="array" ref="A1145">IFNA(TRANSPOSE(INDEX('Parâmetros'!$B$4:$J3001,,MATCH(Exames!F1143,'Parâmetros'!$B$3:$J$3,0))),"")</f>
        <v/>
      </c>
    </row>
    <row r="1146">
      <c r="A1146" s="29" t="str">
        <f t="array" ref="A1146">IFNA(TRANSPOSE(INDEX('Parâmetros'!$B$4:$J3001,,MATCH(Exames!F1144,'Parâmetros'!$B$3:$J$3,0))),"")</f>
        <v/>
      </c>
    </row>
    <row r="1147">
      <c r="A1147" s="29" t="str">
        <f t="array" ref="A1147">IFNA(TRANSPOSE(INDEX('Parâmetros'!$B$4:$J3001,,MATCH(Exames!F1145,'Parâmetros'!$B$3:$J$3,0))),"")</f>
        <v/>
      </c>
    </row>
    <row r="1148">
      <c r="A1148" s="29" t="str">
        <f t="array" ref="A1148">IFNA(TRANSPOSE(INDEX('Parâmetros'!$B$4:$J3001,,MATCH(Exames!F1146,'Parâmetros'!$B$3:$J$3,0))),"")</f>
        <v/>
      </c>
    </row>
    <row r="1149">
      <c r="A1149" s="29" t="str">
        <f t="array" ref="A1149">IFNA(TRANSPOSE(INDEX('Parâmetros'!$B$4:$J3001,,MATCH(Exames!F1147,'Parâmetros'!$B$3:$J$3,0))),"")</f>
        <v/>
      </c>
    </row>
    <row r="1150">
      <c r="A1150" s="29" t="str">
        <f t="array" ref="A1150">IFNA(TRANSPOSE(INDEX('Parâmetros'!$B$4:$J3001,,MATCH(Exames!F1148,'Parâmetros'!$B$3:$J$3,0))),"")</f>
        <v/>
      </c>
    </row>
    <row r="1151">
      <c r="A1151" s="29" t="str">
        <f t="array" ref="A1151">IFNA(TRANSPOSE(INDEX('Parâmetros'!$B$4:$J3001,,MATCH(Exames!F1149,'Parâmetros'!$B$3:$J$3,0))),"")</f>
        <v/>
      </c>
    </row>
    <row r="1152">
      <c r="A1152" s="29" t="str">
        <f t="array" ref="A1152">IFNA(TRANSPOSE(INDEX('Parâmetros'!$B$4:$J3001,,MATCH(Exames!F1150,'Parâmetros'!$B$3:$J$3,0))),"")</f>
        <v/>
      </c>
    </row>
    <row r="1153">
      <c r="A1153" s="29" t="str">
        <f t="array" ref="A1153">IFNA(TRANSPOSE(INDEX('Parâmetros'!$B$4:$J3001,,MATCH(Exames!F1151,'Parâmetros'!$B$3:$J$3,0))),"")</f>
        <v/>
      </c>
    </row>
    <row r="1154">
      <c r="A1154" s="29" t="str">
        <f t="array" ref="A1154">IFNA(TRANSPOSE(INDEX('Parâmetros'!$B$4:$J3001,,MATCH(Exames!F1152,'Parâmetros'!$B$3:$J$3,0))),"")</f>
        <v/>
      </c>
    </row>
    <row r="1155">
      <c r="A1155" s="29" t="str">
        <f t="array" ref="A1155">IFNA(TRANSPOSE(INDEX('Parâmetros'!$B$4:$J3001,,MATCH(Exames!F1153,'Parâmetros'!$B$3:$J$3,0))),"")</f>
        <v/>
      </c>
    </row>
    <row r="1156">
      <c r="A1156" s="29" t="str">
        <f t="array" ref="A1156">IFNA(TRANSPOSE(INDEX('Parâmetros'!$B$4:$J3001,,MATCH(Exames!F1154,'Parâmetros'!$B$3:$J$3,0))),"")</f>
        <v/>
      </c>
    </row>
    <row r="1157">
      <c r="A1157" s="29" t="str">
        <f t="array" ref="A1157">IFNA(TRANSPOSE(INDEX('Parâmetros'!$B$4:$J3001,,MATCH(Exames!F1155,'Parâmetros'!$B$3:$J$3,0))),"")</f>
        <v/>
      </c>
    </row>
    <row r="1158">
      <c r="A1158" s="29" t="str">
        <f t="array" ref="A1158">IFNA(TRANSPOSE(INDEX('Parâmetros'!$B$4:$J3001,,MATCH(Exames!F1156,'Parâmetros'!$B$3:$J$3,0))),"")</f>
        <v/>
      </c>
    </row>
    <row r="1159">
      <c r="A1159" s="29" t="str">
        <f t="array" ref="A1159">IFNA(TRANSPOSE(INDEX('Parâmetros'!$B$4:$J3001,,MATCH(Exames!F1157,'Parâmetros'!$B$3:$J$3,0))),"")</f>
        <v/>
      </c>
    </row>
    <row r="1160">
      <c r="A1160" s="29" t="str">
        <f t="array" ref="A1160">IFNA(TRANSPOSE(INDEX('Parâmetros'!$B$4:$J3001,,MATCH(Exames!F1158,'Parâmetros'!$B$3:$J$3,0))),"")</f>
        <v/>
      </c>
    </row>
    <row r="1161">
      <c r="A1161" s="29" t="str">
        <f t="array" ref="A1161">IFNA(TRANSPOSE(INDEX('Parâmetros'!$B$4:$J3001,,MATCH(Exames!F1159,'Parâmetros'!$B$3:$J$3,0))),"")</f>
        <v/>
      </c>
    </row>
    <row r="1162">
      <c r="A1162" s="29" t="str">
        <f t="array" ref="A1162">IFNA(TRANSPOSE(INDEX('Parâmetros'!$B$4:$J3001,,MATCH(Exames!F1160,'Parâmetros'!$B$3:$J$3,0))),"")</f>
        <v/>
      </c>
    </row>
    <row r="1163">
      <c r="A1163" s="29" t="str">
        <f t="array" ref="A1163">IFNA(TRANSPOSE(INDEX('Parâmetros'!$B$4:$J3001,,MATCH(Exames!F1161,'Parâmetros'!$B$3:$J$3,0))),"")</f>
        <v/>
      </c>
    </row>
    <row r="1164">
      <c r="A1164" s="29" t="str">
        <f t="array" ref="A1164">IFNA(TRANSPOSE(INDEX('Parâmetros'!$B$4:$J3001,,MATCH(Exames!F1162,'Parâmetros'!$B$3:$J$3,0))),"")</f>
        <v/>
      </c>
    </row>
    <row r="1165">
      <c r="A1165" s="29" t="str">
        <f t="array" ref="A1165">IFNA(TRANSPOSE(INDEX('Parâmetros'!$B$4:$J3001,,MATCH(Exames!F1163,'Parâmetros'!$B$3:$J$3,0))),"")</f>
        <v/>
      </c>
    </row>
    <row r="1166">
      <c r="A1166" s="29" t="str">
        <f t="array" ref="A1166">IFNA(TRANSPOSE(INDEX('Parâmetros'!$B$4:$J3001,,MATCH(Exames!F1164,'Parâmetros'!$B$3:$J$3,0))),"")</f>
        <v/>
      </c>
    </row>
    <row r="1167">
      <c r="A1167" s="29" t="str">
        <f t="array" ref="A1167">IFNA(TRANSPOSE(INDEX('Parâmetros'!$B$4:$J3001,,MATCH(Exames!F1165,'Parâmetros'!$B$3:$J$3,0))),"")</f>
        <v/>
      </c>
    </row>
    <row r="1168">
      <c r="A1168" s="29" t="str">
        <f t="array" ref="A1168">IFNA(TRANSPOSE(INDEX('Parâmetros'!$B$4:$J3001,,MATCH(Exames!F1166,'Parâmetros'!$B$3:$J$3,0))),"")</f>
        <v/>
      </c>
    </row>
    <row r="1169">
      <c r="A1169" s="29" t="str">
        <f t="array" ref="A1169">IFNA(TRANSPOSE(INDEX('Parâmetros'!$B$4:$J3001,,MATCH(Exames!F1167,'Parâmetros'!$B$3:$J$3,0))),"")</f>
        <v/>
      </c>
    </row>
    <row r="1170">
      <c r="A1170" s="29" t="str">
        <f t="array" ref="A1170">IFNA(TRANSPOSE(INDEX('Parâmetros'!$B$4:$J3001,,MATCH(Exames!F1168,'Parâmetros'!$B$3:$J$3,0))),"")</f>
        <v/>
      </c>
    </row>
    <row r="1171">
      <c r="A1171" s="29" t="str">
        <f t="array" ref="A1171">IFNA(TRANSPOSE(INDEX('Parâmetros'!$B$4:$J3001,,MATCH(Exames!F1169,'Parâmetros'!$B$3:$J$3,0))),"")</f>
        <v/>
      </c>
    </row>
    <row r="1172">
      <c r="A1172" s="29" t="str">
        <f t="array" ref="A1172">IFNA(TRANSPOSE(INDEX('Parâmetros'!$B$4:$J3001,,MATCH(Exames!F1170,'Parâmetros'!$B$3:$J$3,0))),"")</f>
        <v/>
      </c>
    </row>
    <row r="1173">
      <c r="A1173" s="29" t="str">
        <f t="array" ref="A1173">IFNA(TRANSPOSE(INDEX('Parâmetros'!$B$4:$J3001,,MATCH(Exames!F1171,'Parâmetros'!$B$3:$J$3,0))),"")</f>
        <v/>
      </c>
    </row>
    <row r="1174">
      <c r="A1174" s="29" t="str">
        <f t="array" ref="A1174">IFNA(TRANSPOSE(INDEX('Parâmetros'!$B$4:$J3001,,MATCH(Exames!F1172,'Parâmetros'!$B$3:$J$3,0))),"")</f>
        <v/>
      </c>
    </row>
    <row r="1175">
      <c r="A1175" s="29" t="str">
        <f t="array" ref="A1175">IFNA(TRANSPOSE(INDEX('Parâmetros'!$B$4:$J3001,,MATCH(Exames!F1173,'Parâmetros'!$B$3:$J$3,0))),"")</f>
        <v/>
      </c>
    </row>
    <row r="1176">
      <c r="A1176" s="29" t="str">
        <f t="array" ref="A1176">IFNA(TRANSPOSE(INDEX('Parâmetros'!$B$4:$J3001,,MATCH(Exames!F1174,'Parâmetros'!$B$3:$J$3,0))),"")</f>
        <v/>
      </c>
    </row>
    <row r="1177">
      <c r="A1177" s="29" t="str">
        <f t="array" ref="A1177">IFNA(TRANSPOSE(INDEX('Parâmetros'!$B$4:$J3001,,MATCH(Exames!F1175,'Parâmetros'!$B$3:$J$3,0))),"")</f>
        <v/>
      </c>
    </row>
    <row r="1178">
      <c r="A1178" s="29" t="str">
        <f t="array" ref="A1178">IFNA(TRANSPOSE(INDEX('Parâmetros'!$B$4:$J3001,,MATCH(Exames!F1176,'Parâmetros'!$B$3:$J$3,0))),"")</f>
        <v/>
      </c>
    </row>
    <row r="1179">
      <c r="A1179" s="29" t="str">
        <f t="array" ref="A1179">IFNA(TRANSPOSE(INDEX('Parâmetros'!$B$4:$J3001,,MATCH(Exames!F1177,'Parâmetros'!$B$3:$J$3,0))),"")</f>
        <v/>
      </c>
    </row>
    <row r="1180">
      <c r="A1180" s="29" t="str">
        <f t="array" ref="A1180">IFNA(TRANSPOSE(INDEX('Parâmetros'!$B$4:$J3001,,MATCH(Exames!F1178,'Parâmetros'!$B$3:$J$3,0))),"")</f>
        <v/>
      </c>
    </row>
    <row r="1181">
      <c r="A1181" s="29" t="str">
        <f t="array" ref="A1181">IFNA(TRANSPOSE(INDEX('Parâmetros'!$B$4:$J3001,,MATCH(Exames!F1179,'Parâmetros'!$B$3:$J$3,0))),"")</f>
        <v/>
      </c>
    </row>
    <row r="1182">
      <c r="A1182" s="29" t="str">
        <f t="array" ref="A1182">IFNA(TRANSPOSE(INDEX('Parâmetros'!$B$4:$J3001,,MATCH(Exames!F1180,'Parâmetros'!$B$3:$J$3,0))),"")</f>
        <v/>
      </c>
    </row>
    <row r="1183">
      <c r="A1183" s="29" t="str">
        <f t="array" ref="A1183">IFNA(TRANSPOSE(INDEX('Parâmetros'!$B$4:$J3001,,MATCH(Exames!F1181,'Parâmetros'!$B$3:$J$3,0))),"")</f>
        <v/>
      </c>
    </row>
    <row r="1184">
      <c r="A1184" s="29" t="str">
        <f t="array" ref="A1184">IFNA(TRANSPOSE(INDEX('Parâmetros'!$B$4:$J3001,,MATCH(Exames!F1182,'Parâmetros'!$B$3:$J$3,0))),"")</f>
        <v/>
      </c>
    </row>
    <row r="1185">
      <c r="A1185" s="29" t="str">
        <f t="array" ref="A1185">IFNA(TRANSPOSE(INDEX('Parâmetros'!$B$4:$J3001,,MATCH(Exames!F1183,'Parâmetros'!$B$3:$J$3,0))),"")</f>
        <v/>
      </c>
    </row>
    <row r="1186">
      <c r="A1186" s="29" t="str">
        <f t="array" ref="A1186">IFNA(TRANSPOSE(INDEX('Parâmetros'!$B$4:$J3001,,MATCH(Exames!F1184,'Parâmetros'!$B$3:$J$3,0))),"")</f>
        <v/>
      </c>
    </row>
    <row r="1187">
      <c r="A1187" s="29" t="str">
        <f t="array" ref="A1187">IFNA(TRANSPOSE(INDEX('Parâmetros'!$B$4:$J3001,,MATCH(Exames!F1185,'Parâmetros'!$B$3:$J$3,0))),"")</f>
        <v/>
      </c>
    </row>
    <row r="1188">
      <c r="A1188" s="29" t="str">
        <f t="array" ref="A1188">IFNA(TRANSPOSE(INDEX('Parâmetros'!$B$4:$J3001,,MATCH(Exames!F1186,'Parâmetros'!$B$3:$J$3,0))),"")</f>
        <v/>
      </c>
    </row>
    <row r="1189">
      <c r="A1189" s="29" t="str">
        <f t="array" ref="A1189">IFNA(TRANSPOSE(INDEX('Parâmetros'!$B$4:$J3001,,MATCH(Exames!F1187,'Parâmetros'!$B$3:$J$3,0))),"")</f>
        <v/>
      </c>
    </row>
    <row r="1190">
      <c r="A1190" s="29" t="str">
        <f t="array" ref="A1190">IFNA(TRANSPOSE(INDEX('Parâmetros'!$B$4:$J3001,,MATCH(Exames!F1188,'Parâmetros'!$B$3:$J$3,0))),"")</f>
        <v/>
      </c>
    </row>
    <row r="1191">
      <c r="A1191" s="29" t="str">
        <f t="array" ref="A1191">IFNA(TRANSPOSE(INDEX('Parâmetros'!$B$4:$J3001,,MATCH(Exames!F1189,'Parâmetros'!$B$3:$J$3,0))),"")</f>
        <v/>
      </c>
    </row>
    <row r="1192">
      <c r="A1192" s="29" t="str">
        <f t="array" ref="A1192">IFNA(TRANSPOSE(INDEX('Parâmetros'!$B$4:$J3001,,MATCH(Exames!F1190,'Parâmetros'!$B$3:$J$3,0))),"")</f>
        <v/>
      </c>
    </row>
    <row r="1193">
      <c r="A1193" s="29" t="str">
        <f t="array" ref="A1193">IFNA(TRANSPOSE(INDEX('Parâmetros'!$B$4:$J3001,,MATCH(Exames!F1191,'Parâmetros'!$B$3:$J$3,0))),"")</f>
        <v/>
      </c>
    </row>
    <row r="1194">
      <c r="A1194" s="29" t="str">
        <f t="array" ref="A1194">IFNA(TRANSPOSE(INDEX('Parâmetros'!$B$4:$J3001,,MATCH(Exames!F1192,'Parâmetros'!$B$3:$J$3,0))),"")</f>
        <v/>
      </c>
    </row>
    <row r="1195">
      <c r="A1195" s="29" t="str">
        <f t="array" ref="A1195">IFNA(TRANSPOSE(INDEX('Parâmetros'!$B$4:$J3001,,MATCH(Exames!F1193,'Parâmetros'!$B$3:$J$3,0))),"")</f>
        <v/>
      </c>
    </row>
    <row r="1196">
      <c r="A1196" s="29" t="str">
        <f t="array" ref="A1196">IFNA(TRANSPOSE(INDEX('Parâmetros'!$B$4:$J3001,,MATCH(Exames!F1194,'Parâmetros'!$B$3:$J$3,0))),"")</f>
        <v/>
      </c>
    </row>
    <row r="1197">
      <c r="A1197" s="29" t="str">
        <f t="array" ref="A1197">IFNA(TRANSPOSE(INDEX('Parâmetros'!$B$4:$J3001,,MATCH(Exames!F1195,'Parâmetros'!$B$3:$J$3,0))),"")</f>
        <v/>
      </c>
    </row>
    <row r="1198">
      <c r="A1198" s="29" t="str">
        <f t="array" ref="A1198">IFNA(TRANSPOSE(INDEX('Parâmetros'!$B$4:$J3001,,MATCH(Exames!F1196,'Parâmetros'!$B$3:$J$3,0))),"")</f>
        <v/>
      </c>
    </row>
    <row r="1199">
      <c r="A1199" s="29" t="str">
        <f t="array" ref="A1199">IFNA(TRANSPOSE(INDEX('Parâmetros'!$B$4:$J3001,,MATCH(Exames!F1197,'Parâmetros'!$B$3:$J$3,0))),"")</f>
        <v/>
      </c>
    </row>
    <row r="1200">
      <c r="A1200" s="29" t="str">
        <f t="array" ref="A1200">IFNA(TRANSPOSE(INDEX('Parâmetros'!$B$4:$J3001,,MATCH(Exames!F1198,'Parâmetros'!$B$3:$J$3,0))),"")</f>
        <v/>
      </c>
    </row>
    <row r="1201">
      <c r="A1201" s="29" t="str">
        <f t="array" ref="A1201">IFNA(TRANSPOSE(INDEX('Parâmetros'!$B$4:$J3001,,MATCH(Exames!F1199,'Parâmetros'!$B$3:$J$3,0))),"")</f>
        <v/>
      </c>
    </row>
    <row r="1202">
      <c r="A1202" s="29" t="str">
        <f t="array" ref="A1202">IFNA(TRANSPOSE(INDEX('Parâmetros'!$B$4:$J3001,,MATCH(Exames!F1200,'Parâmetros'!$B$3:$J$3,0))),"")</f>
        <v/>
      </c>
    </row>
    <row r="1203">
      <c r="A1203" s="29" t="str">
        <f t="array" ref="A1203">IFNA(TRANSPOSE(INDEX('Parâmetros'!$B$4:$J3001,,MATCH(Exames!F1201,'Parâmetros'!$B$3:$J$3,0))),"")</f>
        <v/>
      </c>
    </row>
    <row r="1204">
      <c r="A1204" s="29" t="str">
        <f t="array" ref="A1204">IFNA(TRANSPOSE(INDEX('Parâmetros'!$B$4:$J3001,,MATCH(Exames!F1202,'Parâmetros'!$B$3:$J$3,0))),"")</f>
        <v/>
      </c>
    </row>
    <row r="1205">
      <c r="A1205" s="29" t="str">
        <f t="array" ref="A1205">IFNA(TRANSPOSE(INDEX('Parâmetros'!$B$4:$J3001,,MATCH(Exames!F1203,'Parâmetros'!$B$3:$J$3,0))),"")</f>
        <v/>
      </c>
    </row>
    <row r="1206">
      <c r="A1206" s="29" t="str">
        <f t="array" ref="A1206">IFNA(TRANSPOSE(INDEX('Parâmetros'!$B$4:$J3001,,MATCH(Exames!F1204,'Parâmetros'!$B$3:$J$3,0))),"")</f>
        <v/>
      </c>
    </row>
    <row r="1207">
      <c r="A1207" s="29" t="str">
        <f t="array" ref="A1207">IFNA(TRANSPOSE(INDEX('Parâmetros'!$B$4:$J3001,,MATCH(Exames!F1205,'Parâmetros'!$B$3:$J$3,0))),"")</f>
        <v/>
      </c>
    </row>
    <row r="1208">
      <c r="A1208" s="29" t="str">
        <f t="array" ref="A1208">IFNA(TRANSPOSE(INDEX('Parâmetros'!$B$4:$J3001,,MATCH(Exames!F1206,'Parâmetros'!$B$3:$J$3,0))),"")</f>
        <v/>
      </c>
    </row>
    <row r="1209">
      <c r="A1209" s="29" t="str">
        <f t="array" ref="A1209">IFNA(TRANSPOSE(INDEX('Parâmetros'!$B$4:$J3001,,MATCH(Exames!F1207,'Parâmetros'!$B$3:$J$3,0))),"")</f>
        <v/>
      </c>
    </row>
    <row r="1210">
      <c r="A1210" s="29" t="str">
        <f t="array" ref="A1210">IFNA(TRANSPOSE(INDEX('Parâmetros'!$B$4:$J3001,,MATCH(Exames!F1208,'Parâmetros'!$B$3:$J$3,0))),"")</f>
        <v/>
      </c>
    </row>
    <row r="1211">
      <c r="A1211" s="29" t="str">
        <f t="array" ref="A1211">IFNA(TRANSPOSE(INDEX('Parâmetros'!$B$4:$J3001,,MATCH(Exames!F1209,'Parâmetros'!$B$3:$J$3,0))),"")</f>
        <v/>
      </c>
    </row>
    <row r="1212">
      <c r="A1212" s="29" t="str">
        <f t="array" ref="A1212">IFNA(TRANSPOSE(INDEX('Parâmetros'!$B$4:$J3001,,MATCH(Exames!F1210,'Parâmetros'!$B$3:$J$3,0))),"")</f>
        <v/>
      </c>
    </row>
    <row r="1213">
      <c r="A1213" s="29" t="str">
        <f t="array" ref="A1213">IFNA(TRANSPOSE(INDEX('Parâmetros'!$B$4:$J3001,,MATCH(Exames!F1211,'Parâmetros'!$B$3:$J$3,0))),"")</f>
        <v/>
      </c>
    </row>
    <row r="1214">
      <c r="A1214" s="29" t="str">
        <f t="array" ref="A1214">IFNA(TRANSPOSE(INDEX('Parâmetros'!$B$4:$J3001,,MATCH(Exames!F1212,'Parâmetros'!$B$3:$J$3,0))),"")</f>
        <v/>
      </c>
    </row>
    <row r="1215">
      <c r="A1215" s="29" t="str">
        <f t="array" ref="A1215">IFNA(TRANSPOSE(INDEX('Parâmetros'!$B$4:$J3001,,MATCH(Exames!F1213,'Parâmetros'!$B$3:$J$3,0))),"")</f>
        <v/>
      </c>
    </row>
    <row r="1216">
      <c r="A1216" s="29" t="str">
        <f t="array" ref="A1216">IFNA(TRANSPOSE(INDEX('Parâmetros'!$B$4:$J3001,,MATCH(Exames!F1214,'Parâmetros'!$B$3:$J$3,0))),"")</f>
        <v/>
      </c>
    </row>
    <row r="1217">
      <c r="A1217" s="29" t="str">
        <f t="array" ref="A1217">IFNA(TRANSPOSE(INDEX('Parâmetros'!$B$4:$J3001,,MATCH(Exames!F1215,'Parâmetros'!$B$3:$J$3,0))),"")</f>
        <v/>
      </c>
    </row>
    <row r="1218">
      <c r="A1218" s="29" t="str">
        <f t="array" ref="A1218">IFNA(TRANSPOSE(INDEX('Parâmetros'!$B$4:$J3001,,MATCH(Exames!F1216,'Parâmetros'!$B$3:$J$3,0))),"")</f>
        <v/>
      </c>
    </row>
    <row r="1219">
      <c r="A1219" s="29" t="str">
        <f t="array" ref="A1219">IFNA(TRANSPOSE(INDEX('Parâmetros'!$B$4:$J3001,,MATCH(Exames!F1217,'Parâmetros'!$B$3:$J$3,0))),"")</f>
        <v/>
      </c>
    </row>
    <row r="1220">
      <c r="A1220" s="29" t="str">
        <f t="array" ref="A1220">IFNA(TRANSPOSE(INDEX('Parâmetros'!$B$4:$J3001,,MATCH(Exames!F1218,'Parâmetros'!$B$3:$J$3,0))),"")</f>
        <v/>
      </c>
    </row>
    <row r="1221">
      <c r="A1221" s="29" t="str">
        <f t="array" ref="A1221">IFNA(TRANSPOSE(INDEX('Parâmetros'!$B$4:$J3001,,MATCH(Exames!F1219,'Parâmetros'!$B$3:$J$3,0))),"")</f>
        <v/>
      </c>
    </row>
    <row r="1222">
      <c r="A1222" s="29" t="str">
        <f t="array" ref="A1222">IFNA(TRANSPOSE(INDEX('Parâmetros'!$B$4:$J3001,,MATCH(Exames!F1220,'Parâmetros'!$B$3:$J$3,0))),"")</f>
        <v/>
      </c>
    </row>
    <row r="1223">
      <c r="A1223" s="29" t="str">
        <f t="array" ref="A1223">IFNA(TRANSPOSE(INDEX('Parâmetros'!$B$4:$J3001,,MATCH(Exames!F1221,'Parâmetros'!$B$3:$J$3,0))),"")</f>
        <v/>
      </c>
    </row>
    <row r="1224">
      <c r="A1224" s="29" t="str">
        <f t="array" ref="A1224">IFNA(TRANSPOSE(INDEX('Parâmetros'!$B$4:$J3001,,MATCH(Exames!F1222,'Parâmetros'!$B$3:$J$3,0))),"")</f>
        <v/>
      </c>
    </row>
    <row r="1225">
      <c r="A1225" s="29" t="str">
        <f t="array" ref="A1225">IFNA(TRANSPOSE(INDEX('Parâmetros'!$B$4:$J3001,,MATCH(Exames!F1223,'Parâmetros'!$B$3:$J$3,0))),"")</f>
        <v/>
      </c>
    </row>
    <row r="1226">
      <c r="A1226" s="29" t="str">
        <f t="array" ref="A1226">IFNA(TRANSPOSE(INDEX('Parâmetros'!$B$4:$J3001,,MATCH(Exames!F1224,'Parâmetros'!$B$3:$J$3,0))),"")</f>
        <v/>
      </c>
    </row>
    <row r="1227">
      <c r="A1227" s="29" t="str">
        <f t="array" ref="A1227">IFNA(TRANSPOSE(INDEX('Parâmetros'!$B$4:$J3001,,MATCH(Exames!F1225,'Parâmetros'!$B$3:$J$3,0))),"")</f>
        <v/>
      </c>
    </row>
    <row r="1228">
      <c r="A1228" s="29" t="str">
        <f t="array" ref="A1228">IFNA(TRANSPOSE(INDEX('Parâmetros'!$B$4:$J3001,,MATCH(Exames!F1226,'Parâmetros'!$B$3:$J$3,0))),"")</f>
        <v/>
      </c>
    </row>
    <row r="1229">
      <c r="A1229" s="29" t="str">
        <f t="array" ref="A1229">IFNA(TRANSPOSE(INDEX('Parâmetros'!$B$4:$J3001,,MATCH(Exames!F1227,'Parâmetros'!$B$3:$J$3,0))),"")</f>
        <v/>
      </c>
    </row>
    <row r="1230">
      <c r="A1230" s="29" t="str">
        <f t="array" ref="A1230">IFNA(TRANSPOSE(INDEX('Parâmetros'!$B$4:$J3001,,MATCH(Exames!F1228,'Parâmetros'!$B$3:$J$3,0))),"")</f>
        <v/>
      </c>
    </row>
    <row r="1231">
      <c r="A1231" s="29" t="str">
        <f t="array" ref="A1231">IFNA(TRANSPOSE(INDEX('Parâmetros'!$B$4:$J3001,,MATCH(Exames!F1229,'Parâmetros'!$B$3:$J$3,0))),"")</f>
        <v/>
      </c>
    </row>
    <row r="1232">
      <c r="A1232" s="29" t="str">
        <f t="array" ref="A1232">IFNA(TRANSPOSE(INDEX('Parâmetros'!$B$4:$J3001,,MATCH(Exames!F1230,'Parâmetros'!$B$3:$J$3,0))),"")</f>
        <v/>
      </c>
    </row>
    <row r="1233">
      <c r="A1233" s="29" t="str">
        <f t="array" ref="A1233">IFNA(TRANSPOSE(INDEX('Parâmetros'!$B$4:$J3001,,MATCH(Exames!F1231,'Parâmetros'!$B$3:$J$3,0))),"")</f>
        <v/>
      </c>
    </row>
    <row r="1234">
      <c r="A1234" s="29" t="str">
        <f t="array" ref="A1234">IFNA(TRANSPOSE(INDEX('Parâmetros'!$B$4:$J3001,,MATCH(Exames!F1232,'Parâmetros'!$B$3:$J$3,0))),"")</f>
        <v/>
      </c>
    </row>
    <row r="1235">
      <c r="A1235" s="29" t="str">
        <f t="array" ref="A1235">IFNA(TRANSPOSE(INDEX('Parâmetros'!$B$4:$J3001,,MATCH(Exames!F1233,'Parâmetros'!$B$3:$J$3,0))),"")</f>
        <v/>
      </c>
    </row>
    <row r="1236">
      <c r="A1236" s="29" t="str">
        <f t="array" ref="A1236">IFNA(TRANSPOSE(INDEX('Parâmetros'!$B$4:$J3001,,MATCH(Exames!F1234,'Parâmetros'!$B$3:$J$3,0))),"")</f>
        <v/>
      </c>
    </row>
    <row r="1237">
      <c r="A1237" s="29" t="str">
        <f t="array" ref="A1237">IFNA(TRANSPOSE(INDEX('Parâmetros'!$B$4:$J3001,,MATCH(Exames!F1235,'Parâmetros'!$B$3:$J$3,0))),"")</f>
        <v/>
      </c>
    </row>
    <row r="1238">
      <c r="A1238" s="29" t="str">
        <f t="array" ref="A1238">IFNA(TRANSPOSE(INDEX('Parâmetros'!$B$4:$J3001,,MATCH(Exames!F1236,'Parâmetros'!$B$3:$J$3,0))),"")</f>
        <v/>
      </c>
    </row>
    <row r="1239">
      <c r="A1239" s="29" t="str">
        <f t="array" ref="A1239">IFNA(TRANSPOSE(INDEX('Parâmetros'!$B$4:$J3001,,MATCH(Exames!F1237,'Parâmetros'!$B$3:$J$3,0))),"")</f>
        <v/>
      </c>
    </row>
    <row r="1240">
      <c r="A1240" s="29" t="str">
        <f t="array" ref="A1240">IFNA(TRANSPOSE(INDEX('Parâmetros'!$B$4:$J3001,,MATCH(Exames!F1238,'Parâmetros'!$B$3:$J$3,0))),"")</f>
        <v/>
      </c>
    </row>
    <row r="1241">
      <c r="A1241" s="29" t="str">
        <f t="array" ref="A1241">IFNA(TRANSPOSE(INDEX('Parâmetros'!$B$4:$J3001,,MATCH(Exames!F1239,'Parâmetros'!$B$3:$J$3,0))),"")</f>
        <v/>
      </c>
    </row>
    <row r="1242">
      <c r="A1242" s="29" t="str">
        <f t="array" ref="A1242">IFNA(TRANSPOSE(INDEX('Parâmetros'!$B$4:$J3001,,MATCH(Exames!F1240,'Parâmetros'!$B$3:$J$3,0))),"")</f>
        <v/>
      </c>
    </row>
    <row r="1243">
      <c r="A1243" s="29" t="str">
        <f t="array" ref="A1243">IFNA(TRANSPOSE(INDEX('Parâmetros'!$B$4:$J3001,,MATCH(Exames!F1241,'Parâmetros'!$B$3:$J$3,0))),"")</f>
        <v/>
      </c>
    </row>
    <row r="1244">
      <c r="A1244" s="29" t="str">
        <f t="array" ref="A1244">IFNA(TRANSPOSE(INDEX('Parâmetros'!$B$4:$J3001,,MATCH(Exames!F1242,'Parâmetros'!$B$3:$J$3,0))),"")</f>
        <v/>
      </c>
    </row>
    <row r="1245">
      <c r="A1245" s="29" t="str">
        <f t="array" ref="A1245">IFNA(TRANSPOSE(INDEX('Parâmetros'!$B$4:$J3001,,MATCH(Exames!F1243,'Parâmetros'!$B$3:$J$3,0))),"")</f>
        <v/>
      </c>
    </row>
    <row r="1246">
      <c r="A1246" s="29" t="str">
        <f t="array" ref="A1246">IFNA(TRANSPOSE(INDEX('Parâmetros'!$B$4:$J3001,,MATCH(Exames!F1244,'Parâmetros'!$B$3:$J$3,0))),"")</f>
        <v/>
      </c>
    </row>
    <row r="1247">
      <c r="A1247" s="29" t="str">
        <f t="array" ref="A1247">IFNA(TRANSPOSE(INDEX('Parâmetros'!$B$4:$J3001,,MATCH(Exames!F1245,'Parâmetros'!$B$3:$J$3,0))),"")</f>
        <v/>
      </c>
    </row>
    <row r="1248">
      <c r="A1248" s="29" t="str">
        <f t="array" ref="A1248">IFNA(TRANSPOSE(INDEX('Parâmetros'!$B$4:$J3001,,MATCH(Exames!F1246,'Parâmetros'!$B$3:$J$3,0))),"")</f>
        <v/>
      </c>
    </row>
    <row r="1249">
      <c r="A1249" s="29" t="str">
        <f t="array" ref="A1249">IFNA(TRANSPOSE(INDEX('Parâmetros'!$B$4:$J3001,,MATCH(Exames!F1247,'Parâmetros'!$B$3:$J$3,0))),"")</f>
        <v/>
      </c>
    </row>
    <row r="1250">
      <c r="A1250" s="29" t="str">
        <f t="array" ref="A1250">IFNA(TRANSPOSE(INDEX('Parâmetros'!$B$4:$J3001,,MATCH(Exames!F1248,'Parâmetros'!$B$3:$J$3,0))),"")</f>
        <v/>
      </c>
    </row>
    <row r="1251">
      <c r="A1251" s="29" t="str">
        <f t="array" ref="A1251">IFNA(TRANSPOSE(INDEX('Parâmetros'!$B$4:$J3001,,MATCH(Exames!F1249,'Parâmetros'!$B$3:$J$3,0))),"")</f>
        <v/>
      </c>
    </row>
    <row r="1252">
      <c r="A1252" s="29" t="str">
        <f t="array" ref="A1252">IFNA(TRANSPOSE(INDEX('Parâmetros'!$B$4:$J3001,,MATCH(Exames!F1250,'Parâmetros'!$B$3:$J$3,0))),"")</f>
        <v/>
      </c>
    </row>
    <row r="1253">
      <c r="A1253" s="29" t="str">
        <f t="array" ref="A1253">IFNA(TRANSPOSE(INDEX('Parâmetros'!$B$4:$J3001,,MATCH(Exames!F1251,'Parâmetros'!$B$3:$J$3,0))),"")</f>
        <v/>
      </c>
    </row>
    <row r="1254">
      <c r="A1254" s="29" t="str">
        <f t="array" ref="A1254">IFNA(TRANSPOSE(INDEX('Parâmetros'!$B$4:$J3001,,MATCH(Exames!F1252,'Parâmetros'!$B$3:$J$3,0))),"")</f>
        <v/>
      </c>
    </row>
    <row r="1255">
      <c r="A1255" s="29" t="str">
        <f t="array" ref="A1255">IFNA(TRANSPOSE(INDEX('Parâmetros'!$B$4:$J3001,,MATCH(Exames!F1253,'Parâmetros'!$B$3:$J$3,0))),"")</f>
        <v/>
      </c>
    </row>
    <row r="1256">
      <c r="A1256" s="29" t="str">
        <f t="array" ref="A1256">IFNA(TRANSPOSE(INDEX('Parâmetros'!$B$4:$J3001,,MATCH(Exames!F1254,'Parâmetros'!$B$3:$J$3,0))),"")</f>
        <v/>
      </c>
    </row>
    <row r="1257">
      <c r="A1257" s="29" t="str">
        <f t="array" ref="A1257">IFNA(TRANSPOSE(INDEX('Parâmetros'!$B$4:$J3001,,MATCH(Exames!F1255,'Parâmetros'!$B$3:$J$3,0))),"")</f>
        <v/>
      </c>
    </row>
    <row r="1258">
      <c r="A1258" s="29" t="str">
        <f t="array" ref="A1258">IFNA(TRANSPOSE(INDEX('Parâmetros'!$B$4:$J3001,,MATCH(Exames!F1256,'Parâmetros'!$B$3:$J$3,0))),"")</f>
        <v/>
      </c>
    </row>
    <row r="1259">
      <c r="A1259" s="29" t="str">
        <f t="array" ref="A1259">IFNA(TRANSPOSE(INDEX('Parâmetros'!$B$4:$J3001,,MATCH(Exames!F1257,'Parâmetros'!$B$3:$J$3,0))),"")</f>
        <v/>
      </c>
    </row>
    <row r="1260">
      <c r="A1260" s="29" t="str">
        <f t="array" ref="A1260">IFNA(TRANSPOSE(INDEX('Parâmetros'!$B$4:$J3001,,MATCH(Exames!F1258,'Parâmetros'!$B$3:$J$3,0))),"")</f>
        <v/>
      </c>
    </row>
    <row r="1261">
      <c r="A1261" s="29" t="str">
        <f t="array" ref="A1261">IFNA(TRANSPOSE(INDEX('Parâmetros'!$B$4:$J3001,,MATCH(Exames!F1259,'Parâmetros'!$B$3:$J$3,0))),"")</f>
        <v/>
      </c>
    </row>
    <row r="1262">
      <c r="A1262" s="29" t="str">
        <f t="array" ref="A1262">IFNA(TRANSPOSE(INDEX('Parâmetros'!$B$4:$J3001,,MATCH(Exames!F1260,'Parâmetros'!$B$3:$J$3,0))),"")</f>
        <v/>
      </c>
    </row>
    <row r="1263">
      <c r="A1263" s="29" t="str">
        <f t="array" ref="A1263">IFNA(TRANSPOSE(INDEX('Parâmetros'!$B$4:$J3001,,MATCH(Exames!F1261,'Parâmetros'!$B$3:$J$3,0))),"")</f>
        <v/>
      </c>
    </row>
    <row r="1264">
      <c r="A1264" s="29" t="str">
        <f t="array" ref="A1264">IFNA(TRANSPOSE(INDEX('Parâmetros'!$B$4:$J3001,,MATCH(Exames!F1262,'Parâmetros'!$B$3:$J$3,0))),"")</f>
        <v/>
      </c>
    </row>
    <row r="1265">
      <c r="A1265" s="29" t="str">
        <f t="array" ref="A1265">IFNA(TRANSPOSE(INDEX('Parâmetros'!$B$4:$J3001,,MATCH(Exames!F1263,'Parâmetros'!$B$3:$J$3,0))),"")</f>
        <v/>
      </c>
    </row>
    <row r="1266">
      <c r="A1266" s="29" t="str">
        <f t="array" ref="A1266">IFNA(TRANSPOSE(INDEX('Parâmetros'!$B$4:$J3001,,MATCH(Exames!F1264,'Parâmetros'!$B$3:$J$3,0))),"")</f>
        <v/>
      </c>
    </row>
    <row r="1267">
      <c r="A1267" s="29" t="str">
        <f t="array" ref="A1267">IFNA(TRANSPOSE(INDEX('Parâmetros'!$B$4:$J3001,,MATCH(Exames!F1265,'Parâmetros'!$B$3:$J$3,0))),"")</f>
        <v/>
      </c>
    </row>
    <row r="1268">
      <c r="A1268" s="29" t="str">
        <f t="array" ref="A1268">IFNA(TRANSPOSE(INDEX('Parâmetros'!$B$4:$J3001,,MATCH(Exames!F1266,'Parâmetros'!$B$3:$J$3,0))),"")</f>
        <v/>
      </c>
    </row>
    <row r="1269">
      <c r="A1269" s="29" t="str">
        <f t="array" ref="A1269">IFNA(TRANSPOSE(INDEX('Parâmetros'!$B$4:$J3001,,MATCH(Exames!F1267,'Parâmetros'!$B$3:$J$3,0))),"")</f>
        <v/>
      </c>
    </row>
    <row r="1270">
      <c r="A1270" s="29" t="str">
        <f t="array" ref="A1270">IFNA(TRANSPOSE(INDEX('Parâmetros'!$B$4:$J3001,,MATCH(Exames!F1268,'Parâmetros'!$B$3:$J$3,0))),"")</f>
        <v/>
      </c>
    </row>
    <row r="1271">
      <c r="A1271" s="29" t="str">
        <f t="array" ref="A1271">IFNA(TRANSPOSE(INDEX('Parâmetros'!$B$4:$J3001,,MATCH(Exames!F1269,'Parâmetros'!$B$3:$J$3,0))),"")</f>
        <v/>
      </c>
    </row>
    <row r="1272">
      <c r="A1272" s="29" t="str">
        <f t="array" ref="A1272">IFNA(TRANSPOSE(INDEX('Parâmetros'!$B$4:$J3001,,MATCH(Exames!F1270,'Parâmetros'!$B$3:$J$3,0))),"")</f>
        <v/>
      </c>
    </row>
    <row r="1273">
      <c r="A1273" s="29" t="str">
        <f t="array" ref="A1273">IFNA(TRANSPOSE(INDEX('Parâmetros'!$B$4:$J3001,,MATCH(Exames!F1271,'Parâmetros'!$B$3:$J$3,0))),"")</f>
        <v/>
      </c>
    </row>
    <row r="1274">
      <c r="A1274" s="29" t="str">
        <f t="array" ref="A1274">IFNA(TRANSPOSE(INDEX('Parâmetros'!$B$4:$J3001,,MATCH(Exames!F1272,'Parâmetros'!$B$3:$J$3,0))),"")</f>
        <v/>
      </c>
    </row>
    <row r="1275">
      <c r="A1275" s="29" t="str">
        <f t="array" ref="A1275">IFNA(TRANSPOSE(INDEX('Parâmetros'!$B$4:$J3001,,MATCH(Exames!F1273,'Parâmetros'!$B$3:$J$3,0))),"")</f>
        <v/>
      </c>
    </row>
    <row r="1276">
      <c r="A1276" s="29" t="str">
        <f t="array" ref="A1276">IFNA(TRANSPOSE(INDEX('Parâmetros'!$B$4:$J3001,,MATCH(Exames!F1274,'Parâmetros'!$B$3:$J$3,0))),"")</f>
        <v/>
      </c>
    </row>
    <row r="1277">
      <c r="A1277" s="29" t="str">
        <f t="array" ref="A1277">IFNA(TRANSPOSE(INDEX('Parâmetros'!$B$4:$J3001,,MATCH(Exames!F1275,'Parâmetros'!$B$3:$J$3,0))),"")</f>
        <v/>
      </c>
    </row>
    <row r="1278">
      <c r="A1278" s="29" t="str">
        <f t="array" ref="A1278">IFNA(TRANSPOSE(INDEX('Parâmetros'!$B$4:$J3001,,MATCH(Exames!F1276,'Parâmetros'!$B$3:$J$3,0))),"")</f>
        <v/>
      </c>
    </row>
    <row r="1279">
      <c r="A1279" s="29" t="str">
        <f t="array" ref="A1279">IFNA(TRANSPOSE(INDEX('Parâmetros'!$B$4:$J3001,,MATCH(Exames!F1277,'Parâmetros'!$B$3:$J$3,0))),"")</f>
        <v/>
      </c>
    </row>
    <row r="1280">
      <c r="A1280" s="29" t="str">
        <f t="array" ref="A1280">IFNA(TRANSPOSE(INDEX('Parâmetros'!$B$4:$J3001,,MATCH(Exames!F1278,'Parâmetros'!$B$3:$J$3,0))),"")</f>
        <v/>
      </c>
    </row>
    <row r="1281">
      <c r="A1281" s="29" t="str">
        <f t="array" ref="A1281">IFNA(TRANSPOSE(INDEX('Parâmetros'!$B$4:$J3001,,MATCH(Exames!F1279,'Parâmetros'!$B$3:$J$3,0))),"")</f>
        <v/>
      </c>
    </row>
    <row r="1282">
      <c r="A1282" s="29" t="str">
        <f t="array" ref="A1282">IFNA(TRANSPOSE(INDEX('Parâmetros'!$B$4:$J3001,,MATCH(Exames!F1280,'Parâmetros'!$B$3:$J$3,0))),"")</f>
        <v/>
      </c>
    </row>
    <row r="1283">
      <c r="A1283" s="29" t="str">
        <f t="array" ref="A1283">IFNA(TRANSPOSE(INDEX('Parâmetros'!$B$4:$J3001,,MATCH(Exames!F1281,'Parâmetros'!$B$3:$J$3,0))),"")</f>
        <v/>
      </c>
    </row>
    <row r="1284">
      <c r="A1284" s="29" t="str">
        <f t="array" ref="A1284">IFNA(TRANSPOSE(INDEX('Parâmetros'!$B$4:$J3001,,MATCH(Exames!F1282,'Parâmetros'!$B$3:$J$3,0))),"")</f>
        <v/>
      </c>
    </row>
    <row r="1285">
      <c r="A1285" s="29" t="str">
        <f t="array" ref="A1285">IFNA(TRANSPOSE(INDEX('Parâmetros'!$B$4:$J3001,,MATCH(Exames!F1283,'Parâmetros'!$B$3:$J$3,0))),"")</f>
        <v/>
      </c>
    </row>
    <row r="1286">
      <c r="A1286" s="29" t="str">
        <f t="array" ref="A1286">IFNA(TRANSPOSE(INDEX('Parâmetros'!$B$4:$J3001,,MATCH(Exames!F1284,'Parâmetros'!$B$3:$J$3,0))),"")</f>
        <v/>
      </c>
    </row>
    <row r="1287">
      <c r="A1287" s="29" t="str">
        <f t="array" ref="A1287">IFNA(TRANSPOSE(INDEX('Parâmetros'!$B$4:$J3001,,MATCH(Exames!F1285,'Parâmetros'!$B$3:$J$3,0))),"")</f>
        <v/>
      </c>
    </row>
    <row r="1288">
      <c r="A1288" s="29" t="str">
        <f t="array" ref="A1288">IFNA(TRANSPOSE(INDEX('Parâmetros'!$B$4:$J3001,,MATCH(Exames!F1286,'Parâmetros'!$B$3:$J$3,0))),"")</f>
        <v/>
      </c>
    </row>
    <row r="1289">
      <c r="A1289" s="29" t="str">
        <f t="array" ref="A1289">IFNA(TRANSPOSE(INDEX('Parâmetros'!$B$4:$J3001,,MATCH(Exames!F1287,'Parâmetros'!$B$3:$J$3,0))),"")</f>
        <v/>
      </c>
    </row>
    <row r="1290">
      <c r="A1290" s="29" t="str">
        <f t="array" ref="A1290">IFNA(TRANSPOSE(INDEX('Parâmetros'!$B$4:$J3001,,MATCH(Exames!F1288,'Parâmetros'!$B$3:$J$3,0))),"")</f>
        <v/>
      </c>
    </row>
    <row r="1291">
      <c r="A1291" s="29" t="str">
        <f t="array" ref="A1291">IFNA(TRANSPOSE(INDEX('Parâmetros'!$B$4:$J3001,,MATCH(Exames!F1289,'Parâmetros'!$B$3:$J$3,0))),"")</f>
        <v/>
      </c>
    </row>
    <row r="1292">
      <c r="A1292" s="29" t="str">
        <f t="array" ref="A1292">IFNA(TRANSPOSE(INDEX('Parâmetros'!$B$4:$J3001,,MATCH(Exames!F1290,'Parâmetros'!$B$3:$J$3,0))),"")</f>
        <v/>
      </c>
    </row>
    <row r="1293">
      <c r="A1293" s="29" t="str">
        <f t="array" ref="A1293">IFNA(TRANSPOSE(INDEX('Parâmetros'!$B$4:$J3001,,MATCH(Exames!F1291,'Parâmetros'!$B$3:$J$3,0))),"")</f>
        <v/>
      </c>
    </row>
    <row r="1294">
      <c r="A1294" s="29" t="str">
        <f t="array" ref="A1294">IFNA(TRANSPOSE(INDEX('Parâmetros'!$B$4:$J3001,,MATCH(Exames!F1292,'Parâmetros'!$B$3:$J$3,0))),"")</f>
        <v/>
      </c>
    </row>
    <row r="1295">
      <c r="A1295" s="29" t="str">
        <f t="array" ref="A1295">IFNA(TRANSPOSE(INDEX('Parâmetros'!$B$4:$J3001,,MATCH(Exames!F1293,'Parâmetros'!$B$3:$J$3,0))),"")</f>
        <v/>
      </c>
    </row>
    <row r="1296">
      <c r="A1296" s="29" t="str">
        <f t="array" ref="A1296">IFNA(TRANSPOSE(INDEX('Parâmetros'!$B$4:$J3001,,MATCH(Exames!F1294,'Parâmetros'!$B$3:$J$3,0))),"")</f>
        <v/>
      </c>
    </row>
    <row r="1297">
      <c r="A1297" s="29" t="str">
        <f t="array" ref="A1297">IFNA(TRANSPOSE(INDEX('Parâmetros'!$B$4:$J3001,,MATCH(Exames!F1295,'Parâmetros'!$B$3:$J$3,0))),"")</f>
        <v/>
      </c>
    </row>
    <row r="1298">
      <c r="A1298" s="29" t="str">
        <f t="array" ref="A1298">IFNA(TRANSPOSE(INDEX('Parâmetros'!$B$4:$J3001,,MATCH(Exames!F1296,'Parâmetros'!$B$3:$J$3,0))),"")</f>
        <v/>
      </c>
    </row>
    <row r="1299">
      <c r="A1299" s="29" t="str">
        <f t="array" ref="A1299">IFNA(TRANSPOSE(INDEX('Parâmetros'!$B$4:$J3001,,MATCH(Exames!F1297,'Parâmetros'!$B$3:$J$3,0))),"")</f>
        <v/>
      </c>
    </row>
    <row r="1300">
      <c r="A1300" s="29" t="str">
        <f t="array" ref="A1300">IFNA(TRANSPOSE(INDEX('Parâmetros'!$B$4:$J3001,,MATCH(Exames!F1298,'Parâmetros'!$B$3:$J$3,0))),"")</f>
        <v/>
      </c>
    </row>
    <row r="1301">
      <c r="A1301" s="29" t="str">
        <f t="array" ref="A1301">IFNA(TRANSPOSE(INDEX('Parâmetros'!$B$4:$J3001,,MATCH(Exames!F1299,'Parâmetros'!$B$3:$J$3,0))),"")</f>
        <v/>
      </c>
    </row>
    <row r="1302">
      <c r="A1302" s="29" t="str">
        <f t="array" ref="A1302">IFNA(TRANSPOSE(INDEX('Parâmetros'!$B$4:$J3001,,MATCH(Exames!F1300,'Parâmetros'!$B$3:$J$3,0))),"")</f>
        <v/>
      </c>
    </row>
    <row r="1303">
      <c r="A1303" s="29" t="str">
        <f t="array" ref="A1303">IFNA(TRANSPOSE(INDEX('Parâmetros'!$B$4:$J3001,,MATCH(Exames!F1301,'Parâmetros'!$B$3:$J$3,0))),"")</f>
        <v/>
      </c>
    </row>
    <row r="1304">
      <c r="A1304" s="29" t="str">
        <f t="array" ref="A1304">IFNA(TRANSPOSE(INDEX('Parâmetros'!$B$4:$J3001,,MATCH(Exames!F1302,'Parâmetros'!$B$3:$J$3,0))),"")</f>
        <v/>
      </c>
    </row>
    <row r="1305">
      <c r="A1305" s="29" t="str">
        <f t="array" ref="A1305">IFNA(TRANSPOSE(INDEX('Parâmetros'!$B$4:$J3001,,MATCH(Exames!F1303,'Parâmetros'!$B$3:$J$3,0))),"")</f>
        <v/>
      </c>
    </row>
    <row r="1306">
      <c r="A1306" s="29" t="str">
        <f t="array" ref="A1306">IFNA(TRANSPOSE(INDEX('Parâmetros'!$B$4:$J3001,,MATCH(Exames!F1304,'Parâmetros'!$B$3:$J$3,0))),"")</f>
        <v/>
      </c>
    </row>
    <row r="1307">
      <c r="A1307" s="29" t="str">
        <f t="array" ref="A1307">IFNA(TRANSPOSE(INDEX('Parâmetros'!$B$4:$J3001,,MATCH(Exames!F1305,'Parâmetros'!$B$3:$J$3,0))),"")</f>
        <v/>
      </c>
    </row>
    <row r="1308">
      <c r="A1308" s="29" t="str">
        <f t="array" ref="A1308">IFNA(TRANSPOSE(INDEX('Parâmetros'!$B$4:$J3001,,MATCH(Exames!F1306,'Parâmetros'!$B$3:$J$3,0))),"")</f>
        <v/>
      </c>
    </row>
    <row r="1309">
      <c r="A1309" s="29" t="str">
        <f t="array" ref="A1309">IFNA(TRANSPOSE(INDEX('Parâmetros'!$B$4:$J3001,,MATCH(Exames!F1307,'Parâmetros'!$B$3:$J$3,0))),"")</f>
        <v/>
      </c>
    </row>
    <row r="1310">
      <c r="A1310" s="29" t="str">
        <f t="array" ref="A1310">IFNA(TRANSPOSE(INDEX('Parâmetros'!$B$4:$J3001,,MATCH(Exames!F1308,'Parâmetros'!$B$3:$J$3,0))),"")</f>
        <v/>
      </c>
    </row>
    <row r="1311">
      <c r="A1311" s="29" t="str">
        <f t="array" ref="A1311">IFNA(TRANSPOSE(INDEX('Parâmetros'!$B$4:$J3001,,MATCH(Exames!F1309,'Parâmetros'!$B$3:$J$3,0))),"")</f>
        <v/>
      </c>
    </row>
    <row r="1312">
      <c r="A1312" s="29" t="str">
        <f t="array" ref="A1312">IFNA(TRANSPOSE(INDEX('Parâmetros'!$B$4:$J3001,,MATCH(Exames!F1310,'Parâmetros'!$B$3:$J$3,0))),"")</f>
        <v/>
      </c>
    </row>
    <row r="1313">
      <c r="A1313" s="29" t="str">
        <f t="array" ref="A1313">IFNA(TRANSPOSE(INDEX('Parâmetros'!$B$4:$J3001,,MATCH(Exames!F1311,'Parâmetros'!$B$3:$J$3,0))),"")</f>
        <v/>
      </c>
    </row>
    <row r="1314">
      <c r="A1314" s="29" t="str">
        <f t="array" ref="A1314">IFNA(TRANSPOSE(INDEX('Parâmetros'!$B$4:$J3001,,MATCH(Exames!F1312,'Parâmetros'!$B$3:$J$3,0))),"")</f>
        <v/>
      </c>
    </row>
    <row r="1315">
      <c r="A1315" s="29" t="str">
        <f t="array" ref="A1315">IFNA(TRANSPOSE(INDEX('Parâmetros'!$B$4:$J3001,,MATCH(Exames!F1313,'Parâmetros'!$B$3:$J$3,0))),"")</f>
        <v/>
      </c>
    </row>
    <row r="1316">
      <c r="A1316" s="29" t="str">
        <f t="array" ref="A1316">IFNA(TRANSPOSE(INDEX('Parâmetros'!$B$4:$J3001,,MATCH(Exames!F1314,'Parâmetros'!$B$3:$J$3,0))),"")</f>
        <v/>
      </c>
    </row>
    <row r="1317">
      <c r="A1317" s="29" t="str">
        <f t="array" ref="A1317">IFNA(TRANSPOSE(INDEX('Parâmetros'!$B$4:$J3001,,MATCH(Exames!F1315,'Parâmetros'!$B$3:$J$3,0))),"")</f>
        <v/>
      </c>
    </row>
    <row r="1318">
      <c r="A1318" s="29" t="str">
        <f t="array" ref="A1318">IFNA(TRANSPOSE(INDEX('Parâmetros'!$B$4:$J3001,,MATCH(Exames!F1316,'Parâmetros'!$B$3:$J$3,0))),"")</f>
        <v/>
      </c>
    </row>
    <row r="1319">
      <c r="A1319" s="29" t="str">
        <f t="array" ref="A1319">IFNA(TRANSPOSE(INDEX('Parâmetros'!$B$4:$J3001,,MATCH(Exames!F1317,'Parâmetros'!$B$3:$J$3,0))),"")</f>
        <v/>
      </c>
    </row>
    <row r="1320">
      <c r="A1320" s="29" t="str">
        <f t="array" ref="A1320">IFNA(TRANSPOSE(INDEX('Parâmetros'!$B$4:$J3001,,MATCH(Exames!F1318,'Parâmetros'!$B$3:$J$3,0))),"")</f>
        <v/>
      </c>
    </row>
    <row r="1321">
      <c r="A1321" s="29" t="str">
        <f t="array" ref="A1321">IFNA(TRANSPOSE(INDEX('Parâmetros'!$B$4:$J3001,,MATCH(Exames!F1319,'Parâmetros'!$B$3:$J$3,0))),"")</f>
        <v/>
      </c>
    </row>
    <row r="1322">
      <c r="A1322" s="29" t="str">
        <f t="array" ref="A1322">IFNA(TRANSPOSE(INDEX('Parâmetros'!$B$4:$J3001,,MATCH(Exames!F1320,'Parâmetros'!$B$3:$J$3,0))),"")</f>
        <v/>
      </c>
    </row>
    <row r="1323">
      <c r="A1323" s="29" t="str">
        <f t="array" ref="A1323">IFNA(TRANSPOSE(INDEX('Parâmetros'!$B$4:$J3001,,MATCH(Exames!F1321,'Parâmetros'!$B$3:$J$3,0))),"")</f>
        <v/>
      </c>
    </row>
    <row r="1324">
      <c r="A1324" s="29" t="str">
        <f t="array" ref="A1324">IFNA(TRANSPOSE(INDEX('Parâmetros'!$B$4:$J3001,,MATCH(Exames!F1322,'Parâmetros'!$B$3:$J$3,0))),"")</f>
        <v/>
      </c>
    </row>
    <row r="1325">
      <c r="A1325" s="29" t="str">
        <f t="array" ref="A1325">IFNA(TRANSPOSE(INDEX('Parâmetros'!$B$4:$J3001,,MATCH(Exames!F1323,'Parâmetros'!$B$3:$J$3,0))),"")</f>
        <v/>
      </c>
    </row>
    <row r="1326">
      <c r="A1326" s="29" t="str">
        <f t="array" ref="A1326">IFNA(TRANSPOSE(INDEX('Parâmetros'!$B$4:$J3001,,MATCH(Exames!F1324,'Parâmetros'!$B$3:$J$3,0))),"")</f>
        <v/>
      </c>
    </row>
    <row r="1327">
      <c r="A1327" s="29" t="str">
        <f t="array" ref="A1327">IFNA(TRANSPOSE(INDEX('Parâmetros'!$B$4:$J3001,,MATCH(Exames!F1325,'Parâmetros'!$B$3:$J$3,0))),"")</f>
        <v/>
      </c>
    </row>
    <row r="1328">
      <c r="A1328" s="29" t="str">
        <f t="array" ref="A1328">IFNA(TRANSPOSE(INDEX('Parâmetros'!$B$4:$J3001,,MATCH(Exames!F1326,'Parâmetros'!$B$3:$J$3,0))),"")</f>
        <v/>
      </c>
    </row>
    <row r="1329">
      <c r="A1329" s="29" t="str">
        <f t="array" ref="A1329">IFNA(TRANSPOSE(INDEX('Parâmetros'!$B$4:$J3001,,MATCH(Exames!F1327,'Parâmetros'!$B$3:$J$3,0))),"")</f>
        <v/>
      </c>
    </row>
    <row r="1330">
      <c r="A1330" s="29" t="str">
        <f t="array" ref="A1330">IFNA(TRANSPOSE(INDEX('Parâmetros'!$B$4:$J3001,,MATCH(Exames!F1328,'Parâmetros'!$B$3:$J$3,0))),"")</f>
        <v/>
      </c>
    </row>
    <row r="1331">
      <c r="A1331" s="29" t="str">
        <f t="array" ref="A1331">IFNA(TRANSPOSE(INDEX('Parâmetros'!$B$4:$J3001,,MATCH(Exames!F1329,'Parâmetros'!$B$3:$J$3,0))),"")</f>
        <v/>
      </c>
    </row>
    <row r="1332">
      <c r="A1332" s="29" t="str">
        <f t="array" ref="A1332">IFNA(TRANSPOSE(INDEX('Parâmetros'!$B$4:$J3001,,MATCH(Exames!F1330,'Parâmetros'!$B$3:$J$3,0))),"")</f>
        <v/>
      </c>
    </row>
    <row r="1333">
      <c r="A1333" s="29" t="str">
        <f t="array" ref="A1333">IFNA(TRANSPOSE(INDEX('Parâmetros'!$B$4:$J3001,,MATCH(Exames!F1331,'Parâmetros'!$B$3:$J$3,0))),"")</f>
        <v/>
      </c>
    </row>
    <row r="1334">
      <c r="A1334" s="29" t="str">
        <f t="array" ref="A1334">IFNA(TRANSPOSE(INDEX('Parâmetros'!$B$4:$J3001,,MATCH(Exames!F1332,'Parâmetros'!$B$3:$J$3,0))),"")</f>
        <v/>
      </c>
    </row>
    <row r="1335">
      <c r="A1335" s="29" t="str">
        <f t="array" ref="A1335">IFNA(TRANSPOSE(INDEX('Parâmetros'!$B$4:$J3001,,MATCH(Exames!F1333,'Parâmetros'!$B$3:$J$3,0))),"")</f>
        <v/>
      </c>
    </row>
    <row r="1336">
      <c r="A1336" s="29" t="str">
        <f t="array" ref="A1336">IFNA(TRANSPOSE(INDEX('Parâmetros'!$B$4:$J3001,,MATCH(Exames!F1334,'Parâmetros'!$B$3:$J$3,0))),"")</f>
        <v/>
      </c>
    </row>
    <row r="1337">
      <c r="A1337" s="29" t="str">
        <f t="array" ref="A1337">IFNA(TRANSPOSE(INDEX('Parâmetros'!$B$4:$J3001,,MATCH(Exames!F1335,'Parâmetros'!$B$3:$J$3,0))),"")</f>
        <v/>
      </c>
    </row>
    <row r="1338">
      <c r="A1338" s="29" t="str">
        <f t="array" ref="A1338">IFNA(TRANSPOSE(INDEX('Parâmetros'!$B$4:$J3001,,MATCH(Exames!F1336,'Parâmetros'!$B$3:$J$3,0))),"")</f>
        <v/>
      </c>
    </row>
    <row r="1339">
      <c r="A1339" s="29" t="str">
        <f t="array" ref="A1339">IFNA(TRANSPOSE(INDEX('Parâmetros'!$B$4:$J3001,,MATCH(Exames!F1337,'Parâmetros'!$B$3:$J$3,0))),"")</f>
        <v/>
      </c>
    </row>
    <row r="1340">
      <c r="A1340" s="29" t="str">
        <f t="array" ref="A1340">IFNA(TRANSPOSE(INDEX('Parâmetros'!$B$4:$J3001,,MATCH(Exames!F1338,'Parâmetros'!$B$3:$J$3,0))),"")</f>
        <v/>
      </c>
    </row>
    <row r="1341">
      <c r="A1341" s="29" t="str">
        <f t="array" ref="A1341">IFNA(TRANSPOSE(INDEX('Parâmetros'!$B$4:$J3001,,MATCH(Exames!F1339,'Parâmetros'!$B$3:$J$3,0))),"")</f>
        <v/>
      </c>
    </row>
    <row r="1342">
      <c r="A1342" s="29" t="str">
        <f t="array" ref="A1342">IFNA(TRANSPOSE(INDEX('Parâmetros'!$B$4:$J3001,,MATCH(Exames!F1340,'Parâmetros'!$B$3:$J$3,0))),"")</f>
        <v/>
      </c>
    </row>
    <row r="1343">
      <c r="A1343" s="29" t="str">
        <f t="array" ref="A1343">IFNA(TRANSPOSE(INDEX('Parâmetros'!$B$4:$J3001,,MATCH(Exames!F1341,'Parâmetros'!$B$3:$J$3,0))),"")</f>
        <v/>
      </c>
    </row>
    <row r="1344">
      <c r="A1344" s="29" t="str">
        <f t="array" ref="A1344">IFNA(TRANSPOSE(INDEX('Parâmetros'!$B$4:$J3001,,MATCH(Exames!F1342,'Parâmetros'!$B$3:$J$3,0))),"")</f>
        <v/>
      </c>
    </row>
    <row r="1345">
      <c r="A1345" s="29" t="str">
        <f t="array" ref="A1345">IFNA(TRANSPOSE(INDEX('Parâmetros'!$B$4:$J3001,,MATCH(Exames!F1343,'Parâmetros'!$B$3:$J$3,0))),"")</f>
        <v/>
      </c>
    </row>
    <row r="1346">
      <c r="A1346" s="29" t="str">
        <f t="array" ref="A1346">IFNA(TRANSPOSE(INDEX('Parâmetros'!$B$4:$J3001,,MATCH(Exames!F1344,'Parâmetros'!$B$3:$J$3,0))),"")</f>
        <v/>
      </c>
    </row>
    <row r="1347">
      <c r="A1347" s="29" t="str">
        <f t="array" ref="A1347">IFNA(TRANSPOSE(INDEX('Parâmetros'!$B$4:$J3001,,MATCH(Exames!F1345,'Parâmetros'!$B$3:$J$3,0))),"")</f>
        <v/>
      </c>
    </row>
    <row r="1348">
      <c r="A1348" s="29" t="str">
        <f t="array" ref="A1348">IFNA(TRANSPOSE(INDEX('Parâmetros'!$B$4:$J3001,,MATCH(Exames!F1346,'Parâmetros'!$B$3:$J$3,0))),"")</f>
        <v/>
      </c>
    </row>
    <row r="1349">
      <c r="A1349" s="29" t="str">
        <f t="array" ref="A1349">IFNA(TRANSPOSE(INDEX('Parâmetros'!$B$4:$J3001,,MATCH(Exames!F1347,'Parâmetros'!$B$3:$J$3,0))),"")</f>
        <v/>
      </c>
    </row>
    <row r="1350">
      <c r="A1350" s="29" t="str">
        <f t="array" ref="A1350">IFNA(TRANSPOSE(INDEX('Parâmetros'!$B$4:$J3001,,MATCH(Exames!F1348,'Parâmetros'!$B$3:$J$3,0))),"")</f>
        <v/>
      </c>
    </row>
    <row r="1351">
      <c r="A1351" s="29" t="str">
        <f t="array" ref="A1351">IFNA(TRANSPOSE(INDEX('Parâmetros'!$B$4:$J3001,,MATCH(Exames!F1349,'Parâmetros'!$B$3:$J$3,0))),"")</f>
        <v/>
      </c>
    </row>
    <row r="1352">
      <c r="A1352" s="29" t="str">
        <f t="array" ref="A1352">IFNA(TRANSPOSE(INDEX('Parâmetros'!$B$4:$J3001,,MATCH(Exames!F1350,'Parâmetros'!$B$3:$J$3,0))),"")</f>
        <v/>
      </c>
    </row>
    <row r="1353">
      <c r="A1353" s="29" t="str">
        <f t="array" ref="A1353">IFNA(TRANSPOSE(INDEX('Parâmetros'!$B$4:$J3001,,MATCH(Exames!F1351,'Parâmetros'!$B$3:$J$3,0))),"")</f>
        <v/>
      </c>
    </row>
    <row r="1354">
      <c r="A1354" s="29" t="str">
        <f t="array" ref="A1354">IFNA(TRANSPOSE(INDEX('Parâmetros'!$B$4:$J3001,,MATCH(Exames!F1352,'Parâmetros'!$B$3:$J$3,0))),"")</f>
        <v/>
      </c>
    </row>
    <row r="1355">
      <c r="A1355" s="29" t="str">
        <f t="array" ref="A1355">IFNA(TRANSPOSE(INDEX('Parâmetros'!$B$4:$J3001,,MATCH(Exames!F1353,'Parâmetros'!$B$3:$J$3,0))),"")</f>
        <v/>
      </c>
    </row>
    <row r="1356">
      <c r="A1356" s="29" t="str">
        <f t="array" ref="A1356">IFNA(TRANSPOSE(INDEX('Parâmetros'!$B$4:$J3001,,MATCH(Exames!F1354,'Parâmetros'!$B$3:$J$3,0))),"")</f>
        <v/>
      </c>
    </row>
    <row r="1357">
      <c r="A1357" s="29" t="str">
        <f t="array" ref="A1357">IFNA(TRANSPOSE(INDEX('Parâmetros'!$B$4:$J3001,,MATCH(Exames!F1355,'Parâmetros'!$B$3:$J$3,0))),"")</f>
        <v/>
      </c>
    </row>
    <row r="1358">
      <c r="A1358" s="29" t="str">
        <f t="array" ref="A1358">IFNA(TRANSPOSE(INDEX('Parâmetros'!$B$4:$J3001,,MATCH(Exames!F1356,'Parâmetros'!$B$3:$J$3,0))),"")</f>
        <v/>
      </c>
    </row>
    <row r="1359">
      <c r="A1359" s="29" t="str">
        <f t="array" ref="A1359">IFNA(TRANSPOSE(INDEX('Parâmetros'!$B$4:$J3001,,MATCH(Exames!F1357,'Parâmetros'!$B$3:$J$3,0))),"")</f>
        <v/>
      </c>
    </row>
    <row r="1360">
      <c r="A1360" s="29" t="str">
        <f t="array" ref="A1360">IFNA(TRANSPOSE(INDEX('Parâmetros'!$B$4:$J3001,,MATCH(Exames!F1358,'Parâmetros'!$B$3:$J$3,0))),"")</f>
        <v/>
      </c>
    </row>
    <row r="1361">
      <c r="A1361" s="29" t="str">
        <f t="array" ref="A1361">IFNA(TRANSPOSE(INDEX('Parâmetros'!$B$4:$J3001,,MATCH(Exames!F1359,'Parâmetros'!$B$3:$J$3,0))),"")</f>
        <v/>
      </c>
    </row>
    <row r="1362">
      <c r="A1362" s="29" t="str">
        <f t="array" ref="A1362">IFNA(TRANSPOSE(INDEX('Parâmetros'!$B$4:$J3001,,MATCH(Exames!F1360,'Parâmetros'!$B$3:$J$3,0))),"")</f>
        <v/>
      </c>
    </row>
    <row r="1363">
      <c r="A1363" s="29" t="str">
        <f t="array" ref="A1363">IFNA(TRANSPOSE(INDEX('Parâmetros'!$B$4:$J3001,,MATCH(Exames!F1361,'Parâmetros'!$B$3:$J$3,0))),"")</f>
        <v/>
      </c>
    </row>
    <row r="1364">
      <c r="A1364" s="29" t="str">
        <f t="array" ref="A1364">IFNA(TRANSPOSE(INDEX('Parâmetros'!$B$4:$J3001,,MATCH(Exames!F1362,'Parâmetros'!$B$3:$J$3,0))),"")</f>
        <v/>
      </c>
    </row>
    <row r="1365">
      <c r="A1365" s="29" t="str">
        <f t="array" ref="A1365">IFNA(TRANSPOSE(INDEX('Parâmetros'!$B$4:$J3001,,MATCH(Exames!F1363,'Parâmetros'!$B$3:$J$3,0))),"")</f>
        <v/>
      </c>
    </row>
    <row r="1366">
      <c r="A1366" s="29" t="str">
        <f t="array" ref="A1366">IFNA(TRANSPOSE(INDEX('Parâmetros'!$B$4:$J3001,,MATCH(Exames!F1364,'Parâmetros'!$B$3:$J$3,0))),"")</f>
        <v/>
      </c>
    </row>
    <row r="1367">
      <c r="A1367" s="29" t="str">
        <f t="array" ref="A1367">IFNA(TRANSPOSE(INDEX('Parâmetros'!$B$4:$J3001,,MATCH(Exames!F1365,'Parâmetros'!$B$3:$J$3,0))),"")</f>
        <v/>
      </c>
    </row>
    <row r="1368">
      <c r="A1368" s="29" t="str">
        <f t="array" ref="A1368">IFNA(TRANSPOSE(INDEX('Parâmetros'!$B$4:$J3001,,MATCH(Exames!F1366,'Parâmetros'!$B$3:$J$3,0))),"")</f>
        <v/>
      </c>
    </row>
    <row r="1369">
      <c r="A1369" s="29" t="str">
        <f t="array" ref="A1369">IFNA(TRANSPOSE(INDEX('Parâmetros'!$B$4:$J3001,,MATCH(Exames!F1367,'Parâmetros'!$B$3:$J$3,0))),"")</f>
        <v/>
      </c>
    </row>
    <row r="1370">
      <c r="A1370" s="29" t="str">
        <f t="array" ref="A1370">IFNA(TRANSPOSE(INDEX('Parâmetros'!$B$4:$J3001,,MATCH(Exames!F1368,'Parâmetros'!$B$3:$J$3,0))),"")</f>
        <v/>
      </c>
    </row>
    <row r="1371">
      <c r="A1371" s="29" t="str">
        <f t="array" ref="A1371">IFNA(TRANSPOSE(INDEX('Parâmetros'!$B$4:$J3001,,MATCH(Exames!F1369,'Parâmetros'!$B$3:$J$3,0))),"")</f>
        <v/>
      </c>
    </row>
    <row r="1372">
      <c r="A1372" s="29" t="str">
        <f t="array" ref="A1372">IFNA(TRANSPOSE(INDEX('Parâmetros'!$B$4:$J3001,,MATCH(Exames!F1370,'Parâmetros'!$B$3:$J$3,0))),"")</f>
        <v/>
      </c>
    </row>
    <row r="1373">
      <c r="A1373" s="29" t="str">
        <f t="array" ref="A1373">IFNA(TRANSPOSE(INDEX('Parâmetros'!$B$4:$J3001,,MATCH(Exames!F1371,'Parâmetros'!$B$3:$J$3,0))),"")</f>
        <v/>
      </c>
    </row>
    <row r="1374">
      <c r="A1374" s="29" t="str">
        <f t="array" ref="A1374">IFNA(TRANSPOSE(INDEX('Parâmetros'!$B$4:$J3001,,MATCH(Exames!F1372,'Parâmetros'!$B$3:$J$3,0))),"")</f>
        <v/>
      </c>
    </row>
    <row r="1375">
      <c r="A1375" s="29" t="str">
        <f t="array" ref="A1375">IFNA(TRANSPOSE(INDEX('Parâmetros'!$B$4:$J3001,,MATCH(Exames!F1373,'Parâmetros'!$B$3:$J$3,0))),"")</f>
        <v/>
      </c>
    </row>
    <row r="1376">
      <c r="A1376" s="29" t="str">
        <f t="array" ref="A1376">IFNA(TRANSPOSE(INDEX('Parâmetros'!$B$4:$J3001,,MATCH(Exames!F1374,'Parâmetros'!$B$3:$J$3,0))),"")</f>
        <v/>
      </c>
    </row>
    <row r="1377">
      <c r="A1377" s="29" t="str">
        <f t="array" ref="A1377">IFNA(TRANSPOSE(INDEX('Parâmetros'!$B$4:$J3001,,MATCH(Exames!F1375,'Parâmetros'!$B$3:$J$3,0))),"")</f>
        <v/>
      </c>
    </row>
    <row r="1378">
      <c r="A1378" s="29" t="str">
        <f t="array" ref="A1378">IFNA(TRANSPOSE(INDEX('Parâmetros'!$B$4:$J3001,,MATCH(Exames!F1376,'Parâmetros'!$B$3:$J$3,0))),"")</f>
        <v/>
      </c>
    </row>
    <row r="1379">
      <c r="A1379" s="29" t="str">
        <f t="array" ref="A1379">IFNA(TRANSPOSE(INDEX('Parâmetros'!$B$4:$J3001,,MATCH(Exames!F1377,'Parâmetros'!$B$3:$J$3,0))),"")</f>
        <v/>
      </c>
    </row>
    <row r="1380">
      <c r="A1380" s="29" t="str">
        <f t="array" ref="A1380">IFNA(TRANSPOSE(INDEX('Parâmetros'!$B$4:$J3001,,MATCH(Exames!F1378,'Parâmetros'!$B$3:$J$3,0))),"")</f>
        <v/>
      </c>
    </row>
    <row r="1381">
      <c r="A1381" s="29" t="str">
        <f t="array" ref="A1381">IFNA(TRANSPOSE(INDEX('Parâmetros'!$B$4:$J3001,,MATCH(Exames!F1379,'Parâmetros'!$B$3:$J$3,0))),"")</f>
        <v/>
      </c>
    </row>
    <row r="1382">
      <c r="A1382" s="29" t="str">
        <f t="array" ref="A1382">IFNA(TRANSPOSE(INDEX('Parâmetros'!$B$4:$J3001,,MATCH(Exames!F1380,'Parâmetros'!$B$3:$J$3,0))),"")</f>
        <v/>
      </c>
    </row>
    <row r="1383">
      <c r="A1383" s="29" t="str">
        <f t="array" ref="A1383">IFNA(TRANSPOSE(INDEX('Parâmetros'!$B$4:$J3001,,MATCH(Exames!F1381,'Parâmetros'!$B$3:$J$3,0))),"")</f>
        <v/>
      </c>
    </row>
    <row r="1384">
      <c r="A1384" s="29" t="str">
        <f t="array" ref="A1384">IFNA(TRANSPOSE(INDEX('Parâmetros'!$B$4:$J3001,,MATCH(Exames!F1382,'Parâmetros'!$B$3:$J$3,0))),"")</f>
        <v/>
      </c>
    </row>
    <row r="1385">
      <c r="A1385" s="29" t="str">
        <f t="array" ref="A1385">IFNA(TRANSPOSE(INDEX('Parâmetros'!$B$4:$J3001,,MATCH(Exames!F1383,'Parâmetros'!$B$3:$J$3,0))),"")</f>
        <v/>
      </c>
    </row>
    <row r="1386">
      <c r="A1386" s="29" t="str">
        <f t="array" ref="A1386">IFNA(TRANSPOSE(INDEX('Parâmetros'!$B$4:$J3001,,MATCH(Exames!F1384,'Parâmetros'!$B$3:$J$3,0))),"")</f>
        <v/>
      </c>
    </row>
    <row r="1387">
      <c r="A1387" s="29" t="str">
        <f t="array" ref="A1387">IFNA(TRANSPOSE(INDEX('Parâmetros'!$B$4:$J3001,,MATCH(Exames!F1385,'Parâmetros'!$B$3:$J$3,0))),"")</f>
        <v/>
      </c>
    </row>
    <row r="1388">
      <c r="A1388" s="29" t="str">
        <f t="array" ref="A1388">IFNA(TRANSPOSE(INDEX('Parâmetros'!$B$4:$J3001,,MATCH(Exames!F1386,'Parâmetros'!$B$3:$J$3,0))),"")</f>
        <v/>
      </c>
    </row>
    <row r="1389">
      <c r="A1389" s="29" t="str">
        <f t="array" ref="A1389">IFNA(TRANSPOSE(INDEX('Parâmetros'!$B$4:$J3001,,MATCH(Exames!F1387,'Parâmetros'!$B$3:$J$3,0))),"")</f>
        <v/>
      </c>
    </row>
    <row r="1390">
      <c r="A1390" s="29" t="str">
        <f t="array" ref="A1390">IFNA(TRANSPOSE(INDEX('Parâmetros'!$B$4:$J3001,,MATCH(Exames!F1388,'Parâmetros'!$B$3:$J$3,0))),"")</f>
        <v/>
      </c>
    </row>
    <row r="1391">
      <c r="A1391" s="29" t="str">
        <f t="array" ref="A1391">IFNA(TRANSPOSE(INDEX('Parâmetros'!$B$4:$J3001,,MATCH(Exames!F1389,'Parâmetros'!$B$3:$J$3,0))),"")</f>
        <v/>
      </c>
    </row>
    <row r="1392">
      <c r="A1392" s="29" t="str">
        <f t="array" ref="A1392">IFNA(TRANSPOSE(INDEX('Parâmetros'!$B$4:$J3001,,MATCH(Exames!F1390,'Parâmetros'!$B$3:$J$3,0))),"")</f>
        <v/>
      </c>
    </row>
    <row r="1393">
      <c r="A1393" s="29" t="str">
        <f t="array" ref="A1393">IFNA(TRANSPOSE(INDEX('Parâmetros'!$B$4:$J3001,,MATCH(Exames!F1391,'Parâmetros'!$B$3:$J$3,0))),"")</f>
        <v/>
      </c>
    </row>
    <row r="1394">
      <c r="A1394" s="29" t="str">
        <f t="array" ref="A1394">IFNA(TRANSPOSE(INDEX('Parâmetros'!$B$4:$J3001,,MATCH(Exames!F1392,'Parâmetros'!$B$3:$J$3,0))),"")</f>
        <v/>
      </c>
    </row>
    <row r="1395">
      <c r="A1395" s="29" t="str">
        <f t="array" ref="A1395">IFNA(TRANSPOSE(INDEX('Parâmetros'!$B$4:$J3001,,MATCH(Exames!F1393,'Parâmetros'!$B$3:$J$3,0))),"")</f>
        <v/>
      </c>
    </row>
    <row r="1396">
      <c r="A1396" s="29" t="str">
        <f t="array" ref="A1396">IFNA(TRANSPOSE(INDEX('Parâmetros'!$B$4:$J3001,,MATCH(Exames!F1394,'Parâmetros'!$B$3:$J$3,0))),"")</f>
        <v/>
      </c>
    </row>
    <row r="1397">
      <c r="A1397" s="29" t="str">
        <f t="array" ref="A1397">IFNA(TRANSPOSE(INDEX('Parâmetros'!$B$4:$J3001,,MATCH(Exames!F1395,'Parâmetros'!$B$3:$J$3,0))),"")</f>
        <v/>
      </c>
    </row>
    <row r="1398">
      <c r="A1398" s="29" t="str">
        <f t="array" ref="A1398">IFNA(TRANSPOSE(INDEX('Parâmetros'!$B$4:$J3001,,MATCH(Exames!F1396,'Parâmetros'!$B$3:$J$3,0))),"")</f>
        <v/>
      </c>
    </row>
    <row r="1399">
      <c r="A1399" s="29" t="str">
        <f t="array" ref="A1399">IFNA(TRANSPOSE(INDEX('Parâmetros'!$B$4:$J3001,,MATCH(Exames!F1397,'Parâmetros'!$B$3:$J$3,0))),"")</f>
        <v/>
      </c>
    </row>
    <row r="1400">
      <c r="A1400" s="29" t="str">
        <f t="array" ref="A1400">IFNA(TRANSPOSE(INDEX('Parâmetros'!$B$4:$J3001,,MATCH(Exames!F1398,'Parâmetros'!$B$3:$J$3,0))),"")</f>
        <v/>
      </c>
    </row>
    <row r="1401">
      <c r="A1401" s="29" t="str">
        <f t="array" ref="A1401">IFNA(TRANSPOSE(INDEX('Parâmetros'!$B$4:$J3001,,MATCH(Exames!F1399,'Parâmetros'!$B$3:$J$3,0))),"")</f>
        <v/>
      </c>
    </row>
    <row r="1402">
      <c r="A1402" s="29" t="str">
        <f t="array" ref="A1402">IFNA(TRANSPOSE(INDEX('Parâmetros'!$B$4:$J3001,,MATCH(Exames!F1400,'Parâmetros'!$B$3:$J$3,0))),"")</f>
        <v/>
      </c>
    </row>
    <row r="1403">
      <c r="A1403" s="29" t="str">
        <f t="array" ref="A1403">IFNA(TRANSPOSE(INDEX('Parâmetros'!$B$4:$J3001,,MATCH(Exames!F1401,'Parâmetros'!$B$3:$J$3,0))),"")</f>
        <v/>
      </c>
    </row>
    <row r="1404">
      <c r="A1404" s="29" t="str">
        <f t="array" ref="A1404">IFNA(TRANSPOSE(INDEX('Parâmetros'!$B$4:$J3001,,MATCH(Exames!F1402,'Parâmetros'!$B$3:$J$3,0))),"")</f>
        <v/>
      </c>
    </row>
    <row r="1405">
      <c r="A1405" s="29" t="str">
        <f t="array" ref="A1405">IFNA(TRANSPOSE(INDEX('Parâmetros'!$B$4:$J3001,,MATCH(Exames!F1403,'Parâmetros'!$B$3:$J$3,0))),"")</f>
        <v/>
      </c>
    </row>
    <row r="1406">
      <c r="A1406" s="29" t="str">
        <f t="array" ref="A1406">IFNA(TRANSPOSE(INDEX('Parâmetros'!$B$4:$J3001,,MATCH(Exames!F1404,'Parâmetros'!$B$3:$J$3,0))),"")</f>
        <v/>
      </c>
    </row>
    <row r="1407">
      <c r="A1407" s="29" t="str">
        <f t="array" ref="A1407">IFNA(TRANSPOSE(INDEX('Parâmetros'!$B$4:$J3001,,MATCH(Exames!F1405,'Parâmetros'!$B$3:$J$3,0))),"")</f>
        <v/>
      </c>
    </row>
    <row r="1408">
      <c r="A1408" s="29" t="str">
        <f t="array" ref="A1408">IFNA(TRANSPOSE(INDEX('Parâmetros'!$B$4:$J3001,,MATCH(Exames!F1406,'Parâmetros'!$B$3:$J$3,0))),"")</f>
        <v/>
      </c>
    </row>
    <row r="1409">
      <c r="A1409" s="29" t="str">
        <f t="array" ref="A1409">IFNA(TRANSPOSE(INDEX('Parâmetros'!$B$4:$J3001,,MATCH(Exames!F1407,'Parâmetros'!$B$3:$J$3,0))),"")</f>
        <v/>
      </c>
    </row>
    <row r="1410">
      <c r="A1410" s="29" t="str">
        <f t="array" ref="A1410">IFNA(TRANSPOSE(INDEX('Parâmetros'!$B$4:$J3001,,MATCH(Exames!F1408,'Parâmetros'!$B$3:$J$3,0))),"")</f>
        <v/>
      </c>
    </row>
    <row r="1411">
      <c r="A1411" s="29" t="str">
        <f t="array" ref="A1411">IFNA(TRANSPOSE(INDEX('Parâmetros'!$B$4:$J3001,,MATCH(Exames!F1409,'Parâmetros'!$B$3:$J$3,0))),"")</f>
        <v/>
      </c>
    </row>
    <row r="1412">
      <c r="A1412" s="29" t="str">
        <f t="array" ref="A1412">IFNA(TRANSPOSE(INDEX('Parâmetros'!$B$4:$J3001,,MATCH(Exames!F1410,'Parâmetros'!$B$3:$J$3,0))),"")</f>
        <v/>
      </c>
    </row>
    <row r="1413">
      <c r="A1413" s="29" t="str">
        <f t="array" ref="A1413">IFNA(TRANSPOSE(INDEX('Parâmetros'!$B$4:$J3001,,MATCH(Exames!F1411,'Parâmetros'!$B$3:$J$3,0))),"")</f>
        <v/>
      </c>
    </row>
    <row r="1414">
      <c r="A1414" s="29" t="str">
        <f t="array" ref="A1414">IFNA(TRANSPOSE(INDEX('Parâmetros'!$B$4:$J3001,,MATCH(Exames!F1412,'Parâmetros'!$B$3:$J$3,0))),"")</f>
        <v/>
      </c>
    </row>
    <row r="1415">
      <c r="A1415" s="29" t="str">
        <f t="array" ref="A1415">IFNA(TRANSPOSE(INDEX('Parâmetros'!$B$4:$J3001,,MATCH(Exames!F1413,'Parâmetros'!$B$3:$J$3,0))),"")</f>
        <v/>
      </c>
    </row>
    <row r="1416">
      <c r="A1416" s="29" t="str">
        <f t="array" ref="A1416">IFNA(TRANSPOSE(INDEX('Parâmetros'!$B$4:$J3001,,MATCH(Exames!F1414,'Parâmetros'!$B$3:$J$3,0))),"")</f>
        <v/>
      </c>
    </row>
    <row r="1417">
      <c r="A1417" s="29" t="str">
        <f t="array" ref="A1417">IFNA(TRANSPOSE(INDEX('Parâmetros'!$B$4:$J3001,,MATCH(Exames!F1415,'Parâmetros'!$B$3:$J$3,0))),"")</f>
        <v/>
      </c>
    </row>
    <row r="1418">
      <c r="A1418" s="29" t="str">
        <f t="array" ref="A1418">IFNA(TRANSPOSE(INDEX('Parâmetros'!$B$4:$J3001,,MATCH(Exames!F1416,'Parâmetros'!$B$3:$J$3,0))),"")</f>
        <v/>
      </c>
    </row>
    <row r="1419">
      <c r="A1419" s="29" t="str">
        <f t="array" ref="A1419">IFNA(TRANSPOSE(INDEX('Parâmetros'!$B$4:$J3001,,MATCH(Exames!F1417,'Parâmetros'!$B$3:$J$3,0))),"")</f>
        <v/>
      </c>
    </row>
    <row r="1420">
      <c r="A1420" s="29" t="str">
        <f t="array" ref="A1420">IFNA(TRANSPOSE(INDEX('Parâmetros'!$B$4:$J3001,,MATCH(Exames!F1418,'Parâmetros'!$B$3:$J$3,0))),"")</f>
        <v/>
      </c>
    </row>
    <row r="1421">
      <c r="A1421" s="29" t="str">
        <f t="array" ref="A1421">IFNA(TRANSPOSE(INDEX('Parâmetros'!$B$4:$J3001,,MATCH(Exames!F1419,'Parâmetros'!$B$3:$J$3,0))),"")</f>
        <v/>
      </c>
    </row>
    <row r="1422">
      <c r="A1422" s="29" t="str">
        <f t="array" ref="A1422">IFNA(TRANSPOSE(INDEX('Parâmetros'!$B$4:$J3001,,MATCH(Exames!F1420,'Parâmetros'!$B$3:$J$3,0))),"")</f>
        <v/>
      </c>
    </row>
    <row r="1423">
      <c r="A1423" s="29" t="str">
        <f t="array" ref="A1423">IFNA(TRANSPOSE(INDEX('Parâmetros'!$B$4:$J3001,,MATCH(Exames!F1421,'Parâmetros'!$B$3:$J$3,0))),"")</f>
        <v/>
      </c>
    </row>
    <row r="1424">
      <c r="A1424" s="29" t="str">
        <f t="array" ref="A1424">IFNA(TRANSPOSE(INDEX('Parâmetros'!$B$4:$J3001,,MATCH(Exames!F1422,'Parâmetros'!$B$3:$J$3,0))),"")</f>
        <v/>
      </c>
    </row>
    <row r="1425">
      <c r="A1425" s="29" t="str">
        <f t="array" ref="A1425">IFNA(TRANSPOSE(INDEX('Parâmetros'!$B$4:$J3001,,MATCH(Exames!F1423,'Parâmetros'!$B$3:$J$3,0))),"")</f>
        <v/>
      </c>
    </row>
    <row r="1426">
      <c r="A1426" s="29" t="str">
        <f t="array" ref="A1426">IFNA(TRANSPOSE(INDEX('Parâmetros'!$B$4:$J3001,,MATCH(Exames!F1424,'Parâmetros'!$B$3:$J$3,0))),"")</f>
        <v/>
      </c>
    </row>
    <row r="1427">
      <c r="A1427" s="29" t="str">
        <f t="array" ref="A1427">IFNA(TRANSPOSE(INDEX('Parâmetros'!$B$4:$J3001,,MATCH(Exames!F1425,'Parâmetros'!$B$3:$J$3,0))),"")</f>
        <v/>
      </c>
    </row>
    <row r="1428">
      <c r="A1428" s="29" t="str">
        <f t="array" ref="A1428">IFNA(TRANSPOSE(INDEX('Parâmetros'!$B$4:$J3001,,MATCH(Exames!F1426,'Parâmetros'!$B$3:$J$3,0))),"")</f>
        <v/>
      </c>
    </row>
    <row r="1429">
      <c r="A1429" s="29" t="str">
        <f t="array" ref="A1429">IFNA(TRANSPOSE(INDEX('Parâmetros'!$B$4:$J3001,,MATCH(Exames!F1427,'Parâmetros'!$B$3:$J$3,0))),"")</f>
        <v/>
      </c>
    </row>
    <row r="1430">
      <c r="A1430" s="29" t="str">
        <f t="array" ref="A1430">IFNA(TRANSPOSE(INDEX('Parâmetros'!$B$4:$J3001,,MATCH(Exames!F1428,'Parâmetros'!$B$3:$J$3,0))),"")</f>
        <v/>
      </c>
    </row>
    <row r="1431">
      <c r="A1431" s="29" t="str">
        <f t="array" ref="A1431">IFNA(TRANSPOSE(INDEX('Parâmetros'!$B$4:$J3001,,MATCH(Exames!F1429,'Parâmetros'!$B$3:$J$3,0))),"")</f>
        <v/>
      </c>
    </row>
    <row r="1432">
      <c r="A1432" s="29" t="str">
        <f t="array" ref="A1432">IFNA(TRANSPOSE(INDEX('Parâmetros'!$B$4:$J3001,,MATCH(Exames!F1430,'Parâmetros'!$B$3:$J$3,0))),"")</f>
        <v/>
      </c>
    </row>
    <row r="1433">
      <c r="A1433" s="29" t="str">
        <f t="array" ref="A1433">IFNA(TRANSPOSE(INDEX('Parâmetros'!$B$4:$J3001,,MATCH(Exames!F1431,'Parâmetros'!$B$3:$J$3,0))),"")</f>
        <v/>
      </c>
    </row>
    <row r="1434">
      <c r="A1434" s="29" t="str">
        <f t="array" ref="A1434">IFNA(TRANSPOSE(INDEX('Parâmetros'!$B$4:$J3001,,MATCH(Exames!F1432,'Parâmetros'!$B$3:$J$3,0))),"")</f>
        <v/>
      </c>
    </row>
    <row r="1435">
      <c r="A1435" s="29" t="str">
        <f t="array" ref="A1435">IFNA(TRANSPOSE(INDEX('Parâmetros'!$B$4:$J3001,,MATCH(Exames!F1433,'Parâmetros'!$B$3:$J$3,0))),"")</f>
        <v/>
      </c>
    </row>
    <row r="1436">
      <c r="A1436" s="29" t="str">
        <f t="array" ref="A1436">IFNA(TRANSPOSE(INDEX('Parâmetros'!$B$4:$J3001,,MATCH(Exames!F1434,'Parâmetros'!$B$3:$J$3,0))),"")</f>
        <v/>
      </c>
    </row>
    <row r="1437">
      <c r="A1437" s="29" t="str">
        <f t="array" ref="A1437">IFNA(TRANSPOSE(INDEX('Parâmetros'!$B$4:$J3001,,MATCH(Exames!F1435,'Parâmetros'!$B$3:$J$3,0))),"")</f>
        <v/>
      </c>
    </row>
    <row r="1438">
      <c r="A1438" s="29" t="str">
        <f t="array" ref="A1438">IFNA(TRANSPOSE(INDEX('Parâmetros'!$B$4:$J3001,,MATCH(Exames!F1436,'Parâmetros'!$B$3:$J$3,0))),"")</f>
        <v/>
      </c>
    </row>
    <row r="1439">
      <c r="A1439" s="29" t="str">
        <f t="array" ref="A1439">IFNA(TRANSPOSE(INDEX('Parâmetros'!$B$4:$J3001,,MATCH(Exames!F1437,'Parâmetros'!$B$3:$J$3,0))),"")</f>
        <v/>
      </c>
    </row>
    <row r="1440">
      <c r="A1440" s="29" t="str">
        <f t="array" ref="A1440">IFNA(TRANSPOSE(INDEX('Parâmetros'!$B$4:$J3001,,MATCH(Exames!F1438,'Parâmetros'!$B$3:$J$3,0))),"")</f>
        <v/>
      </c>
    </row>
    <row r="1441">
      <c r="A1441" s="29" t="str">
        <f t="array" ref="A1441">IFNA(TRANSPOSE(INDEX('Parâmetros'!$B$4:$J3001,,MATCH(Exames!F1439,'Parâmetros'!$B$3:$J$3,0))),"")</f>
        <v/>
      </c>
    </row>
    <row r="1442">
      <c r="A1442" s="29" t="str">
        <f t="array" ref="A1442">IFNA(TRANSPOSE(INDEX('Parâmetros'!$B$4:$J3001,,MATCH(Exames!F1440,'Parâmetros'!$B$3:$J$3,0))),"")</f>
        <v/>
      </c>
    </row>
    <row r="1443">
      <c r="A1443" s="29" t="str">
        <f t="array" ref="A1443">IFNA(TRANSPOSE(INDEX('Parâmetros'!$B$4:$J3001,,MATCH(Exames!F1441,'Parâmetros'!$B$3:$J$3,0))),"")</f>
        <v/>
      </c>
    </row>
    <row r="1444">
      <c r="A1444" s="29" t="str">
        <f t="array" ref="A1444">IFNA(TRANSPOSE(INDEX('Parâmetros'!$B$4:$J3001,,MATCH(Exames!F1442,'Parâmetros'!$B$3:$J$3,0))),"")</f>
        <v/>
      </c>
    </row>
    <row r="1445">
      <c r="A1445" s="29" t="str">
        <f t="array" ref="A1445">IFNA(TRANSPOSE(INDEX('Parâmetros'!$B$4:$J3001,,MATCH(Exames!F1443,'Parâmetros'!$B$3:$J$3,0))),"")</f>
        <v/>
      </c>
    </row>
    <row r="1446">
      <c r="A1446" s="29" t="str">
        <f t="array" ref="A1446">IFNA(TRANSPOSE(INDEX('Parâmetros'!$B$4:$J3001,,MATCH(Exames!F1444,'Parâmetros'!$B$3:$J$3,0))),"")</f>
        <v/>
      </c>
    </row>
    <row r="1447">
      <c r="A1447" s="29" t="str">
        <f t="array" ref="A1447">IFNA(TRANSPOSE(INDEX('Parâmetros'!$B$4:$J3001,,MATCH(Exames!F1445,'Parâmetros'!$B$3:$J$3,0))),"")</f>
        <v/>
      </c>
    </row>
    <row r="1448">
      <c r="A1448" s="29" t="str">
        <f t="array" ref="A1448">IFNA(TRANSPOSE(INDEX('Parâmetros'!$B$4:$J3001,,MATCH(Exames!F1446,'Parâmetros'!$B$3:$J$3,0))),"")</f>
        <v/>
      </c>
    </row>
    <row r="1449">
      <c r="A1449" s="29" t="str">
        <f t="array" ref="A1449">IFNA(TRANSPOSE(INDEX('Parâmetros'!$B$4:$J3001,,MATCH(Exames!F1447,'Parâmetros'!$B$3:$J$3,0))),"")</f>
        <v/>
      </c>
    </row>
    <row r="1450">
      <c r="A1450" s="29" t="str">
        <f t="array" ref="A1450">IFNA(TRANSPOSE(INDEX('Parâmetros'!$B$4:$J3001,,MATCH(Exames!F1448,'Parâmetros'!$B$3:$J$3,0))),"")</f>
        <v/>
      </c>
    </row>
    <row r="1451">
      <c r="A1451" s="29" t="str">
        <f t="array" ref="A1451">IFNA(TRANSPOSE(INDEX('Parâmetros'!$B$4:$J3001,,MATCH(Exames!F1449,'Parâmetros'!$B$3:$J$3,0))),"")</f>
        <v/>
      </c>
    </row>
    <row r="1452">
      <c r="A1452" s="29" t="str">
        <f t="array" ref="A1452">IFNA(TRANSPOSE(INDEX('Parâmetros'!$B$4:$J3001,,MATCH(Exames!F1450,'Parâmetros'!$B$3:$J$3,0))),"")</f>
        <v/>
      </c>
    </row>
    <row r="1453">
      <c r="A1453" s="29" t="str">
        <f t="array" ref="A1453">IFNA(TRANSPOSE(INDEX('Parâmetros'!$B$4:$J3001,,MATCH(Exames!F1451,'Parâmetros'!$B$3:$J$3,0))),"")</f>
        <v/>
      </c>
    </row>
    <row r="1454">
      <c r="A1454" s="29" t="str">
        <f t="array" ref="A1454">IFNA(TRANSPOSE(INDEX('Parâmetros'!$B$4:$J3001,,MATCH(Exames!F1452,'Parâmetros'!$B$3:$J$3,0))),"")</f>
        <v/>
      </c>
    </row>
    <row r="1455">
      <c r="A1455" s="29" t="str">
        <f t="array" ref="A1455">IFNA(TRANSPOSE(INDEX('Parâmetros'!$B$4:$J3001,,MATCH(Exames!F1453,'Parâmetros'!$B$3:$J$3,0))),"")</f>
        <v/>
      </c>
    </row>
    <row r="1456">
      <c r="A1456" s="29" t="str">
        <f t="array" ref="A1456">IFNA(TRANSPOSE(INDEX('Parâmetros'!$B$4:$J3001,,MATCH(Exames!F1454,'Parâmetros'!$B$3:$J$3,0))),"")</f>
        <v/>
      </c>
    </row>
    <row r="1457">
      <c r="A1457" s="29" t="str">
        <f t="array" ref="A1457">IFNA(TRANSPOSE(INDEX('Parâmetros'!$B$4:$J3001,,MATCH(Exames!F1455,'Parâmetros'!$B$3:$J$3,0))),"")</f>
        <v/>
      </c>
    </row>
    <row r="1458">
      <c r="A1458" s="29" t="str">
        <f t="array" ref="A1458">IFNA(TRANSPOSE(INDEX('Parâmetros'!$B$4:$J3001,,MATCH(Exames!F1456,'Parâmetros'!$B$3:$J$3,0))),"")</f>
        <v/>
      </c>
    </row>
    <row r="1459">
      <c r="A1459" s="29" t="str">
        <f t="array" ref="A1459">IFNA(TRANSPOSE(INDEX('Parâmetros'!$B$4:$J3001,,MATCH(Exames!F1457,'Parâmetros'!$B$3:$J$3,0))),"")</f>
        <v/>
      </c>
    </row>
    <row r="1460">
      <c r="A1460" s="29" t="str">
        <f t="array" ref="A1460">IFNA(TRANSPOSE(INDEX('Parâmetros'!$B$4:$J3001,,MATCH(Exames!F1458,'Parâmetros'!$B$3:$J$3,0))),"")</f>
        <v/>
      </c>
    </row>
    <row r="1461">
      <c r="A1461" s="29" t="str">
        <f t="array" ref="A1461">IFNA(TRANSPOSE(INDEX('Parâmetros'!$B$4:$J3001,,MATCH(Exames!F1459,'Parâmetros'!$B$3:$J$3,0))),"")</f>
        <v/>
      </c>
    </row>
    <row r="1462">
      <c r="A1462" s="29" t="str">
        <f t="array" ref="A1462">IFNA(TRANSPOSE(INDEX('Parâmetros'!$B$4:$J3001,,MATCH(Exames!F1460,'Parâmetros'!$B$3:$J$3,0))),"")</f>
        <v/>
      </c>
    </row>
    <row r="1463">
      <c r="A1463" s="29" t="str">
        <f t="array" ref="A1463">IFNA(TRANSPOSE(INDEX('Parâmetros'!$B$4:$J3001,,MATCH(Exames!F1461,'Parâmetros'!$B$3:$J$3,0))),"")</f>
        <v/>
      </c>
    </row>
    <row r="1464">
      <c r="A1464" s="29" t="str">
        <f t="array" ref="A1464">IFNA(TRANSPOSE(INDEX('Parâmetros'!$B$4:$J3001,,MATCH(Exames!F1462,'Parâmetros'!$B$3:$J$3,0))),"")</f>
        <v/>
      </c>
    </row>
    <row r="1465">
      <c r="A1465" s="29" t="str">
        <f t="array" ref="A1465">IFNA(TRANSPOSE(INDEX('Parâmetros'!$B$4:$J3001,,MATCH(Exames!F1463,'Parâmetros'!$B$3:$J$3,0))),"")</f>
        <v/>
      </c>
    </row>
    <row r="1466">
      <c r="A1466" s="29" t="str">
        <f t="array" ref="A1466">IFNA(TRANSPOSE(INDEX('Parâmetros'!$B$4:$J3001,,MATCH(Exames!F1464,'Parâmetros'!$B$3:$J$3,0))),"")</f>
        <v/>
      </c>
    </row>
    <row r="1467">
      <c r="A1467" s="29" t="str">
        <f t="array" ref="A1467">IFNA(TRANSPOSE(INDEX('Parâmetros'!$B$4:$J3001,,MATCH(Exames!F1465,'Parâmetros'!$B$3:$J$3,0))),"")</f>
        <v/>
      </c>
    </row>
    <row r="1468">
      <c r="A1468" s="29" t="str">
        <f t="array" ref="A1468">IFNA(TRANSPOSE(INDEX('Parâmetros'!$B$4:$J3001,,MATCH(Exames!F1466,'Parâmetros'!$B$3:$J$3,0))),"")</f>
        <v/>
      </c>
    </row>
    <row r="1469">
      <c r="A1469" s="29" t="str">
        <f t="array" ref="A1469">IFNA(TRANSPOSE(INDEX('Parâmetros'!$B$4:$J3001,,MATCH(Exames!F1467,'Parâmetros'!$B$3:$J$3,0))),"")</f>
        <v/>
      </c>
    </row>
    <row r="1470">
      <c r="A1470" s="29" t="str">
        <f t="array" ref="A1470">IFNA(TRANSPOSE(INDEX('Parâmetros'!$B$4:$J3001,,MATCH(Exames!F1468,'Parâmetros'!$B$3:$J$3,0))),"")</f>
        <v/>
      </c>
    </row>
    <row r="1471">
      <c r="A1471" s="29" t="str">
        <f t="array" ref="A1471">IFNA(TRANSPOSE(INDEX('Parâmetros'!$B$4:$J3001,,MATCH(Exames!F1469,'Parâmetros'!$B$3:$J$3,0))),"")</f>
        <v/>
      </c>
    </row>
    <row r="1472">
      <c r="A1472" s="29" t="str">
        <f t="array" ref="A1472">IFNA(TRANSPOSE(INDEX('Parâmetros'!$B$4:$J3001,,MATCH(Exames!F1470,'Parâmetros'!$B$3:$J$3,0))),"")</f>
        <v/>
      </c>
    </row>
    <row r="1473">
      <c r="A1473" s="29" t="str">
        <f t="array" ref="A1473">IFNA(TRANSPOSE(INDEX('Parâmetros'!$B$4:$J3001,,MATCH(Exames!F1471,'Parâmetros'!$B$3:$J$3,0))),"")</f>
        <v/>
      </c>
    </row>
    <row r="1474">
      <c r="A1474" s="29" t="str">
        <f t="array" ref="A1474">IFNA(TRANSPOSE(INDEX('Parâmetros'!$B$4:$J3001,,MATCH(Exames!F1472,'Parâmetros'!$B$3:$J$3,0))),"")</f>
        <v/>
      </c>
    </row>
    <row r="1475">
      <c r="A1475" s="29" t="str">
        <f t="array" ref="A1475">IFNA(TRANSPOSE(INDEX('Parâmetros'!$B$4:$J3001,,MATCH(Exames!F1473,'Parâmetros'!$B$3:$J$3,0))),"")</f>
        <v/>
      </c>
    </row>
    <row r="1476">
      <c r="A1476" s="29" t="str">
        <f t="array" ref="A1476">IFNA(TRANSPOSE(INDEX('Parâmetros'!$B$4:$J3001,,MATCH(Exames!F1474,'Parâmetros'!$B$3:$J$3,0))),"")</f>
        <v/>
      </c>
    </row>
    <row r="1477">
      <c r="A1477" s="29" t="str">
        <f t="array" ref="A1477">IFNA(TRANSPOSE(INDEX('Parâmetros'!$B$4:$J3001,,MATCH(Exames!F1475,'Parâmetros'!$B$3:$J$3,0))),"")</f>
        <v/>
      </c>
    </row>
    <row r="1478">
      <c r="A1478" s="29" t="str">
        <f t="array" ref="A1478">IFNA(TRANSPOSE(INDEX('Parâmetros'!$B$4:$J3001,,MATCH(Exames!F1476,'Parâmetros'!$B$3:$J$3,0))),"")</f>
        <v/>
      </c>
    </row>
    <row r="1479">
      <c r="A1479" s="29" t="str">
        <f t="array" ref="A1479">IFNA(TRANSPOSE(INDEX('Parâmetros'!$B$4:$J3001,,MATCH(Exames!F1477,'Parâmetros'!$B$3:$J$3,0))),"")</f>
        <v/>
      </c>
    </row>
    <row r="1480">
      <c r="A1480" s="29" t="str">
        <f t="array" ref="A1480">IFNA(TRANSPOSE(INDEX('Parâmetros'!$B$4:$J3001,,MATCH(Exames!F1478,'Parâmetros'!$B$3:$J$3,0))),"")</f>
        <v/>
      </c>
    </row>
    <row r="1481">
      <c r="A1481" s="29" t="str">
        <f t="array" ref="A1481">IFNA(TRANSPOSE(INDEX('Parâmetros'!$B$4:$J3001,,MATCH(Exames!F1479,'Parâmetros'!$B$3:$J$3,0))),"")</f>
        <v/>
      </c>
    </row>
    <row r="1482">
      <c r="A1482" s="29" t="str">
        <f t="array" ref="A1482">IFNA(TRANSPOSE(INDEX('Parâmetros'!$B$4:$J3001,,MATCH(Exames!F1480,'Parâmetros'!$B$3:$J$3,0))),"")</f>
        <v/>
      </c>
    </row>
    <row r="1483">
      <c r="A1483" s="29" t="str">
        <f t="array" ref="A1483">IFNA(TRANSPOSE(INDEX('Parâmetros'!$B$4:$J3001,,MATCH(Exames!F1481,'Parâmetros'!$B$3:$J$3,0))),"")</f>
        <v/>
      </c>
    </row>
    <row r="1484">
      <c r="A1484" s="29" t="str">
        <f t="array" ref="A1484">IFNA(TRANSPOSE(INDEX('Parâmetros'!$B$4:$J3001,,MATCH(Exames!F1482,'Parâmetros'!$B$3:$J$3,0))),"")</f>
        <v/>
      </c>
    </row>
    <row r="1485">
      <c r="A1485" s="29" t="str">
        <f t="array" ref="A1485">IFNA(TRANSPOSE(INDEX('Parâmetros'!$B$4:$J3001,,MATCH(Exames!F1483,'Parâmetros'!$B$3:$J$3,0))),"")</f>
        <v/>
      </c>
    </row>
    <row r="1486">
      <c r="A1486" s="29" t="str">
        <f t="array" ref="A1486">IFNA(TRANSPOSE(INDEX('Parâmetros'!$B$4:$J3001,,MATCH(Exames!F1484,'Parâmetros'!$B$3:$J$3,0))),"")</f>
        <v/>
      </c>
    </row>
    <row r="1487">
      <c r="A1487" s="29" t="str">
        <f t="array" ref="A1487">IFNA(TRANSPOSE(INDEX('Parâmetros'!$B$4:$J3001,,MATCH(Exames!F1485,'Parâmetros'!$B$3:$J$3,0))),"")</f>
        <v/>
      </c>
    </row>
    <row r="1488">
      <c r="A1488" s="29" t="str">
        <f t="array" ref="A1488">IFNA(TRANSPOSE(INDEX('Parâmetros'!$B$4:$J3001,,MATCH(Exames!F1486,'Parâmetros'!$B$3:$J$3,0))),"")</f>
        <v/>
      </c>
    </row>
    <row r="1489">
      <c r="A1489" s="29" t="str">
        <f t="array" ref="A1489">IFNA(TRANSPOSE(INDEX('Parâmetros'!$B$4:$J3001,,MATCH(Exames!F1487,'Parâmetros'!$B$3:$J$3,0))),"")</f>
        <v/>
      </c>
    </row>
    <row r="1490">
      <c r="A1490" s="29" t="str">
        <f t="array" ref="A1490">IFNA(TRANSPOSE(INDEX('Parâmetros'!$B$4:$J3001,,MATCH(Exames!F1488,'Parâmetros'!$B$3:$J$3,0))),"")</f>
        <v/>
      </c>
    </row>
    <row r="1491">
      <c r="A1491" s="29" t="str">
        <f t="array" ref="A1491">IFNA(TRANSPOSE(INDEX('Parâmetros'!$B$4:$J3001,,MATCH(Exames!F1489,'Parâmetros'!$B$3:$J$3,0))),"")</f>
        <v/>
      </c>
    </row>
    <row r="1492">
      <c r="A1492" s="29" t="str">
        <f t="array" ref="A1492">IFNA(TRANSPOSE(INDEX('Parâmetros'!$B$4:$J3001,,MATCH(Exames!F1490,'Parâmetros'!$B$3:$J$3,0))),"")</f>
        <v/>
      </c>
    </row>
    <row r="1493">
      <c r="A1493" s="29" t="str">
        <f t="array" ref="A1493">IFNA(TRANSPOSE(INDEX('Parâmetros'!$B$4:$J3001,,MATCH(Exames!F1491,'Parâmetros'!$B$3:$J$3,0))),"")</f>
        <v/>
      </c>
    </row>
    <row r="1494">
      <c r="A1494" s="29" t="str">
        <f t="array" ref="A1494">IFNA(TRANSPOSE(INDEX('Parâmetros'!$B$4:$J3001,,MATCH(Exames!F1492,'Parâmetros'!$B$3:$J$3,0))),"")</f>
        <v/>
      </c>
    </row>
    <row r="1495">
      <c r="A1495" s="29" t="str">
        <f t="array" ref="A1495">IFNA(TRANSPOSE(INDEX('Parâmetros'!$B$4:$J3001,,MATCH(Exames!F1493,'Parâmetros'!$B$3:$J$3,0))),"")</f>
        <v/>
      </c>
    </row>
    <row r="1496">
      <c r="A1496" s="29" t="str">
        <f t="array" ref="A1496">IFNA(TRANSPOSE(INDEX('Parâmetros'!$B$4:$J3001,,MATCH(Exames!F1494,'Parâmetros'!$B$3:$J$3,0))),"")</f>
        <v/>
      </c>
    </row>
    <row r="1497">
      <c r="A1497" s="29" t="str">
        <f t="array" ref="A1497">IFNA(TRANSPOSE(INDEX('Parâmetros'!$B$4:$J3001,,MATCH(Exames!F1495,'Parâmetros'!$B$3:$J$3,0))),"")</f>
        <v/>
      </c>
    </row>
    <row r="1498">
      <c r="A1498" s="29" t="str">
        <f t="array" ref="A1498">IFNA(TRANSPOSE(INDEX('Parâmetros'!$B$4:$J3001,,MATCH(Exames!F1496,'Parâmetros'!$B$3:$J$3,0))),"")</f>
        <v/>
      </c>
    </row>
    <row r="1499">
      <c r="A1499" s="29" t="str">
        <f t="array" ref="A1499">IFNA(TRANSPOSE(INDEX('Parâmetros'!$B$4:$J3001,,MATCH(Exames!F1497,'Parâmetros'!$B$3:$J$3,0))),"")</f>
        <v/>
      </c>
    </row>
    <row r="1500">
      <c r="A1500" s="29" t="str">
        <f t="array" ref="A1500">IFNA(TRANSPOSE(INDEX('Parâmetros'!$B$4:$J3001,,MATCH(Exames!F1498,'Parâmetros'!$B$3:$J$3,0))),"")</f>
        <v/>
      </c>
    </row>
    <row r="1501">
      <c r="A1501" s="29" t="str">
        <f t="array" ref="A1501">IFNA(TRANSPOSE(INDEX('Parâmetros'!$B$4:$J3001,,MATCH(Exames!F1499,'Parâmetros'!$B$3:$J$3,0))),"")</f>
        <v/>
      </c>
    </row>
    <row r="1502">
      <c r="A1502" s="29" t="str">
        <f t="array" ref="A1502">IFNA(TRANSPOSE(INDEX('Parâmetros'!$B$4:$J3001,,MATCH(Exames!F1500,'Parâmetros'!$B$3:$J$3,0))),"")</f>
        <v/>
      </c>
    </row>
    <row r="1503">
      <c r="A1503" s="29" t="str">
        <f t="array" ref="A1503">IFNA(TRANSPOSE(INDEX('Parâmetros'!$B$4:$J3001,,MATCH(Exames!F1501,'Parâmetros'!$B$3:$J$3,0))),"")</f>
        <v/>
      </c>
    </row>
    <row r="1504">
      <c r="A1504" s="29" t="str">
        <f t="array" ref="A1504">IFNA(TRANSPOSE(INDEX('Parâmetros'!$B$4:$J3001,,MATCH(Exames!F1502,'Parâmetros'!$B$3:$J$3,0))),"")</f>
        <v/>
      </c>
    </row>
    <row r="1505">
      <c r="A1505" s="29" t="str">
        <f t="array" ref="A1505">IFNA(TRANSPOSE(INDEX('Parâmetros'!$B$4:$J3001,,MATCH(Exames!F1503,'Parâmetros'!$B$3:$J$3,0))),"")</f>
        <v/>
      </c>
    </row>
    <row r="1506">
      <c r="A1506" s="29" t="str">
        <f t="array" ref="A1506">IFNA(TRANSPOSE(INDEX('Parâmetros'!$B$4:$J3001,,MATCH(Exames!F1504,'Parâmetros'!$B$3:$J$3,0))),"")</f>
        <v/>
      </c>
    </row>
    <row r="1507">
      <c r="A1507" s="29" t="str">
        <f t="array" ref="A1507">IFNA(TRANSPOSE(INDEX('Parâmetros'!$B$4:$J3001,,MATCH(Exames!F1505,'Parâmetros'!$B$3:$J$3,0))),"")</f>
        <v/>
      </c>
    </row>
    <row r="1508">
      <c r="A1508" s="29" t="str">
        <f t="array" ref="A1508">IFNA(TRANSPOSE(INDEX('Parâmetros'!$B$4:$J3001,,MATCH(Exames!F1506,'Parâmetros'!$B$3:$J$3,0))),"")</f>
        <v/>
      </c>
    </row>
    <row r="1509">
      <c r="A1509" s="29" t="str">
        <f t="array" ref="A1509">IFNA(TRANSPOSE(INDEX('Parâmetros'!$B$4:$J3001,,MATCH(Exames!F1507,'Parâmetros'!$B$3:$J$3,0))),"")</f>
        <v/>
      </c>
    </row>
    <row r="1510">
      <c r="A1510" s="29" t="str">
        <f t="array" ref="A1510">IFNA(TRANSPOSE(INDEX('Parâmetros'!$B$4:$J3001,,MATCH(Exames!F1508,'Parâmetros'!$B$3:$J$3,0))),"")</f>
        <v/>
      </c>
    </row>
    <row r="1511">
      <c r="A1511" s="29" t="str">
        <f t="array" ref="A1511">IFNA(TRANSPOSE(INDEX('Parâmetros'!$B$4:$J3001,,MATCH(Exames!F1509,'Parâmetros'!$B$3:$J$3,0))),"")</f>
        <v/>
      </c>
    </row>
    <row r="1512">
      <c r="A1512" s="29" t="str">
        <f t="array" ref="A1512">IFNA(TRANSPOSE(INDEX('Parâmetros'!$B$4:$J3001,,MATCH(Exames!F1510,'Parâmetros'!$B$3:$J$3,0))),"")</f>
        <v/>
      </c>
    </row>
    <row r="1513">
      <c r="A1513" s="29" t="str">
        <f t="array" ref="A1513">IFNA(TRANSPOSE(INDEX('Parâmetros'!$B$4:$J3001,,MATCH(Exames!F1511,'Parâmetros'!$B$3:$J$3,0))),"")</f>
        <v/>
      </c>
    </row>
    <row r="1514">
      <c r="A1514" s="29" t="str">
        <f t="array" ref="A1514">IFNA(TRANSPOSE(INDEX('Parâmetros'!$B$4:$J3001,,MATCH(Exames!F1512,'Parâmetros'!$B$3:$J$3,0))),"")</f>
        <v/>
      </c>
    </row>
    <row r="1515">
      <c r="A1515" s="29" t="str">
        <f t="array" ref="A1515">IFNA(TRANSPOSE(INDEX('Parâmetros'!$B$4:$J3001,,MATCH(Exames!F1513,'Parâmetros'!$B$3:$J$3,0))),"")</f>
        <v/>
      </c>
    </row>
    <row r="1516">
      <c r="A1516" s="29" t="str">
        <f t="array" ref="A1516">IFNA(TRANSPOSE(INDEX('Parâmetros'!$B$4:$J3001,,MATCH(Exames!F1514,'Parâmetros'!$B$3:$J$3,0))),"")</f>
        <v/>
      </c>
    </row>
    <row r="1517">
      <c r="A1517" s="29" t="str">
        <f t="array" ref="A1517">IFNA(TRANSPOSE(INDEX('Parâmetros'!$B$4:$J3001,,MATCH(Exames!F1515,'Parâmetros'!$B$3:$J$3,0))),"")</f>
        <v/>
      </c>
    </row>
    <row r="1518">
      <c r="A1518" s="29" t="str">
        <f t="array" ref="A1518">IFNA(TRANSPOSE(INDEX('Parâmetros'!$B$4:$J3001,,MATCH(Exames!F1516,'Parâmetros'!$B$3:$J$3,0))),"")</f>
        <v/>
      </c>
    </row>
    <row r="1519">
      <c r="A1519" s="29" t="str">
        <f t="array" ref="A1519">IFNA(TRANSPOSE(INDEX('Parâmetros'!$B$4:$J3001,,MATCH(Exames!F1517,'Parâmetros'!$B$3:$J$3,0))),"")</f>
        <v/>
      </c>
    </row>
    <row r="1520">
      <c r="A1520" s="29" t="str">
        <f t="array" ref="A1520">IFNA(TRANSPOSE(INDEX('Parâmetros'!$B$4:$J3001,,MATCH(Exames!F1518,'Parâmetros'!$B$3:$J$3,0))),"")</f>
        <v/>
      </c>
    </row>
    <row r="1521">
      <c r="A1521" s="29" t="str">
        <f t="array" ref="A1521">IFNA(TRANSPOSE(INDEX('Parâmetros'!$B$4:$J3001,,MATCH(Exames!F1519,'Parâmetros'!$B$3:$J$3,0))),"")</f>
        <v/>
      </c>
    </row>
    <row r="1522">
      <c r="A1522" s="29" t="str">
        <f t="array" ref="A1522">IFNA(TRANSPOSE(INDEX('Parâmetros'!$B$4:$J3001,,MATCH(Exames!F1520,'Parâmetros'!$B$3:$J$3,0))),"")</f>
        <v/>
      </c>
    </row>
    <row r="1523">
      <c r="A1523" s="29" t="str">
        <f t="array" ref="A1523">IFNA(TRANSPOSE(INDEX('Parâmetros'!$B$4:$J3001,,MATCH(Exames!F1521,'Parâmetros'!$B$3:$J$3,0))),"")</f>
        <v/>
      </c>
    </row>
    <row r="1524">
      <c r="A1524" s="29" t="str">
        <f t="array" ref="A1524">IFNA(TRANSPOSE(INDEX('Parâmetros'!$B$4:$J3001,,MATCH(Exames!F1522,'Parâmetros'!$B$3:$J$3,0))),"")</f>
        <v/>
      </c>
    </row>
    <row r="1525">
      <c r="A1525" s="29" t="str">
        <f t="array" ref="A1525">IFNA(TRANSPOSE(INDEX('Parâmetros'!$B$4:$J3001,,MATCH(Exames!F1523,'Parâmetros'!$B$3:$J$3,0))),"")</f>
        <v/>
      </c>
    </row>
    <row r="1526">
      <c r="A1526" s="29" t="str">
        <f t="array" ref="A1526">IFNA(TRANSPOSE(INDEX('Parâmetros'!$B$4:$J3001,,MATCH(Exames!F1524,'Parâmetros'!$B$3:$J$3,0))),"")</f>
        <v/>
      </c>
    </row>
    <row r="1527">
      <c r="A1527" s="29" t="str">
        <f t="array" ref="A1527">IFNA(TRANSPOSE(INDEX('Parâmetros'!$B$4:$J3001,,MATCH(Exames!F1525,'Parâmetros'!$B$3:$J$3,0))),"")</f>
        <v/>
      </c>
    </row>
    <row r="1528">
      <c r="A1528" s="29" t="str">
        <f t="array" ref="A1528">IFNA(TRANSPOSE(INDEX('Parâmetros'!$B$4:$J3001,,MATCH(Exames!F1526,'Parâmetros'!$B$3:$J$3,0))),"")</f>
        <v/>
      </c>
    </row>
    <row r="1529">
      <c r="A1529" s="29" t="str">
        <f t="array" ref="A1529">IFNA(TRANSPOSE(INDEX('Parâmetros'!$B$4:$J3001,,MATCH(Exames!F1527,'Parâmetros'!$B$3:$J$3,0))),"")</f>
        <v/>
      </c>
    </row>
    <row r="1530">
      <c r="A1530" s="29" t="str">
        <f t="array" ref="A1530">IFNA(TRANSPOSE(INDEX('Parâmetros'!$B$4:$J3001,,MATCH(Exames!F1528,'Parâmetros'!$B$3:$J$3,0))),"")</f>
        <v/>
      </c>
    </row>
    <row r="1531">
      <c r="A1531" s="29" t="str">
        <f t="array" ref="A1531">IFNA(TRANSPOSE(INDEX('Parâmetros'!$B$4:$J3001,,MATCH(Exames!F1529,'Parâmetros'!$B$3:$J$3,0))),"")</f>
        <v/>
      </c>
    </row>
    <row r="1532">
      <c r="A1532" s="29" t="str">
        <f t="array" ref="A1532">IFNA(TRANSPOSE(INDEX('Parâmetros'!$B$4:$J3001,,MATCH(Exames!F1530,'Parâmetros'!$B$3:$J$3,0))),"")</f>
        <v/>
      </c>
    </row>
    <row r="1533">
      <c r="A1533" s="29" t="str">
        <f t="array" ref="A1533">IFNA(TRANSPOSE(INDEX('Parâmetros'!$B$4:$J3001,,MATCH(Exames!F1531,'Parâmetros'!$B$3:$J$3,0))),"")</f>
        <v/>
      </c>
    </row>
    <row r="1534">
      <c r="A1534" s="29" t="str">
        <f t="array" ref="A1534">IFNA(TRANSPOSE(INDEX('Parâmetros'!$B$4:$J3001,,MATCH(Exames!F1532,'Parâmetros'!$B$3:$J$3,0))),"")</f>
        <v/>
      </c>
    </row>
    <row r="1535">
      <c r="A1535" s="29" t="str">
        <f t="array" ref="A1535">IFNA(TRANSPOSE(INDEX('Parâmetros'!$B$4:$J3001,,MATCH(Exames!F1533,'Parâmetros'!$B$3:$J$3,0))),"")</f>
        <v/>
      </c>
    </row>
    <row r="1536">
      <c r="A1536" s="29" t="str">
        <f t="array" ref="A1536">IFNA(TRANSPOSE(INDEX('Parâmetros'!$B$4:$J3001,,MATCH(Exames!F1534,'Parâmetros'!$B$3:$J$3,0))),"")</f>
        <v/>
      </c>
    </row>
    <row r="1537">
      <c r="A1537" s="29" t="str">
        <f t="array" ref="A1537">IFNA(TRANSPOSE(INDEX('Parâmetros'!$B$4:$J3001,,MATCH(Exames!F1535,'Parâmetros'!$B$3:$J$3,0))),"")</f>
        <v/>
      </c>
    </row>
    <row r="1538">
      <c r="A1538" s="29" t="str">
        <f t="array" ref="A1538">IFNA(TRANSPOSE(INDEX('Parâmetros'!$B$4:$J3001,,MATCH(Exames!F1536,'Parâmetros'!$B$3:$J$3,0))),"")</f>
        <v/>
      </c>
    </row>
    <row r="1539">
      <c r="A1539" s="29" t="str">
        <f t="array" ref="A1539">IFNA(TRANSPOSE(INDEX('Parâmetros'!$B$4:$J3001,,MATCH(Exames!F1537,'Parâmetros'!$B$3:$J$3,0))),"")</f>
        <v/>
      </c>
    </row>
    <row r="1540">
      <c r="A1540" s="29" t="str">
        <f t="array" ref="A1540">IFNA(TRANSPOSE(INDEX('Parâmetros'!$B$4:$J3001,,MATCH(Exames!F1538,'Parâmetros'!$B$3:$J$3,0))),"")</f>
        <v/>
      </c>
    </row>
    <row r="1541">
      <c r="A1541" s="29" t="str">
        <f t="array" ref="A1541">IFNA(TRANSPOSE(INDEX('Parâmetros'!$B$4:$J3001,,MATCH(Exames!F1539,'Parâmetros'!$B$3:$J$3,0))),"")</f>
        <v/>
      </c>
    </row>
    <row r="1542">
      <c r="A1542" s="29" t="str">
        <f t="array" ref="A1542">IFNA(TRANSPOSE(INDEX('Parâmetros'!$B$4:$J3001,,MATCH(Exames!F1540,'Parâmetros'!$B$3:$J$3,0))),"")</f>
        <v/>
      </c>
    </row>
    <row r="1543">
      <c r="A1543" s="29" t="str">
        <f t="array" ref="A1543">IFNA(TRANSPOSE(INDEX('Parâmetros'!$B$4:$J3001,,MATCH(Exames!F1541,'Parâmetros'!$B$3:$J$3,0))),"")</f>
        <v/>
      </c>
    </row>
    <row r="1544">
      <c r="A1544" s="29" t="str">
        <f t="array" ref="A1544">IFNA(TRANSPOSE(INDEX('Parâmetros'!$B$4:$J3001,,MATCH(Exames!F1542,'Parâmetros'!$B$3:$J$3,0))),"")</f>
        <v/>
      </c>
    </row>
    <row r="1545">
      <c r="A1545" s="29" t="str">
        <f t="array" ref="A1545">IFNA(TRANSPOSE(INDEX('Parâmetros'!$B$4:$J3001,,MATCH(Exames!F1543,'Parâmetros'!$B$3:$J$3,0))),"")</f>
        <v/>
      </c>
    </row>
    <row r="1546">
      <c r="A1546" s="29" t="str">
        <f t="array" ref="A1546">IFNA(TRANSPOSE(INDEX('Parâmetros'!$B$4:$J3001,,MATCH(Exames!F1544,'Parâmetros'!$B$3:$J$3,0))),"")</f>
        <v/>
      </c>
    </row>
    <row r="1547">
      <c r="A1547" s="29" t="str">
        <f t="array" ref="A1547">IFNA(TRANSPOSE(INDEX('Parâmetros'!$B$4:$J3001,,MATCH(Exames!F1545,'Parâmetros'!$B$3:$J$3,0))),"")</f>
        <v/>
      </c>
    </row>
    <row r="1548">
      <c r="A1548" s="29" t="str">
        <f t="array" ref="A1548">IFNA(TRANSPOSE(INDEX('Parâmetros'!$B$4:$J3001,,MATCH(Exames!F1546,'Parâmetros'!$B$3:$J$3,0))),"")</f>
        <v/>
      </c>
    </row>
    <row r="1549">
      <c r="A1549" s="29" t="str">
        <f t="array" ref="A1549">IFNA(TRANSPOSE(INDEX('Parâmetros'!$B$4:$J3001,,MATCH(Exames!F1547,'Parâmetros'!$B$3:$J$3,0))),"")</f>
        <v/>
      </c>
    </row>
    <row r="1550">
      <c r="A1550" s="29" t="str">
        <f t="array" ref="A1550">IFNA(TRANSPOSE(INDEX('Parâmetros'!$B$4:$J3001,,MATCH(Exames!F1548,'Parâmetros'!$B$3:$J$3,0))),"")</f>
        <v/>
      </c>
    </row>
    <row r="1551">
      <c r="A1551" s="29" t="str">
        <f t="array" ref="A1551">IFNA(TRANSPOSE(INDEX('Parâmetros'!$B$4:$J3001,,MATCH(Exames!F1549,'Parâmetros'!$B$3:$J$3,0))),"")</f>
        <v/>
      </c>
    </row>
    <row r="1552">
      <c r="A1552" s="29" t="str">
        <f t="array" ref="A1552">IFNA(TRANSPOSE(INDEX('Parâmetros'!$B$4:$J3001,,MATCH(Exames!F1550,'Parâmetros'!$B$3:$J$3,0))),"")</f>
        <v/>
      </c>
    </row>
    <row r="1553">
      <c r="A1553" s="29" t="str">
        <f t="array" ref="A1553">IFNA(TRANSPOSE(INDEX('Parâmetros'!$B$4:$J3001,,MATCH(Exames!F1551,'Parâmetros'!$B$3:$J$3,0))),"")</f>
        <v/>
      </c>
    </row>
    <row r="1554">
      <c r="A1554" s="29" t="str">
        <f t="array" ref="A1554">IFNA(TRANSPOSE(INDEX('Parâmetros'!$B$4:$J3001,,MATCH(Exames!F1552,'Parâmetros'!$B$3:$J$3,0))),"")</f>
        <v/>
      </c>
    </row>
    <row r="1555">
      <c r="A1555" s="29" t="str">
        <f t="array" ref="A1555">IFNA(TRANSPOSE(INDEX('Parâmetros'!$B$4:$J3001,,MATCH(Exames!F1553,'Parâmetros'!$B$3:$J$3,0))),"")</f>
        <v/>
      </c>
    </row>
    <row r="1556">
      <c r="A1556" s="29" t="str">
        <f t="array" ref="A1556">IFNA(TRANSPOSE(INDEX('Parâmetros'!$B$4:$J3001,,MATCH(Exames!F1554,'Parâmetros'!$B$3:$J$3,0))),"")</f>
        <v/>
      </c>
    </row>
    <row r="1557">
      <c r="A1557" s="29" t="str">
        <f t="array" ref="A1557">IFNA(TRANSPOSE(INDEX('Parâmetros'!$B$4:$J3001,,MATCH(Exames!F1555,'Parâmetros'!$B$3:$J$3,0))),"")</f>
        <v/>
      </c>
    </row>
    <row r="1558">
      <c r="A1558" s="29" t="str">
        <f t="array" ref="A1558">IFNA(TRANSPOSE(INDEX('Parâmetros'!$B$4:$J3001,,MATCH(Exames!F1556,'Parâmetros'!$B$3:$J$3,0))),"")</f>
        <v/>
      </c>
    </row>
    <row r="1559">
      <c r="A1559" s="29" t="str">
        <f t="array" ref="A1559">IFNA(TRANSPOSE(INDEX('Parâmetros'!$B$4:$J3001,,MATCH(Exames!F1557,'Parâmetros'!$B$3:$J$3,0))),"")</f>
        <v/>
      </c>
    </row>
    <row r="1560">
      <c r="A1560" s="29" t="str">
        <f t="array" ref="A1560">IFNA(TRANSPOSE(INDEX('Parâmetros'!$B$4:$J3001,,MATCH(Exames!F1558,'Parâmetros'!$B$3:$J$3,0))),"")</f>
        <v/>
      </c>
    </row>
    <row r="1561">
      <c r="A1561" s="29" t="str">
        <f t="array" ref="A1561">IFNA(TRANSPOSE(INDEX('Parâmetros'!$B$4:$J3001,,MATCH(Exames!F1559,'Parâmetros'!$B$3:$J$3,0))),"")</f>
        <v/>
      </c>
    </row>
    <row r="1562">
      <c r="A1562" s="29" t="str">
        <f t="array" ref="A1562">IFNA(TRANSPOSE(INDEX('Parâmetros'!$B$4:$J3001,,MATCH(Exames!F1560,'Parâmetros'!$B$3:$J$3,0))),"")</f>
        <v/>
      </c>
    </row>
    <row r="1563">
      <c r="A1563" s="29" t="str">
        <f t="array" ref="A1563">IFNA(TRANSPOSE(INDEX('Parâmetros'!$B$4:$J3001,,MATCH(Exames!F1561,'Parâmetros'!$B$3:$J$3,0))),"")</f>
        <v/>
      </c>
    </row>
    <row r="1564">
      <c r="A1564" s="29" t="str">
        <f t="array" ref="A1564">IFNA(TRANSPOSE(INDEX('Parâmetros'!$B$4:$J3001,,MATCH(Exames!F1562,'Parâmetros'!$B$3:$J$3,0))),"")</f>
        <v/>
      </c>
    </row>
    <row r="1565">
      <c r="A1565" s="29" t="str">
        <f t="array" ref="A1565">IFNA(TRANSPOSE(INDEX('Parâmetros'!$B$4:$J3001,,MATCH(Exames!F1563,'Parâmetros'!$B$3:$J$3,0))),"")</f>
        <v/>
      </c>
    </row>
    <row r="1566">
      <c r="A1566" s="29" t="str">
        <f t="array" ref="A1566">IFNA(TRANSPOSE(INDEX('Parâmetros'!$B$4:$J3001,,MATCH(Exames!F1564,'Parâmetros'!$B$3:$J$3,0))),"")</f>
        <v/>
      </c>
    </row>
    <row r="1567">
      <c r="A1567" s="29" t="str">
        <f t="array" ref="A1567">IFNA(TRANSPOSE(INDEX('Parâmetros'!$B$4:$J3001,,MATCH(Exames!F1565,'Parâmetros'!$B$3:$J$3,0))),"")</f>
        <v/>
      </c>
    </row>
    <row r="1568">
      <c r="A1568" s="29" t="str">
        <f t="array" ref="A1568">IFNA(TRANSPOSE(INDEX('Parâmetros'!$B$4:$J3001,,MATCH(Exames!F1566,'Parâmetros'!$B$3:$J$3,0))),"")</f>
        <v/>
      </c>
    </row>
    <row r="1569">
      <c r="A1569" s="29" t="str">
        <f t="array" ref="A1569">IFNA(TRANSPOSE(INDEX('Parâmetros'!$B$4:$J3001,,MATCH(Exames!F1567,'Parâmetros'!$B$3:$J$3,0))),"")</f>
        <v/>
      </c>
    </row>
    <row r="1570">
      <c r="A1570" s="29" t="str">
        <f t="array" ref="A1570">IFNA(TRANSPOSE(INDEX('Parâmetros'!$B$4:$J3001,,MATCH(Exames!F1568,'Parâmetros'!$B$3:$J$3,0))),"")</f>
        <v/>
      </c>
    </row>
    <row r="1571">
      <c r="A1571" s="29" t="str">
        <f t="array" ref="A1571">IFNA(TRANSPOSE(INDEX('Parâmetros'!$B$4:$J3001,,MATCH(Exames!F1569,'Parâmetros'!$B$3:$J$3,0))),"")</f>
        <v/>
      </c>
    </row>
    <row r="1572">
      <c r="A1572" s="29" t="str">
        <f t="array" ref="A1572">IFNA(TRANSPOSE(INDEX('Parâmetros'!$B$4:$J3001,,MATCH(Exames!F1570,'Parâmetros'!$B$3:$J$3,0))),"")</f>
        <v/>
      </c>
    </row>
    <row r="1573">
      <c r="A1573" s="29" t="str">
        <f t="array" ref="A1573">IFNA(TRANSPOSE(INDEX('Parâmetros'!$B$4:$J3001,,MATCH(Exames!F1571,'Parâmetros'!$B$3:$J$3,0))),"")</f>
        <v/>
      </c>
    </row>
    <row r="1574">
      <c r="A1574" s="29" t="str">
        <f t="array" ref="A1574">IFNA(TRANSPOSE(INDEX('Parâmetros'!$B$4:$J3001,,MATCH(Exames!F1572,'Parâmetros'!$B$3:$J$3,0))),"")</f>
        <v/>
      </c>
    </row>
    <row r="1575">
      <c r="A1575" s="29" t="str">
        <f t="array" ref="A1575">IFNA(TRANSPOSE(INDEX('Parâmetros'!$B$4:$J3001,,MATCH(Exames!F1573,'Parâmetros'!$B$3:$J$3,0))),"")</f>
        <v/>
      </c>
    </row>
    <row r="1576">
      <c r="A1576" s="29" t="str">
        <f t="array" ref="A1576">IFNA(TRANSPOSE(INDEX('Parâmetros'!$B$4:$J3001,,MATCH(Exames!F1574,'Parâmetros'!$B$3:$J$3,0))),"")</f>
        <v/>
      </c>
    </row>
    <row r="1577">
      <c r="A1577" s="29" t="str">
        <f t="array" ref="A1577">IFNA(TRANSPOSE(INDEX('Parâmetros'!$B$4:$J3001,,MATCH(Exames!F1575,'Parâmetros'!$B$3:$J$3,0))),"")</f>
        <v/>
      </c>
    </row>
    <row r="1578">
      <c r="A1578" s="29" t="str">
        <f t="array" ref="A1578">IFNA(TRANSPOSE(INDEX('Parâmetros'!$B$4:$J3001,,MATCH(Exames!F1576,'Parâmetros'!$B$3:$J$3,0))),"")</f>
        <v/>
      </c>
    </row>
    <row r="1579">
      <c r="A1579" s="29" t="str">
        <f t="array" ref="A1579">IFNA(TRANSPOSE(INDEX('Parâmetros'!$B$4:$J3001,,MATCH(Exames!F1577,'Parâmetros'!$B$3:$J$3,0))),"")</f>
        <v/>
      </c>
    </row>
    <row r="1580">
      <c r="A1580" s="29" t="str">
        <f t="array" ref="A1580">IFNA(TRANSPOSE(INDEX('Parâmetros'!$B$4:$J3001,,MATCH(Exames!F1578,'Parâmetros'!$B$3:$J$3,0))),"")</f>
        <v/>
      </c>
    </row>
    <row r="1581">
      <c r="A1581" s="29" t="str">
        <f t="array" ref="A1581">IFNA(TRANSPOSE(INDEX('Parâmetros'!$B$4:$J3001,,MATCH(Exames!F1579,'Parâmetros'!$B$3:$J$3,0))),"")</f>
        <v/>
      </c>
    </row>
    <row r="1582">
      <c r="A1582" s="29" t="str">
        <f t="array" ref="A1582">IFNA(TRANSPOSE(INDEX('Parâmetros'!$B$4:$J3001,,MATCH(Exames!F1580,'Parâmetros'!$B$3:$J$3,0))),"")</f>
        <v/>
      </c>
    </row>
    <row r="1583">
      <c r="A1583" s="29" t="str">
        <f t="array" ref="A1583">IFNA(TRANSPOSE(INDEX('Parâmetros'!$B$4:$J3001,,MATCH(Exames!F1581,'Parâmetros'!$B$3:$J$3,0))),"")</f>
        <v/>
      </c>
    </row>
    <row r="1584">
      <c r="A1584" s="29" t="str">
        <f t="array" ref="A1584">IFNA(TRANSPOSE(INDEX('Parâmetros'!$B$4:$J3001,,MATCH(Exames!F1582,'Parâmetros'!$B$3:$J$3,0))),"")</f>
        <v/>
      </c>
    </row>
    <row r="1585">
      <c r="A1585" s="29" t="str">
        <f t="array" ref="A1585">IFNA(TRANSPOSE(INDEX('Parâmetros'!$B$4:$J3001,,MATCH(Exames!F1583,'Parâmetros'!$B$3:$J$3,0))),"")</f>
        <v/>
      </c>
    </row>
    <row r="1586">
      <c r="A1586" s="29" t="str">
        <f t="array" ref="A1586">IFNA(TRANSPOSE(INDEX('Parâmetros'!$B$4:$J3001,,MATCH(Exames!F1584,'Parâmetros'!$B$3:$J$3,0))),"")</f>
        <v/>
      </c>
    </row>
    <row r="1587">
      <c r="A1587" s="29" t="str">
        <f t="array" ref="A1587">IFNA(TRANSPOSE(INDEX('Parâmetros'!$B$4:$J3001,,MATCH(Exames!F1585,'Parâmetros'!$B$3:$J$3,0))),"")</f>
        <v/>
      </c>
    </row>
    <row r="1588">
      <c r="A1588" s="29" t="str">
        <f t="array" ref="A1588">IFNA(TRANSPOSE(INDEX('Parâmetros'!$B$4:$J3001,,MATCH(Exames!F1586,'Parâmetros'!$B$3:$J$3,0))),"")</f>
        <v/>
      </c>
    </row>
    <row r="1589">
      <c r="A1589" s="29" t="str">
        <f t="array" ref="A1589">IFNA(TRANSPOSE(INDEX('Parâmetros'!$B$4:$J3001,,MATCH(Exames!F1587,'Parâmetros'!$B$3:$J$3,0))),"")</f>
        <v/>
      </c>
    </row>
    <row r="1590">
      <c r="A1590" s="29" t="str">
        <f t="array" ref="A1590">IFNA(TRANSPOSE(INDEX('Parâmetros'!$B$4:$J3001,,MATCH(Exames!F1588,'Parâmetros'!$B$3:$J$3,0))),"")</f>
        <v/>
      </c>
    </row>
    <row r="1591">
      <c r="A1591" s="29" t="str">
        <f t="array" ref="A1591">IFNA(TRANSPOSE(INDEX('Parâmetros'!$B$4:$J3001,,MATCH(Exames!F1589,'Parâmetros'!$B$3:$J$3,0))),"")</f>
        <v/>
      </c>
    </row>
    <row r="1592">
      <c r="A1592" s="29" t="str">
        <f t="array" ref="A1592">IFNA(TRANSPOSE(INDEX('Parâmetros'!$B$4:$J3001,,MATCH(Exames!F1590,'Parâmetros'!$B$3:$J$3,0))),"")</f>
        <v/>
      </c>
    </row>
    <row r="1593">
      <c r="A1593" s="29" t="str">
        <f t="array" ref="A1593">IFNA(TRANSPOSE(INDEX('Parâmetros'!$B$4:$J3001,,MATCH(Exames!F1591,'Parâmetros'!$B$3:$J$3,0))),"")</f>
        <v/>
      </c>
    </row>
    <row r="1594">
      <c r="A1594" s="29" t="str">
        <f t="array" ref="A1594">IFNA(TRANSPOSE(INDEX('Parâmetros'!$B$4:$J3001,,MATCH(Exames!F1592,'Parâmetros'!$B$3:$J$3,0))),"")</f>
        <v/>
      </c>
    </row>
    <row r="1595">
      <c r="A1595" s="29" t="str">
        <f t="array" ref="A1595">IFNA(TRANSPOSE(INDEX('Parâmetros'!$B$4:$J3001,,MATCH(Exames!F1593,'Parâmetros'!$B$3:$J$3,0))),"")</f>
        <v/>
      </c>
    </row>
    <row r="1596">
      <c r="A1596" s="29" t="str">
        <f t="array" ref="A1596">IFNA(TRANSPOSE(INDEX('Parâmetros'!$B$4:$J3001,,MATCH(Exames!F1594,'Parâmetros'!$B$3:$J$3,0))),"")</f>
        <v/>
      </c>
    </row>
    <row r="1597">
      <c r="A1597" s="29" t="str">
        <f t="array" ref="A1597">IFNA(TRANSPOSE(INDEX('Parâmetros'!$B$4:$J3001,,MATCH(Exames!F1595,'Parâmetros'!$B$3:$J$3,0))),"")</f>
        <v/>
      </c>
    </row>
    <row r="1598">
      <c r="A1598" s="29" t="str">
        <f t="array" ref="A1598">IFNA(TRANSPOSE(INDEX('Parâmetros'!$B$4:$J3001,,MATCH(Exames!F1596,'Parâmetros'!$B$3:$J$3,0))),"")</f>
        <v/>
      </c>
    </row>
    <row r="1599">
      <c r="A1599" s="29" t="str">
        <f t="array" ref="A1599">IFNA(TRANSPOSE(INDEX('Parâmetros'!$B$4:$J3001,,MATCH(Exames!F1597,'Parâmetros'!$B$3:$J$3,0))),"")</f>
        <v/>
      </c>
    </row>
    <row r="1600">
      <c r="A1600" s="29" t="str">
        <f t="array" ref="A1600">IFNA(TRANSPOSE(INDEX('Parâmetros'!$B$4:$J3001,,MATCH(Exames!F1598,'Parâmetros'!$B$3:$J$3,0))),"")</f>
        <v/>
      </c>
    </row>
    <row r="1601">
      <c r="A1601" s="29" t="str">
        <f t="array" ref="A1601">IFNA(TRANSPOSE(INDEX('Parâmetros'!$B$4:$J3001,,MATCH(Exames!F1599,'Parâmetros'!$B$3:$J$3,0))),"")</f>
        <v/>
      </c>
    </row>
    <row r="1602">
      <c r="A1602" s="29" t="str">
        <f t="array" ref="A1602">IFNA(TRANSPOSE(INDEX('Parâmetros'!$B$4:$J3001,,MATCH(Exames!F1600,'Parâmetros'!$B$3:$J$3,0))),"")</f>
        <v/>
      </c>
    </row>
    <row r="1603">
      <c r="A1603" s="29" t="str">
        <f t="array" ref="A1603">IFNA(TRANSPOSE(INDEX('Parâmetros'!$B$4:$J3001,,MATCH(Exames!F1601,'Parâmetros'!$B$3:$J$3,0))),"")</f>
        <v/>
      </c>
    </row>
    <row r="1604">
      <c r="A1604" s="29" t="str">
        <f t="array" ref="A1604">IFNA(TRANSPOSE(INDEX('Parâmetros'!$B$4:$J3001,,MATCH(Exames!F1602,'Parâmetros'!$B$3:$J$3,0))),"")</f>
        <v/>
      </c>
    </row>
    <row r="1605">
      <c r="A1605" s="29" t="str">
        <f t="array" ref="A1605">IFNA(TRANSPOSE(INDEX('Parâmetros'!$B$4:$J3001,,MATCH(Exames!F1603,'Parâmetros'!$B$3:$J$3,0))),"")</f>
        <v/>
      </c>
    </row>
    <row r="1606">
      <c r="A1606" s="29" t="str">
        <f t="array" ref="A1606">IFNA(TRANSPOSE(INDEX('Parâmetros'!$B$4:$J3001,,MATCH(Exames!F1604,'Parâmetros'!$B$3:$J$3,0))),"")</f>
        <v/>
      </c>
    </row>
    <row r="1607">
      <c r="A1607" s="29" t="str">
        <f t="array" ref="A1607">IFNA(TRANSPOSE(INDEX('Parâmetros'!$B$4:$J3001,,MATCH(Exames!F1605,'Parâmetros'!$B$3:$J$3,0))),"")</f>
        <v/>
      </c>
    </row>
    <row r="1608">
      <c r="A1608" s="29" t="str">
        <f t="array" ref="A1608">IFNA(TRANSPOSE(INDEX('Parâmetros'!$B$4:$J3001,,MATCH(Exames!F1606,'Parâmetros'!$B$3:$J$3,0))),"")</f>
        <v/>
      </c>
    </row>
    <row r="1609">
      <c r="A1609" s="29" t="str">
        <f t="array" ref="A1609">IFNA(TRANSPOSE(INDEX('Parâmetros'!$B$4:$J3001,,MATCH(Exames!F1607,'Parâmetros'!$B$3:$J$3,0))),"")</f>
        <v/>
      </c>
    </row>
    <row r="1610">
      <c r="A1610" s="29" t="str">
        <f t="array" ref="A1610">IFNA(TRANSPOSE(INDEX('Parâmetros'!$B$4:$J3001,,MATCH(Exames!F1608,'Parâmetros'!$B$3:$J$3,0))),"")</f>
        <v/>
      </c>
    </row>
    <row r="1611">
      <c r="A1611" s="29" t="str">
        <f t="array" ref="A1611">IFNA(TRANSPOSE(INDEX('Parâmetros'!$B$4:$J3001,,MATCH(Exames!F1609,'Parâmetros'!$B$3:$J$3,0))),"")</f>
        <v/>
      </c>
    </row>
    <row r="1612">
      <c r="A1612" s="29" t="str">
        <f t="array" ref="A1612">IFNA(TRANSPOSE(INDEX('Parâmetros'!$B$4:$J3001,,MATCH(Exames!F1610,'Parâmetros'!$B$3:$J$3,0))),"")</f>
        <v/>
      </c>
    </row>
    <row r="1613">
      <c r="A1613" s="29" t="str">
        <f t="array" ref="A1613">IFNA(TRANSPOSE(INDEX('Parâmetros'!$B$4:$J3001,,MATCH(Exames!F1611,'Parâmetros'!$B$3:$J$3,0))),"")</f>
        <v/>
      </c>
    </row>
    <row r="1614">
      <c r="A1614" s="29" t="str">
        <f t="array" ref="A1614">IFNA(TRANSPOSE(INDEX('Parâmetros'!$B$4:$J3001,,MATCH(Exames!F1612,'Parâmetros'!$B$3:$J$3,0))),"")</f>
        <v/>
      </c>
    </row>
    <row r="1615">
      <c r="A1615" s="29" t="str">
        <f t="array" ref="A1615">IFNA(TRANSPOSE(INDEX('Parâmetros'!$B$4:$J3001,,MATCH(Exames!F1613,'Parâmetros'!$B$3:$J$3,0))),"")</f>
        <v/>
      </c>
    </row>
    <row r="1616">
      <c r="A1616" s="29" t="str">
        <f t="array" ref="A1616">IFNA(TRANSPOSE(INDEX('Parâmetros'!$B$4:$J3001,,MATCH(Exames!F1614,'Parâmetros'!$B$3:$J$3,0))),"")</f>
        <v/>
      </c>
    </row>
    <row r="1617">
      <c r="A1617" s="29" t="str">
        <f t="array" ref="A1617">IFNA(TRANSPOSE(INDEX('Parâmetros'!$B$4:$J3001,,MATCH(Exames!F1615,'Parâmetros'!$B$3:$J$3,0))),"")</f>
        <v/>
      </c>
    </row>
    <row r="1618">
      <c r="A1618" s="29" t="str">
        <f t="array" ref="A1618">IFNA(TRANSPOSE(INDEX('Parâmetros'!$B$4:$J3001,,MATCH(Exames!F1616,'Parâmetros'!$B$3:$J$3,0))),"")</f>
        <v/>
      </c>
    </row>
    <row r="1619">
      <c r="A1619" s="29" t="str">
        <f t="array" ref="A1619">IFNA(TRANSPOSE(INDEX('Parâmetros'!$B$4:$J3001,,MATCH(Exames!F1617,'Parâmetros'!$B$3:$J$3,0))),"")</f>
        <v/>
      </c>
    </row>
    <row r="1620">
      <c r="A1620" s="29" t="str">
        <f t="array" ref="A1620">IFNA(TRANSPOSE(INDEX('Parâmetros'!$B$4:$J3001,,MATCH(Exames!F1618,'Parâmetros'!$B$3:$J$3,0))),"")</f>
        <v/>
      </c>
    </row>
    <row r="1621">
      <c r="A1621" s="29" t="str">
        <f t="array" ref="A1621">IFNA(TRANSPOSE(INDEX('Parâmetros'!$B$4:$J3001,,MATCH(Exames!F1619,'Parâmetros'!$B$3:$J$3,0))),"")</f>
        <v/>
      </c>
    </row>
    <row r="1622">
      <c r="A1622" s="29" t="str">
        <f t="array" ref="A1622">IFNA(TRANSPOSE(INDEX('Parâmetros'!$B$4:$J3001,,MATCH(Exames!F1620,'Parâmetros'!$B$3:$J$3,0))),"")</f>
        <v/>
      </c>
    </row>
    <row r="1623">
      <c r="A1623" s="29" t="str">
        <f t="array" ref="A1623">IFNA(TRANSPOSE(INDEX('Parâmetros'!$B$4:$J3001,,MATCH(Exames!F1621,'Parâmetros'!$B$3:$J$3,0))),"")</f>
        <v/>
      </c>
    </row>
    <row r="1624">
      <c r="A1624" s="29" t="str">
        <f t="array" ref="A1624">IFNA(TRANSPOSE(INDEX('Parâmetros'!$B$4:$J3001,,MATCH(Exames!F1622,'Parâmetros'!$B$3:$J$3,0))),"")</f>
        <v/>
      </c>
    </row>
    <row r="1625">
      <c r="A1625" s="29" t="str">
        <f t="array" ref="A1625">IFNA(TRANSPOSE(INDEX('Parâmetros'!$B$4:$J3001,,MATCH(Exames!F1623,'Parâmetros'!$B$3:$J$3,0))),"")</f>
        <v/>
      </c>
    </row>
    <row r="1626">
      <c r="A1626" s="29" t="str">
        <f t="array" ref="A1626">IFNA(TRANSPOSE(INDEX('Parâmetros'!$B$4:$J3001,,MATCH(Exames!F1624,'Parâmetros'!$B$3:$J$3,0))),"")</f>
        <v/>
      </c>
    </row>
    <row r="1627">
      <c r="A1627" s="29" t="str">
        <f t="array" ref="A1627">IFNA(TRANSPOSE(INDEX('Parâmetros'!$B$4:$J3001,,MATCH(Exames!F1625,'Parâmetros'!$B$3:$J$3,0))),"")</f>
        <v/>
      </c>
    </row>
    <row r="1628">
      <c r="A1628" s="29" t="str">
        <f t="array" ref="A1628">IFNA(TRANSPOSE(INDEX('Parâmetros'!$B$4:$J3001,,MATCH(Exames!F1626,'Parâmetros'!$B$3:$J$3,0))),"")</f>
        <v/>
      </c>
    </row>
    <row r="1629">
      <c r="A1629" s="29" t="str">
        <f t="array" ref="A1629">IFNA(TRANSPOSE(INDEX('Parâmetros'!$B$4:$J3001,,MATCH(Exames!F1627,'Parâmetros'!$B$3:$J$3,0))),"")</f>
        <v/>
      </c>
    </row>
    <row r="1630">
      <c r="A1630" s="29" t="str">
        <f t="array" ref="A1630">IFNA(TRANSPOSE(INDEX('Parâmetros'!$B$4:$J3001,,MATCH(Exames!F1628,'Parâmetros'!$B$3:$J$3,0))),"")</f>
        <v/>
      </c>
    </row>
    <row r="1631">
      <c r="A1631" s="29" t="str">
        <f t="array" ref="A1631">IFNA(TRANSPOSE(INDEX('Parâmetros'!$B$4:$J3001,,MATCH(Exames!F1629,'Parâmetros'!$B$3:$J$3,0))),"")</f>
        <v/>
      </c>
    </row>
    <row r="1632">
      <c r="A1632" s="29" t="str">
        <f t="array" ref="A1632">IFNA(TRANSPOSE(INDEX('Parâmetros'!$B$4:$J3001,,MATCH(Exames!F1630,'Parâmetros'!$B$3:$J$3,0))),"")</f>
        <v/>
      </c>
    </row>
    <row r="1633">
      <c r="A1633" s="29" t="str">
        <f t="array" ref="A1633">IFNA(TRANSPOSE(INDEX('Parâmetros'!$B$4:$J3001,,MATCH(Exames!F1631,'Parâmetros'!$B$3:$J$3,0))),"")</f>
        <v/>
      </c>
    </row>
    <row r="1634">
      <c r="A1634" s="29" t="str">
        <f t="array" ref="A1634">IFNA(TRANSPOSE(INDEX('Parâmetros'!$B$4:$J3001,,MATCH(Exames!F1632,'Parâmetros'!$B$3:$J$3,0))),"")</f>
        <v/>
      </c>
    </row>
    <row r="1635">
      <c r="A1635" s="29" t="str">
        <f t="array" ref="A1635">IFNA(TRANSPOSE(INDEX('Parâmetros'!$B$4:$J3001,,MATCH(Exames!F1633,'Parâmetros'!$B$3:$J$3,0))),"")</f>
        <v/>
      </c>
    </row>
    <row r="1636">
      <c r="A1636" s="29" t="str">
        <f t="array" ref="A1636">IFNA(TRANSPOSE(INDEX('Parâmetros'!$B$4:$J3001,,MATCH(Exames!F1634,'Parâmetros'!$B$3:$J$3,0))),"")</f>
        <v/>
      </c>
    </row>
    <row r="1637">
      <c r="A1637" s="29" t="str">
        <f t="array" ref="A1637">IFNA(TRANSPOSE(INDEX('Parâmetros'!$B$4:$J3001,,MATCH(Exames!F1635,'Parâmetros'!$B$3:$J$3,0))),"")</f>
        <v/>
      </c>
    </row>
    <row r="1638">
      <c r="A1638" s="29" t="str">
        <f t="array" ref="A1638">IFNA(TRANSPOSE(INDEX('Parâmetros'!$B$4:$J3001,,MATCH(Exames!F1636,'Parâmetros'!$B$3:$J$3,0))),"")</f>
        <v/>
      </c>
    </row>
    <row r="1639">
      <c r="A1639" s="29" t="str">
        <f t="array" ref="A1639">IFNA(TRANSPOSE(INDEX('Parâmetros'!$B$4:$J3001,,MATCH(Exames!F1637,'Parâmetros'!$B$3:$J$3,0))),"")</f>
        <v/>
      </c>
    </row>
    <row r="1640">
      <c r="A1640" s="29" t="str">
        <f t="array" ref="A1640">IFNA(TRANSPOSE(INDEX('Parâmetros'!$B$4:$J3001,,MATCH(Exames!F1638,'Parâmetros'!$B$3:$J$3,0))),"")</f>
        <v/>
      </c>
    </row>
    <row r="1641">
      <c r="A1641" s="29" t="str">
        <f t="array" ref="A1641">IFNA(TRANSPOSE(INDEX('Parâmetros'!$B$4:$J3001,,MATCH(Exames!F1639,'Parâmetros'!$B$3:$J$3,0))),"")</f>
        <v/>
      </c>
    </row>
    <row r="1642">
      <c r="A1642" s="29" t="str">
        <f t="array" ref="A1642">IFNA(TRANSPOSE(INDEX('Parâmetros'!$B$4:$J3001,,MATCH(Exames!F1640,'Parâmetros'!$B$3:$J$3,0))),"")</f>
        <v/>
      </c>
    </row>
    <row r="1643">
      <c r="A1643" s="29" t="str">
        <f t="array" ref="A1643">IFNA(TRANSPOSE(INDEX('Parâmetros'!$B$4:$J3001,,MATCH(Exames!F1641,'Parâmetros'!$B$3:$J$3,0))),"")</f>
        <v/>
      </c>
    </row>
    <row r="1644">
      <c r="A1644" s="29" t="str">
        <f t="array" ref="A1644">IFNA(TRANSPOSE(INDEX('Parâmetros'!$B$4:$J3001,,MATCH(Exames!F1642,'Parâmetros'!$B$3:$J$3,0))),"")</f>
        <v/>
      </c>
    </row>
    <row r="1645">
      <c r="A1645" s="29" t="str">
        <f t="array" ref="A1645">IFNA(TRANSPOSE(INDEX('Parâmetros'!$B$4:$J3001,,MATCH(Exames!F1643,'Parâmetros'!$B$3:$J$3,0))),"")</f>
        <v/>
      </c>
    </row>
    <row r="1646">
      <c r="A1646" s="29" t="str">
        <f t="array" ref="A1646">IFNA(TRANSPOSE(INDEX('Parâmetros'!$B$4:$J3001,,MATCH(Exames!F1644,'Parâmetros'!$B$3:$J$3,0))),"")</f>
        <v/>
      </c>
    </row>
    <row r="1647">
      <c r="A1647" s="29" t="str">
        <f t="array" ref="A1647">IFNA(TRANSPOSE(INDEX('Parâmetros'!$B$4:$J3001,,MATCH(Exames!F1645,'Parâmetros'!$B$3:$J$3,0))),"")</f>
        <v/>
      </c>
    </row>
    <row r="1648">
      <c r="A1648" s="29" t="str">
        <f t="array" ref="A1648">IFNA(TRANSPOSE(INDEX('Parâmetros'!$B$4:$J3001,,MATCH(Exames!F1646,'Parâmetros'!$B$3:$J$3,0))),"")</f>
        <v/>
      </c>
    </row>
    <row r="1649">
      <c r="A1649" s="29" t="str">
        <f t="array" ref="A1649">IFNA(TRANSPOSE(INDEX('Parâmetros'!$B$4:$J3001,,MATCH(Exames!F1647,'Parâmetros'!$B$3:$J$3,0))),"")</f>
        <v/>
      </c>
    </row>
    <row r="1650">
      <c r="A1650" s="29" t="str">
        <f t="array" ref="A1650">IFNA(TRANSPOSE(INDEX('Parâmetros'!$B$4:$J3001,,MATCH(Exames!F1648,'Parâmetros'!$B$3:$J$3,0))),"")</f>
        <v/>
      </c>
    </row>
    <row r="1651">
      <c r="A1651" s="29" t="str">
        <f t="array" ref="A1651">IFNA(TRANSPOSE(INDEX('Parâmetros'!$B$4:$J3001,,MATCH(Exames!F1649,'Parâmetros'!$B$3:$J$3,0))),"")</f>
        <v/>
      </c>
    </row>
    <row r="1652">
      <c r="A1652" s="29" t="str">
        <f t="array" ref="A1652">IFNA(TRANSPOSE(INDEX('Parâmetros'!$B$4:$J3001,,MATCH(Exames!F1650,'Parâmetros'!$B$3:$J$3,0))),"")</f>
        <v/>
      </c>
    </row>
    <row r="1653">
      <c r="A1653" s="29" t="str">
        <f t="array" ref="A1653">IFNA(TRANSPOSE(INDEX('Parâmetros'!$B$4:$J3001,,MATCH(Exames!F1651,'Parâmetros'!$B$3:$J$3,0))),"")</f>
        <v/>
      </c>
    </row>
    <row r="1654">
      <c r="A1654" s="29" t="str">
        <f t="array" ref="A1654">IFNA(TRANSPOSE(INDEX('Parâmetros'!$B$4:$J3001,,MATCH(Exames!F1652,'Parâmetros'!$B$3:$J$3,0))),"")</f>
        <v/>
      </c>
    </row>
    <row r="1655">
      <c r="A1655" s="29" t="str">
        <f t="array" ref="A1655">IFNA(TRANSPOSE(INDEX('Parâmetros'!$B$4:$J3001,,MATCH(Exames!F1653,'Parâmetros'!$B$3:$J$3,0))),"")</f>
        <v/>
      </c>
    </row>
    <row r="1656">
      <c r="A1656" s="29" t="str">
        <f t="array" ref="A1656">IFNA(TRANSPOSE(INDEX('Parâmetros'!$B$4:$J3001,,MATCH(Exames!F1654,'Parâmetros'!$B$3:$J$3,0))),"")</f>
        <v/>
      </c>
    </row>
    <row r="1657">
      <c r="A1657" s="29" t="str">
        <f t="array" ref="A1657">IFNA(TRANSPOSE(INDEX('Parâmetros'!$B$4:$J3001,,MATCH(Exames!F1655,'Parâmetros'!$B$3:$J$3,0))),"")</f>
        <v/>
      </c>
    </row>
    <row r="1658">
      <c r="A1658" s="29" t="str">
        <f t="array" ref="A1658">IFNA(TRANSPOSE(INDEX('Parâmetros'!$B$4:$J3001,,MATCH(Exames!F1656,'Parâmetros'!$B$3:$J$3,0))),"")</f>
        <v/>
      </c>
    </row>
    <row r="1659">
      <c r="A1659" s="29" t="str">
        <f t="array" ref="A1659">IFNA(TRANSPOSE(INDEX('Parâmetros'!$B$4:$J3001,,MATCH(Exames!F1657,'Parâmetros'!$B$3:$J$3,0))),"")</f>
        <v/>
      </c>
    </row>
    <row r="1660">
      <c r="A1660" s="29" t="str">
        <f t="array" ref="A1660">IFNA(TRANSPOSE(INDEX('Parâmetros'!$B$4:$J3001,,MATCH(Exames!F1658,'Parâmetros'!$B$3:$J$3,0))),"")</f>
        <v/>
      </c>
    </row>
    <row r="1661">
      <c r="A1661" s="29" t="str">
        <f t="array" ref="A1661">IFNA(TRANSPOSE(INDEX('Parâmetros'!$B$4:$J3001,,MATCH(Exames!F1659,'Parâmetros'!$B$3:$J$3,0))),"")</f>
        <v/>
      </c>
    </row>
    <row r="1662">
      <c r="A1662" s="29" t="str">
        <f t="array" ref="A1662">IFNA(TRANSPOSE(INDEX('Parâmetros'!$B$4:$J3001,,MATCH(Exames!F1660,'Parâmetros'!$B$3:$J$3,0))),"")</f>
        <v/>
      </c>
    </row>
    <row r="1663">
      <c r="A1663" s="29" t="str">
        <f t="array" ref="A1663">IFNA(TRANSPOSE(INDEX('Parâmetros'!$B$4:$J3001,,MATCH(Exames!F1661,'Parâmetros'!$B$3:$J$3,0))),"")</f>
        <v/>
      </c>
    </row>
    <row r="1664">
      <c r="A1664" s="29" t="str">
        <f t="array" ref="A1664">IFNA(TRANSPOSE(INDEX('Parâmetros'!$B$4:$J3001,,MATCH(Exames!F1662,'Parâmetros'!$B$3:$J$3,0))),"")</f>
        <v/>
      </c>
    </row>
    <row r="1665">
      <c r="A1665" s="29" t="str">
        <f t="array" ref="A1665">IFNA(TRANSPOSE(INDEX('Parâmetros'!$B$4:$J3001,,MATCH(Exames!F1663,'Parâmetros'!$B$3:$J$3,0))),"")</f>
        <v/>
      </c>
    </row>
    <row r="1666">
      <c r="A1666" s="29" t="str">
        <f t="array" ref="A1666">IFNA(TRANSPOSE(INDEX('Parâmetros'!$B$4:$J3001,,MATCH(Exames!F1664,'Parâmetros'!$B$3:$J$3,0))),"")</f>
        <v/>
      </c>
    </row>
    <row r="1667">
      <c r="A1667" s="29" t="str">
        <f t="array" ref="A1667">IFNA(TRANSPOSE(INDEX('Parâmetros'!$B$4:$J3001,,MATCH(Exames!F1665,'Parâmetros'!$B$3:$J$3,0))),"")</f>
        <v/>
      </c>
    </row>
    <row r="1668">
      <c r="A1668" s="29" t="str">
        <f t="array" ref="A1668">IFNA(TRANSPOSE(INDEX('Parâmetros'!$B$4:$J3001,,MATCH(Exames!F1666,'Parâmetros'!$B$3:$J$3,0))),"")</f>
        <v/>
      </c>
    </row>
    <row r="1669">
      <c r="A1669" s="29" t="str">
        <f t="array" ref="A1669">IFNA(TRANSPOSE(INDEX('Parâmetros'!$B$4:$J3001,,MATCH(Exames!F1667,'Parâmetros'!$B$3:$J$3,0))),"")</f>
        <v/>
      </c>
    </row>
    <row r="1670">
      <c r="A1670" s="29" t="str">
        <f t="array" ref="A1670">IFNA(TRANSPOSE(INDEX('Parâmetros'!$B$4:$J3001,,MATCH(Exames!F1668,'Parâmetros'!$B$3:$J$3,0))),"")</f>
        <v/>
      </c>
    </row>
    <row r="1671">
      <c r="A1671" s="29" t="str">
        <f t="array" ref="A1671">IFNA(TRANSPOSE(INDEX('Parâmetros'!$B$4:$J3001,,MATCH(Exames!F1669,'Parâmetros'!$B$3:$J$3,0))),"")</f>
        <v/>
      </c>
    </row>
    <row r="1672">
      <c r="A1672" s="29" t="str">
        <f t="array" ref="A1672">IFNA(TRANSPOSE(INDEX('Parâmetros'!$B$4:$J3001,,MATCH(Exames!F1670,'Parâmetros'!$B$3:$J$3,0))),"")</f>
        <v/>
      </c>
    </row>
    <row r="1673">
      <c r="A1673" s="29" t="str">
        <f t="array" ref="A1673">IFNA(TRANSPOSE(INDEX('Parâmetros'!$B$4:$J3001,,MATCH(Exames!F1671,'Parâmetros'!$B$3:$J$3,0))),"")</f>
        <v/>
      </c>
    </row>
    <row r="1674">
      <c r="A1674" s="29" t="str">
        <f t="array" ref="A1674">IFNA(TRANSPOSE(INDEX('Parâmetros'!$B$4:$J3001,,MATCH(Exames!F1672,'Parâmetros'!$B$3:$J$3,0))),"")</f>
        <v/>
      </c>
    </row>
    <row r="1675">
      <c r="A1675" s="29" t="str">
        <f t="array" ref="A1675">IFNA(TRANSPOSE(INDEX('Parâmetros'!$B$4:$J3001,,MATCH(Exames!F1673,'Parâmetros'!$B$3:$J$3,0))),"")</f>
        <v/>
      </c>
    </row>
    <row r="1676">
      <c r="A1676" s="29" t="str">
        <f t="array" ref="A1676">IFNA(TRANSPOSE(INDEX('Parâmetros'!$B$4:$J3001,,MATCH(Exames!F1674,'Parâmetros'!$B$3:$J$3,0))),"")</f>
        <v/>
      </c>
    </row>
    <row r="1677">
      <c r="A1677" s="29" t="str">
        <f t="array" ref="A1677">IFNA(TRANSPOSE(INDEX('Parâmetros'!$B$4:$J3001,,MATCH(Exames!F1675,'Parâmetros'!$B$3:$J$3,0))),"")</f>
        <v/>
      </c>
    </row>
    <row r="1678">
      <c r="A1678" s="29" t="str">
        <f t="array" ref="A1678">IFNA(TRANSPOSE(INDEX('Parâmetros'!$B$4:$J3001,,MATCH(Exames!F1676,'Parâmetros'!$B$3:$J$3,0))),"")</f>
        <v/>
      </c>
    </row>
    <row r="1679">
      <c r="A1679" s="29" t="str">
        <f t="array" ref="A1679">IFNA(TRANSPOSE(INDEX('Parâmetros'!$B$4:$J3001,,MATCH(Exames!F1677,'Parâmetros'!$B$3:$J$3,0))),"")</f>
        <v/>
      </c>
    </row>
    <row r="1680">
      <c r="A1680" s="29" t="str">
        <f t="array" ref="A1680">IFNA(TRANSPOSE(INDEX('Parâmetros'!$B$4:$J3001,,MATCH(Exames!F1678,'Parâmetros'!$B$3:$J$3,0))),"")</f>
        <v/>
      </c>
    </row>
    <row r="1681">
      <c r="A1681" s="29" t="str">
        <f t="array" ref="A1681">IFNA(TRANSPOSE(INDEX('Parâmetros'!$B$4:$J3001,,MATCH(Exames!F1679,'Parâmetros'!$B$3:$J$3,0))),"")</f>
        <v/>
      </c>
    </row>
    <row r="1682">
      <c r="A1682" s="29" t="str">
        <f t="array" ref="A1682">IFNA(TRANSPOSE(INDEX('Parâmetros'!$B$4:$J3001,,MATCH(Exames!F1680,'Parâmetros'!$B$3:$J$3,0))),"")</f>
        <v/>
      </c>
    </row>
    <row r="1683">
      <c r="A1683" s="29" t="str">
        <f t="array" ref="A1683">IFNA(TRANSPOSE(INDEX('Parâmetros'!$B$4:$J3001,,MATCH(Exames!F1681,'Parâmetros'!$B$3:$J$3,0))),"")</f>
        <v/>
      </c>
    </row>
    <row r="1684">
      <c r="A1684" s="29" t="str">
        <f t="array" ref="A1684">IFNA(TRANSPOSE(INDEX('Parâmetros'!$B$4:$J3001,,MATCH(Exames!F1682,'Parâmetros'!$B$3:$J$3,0))),"")</f>
        <v/>
      </c>
    </row>
    <row r="1685">
      <c r="A1685" s="29" t="str">
        <f t="array" ref="A1685">IFNA(TRANSPOSE(INDEX('Parâmetros'!$B$4:$J3001,,MATCH(Exames!F1683,'Parâmetros'!$B$3:$J$3,0))),"")</f>
        <v/>
      </c>
    </row>
    <row r="1686">
      <c r="A1686" s="29" t="str">
        <f t="array" ref="A1686">IFNA(TRANSPOSE(INDEX('Parâmetros'!$B$4:$J3001,,MATCH(Exames!F1684,'Parâmetros'!$B$3:$J$3,0))),"")</f>
        <v/>
      </c>
    </row>
    <row r="1687">
      <c r="A1687" s="29" t="str">
        <f t="array" ref="A1687">IFNA(TRANSPOSE(INDEX('Parâmetros'!$B$4:$J3001,,MATCH(Exames!F1685,'Parâmetros'!$B$3:$J$3,0))),"")</f>
        <v/>
      </c>
    </row>
    <row r="1688">
      <c r="A1688" s="29" t="str">
        <f t="array" ref="A1688">IFNA(TRANSPOSE(INDEX('Parâmetros'!$B$4:$J3001,,MATCH(Exames!F1686,'Parâmetros'!$B$3:$J$3,0))),"")</f>
        <v/>
      </c>
    </row>
    <row r="1689">
      <c r="A1689" s="29" t="str">
        <f t="array" ref="A1689">IFNA(TRANSPOSE(INDEX('Parâmetros'!$B$4:$J3001,,MATCH(Exames!F1687,'Parâmetros'!$B$3:$J$3,0))),"")</f>
        <v/>
      </c>
    </row>
    <row r="1690">
      <c r="A1690" s="29" t="str">
        <f t="array" ref="A1690">IFNA(TRANSPOSE(INDEX('Parâmetros'!$B$4:$J3001,,MATCH(Exames!F1688,'Parâmetros'!$B$3:$J$3,0))),"")</f>
        <v/>
      </c>
    </row>
    <row r="1691">
      <c r="A1691" s="29" t="str">
        <f t="array" ref="A1691">IFNA(TRANSPOSE(INDEX('Parâmetros'!$B$4:$J3001,,MATCH(Exames!F1689,'Parâmetros'!$B$3:$J$3,0))),"")</f>
        <v/>
      </c>
    </row>
    <row r="1692">
      <c r="A1692" s="29" t="str">
        <f t="array" ref="A1692">IFNA(TRANSPOSE(INDEX('Parâmetros'!$B$4:$J3001,,MATCH(Exames!F1690,'Parâmetros'!$B$3:$J$3,0))),"")</f>
        <v/>
      </c>
    </row>
    <row r="1693">
      <c r="A1693" s="29" t="str">
        <f t="array" ref="A1693">IFNA(TRANSPOSE(INDEX('Parâmetros'!$B$4:$J3001,,MATCH(Exames!F1691,'Parâmetros'!$B$3:$J$3,0))),"")</f>
        <v/>
      </c>
    </row>
    <row r="1694">
      <c r="A1694" s="29" t="str">
        <f t="array" ref="A1694">IFNA(TRANSPOSE(INDEX('Parâmetros'!$B$4:$J3001,,MATCH(Exames!F1692,'Parâmetros'!$B$3:$J$3,0))),"")</f>
        <v/>
      </c>
    </row>
    <row r="1695">
      <c r="A1695" s="29" t="str">
        <f t="array" ref="A1695">IFNA(TRANSPOSE(INDEX('Parâmetros'!$B$4:$J3001,,MATCH(Exames!F1693,'Parâmetros'!$B$3:$J$3,0))),"")</f>
        <v/>
      </c>
    </row>
    <row r="1696">
      <c r="A1696" s="29" t="str">
        <f t="array" ref="A1696">IFNA(TRANSPOSE(INDEX('Parâmetros'!$B$4:$J3001,,MATCH(Exames!F1694,'Parâmetros'!$B$3:$J$3,0))),"")</f>
        <v/>
      </c>
    </row>
    <row r="1697">
      <c r="A1697" s="29" t="str">
        <f t="array" ref="A1697">IFNA(TRANSPOSE(INDEX('Parâmetros'!$B$4:$J3001,,MATCH(Exames!F1695,'Parâmetros'!$B$3:$J$3,0))),"")</f>
        <v/>
      </c>
    </row>
    <row r="1698">
      <c r="A1698" s="29" t="str">
        <f t="array" ref="A1698">IFNA(TRANSPOSE(INDEX('Parâmetros'!$B$4:$J3001,,MATCH(Exames!F1696,'Parâmetros'!$B$3:$J$3,0))),"")</f>
        <v/>
      </c>
    </row>
    <row r="1699">
      <c r="A1699" s="29" t="str">
        <f t="array" ref="A1699">IFNA(TRANSPOSE(INDEX('Parâmetros'!$B$4:$J3001,,MATCH(Exames!F1697,'Parâmetros'!$B$3:$J$3,0))),"")</f>
        <v/>
      </c>
    </row>
    <row r="1700">
      <c r="A1700" s="29" t="str">
        <f t="array" ref="A1700">IFNA(TRANSPOSE(INDEX('Parâmetros'!$B$4:$J3001,,MATCH(Exames!F1698,'Parâmetros'!$B$3:$J$3,0))),"")</f>
        <v/>
      </c>
    </row>
    <row r="1701">
      <c r="A1701" s="29" t="str">
        <f t="array" ref="A1701">IFNA(TRANSPOSE(INDEX('Parâmetros'!$B$4:$J3001,,MATCH(Exames!F1699,'Parâmetros'!$B$3:$J$3,0))),"")</f>
        <v/>
      </c>
    </row>
    <row r="1702">
      <c r="A1702" s="29" t="str">
        <f t="array" ref="A1702">IFNA(TRANSPOSE(INDEX('Parâmetros'!$B$4:$J3001,,MATCH(Exames!F1700,'Parâmetros'!$B$3:$J$3,0))),"")</f>
        <v/>
      </c>
    </row>
    <row r="1703">
      <c r="A1703" s="29" t="str">
        <f t="array" ref="A1703">IFNA(TRANSPOSE(INDEX('Parâmetros'!$B$4:$J3001,,MATCH(Exames!F1701,'Parâmetros'!$B$3:$J$3,0))),"")</f>
        <v/>
      </c>
    </row>
    <row r="1704">
      <c r="A1704" s="29" t="str">
        <f t="array" ref="A1704">IFNA(TRANSPOSE(INDEX('Parâmetros'!$B$4:$J3001,,MATCH(Exames!F1702,'Parâmetros'!$B$3:$J$3,0))),"")</f>
        <v/>
      </c>
    </row>
    <row r="1705">
      <c r="A1705" s="29" t="str">
        <f t="array" ref="A1705">IFNA(TRANSPOSE(INDEX('Parâmetros'!$B$4:$J3001,,MATCH(Exames!F1703,'Parâmetros'!$B$3:$J$3,0))),"")</f>
        <v/>
      </c>
    </row>
    <row r="1706">
      <c r="A1706" s="29" t="str">
        <f t="array" ref="A1706">IFNA(TRANSPOSE(INDEX('Parâmetros'!$B$4:$J3001,,MATCH(Exames!F1704,'Parâmetros'!$B$3:$J$3,0))),"")</f>
        <v/>
      </c>
    </row>
    <row r="1707">
      <c r="A1707" s="29" t="str">
        <f t="array" ref="A1707">IFNA(TRANSPOSE(INDEX('Parâmetros'!$B$4:$J3001,,MATCH(Exames!F1705,'Parâmetros'!$B$3:$J$3,0))),"")</f>
        <v/>
      </c>
    </row>
    <row r="1708">
      <c r="A1708" s="29" t="str">
        <f t="array" ref="A1708">IFNA(TRANSPOSE(INDEX('Parâmetros'!$B$4:$J3001,,MATCH(Exames!F1706,'Parâmetros'!$B$3:$J$3,0))),"")</f>
        <v/>
      </c>
    </row>
    <row r="1709">
      <c r="A1709" s="29" t="str">
        <f t="array" ref="A1709">IFNA(TRANSPOSE(INDEX('Parâmetros'!$B$4:$J3001,,MATCH(Exames!F1707,'Parâmetros'!$B$3:$J$3,0))),"")</f>
        <v/>
      </c>
    </row>
    <row r="1710">
      <c r="A1710" s="29" t="str">
        <f t="array" ref="A1710">IFNA(TRANSPOSE(INDEX('Parâmetros'!$B$4:$J3001,,MATCH(Exames!F1708,'Parâmetros'!$B$3:$J$3,0))),"")</f>
        <v/>
      </c>
    </row>
    <row r="1711">
      <c r="A1711" s="29" t="str">
        <f t="array" ref="A1711">IFNA(TRANSPOSE(INDEX('Parâmetros'!$B$4:$J3001,,MATCH(Exames!F1709,'Parâmetros'!$B$3:$J$3,0))),"")</f>
        <v/>
      </c>
    </row>
    <row r="1712">
      <c r="A1712" s="29" t="str">
        <f t="array" ref="A1712">IFNA(TRANSPOSE(INDEX('Parâmetros'!$B$4:$J3001,,MATCH(Exames!F1710,'Parâmetros'!$B$3:$J$3,0))),"")</f>
        <v/>
      </c>
    </row>
    <row r="1713">
      <c r="A1713" s="29" t="str">
        <f t="array" ref="A1713">IFNA(TRANSPOSE(INDEX('Parâmetros'!$B$4:$J3001,,MATCH(Exames!F1711,'Parâmetros'!$B$3:$J$3,0))),"")</f>
        <v/>
      </c>
    </row>
    <row r="1714">
      <c r="A1714" s="29" t="str">
        <f t="array" ref="A1714">IFNA(TRANSPOSE(INDEX('Parâmetros'!$B$4:$J3001,,MATCH(Exames!F1712,'Parâmetros'!$B$3:$J$3,0))),"")</f>
        <v/>
      </c>
    </row>
    <row r="1715">
      <c r="A1715" s="29" t="str">
        <f t="array" ref="A1715">IFNA(TRANSPOSE(INDEX('Parâmetros'!$B$4:$J3001,,MATCH(Exames!F1713,'Parâmetros'!$B$3:$J$3,0))),"")</f>
        <v/>
      </c>
    </row>
    <row r="1716">
      <c r="A1716" s="29" t="str">
        <f t="array" ref="A1716">IFNA(TRANSPOSE(INDEX('Parâmetros'!$B$4:$J3001,,MATCH(Exames!F1714,'Parâmetros'!$B$3:$J$3,0))),"")</f>
        <v/>
      </c>
    </row>
    <row r="1717">
      <c r="A1717" s="29" t="str">
        <f t="array" ref="A1717">IFNA(TRANSPOSE(INDEX('Parâmetros'!$B$4:$J3001,,MATCH(Exames!F1715,'Parâmetros'!$B$3:$J$3,0))),"")</f>
        <v/>
      </c>
    </row>
    <row r="1718">
      <c r="A1718" s="29" t="str">
        <f t="array" ref="A1718">IFNA(TRANSPOSE(INDEX('Parâmetros'!$B$4:$J3001,,MATCH(Exames!F1716,'Parâmetros'!$B$3:$J$3,0))),"")</f>
        <v/>
      </c>
    </row>
    <row r="1719">
      <c r="A1719" s="29" t="str">
        <f t="array" ref="A1719">IFNA(TRANSPOSE(INDEX('Parâmetros'!$B$4:$J3001,,MATCH(Exames!F1717,'Parâmetros'!$B$3:$J$3,0))),"")</f>
        <v/>
      </c>
    </row>
    <row r="1720">
      <c r="A1720" s="29" t="str">
        <f t="array" ref="A1720">IFNA(TRANSPOSE(INDEX('Parâmetros'!$B$4:$J3001,,MATCH(Exames!F1718,'Parâmetros'!$B$3:$J$3,0))),"")</f>
        <v/>
      </c>
    </row>
    <row r="1721">
      <c r="A1721" s="29" t="str">
        <f t="array" ref="A1721">IFNA(TRANSPOSE(INDEX('Parâmetros'!$B$4:$J3001,,MATCH(Exames!F1719,'Parâmetros'!$B$3:$J$3,0))),"")</f>
        <v/>
      </c>
    </row>
    <row r="1722">
      <c r="A1722" s="29" t="str">
        <f t="array" ref="A1722">IFNA(TRANSPOSE(INDEX('Parâmetros'!$B$4:$J3001,,MATCH(Exames!F1720,'Parâmetros'!$B$3:$J$3,0))),"")</f>
        <v/>
      </c>
    </row>
    <row r="1723">
      <c r="A1723" s="29" t="str">
        <f t="array" ref="A1723">IFNA(TRANSPOSE(INDEX('Parâmetros'!$B$4:$J3001,,MATCH(Exames!F1721,'Parâmetros'!$B$3:$J$3,0))),"")</f>
        <v/>
      </c>
    </row>
    <row r="1724">
      <c r="A1724" s="29" t="str">
        <f t="array" ref="A1724">IFNA(TRANSPOSE(INDEX('Parâmetros'!$B$4:$J3001,,MATCH(Exames!F1722,'Parâmetros'!$B$3:$J$3,0))),"")</f>
        <v/>
      </c>
    </row>
    <row r="1725">
      <c r="A1725" s="29" t="str">
        <f t="array" ref="A1725">IFNA(TRANSPOSE(INDEX('Parâmetros'!$B$4:$J3001,,MATCH(Exames!F1723,'Parâmetros'!$B$3:$J$3,0))),"")</f>
        <v/>
      </c>
    </row>
    <row r="1726">
      <c r="A1726" s="29" t="str">
        <f t="array" ref="A1726">IFNA(TRANSPOSE(INDEX('Parâmetros'!$B$4:$J3001,,MATCH(Exames!F1724,'Parâmetros'!$B$3:$J$3,0))),"")</f>
        <v/>
      </c>
    </row>
    <row r="1727">
      <c r="A1727" s="29" t="str">
        <f t="array" ref="A1727">IFNA(TRANSPOSE(INDEX('Parâmetros'!$B$4:$J3001,,MATCH(Exames!F1725,'Parâmetros'!$B$3:$J$3,0))),"")</f>
        <v/>
      </c>
    </row>
    <row r="1728">
      <c r="A1728" s="29" t="str">
        <f t="array" ref="A1728">IFNA(TRANSPOSE(INDEX('Parâmetros'!$B$4:$J3001,,MATCH(Exames!F1726,'Parâmetros'!$B$3:$J$3,0))),"")</f>
        <v/>
      </c>
    </row>
    <row r="1729">
      <c r="A1729" s="29" t="str">
        <f t="array" ref="A1729">IFNA(TRANSPOSE(INDEX('Parâmetros'!$B$4:$J3001,,MATCH(Exames!F1727,'Parâmetros'!$B$3:$J$3,0))),"")</f>
        <v/>
      </c>
    </row>
    <row r="1730">
      <c r="A1730" s="29" t="str">
        <f t="array" ref="A1730">IFNA(TRANSPOSE(INDEX('Parâmetros'!$B$4:$J3001,,MATCH(Exames!F1728,'Parâmetros'!$B$3:$J$3,0))),"")</f>
        <v/>
      </c>
    </row>
    <row r="1731">
      <c r="A1731" s="29" t="str">
        <f t="array" ref="A1731">IFNA(TRANSPOSE(INDEX('Parâmetros'!$B$4:$J3001,,MATCH(Exames!F1729,'Parâmetros'!$B$3:$J$3,0))),"")</f>
        <v/>
      </c>
    </row>
    <row r="1732">
      <c r="A1732" s="29" t="str">
        <f t="array" ref="A1732">IFNA(TRANSPOSE(INDEX('Parâmetros'!$B$4:$J3001,,MATCH(Exames!F1730,'Parâmetros'!$B$3:$J$3,0))),"")</f>
        <v/>
      </c>
    </row>
    <row r="1733">
      <c r="A1733" s="29" t="str">
        <f t="array" ref="A1733">IFNA(TRANSPOSE(INDEX('Parâmetros'!$B$4:$J3001,,MATCH(Exames!F1731,'Parâmetros'!$B$3:$J$3,0))),"")</f>
        <v/>
      </c>
    </row>
    <row r="1734">
      <c r="A1734" s="29" t="str">
        <f t="array" ref="A1734">IFNA(TRANSPOSE(INDEX('Parâmetros'!$B$4:$J3001,,MATCH(Exames!F1732,'Parâmetros'!$B$3:$J$3,0))),"")</f>
        <v/>
      </c>
    </row>
    <row r="1735">
      <c r="A1735" s="29" t="str">
        <f t="array" ref="A1735">IFNA(TRANSPOSE(INDEX('Parâmetros'!$B$4:$J3001,,MATCH(Exames!F1733,'Parâmetros'!$B$3:$J$3,0))),"")</f>
        <v/>
      </c>
    </row>
    <row r="1736">
      <c r="A1736" s="29" t="str">
        <f t="array" ref="A1736">IFNA(TRANSPOSE(INDEX('Parâmetros'!$B$4:$J3001,,MATCH(Exames!F1734,'Parâmetros'!$B$3:$J$3,0))),"")</f>
        <v/>
      </c>
    </row>
    <row r="1737">
      <c r="A1737" s="29" t="str">
        <f t="array" ref="A1737">IFNA(TRANSPOSE(INDEX('Parâmetros'!$B$4:$J3001,,MATCH(Exames!F1735,'Parâmetros'!$B$3:$J$3,0))),"")</f>
        <v/>
      </c>
    </row>
    <row r="1738">
      <c r="A1738" s="29" t="str">
        <f t="array" ref="A1738">IFNA(TRANSPOSE(INDEX('Parâmetros'!$B$4:$J3001,,MATCH(Exames!F1736,'Parâmetros'!$B$3:$J$3,0))),"")</f>
        <v/>
      </c>
    </row>
    <row r="1739">
      <c r="A1739" s="29" t="str">
        <f t="array" ref="A1739">IFNA(TRANSPOSE(INDEX('Parâmetros'!$B$4:$J3001,,MATCH(Exames!F1737,'Parâmetros'!$B$3:$J$3,0))),"")</f>
        <v/>
      </c>
    </row>
    <row r="1740">
      <c r="A1740" s="29" t="str">
        <f t="array" ref="A1740">IFNA(TRANSPOSE(INDEX('Parâmetros'!$B$4:$J3001,,MATCH(Exames!F1738,'Parâmetros'!$B$3:$J$3,0))),"")</f>
        <v/>
      </c>
    </row>
    <row r="1741">
      <c r="A1741" s="29" t="str">
        <f t="array" ref="A1741">IFNA(TRANSPOSE(INDEX('Parâmetros'!$B$4:$J3001,,MATCH(Exames!F1739,'Parâmetros'!$B$3:$J$3,0))),"")</f>
        <v/>
      </c>
    </row>
    <row r="1742">
      <c r="A1742" s="29" t="str">
        <f t="array" ref="A1742">IFNA(TRANSPOSE(INDEX('Parâmetros'!$B$4:$J3001,,MATCH(Exames!F1740,'Parâmetros'!$B$3:$J$3,0))),"")</f>
        <v/>
      </c>
    </row>
    <row r="1743">
      <c r="A1743" s="29" t="str">
        <f t="array" ref="A1743">IFNA(TRANSPOSE(INDEX('Parâmetros'!$B$4:$J3001,,MATCH(Exames!F1741,'Parâmetros'!$B$3:$J$3,0))),"")</f>
        <v/>
      </c>
    </row>
    <row r="1744">
      <c r="A1744" s="29" t="str">
        <f t="array" ref="A1744">IFNA(TRANSPOSE(INDEX('Parâmetros'!$B$4:$J3001,,MATCH(Exames!F1742,'Parâmetros'!$B$3:$J$3,0))),"")</f>
        <v/>
      </c>
    </row>
    <row r="1745">
      <c r="A1745" s="29" t="str">
        <f t="array" ref="A1745">IFNA(TRANSPOSE(INDEX('Parâmetros'!$B$4:$J3001,,MATCH(Exames!F1743,'Parâmetros'!$B$3:$J$3,0))),"")</f>
        <v/>
      </c>
    </row>
    <row r="1746">
      <c r="A1746" s="29" t="str">
        <f t="array" ref="A1746">IFNA(TRANSPOSE(INDEX('Parâmetros'!$B$4:$J3001,,MATCH(Exames!F1744,'Parâmetros'!$B$3:$J$3,0))),"")</f>
        <v/>
      </c>
    </row>
    <row r="1747">
      <c r="A1747" s="29" t="str">
        <f t="array" ref="A1747">IFNA(TRANSPOSE(INDEX('Parâmetros'!$B$4:$J3001,,MATCH(Exames!F1745,'Parâmetros'!$B$3:$J$3,0))),"")</f>
        <v/>
      </c>
    </row>
    <row r="1748">
      <c r="A1748" s="29" t="str">
        <f t="array" ref="A1748">IFNA(TRANSPOSE(INDEX('Parâmetros'!$B$4:$J3001,,MATCH(Exames!F1746,'Parâmetros'!$B$3:$J$3,0))),"")</f>
        <v/>
      </c>
    </row>
    <row r="1749">
      <c r="A1749" s="29" t="str">
        <f t="array" ref="A1749">IFNA(TRANSPOSE(INDEX('Parâmetros'!$B$4:$J3001,,MATCH(Exames!F1747,'Parâmetros'!$B$3:$J$3,0))),"")</f>
        <v/>
      </c>
    </row>
    <row r="1750">
      <c r="A1750" s="29" t="str">
        <f t="array" ref="A1750">IFNA(TRANSPOSE(INDEX('Parâmetros'!$B$4:$J3001,,MATCH(Exames!F1748,'Parâmetros'!$B$3:$J$3,0))),"")</f>
        <v/>
      </c>
    </row>
    <row r="1751">
      <c r="A1751" s="29" t="str">
        <f t="array" ref="A1751">IFNA(TRANSPOSE(INDEX('Parâmetros'!$B$4:$J3001,,MATCH(Exames!F1749,'Parâmetros'!$B$3:$J$3,0))),"")</f>
        <v/>
      </c>
    </row>
    <row r="1752">
      <c r="A1752" s="29" t="str">
        <f t="array" ref="A1752">IFNA(TRANSPOSE(INDEX('Parâmetros'!$B$4:$J3001,,MATCH(Exames!F1750,'Parâmetros'!$B$3:$J$3,0))),"")</f>
        <v/>
      </c>
    </row>
    <row r="1753">
      <c r="A1753" s="29" t="str">
        <f t="array" ref="A1753">IFNA(TRANSPOSE(INDEX('Parâmetros'!$B$4:$J3001,,MATCH(Exames!F1751,'Parâmetros'!$B$3:$J$3,0))),"")</f>
        <v/>
      </c>
    </row>
    <row r="1754">
      <c r="A1754" s="29" t="str">
        <f t="array" ref="A1754">IFNA(TRANSPOSE(INDEX('Parâmetros'!$B$4:$J3001,,MATCH(Exames!F1752,'Parâmetros'!$B$3:$J$3,0))),"")</f>
        <v/>
      </c>
    </row>
    <row r="1755">
      <c r="A1755" s="29" t="str">
        <f t="array" ref="A1755">IFNA(TRANSPOSE(INDEX('Parâmetros'!$B$4:$J3001,,MATCH(Exames!F1753,'Parâmetros'!$B$3:$J$3,0))),"")</f>
        <v/>
      </c>
    </row>
    <row r="1756">
      <c r="A1756" s="29" t="str">
        <f t="array" ref="A1756">IFNA(TRANSPOSE(INDEX('Parâmetros'!$B$4:$J3001,,MATCH(Exames!F1754,'Parâmetros'!$B$3:$J$3,0))),"")</f>
        <v/>
      </c>
    </row>
    <row r="1757">
      <c r="A1757" s="29" t="str">
        <f t="array" ref="A1757">IFNA(TRANSPOSE(INDEX('Parâmetros'!$B$4:$J3001,,MATCH(Exames!F1755,'Parâmetros'!$B$3:$J$3,0))),"")</f>
        <v/>
      </c>
    </row>
    <row r="1758">
      <c r="A1758" s="29" t="str">
        <f t="array" ref="A1758">IFNA(TRANSPOSE(INDEX('Parâmetros'!$B$4:$J3001,,MATCH(Exames!F1756,'Parâmetros'!$B$3:$J$3,0))),"")</f>
        <v/>
      </c>
    </row>
    <row r="1759">
      <c r="A1759" s="29" t="str">
        <f t="array" ref="A1759">IFNA(TRANSPOSE(INDEX('Parâmetros'!$B$4:$J3001,,MATCH(Exames!F1757,'Parâmetros'!$B$3:$J$3,0))),"")</f>
        <v/>
      </c>
    </row>
    <row r="1760">
      <c r="A1760" s="29" t="str">
        <f t="array" ref="A1760">IFNA(TRANSPOSE(INDEX('Parâmetros'!$B$4:$J3001,,MATCH(Exames!F1758,'Parâmetros'!$B$3:$J$3,0))),"")</f>
        <v/>
      </c>
    </row>
    <row r="1761">
      <c r="A1761" s="29" t="str">
        <f t="array" ref="A1761">IFNA(TRANSPOSE(INDEX('Parâmetros'!$B$4:$J3001,,MATCH(Exames!F1759,'Parâmetros'!$B$3:$J$3,0))),"")</f>
        <v/>
      </c>
    </row>
    <row r="1762">
      <c r="A1762" s="29" t="str">
        <f t="array" ref="A1762">IFNA(TRANSPOSE(INDEX('Parâmetros'!$B$4:$J3001,,MATCH(Exames!F1760,'Parâmetros'!$B$3:$J$3,0))),"")</f>
        <v/>
      </c>
    </row>
    <row r="1763">
      <c r="A1763" s="29" t="str">
        <f t="array" ref="A1763">IFNA(TRANSPOSE(INDEX('Parâmetros'!$B$4:$J3001,,MATCH(Exames!F1761,'Parâmetros'!$B$3:$J$3,0))),"")</f>
        <v/>
      </c>
    </row>
    <row r="1764">
      <c r="A1764" s="29" t="str">
        <f t="array" ref="A1764">IFNA(TRANSPOSE(INDEX('Parâmetros'!$B$4:$J3001,,MATCH(Exames!F1762,'Parâmetros'!$B$3:$J$3,0))),"")</f>
        <v/>
      </c>
    </row>
    <row r="1765">
      <c r="A1765" s="29" t="str">
        <f t="array" ref="A1765">IFNA(TRANSPOSE(INDEX('Parâmetros'!$B$4:$J3001,,MATCH(Exames!F1763,'Parâmetros'!$B$3:$J$3,0))),"")</f>
        <v/>
      </c>
    </row>
    <row r="1766">
      <c r="A1766" s="29" t="str">
        <f t="array" ref="A1766">IFNA(TRANSPOSE(INDEX('Parâmetros'!$B$4:$J3001,,MATCH(Exames!F1764,'Parâmetros'!$B$3:$J$3,0))),"")</f>
        <v/>
      </c>
    </row>
    <row r="1767">
      <c r="A1767" s="29" t="str">
        <f t="array" ref="A1767">IFNA(TRANSPOSE(INDEX('Parâmetros'!$B$4:$J3001,,MATCH(Exames!F1765,'Parâmetros'!$B$3:$J$3,0))),"")</f>
        <v/>
      </c>
    </row>
    <row r="1768">
      <c r="A1768" s="29" t="str">
        <f t="array" ref="A1768">IFNA(TRANSPOSE(INDEX('Parâmetros'!$B$4:$J3001,,MATCH(Exames!F1766,'Parâmetros'!$B$3:$J$3,0))),"")</f>
        <v/>
      </c>
    </row>
    <row r="1769">
      <c r="A1769" s="29" t="str">
        <f t="array" ref="A1769">IFNA(TRANSPOSE(INDEX('Parâmetros'!$B$4:$J3001,,MATCH(Exames!F1767,'Parâmetros'!$B$3:$J$3,0))),"")</f>
        <v/>
      </c>
    </row>
    <row r="1770">
      <c r="A1770" s="29" t="str">
        <f t="array" ref="A1770">IFNA(TRANSPOSE(INDEX('Parâmetros'!$B$4:$J3001,,MATCH(Exames!F1768,'Parâmetros'!$B$3:$J$3,0))),"")</f>
        <v/>
      </c>
    </row>
    <row r="1771">
      <c r="A1771" s="29" t="str">
        <f t="array" ref="A1771">IFNA(TRANSPOSE(INDEX('Parâmetros'!$B$4:$J3001,,MATCH(Exames!F1769,'Parâmetros'!$B$3:$J$3,0))),"")</f>
        <v/>
      </c>
    </row>
    <row r="1772">
      <c r="A1772" s="29" t="str">
        <f t="array" ref="A1772">IFNA(TRANSPOSE(INDEX('Parâmetros'!$B$4:$J3001,,MATCH(Exames!F1770,'Parâmetros'!$B$3:$J$3,0))),"")</f>
        <v/>
      </c>
    </row>
    <row r="1773">
      <c r="A1773" s="29" t="str">
        <f t="array" ref="A1773">IFNA(TRANSPOSE(INDEX('Parâmetros'!$B$4:$J3001,,MATCH(Exames!F1771,'Parâmetros'!$B$3:$J$3,0))),"")</f>
        <v/>
      </c>
    </row>
    <row r="1774">
      <c r="A1774" s="29" t="str">
        <f t="array" ref="A1774">IFNA(TRANSPOSE(INDEX('Parâmetros'!$B$4:$J3001,,MATCH(Exames!F1772,'Parâmetros'!$B$3:$J$3,0))),"")</f>
        <v/>
      </c>
    </row>
    <row r="1775">
      <c r="A1775" s="29" t="str">
        <f t="array" ref="A1775">IFNA(TRANSPOSE(INDEX('Parâmetros'!$B$4:$J3001,,MATCH(Exames!F1773,'Parâmetros'!$B$3:$J$3,0))),"")</f>
        <v/>
      </c>
    </row>
    <row r="1776">
      <c r="A1776" s="29" t="str">
        <f t="array" ref="A1776">IFNA(TRANSPOSE(INDEX('Parâmetros'!$B$4:$J3001,,MATCH(Exames!F1774,'Parâmetros'!$B$3:$J$3,0))),"")</f>
        <v/>
      </c>
    </row>
    <row r="1777">
      <c r="A1777" s="29" t="str">
        <f t="array" ref="A1777">IFNA(TRANSPOSE(INDEX('Parâmetros'!$B$4:$J3001,,MATCH(Exames!F1775,'Parâmetros'!$B$3:$J$3,0))),"")</f>
        <v/>
      </c>
    </row>
    <row r="1778">
      <c r="A1778" s="29" t="str">
        <f t="array" ref="A1778">IFNA(TRANSPOSE(INDEX('Parâmetros'!$B$4:$J3001,,MATCH(Exames!F1776,'Parâmetros'!$B$3:$J$3,0))),"")</f>
        <v/>
      </c>
    </row>
    <row r="1779">
      <c r="A1779" s="29" t="str">
        <f t="array" ref="A1779">IFNA(TRANSPOSE(INDEX('Parâmetros'!$B$4:$J3001,,MATCH(Exames!F1777,'Parâmetros'!$B$3:$J$3,0))),"")</f>
        <v/>
      </c>
    </row>
    <row r="1780">
      <c r="A1780" s="29" t="str">
        <f t="array" ref="A1780">IFNA(TRANSPOSE(INDEX('Parâmetros'!$B$4:$J3001,,MATCH(Exames!F1778,'Parâmetros'!$B$3:$J$3,0))),"")</f>
        <v/>
      </c>
    </row>
    <row r="1781">
      <c r="A1781" s="29" t="str">
        <f t="array" ref="A1781">IFNA(TRANSPOSE(INDEX('Parâmetros'!$B$4:$J3001,,MATCH(Exames!F1779,'Parâmetros'!$B$3:$J$3,0))),"")</f>
        <v/>
      </c>
    </row>
    <row r="1782">
      <c r="A1782" s="29" t="str">
        <f t="array" ref="A1782">IFNA(TRANSPOSE(INDEX('Parâmetros'!$B$4:$J3001,,MATCH(Exames!F1780,'Parâmetros'!$B$3:$J$3,0))),"")</f>
        <v/>
      </c>
    </row>
    <row r="1783">
      <c r="A1783" s="29" t="str">
        <f t="array" ref="A1783">IFNA(TRANSPOSE(INDEX('Parâmetros'!$B$4:$J3001,,MATCH(Exames!F1781,'Parâmetros'!$B$3:$J$3,0))),"")</f>
        <v/>
      </c>
    </row>
    <row r="1784">
      <c r="A1784" s="29" t="str">
        <f t="array" ref="A1784">IFNA(TRANSPOSE(INDEX('Parâmetros'!$B$4:$J3001,,MATCH(Exames!F1782,'Parâmetros'!$B$3:$J$3,0))),"")</f>
        <v/>
      </c>
    </row>
    <row r="1785">
      <c r="A1785" s="29" t="str">
        <f t="array" ref="A1785">IFNA(TRANSPOSE(INDEX('Parâmetros'!$B$4:$J3001,,MATCH(Exames!F1783,'Parâmetros'!$B$3:$J$3,0))),"")</f>
        <v/>
      </c>
    </row>
    <row r="1786">
      <c r="A1786" s="29" t="str">
        <f t="array" ref="A1786">IFNA(TRANSPOSE(INDEX('Parâmetros'!$B$4:$J3001,,MATCH(Exames!F1784,'Parâmetros'!$B$3:$J$3,0))),"")</f>
        <v/>
      </c>
    </row>
    <row r="1787">
      <c r="A1787" s="29" t="str">
        <f t="array" ref="A1787">IFNA(TRANSPOSE(INDEX('Parâmetros'!$B$4:$J3001,,MATCH(Exames!F1785,'Parâmetros'!$B$3:$J$3,0))),"")</f>
        <v/>
      </c>
    </row>
    <row r="1788">
      <c r="A1788" s="29" t="str">
        <f t="array" ref="A1788">IFNA(TRANSPOSE(INDEX('Parâmetros'!$B$4:$J3001,,MATCH(Exames!F1786,'Parâmetros'!$B$3:$J$3,0))),"")</f>
        <v/>
      </c>
    </row>
    <row r="1789">
      <c r="A1789" s="29" t="str">
        <f t="array" ref="A1789">IFNA(TRANSPOSE(INDEX('Parâmetros'!$B$4:$J3001,,MATCH(Exames!F1787,'Parâmetros'!$B$3:$J$3,0))),"")</f>
        <v/>
      </c>
    </row>
    <row r="1790">
      <c r="A1790" s="29" t="str">
        <f t="array" ref="A1790">IFNA(TRANSPOSE(INDEX('Parâmetros'!$B$4:$J3001,,MATCH(Exames!F1788,'Parâmetros'!$B$3:$J$3,0))),"")</f>
        <v/>
      </c>
    </row>
    <row r="1791">
      <c r="A1791" s="29" t="str">
        <f t="array" ref="A1791">IFNA(TRANSPOSE(INDEX('Parâmetros'!$B$4:$J3001,,MATCH(Exames!F1789,'Parâmetros'!$B$3:$J$3,0))),"")</f>
        <v/>
      </c>
    </row>
    <row r="1792">
      <c r="A1792" s="29" t="str">
        <f t="array" ref="A1792">IFNA(TRANSPOSE(INDEX('Parâmetros'!$B$4:$J3001,,MATCH(Exames!F1790,'Parâmetros'!$B$3:$J$3,0))),"")</f>
        <v/>
      </c>
    </row>
    <row r="1793">
      <c r="A1793" s="29" t="str">
        <f t="array" ref="A1793">IFNA(TRANSPOSE(INDEX('Parâmetros'!$B$4:$J3001,,MATCH(Exames!F1791,'Parâmetros'!$B$3:$J$3,0))),"")</f>
        <v/>
      </c>
    </row>
    <row r="1794">
      <c r="A1794" s="29" t="str">
        <f t="array" ref="A1794">IFNA(TRANSPOSE(INDEX('Parâmetros'!$B$4:$J3001,,MATCH(Exames!F1792,'Parâmetros'!$B$3:$J$3,0))),"")</f>
        <v/>
      </c>
    </row>
    <row r="1795">
      <c r="A1795" s="29" t="str">
        <f t="array" ref="A1795">IFNA(TRANSPOSE(INDEX('Parâmetros'!$B$4:$J3001,,MATCH(Exames!F1793,'Parâmetros'!$B$3:$J$3,0))),"")</f>
        <v/>
      </c>
    </row>
    <row r="1796">
      <c r="A1796" s="29" t="str">
        <f t="array" ref="A1796">IFNA(TRANSPOSE(INDEX('Parâmetros'!$B$4:$J3001,,MATCH(Exames!F1794,'Parâmetros'!$B$3:$J$3,0))),"")</f>
        <v/>
      </c>
    </row>
    <row r="1797">
      <c r="A1797" s="29" t="str">
        <f t="array" ref="A1797">IFNA(TRANSPOSE(INDEX('Parâmetros'!$B$4:$J3001,,MATCH(Exames!F1795,'Parâmetros'!$B$3:$J$3,0))),"")</f>
        <v/>
      </c>
    </row>
    <row r="1798">
      <c r="A1798" s="29" t="str">
        <f t="array" ref="A1798">IFNA(TRANSPOSE(INDEX('Parâmetros'!$B$4:$J3001,,MATCH(Exames!F1796,'Parâmetros'!$B$3:$J$3,0))),"")</f>
        <v/>
      </c>
    </row>
    <row r="1799">
      <c r="A1799" s="29" t="str">
        <f t="array" ref="A1799">IFNA(TRANSPOSE(INDEX('Parâmetros'!$B$4:$J3001,,MATCH(Exames!F1797,'Parâmetros'!$B$3:$J$3,0))),"")</f>
        <v/>
      </c>
    </row>
    <row r="1800">
      <c r="A1800" s="29" t="str">
        <f t="array" ref="A1800">IFNA(TRANSPOSE(INDEX('Parâmetros'!$B$4:$J3001,,MATCH(Exames!F1798,'Parâmetros'!$B$3:$J$3,0))),"")</f>
        <v/>
      </c>
    </row>
    <row r="1801">
      <c r="A1801" s="29" t="str">
        <f t="array" ref="A1801">IFNA(TRANSPOSE(INDEX('Parâmetros'!$B$4:$J3001,,MATCH(Exames!F1799,'Parâmetros'!$B$3:$J$3,0))),"")</f>
        <v/>
      </c>
    </row>
    <row r="1802">
      <c r="A1802" s="29" t="str">
        <f t="array" ref="A1802">IFNA(TRANSPOSE(INDEX('Parâmetros'!$B$4:$J3001,,MATCH(Exames!F1800,'Parâmetros'!$B$3:$J$3,0))),"")</f>
        <v/>
      </c>
    </row>
    <row r="1803">
      <c r="A1803" s="29" t="str">
        <f t="array" ref="A1803">IFNA(TRANSPOSE(INDEX('Parâmetros'!$B$4:$J3001,,MATCH(Exames!F1801,'Parâmetros'!$B$3:$J$3,0))),"")</f>
        <v/>
      </c>
    </row>
    <row r="1804">
      <c r="A1804" s="29" t="str">
        <f t="array" ref="A1804">IFNA(TRANSPOSE(INDEX('Parâmetros'!$B$4:$J3001,,MATCH(Exames!F1802,'Parâmetros'!$B$3:$J$3,0))),"")</f>
        <v/>
      </c>
    </row>
    <row r="1805">
      <c r="A1805" s="29" t="str">
        <f t="array" ref="A1805">IFNA(TRANSPOSE(INDEX('Parâmetros'!$B$4:$J3001,,MATCH(Exames!F1803,'Parâmetros'!$B$3:$J$3,0))),"")</f>
        <v/>
      </c>
    </row>
    <row r="1806">
      <c r="A1806" s="29" t="str">
        <f t="array" ref="A1806">IFNA(TRANSPOSE(INDEX('Parâmetros'!$B$4:$J3001,,MATCH(Exames!F1804,'Parâmetros'!$B$3:$J$3,0))),"")</f>
        <v/>
      </c>
    </row>
    <row r="1807">
      <c r="A1807" s="29" t="str">
        <f t="array" ref="A1807">IFNA(TRANSPOSE(INDEX('Parâmetros'!$B$4:$J3001,,MATCH(Exames!F1805,'Parâmetros'!$B$3:$J$3,0))),"")</f>
        <v/>
      </c>
    </row>
    <row r="1808">
      <c r="A1808" s="29" t="str">
        <f t="array" ref="A1808">IFNA(TRANSPOSE(INDEX('Parâmetros'!$B$4:$J3001,,MATCH(Exames!F1806,'Parâmetros'!$B$3:$J$3,0))),"")</f>
        <v/>
      </c>
    </row>
    <row r="1809">
      <c r="A1809" s="29" t="str">
        <f t="array" ref="A1809">IFNA(TRANSPOSE(INDEX('Parâmetros'!$B$4:$J3001,,MATCH(Exames!F1807,'Parâmetros'!$B$3:$J$3,0))),"")</f>
        <v/>
      </c>
    </row>
    <row r="1810">
      <c r="A1810" s="29" t="str">
        <f t="array" ref="A1810">IFNA(TRANSPOSE(INDEX('Parâmetros'!$B$4:$J3001,,MATCH(Exames!F1808,'Parâmetros'!$B$3:$J$3,0))),"")</f>
        <v/>
      </c>
    </row>
    <row r="1811">
      <c r="A1811" s="29" t="str">
        <f t="array" ref="A1811">IFNA(TRANSPOSE(INDEX('Parâmetros'!$B$4:$J3001,,MATCH(Exames!F1809,'Parâmetros'!$B$3:$J$3,0))),"")</f>
        <v/>
      </c>
    </row>
    <row r="1812">
      <c r="A1812" s="29" t="str">
        <f t="array" ref="A1812">IFNA(TRANSPOSE(INDEX('Parâmetros'!$B$4:$J3001,,MATCH(Exames!F1810,'Parâmetros'!$B$3:$J$3,0))),"")</f>
        <v/>
      </c>
    </row>
    <row r="1813">
      <c r="A1813" s="29" t="str">
        <f t="array" ref="A1813">IFNA(TRANSPOSE(INDEX('Parâmetros'!$B$4:$J3001,,MATCH(Exames!F1811,'Parâmetros'!$B$3:$J$3,0))),"")</f>
        <v/>
      </c>
    </row>
    <row r="1814">
      <c r="A1814" s="29" t="str">
        <f t="array" ref="A1814">IFNA(TRANSPOSE(INDEX('Parâmetros'!$B$4:$J3001,,MATCH(Exames!F1812,'Parâmetros'!$B$3:$J$3,0))),"")</f>
        <v/>
      </c>
    </row>
    <row r="1815">
      <c r="A1815" s="29" t="str">
        <f t="array" ref="A1815">IFNA(TRANSPOSE(INDEX('Parâmetros'!$B$4:$J3001,,MATCH(Exames!F1813,'Parâmetros'!$B$3:$J$3,0))),"")</f>
        <v/>
      </c>
    </row>
    <row r="1816">
      <c r="A1816" s="29" t="str">
        <f t="array" ref="A1816">IFNA(TRANSPOSE(INDEX('Parâmetros'!$B$4:$J3001,,MATCH(Exames!F1814,'Parâmetros'!$B$3:$J$3,0))),"")</f>
        <v/>
      </c>
    </row>
    <row r="1817">
      <c r="A1817" s="29" t="str">
        <f t="array" ref="A1817">IFNA(TRANSPOSE(INDEX('Parâmetros'!$B$4:$J3001,,MATCH(Exames!F1815,'Parâmetros'!$B$3:$J$3,0))),"")</f>
        <v/>
      </c>
    </row>
    <row r="1818">
      <c r="A1818" s="29" t="str">
        <f t="array" ref="A1818">IFNA(TRANSPOSE(INDEX('Parâmetros'!$B$4:$J3001,,MATCH(Exames!F1816,'Parâmetros'!$B$3:$J$3,0))),"")</f>
        <v/>
      </c>
    </row>
    <row r="1819">
      <c r="A1819" s="29" t="str">
        <f t="array" ref="A1819">IFNA(TRANSPOSE(INDEX('Parâmetros'!$B$4:$J3001,,MATCH(Exames!F1817,'Parâmetros'!$B$3:$J$3,0))),"")</f>
        <v/>
      </c>
    </row>
    <row r="1820">
      <c r="A1820" s="29" t="str">
        <f t="array" ref="A1820">IFNA(TRANSPOSE(INDEX('Parâmetros'!$B$4:$J3001,,MATCH(Exames!F1818,'Parâmetros'!$B$3:$J$3,0))),"")</f>
        <v/>
      </c>
    </row>
    <row r="1821">
      <c r="A1821" s="29" t="str">
        <f t="array" ref="A1821">IFNA(TRANSPOSE(INDEX('Parâmetros'!$B$4:$J3001,,MATCH(Exames!F1819,'Parâmetros'!$B$3:$J$3,0))),"")</f>
        <v/>
      </c>
    </row>
    <row r="1822">
      <c r="A1822" s="29" t="str">
        <f t="array" ref="A1822">IFNA(TRANSPOSE(INDEX('Parâmetros'!$B$4:$J3001,,MATCH(Exames!F1820,'Parâmetros'!$B$3:$J$3,0))),"")</f>
        <v/>
      </c>
    </row>
    <row r="1823">
      <c r="A1823" s="29" t="str">
        <f t="array" ref="A1823">IFNA(TRANSPOSE(INDEX('Parâmetros'!$B$4:$J3001,,MATCH(Exames!F1821,'Parâmetros'!$B$3:$J$3,0))),"")</f>
        <v/>
      </c>
    </row>
    <row r="1824">
      <c r="A1824" s="29" t="str">
        <f t="array" ref="A1824">IFNA(TRANSPOSE(INDEX('Parâmetros'!$B$4:$J3001,,MATCH(Exames!F1822,'Parâmetros'!$B$3:$J$3,0))),"")</f>
        <v/>
      </c>
    </row>
    <row r="1825">
      <c r="A1825" s="29" t="str">
        <f t="array" ref="A1825">IFNA(TRANSPOSE(INDEX('Parâmetros'!$B$4:$J3001,,MATCH(Exames!F1823,'Parâmetros'!$B$3:$J$3,0))),"")</f>
        <v/>
      </c>
    </row>
    <row r="1826">
      <c r="A1826" s="29" t="str">
        <f t="array" ref="A1826">IFNA(TRANSPOSE(INDEX('Parâmetros'!$B$4:$J3001,,MATCH(Exames!F1824,'Parâmetros'!$B$3:$J$3,0))),"")</f>
        <v/>
      </c>
    </row>
    <row r="1827">
      <c r="A1827" s="29" t="str">
        <f t="array" ref="A1827">IFNA(TRANSPOSE(INDEX('Parâmetros'!$B$4:$J3001,,MATCH(Exames!F1825,'Parâmetros'!$B$3:$J$3,0))),"")</f>
        <v/>
      </c>
    </row>
    <row r="1828">
      <c r="A1828" s="29" t="str">
        <f t="array" ref="A1828">IFNA(TRANSPOSE(INDEX('Parâmetros'!$B$4:$J3001,,MATCH(Exames!F1826,'Parâmetros'!$B$3:$J$3,0))),"")</f>
        <v/>
      </c>
    </row>
    <row r="1829">
      <c r="A1829" s="29" t="str">
        <f t="array" ref="A1829">IFNA(TRANSPOSE(INDEX('Parâmetros'!$B$4:$J3001,,MATCH(Exames!F1827,'Parâmetros'!$B$3:$J$3,0))),"")</f>
        <v/>
      </c>
    </row>
    <row r="1830">
      <c r="A1830" s="29" t="str">
        <f t="array" ref="A1830">IFNA(TRANSPOSE(INDEX('Parâmetros'!$B$4:$J3001,,MATCH(Exames!F1828,'Parâmetros'!$B$3:$J$3,0))),"")</f>
        <v/>
      </c>
    </row>
    <row r="1831">
      <c r="A1831" s="29" t="str">
        <f t="array" ref="A1831">IFNA(TRANSPOSE(INDEX('Parâmetros'!$B$4:$J3001,,MATCH(Exames!F1829,'Parâmetros'!$B$3:$J$3,0))),"")</f>
        <v/>
      </c>
    </row>
    <row r="1832">
      <c r="A1832" s="29" t="str">
        <f t="array" ref="A1832">IFNA(TRANSPOSE(INDEX('Parâmetros'!$B$4:$J3001,,MATCH(Exames!F1830,'Parâmetros'!$B$3:$J$3,0))),"")</f>
        <v/>
      </c>
    </row>
    <row r="1833">
      <c r="A1833" s="29" t="str">
        <f t="array" ref="A1833">IFNA(TRANSPOSE(INDEX('Parâmetros'!$B$4:$J3001,,MATCH(Exames!F1831,'Parâmetros'!$B$3:$J$3,0))),"")</f>
        <v/>
      </c>
    </row>
    <row r="1834">
      <c r="A1834" s="29" t="str">
        <f t="array" ref="A1834">IFNA(TRANSPOSE(INDEX('Parâmetros'!$B$4:$J3001,,MATCH(Exames!F1832,'Parâmetros'!$B$3:$J$3,0))),"")</f>
        <v/>
      </c>
    </row>
    <row r="1835">
      <c r="A1835" s="29" t="str">
        <f t="array" ref="A1835">IFNA(TRANSPOSE(INDEX('Parâmetros'!$B$4:$J3001,,MATCH(Exames!F1833,'Parâmetros'!$B$3:$J$3,0))),"")</f>
        <v/>
      </c>
    </row>
    <row r="1836">
      <c r="A1836" s="29" t="str">
        <f t="array" ref="A1836">IFNA(TRANSPOSE(INDEX('Parâmetros'!$B$4:$J3001,,MATCH(Exames!F1834,'Parâmetros'!$B$3:$J$3,0))),"")</f>
        <v/>
      </c>
    </row>
    <row r="1837">
      <c r="A1837" s="29" t="str">
        <f t="array" ref="A1837">IFNA(TRANSPOSE(INDEX('Parâmetros'!$B$4:$J3001,,MATCH(Exames!F1835,'Parâmetros'!$B$3:$J$3,0))),"")</f>
        <v/>
      </c>
    </row>
    <row r="1838">
      <c r="A1838" s="29" t="str">
        <f t="array" ref="A1838">IFNA(TRANSPOSE(INDEX('Parâmetros'!$B$4:$J3001,,MATCH(Exames!F1836,'Parâmetros'!$B$3:$J$3,0))),"")</f>
        <v/>
      </c>
    </row>
    <row r="1839">
      <c r="A1839" s="29" t="str">
        <f t="array" ref="A1839">IFNA(TRANSPOSE(INDEX('Parâmetros'!$B$4:$J3001,,MATCH(Exames!F1837,'Parâmetros'!$B$3:$J$3,0))),"")</f>
        <v/>
      </c>
    </row>
    <row r="1840">
      <c r="A1840" s="29" t="str">
        <f t="array" ref="A1840">IFNA(TRANSPOSE(INDEX('Parâmetros'!$B$4:$J3001,,MATCH(Exames!F1838,'Parâmetros'!$B$3:$J$3,0))),"")</f>
        <v/>
      </c>
    </row>
    <row r="1841">
      <c r="A1841" s="29" t="str">
        <f t="array" ref="A1841">IFNA(TRANSPOSE(INDEX('Parâmetros'!$B$4:$J3001,,MATCH(Exames!F1839,'Parâmetros'!$B$3:$J$3,0))),"")</f>
        <v/>
      </c>
    </row>
    <row r="1842">
      <c r="A1842" s="29" t="str">
        <f t="array" ref="A1842">IFNA(TRANSPOSE(INDEX('Parâmetros'!$B$4:$J3001,,MATCH(Exames!F1840,'Parâmetros'!$B$3:$J$3,0))),"")</f>
        <v/>
      </c>
    </row>
    <row r="1843">
      <c r="A1843" s="29" t="str">
        <f t="array" ref="A1843">IFNA(TRANSPOSE(INDEX('Parâmetros'!$B$4:$J3001,,MATCH(Exames!F1841,'Parâmetros'!$B$3:$J$3,0))),"")</f>
        <v/>
      </c>
    </row>
    <row r="1844">
      <c r="A1844" s="29" t="str">
        <f t="array" ref="A1844">IFNA(TRANSPOSE(INDEX('Parâmetros'!$B$4:$J3001,,MATCH(Exames!F1842,'Parâmetros'!$B$3:$J$3,0))),"")</f>
        <v/>
      </c>
    </row>
    <row r="1845">
      <c r="A1845" s="29" t="str">
        <f t="array" ref="A1845">IFNA(TRANSPOSE(INDEX('Parâmetros'!$B$4:$J3001,,MATCH(Exames!F1843,'Parâmetros'!$B$3:$J$3,0))),"")</f>
        <v/>
      </c>
    </row>
    <row r="1846">
      <c r="A1846" s="29" t="str">
        <f t="array" ref="A1846">IFNA(TRANSPOSE(INDEX('Parâmetros'!$B$4:$J3001,,MATCH(Exames!F1844,'Parâmetros'!$B$3:$J$3,0))),"")</f>
        <v/>
      </c>
    </row>
    <row r="1847">
      <c r="A1847" s="29" t="str">
        <f t="array" ref="A1847">IFNA(TRANSPOSE(INDEX('Parâmetros'!$B$4:$J3001,,MATCH(Exames!F1845,'Parâmetros'!$B$3:$J$3,0))),"")</f>
        <v/>
      </c>
    </row>
    <row r="1848">
      <c r="A1848" s="29" t="str">
        <f t="array" ref="A1848">IFNA(TRANSPOSE(INDEX('Parâmetros'!$B$4:$J3001,,MATCH(Exames!F1846,'Parâmetros'!$B$3:$J$3,0))),"")</f>
        <v/>
      </c>
    </row>
    <row r="1849">
      <c r="A1849" s="29" t="str">
        <f t="array" ref="A1849">IFNA(TRANSPOSE(INDEX('Parâmetros'!$B$4:$J3001,,MATCH(Exames!F1847,'Parâmetros'!$B$3:$J$3,0))),"")</f>
        <v/>
      </c>
    </row>
    <row r="1850">
      <c r="A1850" s="29" t="str">
        <f t="array" ref="A1850">IFNA(TRANSPOSE(INDEX('Parâmetros'!$B$4:$J3001,,MATCH(Exames!F1848,'Parâmetros'!$B$3:$J$3,0))),"")</f>
        <v/>
      </c>
    </row>
    <row r="1851">
      <c r="A1851" s="29" t="str">
        <f t="array" ref="A1851">IFNA(TRANSPOSE(INDEX('Parâmetros'!$B$4:$J3001,,MATCH(Exames!F1849,'Parâmetros'!$B$3:$J$3,0))),"")</f>
        <v/>
      </c>
    </row>
    <row r="1852">
      <c r="A1852" s="29" t="str">
        <f t="array" ref="A1852">IFNA(TRANSPOSE(INDEX('Parâmetros'!$B$4:$J3001,,MATCH(Exames!F1850,'Parâmetros'!$B$3:$J$3,0))),"")</f>
        <v/>
      </c>
    </row>
    <row r="1853">
      <c r="A1853" s="29" t="str">
        <f t="array" ref="A1853">IFNA(TRANSPOSE(INDEX('Parâmetros'!$B$4:$J3001,,MATCH(Exames!F1851,'Parâmetros'!$B$3:$J$3,0))),"")</f>
        <v/>
      </c>
    </row>
    <row r="1854">
      <c r="A1854" s="29" t="str">
        <f t="array" ref="A1854">IFNA(TRANSPOSE(INDEX('Parâmetros'!$B$4:$J3001,,MATCH(Exames!F1852,'Parâmetros'!$B$3:$J$3,0))),"")</f>
        <v/>
      </c>
    </row>
    <row r="1855">
      <c r="A1855" s="29" t="str">
        <f t="array" ref="A1855">IFNA(TRANSPOSE(INDEX('Parâmetros'!$B$4:$J3001,,MATCH(Exames!F1853,'Parâmetros'!$B$3:$J$3,0))),"")</f>
        <v/>
      </c>
    </row>
    <row r="1856">
      <c r="A1856" s="29" t="str">
        <f t="array" ref="A1856">IFNA(TRANSPOSE(INDEX('Parâmetros'!$B$4:$J3001,,MATCH(Exames!F1854,'Parâmetros'!$B$3:$J$3,0))),"")</f>
        <v/>
      </c>
    </row>
    <row r="1857">
      <c r="A1857" s="29" t="str">
        <f t="array" ref="A1857">IFNA(TRANSPOSE(INDEX('Parâmetros'!$B$4:$J3001,,MATCH(Exames!F1855,'Parâmetros'!$B$3:$J$3,0))),"")</f>
        <v/>
      </c>
    </row>
    <row r="1858">
      <c r="A1858" s="29" t="str">
        <f t="array" ref="A1858">IFNA(TRANSPOSE(INDEX('Parâmetros'!$B$4:$J3001,,MATCH(Exames!F1856,'Parâmetros'!$B$3:$J$3,0))),"")</f>
        <v/>
      </c>
    </row>
    <row r="1859">
      <c r="A1859" s="29" t="str">
        <f t="array" ref="A1859">IFNA(TRANSPOSE(INDEX('Parâmetros'!$B$4:$J3001,,MATCH(Exames!F1857,'Parâmetros'!$B$3:$J$3,0))),"")</f>
        <v/>
      </c>
    </row>
    <row r="1860">
      <c r="A1860" s="29" t="str">
        <f t="array" ref="A1860">IFNA(TRANSPOSE(INDEX('Parâmetros'!$B$4:$J3001,,MATCH(Exames!F1858,'Parâmetros'!$B$3:$J$3,0))),"")</f>
        <v/>
      </c>
    </row>
    <row r="1861">
      <c r="A1861" s="29" t="str">
        <f t="array" ref="A1861">IFNA(TRANSPOSE(INDEX('Parâmetros'!$B$4:$J3001,,MATCH(Exames!F1859,'Parâmetros'!$B$3:$J$3,0))),"")</f>
        <v/>
      </c>
    </row>
    <row r="1862">
      <c r="A1862" s="29" t="str">
        <f t="array" ref="A1862">IFNA(TRANSPOSE(INDEX('Parâmetros'!$B$4:$J3001,,MATCH(Exames!F1860,'Parâmetros'!$B$3:$J$3,0))),"")</f>
        <v/>
      </c>
    </row>
    <row r="1863">
      <c r="A1863" s="29" t="str">
        <f t="array" ref="A1863">IFNA(TRANSPOSE(INDEX('Parâmetros'!$B$4:$J3001,,MATCH(Exames!F1861,'Parâmetros'!$B$3:$J$3,0))),"")</f>
        <v/>
      </c>
    </row>
    <row r="1864">
      <c r="A1864" s="29" t="str">
        <f t="array" ref="A1864">IFNA(TRANSPOSE(INDEX('Parâmetros'!$B$4:$J3001,,MATCH(Exames!F1862,'Parâmetros'!$B$3:$J$3,0))),"")</f>
        <v/>
      </c>
    </row>
    <row r="1865">
      <c r="A1865" s="29" t="str">
        <f t="array" ref="A1865">IFNA(TRANSPOSE(INDEX('Parâmetros'!$B$4:$J3001,,MATCH(Exames!F1863,'Parâmetros'!$B$3:$J$3,0))),"")</f>
        <v/>
      </c>
    </row>
    <row r="1866">
      <c r="A1866" s="29" t="str">
        <f t="array" ref="A1866">IFNA(TRANSPOSE(INDEX('Parâmetros'!$B$4:$J3001,,MATCH(Exames!F1864,'Parâmetros'!$B$3:$J$3,0))),"")</f>
        <v/>
      </c>
    </row>
    <row r="1867">
      <c r="A1867" s="29" t="str">
        <f t="array" ref="A1867">IFNA(TRANSPOSE(INDEX('Parâmetros'!$B$4:$J3001,,MATCH(Exames!F1865,'Parâmetros'!$B$3:$J$3,0))),"")</f>
        <v/>
      </c>
    </row>
    <row r="1868">
      <c r="A1868" s="29" t="str">
        <f t="array" ref="A1868">IFNA(TRANSPOSE(INDEX('Parâmetros'!$B$4:$J3001,,MATCH(Exames!F1866,'Parâmetros'!$B$3:$J$3,0))),"")</f>
        <v/>
      </c>
    </row>
    <row r="1869">
      <c r="A1869" s="29" t="str">
        <f t="array" ref="A1869">IFNA(TRANSPOSE(INDEX('Parâmetros'!$B$4:$J3001,,MATCH(Exames!F1867,'Parâmetros'!$B$3:$J$3,0))),"")</f>
        <v/>
      </c>
    </row>
    <row r="1870">
      <c r="A1870" s="29" t="str">
        <f t="array" ref="A1870">IFNA(TRANSPOSE(INDEX('Parâmetros'!$B$4:$J3001,,MATCH(Exames!F1868,'Parâmetros'!$B$3:$J$3,0))),"")</f>
        <v/>
      </c>
    </row>
    <row r="1871">
      <c r="A1871" s="29" t="str">
        <f t="array" ref="A1871">IFNA(TRANSPOSE(INDEX('Parâmetros'!$B$4:$J3001,,MATCH(Exames!F1869,'Parâmetros'!$B$3:$J$3,0))),"")</f>
        <v/>
      </c>
    </row>
    <row r="1872">
      <c r="A1872" s="29" t="str">
        <f t="array" ref="A1872">IFNA(TRANSPOSE(INDEX('Parâmetros'!$B$4:$J3001,,MATCH(Exames!F1870,'Parâmetros'!$B$3:$J$3,0))),"")</f>
        <v/>
      </c>
    </row>
    <row r="1873">
      <c r="A1873" s="29" t="str">
        <f t="array" ref="A1873">IFNA(TRANSPOSE(INDEX('Parâmetros'!$B$4:$J3001,,MATCH(Exames!F1871,'Parâmetros'!$B$3:$J$3,0))),"")</f>
        <v/>
      </c>
    </row>
    <row r="1874">
      <c r="A1874" s="29" t="str">
        <f t="array" ref="A1874">IFNA(TRANSPOSE(INDEX('Parâmetros'!$B$4:$J3001,,MATCH(Exames!F1872,'Parâmetros'!$B$3:$J$3,0))),"")</f>
        <v/>
      </c>
    </row>
    <row r="1875">
      <c r="A1875" s="29" t="str">
        <f t="array" ref="A1875">IFNA(TRANSPOSE(INDEX('Parâmetros'!$B$4:$J3001,,MATCH(Exames!F1873,'Parâmetros'!$B$3:$J$3,0))),"")</f>
        <v/>
      </c>
    </row>
    <row r="1876">
      <c r="A1876" s="29" t="str">
        <f t="array" ref="A1876">IFNA(TRANSPOSE(INDEX('Parâmetros'!$B$4:$J3001,,MATCH(Exames!F1874,'Parâmetros'!$B$3:$J$3,0))),"")</f>
        <v/>
      </c>
    </row>
    <row r="1877">
      <c r="A1877" s="29" t="str">
        <f t="array" ref="A1877">IFNA(TRANSPOSE(INDEX('Parâmetros'!$B$4:$J3001,,MATCH(Exames!F1875,'Parâmetros'!$B$3:$J$3,0))),"")</f>
        <v/>
      </c>
    </row>
    <row r="1878">
      <c r="A1878" s="29" t="str">
        <f t="array" ref="A1878">IFNA(TRANSPOSE(INDEX('Parâmetros'!$B$4:$J3001,,MATCH(Exames!F1876,'Parâmetros'!$B$3:$J$3,0))),"")</f>
        <v/>
      </c>
    </row>
    <row r="1879">
      <c r="A1879" s="29" t="str">
        <f t="array" ref="A1879">IFNA(TRANSPOSE(INDEX('Parâmetros'!$B$4:$J3001,,MATCH(Exames!F1877,'Parâmetros'!$B$3:$J$3,0))),"")</f>
        <v/>
      </c>
    </row>
    <row r="1880">
      <c r="A1880" s="29" t="str">
        <f t="array" ref="A1880">IFNA(TRANSPOSE(INDEX('Parâmetros'!$B$4:$J3001,,MATCH(Exames!F1878,'Parâmetros'!$B$3:$J$3,0))),"")</f>
        <v/>
      </c>
    </row>
    <row r="1881">
      <c r="A1881" s="29" t="str">
        <f t="array" ref="A1881">IFNA(TRANSPOSE(INDEX('Parâmetros'!$B$4:$J3001,,MATCH(Exames!F1879,'Parâmetros'!$B$3:$J$3,0))),"")</f>
        <v/>
      </c>
    </row>
    <row r="1882">
      <c r="A1882" s="29" t="str">
        <f t="array" ref="A1882">IFNA(TRANSPOSE(INDEX('Parâmetros'!$B$4:$J3001,,MATCH(Exames!F1880,'Parâmetros'!$B$3:$J$3,0))),"")</f>
        <v/>
      </c>
    </row>
    <row r="1883">
      <c r="A1883" s="29" t="str">
        <f t="array" ref="A1883">IFNA(TRANSPOSE(INDEX('Parâmetros'!$B$4:$J3001,,MATCH(Exames!F1881,'Parâmetros'!$B$3:$J$3,0))),"")</f>
        <v/>
      </c>
    </row>
    <row r="1884">
      <c r="A1884" s="29" t="str">
        <f t="array" ref="A1884">IFNA(TRANSPOSE(INDEX('Parâmetros'!$B$4:$J3001,,MATCH(Exames!F1882,'Parâmetros'!$B$3:$J$3,0))),"")</f>
        <v/>
      </c>
    </row>
    <row r="1885">
      <c r="A1885" s="29" t="str">
        <f t="array" ref="A1885">IFNA(TRANSPOSE(INDEX('Parâmetros'!$B$4:$J3001,,MATCH(Exames!F1883,'Parâmetros'!$B$3:$J$3,0))),"")</f>
        <v/>
      </c>
    </row>
    <row r="1886">
      <c r="A1886" s="29" t="str">
        <f t="array" ref="A1886">IFNA(TRANSPOSE(INDEX('Parâmetros'!$B$4:$J3001,,MATCH(Exames!F1884,'Parâmetros'!$B$3:$J$3,0))),"")</f>
        <v/>
      </c>
    </row>
    <row r="1887">
      <c r="A1887" s="29" t="str">
        <f t="array" ref="A1887">IFNA(TRANSPOSE(INDEX('Parâmetros'!$B$4:$J3001,,MATCH(Exames!F1885,'Parâmetros'!$B$3:$J$3,0))),"")</f>
        <v/>
      </c>
    </row>
    <row r="1888">
      <c r="A1888" s="29" t="str">
        <f t="array" ref="A1888">IFNA(TRANSPOSE(INDEX('Parâmetros'!$B$4:$J3001,,MATCH(Exames!F1886,'Parâmetros'!$B$3:$J$3,0))),"")</f>
        <v/>
      </c>
    </row>
    <row r="1889">
      <c r="A1889" s="29" t="str">
        <f t="array" ref="A1889">IFNA(TRANSPOSE(INDEX('Parâmetros'!$B$4:$J3001,,MATCH(Exames!F1887,'Parâmetros'!$B$3:$J$3,0))),"")</f>
        <v/>
      </c>
    </row>
    <row r="1890">
      <c r="A1890" s="29" t="str">
        <f t="array" ref="A1890">IFNA(TRANSPOSE(INDEX('Parâmetros'!$B$4:$J3001,,MATCH(Exames!F1888,'Parâmetros'!$B$3:$J$3,0))),"")</f>
        <v/>
      </c>
    </row>
    <row r="1891">
      <c r="A1891" s="29" t="str">
        <f t="array" ref="A1891">IFNA(TRANSPOSE(INDEX('Parâmetros'!$B$4:$J3001,,MATCH(Exames!F1889,'Parâmetros'!$B$3:$J$3,0))),"")</f>
        <v/>
      </c>
    </row>
    <row r="1892">
      <c r="A1892" s="29" t="str">
        <f t="array" ref="A1892">IFNA(TRANSPOSE(INDEX('Parâmetros'!$B$4:$J3001,,MATCH(Exames!F1890,'Parâmetros'!$B$3:$J$3,0))),"")</f>
        <v/>
      </c>
    </row>
    <row r="1893">
      <c r="A1893" s="29" t="str">
        <f t="array" ref="A1893">IFNA(TRANSPOSE(INDEX('Parâmetros'!$B$4:$J3001,,MATCH(Exames!F1891,'Parâmetros'!$B$3:$J$3,0))),"")</f>
        <v/>
      </c>
    </row>
    <row r="1894">
      <c r="A1894" s="29" t="str">
        <f t="array" ref="A1894">IFNA(TRANSPOSE(INDEX('Parâmetros'!$B$4:$J3001,,MATCH(Exames!F1892,'Parâmetros'!$B$3:$J$3,0))),"")</f>
        <v/>
      </c>
    </row>
    <row r="1895">
      <c r="A1895" s="29" t="str">
        <f t="array" ref="A1895">IFNA(TRANSPOSE(INDEX('Parâmetros'!$B$4:$J3001,,MATCH(Exames!F1893,'Parâmetros'!$B$3:$J$3,0))),"")</f>
        <v/>
      </c>
    </row>
    <row r="1896">
      <c r="A1896" s="29" t="str">
        <f t="array" ref="A1896">IFNA(TRANSPOSE(INDEX('Parâmetros'!$B$4:$J3001,,MATCH(Exames!F1894,'Parâmetros'!$B$3:$J$3,0))),"")</f>
        <v/>
      </c>
    </row>
    <row r="1897">
      <c r="A1897" s="29" t="str">
        <f t="array" ref="A1897">IFNA(TRANSPOSE(INDEX('Parâmetros'!$B$4:$J3001,,MATCH(Exames!F1895,'Parâmetros'!$B$3:$J$3,0))),"")</f>
        <v/>
      </c>
    </row>
    <row r="1898">
      <c r="A1898" s="29" t="str">
        <f t="array" ref="A1898">IFNA(TRANSPOSE(INDEX('Parâmetros'!$B$4:$J3001,,MATCH(Exames!F1896,'Parâmetros'!$B$3:$J$3,0))),"")</f>
        <v/>
      </c>
    </row>
    <row r="1899">
      <c r="A1899" s="29" t="str">
        <f t="array" ref="A1899">IFNA(TRANSPOSE(INDEX('Parâmetros'!$B$4:$J3001,,MATCH(Exames!F1897,'Parâmetros'!$B$3:$J$3,0))),"")</f>
        <v/>
      </c>
    </row>
    <row r="1900">
      <c r="A1900" s="29" t="str">
        <f t="array" ref="A1900">IFNA(TRANSPOSE(INDEX('Parâmetros'!$B$4:$J3001,,MATCH(Exames!F1898,'Parâmetros'!$B$3:$J$3,0))),"")</f>
        <v/>
      </c>
    </row>
    <row r="1901">
      <c r="A1901" s="29" t="str">
        <f t="array" ref="A1901">IFNA(TRANSPOSE(INDEX('Parâmetros'!$B$4:$J3001,,MATCH(Exames!F1899,'Parâmetros'!$B$3:$J$3,0))),"")</f>
        <v/>
      </c>
    </row>
    <row r="1902">
      <c r="A1902" s="29" t="str">
        <f t="array" ref="A1902">IFNA(TRANSPOSE(INDEX('Parâmetros'!$B$4:$J3001,,MATCH(Exames!F1900,'Parâmetros'!$B$3:$J$3,0))),"")</f>
        <v/>
      </c>
    </row>
    <row r="1903">
      <c r="A1903" s="29" t="str">
        <f t="array" ref="A1903">IFNA(TRANSPOSE(INDEX('Parâmetros'!$B$4:$J3001,,MATCH(Exames!F1901,'Parâmetros'!$B$3:$J$3,0))),"")</f>
        <v/>
      </c>
    </row>
    <row r="1904">
      <c r="A1904" s="29" t="str">
        <f t="array" ref="A1904">IFNA(TRANSPOSE(INDEX('Parâmetros'!$B$4:$J3001,,MATCH(Exames!F1902,'Parâmetros'!$B$3:$J$3,0))),"")</f>
        <v/>
      </c>
    </row>
    <row r="1905">
      <c r="A1905" s="29" t="str">
        <f t="array" ref="A1905">IFNA(TRANSPOSE(INDEX('Parâmetros'!$B$4:$J3001,,MATCH(Exames!F1903,'Parâmetros'!$B$3:$J$3,0))),"")</f>
        <v/>
      </c>
    </row>
    <row r="1906">
      <c r="A1906" s="29" t="str">
        <f t="array" ref="A1906">IFNA(TRANSPOSE(INDEX('Parâmetros'!$B$4:$J3001,,MATCH(Exames!F1904,'Parâmetros'!$B$3:$J$3,0))),"")</f>
        <v/>
      </c>
    </row>
    <row r="1907">
      <c r="A1907" s="29" t="str">
        <f t="array" ref="A1907">IFNA(TRANSPOSE(INDEX('Parâmetros'!$B$4:$J3001,,MATCH(Exames!F1905,'Parâmetros'!$B$3:$J$3,0))),"")</f>
        <v/>
      </c>
    </row>
    <row r="1908">
      <c r="A1908" s="29" t="str">
        <f t="array" ref="A1908">IFNA(TRANSPOSE(INDEX('Parâmetros'!$B$4:$J3001,,MATCH(Exames!F1906,'Parâmetros'!$B$3:$J$3,0))),"")</f>
        <v/>
      </c>
    </row>
    <row r="1909">
      <c r="A1909" s="29" t="str">
        <f t="array" ref="A1909">IFNA(TRANSPOSE(INDEX('Parâmetros'!$B$4:$J3001,,MATCH(Exames!F1907,'Parâmetros'!$B$3:$J$3,0))),"")</f>
        <v/>
      </c>
    </row>
    <row r="1910">
      <c r="A1910" s="29" t="str">
        <f t="array" ref="A1910">IFNA(TRANSPOSE(INDEX('Parâmetros'!$B$4:$J3001,,MATCH(Exames!F1908,'Parâmetros'!$B$3:$J$3,0))),"")</f>
        <v/>
      </c>
    </row>
    <row r="1911">
      <c r="A1911" s="29" t="str">
        <f t="array" ref="A1911">IFNA(TRANSPOSE(INDEX('Parâmetros'!$B$4:$J3001,,MATCH(Exames!F1909,'Parâmetros'!$B$3:$J$3,0))),"")</f>
        <v/>
      </c>
    </row>
    <row r="1912">
      <c r="A1912" s="29" t="str">
        <f t="array" ref="A1912">IFNA(TRANSPOSE(INDEX('Parâmetros'!$B$4:$J3001,,MATCH(Exames!F1910,'Parâmetros'!$B$3:$J$3,0))),"")</f>
        <v/>
      </c>
    </row>
    <row r="1913">
      <c r="A1913" s="29" t="str">
        <f t="array" ref="A1913">IFNA(TRANSPOSE(INDEX('Parâmetros'!$B$4:$J3001,,MATCH(Exames!F1911,'Parâmetros'!$B$3:$J$3,0))),"")</f>
        <v/>
      </c>
    </row>
    <row r="1914">
      <c r="A1914" s="29" t="str">
        <f t="array" ref="A1914">IFNA(TRANSPOSE(INDEX('Parâmetros'!$B$4:$J3001,,MATCH(Exames!F1912,'Parâmetros'!$B$3:$J$3,0))),"")</f>
        <v/>
      </c>
    </row>
    <row r="1915">
      <c r="A1915" s="29" t="str">
        <f t="array" ref="A1915">IFNA(TRANSPOSE(INDEX('Parâmetros'!$B$4:$J3001,,MATCH(Exames!F1913,'Parâmetros'!$B$3:$J$3,0))),"")</f>
        <v/>
      </c>
    </row>
    <row r="1916">
      <c r="A1916" s="29" t="str">
        <f t="array" ref="A1916">IFNA(TRANSPOSE(INDEX('Parâmetros'!$B$4:$J3001,,MATCH(Exames!F1914,'Parâmetros'!$B$3:$J$3,0))),"")</f>
        <v/>
      </c>
    </row>
    <row r="1917">
      <c r="A1917" s="29" t="str">
        <f t="array" ref="A1917">IFNA(TRANSPOSE(INDEX('Parâmetros'!$B$4:$J3001,,MATCH(Exames!F1915,'Parâmetros'!$B$3:$J$3,0))),"")</f>
        <v/>
      </c>
    </row>
    <row r="1918">
      <c r="A1918" s="29" t="str">
        <f t="array" ref="A1918">IFNA(TRANSPOSE(INDEX('Parâmetros'!$B$4:$J3001,,MATCH(Exames!F1916,'Parâmetros'!$B$3:$J$3,0))),"")</f>
        <v/>
      </c>
    </row>
    <row r="1919">
      <c r="A1919" s="29" t="str">
        <f t="array" ref="A1919">IFNA(TRANSPOSE(INDEX('Parâmetros'!$B$4:$J3001,,MATCH(Exames!F1917,'Parâmetros'!$B$3:$J$3,0))),"")</f>
        <v/>
      </c>
    </row>
    <row r="1920">
      <c r="A1920" s="29" t="str">
        <f t="array" ref="A1920">IFNA(TRANSPOSE(INDEX('Parâmetros'!$B$4:$J3001,,MATCH(Exames!F1918,'Parâmetros'!$B$3:$J$3,0))),"")</f>
        <v/>
      </c>
    </row>
    <row r="1921">
      <c r="A1921" s="29" t="str">
        <f t="array" ref="A1921">IFNA(TRANSPOSE(INDEX('Parâmetros'!$B$4:$J3001,,MATCH(Exames!F1919,'Parâmetros'!$B$3:$J$3,0))),"")</f>
        <v/>
      </c>
    </row>
    <row r="1922">
      <c r="A1922" s="29" t="str">
        <f t="array" ref="A1922">IFNA(TRANSPOSE(INDEX('Parâmetros'!$B$4:$J3001,,MATCH(Exames!F1920,'Parâmetros'!$B$3:$J$3,0))),"")</f>
        <v/>
      </c>
    </row>
    <row r="1923">
      <c r="A1923" s="29" t="str">
        <f t="array" ref="A1923">IFNA(TRANSPOSE(INDEX('Parâmetros'!$B$4:$J3001,,MATCH(Exames!F1921,'Parâmetros'!$B$3:$J$3,0))),"")</f>
        <v/>
      </c>
    </row>
    <row r="1924">
      <c r="A1924" s="29" t="str">
        <f t="array" ref="A1924">IFNA(TRANSPOSE(INDEX('Parâmetros'!$B$4:$J3001,,MATCH(Exames!F1922,'Parâmetros'!$B$3:$J$3,0))),"")</f>
        <v/>
      </c>
    </row>
    <row r="1925">
      <c r="A1925" s="29" t="str">
        <f t="array" ref="A1925">IFNA(TRANSPOSE(INDEX('Parâmetros'!$B$4:$J3001,,MATCH(Exames!F1923,'Parâmetros'!$B$3:$J$3,0))),"")</f>
        <v/>
      </c>
    </row>
    <row r="1926">
      <c r="A1926" s="29" t="str">
        <f t="array" ref="A1926">IFNA(TRANSPOSE(INDEX('Parâmetros'!$B$4:$J3001,,MATCH(Exames!F1924,'Parâmetros'!$B$3:$J$3,0))),"")</f>
        <v/>
      </c>
    </row>
    <row r="1927">
      <c r="A1927" s="29" t="str">
        <f t="array" ref="A1927">IFNA(TRANSPOSE(INDEX('Parâmetros'!$B$4:$J3001,,MATCH(Exames!F1925,'Parâmetros'!$B$3:$J$3,0))),"")</f>
        <v/>
      </c>
    </row>
    <row r="1928">
      <c r="A1928" s="29" t="str">
        <f t="array" ref="A1928">IFNA(TRANSPOSE(INDEX('Parâmetros'!$B$4:$J3001,,MATCH(Exames!F1926,'Parâmetros'!$B$3:$J$3,0))),"")</f>
        <v/>
      </c>
    </row>
    <row r="1929">
      <c r="A1929" s="29" t="str">
        <f t="array" ref="A1929">IFNA(TRANSPOSE(INDEX('Parâmetros'!$B$4:$J3001,,MATCH(Exames!F1927,'Parâmetros'!$B$3:$J$3,0))),"")</f>
        <v/>
      </c>
    </row>
    <row r="1930">
      <c r="A1930" s="29" t="str">
        <f t="array" ref="A1930">IFNA(TRANSPOSE(INDEX('Parâmetros'!$B$4:$J3001,,MATCH(Exames!F1928,'Parâmetros'!$B$3:$J$3,0))),"")</f>
        <v/>
      </c>
    </row>
    <row r="1931">
      <c r="A1931" s="29" t="str">
        <f t="array" ref="A1931">IFNA(TRANSPOSE(INDEX('Parâmetros'!$B$4:$J3001,,MATCH(Exames!F1929,'Parâmetros'!$B$3:$J$3,0))),"")</f>
        <v/>
      </c>
    </row>
    <row r="1932">
      <c r="A1932" s="29" t="str">
        <f t="array" ref="A1932">IFNA(TRANSPOSE(INDEX('Parâmetros'!$B$4:$J3001,,MATCH(Exames!F1930,'Parâmetros'!$B$3:$J$3,0))),"")</f>
        <v/>
      </c>
    </row>
    <row r="1933">
      <c r="A1933" s="29" t="str">
        <f t="array" ref="A1933">IFNA(TRANSPOSE(INDEX('Parâmetros'!$B$4:$J3001,,MATCH(Exames!F1931,'Parâmetros'!$B$3:$J$3,0))),"")</f>
        <v/>
      </c>
    </row>
    <row r="1934">
      <c r="A1934" s="29" t="str">
        <f t="array" ref="A1934">IFNA(TRANSPOSE(INDEX('Parâmetros'!$B$4:$J3001,,MATCH(Exames!F1932,'Parâmetros'!$B$3:$J$3,0))),"")</f>
        <v/>
      </c>
    </row>
    <row r="1935">
      <c r="A1935" s="29" t="str">
        <f t="array" ref="A1935">IFNA(TRANSPOSE(INDEX('Parâmetros'!$B$4:$J3001,,MATCH(Exames!F1933,'Parâmetros'!$B$3:$J$3,0))),"")</f>
        <v/>
      </c>
    </row>
    <row r="1936">
      <c r="A1936" s="29" t="str">
        <f t="array" ref="A1936">IFNA(TRANSPOSE(INDEX('Parâmetros'!$B$4:$J3001,,MATCH(Exames!F1934,'Parâmetros'!$B$3:$J$3,0))),"")</f>
        <v/>
      </c>
    </row>
    <row r="1937">
      <c r="A1937" s="29" t="str">
        <f t="array" ref="A1937">IFNA(TRANSPOSE(INDEX('Parâmetros'!$B$4:$J3001,,MATCH(Exames!F1935,'Parâmetros'!$B$3:$J$3,0))),"")</f>
        <v/>
      </c>
    </row>
    <row r="1938">
      <c r="A1938" s="29" t="str">
        <f t="array" ref="A1938">IFNA(TRANSPOSE(INDEX('Parâmetros'!$B$4:$J3001,,MATCH(Exames!F1936,'Parâmetros'!$B$3:$J$3,0))),"")</f>
        <v/>
      </c>
    </row>
    <row r="1939">
      <c r="A1939" s="29" t="str">
        <f t="array" ref="A1939">IFNA(TRANSPOSE(INDEX('Parâmetros'!$B$4:$J3001,,MATCH(Exames!F1937,'Parâmetros'!$B$3:$J$3,0))),"")</f>
        <v/>
      </c>
    </row>
    <row r="1940">
      <c r="A1940" s="29" t="str">
        <f t="array" ref="A1940">IFNA(TRANSPOSE(INDEX('Parâmetros'!$B$4:$J3001,,MATCH(Exames!F1938,'Parâmetros'!$B$3:$J$3,0))),"")</f>
        <v/>
      </c>
    </row>
    <row r="1941">
      <c r="A1941" s="29" t="str">
        <f t="array" ref="A1941">IFNA(TRANSPOSE(INDEX('Parâmetros'!$B$4:$J3001,,MATCH(Exames!F1939,'Parâmetros'!$B$3:$J$3,0))),"")</f>
        <v/>
      </c>
    </row>
    <row r="1942">
      <c r="A1942" s="29" t="str">
        <f t="array" ref="A1942">IFNA(TRANSPOSE(INDEX('Parâmetros'!$B$4:$J3001,,MATCH(Exames!F1940,'Parâmetros'!$B$3:$J$3,0))),"")</f>
        <v/>
      </c>
    </row>
    <row r="1943">
      <c r="A1943" s="29" t="str">
        <f t="array" ref="A1943">IFNA(TRANSPOSE(INDEX('Parâmetros'!$B$4:$J3001,,MATCH(Exames!F1941,'Parâmetros'!$B$3:$J$3,0))),"")</f>
        <v/>
      </c>
    </row>
    <row r="1944">
      <c r="A1944" s="29" t="str">
        <f t="array" ref="A1944">IFNA(TRANSPOSE(INDEX('Parâmetros'!$B$4:$J3001,,MATCH(Exames!F1942,'Parâmetros'!$B$3:$J$3,0))),"")</f>
        <v/>
      </c>
    </row>
    <row r="1945">
      <c r="A1945" s="29" t="str">
        <f t="array" ref="A1945">IFNA(TRANSPOSE(INDEX('Parâmetros'!$B$4:$J3001,,MATCH(Exames!F1943,'Parâmetros'!$B$3:$J$3,0))),"")</f>
        <v/>
      </c>
    </row>
    <row r="1946">
      <c r="A1946" s="29" t="str">
        <f t="array" ref="A1946">IFNA(TRANSPOSE(INDEX('Parâmetros'!$B$4:$J3001,,MATCH(Exames!F1944,'Parâmetros'!$B$3:$J$3,0))),"")</f>
        <v/>
      </c>
    </row>
    <row r="1947">
      <c r="A1947" s="29" t="str">
        <f t="array" ref="A1947">IFNA(TRANSPOSE(INDEX('Parâmetros'!$B$4:$J3001,,MATCH(Exames!F1945,'Parâmetros'!$B$3:$J$3,0))),"")</f>
        <v/>
      </c>
    </row>
    <row r="1948">
      <c r="A1948" s="29" t="str">
        <f t="array" ref="A1948">IFNA(TRANSPOSE(INDEX('Parâmetros'!$B$4:$J3001,,MATCH(Exames!F1946,'Parâmetros'!$B$3:$J$3,0))),"")</f>
        <v/>
      </c>
    </row>
    <row r="1949">
      <c r="A1949" s="29" t="str">
        <f t="array" ref="A1949">IFNA(TRANSPOSE(INDEX('Parâmetros'!$B$4:$J3001,,MATCH(Exames!F1947,'Parâmetros'!$B$3:$J$3,0))),"")</f>
        <v/>
      </c>
    </row>
    <row r="1950">
      <c r="A1950" s="29" t="str">
        <f t="array" ref="A1950">IFNA(TRANSPOSE(INDEX('Parâmetros'!$B$4:$J3001,,MATCH(Exames!F1948,'Parâmetros'!$B$3:$J$3,0))),"")</f>
        <v/>
      </c>
    </row>
    <row r="1951">
      <c r="A1951" s="29" t="str">
        <f t="array" ref="A1951">IFNA(TRANSPOSE(INDEX('Parâmetros'!$B$4:$J3001,,MATCH(Exames!F1949,'Parâmetros'!$B$3:$J$3,0))),"")</f>
        <v/>
      </c>
    </row>
    <row r="1952">
      <c r="A1952" s="29" t="str">
        <f t="array" ref="A1952">IFNA(TRANSPOSE(INDEX('Parâmetros'!$B$4:$J3001,,MATCH(Exames!F1950,'Parâmetros'!$B$3:$J$3,0))),"")</f>
        <v/>
      </c>
    </row>
    <row r="1953">
      <c r="A1953" s="29" t="str">
        <f t="array" ref="A1953">IFNA(TRANSPOSE(INDEX('Parâmetros'!$B$4:$J3001,,MATCH(Exames!F1951,'Parâmetros'!$B$3:$J$3,0))),"")</f>
        <v/>
      </c>
    </row>
    <row r="1954">
      <c r="A1954" s="29" t="str">
        <f t="array" ref="A1954">IFNA(TRANSPOSE(INDEX('Parâmetros'!$B$4:$J3001,,MATCH(Exames!F1952,'Parâmetros'!$B$3:$J$3,0))),"")</f>
        <v/>
      </c>
    </row>
    <row r="1955">
      <c r="A1955" s="29" t="str">
        <f t="array" ref="A1955">IFNA(TRANSPOSE(INDEX('Parâmetros'!$B$4:$J3001,,MATCH(Exames!F1953,'Parâmetros'!$B$3:$J$3,0))),"")</f>
        <v/>
      </c>
    </row>
    <row r="1956">
      <c r="A1956" s="29" t="str">
        <f t="array" ref="A1956">IFNA(TRANSPOSE(INDEX('Parâmetros'!$B$4:$J3001,,MATCH(Exames!F1954,'Parâmetros'!$B$3:$J$3,0))),"")</f>
        <v/>
      </c>
    </row>
    <row r="1957">
      <c r="A1957" s="29" t="str">
        <f t="array" ref="A1957">IFNA(TRANSPOSE(INDEX('Parâmetros'!$B$4:$J3001,,MATCH(Exames!F1955,'Parâmetros'!$B$3:$J$3,0))),"")</f>
        <v/>
      </c>
    </row>
    <row r="1958">
      <c r="A1958" s="29" t="str">
        <f t="array" ref="A1958">IFNA(TRANSPOSE(INDEX('Parâmetros'!$B$4:$J3001,,MATCH(Exames!F1956,'Parâmetros'!$B$3:$J$3,0))),"")</f>
        <v/>
      </c>
    </row>
    <row r="1959">
      <c r="A1959" s="29" t="str">
        <f t="array" ref="A1959">IFNA(TRANSPOSE(INDEX('Parâmetros'!$B$4:$J3001,,MATCH(Exames!F1957,'Parâmetros'!$B$3:$J$3,0))),"")</f>
        <v/>
      </c>
    </row>
    <row r="1960">
      <c r="A1960" s="29" t="str">
        <f t="array" ref="A1960">IFNA(TRANSPOSE(INDEX('Parâmetros'!$B$4:$J3001,,MATCH(Exames!F1958,'Parâmetros'!$B$3:$J$3,0))),"")</f>
        <v/>
      </c>
    </row>
    <row r="1961">
      <c r="A1961" s="29" t="str">
        <f t="array" ref="A1961">IFNA(TRANSPOSE(INDEX('Parâmetros'!$B$4:$J3001,,MATCH(Exames!F1959,'Parâmetros'!$B$3:$J$3,0))),"")</f>
        <v/>
      </c>
    </row>
    <row r="1962">
      <c r="A1962" s="29" t="str">
        <f t="array" ref="A1962">IFNA(TRANSPOSE(INDEX('Parâmetros'!$B$4:$J3001,,MATCH(Exames!F1960,'Parâmetros'!$B$3:$J$3,0))),"")</f>
        <v/>
      </c>
    </row>
    <row r="1963">
      <c r="A1963" s="29" t="str">
        <f t="array" ref="A1963">IFNA(TRANSPOSE(INDEX('Parâmetros'!$B$4:$J3001,,MATCH(Exames!F1961,'Parâmetros'!$B$3:$J$3,0))),"")</f>
        <v/>
      </c>
    </row>
    <row r="1964">
      <c r="A1964" s="29" t="str">
        <f t="array" ref="A1964">IFNA(TRANSPOSE(INDEX('Parâmetros'!$B$4:$J3001,,MATCH(Exames!F1962,'Parâmetros'!$B$3:$J$3,0))),"")</f>
        <v/>
      </c>
    </row>
    <row r="1965">
      <c r="A1965" s="29" t="str">
        <f t="array" ref="A1965">IFNA(TRANSPOSE(INDEX('Parâmetros'!$B$4:$J3001,,MATCH(Exames!F1963,'Parâmetros'!$B$3:$J$3,0))),"")</f>
        <v/>
      </c>
    </row>
    <row r="1966">
      <c r="A1966" s="29" t="str">
        <f t="array" ref="A1966">IFNA(TRANSPOSE(INDEX('Parâmetros'!$B$4:$J3001,,MATCH(Exames!F1964,'Parâmetros'!$B$3:$J$3,0))),"")</f>
        <v/>
      </c>
    </row>
    <row r="1967">
      <c r="A1967" s="29" t="str">
        <f t="array" ref="A1967">IFNA(TRANSPOSE(INDEX('Parâmetros'!$B$4:$J3001,,MATCH(Exames!F1965,'Parâmetros'!$B$3:$J$3,0))),"")</f>
        <v/>
      </c>
    </row>
    <row r="1968">
      <c r="A1968" s="29" t="str">
        <f t="array" ref="A1968">IFNA(TRANSPOSE(INDEX('Parâmetros'!$B$4:$J3001,,MATCH(Exames!F1966,'Parâmetros'!$B$3:$J$3,0))),"")</f>
        <v/>
      </c>
    </row>
    <row r="1969">
      <c r="A1969" s="29" t="str">
        <f t="array" ref="A1969">IFNA(TRANSPOSE(INDEX('Parâmetros'!$B$4:$J3001,,MATCH(Exames!F1967,'Parâmetros'!$B$3:$J$3,0))),"")</f>
        <v/>
      </c>
    </row>
    <row r="1970">
      <c r="A1970" s="29" t="str">
        <f t="array" ref="A1970">IFNA(TRANSPOSE(INDEX('Parâmetros'!$B$4:$J3001,,MATCH(Exames!F1968,'Parâmetros'!$B$3:$J$3,0))),"")</f>
        <v/>
      </c>
    </row>
    <row r="1971">
      <c r="A1971" s="29" t="str">
        <f t="array" ref="A1971">IFNA(TRANSPOSE(INDEX('Parâmetros'!$B$4:$J3001,,MATCH(Exames!F1969,'Parâmetros'!$B$3:$J$3,0))),"")</f>
        <v/>
      </c>
    </row>
    <row r="1972">
      <c r="A1972" s="29" t="str">
        <f t="array" ref="A1972">IFNA(TRANSPOSE(INDEX('Parâmetros'!$B$4:$J3001,,MATCH(Exames!F1970,'Parâmetros'!$B$3:$J$3,0))),"")</f>
        <v/>
      </c>
    </row>
    <row r="1973">
      <c r="A1973" s="29" t="str">
        <f t="array" ref="A1973">IFNA(TRANSPOSE(INDEX('Parâmetros'!$B$4:$J3001,,MATCH(Exames!F1971,'Parâmetros'!$B$3:$J$3,0))),"")</f>
        <v/>
      </c>
    </row>
    <row r="1974">
      <c r="A1974" s="29" t="str">
        <f t="array" ref="A1974">IFNA(TRANSPOSE(INDEX('Parâmetros'!$B$4:$J3001,,MATCH(Exames!F1972,'Parâmetros'!$B$3:$J$3,0))),"")</f>
        <v/>
      </c>
    </row>
    <row r="1975">
      <c r="A1975" s="29" t="str">
        <f t="array" ref="A1975">IFNA(TRANSPOSE(INDEX('Parâmetros'!$B$4:$J3001,,MATCH(Exames!F1973,'Parâmetros'!$B$3:$J$3,0))),"")</f>
        <v/>
      </c>
    </row>
    <row r="1976">
      <c r="A1976" s="29" t="str">
        <f t="array" ref="A1976">IFNA(TRANSPOSE(INDEX('Parâmetros'!$B$4:$J3001,,MATCH(Exames!F1974,'Parâmetros'!$B$3:$J$3,0))),"")</f>
        <v/>
      </c>
    </row>
    <row r="1977">
      <c r="A1977" s="29" t="str">
        <f t="array" ref="A1977">IFNA(TRANSPOSE(INDEX('Parâmetros'!$B$4:$J3001,,MATCH(Exames!F1975,'Parâmetros'!$B$3:$J$3,0))),"")</f>
        <v/>
      </c>
    </row>
    <row r="1978">
      <c r="A1978" s="29" t="str">
        <f t="array" ref="A1978">IFNA(TRANSPOSE(INDEX('Parâmetros'!$B$4:$J3001,,MATCH(Exames!F1976,'Parâmetros'!$B$3:$J$3,0))),"")</f>
        <v/>
      </c>
    </row>
    <row r="1979">
      <c r="A1979" s="29" t="str">
        <f t="array" ref="A1979">IFNA(TRANSPOSE(INDEX('Parâmetros'!$B$4:$J3001,,MATCH(Exames!F1977,'Parâmetros'!$B$3:$J$3,0))),"")</f>
        <v/>
      </c>
    </row>
    <row r="1980">
      <c r="A1980" s="29" t="str">
        <f t="array" ref="A1980">IFNA(TRANSPOSE(INDEX('Parâmetros'!$B$4:$J3001,,MATCH(Exames!F1978,'Parâmetros'!$B$3:$J$3,0))),"")</f>
        <v/>
      </c>
    </row>
    <row r="1981">
      <c r="A1981" s="29" t="str">
        <f t="array" ref="A1981">IFNA(TRANSPOSE(INDEX('Parâmetros'!$B$4:$J3001,,MATCH(Exames!F1979,'Parâmetros'!$B$3:$J$3,0))),"")</f>
        <v/>
      </c>
    </row>
    <row r="1982">
      <c r="A1982" s="29" t="str">
        <f t="array" ref="A1982">IFNA(TRANSPOSE(INDEX('Parâmetros'!$B$4:$J3001,,MATCH(Exames!F1980,'Parâmetros'!$B$3:$J$3,0))),"")</f>
        <v/>
      </c>
    </row>
    <row r="1983">
      <c r="A1983" s="29" t="str">
        <f t="array" ref="A1983">IFNA(TRANSPOSE(INDEX('Parâmetros'!$B$4:$J3001,,MATCH(Exames!F1981,'Parâmetros'!$B$3:$J$3,0))),"")</f>
        <v/>
      </c>
    </row>
    <row r="1984">
      <c r="A1984" s="29" t="str">
        <f t="array" ref="A1984">IFNA(TRANSPOSE(INDEX('Parâmetros'!$B$4:$J3001,,MATCH(Exames!F1982,'Parâmetros'!$B$3:$J$3,0))),"")</f>
        <v/>
      </c>
    </row>
    <row r="1985">
      <c r="A1985" s="29" t="str">
        <f t="array" ref="A1985">IFNA(TRANSPOSE(INDEX('Parâmetros'!$B$4:$J3001,,MATCH(Exames!F1983,'Parâmetros'!$B$3:$J$3,0))),"")</f>
        <v/>
      </c>
    </row>
    <row r="1986">
      <c r="A1986" s="29" t="str">
        <f t="array" ref="A1986">IFNA(TRANSPOSE(INDEX('Parâmetros'!$B$4:$J3001,,MATCH(Exames!F1984,'Parâmetros'!$B$3:$J$3,0))),"")</f>
        <v/>
      </c>
    </row>
    <row r="1987">
      <c r="A1987" s="29" t="str">
        <f t="array" ref="A1987">IFNA(TRANSPOSE(INDEX('Parâmetros'!$B$4:$J3001,,MATCH(Exames!F1985,'Parâmetros'!$B$3:$J$3,0))),"")</f>
        <v/>
      </c>
    </row>
    <row r="1988">
      <c r="A1988" s="29" t="str">
        <f t="array" ref="A1988">IFNA(TRANSPOSE(INDEX('Parâmetros'!$B$4:$J3001,,MATCH(Exames!F1986,'Parâmetros'!$B$3:$J$3,0))),"")</f>
        <v/>
      </c>
    </row>
    <row r="1989">
      <c r="A1989" s="29" t="str">
        <f t="array" ref="A1989">IFNA(TRANSPOSE(INDEX('Parâmetros'!$B$4:$J3001,,MATCH(Exames!F1987,'Parâmetros'!$B$3:$J$3,0))),"")</f>
        <v/>
      </c>
    </row>
    <row r="1990">
      <c r="A1990" s="29" t="str">
        <f t="array" ref="A1990">IFNA(TRANSPOSE(INDEX('Parâmetros'!$B$4:$J3001,,MATCH(Exames!F1988,'Parâmetros'!$B$3:$J$3,0))),"")</f>
        <v/>
      </c>
    </row>
    <row r="1991">
      <c r="A1991" s="29" t="str">
        <f t="array" ref="A1991">IFNA(TRANSPOSE(INDEX('Parâmetros'!$B$4:$J3001,,MATCH(Exames!F1989,'Parâmetros'!$B$3:$J$3,0))),"")</f>
        <v/>
      </c>
    </row>
    <row r="1992">
      <c r="A1992" s="29" t="str">
        <f t="array" ref="A1992">IFNA(TRANSPOSE(INDEX('Parâmetros'!$B$4:$J3001,,MATCH(Exames!F1990,'Parâmetros'!$B$3:$J$3,0))),"")</f>
        <v/>
      </c>
    </row>
    <row r="1993">
      <c r="A1993" s="29" t="str">
        <f t="array" ref="A1993">IFNA(TRANSPOSE(INDEX('Parâmetros'!$B$4:$J3001,,MATCH(Exames!F1991,'Parâmetros'!$B$3:$J$3,0))),"")</f>
        <v/>
      </c>
    </row>
    <row r="1994">
      <c r="A1994" s="29" t="str">
        <f t="array" ref="A1994">IFNA(TRANSPOSE(INDEX('Parâmetros'!$B$4:$J3001,,MATCH(Exames!F1992,'Parâmetros'!$B$3:$J$3,0))),"")</f>
        <v/>
      </c>
    </row>
    <row r="1995">
      <c r="A1995" s="29" t="str">
        <f t="array" ref="A1995">IFNA(TRANSPOSE(INDEX('Parâmetros'!$B$4:$J3001,,MATCH(Exames!F1993,'Parâmetros'!$B$3:$J$3,0))),"")</f>
        <v/>
      </c>
    </row>
    <row r="1996">
      <c r="A1996" s="29" t="str">
        <f t="array" ref="A1996">IFNA(TRANSPOSE(INDEX('Parâmetros'!$B$4:$J3001,,MATCH(Exames!F1994,'Parâmetros'!$B$3:$J$3,0))),"")</f>
        <v/>
      </c>
    </row>
    <row r="1997">
      <c r="A1997" s="29" t="str">
        <f t="array" ref="A1997">IFNA(TRANSPOSE(INDEX('Parâmetros'!$B$4:$J3001,,MATCH(Exames!F1995,'Parâmetros'!$B$3:$J$3,0))),"")</f>
        <v/>
      </c>
    </row>
    <row r="1998">
      <c r="A1998" s="29" t="str">
        <f t="array" ref="A1998">IFNA(TRANSPOSE(INDEX('Parâmetros'!$B$4:$J3001,,MATCH(Exames!F1996,'Parâmetros'!$B$3:$J$3,0))),"")</f>
        <v/>
      </c>
    </row>
    <row r="1999">
      <c r="A1999" s="29" t="str">
        <f t="array" ref="A1999">IFNA(TRANSPOSE(INDEX('Parâmetros'!$B$4:$J3001,,MATCH(Exames!F1997,'Parâmetros'!$B$3:$J$3,0))),"")</f>
        <v/>
      </c>
    </row>
    <row r="2000">
      <c r="A2000" s="29" t="str">
        <f t="array" ref="A2000">IFNA(TRANSPOSE(INDEX('Parâmetros'!$B$4:$J3001,,MATCH(Exames!F1998,'Parâmetros'!$B$3:$J$3,0))),"")</f>
        <v/>
      </c>
    </row>
    <row r="2001">
      <c r="A2001" s="29" t="str">
        <f t="array" ref="A2001">IFNA(TRANSPOSE(INDEX('Parâmetros'!$B$4:$J3001,,MATCH(Exames!F1999,'Parâmetros'!$B$3:$J$3,0))),"")</f>
        <v/>
      </c>
    </row>
    <row r="2002">
      <c r="A2002" s="29" t="str">
        <f t="array" ref="A2002">IFNA(TRANSPOSE(INDEX('Parâmetros'!$B$4:$J3001,,MATCH(Exames!F2000,'Parâmetros'!$B$3:$J$3,0))),"")</f>
        <v/>
      </c>
    </row>
    <row r="2003">
      <c r="A2003" s="29" t="str">
        <f t="array" ref="A2003">IFNA(TRANSPOSE(INDEX('Parâmetros'!$B$4:$J3001,,MATCH(Exames!F2001,'Parâmetros'!$B$3:$J$3,0))),"")</f>
        <v/>
      </c>
    </row>
    <row r="2004">
      <c r="A2004" s="29" t="str">
        <f t="array" ref="A2004">IFNA(TRANSPOSE(INDEX('Parâmetros'!$B$4:$J3001,,MATCH(Exames!F2002,'Parâmetros'!$B$3:$J$3,0))),"")</f>
        <v/>
      </c>
    </row>
    <row r="2005">
      <c r="A2005" s="29" t="str">
        <f t="array" ref="A2005">IFNA(TRANSPOSE(INDEX('Parâmetros'!$B$4:$J3001,,MATCH(Exames!F2003,'Parâmetros'!$B$3:$J$3,0))),"")</f>
        <v/>
      </c>
    </row>
    <row r="2006">
      <c r="A2006" s="29" t="str">
        <f t="array" ref="A2006">IFNA(TRANSPOSE(INDEX('Parâmetros'!$B$4:$J3001,,MATCH(Exames!F2004,'Parâmetros'!$B$3:$J$3,0))),"")</f>
        <v/>
      </c>
    </row>
    <row r="2007">
      <c r="A2007" s="29" t="str">
        <f t="array" ref="A2007">IFNA(TRANSPOSE(INDEX('Parâmetros'!$B$4:$J3001,,MATCH(Exames!F2005,'Parâmetros'!$B$3:$J$3,0))),"")</f>
        <v/>
      </c>
    </row>
    <row r="2008">
      <c r="A2008" s="29" t="str">
        <f t="array" ref="A2008">IFNA(TRANSPOSE(INDEX('Parâmetros'!$B$4:$J3001,,MATCH(Exames!F2006,'Parâmetros'!$B$3:$J$3,0))),"")</f>
        <v/>
      </c>
    </row>
    <row r="2009">
      <c r="A2009" s="29" t="str">
        <f t="array" ref="A2009">IFNA(TRANSPOSE(INDEX('Parâmetros'!$B$4:$J3001,,MATCH(Exames!F2007,'Parâmetros'!$B$3:$J$3,0))),"")</f>
        <v/>
      </c>
    </row>
    <row r="2010">
      <c r="A2010" s="29" t="str">
        <f t="array" ref="A2010">IFNA(TRANSPOSE(INDEX('Parâmetros'!$B$4:$J3001,,MATCH(Exames!F2008,'Parâmetros'!$B$3:$J$3,0))),"")</f>
        <v/>
      </c>
    </row>
    <row r="2011">
      <c r="A2011" s="29" t="str">
        <f t="array" ref="A2011">IFNA(TRANSPOSE(INDEX('Parâmetros'!$B$4:$J3001,,MATCH(Exames!F2009,'Parâmetros'!$B$3:$J$3,0))),"")</f>
        <v/>
      </c>
    </row>
    <row r="2012">
      <c r="A2012" s="29" t="str">
        <f t="array" ref="A2012">IFNA(TRANSPOSE(INDEX('Parâmetros'!$B$4:$J3001,,MATCH(Exames!F2010,'Parâmetros'!$B$3:$J$3,0))),"")</f>
        <v/>
      </c>
    </row>
    <row r="2013">
      <c r="A2013" s="29" t="str">
        <f t="array" ref="A2013">IFNA(TRANSPOSE(INDEX('Parâmetros'!$B$4:$J3001,,MATCH(Exames!F2011,'Parâmetros'!$B$3:$J$3,0))),"")</f>
        <v/>
      </c>
    </row>
    <row r="2014">
      <c r="A2014" s="29" t="str">
        <f t="array" ref="A2014">IFNA(TRANSPOSE(INDEX('Parâmetros'!$B$4:$J3001,,MATCH(Exames!F2012,'Parâmetros'!$B$3:$J$3,0))),"")</f>
        <v/>
      </c>
    </row>
    <row r="2015">
      <c r="A2015" s="29" t="str">
        <f t="array" ref="A2015">IFNA(TRANSPOSE(INDEX('Parâmetros'!$B$4:$J3001,,MATCH(Exames!F2013,'Parâmetros'!$B$3:$J$3,0))),"")</f>
        <v/>
      </c>
    </row>
    <row r="2016">
      <c r="A2016" s="29" t="str">
        <f t="array" ref="A2016">IFNA(TRANSPOSE(INDEX('Parâmetros'!$B$4:$J3001,,MATCH(Exames!F2014,'Parâmetros'!$B$3:$J$3,0))),"")</f>
        <v/>
      </c>
    </row>
    <row r="2017">
      <c r="A2017" s="29" t="str">
        <f t="array" ref="A2017">IFNA(TRANSPOSE(INDEX('Parâmetros'!$B$4:$J3001,,MATCH(Exames!F2015,'Parâmetros'!$B$3:$J$3,0))),"")</f>
        <v/>
      </c>
    </row>
    <row r="2018">
      <c r="A2018" s="29" t="str">
        <f t="array" ref="A2018">IFNA(TRANSPOSE(INDEX('Parâmetros'!$B$4:$J3001,,MATCH(Exames!F2016,'Parâmetros'!$B$3:$J$3,0))),"")</f>
        <v/>
      </c>
    </row>
    <row r="2019">
      <c r="A2019" s="29" t="str">
        <f t="array" ref="A2019">IFNA(TRANSPOSE(INDEX('Parâmetros'!$B$4:$J3001,,MATCH(Exames!F2017,'Parâmetros'!$B$3:$J$3,0))),"")</f>
        <v/>
      </c>
    </row>
    <row r="2020">
      <c r="A2020" s="29" t="str">
        <f t="array" ref="A2020">IFNA(TRANSPOSE(INDEX('Parâmetros'!$B$4:$J3001,,MATCH(Exames!F2018,'Parâmetros'!$B$3:$J$3,0))),"")</f>
        <v/>
      </c>
    </row>
    <row r="2021">
      <c r="A2021" s="29" t="str">
        <f t="array" ref="A2021">IFNA(TRANSPOSE(INDEX('Parâmetros'!$B$4:$J3001,,MATCH(Exames!F2019,'Parâmetros'!$B$3:$J$3,0))),"")</f>
        <v/>
      </c>
    </row>
    <row r="2022">
      <c r="A2022" s="29" t="str">
        <f t="array" ref="A2022">IFNA(TRANSPOSE(INDEX('Parâmetros'!$B$4:$J3001,,MATCH(Exames!F2020,'Parâmetros'!$B$3:$J$3,0))),"")</f>
        <v/>
      </c>
    </row>
    <row r="2023">
      <c r="A2023" s="29" t="str">
        <f t="array" ref="A2023">IFNA(TRANSPOSE(INDEX('Parâmetros'!$B$4:$J3001,,MATCH(Exames!F2021,'Parâmetros'!$B$3:$J$3,0))),"")</f>
        <v/>
      </c>
    </row>
    <row r="2024">
      <c r="A2024" s="29" t="str">
        <f t="array" ref="A2024">IFNA(TRANSPOSE(INDEX('Parâmetros'!$B$4:$J3001,,MATCH(Exames!F2022,'Parâmetros'!$B$3:$J$3,0))),"")</f>
        <v/>
      </c>
    </row>
    <row r="2025">
      <c r="A2025" s="29" t="str">
        <f t="array" ref="A2025">IFNA(TRANSPOSE(INDEX('Parâmetros'!$B$4:$J3001,,MATCH(Exames!F2023,'Parâmetros'!$B$3:$J$3,0))),"")</f>
        <v/>
      </c>
    </row>
    <row r="2026">
      <c r="A2026" s="29" t="str">
        <f t="array" ref="A2026">IFNA(TRANSPOSE(INDEX('Parâmetros'!$B$4:$J3001,,MATCH(Exames!F2024,'Parâmetros'!$B$3:$J$3,0))),"")</f>
        <v/>
      </c>
    </row>
    <row r="2027">
      <c r="A2027" s="29" t="str">
        <f t="array" ref="A2027">IFNA(TRANSPOSE(INDEX('Parâmetros'!$B$4:$J3001,,MATCH(Exames!F2025,'Parâmetros'!$B$3:$J$3,0))),"")</f>
        <v/>
      </c>
    </row>
    <row r="2028">
      <c r="A2028" s="29" t="str">
        <f t="array" ref="A2028">IFNA(TRANSPOSE(INDEX('Parâmetros'!$B$4:$J3001,,MATCH(Exames!F2026,'Parâmetros'!$B$3:$J$3,0))),"")</f>
        <v/>
      </c>
    </row>
    <row r="2029">
      <c r="A2029" s="29" t="str">
        <f t="array" ref="A2029">IFNA(TRANSPOSE(INDEX('Parâmetros'!$B$4:$J3001,,MATCH(Exames!F2027,'Parâmetros'!$B$3:$J$3,0))),"")</f>
        <v/>
      </c>
    </row>
    <row r="2030">
      <c r="A2030" s="29" t="str">
        <f t="array" ref="A2030">IFNA(TRANSPOSE(INDEX('Parâmetros'!$B$4:$J3001,,MATCH(Exames!F2028,'Parâmetros'!$B$3:$J$3,0))),"")</f>
        <v/>
      </c>
    </row>
    <row r="2031">
      <c r="A2031" s="29" t="str">
        <f t="array" ref="A2031">IFNA(TRANSPOSE(INDEX('Parâmetros'!$B$4:$J3001,,MATCH(Exames!F2029,'Parâmetros'!$B$3:$J$3,0))),"")</f>
        <v/>
      </c>
    </row>
    <row r="2032">
      <c r="A2032" s="29" t="str">
        <f t="array" ref="A2032">IFNA(TRANSPOSE(INDEX('Parâmetros'!$B$4:$J3001,,MATCH(Exames!F2030,'Parâmetros'!$B$3:$J$3,0))),"")</f>
        <v/>
      </c>
    </row>
    <row r="2033">
      <c r="A2033" s="29" t="str">
        <f t="array" ref="A2033">IFNA(TRANSPOSE(INDEX('Parâmetros'!$B$4:$J3001,,MATCH(Exames!F2031,'Parâmetros'!$B$3:$J$3,0))),"")</f>
        <v/>
      </c>
    </row>
    <row r="2034">
      <c r="A2034" s="29" t="str">
        <f t="array" ref="A2034">IFNA(TRANSPOSE(INDEX('Parâmetros'!$B$4:$J3001,,MATCH(Exames!F2032,'Parâmetros'!$B$3:$J$3,0))),"")</f>
        <v/>
      </c>
    </row>
    <row r="2035">
      <c r="A2035" s="29" t="str">
        <f t="array" ref="A2035">IFNA(TRANSPOSE(INDEX('Parâmetros'!$B$4:$J3001,,MATCH(Exames!F2033,'Parâmetros'!$B$3:$J$3,0))),"")</f>
        <v/>
      </c>
    </row>
    <row r="2036">
      <c r="A2036" s="29" t="str">
        <f t="array" ref="A2036">IFNA(TRANSPOSE(INDEX('Parâmetros'!$B$4:$J3001,,MATCH(Exames!F2034,'Parâmetros'!$B$3:$J$3,0))),"")</f>
        <v/>
      </c>
    </row>
    <row r="2037">
      <c r="A2037" s="29" t="str">
        <f t="array" ref="A2037">IFNA(TRANSPOSE(INDEX('Parâmetros'!$B$4:$J3001,,MATCH(Exames!F2035,'Parâmetros'!$B$3:$J$3,0))),"")</f>
        <v/>
      </c>
    </row>
    <row r="2038">
      <c r="A2038" s="29" t="str">
        <f t="array" ref="A2038">IFNA(TRANSPOSE(INDEX('Parâmetros'!$B$4:$J3001,,MATCH(Exames!F2036,'Parâmetros'!$B$3:$J$3,0))),"")</f>
        <v/>
      </c>
    </row>
    <row r="2039">
      <c r="A2039" s="29" t="str">
        <f t="array" ref="A2039">IFNA(TRANSPOSE(INDEX('Parâmetros'!$B$4:$J3001,,MATCH(Exames!F2037,'Parâmetros'!$B$3:$J$3,0))),"")</f>
        <v/>
      </c>
    </row>
    <row r="2040">
      <c r="A2040" s="29" t="str">
        <f t="array" ref="A2040">IFNA(TRANSPOSE(INDEX('Parâmetros'!$B$4:$J3001,,MATCH(Exames!F2038,'Parâmetros'!$B$3:$J$3,0))),"")</f>
        <v/>
      </c>
    </row>
    <row r="2041">
      <c r="A2041" s="29" t="str">
        <f t="array" ref="A2041">IFNA(TRANSPOSE(INDEX('Parâmetros'!$B$4:$J3001,,MATCH(Exames!F2039,'Parâmetros'!$B$3:$J$3,0))),"")</f>
        <v/>
      </c>
    </row>
    <row r="2042">
      <c r="A2042" s="29" t="str">
        <f t="array" ref="A2042">IFNA(TRANSPOSE(INDEX('Parâmetros'!$B$4:$J3001,,MATCH(Exames!F2040,'Parâmetros'!$B$3:$J$3,0))),"")</f>
        <v/>
      </c>
    </row>
    <row r="2043">
      <c r="A2043" s="29" t="str">
        <f t="array" ref="A2043">IFNA(TRANSPOSE(INDEX('Parâmetros'!$B$4:$J3001,,MATCH(Exames!F2041,'Parâmetros'!$B$3:$J$3,0))),"")</f>
        <v/>
      </c>
    </row>
    <row r="2044">
      <c r="A2044" s="29" t="str">
        <f t="array" ref="A2044">IFNA(TRANSPOSE(INDEX('Parâmetros'!$B$4:$J3001,,MATCH(Exames!F2042,'Parâmetros'!$B$3:$J$3,0))),"")</f>
        <v/>
      </c>
    </row>
    <row r="2045">
      <c r="A2045" s="29" t="str">
        <f t="array" ref="A2045">IFNA(TRANSPOSE(INDEX('Parâmetros'!$B$4:$J3001,,MATCH(Exames!F2043,'Parâmetros'!$B$3:$J$3,0))),"")</f>
        <v/>
      </c>
    </row>
    <row r="2046">
      <c r="A2046" s="29" t="str">
        <f t="array" ref="A2046">IFNA(TRANSPOSE(INDEX('Parâmetros'!$B$4:$J3001,,MATCH(Exames!F2044,'Parâmetros'!$B$3:$J$3,0))),"")</f>
        <v/>
      </c>
    </row>
    <row r="2047">
      <c r="A2047" s="29" t="str">
        <f t="array" ref="A2047">IFNA(TRANSPOSE(INDEX('Parâmetros'!$B$4:$J3001,,MATCH(Exames!F2045,'Parâmetros'!$B$3:$J$3,0))),"")</f>
        <v/>
      </c>
    </row>
    <row r="2048">
      <c r="A2048" s="29" t="str">
        <f t="array" ref="A2048">IFNA(TRANSPOSE(INDEX('Parâmetros'!$B$4:$J3001,,MATCH(Exames!F2046,'Parâmetros'!$B$3:$J$3,0))),"")</f>
        <v/>
      </c>
    </row>
    <row r="2049">
      <c r="A2049" s="29" t="str">
        <f t="array" ref="A2049">IFNA(TRANSPOSE(INDEX('Parâmetros'!$B$4:$J3001,,MATCH(Exames!F2047,'Parâmetros'!$B$3:$J$3,0))),"")</f>
        <v/>
      </c>
    </row>
    <row r="2050">
      <c r="A2050" s="29" t="str">
        <f t="array" ref="A2050">IFNA(TRANSPOSE(INDEX('Parâmetros'!$B$4:$J3001,,MATCH(Exames!F2048,'Parâmetros'!$B$3:$J$3,0))),"")</f>
        <v/>
      </c>
    </row>
    <row r="2051">
      <c r="A2051" s="29" t="str">
        <f t="array" ref="A2051">IFNA(TRANSPOSE(INDEX('Parâmetros'!$B$4:$J3001,,MATCH(Exames!F2049,'Parâmetros'!$B$3:$J$3,0))),"")</f>
        <v/>
      </c>
    </row>
    <row r="2052">
      <c r="A2052" s="29" t="str">
        <f t="array" ref="A2052">IFNA(TRANSPOSE(INDEX('Parâmetros'!$B$4:$J3001,,MATCH(Exames!F2050,'Parâmetros'!$B$3:$J$3,0))),"")</f>
        <v/>
      </c>
    </row>
    <row r="2053">
      <c r="A2053" s="29" t="str">
        <f t="array" ref="A2053">IFNA(TRANSPOSE(INDEX('Parâmetros'!$B$4:$J3001,,MATCH(Exames!F2051,'Parâmetros'!$B$3:$J$3,0))),"")</f>
        <v/>
      </c>
    </row>
    <row r="2054">
      <c r="A2054" s="29" t="str">
        <f t="array" ref="A2054">IFNA(TRANSPOSE(INDEX('Parâmetros'!$B$4:$J3001,,MATCH(Exames!F2052,'Parâmetros'!$B$3:$J$3,0))),"")</f>
        <v/>
      </c>
    </row>
    <row r="2055">
      <c r="A2055" s="29" t="str">
        <f t="array" ref="A2055">IFNA(TRANSPOSE(INDEX('Parâmetros'!$B$4:$J3001,,MATCH(Exames!F2053,'Parâmetros'!$B$3:$J$3,0))),"")</f>
        <v/>
      </c>
    </row>
    <row r="2056">
      <c r="A2056" s="29" t="str">
        <f t="array" ref="A2056">IFNA(TRANSPOSE(INDEX('Parâmetros'!$B$4:$J3001,,MATCH(Exames!F2054,'Parâmetros'!$B$3:$J$3,0))),"")</f>
        <v/>
      </c>
    </row>
    <row r="2057">
      <c r="A2057" s="29" t="str">
        <f t="array" ref="A2057">IFNA(TRANSPOSE(INDEX('Parâmetros'!$B$4:$J3001,,MATCH(Exames!F2055,'Parâmetros'!$B$3:$J$3,0))),"")</f>
        <v/>
      </c>
    </row>
    <row r="2058">
      <c r="A2058" s="29" t="str">
        <f t="array" ref="A2058">IFNA(TRANSPOSE(INDEX('Parâmetros'!$B$4:$J3001,,MATCH(Exames!F2056,'Parâmetros'!$B$3:$J$3,0))),"")</f>
        <v/>
      </c>
    </row>
    <row r="2059">
      <c r="A2059" s="29" t="str">
        <f t="array" ref="A2059">IFNA(TRANSPOSE(INDEX('Parâmetros'!$B$4:$J3001,,MATCH(Exames!F2057,'Parâmetros'!$B$3:$J$3,0))),"")</f>
        <v/>
      </c>
    </row>
    <row r="2060">
      <c r="A2060" s="29" t="str">
        <f t="array" ref="A2060">IFNA(TRANSPOSE(INDEX('Parâmetros'!$B$4:$J3001,,MATCH(Exames!F2058,'Parâmetros'!$B$3:$J$3,0))),"")</f>
        <v/>
      </c>
    </row>
    <row r="2061">
      <c r="A2061" s="29" t="str">
        <f t="array" ref="A2061">IFNA(TRANSPOSE(INDEX('Parâmetros'!$B$4:$J3001,,MATCH(Exames!F2059,'Parâmetros'!$B$3:$J$3,0))),"")</f>
        <v/>
      </c>
    </row>
    <row r="2062">
      <c r="A2062" s="29" t="str">
        <f t="array" ref="A2062">IFNA(TRANSPOSE(INDEX('Parâmetros'!$B$4:$J3001,,MATCH(Exames!F2060,'Parâmetros'!$B$3:$J$3,0))),"")</f>
        <v/>
      </c>
    </row>
    <row r="2063">
      <c r="A2063" s="29" t="str">
        <f t="array" ref="A2063">IFNA(TRANSPOSE(INDEX('Parâmetros'!$B$4:$J3001,,MATCH(Exames!F2061,'Parâmetros'!$B$3:$J$3,0))),"")</f>
        <v/>
      </c>
    </row>
    <row r="2064">
      <c r="A2064" s="29" t="str">
        <f t="array" ref="A2064">IFNA(TRANSPOSE(INDEX('Parâmetros'!$B$4:$J3001,,MATCH(Exames!F2062,'Parâmetros'!$B$3:$J$3,0))),"")</f>
        <v/>
      </c>
    </row>
    <row r="2065">
      <c r="A2065" s="29" t="str">
        <f t="array" ref="A2065">IFNA(TRANSPOSE(INDEX('Parâmetros'!$B$4:$J3001,,MATCH(Exames!F2063,'Parâmetros'!$B$3:$J$3,0))),"")</f>
        <v/>
      </c>
    </row>
    <row r="2066">
      <c r="A2066" s="29" t="str">
        <f t="array" ref="A2066">IFNA(TRANSPOSE(INDEX('Parâmetros'!$B$4:$J3001,,MATCH(Exames!F2064,'Parâmetros'!$B$3:$J$3,0))),"")</f>
        <v/>
      </c>
    </row>
    <row r="2067">
      <c r="A2067" s="29" t="str">
        <f t="array" ref="A2067">IFNA(TRANSPOSE(INDEX('Parâmetros'!$B$4:$J3001,,MATCH(Exames!F2065,'Parâmetros'!$B$3:$J$3,0))),"")</f>
        <v/>
      </c>
    </row>
    <row r="2068">
      <c r="A2068" s="29" t="str">
        <f t="array" ref="A2068">IFNA(TRANSPOSE(INDEX('Parâmetros'!$B$4:$J3001,,MATCH(Exames!F2066,'Parâmetros'!$B$3:$J$3,0))),"")</f>
        <v/>
      </c>
    </row>
    <row r="2069">
      <c r="A2069" s="29" t="str">
        <f t="array" ref="A2069">IFNA(TRANSPOSE(INDEX('Parâmetros'!$B$4:$J3001,,MATCH(Exames!F2067,'Parâmetros'!$B$3:$J$3,0))),"")</f>
        <v/>
      </c>
    </row>
    <row r="2070">
      <c r="A2070" s="29" t="str">
        <f t="array" ref="A2070">IFNA(TRANSPOSE(INDEX('Parâmetros'!$B$4:$J3001,,MATCH(Exames!F2068,'Parâmetros'!$B$3:$J$3,0))),"")</f>
        <v/>
      </c>
    </row>
    <row r="2071">
      <c r="A2071" s="29" t="str">
        <f t="array" ref="A2071">IFNA(TRANSPOSE(INDEX('Parâmetros'!$B$4:$J3001,,MATCH(Exames!F2069,'Parâmetros'!$B$3:$J$3,0))),"")</f>
        <v/>
      </c>
    </row>
    <row r="2072">
      <c r="A2072" s="29" t="str">
        <f t="array" ref="A2072">IFNA(TRANSPOSE(INDEX('Parâmetros'!$B$4:$J3001,,MATCH(Exames!F2070,'Parâmetros'!$B$3:$J$3,0))),"")</f>
        <v/>
      </c>
    </row>
    <row r="2073">
      <c r="A2073" s="29" t="str">
        <f t="array" ref="A2073">IFNA(TRANSPOSE(INDEX('Parâmetros'!$B$4:$J3001,,MATCH(Exames!F2071,'Parâmetros'!$B$3:$J$3,0))),"")</f>
        <v/>
      </c>
    </row>
    <row r="2074">
      <c r="A2074" s="29" t="str">
        <f t="array" ref="A2074">IFNA(TRANSPOSE(INDEX('Parâmetros'!$B$4:$J3001,,MATCH(Exames!F2072,'Parâmetros'!$B$3:$J$3,0))),"")</f>
        <v/>
      </c>
    </row>
    <row r="2075">
      <c r="A2075" s="29" t="str">
        <f t="array" ref="A2075">IFNA(TRANSPOSE(INDEX('Parâmetros'!$B$4:$J3001,,MATCH(Exames!F2073,'Parâmetros'!$B$3:$J$3,0))),"")</f>
        <v/>
      </c>
    </row>
    <row r="2076">
      <c r="A2076" s="29" t="str">
        <f t="array" ref="A2076">IFNA(TRANSPOSE(INDEX('Parâmetros'!$B$4:$J3001,,MATCH(Exames!F2074,'Parâmetros'!$B$3:$J$3,0))),"")</f>
        <v/>
      </c>
    </row>
    <row r="2077">
      <c r="A2077" s="29" t="str">
        <f t="array" ref="A2077">IFNA(TRANSPOSE(INDEX('Parâmetros'!$B$4:$J3001,,MATCH(Exames!F2075,'Parâmetros'!$B$3:$J$3,0))),"")</f>
        <v/>
      </c>
    </row>
    <row r="2078">
      <c r="A2078" s="29" t="str">
        <f t="array" ref="A2078">IFNA(TRANSPOSE(INDEX('Parâmetros'!$B$4:$J3001,,MATCH(Exames!F2076,'Parâmetros'!$B$3:$J$3,0))),"")</f>
        <v/>
      </c>
    </row>
    <row r="2079">
      <c r="A2079" s="29" t="str">
        <f t="array" ref="A2079">IFNA(TRANSPOSE(INDEX('Parâmetros'!$B$4:$J3001,,MATCH(Exames!F2077,'Parâmetros'!$B$3:$J$3,0))),"")</f>
        <v/>
      </c>
    </row>
    <row r="2080">
      <c r="A2080" s="29" t="str">
        <f t="array" ref="A2080">IFNA(TRANSPOSE(INDEX('Parâmetros'!$B$4:$J3001,,MATCH(Exames!F2078,'Parâmetros'!$B$3:$J$3,0))),"")</f>
        <v/>
      </c>
    </row>
    <row r="2081">
      <c r="A2081" s="29" t="str">
        <f t="array" ref="A2081">IFNA(TRANSPOSE(INDEX('Parâmetros'!$B$4:$J3001,,MATCH(Exames!F2079,'Parâmetros'!$B$3:$J$3,0))),"")</f>
        <v/>
      </c>
    </row>
    <row r="2082">
      <c r="A2082" s="29" t="str">
        <f t="array" ref="A2082">IFNA(TRANSPOSE(INDEX('Parâmetros'!$B$4:$J3001,,MATCH(Exames!F2080,'Parâmetros'!$B$3:$J$3,0))),"")</f>
        <v/>
      </c>
    </row>
    <row r="2083">
      <c r="A2083" s="29" t="str">
        <f t="array" ref="A2083">IFNA(TRANSPOSE(INDEX('Parâmetros'!$B$4:$J3001,,MATCH(Exames!F2081,'Parâmetros'!$B$3:$J$3,0))),"")</f>
        <v/>
      </c>
    </row>
    <row r="2084">
      <c r="A2084" s="29" t="str">
        <f t="array" ref="A2084">IFNA(TRANSPOSE(INDEX('Parâmetros'!$B$4:$J3001,,MATCH(Exames!F2082,'Parâmetros'!$B$3:$J$3,0))),"")</f>
        <v/>
      </c>
    </row>
    <row r="2085">
      <c r="A2085" s="29" t="str">
        <f t="array" ref="A2085">IFNA(TRANSPOSE(INDEX('Parâmetros'!$B$4:$J3001,,MATCH(Exames!F2083,'Parâmetros'!$B$3:$J$3,0))),"")</f>
        <v/>
      </c>
    </row>
    <row r="2086">
      <c r="A2086" s="29" t="str">
        <f t="array" ref="A2086">IFNA(TRANSPOSE(INDEX('Parâmetros'!$B$4:$J3001,,MATCH(Exames!F2084,'Parâmetros'!$B$3:$J$3,0))),"")</f>
        <v/>
      </c>
    </row>
    <row r="2087">
      <c r="A2087" s="29" t="str">
        <f t="array" ref="A2087">IFNA(TRANSPOSE(INDEX('Parâmetros'!$B$4:$J3001,,MATCH(Exames!F2085,'Parâmetros'!$B$3:$J$3,0))),"")</f>
        <v/>
      </c>
    </row>
    <row r="2088">
      <c r="A2088" s="29" t="str">
        <f t="array" ref="A2088">IFNA(TRANSPOSE(INDEX('Parâmetros'!$B$4:$J3001,,MATCH(Exames!F2086,'Parâmetros'!$B$3:$J$3,0))),"")</f>
        <v/>
      </c>
    </row>
    <row r="2089">
      <c r="A2089" s="29" t="str">
        <f t="array" ref="A2089">IFNA(TRANSPOSE(INDEX('Parâmetros'!$B$4:$J3001,,MATCH(Exames!F2087,'Parâmetros'!$B$3:$J$3,0))),"")</f>
        <v/>
      </c>
    </row>
    <row r="2090">
      <c r="A2090" s="29" t="str">
        <f t="array" ref="A2090">IFNA(TRANSPOSE(INDEX('Parâmetros'!$B$4:$J3001,,MATCH(Exames!F2088,'Parâmetros'!$B$3:$J$3,0))),"")</f>
        <v/>
      </c>
    </row>
    <row r="2091">
      <c r="A2091" s="29" t="str">
        <f t="array" ref="A2091">IFNA(TRANSPOSE(INDEX('Parâmetros'!$B$4:$J3001,,MATCH(Exames!F2089,'Parâmetros'!$B$3:$J$3,0))),"")</f>
        <v/>
      </c>
    </row>
    <row r="2092">
      <c r="A2092" s="29" t="str">
        <f t="array" ref="A2092">IFNA(TRANSPOSE(INDEX('Parâmetros'!$B$4:$J3001,,MATCH(Exames!F2090,'Parâmetros'!$B$3:$J$3,0))),"")</f>
        <v/>
      </c>
    </row>
    <row r="2093">
      <c r="A2093" s="29" t="str">
        <f t="array" ref="A2093">IFNA(TRANSPOSE(INDEX('Parâmetros'!$B$4:$J3001,,MATCH(Exames!F2091,'Parâmetros'!$B$3:$J$3,0))),"")</f>
        <v/>
      </c>
    </row>
    <row r="2094">
      <c r="A2094" s="29" t="str">
        <f t="array" ref="A2094">IFNA(TRANSPOSE(INDEX('Parâmetros'!$B$4:$J3001,,MATCH(Exames!F2092,'Parâmetros'!$B$3:$J$3,0))),"")</f>
        <v/>
      </c>
    </row>
    <row r="2095">
      <c r="A2095" s="29" t="str">
        <f t="array" ref="A2095">IFNA(TRANSPOSE(INDEX('Parâmetros'!$B$4:$J3001,,MATCH(Exames!F2093,'Parâmetros'!$B$3:$J$3,0))),"")</f>
        <v/>
      </c>
    </row>
    <row r="2096">
      <c r="A2096" s="29" t="str">
        <f t="array" ref="A2096">IFNA(TRANSPOSE(INDEX('Parâmetros'!$B$4:$J3001,,MATCH(Exames!F2094,'Parâmetros'!$B$3:$J$3,0))),"")</f>
        <v/>
      </c>
    </row>
    <row r="2097">
      <c r="A2097" s="29" t="str">
        <f t="array" ref="A2097">IFNA(TRANSPOSE(INDEX('Parâmetros'!$B$4:$J3001,,MATCH(Exames!F2095,'Parâmetros'!$B$3:$J$3,0))),"")</f>
        <v/>
      </c>
    </row>
    <row r="2098">
      <c r="A2098" s="29" t="str">
        <f t="array" ref="A2098">IFNA(TRANSPOSE(INDEX('Parâmetros'!$B$4:$J3001,,MATCH(Exames!F2096,'Parâmetros'!$B$3:$J$3,0))),"")</f>
        <v/>
      </c>
    </row>
    <row r="2099">
      <c r="A2099" s="29" t="str">
        <f t="array" ref="A2099">IFNA(TRANSPOSE(INDEX('Parâmetros'!$B$4:$J3001,,MATCH(Exames!F2097,'Parâmetros'!$B$3:$J$3,0))),"")</f>
        <v/>
      </c>
    </row>
    <row r="2100">
      <c r="A2100" s="29" t="str">
        <f t="array" ref="A2100">IFNA(TRANSPOSE(INDEX('Parâmetros'!$B$4:$J3001,,MATCH(Exames!F2098,'Parâmetros'!$B$3:$J$3,0))),"")</f>
        <v/>
      </c>
    </row>
    <row r="2101">
      <c r="A2101" s="29" t="str">
        <f t="array" ref="A2101">IFNA(TRANSPOSE(INDEX('Parâmetros'!$B$4:$J3001,,MATCH(Exames!F2099,'Parâmetros'!$B$3:$J$3,0))),"")</f>
        <v/>
      </c>
    </row>
    <row r="2102">
      <c r="A2102" s="29" t="str">
        <f t="array" ref="A2102">IFNA(TRANSPOSE(INDEX('Parâmetros'!$B$4:$J3001,,MATCH(Exames!F2100,'Parâmetros'!$B$3:$J$3,0))),"")</f>
        <v/>
      </c>
    </row>
    <row r="2103">
      <c r="A2103" s="29" t="str">
        <f t="array" ref="A2103">IFNA(TRANSPOSE(INDEX('Parâmetros'!$B$4:$J3001,,MATCH(Exames!F2101,'Parâmetros'!$B$3:$J$3,0))),"")</f>
        <v/>
      </c>
    </row>
    <row r="2104">
      <c r="A2104" s="29" t="str">
        <f t="array" ref="A2104">IFNA(TRANSPOSE(INDEX('Parâmetros'!$B$4:$J3001,,MATCH(Exames!F2102,'Parâmetros'!$B$3:$J$3,0))),"")</f>
        <v/>
      </c>
    </row>
    <row r="2105">
      <c r="A2105" s="29" t="str">
        <f t="array" ref="A2105">IFNA(TRANSPOSE(INDEX('Parâmetros'!$B$4:$J3001,,MATCH(Exames!F2103,'Parâmetros'!$B$3:$J$3,0))),"")</f>
        <v/>
      </c>
    </row>
    <row r="2106">
      <c r="A2106" s="29" t="str">
        <f t="array" ref="A2106">IFNA(TRANSPOSE(INDEX('Parâmetros'!$B$4:$J3001,,MATCH(Exames!F2104,'Parâmetros'!$B$3:$J$3,0))),"")</f>
        <v/>
      </c>
    </row>
    <row r="2107">
      <c r="A2107" s="29" t="str">
        <f t="array" ref="A2107">IFNA(TRANSPOSE(INDEX('Parâmetros'!$B$4:$J3001,,MATCH(Exames!F2105,'Parâmetros'!$B$3:$J$3,0))),"")</f>
        <v/>
      </c>
    </row>
    <row r="2108">
      <c r="A2108" s="29" t="str">
        <f t="array" ref="A2108">IFNA(TRANSPOSE(INDEX('Parâmetros'!$B$4:$J3001,,MATCH(Exames!F2106,'Parâmetros'!$B$3:$J$3,0))),"")</f>
        <v/>
      </c>
    </row>
    <row r="2109">
      <c r="A2109" s="29" t="str">
        <f t="array" ref="A2109">IFNA(TRANSPOSE(INDEX('Parâmetros'!$B$4:$J3001,,MATCH(Exames!F2107,'Parâmetros'!$B$3:$J$3,0))),"")</f>
        <v/>
      </c>
    </row>
    <row r="2110">
      <c r="A2110" s="29" t="str">
        <f t="array" ref="A2110">IFNA(TRANSPOSE(INDEX('Parâmetros'!$B$4:$J3001,,MATCH(Exames!F2108,'Parâmetros'!$B$3:$J$3,0))),"")</f>
        <v/>
      </c>
    </row>
    <row r="2111">
      <c r="A2111" s="29" t="str">
        <f t="array" ref="A2111">IFNA(TRANSPOSE(INDEX('Parâmetros'!$B$4:$J3001,,MATCH(Exames!F2109,'Parâmetros'!$B$3:$J$3,0))),"")</f>
        <v/>
      </c>
    </row>
    <row r="2112">
      <c r="A2112" s="29" t="str">
        <f t="array" ref="A2112">IFNA(TRANSPOSE(INDEX('Parâmetros'!$B$4:$J3001,,MATCH(Exames!F2110,'Parâmetros'!$B$3:$J$3,0))),"")</f>
        <v/>
      </c>
    </row>
    <row r="2113">
      <c r="A2113" s="29" t="str">
        <f t="array" ref="A2113">IFNA(TRANSPOSE(INDEX('Parâmetros'!$B$4:$J3001,,MATCH(Exames!F2111,'Parâmetros'!$B$3:$J$3,0))),"")</f>
        <v/>
      </c>
    </row>
    <row r="2114">
      <c r="A2114" s="29" t="str">
        <f t="array" ref="A2114">IFNA(TRANSPOSE(INDEX('Parâmetros'!$B$4:$J3001,,MATCH(Exames!F2112,'Parâmetros'!$B$3:$J$3,0))),"")</f>
        <v/>
      </c>
    </row>
    <row r="2115">
      <c r="A2115" s="29" t="str">
        <f t="array" ref="A2115">IFNA(TRANSPOSE(INDEX('Parâmetros'!$B$4:$J3001,,MATCH(Exames!F2113,'Parâmetros'!$B$3:$J$3,0))),"")</f>
        <v/>
      </c>
    </row>
    <row r="2116">
      <c r="A2116" s="29" t="str">
        <f t="array" ref="A2116">IFNA(TRANSPOSE(INDEX('Parâmetros'!$B$4:$J3001,,MATCH(Exames!F2114,'Parâmetros'!$B$3:$J$3,0))),"")</f>
        <v/>
      </c>
    </row>
    <row r="2117">
      <c r="A2117" s="29" t="str">
        <f t="array" ref="A2117">IFNA(TRANSPOSE(INDEX('Parâmetros'!$B$4:$J3001,,MATCH(Exames!F2115,'Parâmetros'!$B$3:$J$3,0))),"")</f>
        <v/>
      </c>
    </row>
    <row r="2118">
      <c r="A2118" s="29" t="str">
        <f t="array" ref="A2118">IFNA(TRANSPOSE(INDEX('Parâmetros'!$B$4:$J3001,,MATCH(Exames!F2116,'Parâmetros'!$B$3:$J$3,0))),"")</f>
        <v/>
      </c>
    </row>
    <row r="2119">
      <c r="A2119" s="29" t="str">
        <f t="array" ref="A2119">IFNA(TRANSPOSE(INDEX('Parâmetros'!$B$4:$J3001,,MATCH(Exames!F2117,'Parâmetros'!$B$3:$J$3,0))),"")</f>
        <v/>
      </c>
    </row>
    <row r="2120">
      <c r="A2120" s="29" t="str">
        <f t="array" ref="A2120">IFNA(TRANSPOSE(INDEX('Parâmetros'!$B$4:$J3001,,MATCH(Exames!F2118,'Parâmetros'!$B$3:$J$3,0))),"")</f>
        <v/>
      </c>
    </row>
    <row r="2121">
      <c r="A2121" s="29" t="str">
        <f t="array" ref="A2121">IFNA(TRANSPOSE(INDEX('Parâmetros'!$B$4:$J3001,,MATCH(Exames!F2119,'Parâmetros'!$B$3:$J$3,0))),"")</f>
        <v/>
      </c>
    </row>
    <row r="2122">
      <c r="A2122" s="29" t="str">
        <f t="array" ref="A2122">IFNA(TRANSPOSE(INDEX('Parâmetros'!$B$4:$J3001,,MATCH(Exames!F2120,'Parâmetros'!$B$3:$J$3,0))),"")</f>
        <v/>
      </c>
    </row>
    <row r="2123">
      <c r="A2123" s="29" t="str">
        <f t="array" ref="A2123">IFNA(TRANSPOSE(INDEX('Parâmetros'!$B$4:$J3001,,MATCH(Exames!F2121,'Parâmetros'!$B$3:$J$3,0))),"")</f>
        <v/>
      </c>
    </row>
    <row r="2124">
      <c r="A2124" s="29" t="str">
        <f t="array" ref="A2124">IFNA(TRANSPOSE(INDEX('Parâmetros'!$B$4:$J3001,,MATCH(Exames!F2122,'Parâmetros'!$B$3:$J$3,0))),"")</f>
        <v/>
      </c>
    </row>
    <row r="2125">
      <c r="A2125" s="29" t="str">
        <f t="array" ref="A2125">IFNA(TRANSPOSE(INDEX('Parâmetros'!$B$4:$J3001,,MATCH(Exames!F2123,'Parâmetros'!$B$3:$J$3,0))),"")</f>
        <v/>
      </c>
    </row>
    <row r="2126">
      <c r="A2126" s="29" t="str">
        <f t="array" ref="A2126">IFNA(TRANSPOSE(INDEX('Parâmetros'!$B$4:$J3001,,MATCH(Exames!F2124,'Parâmetros'!$B$3:$J$3,0))),"")</f>
        <v/>
      </c>
    </row>
    <row r="2127">
      <c r="A2127" s="29" t="str">
        <f t="array" ref="A2127">IFNA(TRANSPOSE(INDEX('Parâmetros'!$B$4:$J3001,,MATCH(Exames!F2125,'Parâmetros'!$B$3:$J$3,0))),"")</f>
        <v/>
      </c>
    </row>
    <row r="2128">
      <c r="A2128" s="29" t="str">
        <f t="array" ref="A2128">IFNA(TRANSPOSE(INDEX('Parâmetros'!$B$4:$J3001,,MATCH(Exames!F2126,'Parâmetros'!$B$3:$J$3,0))),"")</f>
        <v/>
      </c>
    </row>
    <row r="2129">
      <c r="A2129" s="29" t="str">
        <f t="array" ref="A2129">IFNA(TRANSPOSE(INDEX('Parâmetros'!$B$4:$J3001,,MATCH(Exames!F2127,'Parâmetros'!$B$3:$J$3,0))),"")</f>
        <v/>
      </c>
    </row>
    <row r="2130">
      <c r="A2130" s="29" t="str">
        <f t="array" ref="A2130">IFNA(TRANSPOSE(INDEX('Parâmetros'!$B$4:$J3001,,MATCH(Exames!F2128,'Parâmetros'!$B$3:$J$3,0))),"")</f>
        <v/>
      </c>
    </row>
    <row r="2131">
      <c r="A2131" s="29" t="str">
        <f t="array" ref="A2131">IFNA(TRANSPOSE(INDEX('Parâmetros'!$B$4:$J3001,,MATCH(Exames!F2129,'Parâmetros'!$B$3:$J$3,0))),"")</f>
        <v/>
      </c>
    </row>
    <row r="2132">
      <c r="A2132" s="29" t="str">
        <f t="array" ref="A2132">IFNA(TRANSPOSE(INDEX('Parâmetros'!$B$4:$J3001,,MATCH(Exames!F2130,'Parâmetros'!$B$3:$J$3,0))),"")</f>
        <v/>
      </c>
    </row>
    <row r="2133">
      <c r="A2133" s="29" t="str">
        <f t="array" ref="A2133">IFNA(TRANSPOSE(INDEX('Parâmetros'!$B$4:$J3001,,MATCH(Exames!F2131,'Parâmetros'!$B$3:$J$3,0))),"")</f>
        <v/>
      </c>
    </row>
    <row r="2134">
      <c r="A2134" s="29" t="str">
        <f t="array" ref="A2134">IFNA(TRANSPOSE(INDEX('Parâmetros'!$B$4:$J3001,,MATCH(Exames!F2132,'Parâmetros'!$B$3:$J$3,0))),"")</f>
        <v/>
      </c>
    </row>
    <row r="2135">
      <c r="A2135" s="29" t="str">
        <f t="array" ref="A2135">IFNA(TRANSPOSE(INDEX('Parâmetros'!$B$4:$J3001,,MATCH(Exames!F2133,'Parâmetros'!$B$3:$J$3,0))),"")</f>
        <v/>
      </c>
    </row>
    <row r="2136">
      <c r="A2136" s="29" t="str">
        <f t="array" ref="A2136">IFNA(TRANSPOSE(INDEX('Parâmetros'!$B$4:$J3001,,MATCH(Exames!F2134,'Parâmetros'!$B$3:$J$3,0))),"")</f>
        <v/>
      </c>
    </row>
    <row r="2137">
      <c r="A2137" s="29" t="str">
        <f t="array" ref="A2137">IFNA(TRANSPOSE(INDEX('Parâmetros'!$B$4:$J3001,,MATCH(Exames!F2135,'Parâmetros'!$B$3:$J$3,0))),"")</f>
        <v/>
      </c>
    </row>
    <row r="2138">
      <c r="A2138" s="29" t="str">
        <f t="array" ref="A2138">IFNA(TRANSPOSE(INDEX('Parâmetros'!$B$4:$J3001,,MATCH(Exames!F2136,'Parâmetros'!$B$3:$J$3,0))),"")</f>
        <v/>
      </c>
    </row>
    <row r="2139">
      <c r="A2139" s="29" t="str">
        <f t="array" ref="A2139">IFNA(TRANSPOSE(INDEX('Parâmetros'!$B$4:$J3001,,MATCH(Exames!F2137,'Parâmetros'!$B$3:$J$3,0))),"")</f>
        <v/>
      </c>
    </row>
    <row r="2140">
      <c r="A2140" s="29" t="str">
        <f t="array" ref="A2140">IFNA(TRANSPOSE(INDEX('Parâmetros'!$B$4:$J3001,,MATCH(Exames!F2138,'Parâmetros'!$B$3:$J$3,0))),"")</f>
        <v/>
      </c>
    </row>
    <row r="2141">
      <c r="A2141" s="29" t="str">
        <f t="array" ref="A2141">IFNA(TRANSPOSE(INDEX('Parâmetros'!$B$4:$J3001,,MATCH(Exames!F2139,'Parâmetros'!$B$3:$J$3,0))),"")</f>
        <v/>
      </c>
    </row>
    <row r="2142">
      <c r="A2142" s="29" t="str">
        <f t="array" ref="A2142">IFNA(TRANSPOSE(INDEX('Parâmetros'!$B$4:$J3001,,MATCH(Exames!F2140,'Parâmetros'!$B$3:$J$3,0))),"")</f>
        <v/>
      </c>
    </row>
    <row r="2143">
      <c r="A2143" s="29" t="str">
        <f t="array" ref="A2143">IFNA(TRANSPOSE(INDEX('Parâmetros'!$B$4:$J3001,,MATCH(Exames!F2141,'Parâmetros'!$B$3:$J$3,0))),"")</f>
        <v/>
      </c>
    </row>
    <row r="2144">
      <c r="A2144" s="29" t="str">
        <f t="array" ref="A2144">IFNA(TRANSPOSE(INDEX('Parâmetros'!$B$4:$J3001,,MATCH(Exames!F2142,'Parâmetros'!$B$3:$J$3,0))),"")</f>
        <v/>
      </c>
    </row>
    <row r="2145">
      <c r="A2145" s="29" t="str">
        <f t="array" ref="A2145">IFNA(TRANSPOSE(INDEX('Parâmetros'!$B$4:$J3001,,MATCH(Exames!F2143,'Parâmetros'!$B$3:$J$3,0))),"")</f>
        <v/>
      </c>
    </row>
    <row r="2146">
      <c r="A2146" s="29" t="str">
        <f t="array" ref="A2146">IFNA(TRANSPOSE(INDEX('Parâmetros'!$B$4:$J3001,,MATCH(Exames!F2144,'Parâmetros'!$B$3:$J$3,0))),"")</f>
        <v/>
      </c>
    </row>
    <row r="2147">
      <c r="A2147" s="29" t="str">
        <f t="array" ref="A2147">IFNA(TRANSPOSE(INDEX('Parâmetros'!$B$4:$J3001,,MATCH(Exames!F2145,'Parâmetros'!$B$3:$J$3,0))),"")</f>
        <v/>
      </c>
    </row>
    <row r="2148">
      <c r="A2148" s="29" t="str">
        <f t="array" ref="A2148">IFNA(TRANSPOSE(INDEX('Parâmetros'!$B$4:$J3001,,MATCH(Exames!F2146,'Parâmetros'!$B$3:$J$3,0))),"")</f>
        <v/>
      </c>
    </row>
    <row r="2149">
      <c r="A2149" s="29" t="str">
        <f t="array" ref="A2149">IFNA(TRANSPOSE(INDEX('Parâmetros'!$B$4:$J3001,,MATCH(Exames!F2147,'Parâmetros'!$B$3:$J$3,0))),"")</f>
        <v/>
      </c>
    </row>
    <row r="2150">
      <c r="A2150" s="29" t="str">
        <f t="array" ref="A2150">IFNA(TRANSPOSE(INDEX('Parâmetros'!$B$4:$J3001,,MATCH(Exames!F2148,'Parâmetros'!$B$3:$J$3,0))),"")</f>
        <v/>
      </c>
    </row>
    <row r="2151">
      <c r="A2151" s="29" t="str">
        <f t="array" ref="A2151">IFNA(TRANSPOSE(INDEX('Parâmetros'!$B$4:$J3001,,MATCH(Exames!F2149,'Parâmetros'!$B$3:$J$3,0))),"")</f>
        <v/>
      </c>
    </row>
    <row r="2152">
      <c r="A2152" s="29" t="str">
        <f t="array" ref="A2152">IFNA(TRANSPOSE(INDEX('Parâmetros'!$B$4:$J3001,,MATCH(Exames!F2150,'Parâmetros'!$B$3:$J$3,0))),"")</f>
        <v/>
      </c>
    </row>
    <row r="2153">
      <c r="A2153" s="29" t="str">
        <f t="array" ref="A2153">IFNA(TRANSPOSE(INDEX('Parâmetros'!$B$4:$J3001,,MATCH(Exames!F2151,'Parâmetros'!$B$3:$J$3,0))),"")</f>
        <v/>
      </c>
    </row>
    <row r="2154">
      <c r="A2154" s="29" t="str">
        <f t="array" ref="A2154">IFNA(TRANSPOSE(INDEX('Parâmetros'!$B$4:$J3001,,MATCH(Exames!F2152,'Parâmetros'!$B$3:$J$3,0))),"")</f>
        <v/>
      </c>
    </row>
    <row r="2155">
      <c r="A2155" s="29" t="str">
        <f t="array" ref="A2155">IFNA(TRANSPOSE(INDEX('Parâmetros'!$B$4:$J3001,,MATCH(Exames!F2153,'Parâmetros'!$B$3:$J$3,0))),"")</f>
        <v/>
      </c>
    </row>
    <row r="2156">
      <c r="A2156" s="29" t="str">
        <f t="array" ref="A2156">IFNA(TRANSPOSE(INDEX('Parâmetros'!$B$4:$J3001,,MATCH(Exames!F2154,'Parâmetros'!$B$3:$J$3,0))),"")</f>
        <v/>
      </c>
    </row>
    <row r="2157">
      <c r="A2157" s="29" t="str">
        <f t="array" ref="A2157">IFNA(TRANSPOSE(INDEX('Parâmetros'!$B$4:$J3001,,MATCH(Exames!F2155,'Parâmetros'!$B$3:$J$3,0))),"")</f>
        <v/>
      </c>
    </row>
    <row r="2158">
      <c r="A2158" s="29" t="str">
        <f t="array" ref="A2158">IFNA(TRANSPOSE(INDEX('Parâmetros'!$B$4:$J3001,,MATCH(Exames!F2156,'Parâmetros'!$B$3:$J$3,0))),"")</f>
        <v/>
      </c>
    </row>
    <row r="2159">
      <c r="A2159" s="29" t="str">
        <f t="array" ref="A2159">IFNA(TRANSPOSE(INDEX('Parâmetros'!$B$4:$J3001,,MATCH(Exames!F2157,'Parâmetros'!$B$3:$J$3,0))),"")</f>
        <v/>
      </c>
    </row>
    <row r="2160">
      <c r="A2160" s="29" t="str">
        <f t="array" ref="A2160">IFNA(TRANSPOSE(INDEX('Parâmetros'!$B$4:$J3001,,MATCH(Exames!F2158,'Parâmetros'!$B$3:$J$3,0))),"")</f>
        <v/>
      </c>
    </row>
    <row r="2161">
      <c r="A2161" s="29" t="str">
        <f t="array" ref="A2161">IFNA(TRANSPOSE(INDEX('Parâmetros'!$B$4:$J3001,,MATCH(Exames!F2159,'Parâmetros'!$B$3:$J$3,0))),"")</f>
        <v/>
      </c>
    </row>
    <row r="2162">
      <c r="A2162" s="29" t="str">
        <f t="array" ref="A2162">IFNA(TRANSPOSE(INDEX('Parâmetros'!$B$4:$J3001,,MATCH(Exames!F2160,'Parâmetros'!$B$3:$J$3,0))),"")</f>
        <v/>
      </c>
    </row>
    <row r="2163">
      <c r="A2163" s="29" t="str">
        <f t="array" ref="A2163">IFNA(TRANSPOSE(INDEX('Parâmetros'!$B$4:$J3001,,MATCH(Exames!F2161,'Parâmetros'!$B$3:$J$3,0))),"")</f>
        <v/>
      </c>
    </row>
    <row r="2164">
      <c r="A2164" s="29" t="str">
        <f t="array" ref="A2164">IFNA(TRANSPOSE(INDEX('Parâmetros'!$B$4:$J3001,,MATCH(Exames!F2162,'Parâmetros'!$B$3:$J$3,0))),"")</f>
        <v/>
      </c>
    </row>
    <row r="2165">
      <c r="A2165" s="29" t="str">
        <f t="array" ref="A2165">IFNA(TRANSPOSE(INDEX('Parâmetros'!$B$4:$J3001,,MATCH(Exames!F2163,'Parâmetros'!$B$3:$J$3,0))),"")</f>
        <v/>
      </c>
    </row>
    <row r="2166">
      <c r="A2166" s="29" t="str">
        <f t="array" ref="A2166">IFNA(TRANSPOSE(INDEX('Parâmetros'!$B$4:$J3001,,MATCH(Exames!F2164,'Parâmetros'!$B$3:$J$3,0))),"")</f>
        <v/>
      </c>
    </row>
    <row r="2167">
      <c r="A2167" s="29" t="str">
        <f t="array" ref="A2167">IFNA(TRANSPOSE(INDEX('Parâmetros'!$B$4:$J3001,,MATCH(Exames!F2165,'Parâmetros'!$B$3:$J$3,0))),"")</f>
        <v/>
      </c>
    </row>
    <row r="2168">
      <c r="A2168" s="29" t="str">
        <f t="array" ref="A2168">IFNA(TRANSPOSE(INDEX('Parâmetros'!$B$4:$J3001,,MATCH(Exames!F2166,'Parâmetros'!$B$3:$J$3,0))),"")</f>
        <v/>
      </c>
    </row>
    <row r="2169">
      <c r="A2169" s="29" t="str">
        <f t="array" ref="A2169">IFNA(TRANSPOSE(INDEX('Parâmetros'!$B$4:$J3001,,MATCH(Exames!F2167,'Parâmetros'!$B$3:$J$3,0))),"")</f>
        <v/>
      </c>
    </row>
    <row r="2170">
      <c r="A2170" s="29" t="str">
        <f t="array" ref="A2170">IFNA(TRANSPOSE(INDEX('Parâmetros'!$B$4:$J3001,,MATCH(Exames!F2168,'Parâmetros'!$B$3:$J$3,0))),"")</f>
        <v/>
      </c>
    </row>
    <row r="2171">
      <c r="A2171" s="29" t="str">
        <f t="array" ref="A2171">IFNA(TRANSPOSE(INDEX('Parâmetros'!$B$4:$J3001,,MATCH(Exames!F2169,'Parâmetros'!$B$3:$J$3,0))),"")</f>
        <v/>
      </c>
    </row>
    <row r="2172">
      <c r="A2172" s="29" t="str">
        <f t="array" ref="A2172">IFNA(TRANSPOSE(INDEX('Parâmetros'!$B$4:$J3001,,MATCH(Exames!F2170,'Parâmetros'!$B$3:$J$3,0))),"")</f>
        <v/>
      </c>
    </row>
    <row r="2173">
      <c r="A2173" s="29" t="str">
        <f t="array" ref="A2173">IFNA(TRANSPOSE(INDEX('Parâmetros'!$B$4:$J3001,,MATCH(Exames!F2171,'Parâmetros'!$B$3:$J$3,0))),"")</f>
        <v/>
      </c>
    </row>
    <row r="2174">
      <c r="A2174" s="29" t="str">
        <f t="array" ref="A2174">IFNA(TRANSPOSE(INDEX('Parâmetros'!$B$4:$J3001,,MATCH(Exames!F2172,'Parâmetros'!$B$3:$J$3,0))),"")</f>
        <v/>
      </c>
    </row>
    <row r="2175">
      <c r="A2175" s="29" t="str">
        <f t="array" ref="A2175">IFNA(TRANSPOSE(INDEX('Parâmetros'!$B$4:$J3001,,MATCH(Exames!F2173,'Parâmetros'!$B$3:$J$3,0))),"")</f>
        <v/>
      </c>
    </row>
    <row r="2176">
      <c r="A2176" s="29" t="str">
        <f t="array" ref="A2176">IFNA(TRANSPOSE(INDEX('Parâmetros'!$B$4:$J3001,,MATCH(Exames!F2174,'Parâmetros'!$B$3:$J$3,0))),"")</f>
        <v/>
      </c>
    </row>
    <row r="2177">
      <c r="A2177" s="29" t="str">
        <f t="array" ref="A2177">IFNA(TRANSPOSE(INDEX('Parâmetros'!$B$4:$J3001,,MATCH(Exames!F2175,'Parâmetros'!$B$3:$J$3,0))),"")</f>
        <v/>
      </c>
    </row>
    <row r="2178">
      <c r="A2178" s="29" t="str">
        <f t="array" ref="A2178">IFNA(TRANSPOSE(INDEX('Parâmetros'!$B$4:$J3001,,MATCH(Exames!F2176,'Parâmetros'!$B$3:$J$3,0))),"")</f>
        <v/>
      </c>
    </row>
    <row r="2179">
      <c r="A2179" s="29" t="str">
        <f t="array" ref="A2179">IFNA(TRANSPOSE(INDEX('Parâmetros'!$B$4:$J3001,,MATCH(Exames!F2177,'Parâmetros'!$B$3:$J$3,0))),"")</f>
        <v/>
      </c>
    </row>
    <row r="2180">
      <c r="A2180" s="29" t="str">
        <f t="array" ref="A2180">IFNA(TRANSPOSE(INDEX('Parâmetros'!$B$4:$J3001,,MATCH(Exames!F2178,'Parâmetros'!$B$3:$J$3,0))),"")</f>
        <v/>
      </c>
    </row>
    <row r="2181">
      <c r="A2181" s="29" t="str">
        <f t="array" ref="A2181">IFNA(TRANSPOSE(INDEX('Parâmetros'!$B$4:$J3001,,MATCH(Exames!F2179,'Parâmetros'!$B$3:$J$3,0))),"")</f>
        <v/>
      </c>
    </row>
    <row r="2182">
      <c r="A2182" s="29" t="str">
        <f t="array" ref="A2182">IFNA(TRANSPOSE(INDEX('Parâmetros'!$B$4:$J3001,,MATCH(Exames!F2180,'Parâmetros'!$B$3:$J$3,0))),"")</f>
        <v/>
      </c>
    </row>
    <row r="2183">
      <c r="A2183" s="29" t="str">
        <f t="array" ref="A2183">IFNA(TRANSPOSE(INDEX('Parâmetros'!$B$4:$J3001,,MATCH(Exames!F2181,'Parâmetros'!$B$3:$J$3,0))),"")</f>
        <v/>
      </c>
    </row>
    <row r="2184">
      <c r="A2184" s="29" t="str">
        <f t="array" ref="A2184">IFNA(TRANSPOSE(INDEX('Parâmetros'!$B$4:$J3001,,MATCH(Exames!F2182,'Parâmetros'!$B$3:$J$3,0))),"")</f>
        <v/>
      </c>
    </row>
    <row r="2185">
      <c r="A2185" s="29" t="str">
        <f t="array" ref="A2185">IFNA(TRANSPOSE(INDEX('Parâmetros'!$B$4:$J3001,,MATCH(Exames!F2183,'Parâmetros'!$B$3:$J$3,0))),"")</f>
        <v/>
      </c>
    </row>
    <row r="2186">
      <c r="A2186" s="29" t="str">
        <f t="array" ref="A2186">IFNA(TRANSPOSE(INDEX('Parâmetros'!$B$4:$J3001,,MATCH(Exames!F2184,'Parâmetros'!$B$3:$J$3,0))),"")</f>
        <v/>
      </c>
    </row>
    <row r="2187">
      <c r="A2187" s="29" t="str">
        <f t="array" ref="A2187">IFNA(TRANSPOSE(INDEX('Parâmetros'!$B$4:$J3001,,MATCH(Exames!F2185,'Parâmetros'!$B$3:$J$3,0))),"")</f>
        <v/>
      </c>
    </row>
    <row r="2188">
      <c r="A2188" s="29" t="str">
        <f t="array" ref="A2188">IFNA(TRANSPOSE(INDEX('Parâmetros'!$B$4:$J3001,,MATCH(Exames!F2186,'Parâmetros'!$B$3:$J$3,0))),"")</f>
        <v/>
      </c>
    </row>
    <row r="2189">
      <c r="A2189" s="29" t="str">
        <f t="array" ref="A2189">IFNA(TRANSPOSE(INDEX('Parâmetros'!$B$4:$J3001,,MATCH(Exames!F2187,'Parâmetros'!$B$3:$J$3,0))),"")</f>
        <v/>
      </c>
    </row>
    <row r="2190">
      <c r="A2190" s="29" t="str">
        <f t="array" ref="A2190">IFNA(TRANSPOSE(INDEX('Parâmetros'!$B$4:$J3001,,MATCH(Exames!F2188,'Parâmetros'!$B$3:$J$3,0))),"")</f>
        <v/>
      </c>
    </row>
    <row r="2191">
      <c r="A2191" s="29" t="str">
        <f t="array" ref="A2191">IFNA(TRANSPOSE(INDEX('Parâmetros'!$B$4:$J3001,,MATCH(Exames!F2189,'Parâmetros'!$B$3:$J$3,0))),"")</f>
        <v/>
      </c>
    </row>
    <row r="2192">
      <c r="A2192" s="29" t="str">
        <f t="array" ref="A2192">IFNA(TRANSPOSE(INDEX('Parâmetros'!$B$4:$J3001,,MATCH(Exames!F2190,'Parâmetros'!$B$3:$J$3,0))),"")</f>
        <v/>
      </c>
    </row>
    <row r="2193">
      <c r="A2193" s="29" t="str">
        <f t="array" ref="A2193">IFNA(TRANSPOSE(INDEX('Parâmetros'!$B$4:$J3001,,MATCH(Exames!F2191,'Parâmetros'!$B$3:$J$3,0))),"")</f>
        <v/>
      </c>
    </row>
    <row r="2194">
      <c r="A2194" s="29" t="str">
        <f t="array" ref="A2194">IFNA(TRANSPOSE(INDEX('Parâmetros'!$B$4:$J3001,,MATCH(Exames!F2192,'Parâmetros'!$B$3:$J$3,0))),"")</f>
        <v/>
      </c>
    </row>
    <row r="2195">
      <c r="A2195" s="29" t="str">
        <f t="array" ref="A2195">IFNA(TRANSPOSE(INDEX('Parâmetros'!$B$4:$J3001,,MATCH(Exames!F2193,'Parâmetros'!$B$3:$J$3,0))),"")</f>
        <v/>
      </c>
    </row>
    <row r="2196">
      <c r="A2196" s="29" t="str">
        <f t="array" ref="A2196">IFNA(TRANSPOSE(INDEX('Parâmetros'!$B$4:$J3001,,MATCH(Exames!F2194,'Parâmetros'!$B$3:$J$3,0))),"")</f>
        <v/>
      </c>
    </row>
    <row r="2197">
      <c r="A2197" s="29" t="str">
        <f t="array" ref="A2197">IFNA(TRANSPOSE(INDEX('Parâmetros'!$B$4:$J3001,,MATCH(Exames!F2195,'Parâmetros'!$B$3:$J$3,0))),"")</f>
        <v/>
      </c>
    </row>
    <row r="2198">
      <c r="A2198" s="29" t="str">
        <f t="array" ref="A2198">IFNA(TRANSPOSE(INDEX('Parâmetros'!$B$4:$J3001,,MATCH(Exames!F2196,'Parâmetros'!$B$3:$J$3,0))),"")</f>
        <v/>
      </c>
    </row>
    <row r="2199">
      <c r="A2199" s="29" t="str">
        <f t="array" ref="A2199">IFNA(TRANSPOSE(INDEX('Parâmetros'!$B$4:$J3001,,MATCH(Exames!F2197,'Parâmetros'!$B$3:$J$3,0))),"")</f>
        <v/>
      </c>
    </row>
    <row r="2200">
      <c r="A2200" s="29" t="str">
        <f t="array" ref="A2200">IFNA(TRANSPOSE(INDEX('Parâmetros'!$B$4:$J3001,,MATCH(Exames!F2198,'Parâmetros'!$B$3:$J$3,0))),"")</f>
        <v/>
      </c>
    </row>
    <row r="2201">
      <c r="A2201" s="29" t="str">
        <f t="array" ref="A2201">IFNA(TRANSPOSE(INDEX('Parâmetros'!$B$4:$J3001,,MATCH(Exames!F2199,'Parâmetros'!$B$3:$J$3,0))),"")</f>
        <v/>
      </c>
    </row>
    <row r="2202">
      <c r="A2202" s="29" t="str">
        <f t="array" ref="A2202">IFNA(TRANSPOSE(INDEX('Parâmetros'!$B$4:$J3001,,MATCH(Exames!F2200,'Parâmetros'!$B$3:$J$3,0))),"")</f>
        <v/>
      </c>
    </row>
    <row r="2203">
      <c r="A2203" s="29" t="str">
        <f t="array" ref="A2203">IFNA(TRANSPOSE(INDEX('Parâmetros'!$B$4:$J3001,,MATCH(Exames!F2201,'Parâmetros'!$B$3:$J$3,0))),"")</f>
        <v/>
      </c>
    </row>
    <row r="2204">
      <c r="A2204" s="29" t="str">
        <f t="array" ref="A2204">IFNA(TRANSPOSE(INDEX('Parâmetros'!$B$4:$J3001,,MATCH(Exames!F2202,'Parâmetros'!$B$3:$J$3,0))),"")</f>
        <v/>
      </c>
    </row>
    <row r="2205">
      <c r="A2205" s="29" t="str">
        <f t="array" ref="A2205">IFNA(TRANSPOSE(INDEX('Parâmetros'!$B$4:$J3001,,MATCH(Exames!F2203,'Parâmetros'!$B$3:$J$3,0))),"")</f>
        <v/>
      </c>
    </row>
    <row r="2206">
      <c r="A2206" s="29" t="str">
        <f t="array" ref="A2206">IFNA(TRANSPOSE(INDEX('Parâmetros'!$B$4:$J3001,,MATCH(Exames!F2204,'Parâmetros'!$B$3:$J$3,0))),"")</f>
        <v/>
      </c>
    </row>
    <row r="2207">
      <c r="A2207" s="29" t="str">
        <f t="array" ref="A2207">IFNA(TRANSPOSE(INDEX('Parâmetros'!$B$4:$J3001,,MATCH(Exames!F2205,'Parâmetros'!$B$3:$J$3,0))),"")</f>
        <v/>
      </c>
    </row>
    <row r="2208">
      <c r="A2208" s="29" t="str">
        <f t="array" ref="A2208">IFNA(TRANSPOSE(INDEX('Parâmetros'!$B$4:$J3001,,MATCH(Exames!F2206,'Parâmetros'!$B$3:$J$3,0))),"")</f>
        <v/>
      </c>
    </row>
    <row r="2209">
      <c r="A2209" s="29" t="str">
        <f t="array" ref="A2209">IFNA(TRANSPOSE(INDEX('Parâmetros'!$B$4:$J3001,,MATCH(Exames!F2207,'Parâmetros'!$B$3:$J$3,0))),"")</f>
        <v/>
      </c>
    </row>
    <row r="2210">
      <c r="A2210" s="29" t="str">
        <f t="array" ref="A2210">IFNA(TRANSPOSE(INDEX('Parâmetros'!$B$4:$J3001,,MATCH(Exames!F2208,'Parâmetros'!$B$3:$J$3,0))),"")</f>
        <v/>
      </c>
    </row>
    <row r="2211">
      <c r="A2211" s="29" t="str">
        <f t="array" ref="A2211">IFNA(TRANSPOSE(INDEX('Parâmetros'!$B$4:$J3001,,MATCH(Exames!F2209,'Parâmetros'!$B$3:$J$3,0))),"")</f>
        <v/>
      </c>
    </row>
    <row r="2212">
      <c r="A2212" s="29" t="str">
        <f t="array" ref="A2212">IFNA(TRANSPOSE(INDEX('Parâmetros'!$B$4:$J3001,,MATCH(Exames!F2210,'Parâmetros'!$B$3:$J$3,0))),"")</f>
        <v/>
      </c>
    </row>
    <row r="2213">
      <c r="A2213" s="29" t="str">
        <f t="array" ref="A2213">IFNA(TRANSPOSE(INDEX('Parâmetros'!$B$4:$J3001,,MATCH(Exames!F2211,'Parâmetros'!$B$3:$J$3,0))),"")</f>
        <v/>
      </c>
    </row>
    <row r="2214">
      <c r="A2214" s="29" t="str">
        <f t="array" ref="A2214">IFNA(TRANSPOSE(INDEX('Parâmetros'!$B$4:$J3001,,MATCH(Exames!F2212,'Parâmetros'!$B$3:$J$3,0))),"")</f>
        <v/>
      </c>
    </row>
    <row r="2215">
      <c r="A2215" s="29" t="str">
        <f t="array" ref="A2215">IFNA(TRANSPOSE(INDEX('Parâmetros'!$B$4:$J3001,,MATCH(Exames!F2213,'Parâmetros'!$B$3:$J$3,0))),"")</f>
        <v/>
      </c>
    </row>
    <row r="2216">
      <c r="A2216" s="29" t="str">
        <f t="array" ref="A2216">IFNA(TRANSPOSE(INDEX('Parâmetros'!$B$4:$J3001,,MATCH(Exames!F2214,'Parâmetros'!$B$3:$J$3,0))),"")</f>
        <v/>
      </c>
    </row>
    <row r="2217">
      <c r="A2217" s="29" t="str">
        <f t="array" ref="A2217">IFNA(TRANSPOSE(INDEX('Parâmetros'!$B$4:$J3001,,MATCH(Exames!F2215,'Parâmetros'!$B$3:$J$3,0))),"")</f>
        <v/>
      </c>
    </row>
    <row r="2218">
      <c r="A2218" s="29" t="str">
        <f t="array" ref="A2218">IFNA(TRANSPOSE(INDEX('Parâmetros'!$B$4:$J3001,,MATCH(Exames!F2216,'Parâmetros'!$B$3:$J$3,0))),"")</f>
        <v/>
      </c>
    </row>
    <row r="2219">
      <c r="A2219" s="29" t="str">
        <f t="array" ref="A2219">IFNA(TRANSPOSE(INDEX('Parâmetros'!$B$4:$J3001,,MATCH(Exames!F2217,'Parâmetros'!$B$3:$J$3,0))),"")</f>
        <v/>
      </c>
    </row>
    <row r="2220">
      <c r="A2220" s="29" t="str">
        <f t="array" ref="A2220">IFNA(TRANSPOSE(INDEX('Parâmetros'!$B$4:$J3001,,MATCH(Exames!F2218,'Parâmetros'!$B$3:$J$3,0))),"")</f>
        <v/>
      </c>
    </row>
    <row r="2221">
      <c r="A2221" s="29" t="str">
        <f t="array" ref="A2221">IFNA(TRANSPOSE(INDEX('Parâmetros'!$B$4:$J3001,,MATCH(Exames!F2219,'Parâmetros'!$B$3:$J$3,0))),"")</f>
        <v/>
      </c>
    </row>
    <row r="2222">
      <c r="A2222" s="29" t="str">
        <f t="array" ref="A2222">IFNA(TRANSPOSE(INDEX('Parâmetros'!$B$4:$J3001,,MATCH(Exames!F2220,'Parâmetros'!$B$3:$J$3,0))),"")</f>
        <v/>
      </c>
    </row>
    <row r="2223">
      <c r="A2223" s="29" t="str">
        <f t="array" ref="A2223">IFNA(TRANSPOSE(INDEX('Parâmetros'!$B$4:$J3001,,MATCH(Exames!F2221,'Parâmetros'!$B$3:$J$3,0))),"")</f>
        <v/>
      </c>
    </row>
    <row r="2224">
      <c r="A2224" s="29" t="str">
        <f t="array" ref="A2224">IFNA(TRANSPOSE(INDEX('Parâmetros'!$B$4:$J3001,,MATCH(Exames!F2222,'Parâmetros'!$B$3:$J$3,0))),"")</f>
        <v/>
      </c>
    </row>
    <row r="2225">
      <c r="A2225" s="29" t="str">
        <f t="array" ref="A2225">IFNA(TRANSPOSE(INDEX('Parâmetros'!$B$4:$J3001,,MATCH(Exames!F2223,'Parâmetros'!$B$3:$J$3,0))),"")</f>
        <v/>
      </c>
    </row>
    <row r="2226">
      <c r="A2226" s="29" t="str">
        <f t="array" ref="A2226">IFNA(TRANSPOSE(INDEX('Parâmetros'!$B$4:$J3001,,MATCH(Exames!F2224,'Parâmetros'!$B$3:$J$3,0))),"")</f>
        <v/>
      </c>
    </row>
    <row r="2227">
      <c r="A2227" s="29" t="str">
        <f t="array" ref="A2227">IFNA(TRANSPOSE(INDEX('Parâmetros'!$B$4:$J3001,,MATCH(Exames!F2225,'Parâmetros'!$B$3:$J$3,0))),"")</f>
        <v/>
      </c>
    </row>
    <row r="2228">
      <c r="A2228" s="29" t="str">
        <f t="array" ref="A2228">IFNA(TRANSPOSE(INDEX('Parâmetros'!$B$4:$J3001,,MATCH(Exames!F2226,'Parâmetros'!$B$3:$J$3,0))),"")</f>
        <v/>
      </c>
    </row>
    <row r="2229">
      <c r="A2229" s="29" t="str">
        <f t="array" ref="A2229">IFNA(TRANSPOSE(INDEX('Parâmetros'!$B$4:$J3001,,MATCH(Exames!F2227,'Parâmetros'!$B$3:$J$3,0))),"")</f>
        <v/>
      </c>
    </row>
    <row r="2230">
      <c r="A2230" s="29" t="str">
        <f t="array" ref="A2230">IFNA(TRANSPOSE(INDEX('Parâmetros'!$B$4:$J3001,,MATCH(Exames!F2228,'Parâmetros'!$B$3:$J$3,0))),"")</f>
        <v/>
      </c>
    </row>
    <row r="2231">
      <c r="A2231" s="29" t="str">
        <f t="array" ref="A2231">IFNA(TRANSPOSE(INDEX('Parâmetros'!$B$4:$J3001,,MATCH(Exames!F2229,'Parâmetros'!$B$3:$J$3,0))),"")</f>
        <v/>
      </c>
    </row>
    <row r="2232">
      <c r="A2232" s="29" t="str">
        <f t="array" ref="A2232">IFNA(TRANSPOSE(INDEX('Parâmetros'!$B$4:$J3001,,MATCH(Exames!F2230,'Parâmetros'!$B$3:$J$3,0))),"")</f>
        <v/>
      </c>
    </row>
    <row r="2233">
      <c r="A2233" s="29" t="str">
        <f t="array" ref="A2233">IFNA(TRANSPOSE(INDEX('Parâmetros'!$B$4:$J3001,,MATCH(Exames!F2231,'Parâmetros'!$B$3:$J$3,0))),"")</f>
        <v/>
      </c>
    </row>
    <row r="2234">
      <c r="A2234" s="29" t="str">
        <f t="array" ref="A2234">IFNA(TRANSPOSE(INDEX('Parâmetros'!$B$4:$J3001,,MATCH(Exames!F2232,'Parâmetros'!$B$3:$J$3,0))),"")</f>
        <v/>
      </c>
    </row>
    <row r="2235">
      <c r="A2235" s="29" t="str">
        <f t="array" ref="A2235">IFNA(TRANSPOSE(INDEX('Parâmetros'!$B$4:$J3001,,MATCH(Exames!F2233,'Parâmetros'!$B$3:$J$3,0))),"")</f>
        <v/>
      </c>
    </row>
    <row r="2236">
      <c r="A2236" s="29" t="str">
        <f t="array" ref="A2236">IFNA(TRANSPOSE(INDEX('Parâmetros'!$B$4:$J3001,,MATCH(Exames!F2234,'Parâmetros'!$B$3:$J$3,0))),"")</f>
        <v/>
      </c>
    </row>
    <row r="2237">
      <c r="A2237" s="29" t="str">
        <f t="array" ref="A2237">IFNA(TRANSPOSE(INDEX('Parâmetros'!$B$4:$J3001,,MATCH(Exames!F2235,'Parâmetros'!$B$3:$J$3,0))),"")</f>
        <v/>
      </c>
    </row>
    <row r="2238">
      <c r="A2238" s="29" t="str">
        <f t="array" ref="A2238">IFNA(TRANSPOSE(INDEX('Parâmetros'!$B$4:$J3001,,MATCH(Exames!F2236,'Parâmetros'!$B$3:$J$3,0))),"")</f>
        <v/>
      </c>
    </row>
    <row r="2239">
      <c r="A2239" s="29" t="str">
        <f t="array" ref="A2239">IFNA(TRANSPOSE(INDEX('Parâmetros'!$B$4:$J3001,,MATCH(Exames!F2237,'Parâmetros'!$B$3:$J$3,0))),"")</f>
        <v/>
      </c>
    </row>
    <row r="2240">
      <c r="A2240" s="29" t="str">
        <f t="array" ref="A2240">IFNA(TRANSPOSE(INDEX('Parâmetros'!$B$4:$J3001,,MATCH(Exames!F2238,'Parâmetros'!$B$3:$J$3,0))),"")</f>
        <v/>
      </c>
    </row>
    <row r="2241">
      <c r="A2241" s="29" t="str">
        <f t="array" ref="A2241">IFNA(TRANSPOSE(INDEX('Parâmetros'!$B$4:$J3001,,MATCH(Exames!F2239,'Parâmetros'!$B$3:$J$3,0))),"")</f>
        <v/>
      </c>
    </row>
    <row r="2242">
      <c r="A2242" s="29" t="str">
        <f t="array" ref="A2242">IFNA(TRANSPOSE(INDEX('Parâmetros'!$B$4:$J3001,,MATCH(Exames!F2240,'Parâmetros'!$B$3:$J$3,0))),"")</f>
        <v/>
      </c>
    </row>
    <row r="2243">
      <c r="A2243" s="29" t="str">
        <f t="array" ref="A2243">IFNA(TRANSPOSE(INDEX('Parâmetros'!$B$4:$J3001,,MATCH(Exames!F2241,'Parâmetros'!$B$3:$J$3,0))),"")</f>
        <v/>
      </c>
    </row>
    <row r="2244">
      <c r="A2244" s="29" t="str">
        <f t="array" ref="A2244">IFNA(TRANSPOSE(INDEX('Parâmetros'!$B$4:$J3001,,MATCH(Exames!F2242,'Parâmetros'!$B$3:$J$3,0))),"")</f>
        <v/>
      </c>
    </row>
    <row r="2245">
      <c r="A2245" s="29" t="str">
        <f t="array" ref="A2245">IFNA(TRANSPOSE(INDEX('Parâmetros'!$B$4:$J3001,,MATCH(Exames!F2243,'Parâmetros'!$B$3:$J$3,0))),"")</f>
        <v/>
      </c>
    </row>
    <row r="2246">
      <c r="A2246" s="29" t="str">
        <f t="array" ref="A2246">IFNA(TRANSPOSE(INDEX('Parâmetros'!$B$4:$J3001,,MATCH(Exames!F2244,'Parâmetros'!$B$3:$J$3,0))),"")</f>
        <v/>
      </c>
    </row>
    <row r="2247">
      <c r="A2247" s="29" t="str">
        <f t="array" ref="A2247">IFNA(TRANSPOSE(INDEX('Parâmetros'!$B$4:$J3001,,MATCH(Exames!F2245,'Parâmetros'!$B$3:$J$3,0))),"")</f>
        <v/>
      </c>
    </row>
    <row r="2248">
      <c r="A2248" s="29" t="str">
        <f t="array" ref="A2248">IFNA(TRANSPOSE(INDEX('Parâmetros'!$B$4:$J3001,,MATCH(Exames!F2246,'Parâmetros'!$B$3:$J$3,0))),"")</f>
        <v/>
      </c>
    </row>
    <row r="2249">
      <c r="A2249" s="29" t="str">
        <f t="array" ref="A2249">IFNA(TRANSPOSE(INDEX('Parâmetros'!$B$4:$J3001,,MATCH(Exames!F2247,'Parâmetros'!$B$3:$J$3,0))),"")</f>
        <v/>
      </c>
    </row>
    <row r="2250">
      <c r="A2250" s="29" t="str">
        <f t="array" ref="A2250">IFNA(TRANSPOSE(INDEX('Parâmetros'!$B$4:$J3001,,MATCH(Exames!F2248,'Parâmetros'!$B$3:$J$3,0))),"")</f>
        <v/>
      </c>
    </row>
    <row r="2251">
      <c r="A2251" s="29" t="str">
        <f t="array" ref="A2251">IFNA(TRANSPOSE(INDEX('Parâmetros'!$B$4:$J3001,,MATCH(Exames!F2249,'Parâmetros'!$B$3:$J$3,0))),"")</f>
        <v/>
      </c>
    </row>
    <row r="2252">
      <c r="A2252" s="29" t="str">
        <f t="array" ref="A2252">IFNA(TRANSPOSE(INDEX('Parâmetros'!$B$4:$J3001,,MATCH(Exames!F2250,'Parâmetros'!$B$3:$J$3,0))),"")</f>
        <v/>
      </c>
    </row>
    <row r="2253">
      <c r="A2253" s="29" t="str">
        <f t="array" ref="A2253">IFNA(TRANSPOSE(INDEX('Parâmetros'!$B$4:$J3001,,MATCH(Exames!F2251,'Parâmetros'!$B$3:$J$3,0))),"")</f>
        <v/>
      </c>
    </row>
    <row r="2254">
      <c r="A2254" s="29" t="str">
        <f t="array" ref="A2254">IFNA(TRANSPOSE(INDEX('Parâmetros'!$B$4:$J3001,,MATCH(Exames!F2252,'Parâmetros'!$B$3:$J$3,0))),"")</f>
        <v/>
      </c>
    </row>
    <row r="2255">
      <c r="A2255" s="29" t="str">
        <f t="array" ref="A2255">IFNA(TRANSPOSE(INDEX('Parâmetros'!$B$4:$J3001,,MATCH(Exames!F2253,'Parâmetros'!$B$3:$J$3,0))),"")</f>
        <v/>
      </c>
    </row>
    <row r="2256">
      <c r="A2256" s="29" t="str">
        <f t="array" ref="A2256">IFNA(TRANSPOSE(INDEX('Parâmetros'!$B$4:$J3001,,MATCH(Exames!F2254,'Parâmetros'!$B$3:$J$3,0))),"")</f>
        <v/>
      </c>
    </row>
    <row r="2257">
      <c r="A2257" s="29" t="str">
        <f t="array" ref="A2257">IFNA(TRANSPOSE(INDEX('Parâmetros'!$B$4:$J3001,,MATCH(Exames!F2255,'Parâmetros'!$B$3:$J$3,0))),"")</f>
        <v/>
      </c>
    </row>
    <row r="2258">
      <c r="A2258" s="29" t="str">
        <f t="array" ref="A2258">IFNA(TRANSPOSE(INDEX('Parâmetros'!$B$4:$J3001,,MATCH(Exames!F2256,'Parâmetros'!$B$3:$J$3,0))),"")</f>
        <v/>
      </c>
    </row>
    <row r="2259">
      <c r="A2259" s="29" t="str">
        <f t="array" ref="A2259">IFNA(TRANSPOSE(INDEX('Parâmetros'!$B$4:$J3001,,MATCH(Exames!F2257,'Parâmetros'!$B$3:$J$3,0))),"")</f>
        <v/>
      </c>
    </row>
    <row r="2260">
      <c r="A2260" s="29" t="str">
        <f t="array" ref="A2260">IFNA(TRANSPOSE(INDEX('Parâmetros'!$B$4:$J3001,,MATCH(Exames!F2258,'Parâmetros'!$B$3:$J$3,0))),"")</f>
        <v/>
      </c>
    </row>
    <row r="2261">
      <c r="A2261" s="29" t="str">
        <f t="array" ref="A2261">IFNA(TRANSPOSE(INDEX('Parâmetros'!$B$4:$J3001,,MATCH(Exames!F2259,'Parâmetros'!$B$3:$J$3,0))),"")</f>
        <v/>
      </c>
    </row>
    <row r="2262">
      <c r="A2262" s="29" t="str">
        <f t="array" ref="A2262">IFNA(TRANSPOSE(INDEX('Parâmetros'!$B$4:$J3001,,MATCH(Exames!F2260,'Parâmetros'!$B$3:$J$3,0))),"")</f>
        <v/>
      </c>
    </row>
    <row r="2263">
      <c r="A2263" s="29" t="str">
        <f t="array" ref="A2263">IFNA(TRANSPOSE(INDEX('Parâmetros'!$B$4:$J3001,,MATCH(Exames!F2261,'Parâmetros'!$B$3:$J$3,0))),"")</f>
        <v/>
      </c>
    </row>
    <row r="2264">
      <c r="A2264" s="29" t="str">
        <f t="array" ref="A2264">IFNA(TRANSPOSE(INDEX('Parâmetros'!$B$4:$J3001,,MATCH(Exames!F2262,'Parâmetros'!$B$3:$J$3,0))),"")</f>
        <v/>
      </c>
    </row>
    <row r="2265">
      <c r="A2265" s="29" t="str">
        <f t="array" ref="A2265">IFNA(TRANSPOSE(INDEX('Parâmetros'!$B$4:$J3001,,MATCH(Exames!F2263,'Parâmetros'!$B$3:$J$3,0))),"")</f>
        <v/>
      </c>
    </row>
    <row r="2266">
      <c r="A2266" s="29" t="str">
        <f t="array" ref="A2266">IFNA(TRANSPOSE(INDEX('Parâmetros'!$B$4:$J3001,,MATCH(Exames!F2264,'Parâmetros'!$B$3:$J$3,0))),"")</f>
        <v/>
      </c>
    </row>
    <row r="2267">
      <c r="A2267" s="29" t="str">
        <f t="array" ref="A2267">IFNA(TRANSPOSE(INDEX('Parâmetros'!$B$4:$J3001,,MATCH(Exames!F2265,'Parâmetros'!$B$3:$J$3,0))),"")</f>
        <v/>
      </c>
    </row>
    <row r="2268">
      <c r="A2268" s="29" t="str">
        <f t="array" ref="A2268">IFNA(TRANSPOSE(INDEX('Parâmetros'!$B$4:$J3001,,MATCH(Exames!F2266,'Parâmetros'!$B$3:$J$3,0))),"")</f>
        <v/>
      </c>
    </row>
    <row r="2269">
      <c r="A2269" s="29" t="str">
        <f t="array" ref="A2269">IFNA(TRANSPOSE(INDEX('Parâmetros'!$B$4:$J3001,,MATCH(Exames!F2267,'Parâmetros'!$B$3:$J$3,0))),"")</f>
        <v/>
      </c>
    </row>
    <row r="2270">
      <c r="A2270" s="29" t="str">
        <f t="array" ref="A2270">IFNA(TRANSPOSE(INDEX('Parâmetros'!$B$4:$J3001,,MATCH(Exames!F2268,'Parâmetros'!$B$3:$J$3,0))),"")</f>
        <v/>
      </c>
    </row>
    <row r="2271">
      <c r="A2271" s="29" t="str">
        <f t="array" ref="A2271">IFNA(TRANSPOSE(INDEX('Parâmetros'!$B$4:$J3001,,MATCH(Exames!F2269,'Parâmetros'!$B$3:$J$3,0))),"")</f>
        <v/>
      </c>
    </row>
    <row r="2272">
      <c r="A2272" s="29" t="str">
        <f t="array" ref="A2272">IFNA(TRANSPOSE(INDEX('Parâmetros'!$B$4:$J3001,,MATCH(Exames!F2270,'Parâmetros'!$B$3:$J$3,0))),"")</f>
        <v/>
      </c>
    </row>
    <row r="2273">
      <c r="A2273" s="29" t="str">
        <f t="array" ref="A2273">IFNA(TRANSPOSE(INDEX('Parâmetros'!$B$4:$J3001,,MATCH(Exames!F2271,'Parâmetros'!$B$3:$J$3,0))),"")</f>
        <v/>
      </c>
    </row>
    <row r="2274">
      <c r="A2274" s="29" t="str">
        <f t="array" ref="A2274">IFNA(TRANSPOSE(INDEX('Parâmetros'!$B$4:$J3001,,MATCH(Exames!F2272,'Parâmetros'!$B$3:$J$3,0))),"")</f>
        <v/>
      </c>
    </row>
    <row r="2275">
      <c r="A2275" s="29" t="str">
        <f t="array" ref="A2275">IFNA(TRANSPOSE(INDEX('Parâmetros'!$B$4:$J3001,,MATCH(Exames!F2273,'Parâmetros'!$B$3:$J$3,0))),"")</f>
        <v/>
      </c>
    </row>
    <row r="2276">
      <c r="A2276" s="29" t="str">
        <f t="array" ref="A2276">IFNA(TRANSPOSE(INDEX('Parâmetros'!$B$4:$J3001,,MATCH(Exames!F2274,'Parâmetros'!$B$3:$J$3,0))),"")</f>
        <v/>
      </c>
    </row>
    <row r="2277">
      <c r="A2277" s="29" t="str">
        <f t="array" ref="A2277">IFNA(TRANSPOSE(INDEX('Parâmetros'!$B$4:$J3001,,MATCH(Exames!F2275,'Parâmetros'!$B$3:$J$3,0))),"")</f>
        <v/>
      </c>
    </row>
    <row r="2278">
      <c r="A2278" s="29" t="str">
        <f t="array" ref="A2278">IFNA(TRANSPOSE(INDEX('Parâmetros'!$B$4:$J3001,,MATCH(Exames!F2276,'Parâmetros'!$B$3:$J$3,0))),"")</f>
        <v/>
      </c>
    </row>
    <row r="2279">
      <c r="A2279" s="29" t="str">
        <f t="array" ref="A2279">IFNA(TRANSPOSE(INDEX('Parâmetros'!$B$4:$J3001,,MATCH(Exames!F2277,'Parâmetros'!$B$3:$J$3,0))),"")</f>
        <v/>
      </c>
    </row>
    <row r="2280">
      <c r="A2280" s="29" t="str">
        <f t="array" ref="A2280">IFNA(TRANSPOSE(INDEX('Parâmetros'!$B$4:$J3001,,MATCH(Exames!F2278,'Parâmetros'!$B$3:$J$3,0))),"")</f>
        <v/>
      </c>
    </row>
    <row r="2281">
      <c r="A2281" s="29" t="str">
        <f t="array" ref="A2281">IFNA(TRANSPOSE(INDEX('Parâmetros'!$B$4:$J3001,,MATCH(Exames!F2279,'Parâmetros'!$B$3:$J$3,0))),"")</f>
        <v/>
      </c>
    </row>
    <row r="2282">
      <c r="A2282" s="29" t="str">
        <f t="array" ref="A2282">IFNA(TRANSPOSE(INDEX('Parâmetros'!$B$4:$J3001,,MATCH(Exames!F2280,'Parâmetros'!$B$3:$J$3,0))),"")</f>
        <v/>
      </c>
    </row>
    <row r="2283">
      <c r="A2283" s="29" t="str">
        <f t="array" ref="A2283">IFNA(TRANSPOSE(INDEX('Parâmetros'!$B$4:$J3001,,MATCH(Exames!F2281,'Parâmetros'!$B$3:$J$3,0))),"")</f>
        <v/>
      </c>
    </row>
    <row r="2284">
      <c r="A2284" s="29" t="str">
        <f t="array" ref="A2284">IFNA(TRANSPOSE(INDEX('Parâmetros'!$B$4:$J3001,,MATCH(Exames!F2282,'Parâmetros'!$B$3:$J$3,0))),"")</f>
        <v/>
      </c>
    </row>
    <row r="2285">
      <c r="A2285" s="29" t="str">
        <f t="array" ref="A2285">IFNA(TRANSPOSE(INDEX('Parâmetros'!$B$4:$J3001,,MATCH(Exames!F2283,'Parâmetros'!$B$3:$J$3,0))),"")</f>
        <v/>
      </c>
    </row>
    <row r="2286">
      <c r="A2286" s="29" t="str">
        <f t="array" ref="A2286">IFNA(TRANSPOSE(INDEX('Parâmetros'!$B$4:$J3001,,MATCH(Exames!F2284,'Parâmetros'!$B$3:$J$3,0))),"")</f>
        <v/>
      </c>
    </row>
    <row r="2287">
      <c r="A2287" s="29" t="str">
        <f t="array" ref="A2287">IFNA(TRANSPOSE(INDEX('Parâmetros'!$B$4:$J3001,,MATCH(Exames!F2285,'Parâmetros'!$B$3:$J$3,0))),"")</f>
        <v/>
      </c>
    </row>
    <row r="2288">
      <c r="A2288" s="29" t="str">
        <f t="array" ref="A2288">IFNA(TRANSPOSE(INDEX('Parâmetros'!$B$4:$J3001,,MATCH(Exames!F2286,'Parâmetros'!$B$3:$J$3,0))),"")</f>
        <v/>
      </c>
    </row>
    <row r="2289">
      <c r="A2289" s="29" t="str">
        <f t="array" ref="A2289">IFNA(TRANSPOSE(INDEX('Parâmetros'!$B$4:$J3001,,MATCH(Exames!F2287,'Parâmetros'!$B$3:$J$3,0))),"")</f>
        <v/>
      </c>
    </row>
    <row r="2290">
      <c r="A2290" s="29" t="str">
        <f t="array" ref="A2290">IFNA(TRANSPOSE(INDEX('Parâmetros'!$B$4:$J3001,,MATCH(Exames!F2288,'Parâmetros'!$B$3:$J$3,0))),"")</f>
        <v/>
      </c>
    </row>
    <row r="2291">
      <c r="A2291" s="29" t="str">
        <f t="array" ref="A2291">IFNA(TRANSPOSE(INDEX('Parâmetros'!$B$4:$J3001,,MATCH(Exames!F2289,'Parâmetros'!$B$3:$J$3,0))),"")</f>
        <v/>
      </c>
    </row>
    <row r="2292">
      <c r="A2292" s="29" t="str">
        <f t="array" ref="A2292">IFNA(TRANSPOSE(INDEX('Parâmetros'!$B$4:$J3001,,MATCH(Exames!F2290,'Parâmetros'!$B$3:$J$3,0))),"")</f>
        <v/>
      </c>
    </row>
    <row r="2293">
      <c r="A2293" s="29" t="str">
        <f t="array" ref="A2293">IFNA(TRANSPOSE(INDEX('Parâmetros'!$B$4:$J3001,,MATCH(Exames!F2291,'Parâmetros'!$B$3:$J$3,0))),"")</f>
        <v/>
      </c>
    </row>
    <row r="2294">
      <c r="A2294" s="29" t="str">
        <f t="array" ref="A2294">IFNA(TRANSPOSE(INDEX('Parâmetros'!$B$4:$J3001,,MATCH(Exames!F2292,'Parâmetros'!$B$3:$J$3,0))),"")</f>
        <v/>
      </c>
    </row>
    <row r="2295">
      <c r="A2295" s="29" t="str">
        <f t="array" ref="A2295">IFNA(TRANSPOSE(INDEX('Parâmetros'!$B$4:$J3001,,MATCH(Exames!F2293,'Parâmetros'!$B$3:$J$3,0))),"")</f>
        <v/>
      </c>
    </row>
    <row r="2296">
      <c r="A2296" s="29" t="str">
        <f t="array" ref="A2296">IFNA(TRANSPOSE(INDEX('Parâmetros'!$B$4:$J3001,,MATCH(Exames!F2294,'Parâmetros'!$B$3:$J$3,0))),"")</f>
        <v/>
      </c>
    </row>
    <row r="2297">
      <c r="A2297" s="29" t="str">
        <f t="array" ref="A2297">IFNA(TRANSPOSE(INDEX('Parâmetros'!$B$4:$J3001,,MATCH(Exames!F2295,'Parâmetros'!$B$3:$J$3,0))),"")</f>
        <v/>
      </c>
    </row>
    <row r="2298">
      <c r="A2298" s="29" t="str">
        <f t="array" ref="A2298">IFNA(TRANSPOSE(INDEX('Parâmetros'!$B$4:$J3001,,MATCH(Exames!F2296,'Parâmetros'!$B$3:$J$3,0))),"")</f>
        <v/>
      </c>
    </row>
    <row r="2299">
      <c r="A2299" s="29" t="str">
        <f t="array" ref="A2299">IFNA(TRANSPOSE(INDEX('Parâmetros'!$B$4:$J3001,,MATCH(Exames!F2297,'Parâmetros'!$B$3:$J$3,0))),"")</f>
        <v/>
      </c>
    </row>
    <row r="2300">
      <c r="A2300" s="29" t="str">
        <f t="array" ref="A2300">IFNA(TRANSPOSE(INDEX('Parâmetros'!$B$4:$J3001,,MATCH(Exames!F2298,'Parâmetros'!$B$3:$J$3,0))),"")</f>
        <v/>
      </c>
    </row>
    <row r="2301">
      <c r="A2301" s="29" t="str">
        <f t="array" ref="A2301">IFNA(TRANSPOSE(INDEX('Parâmetros'!$B$4:$J3001,,MATCH(Exames!F2299,'Parâmetros'!$B$3:$J$3,0))),"")</f>
        <v/>
      </c>
    </row>
    <row r="2302">
      <c r="A2302" s="29" t="str">
        <f t="array" ref="A2302">IFNA(TRANSPOSE(INDEX('Parâmetros'!$B$4:$J3001,,MATCH(Exames!F2300,'Parâmetros'!$B$3:$J$3,0))),"")</f>
        <v/>
      </c>
    </row>
    <row r="2303">
      <c r="A2303" s="29" t="str">
        <f t="array" ref="A2303">IFNA(TRANSPOSE(INDEX('Parâmetros'!$B$4:$J3001,,MATCH(Exames!F2301,'Parâmetros'!$B$3:$J$3,0))),"")</f>
        <v/>
      </c>
    </row>
    <row r="2304">
      <c r="A2304" s="29" t="str">
        <f t="array" ref="A2304">IFNA(TRANSPOSE(INDEX('Parâmetros'!$B$4:$J3001,,MATCH(Exames!F2302,'Parâmetros'!$B$3:$J$3,0))),"")</f>
        <v/>
      </c>
    </row>
    <row r="2305">
      <c r="A2305" s="29" t="str">
        <f t="array" ref="A2305">IFNA(TRANSPOSE(INDEX('Parâmetros'!$B$4:$J3001,,MATCH(Exames!F2303,'Parâmetros'!$B$3:$J$3,0))),"")</f>
        <v/>
      </c>
    </row>
    <row r="2306">
      <c r="A2306" s="29" t="str">
        <f t="array" ref="A2306">IFNA(TRANSPOSE(INDEX('Parâmetros'!$B$4:$J3001,,MATCH(Exames!F2304,'Parâmetros'!$B$3:$J$3,0))),"")</f>
        <v/>
      </c>
    </row>
    <row r="2307">
      <c r="A2307" s="29" t="str">
        <f t="array" ref="A2307">IFNA(TRANSPOSE(INDEX('Parâmetros'!$B$4:$J3001,,MATCH(Exames!F2305,'Parâmetros'!$B$3:$J$3,0))),"")</f>
        <v/>
      </c>
    </row>
    <row r="2308">
      <c r="A2308" s="29" t="str">
        <f t="array" ref="A2308">IFNA(TRANSPOSE(INDEX('Parâmetros'!$B$4:$J3001,,MATCH(Exames!F2306,'Parâmetros'!$B$3:$J$3,0))),"")</f>
        <v/>
      </c>
    </row>
    <row r="2309">
      <c r="A2309" s="29" t="str">
        <f t="array" ref="A2309">IFNA(TRANSPOSE(INDEX('Parâmetros'!$B$4:$J3001,,MATCH(Exames!F2307,'Parâmetros'!$B$3:$J$3,0))),"")</f>
        <v/>
      </c>
    </row>
    <row r="2310">
      <c r="A2310" s="29" t="str">
        <f t="array" ref="A2310">IFNA(TRANSPOSE(INDEX('Parâmetros'!$B$4:$J3001,,MATCH(Exames!F2308,'Parâmetros'!$B$3:$J$3,0))),"")</f>
        <v/>
      </c>
    </row>
    <row r="2311">
      <c r="A2311" s="29" t="str">
        <f t="array" ref="A2311">IFNA(TRANSPOSE(INDEX('Parâmetros'!$B$4:$J3001,,MATCH(Exames!F2309,'Parâmetros'!$B$3:$J$3,0))),"")</f>
        <v/>
      </c>
    </row>
    <row r="2312">
      <c r="A2312" s="29" t="str">
        <f t="array" ref="A2312">IFNA(TRANSPOSE(INDEX('Parâmetros'!$B$4:$J3001,,MATCH(Exames!F2310,'Parâmetros'!$B$3:$J$3,0))),"")</f>
        <v/>
      </c>
    </row>
    <row r="2313">
      <c r="A2313" s="29" t="str">
        <f t="array" ref="A2313">IFNA(TRANSPOSE(INDEX('Parâmetros'!$B$4:$J3001,,MATCH(Exames!F2311,'Parâmetros'!$B$3:$J$3,0))),"")</f>
        <v/>
      </c>
    </row>
    <row r="2314">
      <c r="A2314" s="29" t="str">
        <f t="array" ref="A2314">IFNA(TRANSPOSE(INDEX('Parâmetros'!$B$4:$J3001,,MATCH(Exames!F2312,'Parâmetros'!$B$3:$J$3,0))),"")</f>
        <v/>
      </c>
    </row>
    <row r="2315">
      <c r="A2315" s="29" t="str">
        <f t="array" ref="A2315">IFNA(TRANSPOSE(INDEX('Parâmetros'!$B$4:$J3001,,MATCH(Exames!F2313,'Parâmetros'!$B$3:$J$3,0))),"")</f>
        <v/>
      </c>
    </row>
    <row r="2316">
      <c r="A2316" s="29" t="str">
        <f t="array" ref="A2316">IFNA(TRANSPOSE(INDEX('Parâmetros'!$B$4:$J3001,,MATCH(Exames!F2314,'Parâmetros'!$B$3:$J$3,0))),"")</f>
        <v/>
      </c>
    </row>
    <row r="2317">
      <c r="A2317" s="29" t="str">
        <f t="array" ref="A2317">IFNA(TRANSPOSE(INDEX('Parâmetros'!$B$4:$J3001,,MATCH(Exames!F2315,'Parâmetros'!$B$3:$J$3,0))),"")</f>
        <v/>
      </c>
    </row>
    <row r="2318">
      <c r="A2318" s="29" t="str">
        <f t="array" ref="A2318">IFNA(TRANSPOSE(INDEX('Parâmetros'!$B$4:$J3001,,MATCH(Exames!F2316,'Parâmetros'!$B$3:$J$3,0))),"")</f>
        <v/>
      </c>
    </row>
    <row r="2319">
      <c r="A2319" s="29" t="str">
        <f t="array" ref="A2319">IFNA(TRANSPOSE(INDEX('Parâmetros'!$B$4:$J3001,,MATCH(Exames!F2317,'Parâmetros'!$B$3:$J$3,0))),"")</f>
        <v/>
      </c>
    </row>
    <row r="2320">
      <c r="A2320" s="29" t="str">
        <f t="array" ref="A2320">IFNA(TRANSPOSE(INDEX('Parâmetros'!$B$4:$J3001,,MATCH(Exames!F2318,'Parâmetros'!$B$3:$J$3,0))),"")</f>
        <v/>
      </c>
    </row>
    <row r="2321">
      <c r="A2321" s="29" t="str">
        <f t="array" ref="A2321">IFNA(TRANSPOSE(INDEX('Parâmetros'!$B$4:$J3001,,MATCH(Exames!F2319,'Parâmetros'!$B$3:$J$3,0))),"")</f>
        <v/>
      </c>
    </row>
    <row r="2322">
      <c r="A2322" s="29" t="str">
        <f t="array" ref="A2322">IFNA(TRANSPOSE(INDEX('Parâmetros'!$B$4:$J3001,,MATCH(Exames!F2320,'Parâmetros'!$B$3:$J$3,0))),"")</f>
        <v/>
      </c>
    </row>
    <row r="2323">
      <c r="A2323" s="29" t="str">
        <f t="array" ref="A2323">IFNA(TRANSPOSE(INDEX('Parâmetros'!$B$4:$J3001,,MATCH(Exames!F2321,'Parâmetros'!$B$3:$J$3,0))),"")</f>
        <v/>
      </c>
    </row>
    <row r="2324">
      <c r="A2324" s="29" t="str">
        <f t="array" ref="A2324">IFNA(TRANSPOSE(INDEX('Parâmetros'!$B$4:$J3001,,MATCH(Exames!F2322,'Parâmetros'!$B$3:$J$3,0))),"")</f>
        <v/>
      </c>
    </row>
    <row r="2325">
      <c r="A2325" s="29" t="str">
        <f t="array" ref="A2325">IFNA(TRANSPOSE(INDEX('Parâmetros'!$B$4:$J3001,,MATCH(Exames!F2323,'Parâmetros'!$B$3:$J$3,0))),"")</f>
        <v/>
      </c>
    </row>
    <row r="2326">
      <c r="A2326" s="29" t="str">
        <f t="array" ref="A2326">IFNA(TRANSPOSE(INDEX('Parâmetros'!$B$4:$J3001,,MATCH(Exames!F2324,'Parâmetros'!$B$3:$J$3,0))),"")</f>
        <v/>
      </c>
    </row>
    <row r="2327">
      <c r="A2327" s="29" t="str">
        <f t="array" ref="A2327">IFNA(TRANSPOSE(INDEX('Parâmetros'!$B$4:$J3001,,MATCH(Exames!F2325,'Parâmetros'!$B$3:$J$3,0))),"")</f>
        <v/>
      </c>
    </row>
    <row r="2328">
      <c r="A2328" s="29" t="str">
        <f t="array" ref="A2328">IFNA(TRANSPOSE(INDEX('Parâmetros'!$B$4:$J3001,,MATCH(Exames!F2326,'Parâmetros'!$B$3:$J$3,0))),"")</f>
        <v/>
      </c>
    </row>
    <row r="2329">
      <c r="A2329" s="29" t="str">
        <f t="array" ref="A2329">IFNA(TRANSPOSE(INDEX('Parâmetros'!$B$4:$J3001,,MATCH(Exames!F2327,'Parâmetros'!$B$3:$J$3,0))),"")</f>
        <v/>
      </c>
    </row>
    <row r="2330">
      <c r="A2330" s="29" t="str">
        <f t="array" ref="A2330">IFNA(TRANSPOSE(INDEX('Parâmetros'!$B$4:$J3001,,MATCH(Exames!F2328,'Parâmetros'!$B$3:$J$3,0))),"")</f>
        <v/>
      </c>
    </row>
    <row r="2331">
      <c r="A2331" s="29" t="str">
        <f t="array" ref="A2331">IFNA(TRANSPOSE(INDEX('Parâmetros'!$B$4:$J3001,,MATCH(Exames!F2329,'Parâmetros'!$B$3:$J$3,0))),"")</f>
        <v/>
      </c>
    </row>
    <row r="2332">
      <c r="A2332" s="29" t="str">
        <f t="array" ref="A2332">IFNA(TRANSPOSE(INDEX('Parâmetros'!$B$4:$J3001,,MATCH(Exames!F2330,'Parâmetros'!$B$3:$J$3,0))),"")</f>
        <v/>
      </c>
    </row>
    <row r="2333">
      <c r="A2333" s="29" t="str">
        <f t="array" ref="A2333">IFNA(TRANSPOSE(INDEX('Parâmetros'!$B$4:$J3001,,MATCH(Exames!F2331,'Parâmetros'!$B$3:$J$3,0))),"")</f>
        <v/>
      </c>
    </row>
    <row r="2334">
      <c r="A2334" s="29" t="str">
        <f t="array" ref="A2334">IFNA(TRANSPOSE(INDEX('Parâmetros'!$B$4:$J3001,,MATCH(Exames!F2332,'Parâmetros'!$B$3:$J$3,0))),"")</f>
        <v/>
      </c>
    </row>
    <row r="2335">
      <c r="A2335" s="29" t="str">
        <f t="array" ref="A2335">IFNA(TRANSPOSE(INDEX('Parâmetros'!$B$4:$J3001,,MATCH(Exames!F2333,'Parâmetros'!$B$3:$J$3,0))),"")</f>
        <v/>
      </c>
    </row>
    <row r="2336">
      <c r="A2336" s="29" t="str">
        <f t="array" ref="A2336">IFNA(TRANSPOSE(INDEX('Parâmetros'!$B$4:$J3001,,MATCH(Exames!F2334,'Parâmetros'!$B$3:$J$3,0))),"")</f>
        <v/>
      </c>
    </row>
    <row r="2337">
      <c r="A2337" s="29" t="str">
        <f t="array" ref="A2337">IFNA(TRANSPOSE(INDEX('Parâmetros'!$B$4:$J3001,,MATCH(Exames!F2335,'Parâmetros'!$B$3:$J$3,0))),"")</f>
        <v/>
      </c>
    </row>
    <row r="2338">
      <c r="A2338" s="29" t="str">
        <f t="array" ref="A2338">IFNA(TRANSPOSE(INDEX('Parâmetros'!$B$4:$J3001,,MATCH(Exames!F2336,'Parâmetros'!$B$3:$J$3,0))),"")</f>
        <v/>
      </c>
    </row>
    <row r="2339">
      <c r="A2339" s="29" t="str">
        <f t="array" ref="A2339">IFNA(TRANSPOSE(INDEX('Parâmetros'!$B$4:$J3001,,MATCH(Exames!F2337,'Parâmetros'!$B$3:$J$3,0))),"")</f>
        <v/>
      </c>
    </row>
    <row r="2340">
      <c r="A2340" s="29" t="str">
        <f t="array" ref="A2340">IFNA(TRANSPOSE(INDEX('Parâmetros'!$B$4:$J3001,,MATCH(Exames!F2338,'Parâmetros'!$B$3:$J$3,0))),"")</f>
        <v/>
      </c>
    </row>
    <row r="2341">
      <c r="A2341" s="29" t="str">
        <f t="array" ref="A2341">IFNA(TRANSPOSE(INDEX('Parâmetros'!$B$4:$J3001,,MATCH(Exames!F2339,'Parâmetros'!$B$3:$J$3,0))),"")</f>
        <v/>
      </c>
    </row>
    <row r="2342">
      <c r="A2342" s="29" t="str">
        <f t="array" ref="A2342">IFNA(TRANSPOSE(INDEX('Parâmetros'!$B$4:$J3001,,MATCH(Exames!F2340,'Parâmetros'!$B$3:$J$3,0))),"")</f>
        <v/>
      </c>
    </row>
    <row r="2343">
      <c r="A2343" s="29" t="str">
        <f t="array" ref="A2343">IFNA(TRANSPOSE(INDEX('Parâmetros'!$B$4:$J3001,,MATCH(Exames!F2341,'Parâmetros'!$B$3:$J$3,0))),"")</f>
        <v/>
      </c>
    </row>
    <row r="2344">
      <c r="A2344" s="29" t="str">
        <f t="array" ref="A2344">IFNA(TRANSPOSE(INDEX('Parâmetros'!$B$4:$J3001,,MATCH(Exames!F2342,'Parâmetros'!$B$3:$J$3,0))),"")</f>
        <v/>
      </c>
    </row>
    <row r="2345">
      <c r="A2345" s="29" t="str">
        <f t="array" ref="A2345">IFNA(TRANSPOSE(INDEX('Parâmetros'!$B$4:$J3001,,MATCH(Exames!F2343,'Parâmetros'!$B$3:$J$3,0))),"")</f>
        <v/>
      </c>
    </row>
    <row r="2346">
      <c r="A2346" s="29" t="str">
        <f t="array" ref="A2346">IFNA(TRANSPOSE(INDEX('Parâmetros'!$B$4:$J3001,,MATCH(Exames!F2344,'Parâmetros'!$B$3:$J$3,0))),"")</f>
        <v/>
      </c>
    </row>
    <row r="2347">
      <c r="A2347" s="29" t="str">
        <f t="array" ref="A2347">IFNA(TRANSPOSE(INDEX('Parâmetros'!$B$4:$J3001,,MATCH(Exames!F2345,'Parâmetros'!$B$3:$J$3,0))),"")</f>
        <v/>
      </c>
    </row>
    <row r="2348">
      <c r="A2348" s="29" t="str">
        <f t="array" ref="A2348">IFNA(TRANSPOSE(INDEX('Parâmetros'!$B$4:$J3001,,MATCH(Exames!F2346,'Parâmetros'!$B$3:$J$3,0))),"")</f>
        <v/>
      </c>
    </row>
    <row r="2349">
      <c r="A2349" s="29" t="str">
        <f t="array" ref="A2349">IFNA(TRANSPOSE(INDEX('Parâmetros'!$B$4:$J3001,,MATCH(Exames!F2347,'Parâmetros'!$B$3:$J$3,0))),"")</f>
        <v/>
      </c>
    </row>
    <row r="2350">
      <c r="A2350" s="29" t="str">
        <f t="array" ref="A2350">IFNA(TRANSPOSE(INDEX('Parâmetros'!$B$4:$J3001,,MATCH(Exames!F2348,'Parâmetros'!$B$3:$J$3,0))),"")</f>
        <v/>
      </c>
    </row>
    <row r="2351">
      <c r="A2351" s="29" t="str">
        <f t="array" ref="A2351">IFNA(TRANSPOSE(INDEX('Parâmetros'!$B$4:$J3001,,MATCH(Exames!F2349,'Parâmetros'!$B$3:$J$3,0))),"")</f>
        <v/>
      </c>
    </row>
    <row r="2352">
      <c r="A2352" s="29" t="str">
        <f t="array" ref="A2352">IFNA(TRANSPOSE(INDEX('Parâmetros'!$B$4:$J3001,,MATCH(Exames!F2350,'Parâmetros'!$B$3:$J$3,0))),"")</f>
        <v/>
      </c>
    </row>
    <row r="2353">
      <c r="A2353" s="29" t="str">
        <f t="array" ref="A2353">IFNA(TRANSPOSE(INDEX('Parâmetros'!$B$4:$J3001,,MATCH(Exames!F2351,'Parâmetros'!$B$3:$J$3,0))),"")</f>
        <v/>
      </c>
    </row>
    <row r="2354">
      <c r="A2354" s="29" t="str">
        <f t="array" ref="A2354">IFNA(TRANSPOSE(INDEX('Parâmetros'!$B$4:$J3001,,MATCH(Exames!F2352,'Parâmetros'!$B$3:$J$3,0))),"")</f>
        <v/>
      </c>
    </row>
    <row r="2355">
      <c r="A2355" s="29" t="str">
        <f t="array" ref="A2355">IFNA(TRANSPOSE(INDEX('Parâmetros'!$B$4:$J3001,,MATCH(Exames!F2353,'Parâmetros'!$B$3:$J$3,0))),"")</f>
        <v/>
      </c>
    </row>
    <row r="2356">
      <c r="A2356" s="29" t="str">
        <f t="array" ref="A2356">IFNA(TRANSPOSE(INDEX('Parâmetros'!$B$4:$J3001,,MATCH(Exames!F2354,'Parâmetros'!$B$3:$J$3,0))),"")</f>
        <v/>
      </c>
    </row>
    <row r="2357">
      <c r="A2357" s="29" t="str">
        <f t="array" ref="A2357">IFNA(TRANSPOSE(INDEX('Parâmetros'!$B$4:$J3001,,MATCH(Exames!F2355,'Parâmetros'!$B$3:$J$3,0))),"")</f>
        <v/>
      </c>
    </row>
    <row r="2358">
      <c r="A2358" s="29" t="str">
        <f t="array" ref="A2358">IFNA(TRANSPOSE(INDEX('Parâmetros'!$B$4:$J3001,,MATCH(Exames!F2356,'Parâmetros'!$B$3:$J$3,0))),"")</f>
        <v/>
      </c>
    </row>
    <row r="2359">
      <c r="A2359" s="29" t="str">
        <f t="array" ref="A2359">IFNA(TRANSPOSE(INDEX('Parâmetros'!$B$4:$J3001,,MATCH(Exames!F2357,'Parâmetros'!$B$3:$J$3,0))),"")</f>
        <v/>
      </c>
    </row>
    <row r="2360">
      <c r="A2360" s="29" t="str">
        <f t="array" ref="A2360">IFNA(TRANSPOSE(INDEX('Parâmetros'!$B$4:$J3001,,MATCH(Exames!F2358,'Parâmetros'!$B$3:$J$3,0))),"")</f>
        <v/>
      </c>
    </row>
    <row r="2361">
      <c r="A2361" s="29" t="str">
        <f t="array" ref="A2361">IFNA(TRANSPOSE(INDEX('Parâmetros'!$B$4:$J3001,,MATCH(Exames!F2359,'Parâmetros'!$B$3:$J$3,0))),"")</f>
        <v/>
      </c>
    </row>
    <row r="2362">
      <c r="A2362" s="29" t="str">
        <f t="array" ref="A2362">IFNA(TRANSPOSE(INDEX('Parâmetros'!$B$4:$J3001,,MATCH(Exames!F2360,'Parâmetros'!$B$3:$J$3,0))),"")</f>
        <v/>
      </c>
    </row>
    <row r="2363">
      <c r="A2363" s="29" t="str">
        <f t="array" ref="A2363">IFNA(TRANSPOSE(INDEX('Parâmetros'!$B$4:$J3001,,MATCH(Exames!F2361,'Parâmetros'!$B$3:$J$3,0))),"")</f>
        <v/>
      </c>
    </row>
    <row r="2364">
      <c r="A2364" s="29" t="str">
        <f t="array" ref="A2364">IFNA(TRANSPOSE(INDEX('Parâmetros'!$B$4:$J3001,,MATCH(Exames!F2362,'Parâmetros'!$B$3:$J$3,0))),"")</f>
        <v/>
      </c>
    </row>
    <row r="2365">
      <c r="A2365" s="29" t="str">
        <f t="array" ref="A2365">IFNA(TRANSPOSE(INDEX('Parâmetros'!$B$4:$J3001,,MATCH(Exames!F2363,'Parâmetros'!$B$3:$J$3,0))),"")</f>
        <v/>
      </c>
    </row>
    <row r="2366">
      <c r="A2366" s="29" t="str">
        <f t="array" ref="A2366">IFNA(TRANSPOSE(INDEX('Parâmetros'!$B$4:$J3001,,MATCH(Exames!F2364,'Parâmetros'!$B$3:$J$3,0))),"")</f>
        <v/>
      </c>
    </row>
    <row r="2367">
      <c r="A2367" s="29" t="str">
        <f t="array" ref="A2367">IFNA(TRANSPOSE(INDEX('Parâmetros'!$B$4:$J3001,,MATCH(Exames!F2365,'Parâmetros'!$B$3:$J$3,0))),"")</f>
        <v/>
      </c>
    </row>
    <row r="2368">
      <c r="A2368" s="29" t="str">
        <f t="array" ref="A2368">IFNA(TRANSPOSE(INDEX('Parâmetros'!$B$4:$J3001,,MATCH(Exames!F2366,'Parâmetros'!$B$3:$J$3,0))),"")</f>
        <v/>
      </c>
    </row>
    <row r="2369">
      <c r="A2369" s="29" t="str">
        <f t="array" ref="A2369">IFNA(TRANSPOSE(INDEX('Parâmetros'!$B$4:$J3001,,MATCH(Exames!F2367,'Parâmetros'!$B$3:$J$3,0))),"")</f>
        <v/>
      </c>
    </row>
    <row r="2370">
      <c r="A2370" s="29" t="str">
        <f t="array" ref="A2370">IFNA(TRANSPOSE(INDEX('Parâmetros'!$B$4:$J3001,,MATCH(Exames!F2368,'Parâmetros'!$B$3:$J$3,0))),"")</f>
        <v/>
      </c>
    </row>
    <row r="2371">
      <c r="A2371" s="29" t="str">
        <f t="array" ref="A2371">IFNA(TRANSPOSE(INDEX('Parâmetros'!$B$4:$J3001,,MATCH(Exames!F2369,'Parâmetros'!$B$3:$J$3,0))),"")</f>
        <v/>
      </c>
    </row>
    <row r="2372">
      <c r="A2372" s="29" t="str">
        <f t="array" ref="A2372">IFNA(TRANSPOSE(INDEX('Parâmetros'!$B$4:$J3001,,MATCH(Exames!F2370,'Parâmetros'!$B$3:$J$3,0))),"")</f>
        <v/>
      </c>
    </row>
    <row r="2373">
      <c r="A2373" s="29" t="str">
        <f t="array" ref="A2373">IFNA(TRANSPOSE(INDEX('Parâmetros'!$B$4:$J3001,,MATCH(Exames!F2371,'Parâmetros'!$B$3:$J$3,0))),"")</f>
        <v/>
      </c>
    </row>
    <row r="2374">
      <c r="A2374" s="29" t="str">
        <f t="array" ref="A2374">IFNA(TRANSPOSE(INDEX('Parâmetros'!$B$4:$J3001,,MATCH(Exames!F2372,'Parâmetros'!$B$3:$J$3,0))),"")</f>
        <v/>
      </c>
    </row>
    <row r="2375">
      <c r="A2375" s="29" t="str">
        <f t="array" ref="A2375">IFNA(TRANSPOSE(INDEX('Parâmetros'!$B$4:$J3001,,MATCH(Exames!F2373,'Parâmetros'!$B$3:$J$3,0))),"")</f>
        <v/>
      </c>
    </row>
    <row r="2376">
      <c r="A2376" s="29" t="str">
        <f t="array" ref="A2376">IFNA(TRANSPOSE(INDEX('Parâmetros'!$B$4:$J3001,,MATCH(Exames!F2374,'Parâmetros'!$B$3:$J$3,0))),"")</f>
        <v/>
      </c>
    </row>
    <row r="2377">
      <c r="A2377" s="29" t="str">
        <f t="array" ref="A2377">IFNA(TRANSPOSE(INDEX('Parâmetros'!$B$4:$J3001,,MATCH(Exames!F2375,'Parâmetros'!$B$3:$J$3,0))),"")</f>
        <v/>
      </c>
    </row>
    <row r="2378">
      <c r="A2378" s="29" t="str">
        <f t="array" ref="A2378">IFNA(TRANSPOSE(INDEX('Parâmetros'!$B$4:$J3001,,MATCH(Exames!F2376,'Parâmetros'!$B$3:$J$3,0))),"")</f>
        <v/>
      </c>
    </row>
    <row r="2379">
      <c r="A2379" s="29" t="str">
        <f t="array" ref="A2379">IFNA(TRANSPOSE(INDEX('Parâmetros'!$B$4:$J3001,,MATCH(Exames!F2377,'Parâmetros'!$B$3:$J$3,0))),"")</f>
        <v/>
      </c>
    </row>
    <row r="2380">
      <c r="A2380" s="29" t="str">
        <f t="array" ref="A2380">IFNA(TRANSPOSE(INDEX('Parâmetros'!$B$4:$J3001,,MATCH(Exames!F2378,'Parâmetros'!$B$3:$J$3,0))),"")</f>
        <v/>
      </c>
    </row>
    <row r="2381">
      <c r="A2381" s="29" t="str">
        <f t="array" ref="A2381">IFNA(TRANSPOSE(INDEX('Parâmetros'!$B$4:$J3001,,MATCH(Exames!F2379,'Parâmetros'!$B$3:$J$3,0))),"")</f>
        <v/>
      </c>
    </row>
    <row r="2382">
      <c r="A2382" s="29" t="str">
        <f t="array" ref="A2382">IFNA(TRANSPOSE(INDEX('Parâmetros'!$B$4:$J3001,,MATCH(Exames!F2380,'Parâmetros'!$B$3:$J$3,0))),"")</f>
        <v/>
      </c>
    </row>
    <row r="2383">
      <c r="A2383" s="29" t="str">
        <f t="array" ref="A2383">IFNA(TRANSPOSE(INDEX('Parâmetros'!$B$4:$J3001,,MATCH(Exames!F2381,'Parâmetros'!$B$3:$J$3,0))),"")</f>
        <v/>
      </c>
    </row>
    <row r="2384">
      <c r="A2384" s="29" t="str">
        <f t="array" ref="A2384">IFNA(TRANSPOSE(INDEX('Parâmetros'!$B$4:$J3001,,MATCH(Exames!F2382,'Parâmetros'!$B$3:$J$3,0))),"")</f>
        <v/>
      </c>
    </row>
    <row r="2385">
      <c r="A2385" s="29" t="str">
        <f t="array" ref="A2385">IFNA(TRANSPOSE(INDEX('Parâmetros'!$B$4:$J3001,,MATCH(Exames!F2383,'Parâmetros'!$B$3:$J$3,0))),"")</f>
        <v/>
      </c>
    </row>
    <row r="2386">
      <c r="A2386" s="29" t="str">
        <f t="array" ref="A2386">IFNA(TRANSPOSE(INDEX('Parâmetros'!$B$4:$J3001,,MATCH(Exames!F2384,'Parâmetros'!$B$3:$J$3,0))),"")</f>
        <v/>
      </c>
    </row>
    <row r="2387">
      <c r="A2387" s="29" t="str">
        <f t="array" ref="A2387">IFNA(TRANSPOSE(INDEX('Parâmetros'!$B$4:$J3001,,MATCH(Exames!F2385,'Parâmetros'!$B$3:$J$3,0))),"")</f>
        <v/>
      </c>
    </row>
    <row r="2388">
      <c r="A2388" s="29" t="str">
        <f t="array" ref="A2388">IFNA(TRANSPOSE(INDEX('Parâmetros'!$B$4:$J3001,,MATCH(Exames!F2386,'Parâmetros'!$B$3:$J$3,0))),"")</f>
        <v/>
      </c>
    </row>
    <row r="2389">
      <c r="A2389" s="29" t="str">
        <f t="array" ref="A2389">IFNA(TRANSPOSE(INDEX('Parâmetros'!$B$4:$J3001,,MATCH(Exames!F2387,'Parâmetros'!$B$3:$J$3,0))),"")</f>
        <v/>
      </c>
    </row>
    <row r="2390">
      <c r="A2390" s="29" t="str">
        <f t="array" ref="A2390">IFNA(TRANSPOSE(INDEX('Parâmetros'!$B$4:$J3001,,MATCH(Exames!F2388,'Parâmetros'!$B$3:$J$3,0))),"")</f>
        <v/>
      </c>
    </row>
    <row r="2391">
      <c r="A2391" s="29" t="str">
        <f t="array" ref="A2391">IFNA(TRANSPOSE(INDEX('Parâmetros'!$B$4:$J3001,,MATCH(Exames!F2389,'Parâmetros'!$B$3:$J$3,0))),"")</f>
        <v/>
      </c>
    </row>
    <row r="2392">
      <c r="A2392" s="29" t="str">
        <f t="array" ref="A2392">IFNA(TRANSPOSE(INDEX('Parâmetros'!$B$4:$J3001,,MATCH(Exames!F2390,'Parâmetros'!$B$3:$J$3,0))),"")</f>
        <v/>
      </c>
    </row>
    <row r="2393">
      <c r="A2393" s="29" t="str">
        <f t="array" ref="A2393">IFNA(TRANSPOSE(INDEX('Parâmetros'!$B$4:$J3001,,MATCH(Exames!F2391,'Parâmetros'!$B$3:$J$3,0))),"")</f>
        <v/>
      </c>
    </row>
    <row r="2394">
      <c r="A2394" s="29" t="str">
        <f t="array" ref="A2394">IFNA(TRANSPOSE(INDEX('Parâmetros'!$B$4:$J3001,,MATCH(Exames!F2392,'Parâmetros'!$B$3:$J$3,0))),"")</f>
        <v/>
      </c>
    </row>
    <row r="2395">
      <c r="A2395" s="29" t="str">
        <f t="array" ref="A2395">IFNA(TRANSPOSE(INDEX('Parâmetros'!$B$4:$J3001,,MATCH(Exames!F2393,'Parâmetros'!$B$3:$J$3,0))),"")</f>
        <v/>
      </c>
    </row>
    <row r="2396">
      <c r="A2396" s="29" t="str">
        <f t="array" ref="A2396">IFNA(TRANSPOSE(INDEX('Parâmetros'!$B$4:$J3001,,MATCH(Exames!F2394,'Parâmetros'!$B$3:$J$3,0))),"")</f>
        <v/>
      </c>
    </row>
    <row r="2397">
      <c r="A2397" s="29" t="str">
        <f t="array" ref="A2397">IFNA(TRANSPOSE(INDEX('Parâmetros'!$B$4:$J3001,,MATCH(Exames!F2395,'Parâmetros'!$B$3:$J$3,0))),"")</f>
        <v/>
      </c>
    </row>
    <row r="2398">
      <c r="A2398" s="29" t="str">
        <f t="array" ref="A2398">IFNA(TRANSPOSE(INDEX('Parâmetros'!$B$4:$J3001,,MATCH(Exames!F2396,'Parâmetros'!$B$3:$J$3,0))),"")</f>
        <v/>
      </c>
    </row>
    <row r="2399">
      <c r="A2399" s="29" t="str">
        <f t="array" ref="A2399">IFNA(TRANSPOSE(INDEX('Parâmetros'!$B$4:$J3001,,MATCH(Exames!F2397,'Parâmetros'!$B$3:$J$3,0))),"")</f>
        <v/>
      </c>
    </row>
    <row r="2400">
      <c r="A2400" s="29" t="str">
        <f t="array" ref="A2400">IFNA(TRANSPOSE(INDEX('Parâmetros'!$B$4:$J3001,,MATCH(Exames!F2398,'Parâmetros'!$B$3:$J$3,0))),"")</f>
        <v/>
      </c>
    </row>
    <row r="2401">
      <c r="A2401" s="29" t="str">
        <f t="array" ref="A2401">IFNA(TRANSPOSE(INDEX('Parâmetros'!$B$4:$J3001,,MATCH(Exames!F2399,'Parâmetros'!$B$3:$J$3,0))),"")</f>
        <v/>
      </c>
    </row>
    <row r="2402">
      <c r="A2402" s="29" t="str">
        <f t="array" ref="A2402">IFNA(TRANSPOSE(INDEX('Parâmetros'!$B$4:$J3001,,MATCH(Exames!F2400,'Parâmetros'!$B$3:$J$3,0))),"")</f>
        <v/>
      </c>
    </row>
    <row r="2403">
      <c r="A2403" s="29" t="str">
        <f t="array" ref="A2403">IFNA(TRANSPOSE(INDEX('Parâmetros'!$B$4:$J3001,,MATCH(Exames!F2401,'Parâmetros'!$B$3:$J$3,0))),"")</f>
        <v/>
      </c>
    </row>
    <row r="2404">
      <c r="A2404" s="29" t="str">
        <f t="array" ref="A2404">IFNA(TRANSPOSE(INDEX('Parâmetros'!$B$4:$J3001,,MATCH(Exames!F2402,'Parâmetros'!$B$3:$J$3,0))),"")</f>
        <v/>
      </c>
    </row>
    <row r="2405">
      <c r="A2405" s="29" t="str">
        <f t="array" ref="A2405">IFNA(TRANSPOSE(INDEX('Parâmetros'!$B$4:$J3001,,MATCH(Exames!F2403,'Parâmetros'!$B$3:$J$3,0))),"")</f>
        <v/>
      </c>
    </row>
    <row r="2406">
      <c r="A2406" s="29" t="str">
        <f t="array" ref="A2406">IFNA(TRANSPOSE(INDEX('Parâmetros'!$B$4:$J3001,,MATCH(Exames!F2404,'Parâmetros'!$B$3:$J$3,0))),"")</f>
        <v/>
      </c>
    </row>
    <row r="2407">
      <c r="A2407" s="29" t="str">
        <f t="array" ref="A2407">IFNA(TRANSPOSE(INDEX('Parâmetros'!$B$4:$J3001,,MATCH(Exames!F2405,'Parâmetros'!$B$3:$J$3,0))),"")</f>
        <v/>
      </c>
    </row>
    <row r="2408">
      <c r="A2408" s="29" t="str">
        <f t="array" ref="A2408">IFNA(TRANSPOSE(INDEX('Parâmetros'!$B$4:$J3001,,MATCH(Exames!F2406,'Parâmetros'!$B$3:$J$3,0))),"")</f>
        <v/>
      </c>
    </row>
    <row r="2409">
      <c r="A2409" s="29" t="str">
        <f t="array" ref="A2409">IFNA(TRANSPOSE(INDEX('Parâmetros'!$B$4:$J3001,,MATCH(Exames!F2407,'Parâmetros'!$B$3:$J$3,0))),"")</f>
        <v/>
      </c>
    </row>
    <row r="2410">
      <c r="A2410" s="29" t="str">
        <f t="array" ref="A2410">IFNA(TRANSPOSE(INDEX('Parâmetros'!$B$4:$J3001,,MATCH(Exames!F2408,'Parâmetros'!$B$3:$J$3,0))),"")</f>
        <v/>
      </c>
    </row>
    <row r="2411">
      <c r="A2411" s="29" t="str">
        <f t="array" ref="A2411">IFNA(TRANSPOSE(INDEX('Parâmetros'!$B$4:$J3001,,MATCH(Exames!F2409,'Parâmetros'!$B$3:$J$3,0))),"")</f>
        <v/>
      </c>
    </row>
    <row r="2412">
      <c r="A2412" s="29" t="str">
        <f t="array" ref="A2412">IFNA(TRANSPOSE(INDEX('Parâmetros'!$B$4:$J3001,,MATCH(Exames!F2410,'Parâmetros'!$B$3:$J$3,0))),"")</f>
        <v/>
      </c>
    </row>
    <row r="2413">
      <c r="A2413" s="29" t="str">
        <f t="array" ref="A2413">IFNA(TRANSPOSE(INDEX('Parâmetros'!$B$4:$J3001,,MATCH(Exames!F2411,'Parâmetros'!$B$3:$J$3,0))),"")</f>
        <v/>
      </c>
    </row>
    <row r="2414">
      <c r="A2414" s="29" t="str">
        <f t="array" ref="A2414">IFNA(TRANSPOSE(INDEX('Parâmetros'!$B$4:$J3001,,MATCH(Exames!F2412,'Parâmetros'!$B$3:$J$3,0))),"")</f>
        <v/>
      </c>
    </row>
    <row r="2415">
      <c r="A2415" s="29" t="str">
        <f t="array" ref="A2415">IFNA(TRANSPOSE(INDEX('Parâmetros'!$B$4:$J3001,,MATCH(Exames!F2413,'Parâmetros'!$B$3:$J$3,0))),"")</f>
        <v/>
      </c>
    </row>
    <row r="2416">
      <c r="A2416" s="29" t="str">
        <f t="array" ref="A2416">IFNA(TRANSPOSE(INDEX('Parâmetros'!$B$4:$J3001,,MATCH(Exames!F2414,'Parâmetros'!$B$3:$J$3,0))),"")</f>
        <v/>
      </c>
    </row>
    <row r="2417">
      <c r="A2417" s="29" t="str">
        <f t="array" ref="A2417">IFNA(TRANSPOSE(INDEX('Parâmetros'!$B$4:$J3001,,MATCH(Exames!F2415,'Parâmetros'!$B$3:$J$3,0))),"")</f>
        <v/>
      </c>
    </row>
    <row r="2418">
      <c r="A2418" s="29" t="str">
        <f t="array" ref="A2418">IFNA(TRANSPOSE(INDEX('Parâmetros'!$B$4:$J3001,,MATCH(Exames!F2416,'Parâmetros'!$B$3:$J$3,0))),"")</f>
        <v/>
      </c>
    </row>
    <row r="2419">
      <c r="A2419" s="29" t="str">
        <f t="array" ref="A2419">IFNA(TRANSPOSE(INDEX('Parâmetros'!$B$4:$J3001,,MATCH(Exames!F2417,'Parâmetros'!$B$3:$J$3,0))),"")</f>
        <v/>
      </c>
    </row>
    <row r="2420">
      <c r="A2420" s="29" t="str">
        <f t="array" ref="A2420">IFNA(TRANSPOSE(INDEX('Parâmetros'!$B$4:$J3001,,MATCH(Exames!F2418,'Parâmetros'!$B$3:$J$3,0))),"")</f>
        <v/>
      </c>
    </row>
    <row r="2421">
      <c r="A2421" s="29" t="str">
        <f t="array" ref="A2421">IFNA(TRANSPOSE(INDEX('Parâmetros'!$B$4:$J3001,,MATCH(Exames!F2419,'Parâmetros'!$B$3:$J$3,0))),"")</f>
        <v/>
      </c>
    </row>
    <row r="2422">
      <c r="A2422" s="29" t="str">
        <f t="array" ref="A2422">IFNA(TRANSPOSE(INDEX('Parâmetros'!$B$4:$J3001,,MATCH(Exames!F2420,'Parâmetros'!$B$3:$J$3,0))),"")</f>
        <v/>
      </c>
    </row>
    <row r="2423">
      <c r="A2423" s="29" t="str">
        <f t="array" ref="A2423">IFNA(TRANSPOSE(INDEX('Parâmetros'!$B$4:$J3001,,MATCH(Exames!F2421,'Parâmetros'!$B$3:$J$3,0))),"")</f>
        <v/>
      </c>
    </row>
    <row r="2424">
      <c r="A2424" s="29" t="str">
        <f t="array" ref="A2424">IFNA(TRANSPOSE(INDEX('Parâmetros'!$B$4:$J3001,,MATCH(Exames!F2422,'Parâmetros'!$B$3:$J$3,0))),"")</f>
        <v/>
      </c>
    </row>
    <row r="2425">
      <c r="A2425" s="29" t="str">
        <f t="array" ref="A2425">IFNA(TRANSPOSE(INDEX('Parâmetros'!$B$4:$J3001,,MATCH(Exames!F2423,'Parâmetros'!$B$3:$J$3,0))),"")</f>
        <v/>
      </c>
    </row>
    <row r="2426">
      <c r="A2426" s="29" t="str">
        <f t="array" ref="A2426">IFNA(TRANSPOSE(INDEX('Parâmetros'!$B$4:$J3001,,MATCH(Exames!F2424,'Parâmetros'!$B$3:$J$3,0))),"")</f>
        <v/>
      </c>
    </row>
    <row r="2427">
      <c r="A2427" s="29" t="str">
        <f t="array" ref="A2427">IFNA(TRANSPOSE(INDEX('Parâmetros'!$B$4:$J3001,,MATCH(Exames!F2425,'Parâmetros'!$B$3:$J$3,0))),"")</f>
        <v/>
      </c>
    </row>
    <row r="2428">
      <c r="A2428" s="29" t="str">
        <f t="array" ref="A2428">IFNA(TRANSPOSE(INDEX('Parâmetros'!$B$4:$J3001,,MATCH(Exames!F2426,'Parâmetros'!$B$3:$J$3,0))),"")</f>
        <v/>
      </c>
    </row>
    <row r="2429">
      <c r="A2429" s="29" t="str">
        <f t="array" ref="A2429">IFNA(TRANSPOSE(INDEX('Parâmetros'!$B$4:$J3001,,MATCH(Exames!F2427,'Parâmetros'!$B$3:$J$3,0))),"")</f>
        <v/>
      </c>
    </row>
    <row r="2430">
      <c r="A2430" s="29" t="str">
        <f t="array" ref="A2430">IFNA(TRANSPOSE(INDEX('Parâmetros'!$B$4:$J3001,,MATCH(Exames!F2428,'Parâmetros'!$B$3:$J$3,0))),"")</f>
        <v/>
      </c>
    </row>
    <row r="2431">
      <c r="A2431" s="29" t="str">
        <f t="array" ref="A2431">IFNA(TRANSPOSE(INDEX('Parâmetros'!$B$4:$J3001,,MATCH(Exames!F2429,'Parâmetros'!$B$3:$J$3,0))),"")</f>
        <v/>
      </c>
    </row>
    <row r="2432">
      <c r="A2432" s="29" t="str">
        <f t="array" ref="A2432">IFNA(TRANSPOSE(INDEX('Parâmetros'!$B$4:$J3001,,MATCH(Exames!F2430,'Parâmetros'!$B$3:$J$3,0))),"")</f>
        <v/>
      </c>
    </row>
    <row r="2433">
      <c r="A2433" s="29" t="str">
        <f t="array" ref="A2433">IFNA(TRANSPOSE(INDEX('Parâmetros'!$B$4:$J3001,,MATCH(Exames!F2431,'Parâmetros'!$B$3:$J$3,0))),"")</f>
        <v/>
      </c>
    </row>
    <row r="2434">
      <c r="A2434" s="29" t="str">
        <f t="array" ref="A2434">IFNA(TRANSPOSE(INDEX('Parâmetros'!$B$4:$J3001,,MATCH(Exames!F2432,'Parâmetros'!$B$3:$J$3,0))),"")</f>
        <v/>
      </c>
    </row>
    <row r="2435">
      <c r="A2435" s="29" t="str">
        <f t="array" ref="A2435">IFNA(TRANSPOSE(INDEX('Parâmetros'!$B$4:$J3001,,MATCH(Exames!F2433,'Parâmetros'!$B$3:$J$3,0))),"")</f>
        <v/>
      </c>
    </row>
    <row r="2436">
      <c r="A2436" s="29" t="str">
        <f t="array" ref="A2436">IFNA(TRANSPOSE(INDEX('Parâmetros'!$B$4:$J3001,,MATCH(Exames!F2434,'Parâmetros'!$B$3:$J$3,0))),"")</f>
        <v/>
      </c>
    </row>
    <row r="2437">
      <c r="A2437" s="29" t="str">
        <f t="array" ref="A2437">IFNA(TRANSPOSE(INDEX('Parâmetros'!$B$4:$J3001,,MATCH(Exames!F2435,'Parâmetros'!$B$3:$J$3,0))),"")</f>
        <v/>
      </c>
    </row>
    <row r="2438">
      <c r="A2438" s="29" t="str">
        <f t="array" ref="A2438">IFNA(TRANSPOSE(INDEX('Parâmetros'!$B$4:$J3001,,MATCH(Exames!F2436,'Parâmetros'!$B$3:$J$3,0))),"")</f>
        <v/>
      </c>
    </row>
    <row r="2439">
      <c r="A2439" s="29" t="str">
        <f t="array" ref="A2439">IFNA(TRANSPOSE(INDEX('Parâmetros'!$B$4:$J3001,,MATCH(Exames!F2437,'Parâmetros'!$B$3:$J$3,0))),"")</f>
        <v/>
      </c>
    </row>
    <row r="2440">
      <c r="A2440" s="29" t="str">
        <f t="array" ref="A2440">IFNA(TRANSPOSE(INDEX('Parâmetros'!$B$4:$J3001,,MATCH(Exames!F2438,'Parâmetros'!$B$3:$J$3,0))),"")</f>
        <v/>
      </c>
    </row>
    <row r="2441">
      <c r="A2441" s="29" t="str">
        <f t="array" ref="A2441">IFNA(TRANSPOSE(INDEX('Parâmetros'!$B$4:$J3001,,MATCH(Exames!F2439,'Parâmetros'!$B$3:$J$3,0))),"")</f>
        <v/>
      </c>
    </row>
    <row r="2442">
      <c r="A2442" s="29" t="str">
        <f t="array" ref="A2442">IFNA(TRANSPOSE(INDEX('Parâmetros'!$B$4:$J3001,,MATCH(Exames!F2440,'Parâmetros'!$B$3:$J$3,0))),"")</f>
        <v/>
      </c>
    </row>
    <row r="2443">
      <c r="A2443" s="29" t="str">
        <f t="array" ref="A2443">IFNA(TRANSPOSE(INDEX('Parâmetros'!$B$4:$J3001,,MATCH(Exames!F2441,'Parâmetros'!$B$3:$J$3,0))),"")</f>
        <v/>
      </c>
    </row>
    <row r="2444">
      <c r="A2444" s="29" t="str">
        <f t="array" ref="A2444">IFNA(TRANSPOSE(INDEX('Parâmetros'!$B$4:$J3001,,MATCH(Exames!F2442,'Parâmetros'!$B$3:$J$3,0))),"")</f>
        <v/>
      </c>
    </row>
    <row r="2445">
      <c r="A2445" s="29" t="str">
        <f t="array" ref="A2445">IFNA(TRANSPOSE(INDEX('Parâmetros'!$B$4:$J3001,,MATCH(Exames!F2443,'Parâmetros'!$B$3:$J$3,0))),"")</f>
        <v/>
      </c>
    </row>
    <row r="2446">
      <c r="A2446" s="29" t="str">
        <f t="array" ref="A2446">IFNA(TRANSPOSE(INDEX('Parâmetros'!$B$4:$J3001,,MATCH(Exames!F2444,'Parâmetros'!$B$3:$J$3,0))),"")</f>
        <v/>
      </c>
    </row>
    <row r="2447">
      <c r="A2447" s="29" t="str">
        <f t="array" ref="A2447">IFNA(TRANSPOSE(INDEX('Parâmetros'!$B$4:$J3001,,MATCH(Exames!F2445,'Parâmetros'!$B$3:$J$3,0))),"")</f>
        <v/>
      </c>
    </row>
    <row r="2448">
      <c r="A2448" s="29" t="str">
        <f t="array" ref="A2448">IFNA(TRANSPOSE(INDEX('Parâmetros'!$B$4:$J3001,,MATCH(Exames!F2446,'Parâmetros'!$B$3:$J$3,0))),"")</f>
        <v/>
      </c>
    </row>
    <row r="2449">
      <c r="A2449" s="29" t="str">
        <f t="array" ref="A2449">IFNA(TRANSPOSE(INDEX('Parâmetros'!$B$4:$J3001,,MATCH(Exames!F2447,'Parâmetros'!$B$3:$J$3,0))),"")</f>
        <v/>
      </c>
    </row>
    <row r="2450">
      <c r="A2450" s="29" t="str">
        <f t="array" ref="A2450">IFNA(TRANSPOSE(INDEX('Parâmetros'!$B$4:$J3001,,MATCH(Exames!F2448,'Parâmetros'!$B$3:$J$3,0))),"")</f>
        <v/>
      </c>
    </row>
    <row r="2451">
      <c r="A2451" s="29" t="str">
        <f t="array" ref="A2451">IFNA(TRANSPOSE(INDEX('Parâmetros'!$B$4:$J3001,,MATCH(Exames!F2449,'Parâmetros'!$B$3:$J$3,0))),"")</f>
        <v/>
      </c>
    </row>
    <row r="2452">
      <c r="A2452" s="29" t="str">
        <f t="array" ref="A2452">IFNA(TRANSPOSE(INDEX('Parâmetros'!$B$4:$J3001,,MATCH(Exames!F2450,'Parâmetros'!$B$3:$J$3,0))),"")</f>
        <v/>
      </c>
    </row>
    <row r="2453">
      <c r="A2453" s="29" t="str">
        <f t="array" ref="A2453">IFNA(TRANSPOSE(INDEX('Parâmetros'!$B$4:$J3001,,MATCH(Exames!F2451,'Parâmetros'!$B$3:$J$3,0))),"")</f>
        <v/>
      </c>
    </row>
    <row r="2454">
      <c r="A2454" s="29" t="str">
        <f t="array" ref="A2454">IFNA(TRANSPOSE(INDEX('Parâmetros'!$B$4:$J3001,,MATCH(Exames!F2452,'Parâmetros'!$B$3:$J$3,0))),"")</f>
        <v/>
      </c>
    </row>
    <row r="2455">
      <c r="A2455" s="29" t="str">
        <f t="array" ref="A2455">IFNA(TRANSPOSE(INDEX('Parâmetros'!$B$4:$J3001,,MATCH(Exames!F2453,'Parâmetros'!$B$3:$J$3,0))),"")</f>
        <v/>
      </c>
    </row>
    <row r="2456">
      <c r="A2456" s="29" t="str">
        <f t="array" ref="A2456">IFNA(TRANSPOSE(INDEX('Parâmetros'!$B$4:$J3001,,MATCH(Exames!F2454,'Parâmetros'!$B$3:$J$3,0))),"")</f>
        <v/>
      </c>
    </row>
    <row r="2457">
      <c r="A2457" s="29" t="str">
        <f t="array" ref="A2457">IFNA(TRANSPOSE(INDEX('Parâmetros'!$B$4:$J3001,,MATCH(Exames!F2455,'Parâmetros'!$B$3:$J$3,0))),"")</f>
        <v/>
      </c>
    </row>
    <row r="2458">
      <c r="A2458" s="29" t="str">
        <f t="array" ref="A2458">IFNA(TRANSPOSE(INDEX('Parâmetros'!$B$4:$J3001,,MATCH(Exames!F2456,'Parâmetros'!$B$3:$J$3,0))),"")</f>
        <v/>
      </c>
    </row>
    <row r="2459">
      <c r="A2459" s="29" t="str">
        <f t="array" ref="A2459">IFNA(TRANSPOSE(INDEX('Parâmetros'!$B$4:$J3001,,MATCH(Exames!F2457,'Parâmetros'!$B$3:$J$3,0))),"")</f>
        <v/>
      </c>
    </row>
    <row r="2460">
      <c r="A2460" s="29" t="str">
        <f t="array" ref="A2460">IFNA(TRANSPOSE(INDEX('Parâmetros'!$B$4:$J3001,,MATCH(Exames!F2458,'Parâmetros'!$B$3:$J$3,0))),"")</f>
        <v/>
      </c>
    </row>
    <row r="2461">
      <c r="A2461" s="29" t="str">
        <f t="array" ref="A2461">IFNA(TRANSPOSE(INDEX('Parâmetros'!$B$4:$J3001,,MATCH(Exames!F2459,'Parâmetros'!$B$3:$J$3,0))),"")</f>
        <v/>
      </c>
    </row>
    <row r="2462">
      <c r="A2462" s="29" t="str">
        <f t="array" ref="A2462">IFNA(TRANSPOSE(INDEX('Parâmetros'!$B$4:$J3001,,MATCH(Exames!F2460,'Parâmetros'!$B$3:$J$3,0))),"")</f>
        <v/>
      </c>
    </row>
    <row r="2463">
      <c r="A2463" s="29" t="str">
        <f t="array" ref="A2463">IFNA(TRANSPOSE(INDEX('Parâmetros'!$B$4:$J3001,,MATCH(Exames!F2461,'Parâmetros'!$B$3:$J$3,0))),"")</f>
        <v/>
      </c>
    </row>
    <row r="2464">
      <c r="A2464" s="29" t="str">
        <f t="array" ref="A2464">IFNA(TRANSPOSE(INDEX('Parâmetros'!$B$4:$J3001,,MATCH(Exames!F2462,'Parâmetros'!$B$3:$J$3,0))),"")</f>
        <v/>
      </c>
    </row>
    <row r="2465">
      <c r="A2465" s="29" t="str">
        <f t="array" ref="A2465">IFNA(TRANSPOSE(INDEX('Parâmetros'!$B$4:$J3001,,MATCH(Exames!F2463,'Parâmetros'!$B$3:$J$3,0))),"")</f>
        <v/>
      </c>
    </row>
    <row r="2466">
      <c r="A2466" s="29" t="str">
        <f t="array" ref="A2466">IFNA(TRANSPOSE(INDEX('Parâmetros'!$B$4:$J3001,,MATCH(Exames!F2464,'Parâmetros'!$B$3:$J$3,0))),"")</f>
        <v/>
      </c>
    </row>
    <row r="2467">
      <c r="A2467" s="29" t="str">
        <f t="array" ref="A2467">IFNA(TRANSPOSE(INDEX('Parâmetros'!$B$4:$J3001,,MATCH(Exames!F2465,'Parâmetros'!$B$3:$J$3,0))),"")</f>
        <v/>
      </c>
    </row>
    <row r="2468">
      <c r="A2468" s="29" t="str">
        <f t="array" ref="A2468">IFNA(TRANSPOSE(INDEX('Parâmetros'!$B$4:$J3001,,MATCH(Exames!F2466,'Parâmetros'!$B$3:$J$3,0))),"")</f>
        <v/>
      </c>
    </row>
    <row r="2469">
      <c r="A2469" s="29" t="str">
        <f t="array" ref="A2469">IFNA(TRANSPOSE(INDEX('Parâmetros'!$B$4:$J3001,,MATCH(Exames!F2467,'Parâmetros'!$B$3:$J$3,0))),"")</f>
        <v/>
      </c>
    </row>
    <row r="2470">
      <c r="A2470" s="29" t="str">
        <f t="array" ref="A2470">IFNA(TRANSPOSE(INDEX('Parâmetros'!$B$4:$J3001,,MATCH(Exames!F2468,'Parâmetros'!$B$3:$J$3,0))),"")</f>
        <v/>
      </c>
    </row>
    <row r="2471">
      <c r="A2471" s="29" t="str">
        <f t="array" ref="A2471">IFNA(TRANSPOSE(INDEX('Parâmetros'!$B$4:$J3001,,MATCH(Exames!F2469,'Parâmetros'!$B$3:$J$3,0))),"")</f>
        <v/>
      </c>
    </row>
    <row r="2472">
      <c r="A2472" s="29" t="str">
        <f t="array" ref="A2472">IFNA(TRANSPOSE(INDEX('Parâmetros'!$B$4:$J3001,,MATCH(Exames!F2470,'Parâmetros'!$B$3:$J$3,0))),"")</f>
        <v/>
      </c>
    </row>
    <row r="2473">
      <c r="A2473" s="29" t="str">
        <f t="array" ref="A2473">IFNA(TRANSPOSE(INDEX('Parâmetros'!$B$4:$J3001,,MATCH(Exames!F2471,'Parâmetros'!$B$3:$J$3,0))),"")</f>
        <v/>
      </c>
    </row>
    <row r="2474">
      <c r="A2474" s="29" t="str">
        <f t="array" ref="A2474">IFNA(TRANSPOSE(INDEX('Parâmetros'!$B$4:$J3001,,MATCH(Exames!F2472,'Parâmetros'!$B$3:$J$3,0))),"")</f>
        <v/>
      </c>
    </row>
    <row r="2475">
      <c r="A2475" s="29" t="str">
        <f t="array" ref="A2475">IFNA(TRANSPOSE(INDEX('Parâmetros'!$B$4:$J3001,,MATCH(Exames!F2473,'Parâmetros'!$B$3:$J$3,0))),"")</f>
        <v/>
      </c>
    </row>
    <row r="2476">
      <c r="A2476" s="29" t="str">
        <f t="array" ref="A2476">IFNA(TRANSPOSE(INDEX('Parâmetros'!$B$4:$J3001,,MATCH(Exames!F2474,'Parâmetros'!$B$3:$J$3,0))),"")</f>
        <v/>
      </c>
    </row>
    <row r="2477">
      <c r="A2477" s="29" t="str">
        <f t="array" ref="A2477">IFNA(TRANSPOSE(INDEX('Parâmetros'!$B$4:$J3001,,MATCH(Exames!F2475,'Parâmetros'!$B$3:$J$3,0))),"")</f>
        <v/>
      </c>
    </row>
    <row r="2478">
      <c r="A2478" s="29" t="str">
        <f t="array" ref="A2478">IFNA(TRANSPOSE(INDEX('Parâmetros'!$B$4:$J3001,,MATCH(Exames!F2476,'Parâmetros'!$B$3:$J$3,0))),"")</f>
        <v/>
      </c>
    </row>
    <row r="2479">
      <c r="A2479" s="29" t="str">
        <f t="array" ref="A2479">IFNA(TRANSPOSE(INDEX('Parâmetros'!$B$4:$J3001,,MATCH(Exames!F2477,'Parâmetros'!$B$3:$J$3,0))),"")</f>
        <v/>
      </c>
    </row>
    <row r="2480">
      <c r="A2480" s="29" t="str">
        <f t="array" ref="A2480">IFNA(TRANSPOSE(INDEX('Parâmetros'!$B$4:$J3001,,MATCH(Exames!F2478,'Parâmetros'!$B$3:$J$3,0))),"")</f>
        <v/>
      </c>
    </row>
    <row r="2481">
      <c r="A2481" s="29" t="str">
        <f t="array" ref="A2481">IFNA(TRANSPOSE(INDEX('Parâmetros'!$B$4:$J3001,,MATCH(Exames!F2479,'Parâmetros'!$B$3:$J$3,0))),"")</f>
        <v/>
      </c>
    </row>
    <row r="2482">
      <c r="A2482" s="29" t="str">
        <f t="array" ref="A2482">IFNA(TRANSPOSE(INDEX('Parâmetros'!$B$4:$J3001,,MATCH(Exames!F2480,'Parâmetros'!$B$3:$J$3,0))),"")</f>
        <v/>
      </c>
    </row>
    <row r="2483">
      <c r="A2483" s="29" t="str">
        <f t="array" ref="A2483">IFNA(TRANSPOSE(INDEX('Parâmetros'!$B$4:$J3001,,MATCH(Exames!F2481,'Parâmetros'!$B$3:$J$3,0))),"")</f>
        <v/>
      </c>
    </row>
    <row r="2484">
      <c r="A2484" s="29" t="str">
        <f t="array" ref="A2484">IFNA(TRANSPOSE(INDEX('Parâmetros'!$B$4:$J3001,,MATCH(Exames!F2482,'Parâmetros'!$B$3:$J$3,0))),"")</f>
        <v/>
      </c>
    </row>
    <row r="2485">
      <c r="A2485" s="29" t="str">
        <f t="array" ref="A2485">IFNA(TRANSPOSE(INDEX('Parâmetros'!$B$4:$J3001,,MATCH(Exames!F2483,'Parâmetros'!$B$3:$J$3,0))),"")</f>
        <v/>
      </c>
    </row>
    <row r="2486">
      <c r="A2486" s="29" t="str">
        <f t="array" ref="A2486">IFNA(TRANSPOSE(INDEX('Parâmetros'!$B$4:$J3001,,MATCH(Exames!F2484,'Parâmetros'!$B$3:$J$3,0))),"")</f>
        <v/>
      </c>
    </row>
    <row r="2487">
      <c r="A2487" s="29" t="str">
        <f t="array" ref="A2487">IFNA(TRANSPOSE(INDEX('Parâmetros'!$B$4:$J3001,,MATCH(Exames!F2485,'Parâmetros'!$B$3:$J$3,0))),"")</f>
        <v/>
      </c>
    </row>
    <row r="2488">
      <c r="A2488" s="29" t="str">
        <f t="array" ref="A2488">IFNA(TRANSPOSE(INDEX('Parâmetros'!$B$4:$J3001,,MATCH(Exames!F2486,'Parâmetros'!$B$3:$J$3,0))),"")</f>
        <v/>
      </c>
    </row>
    <row r="2489">
      <c r="A2489" s="29" t="str">
        <f t="array" ref="A2489">IFNA(TRANSPOSE(INDEX('Parâmetros'!$B$4:$J3001,,MATCH(Exames!F2487,'Parâmetros'!$B$3:$J$3,0))),"")</f>
        <v/>
      </c>
    </row>
    <row r="2490">
      <c r="A2490" s="29" t="str">
        <f t="array" ref="A2490">IFNA(TRANSPOSE(INDEX('Parâmetros'!$B$4:$J3001,,MATCH(Exames!F2488,'Parâmetros'!$B$3:$J$3,0))),"")</f>
        <v/>
      </c>
    </row>
    <row r="2491">
      <c r="A2491" s="29" t="str">
        <f t="array" ref="A2491">IFNA(TRANSPOSE(INDEX('Parâmetros'!$B$4:$J3001,,MATCH(Exames!F2489,'Parâmetros'!$B$3:$J$3,0))),"")</f>
        <v/>
      </c>
    </row>
    <row r="2492">
      <c r="A2492" s="29" t="str">
        <f t="array" ref="A2492">IFNA(TRANSPOSE(INDEX('Parâmetros'!$B$4:$J3001,,MATCH(Exames!F2490,'Parâmetros'!$B$3:$J$3,0))),"")</f>
        <v/>
      </c>
    </row>
    <row r="2493">
      <c r="A2493" s="29" t="str">
        <f t="array" ref="A2493">IFNA(TRANSPOSE(INDEX('Parâmetros'!$B$4:$J3001,,MATCH(Exames!F2491,'Parâmetros'!$B$3:$J$3,0))),"")</f>
        <v/>
      </c>
    </row>
    <row r="2494">
      <c r="A2494" s="29" t="str">
        <f t="array" ref="A2494">IFNA(TRANSPOSE(INDEX('Parâmetros'!$B$4:$J3001,,MATCH(Exames!F2492,'Parâmetros'!$B$3:$J$3,0))),"")</f>
        <v/>
      </c>
    </row>
    <row r="2495">
      <c r="A2495" s="29" t="str">
        <f t="array" ref="A2495">IFNA(TRANSPOSE(INDEX('Parâmetros'!$B$4:$J3001,,MATCH(Exames!F2493,'Parâmetros'!$B$3:$J$3,0))),"")</f>
        <v/>
      </c>
    </row>
    <row r="2496">
      <c r="A2496" s="29" t="str">
        <f t="array" ref="A2496">IFNA(TRANSPOSE(INDEX('Parâmetros'!$B$4:$J3001,,MATCH(Exames!F2494,'Parâmetros'!$B$3:$J$3,0))),"")</f>
        <v/>
      </c>
    </row>
    <row r="2497">
      <c r="A2497" s="29" t="str">
        <f t="array" ref="A2497">IFNA(TRANSPOSE(INDEX('Parâmetros'!$B$4:$J3001,,MATCH(Exames!F2495,'Parâmetros'!$B$3:$J$3,0))),"")</f>
        <v/>
      </c>
    </row>
    <row r="2498">
      <c r="A2498" s="29" t="str">
        <f t="array" ref="A2498">IFNA(TRANSPOSE(INDEX('Parâmetros'!$B$4:$J3001,,MATCH(Exames!F2496,'Parâmetros'!$B$3:$J$3,0))),"")</f>
        <v/>
      </c>
    </row>
    <row r="2499">
      <c r="A2499" s="29" t="str">
        <f t="array" ref="A2499">IFNA(TRANSPOSE(INDEX('Parâmetros'!$B$4:$J3001,,MATCH(Exames!F2497,'Parâmetros'!$B$3:$J$3,0))),"")</f>
        <v/>
      </c>
    </row>
    <row r="2500">
      <c r="A2500" s="29" t="str">
        <f t="array" ref="A2500">IFNA(TRANSPOSE(INDEX('Parâmetros'!$B$4:$J3001,,MATCH(Exames!F2498,'Parâmetros'!$B$3:$J$3,0))),"")</f>
        <v/>
      </c>
    </row>
    <row r="2501">
      <c r="A2501" s="29" t="str">
        <f t="array" ref="A2501">IFNA(TRANSPOSE(INDEX('Parâmetros'!$B$4:$J3001,,MATCH(Exames!F2499,'Parâmetros'!$B$3:$J$3,0))),"")</f>
        <v/>
      </c>
    </row>
    <row r="2502">
      <c r="A2502" s="29" t="str">
        <f t="array" ref="A2502">IFNA(TRANSPOSE(INDEX('Parâmetros'!$B$4:$J3001,,MATCH(Exames!F2500,'Parâmetros'!$B$3:$J$3,0))),"")</f>
        <v/>
      </c>
    </row>
    <row r="2503">
      <c r="A2503" s="29" t="str">
        <f t="array" ref="A2503">IFNA(TRANSPOSE(INDEX('Parâmetros'!$B$4:$J3001,,MATCH(Exames!F2501,'Parâmetros'!$B$3:$J$3,0))),"")</f>
        <v/>
      </c>
    </row>
    <row r="2504">
      <c r="A2504" s="29" t="str">
        <f t="array" ref="A2504">IFNA(TRANSPOSE(INDEX('Parâmetros'!$B$4:$J3001,,MATCH(Exames!F2502,'Parâmetros'!$B$3:$J$3,0))),"")</f>
        <v/>
      </c>
    </row>
    <row r="2505">
      <c r="A2505" s="29" t="str">
        <f t="array" ref="A2505">IFNA(TRANSPOSE(INDEX('Parâmetros'!$B$4:$J3001,,MATCH(Exames!F2503,'Parâmetros'!$B$3:$J$3,0))),"")</f>
        <v/>
      </c>
    </row>
    <row r="2506">
      <c r="A2506" s="29" t="str">
        <f t="array" ref="A2506">IFNA(TRANSPOSE(INDEX('Parâmetros'!$B$4:$J3001,,MATCH(Exames!F2504,'Parâmetros'!$B$3:$J$3,0))),"")</f>
        <v/>
      </c>
    </row>
    <row r="2507">
      <c r="A2507" s="29" t="str">
        <f t="array" ref="A2507">IFNA(TRANSPOSE(INDEX('Parâmetros'!$B$4:$J3001,,MATCH(Exames!F2505,'Parâmetros'!$B$3:$J$3,0))),"")</f>
        <v/>
      </c>
    </row>
    <row r="2508">
      <c r="A2508" s="29" t="str">
        <f t="array" ref="A2508">IFNA(TRANSPOSE(INDEX('Parâmetros'!$B$4:$J3001,,MATCH(Exames!F2506,'Parâmetros'!$B$3:$J$3,0))),"")</f>
        <v/>
      </c>
    </row>
    <row r="2509">
      <c r="A2509" s="29" t="str">
        <f t="array" ref="A2509">IFNA(TRANSPOSE(INDEX('Parâmetros'!$B$4:$J3001,,MATCH(Exames!F2507,'Parâmetros'!$B$3:$J$3,0))),"")</f>
        <v/>
      </c>
    </row>
    <row r="2510">
      <c r="A2510" s="29" t="str">
        <f t="array" ref="A2510">IFNA(TRANSPOSE(INDEX('Parâmetros'!$B$4:$J3001,,MATCH(Exames!F2508,'Parâmetros'!$B$3:$J$3,0))),"")</f>
        <v/>
      </c>
    </row>
    <row r="2511">
      <c r="A2511" s="29" t="str">
        <f t="array" ref="A2511">IFNA(TRANSPOSE(INDEX('Parâmetros'!$B$4:$J3001,,MATCH(Exames!F2509,'Parâmetros'!$B$3:$J$3,0))),"")</f>
        <v/>
      </c>
    </row>
    <row r="2512">
      <c r="A2512" s="29" t="str">
        <f t="array" ref="A2512">IFNA(TRANSPOSE(INDEX('Parâmetros'!$B$4:$J3001,,MATCH(Exames!F2510,'Parâmetros'!$B$3:$J$3,0))),"")</f>
        <v/>
      </c>
    </row>
    <row r="2513">
      <c r="A2513" s="29" t="str">
        <f t="array" ref="A2513">IFNA(TRANSPOSE(INDEX('Parâmetros'!$B$4:$J3001,,MATCH(Exames!F2511,'Parâmetros'!$B$3:$J$3,0))),"")</f>
        <v/>
      </c>
    </row>
    <row r="2514">
      <c r="A2514" s="29" t="str">
        <f t="array" ref="A2514">IFNA(TRANSPOSE(INDEX('Parâmetros'!$B$4:$J3001,,MATCH(Exames!F2512,'Parâmetros'!$B$3:$J$3,0))),"")</f>
        <v/>
      </c>
    </row>
    <row r="2515">
      <c r="A2515" s="29" t="str">
        <f t="array" ref="A2515">IFNA(TRANSPOSE(INDEX('Parâmetros'!$B$4:$J3001,,MATCH(Exames!F2513,'Parâmetros'!$B$3:$J$3,0))),"")</f>
        <v/>
      </c>
    </row>
    <row r="2516">
      <c r="A2516" s="29" t="str">
        <f t="array" ref="A2516">IFNA(TRANSPOSE(INDEX('Parâmetros'!$B$4:$J3001,,MATCH(Exames!F2514,'Parâmetros'!$B$3:$J$3,0))),"")</f>
        <v/>
      </c>
    </row>
    <row r="2517">
      <c r="A2517" s="29" t="str">
        <f t="array" ref="A2517">IFNA(TRANSPOSE(INDEX('Parâmetros'!$B$4:$J3001,,MATCH(Exames!F2515,'Parâmetros'!$B$3:$J$3,0))),"")</f>
        <v/>
      </c>
    </row>
    <row r="2518">
      <c r="A2518" s="29" t="str">
        <f t="array" ref="A2518">IFNA(TRANSPOSE(INDEX('Parâmetros'!$B$4:$J3001,,MATCH(Exames!F2516,'Parâmetros'!$B$3:$J$3,0))),"")</f>
        <v/>
      </c>
    </row>
    <row r="2519">
      <c r="A2519" s="29" t="str">
        <f t="array" ref="A2519">IFNA(TRANSPOSE(INDEX('Parâmetros'!$B$4:$J3001,,MATCH(Exames!F2517,'Parâmetros'!$B$3:$J$3,0))),"")</f>
        <v/>
      </c>
    </row>
    <row r="2520">
      <c r="A2520" s="29" t="str">
        <f t="array" ref="A2520">IFNA(TRANSPOSE(INDEX('Parâmetros'!$B$4:$J3001,,MATCH(Exames!F2518,'Parâmetros'!$B$3:$J$3,0))),"")</f>
        <v/>
      </c>
    </row>
    <row r="2521">
      <c r="A2521" s="29" t="str">
        <f t="array" ref="A2521">IFNA(TRANSPOSE(INDEX('Parâmetros'!$B$4:$J3001,,MATCH(Exames!F2519,'Parâmetros'!$B$3:$J$3,0))),"")</f>
        <v/>
      </c>
    </row>
    <row r="2522">
      <c r="A2522" s="29" t="str">
        <f t="array" ref="A2522">IFNA(TRANSPOSE(INDEX('Parâmetros'!$B$4:$J3001,,MATCH(Exames!F2520,'Parâmetros'!$B$3:$J$3,0))),"")</f>
        <v/>
      </c>
    </row>
    <row r="2523">
      <c r="A2523" s="29" t="str">
        <f t="array" ref="A2523">IFNA(TRANSPOSE(INDEX('Parâmetros'!$B$4:$J3001,,MATCH(Exames!F2521,'Parâmetros'!$B$3:$J$3,0))),"")</f>
        <v/>
      </c>
    </row>
    <row r="2524">
      <c r="A2524" s="29" t="str">
        <f t="array" ref="A2524">IFNA(TRANSPOSE(INDEX('Parâmetros'!$B$4:$J3001,,MATCH(Exames!F2522,'Parâmetros'!$B$3:$J$3,0))),"")</f>
        <v/>
      </c>
    </row>
    <row r="2525">
      <c r="A2525" s="29" t="str">
        <f t="array" ref="A2525">IFNA(TRANSPOSE(INDEX('Parâmetros'!$B$4:$J3001,,MATCH(Exames!F2523,'Parâmetros'!$B$3:$J$3,0))),"")</f>
        <v/>
      </c>
    </row>
    <row r="2526">
      <c r="A2526" s="29" t="str">
        <f t="array" ref="A2526">IFNA(TRANSPOSE(INDEX('Parâmetros'!$B$4:$J3001,,MATCH(Exames!F2524,'Parâmetros'!$B$3:$J$3,0))),"")</f>
        <v/>
      </c>
    </row>
    <row r="2527">
      <c r="A2527" s="29" t="str">
        <f t="array" ref="A2527">IFNA(TRANSPOSE(INDEX('Parâmetros'!$B$4:$J3001,,MATCH(Exames!F2525,'Parâmetros'!$B$3:$J$3,0))),"")</f>
        <v/>
      </c>
    </row>
    <row r="2528">
      <c r="A2528" s="29" t="str">
        <f t="array" ref="A2528">IFNA(TRANSPOSE(INDEX('Parâmetros'!$B$4:$J3001,,MATCH(Exames!F2526,'Parâmetros'!$B$3:$J$3,0))),"")</f>
        <v/>
      </c>
    </row>
    <row r="2529">
      <c r="A2529" s="29" t="str">
        <f t="array" ref="A2529">IFNA(TRANSPOSE(INDEX('Parâmetros'!$B$4:$J3001,,MATCH(Exames!F2527,'Parâmetros'!$B$3:$J$3,0))),"")</f>
        <v/>
      </c>
    </row>
    <row r="2530">
      <c r="A2530" s="29" t="str">
        <f t="array" ref="A2530">IFNA(TRANSPOSE(INDEX('Parâmetros'!$B$4:$J3001,,MATCH(Exames!F2528,'Parâmetros'!$B$3:$J$3,0))),"")</f>
        <v/>
      </c>
    </row>
    <row r="2531">
      <c r="A2531" s="29" t="str">
        <f t="array" ref="A2531">IFNA(TRANSPOSE(INDEX('Parâmetros'!$B$4:$J3001,,MATCH(Exames!F2529,'Parâmetros'!$B$3:$J$3,0))),"")</f>
        <v/>
      </c>
    </row>
    <row r="2532">
      <c r="A2532" s="29" t="str">
        <f t="array" ref="A2532">IFNA(TRANSPOSE(INDEX('Parâmetros'!$B$4:$J3001,,MATCH(Exames!F2530,'Parâmetros'!$B$3:$J$3,0))),"")</f>
        <v/>
      </c>
    </row>
    <row r="2533">
      <c r="A2533" s="29" t="str">
        <f t="array" ref="A2533">IFNA(TRANSPOSE(INDEX('Parâmetros'!$B$4:$J3001,,MATCH(Exames!F2531,'Parâmetros'!$B$3:$J$3,0))),"")</f>
        <v/>
      </c>
    </row>
    <row r="2534">
      <c r="A2534" s="29" t="str">
        <f t="array" ref="A2534">IFNA(TRANSPOSE(INDEX('Parâmetros'!$B$4:$J3001,,MATCH(Exames!F2532,'Parâmetros'!$B$3:$J$3,0))),"")</f>
        <v/>
      </c>
    </row>
    <row r="2535">
      <c r="A2535" s="29" t="str">
        <f t="array" ref="A2535">IFNA(TRANSPOSE(INDEX('Parâmetros'!$B$4:$J3001,,MATCH(Exames!F2533,'Parâmetros'!$B$3:$J$3,0))),"")</f>
        <v/>
      </c>
    </row>
    <row r="2536">
      <c r="A2536" s="29" t="str">
        <f t="array" ref="A2536">IFNA(TRANSPOSE(INDEX('Parâmetros'!$B$4:$J3001,,MATCH(Exames!F2534,'Parâmetros'!$B$3:$J$3,0))),"")</f>
        <v/>
      </c>
    </row>
    <row r="2537">
      <c r="A2537" s="29" t="str">
        <f t="array" ref="A2537">IFNA(TRANSPOSE(INDEX('Parâmetros'!$B$4:$J3001,,MATCH(Exames!F2535,'Parâmetros'!$B$3:$J$3,0))),"")</f>
        <v/>
      </c>
    </row>
    <row r="2538">
      <c r="A2538" s="29" t="str">
        <f t="array" ref="A2538">IFNA(TRANSPOSE(INDEX('Parâmetros'!$B$4:$J3001,,MATCH(Exames!F2536,'Parâmetros'!$B$3:$J$3,0))),"")</f>
        <v/>
      </c>
    </row>
    <row r="2539">
      <c r="A2539" s="29" t="str">
        <f t="array" ref="A2539">IFNA(TRANSPOSE(INDEX('Parâmetros'!$B$4:$J3001,,MATCH(Exames!F2537,'Parâmetros'!$B$3:$J$3,0))),"")</f>
        <v/>
      </c>
    </row>
    <row r="2540">
      <c r="A2540" s="29" t="str">
        <f t="array" ref="A2540">IFNA(TRANSPOSE(INDEX('Parâmetros'!$B$4:$J3001,,MATCH(Exames!F2538,'Parâmetros'!$B$3:$J$3,0))),"")</f>
        <v/>
      </c>
    </row>
    <row r="2541">
      <c r="A2541" s="29" t="str">
        <f t="array" ref="A2541">IFNA(TRANSPOSE(INDEX('Parâmetros'!$B$4:$J3001,,MATCH(Exames!F2539,'Parâmetros'!$B$3:$J$3,0))),"")</f>
        <v/>
      </c>
    </row>
    <row r="2542">
      <c r="A2542" s="29" t="str">
        <f t="array" ref="A2542">IFNA(TRANSPOSE(INDEX('Parâmetros'!$B$4:$J3001,,MATCH(Exames!F2540,'Parâmetros'!$B$3:$J$3,0))),"")</f>
        <v/>
      </c>
    </row>
    <row r="2543">
      <c r="A2543" s="29" t="str">
        <f t="array" ref="A2543">IFNA(TRANSPOSE(INDEX('Parâmetros'!$B$4:$J3001,,MATCH(Exames!F2541,'Parâmetros'!$B$3:$J$3,0))),"")</f>
        <v/>
      </c>
    </row>
    <row r="2544">
      <c r="A2544" s="29" t="str">
        <f t="array" ref="A2544">IFNA(TRANSPOSE(INDEX('Parâmetros'!$B$4:$J3001,,MATCH(Exames!F2542,'Parâmetros'!$B$3:$J$3,0))),"")</f>
        <v/>
      </c>
    </row>
    <row r="2545">
      <c r="A2545" s="29" t="str">
        <f t="array" ref="A2545">IFNA(TRANSPOSE(INDEX('Parâmetros'!$B$4:$J3001,,MATCH(Exames!F2543,'Parâmetros'!$B$3:$J$3,0))),"")</f>
        <v/>
      </c>
    </row>
    <row r="2546">
      <c r="A2546" s="29" t="str">
        <f t="array" ref="A2546">IFNA(TRANSPOSE(INDEX('Parâmetros'!$B$4:$J3001,,MATCH(Exames!F2544,'Parâmetros'!$B$3:$J$3,0))),"")</f>
        <v/>
      </c>
    </row>
    <row r="2547">
      <c r="A2547" s="29" t="str">
        <f t="array" ref="A2547">IFNA(TRANSPOSE(INDEX('Parâmetros'!$B$4:$J3001,,MATCH(Exames!F2545,'Parâmetros'!$B$3:$J$3,0))),"")</f>
        <v/>
      </c>
    </row>
    <row r="2548">
      <c r="A2548" s="29" t="str">
        <f t="array" ref="A2548">IFNA(TRANSPOSE(INDEX('Parâmetros'!$B$4:$J3001,,MATCH(Exames!F2546,'Parâmetros'!$B$3:$J$3,0))),"")</f>
        <v/>
      </c>
    </row>
    <row r="2549">
      <c r="A2549" s="29" t="str">
        <f t="array" ref="A2549">IFNA(TRANSPOSE(INDEX('Parâmetros'!$B$4:$J3001,,MATCH(Exames!F2547,'Parâmetros'!$B$3:$J$3,0))),"")</f>
        <v/>
      </c>
    </row>
    <row r="2550">
      <c r="A2550" s="29" t="str">
        <f t="array" ref="A2550">IFNA(TRANSPOSE(INDEX('Parâmetros'!$B$4:$J3001,,MATCH(Exames!F2548,'Parâmetros'!$B$3:$J$3,0))),"")</f>
        <v/>
      </c>
    </row>
    <row r="2551">
      <c r="A2551" s="29" t="str">
        <f t="array" ref="A2551">IFNA(TRANSPOSE(INDEX('Parâmetros'!$B$4:$J3001,,MATCH(Exames!F2549,'Parâmetros'!$B$3:$J$3,0))),"")</f>
        <v/>
      </c>
    </row>
    <row r="2552">
      <c r="A2552" s="29" t="str">
        <f t="array" ref="A2552">IFNA(TRANSPOSE(INDEX('Parâmetros'!$B$4:$J3001,,MATCH(Exames!F2550,'Parâmetros'!$B$3:$J$3,0))),"")</f>
        <v/>
      </c>
    </row>
    <row r="2553">
      <c r="A2553" s="29" t="str">
        <f t="array" ref="A2553">IFNA(TRANSPOSE(INDEX('Parâmetros'!$B$4:$J3001,,MATCH(Exames!F2551,'Parâmetros'!$B$3:$J$3,0))),"")</f>
        <v/>
      </c>
    </row>
    <row r="2554">
      <c r="A2554" s="29" t="str">
        <f t="array" ref="A2554">IFNA(TRANSPOSE(INDEX('Parâmetros'!$B$4:$J3001,,MATCH(Exames!F2552,'Parâmetros'!$B$3:$J$3,0))),"")</f>
        <v/>
      </c>
    </row>
    <row r="2555">
      <c r="A2555" s="29" t="str">
        <f t="array" ref="A2555">IFNA(TRANSPOSE(INDEX('Parâmetros'!$B$4:$J3001,,MATCH(Exames!F2553,'Parâmetros'!$B$3:$J$3,0))),"")</f>
        <v/>
      </c>
    </row>
    <row r="2556">
      <c r="A2556" s="29" t="str">
        <f t="array" ref="A2556">IFNA(TRANSPOSE(INDEX('Parâmetros'!$B$4:$J3001,,MATCH(Exames!F2554,'Parâmetros'!$B$3:$J$3,0))),"")</f>
        <v/>
      </c>
    </row>
    <row r="2557">
      <c r="A2557" s="29" t="str">
        <f t="array" ref="A2557">IFNA(TRANSPOSE(INDEX('Parâmetros'!$B$4:$J3001,,MATCH(Exames!F2555,'Parâmetros'!$B$3:$J$3,0))),"")</f>
        <v/>
      </c>
    </row>
    <row r="2558">
      <c r="A2558" s="29" t="str">
        <f t="array" ref="A2558">IFNA(TRANSPOSE(INDEX('Parâmetros'!$B$4:$J3001,,MATCH(Exames!F2556,'Parâmetros'!$B$3:$J$3,0))),"")</f>
        <v/>
      </c>
    </row>
    <row r="2559">
      <c r="A2559" s="29" t="str">
        <f t="array" ref="A2559">IFNA(TRANSPOSE(INDEX('Parâmetros'!$B$4:$J3001,,MATCH(Exames!F2557,'Parâmetros'!$B$3:$J$3,0))),"")</f>
        <v/>
      </c>
    </row>
    <row r="2560">
      <c r="A2560" s="29" t="str">
        <f t="array" ref="A2560">IFNA(TRANSPOSE(INDEX('Parâmetros'!$B$4:$J3001,,MATCH(Exames!F2558,'Parâmetros'!$B$3:$J$3,0))),"")</f>
        <v/>
      </c>
    </row>
    <row r="2561">
      <c r="A2561" s="29" t="str">
        <f t="array" ref="A2561">IFNA(TRANSPOSE(INDEX('Parâmetros'!$B$4:$J3001,,MATCH(Exames!F2559,'Parâmetros'!$B$3:$J$3,0))),"")</f>
        <v/>
      </c>
    </row>
    <row r="2562">
      <c r="A2562" s="29" t="str">
        <f t="array" ref="A2562">IFNA(TRANSPOSE(INDEX('Parâmetros'!$B$4:$J3001,,MATCH(Exames!F2560,'Parâmetros'!$B$3:$J$3,0))),"")</f>
        <v/>
      </c>
    </row>
    <row r="2563">
      <c r="A2563" s="29" t="str">
        <f t="array" ref="A2563">IFNA(TRANSPOSE(INDEX('Parâmetros'!$B$4:$J3001,,MATCH(Exames!F2561,'Parâmetros'!$B$3:$J$3,0))),"")</f>
        <v/>
      </c>
    </row>
    <row r="2564">
      <c r="A2564" s="29" t="str">
        <f t="array" ref="A2564">IFNA(TRANSPOSE(INDEX('Parâmetros'!$B$4:$J3001,,MATCH(Exames!F2562,'Parâmetros'!$B$3:$J$3,0))),"")</f>
        <v/>
      </c>
    </row>
    <row r="2565">
      <c r="A2565" s="29" t="str">
        <f t="array" ref="A2565">IFNA(TRANSPOSE(INDEX('Parâmetros'!$B$4:$J3001,,MATCH(Exames!F2563,'Parâmetros'!$B$3:$J$3,0))),"")</f>
        <v/>
      </c>
    </row>
    <row r="2566">
      <c r="A2566" s="29" t="str">
        <f t="array" ref="A2566">IFNA(TRANSPOSE(INDEX('Parâmetros'!$B$4:$J3001,,MATCH(Exames!F2564,'Parâmetros'!$B$3:$J$3,0))),"")</f>
        <v/>
      </c>
    </row>
    <row r="2567">
      <c r="A2567" s="29" t="str">
        <f t="array" ref="A2567">IFNA(TRANSPOSE(INDEX('Parâmetros'!$B$4:$J3001,,MATCH(Exames!F2565,'Parâmetros'!$B$3:$J$3,0))),"")</f>
        <v/>
      </c>
    </row>
    <row r="2568">
      <c r="A2568" s="29" t="str">
        <f t="array" ref="A2568">IFNA(TRANSPOSE(INDEX('Parâmetros'!$B$4:$J3001,,MATCH(Exames!F2566,'Parâmetros'!$B$3:$J$3,0))),"")</f>
        <v/>
      </c>
    </row>
    <row r="2569">
      <c r="A2569" s="29" t="str">
        <f t="array" ref="A2569">IFNA(TRANSPOSE(INDEX('Parâmetros'!$B$4:$J3001,,MATCH(Exames!F2567,'Parâmetros'!$B$3:$J$3,0))),"")</f>
        <v/>
      </c>
    </row>
    <row r="2570">
      <c r="A2570" s="29" t="str">
        <f t="array" ref="A2570">IFNA(TRANSPOSE(INDEX('Parâmetros'!$B$4:$J3001,,MATCH(Exames!F2568,'Parâmetros'!$B$3:$J$3,0))),"")</f>
        <v/>
      </c>
    </row>
    <row r="2571">
      <c r="A2571" s="29" t="str">
        <f t="array" ref="A2571">IFNA(TRANSPOSE(INDEX('Parâmetros'!$B$4:$J3001,,MATCH(Exames!F2569,'Parâmetros'!$B$3:$J$3,0))),"")</f>
        <v/>
      </c>
    </row>
    <row r="2572">
      <c r="A2572" s="29" t="str">
        <f t="array" ref="A2572">IFNA(TRANSPOSE(INDEX('Parâmetros'!$B$4:$J3001,,MATCH(Exames!F2570,'Parâmetros'!$B$3:$J$3,0))),"")</f>
        <v/>
      </c>
    </row>
    <row r="2573">
      <c r="A2573" s="29" t="str">
        <f t="array" ref="A2573">IFNA(TRANSPOSE(INDEX('Parâmetros'!$B$4:$J3001,,MATCH(Exames!F2571,'Parâmetros'!$B$3:$J$3,0))),"")</f>
        <v/>
      </c>
    </row>
    <row r="2574">
      <c r="A2574" s="29" t="str">
        <f t="array" ref="A2574">IFNA(TRANSPOSE(INDEX('Parâmetros'!$B$4:$J3001,,MATCH(Exames!F2572,'Parâmetros'!$B$3:$J$3,0))),"")</f>
        <v/>
      </c>
    </row>
    <row r="2575">
      <c r="A2575" s="29" t="str">
        <f t="array" ref="A2575">IFNA(TRANSPOSE(INDEX('Parâmetros'!$B$4:$J3001,,MATCH(Exames!F2573,'Parâmetros'!$B$3:$J$3,0))),"")</f>
        <v/>
      </c>
    </row>
    <row r="2576">
      <c r="A2576" s="29" t="str">
        <f t="array" ref="A2576">IFNA(TRANSPOSE(INDEX('Parâmetros'!$B$4:$J3001,,MATCH(Exames!F2574,'Parâmetros'!$B$3:$J$3,0))),"")</f>
        <v/>
      </c>
    </row>
    <row r="2577">
      <c r="A2577" s="29" t="str">
        <f t="array" ref="A2577">IFNA(TRANSPOSE(INDEX('Parâmetros'!$B$4:$J3001,,MATCH(Exames!F2575,'Parâmetros'!$B$3:$J$3,0))),"")</f>
        <v/>
      </c>
    </row>
    <row r="2578">
      <c r="A2578" s="29" t="str">
        <f t="array" ref="A2578">IFNA(TRANSPOSE(INDEX('Parâmetros'!$B$4:$J3001,,MATCH(Exames!F2576,'Parâmetros'!$B$3:$J$3,0))),"")</f>
        <v/>
      </c>
    </row>
    <row r="2579">
      <c r="A2579" s="29" t="str">
        <f t="array" ref="A2579">IFNA(TRANSPOSE(INDEX('Parâmetros'!$B$4:$J3001,,MATCH(Exames!F2577,'Parâmetros'!$B$3:$J$3,0))),"")</f>
        <v/>
      </c>
    </row>
    <row r="2580">
      <c r="A2580" s="29" t="str">
        <f t="array" ref="A2580">IFNA(TRANSPOSE(INDEX('Parâmetros'!$B$4:$J3001,,MATCH(Exames!F2578,'Parâmetros'!$B$3:$J$3,0))),"")</f>
        <v/>
      </c>
    </row>
    <row r="2581">
      <c r="A2581" s="29" t="str">
        <f t="array" ref="A2581">IFNA(TRANSPOSE(INDEX('Parâmetros'!$B$4:$J3001,,MATCH(Exames!F2579,'Parâmetros'!$B$3:$J$3,0))),"")</f>
        <v/>
      </c>
    </row>
    <row r="2582">
      <c r="A2582" s="29" t="str">
        <f t="array" ref="A2582">IFNA(TRANSPOSE(INDEX('Parâmetros'!$B$4:$J3001,,MATCH(Exames!F2580,'Parâmetros'!$B$3:$J$3,0))),"")</f>
        <v/>
      </c>
    </row>
    <row r="2583">
      <c r="A2583" s="29" t="str">
        <f t="array" ref="A2583">IFNA(TRANSPOSE(INDEX('Parâmetros'!$B$4:$J3001,,MATCH(Exames!F2581,'Parâmetros'!$B$3:$J$3,0))),"")</f>
        <v/>
      </c>
    </row>
    <row r="2584">
      <c r="A2584" s="29" t="str">
        <f t="array" ref="A2584">IFNA(TRANSPOSE(INDEX('Parâmetros'!$B$4:$J3001,,MATCH(Exames!F2582,'Parâmetros'!$B$3:$J$3,0))),"")</f>
        <v/>
      </c>
    </row>
    <row r="2585">
      <c r="A2585" s="29" t="str">
        <f t="array" ref="A2585">IFNA(TRANSPOSE(INDEX('Parâmetros'!$B$4:$J3001,,MATCH(Exames!F2583,'Parâmetros'!$B$3:$J$3,0))),"")</f>
        <v/>
      </c>
    </row>
    <row r="2586">
      <c r="A2586" s="29" t="str">
        <f t="array" ref="A2586">IFNA(TRANSPOSE(INDEX('Parâmetros'!$B$4:$J3001,,MATCH(Exames!F2584,'Parâmetros'!$B$3:$J$3,0))),"")</f>
        <v/>
      </c>
    </row>
    <row r="2587">
      <c r="A2587" s="29" t="str">
        <f t="array" ref="A2587">IFNA(TRANSPOSE(INDEX('Parâmetros'!$B$4:$J3001,,MATCH(Exames!F2585,'Parâmetros'!$B$3:$J$3,0))),"")</f>
        <v/>
      </c>
    </row>
    <row r="2588">
      <c r="A2588" s="29" t="str">
        <f t="array" ref="A2588">IFNA(TRANSPOSE(INDEX('Parâmetros'!$B$4:$J3001,,MATCH(Exames!F2586,'Parâmetros'!$B$3:$J$3,0))),"")</f>
        <v/>
      </c>
    </row>
    <row r="2589">
      <c r="A2589" s="29" t="str">
        <f t="array" ref="A2589">IFNA(TRANSPOSE(INDEX('Parâmetros'!$B$4:$J3001,,MATCH(Exames!F2587,'Parâmetros'!$B$3:$J$3,0))),"")</f>
        <v/>
      </c>
    </row>
    <row r="2590">
      <c r="A2590" s="29" t="str">
        <f t="array" ref="A2590">IFNA(TRANSPOSE(INDEX('Parâmetros'!$B$4:$J3001,,MATCH(Exames!F2588,'Parâmetros'!$B$3:$J$3,0))),"")</f>
        <v/>
      </c>
    </row>
    <row r="2591">
      <c r="A2591" s="29" t="str">
        <f t="array" ref="A2591">IFNA(TRANSPOSE(INDEX('Parâmetros'!$B$4:$J3001,,MATCH(Exames!F2589,'Parâmetros'!$B$3:$J$3,0))),"")</f>
        <v/>
      </c>
    </row>
    <row r="2592">
      <c r="A2592" s="29" t="str">
        <f t="array" ref="A2592">IFNA(TRANSPOSE(INDEX('Parâmetros'!$B$4:$J3001,,MATCH(Exames!F2590,'Parâmetros'!$B$3:$J$3,0))),"")</f>
        <v/>
      </c>
    </row>
    <row r="2593">
      <c r="A2593" s="29" t="str">
        <f t="array" ref="A2593">IFNA(TRANSPOSE(INDEX('Parâmetros'!$B$4:$J3001,,MATCH(Exames!F2591,'Parâmetros'!$B$3:$J$3,0))),"")</f>
        <v/>
      </c>
    </row>
    <row r="2594">
      <c r="A2594" s="29" t="str">
        <f t="array" ref="A2594">IFNA(TRANSPOSE(INDEX('Parâmetros'!$B$4:$J3001,,MATCH(Exames!F2592,'Parâmetros'!$B$3:$J$3,0))),"")</f>
        <v/>
      </c>
    </row>
    <row r="2595">
      <c r="A2595" s="29" t="str">
        <f t="array" ref="A2595">IFNA(TRANSPOSE(INDEX('Parâmetros'!$B$4:$J3001,,MATCH(Exames!F2593,'Parâmetros'!$B$3:$J$3,0))),"")</f>
        <v/>
      </c>
    </row>
    <row r="2596">
      <c r="A2596" s="29" t="str">
        <f t="array" ref="A2596">IFNA(TRANSPOSE(INDEX('Parâmetros'!$B$4:$J3001,,MATCH(Exames!F2594,'Parâmetros'!$B$3:$J$3,0))),"")</f>
        <v/>
      </c>
    </row>
    <row r="2597">
      <c r="A2597" s="29" t="str">
        <f t="array" ref="A2597">IFNA(TRANSPOSE(INDEX('Parâmetros'!$B$4:$J3001,,MATCH(Exames!F2595,'Parâmetros'!$B$3:$J$3,0))),"")</f>
        <v/>
      </c>
    </row>
    <row r="2598">
      <c r="A2598" s="29" t="str">
        <f t="array" ref="A2598">IFNA(TRANSPOSE(INDEX('Parâmetros'!$B$4:$J3001,,MATCH(Exames!F2596,'Parâmetros'!$B$3:$J$3,0))),"")</f>
        <v/>
      </c>
    </row>
    <row r="2599">
      <c r="A2599" s="29" t="str">
        <f t="array" ref="A2599">IFNA(TRANSPOSE(INDEX('Parâmetros'!$B$4:$J3001,,MATCH(Exames!F2597,'Parâmetros'!$B$3:$J$3,0))),"")</f>
        <v/>
      </c>
    </row>
    <row r="2600">
      <c r="A2600" s="29" t="str">
        <f t="array" ref="A2600">IFNA(TRANSPOSE(INDEX('Parâmetros'!$B$4:$J3001,,MATCH(Exames!F2598,'Parâmetros'!$B$3:$J$3,0))),"")</f>
        <v/>
      </c>
    </row>
    <row r="2601">
      <c r="A2601" s="29" t="str">
        <f t="array" ref="A2601">IFNA(TRANSPOSE(INDEX('Parâmetros'!$B$4:$J3001,,MATCH(Exames!F2599,'Parâmetros'!$B$3:$J$3,0))),"")</f>
        <v/>
      </c>
    </row>
    <row r="2602">
      <c r="A2602" s="29" t="str">
        <f t="array" ref="A2602">IFNA(TRANSPOSE(INDEX('Parâmetros'!$B$4:$J3001,,MATCH(Exames!F2600,'Parâmetros'!$B$3:$J$3,0))),"")</f>
        <v/>
      </c>
    </row>
    <row r="2603">
      <c r="A2603" s="29" t="str">
        <f t="array" ref="A2603">IFNA(TRANSPOSE(INDEX('Parâmetros'!$B$4:$J3001,,MATCH(Exames!F2601,'Parâmetros'!$B$3:$J$3,0))),"")</f>
        <v/>
      </c>
    </row>
    <row r="2604">
      <c r="A2604" s="29" t="str">
        <f t="array" ref="A2604">IFNA(TRANSPOSE(INDEX('Parâmetros'!$B$4:$J3001,,MATCH(Exames!F2602,'Parâmetros'!$B$3:$J$3,0))),"")</f>
        <v/>
      </c>
    </row>
    <row r="2605">
      <c r="A2605" s="29" t="str">
        <f t="array" ref="A2605">IFNA(TRANSPOSE(INDEX('Parâmetros'!$B$4:$J3001,,MATCH(Exames!F2603,'Parâmetros'!$B$3:$J$3,0))),"")</f>
        <v/>
      </c>
    </row>
    <row r="2606">
      <c r="A2606" s="29" t="str">
        <f t="array" ref="A2606">IFNA(TRANSPOSE(INDEX('Parâmetros'!$B$4:$J3001,,MATCH(Exames!F2604,'Parâmetros'!$B$3:$J$3,0))),"")</f>
        <v/>
      </c>
    </row>
    <row r="2607">
      <c r="A2607" s="29" t="str">
        <f t="array" ref="A2607">IFNA(TRANSPOSE(INDEX('Parâmetros'!$B$4:$J3001,,MATCH(Exames!F2605,'Parâmetros'!$B$3:$J$3,0))),"")</f>
        <v/>
      </c>
    </row>
    <row r="2608">
      <c r="A2608" s="29" t="str">
        <f t="array" ref="A2608">IFNA(TRANSPOSE(INDEX('Parâmetros'!$B$4:$J3001,,MATCH(Exames!F2606,'Parâmetros'!$B$3:$J$3,0))),"")</f>
        <v/>
      </c>
    </row>
    <row r="2609">
      <c r="A2609" s="29" t="str">
        <f t="array" ref="A2609">IFNA(TRANSPOSE(INDEX('Parâmetros'!$B$4:$J3001,,MATCH(Exames!F2607,'Parâmetros'!$B$3:$J$3,0))),"")</f>
        <v/>
      </c>
    </row>
    <row r="2610">
      <c r="A2610" s="29" t="str">
        <f t="array" ref="A2610">IFNA(TRANSPOSE(INDEX('Parâmetros'!$B$4:$J3001,,MATCH(Exames!F2608,'Parâmetros'!$B$3:$J$3,0))),"")</f>
        <v/>
      </c>
    </row>
    <row r="2611">
      <c r="A2611" s="29" t="str">
        <f t="array" ref="A2611">IFNA(TRANSPOSE(INDEX('Parâmetros'!$B$4:$J3001,,MATCH(Exames!F2609,'Parâmetros'!$B$3:$J$3,0))),"")</f>
        <v/>
      </c>
    </row>
    <row r="2612">
      <c r="A2612" s="29" t="str">
        <f t="array" ref="A2612">IFNA(TRANSPOSE(INDEX('Parâmetros'!$B$4:$J3001,,MATCH(Exames!F2610,'Parâmetros'!$B$3:$J$3,0))),"")</f>
        <v/>
      </c>
    </row>
    <row r="2613">
      <c r="A2613" s="29" t="str">
        <f t="array" ref="A2613">IFNA(TRANSPOSE(INDEX('Parâmetros'!$B$4:$J3001,,MATCH(Exames!F2611,'Parâmetros'!$B$3:$J$3,0))),"")</f>
        <v/>
      </c>
    </row>
    <row r="2614">
      <c r="A2614" s="29" t="str">
        <f t="array" ref="A2614">IFNA(TRANSPOSE(INDEX('Parâmetros'!$B$4:$J3001,,MATCH(Exames!F2612,'Parâmetros'!$B$3:$J$3,0))),"")</f>
        <v/>
      </c>
    </row>
    <row r="2615">
      <c r="A2615" s="29" t="str">
        <f t="array" ref="A2615">IFNA(TRANSPOSE(INDEX('Parâmetros'!$B$4:$J3001,,MATCH(Exames!F2613,'Parâmetros'!$B$3:$J$3,0))),"")</f>
        <v/>
      </c>
    </row>
    <row r="2616">
      <c r="A2616" s="29" t="str">
        <f t="array" ref="A2616">IFNA(TRANSPOSE(INDEX('Parâmetros'!$B$4:$J3001,,MATCH(Exames!F2614,'Parâmetros'!$B$3:$J$3,0))),"")</f>
        <v/>
      </c>
    </row>
    <row r="2617">
      <c r="A2617" s="29" t="str">
        <f t="array" ref="A2617">IFNA(TRANSPOSE(INDEX('Parâmetros'!$B$4:$J3001,,MATCH(Exames!F2615,'Parâmetros'!$B$3:$J$3,0))),"")</f>
        <v/>
      </c>
    </row>
    <row r="2618">
      <c r="A2618" s="29" t="str">
        <f t="array" ref="A2618">IFNA(TRANSPOSE(INDEX('Parâmetros'!$B$4:$J3001,,MATCH(Exames!F2616,'Parâmetros'!$B$3:$J$3,0))),"")</f>
        <v/>
      </c>
    </row>
    <row r="2619">
      <c r="A2619" s="29" t="str">
        <f t="array" ref="A2619">IFNA(TRANSPOSE(INDEX('Parâmetros'!$B$4:$J3001,,MATCH(Exames!F2617,'Parâmetros'!$B$3:$J$3,0))),"")</f>
        <v/>
      </c>
    </row>
    <row r="2620">
      <c r="A2620" s="29" t="str">
        <f t="array" ref="A2620">IFNA(TRANSPOSE(INDEX('Parâmetros'!$B$4:$J3001,,MATCH(Exames!F2618,'Parâmetros'!$B$3:$J$3,0))),"")</f>
        <v/>
      </c>
    </row>
    <row r="2621">
      <c r="A2621" s="29" t="str">
        <f t="array" ref="A2621">IFNA(TRANSPOSE(INDEX('Parâmetros'!$B$4:$J3001,,MATCH(Exames!F2619,'Parâmetros'!$B$3:$J$3,0))),"")</f>
        <v/>
      </c>
    </row>
    <row r="2622">
      <c r="A2622" s="29" t="str">
        <f t="array" ref="A2622">IFNA(TRANSPOSE(INDEX('Parâmetros'!$B$4:$J3001,,MATCH(Exames!F2620,'Parâmetros'!$B$3:$J$3,0))),"")</f>
        <v/>
      </c>
    </row>
    <row r="2623">
      <c r="A2623" s="29" t="str">
        <f t="array" ref="A2623">IFNA(TRANSPOSE(INDEX('Parâmetros'!$B$4:$J3001,,MATCH(Exames!F2621,'Parâmetros'!$B$3:$J$3,0))),"")</f>
        <v/>
      </c>
    </row>
    <row r="2624">
      <c r="A2624" s="29" t="str">
        <f t="array" ref="A2624">IFNA(TRANSPOSE(INDEX('Parâmetros'!$B$4:$J3001,,MATCH(Exames!F2622,'Parâmetros'!$B$3:$J$3,0))),"")</f>
        <v/>
      </c>
    </row>
    <row r="2625">
      <c r="A2625" s="29" t="str">
        <f t="array" ref="A2625">IFNA(TRANSPOSE(INDEX('Parâmetros'!$B$4:$J3001,,MATCH(Exames!F2623,'Parâmetros'!$B$3:$J$3,0))),"")</f>
        <v/>
      </c>
    </row>
    <row r="2626">
      <c r="A2626" s="29" t="str">
        <f t="array" ref="A2626">IFNA(TRANSPOSE(INDEX('Parâmetros'!$B$4:$J3001,,MATCH(Exames!F2624,'Parâmetros'!$B$3:$J$3,0))),"")</f>
        <v/>
      </c>
    </row>
    <row r="2627">
      <c r="A2627" s="29" t="str">
        <f t="array" ref="A2627">IFNA(TRANSPOSE(INDEX('Parâmetros'!$B$4:$J3001,,MATCH(Exames!F2625,'Parâmetros'!$B$3:$J$3,0))),"")</f>
        <v/>
      </c>
    </row>
    <row r="2628">
      <c r="A2628" s="29" t="str">
        <f t="array" ref="A2628">IFNA(TRANSPOSE(INDEX('Parâmetros'!$B$4:$J3001,,MATCH(Exames!F2626,'Parâmetros'!$B$3:$J$3,0))),"")</f>
        <v/>
      </c>
    </row>
    <row r="2629">
      <c r="A2629" s="29" t="str">
        <f t="array" ref="A2629">IFNA(TRANSPOSE(INDEX('Parâmetros'!$B$4:$J3001,,MATCH(Exames!F2627,'Parâmetros'!$B$3:$J$3,0))),"")</f>
        <v/>
      </c>
    </row>
    <row r="2630">
      <c r="A2630" s="29" t="str">
        <f t="array" ref="A2630">IFNA(TRANSPOSE(INDEX('Parâmetros'!$B$4:$J3001,,MATCH(Exames!F2628,'Parâmetros'!$B$3:$J$3,0))),"")</f>
        <v/>
      </c>
    </row>
    <row r="2631">
      <c r="A2631" s="29" t="str">
        <f t="array" ref="A2631">IFNA(TRANSPOSE(INDEX('Parâmetros'!$B$4:$J3001,,MATCH(Exames!F2629,'Parâmetros'!$B$3:$J$3,0))),"")</f>
        <v/>
      </c>
    </row>
    <row r="2632">
      <c r="A2632" s="29" t="str">
        <f t="array" ref="A2632">IFNA(TRANSPOSE(INDEX('Parâmetros'!$B$4:$J3001,,MATCH(Exames!F2630,'Parâmetros'!$B$3:$J$3,0))),"")</f>
        <v/>
      </c>
    </row>
    <row r="2633">
      <c r="A2633" s="29" t="str">
        <f t="array" ref="A2633">IFNA(TRANSPOSE(INDEX('Parâmetros'!$B$4:$J3001,,MATCH(Exames!F2631,'Parâmetros'!$B$3:$J$3,0))),"")</f>
        <v/>
      </c>
    </row>
    <row r="2634">
      <c r="A2634" s="29" t="str">
        <f t="array" ref="A2634">IFNA(TRANSPOSE(INDEX('Parâmetros'!$B$4:$J3001,,MATCH(Exames!F2632,'Parâmetros'!$B$3:$J$3,0))),"")</f>
        <v/>
      </c>
    </row>
    <row r="2635">
      <c r="A2635" s="29" t="str">
        <f t="array" ref="A2635">IFNA(TRANSPOSE(INDEX('Parâmetros'!$B$4:$J3001,,MATCH(Exames!F2633,'Parâmetros'!$B$3:$J$3,0))),"")</f>
        <v/>
      </c>
    </row>
    <row r="2636">
      <c r="A2636" s="29" t="str">
        <f t="array" ref="A2636">IFNA(TRANSPOSE(INDEX('Parâmetros'!$B$4:$J3001,,MATCH(Exames!F2634,'Parâmetros'!$B$3:$J$3,0))),"")</f>
        <v/>
      </c>
    </row>
    <row r="2637">
      <c r="A2637" s="29" t="str">
        <f t="array" ref="A2637">IFNA(TRANSPOSE(INDEX('Parâmetros'!$B$4:$J3001,,MATCH(Exames!F2635,'Parâmetros'!$B$3:$J$3,0))),"")</f>
        <v/>
      </c>
    </row>
    <row r="2638">
      <c r="A2638" s="29" t="str">
        <f t="array" ref="A2638">IFNA(TRANSPOSE(INDEX('Parâmetros'!$B$4:$J3001,,MATCH(Exames!F2636,'Parâmetros'!$B$3:$J$3,0))),"")</f>
        <v/>
      </c>
    </row>
    <row r="2639">
      <c r="A2639" s="29" t="str">
        <f t="array" ref="A2639">IFNA(TRANSPOSE(INDEX('Parâmetros'!$B$4:$J3001,,MATCH(Exames!F2637,'Parâmetros'!$B$3:$J$3,0))),"")</f>
        <v/>
      </c>
    </row>
    <row r="2640">
      <c r="A2640" s="29" t="str">
        <f t="array" ref="A2640">IFNA(TRANSPOSE(INDEX('Parâmetros'!$B$4:$J3001,,MATCH(Exames!F2638,'Parâmetros'!$B$3:$J$3,0))),"")</f>
        <v/>
      </c>
    </row>
    <row r="2641">
      <c r="A2641" s="29" t="str">
        <f t="array" ref="A2641">IFNA(TRANSPOSE(INDEX('Parâmetros'!$B$4:$J3001,,MATCH(Exames!F2639,'Parâmetros'!$B$3:$J$3,0))),"")</f>
        <v/>
      </c>
    </row>
    <row r="2642">
      <c r="A2642" s="29" t="str">
        <f t="array" ref="A2642">IFNA(TRANSPOSE(INDEX('Parâmetros'!$B$4:$J3001,,MATCH(Exames!F2640,'Parâmetros'!$B$3:$J$3,0))),"")</f>
        <v/>
      </c>
    </row>
    <row r="2643">
      <c r="A2643" s="29" t="str">
        <f t="array" ref="A2643">IFNA(TRANSPOSE(INDEX('Parâmetros'!$B$4:$J3001,,MATCH(Exames!F2641,'Parâmetros'!$B$3:$J$3,0))),"")</f>
        <v/>
      </c>
    </row>
    <row r="2644">
      <c r="A2644" s="29" t="str">
        <f t="array" ref="A2644">IFNA(TRANSPOSE(INDEX('Parâmetros'!$B$4:$J3001,,MATCH(Exames!F2642,'Parâmetros'!$B$3:$J$3,0))),"")</f>
        <v/>
      </c>
    </row>
    <row r="2645">
      <c r="A2645" s="29" t="str">
        <f t="array" ref="A2645">IFNA(TRANSPOSE(INDEX('Parâmetros'!$B$4:$J3001,,MATCH(Exames!F2643,'Parâmetros'!$B$3:$J$3,0))),"")</f>
        <v/>
      </c>
    </row>
    <row r="2646">
      <c r="A2646" s="29" t="str">
        <f t="array" ref="A2646">IFNA(TRANSPOSE(INDEX('Parâmetros'!$B$4:$J3001,,MATCH(Exames!F2644,'Parâmetros'!$B$3:$J$3,0))),"")</f>
        <v/>
      </c>
    </row>
    <row r="2647">
      <c r="A2647" s="29" t="str">
        <f t="array" ref="A2647">IFNA(TRANSPOSE(INDEX('Parâmetros'!$B$4:$J3001,,MATCH(Exames!F2645,'Parâmetros'!$B$3:$J$3,0))),"")</f>
        <v/>
      </c>
    </row>
    <row r="2648">
      <c r="A2648" s="29" t="str">
        <f t="array" ref="A2648">IFNA(TRANSPOSE(INDEX('Parâmetros'!$B$4:$J3001,,MATCH(Exames!F2646,'Parâmetros'!$B$3:$J$3,0))),"")</f>
        <v/>
      </c>
    </row>
    <row r="2649">
      <c r="A2649" s="29" t="str">
        <f t="array" ref="A2649">IFNA(TRANSPOSE(INDEX('Parâmetros'!$B$4:$J3001,,MATCH(Exames!F2647,'Parâmetros'!$B$3:$J$3,0))),"")</f>
        <v/>
      </c>
    </row>
    <row r="2650">
      <c r="A2650" s="29" t="str">
        <f t="array" ref="A2650">IFNA(TRANSPOSE(INDEX('Parâmetros'!$B$4:$J3001,,MATCH(Exames!F2648,'Parâmetros'!$B$3:$J$3,0))),"")</f>
        <v/>
      </c>
    </row>
    <row r="2651">
      <c r="A2651" s="29" t="str">
        <f t="array" ref="A2651">IFNA(TRANSPOSE(INDEX('Parâmetros'!$B$4:$J3001,,MATCH(Exames!F2649,'Parâmetros'!$B$3:$J$3,0))),"")</f>
        <v/>
      </c>
    </row>
    <row r="2652">
      <c r="A2652" s="29" t="str">
        <f t="array" ref="A2652">IFNA(TRANSPOSE(INDEX('Parâmetros'!$B$4:$J3001,,MATCH(Exames!F2650,'Parâmetros'!$B$3:$J$3,0))),"")</f>
        <v/>
      </c>
    </row>
    <row r="2653">
      <c r="A2653" s="29" t="str">
        <f t="array" ref="A2653">IFNA(TRANSPOSE(INDEX('Parâmetros'!$B$4:$J3001,,MATCH(Exames!F2651,'Parâmetros'!$B$3:$J$3,0))),"")</f>
        <v/>
      </c>
    </row>
    <row r="2654">
      <c r="A2654" s="29" t="str">
        <f t="array" ref="A2654">IFNA(TRANSPOSE(INDEX('Parâmetros'!$B$4:$J3001,,MATCH(Exames!F2652,'Parâmetros'!$B$3:$J$3,0))),"")</f>
        <v/>
      </c>
    </row>
    <row r="2655">
      <c r="A2655" s="29" t="str">
        <f t="array" ref="A2655">IFNA(TRANSPOSE(INDEX('Parâmetros'!$B$4:$J3001,,MATCH(Exames!F2653,'Parâmetros'!$B$3:$J$3,0))),"")</f>
        <v/>
      </c>
    </row>
    <row r="2656">
      <c r="A2656" s="29" t="str">
        <f t="array" ref="A2656">IFNA(TRANSPOSE(INDEX('Parâmetros'!$B$4:$J3001,,MATCH(Exames!F2654,'Parâmetros'!$B$3:$J$3,0))),"")</f>
        <v/>
      </c>
    </row>
    <row r="2657">
      <c r="A2657" s="29" t="str">
        <f t="array" ref="A2657">IFNA(TRANSPOSE(INDEX('Parâmetros'!$B$4:$J3001,,MATCH(Exames!F2655,'Parâmetros'!$B$3:$J$3,0))),"")</f>
        <v/>
      </c>
    </row>
    <row r="2658">
      <c r="A2658" s="29" t="str">
        <f t="array" ref="A2658">IFNA(TRANSPOSE(INDEX('Parâmetros'!$B$4:$J3001,,MATCH(Exames!F2656,'Parâmetros'!$B$3:$J$3,0))),"")</f>
        <v/>
      </c>
    </row>
    <row r="2659">
      <c r="A2659" s="29" t="str">
        <f t="array" ref="A2659">IFNA(TRANSPOSE(INDEX('Parâmetros'!$B$4:$J3001,,MATCH(Exames!F2657,'Parâmetros'!$B$3:$J$3,0))),"")</f>
        <v/>
      </c>
    </row>
    <row r="2660">
      <c r="A2660" s="29" t="str">
        <f t="array" ref="A2660">IFNA(TRANSPOSE(INDEX('Parâmetros'!$B$4:$J3001,,MATCH(Exames!F2658,'Parâmetros'!$B$3:$J$3,0))),"")</f>
        <v/>
      </c>
    </row>
    <row r="2661">
      <c r="A2661" s="29" t="str">
        <f t="array" ref="A2661">IFNA(TRANSPOSE(INDEX('Parâmetros'!$B$4:$J3001,,MATCH(Exames!F2659,'Parâmetros'!$B$3:$J$3,0))),"")</f>
        <v/>
      </c>
    </row>
    <row r="2662">
      <c r="A2662" s="29" t="str">
        <f t="array" ref="A2662">IFNA(TRANSPOSE(INDEX('Parâmetros'!$B$4:$J3001,,MATCH(Exames!F2660,'Parâmetros'!$B$3:$J$3,0))),"")</f>
        <v/>
      </c>
    </row>
    <row r="2663">
      <c r="A2663" s="29" t="str">
        <f t="array" ref="A2663">IFNA(TRANSPOSE(INDEX('Parâmetros'!$B$4:$J3001,,MATCH(Exames!F2661,'Parâmetros'!$B$3:$J$3,0))),"")</f>
        <v/>
      </c>
    </row>
    <row r="2664">
      <c r="A2664" s="29" t="str">
        <f t="array" ref="A2664">IFNA(TRANSPOSE(INDEX('Parâmetros'!$B$4:$J3001,,MATCH(Exames!F2662,'Parâmetros'!$B$3:$J$3,0))),"")</f>
        <v/>
      </c>
    </row>
    <row r="2665">
      <c r="A2665" s="29" t="str">
        <f t="array" ref="A2665">IFNA(TRANSPOSE(INDEX('Parâmetros'!$B$4:$J3001,,MATCH(Exames!F2663,'Parâmetros'!$B$3:$J$3,0))),"")</f>
        <v/>
      </c>
    </row>
    <row r="2666">
      <c r="A2666" s="29" t="str">
        <f t="array" ref="A2666">IFNA(TRANSPOSE(INDEX('Parâmetros'!$B$4:$J3001,,MATCH(Exames!F2664,'Parâmetros'!$B$3:$J$3,0))),"")</f>
        <v/>
      </c>
    </row>
    <row r="2667">
      <c r="A2667" s="29" t="str">
        <f t="array" ref="A2667">IFNA(TRANSPOSE(INDEX('Parâmetros'!$B$4:$J3001,,MATCH(Exames!F2665,'Parâmetros'!$B$3:$J$3,0))),"")</f>
        <v/>
      </c>
    </row>
    <row r="2668">
      <c r="A2668" s="29" t="str">
        <f t="array" ref="A2668">IFNA(TRANSPOSE(INDEX('Parâmetros'!$B$4:$J3001,,MATCH(Exames!F2666,'Parâmetros'!$B$3:$J$3,0))),"")</f>
        <v/>
      </c>
    </row>
    <row r="2669">
      <c r="A2669" s="29" t="str">
        <f t="array" ref="A2669">IFNA(TRANSPOSE(INDEX('Parâmetros'!$B$4:$J3001,,MATCH(Exames!F2667,'Parâmetros'!$B$3:$J$3,0))),"")</f>
        <v/>
      </c>
    </row>
    <row r="2670">
      <c r="A2670" s="29" t="str">
        <f t="array" ref="A2670">IFNA(TRANSPOSE(INDEX('Parâmetros'!$B$4:$J3001,,MATCH(Exames!F2668,'Parâmetros'!$B$3:$J$3,0))),"")</f>
        <v/>
      </c>
    </row>
    <row r="2671">
      <c r="A2671" s="29" t="str">
        <f t="array" ref="A2671">IFNA(TRANSPOSE(INDEX('Parâmetros'!$B$4:$J3001,,MATCH(Exames!F2669,'Parâmetros'!$B$3:$J$3,0))),"")</f>
        <v/>
      </c>
    </row>
    <row r="2672">
      <c r="A2672" s="29" t="str">
        <f t="array" ref="A2672">IFNA(TRANSPOSE(INDEX('Parâmetros'!$B$4:$J3001,,MATCH(Exames!F2670,'Parâmetros'!$B$3:$J$3,0))),"")</f>
        <v/>
      </c>
    </row>
    <row r="2673">
      <c r="A2673" s="29" t="str">
        <f t="array" ref="A2673">IFNA(TRANSPOSE(INDEX('Parâmetros'!$B$4:$J3001,,MATCH(Exames!F2671,'Parâmetros'!$B$3:$J$3,0))),"")</f>
        <v/>
      </c>
    </row>
    <row r="2674">
      <c r="A2674" s="29" t="str">
        <f t="array" ref="A2674">IFNA(TRANSPOSE(INDEX('Parâmetros'!$B$4:$J3001,,MATCH(Exames!F2672,'Parâmetros'!$B$3:$J$3,0))),"")</f>
        <v/>
      </c>
    </row>
    <row r="2675">
      <c r="A2675" s="29" t="str">
        <f t="array" ref="A2675">IFNA(TRANSPOSE(INDEX('Parâmetros'!$B$4:$J3001,,MATCH(Exames!F2673,'Parâmetros'!$B$3:$J$3,0))),"")</f>
        <v/>
      </c>
    </row>
    <row r="2676">
      <c r="A2676" s="29" t="str">
        <f t="array" ref="A2676">IFNA(TRANSPOSE(INDEX('Parâmetros'!$B$4:$J3001,,MATCH(Exames!F2674,'Parâmetros'!$B$3:$J$3,0))),"")</f>
        <v/>
      </c>
    </row>
    <row r="2677">
      <c r="A2677" s="29" t="str">
        <f t="array" ref="A2677">IFNA(TRANSPOSE(INDEX('Parâmetros'!$B$4:$J3001,,MATCH(Exames!F2675,'Parâmetros'!$B$3:$J$3,0))),"")</f>
        <v/>
      </c>
    </row>
    <row r="2678">
      <c r="A2678" s="29" t="str">
        <f t="array" ref="A2678">IFNA(TRANSPOSE(INDEX('Parâmetros'!$B$4:$J3001,,MATCH(Exames!F2676,'Parâmetros'!$B$3:$J$3,0))),"")</f>
        <v/>
      </c>
    </row>
    <row r="2679">
      <c r="A2679" s="29" t="str">
        <f t="array" ref="A2679">IFNA(TRANSPOSE(INDEX('Parâmetros'!$B$4:$J3001,,MATCH(Exames!F2677,'Parâmetros'!$B$3:$J$3,0))),"")</f>
        <v/>
      </c>
    </row>
    <row r="2680">
      <c r="A2680" s="29" t="str">
        <f t="array" ref="A2680">IFNA(TRANSPOSE(INDEX('Parâmetros'!$B$4:$J3001,,MATCH(Exames!F2678,'Parâmetros'!$B$3:$J$3,0))),"")</f>
        <v/>
      </c>
    </row>
    <row r="2681">
      <c r="A2681" s="29" t="str">
        <f t="array" ref="A2681">IFNA(TRANSPOSE(INDEX('Parâmetros'!$B$4:$J3001,,MATCH(Exames!F2679,'Parâmetros'!$B$3:$J$3,0))),"")</f>
        <v/>
      </c>
    </row>
    <row r="2682">
      <c r="A2682" s="29" t="str">
        <f t="array" ref="A2682">IFNA(TRANSPOSE(INDEX('Parâmetros'!$B$4:$J3001,,MATCH(Exames!F2680,'Parâmetros'!$B$3:$J$3,0))),"")</f>
        <v/>
      </c>
    </row>
    <row r="2683">
      <c r="A2683" s="29" t="str">
        <f t="array" ref="A2683">IFNA(TRANSPOSE(INDEX('Parâmetros'!$B$4:$J3001,,MATCH(Exames!F2681,'Parâmetros'!$B$3:$J$3,0))),"")</f>
        <v/>
      </c>
    </row>
    <row r="2684">
      <c r="A2684" s="29" t="str">
        <f t="array" ref="A2684">IFNA(TRANSPOSE(INDEX('Parâmetros'!$B$4:$J3001,,MATCH(Exames!F2682,'Parâmetros'!$B$3:$J$3,0))),"")</f>
        <v/>
      </c>
    </row>
    <row r="2685">
      <c r="A2685" s="29" t="str">
        <f t="array" ref="A2685">IFNA(TRANSPOSE(INDEX('Parâmetros'!$B$4:$J3001,,MATCH(Exames!F2683,'Parâmetros'!$B$3:$J$3,0))),"")</f>
        <v/>
      </c>
    </row>
    <row r="2686">
      <c r="A2686" s="29" t="str">
        <f t="array" ref="A2686">IFNA(TRANSPOSE(INDEX('Parâmetros'!$B$4:$J3001,,MATCH(Exames!F2684,'Parâmetros'!$B$3:$J$3,0))),"")</f>
        <v/>
      </c>
    </row>
    <row r="2687">
      <c r="A2687" s="29" t="str">
        <f t="array" ref="A2687">IFNA(TRANSPOSE(INDEX('Parâmetros'!$B$4:$J3001,,MATCH(Exames!F2685,'Parâmetros'!$B$3:$J$3,0))),"")</f>
        <v/>
      </c>
    </row>
    <row r="2688">
      <c r="A2688" s="29" t="str">
        <f t="array" ref="A2688">IFNA(TRANSPOSE(INDEX('Parâmetros'!$B$4:$J3001,,MATCH(Exames!F2686,'Parâmetros'!$B$3:$J$3,0))),"")</f>
        <v/>
      </c>
    </row>
    <row r="2689">
      <c r="A2689" s="29" t="str">
        <f t="array" ref="A2689">IFNA(TRANSPOSE(INDEX('Parâmetros'!$B$4:$J3001,,MATCH(Exames!F2687,'Parâmetros'!$B$3:$J$3,0))),"")</f>
        <v/>
      </c>
    </row>
    <row r="2690">
      <c r="A2690" s="29" t="str">
        <f t="array" ref="A2690">IFNA(TRANSPOSE(INDEX('Parâmetros'!$B$4:$J3001,,MATCH(Exames!F2688,'Parâmetros'!$B$3:$J$3,0))),"")</f>
        <v/>
      </c>
    </row>
    <row r="2691">
      <c r="A2691" s="29" t="str">
        <f t="array" ref="A2691">IFNA(TRANSPOSE(INDEX('Parâmetros'!$B$4:$J3001,,MATCH(Exames!F2689,'Parâmetros'!$B$3:$J$3,0))),"")</f>
        <v/>
      </c>
    </row>
    <row r="2692">
      <c r="A2692" s="29" t="str">
        <f t="array" ref="A2692">IFNA(TRANSPOSE(INDEX('Parâmetros'!$B$4:$J3001,,MATCH(Exames!F2690,'Parâmetros'!$B$3:$J$3,0))),"")</f>
        <v/>
      </c>
    </row>
    <row r="2693">
      <c r="A2693" s="29" t="str">
        <f t="array" ref="A2693">IFNA(TRANSPOSE(INDEX('Parâmetros'!$B$4:$J3001,,MATCH(Exames!F2691,'Parâmetros'!$B$3:$J$3,0))),"")</f>
        <v/>
      </c>
    </row>
    <row r="2694">
      <c r="A2694" s="29" t="str">
        <f t="array" ref="A2694">IFNA(TRANSPOSE(INDEX('Parâmetros'!$B$4:$J3001,,MATCH(Exames!F2692,'Parâmetros'!$B$3:$J$3,0))),"")</f>
        <v/>
      </c>
    </row>
    <row r="2695">
      <c r="A2695" s="29" t="str">
        <f t="array" ref="A2695">IFNA(TRANSPOSE(INDEX('Parâmetros'!$B$4:$J3001,,MATCH(Exames!F2693,'Parâmetros'!$B$3:$J$3,0))),"")</f>
        <v/>
      </c>
    </row>
    <row r="2696">
      <c r="A2696" s="29" t="str">
        <f t="array" ref="A2696">IFNA(TRANSPOSE(INDEX('Parâmetros'!$B$4:$J3001,,MATCH(Exames!F2694,'Parâmetros'!$B$3:$J$3,0))),"")</f>
        <v/>
      </c>
    </row>
    <row r="2697">
      <c r="A2697" s="29" t="str">
        <f t="array" ref="A2697">IFNA(TRANSPOSE(INDEX('Parâmetros'!$B$4:$J3001,,MATCH(Exames!F2695,'Parâmetros'!$B$3:$J$3,0))),"")</f>
        <v/>
      </c>
    </row>
    <row r="2698">
      <c r="A2698" s="29" t="str">
        <f t="array" ref="A2698">IFNA(TRANSPOSE(INDEX('Parâmetros'!$B$4:$J3001,,MATCH(Exames!F2696,'Parâmetros'!$B$3:$J$3,0))),"")</f>
        <v/>
      </c>
    </row>
    <row r="2699">
      <c r="A2699" s="29" t="str">
        <f t="array" ref="A2699">IFNA(TRANSPOSE(INDEX('Parâmetros'!$B$4:$J3001,,MATCH(Exames!F2697,'Parâmetros'!$B$3:$J$3,0))),"")</f>
        <v/>
      </c>
    </row>
    <row r="2700">
      <c r="A2700" s="29" t="str">
        <f t="array" ref="A2700">IFNA(TRANSPOSE(INDEX('Parâmetros'!$B$4:$J3001,,MATCH(Exames!F2698,'Parâmetros'!$B$3:$J$3,0))),"")</f>
        <v/>
      </c>
    </row>
    <row r="2701">
      <c r="A2701" s="29" t="str">
        <f t="array" ref="A2701">IFNA(TRANSPOSE(INDEX('Parâmetros'!$B$4:$J3001,,MATCH(Exames!F2699,'Parâmetros'!$B$3:$J$3,0))),"")</f>
        <v/>
      </c>
    </row>
    <row r="2702">
      <c r="A2702" s="29" t="str">
        <f t="array" ref="A2702">IFNA(TRANSPOSE(INDEX('Parâmetros'!$B$4:$J3001,,MATCH(Exames!F2700,'Parâmetros'!$B$3:$J$3,0))),"")</f>
        <v/>
      </c>
    </row>
    <row r="2703">
      <c r="A2703" s="29" t="str">
        <f t="array" ref="A2703">IFNA(TRANSPOSE(INDEX('Parâmetros'!$B$4:$J3001,,MATCH(Exames!F2701,'Parâmetros'!$B$3:$J$3,0))),"")</f>
        <v/>
      </c>
    </row>
    <row r="2704">
      <c r="A2704" s="29" t="str">
        <f t="array" ref="A2704">IFNA(TRANSPOSE(INDEX('Parâmetros'!$B$4:$J3001,,MATCH(Exames!F2702,'Parâmetros'!$B$3:$J$3,0))),"")</f>
        <v/>
      </c>
    </row>
    <row r="2705">
      <c r="A2705" s="29" t="str">
        <f t="array" ref="A2705">IFNA(TRANSPOSE(INDEX('Parâmetros'!$B$4:$J3001,,MATCH(Exames!F2703,'Parâmetros'!$B$3:$J$3,0))),"")</f>
        <v/>
      </c>
    </row>
    <row r="2706">
      <c r="A2706" s="29" t="str">
        <f t="array" ref="A2706">IFNA(TRANSPOSE(INDEX('Parâmetros'!$B$4:$J3001,,MATCH(Exames!F2704,'Parâmetros'!$B$3:$J$3,0))),"")</f>
        <v/>
      </c>
    </row>
    <row r="2707">
      <c r="A2707" s="29" t="str">
        <f t="array" ref="A2707">IFNA(TRANSPOSE(INDEX('Parâmetros'!$B$4:$J3001,,MATCH(Exames!F2705,'Parâmetros'!$B$3:$J$3,0))),"")</f>
        <v/>
      </c>
    </row>
    <row r="2708">
      <c r="A2708" s="29" t="str">
        <f t="array" ref="A2708">IFNA(TRANSPOSE(INDEX('Parâmetros'!$B$4:$J3001,,MATCH(Exames!F2706,'Parâmetros'!$B$3:$J$3,0))),"")</f>
        <v/>
      </c>
    </row>
    <row r="2709">
      <c r="A2709" s="29" t="str">
        <f t="array" ref="A2709">IFNA(TRANSPOSE(INDEX('Parâmetros'!$B$4:$J3001,,MATCH(Exames!F2707,'Parâmetros'!$B$3:$J$3,0))),"")</f>
        <v/>
      </c>
    </row>
    <row r="2710">
      <c r="A2710" s="29" t="str">
        <f t="array" ref="A2710">IFNA(TRANSPOSE(INDEX('Parâmetros'!$B$4:$J3001,,MATCH(Exames!F2708,'Parâmetros'!$B$3:$J$3,0))),"")</f>
        <v/>
      </c>
    </row>
    <row r="2711">
      <c r="A2711" s="29" t="str">
        <f t="array" ref="A2711">IFNA(TRANSPOSE(INDEX('Parâmetros'!$B$4:$J3001,,MATCH(Exames!F2709,'Parâmetros'!$B$3:$J$3,0))),"")</f>
        <v/>
      </c>
    </row>
    <row r="2712">
      <c r="A2712" s="29" t="str">
        <f t="array" ref="A2712">IFNA(TRANSPOSE(INDEX('Parâmetros'!$B$4:$J3001,,MATCH(Exames!F2710,'Parâmetros'!$B$3:$J$3,0))),"")</f>
        <v/>
      </c>
    </row>
    <row r="2713">
      <c r="A2713" s="29" t="str">
        <f t="array" ref="A2713">IFNA(TRANSPOSE(INDEX('Parâmetros'!$B$4:$J3001,,MATCH(Exames!F2711,'Parâmetros'!$B$3:$J$3,0))),"")</f>
        <v/>
      </c>
    </row>
    <row r="2714">
      <c r="A2714" s="29" t="str">
        <f t="array" ref="A2714">IFNA(TRANSPOSE(INDEX('Parâmetros'!$B$4:$J3001,,MATCH(Exames!F2712,'Parâmetros'!$B$3:$J$3,0))),"")</f>
        <v/>
      </c>
    </row>
    <row r="2715">
      <c r="A2715" s="29" t="str">
        <f t="array" ref="A2715">IFNA(TRANSPOSE(INDEX('Parâmetros'!$B$4:$J3001,,MATCH(Exames!F2713,'Parâmetros'!$B$3:$J$3,0))),"")</f>
        <v/>
      </c>
    </row>
    <row r="2716">
      <c r="A2716" s="29" t="str">
        <f t="array" ref="A2716">IFNA(TRANSPOSE(INDEX('Parâmetros'!$B$4:$J3001,,MATCH(Exames!F2714,'Parâmetros'!$B$3:$J$3,0))),"")</f>
        <v/>
      </c>
    </row>
    <row r="2717">
      <c r="A2717" s="29" t="str">
        <f t="array" ref="A2717">IFNA(TRANSPOSE(INDEX('Parâmetros'!$B$4:$J3001,,MATCH(Exames!F2715,'Parâmetros'!$B$3:$J$3,0))),"")</f>
        <v/>
      </c>
    </row>
    <row r="2718">
      <c r="A2718" s="29" t="str">
        <f t="array" ref="A2718">IFNA(TRANSPOSE(INDEX('Parâmetros'!$B$4:$J3001,,MATCH(Exames!F2716,'Parâmetros'!$B$3:$J$3,0))),"")</f>
        <v/>
      </c>
    </row>
    <row r="2719">
      <c r="A2719" s="29" t="str">
        <f t="array" ref="A2719">IFNA(TRANSPOSE(INDEX('Parâmetros'!$B$4:$J3001,,MATCH(Exames!F2717,'Parâmetros'!$B$3:$J$3,0))),"")</f>
        <v/>
      </c>
    </row>
    <row r="2720">
      <c r="A2720" s="29" t="str">
        <f t="array" ref="A2720">IFNA(TRANSPOSE(INDEX('Parâmetros'!$B$4:$J3001,,MATCH(Exames!F2718,'Parâmetros'!$B$3:$J$3,0))),"")</f>
        <v/>
      </c>
    </row>
    <row r="2721">
      <c r="A2721" s="29" t="str">
        <f t="array" ref="A2721">IFNA(TRANSPOSE(INDEX('Parâmetros'!$B$4:$J3001,,MATCH(Exames!F2719,'Parâmetros'!$B$3:$J$3,0))),"")</f>
        <v/>
      </c>
    </row>
    <row r="2722">
      <c r="A2722" s="29" t="str">
        <f t="array" ref="A2722">IFNA(TRANSPOSE(INDEX('Parâmetros'!$B$4:$J3001,,MATCH(Exames!F2720,'Parâmetros'!$B$3:$J$3,0))),"")</f>
        <v/>
      </c>
    </row>
    <row r="2723">
      <c r="A2723" s="29" t="str">
        <f t="array" ref="A2723">IFNA(TRANSPOSE(INDEX('Parâmetros'!$B$4:$J3001,,MATCH(Exames!F2721,'Parâmetros'!$B$3:$J$3,0))),"")</f>
        <v/>
      </c>
    </row>
    <row r="2724">
      <c r="A2724" s="29" t="str">
        <f t="array" ref="A2724">IFNA(TRANSPOSE(INDEX('Parâmetros'!$B$4:$J3001,,MATCH(Exames!F2722,'Parâmetros'!$B$3:$J$3,0))),"")</f>
        <v/>
      </c>
    </row>
    <row r="2725">
      <c r="A2725" s="29" t="str">
        <f t="array" ref="A2725">IFNA(TRANSPOSE(INDEX('Parâmetros'!$B$4:$J3001,,MATCH(Exames!F2723,'Parâmetros'!$B$3:$J$3,0))),"")</f>
        <v/>
      </c>
    </row>
    <row r="2726">
      <c r="A2726" s="29" t="str">
        <f t="array" ref="A2726">IFNA(TRANSPOSE(INDEX('Parâmetros'!$B$4:$J3001,,MATCH(Exames!F2724,'Parâmetros'!$B$3:$J$3,0))),"")</f>
        <v/>
      </c>
    </row>
    <row r="2727">
      <c r="A2727" s="29" t="str">
        <f t="array" ref="A2727">IFNA(TRANSPOSE(INDEX('Parâmetros'!$B$4:$J3001,,MATCH(Exames!F2725,'Parâmetros'!$B$3:$J$3,0))),"")</f>
        <v/>
      </c>
    </row>
    <row r="2728">
      <c r="A2728" s="29" t="str">
        <f t="array" ref="A2728">IFNA(TRANSPOSE(INDEX('Parâmetros'!$B$4:$J3001,,MATCH(Exames!F2726,'Parâmetros'!$B$3:$J$3,0))),"")</f>
        <v/>
      </c>
    </row>
    <row r="2729">
      <c r="A2729" s="29" t="str">
        <f t="array" ref="A2729">IFNA(TRANSPOSE(INDEX('Parâmetros'!$B$4:$J3001,,MATCH(Exames!F2727,'Parâmetros'!$B$3:$J$3,0))),"")</f>
        <v/>
      </c>
    </row>
    <row r="2730">
      <c r="A2730" s="29" t="str">
        <f t="array" ref="A2730">IFNA(TRANSPOSE(INDEX('Parâmetros'!$B$4:$J3001,,MATCH(Exames!F2728,'Parâmetros'!$B$3:$J$3,0))),"")</f>
        <v/>
      </c>
    </row>
    <row r="2731">
      <c r="A2731" s="29" t="str">
        <f t="array" ref="A2731">IFNA(TRANSPOSE(INDEX('Parâmetros'!$B$4:$J3001,,MATCH(Exames!F2729,'Parâmetros'!$B$3:$J$3,0))),"")</f>
        <v/>
      </c>
    </row>
    <row r="2732">
      <c r="A2732" s="29" t="str">
        <f t="array" ref="A2732">IFNA(TRANSPOSE(INDEX('Parâmetros'!$B$4:$J3001,,MATCH(Exames!F2730,'Parâmetros'!$B$3:$J$3,0))),"")</f>
        <v/>
      </c>
    </row>
    <row r="2733">
      <c r="A2733" s="29" t="str">
        <f t="array" ref="A2733">IFNA(TRANSPOSE(INDEX('Parâmetros'!$B$4:$J3001,,MATCH(Exames!F2731,'Parâmetros'!$B$3:$J$3,0))),"")</f>
        <v/>
      </c>
    </row>
    <row r="2734">
      <c r="A2734" s="29" t="str">
        <f t="array" ref="A2734">IFNA(TRANSPOSE(INDEX('Parâmetros'!$B$4:$J3001,,MATCH(Exames!F2732,'Parâmetros'!$B$3:$J$3,0))),"")</f>
        <v/>
      </c>
    </row>
    <row r="2735">
      <c r="A2735" s="29" t="str">
        <f t="array" ref="A2735">IFNA(TRANSPOSE(INDEX('Parâmetros'!$B$4:$J3001,,MATCH(Exames!F2733,'Parâmetros'!$B$3:$J$3,0))),"")</f>
        <v/>
      </c>
    </row>
    <row r="2736">
      <c r="A2736" s="29" t="str">
        <f t="array" ref="A2736">IFNA(TRANSPOSE(INDEX('Parâmetros'!$B$4:$J3001,,MATCH(Exames!F2734,'Parâmetros'!$B$3:$J$3,0))),"")</f>
        <v/>
      </c>
    </row>
    <row r="2737">
      <c r="A2737" s="29" t="str">
        <f t="array" ref="A2737">IFNA(TRANSPOSE(INDEX('Parâmetros'!$B$4:$J3001,,MATCH(Exames!F2735,'Parâmetros'!$B$3:$J$3,0))),"")</f>
        <v/>
      </c>
    </row>
    <row r="2738">
      <c r="A2738" s="29" t="str">
        <f t="array" ref="A2738">IFNA(TRANSPOSE(INDEX('Parâmetros'!$B$4:$J3001,,MATCH(Exames!F2736,'Parâmetros'!$B$3:$J$3,0))),"")</f>
        <v/>
      </c>
    </row>
    <row r="2739">
      <c r="A2739" s="29" t="str">
        <f t="array" ref="A2739">IFNA(TRANSPOSE(INDEX('Parâmetros'!$B$4:$J3001,,MATCH(Exames!F2737,'Parâmetros'!$B$3:$J$3,0))),"")</f>
        <v/>
      </c>
    </row>
    <row r="2740">
      <c r="A2740" s="29" t="str">
        <f t="array" ref="A2740">IFNA(TRANSPOSE(INDEX('Parâmetros'!$B$4:$J3001,,MATCH(Exames!F2738,'Parâmetros'!$B$3:$J$3,0))),"")</f>
        <v/>
      </c>
    </row>
    <row r="2741">
      <c r="A2741" s="29" t="str">
        <f t="array" ref="A2741">IFNA(TRANSPOSE(INDEX('Parâmetros'!$B$4:$J3001,,MATCH(Exames!F2739,'Parâmetros'!$B$3:$J$3,0))),"")</f>
        <v/>
      </c>
    </row>
    <row r="2742">
      <c r="A2742" s="29" t="str">
        <f t="array" ref="A2742">IFNA(TRANSPOSE(INDEX('Parâmetros'!$B$4:$J3001,,MATCH(Exames!F2740,'Parâmetros'!$B$3:$J$3,0))),"")</f>
        <v/>
      </c>
    </row>
    <row r="2743">
      <c r="A2743" s="29" t="str">
        <f t="array" ref="A2743">IFNA(TRANSPOSE(INDEX('Parâmetros'!$B$4:$J3001,,MATCH(Exames!F2741,'Parâmetros'!$B$3:$J$3,0))),"")</f>
        <v/>
      </c>
    </row>
    <row r="2744">
      <c r="A2744" s="29" t="str">
        <f t="array" ref="A2744">IFNA(TRANSPOSE(INDEX('Parâmetros'!$B$4:$J3001,,MATCH(Exames!F2742,'Parâmetros'!$B$3:$J$3,0))),"")</f>
        <v/>
      </c>
    </row>
    <row r="2745">
      <c r="A2745" s="29" t="str">
        <f t="array" ref="A2745">IFNA(TRANSPOSE(INDEX('Parâmetros'!$B$4:$J3001,,MATCH(Exames!F2743,'Parâmetros'!$B$3:$J$3,0))),"")</f>
        <v/>
      </c>
    </row>
    <row r="2746">
      <c r="A2746" s="29" t="str">
        <f t="array" ref="A2746">IFNA(TRANSPOSE(INDEX('Parâmetros'!$B$4:$J3001,,MATCH(Exames!F2744,'Parâmetros'!$B$3:$J$3,0))),"")</f>
        <v/>
      </c>
    </row>
    <row r="2747">
      <c r="A2747" s="29" t="str">
        <f t="array" ref="A2747">IFNA(TRANSPOSE(INDEX('Parâmetros'!$B$4:$J3001,,MATCH(Exames!F2745,'Parâmetros'!$B$3:$J$3,0))),"")</f>
        <v/>
      </c>
    </row>
    <row r="2748">
      <c r="A2748" s="29" t="str">
        <f t="array" ref="A2748">IFNA(TRANSPOSE(INDEX('Parâmetros'!$B$4:$J3001,,MATCH(Exames!F2746,'Parâmetros'!$B$3:$J$3,0))),"")</f>
        <v/>
      </c>
    </row>
    <row r="2749">
      <c r="A2749" s="29" t="str">
        <f t="array" ref="A2749">IFNA(TRANSPOSE(INDEX('Parâmetros'!$B$4:$J3001,,MATCH(Exames!F2747,'Parâmetros'!$B$3:$J$3,0))),"")</f>
        <v/>
      </c>
    </row>
    <row r="2750">
      <c r="A2750" s="29" t="str">
        <f t="array" ref="A2750">IFNA(TRANSPOSE(INDEX('Parâmetros'!$B$4:$J3001,,MATCH(Exames!F2748,'Parâmetros'!$B$3:$J$3,0))),"")</f>
        <v/>
      </c>
    </row>
    <row r="2751">
      <c r="A2751" s="29" t="str">
        <f t="array" ref="A2751">IFNA(TRANSPOSE(INDEX('Parâmetros'!$B$4:$J3001,,MATCH(Exames!F2749,'Parâmetros'!$B$3:$J$3,0))),"")</f>
        <v/>
      </c>
    </row>
    <row r="2752">
      <c r="A2752" s="29" t="str">
        <f t="array" ref="A2752">IFNA(TRANSPOSE(INDEX('Parâmetros'!$B$4:$J3001,,MATCH(Exames!F2750,'Parâmetros'!$B$3:$J$3,0))),"")</f>
        <v/>
      </c>
    </row>
    <row r="2753">
      <c r="A2753" s="29" t="str">
        <f t="array" ref="A2753">IFNA(TRANSPOSE(INDEX('Parâmetros'!$B$4:$J3001,,MATCH(Exames!F2751,'Parâmetros'!$B$3:$J$3,0))),"")</f>
        <v/>
      </c>
    </row>
    <row r="2754">
      <c r="A2754" s="29" t="str">
        <f t="array" ref="A2754">IFNA(TRANSPOSE(INDEX('Parâmetros'!$B$4:$J3001,,MATCH(Exames!F2752,'Parâmetros'!$B$3:$J$3,0))),"")</f>
        <v/>
      </c>
    </row>
    <row r="2755">
      <c r="A2755" s="29" t="str">
        <f t="array" ref="A2755">IFNA(TRANSPOSE(INDEX('Parâmetros'!$B$4:$J3001,,MATCH(Exames!F2753,'Parâmetros'!$B$3:$J$3,0))),"")</f>
        <v/>
      </c>
    </row>
    <row r="2756">
      <c r="A2756" s="29" t="str">
        <f t="array" ref="A2756">IFNA(TRANSPOSE(INDEX('Parâmetros'!$B$4:$J3001,,MATCH(Exames!F2754,'Parâmetros'!$B$3:$J$3,0))),"")</f>
        <v/>
      </c>
    </row>
    <row r="2757">
      <c r="A2757" s="29" t="str">
        <f t="array" ref="A2757">IFNA(TRANSPOSE(INDEX('Parâmetros'!$B$4:$J3001,,MATCH(Exames!F2755,'Parâmetros'!$B$3:$J$3,0))),"")</f>
        <v/>
      </c>
    </row>
    <row r="2758">
      <c r="A2758" s="29" t="str">
        <f t="array" ref="A2758">IFNA(TRANSPOSE(INDEX('Parâmetros'!$B$4:$J3001,,MATCH(Exames!F2756,'Parâmetros'!$B$3:$J$3,0))),"")</f>
        <v/>
      </c>
    </row>
    <row r="2759">
      <c r="A2759" s="29" t="str">
        <f t="array" ref="A2759">IFNA(TRANSPOSE(INDEX('Parâmetros'!$B$4:$J3001,,MATCH(Exames!F2757,'Parâmetros'!$B$3:$J$3,0))),"")</f>
        <v/>
      </c>
    </row>
    <row r="2760">
      <c r="A2760" s="29" t="str">
        <f t="array" ref="A2760">IFNA(TRANSPOSE(INDEX('Parâmetros'!$B$4:$J3001,,MATCH(Exames!F2758,'Parâmetros'!$B$3:$J$3,0))),"")</f>
        <v/>
      </c>
    </row>
    <row r="2761">
      <c r="A2761" s="29" t="str">
        <f t="array" ref="A2761">IFNA(TRANSPOSE(INDEX('Parâmetros'!$B$4:$J3001,,MATCH(Exames!F2759,'Parâmetros'!$B$3:$J$3,0))),"")</f>
        <v/>
      </c>
    </row>
    <row r="2762">
      <c r="A2762" s="29" t="str">
        <f t="array" ref="A2762">IFNA(TRANSPOSE(INDEX('Parâmetros'!$B$4:$J3001,,MATCH(Exames!F2760,'Parâmetros'!$B$3:$J$3,0))),"")</f>
        <v/>
      </c>
    </row>
    <row r="2763">
      <c r="A2763" s="29" t="str">
        <f t="array" ref="A2763">IFNA(TRANSPOSE(INDEX('Parâmetros'!$B$4:$J3001,,MATCH(Exames!F2761,'Parâmetros'!$B$3:$J$3,0))),"")</f>
        <v/>
      </c>
    </row>
    <row r="2764">
      <c r="A2764" s="29" t="str">
        <f t="array" ref="A2764">IFNA(TRANSPOSE(INDEX('Parâmetros'!$B$4:$J3001,,MATCH(Exames!F2762,'Parâmetros'!$B$3:$J$3,0))),"")</f>
        <v/>
      </c>
    </row>
    <row r="2765">
      <c r="A2765" s="29" t="str">
        <f t="array" ref="A2765">IFNA(TRANSPOSE(INDEX('Parâmetros'!$B$4:$J3001,,MATCH(Exames!F2763,'Parâmetros'!$B$3:$J$3,0))),"")</f>
        <v/>
      </c>
    </row>
    <row r="2766">
      <c r="A2766" s="29" t="str">
        <f t="array" ref="A2766">IFNA(TRANSPOSE(INDEX('Parâmetros'!$B$4:$J3001,,MATCH(Exames!F2764,'Parâmetros'!$B$3:$J$3,0))),"")</f>
        <v/>
      </c>
    </row>
    <row r="2767">
      <c r="A2767" s="29" t="str">
        <f t="array" ref="A2767">IFNA(TRANSPOSE(INDEX('Parâmetros'!$B$4:$J3001,,MATCH(Exames!F2765,'Parâmetros'!$B$3:$J$3,0))),"")</f>
        <v/>
      </c>
    </row>
    <row r="2768">
      <c r="A2768" s="29" t="str">
        <f t="array" ref="A2768">IFNA(TRANSPOSE(INDEX('Parâmetros'!$B$4:$J3001,,MATCH(Exames!F2766,'Parâmetros'!$B$3:$J$3,0))),"")</f>
        <v/>
      </c>
    </row>
    <row r="2769">
      <c r="A2769" s="29" t="str">
        <f t="array" ref="A2769">IFNA(TRANSPOSE(INDEX('Parâmetros'!$B$4:$J3001,,MATCH(Exames!F2767,'Parâmetros'!$B$3:$J$3,0))),"")</f>
        <v/>
      </c>
    </row>
    <row r="2770">
      <c r="A2770" s="29" t="str">
        <f t="array" ref="A2770">IFNA(TRANSPOSE(INDEX('Parâmetros'!$B$4:$J3001,,MATCH(Exames!F2768,'Parâmetros'!$B$3:$J$3,0))),"")</f>
        <v/>
      </c>
    </row>
    <row r="2771">
      <c r="A2771" s="29" t="str">
        <f t="array" ref="A2771">IFNA(TRANSPOSE(INDEX('Parâmetros'!$B$4:$J3001,,MATCH(Exames!F2769,'Parâmetros'!$B$3:$J$3,0))),"")</f>
        <v/>
      </c>
    </row>
    <row r="2772">
      <c r="A2772" s="29" t="str">
        <f t="array" ref="A2772">IFNA(TRANSPOSE(INDEX('Parâmetros'!$B$4:$J3001,,MATCH(Exames!F2770,'Parâmetros'!$B$3:$J$3,0))),"")</f>
        <v/>
      </c>
    </row>
    <row r="2773">
      <c r="A2773" s="29" t="str">
        <f t="array" ref="A2773">IFNA(TRANSPOSE(INDEX('Parâmetros'!$B$4:$J3001,,MATCH(Exames!F2771,'Parâmetros'!$B$3:$J$3,0))),"")</f>
        <v/>
      </c>
    </row>
    <row r="2774">
      <c r="A2774" s="29" t="str">
        <f t="array" ref="A2774">IFNA(TRANSPOSE(INDEX('Parâmetros'!$B$4:$J3001,,MATCH(Exames!F2772,'Parâmetros'!$B$3:$J$3,0))),"")</f>
        <v/>
      </c>
    </row>
    <row r="2775">
      <c r="A2775" s="29" t="str">
        <f t="array" ref="A2775">IFNA(TRANSPOSE(INDEX('Parâmetros'!$B$4:$J3001,,MATCH(Exames!F2773,'Parâmetros'!$B$3:$J$3,0))),"")</f>
        <v/>
      </c>
    </row>
    <row r="2776">
      <c r="A2776" s="29" t="str">
        <f t="array" ref="A2776">IFNA(TRANSPOSE(INDEX('Parâmetros'!$B$4:$J3001,,MATCH(Exames!F2774,'Parâmetros'!$B$3:$J$3,0))),"")</f>
        <v/>
      </c>
    </row>
    <row r="2777">
      <c r="A2777" s="29" t="str">
        <f t="array" ref="A2777">IFNA(TRANSPOSE(INDEX('Parâmetros'!$B$4:$J3001,,MATCH(Exames!F2775,'Parâmetros'!$B$3:$J$3,0))),"")</f>
        <v/>
      </c>
    </row>
    <row r="2778">
      <c r="A2778" s="29" t="str">
        <f t="array" ref="A2778">IFNA(TRANSPOSE(INDEX('Parâmetros'!$B$4:$J3001,,MATCH(Exames!F2776,'Parâmetros'!$B$3:$J$3,0))),"")</f>
        <v/>
      </c>
    </row>
    <row r="2779">
      <c r="A2779" s="29" t="str">
        <f t="array" ref="A2779">IFNA(TRANSPOSE(INDEX('Parâmetros'!$B$4:$J3001,,MATCH(Exames!F2777,'Parâmetros'!$B$3:$J$3,0))),"")</f>
        <v/>
      </c>
    </row>
    <row r="2780">
      <c r="A2780" s="29" t="str">
        <f t="array" ref="A2780">IFNA(TRANSPOSE(INDEX('Parâmetros'!$B$4:$J3001,,MATCH(Exames!F2778,'Parâmetros'!$B$3:$J$3,0))),"")</f>
        <v/>
      </c>
    </row>
    <row r="2781">
      <c r="A2781" s="29" t="str">
        <f t="array" ref="A2781">IFNA(TRANSPOSE(INDEX('Parâmetros'!$B$4:$J3001,,MATCH(Exames!F2779,'Parâmetros'!$B$3:$J$3,0))),"")</f>
        <v/>
      </c>
    </row>
    <row r="2782">
      <c r="A2782" s="29" t="str">
        <f t="array" ref="A2782">IFNA(TRANSPOSE(INDEX('Parâmetros'!$B$4:$J3001,,MATCH(Exames!F2780,'Parâmetros'!$B$3:$J$3,0))),"")</f>
        <v/>
      </c>
    </row>
    <row r="2783">
      <c r="A2783" s="29" t="str">
        <f t="array" ref="A2783">IFNA(TRANSPOSE(INDEX('Parâmetros'!$B$4:$J3001,,MATCH(Exames!F2781,'Parâmetros'!$B$3:$J$3,0))),"")</f>
        <v/>
      </c>
    </row>
    <row r="2784">
      <c r="A2784" s="29" t="str">
        <f t="array" ref="A2784">IFNA(TRANSPOSE(INDEX('Parâmetros'!$B$4:$J3001,,MATCH(Exames!F2782,'Parâmetros'!$B$3:$J$3,0))),"")</f>
        <v/>
      </c>
    </row>
    <row r="2785">
      <c r="A2785" s="29" t="str">
        <f t="array" ref="A2785">IFNA(TRANSPOSE(INDEX('Parâmetros'!$B$4:$J3001,,MATCH(Exames!F2783,'Parâmetros'!$B$3:$J$3,0))),"")</f>
        <v/>
      </c>
    </row>
    <row r="2786">
      <c r="A2786" s="29" t="str">
        <f t="array" ref="A2786">IFNA(TRANSPOSE(INDEX('Parâmetros'!$B$4:$J3001,,MATCH(Exames!F2784,'Parâmetros'!$B$3:$J$3,0))),"")</f>
        <v/>
      </c>
    </row>
    <row r="2787">
      <c r="A2787" s="29" t="str">
        <f t="array" ref="A2787">IFNA(TRANSPOSE(INDEX('Parâmetros'!$B$4:$J3001,,MATCH(Exames!F2785,'Parâmetros'!$B$3:$J$3,0))),"")</f>
        <v/>
      </c>
    </row>
    <row r="2788">
      <c r="A2788" s="29" t="str">
        <f t="array" ref="A2788">IFNA(TRANSPOSE(INDEX('Parâmetros'!$B$4:$J3001,,MATCH(Exames!F2786,'Parâmetros'!$B$3:$J$3,0))),"")</f>
        <v/>
      </c>
    </row>
    <row r="2789">
      <c r="A2789" s="29" t="str">
        <f t="array" ref="A2789">IFNA(TRANSPOSE(INDEX('Parâmetros'!$B$4:$J3001,,MATCH(Exames!F2787,'Parâmetros'!$B$3:$J$3,0))),"")</f>
        <v/>
      </c>
    </row>
    <row r="2790">
      <c r="A2790" s="29" t="str">
        <f t="array" ref="A2790">IFNA(TRANSPOSE(INDEX('Parâmetros'!$B$4:$J3001,,MATCH(Exames!F2788,'Parâmetros'!$B$3:$J$3,0))),"")</f>
        <v/>
      </c>
    </row>
    <row r="2791">
      <c r="A2791" s="29" t="str">
        <f t="array" ref="A2791">IFNA(TRANSPOSE(INDEX('Parâmetros'!$B$4:$J3001,,MATCH(Exames!F2789,'Parâmetros'!$B$3:$J$3,0))),"")</f>
        <v/>
      </c>
    </row>
    <row r="2792">
      <c r="A2792" s="29" t="str">
        <f t="array" ref="A2792">IFNA(TRANSPOSE(INDEX('Parâmetros'!$B$4:$J3001,,MATCH(Exames!F2790,'Parâmetros'!$B$3:$J$3,0))),"")</f>
        <v/>
      </c>
    </row>
    <row r="2793">
      <c r="A2793" s="29" t="str">
        <f t="array" ref="A2793">IFNA(TRANSPOSE(INDEX('Parâmetros'!$B$4:$J3001,,MATCH(Exames!F2791,'Parâmetros'!$B$3:$J$3,0))),"")</f>
        <v/>
      </c>
    </row>
    <row r="2794">
      <c r="A2794" s="29" t="str">
        <f t="array" ref="A2794">IFNA(TRANSPOSE(INDEX('Parâmetros'!$B$4:$J3001,,MATCH(Exames!F2792,'Parâmetros'!$B$3:$J$3,0))),"")</f>
        <v/>
      </c>
    </row>
    <row r="2795">
      <c r="A2795" s="29" t="str">
        <f t="array" ref="A2795">IFNA(TRANSPOSE(INDEX('Parâmetros'!$B$4:$J3001,,MATCH(Exames!F2793,'Parâmetros'!$B$3:$J$3,0))),"")</f>
        <v/>
      </c>
    </row>
    <row r="2796">
      <c r="A2796" s="29" t="str">
        <f t="array" ref="A2796">IFNA(TRANSPOSE(INDEX('Parâmetros'!$B$4:$J3001,,MATCH(Exames!F2794,'Parâmetros'!$B$3:$J$3,0))),"")</f>
        <v/>
      </c>
    </row>
    <row r="2797">
      <c r="A2797" s="29" t="str">
        <f t="array" ref="A2797">IFNA(TRANSPOSE(INDEX('Parâmetros'!$B$4:$J3001,,MATCH(Exames!F2795,'Parâmetros'!$B$3:$J$3,0))),"")</f>
        <v/>
      </c>
    </row>
    <row r="2798">
      <c r="A2798" s="29" t="str">
        <f t="array" ref="A2798">IFNA(TRANSPOSE(INDEX('Parâmetros'!$B$4:$J3001,,MATCH(Exames!F2796,'Parâmetros'!$B$3:$J$3,0))),"")</f>
        <v/>
      </c>
    </row>
    <row r="2799">
      <c r="A2799" s="29" t="str">
        <f t="array" ref="A2799">IFNA(TRANSPOSE(INDEX('Parâmetros'!$B$4:$J3001,,MATCH(Exames!F2797,'Parâmetros'!$B$3:$J$3,0))),"")</f>
        <v/>
      </c>
    </row>
    <row r="2800">
      <c r="A2800" s="29" t="str">
        <f t="array" ref="A2800">IFNA(TRANSPOSE(INDEX('Parâmetros'!$B$4:$J3001,,MATCH(Exames!F2798,'Parâmetros'!$B$3:$J$3,0))),"")</f>
        <v/>
      </c>
    </row>
    <row r="2801">
      <c r="A2801" s="29" t="str">
        <f t="array" ref="A2801">IFNA(TRANSPOSE(INDEX('Parâmetros'!$B$4:$J3001,,MATCH(Exames!F2799,'Parâmetros'!$B$3:$J$3,0))),"")</f>
        <v/>
      </c>
    </row>
    <row r="2802">
      <c r="A2802" s="29" t="str">
        <f t="array" ref="A2802">IFNA(TRANSPOSE(INDEX('Parâmetros'!$B$4:$J3001,,MATCH(Exames!F2800,'Parâmetros'!$B$3:$J$3,0))),"")</f>
        <v/>
      </c>
    </row>
    <row r="2803">
      <c r="A2803" s="29" t="str">
        <f t="array" ref="A2803">IFNA(TRANSPOSE(INDEX('Parâmetros'!$B$4:$J3001,,MATCH(Exames!F2801,'Parâmetros'!$B$3:$J$3,0))),"")</f>
        <v/>
      </c>
    </row>
    <row r="2804">
      <c r="A2804" s="29" t="str">
        <f t="array" ref="A2804">IFNA(TRANSPOSE(INDEX('Parâmetros'!$B$4:$J3001,,MATCH(Exames!F2802,'Parâmetros'!$B$3:$J$3,0))),"")</f>
        <v/>
      </c>
    </row>
    <row r="2805">
      <c r="A2805" s="29" t="str">
        <f t="array" ref="A2805">IFNA(TRANSPOSE(INDEX('Parâmetros'!$B$4:$J3001,,MATCH(Exames!F2803,'Parâmetros'!$B$3:$J$3,0))),"")</f>
        <v/>
      </c>
    </row>
    <row r="2806">
      <c r="A2806" s="29" t="str">
        <f t="array" ref="A2806">IFNA(TRANSPOSE(INDEX('Parâmetros'!$B$4:$J3001,,MATCH(Exames!F2804,'Parâmetros'!$B$3:$J$3,0))),"")</f>
        <v/>
      </c>
    </row>
    <row r="2807">
      <c r="A2807" s="29" t="str">
        <f t="array" ref="A2807">IFNA(TRANSPOSE(INDEX('Parâmetros'!$B$4:$J3001,,MATCH(Exames!F2805,'Parâmetros'!$B$3:$J$3,0))),"")</f>
        <v/>
      </c>
    </row>
    <row r="2808">
      <c r="A2808" s="29" t="str">
        <f t="array" ref="A2808">IFNA(TRANSPOSE(INDEX('Parâmetros'!$B$4:$J3001,,MATCH(Exames!F2806,'Parâmetros'!$B$3:$J$3,0))),"")</f>
        <v/>
      </c>
    </row>
    <row r="2809">
      <c r="A2809" s="29" t="str">
        <f t="array" ref="A2809">IFNA(TRANSPOSE(INDEX('Parâmetros'!$B$4:$J3001,,MATCH(Exames!F2807,'Parâmetros'!$B$3:$J$3,0))),"")</f>
        <v/>
      </c>
    </row>
    <row r="2810">
      <c r="A2810" s="29" t="str">
        <f t="array" ref="A2810">IFNA(TRANSPOSE(INDEX('Parâmetros'!$B$4:$J3001,,MATCH(Exames!F2808,'Parâmetros'!$B$3:$J$3,0))),"")</f>
        <v/>
      </c>
    </row>
    <row r="2811">
      <c r="A2811" s="29" t="str">
        <f t="array" ref="A2811">IFNA(TRANSPOSE(INDEX('Parâmetros'!$B$4:$J3001,,MATCH(Exames!F2809,'Parâmetros'!$B$3:$J$3,0))),"")</f>
        <v/>
      </c>
    </row>
    <row r="2812">
      <c r="A2812" s="29" t="str">
        <f t="array" ref="A2812">IFNA(TRANSPOSE(INDEX('Parâmetros'!$B$4:$J3001,,MATCH(Exames!F2810,'Parâmetros'!$B$3:$J$3,0))),"")</f>
        <v/>
      </c>
    </row>
    <row r="2813">
      <c r="A2813" s="29" t="str">
        <f t="array" ref="A2813">IFNA(TRANSPOSE(INDEX('Parâmetros'!$B$4:$J3001,,MATCH(Exames!F2811,'Parâmetros'!$B$3:$J$3,0))),"")</f>
        <v/>
      </c>
    </row>
    <row r="2814">
      <c r="A2814" s="29" t="str">
        <f t="array" ref="A2814">IFNA(TRANSPOSE(INDEX('Parâmetros'!$B$4:$J3001,,MATCH(Exames!F2812,'Parâmetros'!$B$3:$J$3,0))),"")</f>
        <v/>
      </c>
    </row>
    <row r="2815">
      <c r="A2815" s="29" t="str">
        <f t="array" ref="A2815">IFNA(TRANSPOSE(INDEX('Parâmetros'!$B$4:$J3001,,MATCH(Exames!F2813,'Parâmetros'!$B$3:$J$3,0))),"")</f>
        <v/>
      </c>
    </row>
    <row r="2816">
      <c r="A2816" s="29" t="str">
        <f t="array" ref="A2816">IFNA(TRANSPOSE(INDEX('Parâmetros'!$B$4:$J3001,,MATCH(Exames!F2814,'Parâmetros'!$B$3:$J$3,0))),"")</f>
        <v/>
      </c>
    </row>
    <row r="2817">
      <c r="A2817" s="29" t="str">
        <f t="array" ref="A2817">IFNA(TRANSPOSE(INDEX('Parâmetros'!$B$4:$J3001,,MATCH(Exames!F2815,'Parâmetros'!$B$3:$J$3,0))),"")</f>
        <v/>
      </c>
    </row>
    <row r="2818">
      <c r="A2818" s="29" t="str">
        <f t="array" ref="A2818">IFNA(TRANSPOSE(INDEX('Parâmetros'!$B$4:$J3001,,MATCH(Exames!F2816,'Parâmetros'!$B$3:$J$3,0))),"")</f>
        <v/>
      </c>
    </row>
    <row r="2819">
      <c r="A2819" s="29" t="str">
        <f t="array" ref="A2819">IFNA(TRANSPOSE(INDEX('Parâmetros'!$B$4:$J3001,,MATCH(Exames!F2817,'Parâmetros'!$B$3:$J$3,0))),"")</f>
        <v/>
      </c>
    </row>
    <row r="2820">
      <c r="A2820" s="29" t="str">
        <f t="array" ref="A2820">IFNA(TRANSPOSE(INDEX('Parâmetros'!$B$4:$J3001,,MATCH(Exames!F2818,'Parâmetros'!$B$3:$J$3,0))),"")</f>
        <v/>
      </c>
    </row>
    <row r="2821">
      <c r="A2821" s="29" t="str">
        <f t="array" ref="A2821">IFNA(TRANSPOSE(INDEX('Parâmetros'!$B$4:$J3001,,MATCH(Exames!F2819,'Parâmetros'!$B$3:$J$3,0))),"")</f>
        <v/>
      </c>
    </row>
    <row r="2822">
      <c r="A2822" s="29" t="str">
        <f t="array" ref="A2822">IFNA(TRANSPOSE(INDEX('Parâmetros'!$B$4:$J3001,,MATCH(Exames!F2820,'Parâmetros'!$B$3:$J$3,0))),"")</f>
        <v/>
      </c>
    </row>
    <row r="2823">
      <c r="A2823" s="29" t="str">
        <f t="array" ref="A2823">IFNA(TRANSPOSE(INDEX('Parâmetros'!$B$4:$J3001,,MATCH(Exames!F2821,'Parâmetros'!$B$3:$J$3,0))),"")</f>
        <v/>
      </c>
    </row>
    <row r="2824">
      <c r="A2824" s="29" t="str">
        <f t="array" ref="A2824">IFNA(TRANSPOSE(INDEX('Parâmetros'!$B$4:$J3001,,MATCH(Exames!F2822,'Parâmetros'!$B$3:$J$3,0))),"")</f>
        <v/>
      </c>
    </row>
    <row r="2825">
      <c r="A2825" s="29" t="str">
        <f t="array" ref="A2825">IFNA(TRANSPOSE(INDEX('Parâmetros'!$B$4:$J3001,,MATCH(Exames!F2823,'Parâmetros'!$B$3:$J$3,0))),"")</f>
        <v/>
      </c>
    </row>
    <row r="2826">
      <c r="A2826" s="29" t="str">
        <f t="array" ref="A2826">IFNA(TRANSPOSE(INDEX('Parâmetros'!$B$4:$J3001,,MATCH(Exames!F2824,'Parâmetros'!$B$3:$J$3,0))),"")</f>
        <v/>
      </c>
    </row>
    <row r="2827">
      <c r="A2827" s="29" t="str">
        <f t="array" ref="A2827">IFNA(TRANSPOSE(INDEX('Parâmetros'!$B$4:$J3001,,MATCH(Exames!F2825,'Parâmetros'!$B$3:$J$3,0))),"")</f>
        <v/>
      </c>
    </row>
    <row r="2828">
      <c r="A2828" s="29" t="str">
        <f t="array" ref="A2828">IFNA(TRANSPOSE(INDEX('Parâmetros'!$B$4:$J3001,,MATCH(Exames!F2826,'Parâmetros'!$B$3:$J$3,0))),"")</f>
        <v/>
      </c>
    </row>
    <row r="2829">
      <c r="A2829" s="29" t="str">
        <f t="array" ref="A2829">IFNA(TRANSPOSE(INDEX('Parâmetros'!$B$4:$J3001,,MATCH(Exames!F2827,'Parâmetros'!$B$3:$J$3,0))),"")</f>
        <v/>
      </c>
    </row>
    <row r="2830">
      <c r="A2830" s="29" t="str">
        <f t="array" ref="A2830">IFNA(TRANSPOSE(INDEX('Parâmetros'!$B$4:$J3001,,MATCH(Exames!F2828,'Parâmetros'!$B$3:$J$3,0))),"")</f>
        <v/>
      </c>
    </row>
    <row r="2831">
      <c r="A2831" s="29" t="str">
        <f t="array" ref="A2831">IFNA(TRANSPOSE(INDEX('Parâmetros'!$B$4:$J3001,,MATCH(Exames!F2829,'Parâmetros'!$B$3:$J$3,0))),"")</f>
        <v/>
      </c>
    </row>
    <row r="2832">
      <c r="A2832" s="29" t="str">
        <f t="array" ref="A2832">IFNA(TRANSPOSE(INDEX('Parâmetros'!$B$4:$J3001,,MATCH(Exames!F2830,'Parâmetros'!$B$3:$J$3,0))),"")</f>
        <v/>
      </c>
    </row>
    <row r="2833">
      <c r="A2833" s="29" t="str">
        <f t="array" ref="A2833">IFNA(TRANSPOSE(INDEX('Parâmetros'!$B$4:$J3001,,MATCH(Exames!F2831,'Parâmetros'!$B$3:$J$3,0))),"")</f>
        <v/>
      </c>
    </row>
    <row r="2834">
      <c r="A2834" s="29" t="str">
        <f t="array" ref="A2834">IFNA(TRANSPOSE(INDEX('Parâmetros'!$B$4:$J3001,,MATCH(Exames!F2832,'Parâmetros'!$B$3:$J$3,0))),"")</f>
        <v/>
      </c>
    </row>
    <row r="2835">
      <c r="A2835" s="29" t="str">
        <f t="array" ref="A2835">IFNA(TRANSPOSE(INDEX('Parâmetros'!$B$4:$J3001,,MATCH(Exames!F2833,'Parâmetros'!$B$3:$J$3,0))),"")</f>
        <v/>
      </c>
    </row>
    <row r="2836">
      <c r="A2836" s="29" t="str">
        <f t="array" ref="A2836">IFNA(TRANSPOSE(INDEX('Parâmetros'!$B$4:$J3001,,MATCH(Exames!F2834,'Parâmetros'!$B$3:$J$3,0))),"")</f>
        <v/>
      </c>
    </row>
    <row r="2837">
      <c r="A2837" s="29" t="str">
        <f t="array" ref="A2837">IFNA(TRANSPOSE(INDEX('Parâmetros'!$B$4:$J3001,,MATCH(Exames!F2835,'Parâmetros'!$B$3:$J$3,0))),"")</f>
        <v/>
      </c>
    </row>
    <row r="2838">
      <c r="A2838" s="29" t="str">
        <f t="array" ref="A2838">IFNA(TRANSPOSE(INDEX('Parâmetros'!$B$4:$J3001,,MATCH(Exames!F2836,'Parâmetros'!$B$3:$J$3,0))),"")</f>
        <v/>
      </c>
    </row>
    <row r="2839">
      <c r="A2839" s="29" t="str">
        <f t="array" ref="A2839">IFNA(TRANSPOSE(INDEX('Parâmetros'!$B$4:$J3001,,MATCH(Exames!F2837,'Parâmetros'!$B$3:$J$3,0))),"")</f>
        <v/>
      </c>
    </row>
    <row r="2840">
      <c r="A2840" s="29" t="str">
        <f t="array" ref="A2840">IFNA(TRANSPOSE(INDEX('Parâmetros'!$B$4:$J3001,,MATCH(Exames!F2838,'Parâmetros'!$B$3:$J$3,0))),"")</f>
        <v/>
      </c>
    </row>
    <row r="2841">
      <c r="A2841" s="29" t="str">
        <f t="array" ref="A2841">IFNA(TRANSPOSE(INDEX('Parâmetros'!$B$4:$J3001,,MATCH(Exames!F2839,'Parâmetros'!$B$3:$J$3,0))),"")</f>
        <v/>
      </c>
    </row>
    <row r="2842">
      <c r="A2842" s="29" t="str">
        <f t="array" ref="A2842">IFNA(TRANSPOSE(INDEX('Parâmetros'!$B$4:$J3001,,MATCH(Exames!F2840,'Parâmetros'!$B$3:$J$3,0))),"")</f>
        <v/>
      </c>
    </row>
    <row r="2843">
      <c r="A2843" s="29" t="str">
        <f t="array" ref="A2843">IFNA(TRANSPOSE(INDEX('Parâmetros'!$B$4:$J3001,,MATCH(Exames!F2841,'Parâmetros'!$B$3:$J$3,0))),"")</f>
        <v/>
      </c>
    </row>
    <row r="2844">
      <c r="A2844" s="29" t="str">
        <f t="array" ref="A2844">IFNA(TRANSPOSE(INDEX('Parâmetros'!$B$4:$J3001,,MATCH(Exames!F2842,'Parâmetros'!$B$3:$J$3,0))),"")</f>
        <v/>
      </c>
    </row>
    <row r="2845">
      <c r="A2845" s="29" t="str">
        <f t="array" ref="A2845">IFNA(TRANSPOSE(INDEX('Parâmetros'!$B$4:$J3001,,MATCH(Exames!F2843,'Parâmetros'!$B$3:$J$3,0))),"")</f>
        <v/>
      </c>
    </row>
    <row r="2846">
      <c r="A2846" s="29" t="str">
        <f t="array" ref="A2846">IFNA(TRANSPOSE(INDEX('Parâmetros'!$B$4:$J3001,,MATCH(Exames!F2844,'Parâmetros'!$B$3:$J$3,0))),"")</f>
        <v/>
      </c>
    </row>
    <row r="2847">
      <c r="A2847" s="29" t="str">
        <f t="array" ref="A2847">IFNA(TRANSPOSE(INDEX('Parâmetros'!$B$4:$J3001,,MATCH(Exames!F2845,'Parâmetros'!$B$3:$J$3,0))),"")</f>
        <v/>
      </c>
    </row>
    <row r="2848">
      <c r="A2848" s="29" t="str">
        <f t="array" ref="A2848">IFNA(TRANSPOSE(INDEX('Parâmetros'!$B$4:$J3001,,MATCH(Exames!F2846,'Parâmetros'!$B$3:$J$3,0))),"")</f>
        <v/>
      </c>
    </row>
    <row r="2849">
      <c r="A2849" s="29" t="str">
        <f t="array" ref="A2849">IFNA(TRANSPOSE(INDEX('Parâmetros'!$B$4:$J3001,,MATCH(Exames!F2847,'Parâmetros'!$B$3:$J$3,0))),"")</f>
        <v/>
      </c>
    </row>
    <row r="2850">
      <c r="A2850" s="29" t="str">
        <f t="array" ref="A2850">IFNA(TRANSPOSE(INDEX('Parâmetros'!$B$4:$J3001,,MATCH(Exames!F2848,'Parâmetros'!$B$3:$J$3,0))),"")</f>
        <v/>
      </c>
    </row>
    <row r="2851">
      <c r="A2851" s="29" t="str">
        <f t="array" ref="A2851">IFNA(TRANSPOSE(INDEX('Parâmetros'!$B$4:$J3001,,MATCH(Exames!F2849,'Parâmetros'!$B$3:$J$3,0))),"")</f>
        <v/>
      </c>
    </row>
    <row r="2852">
      <c r="A2852" s="29" t="str">
        <f t="array" ref="A2852">IFNA(TRANSPOSE(INDEX('Parâmetros'!$B$4:$J3001,,MATCH(Exames!F2850,'Parâmetros'!$B$3:$J$3,0))),"")</f>
        <v/>
      </c>
    </row>
    <row r="2853">
      <c r="A2853" s="29" t="str">
        <f t="array" ref="A2853">IFNA(TRANSPOSE(INDEX('Parâmetros'!$B$4:$J3001,,MATCH(Exames!F2851,'Parâmetros'!$B$3:$J$3,0))),"")</f>
        <v/>
      </c>
    </row>
    <row r="2854">
      <c r="A2854" s="29" t="str">
        <f t="array" ref="A2854">IFNA(TRANSPOSE(INDEX('Parâmetros'!$B$4:$J3001,,MATCH(Exames!F2852,'Parâmetros'!$B$3:$J$3,0))),"")</f>
        <v/>
      </c>
    </row>
    <row r="2855">
      <c r="A2855" s="29" t="str">
        <f t="array" ref="A2855">IFNA(TRANSPOSE(INDEX('Parâmetros'!$B$4:$J3001,,MATCH(Exames!F2853,'Parâmetros'!$B$3:$J$3,0))),"")</f>
        <v/>
      </c>
    </row>
    <row r="2856">
      <c r="A2856" s="29" t="str">
        <f t="array" ref="A2856">IFNA(TRANSPOSE(INDEX('Parâmetros'!$B$4:$J3001,,MATCH(Exames!F2854,'Parâmetros'!$B$3:$J$3,0))),"")</f>
        <v/>
      </c>
    </row>
    <row r="2857">
      <c r="A2857" s="29" t="str">
        <f t="array" ref="A2857">IFNA(TRANSPOSE(INDEX('Parâmetros'!$B$4:$J3001,,MATCH(Exames!F2855,'Parâmetros'!$B$3:$J$3,0))),"")</f>
        <v/>
      </c>
    </row>
    <row r="2858">
      <c r="A2858" s="29" t="str">
        <f t="array" ref="A2858">IFNA(TRANSPOSE(INDEX('Parâmetros'!$B$4:$J3001,,MATCH(Exames!F2856,'Parâmetros'!$B$3:$J$3,0))),"")</f>
        <v/>
      </c>
    </row>
    <row r="2859">
      <c r="A2859" s="29" t="str">
        <f t="array" ref="A2859">IFNA(TRANSPOSE(INDEX('Parâmetros'!$B$4:$J3001,,MATCH(Exames!F2857,'Parâmetros'!$B$3:$J$3,0))),"")</f>
        <v/>
      </c>
    </row>
    <row r="2860">
      <c r="A2860" s="29" t="str">
        <f t="array" ref="A2860">IFNA(TRANSPOSE(INDEX('Parâmetros'!$B$4:$J3001,,MATCH(Exames!F2858,'Parâmetros'!$B$3:$J$3,0))),"")</f>
        <v/>
      </c>
    </row>
    <row r="2861">
      <c r="A2861" s="29" t="str">
        <f t="array" ref="A2861">IFNA(TRANSPOSE(INDEX('Parâmetros'!$B$4:$J3001,,MATCH(Exames!F2859,'Parâmetros'!$B$3:$J$3,0))),"")</f>
        <v/>
      </c>
    </row>
    <row r="2862">
      <c r="A2862" s="29" t="str">
        <f t="array" ref="A2862">IFNA(TRANSPOSE(INDEX('Parâmetros'!$B$4:$J3001,,MATCH(Exames!F2860,'Parâmetros'!$B$3:$J$3,0))),"")</f>
        <v/>
      </c>
    </row>
    <row r="2863">
      <c r="A2863" s="29" t="str">
        <f t="array" ref="A2863">IFNA(TRANSPOSE(INDEX('Parâmetros'!$B$4:$J3001,,MATCH(Exames!F2861,'Parâmetros'!$B$3:$J$3,0))),"")</f>
        <v/>
      </c>
    </row>
    <row r="2864">
      <c r="A2864" s="29" t="str">
        <f t="array" ref="A2864">IFNA(TRANSPOSE(INDEX('Parâmetros'!$B$4:$J3001,,MATCH(Exames!F2862,'Parâmetros'!$B$3:$J$3,0))),"")</f>
        <v/>
      </c>
    </row>
    <row r="2865">
      <c r="A2865" s="29" t="str">
        <f t="array" ref="A2865">IFNA(TRANSPOSE(INDEX('Parâmetros'!$B$4:$J3001,,MATCH(Exames!F2863,'Parâmetros'!$B$3:$J$3,0))),"")</f>
        <v/>
      </c>
    </row>
    <row r="2866">
      <c r="A2866" s="29" t="str">
        <f t="array" ref="A2866">IFNA(TRANSPOSE(INDEX('Parâmetros'!$B$4:$J3001,,MATCH(Exames!F2864,'Parâmetros'!$B$3:$J$3,0))),"")</f>
        <v/>
      </c>
    </row>
    <row r="2867">
      <c r="A2867" s="29" t="str">
        <f t="array" ref="A2867">IFNA(TRANSPOSE(INDEX('Parâmetros'!$B$4:$J3001,,MATCH(Exames!F2865,'Parâmetros'!$B$3:$J$3,0))),"")</f>
        <v/>
      </c>
    </row>
    <row r="2868">
      <c r="A2868" s="29" t="str">
        <f t="array" ref="A2868">IFNA(TRANSPOSE(INDEX('Parâmetros'!$B$4:$J3001,,MATCH(Exames!F2866,'Parâmetros'!$B$3:$J$3,0))),"")</f>
        <v/>
      </c>
    </row>
    <row r="2869">
      <c r="A2869" s="29" t="str">
        <f t="array" ref="A2869">IFNA(TRANSPOSE(INDEX('Parâmetros'!$B$4:$J3001,,MATCH(Exames!F2867,'Parâmetros'!$B$3:$J$3,0))),"")</f>
        <v/>
      </c>
    </row>
    <row r="2870">
      <c r="A2870" s="29" t="str">
        <f t="array" ref="A2870">IFNA(TRANSPOSE(INDEX('Parâmetros'!$B$4:$J3001,,MATCH(Exames!F2868,'Parâmetros'!$B$3:$J$3,0))),"")</f>
        <v/>
      </c>
    </row>
    <row r="2871">
      <c r="A2871" s="29" t="str">
        <f t="array" ref="A2871">IFNA(TRANSPOSE(INDEX('Parâmetros'!$B$4:$J3001,,MATCH(Exames!F2869,'Parâmetros'!$B$3:$J$3,0))),"")</f>
        <v/>
      </c>
    </row>
    <row r="2872">
      <c r="A2872" s="29" t="str">
        <f t="array" ref="A2872">IFNA(TRANSPOSE(INDEX('Parâmetros'!$B$4:$J3001,,MATCH(Exames!F2870,'Parâmetros'!$B$3:$J$3,0))),"")</f>
        <v/>
      </c>
    </row>
    <row r="2873">
      <c r="A2873" s="29" t="str">
        <f t="array" ref="A2873">IFNA(TRANSPOSE(INDEX('Parâmetros'!$B$4:$J3001,,MATCH(Exames!F2871,'Parâmetros'!$B$3:$J$3,0))),"")</f>
        <v/>
      </c>
    </row>
    <row r="2874">
      <c r="A2874" s="29" t="str">
        <f t="array" ref="A2874">IFNA(TRANSPOSE(INDEX('Parâmetros'!$B$4:$J3001,,MATCH(Exames!F2872,'Parâmetros'!$B$3:$J$3,0))),"")</f>
        <v/>
      </c>
    </row>
    <row r="2875">
      <c r="A2875" s="29" t="str">
        <f t="array" ref="A2875">IFNA(TRANSPOSE(INDEX('Parâmetros'!$B$4:$J3001,,MATCH(Exames!F2873,'Parâmetros'!$B$3:$J$3,0))),"")</f>
        <v/>
      </c>
    </row>
    <row r="2876">
      <c r="A2876" s="29" t="str">
        <f t="array" ref="A2876">IFNA(TRANSPOSE(INDEX('Parâmetros'!$B$4:$J3001,,MATCH(Exames!F2874,'Parâmetros'!$B$3:$J$3,0))),"")</f>
        <v/>
      </c>
    </row>
    <row r="2877">
      <c r="A2877" s="29" t="str">
        <f t="array" ref="A2877">IFNA(TRANSPOSE(INDEX('Parâmetros'!$B$4:$J3001,,MATCH(Exames!F2875,'Parâmetros'!$B$3:$J$3,0))),"")</f>
        <v/>
      </c>
    </row>
    <row r="2878">
      <c r="A2878" s="29" t="str">
        <f t="array" ref="A2878">IFNA(TRANSPOSE(INDEX('Parâmetros'!$B$4:$J3001,,MATCH(Exames!F2876,'Parâmetros'!$B$3:$J$3,0))),"")</f>
        <v/>
      </c>
    </row>
    <row r="2879">
      <c r="A2879" s="29" t="str">
        <f t="array" ref="A2879">IFNA(TRANSPOSE(INDEX('Parâmetros'!$B$4:$J3001,,MATCH(Exames!F2877,'Parâmetros'!$B$3:$J$3,0))),"")</f>
        <v/>
      </c>
    </row>
    <row r="2880">
      <c r="A2880" s="29" t="str">
        <f t="array" ref="A2880">IFNA(TRANSPOSE(INDEX('Parâmetros'!$B$4:$J3001,,MATCH(Exames!F2878,'Parâmetros'!$B$3:$J$3,0))),"")</f>
        <v/>
      </c>
    </row>
    <row r="2881">
      <c r="A2881" s="29" t="str">
        <f t="array" ref="A2881">IFNA(TRANSPOSE(INDEX('Parâmetros'!$B$4:$J3001,,MATCH(Exames!F2879,'Parâmetros'!$B$3:$J$3,0))),"")</f>
        <v/>
      </c>
    </row>
    <row r="2882">
      <c r="A2882" s="29" t="str">
        <f t="array" ref="A2882">IFNA(TRANSPOSE(INDEX('Parâmetros'!$B$4:$J3001,,MATCH(Exames!F2880,'Parâmetros'!$B$3:$J$3,0))),"")</f>
        <v/>
      </c>
    </row>
    <row r="2883">
      <c r="A2883" s="29" t="str">
        <f t="array" ref="A2883">IFNA(TRANSPOSE(INDEX('Parâmetros'!$B$4:$J3001,,MATCH(Exames!F2881,'Parâmetros'!$B$3:$J$3,0))),"")</f>
        <v/>
      </c>
    </row>
    <row r="2884">
      <c r="A2884" s="29" t="str">
        <f t="array" ref="A2884">IFNA(TRANSPOSE(INDEX('Parâmetros'!$B$4:$J3001,,MATCH(Exames!F2882,'Parâmetros'!$B$3:$J$3,0))),"")</f>
        <v/>
      </c>
    </row>
    <row r="2885">
      <c r="A2885" s="29" t="str">
        <f t="array" ref="A2885">IFNA(TRANSPOSE(INDEX('Parâmetros'!$B$4:$J3001,,MATCH(Exames!F2883,'Parâmetros'!$B$3:$J$3,0))),"")</f>
        <v/>
      </c>
    </row>
    <row r="2886">
      <c r="A2886" s="29" t="str">
        <f t="array" ref="A2886">IFNA(TRANSPOSE(INDEX('Parâmetros'!$B$4:$J3001,,MATCH(Exames!F2884,'Parâmetros'!$B$3:$J$3,0))),"")</f>
        <v/>
      </c>
    </row>
    <row r="2887">
      <c r="A2887" s="29" t="str">
        <f t="array" ref="A2887">IFNA(TRANSPOSE(INDEX('Parâmetros'!$B$4:$J3001,,MATCH(Exames!F2885,'Parâmetros'!$B$3:$J$3,0))),"")</f>
        <v/>
      </c>
    </row>
    <row r="2888">
      <c r="A2888" s="29" t="str">
        <f t="array" ref="A2888">IFNA(TRANSPOSE(INDEX('Parâmetros'!$B$4:$J3001,,MATCH(Exames!F2886,'Parâmetros'!$B$3:$J$3,0))),"")</f>
        <v/>
      </c>
    </row>
    <row r="2889">
      <c r="A2889" s="29" t="str">
        <f t="array" ref="A2889">IFNA(TRANSPOSE(INDEX('Parâmetros'!$B$4:$J3001,,MATCH(Exames!F2887,'Parâmetros'!$B$3:$J$3,0))),"")</f>
        <v/>
      </c>
    </row>
    <row r="2890">
      <c r="A2890" s="29" t="str">
        <f t="array" ref="A2890">IFNA(TRANSPOSE(INDEX('Parâmetros'!$B$4:$J3001,,MATCH(Exames!F2888,'Parâmetros'!$B$3:$J$3,0))),"")</f>
        <v/>
      </c>
    </row>
    <row r="2891">
      <c r="A2891" s="29" t="str">
        <f t="array" ref="A2891">IFNA(TRANSPOSE(INDEX('Parâmetros'!$B$4:$J3001,,MATCH(Exames!F2889,'Parâmetros'!$B$3:$J$3,0))),"")</f>
        <v/>
      </c>
    </row>
    <row r="2892">
      <c r="A2892" s="29" t="str">
        <f t="array" ref="A2892">IFNA(TRANSPOSE(INDEX('Parâmetros'!$B$4:$J3001,,MATCH(Exames!F2890,'Parâmetros'!$B$3:$J$3,0))),"")</f>
        <v/>
      </c>
    </row>
    <row r="2893">
      <c r="A2893" s="29" t="str">
        <f t="array" ref="A2893">IFNA(TRANSPOSE(INDEX('Parâmetros'!$B$4:$J3001,,MATCH(Exames!F2891,'Parâmetros'!$B$3:$J$3,0))),"")</f>
        <v/>
      </c>
    </row>
    <row r="2894">
      <c r="A2894" s="29" t="str">
        <f t="array" ref="A2894">IFNA(TRANSPOSE(INDEX('Parâmetros'!$B$4:$J3001,,MATCH(Exames!F2892,'Parâmetros'!$B$3:$J$3,0))),"")</f>
        <v/>
      </c>
    </row>
    <row r="2895">
      <c r="A2895" s="29" t="str">
        <f t="array" ref="A2895">IFNA(TRANSPOSE(INDEX('Parâmetros'!$B$4:$J3001,,MATCH(Exames!F2893,'Parâmetros'!$B$3:$J$3,0))),"")</f>
        <v/>
      </c>
    </row>
    <row r="2896">
      <c r="A2896" s="29" t="str">
        <f t="array" ref="A2896">IFNA(TRANSPOSE(INDEX('Parâmetros'!$B$4:$J3001,,MATCH(Exames!F2894,'Parâmetros'!$B$3:$J$3,0))),"")</f>
        <v/>
      </c>
    </row>
    <row r="2897">
      <c r="A2897" s="29" t="str">
        <f t="array" ref="A2897">IFNA(TRANSPOSE(INDEX('Parâmetros'!$B$4:$J3001,,MATCH(Exames!F2895,'Parâmetros'!$B$3:$J$3,0))),"")</f>
        <v/>
      </c>
    </row>
    <row r="2898">
      <c r="A2898" s="29" t="str">
        <f t="array" ref="A2898">IFNA(TRANSPOSE(INDEX('Parâmetros'!$B$4:$J3001,,MATCH(Exames!F2896,'Parâmetros'!$B$3:$J$3,0))),"")</f>
        <v/>
      </c>
    </row>
    <row r="2899">
      <c r="A2899" s="29" t="str">
        <f t="array" ref="A2899">IFNA(TRANSPOSE(INDEX('Parâmetros'!$B$4:$J3001,,MATCH(Exames!F2897,'Parâmetros'!$B$3:$J$3,0))),"")</f>
        <v/>
      </c>
    </row>
    <row r="2900">
      <c r="A2900" s="29" t="str">
        <f t="array" ref="A2900">IFNA(TRANSPOSE(INDEX('Parâmetros'!$B$4:$J3001,,MATCH(Exames!F2898,'Parâmetros'!$B$3:$J$3,0))),"")</f>
        <v/>
      </c>
    </row>
    <row r="2901">
      <c r="A2901" s="29" t="str">
        <f t="array" ref="A2901">IFNA(TRANSPOSE(INDEX('Parâmetros'!$B$4:$J3001,,MATCH(Exames!F2899,'Parâmetros'!$B$3:$J$3,0))),"")</f>
        <v/>
      </c>
    </row>
    <row r="2902">
      <c r="A2902" s="29" t="str">
        <f t="array" ref="A2902">IFNA(TRANSPOSE(INDEX('Parâmetros'!$B$4:$J3001,,MATCH(Exames!F2900,'Parâmetros'!$B$3:$J$3,0))),"")</f>
        <v/>
      </c>
    </row>
    <row r="2903">
      <c r="A2903" s="29" t="str">
        <f t="array" ref="A2903">IFNA(TRANSPOSE(INDEX('Parâmetros'!$B$4:$J3001,,MATCH(Exames!F2901,'Parâmetros'!$B$3:$J$3,0))),"")</f>
        <v/>
      </c>
    </row>
    <row r="2904">
      <c r="A2904" s="29" t="str">
        <f t="array" ref="A2904">IFNA(TRANSPOSE(INDEX('Parâmetros'!$B$4:$J3001,,MATCH(Exames!F2902,'Parâmetros'!$B$3:$J$3,0))),"")</f>
        <v/>
      </c>
    </row>
    <row r="2905">
      <c r="A2905" s="29" t="str">
        <f t="array" ref="A2905">IFNA(TRANSPOSE(INDEX('Parâmetros'!$B$4:$J3001,,MATCH(Exames!F2903,'Parâmetros'!$B$3:$J$3,0))),"")</f>
        <v/>
      </c>
    </row>
    <row r="2906">
      <c r="A2906" s="29" t="str">
        <f t="array" ref="A2906">IFNA(TRANSPOSE(INDEX('Parâmetros'!$B$4:$J3001,,MATCH(Exames!F2904,'Parâmetros'!$B$3:$J$3,0))),"")</f>
        <v/>
      </c>
    </row>
    <row r="2907">
      <c r="A2907" s="29" t="str">
        <f t="array" ref="A2907">IFNA(TRANSPOSE(INDEX('Parâmetros'!$B$4:$J3001,,MATCH(Exames!F2905,'Parâmetros'!$B$3:$J$3,0))),"")</f>
        <v/>
      </c>
    </row>
    <row r="2908">
      <c r="A2908" s="29" t="str">
        <f t="array" ref="A2908">IFNA(TRANSPOSE(INDEX('Parâmetros'!$B$4:$J3001,,MATCH(Exames!F2906,'Parâmetros'!$B$3:$J$3,0))),"")</f>
        <v/>
      </c>
    </row>
    <row r="2909">
      <c r="A2909" s="29" t="str">
        <f t="array" ref="A2909">IFNA(TRANSPOSE(INDEX('Parâmetros'!$B$4:$J3001,,MATCH(Exames!F2907,'Parâmetros'!$B$3:$J$3,0))),"")</f>
        <v/>
      </c>
    </row>
    <row r="2910">
      <c r="A2910" s="29" t="str">
        <f t="array" ref="A2910">IFNA(TRANSPOSE(INDEX('Parâmetros'!$B$4:$J3001,,MATCH(Exames!F2908,'Parâmetros'!$B$3:$J$3,0))),"")</f>
        <v/>
      </c>
    </row>
    <row r="2911">
      <c r="A2911" s="29" t="str">
        <f t="array" ref="A2911">IFNA(TRANSPOSE(INDEX('Parâmetros'!$B$4:$J3001,,MATCH(Exames!F2909,'Parâmetros'!$B$3:$J$3,0))),"")</f>
        <v/>
      </c>
    </row>
    <row r="2912">
      <c r="A2912" s="29" t="str">
        <f t="array" ref="A2912">IFNA(TRANSPOSE(INDEX('Parâmetros'!$B$4:$J3001,,MATCH(Exames!F2910,'Parâmetros'!$B$3:$J$3,0))),"")</f>
        <v/>
      </c>
    </row>
    <row r="2913">
      <c r="A2913" s="29" t="str">
        <f t="array" ref="A2913">IFNA(TRANSPOSE(INDEX('Parâmetros'!$B$4:$J3001,,MATCH(Exames!F2911,'Parâmetros'!$B$3:$J$3,0))),"")</f>
        <v/>
      </c>
    </row>
    <row r="2914">
      <c r="A2914" s="29" t="str">
        <f t="array" ref="A2914">IFNA(TRANSPOSE(INDEX('Parâmetros'!$B$4:$J3001,,MATCH(Exames!F2912,'Parâmetros'!$B$3:$J$3,0))),"")</f>
        <v/>
      </c>
    </row>
    <row r="2915">
      <c r="A2915" s="29" t="str">
        <f t="array" ref="A2915">IFNA(TRANSPOSE(INDEX('Parâmetros'!$B$4:$J3001,,MATCH(Exames!F2913,'Parâmetros'!$B$3:$J$3,0))),"")</f>
        <v/>
      </c>
    </row>
    <row r="2916">
      <c r="A2916" s="29" t="str">
        <f t="array" ref="A2916">IFNA(TRANSPOSE(INDEX('Parâmetros'!$B$4:$J3001,,MATCH(Exames!F2914,'Parâmetros'!$B$3:$J$3,0))),"")</f>
        <v/>
      </c>
    </row>
    <row r="2917">
      <c r="A2917" s="29" t="str">
        <f t="array" ref="A2917">IFNA(TRANSPOSE(INDEX('Parâmetros'!$B$4:$J3001,,MATCH(Exames!F2915,'Parâmetros'!$B$3:$J$3,0))),"")</f>
        <v/>
      </c>
    </row>
    <row r="2918">
      <c r="A2918" s="29" t="str">
        <f t="array" ref="A2918">IFNA(TRANSPOSE(INDEX('Parâmetros'!$B$4:$J3001,,MATCH(Exames!F2916,'Parâmetros'!$B$3:$J$3,0))),"")</f>
        <v/>
      </c>
    </row>
    <row r="2919">
      <c r="A2919" s="29" t="str">
        <f t="array" ref="A2919">IFNA(TRANSPOSE(INDEX('Parâmetros'!$B$4:$J3001,,MATCH(Exames!F2917,'Parâmetros'!$B$3:$J$3,0))),"")</f>
        <v/>
      </c>
    </row>
    <row r="2920">
      <c r="A2920" s="29" t="str">
        <f t="array" ref="A2920">IFNA(TRANSPOSE(INDEX('Parâmetros'!$B$4:$J3001,,MATCH(Exames!F2918,'Parâmetros'!$B$3:$J$3,0))),"")</f>
        <v/>
      </c>
    </row>
    <row r="2921">
      <c r="A2921" s="29" t="str">
        <f t="array" ref="A2921">IFNA(TRANSPOSE(INDEX('Parâmetros'!$B$4:$J3001,,MATCH(Exames!F2919,'Parâmetros'!$B$3:$J$3,0))),"")</f>
        <v/>
      </c>
    </row>
    <row r="2922">
      <c r="A2922" s="29" t="str">
        <f t="array" ref="A2922">IFNA(TRANSPOSE(INDEX('Parâmetros'!$B$4:$J3001,,MATCH(Exames!F2920,'Parâmetros'!$B$3:$J$3,0))),"")</f>
        <v/>
      </c>
    </row>
    <row r="2923">
      <c r="A2923" s="29" t="str">
        <f t="array" ref="A2923">IFNA(TRANSPOSE(INDEX('Parâmetros'!$B$4:$J3001,,MATCH(Exames!F2921,'Parâmetros'!$B$3:$J$3,0))),"")</f>
        <v/>
      </c>
    </row>
    <row r="2924">
      <c r="A2924" s="29" t="str">
        <f t="array" ref="A2924">IFNA(TRANSPOSE(INDEX('Parâmetros'!$B$4:$J3001,,MATCH(Exames!F2922,'Parâmetros'!$B$3:$J$3,0))),"")</f>
        <v/>
      </c>
    </row>
    <row r="2925">
      <c r="A2925" s="29" t="str">
        <f t="array" ref="A2925">IFNA(TRANSPOSE(INDEX('Parâmetros'!$B$4:$J3001,,MATCH(Exames!F2923,'Parâmetros'!$B$3:$J$3,0))),"")</f>
        <v/>
      </c>
    </row>
    <row r="2926">
      <c r="A2926" s="29" t="str">
        <f t="array" ref="A2926">IFNA(TRANSPOSE(INDEX('Parâmetros'!$B$4:$J3001,,MATCH(Exames!F2924,'Parâmetros'!$B$3:$J$3,0))),"")</f>
        <v/>
      </c>
    </row>
    <row r="2927">
      <c r="A2927" s="29" t="str">
        <f t="array" ref="A2927">IFNA(TRANSPOSE(INDEX('Parâmetros'!$B$4:$J3001,,MATCH(Exames!F2925,'Parâmetros'!$B$3:$J$3,0))),"")</f>
        <v/>
      </c>
    </row>
    <row r="2928">
      <c r="A2928" s="29" t="str">
        <f t="array" ref="A2928">IFNA(TRANSPOSE(INDEX('Parâmetros'!$B$4:$J3001,,MATCH(Exames!F2926,'Parâmetros'!$B$3:$J$3,0))),"")</f>
        <v/>
      </c>
    </row>
    <row r="2929">
      <c r="A2929" s="29" t="str">
        <f t="array" ref="A2929">IFNA(TRANSPOSE(INDEX('Parâmetros'!$B$4:$J3001,,MATCH(Exames!F2927,'Parâmetros'!$B$3:$J$3,0))),"")</f>
        <v/>
      </c>
    </row>
    <row r="2930">
      <c r="A2930" s="29" t="str">
        <f t="array" ref="A2930">IFNA(TRANSPOSE(INDEX('Parâmetros'!$B$4:$J3001,,MATCH(Exames!F2928,'Parâmetros'!$B$3:$J$3,0))),"")</f>
        <v/>
      </c>
    </row>
    <row r="2931">
      <c r="A2931" s="29" t="str">
        <f t="array" ref="A2931">IFNA(TRANSPOSE(INDEX('Parâmetros'!$B$4:$J3001,,MATCH(Exames!F2929,'Parâmetros'!$B$3:$J$3,0))),"")</f>
        <v/>
      </c>
    </row>
    <row r="2932">
      <c r="A2932" s="29" t="str">
        <f t="array" ref="A2932">IFNA(TRANSPOSE(INDEX('Parâmetros'!$B$4:$J3001,,MATCH(Exames!F2930,'Parâmetros'!$B$3:$J$3,0))),"")</f>
        <v/>
      </c>
    </row>
    <row r="2933">
      <c r="A2933" s="29" t="str">
        <f t="array" ref="A2933">IFNA(TRANSPOSE(INDEX('Parâmetros'!$B$4:$J3001,,MATCH(Exames!F2931,'Parâmetros'!$B$3:$J$3,0))),"")</f>
        <v/>
      </c>
    </row>
    <row r="2934">
      <c r="A2934" s="29" t="str">
        <f t="array" ref="A2934">IFNA(TRANSPOSE(INDEX('Parâmetros'!$B$4:$J3001,,MATCH(Exames!F2932,'Parâmetros'!$B$3:$J$3,0))),"")</f>
        <v/>
      </c>
    </row>
    <row r="2935">
      <c r="A2935" s="29" t="str">
        <f t="array" ref="A2935">IFNA(TRANSPOSE(INDEX('Parâmetros'!$B$4:$J3001,,MATCH(Exames!F2933,'Parâmetros'!$B$3:$J$3,0))),"")</f>
        <v/>
      </c>
    </row>
    <row r="2936">
      <c r="A2936" s="29" t="str">
        <f t="array" ref="A2936">IFNA(TRANSPOSE(INDEX('Parâmetros'!$B$4:$J3001,,MATCH(Exames!F2934,'Parâmetros'!$B$3:$J$3,0))),"")</f>
        <v/>
      </c>
    </row>
    <row r="2937">
      <c r="A2937" s="29" t="str">
        <f t="array" ref="A2937">IFNA(TRANSPOSE(INDEX('Parâmetros'!$B$4:$J3001,,MATCH(Exames!F2935,'Parâmetros'!$B$3:$J$3,0))),"")</f>
        <v/>
      </c>
    </row>
    <row r="2938">
      <c r="A2938" s="29" t="str">
        <f t="array" ref="A2938">IFNA(TRANSPOSE(INDEX('Parâmetros'!$B$4:$J3001,,MATCH(Exames!F2936,'Parâmetros'!$B$3:$J$3,0))),"")</f>
        <v/>
      </c>
    </row>
    <row r="2939">
      <c r="A2939" s="29" t="str">
        <f t="array" ref="A2939">IFNA(TRANSPOSE(INDEX('Parâmetros'!$B$4:$J3001,,MATCH(Exames!F2937,'Parâmetros'!$B$3:$J$3,0))),"")</f>
        <v/>
      </c>
    </row>
    <row r="2940">
      <c r="A2940" s="29" t="str">
        <f t="array" ref="A2940">IFNA(TRANSPOSE(INDEX('Parâmetros'!$B$4:$J3001,,MATCH(Exames!F2938,'Parâmetros'!$B$3:$J$3,0))),"")</f>
        <v/>
      </c>
    </row>
    <row r="2941">
      <c r="A2941" s="29" t="str">
        <f t="array" ref="A2941">IFNA(TRANSPOSE(INDEX('Parâmetros'!$B$4:$J3001,,MATCH(Exames!F2939,'Parâmetros'!$B$3:$J$3,0))),"")</f>
        <v/>
      </c>
    </row>
    <row r="2942">
      <c r="A2942" s="29" t="str">
        <f t="array" ref="A2942">IFNA(TRANSPOSE(INDEX('Parâmetros'!$B$4:$J3001,,MATCH(Exames!F2940,'Parâmetros'!$B$3:$J$3,0))),"")</f>
        <v/>
      </c>
    </row>
    <row r="2943">
      <c r="A2943" s="29" t="str">
        <f t="array" ref="A2943">IFNA(TRANSPOSE(INDEX('Parâmetros'!$B$4:$J3001,,MATCH(Exames!F2941,'Parâmetros'!$B$3:$J$3,0))),"")</f>
        <v/>
      </c>
    </row>
    <row r="2944">
      <c r="A2944" s="29" t="str">
        <f t="array" ref="A2944">IFNA(TRANSPOSE(INDEX('Parâmetros'!$B$4:$J3001,,MATCH(Exames!F2942,'Parâmetros'!$B$3:$J$3,0))),"")</f>
        <v/>
      </c>
    </row>
    <row r="2945">
      <c r="A2945" s="29" t="str">
        <f t="array" ref="A2945">IFNA(TRANSPOSE(INDEX('Parâmetros'!$B$4:$J3001,,MATCH(Exames!F2943,'Parâmetros'!$B$3:$J$3,0))),"")</f>
        <v/>
      </c>
    </row>
    <row r="2946">
      <c r="A2946" s="29" t="str">
        <f t="array" ref="A2946">IFNA(TRANSPOSE(INDEX('Parâmetros'!$B$4:$J3001,,MATCH(Exames!F2944,'Parâmetros'!$B$3:$J$3,0))),"")</f>
        <v/>
      </c>
    </row>
    <row r="2947">
      <c r="A2947" s="29" t="str">
        <f t="array" ref="A2947">IFNA(TRANSPOSE(INDEX('Parâmetros'!$B$4:$J3001,,MATCH(Exames!F2945,'Parâmetros'!$B$3:$J$3,0))),"")</f>
        <v/>
      </c>
    </row>
    <row r="2948">
      <c r="A2948" s="29" t="str">
        <f t="array" ref="A2948">IFNA(TRANSPOSE(INDEX('Parâmetros'!$B$4:$J3001,,MATCH(Exames!F2946,'Parâmetros'!$B$3:$J$3,0))),"")</f>
        <v/>
      </c>
    </row>
    <row r="2949">
      <c r="A2949" s="29" t="str">
        <f t="array" ref="A2949">IFNA(TRANSPOSE(INDEX('Parâmetros'!$B$4:$J3001,,MATCH(Exames!F2947,'Parâmetros'!$B$3:$J$3,0))),"")</f>
        <v/>
      </c>
    </row>
    <row r="2950">
      <c r="A2950" s="29" t="str">
        <f t="array" ref="A2950">IFNA(TRANSPOSE(INDEX('Parâmetros'!$B$4:$J3001,,MATCH(Exames!F2948,'Parâmetros'!$B$3:$J$3,0))),"")</f>
        <v/>
      </c>
    </row>
    <row r="2951">
      <c r="A2951" s="29" t="str">
        <f t="array" ref="A2951">IFNA(TRANSPOSE(INDEX('Parâmetros'!$B$4:$J3001,,MATCH(Exames!F2949,'Parâmetros'!$B$3:$J$3,0))),"")</f>
        <v/>
      </c>
    </row>
    <row r="2952">
      <c r="A2952" s="29" t="str">
        <f t="array" ref="A2952">IFNA(TRANSPOSE(INDEX('Parâmetros'!$B$4:$J3001,,MATCH(Exames!F2950,'Parâmetros'!$B$3:$J$3,0))),"")</f>
        <v/>
      </c>
    </row>
    <row r="2953">
      <c r="A2953" s="29" t="str">
        <f t="array" ref="A2953">IFNA(TRANSPOSE(INDEX('Parâmetros'!$B$4:$J3001,,MATCH(Exames!F2951,'Parâmetros'!$B$3:$J$3,0))),"")</f>
        <v/>
      </c>
    </row>
    <row r="2954">
      <c r="A2954" s="29" t="str">
        <f t="array" ref="A2954">IFNA(TRANSPOSE(INDEX('Parâmetros'!$B$4:$J3001,,MATCH(Exames!F2952,'Parâmetros'!$B$3:$J$3,0))),"")</f>
        <v/>
      </c>
    </row>
    <row r="2955">
      <c r="A2955" s="29" t="str">
        <f t="array" ref="A2955">IFNA(TRANSPOSE(INDEX('Parâmetros'!$B$4:$J3001,,MATCH(Exames!F2953,'Parâmetros'!$B$3:$J$3,0))),"")</f>
        <v/>
      </c>
    </row>
    <row r="2956">
      <c r="A2956" s="29" t="str">
        <f t="array" ref="A2956">IFNA(TRANSPOSE(INDEX('Parâmetros'!$B$4:$J3001,,MATCH(Exames!F2954,'Parâmetros'!$B$3:$J$3,0))),"")</f>
        <v/>
      </c>
    </row>
    <row r="2957">
      <c r="A2957" s="29" t="str">
        <f t="array" ref="A2957">IFNA(TRANSPOSE(INDEX('Parâmetros'!$B$4:$J3001,,MATCH(Exames!F2955,'Parâmetros'!$B$3:$J$3,0))),"")</f>
        <v/>
      </c>
    </row>
    <row r="2958">
      <c r="A2958" s="29" t="str">
        <f t="array" ref="A2958">IFNA(TRANSPOSE(INDEX('Parâmetros'!$B$4:$J3001,,MATCH(Exames!F2956,'Parâmetros'!$B$3:$J$3,0))),"")</f>
        <v/>
      </c>
    </row>
    <row r="2959">
      <c r="A2959" s="29" t="str">
        <f t="array" ref="A2959">IFNA(TRANSPOSE(INDEX('Parâmetros'!$B$4:$J3001,,MATCH(Exames!F2957,'Parâmetros'!$B$3:$J$3,0))),"")</f>
        <v/>
      </c>
    </row>
    <row r="2960">
      <c r="A2960" s="29" t="str">
        <f t="array" ref="A2960">IFNA(TRANSPOSE(INDEX('Parâmetros'!$B$4:$J3001,,MATCH(Exames!F2958,'Parâmetros'!$B$3:$J$3,0))),"")</f>
        <v/>
      </c>
    </row>
    <row r="2961">
      <c r="A2961" s="29" t="str">
        <f t="array" ref="A2961">IFNA(TRANSPOSE(INDEX('Parâmetros'!$B$4:$J3001,,MATCH(Exames!F2959,'Parâmetros'!$B$3:$J$3,0))),"")</f>
        <v/>
      </c>
    </row>
    <row r="2962">
      <c r="A2962" s="29" t="str">
        <f t="array" ref="A2962">IFNA(TRANSPOSE(INDEX('Parâmetros'!$B$4:$J3001,,MATCH(Exames!F2960,'Parâmetros'!$B$3:$J$3,0))),"")</f>
        <v/>
      </c>
    </row>
    <row r="2963">
      <c r="A2963" s="29" t="str">
        <f t="array" ref="A2963">IFNA(TRANSPOSE(INDEX('Parâmetros'!$B$4:$J3001,,MATCH(Exames!F2961,'Parâmetros'!$B$3:$J$3,0))),"")</f>
        <v/>
      </c>
    </row>
    <row r="2964">
      <c r="A2964" s="29" t="str">
        <f t="array" ref="A2964">IFNA(TRANSPOSE(INDEX('Parâmetros'!$B$4:$J3001,,MATCH(Exames!F2962,'Parâmetros'!$B$3:$J$3,0))),"")</f>
        <v/>
      </c>
    </row>
    <row r="2965">
      <c r="A2965" s="29" t="str">
        <f t="array" ref="A2965">IFNA(TRANSPOSE(INDEX('Parâmetros'!$B$4:$J3001,,MATCH(Exames!F2963,'Parâmetros'!$B$3:$J$3,0))),"")</f>
        <v/>
      </c>
    </row>
    <row r="2966">
      <c r="A2966" s="29" t="str">
        <f t="array" ref="A2966">IFNA(TRANSPOSE(INDEX('Parâmetros'!$B$4:$J3001,,MATCH(Exames!F2964,'Parâmetros'!$B$3:$J$3,0))),"")</f>
        <v/>
      </c>
    </row>
    <row r="2967">
      <c r="A2967" s="29" t="str">
        <f t="array" ref="A2967">IFNA(TRANSPOSE(INDEX('Parâmetros'!$B$4:$J3001,,MATCH(Exames!F2965,'Parâmetros'!$B$3:$J$3,0))),"")</f>
        <v/>
      </c>
    </row>
    <row r="2968">
      <c r="A2968" s="29" t="str">
        <f t="array" ref="A2968">IFNA(TRANSPOSE(INDEX('Parâmetros'!$B$4:$J3001,,MATCH(Exames!F2966,'Parâmetros'!$B$3:$J$3,0))),"")</f>
        <v/>
      </c>
    </row>
    <row r="2969">
      <c r="A2969" s="29" t="str">
        <f t="array" ref="A2969">IFNA(TRANSPOSE(INDEX('Parâmetros'!$B$4:$J3001,,MATCH(Exames!F2967,'Parâmetros'!$B$3:$J$3,0))),"")</f>
        <v/>
      </c>
    </row>
    <row r="2970">
      <c r="A2970" s="29" t="str">
        <f t="array" ref="A2970">IFNA(TRANSPOSE(INDEX('Parâmetros'!$B$4:$J3001,,MATCH(Exames!F2968,'Parâmetros'!$B$3:$J$3,0))),"")</f>
        <v/>
      </c>
    </row>
    <row r="2971">
      <c r="A2971" s="29" t="str">
        <f t="array" ref="A2971">IFNA(TRANSPOSE(INDEX('Parâmetros'!$B$4:$J3001,,MATCH(Exames!F2969,'Parâmetros'!$B$3:$J$3,0))),"")</f>
        <v/>
      </c>
    </row>
    <row r="2972">
      <c r="A2972" s="29" t="str">
        <f t="array" ref="A2972">IFNA(TRANSPOSE(INDEX('Parâmetros'!$B$4:$J3001,,MATCH(Exames!F2970,'Parâmetros'!$B$3:$J$3,0))),"")</f>
        <v/>
      </c>
    </row>
    <row r="2973">
      <c r="A2973" s="29" t="str">
        <f t="array" ref="A2973">IFNA(TRANSPOSE(INDEX('Parâmetros'!$B$4:$J3001,,MATCH(Exames!F2971,'Parâmetros'!$B$3:$J$3,0))),"")</f>
        <v/>
      </c>
    </row>
    <row r="2974">
      <c r="A2974" s="29" t="str">
        <f t="array" ref="A2974">IFNA(TRANSPOSE(INDEX('Parâmetros'!$B$4:$J3001,,MATCH(Exames!F2972,'Parâmetros'!$B$3:$J$3,0))),"")</f>
        <v/>
      </c>
    </row>
    <row r="2975">
      <c r="A2975" s="29" t="str">
        <f t="array" ref="A2975">IFNA(TRANSPOSE(INDEX('Parâmetros'!$B$4:$J3001,,MATCH(Exames!F2973,'Parâmetros'!$B$3:$J$3,0))),"")</f>
        <v/>
      </c>
    </row>
    <row r="2976">
      <c r="A2976" s="29" t="str">
        <f t="array" ref="A2976">IFNA(TRANSPOSE(INDEX('Parâmetros'!$B$4:$J3001,,MATCH(Exames!F2974,'Parâmetros'!$B$3:$J$3,0))),"")</f>
        <v/>
      </c>
    </row>
    <row r="2977">
      <c r="A2977" s="29" t="str">
        <f t="array" ref="A2977">IFNA(TRANSPOSE(INDEX('Parâmetros'!$B$4:$J3001,,MATCH(Exames!F2975,'Parâmetros'!$B$3:$J$3,0))),"")</f>
        <v/>
      </c>
    </row>
    <row r="2978">
      <c r="A2978" s="29" t="str">
        <f t="array" ref="A2978">IFNA(TRANSPOSE(INDEX('Parâmetros'!$B$4:$J3001,,MATCH(Exames!F2976,'Parâmetros'!$B$3:$J$3,0))),"")</f>
        <v/>
      </c>
    </row>
    <row r="2979">
      <c r="A2979" s="29" t="str">
        <f t="array" ref="A2979">IFNA(TRANSPOSE(INDEX('Parâmetros'!$B$4:$J3001,,MATCH(Exames!F2977,'Parâmetros'!$B$3:$J$3,0))),"")</f>
        <v/>
      </c>
    </row>
    <row r="2980">
      <c r="A2980" s="29" t="str">
        <f t="array" ref="A2980">IFNA(TRANSPOSE(INDEX('Parâmetros'!$B$4:$J3001,,MATCH(Exames!F2978,'Parâmetros'!$B$3:$J$3,0))),"")</f>
        <v/>
      </c>
    </row>
    <row r="2981">
      <c r="A2981" s="29" t="str">
        <f t="array" ref="A2981">IFNA(TRANSPOSE(INDEX('Parâmetros'!$B$4:$J3001,,MATCH(Exames!F2979,'Parâmetros'!$B$3:$J$3,0))),"")</f>
        <v/>
      </c>
    </row>
    <row r="2982">
      <c r="A2982" s="29" t="str">
        <f t="array" ref="A2982">IFNA(TRANSPOSE(INDEX('Parâmetros'!$B$4:$J3001,,MATCH(Exames!F2980,'Parâmetros'!$B$3:$J$3,0))),"")</f>
        <v/>
      </c>
    </row>
    <row r="2983">
      <c r="A2983" s="29" t="str">
        <f t="array" ref="A2983">IFNA(TRANSPOSE(INDEX('Parâmetros'!$B$4:$J3001,,MATCH(Exames!F2981,'Parâmetros'!$B$3:$J$3,0))),"")</f>
        <v/>
      </c>
    </row>
    <row r="2984">
      <c r="A2984" s="29" t="str">
        <f t="array" ref="A2984">IFNA(TRANSPOSE(INDEX('Parâmetros'!$B$4:$J3001,,MATCH(Exames!F2982,'Parâmetros'!$B$3:$J$3,0))),"")</f>
        <v/>
      </c>
    </row>
    <row r="2985">
      <c r="A2985" s="29" t="str">
        <f t="array" ref="A2985">IFNA(TRANSPOSE(INDEX('Parâmetros'!$B$4:$J3001,,MATCH(Exames!F2983,'Parâmetros'!$B$3:$J$3,0))),"")</f>
        <v/>
      </c>
    </row>
    <row r="2986">
      <c r="A2986" s="29" t="str">
        <f t="array" ref="A2986">IFNA(TRANSPOSE(INDEX('Parâmetros'!$B$4:$J3001,,MATCH(Exames!F2984,'Parâmetros'!$B$3:$J$3,0))),"")</f>
        <v/>
      </c>
    </row>
    <row r="2987">
      <c r="A2987" s="29" t="str">
        <f t="array" ref="A2987">IFNA(TRANSPOSE(INDEX('Parâmetros'!$B$4:$J3001,,MATCH(Exames!F2985,'Parâmetros'!$B$3:$J$3,0))),"")</f>
        <v/>
      </c>
    </row>
    <row r="2988">
      <c r="A2988" s="29" t="str">
        <f t="array" ref="A2988">IFNA(TRANSPOSE(INDEX('Parâmetros'!$B$4:$J3001,,MATCH(Exames!F2986,'Parâmetros'!$B$3:$J$3,0))),"")</f>
        <v/>
      </c>
    </row>
    <row r="2989">
      <c r="A2989" s="29" t="str">
        <f t="array" ref="A2989">IFNA(TRANSPOSE(INDEX('Parâmetros'!$B$4:$J3001,,MATCH(Exames!F2987,'Parâmetros'!$B$3:$J$3,0))),"")</f>
        <v/>
      </c>
    </row>
    <row r="2990">
      <c r="A2990" s="29" t="str">
        <f t="array" ref="A2990">IFNA(TRANSPOSE(INDEX('Parâmetros'!$B$4:$J3001,,MATCH(Exames!F2988,'Parâmetros'!$B$3:$J$3,0))),"")</f>
        <v/>
      </c>
    </row>
    <row r="2991">
      <c r="A2991" s="29" t="str">
        <f t="array" ref="A2991">IFNA(TRANSPOSE(INDEX('Parâmetros'!$B$4:$J3001,,MATCH(Exames!F2989,'Parâmetros'!$B$3:$J$3,0))),"")</f>
        <v/>
      </c>
    </row>
    <row r="2992">
      <c r="A2992" s="29" t="str">
        <f t="array" ref="A2992">IFNA(TRANSPOSE(INDEX('Parâmetros'!$B$4:$J3001,,MATCH(Exames!F2990,'Parâmetros'!$B$3:$J$3,0))),"")</f>
        <v/>
      </c>
    </row>
    <row r="2993">
      <c r="A2993" s="29" t="str">
        <f t="array" ref="A2993">IFNA(TRANSPOSE(INDEX('Parâmetros'!$B$4:$J3001,,MATCH(Exames!F2991,'Parâmetros'!$B$3:$J$3,0))),"")</f>
        <v/>
      </c>
    </row>
    <row r="2994">
      <c r="A2994" s="29" t="str">
        <f t="array" ref="A2994">IFNA(TRANSPOSE(INDEX('Parâmetros'!$B$4:$J3001,,MATCH(Exames!F2992,'Parâmetros'!$B$3:$J$3,0))),"")</f>
        <v/>
      </c>
    </row>
    <row r="2995">
      <c r="A2995" s="29" t="str">
        <f t="array" ref="A2995">IFNA(TRANSPOSE(INDEX('Parâmetros'!$B$4:$J3001,,MATCH(Exames!F2993,'Parâmetros'!$B$3:$J$3,0))),"")</f>
        <v/>
      </c>
    </row>
    <row r="2996">
      <c r="A2996" s="29" t="str">
        <f t="array" ref="A2996">IFNA(TRANSPOSE(INDEX('Parâmetros'!$B$4:$J3001,,MATCH(Exames!F2994,'Parâmetros'!$B$3:$J$3,0))),"")</f>
        <v/>
      </c>
    </row>
    <row r="2997">
      <c r="A2997" s="29" t="str">
        <f t="array" ref="A2997">IFNA(TRANSPOSE(INDEX('Parâmetros'!$B$4:$J3001,,MATCH(Exames!F2995,'Parâmetros'!$B$3:$J$3,0))),"")</f>
        <v/>
      </c>
    </row>
    <row r="2998">
      <c r="A2998" s="29" t="str">
        <f t="array" ref="A2998">IFNA(TRANSPOSE(INDEX('Parâmetros'!$B$4:$J3001,,MATCH(Exames!F2996,'Parâmetros'!$B$3:$J$3,0))),"")</f>
        <v/>
      </c>
    </row>
    <row r="2999">
      <c r="A2999" s="29" t="str">
        <f t="array" ref="A2999">IFNA(TRANSPOSE(INDEX('Parâmetros'!$B$4:$J3001,,MATCH(Exames!F2997,'Parâmetros'!$B$3:$J$3,0))),"")</f>
        <v/>
      </c>
    </row>
    <row r="3000">
      <c r="A3000" s="29" t="str">
        <f t="array" ref="A3000">IFNA(TRANSPOSE(INDEX('Parâmetros'!$B$4:$J3001,,MATCH(Exames!F2998,'Parâmetros'!$B$3:$J$3,0))),"")</f>
        <v/>
      </c>
    </row>
    <row r="3001">
      <c r="A3001" s="29" t="str">
        <f t="array" ref="A3001">IFNA(TRANSPOSE(INDEX('Parâmetros'!$B$4:$J3001,,MATCH(Exames!F2999,'Parâmetros'!$B$3:$J$3,0))),"")</f>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7.25"/>
    <col customWidth="1" min="11" max="11" width="4.13"/>
    <col customWidth="1" min="12" max="12" width="18.75"/>
    <col customWidth="1" min="13" max="13" width="15.88"/>
    <col customWidth="1" min="14" max="14" width="5.75"/>
    <col customWidth="1" min="15" max="15" width="15.88"/>
    <col customWidth="1" min="16" max="17" width="7.25"/>
    <col customWidth="1" min="18" max="18" width="18.25"/>
    <col customWidth="1" min="19" max="19" width="5.75"/>
    <col customWidth="1" min="27" max="27" width="10.0"/>
    <col customWidth="1" min="28" max="28" width="15.5"/>
  </cols>
  <sheetData>
    <row r="1">
      <c r="A1" s="102" t="s">
        <v>29</v>
      </c>
      <c r="B1" s="94" t="s">
        <v>27</v>
      </c>
      <c r="C1" s="94" t="s">
        <v>28</v>
      </c>
      <c r="D1" s="103" t="s">
        <v>4</v>
      </c>
      <c r="E1" s="103" t="s">
        <v>5</v>
      </c>
      <c r="F1" s="94" t="s">
        <v>6</v>
      </c>
      <c r="G1" s="94" t="s">
        <v>94</v>
      </c>
      <c r="H1" s="94" t="s">
        <v>95</v>
      </c>
      <c r="J1" s="16"/>
      <c r="K1" s="16" t="s">
        <v>11</v>
      </c>
      <c r="L1" s="16"/>
      <c r="M1" s="16"/>
      <c r="N1" s="16"/>
      <c r="O1" s="16"/>
      <c r="P1" s="16"/>
      <c r="Q1" s="16" t="s">
        <v>11</v>
      </c>
      <c r="R1" s="29"/>
      <c r="S1" s="43"/>
      <c r="T1" s="43"/>
      <c r="U1" s="102" t="str">
        <f>IFERROR(__xludf.DUMMYFUNCTION("QUERY({J1:M1201},""Select Col1 Where Col4 Is Not Null Label Col1 'Ano Receitas'"")"),"Ano Receitas")</f>
        <v>Ano Receitas</v>
      </c>
      <c r="V1" s="102" t="str">
        <f>IFERROR(__xludf.DUMMYFUNCTION("QUERY({P1:S1201},""Select Col1 Where Col4 Is Not Null Label Col1 'Ano Despesas'"")"),"Ano Despesas")</f>
        <v>Ano Despesas</v>
      </c>
      <c r="W1" s="102" t="s">
        <v>96</v>
      </c>
      <c r="Y1" s="104" t="s">
        <v>28</v>
      </c>
      <c r="Z1" s="102" t="s">
        <v>97</v>
      </c>
      <c r="AA1" s="102" t="s">
        <v>35</v>
      </c>
      <c r="AB1" s="102" t="s">
        <v>98</v>
      </c>
      <c r="AC1" s="102" t="s">
        <v>99</v>
      </c>
      <c r="AE1" s="105" t="s">
        <v>100</v>
      </c>
      <c r="AF1" s="106">
        <f>IFERROR(GETPIVOTDATA("SUM de  Receita",Dashboard!$AK$48),0)</f>
        <v>0</v>
      </c>
      <c r="AG1" s="107"/>
      <c r="AH1" s="107"/>
    </row>
    <row r="2">
      <c r="A2" s="49" t="str">
        <f>IFERROR(__xludf.DUMMYFUNCTION("ARRAYFORMULA(SPLIT(FLATTEN(QUERY({W2:W1201},""Select * Where Col1 Is Not Null"") &amp; ""|"" &amp; TRANSPOSE(Y2:Y13)), ""|""))"),"#N/A")</f>
        <v>#N/A</v>
      </c>
      <c r="B2" s="49"/>
      <c r="C2" s="108" t="str">
        <f>IFNA(VLOOKUP('Dashboard-Dados'!B2,'Dashboard-Dados'!$Y$2:$AA$13,2),"")</f>
        <v/>
      </c>
      <c r="D2" s="109">
        <f>IFERROR(GETPIVOTDATA("Valor Recebido",'Dashboard-Dados'!$J$1,$A$1,A2,$B$1,B2),0)</f>
        <v>0</v>
      </c>
      <c r="E2" s="110">
        <f>IFERROR(GETPIVOTDATA("Valor Despesa",'Dashboard-Dados'!$P$1,$A$1,A2,$B$1,B2),0)</f>
        <v>0</v>
      </c>
      <c r="F2" s="110">
        <f t="shared" ref="F2:F1201" si="1">D2-E2</f>
        <v>0</v>
      </c>
      <c r="G2" s="56">
        <f>IFERROR(GETPIVOTDATA("Exame",'Dashboard-Dados'!$J$1,$A$1,A2,$B$1,B2),0)</f>
        <v>0</v>
      </c>
      <c r="H2" s="56">
        <f t="shared" ref="H2:H1201" si="2">ROW()</f>
        <v>2</v>
      </c>
      <c r="J2" s="29" t="s">
        <v>14</v>
      </c>
      <c r="K2" s="29" t="s">
        <v>15</v>
      </c>
      <c r="L2" s="29"/>
      <c r="M2" s="29"/>
      <c r="N2" s="29"/>
      <c r="P2" s="29" t="s">
        <v>14</v>
      </c>
      <c r="Q2" s="29" t="s">
        <v>15</v>
      </c>
      <c r="R2" s="29"/>
      <c r="S2" s="16"/>
      <c r="T2" s="16"/>
      <c r="U2" s="49"/>
      <c r="V2" s="49"/>
      <c r="W2" s="49" t="str">
        <f>IFERROR(__xludf.DUMMYFUNCTION("SORT(UNIQUE(TRANSPOSE((IFERROR(SPLIT(TEXTJOIN("","",TRUE,
     IFERROR(TEXTJOIN("","",TRUE,U2:U1201),""""),
     IFERROR(TEXTJOIN("","",TRUE,V2:V1201),"""")
),"",""),"""")))),1,TRUE)"),"")</f>
        <v/>
      </c>
      <c r="Y2" s="111">
        <v>1.0</v>
      </c>
      <c r="Z2" s="49" t="str">
        <f t="shared" ref="Z2:Z13" si="3">PROPER(TEXT(DATE(1900,Y2,1),"mmm"))</f>
        <v>Jan.</v>
      </c>
      <c r="AA2" s="49" t="str">
        <f t="shared" ref="AA2:AA13" si="4">PROPER(TEXT(DATE(1900,Y2,1),"mmMm"))</f>
        <v>Janeiro</v>
      </c>
      <c r="AB2" s="56">
        <f t="shared" ref="AB2:AB13" si="5">IFNA(INDIRECT(ADDRESS(Y2+$Z$15,$AB$15)), 0)</f>
        <v>0</v>
      </c>
      <c r="AC2" s="56">
        <f>0</f>
        <v>0</v>
      </c>
      <c r="AE2" s="105" t="s">
        <v>101</v>
      </c>
      <c r="AF2" s="106">
        <f>IFERROR(GETPIVOTDATA("SUM de  Despesa",Dashboard!$AK$48),0)</f>
        <v>0</v>
      </c>
      <c r="AG2" s="112"/>
      <c r="AH2" s="112"/>
    </row>
    <row r="3">
      <c r="A3" s="49" t="str">
        <f>IFERROR(__xludf.DUMMYFUNCTION("""COMPUTED_VALUE"""),"#N/A")</f>
        <v>#N/A</v>
      </c>
      <c r="B3" s="49"/>
      <c r="C3" s="108" t="str">
        <f>IFNA(VLOOKUP('Dashboard-Dados'!B3,'Dashboard-Dados'!$Y$2:$AA$13,2),"")</f>
        <v/>
      </c>
      <c r="D3" s="109">
        <f>IFERROR(GETPIVOTDATA("Valor Recebido",'Dashboard-Dados'!$J$1,$A$1,A3,$B$1,B3),0)</f>
        <v>0</v>
      </c>
      <c r="E3" s="110">
        <f>IFERROR(GETPIVOTDATA("Valor Despesa",'Dashboard-Dados'!$P$1,$A$1,A3,$B$1,B3),0)</f>
        <v>0</v>
      </c>
      <c r="F3" s="110">
        <f t="shared" si="1"/>
        <v>0</v>
      </c>
      <c r="G3" s="56">
        <f>IFERROR(GETPIVOTDATA("Exame",'Dashboard-Dados'!$J$1,$A$1,A3,$B$1,B3),0)</f>
        <v>0</v>
      </c>
      <c r="H3" s="56">
        <f t="shared" si="2"/>
        <v>3</v>
      </c>
      <c r="J3" s="29"/>
      <c r="K3" s="29"/>
      <c r="L3" s="29"/>
      <c r="M3" s="29"/>
      <c r="N3" s="29"/>
      <c r="P3" s="29"/>
      <c r="Q3" s="29"/>
      <c r="R3" s="29"/>
      <c r="S3" s="16"/>
      <c r="T3" s="16"/>
      <c r="U3" s="49"/>
      <c r="V3" s="49"/>
      <c r="W3" s="49"/>
      <c r="Y3" s="111">
        <f t="shared" ref="Y3:Y13" si="6">Y2+1</f>
        <v>2</v>
      </c>
      <c r="Z3" s="49" t="str">
        <f t="shared" si="3"/>
        <v>Fev.</v>
      </c>
      <c r="AA3" s="49" t="str">
        <f t="shared" si="4"/>
        <v>Fevereiro</v>
      </c>
      <c r="AB3" s="56">
        <f t="shared" si="5"/>
        <v>0</v>
      </c>
      <c r="AC3" s="56">
        <f t="shared" ref="AC3:AC13" si="7">AB3-AB2</f>
        <v>0</v>
      </c>
      <c r="AE3" s="105" t="s">
        <v>6</v>
      </c>
      <c r="AF3" s="106">
        <f>IFERROR(GETPIVOTDATA("SUM de Lucro",Dashboard!$AK$48),0)</f>
        <v>0</v>
      </c>
      <c r="AG3" s="112"/>
      <c r="AH3" s="112"/>
    </row>
    <row r="4">
      <c r="A4" s="49" t="str">
        <f>IFERROR(__xludf.DUMMYFUNCTION("""COMPUTED_VALUE"""),"#N/A")</f>
        <v>#N/A</v>
      </c>
      <c r="B4" s="49"/>
      <c r="C4" s="108" t="str">
        <f>IFNA(VLOOKUP('Dashboard-Dados'!B4,'Dashboard-Dados'!$Y$2:$AA$13,2),"")</f>
        <v/>
      </c>
      <c r="D4" s="109">
        <f>IFERROR(GETPIVOTDATA("Valor Recebido",'Dashboard-Dados'!$J$1,$A$1,A4,$B$1,B4),0)</f>
        <v>0</v>
      </c>
      <c r="E4" s="110">
        <f>IFERROR(GETPIVOTDATA("Valor Despesa",'Dashboard-Dados'!$P$1,$A$1,A4,$B$1,B4),0)</f>
        <v>0</v>
      </c>
      <c r="F4" s="110">
        <f t="shared" si="1"/>
        <v>0</v>
      </c>
      <c r="G4" s="56">
        <f>IFERROR(GETPIVOTDATA("Exame",'Dashboard-Dados'!$J$1,$A$1,A4,$B$1,B4),0)</f>
        <v>0</v>
      </c>
      <c r="H4" s="56">
        <f t="shared" si="2"/>
        <v>4</v>
      </c>
      <c r="J4" s="29"/>
      <c r="K4" s="29"/>
      <c r="L4" s="29"/>
      <c r="M4" s="29"/>
      <c r="N4" s="29"/>
      <c r="P4" s="29"/>
      <c r="Q4" s="29"/>
      <c r="R4" s="29"/>
      <c r="S4" s="16"/>
      <c r="T4" s="16"/>
      <c r="U4" s="49"/>
      <c r="V4" s="49"/>
      <c r="W4" s="49"/>
      <c r="Y4" s="111">
        <f t="shared" si="6"/>
        <v>3</v>
      </c>
      <c r="Z4" s="49" t="str">
        <f t="shared" si="3"/>
        <v>Mar.</v>
      </c>
      <c r="AA4" s="49" t="str">
        <f t="shared" si="4"/>
        <v>Março</v>
      </c>
      <c r="AB4" s="56">
        <f t="shared" si="5"/>
        <v>0</v>
      </c>
      <c r="AC4" s="56">
        <f t="shared" si="7"/>
        <v>0</v>
      </c>
      <c r="AE4" s="113"/>
      <c r="AF4" s="114" t="s">
        <v>102</v>
      </c>
      <c r="AG4" s="115" t="s">
        <v>103</v>
      </c>
      <c r="AH4" s="116"/>
    </row>
    <row r="5">
      <c r="A5" s="49" t="str">
        <f>IFERROR(__xludf.DUMMYFUNCTION("""COMPUTED_VALUE"""),"#N/A")</f>
        <v>#N/A</v>
      </c>
      <c r="B5" s="49"/>
      <c r="C5" s="108" t="str">
        <f>IFNA(VLOOKUP('Dashboard-Dados'!B5,'Dashboard-Dados'!$Y$2:$AA$13,2),"")</f>
        <v/>
      </c>
      <c r="D5" s="109">
        <f>IFERROR(GETPIVOTDATA("Valor Recebido",'Dashboard-Dados'!$J$1,$A$1,A5,$B$1,B5),0)</f>
        <v>0</v>
      </c>
      <c r="E5" s="110">
        <f>IFERROR(GETPIVOTDATA("Valor Despesa",'Dashboard-Dados'!$P$1,$A$1,A5,$B$1,B5),0)</f>
        <v>0</v>
      </c>
      <c r="F5" s="110">
        <f t="shared" si="1"/>
        <v>0</v>
      </c>
      <c r="G5" s="56">
        <f>IFERROR(GETPIVOTDATA("Exame",'Dashboard-Dados'!$J$1,$A$1,A5,$B$1,B5),0)</f>
        <v>0</v>
      </c>
      <c r="H5" s="56">
        <f t="shared" si="2"/>
        <v>5</v>
      </c>
      <c r="J5" s="29"/>
      <c r="K5" s="29"/>
      <c r="L5" s="29"/>
      <c r="M5" s="29"/>
      <c r="N5" s="29"/>
      <c r="P5" s="29"/>
      <c r="Q5" s="29"/>
      <c r="R5" s="29"/>
      <c r="S5" s="16"/>
      <c r="T5" s="16"/>
      <c r="U5" s="49"/>
      <c r="V5" s="49"/>
      <c r="W5" s="49"/>
      <c r="Y5" s="111">
        <f t="shared" si="6"/>
        <v>4</v>
      </c>
      <c r="Z5" s="49" t="str">
        <f t="shared" si="3"/>
        <v>Abr.</v>
      </c>
      <c r="AA5" s="49" t="str">
        <f t="shared" si="4"/>
        <v>Abril</v>
      </c>
      <c r="AB5" s="56">
        <f t="shared" si="5"/>
        <v>0</v>
      </c>
      <c r="AC5" s="56">
        <f t="shared" si="7"/>
        <v>0</v>
      </c>
      <c r="AE5" s="105" t="s">
        <v>98</v>
      </c>
      <c r="AF5" s="117">
        <f>IFERROR(GETPIVOTDATA("SUM de Qtd Exames",Dashboard!$AK$48),0)</f>
        <v>0</v>
      </c>
      <c r="AG5" s="117">
        <f>IFERROR(GETPIVOTDATA("MAX de Qtd Exames",Dashboard!$AK$48),0)</f>
        <v>0</v>
      </c>
      <c r="AH5" s="107"/>
    </row>
    <row r="6">
      <c r="A6" s="49" t="str">
        <f>IFERROR(__xludf.DUMMYFUNCTION("""COMPUTED_VALUE"""),"#N/A")</f>
        <v>#N/A</v>
      </c>
      <c r="B6" s="49"/>
      <c r="C6" s="108" t="str">
        <f>IFNA(VLOOKUP('Dashboard-Dados'!B6,'Dashboard-Dados'!$Y$2:$AA$13,2),"")</f>
        <v/>
      </c>
      <c r="D6" s="109">
        <f>IFERROR(GETPIVOTDATA("Valor Recebido",'Dashboard-Dados'!$J$1,$A$1,A6,$B$1,B6),0)</f>
        <v>0</v>
      </c>
      <c r="E6" s="110">
        <f>IFERROR(GETPIVOTDATA("Valor Despesa",'Dashboard-Dados'!$P$1,$A$1,A6,$B$1,B6),0)</f>
        <v>0</v>
      </c>
      <c r="F6" s="110">
        <f t="shared" si="1"/>
        <v>0</v>
      </c>
      <c r="G6" s="56">
        <f>IFERROR(GETPIVOTDATA("Exame",'Dashboard-Dados'!$J$1,$A$1,A6,$B$1,B6),0)</f>
        <v>0</v>
      </c>
      <c r="H6" s="56">
        <f t="shared" si="2"/>
        <v>6</v>
      </c>
      <c r="J6" s="29"/>
      <c r="K6" s="29"/>
      <c r="L6" s="29"/>
      <c r="M6" s="29"/>
      <c r="N6" s="29"/>
      <c r="P6" s="29"/>
      <c r="Q6" s="29"/>
      <c r="R6" s="29"/>
      <c r="S6" s="16"/>
      <c r="T6" s="16"/>
      <c r="U6" s="49"/>
      <c r="V6" s="49"/>
      <c r="W6" s="49"/>
      <c r="Y6" s="111">
        <f t="shared" si="6"/>
        <v>5</v>
      </c>
      <c r="Z6" s="49" t="str">
        <f t="shared" si="3"/>
        <v>Mai.</v>
      </c>
      <c r="AA6" s="49" t="str">
        <f t="shared" si="4"/>
        <v>Maio</v>
      </c>
      <c r="AB6" s="56">
        <f t="shared" si="5"/>
        <v>0</v>
      </c>
      <c r="AC6" s="56">
        <f t="shared" si="7"/>
        <v>0</v>
      </c>
    </row>
    <row r="7">
      <c r="A7" s="49" t="str">
        <f>IFERROR(__xludf.DUMMYFUNCTION("""COMPUTED_VALUE"""),"#N/A")</f>
        <v>#N/A</v>
      </c>
      <c r="B7" s="49"/>
      <c r="C7" s="108" t="str">
        <f>IFNA(VLOOKUP('Dashboard-Dados'!B7,'Dashboard-Dados'!$Y$2:$AA$13,2),"")</f>
        <v/>
      </c>
      <c r="D7" s="109">
        <f>IFERROR(GETPIVOTDATA("Valor Recebido",'Dashboard-Dados'!$J$1,$A$1,A7,$B$1,B7),0)</f>
        <v>0</v>
      </c>
      <c r="E7" s="110">
        <f>IFERROR(GETPIVOTDATA("Valor Despesa",'Dashboard-Dados'!$P$1,$A$1,A7,$B$1,B7),0)</f>
        <v>0</v>
      </c>
      <c r="F7" s="110">
        <f t="shared" si="1"/>
        <v>0</v>
      </c>
      <c r="G7" s="56">
        <f>IFERROR(GETPIVOTDATA("Exame",'Dashboard-Dados'!$J$1,$A$1,A7,$B$1,B7),0)</f>
        <v>0</v>
      </c>
      <c r="H7" s="56">
        <f t="shared" si="2"/>
        <v>7</v>
      </c>
      <c r="J7" s="29"/>
      <c r="K7" s="29"/>
      <c r="L7" s="29"/>
      <c r="M7" s="29"/>
      <c r="N7" s="29"/>
      <c r="P7" s="29"/>
      <c r="Q7" s="29"/>
      <c r="R7" s="29"/>
      <c r="S7" s="16"/>
      <c r="T7" s="16"/>
      <c r="U7" s="49"/>
      <c r="V7" s="49"/>
      <c r="W7" s="49"/>
      <c r="Y7" s="111">
        <f t="shared" si="6"/>
        <v>6</v>
      </c>
      <c r="Z7" s="49" t="str">
        <f t="shared" si="3"/>
        <v>Jun.</v>
      </c>
      <c r="AA7" s="49" t="str">
        <f t="shared" si="4"/>
        <v>Junho</v>
      </c>
      <c r="AB7" s="56">
        <f t="shared" si="5"/>
        <v>0</v>
      </c>
      <c r="AC7" s="56">
        <f t="shared" si="7"/>
        <v>0</v>
      </c>
      <c r="AE7" s="66" t="s">
        <v>104</v>
      </c>
    </row>
    <row r="8">
      <c r="A8" s="49" t="str">
        <f>IFERROR(__xludf.DUMMYFUNCTION("""COMPUTED_VALUE"""),"#N/A")</f>
        <v>#N/A</v>
      </c>
      <c r="B8" s="49"/>
      <c r="C8" s="108" t="str">
        <f>IFNA(VLOOKUP('Dashboard-Dados'!B8,'Dashboard-Dados'!$Y$2:$AA$13,2),"")</f>
        <v/>
      </c>
      <c r="D8" s="109">
        <f>IFERROR(GETPIVOTDATA("Valor Recebido",'Dashboard-Dados'!$J$1,$A$1,A8,$B$1,B8),0)</f>
        <v>0</v>
      </c>
      <c r="E8" s="110">
        <f>IFERROR(GETPIVOTDATA("Valor Despesa",'Dashboard-Dados'!$P$1,$A$1,A8,$B$1,B8),0)</f>
        <v>0</v>
      </c>
      <c r="F8" s="110">
        <f t="shared" si="1"/>
        <v>0</v>
      </c>
      <c r="G8" s="56">
        <f>IFERROR(GETPIVOTDATA("Exame",'Dashboard-Dados'!$J$1,$A$1,A8,$B$1,B8),0)</f>
        <v>0</v>
      </c>
      <c r="H8" s="56">
        <f t="shared" si="2"/>
        <v>8</v>
      </c>
      <c r="J8" s="29"/>
      <c r="K8" s="29"/>
      <c r="L8" s="29"/>
      <c r="M8" s="29"/>
      <c r="N8" s="29"/>
      <c r="P8" s="29"/>
      <c r="Q8" s="29"/>
      <c r="R8" s="29"/>
      <c r="S8" s="16"/>
      <c r="T8" s="16"/>
      <c r="U8" s="49"/>
      <c r="V8" s="49"/>
      <c r="W8" s="49"/>
      <c r="Y8" s="111">
        <f t="shared" si="6"/>
        <v>7</v>
      </c>
      <c r="Z8" s="49" t="str">
        <f t="shared" si="3"/>
        <v>Jul.</v>
      </c>
      <c r="AA8" s="49" t="str">
        <f t="shared" si="4"/>
        <v>Julho</v>
      </c>
      <c r="AB8" s="56">
        <f t="shared" si="5"/>
        <v>0</v>
      </c>
      <c r="AC8" s="56">
        <f t="shared" si="7"/>
        <v>0</v>
      </c>
      <c r="AE8" s="118" t="s">
        <v>105</v>
      </c>
      <c r="AF8" s="118" t="s">
        <v>106</v>
      </c>
      <c r="AG8" s="118" t="s">
        <v>107</v>
      </c>
      <c r="AH8" s="118" t="s">
        <v>95</v>
      </c>
      <c r="AI8" s="118" t="s">
        <v>108</v>
      </c>
    </row>
    <row r="9">
      <c r="A9" s="49" t="str">
        <f>IFERROR(__xludf.DUMMYFUNCTION("""COMPUTED_VALUE"""),"#N/A")</f>
        <v>#N/A</v>
      </c>
      <c r="B9" s="49"/>
      <c r="C9" s="108" t="str">
        <f>IFNA(VLOOKUP('Dashboard-Dados'!B9,'Dashboard-Dados'!$Y$2:$AA$13,2),"")</f>
        <v/>
      </c>
      <c r="D9" s="109">
        <f>IFERROR(GETPIVOTDATA("Valor Recebido",'Dashboard-Dados'!$J$1,$A$1,A9,$B$1,B9),0)</f>
        <v>0</v>
      </c>
      <c r="E9" s="110">
        <f>IFERROR(GETPIVOTDATA("Valor Despesa",'Dashboard-Dados'!$P$1,$A$1,A9,$B$1,B9),0)</f>
        <v>0</v>
      </c>
      <c r="F9" s="110">
        <f t="shared" si="1"/>
        <v>0</v>
      </c>
      <c r="G9" s="56">
        <f>IFERROR(GETPIVOTDATA("Exame",'Dashboard-Dados'!$J$1,$A$1,A9,$B$1,B9),0)</f>
        <v>0</v>
      </c>
      <c r="H9" s="56">
        <f t="shared" si="2"/>
        <v>9</v>
      </c>
      <c r="J9" s="29"/>
      <c r="K9" s="29"/>
      <c r="L9" s="29"/>
      <c r="M9" s="29"/>
      <c r="N9" s="29"/>
      <c r="P9" s="29"/>
      <c r="Q9" s="29"/>
      <c r="R9" s="29"/>
      <c r="S9" s="16"/>
      <c r="T9" s="16"/>
      <c r="U9" s="49"/>
      <c r="V9" s="49"/>
      <c r="W9" s="49"/>
      <c r="Y9" s="111">
        <f t="shared" si="6"/>
        <v>8</v>
      </c>
      <c r="Z9" s="49" t="str">
        <f t="shared" si="3"/>
        <v>Ago.</v>
      </c>
      <c r="AA9" s="49" t="str">
        <f t="shared" si="4"/>
        <v>Agosto</v>
      </c>
      <c r="AB9" s="56">
        <f t="shared" si="5"/>
        <v>0</v>
      </c>
      <c r="AC9" s="56">
        <f t="shared" si="7"/>
        <v>0</v>
      </c>
      <c r="AE9" s="119">
        <f t="shared" ref="AE9:AI9" si="8">COLUMN()</f>
        <v>31</v>
      </c>
      <c r="AF9" s="119">
        <f t="shared" si="8"/>
        <v>32</v>
      </c>
      <c r="AG9" s="119">
        <f t="shared" si="8"/>
        <v>33</v>
      </c>
      <c r="AH9" s="119">
        <f t="shared" si="8"/>
        <v>34</v>
      </c>
      <c r="AI9" s="119">
        <f t="shared" si="8"/>
        <v>35</v>
      </c>
    </row>
    <row r="10">
      <c r="A10" s="49" t="str">
        <f>IFERROR(__xludf.DUMMYFUNCTION("""COMPUTED_VALUE"""),"#N/A")</f>
        <v>#N/A</v>
      </c>
      <c r="B10" s="49"/>
      <c r="C10" s="108" t="str">
        <f>IFNA(VLOOKUP('Dashboard-Dados'!B10,'Dashboard-Dados'!$Y$2:$AA$13,2),"")</f>
        <v/>
      </c>
      <c r="D10" s="109">
        <f>IFERROR(GETPIVOTDATA("Valor Recebido",'Dashboard-Dados'!$J$1,$A$1,A10,$B$1,B10),0)</f>
        <v>0</v>
      </c>
      <c r="E10" s="110">
        <f>IFERROR(GETPIVOTDATA("Valor Despesa",'Dashboard-Dados'!$P$1,$A$1,A10,$B$1,B10),0)</f>
        <v>0</v>
      </c>
      <c r="F10" s="110">
        <f t="shared" si="1"/>
        <v>0</v>
      </c>
      <c r="G10" s="56">
        <f>IFERROR(GETPIVOTDATA("Exame",'Dashboard-Dados'!$J$1,$A$1,A10,$B$1,B10),0)</f>
        <v>0</v>
      </c>
      <c r="H10" s="56">
        <f t="shared" si="2"/>
        <v>10</v>
      </c>
      <c r="J10" s="29"/>
      <c r="K10" s="29"/>
      <c r="L10" s="29"/>
      <c r="M10" s="29"/>
      <c r="N10" s="29"/>
      <c r="P10" s="29"/>
      <c r="Q10" s="29"/>
      <c r="R10" s="29"/>
      <c r="S10" s="29"/>
      <c r="T10" s="29"/>
      <c r="U10" s="56"/>
      <c r="V10" s="56"/>
      <c r="W10" s="56"/>
      <c r="Y10" s="111">
        <f t="shared" si="6"/>
        <v>9</v>
      </c>
      <c r="Z10" s="49" t="str">
        <f t="shared" si="3"/>
        <v>Set.</v>
      </c>
      <c r="AA10" s="49" t="str">
        <f t="shared" si="4"/>
        <v>Setembro</v>
      </c>
      <c r="AB10" s="56">
        <f t="shared" si="5"/>
        <v>0</v>
      </c>
      <c r="AC10" s="56">
        <f t="shared" si="7"/>
        <v>0</v>
      </c>
      <c r="AE10" s="120" t="s">
        <v>109</v>
      </c>
      <c r="AF10" s="121">
        <v>0.0</v>
      </c>
      <c r="AG10" s="122" t="s">
        <v>110</v>
      </c>
      <c r="AH10" s="122">
        <f t="shared" ref="AH10:AH14" si="9">ROW()</f>
        <v>10</v>
      </c>
      <c r="AI10" s="122" t="b">
        <f t="shared" ref="AI10:AI14" si="10">$AF$17=AE10</f>
        <v>1</v>
      </c>
    </row>
    <row r="11">
      <c r="A11" s="49" t="str">
        <f>IFERROR(__xludf.DUMMYFUNCTION("""COMPUTED_VALUE"""),"#N/A")</f>
        <v>#N/A</v>
      </c>
      <c r="B11" s="49"/>
      <c r="C11" s="108" t="str">
        <f>IFNA(VLOOKUP('Dashboard-Dados'!B11,'Dashboard-Dados'!$Y$2:$AA$13,2),"")</f>
        <v/>
      </c>
      <c r="D11" s="109">
        <f>IFERROR(GETPIVOTDATA("Valor Recebido",'Dashboard-Dados'!$J$1,$A$1,A11,$B$1,B11),0)</f>
        <v>0</v>
      </c>
      <c r="E11" s="110">
        <f>IFERROR(GETPIVOTDATA("Valor Despesa",'Dashboard-Dados'!$P$1,$A$1,A11,$B$1,B11),0)</f>
        <v>0</v>
      </c>
      <c r="F11" s="110">
        <f t="shared" si="1"/>
        <v>0</v>
      </c>
      <c r="G11" s="56">
        <f>IFERROR(GETPIVOTDATA("Exame",'Dashboard-Dados'!$J$1,$A$1,A11,$B$1,B11),0)</f>
        <v>0</v>
      </c>
      <c r="H11" s="56">
        <f t="shared" si="2"/>
        <v>11</v>
      </c>
      <c r="U11" s="56"/>
      <c r="V11" s="56"/>
      <c r="W11" s="56"/>
      <c r="Y11" s="111">
        <f t="shared" si="6"/>
        <v>10</v>
      </c>
      <c r="Z11" s="49" t="str">
        <f t="shared" si="3"/>
        <v>Out.</v>
      </c>
      <c r="AA11" s="49" t="str">
        <f t="shared" si="4"/>
        <v>Outubro</v>
      </c>
      <c r="AB11" s="56">
        <f t="shared" si="5"/>
        <v>0</v>
      </c>
      <c r="AC11" s="56">
        <f t="shared" si="7"/>
        <v>0</v>
      </c>
      <c r="AE11" s="123" t="s">
        <v>111</v>
      </c>
      <c r="AF11" s="124">
        <v>1.0</v>
      </c>
      <c r="AG11" s="125" t="s">
        <v>112</v>
      </c>
      <c r="AH11" s="126">
        <f t="shared" si="9"/>
        <v>11</v>
      </c>
      <c r="AI11" s="126" t="b">
        <f t="shared" si="10"/>
        <v>0</v>
      </c>
    </row>
    <row r="12">
      <c r="A12" s="49" t="str">
        <f>IFERROR(__xludf.DUMMYFUNCTION("""COMPUTED_VALUE"""),"#N/A")</f>
        <v>#N/A</v>
      </c>
      <c r="B12" s="49"/>
      <c r="C12" s="108" t="str">
        <f>IFNA(VLOOKUP('Dashboard-Dados'!B12,'Dashboard-Dados'!$Y$2:$AA$13,2),"")</f>
        <v/>
      </c>
      <c r="D12" s="109">
        <f>IFERROR(GETPIVOTDATA("Valor Recebido",'Dashboard-Dados'!$J$1,$A$1,A12,$B$1,B12),0)</f>
        <v>0</v>
      </c>
      <c r="E12" s="110">
        <f>IFERROR(GETPIVOTDATA("Valor Despesa",'Dashboard-Dados'!$P$1,$A$1,A12,$B$1,B12),0)</f>
        <v>0</v>
      </c>
      <c r="F12" s="110">
        <f t="shared" si="1"/>
        <v>0</v>
      </c>
      <c r="G12" s="56">
        <f>IFERROR(GETPIVOTDATA("Exame",'Dashboard-Dados'!$J$1,$A$1,A12,$B$1,B12),0)</f>
        <v>0</v>
      </c>
      <c r="H12" s="56">
        <f t="shared" si="2"/>
        <v>12</v>
      </c>
      <c r="U12" s="56"/>
      <c r="V12" s="56"/>
      <c r="W12" s="56"/>
      <c r="Y12" s="111">
        <f t="shared" si="6"/>
        <v>11</v>
      </c>
      <c r="Z12" s="49" t="str">
        <f t="shared" si="3"/>
        <v>Nov.</v>
      </c>
      <c r="AA12" s="49" t="str">
        <f t="shared" si="4"/>
        <v>Novembro</v>
      </c>
      <c r="AB12" s="56">
        <f t="shared" si="5"/>
        <v>0</v>
      </c>
      <c r="AC12" s="56">
        <f t="shared" si="7"/>
        <v>0</v>
      </c>
      <c r="AE12" s="127" t="s">
        <v>113</v>
      </c>
      <c r="AF12" s="128">
        <v>71.0</v>
      </c>
      <c r="AG12" s="129" t="s">
        <v>114</v>
      </c>
      <c r="AH12" s="122">
        <f t="shared" si="9"/>
        <v>12</v>
      </c>
      <c r="AI12" s="122" t="b">
        <f t="shared" si="10"/>
        <v>0</v>
      </c>
    </row>
    <row r="13">
      <c r="A13" s="49" t="str">
        <f>IFERROR(__xludf.DUMMYFUNCTION("""COMPUTED_VALUE"""),"#N/A")</f>
        <v>#N/A</v>
      </c>
      <c r="B13" s="49"/>
      <c r="C13" s="108" t="str">
        <f>IFNA(VLOOKUP('Dashboard-Dados'!B13,'Dashboard-Dados'!$Y$2:$AA$13,2),"")</f>
        <v/>
      </c>
      <c r="D13" s="109">
        <f>IFERROR(GETPIVOTDATA("Valor Recebido",'Dashboard-Dados'!$J$1,$A$1,A13,$B$1,B13),0)</f>
        <v>0</v>
      </c>
      <c r="E13" s="110">
        <f>IFERROR(GETPIVOTDATA("Valor Despesa",'Dashboard-Dados'!$P$1,$A$1,A13,$B$1,B13),0)</f>
        <v>0</v>
      </c>
      <c r="F13" s="110">
        <f t="shared" si="1"/>
        <v>0</v>
      </c>
      <c r="G13" s="56">
        <f>IFERROR(GETPIVOTDATA("Exame",'Dashboard-Dados'!$J$1,$A$1,A13,$B$1,B13),0)</f>
        <v>0</v>
      </c>
      <c r="H13" s="56">
        <f t="shared" si="2"/>
        <v>13</v>
      </c>
      <c r="S13" s="130"/>
      <c r="T13" s="130"/>
      <c r="U13" s="131"/>
      <c r="V13" s="131"/>
      <c r="W13" s="131"/>
      <c r="Y13" s="111">
        <f t="shared" si="6"/>
        <v>12</v>
      </c>
      <c r="Z13" s="49" t="str">
        <f t="shared" si="3"/>
        <v>Dez.</v>
      </c>
      <c r="AA13" s="49" t="str">
        <f t="shared" si="4"/>
        <v>Dezembro</v>
      </c>
      <c r="AB13" s="56">
        <f t="shared" si="5"/>
        <v>0</v>
      </c>
      <c r="AC13" s="56">
        <f t="shared" si="7"/>
        <v>0</v>
      </c>
      <c r="AE13" s="123" t="s">
        <v>115</v>
      </c>
      <c r="AF13" s="132">
        <v>131.0</v>
      </c>
      <c r="AG13" s="133" t="s">
        <v>116</v>
      </c>
      <c r="AH13" s="126">
        <f t="shared" si="9"/>
        <v>13</v>
      </c>
      <c r="AI13" s="126" t="b">
        <f t="shared" si="10"/>
        <v>0</v>
      </c>
    </row>
    <row r="14">
      <c r="A14" s="49"/>
      <c r="B14" s="49"/>
      <c r="C14" s="108" t="str">
        <f>IFNA(VLOOKUP('Dashboard-Dados'!B14,'Dashboard-Dados'!$Y$2:$AA$13,2),"")</f>
        <v/>
      </c>
      <c r="D14" s="109">
        <f>IFERROR(GETPIVOTDATA("Valor Recebido",'Dashboard-Dados'!$J$1,$A$1,A14,$B$1,B14),0)</f>
        <v>0</v>
      </c>
      <c r="E14" s="110">
        <f>IFERROR(GETPIVOTDATA("Valor Despesa",'Dashboard-Dados'!$P$1,$A$1,A14,$B$1,B14),0)</f>
        <v>0</v>
      </c>
      <c r="F14" s="110">
        <f t="shared" si="1"/>
        <v>0</v>
      </c>
      <c r="G14" s="56">
        <f>IFERROR(GETPIVOTDATA("Exame",'Dashboard-Dados'!$J$1,$A$1,A14,$B$1,B14),0)</f>
        <v>0</v>
      </c>
      <c r="H14" s="56">
        <f t="shared" si="2"/>
        <v>14</v>
      </c>
      <c r="R14" s="134"/>
      <c r="U14" s="56"/>
      <c r="V14" s="56"/>
      <c r="W14" s="56"/>
      <c r="Y14" s="111"/>
      <c r="Z14" s="135"/>
      <c r="AA14" s="16" t="s">
        <v>117</v>
      </c>
      <c r="AB14" s="49" t="s">
        <v>118</v>
      </c>
      <c r="AC14" s="56"/>
      <c r="AE14" s="120" t="s">
        <v>119</v>
      </c>
      <c r="AF14" s="128">
        <v>201.0</v>
      </c>
      <c r="AG14" s="136" t="s">
        <v>120</v>
      </c>
      <c r="AH14" s="122">
        <f t="shared" si="9"/>
        <v>14</v>
      </c>
      <c r="AI14" s="122" t="b">
        <f t="shared" si="10"/>
        <v>0</v>
      </c>
    </row>
    <row r="15">
      <c r="A15" s="49"/>
      <c r="B15" s="49"/>
      <c r="C15" s="108" t="str">
        <f>IFNA(VLOOKUP('Dashboard-Dados'!B15,'Dashboard-Dados'!$Y$2:$AA$13,2),"")</f>
        <v/>
      </c>
      <c r="D15" s="109">
        <f>IFERROR(GETPIVOTDATA("Valor Recebido",'Dashboard-Dados'!$J$1,$A$1,A15,$B$1,B15),0)</f>
        <v>0</v>
      </c>
      <c r="E15" s="110">
        <f>IFERROR(GETPIVOTDATA("Valor Despesa",'Dashboard-Dados'!$P$1,$A$1,A15,$B$1,B15),0)</f>
        <v>0</v>
      </c>
      <c r="F15" s="110">
        <f t="shared" si="1"/>
        <v>0</v>
      </c>
      <c r="G15" s="56">
        <f>IFERROR(GETPIVOTDATA("Exame",'Dashboard-Dados'!$J$1,$A$1,A15,$B$1,B15),0)</f>
        <v>0</v>
      </c>
      <c r="H15" s="56">
        <f t="shared" si="2"/>
        <v>15</v>
      </c>
      <c r="U15" s="56"/>
      <c r="V15" s="56"/>
      <c r="W15" s="56"/>
      <c r="Y15" s="137" t="s">
        <v>121</v>
      </c>
      <c r="Z15" s="29" t="str">
        <f>VLOOKUP(Dashboard!X7,'Dashboard-Dados'!A2:H1201,AA15)-12</f>
        <v>#N/A</v>
      </c>
      <c r="AA15" s="29">
        <f>COLUMN('Dashboard-Dados'!H1)</f>
        <v>8</v>
      </c>
      <c r="AB15" s="29">
        <f>COLUMN('Dashboard-Dados'!G1)</f>
        <v>7</v>
      </c>
    </row>
    <row r="16">
      <c r="A16" s="49"/>
      <c r="B16" s="49"/>
      <c r="C16" s="108" t="str">
        <f>IFNA(VLOOKUP('Dashboard-Dados'!B16,'Dashboard-Dados'!$Y$2:$AA$13,2),"")</f>
        <v/>
      </c>
      <c r="D16" s="109">
        <f>IFERROR(GETPIVOTDATA("Valor Recebido",'Dashboard-Dados'!$J$1,$A$1,A16,$B$1,B16),0)</f>
        <v>0</v>
      </c>
      <c r="E16" s="110">
        <f>IFERROR(GETPIVOTDATA("Valor Despesa",'Dashboard-Dados'!$P$1,$A$1,A16,$B$1,B16),0)</f>
        <v>0</v>
      </c>
      <c r="F16" s="110">
        <f t="shared" si="1"/>
        <v>0</v>
      </c>
      <c r="G16" s="56">
        <f>IFERROR(GETPIVOTDATA("Exame",'Dashboard-Dados'!$J$1,$A$1,A16,$B$1,B16),0)</f>
        <v>0</v>
      </c>
      <c r="H16" s="56">
        <f t="shared" si="2"/>
        <v>16</v>
      </c>
      <c r="U16" s="56"/>
      <c r="V16" s="56"/>
      <c r="W16" s="56"/>
      <c r="Y16" s="138"/>
      <c r="AE16" s="139" t="s">
        <v>122</v>
      </c>
      <c r="AF16" s="140">
        <f>IF(AG5&gt;=AF14,ROW(AE14),IF(AG5&gt;=AF13,ROW(AE13),IF(AG5&gt;=AF12,ROW(AE12),IF(AG5&gt;=AF11,ROW(AE11),ROW(AE10)))))</f>
        <v>10</v>
      </c>
    </row>
    <row r="17">
      <c r="A17" s="49"/>
      <c r="B17" s="49"/>
      <c r="C17" s="108" t="str">
        <f>IFNA(VLOOKUP('Dashboard-Dados'!B17,'Dashboard-Dados'!$Y$2:$AA$13,2),"")</f>
        <v/>
      </c>
      <c r="D17" s="109">
        <f>IFERROR(GETPIVOTDATA("Valor Recebido",'Dashboard-Dados'!$J$1,$A$1,A17,$B$1,B17),0)</f>
        <v>0</v>
      </c>
      <c r="E17" s="110">
        <f>IFERROR(GETPIVOTDATA("Valor Despesa",'Dashboard-Dados'!$P$1,$A$1,A17,$B$1,B17),0)</f>
        <v>0</v>
      </c>
      <c r="F17" s="110">
        <f t="shared" si="1"/>
        <v>0</v>
      </c>
      <c r="G17" s="56">
        <f>IFERROR(GETPIVOTDATA("Exame",'Dashboard-Dados'!$J$1,$A$1,A17,$B$1,B17),0)</f>
        <v>0</v>
      </c>
      <c r="H17" s="56">
        <f t="shared" si="2"/>
        <v>17</v>
      </c>
      <c r="U17" s="56"/>
      <c r="V17" s="56"/>
      <c r="W17" s="56"/>
      <c r="Y17" s="138"/>
      <c r="AE17" s="14" t="s">
        <v>123</v>
      </c>
      <c r="AF17" s="39" t="str">
        <f t="array" ref="AF17">INDIRECT(ADDRESS(AF16,AE9))</f>
        <v>Branca</v>
      </c>
    </row>
    <row r="18">
      <c r="A18" s="49"/>
      <c r="B18" s="49"/>
      <c r="C18" s="108" t="str">
        <f>IFNA(VLOOKUP('Dashboard-Dados'!B18,'Dashboard-Dados'!$Y$2:$AA$13,2),"")</f>
        <v/>
      </c>
      <c r="D18" s="109">
        <f>IFERROR(GETPIVOTDATA("Valor Recebido",'Dashboard-Dados'!$J$1,$A$1,A18,$B$1,B18),0)</f>
        <v>0</v>
      </c>
      <c r="E18" s="110">
        <f>IFERROR(GETPIVOTDATA("Valor Despesa",'Dashboard-Dados'!$P$1,$A$1,A18,$B$1,B18),0)</f>
        <v>0</v>
      </c>
      <c r="F18" s="110">
        <f t="shared" si="1"/>
        <v>0</v>
      </c>
      <c r="G18" s="56">
        <f>IFERROR(GETPIVOTDATA("Exame",'Dashboard-Dados'!$J$1,$A$1,A18,$B$1,B18),0)</f>
        <v>0</v>
      </c>
      <c r="H18" s="56">
        <f t="shared" si="2"/>
        <v>18</v>
      </c>
      <c r="U18" s="56"/>
      <c r="V18" s="56"/>
      <c r="W18" s="56"/>
      <c r="Y18" s="138"/>
      <c r="AE18" s="14" t="s">
        <v>124</v>
      </c>
      <c r="AF18" s="141">
        <f t="array" ref="AF18">INDIRECT(ADDRESS(IF(AF16=AH14,AF16,AF16+1),AF9))</f>
        <v>1</v>
      </c>
    </row>
    <row r="19">
      <c r="A19" s="49"/>
      <c r="B19" s="49"/>
      <c r="C19" s="108" t="str">
        <f>IFNA(VLOOKUP('Dashboard-Dados'!B19,'Dashboard-Dados'!$Y$2:$AA$13,2),"")</f>
        <v/>
      </c>
      <c r="D19" s="109">
        <f>IFERROR(GETPIVOTDATA("Valor Recebido",'Dashboard-Dados'!$J$1,$A$1,A19,$B$1,B19),0)</f>
        <v>0</v>
      </c>
      <c r="E19" s="110">
        <f>IFERROR(GETPIVOTDATA("Valor Despesa",'Dashboard-Dados'!$P$1,$A$1,A19,$B$1,B19),0)</f>
        <v>0</v>
      </c>
      <c r="F19" s="110">
        <f t="shared" si="1"/>
        <v>0</v>
      </c>
      <c r="G19" s="56">
        <f>IFERROR(GETPIVOTDATA("Exame",'Dashboard-Dados'!$J$1,$A$1,A19,$B$1,B19),0)</f>
        <v>0</v>
      </c>
      <c r="H19" s="56">
        <f t="shared" si="2"/>
        <v>19</v>
      </c>
      <c r="U19" s="56"/>
      <c r="V19" s="56"/>
      <c r="W19" s="56"/>
      <c r="Y19" s="138"/>
      <c r="AE19" s="14" t="s">
        <v>125</v>
      </c>
      <c r="AF19" s="39">
        <f>AG5</f>
        <v>0</v>
      </c>
    </row>
    <row r="20">
      <c r="A20" s="49"/>
      <c r="B20" s="49"/>
      <c r="C20" s="108" t="str">
        <f>IFNA(VLOOKUP('Dashboard-Dados'!B20,'Dashboard-Dados'!$Y$2:$AA$13,2),"")</f>
        <v/>
      </c>
      <c r="D20" s="109">
        <f>IFERROR(GETPIVOTDATA("Valor Recebido",'Dashboard-Dados'!$J$1,$A$1,A20,$B$1,B20),0)</f>
        <v>0</v>
      </c>
      <c r="E20" s="110">
        <f>IFERROR(GETPIVOTDATA("Valor Despesa",'Dashboard-Dados'!$P$1,$A$1,A20,$B$1,B20),0)</f>
        <v>0</v>
      </c>
      <c r="F20" s="110">
        <f t="shared" si="1"/>
        <v>0</v>
      </c>
      <c r="G20" s="56">
        <f>IFERROR(GETPIVOTDATA("Exame",'Dashboard-Dados'!$J$1,$A$1,A20,$B$1,B20),0)</f>
        <v>0</v>
      </c>
      <c r="H20" s="56">
        <f t="shared" si="2"/>
        <v>20</v>
      </c>
      <c r="U20" s="56"/>
      <c r="V20" s="56"/>
      <c r="W20" s="56"/>
      <c r="Y20" s="138"/>
      <c r="AE20" s="14" t="s">
        <v>126</v>
      </c>
      <c r="AF20" s="141">
        <f>AF18-AF19</f>
        <v>1</v>
      </c>
    </row>
    <row r="21">
      <c r="A21" s="49"/>
      <c r="B21" s="49"/>
      <c r="C21" s="108" t="str">
        <f>IFNA(VLOOKUP('Dashboard-Dados'!B21,'Dashboard-Dados'!$Y$2:$AA$13,2),"")</f>
        <v/>
      </c>
      <c r="D21" s="109">
        <f>IFERROR(GETPIVOTDATA("Valor Recebido",'Dashboard-Dados'!$J$1,$A$1,A21,$B$1,B21),0)</f>
        <v>0</v>
      </c>
      <c r="E21" s="110">
        <f>IFERROR(GETPIVOTDATA("Valor Despesa",'Dashboard-Dados'!$P$1,$A$1,A21,$B$1,B21),0)</f>
        <v>0</v>
      </c>
      <c r="F21" s="110">
        <f t="shared" si="1"/>
        <v>0</v>
      </c>
      <c r="G21" s="56">
        <f>IFERROR(GETPIVOTDATA("Exame",'Dashboard-Dados'!$J$1,$A$1,A21,$B$1,B21),0)</f>
        <v>0</v>
      </c>
      <c r="H21" s="56">
        <f t="shared" si="2"/>
        <v>21</v>
      </c>
      <c r="U21" s="56"/>
      <c r="V21" s="56"/>
      <c r="W21" s="56"/>
      <c r="Y21" s="138"/>
      <c r="AE21" s="142" t="s">
        <v>127</v>
      </c>
      <c r="AF21" s="143">
        <f>AF19/AF18</f>
        <v>0</v>
      </c>
    </row>
    <row r="22">
      <c r="A22" s="49"/>
      <c r="B22" s="49"/>
      <c r="C22" s="108" t="str">
        <f>IFNA(VLOOKUP('Dashboard-Dados'!B22,'Dashboard-Dados'!$Y$2:$AA$13,2),"")</f>
        <v/>
      </c>
      <c r="D22" s="109">
        <f>IFERROR(GETPIVOTDATA("Valor Recebido",'Dashboard-Dados'!$J$1,$A$1,A22,$B$1,B22),0)</f>
        <v>0</v>
      </c>
      <c r="E22" s="110">
        <f>IFERROR(GETPIVOTDATA("Valor Despesa",'Dashboard-Dados'!$P$1,$A$1,A22,$B$1,B22),0)</f>
        <v>0</v>
      </c>
      <c r="F22" s="110">
        <f t="shared" si="1"/>
        <v>0</v>
      </c>
      <c r="G22" s="56">
        <f>IFERROR(GETPIVOTDATA("Exame",'Dashboard-Dados'!$J$1,$A$1,A22,$B$1,B22),0)</f>
        <v>0</v>
      </c>
      <c r="H22" s="56">
        <f t="shared" si="2"/>
        <v>22</v>
      </c>
      <c r="U22" s="56"/>
      <c r="V22" s="56"/>
      <c r="W22" s="56"/>
      <c r="Y22" s="138"/>
      <c r="AE22" s="142" t="s">
        <v>128</v>
      </c>
      <c r="AF22" s="143">
        <f>AF20/AF18</f>
        <v>1</v>
      </c>
    </row>
    <row r="23">
      <c r="A23" s="49"/>
      <c r="B23" s="49"/>
      <c r="C23" s="108" t="str">
        <f>IFNA(VLOOKUP('Dashboard-Dados'!B23,'Dashboard-Dados'!$Y$2:$AA$13,2),"")</f>
        <v/>
      </c>
      <c r="D23" s="109">
        <f>IFERROR(GETPIVOTDATA("Valor Recebido",'Dashboard-Dados'!$J$1,$A$1,A23,$B$1,B23),0)</f>
        <v>0</v>
      </c>
      <c r="E23" s="110">
        <f>IFERROR(GETPIVOTDATA("Valor Despesa",'Dashboard-Dados'!$P$1,$A$1,A23,$B$1,B23),0)</f>
        <v>0</v>
      </c>
      <c r="F23" s="110">
        <f t="shared" si="1"/>
        <v>0</v>
      </c>
      <c r="G23" s="56">
        <f>IFERROR(GETPIVOTDATA("Exame",'Dashboard-Dados'!$J$1,$A$1,A23,$B$1,B23),0)</f>
        <v>0</v>
      </c>
      <c r="H23" s="56">
        <f t="shared" si="2"/>
        <v>23</v>
      </c>
      <c r="U23" s="56"/>
      <c r="V23" s="56"/>
      <c r="W23" s="56"/>
      <c r="Y23" s="138"/>
    </row>
    <row r="24">
      <c r="A24" s="49"/>
      <c r="B24" s="49"/>
      <c r="C24" s="108" t="str">
        <f>IFNA(VLOOKUP('Dashboard-Dados'!B24,'Dashboard-Dados'!$Y$2:$AA$13,2),"")</f>
        <v/>
      </c>
      <c r="D24" s="109">
        <f>IFERROR(GETPIVOTDATA("Valor Recebido",'Dashboard-Dados'!$J$1,$A$1,A24,$B$1,B24),0)</f>
        <v>0</v>
      </c>
      <c r="E24" s="110">
        <f>IFERROR(GETPIVOTDATA("Valor Despesa",'Dashboard-Dados'!$P$1,$A$1,A24,$B$1,B24),0)</f>
        <v>0</v>
      </c>
      <c r="F24" s="110">
        <f t="shared" si="1"/>
        <v>0</v>
      </c>
      <c r="G24" s="56">
        <f>IFERROR(GETPIVOTDATA("Exame",'Dashboard-Dados'!$J$1,$A$1,A24,$B$1,B24),0)</f>
        <v>0</v>
      </c>
      <c r="H24" s="56">
        <f t="shared" si="2"/>
        <v>24</v>
      </c>
      <c r="U24" s="56"/>
      <c r="V24" s="56"/>
      <c r="W24" s="56"/>
      <c r="Y24" s="138"/>
    </row>
    <row r="25">
      <c r="A25" s="49"/>
      <c r="B25" s="49"/>
      <c r="C25" s="108" t="str">
        <f>IFNA(VLOOKUP('Dashboard-Dados'!B25,'Dashboard-Dados'!$Y$2:$AA$13,2),"")</f>
        <v/>
      </c>
      <c r="D25" s="109">
        <f>IFERROR(GETPIVOTDATA("Valor Recebido",'Dashboard-Dados'!$J$1,$A$1,A25,$B$1,B25),0)</f>
        <v>0</v>
      </c>
      <c r="E25" s="110">
        <f>IFERROR(GETPIVOTDATA("Valor Despesa",'Dashboard-Dados'!$P$1,$A$1,A25,$B$1,B25),0)</f>
        <v>0</v>
      </c>
      <c r="F25" s="110">
        <f t="shared" si="1"/>
        <v>0</v>
      </c>
      <c r="G25" s="56">
        <f>IFERROR(GETPIVOTDATA("Exame",'Dashboard-Dados'!$J$1,$A$1,A25,$B$1,B25),0)</f>
        <v>0</v>
      </c>
      <c r="H25" s="56">
        <f t="shared" si="2"/>
        <v>25</v>
      </c>
      <c r="U25" s="56"/>
      <c r="V25" s="56"/>
      <c r="W25" s="56"/>
      <c r="Y25" s="138"/>
    </row>
    <row r="26">
      <c r="A26" s="49"/>
      <c r="B26" s="49"/>
      <c r="C26" s="108" t="str">
        <f>IFNA(VLOOKUP('Dashboard-Dados'!B26,'Dashboard-Dados'!$Y$2:$AA$13,2),"")</f>
        <v/>
      </c>
      <c r="D26" s="109">
        <f>IFERROR(GETPIVOTDATA("Valor Recebido",'Dashboard-Dados'!$J$1,$A$1,A26,$B$1,B26),0)</f>
        <v>0</v>
      </c>
      <c r="E26" s="110">
        <f>IFERROR(GETPIVOTDATA("Valor Despesa",'Dashboard-Dados'!$P$1,$A$1,A26,$B$1,B26),0)</f>
        <v>0</v>
      </c>
      <c r="F26" s="110">
        <f t="shared" si="1"/>
        <v>0</v>
      </c>
      <c r="G26" s="56">
        <f>IFERROR(GETPIVOTDATA("Exame",'Dashboard-Dados'!$J$1,$A$1,A26,$B$1,B26),0)</f>
        <v>0</v>
      </c>
      <c r="H26" s="56">
        <f t="shared" si="2"/>
        <v>26</v>
      </c>
      <c r="U26" s="56"/>
      <c r="V26" s="56"/>
      <c r="W26" s="56"/>
      <c r="Y26" s="138"/>
    </row>
    <row r="27">
      <c r="A27" s="49"/>
      <c r="B27" s="49"/>
      <c r="C27" s="108" t="str">
        <f>IFNA(VLOOKUP('Dashboard-Dados'!B27,'Dashboard-Dados'!$Y$2:$AA$13,2),"")</f>
        <v/>
      </c>
      <c r="D27" s="109">
        <f>IFERROR(GETPIVOTDATA("Valor Recebido",'Dashboard-Dados'!$J$1,$A$1,A27,$B$1,B27),0)</f>
        <v>0</v>
      </c>
      <c r="E27" s="110">
        <f>IFERROR(GETPIVOTDATA("Valor Despesa",'Dashboard-Dados'!$P$1,$A$1,A27,$B$1,B27),0)</f>
        <v>0</v>
      </c>
      <c r="F27" s="110">
        <f t="shared" si="1"/>
        <v>0</v>
      </c>
      <c r="G27" s="56">
        <f>IFERROR(GETPIVOTDATA("Exame",'Dashboard-Dados'!$J$1,$A$1,A27,$B$1,B27),0)</f>
        <v>0</v>
      </c>
      <c r="H27" s="56">
        <f t="shared" si="2"/>
        <v>27</v>
      </c>
      <c r="U27" s="56"/>
      <c r="V27" s="56"/>
      <c r="W27" s="56"/>
      <c r="Y27" s="138"/>
    </row>
    <row r="28">
      <c r="A28" s="49"/>
      <c r="B28" s="49"/>
      <c r="C28" s="108" t="str">
        <f>IFNA(VLOOKUP('Dashboard-Dados'!B28,'Dashboard-Dados'!$Y$2:$AA$13,2),"")</f>
        <v/>
      </c>
      <c r="D28" s="109">
        <f>IFERROR(GETPIVOTDATA("Valor Recebido",'Dashboard-Dados'!$J$1,$A$1,A28,$B$1,B28),0)</f>
        <v>0</v>
      </c>
      <c r="E28" s="110">
        <f>IFERROR(GETPIVOTDATA("Valor Despesa",'Dashboard-Dados'!$P$1,$A$1,A28,$B$1,B28),0)</f>
        <v>0</v>
      </c>
      <c r="F28" s="110">
        <f t="shared" si="1"/>
        <v>0</v>
      </c>
      <c r="G28" s="56">
        <f>IFERROR(GETPIVOTDATA("Exame",'Dashboard-Dados'!$J$1,$A$1,A28,$B$1,B28),0)</f>
        <v>0</v>
      </c>
      <c r="H28" s="56">
        <f t="shared" si="2"/>
        <v>28</v>
      </c>
      <c r="U28" s="56"/>
      <c r="V28" s="56"/>
      <c r="W28" s="56"/>
      <c r="Y28" s="138"/>
    </row>
    <row r="29">
      <c r="A29" s="49"/>
      <c r="B29" s="49"/>
      <c r="C29" s="108" t="str">
        <f>IFNA(VLOOKUP('Dashboard-Dados'!B29,'Dashboard-Dados'!$Y$2:$AA$13,2),"")</f>
        <v/>
      </c>
      <c r="D29" s="109">
        <f>IFERROR(GETPIVOTDATA("Valor Recebido",'Dashboard-Dados'!$J$1,$A$1,A29,$B$1,B29),0)</f>
        <v>0</v>
      </c>
      <c r="E29" s="110">
        <f>IFERROR(GETPIVOTDATA("Valor Despesa",'Dashboard-Dados'!$P$1,$A$1,A29,$B$1,B29),0)</f>
        <v>0</v>
      </c>
      <c r="F29" s="110">
        <f t="shared" si="1"/>
        <v>0</v>
      </c>
      <c r="G29" s="56">
        <f>IFERROR(GETPIVOTDATA("Exame",'Dashboard-Dados'!$J$1,$A$1,A29,$B$1,B29),0)</f>
        <v>0</v>
      </c>
      <c r="H29" s="56">
        <f t="shared" si="2"/>
        <v>29</v>
      </c>
      <c r="U29" s="56"/>
      <c r="V29" s="56"/>
      <c r="W29" s="56"/>
      <c r="Y29" s="138"/>
    </row>
    <row r="30">
      <c r="A30" s="49"/>
      <c r="B30" s="49"/>
      <c r="C30" s="108" t="str">
        <f>IFNA(VLOOKUP('Dashboard-Dados'!B30,'Dashboard-Dados'!$Y$2:$AA$13,2),"")</f>
        <v/>
      </c>
      <c r="D30" s="109">
        <f>IFERROR(GETPIVOTDATA("Valor Recebido",'Dashboard-Dados'!$J$1,$A$1,A30,$B$1,B30),0)</f>
        <v>0</v>
      </c>
      <c r="E30" s="110">
        <f>IFERROR(GETPIVOTDATA("Valor Despesa",'Dashboard-Dados'!$P$1,$A$1,A30,$B$1,B30),0)</f>
        <v>0</v>
      </c>
      <c r="F30" s="110">
        <f t="shared" si="1"/>
        <v>0</v>
      </c>
      <c r="G30" s="56">
        <f>IFERROR(GETPIVOTDATA("Exame",'Dashboard-Dados'!$J$1,$A$1,A30,$B$1,B30),0)</f>
        <v>0</v>
      </c>
      <c r="H30" s="56">
        <f t="shared" si="2"/>
        <v>30</v>
      </c>
      <c r="U30" s="56"/>
      <c r="V30" s="56"/>
      <c r="W30" s="56"/>
      <c r="Y30" s="138"/>
    </row>
    <row r="31">
      <c r="A31" s="49"/>
      <c r="B31" s="49"/>
      <c r="C31" s="108" t="str">
        <f>IFNA(VLOOKUP('Dashboard-Dados'!B31,'Dashboard-Dados'!$Y$2:$AA$13,2),"")</f>
        <v/>
      </c>
      <c r="D31" s="109">
        <f>IFERROR(GETPIVOTDATA("Valor Recebido",'Dashboard-Dados'!$J$1,$A$1,A31,$B$1,B31),0)</f>
        <v>0</v>
      </c>
      <c r="E31" s="110">
        <f>IFERROR(GETPIVOTDATA("Valor Despesa",'Dashboard-Dados'!$P$1,$A$1,A31,$B$1,B31),0)</f>
        <v>0</v>
      </c>
      <c r="F31" s="110">
        <f t="shared" si="1"/>
        <v>0</v>
      </c>
      <c r="G31" s="56">
        <f>IFERROR(GETPIVOTDATA("Exame",'Dashboard-Dados'!$J$1,$A$1,A31,$B$1,B31),0)</f>
        <v>0</v>
      </c>
      <c r="H31" s="56">
        <f t="shared" si="2"/>
        <v>31</v>
      </c>
      <c r="U31" s="56"/>
      <c r="V31" s="56"/>
      <c r="W31" s="56"/>
      <c r="Y31" s="138"/>
    </row>
    <row r="32">
      <c r="A32" s="49"/>
      <c r="B32" s="49"/>
      <c r="C32" s="108" t="str">
        <f>IFNA(VLOOKUP('Dashboard-Dados'!B32,'Dashboard-Dados'!$Y$2:$AA$13,2),"")</f>
        <v/>
      </c>
      <c r="D32" s="109">
        <f>IFERROR(GETPIVOTDATA("Valor Recebido",'Dashboard-Dados'!$J$1,$A$1,A32,$B$1,B32),0)</f>
        <v>0</v>
      </c>
      <c r="E32" s="110">
        <f>IFERROR(GETPIVOTDATA("Valor Despesa",'Dashboard-Dados'!$P$1,$A$1,A32,$B$1,B32),0)</f>
        <v>0</v>
      </c>
      <c r="F32" s="110">
        <f t="shared" si="1"/>
        <v>0</v>
      </c>
      <c r="G32" s="56">
        <f>IFERROR(GETPIVOTDATA("Exame",'Dashboard-Dados'!$J$1,$A$1,A32,$B$1,B32),0)</f>
        <v>0</v>
      </c>
      <c r="H32" s="56">
        <f t="shared" si="2"/>
        <v>32</v>
      </c>
      <c r="U32" s="56"/>
      <c r="V32" s="56"/>
      <c r="W32" s="56"/>
      <c r="Y32" s="138"/>
    </row>
    <row r="33">
      <c r="A33" s="49"/>
      <c r="B33" s="49"/>
      <c r="C33" s="108" t="str">
        <f>IFNA(VLOOKUP('Dashboard-Dados'!B33,'Dashboard-Dados'!$Y$2:$AA$13,2),"")</f>
        <v/>
      </c>
      <c r="D33" s="109">
        <f>IFERROR(GETPIVOTDATA("Valor Recebido",'Dashboard-Dados'!$J$1,$A$1,A33,$B$1,B33),0)</f>
        <v>0</v>
      </c>
      <c r="E33" s="110">
        <f>IFERROR(GETPIVOTDATA("Valor Despesa",'Dashboard-Dados'!$P$1,$A$1,A33,$B$1,B33),0)</f>
        <v>0</v>
      </c>
      <c r="F33" s="110">
        <f t="shared" si="1"/>
        <v>0</v>
      </c>
      <c r="G33" s="56">
        <f>IFERROR(GETPIVOTDATA("Exame",'Dashboard-Dados'!$J$1,$A$1,A33,$B$1,B33),0)</f>
        <v>0</v>
      </c>
      <c r="H33" s="56">
        <f t="shared" si="2"/>
        <v>33</v>
      </c>
      <c r="U33" s="56"/>
      <c r="V33" s="56"/>
      <c r="W33" s="56"/>
      <c r="Y33" s="138"/>
    </row>
    <row r="34">
      <c r="A34" s="49"/>
      <c r="B34" s="49"/>
      <c r="C34" s="108" t="str">
        <f>IFNA(VLOOKUP('Dashboard-Dados'!B34,'Dashboard-Dados'!$Y$2:$AA$13,2),"")</f>
        <v/>
      </c>
      <c r="D34" s="109">
        <f>IFERROR(GETPIVOTDATA("Valor Recebido",'Dashboard-Dados'!$J$1,$A$1,A34,$B$1,B34),0)</f>
        <v>0</v>
      </c>
      <c r="E34" s="110">
        <f>IFERROR(GETPIVOTDATA("Valor Despesa",'Dashboard-Dados'!$P$1,$A$1,A34,$B$1,B34),0)</f>
        <v>0</v>
      </c>
      <c r="F34" s="110">
        <f t="shared" si="1"/>
        <v>0</v>
      </c>
      <c r="G34" s="56">
        <f>IFERROR(GETPIVOTDATA("Exame",'Dashboard-Dados'!$J$1,$A$1,A34,$B$1,B34),0)</f>
        <v>0</v>
      </c>
      <c r="H34" s="56">
        <f t="shared" si="2"/>
        <v>34</v>
      </c>
      <c r="U34" s="56"/>
      <c r="V34" s="56"/>
      <c r="W34" s="56"/>
      <c r="Y34" s="138"/>
    </row>
    <row r="35">
      <c r="A35" s="49"/>
      <c r="B35" s="49"/>
      <c r="C35" s="108" t="str">
        <f>IFNA(VLOOKUP('Dashboard-Dados'!B35,'Dashboard-Dados'!$Y$2:$AA$13,2),"")</f>
        <v/>
      </c>
      <c r="D35" s="109">
        <f>IFERROR(GETPIVOTDATA("Valor Recebido",'Dashboard-Dados'!$J$1,$A$1,A35,$B$1,B35),0)</f>
        <v>0</v>
      </c>
      <c r="E35" s="110">
        <f>IFERROR(GETPIVOTDATA("Valor Despesa",'Dashboard-Dados'!$P$1,$A$1,A35,$B$1,B35),0)</f>
        <v>0</v>
      </c>
      <c r="F35" s="110">
        <f t="shared" si="1"/>
        <v>0</v>
      </c>
      <c r="G35" s="56">
        <f>IFERROR(GETPIVOTDATA("Exame",'Dashboard-Dados'!$J$1,$A$1,A35,$B$1,B35),0)</f>
        <v>0</v>
      </c>
      <c r="H35" s="56">
        <f t="shared" si="2"/>
        <v>35</v>
      </c>
      <c r="U35" s="56"/>
      <c r="V35" s="56"/>
      <c r="W35" s="56"/>
      <c r="Y35" s="138"/>
    </row>
    <row r="36">
      <c r="A36" s="49"/>
      <c r="B36" s="49"/>
      <c r="C36" s="108" t="str">
        <f>IFNA(VLOOKUP('Dashboard-Dados'!B36,'Dashboard-Dados'!$Y$2:$AA$13,2),"")</f>
        <v/>
      </c>
      <c r="D36" s="109">
        <f>IFERROR(GETPIVOTDATA("Valor Recebido",'Dashboard-Dados'!$J$1,$A$1,A36,$B$1,B36),0)</f>
        <v>0</v>
      </c>
      <c r="E36" s="110">
        <f>IFERROR(GETPIVOTDATA("Valor Despesa",'Dashboard-Dados'!$P$1,$A$1,A36,$B$1,B36),0)</f>
        <v>0</v>
      </c>
      <c r="F36" s="110">
        <f t="shared" si="1"/>
        <v>0</v>
      </c>
      <c r="G36" s="56">
        <f>IFERROR(GETPIVOTDATA("Exame",'Dashboard-Dados'!$J$1,$A$1,A36,$B$1,B36),0)</f>
        <v>0</v>
      </c>
      <c r="H36" s="56">
        <f t="shared" si="2"/>
        <v>36</v>
      </c>
      <c r="U36" s="56"/>
      <c r="V36" s="56"/>
      <c r="W36" s="56"/>
      <c r="Y36" s="138"/>
    </row>
    <row r="37">
      <c r="A37" s="49"/>
      <c r="B37" s="49"/>
      <c r="C37" s="108" t="str">
        <f>IFNA(VLOOKUP('Dashboard-Dados'!B37,'Dashboard-Dados'!$Y$2:$AA$13,2),"")</f>
        <v/>
      </c>
      <c r="D37" s="109">
        <f>IFERROR(GETPIVOTDATA("Valor Recebido",'Dashboard-Dados'!$J$1,$A$1,A37,$B$1,B37),0)</f>
        <v>0</v>
      </c>
      <c r="E37" s="110">
        <f>IFERROR(GETPIVOTDATA("Valor Despesa",'Dashboard-Dados'!$P$1,$A$1,A37,$B$1,B37),0)</f>
        <v>0</v>
      </c>
      <c r="F37" s="110">
        <f t="shared" si="1"/>
        <v>0</v>
      </c>
      <c r="G37" s="56">
        <f>IFERROR(GETPIVOTDATA("Exame",'Dashboard-Dados'!$J$1,$A$1,A37,$B$1,B37),0)</f>
        <v>0</v>
      </c>
      <c r="H37" s="56">
        <f t="shared" si="2"/>
        <v>37</v>
      </c>
      <c r="U37" s="56"/>
      <c r="V37" s="56"/>
      <c r="W37" s="56"/>
      <c r="Y37" s="138"/>
    </row>
    <row r="38">
      <c r="C38" s="108" t="str">
        <f>IFNA(VLOOKUP('Dashboard-Dados'!B38,'Dashboard-Dados'!$Y$2:$AA$13,2),"")</f>
        <v/>
      </c>
      <c r="D38" s="109">
        <f>IFERROR(GETPIVOTDATA("Valor Recebido",'Dashboard-Dados'!$J$1,$A$1,A38,$B$1,B38),0)</f>
        <v>0</v>
      </c>
      <c r="E38" s="144">
        <f>IFERROR(GETPIVOTDATA("Valor Despesa",'Dashboard-Dados'!$P$1,$A$1,A38,$B$1,B38),0)</f>
        <v>0</v>
      </c>
      <c r="F38" s="144">
        <f t="shared" si="1"/>
        <v>0</v>
      </c>
      <c r="G38" s="56">
        <f>IFERROR(GETPIVOTDATA("Exame",'Dashboard-Dados'!$J$1,$A$1,A38,$B$1,B38),0)</f>
        <v>0</v>
      </c>
      <c r="H38" s="29">
        <f t="shared" si="2"/>
        <v>38</v>
      </c>
      <c r="U38" s="56"/>
      <c r="V38" s="56"/>
      <c r="W38" s="56"/>
      <c r="Y38" s="138"/>
    </row>
    <row r="39">
      <c r="C39" s="108" t="str">
        <f>IFNA(VLOOKUP('Dashboard-Dados'!B39,'Dashboard-Dados'!$Y$2:$AA$13,2),"")</f>
        <v/>
      </c>
      <c r="D39" s="109">
        <f>IFERROR(GETPIVOTDATA("Valor Recebido",'Dashboard-Dados'!$J$1,$A$1,A39,$B$1,B39),0)</f>
        <v>0</v>
      </c>
      <c r="E39" s="144">
        <f>IFERROR(GETPIVOTDATA("Valor Despesa",'Dashboard-Dados'!$P$1,$A$1,A39,$B$1,B39),0)</f>
        <v>0</v>
      </c>
      <c r="F39" s="144">
        <f t="shared" si="1"/>
        <v>0</v>
      </c>
      <c r="G39" s="56">
        <f>IFERROR(GETPIVOTDATA("Exame",'Dashboard-Dados'!$J$1,$A$1,A39,$B$1,B39),0)</f>
        <v>0</v>
      </c>
      <c r="H39" s="29">
        <f t="shared" si="2"/>
        <v>39</v>
      </c>
      <c r="U39" s="56"/>
      <c r="V39" s="56"/>
      <c r="W39" s="56"/>
      <c r="Y39" s="138"/>
    </row>
    <row r="40">
      <c r="C40" s="108" t="str">
        <f>IFNA(VLOOKUP('Dashboard-Dados'!B40,'Dashboard-Dados'!$Y$2:$AA$13,2),"")</f>
        <v/>
      </c>
      <c r="D40" s="109">
        <f>IFERROR(GETPIVOTDATA("Valor Recebido",'Dashboard-Dados'!$J$1,$A$1,A40,$B$1,B40),0)</f>
        <v>0</v>
      </c>
      <c r="E40" s="144">
        <f>IFERROR(GETPIVOTDATA("Valor Despesa",'Dashboard-Dados'!$P$1,$A$1,A40,$B$1,B40),0)</f>
        <v>0</v>
      </c>
      <c r="F40" s="144">
        <f t="shared" si="1"/>
        <v>0</v>
      </c>
      <c r="G40" s="56">
        <f>IFERROR(GETPIVOTDATA("Exame",'Dashboard-Dados'!$J$1,$A$1,A40,$B$1,B40),0)</f>
        <v>0</v>
      </c>
      <c r="H40" s="29">
        <f t="shared" si="2"/>
        <v>40</v>
      </c>
      <c r="U40" s="56"/>
      <c r="V40" s="56"/>
      <c r="W40" s="56"/>
      <c r="Y40" s="138"/>
    </row>
    <row r="41">
      <c r="C41" s="108" t="str">
        <f>IFNA(VLOOKUP('Dashboard-Dados'!B41,'Dashboard-Dados'!$Y$2:$AA$13,2),"")</f>
        <v/>
      </c>
      <c r="D41" s="109">
        <f>IFERROR(GETPIVOTDATA("Valor Recebido",'Dashboard-Dados'!$J$1,$A$1,A41,$B$1,B41),0)</f>
        <v>0</v>
      </c>
      <c r="E41" s="144">
        <f>IFERROR(GETPIVOTDATA("Valor Despesa",'Dashboard-Dados'!$P$1,$A$1,A41,$B$1,B41),0)</f>
        <v>0</v>
      </c>
      <c r="F41" s="144">
        <f t="shared" si="1"/>
        <v>0</v>
      </c>
      <c r="G41" s="56">
        <f>IFERROR(GETPIVOTDATA("Exame",'Dashboard-Dados'!$J$1,$A$1,A41,$B$1,B41),0)</f>
        <v>0</v>
      </c>
      <c r="H41" s="29">
        <f t="shared" si="2"/>
        <v>41</v>
      </c>
      <c r="U41" s="56"/>
      <c r="V41" s="56"/>
      <c r="W41" s="56"/>
      <c r="Y41" s="138"/>
    </row>
    <row r="42">
      <c r="C42" s="108" t="str">
        <f>IFNA(VLOOKUP('Dashboard-Dados'!B42,'Dashboard-Dados'!$Y$2:$AA$13,2),"")</f>
        <v/>
      </c>
      <c r="D42" s="109">
        <f>IFERROR(GETPIVOTDATA("Valor Recebido",'Dashboard-Dados'!$J$1,$A$1,A42,$B$1,B42),0)</f>
        <v>0</v>
      </c>
      <c r="E42" s="144">
        <f>IFERROR(GETPIVOTDATA("Valor Despesa",'Dashboard-Dados'!$P$1,$A$1,A42,$B$1,B42),0)</f>
        <v>0</v>
      </c>
      <c r="F42" s="144">
        <f t="shared" si="1"/>
        <v>0</v>
      </c>
      <c r="G42" s="56">
        <f>IFERROR(GETPIVOTDATA("Exame",'Dashboard-Dados'!$J$1,$A$1,A42,$B$1,B42),0)</f>
        <v>0</v>
      </c>
      <c r="H42" s="29">
        <f t="shared" si="2"/>
        <v>42</v>
      </c>
      <c r="U42" s="56"/>
      <c r="V42" s="56"/>
      <c r="W42" s="56"/>
      <c r="Y42" s="138"/>
    </row>
    <row r="43">
      <c r="C43" s="108" t="str">
        <f>IFNA(VLOOKUP('Dashboard-Dados'!B43,'Dashboard-Dados'!$Y$2:$AA$13,2),"")</f>
        <v/>
      </c>
      <c r="D43" s="109">
        <f>IFERROR(GETPIVOTDATA("Valor Recebido",'Dashboard-Dados'!$J$1,$A$1,A43,$B$1,B43),0)</f>
        <v>0</v>
      </c>
      <c r="E43" s="144">
        <f>IFERROR(GETPIVOTDATA("Valor Despesa",'Dashboard-Dados'!$P$1,$A$1,A43,$B$1,B43),0)</f>
        <v>0</v>
      </c>
      <c r="F43" s="144">
        <f t="shared" si="1"/>
        <v>0</v>
      </c>
      <c r="G43" s="56">
        <f>IFERROR(GETPIVOTDATA("Exame",'Dashboard-Dados'!$J$1,$A$1,A43,$B$1,B43),0)</f>
        <v>0</v>
      </c>
      <c r="H43" s="29">
        <f t="shared" si="2"/>
        <v>43</v>
      </c>
      <c r="U43" s="56"/>
      <c r="V43" s="56"/>
      <c r="W43" s="56"/>
      <c r="Y43" s="138"/>
    </row>
    <row r="44">
      <c r="C44" s="108" t="str">
        <f>IFNA(VLOOKUP('Dashboard-Dados'!B44,'Dashboard-Dados'!$Y$2:$AA$13,2),"")</f>
        <v/>
      </c>
      <c r="D44" s="109">
        <f>IFERROR(GETPIVOTDATA("Valor Recebido",'Dashboard-Dados'!$J$1,$A$1,A44,$B$1,B44),0)</f>
        <v>0</v>
      </c>
      <c r="E44" s="144">
        <f>IFERROR(GETPIVOTDATA("Valor Despesa",'Dashboard-Dados'!$P$1,$A$1,A44,$B$1,B44),0)</f>
        <v>0</v>
      </c>
      <c r="F44" s="144">
        <f t="shared" si="1"/>
        <v>0</v>
      </c>
      <c r="G44" s="56">
        <f>IFERROR(GETPIVOTDATA("Exame",'Dashboard-Dados'!$J$1,$A$1,A44,$B$1,B44),0)</f>
        <v>0</v>
      </c>
      <c r="H44" s="29">
        <f t="shared" si="2"/>
        <v>44</v>
      </c>
      <c r="U44" s="56"/>
      <c r="V44" s="56"/>
      <c r="W44" s="56"/>
      <c r="Y44" s="138"/>
    </row>
    <row r="45">
      <c r="C45" s="108" t="str">
        <f>IFNA(VLOOKUP('Dashboard-Dados'!B45,'Dashboard-Dados'!$Y$2:$AA$13,2),"")</f>
        <v/>
      </c>
      <c r="D45" s="109">
        <f>IFERROR(GETPIVOTDATA("Valor Recebido",'Dashboard-Dados'!$J$1,$A$1,A45,$B$1,B45),0)</f>
        <v>0</v>
      </c>
      <c r="E45" s="144">
        <f>IFERROR(GETPIVOTDATA("Valor Despesa",'Dashboard-Dados'!$P$1,$A$1,A45,$B$1,B45),0)</f>
        <v>0</v>
      </c>
      <c r="F45" s="144">
        <f t="shared" si="1"/>
        <v>0</v>
      </c>
      <c r="G45" s="56">
        <f>IFERROR(GETPIVOTDATA("Exame",'Dashboard-Dados'!$J$1,$A$1,A45,$B$1,B45),0)</f>
        <v>0</v>
      </c>
      <c r="H45" s="29">
        <f t="shared" si="2"/>
        <v>45</v>
      </c>
      <c r="U45" s="56"/>
      <c r="V45" s="56"/>
      <c r="W45" s="56"/>
      <c r="Y45" s="138"/>
    </row>
    <row r="46">
      <c r="C46" s="108" t="str">
        <f>IFNA(VLOOKUP('Dashboard-Dados'!B46,'Dashboard-Dados'!$Y$2:$AA$13,2),"")</f>
        <v/>
      </c>
      <c r="D46" s="109">
        <f>IFERROR(GETPIVOTDATA("Valor Recebido",'Dashboard-Dados'!$J$1,$A$1,A46,$B$1,B46),0)</f>
        <v>0</v>
      </c>
      <c r="E46" s="144">
        <f>IFERROR(GETPIVOTDATA("Valor Despesa",'Dashboard-Dados'!$P$1,$A$1,A46,$B$1,B46),0)</f>
        <v>0</v>
      </c>
      <c r="F46" s="144">
        <f t="shared" si="1"/>
        <v>0</v>
      </c>
      <c r="G46" s="56">
        <f>IFERROR(GETPIVOTDATA("Exame",'Dashboard-Dados'!$J$1,$A$1,A46,$B$1,B46),0)</f>
        <v>0</v>
      </c>
      <c r="H46" s="29">
        <f t="shared" si="2"/>
        <v>46</v>
      </c>
      <c r="U46" s="56"/>
      <c r="V46" s="56"/>
      <c r="W46" s="56"/>
      <c r="Y46" s="138"/>
    </row>
    <row r="47">
      <c r="C47" s="108" t="str">
        <f>IFNA(VLOOKUP('Dashboard-Dados'!B47,'Dashboard-Dados'!$Y$2:$AA$13,2),"")</f>
        <v/>
      </c>
      <c r="D47" s="109">
        <f>IFERROR(GETPIVOTDATA("Valor Recebido",'Dashboard-Dados'!$J$1,$A$1,A47,$B$1,B47),0)</f>
        <v>0</v>
      </c>
      <c r="E47" s="144">
        <f>IFERROR(GETPIVOTDATA("Valor Despesa",'Dashboard-Dados'!$P$1,$A$1,A47,$B$1,B47),0)</f>
        <v>0</v>
      </c>
      <c r="F47" s="144">
        <f t="shared" si="1"/>
        <v>0</v>
      </c>
      <c r="G47" s="56">
        <f>IFERROR(GETPIVOTDATA("Exame",'Dashboard-Dados'!$J$1,$A$1,A47,$B$1,B47),0)</f>
        <v>0</v>
      </c>
      <c r="H47" s="29">
        <f t="shared" si="2"/>
        <v>47</v>
      </c>
      <c r="U47" s="56"/>
      <c r="V47" s="56"/>
      <c r="W47" s="56"/>
      <c r="Y47" s="138"/>
    </row>
    <row r="48">
      <c r="C48" s="108" t="str">
        <f>IFNA(VLOOKUP('Dashboard-Dados'!B48,'Dashboard-Dados'!$Y$2:$AA$13,2),"")</f>
        <v/>
      </c>
      <c r="D48" s="109">
        <f>IFERROR(GETPIVOTDATA("Valor Recebido",'Dashboard-Dados'!$J$1,$A$1,A48,$B$1,B48),0)</f>
        <v>0</v>
      </c>
      <c r="E48" s="144">
        <f>IFERROR(GETPIVOTDATA("Valor Despesa",'Dashboard-Dados'!$P$1,$A$1,A48,$B$1,B48),0)</f>
        <v>0</v>
      </c>
      <c r="F48" s="144">
        <f t="shared" si="1"/>
        <v>0</v>
      </c>
      <c r="G48" s="56">
        <f>IFERROR(GETPIVOTDATA("Exame",'Dashboard-Dados'!$J$1,$A$1,A48,$B$1,B48),0)</f>
        <v>0</v>
      </c>
      <c r="H48" s="29">
        <f t="shared" si="2"/>
        <v>48</v>
      </c>
      <c r="U48" s="56"/>
      <c r="V48" s="56"/>
      <c r="W48" s="56"/>
      <c r="Y48" s="138"/>
    </row>
    <row r="49">
      <c r="C49" s="108" t="str">
        <f>IFNA(VLOOKUP('Dashboard-Dados'!B49,'Dashboard-Dados'!$Y$2:$AA$13,2),"")</f>
        <v/>
      </c>
      <c r="D49" s="109">
        <f>IFERROR(GETPIVOTDATA("Valor Recebido",'Dashboard-Dados'!$J$1,$A$1,A49,$B$1,B49),0)</f>
        <v>0</v>
      </c>
      <c r="E49" s="144">
        <f>IFERROR(GETPIVOTDATA("Valor Despesa",'Dashboard-Dados'!$P$1,$A$1,A49,$B$1,B49),0)</f>
        <v>0</v>
      </c>
      <c r="F49" s="144">
        <f t="shared" si="1"/>
        <v>0</v>
      </c>
      <c r="G49" s="56">
        <f>IFERROR(GETPIVOTDATA("Exame",'Dashboard-Dados'!$J$1,$A$1,A49,$B$1,B49),0)</f>
        <v>0</v>
      </c>
      <c r="H49" s="29">
        <f t="shared" si="2"/>
        <v>49</v>
      </c>
      <c r="U49" s="56"/>
      <c r="V49" s="56"/>
      <c r="W49" s="56"/>
      <c r="Y49" s="138"/>
    </row>
    <row r="50">
      <c r="A50" s="56"/>
      <c r="B50" s="56"/>
      <c r="C50" s="108" t="str">
        <f>IFNA(VLOOKUP('Dashboard-Dados'!B50,'Dashboard-Dados'!$Y$2:$AA$13,2),"")</f>
        <v/>
      </c>
      <c r="D50" s="109">
        <f>IFERROR(GETPIVOTDATA("Valor Recebido",'Dashboard-Dados'!$J$1,$A$1,A50,$B$1,B50),0)</f>
        <v>0</v>
      </c>
      <c r="E50" s="110">
        <f>IFERROR(GETPIVOTDATA("Valor Despesa",'Dashboard-Dados'!$P$1,$A$1,A50,$B$1,B50),0)</f>
        <v>0</v>
      </c>
      <c r="F50" s="110">
        <f t="shared" si="1"/>
        <v>0</v>
      </c>
      <c r="G50" s="56">
        <f>IFERROR(GETPIVOTDATA("Exame",'Dashboard-Dados'!$J$1,$A$1,A50,$B$1,B50),0)</f>
        <v>0</v>
      </c>
      <c r="H50" s="56">
        <f t="shared" si="2"/>
        <v>50</v>
      </c>
      <c r="U50" s="56"/>
      <c r="V50" s="56"/>
      <c r="W50" s="56"/>
      <c r="Y50" s="138"/>
    </row>
    <row r="51">
      <c r="A51" s="56"/>
      <c r="B51" s="56"/>
      <c r="C51" s="108" t="str">
        <f>IFNA(VLOOKUP('Dashboard-Dados'!B51,'Dashboard-Dados'!$Y$2:$AA$13,2),"")</f>
        <v/>
      </c>
      <c r="D51" s="109">
        <f>IFERROR(GETPIVOTDATA("Valor Recebido",'Dashboard-Dados'!$J$1,$A$1,A51,$B$1,B51),0)</f>
        <v>0</v>
      </c>
      <c r="E51" s="110">
        <f>IFERROR(GETPIVOTDATA("Valor Despesa",'Dashboard-Dados'!$P$1,$A$1,A51,$B$1,B51),0)</f>
        <v>0</v>
      </c>
      <c r="F51" s="110">
        <f t="shared" si="1"/>
        <v>0</v>
      </c>
      <c r="G51" s="56">
        <f>IFERROR(GETPIVOTDATA("Exame",'Dashboard-Dados'!$J$1,$A$1,A51,$B$1,B51),0)</f>
        <v>0</v>
      </c>
      <c r="H51" s="56">
        <f t="shared" si="2"/>
        <v>51</v>
      </c>
      <c r="U51" s="56"/>
      <c r="V51" s="56"/>
      <c r="W51" s="56"/>
      <c r="Y51" s="138"/>
    </row>
    <row r="52">
      <c r="A52" s="56"/>
      <c r="B52" s="56"/>
      <c r="C52" s="108" t="str">
        <f>IFNA(VLOOKUP('Dashboard-Dados'!B52,'Dashboard-Dados'!$Y$2:$AA$13,2),"")</f>
        <v/>
      </c>
      <c r="D52" s="109">
        <f>IFERROR(GETPIVOTDATA("Valor Recebido",'Dashboard-Dados'!$J$1,$A$1,A52,$B$1,B52),0)</f>
        <v>0</v>
      </c>
      <c r="E52" s="110">
        <f>IFERROR(GETPIVOTDATA("Valor Despesa",'Dashboard-Dados'!$P$1,$A$1,A52,$B$1,B52),0)</f>
        <v>0</v>
      </c>
      <c r="F52" s="110">
        <f t="shared" si="1"/>
        <v>0</v>
      </c>
      <c r="G52" s="56">
        <f>IFERROR(GETPIVOTDATA("Exame",'Dashboard-Dados'!$J$1,$A$1,A52,$B$1,B52),0)</f>
        <v>0</v>
      </c>
      <c r="H52" s="56">
        <f t="shared" si="2"/>
        <v>52</v>
      </c>
      <c r="U52" s="56"/>
      <c r="V52" s="56"/>
      <c r="W52" s="56"/>
      <c r="Y52" s="138"/>
    </row>
    <row r="53">
      <c r="A53" s="56"/>
      <c r="B53" s="56"/>
      <c r="C53" s="108" t="str">
        <f>IFNA(VLOOKUP('Dashboard-Dados'!B53,'Dashboard-Dados'!$Y$2:$AA$13,2),"")</f>
        <v/>
      </c>
      <c r="D53" s="109">
        <f>IFERROR(GETPIVOTDATA("Valor Recebido",'Dashboard-Dados'!$J$1,$A$1,A53,$B$1,B53),0)</f>
        <v>0</v>
      </c>
      <c r="E53" s="110">
        <f>IFERROR(GETPIVOTDATA("Valor Despesa",'Dashboard-Dados'!$P$1,$A$1,A53,$B$1,B53),0)</f>
        <v>0</v>
      </c>
      <c r="F53" s="110">
        <f t="shared" si="1"/>
        <v>0</v>
      </c>
      <c r="G53" s="56">
        <f>IFERROR(GETPIVOTDATA("Exame",'Dashboard-Dados'!$J$1,$A$1,A53,$B$1,B53),0)</f>
        <v>0</v>
      </c>
      <c r="H53" s="56">
        <f t="shared" si="2"/>
        <v>53</v>
      </c>
      <c r="U53" s="56"/>
      <c r="V53" s="56"/>
      <c r="W53" s="56"/>
      <c r="Y53" s="138"/>
    </row>
    <row r="54">
      <c r="A54" s="56"/>
      <c r="B54" s="56"/>
      <c r="C54" s="108" t="str">
        <f>IFNA(VLOOKUP('Dashboard-Dados'!B54,'Dashboard-Dados'!$Y$2:$AA$13,2),"")</f>
        <v/>
      </c>
      <c r="D54" s="109">
        <f>IFERROR(GETPIVOTDATA("Valor Recebido",'Dashboard-Dados'!$J$1,$A$1,A54,$B$1,B54),0)</f>
        <v>0</v>
      </c>
      <c r="E54" s="110">
        <f>IFERROR(GETPIVOTDATA("Valor Despesa",'Dashboard-Dados'!$P$1,$A$1,A54,$B$1,B54),0)</f>
        <v>0</v>
      </c>
      <c r="F54" s="110">
        <f t="shared" si="1"/>
        <v>0</v>
      </c>
      <c r="G54" s="56">
        <f>IFERROR(GETPIVOTDATA("Exame",'Dashboard-Dados'!$J$1,$A$1,A54,$B$1,B54),0)</f>
        <v>0</v>
      </c>
      <c r="H54" s="56">
        <f t="shared" si="2"/>
        <v>54</v>
      </c>
      <c r="U54" s="56"/>
      <c r="V54" s="56"/>
      <c r="W54" s="56"/>
      <c r="Y54" s="138"/>
    </row>
    <row r="55">
      <c r="A55" s="56"/>
      <c r="B55" s="56"/>
      <c r="C55" s="108" t="str">
        <f>IFNA(VLOOKUP('Dashboard-Dados'!B55,'Dashboard-Dados'!$Y$2:$AA$13,2),"")</f>
        <v/>
      </c>
      <c r="D55" s="109">
        <f>IFERROR(GETPIVOTDATA("Valor Recebido",'Dashboard-Dados'!$J$1,$A$1,A55,$B$1,B55),0)</f>
        <v>0</v>
      </c>
      <c r="E55" s="110">
        <f>IFERROR(GETPIVOTDATA("Valor Despesa",'Dashboard-Dados'!$P$1,$A$1,A55,$B$1,B55),0)</f>
        <v>0</v>
      </c>
      <c r="F55" s="110">
        <f t="shared" si="1"/>
        <v>0</v>
      </c>
      <c r="G55" s="56">
        <f>IFERROR(GETPIVOTDATA("Exame",'Dashboard-Dados'!$J$1,$A$1,A55,$B$1,B55),0)</f>
        <v>0</v>
      </c>
      <c r="H55" s="56">
        <f t="shared" si="2"/>
        <v>55</v>
      </c>
      <c r="U55" s="56"/>
      <c r="V55" s="56"/>
      <c r="W55" s="56"/>
      <c r="Y55" s="138"/>
    </row>
    <row r="56">
      <c r="A56" s="56"/>
      <c r="B56" s="56"/>
      <c r="C56" s="108" t="str">
        <f>IFNA(VLOOKUP('Dashboard-Dados'!B56,'Dashboard-Dados'!$Y$2:$AA$13,2),"")</f>
        <v/>
      </c>
      <c r="D56" s="109">
        <f>IFERROR(GETPIVOTDATA("Valor Recebido",'Dashboard-Dados'!$J$1,$A$1,A56,$B$1,B56),0)</f>
        <v>0</v>
      </c>
      <c r="E56" s="110">
        <f>IFERROR(GETPIVOTDATA("Valor Despesa",'Dashboard-Dados'!$P$1,$A$1,A56,$B$1,B56),0)</f>
        <v>0</v>
      </c>
      <c r="F56" s="110">
        <f t="shared" si="1"/>
        <v>0</v>
      </c>
      <c r="G56" s="56">
        <f>IFERROR(GETPIVOTDATA("Exame",'Dashboard-Dados'!$J$1,$A$1,A56,$B$1,B56),0)</f>
        <v>0</v>
      </c>
      <c r="H56" s="56">
        <f t="shared" si="2"/>
        <v>56</v>
      </c>
      <c r="U56" s="56"/>
      <c r="V56" s="56"/>
      <c r="W56" s="56"/>
      <c r="Y56" s="138"/>
    </row>
    <row r="57">
      <c r="A57" s="56"/>
      <c r="B57" s="56"/>
      <c r="C57" s="108" t="str">
        <f>IFNA(VLOOKUP('Dashboard-Dados'!B57,'Dashboard-Dados'!$Y$2:$AA$13,2),"")</f>
        <v/>
      </c>
      <c r="D57" s="109">
        <f>IFERROR(GETPIVOTDATA("Valor Recebido",'Dashboard-Dados'!$J$1,$A$1,A57,$B$1,B57),0)</f>
        <v>0</v>
      </c>
      <c r="E57" s="110">
        <f>IFERROR(GETPIVOTDATA("Valor Despesa",'Dashboard-Dados'!$P$1,$A$1,A57,$B$1,B57),0)</f>
        <v>0</v>
      </c>
      <c r="F57" s="110">
        <f t="shared" si="1"/>
        <v>0</v>
      </c>
      <c r="G57" s="56">
        <f>IFERROR(GETPIVOTDATA("Exame",'Dashboard-Dados'!$J$1,$A$1,A57,$B$1,B57),0)</f>
        <v>0</v>
      </c>
      <c r="H57" s="56">
        <f t="shared" si="2"/>
        <v>57</v>
      </c>
      <c r="U57" s="56"/>
      <c r="V57" s="56"/>
      <c r="W57" s="56"/>
      <c r="Y57" s="138"/>
    </row>
    <row r="58">
      <c r="A58" s="56"/>
      <c r="B58" s="56"/>
      <c r="C58" s="108" t="str">
        <f>IFNA(VLOOKUP('Dashboard-Dados'!B58,'Dashboard-Dados'!$Y$2:$AA$13,2),"")</f>
        <v/>
      </c>
      <c r="D58" s="109">
        <f>IFERROR(GETPIVOTDATA("Valor Recebido",'Dashboard-Dados'!$J$1,$A$1,A58,$B$1,B58),0)</f>
        <v>0</v>
      </c>
      <c r="E58" s="110">
        <f>IFERROR(GETPIVOTDATA("Valor Despesa",'Dashboard-Dados'!$P$1,$A$1,A58,$B$1,B58),0)</f>
        <v>0</v>
      </c>
      <c r="F58" s="110">
        <f t="shared" si="1"/>
        <v>0</v>
      </c>
      <c r="G58" s="56">
        <f>IFERROR(GETPIVOTDATA("Exame",'Dashboard-Dados'!$J$1,$A$1,A58,$B$1,B58),0)</f>
        <v>0</v>
      </c>
      <c r="H58" s="56">
        <f t="shared" si="2"/>
        <v>58</v>
      </c>
      <c r="U58" s="56"/>
      <c r="V58" s="56"/>
      <c r="W58" s="56"/>
      <c r="Y58" s="138"/>
    </row>
    <row r="59">
      <c r="A59" s="56"/>
      <c r="B59" s="56"/>
      <c r="C59" s="108" t="str">
        <f>IFNA(VLOOKUP('Dashboard-Dados'!B59,'Dashboard-Dados'!$Y$2:$AA$13,2),"")</f>
        <v/>
      </c>
      <c r="D59" s="109">
        <f>IFERROR(GETPIVOTDATA("Valor Recebido",'Dashboard-Dados'!$J$1,$A$1,A59,$B$1,B59),0)</f>
        <v>0</v>
      </c>
      <c r="E59" s="110">
        <f>IFERROR(GETPIVOTDATA("Valor Despesa",'Dashboard-Dados'!$P$1,$A$1,A59,$B$1,B59),0)</f>
        <v>0</v>
      </c>
      <c r="F59" s="110">
        <f t="shared" si="1"/>
        <v>0</v>
      </c>
      <c r="G59" s="56">
        <f>IFERROR(GETPIVOTDATA("Exame",'Dashboard-Dados'!$J$1,$A$1,A59,$B$1,B59),0)</f>
        <v>0</v>
      </c>
      <c r="H59" s="56">
        <f t="shared" si="2"/>
        <v>59</v>
      </c>
      <c r="U59" s="56"/>
      <c r="V59" s="56"/>
      <c r="W59" s="56"/>
      <c r="Y59" s="138"/>
    </row>
    <row r="60">
      <c r="A60" s="56"/>
      <c r="B60" s="56"/>
      <c r="C60" s="108" t="str">
        <f>IFNA(VLOOKUP('Dashboard-Dados'!B60,'Dashboard-Dados'!$Y$2:$AA$13,2),"")</f>
        <v/>
      </c>
      <c r="D60" s="109">
        <f>IFERROR(GETPIVOTDATA("Valor Recebido",'Dashboard-Dados'!$J$1,$A$1,A60,$B$1,B60),0)</f>
        <v>0</v>
      </c>
      <c r="E60" s="110">
        <f>IFERROR(GETPIVOTDATA("Valor Despesa",'Dashboard-Dados'!$P$1,$A$1,A60,$B$1,B60),0)</f>
        <v>0</v>
      </c>
      <c r="F60" s="110">
        <f t="shared" si="1"/>
        <v>0</v>
      </c>
      <c r="G60" s="56">
        <f>IFERROR(GETPIVOTDATA("Exame",'Dashboard-Dados'!$J$1,$A$1,A60,$B$1,B60),0)</f>
        <v>0</v>
      </c>
      <c r="H60" s="56">
        <f t="shared" si="2"/>
        <v>60</v>
      </c>
      <c r="U60" s="56"/>
      <c r="V60" s="56"/>
      <c r="W60" s="56"/>
      <c r="Y60" s="138"/>
    </row>
    <row r="61">
      <c r="A61" s="56"/>
      <c r="B61" s="56"/>
      <c r="C61" s="108" t="str">
        <f>IFNA(VLOOKUP('Dashboard-Dados'!B61,'Dashboard-Dados'!$Y$2:$AA$13,2),"")</f>
        <v/>
      </c>
      <c r="D61" s="109">
        <f>IFERROR(GETPIVOTDATA("Valor Recebido",'Dashboard-Dados'!$J$1,$A$1,A61,$B$1,B61),0)</f>
        <v>0</v>
      </c>
      <c r="E61" s="110">
        <f>IFERROR(GETPIVOTDATA("Valor Despesa",'Dashboard-Dados'!$P$1,$A$1,A61,$B$1,B61),0)</f>
        <v>0</v>
      </c>
      <c r="F61" s="110">
        <f t="shared" si="1"/>
        <v>0</v>
      </c>
      <c r="G61" s="56">
        <f>IFERROR(GETPIVOTDATA("Exame",'Dashboard-Dados'!$J$1,$A$1,A61,$B$1,B61),0)</f>
        <v>0</v>
      </c>
      <c r="H61" s="56">
        <f t="shared" si="2"/>
        <v>61</v>
      </c>
      <c r="U61" s="56"/>
      <c r="V61" s="56"/>
      <c r="W61" s="56"/>
      <c r="Y61" s="138"/>
    </row>
    <row r="62">
      <c r="A62" s="56"/>
      <c r="B62" s="56"/>
      <c r="C62" s="108" t="str">
        <f>IFNA(VLOOKUP('Dashboard-Dados'!B62,'Dashboard-Dados'!$Y$2:$AA$13,2),"")</f>
        <v/>
      </c>
      <c r="D62" s="109">
        <f>IFERROR(GETPIVOTDATA("Valor Recebido",'Dashboard-Dados'!$J$1,$A$1,A62,$B$1,B62),0)</f>
        <v>0</v>
      </c>
      <c r="E62" s="110">
        <f>IFERROR(GETPIVOTDATA("Valor Despesa",'Dashboard-Dados'!$P$1,$A$1,A62,$B$1,B62),0)</f>
        <v>0</v>
      </c>
      <c r="F62" s="110">
        <f t="shared" si="1"/>
        <v>0</v>
      </c>
      <c r="G62" s="56">
        <f>IFERROR(GETPIVOTDATA("Exame",'Dashboard-Dados'!$J$1,$A$1,A62,$B$1,B62),0)</f>
        <v>0</v>
      </c>
      <c r="H62" s="56">
        <f t="shared" si="2"/>
        <v>62</v>
      </c>
      <c r="U62" s="56"/>
      <c r="V62" s="56"/>
      <c r="W62" s="56"/>
      <c r="Y62" s="138"/>
    </row>
    <row r="63">
      <c r="A63" s="56"/>
      <c r="B63" s="56"/>
      <c r="C63" s="108" t="str">
        <f>IFNA(VLOOKUP('Dashboard-Dados'!B63,'Dashboard-Dados'!$Y$2:$AA$13,2),"")</f>
        <v/>
      </c>
      <c r="D63" s="109">
        <f>IFERROR(GETPIVOTDATA("Valor Recebido",'Dashboard-Dados'!$J$1,$A$1,A63,$B$1,B63),0)</f>
        <v>0</v>
      </c>
      <c r="E63" s="110">
        <f>IFERROR(GETPIVOTDATA("Valor Despesa",'Dashboard-Dados'!$P$1,$A$1,A63,$B$1,B63),0)</f>
        <v>0</v>
      </c>
      <c r="F63" s="110">
        <f t="shared" si="1"/>
        <v>0</v>
      </c>
      <c r="G63" s="56">
        <f>IFERROR(GETPIVOTDATA("Exame",'Dashboard-Dados'!$J$1,$A$1,A63,$B$1,B63),0)</f>
        <v>0</v>
      </c>
      <c r="H63" s="56">
        <f t="shared" si="2"/>
        <v>63</v>
      </c>
      <c r="U63" s="56"/>
      <c r="V63" s="56"/>
      <c r="W63" s="56"/>
      <c r="Y63" s="138"/>
    </row>
    <row r="64">
      <c r="A64" s="56"/>
      <c r="B64" s="56"/>
      <c r="C64" s="108" t="str">
        <f>IFNA(VLOOKUP('Dashboard-Dados'!B64,'Dashboard-Dados'!$Y$2:$AA$13,2),"")</f>
        <v/>
      </c>
      <c r="D64" s="109">
        <f>IFERROR(GETPIVOTDATA("Valor Recebido",'Dashboard-Dados'!$J$1,$A$1,A64,$B$1,B64),0)</f>
        <v>0</v>
      </c>
      <c r="E64" s="110">
        <f>IFERROR(GETPIVOTDATA("Valor Despesa",'Dashboard-Dados'!$P$1,$A$1,A64,$B$1,B64),0)</f>
        <v>0</v>
      </c>
      <c r="F64" s="110">
        <f t="shared" si="1"/>
        <v>0</v>
      </c>
      <c r="G64" s="56">
        <f>IFERROR(GETPIVOTDATA("Exame",'Dashboard-Dados'!$J$1,$A$1,A64,$B$1,B64),0)</f>
        <v>0</v>
      </c>
      <c r="H64" s="56">
        <f t="shared" si="2"/>
        <v>64</v>
      </c>
      <c r="U64" s="56"/>
      <c r="V64" s="56"/>
      <c r="W64" s="56"/>
      <c r="Y64" s="138"/>
    </row>
    <row r="65">
      <c r="A65" s="56"/>
      <c r="B65" s="56"/>
      <c r="C65" s="108" t="str">
        <f>IFNA(VLOOKUP('Dashboard-Dados'!B65,'Dashboard-Dados'!$Y$2:$AA$13,2),"")</f>
        <v/>
      </c>
      <c r="D65" s="109">
        <f>IFERROR(GETPIVOTDATA("Valor Recebido",'Dashboard-Dados'!$J$1,$A$1,A65,$B$1,B65),0)</f>
        <v>0</v>
      </c>
      <c r="E65" s="110">
        <f>IFERROR(GETPIVOTDATA("Valor Despesa",'Dashboard-Dados'!$P$1,$A$1,A65,$B$1,B65),0)</f>
        <v>0</v>
      </c>
      <c r="F65" s="110">
        <f t="shared" si="1"/>
        <v>0</v>
      </c>
      <c r="G65" s="56">
        <f>IFERROR(GETPIVOTDATA("Exame",'Dashboard-Dados'!$J$1,$A$1,A65,$B$1,B65),0)</f>
        <v>0</v>
      </c>
      <c r="H65" s="56">
        <f t="shared" si="2"/>
        <v>65</v>
      </c>
      <c r="U65" s="56"/>
      <c r="V65" s="56"/>
      <c r="W65" s="56"/>
      <c r="Y65" s="138"/>
    </row>
    <row r="66">
      <c r="A66" s="56"/>
      <c r="B66" s="56"/>
      <c r="C66" s="108" t="str">
        <f>IFNA(VLOOKUP('Dashboard-Dados'!B66,'Dashboard-Dados'!$Y$2:$AA$13,2),"")</f>
        <v/>
      </c>
      <c r="D66" s="109">
        <f>IFERROR(GETPIVOTDATA("Valor Recebido",'Dashboard-Dados'!$J$1,$A$1,A66,$B$1,B66),0)</f>
        <v>0</v>
      </c>
      <c r="E66" s="110">
        <f>IFERROR(GETPIVOTDATA("Valor Despesa",'Dashboard-Dados'!$P$1,$A$1,A66,$B$1,B66),0)</f>
        <v>0</v>
      </c>
      <c r="F66" s="110">
        <f t="shared" si="1"/>
        <v>0</v>
      </c>
      <c r="G66" s="56">
        <f>IFERROR(GETPIVOTDATA("Exame",'Dashboard-Dados'!$J$1,$A$1,A66,$B$1,B66),0)</f>
        <v>0</v>
      </c>
      <c r="H66" s="56">
        <f t="shared" si="2"/>
        <v>66</v>
      </c>
      <c r="U66" s="56"/>
      <c r="V66" s="56"/>
      <c r="W66" s="56"/>
      <c r="Y66" s="138"/>
    </row>
    <row r="67">
      <c r="A67" s="56"/>
      <c r="B67" s="56"/>
      <c r="C67" s="108" t="str">
        <f>IFNA(VLOOKUP('Dashboard-Dados'!B67,'Dashboard-Dados'!$Y$2:$AA$13,2),"")</f>
        <v/>
      </c>
      <c r="D67" s="109">
        <f>IFERROR(GETPIVOTDATA("Valor Recebido",'Dashboard-Dados'!$J$1,$A$1,A67,$B$1,B67),0)</f>
        <v>0</v>
      </c>
      <c r="E67" s="110">
        <f>IFERROR(GETPIVOTDATA("Valor Despesa",'Dashboard-Dados'!$P$1,$A$1,A67,$B$1,B67),0)</f>
        <v>0</v>
      </c>
      <c r="F67" s="110">
        <f t="shared" si="1"/>
        <v>0</v>
      </c>
      <c r="G67" s="56">
        <f>IFERROR(GETPIVOTDATA("Exame",'Dashboard-Dados'!$J$1,$A$1,A67,$B$1,B67),0)</f>
        <v>0</v>
      </c>
      <c r="H67" s="56">
        <f t="shared" si="2"/>
        <v>67</v>
      </c>
      <c r="U67" s="56"/>
      <c r="V67" s="56"/>
      <c r="W67" s="56"/>
      <c r="Y67" s="138"/>
    </row>
    <row r="68">
      <c r="A68" s="56"/>
      <c r="B68" s="56"/>
      <c r="C68" s="108" t="str">
        <f>IFNA(VLOOKUP('Dashboard-Dados'!B68,'Dashboard-Dados'!$Y$2:$AA$13,2),"")</f>
        <v/>
      </c>
      <c r="D68" s="109">
        <f>IFERROR(GETPIVOTDATA("Valor Recebido",'Dashboard-Dados'!$J$1,$A$1,A68,$B$1,B68),0)</f>
        <v>0</v>
      </c>
      <c r="E68" s="110">
        <f>IFERROR(GETPIVOTDATA("Valor Despesa",'Dashboard-Dados'!$P$1,$A$1,A68,$B$1,B68),0)</f>
        <v>0</v>
      </c>
      <c r="F68" s="110">
        <f t="shared" si="1"/>
        <v>0</v>
      </c>
      <c r="G68" s="56">
        <f>IFERROR(GETPIVOTDATA("Exame",'Dashboard-Dados'!$J$1,$A$1,A68,$B$1,B68),0)</f>
        <v>0</v>
      </c>
      <c r="H68" s="56">
        <f t="shared" si="2"/>
        <v>68</v>
      </c>
      <c r="U68" s="56"/>
      <c r="V68" s="56"/>
      <c r="W68" s="56"/>
      <c r="Y68" s="138"/>
    </row>
    <row r="69">
      <c r="A69" s="56"/>
      <c r="B69" s="56"/>
      <c r="C69" s="108" t="str">
        <f>IFNA(VLOOKUP('Dashboard-Dados'!B69,'Dashboard-Dados'!$Y$2:$AA$13,2),"")</f>
        <v/>
      </c>
      <c r="D69" s="109">
        <f>IFERROR(GETPIVOTDATA("Valor Recebido",'Dashboard-Dados'!$J$1,$A$1,A69,$B$1,B69),0)</f>
        <v>0</v>
      </c>
      <c r="E69" s="110">
        <f>IFERROR(GETPIVOTDATA("Valor Despesa",'Dashboard-Dados'!$P$1,$A$1,A69,$B$1,B69),0)</f>
        <v>0</v>
      </c>
      <c r="F69" s="110">
        <f t="shared" si="1"/>
        <v>0</v>
      </c>
      <c r="G69" s="56">
        <f>IFERROR(GETPIVOTDATA("Exame",'Dashboard-Dados'!$J$1,$A$1,A69,$B$1,B69),0)</f>
        <v>0</v>
      </c>
      <c r="H69" s="56">
        <f t="shared" si="2"/>
        <v>69</v>
      </c>
      <c r="U69" s="56"/>
      <c r="V69" s="56"/>
      <c r="W69" s="56"/>
      <c r="Y69" s="138"/>
    </row>
    <row r="70">
      <c r="A70" s="56"/>
      <c r="B70" s="56"/>
      <c r="C70" s="108" t="str">
        <f>IFNA(VLOOKUP('Dashboard-Dados'!B70,'Dashboard-Dados'!$Y$2:$AA$13,2),"")</f>
        <v/>
      </c>
      <c r="D70" s="109">
        <f>IFERROR(GETPIVOTDATA("Valor Recebido",'Dashboard-Dados'!$J$1,$A$1,A70,$B$1,B70),0)</f>
        <v>0</v>
      </c>
      <c r="E70" s="110">
        <f>IFERROR(GETPIVOTDATA("Valor Despesa",'Dashboard-Dados'!$P$1,$A$1,A70,$B$1,B70),0)</f>
        <v>0</v>
      </c>
      <c r="F70" s="110">
        <f t="shared" si="1"/>
        <v>0</v>
      </c>
      <c r="G70" s="56">
        <f>IFERROR(GETPIVOTDATA("Exame",'Dashboard-Dados'!$J$1,$A$1,A70,$B$1,B70),0)</f>
        <v>0</v>
      </c>
      <c r="H70" s="56">
        <f t="shared" si="2"/>
        <v>70</v>
      </c>
      <c r="U70" s="56"/>
      <c r="V70" s="56"/>
      <c r="W70" s="56"/>
      <c r="Y70" s="138"/>
    </row>
    <row r="71">
      <c r="A71" s="56"/>
      <c r="B71" s="56"/>
      <c r="C71" s="108" t="str">
        <f>IFNA(VLOOKUP('Dashboard-Dados'!B71,'Dashboard-Dados'!$Y$2:$AA$13,2),"")</f>
        <v/>
      </c>
      <c r="D71" s="109">
        <f>IFERROR(GETPIVOTDATA("Valor Recebido",'Dashboard-Dados'!$J$1,$A$1,A71,$B$1,B71),0)</f>
        <v>0</v>
      </c>
      <c r="E71" s="110">
        <f>IFERROR(GETPIVOTDATA("Valor Despesa",'Dashboard-Dados'!$P$1,$A$1,A71,$B$1,B71),0)</f>
        <v>0</v>
      </c>
      <c r="F71" s="110">
        <f t="shared" si="1"/>
        <v>0</v>
      </c>
      <c r="G71" s="56">
        <f>IFERROR(GETPIVOTDATA("Exame",'Dashboard-Dados'!$J$1,$A$1,A71,$B$1,B71),0)</f>
        <v>0</v>
      </c>
      <c r="H71" s="56">
        <f t="shared" si="2"/>
        <v>71</v>
      </c>
      <c r="U71" s="56"/>
      <c r="V71" s="56"/>
      <c r="W71" s="56"/>
      <c r="Y71" s="138"/>
    </row>
    <row r="72">
      <c r="A72" s="56"/>
      <c r="B72" s="56"/>
      <c r="C72" s="108" t="str">
        <f>IFNA(VLOOKUP('Dashboard-Dados'!B72,'Dashboard-Dados'!$Y$2:$AA$13,2),"")</f>
        <v/>
      </c>
      <c r="D72" s="109">
        <f>IFERROR(GETPIVOTDATA("Valor Recebido",'Dashboard-Dados'!$J$1,$A$1,A72,$B$1,B72),0)</f>
        <v>0</v>
      </c>
      <c r="E72" s="110">
        <f>IFERROR(GETPIVOTDATA("Valor Despesa",'Dashboard-Dados'!$P$1,$A$1,A72,$B$1,B72),0)</f>
        <v>0</v>
      </c>
      <c r="F72" s="110">
        <f t="shared" si="1"/>
        <v>0</v>
      </c>
      <c r="G72" s="56">
        <f>IFERROR(GETPIVOTDATA("Exame",'Dashboard-Dados'!$J$1,$A$1,A72,$B$1,B72),0)</f>
        <v>0</v>
      </c>
      <c r="H72" s="56">
        <f t="shared" si="2"/>
        <v>72</v>
      </c>
      <c r="U72" s="56"/>
      <c r="V72" s="56"/>
      <c r="W72" s="56"/>
      <c r="Y72" s="138"/>
    </row>
    <row r="73">
      <c r="A73" s="56"/>
      <c r="B73" s="56"/>
      <c r="C73" s="108" t="str">
        <f>IFNA(VLOOKUP('Dashboard-Dados'!B73,'Dashboard-Dados'!$Y$2:$AA$13,2),"")</f>
        <v/>
      </c>
      <c r="D73" s="109">
        <f>IFERROR(GETPIVOTDATA("Valor Recebido",'Dashboard-Dados'!$J$1,$A$1,A73,$B$1,B73),0)</f>
        <v>0</v>
      </c>
      <c r="E73" s="110">
        <f>IFERROR(GETPIVOTDATA("Valor Despesa",'Dashboard-Dados'!$P$1,$A$1,A73,$B$1,B73),0)</f>
        <v>0</v>
      </c>
      <c r="F73" s="110">
        <f t="shared" si="1"/>
        <v>0</v>
      </c>
      <c r="G73" s="56">
        <f>IFERROR(GETPIVOTDATA("Exame",'Dashboard-Dados'!$J$1,$A$1,A73,$B$1,B73),0)</f>
        <v>0</v>
      </c>
      <c r="H73" s="56">
        <f t="shared" si="2"/>
        <v>73</v>
      </c>
      <c r="U73" s="56"/>
      <c r="V73" s="56"/>
      <c r="W73" s="56"/>
      <c r="Y73" s="138"/>
    </row>
    <row r="74">
      <c r="A74" s="56"/>
      <c r="B74" s="56"/>
      <c r="C74" s="108" t="str">
        <f>IFNA(VLOOKUP('Dashboard-Dados'!B74,'Dashboard-Dados'!$Y$2:$AA$13,2),"")</f>
        <v/>
      </c>
      <c r="D74" s="109">
        <f>IFERROR(GETPIVOTDATA("Valor Recebido",'Dashboard-Dados'!$J$1,$A$1,A74,$B$1,B74),0)</f>
        <v>0</v>
      </c>
      <c r="E74" s="110">
        <f>IFERROR(GETPIVOTDATA("Valor Despesa",'Dashboard-Dados'!$P$1,$A$1,A74,$B$1,B74),0)</f>
        <v>0</v>
      </c>
      <c r="F74" s="110">
        <f t="shared" si="1"/>
        <v>0</v>
      </c>
      <c r="G74" s="56">
        <f>IFERROR(GETPIVOTDATA("Exame",'Dashboard-Dados'!$J$1,$A$1,A74,$B$1,B74),0)</f>
        <v>0</v>
      </c>
      <c r="H74" s="56">
        <f t="shared" si="2"/>
        <v>74</v>
      </c>
      <c r="U74" s="56"/>
      <c r="V74" s="56"/>
      <c r="W74" s="56"/>
      <c r="Y74" s="138"/>
    </row>
    <row r="75">
      <c r="A75" s="56"/>
      <c r="B75" s="56"/>
      <c r="C75" s="108" t="str">
        <f>IFNA(VLOOKUP('Dashboard-Dados'!B75,'Dashboard-Dados'!$Y$2:$AA$13,2),"")</f>
        <v/>
      </c>
      <c r="D75" s="109">
        <f>IFERROR(GETPIVOTDATA("Valor Recebido",'Dashboard-Dados'!$J$1,$A$1,A75,$B$1,B75),0)</f>
        <v>0</v>
      </c>
      <c r="E75" s="110">
        <f>IFERROR(GETPIVOTDATA("Valor Despesa",'Dashboard-Dados'!$P$1,$A$1,A75,$B$1,B75),0)</f>
        <v>0</v>
      </c>
      <c r="F75" s="110">
        <f t="shared" si="1"/>
        <v>0</v>
      </c>
      <c r="G75" s="56">
        <f>IFERROR(GETPIVOTDATA("Exame",'Dashboard-Dados'!$J$1,$A$1,A75,$B$1,B75),0)</f>
        <v>0</v>
      </c>
      <c r="H75" s="56">
        <f t="shared" si="2"/>
        <v>75</v>
      </c>
      <c r="U75" s="56"/>
      <c r="V75" s="56"/>
      <c r="W75" s="56"/>
      <c r="Y75" s="138"/>
    </row>
    <row r="76">
      <c r="A76" s="56"/>
      <c r="B76" s="56"/>
      <c r="C76" s="108" t="str">
        <f>IFNA(VLOOKUP('Dashboard-Dados'!B76,'Dashboard-Dados'!$Y$2:$AA$13,2),"")</f>
        <v/>
      </c>
      <c r="D76" s="109">
        <f>IFERROR(GETPIVOTDATA("Valor Recebido",'Dashboard-Dados'!$J$1,$A$1,A76,$B$1,B76),0)</f>
        <v>0</v>
      </c>
      <c r="E76" s="110">
        <f>IFERROR(GETPIVOTDATA("Valor Despesa",'Dashboard-Dados'!$P$1,$A$1,A76,$B$1,B76),0)</f>
        <v>0</v>
      </c>
      <c r="F76" s="110">
        <f t="shared" si="1"/>
        <v>0</v>
      </c>
      <c r="G76" s="56">
        <f>IFERROR(GETPIVOTDATA("Exame",'Dashboard-Dados'!$J$1,$A$1,A76,$B$1,B76),0)</f>
        <v>0</v>
      </c>
      <c r="H76" s="56">
        <f t="shared" si="2"/>
        <v>76</v>
      </c>
      <c r="U76" s="56"/>
      <c r="V76" s="56"/>
      <c r="W76" s="56"/>
      <c r="Y76" s="138"/>
    </row>
    <row r="77">
      <c r="A77" s="56"/>
      <c r="B77" s="56"/>
      <c r="C77" s="108" t="str">
        <f>IFNA(VLOOKUP('Dashboard-Dados'!B77,'Dashboard-Dados'!$Y$2:$AA$13,2),"")</f>
        <v/>
      </c>
      <c r="D77" s="109">
        <f>IFERROR(GETPIVOTDATA("Valor Recebido",'Dashboard-Dados'!$J$1,$A$1,A77,$B$1,B77),0)</f>
        <v>0</v>
      </c>
      <c r="E77" s="110">
        <f>IFERROR(GETPIVOTDATA("Valor Despesa",'Dashboard-Dados'!$P$1,$A$1,A77,$B$1,B77),0)</f>
        <v>0</v>
      </c>
      <c r="F77" s="110">
        <f t="shared" si="1"/>
        <v>0</v>
      </c>
      <c r="G77" s="56">
        <f>IFERROR(GETPIVOTDATA("Exame",'Dashboard-Dados'!$J$1,$A$1,A77,$B$1,B77),0)</f>
        <v>0</v>
      </c>
      <c r="H77" s="56">
        <f t="shared" si="2"/>
        <v>77</v>
      </c>
      <c r="U77" s="56"/>
      <c r="V77" s="56"/>
      <c r="W77" s="56"/>
      <c r="Y77" s="138"/>
    </row>
    <row r="78">
      <c r="A78" s="56"/>
      <c r="B78" s="56"/>
      <c r="C78" s="108" t="str">
        <f>IFNA(VLOOKUP('Dashboard-Dados'!B78,'Dashboard-Dados'!$Y$2:$AA$13,2),"")</f>
        <v/>
      </c>
      <c r="D78" s="109">
        <f>IFERROR(GETPIVOTDATA("Valor Recebido",'Dashboard-Dados'!$J$1,$A$1,A78,$B$1,B78),0)</f>
        <v>0</v>
      </c>
      <c r="E78" s="110">
        <f>IFERROR(GETPIVOTDATA("Valor Despesa",'Dashboard-Dados'!$P$1,$A$1,A78,$B$1,B78),0)</f>
        <v>0</v>
      </c>
      <c r="F78" s="110">
        <f t="shared" si="1"/>
        <v>0</v>
      </c>
      <c r="G78" s="56">
        <f>IFERROR(GETPIVOTDATA("Exame",'Dashboard-Dados'!$J$1,$A$1,A78,$B$1,B78),0)</f>
        <v>0</v>
      </c>
      <c r="H78" s="56">
        <f t="shared" si="2"/>
        <v>78</v>
      </c>
      <c r="U78" s="56"/>
      <c r="V78" s="56"/>
      <c r="W78" s="56"/>
      <c r="Y78" s="138"/>
    </row>
    <row r="79">
      <c r="A79" s="56"/>
      <c r="B79" s="56"/>
      <c r="C79" s="108" t="str">
        <f>IFNA(VLOOKUP('Dashboard-Dados'!B79,'Dashboard-Dados'!$Y$2:$AA$13,2),"")</f>
        <v/>
      </c>
      <c r="D79" s="109">
        <f>IFERROR(GETPIVOTDATA("Valor Recebido",'Dashboard-Dados'!$J$1,$A$1,A79,$B$1,B79),0)</f>
        <v>0</v>
      </c>
      <c r="E79" s="110">
        <f>IFERROR(GETPIVOTDATA("Valor Despesa",'Dashboard-Dados'!$P$1,$A$1,A79,$B$1,B79),0)</f>
        <v>0</v>
      </c>
      <c r="F79" s="110">
        <f t="shared" si="1"/>
        <v>0</v>
      </c>
      <c r="G79" s="56">
        <f>IFERROR(GETPIVOTDATA("Exame",'Dashboard-Dados'!$J$1,$A$1,A79,$B$1,B79),0)</f>
        <v>0</v>
      </c>
      <c r="H79" s="56">
        <f t="shared" si="2"/>
        <v>79</v>
      </c>
      <c r="U79" s="56"/>
      <c r="V79" s="56"/>
      <c r="W79" s="56"/>
      <c r="Y79" s="138"/>
    </row>
    <row r="80">
      <c r="A80" s="56"/>
      <c r="B80" s="56"/>
      <c r="C80" s="108" t="str">
        <f>IFNA(VLOOKUP('Dashboard-Dados'!B80,'Dashboard-Dados'!$Y$2:$AA$13,2),"")</f>
        <v/>
      </c>
      <c r="D80" s="109">
        <f>IFERROR(GETPIVOTDATA("Valor Recebido",'Dashboard-Dados'!$J$1,$A$1,A80,$B$1,B80),0)</f>
        <v>0</v>
      </c>
      <c r="E80" s="110">
        <f>IFERROR(GETPIVOTDATA("Valor Despesa",'Dashboard-Dados'!$P$1,$A$1,A80,$B$1,B80),0)</f>
        <v>0</v>
      </c>
      <c r="F80" s="110">
        <f t="shared" si="1"/>
        <v>0</v>
      </c>
      <c r="G80" s="56">
        <f>IFERROR(GETPIVOTDATA("Exame",'Dashboard-Dados'!$J$1,$A$1,A80,$B$1,B80),0)</f>
        <v>0</v>
      </c>
      <c r="H80" s="56">
        <f t="shared" si="2"/>
        <v>80</v>
      </c>
      <c r="U80" s="56"/>
      <c r="V80" s="56"/>
      <c r="W80" s="56"/>
      <c r="Y80" s="138"/>
    </row>
    <row r="81">
      <c r="A81" s="56"/>
      <c r="B81" s="56"/>
      <c r="C81" s="108" t="str">
        <f>IFNA(VLOOKUP('Dashboard-Dados'!B81,'Dashboard-Dados'!$Y$2:$AA$13,2),"")</f>
        <v/>
      </c>
      <c r="D81" s="109">
        <f>IFERROR(GETPIVOTDATA("Valor Recebido",'Dashboard-Dados'!$J$1,$A$1,A81,$B$1,B81),0)</f>
        <v>0</v>
      </c>
      <c r="E81" s="110">
        <f>IFERROR(GETPIVOTDATA("Valor Despesa",'Dashboard-Dados'!$P$1,$A$1,A81,$B$1,B81),0)</f>
        <v>0</v>
      </c>
      <c r="F81" s="110">
        <f t="shared" si="1"/>
        <v>0</v>
      </c>
      <c r="G81" s="56">
        <f>IFERROR(GETPIVOTDATA("Exame",'Dashboard-Dados'!$J$1,$A$1,A81,$B$1,B81),0)</f>
        <v>0</v>
      </c>
      <c r="H81" s="56">
        <f t="shared" si="2"/>
        <v>81</v>
      </c>
      <c r="U81" s="56"/>
      <c r="V81" s="56"/>
      <c r="W81" s="56"/>
      <c r="Y81" s="138"/>
    </row>
    <row r="82">
      <c r="A82" s="56"/>
      <c r="B82" s="56"/>
      <c r="C82" s="108" t="str">
        <f>IFNA(VLOOKUP('Dashboard-Dados'!B82,'Dashboard-Dados'!$Y$2:$AA$13,2),"")</f>
        <v/>
      </c>
      <c r="D82" s="109">
        <f>IFERROR(GETPIVOTDATA("Valor Recebido",'Dashboard-Dados'!$J$1,$A$1,A82,$B$1,B82),0)</f>
        <v>0</v>
      </c>
      <c r="E82" s="110">
        <f>IFERROR(GETPIVOTDATA("Valor Despesa",'Dashboard-Dados'!$P$1,$A$1,A82,$B$1,B82),0)</f>
        <v>0</v>
      </c>
      <c r="F82" s="110">
        <f t="shared" si="1"/>
        <v>0</v>
      </c>
      <c r="G82" s="56">
        <f>IFERROR(GETPIVOTDATA("Exame",'Dashboard-Dados'!$J$1,$A$1,A82,$B$1,B82),0)</f>
        <v>0</v>
      </c>
      <c r="H82" s="56">
        <f t="shared" si="2"/>
        <v>82</v>
      </c>
      <c r="U82" s="56"/>
      <c r="V82" s="56"/>
      <c r="W82" s="56"/>
      <c r="Y82" s="138"/>
    </row>
    <row r="83">
      <c r="A83" s="56"/>
      <c r="B83" s="56"/>
      <c r="C83" s="108" t="str">
        <f>IFNA(VLOOKUP('Dashboard-Dados'!B83,'Dashboard-Dados'!$Y$2:$AA$13,2),"")</f>
        <v/>
      </c>
      <c r="D83" s="109">
        <f>IFERROR(GETPIVOTDATA("Valor Recebido",'Dashboard-Dados'!$J$1,$A$1,A83,$B$1,B83),0)</f>
        <v>0</v>
      </c>
      <c r="E83" s="110">
        <f>IFERROR(GETPIVOTDATA("Valor Despesa",'Dashboard-Dados'!$P$1,$A$1,A83,$B$1,B83),0)</f>
        <v>0</v>
      </c>
      <c r="F83" s="110">
        <f t="shared" si="1"/>
        <v>0</v>
      </c>
      <c r="G83" s="56">
        <f>IFERROR(GETPIVOTDATA("Exame",'Dashboard-Dados'!$J$1,$A$1,A83,$B$1,B83),0)</f>
        <v>0</v>
      </c>
      <c r="H83" s="56">
        <f t="shared" si="2"/>
        <v>83</v>
      </c>
      <c r="U83" s="56"/>
      <c r="V83" s="56"/>
      <c r="W83" s="56"/>
      <c r="Y83" s="138"/>
    </row>
    <row r="84">
      <c r="A84" s="56"/>
      <c r="B84" s="56"/>
      <c r="C84" s="108" t="str">
        <f>IFNA(VLOOKUP('Dashboard-Dados'!B84,'Dashboard-Dados'!$Y$2:$AA$13,2),"")</f>
        <v/>
      </c>
      <c r="D84" s="109">
        <f>IFERROR(GETPIVOTDATA("Valor Recebido",'Dashboard-Dados'!$J$1,$A$1,A84,$B$1,B84),0)</f>
        <v>0</v>
      </c>
      <c r="E84" s="110">
        <f>IFERROR(GETPIVOTDATA("Valor Despesa",'Dashboard-Dados'!$P$1,$A$1,A84,$B$1,B84),0)</f>
        <v>0</v>
      </c>
      <c r="F84" s="110">
        <f t="shared" si="1"/>
        <v>0</v>
      </c>
      <c r="G84" s="56">
        <f>IFERROR(GETPIVOTDATA("Exame",'Dashboard-Dados'!$J$1,$A$1,A84,$B$1,B84),0)</f>
        <v>0</v>
      </c>
      <c r="H84" s="56">
        <f t="shared" si="2"/>
        <v>84</v>
      </c>
      <c r="U84" s="56"/>
      <c r="V84" s="56"/>
      <c r="W84" s="56"/>
      <c r="Y84" s="138"/>
    </row>
    <row r="85">
      <c r="A85" s="56"/>
      <c r="B85" s="56"/>
      <c r="C85" s="108" t="str">
        <f>IFNA(VLOOKUP('Dashboard-Dados'!B85,'Dashboard-Dados'!$Y$2:$AA$13,2),"")</f>
        <v/>
      </c>
      <c r="D85" s="109">
        <f>IFERROR(GETPIVOTDATA("Valor Recebido",'Dashboard-Dados'!$J$1,$A$1,A85,$B$1,B85),0)</f>
        <v>0</v>
      </c>
      <c r="E85" s="110">
        <f>IFERROR(GETPIVOTDATA("Valor Despesa",'Dashboard-Dados'!$P$1,$A$1,A85,$B$1,B85),0)</f>
        <v>0</v>
      </c>
      <c r="F85" s="110">
        <f t="shared" si="1"/>
        <v>0</v>
      </c>
      <c r="G85" s="56">
        <f>IFERROR(GETPIVOTDATA("Exame",'Dashboard-Dados'!$J$1,$A$1,A85,$B$1,B85),0)</f>
        <v>0</v>
      </c>
      <c r="H85" s="56">
        <f t="shared" si="2"/>
        <v>85</v>
      </c>
      <c r="U85" s="56"/>
      <c r="V85" s="56"/>
      <c r="W85" s="56"/>
      <c r="Y85" s="138"/>
    </row>
    <row r="86">
      <c r="A86" s="56"/>
      <c r="B86" s="56"/>
      <c r="C86" s="108" t="str">
        <f>IFNA(VLOOKUP('Dashboard-Dados'!B86,'Dashboard-Dados'!$Y$2:$AA$13,2),"")</f>
        <v/>
      </c>
      <c r="D86" s="109">
        <f>IFERROR(GETPIVOTDATA("Valor Recebido",'Dashboard-Dados'!$J$1,$A$1,A86,$B$1,B86),0)</f>
        <v>0</v>
      </c>
      <c r="E86" s="110">
        <f>IFERROR(GETPIVOTDATA("Valor Despesa",'Dashboard-Dados'!$P$1,$A$1,A86,$B$1,B86),0)</f>
        <v>0</v>
      </c>
      <c r="F86" s="110">
        <f t="shared" si="1"/>
        <v>0</v>
      </c>
      <c r="G86" s="56">
        <f>IFERROR(GETPIVOTDATA("Exame",'Dashboard-Dados'!$J$1,$A$1,A86,$B$1,B86),0)</f>
        <v>0</v>
      </c>
      <c r="H86" s="56">
        <f t="shared" si="2"/>
        <v>86</v>
      </c>
      <c r="U86" s="56"/>
      <c r="V86" s="56"/>
      <c r="W86" s="56"/>
      <c r="Y86" s="138"/>
    </row>
    <row r="87">
      <c r="A87" s="56"/>
      <c r="B87" s="56"/>
      <c r="C87" s="108" t="str">
        <f>IFNA(VLOOKUP('Dashboard-Dados'!B87,'Dashboard-Dados'!$Y$2:$AA$13,2),"")</f>
        <v/>
      </c>
      <c r="D87" s="109">
        <f>IFERROR(GETPIVOTDATA("Valor Recebido",'Dashboard-Dados'!$J$1,$A$1,A87,$B$1,B87),0)</f>
        <v>0</v>
      </c>
      <c r="E87" s="110">
        <f>IFERROR(GETPIVOTDATA("Valor Despesa",'Dashboard-Dados'!$P$1,$A$1,A87,$B$1,B87),0)</f>
        <v>0</v>
      </c>
      <c r="F87" s="110">
        <f t="shared" si="1"/>
        <v>0</v>
      </c>
      <c r="G87" s="56">
        <f>IFERROR(GETPIVOTDATA("Exame",'Dashboard-Dados'!$J$1,$A$1,A87,$B$1,B87),0)</f>
        <v>0</v>
      </c>
      <c r="H87" s="56">
        <f t="shared" si="2"/>
        <v>87</v>
      </c>
      <c r="U87" s="56"/>
      <c r="V87" s="56"/>
      <c r="W87" s="56"/>
      <c r="Y87" s="138"/>
    </row>
    <row r="88">
      <c r="A88" s="56"/>
      <c r="B88" s="56"/>
      <c r="C88" s="108" t="str">
        <f>IFNA(VLOOKUP('Dashboard-Dados'!B88,'Dashboard-Dados'!$Y$2:$AA$13,2),"")</f>
        <v/>
      </c>
      <c r="D88" s="109">
        <f>IFERROR(GETPIVOTDATA("Valor Recebido",'Dashboard-Dados'!$J$1,$A$1,A88,$B$1,B88),0)</f>
        <v>0</v>
      </c>
      <c r="E88" s="110">
        <f>IFERROR(GETPIVOTDATA("Valor Despesa",'Dashboard-Dados'!$P$1,$A$1,A88,$B$1,B88),0)</f>
        <v>0</v>
      </c>
      <c r="F88" s="110">
        <f t="shared" si="1"/>
        <v>0</v>
      </c>
      <c r="G88" s="56">
        <f>IFERROR(GETPIVOTDATA("Exame",'Dashboard-Dados'!$J$1,$A$1,A88,$B$1,B88),0)</f>
        <v>0</v>
      </c>
      <c r="H88" s="56">
        <f t="shared" si="2"/>
        <v>88</v>
      </c>
      <c r="U88" s="56"/>
      <c r="V88" s="56"/>
      <c r="W88" s="56"/>
      <c r="Y88" s="138"/>
    </row>
    <row r="89">
      <c r="A89" s="56"/>
      <c r="B89" s="56"/>
      <c r="C89" s="108" t="str">
        <f>IFNA(VLOOKUP('Dashboard-Dados'!B89,'Dashboard-Dados'!$Y$2:$AA$13,2),"")</f>
        <v/>
      </c>
      <c r="D89" s="109">
        <f>IFERROR(GETPIVOTDATA("Valor Recebido",'Dashboard-Dados'!$J$1,$A$1,A89,$B$1,B89),0)</f>
        <v>0</v>
      </c>
      <c r="E89" s="110">
        <f>IFERROR(GETPIVOTDATA("Valor Despesa",'Dashboard-Dados'!$P$1,$A$1,A89,$B$1,B89),0)</f>
        <v>0</v>
      </c>
      <c r="F89" s="110">
        <f t="shared" si="1"/>
        <v>0</v>
      </c>
      <c r="G89" s="56">
        <f>IFERROR(GETPIVOTDATA("Exame",'Dashboard-Dados'!$J$1,$A$1,A89,$B$1,B89),0)</f>
        <v>0</v>
      </c>
      <c r="H89" s="56">
        <f t="shared" si="2"/>
        <v>89</v>
      </c>
      <c r="U89" s="56"/>
      <c r="V89" s="56"/>
      <c r="W89" s="56"/>
      <c r="Y89" s="138"/>
    </row>
    <row r="90">
      <c r="A90" s="56"/>
      <c r="B90" s="56"/>
      <c r="C90" s="108" t="str">
        <f>IFNA(VLOOKUP('Dashboard-Dados'!B90,'Dashboard-Dados'!$Y$2:$AA$13,2),"")</f>
        <v/>
      </c>
      <c r="D90" s="109">
        <f>IFERROR(GETPIVOTDATA("Valor Recebido",'Dashboard-Dados'!$J$1,$A$1,A90,$B$1,B90),0)</f>
        <v>0</v>
      </c>
      <c r="E90" s="110">
        <f>IFERROR(GETPIVOTDATA("Valor Despesa",'Dashboard-Dados'!$P$1,$A$1,A90,$B$1,B90),0)</f>
        <v>0</v>
      </c>
      <c r="F90" s="110">
        <f t="shared" si="1"/>
        <v>0</v>
      </c>
      <c r="G90" s="56">
        <f>IFERROR(GETPIVOTDATA("Exame",'Dashboard-Dados'!$J$1,$A$1,A90,$B$1,B90),0)</f>
        <v>0</v>
      </c>
      <c r="H90" s="56">
        <f t="shared" si="2"/>
        <v>90</v>
      </c>
      <c r="U90" s="56"/>
      <c r="V90" s="56"/>
      <c r="W90" s="56"/>
      <c r="Y90" s="138"/>
    </row>
    <row r="91">
      <c r="A91" s="56"/>
      <c r="B91" s="56"/>
      <c r="C91" s="108" t="str">
        <f>IFNA(VLOOKUP('Dashboard-Dados'!B91,'Dashboard-Dados'!$Y$2:$AA$13,2),"")</f>
        <v/>
      </c>
      <c r="D91" s="109">
        <f>IFERROR(GETPIVOTDATA("Valor Recebido",'Dashboard-Dados'!$J$1,$A$1,A91,$B$1,B91),0)</f>
        <v>0</v>
      </c>
      <c r="E91" s="110">
        <f>IFERROR(GETPIVOTDATA("Valor Despesa",'Dashboard-Dados'!$P$1,$A$1,A91,$B$1,B91),0)</f>
        <v>0</v>
      </c>
      <c r="F91" s="110">
        <f t="shared" si="1"/>
        <v>0</v>
      </c>
      <c r="G91" s="56">
        <f>IFERROR(GETPIVOTDATA("Exame",'Dashboard-Dados'!$J$1,$A$1,A91,$B$1,B91),0)</f>
        <v>0</v>
      </c>
      <c r="H91" s="56">
        <f t="shared" si="2"/>
        <v>91</v>
      </c>
      <c r="U91" s="56"/>
      <c r="V91" s="56"/>
      <c r="W91" s="56"/>
      <c r="Y91" s="138"/>
    </row>
    <row r="92">
      <c r="A92" s="56"/>
      <c r="B92" s="56"/>
      <c r="C92" s="108" t="str">
        <f>IFNA(VLOOKUP('Dashboard-Dados'!B92,'Dashboard-Dados'!$Y$2:$AA$13,2),"")</f>
        <v/>
      </c>
      <c r="D92" s="109">
        <f>IFERROR(GETPIVOTDATA("Valor Recebido",'Dashboard-Dados'!$J$1,$A$1,A92,$B$1,B92),0)</f>
        <v>0</v>
      </c>
      <c r="E92" s="110">
        <f>IFERROR(GETPIVOTDATA("Valor Despesa",'Dashboard-Dados'!$P$1,$A$1,A92,$B$1,B92),0)</f>
        <v>0</v>
      </c>
      <c r="F92" s="110">
        <f t="shared" si="1"/>
        <v>0</v>
      </c>
      <c r="G92" s="56">
        <f>IFERROR(GETPIVOTDATA("Exame",'Dashboard-Dados'!$J$1,$A$1,A92,$B$1,B92),0)</f>
        <v>0</v>
      </c>
      <c r="H92" s="56">
        <f t="shared" si="2"/>
        <v>92</v>
      </c>
      <c r="U92" s="56"/>
      <c r="V92" s="56"/>
      <c r="W92" s="56"/>
      <c r="Y92" s="138"/>
    </row>
    <row r="93">
      <c r="A93" s="56"/>
      <c r="B93" s="56"/>
      <c r="C93" s="108" t="str">
        <f>IFNA(VLOOKUP('Dashboard-Dados'!B93,'Dashboard-Dados'!$Y$2:$AA$13,2),"")</f>
        <v/>
      </c>
      <c r="D93" s="109">
        <f>IFERROR(GETPIVOTDATA("Valor Recebido",'Dashboard-Dados'!$J$1,$A$1,A93,$B$1,B93),0)</f>
        <v>0</v>
      </c>
      <c r="E93" s="110">
        <f>IFERROR(GETPIVOTDATA("Valor Despesa",'Dashboard-Dados'!$P$1,$A$1,A93,$B$1,B93),0)</f>
        <v>0</v>
      </c>
      <c r="F93" s="110">
        <f t="shared" si="1"/>
        <v>0</v>
      </c>
      <c r="G93" s="56">
        <f>IFERROR(GETPIVOTDATA("Exame",'Dashboard-Dados'!$J$1,$A$1,A93,$B$1,B93),0)</f>
        <v>0</v>
      </c>
      <c r="H93" s="56">
        <f t="shared" si="2"/>
        <v>93</v>
      </c>
      <c r="U93" s="56"/>
      <c r="V93" s="56"/>
      <c r="W93" s="56"/>
      <c r="Y93" s="138"/>
    </row>
    <row r="94">
      <c r="A94" s="56"/>
      <c r="B94" s="56"/>
      <c r="C94" s="108" t="str">
        <f>IFNA(VLOOKUP('Dashboard-Dados'!B94,'Dashboard-Dados'!$Y$2:$AA$13,2),"")</f>
        <v/>
      </c>
      <c r="D94" s="109">
        <f>IFERROR(GETPIVOTDATA("Valor Recebido",'Dashboard-Dados'!$J$1,$A$1,A94,$B$1,B94),0)</f>
        <v>0</v>
      </c>
      <c r="E94" s="110">
        <f>IFERROR(GETPIVOTDATA("Valor Despesa",'Dashboard-Dados'!$P$1,$A$1,A94,$B$1,B94),0)</f>
        <v>0</v>
      </c>
      <c r="F94" s="110">
        <f t="shared" si="1"/>
        <v>0</v>
      </c>
      <c r="G94" s="56">
        <f>IFERROR(GETPIVOTDATA("Exame",'Dashboard-Dados'!$J$1,$A$1,A94,$B$1,B94),0)</f>
        <v>0</v>
      </c>
      <c r="H94" s="56">
        <f t="shared" si="2"/>
        <v>94</v>
      </c>
      <c r="U94" s="56"/>
      <c r="V94" s="56"/>
      <c r="W94" s="56"/>
      <c r="Y94" s="138"/>
    </row>
    <row r="95">
      <c r="A95" s="56"/>
      <c r="B95" s="56"/>
      <c r="C95" s="108" t="str">
        <f>IFNA(VLOOKUP('Dashboard-Dados'!B95,'Dashboard-Dados'!$Y$2:$AA$13,2),"")</f>
        <v/>
      </c>
      <c r="D95" s="109">
        <f>IFERROR(GETPIVOTDATA("Valor Recebido",'Dashboard-Dados'!$J$1,$A$1,A95,$B$1,B95),0)</f>
        <v>0</v>
      </c>
      <c r="E95" s="110">
        <f>IFERROR(GETPIVOTDATA("Valor Despesa",'Dashboard-Dados'!$P$1,$A$1,A95,$B$1,B95),0)</f>
        <v>0</v>
      </c>
      <c r="F95" s="110">
        <f t="shared" si="1"/>
        <v>0</v>
      </c>
      <c r="G95" s="56">
        <f>IFERROR(GETPIVOTDATA("Exame",'Dashboard-Dados'!$J$1,$A$1,A95,$B$1,B95),0)</f>
        <v>0</v>
      </c>
      <c r="H95" s="56">
        <f t="shared" si="2"/>
        <v>95</v>
      </c>
      <c r="U95" s="56"/>
      <c r="V95" s="56"/>
      <c r="W95" s="56"/>
      <c r="Y95" s="138"/>
    </row>
    <row r="96">
      <c r="A96" s="56"/>
      <c r="B96" s="56"/>
      <c r="C96" s="108" t="str">
        <f>IFNA(VLOOKUP('Dashboard-Dados'!B96,'Dashboard-Dados'!$Y$2:$AA$13,2),"")</f>
        <v/>
      </c>
      <c r="D96" s="109">
        <f>IFERROR(GETPIVOTDATA("Valor Recebido",'Dashboard-Dados'!$J$1,$A$1,A96,$B$1,B96),0)</f>
        <v>0</v>
      </c>
      <c r="E96" s="110">
        <f>IFERROR(GETPIVOTDATA("Valor Despesa",'Dashboard-Dados'!$P$1,$A$1,A96,$B$1,B96),0)</f>
        <v>0</v>
      </c>
      <c r="F96" s="110">
        <f t="shared" si="1"/>
        <v>0</v>
      </c>
      <c r="G96" s="56">
        <f>IFERROR(GETPIVOTDATA("Exame",'Dashboard-Dados'!$J$1,$A$1,A96,$B$1,B96),0)</f>
        <v>0</v>
      </c>
      <c r="H96" s="56">
        <f t="shared" si="2"/>
        <v>96</v>
      </c>
      <c r="U96" s="56"/>
      <c r="V96" s="56"/>
      <c r="W96" s="56"/>
      <c r="Y96" s="138"/>
    </row>
    <row r="97">
      <c r="A97" s="56"/>
      <c r="B97" s="56"/>
      <c r="C97" s="108" t="str">
        <f>IFNA(VLOOKUP('Dashboard-Dados'!B97,'Dashboard-Dados'!$Y$2:$AA$13,2),"")</f>
        <v/>
      </c>
      <c r="D97" s="109">
        <f>IFERROR(GETPIVOTDATA("Valor Recebido",'Dashboard-Dados'!$J$1,$A$1,A97,$B$1,B97),0)</f>
        <v>0</v>
      </c>
      <c r="E97" s="110">
        <f>IFERROR(GETPIVOTDATA("Valor Despesa",'Dashboard-Dados'!$P$1,$A$1,A97,$B$1,B97),0)</f>
        <v>0</v>
      </c>
      <c r="F97" s="110">
        <f t="shared" si="1"/>
        <v>0</v>
      </c>
      <c r="G97" s="56">
        <f>IFERROR(GETPIVOTDATA("Exame",'Dashboard-Dados'!$J$1,$A$1,A97,$B$1,B97),0)</f>
        <v>0</v>
      </c>
      <c r="H97" s="56">
        <f t="shared" si="2"/>
        <v>97</v>
      </c>
      <c r="U97" s="56"/>
      <c r="V97" s="56"/>
      <c r="W97" s="56"/>
      <c r="Y97" s="138"/>
    </row>
    <row r="98">
      <c r="A98" s="56"/>
      <c r="B98" s="56"/>
      <c r="C98" s="108" t="str">
        <f>IFNA(VLOOKUP('Dashboard-Dados'!B98,'Dashboard-Dados'!$Y$2:$AA$13,2),"")</f>
        <v/>
      </c>
      <c r="D98" s="109">
        <f>IFERROR(GETPIVOTDATA("Valor Recebido",'Dashboard-Dados'!$J$1,$A$1,A98,$B$1,B98),0)</f>
        <v>0</v>
      </c>
      <c r="E98" s="110">
        <f>IFERROR(GETPIVOTDATA("Valor Despesa",'Dashboard-Dados'!$P$1,$A$1,A98,$B$1,B98),0)</f>
        <v>0</v>
      </c>
      <c r="F98" s="110">
        <f t="shared" si="1"/>
        <v>0</v>
      </c>
      <c r="G98" s="56">
        <f>IFERROR(GETPIVOTDATA("Exame",'Dashboard-Dados'!$J$1,$A$1,A98,$B$1,B98),0)</f>
        <v>0</v>
      </c>
      <c r="H98" s="56">
        <f t="shared" si="2"/>
        <v>98</v>
      </c>
      <c r="U98" s="56"/>
      <c r="V98" s="56"/>
      <c r="W98" s="56"/>
      <c r="Y98" s="138"/>
    </row>
    <row r="99">
      <c r="A99" s="56"/>
      <c r="B99" s="56"/>
      <c r="C99" s="108" t="str">
        <f>IFNA(VLOOKUP('Dashboard-Dados'!B99,'Dashboard-Dados'!$Y$2:$AA$13,2),"")</f>
        <v/>
      </c>
      <c r="D99" s="109">
        <f>IFERROR(GETPIVOTDATA("Valor Recebido",'Dashboard-Dados'!$J$1,$A$1,A99,$B$1,B99),0)</f>
        <v>0</v>
      </c>
      <c r="E99" s="110">
        <f>IFERROR(GETPIVOTDATA("Valor Despesa",'Dashboard-Dados'!$P$1,$A$1,A99,$B$1,B99),0)</f>
        <v>0</v>
      </c>
      <c r="F99" s="110">
        <f t="shared" si="1"/>
        <v>0</v>
      </c>
      <c r="G99" s="56">
        <f>IFERROR(GETPIVOTDATA("Exame",'Dashboard-Dados'!$J$1,$A$1,A99,$B$1,B99),0)</f>
        <v>0</v>
      </c>
      <c r="H99" s="56">
        <f t="shared" si="2"/>
        <v>99</v>
      </c>
      <c r="U99" s="56"/>
      <c r="V99" s="56"/>
      <c r="W99" s="56"/>
      <c r="Y99" s="138"/>
    </row>
    <row r="100">
      <c r="A100" s="56"/>
      <c r="B100" s="56"/>
      <c r="C100" s="108" t="str">
        <f>IFNA(VLOOKUP('Dashboard-Dados'!B100,'Dashboard-Dados'!$Y$2:$AA$13,2),"")</f>
        <v/>
      </c>
      <c r="D100" s="109">
        <f>IFERROR(GETPIVOTDATA("Valor Recebido",'Dashboard-Dados'!$J$1,$A$1,A100,$B$1,B100),0)</f>
        <v>0</v>
      </c>
      <c r="E100" s="110">
        <f>IFERROR(GETPIVOTDATA("Valor Despesa",'Dashboard-Dados'!$P$1,$A$1,A100,$B$1,B100),0)</f>
        <v>0</v>
      </c>
      <c r="F100" s="110">
        <f t="shared" si="1"/>
        <v>0</v>
      </c>
      <c r="G100" s="56">
        <f>IFERROR(GETPIVOTDATA("Exame",'Dashboard-Dados'!$J$1,$A$1,A100,$B$1,B100),0)</f>
        <v>0</v>
      </c>
      <c r="H100" s="56">
        <f t="shared" si="2"/>
        <v>100</v>
      </c>
      <c r="U100" s="56"/>
      <c r="V100" s="56"/>
      <c r="W100" s="56"/>
      <c r="Y100" s="138"/>
    </row>
    <row r="101">
      <c r="A101" s="56"/>
      <c r="B101" s="56"/>
      <c r="C101" s="108" t="str">
        <f>IFNA(VLOOKUP('Dashboard-Dados'!B101,'Dashboard-Dados'!$Y$2:$AA$13,2),"")</f>
        <v/>
      </c>
      <c r="D101" s="109">
        <f>IFERROR(GETPIVOTDATA("Valor Recebido",'Dashboard-Dados'!$J$1,$A$1,A101,$B$1,B101),0)</f>
        <v>0</v>
      </c>
      <c r="E101" s="110">
        <f>IFERROR(GETPIVOTDATA("Valor Despesa",'Dashboard-Dados'!$P$1,$A$1,A101,$B$1,B101),0)</f>
        <v>0</v>
      </c>
      <c r="F101" s="110">
        <f t="shared" si="1"/>
        <v>0</v>
      </c>
      <c r="G101" s="56">
        <f>IFERROR(GETPIVOTDATA("Exame",'Dashboard-Dados'!$J$1,$A$1,A101,$B$1,B101),0)</f>
        <v>0</v>
      </c>
      <c r="H101" s="56">
        <f t="shared" si="2"/>
        <v>101</v>
      </c>
      <c r="U101" s="56"/>
      <c r="V101" s="56"/>
      <c r="W101" s="56"/>
      <c r="Y101" s="138"/>
    </row>
    <row r="102">
      <c r="A102" s="56"/>
      <c r="B102" s="56"/>
      <c r="C102" s="108" t="str">
        <f>IFNA(VLOOKUP('Dashboard-Dados'!B102,'Dashboard-Dados'!$Y$2:$AA$13,2),"")</f>
        <v/>
      </c>
      <c r="D102" s="109">
        <f>IFERROR(GETPIVOTDATA("Valor Recebido",'Dashboard-Dados'!$J$1,$A$1,A102,$B$1,B102),0)</f>
        <v>0</v>
      </c>
      <c r="E102" s="110">
        <f>IFERROR(GETPIVOTDATA("Valor Despesa",'Dashboard-Dados'!$P$1,$A$1,A102,$B$1,B102),0)</f>
        <v>0</v>
      </c>
      <c r="F102" s="110">
        <f t="shared" si="1"/>
        <v>0</v>
      </c>
      <c r="G102" s="56">
        <f>IFERROR(GETPIVOTDATA("Exame",'Dashboard-Dados'!$J$1,$A$1,A102,$B$1,B102),0)</f>
        <v>0</v>
      </c>
      <c r="H102" s="56">
        <f t="shared" si="2"/>
        <v>102</v>
      </c>
      <c r="U102" s="56"/>
      <c r="V102" s="56"/>
      <c r="W102" s="56"/>
      <c r="Y102" s="138"/>
    </row>
    <row r="103">
      <c r="A103" s="56"/>
      <c r="B103" s="56"/>
      <c r="C103" s="108" t="str">
        <f>IFNA(VLOOKUP('Dashboard-Dados'!B103,'Dashboard-Dados'!$Y$2:$AA$13,2),"")</f>
        <v/>
      </c>
      <c r="D103" s="109">
        <f>IFERROR(GETPIVOTDATA("Valor Recebido",'Dashboard-Dados'!$J$1,$A$1,A103,$B$1,B103),0)</f>
        <v>0</v>
      </c>
      <c r="E103" s="110">
        <f>IFERROR(GETPIVOTDATA("Valor Despesa",'Dashboard-Dados'!$P$1,$A$1,A103,$B$1,B103),0)</f>
        <v>0</v>
      </c>
      <c r="F103" s="110">
        <f t="shared" si="1"/>
        <v>0</v>
      </c>
      <c r="G103" s="56">
        <f>IFERROR(GETPIVOTDATA("Exame",'Dashboard-Dados'!$J$1,$A$1,A103,$B$1,B103),0)</f>
        <v>0</v>
      </c>
      <c r="H103" s="56">
        <f t="shared" si="2"/>
        <v>103</v>
      </c>
      <c r="U103" s="56"/>
      <c r="V103" s="56"/>
      <c r="W103" s="56"/>
      <c r="Y103" s="138"/>
    </row>
    <row r="104">
      <c r="A104" s="56"/>
      <c r="B104" s="56"/>
      <c r="C104" s="108" t="str">
        <f>IFNA(VLOOKUP('Dashboard-Dados'!B104,'Dashboard-Dados'!$Y$2:$AA$13,2),"")</f>
        <v/>
      </c>
      <c r="D104" s="109">
        <f>IFERROR(GETPIVOTDATA("Valor Recebido",'Dashboard-Dados'!$J$1,$A$1,A104,$B$1,B104),0)</f>
        <v>0</v>
      </c>
      <c r="E104" s="110">
        <f>IFERROR(GETPIVOTDATA("Valor Despesa",'Dashboard-Dados'!$P$1,$A$1,A104,$B$1,B104),0)</f>
        <v>0</v>
      </c>
      <c r="F104" s="110">
        <f t="shared" si="1"/>
        <v>0</v>
      </c>
      <c r="G104" s="56">
        <f>IFERROR(GETPIVOTDATA("Exame",'Dashboard-Dados'!$J$1,$A$1,A104,$B$1,B104),0)</f>
        <v>0</v>
      </c>
      <c r="H104" s="56">
        <f t="shared" si="2"/>
        <v>104</v>
      </c>
      <c r="U104" s="56"/>
      <c r="V104" s="56"/>
      <c r="W104" s="56"/>
      <c r="Y104" s="138"/>
    </row>
    <row r="105">
      <c r="A105" s="56"/>
      <c r="B105" s="56"/>
      <c r="C105" s="108" t="str">
        <f>IFNA(VLOOKUP('Dashboard-Dados'!B105,'Dashboard-Dados'!$Y$2:$AA$13,2),"")</f>
        <v/>
      </c>
      <c r="D105" s="109">
        <f>IFERROR(GETPIVOTDATA("Valor Recebido",'Dashboard-Dados'!$J$1,$A$1,A105,$B$1,B105),0)</f>
        <v>0</v>
      </c>
      <c r="E105" s="110">
        <f>IFERROR(GETPIVOTDATA("Valor Despesa",'Dashboard-Dados'!$P$1,$A$1,A105,$B$1,B105),0)</f>
        <v>0</v>
      </c>
      <c r="F105" s="110">
        <f t="shared" si="1"/>
        <v>0</v>
      </c>
      <c r="G105" s="56">
        <f>IFERROR(GETPIVOTDATA("Exame",'Dashboard-Dados'!$J$1,$A$1,A105,$B$1,B105),0)</f>
        <v>0</v>
      </c>
      <c r="H105" s="56">
        <f t="shared" si="2"/>
        <v>105</v>
      </c>
      <c r="U105" s="56"/>
      <c r="V105" s="56"/>
      <c r="W105" s="56"/>
      <c r="Y105" s="138"/>
    </row>
    <row r="106">
      <c r="A106" s="56"/>
      <c r="B106" s="56"/>
      <c r="C106" s="108" t="str">
        <f>IFNA(VLOOKUP('Dashboard-Dados'!B106,'Dashboard-Dados'!$Y$2:$AA$13,2),"")</f>
        <v/>
      </c>
      <c r="D106" s="109">
        <f>IFERROR(GETPIVOTDATA("Valor Recebido",'Dashboard-Dados'!$J$1,$A$1,A106,$B$1,B106),0)</f>
        <v>0</v>
      </c>
      <c r="E106" s="110">
        <f>IFERROR(GETPIVOTDATA("Valor Despesa",'Dashboard-Dados'!$P$1,$A$1,A106,$B$1,B106),0)</f>
        <v>0</v>
      </c>
      <c r="F106" s="110">
        <f t="shared" si="1"/>
        <v>0</v>
      </c>
      <c r="G106" s="56">
        <f>IFERROR(GETPIVOTDATA("Exame",'Dashboard-Dados'!$J$1,$A$1,A106,$B$1,B106),0)</f>
        <v>0</v>
      </c>
      <c r="H106" s="56">
        <f t="shared" si="2"/>
        <v>106</v>
      </c>
      <c r="U106" s="56"/>
      <c r="V106" s="56"/>
      <c r="W106" s="56"/>
      <c r="Y106" s="138"/>
    </row>
    <row r="107">
      <c r="A107" s="56"/>
      <c r="B107" s="56"/>
      <c r="C107" s="108" t="str">
        <f>IFNA(VLOOKUP('Dashboard-Dados'!B107,'Dashboard-Dados'!$Y$2:$AA$13,2),"")</f>
        <v/>
      </c>
      <c r="D107" s="109">
        <f>IFERROR(GETPIVOTDATA("Valor Recebido",'Dashboard-Dados'!$J$1,$A$1,A107,$B$1,B107),0)</f>
        <v>0</v>
      </c>
      <c r="E107" s="110">
        <f>IFERROR(GETPIVOTDATA("Valor Despesa",'Dashboard-Dados'!$P$1,$A$1,A107,$B$1,B107),0)</f>
        <v>0</v>
      </c>
      <c r="F107" s="110">
        <f t="shared" si="1"/>
        <v>0</v>
      </c>
      <c r="G107" s="56">
        <f>IFERROR(GETPIVOTDATA("Exame",'Dashboard-Dados'!$J$1,$A$1,A107,$B$1,B107),0)</f>
        <v>0</v>
      </c>
      <c r="H107" s="56">
        <f t="shared" si="2"/>
        <v>107</v>
      </c>
      <c r="U107" s="56"/>
      <c r="V107" s="56"/>
      <c r="W107" s="56"/>
      <c r="Y107" s="138"/>
    </row>
    <row r="108">
      <c r="A108" s="56"/>
      <c r="B108" s="56"/>
      <c r="C108" s="108" t="str">
        <f>IFNA(VLOOKUP('Dashboard-Dados'!B108,'Dashboard-Dados'!$Y$2:$AA$13,2),"")</f>
        <v/>
      </c>
      <c r="D108" s="109">
        <f>IFERROR(GETPIVOTDATA("Valor Recebido",'Dashboard-Dados'!$J$1,$A$1,A108,$B$1,B108),0)</f>
        <v>0</v>
      </c>
      <c r="E108" s="110">
        <f>IFERROR(GETPIVOTDATA("Valor Despesa",'Dashboard-Dados'!$P$1,$A$1,A108,$B$1,B108),0)</f>
        <v>0</v>
      </c>
      <c r="F108" s="110">
        <f t="shared" si="1"/>
        <v>0</v>
      </c>
      <c r="G108" s="56">
        <f>IFERROR(GETPIVOTDATA("Exame",'Dashboard-Dados'!$J$1,$A$1,A108,$B$1,B108),0)</f>
        <v>0</v>
      </c>
      <c r="H108" s="56">
        <f t="shared" si="2"/>
        <v>108</v>
      </c>
      <c r="U108" s="56"/>
      <c r="V108" s="56"/>
      <c r="W108" s="56"/>
      <c r="Y108" s="138"/>
    </row>
    <row r="109">
      <c r="A109" s="56"/>
      <c r="B109" s="56"/>
      <c r="C109" s="108" t="str">
        <f>IFNA(VLOOKUP('Dashboard-Dados'!B109,'Dashboard-Dados'!$Y$2:$AA$13,2),"")</f>
        <v/>
      </c>
      <c r="D109" s="109">
        <f>IFERROR(GETPIVOTDATA("Valor Recebido",'Dashboard-Dados'!$J$1,$A$1,A109,$B$1,B109),0)</f>
        <v>0</v>
      </c>
      <c r="E109" s="110">
        <f>IFERROR(GETPIVOTDATA("Valor Despesa",'Dashboard-Dados'!$P$1,$A$1,A109,$B$1,B109),0)</f>
        <v>0</v>
      </c>
      <c r="F109" s="110">
        <f t="shared" si="1"/>
        <v>0</v>
      </c>
      <c r="G109" s="56">
        <f>IFERROR(GETPIVOTDATA("Exame",'Dashboard-Dados'!$J$1,$A$1,A109,$B$1,B109),0)</f>
        <v>0</v>
      </c>
      <c r="H109" s="56">
        <f t="shared" si="2"/>
        <v>109</v>
      </c>
      <c r="U109" s="56"/>
      <c r="V109" s="56"/>
      <c r="W109" s="56"/>
      <c r="Y109" s="138"/>
    </row>
    <row r="110">
      <c r="A110" s="56"/>
      <c r="B110" s="56"/>
      <c r="C110" s="108" t="str">
        <f>IFNA(VLOOKUP('Dashboard-Dados'!B110,'Dashboard-Dados'!$Y$2:$AA$13,2),"")</f>
        <v/>
      </c>
      <c r="D110" s="109">
        <f>IFERROR(GETPIVOTDATA("Valor Recebido",'Dashboard-Dados'!$J$1,$A$1,A110,$B$1,B110),0)</f>
        <v>0</v>
      </c>
      <c r="E110" s="110">
        <f>IFERROR(GETPIVOTDATA("Valor Despesa",'Dashboard-Dados'!$P$1,$A$1,A110,$B$1,B110),0)</f>
        <v>0</v>
      </c>
      <c r="F110" s="110">
        <f t="shared" si="1"/>
        <v>0</v>
      </c>
      <c r="G110" s="56">
        <f>IFERROR(GETPIVOTDATA("Exame",'Dashboard-Dados'!$J$1,$A$1,A110,$B$1,B110),0)</f>
        <v>0</v>
      </c>
      <c r="H110" s="56">
        <f t="shared" si="2"/>
        <v>110</v>
      </c>
      <c r="U110" s="56"/>
      <c r="V110" s="56"/>
      <c r="W110" s="56"/>
      <c r="Y110" s="138"/>
    </row>
    <row r="111">
      <c r="A111" s="56"/>
      <c r="B111" s="56"/>
      <c r="C111" s="108" t="str">
        <f>IFNA(VLOOKUP('Dashboard-Dados'!B111,'Dashboard-Dados'!$Y$2:$AA$13,2),"")</f>
        <v/>
      </c>
      <c r="D111" s="109">
        <f>IFERROR(GETPIVOTDATA("Valor Recebido",'Dashboard-Dados'!$J$1,$A$1,A111,$B$1,B111),0)</f>
        <v>0</v>
      </c>
      <c r="E111" s="110">
        <f>IFERROR(GETPIVOTDATA("Valor Despesa",'Dashboard-Dados'!$P$1,$A$1,A111,$B$1,B111),0)</f>
        <v>0</v>
      </c>
      <c r="F111" s="110">
        <f t="shared" si="1"/>
        <v>0</v>
      </c>
      <c r="G111" s="56">
        <f>IFERROR(GETPIVOTDATA("Exame",'Dashboard-Dados'!$J$1,$A$1,A111,$B$1,B111),0)</f>
        <v>0</v>
      </c>
      <c r="H111" s="56">
        <f t="shared" si="2"/>
        <v>111</v>
      </c>
      <c r="U111" s="56"/>
      <c r="V111" s="56"/>
      <c r="W111" s="56"/>
      <c r="Y111" s="138"/>
    </row>
    <row r="112">
      <c r="A112" s="56"/>
      <c r="B112" s="56"/>
      <c r="C112" s="108" t="str">
        <f>IFNA(VLOOKUP('Dashboard-Dados'!B112,'Dashboard-Dados'!$Y$2:$AA$13,2),"")</f>
        <v/>
      </c>
      <c r="D112" s="109">
        <f>IFERROR(GETPIVOTDATA("Valor Recebido",'Dashboard-Dados'!$J$1,$A$1,A112,$B$1,B112),0)</f>
        <v>0</v>
      </c>
      <c r="E112" s="110">
        <f>IFERROR(GETPIVOTDATA("Valor Despesa",'Dashboard-Dados'!$P$1,$A$1,A112,$B$1,B112),0)</f>
        <v>0</v>
      </c>
      <c r="F112" s="110">
        <f t="shared" si="1"/>
        <v>0</v>
      </c>
      <c r="G112" s="56">
        <f>IFERROR(GETPIVOTDATA("Exame",'Dashboard-Dados'!$J$1,$A$1,A112,$B$1,B112),0)</f>
        <v>0</v>
      </c>
      <c r="H112" s="56">
        <f t="shared" si="2"/>
        <v>112</v>
      </c>
      <c r="U112" s="56"/>
      <c r="V112" s="56"/>
      <c r="W112" s="56"/>
      <c r="Y112" s="138"/>
    </row>
    <row r="113">
      <c r="A113" s="56"/>
      <c r="B113" s="56"/>
      <c r="C113" s="108" t="str">
        <f>IFNA(VLOOKUP('Dashboard-Dados'!B113,'Dashboard-Dados'!$Y$2:$AA$13,2),"")</f>
        <v/>
      </c>
      <c r="D113" s="109">
        <f>IFERROR(GETPIVOTDATA("Valor Recebido",'Dashboard-Dados'!$J$1,$A$1,A113,$B$1,B113),0)</f>
        <v>0</v>
      </c>
      <c r="E113" s="110">
        <f>IFERROR(GETPIVOTDATA("Valor Despesa",'Dashboard-Dados'!$P$1,$A$1,A113,$B$1,B113),0)</f>
        <v>0</v>
      </c>
      <c r="F113" s="110">
        <f t="shared" si="1"/>
        <v>0</v>
      </c>
      <c r="G113" s="56">
        <f>IFERROR(GETPIVOTDATA("Exame",'Dashboard-Dados'!$J$1,$A$1,A113,$B$1,B113),0)</f>
        <v>0</v>
      </c>
      <c r="H113" s="56">
        <f t="shared" si="2"/>
        <v>113</v>
      </c>
      <c r="U113" s="56"/>
      <c r="V113" s="56"/>
      <c r="W113" s="56"/>
      <c r="Y113" s="138"/>
    </row>
    <row r="114">
      <c r="A114" s="56"/>
      <c r="B114" s="56"/>
      <c r="C114" s="108" t="str">
        <f>IFNA(VLOOKUP('Dashboard-Dados'!B114,'Dashboard-Dados'!$Y$2:$AA$13,2),"")</f>
        <v/>
      </c>
      <c r="D114" s="109">
        <f>IFERROR(GETPIVOTDATA("Valor Recebido",'Dashboard-Dados'!$J$1,$A$1,A114,$B$1,B114),0)</f>
        <v>0</v>
      </c>
      <c r="E114" s="110">
        <f>IFERROR(GETPIVOTDATA("Valor Despesa",'Dashboard-Dados'!$P$1,$A$1,A114,$B$1,B114),0)</f>
        <v>0</v>
      </c>
      <c r="F114" s="110">
        <f t="shared" si="1"/>
        <v>0</v>
      </c>
      <c r="G114" s="56">
        <f>IFERROR(GETPIVOTDATA("Exame",'Dashboard-Dados'!$J$1,$A$1,A114,$B$1,B114),0)</f>
        <v>0</v>
      </c>
      <c r="H114" s="56">
        <f t="shared" si="2"/>
        <v>114</v>
      </c>
      <c r="U114" s="56"/>
      <c r="V114" s="56"/>
      <c r="W114" s="56"/>
      <c r="Y114" s="138"/>
    </row>
    <row r="115">
      <c r="A115" s="56"/>
      <c r="B115" s="56"/>
      <c r="C115" s="108" t="str">
        <f>IFNA(VLOOKUP('Dashboard-Dados'!B115,'Dashboard-Dados'!$Y$2:$AA$13,2),"")</f>
        <v/>
      </c>
      <c r="D115" s="109">
        <f>IFERROR(GETPIVOTDATA("Valor Recebido",'Dashboard-Dados'!$J$1,$A$1,A115,$B$1,B115),0)</f>
        <v>0</v>
      </c>
      <c r="E115" s="110">
        <f>IFERROR(GETPIVOTDATA("Valor Despesa",'Dashboard-Dados'!$P$1,$A$1,A115,$B$1,B115),0)</f>
        <v>0</v>
      </c>
      <c r="F115" s="110">
        <f t="shared" si="1"/>
        <v>0</v>
      </c>
      <c r="G115" s="56">
        <f>IFERROR(GETPIVOTDATA("Exame",'Dashboard-Dados'!$J$1,$A$1,A115,$B$1,B115),0)</f>
        <v>0</v>
      </c>
      <c r="H115" s="56">
        <f t="shared" si="2"/>
        <v>115</v>
      </c>
      <c r="U115" s="56"/>
      <c r="V115" s="56"/>
      <c r="W115" s="56"/>
      <c r="Y115" s="138"/>
    </row>
    <row r="116">
      <c r="A116" s="56"/>
      <c r="B116" s="56"/>
      <c r="C116" s="108" t="str">
        <f>IFNA(VLOOKUP('Dashboard-Dados'!B116,'Dashboard-Dados'!$Y$2:$AA$13,2),"")</f>
        <v/>
      </c>
      <c r="D116" s="109">
        <f>IFERROR(GETPIVOTDATA("Valor Recebido",'Dashboard-Dados'!$J$1,$A$1,A116,$B$1,B116),0)</f>
        <v>0</v>
      </c>
      <c r="E116" s="110">
        <f>IFERROR(GETPIVOTDATA("Valor Despesa",'Dashboard-Dados'!$P$1,$A$1,A116,$B$1,B116),0)</f>
        <v>0</v>
      </c>
      <c r="F116" s="110">
        <f t="shared" si="1"/>
        <v>0</v>
      </c>
      <c r="G116" s="56">
        <f>IFERROR(GETPIVOTDATA("Exame",'Dashboard-Dados'!$J$1,$A$1,A116,$B$1,B116),0)</f>
        <v>0</v>
      </c>
      <c r="H116" s="56">
        <f t="shared" si="2"/>
        <v>116</v>
      </c>
      <c r="U116" s="56"/>
      <c r="V116" s="56"/>
      <c r="W116" s="56"/>
      <c r="Y116" s="138"/>
    </row>
    <row r="117">
      <c r="A117" s="56"/>
      <c r="B117" s="56"/>
      <c r="C117" s="108" t="str">
        <f>IFNA(VLOOKUP('Dashboard-Dados'!B117,'Dashboard-Dados'!$Y$2:$AA$13,2),"")</f>
        <v/>
      </c>
      <c r="D117" s="109">
        <f>IFERROR(GETPIVOTDATA("Valor Recebido",'Dashboard-Dados'!$J$1,$A$1,A117,$B$1,B117),0)</f>
        <v>0</v>
      </c>
      <c r="E117" s="110">
        <f>IFERROR(GETPIVOTDATA("Valor Despesa",'Dashboard-Dados'!$P$1,$A$1,A117,$B$1,B117),0)</f>
        <v>0</v>
      </c>
      <c r="F117" s="110">
        <f t="shared" si="1"/>
        <v>0</v>
      </c>
      <c r="G117" s="56">
        <f>IFERROR(GETPIVOTDATA("Exame",'Dashboard-Dados'!$J$1,$A$1,A117,$B$1,B117),0)</f>
        <v>0</v>
      </c>
      <c r="H117" s="56">
        <f t="shared" si="2"/>
        <v>117</v>
      </c>
      <c r="U117" s="56"/>
      <c r="V117" s="56"/>
      <c r="W117" s="56"/>
      <c r="Y117" s="138"/>
    </row>
    <row r="118">
      <c r="A118" s="56"/>
      <c r="B118" s="56"/>
      <c r="C118" s="108" t="str">
        <f>IFNA(VLOOKUP('Dashboard-Dados'!B118,'Dashboard-Dados'!$Y$2:$AA$13,2),"")</f>
        <v/>
      </c>
      <c r="D118" s="109">
        <f>IFERROR(GETPIVOTDATA("Valor Recebido",'Dashboard-Dados'!$J$1,$A$1,A118,$B$1,B118),0)</f>
        <v>0</v>
      </c>
      <c r="E118" s="110">
        <f>IFERROR(GETPIVOTDATA("Valor Despesa",'Dashboard-Dados'!$P$1,$A$1,A118,$B$1,B118),0)</f>
        <v>0</v>
      </c>
      <c r="F118" s="110">
        <f t="shared" si="1"/>
        <v>0</v>
      </c>
      <c r="G118" s="56">
        <f>IFERROR(GETPIVOTDATA("Exame",'Dashboard-Dados'!$J$1,$A$1,A118,$B$1,B118),0)</f>
        <v>0</v>
      </c>
      <c r="H118" s="56">
        <f t="shared" si="2"/>
        <v>118</v>
      </c>
      <c r="U118" s="56"/>
      <c r="V118" s="56"/>
      <c r="W118" s="56"/>
      <c r="Y118" s="138"/>
    </row>
    <row r="119">
      <c r="A119" s="56"/>
      <c r="B119" s="56"/>
      <c r="C119" s="108" t="str">
        <f>IFNA(VLOOKUP('Dashboard-Dados'!B119,'Dashboard-Dados'!$Y$2:$AA$13,2),"")</f>
        <v/>
      </c>
      <c r="D119" s="109">
        <f>IFERROR(GETPIVOTDATA("Valor Recebido",'Dashboard-Dados'!$J$1,$A$1,A119,$B$1,B119),0)</f>
        <v>0</v>
      </c>
      <c r="E119" s="110">
        <f>IFERROR(GETPIVOTDATA("Valor Despesa",'Dashboard-Dados'!$P$1,$A$1,A119,$B$1,B119),0)</f>
        <v>0</v>
      </c>
      <c r="F119" s="110">
        <f t="shared" si="1"/>
        <v>0</v>
      </c>
      <c r="G119" s="56">
        <f>IFERROR(GETPIVOTDATA("Exame",'Dashboard-Dados'!$J$1,$A$1,A119,$B$1,B119),0)</f>
        <v>0</v>
      </c>
      <c r="H119" s="56">
        <f t="shared" si="2"/>
        <v>119</v>
      </c>
      <c r="U119" s="56"/>
      <c r="V119" s="56"/>
      <c r="W119" s="56"/>
      <c r="Y119" s="138"/>
    </row>
    <row r="120">
      <c r="A120" s="56"/>
      <c r="B120" s="56"/>
      <c r="C120" s="108" t="str">
        <f>IFNA(VLOOKUP('Dashboard-Dados'!B120,'Dashboard-Dados'!$Y$2:$AA$13,2),"")</f>
        <v/>
      </c>
      <c r="D120" s="109">
        <f>IFERROR(GETPIVOTDATA("Valor Recebido",'Dashboard-Dados'!$J$1,$A$1,A120,$B$1,B120),0)</f>
        <v>0</v>
      </c>
      <c r="E120" s="110">
        <f>IFERROR(GETPIVOTDATA("Valor Despesa",'Dashboard-Dados'!$P$1,$A$1,A120,$B$1,B120),0)</f>
        <v>0</v>
      </c>
      <c r="F120" s="110">
        <f t="shared" si="1"/>
        <v>0</v>
      </c>
      <c r="G120" s="56">
        <f>IFERROR(GETPIVOTDATA("Exame",'Dashboard-Dados'!$J$1,$A$1,A120,$B$1,B120),0)</f>
        <v>0</v>
      </c>
      <c r="H120" s="56">
        <f t="shared" si="2"/>
        <v>120</v>
      </c>
      <c r="U120" s="56"/>
      <c r="V120" s="56"/>
      <c r="W120" s="56"/>
      <c r="Y120" s="138"/>
    </row>
    <row r="121">
      <c r="A121" s="56"/>
      <c r="B121" s="56"/>
      <c r="C121" s="108" t="str">
        <f>IFNA(VLOOKUP('Dashboard-Dados'!B121,'Dashboard-Dados'!$Y$2:$AA$13,2),"")</f>
        <v/>
      </c>
      <c r="D121" s="109">
        <f>IFERROR(GETPIVOTDATA("Valor Recebido",'Dashboard-Dados'!$J$1,$A$1,A121,$B$1,B121),0)</f>
        <v>0</v>
      </c>
      <c r="E121" s="110">
        <f>IFERROR(GETPIVOTDATA("Valor Despesa",'Dashboard-Dados'!$P$1,$A$1,A121,$B$1,B121),0)</f>
        <v>0</v>
      </c>
      <c r="F121" s="110">
        <f t="shared" si="1"/>
        <v>0</v>
      </c>
      <c r="G121" s="56">
        <f>IFERROR(GETPIVOTDATA("Exame",'Dashboard-Dados'!$J$1,$A$1,A121,$B$1,B121),0)</f>
        <v>0</v>
      </c>
      <c r="H121" s="56">
        <f t="shared" si="2"/>
        <v>121</v>
      </c>
      <c r="U121" s="56"/>
      <c r="V121" s="56"/>
      <c r="W121" s="56"/>
      <c r="Y121" s="138"/>
    </row>
    <row r="122">
      <c r="A122" s="56"/>
      <c r="B122" s="56"/>
      <c r="C122" s="108" t="str">
        <f>IFNA(VLOOKUP('Dashboard-Dados'!B122,'Dashboard-Dados'!$Y$2:$AA$13,2),"")</f>
        <v/>
      </c>
      <c r="D122" s="109">
        <f>IFERROR(GETPIVOTDATA("Valor Recebido",'Dashboard-Dados'!$J$1,$A$1,A122,$B$1,B122),0)</f>
        <v>0</v>
      </c>
      <c r="E122" s="110">
        <f>IFERROR(GETPIVOTDATA("Valor Despesa",'Dashboard-Dados'!$P$1,$A$1,A122,$B$1,B122),0)</f>
        <v>0</v>
      </c>
      <c r="F122" s="110">
        <f t="shared" si="1"/>
        <v>0</v>
      </c>
      <c r="G122" s="56">
        <f>IFERROR(GETPIVOTDATA("Exame",'Dashboard-Dados'!$J$1,$A$1,A122,$B$1,B122),0)</f>
        <v>0</v>
      </c>
      <c r="H122" s="56">
        <f t="shared" si="2"/>
        <v>122</v>
      </c>
      <c r="U122" s="56"/>
      <c r="V122" s="56"/>
      <c r="W122" s="56"/>
      <c r="Y122" s="138"/>
    </row>
    <row r="123">
      <c r="A123" s="56"/>
      <c r="B123" s="56"/>
      <c r="C123" s="108" t="str">
        <f>IFNA(VLOOKUP('Dashboard-Dados'!B123,'Dashboard-Dados'!$Y$2:$AA$13,2),"")</f>
        <v/>
      </c>
      <c r="D123" s="109">
        <f>IFERROR(GETPIVOTDATA("Valor Recebido",'Dashboard-Dados'!$J$1,$A$1,A123,$B$1,B123),0)</f>
        <v>0</v>
      </c>
      <c r="E123" s="110">
        <f>IFERROR(GETPIVOTDATA("Valor Despesa",'Dashboard-Dados'!$P$1,$A$1,A123,$B$1,B123),0)</f>
        <v>0</v>
      </c>
      <c r="F123" s="110">
        <f t="shared" si="1"/>
        <v>0</v>
      </c>
      <c r="G123" s="56">
        <f>IFERROR(GETPIVOTDATA("Exame",'Dashboard-Dados'!$J$1,$A$1,A123,$B$1,B123),0)</f>
        <v>0</v>
      </c>
      <c r="H123" s="56">
        <f t="shared" si="2"/>
        <v>123</v>
      </c>
      <c r="U123" s="56"/>
      <c r="V123" s="56"/>
      <c r="W123" s="56"/>
      <c r="Y123" s="138"/>
    </row>
    <row r="124">
      <c r="A124" s="56"/>
      <c r="B124" s="56"/>
      <c r="C124" s="108" t="str">
        <f>IFNA(VLOOKUP('Dashboard-Dados'!B124,'Dashboard-Dados'!$Y$2:$AA$13,2),"")</f>
        <v/>
      </c>
      <c r="D124" s="109">
        <f>IFERROR(GETPIVOTDATA("Valor Recebido",'Dashboard-Dados'!$J$1,$A$1,A124,$B$1,B124),0)</f>
        <v>0</v>
      </c>
      <c r="E124" s="110">
        <f>IFERROR(GETPIVOTDATA("Valor Despesa",'Dashboard-Dados'!$P$1,$A$1,A124,$B$1,B124),0)</f>
        <v>0</v>
      </c>
      <c r="F124" s="110">
        <f t="shared" si="1"/>
        <v>0</v>
      </c>
      <c r="G124" s="56">
        <f>IFERROR(GETPIVOTDATA("Exame",'Dashboard-Dados'!$J$1,$A$1,A124,$B$1,B124),0)</f>
        <v>0</v>
      </c>
      <c r="H124" s="56">
        <f t="shared" si="2"/>
        <v>124</v>
      </c>
      <c r="U124" s="56"/>
      <c r="V124" s="56"/>
      <c r="W124" s="56"/>
      <c r="Y124" s="138"/>
    </row>
    <row r="125">
      <c r="A125" s="56"/>
      <c r="B125" s="56"/>
      <c r="C125" s="108" t="str">
        <f>IFNA(VLOOKUP('Dashboard-Dados'!B125,'Dashboard-Dados'!$Y$2:$AA$13,2),"")</f>
        <v/>
      </c>
      <c r="D125" s="109">
        <f>IFERROR(GETPIVOTDATA("Valor Recebido",'Dashboard-Dados'!$J$1,$A$1,A125,$B$1,B125),0)</f>
        <v>0</v>
      </c>
      <c r="E125" s="110">
        <f>IFERROR(GETPIVOTDATA("Valor Despesa",'Dashboard-Dados'!$P$1,$A$1,A125,$B$1,B125),0)</f>
        <v>0</v>
      </c>
      <c r="F125" s="110">
        <f t="shared" si="1"/>
        <v>0</v>
      </c>
      <c r="G125" s="56">
        <f>IFERROR(GETPIVOTDATA("Exame",'Dashboard-Dados'!$J$1,$A$1,A125,$B$1,B125),0)</f>
        <v>0</v>
      </c>
      <c r="H125" s="56">
        <f t="shared" si="2"/>
        <v>125</v>
      </c>
      <c r="U125" s="56"/>
      <c r="V125" s="56"/>
      <c r="W125" s="56"/>
      <c r="Y125" s="138"/>
    </row>
    <row r="126">
      <c r="A126" s="56"/>
      <c r="B126" s="56"/>
      <c r="C126" s="108" t="str">
        <f>IFNA(VLOOKUP('Dashboard-Dados'!B126,'Dashboard-Dados'!$Y$2:$AA$13,2),"")</f>
        <v/>
      </c>
      <c r="D126" s="109">
        <f>IFERROR(GETPIVOTDATA("Valor Recebido",'Dashboard-Dados'!$J$1,$A$1,A126,$B$1,B126),0)</f>
        <v>0</v>
      </c>
      <c r="E126" s="110">
        <f>IFERROR(GETPIVOTDATA("Valor Despesa",'Dashboard-Dados'!$P$1,$A$1,A126,$B$1,B126),0)</f>
        <v>0</v>
      </c>
      <c r="F126" s="110">
        <f t="shared" si="1"/>
        <v>0</v>
      </c>
      <c r="G126" s="56">
        <f>IFERROR(GETPIVOTDATA("Exame",'Dashboard-Dados'!$J$1,$A$1,A126,$B$1,B126),0)</f>
        <v>0</v>
      </c>
      <c r="H126" s="56">
        <f t="shared" si="2"/>
        <v>126</v>
      </c>
      <c r="U126" s="56"/>
      <c r="V126" s="56"/>
      <c r="W126" s="56"/>
      <c r="Y126" s="138"/>
    </row>
    <row r="127">
      <c r="A127" s="56"/>
      <c r="B127" s="56"/>
      <c r="C127" s="108" t="str">
        <f>IFNA(VLOOKUP('Dashboard-Dados'!B127,'Dashboard-Dados'!$Y$2:$AA$13,2),"")</f>
        <v/>
      </c>
      <c r="D127" s="109">
        <f>IFERROR(GETPIVOTDATA("Valor Recebido",'Dashboard-Dados'!$J$1,$A$1,A127,$B$1,B127),0)</f>
        <v>0</v>
      </c>
      <c r="E127" s="110">
        <f>IFERROR(GETPIVOTDATA("Valor Despesa",'Dashboard-Dados'!$P$1,$A$1,A127,$B$1,B127),0)</f>
        <v>0</v>
      </c>
      <c r="F127" s="110">
        <f t="shared" si="1"/>
        <v>0</v>
      </c>
      <c r="G127" s="56">
        <f>IFERROR(GETPIVOTDATA("Exame",'Dashboard-Dados'!$J$1,$A$1,A127,$B$1,B127),0)</f>
        <v>0</v>
      </c>
      <c r="H127" s="56">
        <f t="shared" si="2"/>
        <v>127</v>
      </c>
      <c r="U127" s="56"/>
      <c r="V127" s="56"/>
      <c r="W127" s="56"/>
      <c r="Y127" s="138"/>
    </row>
    <row r="128">
      <c r="A128" s="56"/>
      <c r="B128" s="56"/>
      <c r="C128" s="108" t="str">
        <f>IFNA(VLOOKUP('Dashboard-Dados'!B128,'Dashboard-Dados'!$Y$2:$AA$13,2),"")</f>
        <v/>
      </c>
      <c r="D128" s="109">
        <f>IFERROR(GETPIVOTDATA("Valor Recebido",'Dashboard-Dados'!$J$1,$A$1,A128,$B$1,B128),0)</f>
        <v>0</v>
      </c>
      <c r="E128" s="110">
        <f>IFERROR(GETPIVOTDATA("Valor Despesa",'Dashboard-Dados'!$P$1,$A$1,A128,$B$1,B128),0)</f>
        <v>0</v>
      </c>
      <c r="F128" s="110">
        <f t="shared" si="1"/>
        <v>0</v>
      </c>
      <c r="G128" s="56">
        <f>IFERROR(GETPIVOTDATA("Exame",'Dashboard-Dados'!$J$1,$A$1,A128,$B$1,B128),0)</f>
        <v>0</v>
      </c>
      <c r="H128" s="56">
        <f t="shared" si="2"/>
        <v>128</v>
      </c>
      <c r="U128" s="56"/>
      <c r="V128" s="56"/>
      <c r="W128" s="56"/>
      <c r="Y128" s="138"/>
    </row>
    <row r="129">
      <c r="A129" s="56"/>
      <c r="B129" s="56"/>
      <c r="C129" s="108" t="str">
        <f>IFNA(VLOOKUP('Dashboard-Dados'!B129,'Dashboard-Dados'!$Y$2:$AA$13,2),"")</f>
        <v/>
      </c>
      <c r="D129" s="109">
        <f>IFERROR(GETPIVOTDATA("Valor Recebido",'Dashboard-Dados'!$J$1,$A$1,A129,$B$1,B129),0)</f>
        <v>0</v>
      </c>
      <c r="E129" s="110">
        <f>IFERROR(GETPIVOTDATA("Valor Despesa",'Dashboard-Dados'!$P$1,$A$1,A129,$B$1,B129),0)</f>
        <v>0</v>
      </c>
      <c r="F129" s="110">
        <f t="shared" si="1"/>
        <v>0</v>
      </c>
      <c r="G129" s="56">
        <f>IFERROR(GETPIVOTDATA("Exame",'Dashboard-Dados'!$J$1,$A$1,A129,$B$1,B129),0)</f>
        <v>0</v>
      </c>
      <c r="H129" s="56">
        <f t="shared" si="2"/>
        <v>129</v>
      </c>
      <c r="U129" s="56"/>
      <c r="V129" s="56"/>
      <c r="W129" s="56"/>
      <c r="Y129" s="138"/>
    </row>
    <row r="130">
      <c r="A130" s="56"/>
      <c r="B130" s="56"/>
      <c r="C130" s="108" t="str">
        <f>IFNA(VLOOKUP('Dashboard-Dados'!B130,'Dashboard-Dados'!$Y$2:$AA$13,2),"")</f>
        <v/>
      </c>
      <c r="D130" s="109">
        <f>IFERROR(GETPIVOTDATA("Valor Recebido",'Dashboard-Dados'!$J$1,$A$1,A130,$B$1,B130),0)</f>
        <v>0</v>
      </c>
      <c r="E130" s="110">
        <f>IFERROR(GETPIVOTDATA("Valor Despesa",'Dashboard-Dados'!$P$1,$A$1,A130,$B$1,B130),0)</f>
        <v>0</v>
      </c>
      <c r="F130" s="110">
        <f t="shared" si="1"/>
        <v>0</v>
      </c>
      <c r="G130" s="56">
        <f>IFERROR(GETPIVOTDATA("Exame",'Dashboard-Dados'!$J$1,$A$1,A130,$B$1,B130),0)</f>
        <v>0</v>
      </c>
      <c r="H130" s="56">
        <f t="shared" si="2"/>
        <v>130</v>
      </c>
      <c r="U130" s="56"/>
      <c r="V130" s="56"/>
      <c r="W130" s="56"/>
      <c r="Y130" s="138"/>
    </row>
    <row r="131">
      <c r="A131" s="56"/>
      <c r="B131" s="56"/>
      <c r="C131" s="108" t="str">
        <f>IFNA(VLOOKUP('Dashboard-Dados'!B131,'Dashboard-Dados'!$Y$2:$AA$13,2),"")</f>
        <v/>
      </c>
      <c r="D131" s="109">
        <f>IFERROR(GETPIVOTDATA("Valor Recebido",'Dashboard-Dados'!$J$1,$A$1,A131,$B$1,B131),0)</f>
        <v>0</v>
      </c>
      <c r="E131" s="110">
        <f>IFERROR(GETPIVOTDATA("Valor Despesa",'Dashboard-Dados'!$P$1,$A$1,A131,$B$1,B131),0)</f>
        <v>0</v>
      </c>
      <c r="F131" s="110">
        <f t="shared" si="1"/>
        <v>0</v>
      </c>
      <c r="G131" s="56">
        <f>IFERROR(GETPIVOTDATA("Exame",'Dashboard-Dados'!$J$1,$A$1,A131,$B$1,B131),0)</f>
        <v>0</v>
      </c>
      <c r="H131" s="56">
        <f t="shared" si="2"/>
        <v>131</v>
      </c>
      <c r="U131" s="56"/>
      <c r="V131" s="56"/>
      <c r="W131" s="56"/>
      <c r="Y131" s="138"/>
    </row>
    <row r="132">
      <c r="A132" s="56"/>
      <c r="B132" s="56"/>
      <c r="C132" s="108" t="str">
        <f>IFNA(VLOOKUP('Dashboard-Dados'!B132,'Dashboard-Dados'!$Y$2:$AA$13,2),"")</f>
        <v/>
      </c>
      <c r="D132" s="109">
        <f>IFERROR(GETPIVOTDATA("Valor Recebido",'Dashboard-Dados'!$J$1,$A$1,A132,$B$1,B132),0)</f>
        <v>0</v>
      </c>
      <c r="E132" s="110">
        <f>IFERROR(GETPIVOTDATA("Valor Despesa",'Dashboard-Dados'!$P$1,$A$1,A132,$B$1,B132),0)</f>
        <v>0</v>
      </c>
      <c r="F132" s="110">
        <f t="shared" si="1"/>
        <v>0</v>
      </c>
      <c r="G132" s="56">
        <f>IFERROR(GETPIVOTDATA("Exame",'Dashboard-Dados'!$J$1,$A$1,A132,$B$1,B132),0)</f>
        <v>0</v>
      </c>
      <c r="H132" s="56">
        <f t="shared" si="2"/>
        <v>132</v>
      </c>
      <c r="U132" s="56"/>
      <c r="V132" s="56"/>
      <c r="W132" s="56"/>
      <c r="Y132" s="138"/>
    </row>
    <row r="133">
      <c r="A133" s="56"/>
      <c r="B133" s="56"/>
      <c r="C133" s="108" t="str">
        <f>IFNA(VLOOKUP('Dashboard-Dados'!B133,'Dashboard-Dados'!$Y$2:$AA$13,2),"")</f>
        <v/>
      </c>
      <c r="D133" s="109">
        <f>IFERROR(GETPIVOTDATA("Valor Recebido",'Dashboard-Dados'!$J$1,$A$1,A133,$B$1,B133),0)</f>
        <v>0</v>
      </c>
      <c r="E133" s="110">
        <f>IFERROR(GETPIVOTDATA("Valor Despesa",'Dashboard-Dados'!$P$1,$A$1,A133,$B$1,B133),0)</f>
        <v>0</v>
      </c>
      <c r="F133" s="110">
        <f t="shared" si="1"/>
        <v>0</v>
      </c>
      <c r="G133" s="56">
        <f>IFERROR(GETPIVOTDATA("Exame",'Dashboard-Dados'!$J$1,$A$1,A133,$B$1,B133),0)</f>
        <v>0</v>
      </c>
      <c r="H133" s="56">
        <f t="shared" si="2"/>
        <v>133</v>
      </c>
      <c r="U133" s="56"/>
      <c r="V133" s="56"/>
      <c r="W133" s="56"/>
      <c r="Y133" s="138"/>
    </row>
    <row r="134">
      <c r="A134" s="56"/>
      <c r="B134" s="56"/>
      <c r="C134" s="108" t="str">
        <f>IFNA(VLOOKUP('Dashboard-Dados'!B134,'Dashboard-Dados'!$Y$2:$AA$13,2),"")</f>
        <v/>
      </c>
      <c r="D134" s="109">
        <f>IFERROR(GETPIVOTDATA("Valor Recebido",'Dashboard-Dados'!$J$1,$A$1,A134,$B$1,B134),0)</f>
        <v>0</v>
      </c>
      <c r="E134" s="110">
        <f>IFERROR(GETPIVOTDATA("Valor Despesa",'Dashboard-Dados'!$P$1,$A$1,A134,$B$1,B134),0)</f>
        <v>0</v>
      </c>
      <c r="F134" s="110">
        <f t="shared" si="1"/>
        <v>0</v>
      </c>
      <c r="G134" s="56">
        <f>IFERROR(GETPIVOTDATA("Exame",'Dashboard-Dados'!$J$1,$A$1,A134,$B$1,B134),0)</f>
        <v>0</v>
      </c>
      <c r="H134" s="56">
        <f t="shared" si="2"/>
        <v>134</v>
      </c>
      <c r="U134" s="56"/>
      <c r="V134" s="56"/>
      <c r="W134" s="56"/>
      <c r="Y134" s="138"/>
    </row>
    <row r="135">
      <c r="A135" s="56"/>
      <c r="B135" s="56"/>
      <c r="C135" s="108" t="str">
        <f>IFNA(VLOOKUP('Dashboard-Dados'!B135,'Dashboard-Dados'!$Y$2:$AA$13,2),"")</f>
        <v/>
      </c>
      <c r="D135" s="109">
        <f>IFERROR(GETPIVOTDATA("Valor Recebido",'Dashboard-Dados'!$J$1,$A$1,A135,$B$1,B135),0)</f>
        <v>0</v>
      </c>
      <c r="E135" s="110">
        <f>IFERROR(GETPIVOTDATA("Valor Despesa",'Dashboard-Dados'!$P$1,$A$1,A135,$B$1,B135),0)</f>
        <v>0</v>
      </c>
      <c r="F135" s="110">
        <f t="shared" si="1"/>
        <v>0</v>
      </c>
      <c r="G135" s="56">
        <f>IFERROR(GETPIVOTDATA("Exame",'Dashboard-Dados'!$J$1,$A$1,A135,$B$1,B135),0)</f>
        <v>0</v>
      </c>
      <c r="H135" s="56">
        <f t="shared" si="2"/>
        <v>135</v>
      </c>
      <c r="U135" s="56"/>
      <c r="V135" s="56"/>
      <c r="W135" s="56"/>
      <c r="Y135" s="138"/>
    </row>
    <row r="136">
      <c r="A136" s="56"/>
      <c r="B136" s="56"/>
      <c r="C136" s="108" t="str">
        <f>IFNA(VLOOKUP('Dashboard-Dados'!B136,'Dashboard-Dados'!$Y$2:$AA$13,2),"")</f>
        <v/>
      </c>
      <c r="D136" s="109">
        <f>IFERROR(GETPIVOTDATA("Valor Recebido",'Dashboard-Dados'!$J$1,$A$1,A136,$B$1,B136),0)</f>
        <v>0</v>
      </c>
      <c r="E136" s="110">
        <f>IFERROR(GETPIVOTDATA("Valor Despesa",'Dashboard-Dados'!$P$1,$A$1,A136,$B$1,B136),0)</f>
        <v>0</v>
      </c>
      <c r="F136" s="110">
        <f t="shared" si="1"/>
        <v>0</v>
      </c>
      <c r="G136" s="56">
        <f>IFERROR(GETPIVOTDATA("Exame",'Dashboard-Dados'!$J$1,$A$1,A136,$B$1,B136),0)</f>
        <v>0</v>
      </c>
      <c r="H136" s="56">
        <f t="shared" si="2"/>
        <v>136</v>
      </c>
      <c r="U136" s="56"/>
      <c r="V136" s="56"/>
      <c r="W136" s="56"/>
      <c r="Y136" s="138"/>
    </row>
    <row r="137">
      <c r="A137" s="56"/>
      <c r="B137" s="56"/>
      <c r="C137" s="108" t="str">
        <f>IFNA(VLOOKUP('Dashboard-Dados'!B137,'Dashboard-Dados'!$Y$2:$AA$13,2),"")</f>
        <v/>
      </c>
      <c r="D137" s="109">
        <f>IFERROR(GETPIVOTDATA("Valor Recebido",'Dashboard-Dados'!$J$1,$A$1,A137,$B$1,B137),0)</f>
        <v>0</v>
      </c>
      <c r="E137" s="110">
        <f>IFERROR(GETPIVOTDATA("Valor Despesa",'Dashboard-Dados'!$P$1,$A$1,A137,$B$1,B137),0)</f>
        <v>0</v>
      </c>
      <c r="F137" s="110">
        <f t="shared" si="1"/>
        <v>0</v>
      </c>
      <c r="G137" s="56">
        <f>IFERROR(GETPIVOTDATA("Exame",'Dashboard-Dados'!$J$1,$A$1,A137,$B$1,B137),0)</f>
        <v>0</v>
      </c>
      <c r="H137" s="56">
        <f t="shared" si="2"/>
        <v>137</v>
      </c>
      <c r="U137" s="56"/>
      <c r="V137" s="56"/>
      <c r="W137" s="56"/>
      <c r="Y137" s="138"/>
    </row>
    <row r="138">
      <c r="A138" s="56"/>
      <c r="B138" s="56"/>
      <c r="C138" s="108" t="str">
        <f>IFNA(VLOOKUP('Dashboard-Dados'!B138,'Dashboard-Dados'!$Y$2:$AA$13,2),"")</f>
        <v/>
      </c>
      <c r="D138" s="109">
        <f>IFERROR(GETPIVOTDATA("Valor Recebido",'Dashboard-Dados'!$J$1,$A$1,A138,$B$1,B138),0)</f>
        <v>0</v>
      </c>
      <c r="E138" s="110">
        <f>IFERROR(GETPIVOTDATA("Valor Despesa",'Dashboard-Dados'!$P$1,$A$1,A138,$B$1,B138),0)</f>
        <v>0</v>
      </c>
      <c r="F138" s="110">
        <f t="shared" si="1"/>
        <v>0</v>
      </c>
      <c r="G138" s="56">
        <f>IFERROR(GETPIVOTDATA("Exame",'Dashboard-Dados'!$J$1,$A$1,A138,$B$1,B138),0)</f>
        <v>0</v>
      </c>
      <c r="H138" s="56">
        <f t="shared" si="2"/>
        <v>138</v>
      </c>
      <c r="U138" s="56"/>
      <c r="V138" s="56"/>
      <c r="W138" s="56"/>
      <c r="Y138" s="138"/>
    </row>
    <row r="139">
      <c r="A139" s="56"/>
      <c r="B139" s="56"/>
      <c r="C139" s="108" t="str">
        <f>IFNA(VLOOKUP('Dashboard-Dados'!B139,'Dashboard-Dados'!$Y$2:$AA$13,2),"")</f>
        <v/>
      </c>
      <c r="D139" s="109">
        <f>IFERROR(GETPIVOTDATA("Valor Recebido",'Dashboard-Dados'!$J$1,$A$1,A139,$B$1,B139),0)</f>
        <v>0</v>
      </c>
      <c r="E139" s="110">
        <f>IFERROR(GETPIVOTDATA("Valor Despesa",'Dashboard-Dados'!$P$1,$A$1,A139,$B$1,B139),0)</f>
        <v>0</v>
      </c>
      <c r="F139" s="110">
        <f t="shared" si="1"/>
        <v>0</v>
      </c>
      <c r="G139" s="56">
        <f>IFERROR(GETPIVOTDATA("Exame",'Dashboard-Dados'!$J$1,$A$1,A139,$B$1,B139),0)</f>
        <v>0</v>
      </c>
      <c r="H139" s="56">
        <f t="shared" si="2"/>
        <v>139</v>
      </c>
      <c r="U139" s="56"/>
      <c r="V139" s="56"/>
      <c r="W139" s="56"/>
      <c r="Y139" s="138"/>
    </row>
    <row r="140">
      <c r="A140" s="56"/>
      <c r="B140" s="56"/>
      <c r="C140" s="108" t="str">
        <f>IFNA(VLOOKUP('Dashboard-Dados'!B140,'Dashboard-Dados'!$Y$2:$AA$13,2),"")</f>
        <v/>
      </c>
      <c r="D140" s="109">
        <f>IFERROR(GETPIVOTDATA("Valor Recebido",'Dashboard-Dados'!$J$1,$A$1,A140,$B$1,B140),0)</f>
        <v>0</v>
      </c>
      <c r="E140" s="110">
        <f>IFERROR(GETPIVOTDATA("Valor Despesa",'Dashboard-Dados'!$P$1,$A$1,A140,$B$1,B140),0)</f>
        <v>0</v>
      </c>
      <c r="F140" s="110">
        <f t="shared" si="1"/>
        <v>0</v>
      </c>
      <c r="G140" s="56">
        <f>IFERROR(GETPIVOTDATA("Exame",'Dashboard-Dados'!$J$1,$A$1,A140,$B$1,B140),0)</f>
        <v>0</v>
      </c>
      <c r="H140" s="56">
        <f t="shared" si="2"/>
        <v>140</v>
      </c>
      <c r="U140" s="56"/>
      <c r="V140" s="56"/>
      <c r="W140" s="56"/>
      <c r="Y140" s="138"/>
    </row>
    <row r="141">
      <c r="A141" s="56"/>
      <c r="B141" s="56"/>
      <c r="C141" s="108" t="str">
        <f>IFNA(VLOOKUP('Dashboard-Dados'!B141,'Dashboard-Dados'!$Y$2:$AA$13,2),"")</f>
        <v/>
      </c>
      <c r="D141" s="109">
        <f>IFERROR(GETPIVOTDATA("Valor Recebido",'Dashboard-Dados'!$J$1,$A$1,A141,$B$1,B141),0)</f>
        <v>0</v>
      </c>
      <c r="E141" s="110">
        <f>IFERROR(GETPIVOTDATA("Valor Despesa",'Dashboard-Dados'!$P$1,$A$1,A141,$B$1,B141),0)</f>
        <v>0</v>
      </c>
      <c r="F141" s="110">
        <f t="shared" si="1"/>
        <v>0</v>
      </c>
      <c r="G141" s="56">
        <f>IFERROR(GETPIVOTDATA("Exame",'Dashboard-Dados'!$J$1,$A$1,A141,$B$1,B141),0)</f>
        <v>0</v>
      </c>
      <c r="H141" s="56">
        <f t="shared" si="2"/>
        <v>141</v>
      </c>
      <c r="U141" s="56"/>
      <c r="V141" s="56"/>
      <c r="W141" s="56"/>
      <c r="Y141" s="138"/>
    </row>
    <row r="142">
      <c r="A142" s="56"/>
      <c r="B142" s="56"/>
      <c r="C142" s="108" t="str">
        <f>IFNA(VLOOKUP('Dashboard-Dados'!B142,'Dashboard-Dados'!$Y$2:$AA$13,2),"")</f>
        <v/>
      </c>
      <c r="D142" s="109">
        <f>IFERROR(GETPIVOTDATA("Valor Recebido",'Dashboard-Dados'!$J$1,$A$1,A142,$B$1,B142),0)</f>
        <v>0</v>
      </c>
      <c r="E142" s="110">
        <f>IFERROR(GETPIVOTDATA("Valor Despesa",'Dashboard-Dados'!$P$1,$A$1,A142,$B$1,B142),0)</f>
        <v>0</v>
      </c>
      <c r="F142" s="110">
        <f t="shared" si="1"/>
        <v>0</v>
      </c>
      <c r="G142" s="56">
        <f>IFERROR(GETPIVOTDATA("Exame",'Dashboard-Dados'!$J$1,$A$1,A142,$B$1,B142),0)</f>
        <v>0</v>
      </c>
      <c r="H142" s="56">
        <f t="shared" si="2"/>
        <v>142</v>
      </c>
      <c r="U142" s="56"/>
      <c r="V142" s="56"/>
      <c r="W142" s="56"/>
      <c r="Y142" s="138"/>
    </row>
    <row r="143">
      <c r="A143" s="56"/>
      <c r="B143" s="56"/>
      <c r="C143" s="108" t="str">
        <f>IFNA(VLOOKUP('Dashboard-Dados'!B143,'Dashboard-Dados'!$Y$2:$AA$13,2),"")</f>
        <v/>
      </c>
      <c r="D143" s="109">
        <f>IFERROR(GETPIVOTDATA("Valor Recebido",'Dashboard-Dados'!$J$1,$A$1,A143,$B$1,B143),0)</f>
        <v>0</v>
      </c>
      <c r="E143" s="110">
        <f>IFERROR(GETPIVOTDATA("Valor Despesa",'Dashboard-Dados'!$P$1,$A$1,A143,$B$1,B143),0)</f>
        <v>0</v>
      </c>
      <c r="F143" s="110">
        <f t="shared" si="1"/>
        <v>0</v>
      </c>
      <c r="G143" s="56">
        <f>IFERROR(GETPIVOTDATA("Exame",'Dashboard-Dados'!$J$1,$A$1,A143,$B$1,B143),0)</f>
        <v>0</v>
      </c>
      <c r="H143" s="56">
        <f t="shared" si="2"/>
        <v>143</v>
      </c>
      <c r="U143" s="56"/>
      <c r="V143" s="56"/>
      <c r="W143" s="56"/>
      <c r="Y143" s="138"/>
    </row>
    <row r="144">
      <c r="A144" s="56"/>
      <c r="B144" s="56"/>
      <c r="C144" s="108" t="str">
        <f>IFNA(VLOOKUP('Dashboard-Dados'!B144,'Dashboard-Dados'!$Y$2:$AA$13,2),"")</f>
        <v/>
      </c>
      <c r="D144" s="109">
        <f>IFERROR(GETPIVOTDATA("Valor Recebido",'Dashboard-Dados'!$J$1,$A$1,A144,$B$1,B144),0)</f>
        <v>0</v>
      </c>
      <c r="E144" s="110">
        <f>IFERROR(GETPIVOTDATA("Valor Despesa",'Dashboard-Dados'!$P$1,$A$1,A144,$B$1,B144),0)</f>
        <v>0</v>
      </c>
      <c r="F144" s="110">
        <f t="shared" si="1"/>
        <v>0</v>
      </c>
      <c r="G144" s="56">
        <f>IFERROR(GETPIVOTDATA("Exame",'Dashboard-Dados'!$J$1,$A$1,A144,$B$1,B144),0)</f>
        <v>0</v>
      </c>
      <c r="H144" s="56">
        <f t="shared" si="2"/>
        <v>144</v>
      </c>
      <c r="U144" s="56"/>
      <c r="V144" s="56"/>
      <c r="W144" s="56"/>
      <c r="Y144" s="138"/>
    </row>
    <row r="145">
      <c r="A145" s="56"/>
      <c r="B145" s="56"/>
      <c r="C145" s="108" t="str">
        <f>IFNA(VLOOKUP('Dashboard-Dados'!B145,'Dashboard-Dados'!$Y$2:$AA$13,2),"")</f>
        <v/>
      </c>
      <c r="D145" s="109">
        <f>IFERROR(GETPIVOTDATA("Valor Recebido",'Dashboard-Dados'!$J$1,$A$1,A145,$B$1,B145),0)</f>
        <v>0</v>
      </c>
      <c r="E145" s="110">
        <f>IFERROR(GETPIVOTDATA("Valor Despesa",'Dashboard-Dados'!$P$1,$A$1,A145,$B$1,B145),0)</f>
        <v>0</v>
      </c>
      <c r="F145" s="110">
        <f t="shared" si="1"/>
        <v>0</v>
      </c>
      <c r="G145" s="56">
        <f>IFERROR(GETPIVOTDATA("Exame",'Dashboard-Dados'!$J$1,$A$1,A145,$B$1,B145),0)</f>
        <v>0</v>
      </c>
      <c r="H145" s="56">
        <f t="shared" si="2"/>
        <v>145</v>
      </c>
      <c r="U145" s="56"/>
      <c r="V145" s="56"/>
      <c r="W145" s="56"/>
      <c r="Y145" s="138"/>
    </row>
    <row r="146">
      <c r="A146" s="56"/>
      <c r="B146" s="56"/>
      <c r="C146" s="108" t="str">
        <f>IFNA(VLOOKUP('Dashboard-Dados'!B146,'Dashboard-Dados'!$Y$2:$AA$13,2),"")</f>
        <v/>
      </c>
      <c r="D146" s="109">
        <f>IFERROR(GETPIVOTDATA("Valor Recebido",'Dashboard-Dados'!$J$1,$A$1,A146,$B$1,B146),0)</f>
        <v>0</v>
      </c>
      <c r="E146" s="110">
        <f>IFERROR(GETPIVOTDATA("Valor Despesa",'Dashboard-Dados'!$P$1,$A$1,A146,$B$1,B146),0)</f>
        <v>0</v>
      </c>
      <c r="F146" s="110">
        <f t="shared" si="1"/>
        <v>0</v>
      </c>
      <c r="G146" s="56">
        <f>IFERROR(GETPIVOTDATA("Exame",'Dashboard-Dados'!$J$1,$A$1,A146,$B$1,B146),0)</f>
        <v>0</v>
      </c>
      <c r="H146" s="56">
        <f t="shared" si="2"/>
        <v>146</v>
      </c>
      <c r="U146" s="56"/>
      <c r="V146" s="56"/>
      <c r="W146" s="56"/>
      <c r="Y146" s="138"/>
    </row>
    <row r="147">
      <c r="A147" s="56"/>
      <c r="B147" s="56"/>
      <c r="C147" s="108" t="str">
        <f>IFNA(VLOOKUP('Dashboard-Dados'!B147,'Dashboard-Dados'!$Y$2:$AA$13,2),"")</f>
        <v/>
      </c>
      <c r="D147" s="109">
        <f>IFERROR(GETPIVOTDATA("Valor Recebido",'Dashboard-Dados'!$J$1,$A$1,A147,$B$1,B147),0)</f>
        <v>0</v>
      </c>
      <c r="E147" s="110">
        <f>IFERROR(GETPIVOTDATA("Valor Despesa",'Dashboard-Dados'!$P$1,$A$1,A147,$B$1,B147),0)</f>
        <v>0</v>
      </c>
      <c r="F147" s="110">
        <f t="shared" si="1"/>
        <v>0</v>
      </c>
      <c r="G147" s="56">
        <f>IFERROR(GETPIVOTDATA("Exame",'Dashboard-Dados'!$J$1,$A$1,A147,$B$1,B147),0)</f>
        <v>0</v>
      </c>
      <c r="H147" s="56">
        <f t="shared" si="2"/>
        <v>147</v>
      </c>
      <c r="U147" s="56"/>
      <c r="V147" s="56"/>
      <c r="W147" s="56"/>
      <c r="Y147" s="138"/>
    </row>
    <row r="148">
      <c r="A148" s="56"/>
      <c r="B148" s="56"/>
      <c r="C148" s="108" t="str">
        <f>IFNA(VLOOKUP('Dashboard-Dados'!B148,'Dashboard-Dados'!$Y$2:$AA$13,2),"")</f>
        <v/>
      </c>
      <c r="D148" s="109">
        <f>IFERROR(GETPIVOTDATA("Valor Recebido",'Dashboard-Dados'!$J$1,$A$1,A148,$B$1,B148),0)</f>
        <v>0</v>
      </c>
      <c r="E148" s="110">
        <f>IFERROR(GETPIVOTDATA("Valor Despesa",'Dashboard-Dados'!$P$1,$A$1,A148,$B$1,B148),0)</f>
        <v>0</v>
      </c>
      <c r="F148" s="110">
        <f t="shared" si="1"/>
        <v>0</v>
      </c>
      <c r="G148" s="56">
        <f>IFERROR(GETPIVOTDATA("Exame",'Dashboard-Dados'!$J$1,$A$1,A148,$B$1,B148),0)</f>
        <v>0</v>
      </c>
      <c r="H148" s="56">
        <f t="shared" si="2"/>
        <v>148</v>
      </c>
      <c r="U148" s="56"/>
      <c r="V148" s="56"/>
      <c r="W148" s="56"/>
      <c r="Y148" s="138"/>
    </row>
    <row r="149">
      <c r="A149" s="56"/>
      <c r="B149" s="56"/>
      <c r="C149" s="108" t="str">
        <f>IFNA(VLOOKUP('Dashboard-Dados'!B149,'Dashboard-Dados'!$Y$2:$AA$13,2),"")</f>
        <v/>
      </c>
      <c r="D149" s="109">
        <f>IFERROR(GETPIVOTDATA("Valor Recebido",'Dashboard-Dados'!$J$1,$A$1,A149,$B$1,B149),0)</f>
        <v>0</v>
      </c>
      <c r="E149" s="110">
        <f>IFERROR(GETPIVOTDATA("Valor Despesa",'Dashboard-Dados'!$P$1,$A$1,A149,$B$1,B149),0)</f>
        <v>0</v>
      </c>
      <c r="F149" s="110">
        <f t="shared" si="1"/>
        <v>0</v>
      </c>
      <c r="G149" s="56">
        <f>IFERROR(GETPIVOTDATA("Exame",'Dashboard-Dados'!$J$1,$A$1,A149,$B$1,B149),0)</f>
        <v>0</v>
      </c>
      <c r="H149" s="56">
        <f t="shared" si="2"/>
        <v>149</v>
      </c>
      <c r="U149" s="56"/>
      <c r="V149" s="56"/>
      <c r="W149" s="56"/>
      <c r="Y149" s="138"/>
    </row>
    <row r="150">
      <c r="A150" s="56"/>
      <c r="B150" s="56"/>
      <c r="C150" s="108" t="str">
        <f>IFNA(VLOOKUP('Dashboard-Dados'!B150,'Dashboard-Dados'!$Y$2:$AA$13,2),"")</f>
        <v/>
      </c>
      <c r="D150" s="109">
        <f>IFERROR(GETPIVOTDATA("Valor Recebido",'Dashboard-Dados'!$J$1,$A$1,A150,$B$1,B150),0)</f>
        <v>0</v>
      </c>
      <c r="E150" s="110">
        <f>IFERROR(GETPIVOTDATA("Valor Despesa",'Dashboard-Dados'!$P$1,$A$1,A150,$B$1,B150),0)</f>
        <v>0</v>
      </c>
      <c r="F150" s="110">
        <f t="shared" si="1"/>
        <v>0</v>
      </c>
      <c r="G150" s="56">
        <f>IFERROR(GETPIVOTDATA("Exame",'Dashboard-Dados'!$J$1,$A$1,A150,$B$1,B150),0)</f>
        <v>0</v>
      </c>
      <c r="H150" s="56">
        <f t="shared" si="2"/>
        <v>150</v>
      </c>
      <c r="U150" s="56"/>
      <c r="V150" s="56"/>
      <c r="W150" s="56"/>
      <c r="Y150" s="138"/>
    </row>
    <row r="151">
      <c r="A151" s="56"/>
      <c r="B151" s="56"/>
      <c r="C151" s="108" t="str">
        <f>IFNA(VLOOKUP('Dashboard-Dados'!B151,'Dashboard-Dados'!$Y$2:$AA$13,2),"")</f>
        <v/>
      </c>
      <c r="D151" s="109">
        <f>IFERROR(GETPIVOTDATA("Valor Recebido",'Dashboard-Dados'!$J$1,$A$1,A151,$B$1,B151),0)</f>
        <v>0</v>
      </c>
      <c r="E151" s="110">
        <f>IFERROR(GETPIVOTDATA("Valor Despesa",'Dashboard-Dados'!$P$1,$A$1,A151,$B$1,B151),0)</f>
        <v>0</v>
      </c>
      <c r="F151" s="110">
        <f t="shared" si="1"/>
        <v>0</v>
      </c>
      <c r="G151" s="56">
        <f>IFERROR(GETPIVOTDATA("Exame",'Dashboard-Dados'!$J$1,$A$1,A151,$B$1,B151),0)</f>
        <v>0</v>
      </c>
      <c r="H151" s="56">
        <f t="shared" si="2"/>
        <v>151</v>
      </c>
      <c r="U151" s="56"/>
      <c r="V151" s="56"/>
      <c r="W151" s="56"/>
      <c r="Y151" s="138"/>
    </row>
    <row r="152">
      <c r="A152" s="56"/>
      <c r="B152" s="56"/>
      <c r="C152" s="108" t="str">
        <f>IFNA(VLOOKUP('Dashboard-Dados'!B152,'Dashboard-Dados'!$Y$2:$AA$13,2),"")</f>
        <v/>
      </c>
      <c r="D152" s="109">
        <f>IFERROR(GETPIVOTDATA("Valor Recebido",'Dashboard-Dados'!$J$1,$A$1,A152,$B$1,B152),0)</f>
        <v>0</v>
      </c>
      <c r="E152" s="110">
        <f>IFERROR(GETPIVOTDATA("Valor Despesa",'Dashboard-Dados'!$P$1,$A$1,A152,$B$1,B152),0)</f>
        <v>0</v>
      </c>
      <c r="F152" s="110">
        <f t="shared" si="1"/>
        <v>0</v>
      </c>
      <c r="G152" s="56">
        <f>IFERROR(GETPIVOTDATA("Exame",'Dashboard-Dados'!$J$1,$A$1,A152,$B$1,B152),0)</f>
        <v>0</v>
      </c>
      <c r="H152" s="56">
        <f t="shared" si="2"/>
        <v>152</v>
      </c>
      <c r="U152" s="56"/>
      <c r="V152" s="56"/>
      <c r="W152" s="56"/>
      <c r="Y152" s="138"/>
    </row>
    <row r="153">
      <c r="A153" s="56"/>
      <c r="B153" s="56"/>
      <c r="C153" s="108" t="str">
        <f>IFNA(VLOOKUP('Dashboard-Dados'!B153,'Dashboard-Dados'!$Y$2:$AA$13,2),"")</f>
        <v/>
      </c>
      <c r="D153" s="109">
        <f>IFERROR(GETPIVOTDATA("Valor Recebido",'Dashboard-Dados'!$J$1,$A$1,A153,$B$1,B153),0)</f>
        <v>0</v>
      </c>
      <c r="E153" s="110">
        <f>IFERROR(GETPIVOTDATA("Valor Despesa",'Dashboard-Dados'!$P$1,$A$1,A153,$B$1,B153),0)</f>
        <v>0</v>
      </c>
      <c r="F153" s="110">
        <f t="shared" si="1"/>
        <v>0</v>
      </c>
      <c r="G153" s="56">
        <f>IFERROR(GETPIVOTDATA("Exame",'Dashboard-Dados'!$J$1,$A$1,A153,$B$1,B153),0)</f>
        <v>0</v>
      </c>
      <c r="H153" s="56">
        <f t="shared" si="2"/>
        <v>153</v>
      </c>
      <c r="U153" s="56"/>
      <c r="V153" s="56"/>
      <c r="W153" s="56"/>
      <c r="Y153" s="138"/>
    </row>
    <row r="154">
      <c r="A154" s="56"/>
      <c r="B154" s="56"/>
      <c r="C154" s="108" t="str">
        <f>IFNA(VLOOKUP('Dashboard-Dados'!B154,'Dashboard-Dados'!$Y$2:$AA$13,2),"")</f>
        <v/>
      </c>
      <c r="D154" s="109">
        <f>IFERROR(GETPIVOTDATA("Valor Recebido",'Dashboard-Dados'!$J$1,$A$1,A154,$B$1,B154),0)</f>
        <v>0</v>
      </c>
      <c r="E154" s="110">
        <f>IFERROR(GETPIVOTDATA("Valor Despesa",'Dashboard-Dados'!$P$1,$A$1,A154,$B$1,B154),0)</f>
        <v>0</v>
      </c>
      <c r="F154" s="110">
        <f t="shared" si="1"/>
        <v>0</v>
      </c>
      <c r="G154" s="56">
        <f>IFERROR(GETPIVOTDATA("Exame",'Dashboard-Dados'!$J$1,$A$1,A154,$B$1,B154),0)</f>
        <v>0</v>
      </c>
      <c r="H154" s="56">
        <f t="shared" si="2"/>
        <v>154</v>
      </c>
      <c r="U154" s="56"/>
      <c r="V154" s="56"/>
      <c r="W154" s="56"/>
      <c r="Y154" s="138"/>
    </row>
    <row r="155">
      <c r="A155" s="56"/>
      <c r="B155" s="56"/>
      <c r="C155" s="108" t="str">
        <f>IFNA(VLOOKUP('Dashboard-Dados'!B155,'Dashboard-Dados'!$Y$2:$AA$13,2),"")</f>
        <v/>
      </c>
      <c r="D155" s="109">
        <f>IFERROR(GETPIVOTDATA("Valor Recebido",'Dashboard-Dados'!$J$1,$A$1,A155,$B$1,B155),0)</f>
        <v>0</v>
      </c>
      <c r="E155" s="110">
        <f>IFERROR(GETPIVOTDATA("Valor Despesa",'Dashboard-Dados'!$P$1,$A$1,A155,$B$1,B155),0)</f>
        <v>0</v>
      </c>
      <c r="F155" s="110">
        <f t="shared" si="1"/>
        <v>0</v>
      </c>
      <c r="G155" s="56">
        <f>IFERROR(GETPIVOTDATA("Exame",'Dashboard-Dados'!$J$1,$A$1,A155,$B$1,B155),0)</f>
        <v>0</v>
      </c>
      <c r="H155" s="56">
        <f t="shared" si="2"/>
        <v>155</v>
      </c>
      <c r="U155" s="56"/>
      <c r="V155" s="56"/>
      <c r="W155" s="56"/>
      <c r="Y155" s="138"/>
    </row>
    <row r="156">
      <c r="A156" s="56"/>
      <c r="B156" s="56"/>
      <c r="C156" s="108" t="str">
        <f>IFNA(VLOOKUP('Dashboard-Dados'!B156,'Dashboard-Dados'!$Y$2:$AA$13,2),"")</f>
        <v/>
      </c>
      <c r="D156" s="109">
        <f>IFERROR(GETPIVOTDATA("Valor Recebido",'Dashboard-Dados'!$J$1,$A$1,A156,$B$1,B156),0)</f>
        <v>0</v>
      </c>
      <c r="E156" s="110">
        <f>IFERROR(GETPIVOTDATA("Valor Despesa",'Dashboard-Dados'!$P$1,$A$1,A156,$B$1,B156),0)</f>
        <v>0</v>
      </c>
      <c r="F156" s="110">
        <f t="shared" si="1"/>
        <v>0</v>
      </c>
      <c r="G156" s="56">
        <f>IFERROR(GETPIVOTDATA("Exame",'Dashboard-Dados'!$J$1,$A$1,A156,$B$1,B156),0)</f>
        <v>0</v>
      </c>
      <c r="H156" s="56">
        <f t="shared" si="2"/>
        <v>156</v>
      </c>
      <c r="U156" s="56"/>
      <c r="V156" s="56"/>
      <c r="W156" s="56"/>
      <c r="Y156" s="138"/>
    </row>
    <row r="157">
      <c r="A157" s="56"/>
      <c r="B157" s="56"/>
      <c r="C157" s="108" t="str">
        <f>IFNA(VLOOKUP('Dashboard-Dados'!B157,'Dashboard-Dados'!$Y$2:$AA$13,2),"")</f>
        <v/>
      </c>
      <c r="D157" s="109">
        <f>IFERROR(GETPIVOTDATA("Valor Recebido",'Dashboard-Dados'!$J$1,$A$1,A157,$B$1,B157),0)</f>
        <v>0</v>
      </c>
      <c r="E157" s="110">
        <f>IFERROR(GETPIVOTDATA("Valor Despesa",'Dashboard-Dados'!$P$1,$A$1,A157,$B$1,B157),0)</f>
        <v>0</v>
      </c>
      <c r="F157" s="110">
        <f t="shared" si="1"/>
        <v>0</v>
      </c>
      <c r="G157" s="56">
        <f>IFERROR(GETPIVOTDATA("Exame",'Dashboard-Dados'!$J$1,$A$1,A157,$B$1,B157),0)</f>
        <v>0</v>
      </c>
      <c r="H157" s="56">
        <f t="shared" si="2"/>
        <v>157</v>
      </c>
      <c r="U157" s="56"/>
      <c r="V157" s="56"/>
      <c r="W157" s="56"/>
      <c r="Y157" s="138"/>
    </row>
    <row r="158">
      <c r="A158" s="56"/>
      <c r="B158" s="56"/>
      <c r="C158" s="108" t="str">
        <f>IFNA(VLOOKUP('Dashboard-Dados'!B158,'Dashboard-Dados'!$Y$2:$AA$13,2),"")</f>
        <v/>
      </c>
      <c r="D158" s="109">
        <f>IFERROR(GETPIVOTDATA("Valor Recebido",'Dashboard-Dados'!$J$1,$A$1,A158,$B$1,B158),0)</f>
        <v>0</v>
      </c>
      <c r="E158" s="110">
        <f>IFERROR(GETPIVOTDATA("Valor Despesa",'Dashboard-Dados'!$P$1,$A$1,A158,$B$1,B158),0)</f>
        <v>0</v>
      </c>
      <c r="F158" s="110">
        <f t="shared" si="1"/>
        <v>0</v>
      </c>
      <c r="G158" s="56">
        <f>IFERROR(GETPIVOTDATA("Exame",'Dashboard-Dados'!$J$1,$A$1,A158,$B$1,B158),0)</f>
        <v>0</v>
      </c>
      <c r="H158" s="56">
        <f t="shared" si="2"/>
        <v>158</v>
      </c>
      <c r="U158" s="56"/>
      <c r="V158" s="56"/>
      <c r="W158" s="56"/>
      <c r="Y158" s="138"/>
    </row>
    <row r="159">
      <c r="A159" s="56"/>
      <c r="B159" s="56"/>
      <c r="C159" s="108" t="str">
        <f>IFNA(VLOOKUP('Dashboard-Dados'!B159,'Dashboard-Dados'!$Y$2:$AA$13,2),"")</f>
        <v/>
      </c>
      <c r="D159" s="109">
        <f>IFERROR(GETPIVOTDATA("Valor Recebido",'Dashboard-Dados'!$J$1,$A$1,A159,$B$1,B159),0)</f>
        <v>0</v>
      </c>
      <c r="E159" s="110">
        <f>IFERROR(GETPIVOTDATA("Valor Despesa",'Dashboard-Dados'!$P$1,$A$1,A159,$B$1,B159),0)</f>
        <v>0</v>
      </c>
      <c r="F159" s="110">
        <f t="shared" si="1"/>
        <v>0</v>
      </c>
      <c r="G159" s="56">
        <f>IFERROR(GETPIVOTDATA("Exame",'Dashboard-Dados'!$J$1,$A$1,A159,$B$1,B159),0)</f>
        <v>0</v>
      </c>
      <c r="H159" s="56">
        <f t="shared" si="2"/>
        <v>159</v>
      </c>
      <c r="U159" s="56"/>
      <c r="V159" s="56"/>
      <c r="W159" s="56"/>
      <c r="Y159" s="138"/>
    </row>
    <row r="160">
      <c r="A160" s="56"/>
      <c r="B160" s="56"/>
      <c r="C160" s="108" t="str">
        <f>IFNA(VLOOKUP('Dashboard-Dados'!B160,'Dashboard-Dados'!$Y$2:$AA$13,2),"")</f>
        <v/>
      </c>
      <c r="D160" s="109">
        <f>IFERROR(GETPIVOTDATA("Valor Recebido",'Dashboard-Dados'!$J$1,$A$1,A160,$B$1,B160),0)</f>
        <v>0</v>
      </c>
      <c r="E160" s="110">
        <f>IFERROR(GETPIVOTDATA("Valor Despesa",'Dashboard-Dados'!$P$1,$A$1,A160,$B$1,B160),0)</f>
        <v>0</v>
      </c>
      <c r="F160" s="110">
        <f t="shared" si="1"/>
        <v>0</v>
      </c>
      <c r="G160" s="56">
        <f>IFERROR(GETPIVOTDATA("Exame",'Dashboard-Dados'!$J$1,$A$1,A160,$B$1,B160),0)</f>
        <v>0</v>
      </c>
      <c r="H160" s="56">
        <f t="shared" si="2"/>
        <v>160</v>
      </c>
      <c r="U160" s="56"/>
      <c r="V160" s="56"/>
      <c r="W160" s="56"/>
      <c r="Y160" s="138"/>
    </row>
    <row r="161">
      <c r="A161" s="56"/>
      <c r="B161" s="56"/>
      <c r="C161" s="108" t="str">
        <f>IFNA(VLOOKUP('Dashboard-Dados'!B161,'Dashboard-Dados'!$Y$2:$AA$13,2),"")</f>
        <v/>
      </c>
      <c r="D161" s="109">
        <f>IFERROR(GETPIVOTDATA("Valor Recebido",'Dashboard-Dados'!$J$1,$A$1,A161,$B$1,B161),0)</f>
        <v>0</v>
      </c>
      <c r="E161" s="110">
        <f>IFERROR(GETPIVOTDATA("Valor Despesa",'Dashboard-Dados'!$P$1,$A$1,A161,$B$1,B161),0)</f>
        <v>0</v>
      </c>
      <c r="F161" s="110">
        <f t="shared" si="1"/>
        <v>0</v>
      </c>
      <c r="G161" s="56">
        <f>IFERROR(GETPIVOTDATA("Exame",'Dashboard-Dados'!$J$1,$A$1,A161,$B$1,B161),0)</f>
        <v>0</v>
      </c>
      <c r="H161" s="56">
        <f t="shared" si="2"/>
        <v>161</v>
      </c>
      <c r="U161" s="56"/>
      <c r="V161" s="56"/>
      <c r="W161" s="56"/>
      <c r="Y161" s="138"/>
    </row>
    <row r="162">
      <c r="A162" s="56"/>
      <c r="B162" s="56"/>
      <c r="C162" s="108" t="str">
        <f>IFNA(VLOOKUP('Dashboard-Dados'!B162,'Dashboard-Dados'!$Y$2:$AA$13,2),"")</f>
        <v/>
      </c>
      <c r="D162" s="109">
        <f>IFERROR(GETPIVOTDATA("Valor Recebido",'Dashboard-Dados'!$J$1,$A$1,A162,$B$1,B162),0)</f>
        <v>0</v>
      </c>
      <c r="E162" s="110">
        <f>IFERROR(GETPIVOTDATA("Valor Despesa",'Dashboard-Dados'!$P$1,$A$1,A162,$B$1,B162),0)</f>
        <v>0</v>
      </c>
      <c r="F162" s="110">
        <f t="shared" si="1"/>
        <v>0</v>
      </c>
      <c r="G162" s="56">
        <f>IFERROR(GETPIVOTDATA("Exame",'Dashboard-Dados'!$J$1,$A$1,A162,$B$1,B162),0)</f>
        <v>0</v>
      </c>
      <c r="H162" s="56">
        <f t="shared" si="2"/>
        <v>162</v>
      </c>
      <c r="U162" s="56"/>
      <c r="V162" s="56"/>
      <c r="W162" s="56"/>
      <c r="Y162" s="138"/>
    </row>
    <row r="163">
      <c r="A163" s="56"/>
      <c r="B163" s="56"/>
      <c r="C163" s="108" t="str">
        <f>IFNA(VLOOKUP('Dashboard-Dados'!B163,'Dashboard-Dados'!$Y$2:$AA$13,2),"")</f>
        <v/>
      </c>
      <c r="D163" s="109">
        <f>IFERROR(GETPIVOTDATA("Valor Recebido",'Dashboard-Dados'!$J$1,$A$1,A163,$B$1,B163),0)</f>
        <v>0</v>
      </c>
      <c r="E163" s="110">
        <f>IFERROR(GETPIVOTDATA("Valor Despesa",'Dashboard-Dados'!$P$1,$A$1,A163,$B$1,B163),0)</f>
        <v>0</v>
      </c>
      <c r="F163" s="110">
        <f t="shared" si="1"/>
        <v>0</v>
      </c>
      <c r="G163" s="56">
        <f>IFERROR(GETPIVOTDATA("Exame",'Dashboard-Dados'!$J$1,$A$1,A163,$B$1,B163),0)</f>
        <v>0</v>
      </c>
      <c r="H163" s="56">
        <f t="shared" si="2"/>
        <v>163</v>
      </c>
      <c r="U163" s="56"/>
      <c r="V163" s="56"/>
      <c r="W163" s="56"/>
      <c r="Y163" s="138"/>
    </row>
    <row r="164">
      <c r="A164" s="56"/>
      <c r="B164" s="56"/>
      <c r="C164" s="108" t="str">
        <f>IFNA(VLOOKUP('Dashboard-Dados'!B164,'Dashboard-Dados'!$Y$2:$AA$13,2),"")</f>
        <v/>
      </c>
      <c r="D164" s="109">
        <f>IFERROR(GETPIVOTDATA("Valor Recebido",'Dashboard-Dados'!$J$1,$A$1,A164,$B$1,B164),0)</f>
        <v>0</v>
      </c>
      <c r="E164" s="110">
        <f>IFERROR(GETPIVOTDATA("Valor Despesa",'Dashboard-Dados'!$P$1,$A$1,A164,$B$1,B164),0)</f>
        <v>0</v>
      </c>
      <c r="F164" s="110">
        <f t="shared" si="1"/>
        <v>0</v>
      </c>
      <c r="G164" s="56">
        <f>IFERROR(GETPIVOTDATA("Exame",'Dashboard-Dados'!$J$1,$A$1,A164,$B$1,B164),0)</f>
        <v>0</v>
      </c>
      <c r="H164" s="56">
        <f t="shared" si="2"/>
        <v>164</v>
      </c>
      <c r="U164" s="56"/>
      <c r="V164" s="56"/>
      <c r="W164" s="56"/>
      <c r="Y164" s="138"/>
    </row>
    <row r="165">
      <c r="A165" s="56"/>
      <c r="B165" s="56"/>
      <c r="C165" s="108" t="str">
        <f>IFNA(VLOOKUP('Dashboard-Dados'!B165,'Dashboard-Dados'!$Y$2:$AA$13,2),"")</f>
        <v/>
      </c>
      <c r="D165" s="109">
        <f>IFERROR(GETPIVOTDATA("Valor Recebido",'Dashboard-Dados'!$J$1,$A$1,A165,$B$1,B165),0)</f>
        <v>0</v>
      </c>
      <c r="E165" s="110">
        <f>IFERROR(GETPIVOTDATA("Valor Despesa",'Dashboard-Dados'!$P$1,$A$1,A165,$B$1,B165),0)</f>
        <v>0</v>
      </c>
      <c r="F165" s="110">
        <f t="shared" si="1"/>
        <v>0</v>
      </c>
      <c r="G165" s="56">
        <f>IFERROR(GETPIVOTDATA("Exame",'Dashboard-Dados'!$J$1,$A$1,A165,$B$1,B165),0)</f>
        <v>0</v>
      </c>
      <c r="H165" s="56">
        <f t="shared" si="2"/>
        <v>165</v>
      </c>
      <c r="U165" s="56"/>
      <c r="V165" s="56"/>
      <c r="W165" s="56"/>
      <c r="Y165" s="138"/>
    </row>
    <row r="166">
      <c r="A166" s="56"/>
      <c r="B166" s="56"/>
      <c r="C166" s="108" t="str">
        <f>IFNA(VLOOKUP('Dashboard-Dados'!B166,'Dashboard-Dados'!$Y$2:$AA$13,2),"")</f>
        <v/>
      </c>
      <c r="D166" s="109">
        <f>IFERROR(GETPIVOTDATA("Valor Recebido",'Dashboard-Dados'!$J$1,$A$1,A166,$B$1,B166),0)</f>
        <v>0</v>
      </c>
      <c r="E166" s="110">
        <f>IFERROR(GETPIVOTDATA("Valor Despesa",'Dashboard-Dados'!$P$1,$A$1,A166,$B$1,B166),0)</f>
        <v>0</v>
      </c>
      <c r="F166" s="110">
        <f t="shared" si="1"/>
        <v>0</v>
      </c>
      <c r="G166" s="56">
        <f>IFERROR(GETPIVOTDATA("Exame",'Dashboard-Dados'!$J$1,$A$1,A166,$B$1,B166),0)</f>
        <v>0</v>
      </c>
      <c r="H166" s="56">
        <f t="shared" si="2"/>
        <v>166</v>
      </c>
      <c r="U166" s="56"/>
      <c r="V166" s="56"/>
      <c r="W166" s="56"/>
      <c r="Y166" s="138"/>
    </row>
    <row r="167">
      <c r="A167" s="56"/>
      <c r="B167" s="56"/>
      <c r="C167" s="108" t="str">
        <f>IFNA(VLOOKUP('Dashboard-Dados'!B167,'Dashboard-Dados'!$Y$2:$AA$13,2),"")</f>
        <v/>
      </c>
      <c r="D167" s="109">
        <f>IFERROR(GETPIVOTDATA("Valor Recebido",'Dashboard-Dados'!$J$1,$A$1,A167,$B$1,B167),0)</f>
        <v>0</v>
      </c>
      <c r="E167" s="110">
        <f>IFERROR(GETPIVOTDATA("Valor Despesa",'Dashboard-Dados'!$P$1,$A$1,A167,$B$1,B167),0)</f>
        <v>0</v>
      </c>
      <c r="F167" s="110">
        <f t="shared" si="1"/>
        <v>0</v>
      </c>
      <c r="G167" s="56">
        <f>IFERROR(GETPIVOTDATA("Exame",'Dashboard-Dados'!$J$1,$A$1,A167,$B$1,B167),0)</f>
        <v>0</v>
      </c>
      <c r="H167" s="56">
        <f t="shared" si="2"/>
        <v>167</v>
      </c>
      <c r="U167" s="56"/>
      <c r="V167" s="56"/>
      <c r="W167" s="56"/>
      <c r="Y167" s="138"/>
    </row>
    <row r="168">
      <c r="A168" s="56"/>
      <c r="B168" s="56"/>
      <c r="C168" s="108" t="str">
        <f>IFNA(VLOOKUP('Dashboard-Dados'!B168,'Dashboard-Dados'!$Y$2:$AA$13,2),"")</f>
        <v/>
      </c>
      <c r="D168" s="109">
        <f>IFERROR(GETPIVOTDATA("Valor Recebido",'Dashboard-Dados'!$J$1,$A$1,A168,$B$1,B168),0)</f>
        <v>0</v>
      </c>
      <c r="E168" s="110">
        <f>IFERROR(GETPIVOTDATA("Valor Despesa",'Dashboard-Dados'!$P$1,$A$1,A168,$B$1,B168),0)</f>
        <v>0</v>
      </c>
      <c r="F168" s="110">
        <f t="shared" si="1"/>
        <v>0</v>
      </c>
      <c r="G168" s="56">
        <f>IFERROR(GETPIVOTDATA("Exame",'Dashboard-Dados'!$J$1,$A$1,A168,$B$1,B168),0)</f>
        <v>0</v>
      </c>
      <c r="H168" s="56">
        <f t="shared" si="2"/>
        <v>168</v>
      </c>
      <c r="U168" s="56"/>
      <c r="V168" s="56"/>
      <c r="W168" s="56"/>
      <c r="Y168" s="138"/>
    </row>
    <row r="169">
      <c r="A169" s="56"/>
      <c r="B169" s="56"/>
      <c r="C169" s="108" t="str">
        <f>IFNA(VLOOKUP('Dashboard-Dados'!B169,'Dashboard-Dados'!$Y$2:$AA$13,2),"")</f>
        <v/>
      </c>
      <c r="D169" s="109">
        <f>IFERROR(GETPIVOTDATA("Valor Recebido",'Dashboard-Dados'!$J$1,$A$1,A169,$B$1,B169),0)</f>
        <v>0</v>
      </c>
      <c r="E169" s="110">
        <f>IFERROR(GETPIVOTDATA("Valor Despesa",'Dashboard-Dados'!$P$1,$A$1,A169,$B$1,B169),0)</f>
        <v>0</v>
      </c>
      <c r="F169" s="110">
        <f t="shared" si="1"/>
        <v>0</v>
      </c>
      <c r="G169" s="56">
        <f>IFERROR(GETPIVOTDATA("Exame",'Dashboard-Dados'!$J$1,$A$1,A169,$B$1,B169),0)</f>
        <v>0</v>
      </c>
      <c r="H169" s="56">
        <f t="shared" si="2"/>
        <v>169</v>
      </c>
      <c r="U169" s="56"/>
      <c r="V169" s="56"/>
      <c r="W169" s="56"/>
      <c r="Y169" s="138"/>
    </row>
    <row r="170">
      <c r="A170" s="56"/>
      <c r="B170" s="56"/>
      <c r="C170" s="108" t="str">
        <f>IFNA(VLOOKUP('Dashboard-Dados'!B170,'Dashboard-Dados'!$Y$2:$AA$13,2),"")</f>
        <v/>
      </c>
      <c r="D170" s="109">
        <f>IFERROR(GETPIVOTDATA("Valor Recebido",'Dashboard-Dados'!$J$1,$A$1,A170,$B$1,B170),0)</f>
        <v>0</v>
      </c>
      <c r="E170" s="110">
        <f>IFERROR(GETPIVOTDATA("Valor Despesa",'Dashboard-Dados'!$P$1,$A$1,A170,$B$1,B170),0)</f>
        <v>0</v>
      </c>
      <c r="F170" s="110">
        <f t="shared" si="1"/>
        <v>0</v>
      </c>
      <c r="G170" s="56">
        <f>IFERROR(GETPIVOTDATA("Exame",'Dashboard-Dados'!$J$1,$A$1,A170,$B$1,B170),0)</f>
        <v>0</v>
      </c>
      <c r="H170" s="56">
        <f t="shared" si="2"/>
        <v>170</v>
      </c>
      <c r="U170" s="56"/>
      <c r="V170" s="56"/>
      <c r="W170" s="56"/>
      <c r="Y170" s="138"/>
    </row>
    <row r="171">
      <c r="A171" s="56"/>
      <c r="B171" s="56"/>
      <c r="C171" s="108" t="str">
        <f>IFNA(VLOOKUP('Dashboard-Dados'!B171,'Dashboard-Dados'!$Y$2:$AA$13,2),"")</f>
        <v/>
      </c>
      <c r="D171" s="109">
        <f>IFERROR(GETPIVOTDATA("Valor Recebido",'Dashboard-Dados'!$J$1,$A$1,A171,$B$1,B171),0)</f>
        <v>0</v>
      </c>
      <c r="E171" s="110">
        <f>IFERROR(GETPIVOTDATA("Valor Despesa",'Dashboard-Dados'!$P$1,$A$1,A171,$B$1,B171),0)</f>
        <v>0</v>
      </c>
      <c r="F171" s="110">
        <f t="shared" si="1"/>
        <v>0</v>
      </c>
      <c r="G171" s="56">
        <f>IFERROR(GETPIVOTDATA("Exame",'Dashboard-Dados'!$J$1,$A$1,A171,$B$1,B171),0)</f>
        <v>0</v>
      </c>
      <c r="H171" s="56">
        <f t="shared" si="2"/>
        <v>171</v>
      </c>
      <c r="U171" s="56"/>
      <c r="V171" s="56"/>
      <c r="W171" s="56"/>
      <c r="Y171" s="138"/>
    </row>
    <row r="172">
      <c r="A172" s="56"/>
      <c r="B172" s="56"/>
      <c r="C172" s="108" t="str">
        <f>IFNA(VLOOKUP('Dashboard-Dados'!B172,'Dashboard-Dados'!$Y$2:$AA$13,2),"")</f>
        <v/>
      </c>
      <c r="D172" s="109">
        <f>IFERROR(GETPIVOTDATA("Valor Recebido",'Dashboard-Dados'!$J$1,$A$1,A172,$B$1,B172),0)</f>
        <v>0</v>
      </c>
      <c r="E172" s="110">
        <f>IFERROR(GETPIVOTDATA("Valor Despesa",'Dashboard-Dados'!$P$1,$A$1,A172,$B$1,B172),0)</f>
        <v>0</v>
      </c>
      <c r="F172" s="110">
        <f t="shared" si="1"/>
        <v>0</v>
      </c>
      <c r="G172" s="56">
        <f>IFERROR(GETPIVOTDATA("Exame",'Dashboard-Dados'!$J$1,$A$1,A172,$B$1,B172),0)</f>
        <v>0</v>
      </c>
      <c r="H172" s="56">
        <f t="shared" si="2"/>
        <v>172</v>
      </c>
      <c r="U172" s="56"/>
      <c r="V172" s="56"/>
      <c r="W172" s="56"/>
      <c r="Y172" s="138"/>
    </row>
    <row r="173">
      <c r="A173" s="56"/>
      <c r="B173" s="56"/>
      <c r="C173" s="108" t="str">
        <f>IFNA(VLOOKUP('Dashboard-Dados'!B173,'Dashboard-Dados'!$Y$2:$AA$13,2),"")</f>
        <v/>
      </c>
      <c r="D173" s="109">
        <f>IFERROR(GETPIVOTDATA("Valor Recebido",'Dashboard-Dados'!$J$1,$A$1,A173,$B$1,B173),0)</f>
        <v>0</v>
      </c>
      <c r="E173" s="110">
        <f>IFERROR(GETPIVOTDATA("Valor Despesa",'Dashboard-Dados'!$P$1,$A$1,A173,$B$1,B173),0)</f>
        <v>0</v>
      </c>
      <c r="F173" s="110">
        <f t="shared" si="1"/>
        <v>0</v>
      </c>
      <c r="G173" s="56">
        <f>IFERROR(GETPIVOTDATA("Exame",'Dashboard-Dados'!$J$1,$A$1,A173,$B$1,B173),0)</f>
        <v>0</v>
      </c>
      <c r="H173" s="56">
        <f t="shared" si="2"/>
        <v>173</v>
      </c>
      <c r="U173" s="56"/>
      <c r="V173" s="56"/>
      <c r="W173" s="56"/>
      <c r="Y173" s="138"/>
    </row>
    <row r="174">
      <c r="A174" s="56"/>
      <c r="B174" s="56"/>
      <c r="C174" s="108" t="str">
        <f>IFNA(VLOOKUP('Dashboard-Dados'!B174,'Dashboard-Dados'!$Y$2:$AA$13,2),"")</f>
        <v/>
      </c>
      <c r="D174" s="109">
        <f>IFERROR(GETPIVOTDATA("Valor Recebido",'Dashboard-Dados'!$J$1,$A$1,A174,$B$1,B174),0)</f>
        <v>0</v>
      </c>
      <c r="E174" s="110">
        <f>IFERROR(GETPIVOTDATA("Valor Despesa",'Dashboard-Dados'!$P$1,$A$1,A174,$B$1,B174),0)</f>
        <v>0</v>
      </c>
      <c r="F174" s="110">
        <f t="shared" si="1"/>
        <v>0</v>
      </c>
      <c r="G174" s="56">
        <f>IFERROR(GETPIVOTDATA("Exame",'Dashboard-Dados'!$J$1,$A$1,A174,$B$1,B174),0)</f>
        <v>0</v>
      </c>
      <c r="H174" s="56">
        <f t="shared" si="2"/>
        <v>174</v>
      </c>
      <c r="U174" s="56"/>
      <c r="V174" s="56"/>
      <c r="W174" s="56"/>
      <c r="Y174" s="138"/>
    </row>
    <row r="175">
      <c r="A175" s="56"/>
      <c r="B175" s="56"/>
      <c r="C175" s="108" t="str">
        <f>IFNA(VLOOKUP('Dashboard-Dados'!B175,'Dashboard-Dados'!$Y$2:$AA$13,2),"")</f>
        <v/>
      </c>
      <c r="D175" s="109">
        <f>IFERROR(GETPIVOTDATA("Valor Recebido",'Dashboard-Dados'!$J$1,$A$1,A175,$B$1,B175),0)</f>
        <v>0</v>
      </c>
      <c r="E175" s="110">
        <f>IFERROR(GETPIVOTDATA("Valor Despesa",'Dashboard-Dados'!$P$1,$A$1,A175,$B$1,B175),0)</f>
        <v>0</v>
      </c>
      <c r="F175" s="110">
        <f t="shared" si="1"/>
        <v>0</v>
      </c>
      <c r="G175" s="56">
        <f>IFERROR(GETPIVOTDATA("Exame",'Dashboard-Dados'!$J$1,$A$1,A175,$B$1,B175),0)</f>
        <v>0</v>
      </c>
      <c r="H175" s="56">
        <f t="shared" si="2"/>
        <v>175</v>
      </c>
      <c r="U175" s="56"/>
      <c r="V175" s="56"/>
      <c r="W175" s="56"/>
      <c r="Y175" s="138"/>
    </row>
    <row r="176">
      <c r="A176" s="56"/>
      <c r="B176" s="56"/>
      <c r="C176" s="108" t="str">
        <f>IFNA(VLOOKUP('Dashboard-Dados'!B176,'Dashboard-Dados'!$Y$2:$AA$13,2),"")</f>
        <v/>
      </c>
      <c r="D176" s="109">
        <f>IFERROR(GETPIVOTDATA("Valor Recebido",'Dashboard-Dados'!$J$1,$A$1,A176,$B$1,B176),0)</f>
        <v>0</v>
      </c>
      <c r="E176" s="110">
        <f>IFERROR(GETPIVOTDATA("Valor Despesa",'Dashboard-Dados'!$P$1,$A$1,A176,$B$1,B176),0)</f>
        <v>0</v>
      </c>
      <c r="F176" s="110">
        <f t="shared" si="1"/>
        <v>0</v>
      </c>
      <c r="G176" s="56">
        <f>IFERROR(GETPIVOTDATA("Exame",'Dashboard-Dados'!$J$1,$A$1,A176,$B$1,B176),0)</f>
        <v>0</v>
      </c>
      <c r="H176" s="56">
        <f t="shared" si="2"/>
        <v>176</v>
      </c>
      <c r="U176" s="56"/>
      <c r="V176" s="56"/>
      <c r="W176" s="56"/>
      <c r="Y176" s="138"/>
    </row>
    <row r="177">
      <c r="A177" s="56"/>
      <c r="B177" s="56"/>
      <c r="C177" s="108" t="str">
        <f>IFNA(VLOOKUP('Dashboard-Dados'!B177,'Dashboard-Dados'!$Y$2:$AA$13,2),"")</f>
        <v/>
      </c>
      <c r="D177" s="109">
        <f>IFERROR(GETPIVOTDATA("Valor Recebido",'Dashboard-Dados'!$J$1,$A$1,A177,$B$1,B177),0)</f>
        <v>0</v>
      </c>
      <c r="E177" s="110">
        <f>IFERROR(GETPIVOTDATA("Valor Despesa",'Dashboard-Dados'!$P$1,$A$1,A177,$B$1,B177),0)</f>
        <v>0</v>
      </c>
      <c r="F177" s="110">
        <f t="shared" si="1"/>
        <v>0</v>
      </c>
      <c r="G177" s="56">
        <f>IFERROR(GETPIVOTDATA("Exame",'Dashboard-Dados'!$J$1,$A$1,A177,$B$1,B177),0)</f>
        <v>0</v>
      </c>
      <c r="H177" s="56">
        <f t="shared" si="2"/>
        <v>177</v>
      </c>
      <c r="U177" s="56"/>
      <c r="V177" s="56"/>
      <c r="W177" s="56"/>
      <c r="Y177" s="138"/>
    </row>
    <row r="178">
      <c r="A178" s="56"/>
      <c r="B178" s="56"/>
      <c r="C178" s="108" t="str">
        <f>IFNA(VLOOKUP('Dashboard-Dados'!B178,'Dashboard-Dados'!$Y$2:$AA$13,2),"")</f>
        <v/>
      </c>
      <c r="D178" s="109">
        <f>IFERROR(GETPIVOTDATA("Valor Recebido",'Dashboard-Dados'!$J$1,$A$1,A178,$B$1,B178),0)</f>
        <v>0</v>
      </c>
      <c r="E178" s="110">
        <f>IFERROR(GETPIVOTDATA("Valor Despesa",'Dashboard-Dados'!$P$1,$A$1,A178,$B$1,B178),0)</f>
        <v>0</v>
      </c>
      <c r="F178" s="110">
        <f t="shared" si="1"/>
        <v>0</v>
      </c>
      <c r="G178" s="56">
        <f>IFERROR(GETPIVOTDATA("Exame",'Dashboard-Dados'!$J$1,$A$1,A178,$B$1,B178),0)</f>
        <v>0</v>
      </c>
      <c r="H178" s="56">
        <f t="shared" si="2"/>
        <v>178</v>
      </c>
      <c r="U178" s="56"/>
      <c r="V178" s="56"/>
      <c r="W178" s="56"/>
      <c r="Y178" s="138"/>
    </row>
    <row r="179">
      <c r="A179" s="56"/>
      <c r="B179" s="56"/>
      <c r="C179" s="108" t="str">
        <f>IFNA(VLOOKUP('Dashboard-Dados'!B179,'Dashboard-Dados'!$Y$2:$AA$13,2),"")</f>
        <v/>
      </c>
      <c r="D179" s="109">
        <f>IFERROR(GETPIVOTDATA("Valor Recebido",'Dashboard-Dados'!$J$1,$A$1,A179,$B$1,B179),0)</f>
        <v>0</v>
      </c>
      <c r="E179" s="110">
        <f>IFERROR(GETPIVOTDATA("Valor Despesa",'Dashboard-Dados'!$P$1,$A$1,A179,$B$1,B179),0)</f>
        <v>0</v>
      </c>
      <c r="F179" s="110">
        <f t="shared" si="1"/>
        <v>0</v>
      </c>
      <c r="G179" s="56">
        <f>IFERROR(GETPIVOTDATA("Exame",'Dashboard-Dados'!$J$1,$A$1,A179,$B$1,B179),0)</f>
        <v>0</v>
      </c>
      <c r="H179" s="56">
        <f t="shared" si="2"/>
        <v>179</v>
      </c>
      <c r="U179" s="56"/>
      <c r="V179" s="56"/>
      <c r="W179" s="56"/>
      <c r="Y179" s="138"/>
    </row>
    <row r="180">
      <c r="A180" s="56"/>
      <c r="B180" s="56"/>
      <c r="C180" s="108" t="str">
        <f>IFNA(VLOOKUP('Dashboard-Dados'!B180,'Dashboard-Dados'!$Y$2:$AA$13,2),"")</f>
        <v/>
      </c>
      <c r="D180" s="109">
        <f>IFERROR(GETPIVOTDATA("Valor Recebido",'Dashboard-Dados'!$J$1,$A$1,A180,$B$1,B180),0)</f>
        <v>0</v>
      </c>
      <c r="E180" s="110">
        <f>IFERROR(GETPIVOTDATA("Valor Despesa",'Dashboard-Dados'!$P$1,$A$1,A180,$B$1,B180),0)</f>
        <v>0</v>
      </c>
      <c r="F180" s="110">
        <f t="shared" si="1"/>
        <v>0</v>
      </c>
      <c r="G180" s="56">
        <f>IFERROR(GETPIVOTDATA("Exame",'Dashboard-Dados'!$J$1,$A$1,A180,$B$1,B180),0)</f>
        <v>0</v>
      </c>
      <c r="H180" s="56">
        <f t="shared" si="2"/>
        <v>180</v>
      </c>
      <c r="U180" s="56"/>
      <c r="V180" s="56"/>
      <c r="W180" s="56"/>
      <c r="Y180" s="138"/>
    </row>
    <row r="181">
      <c r="A181" s="56"/>
      <c r="B181" s="56"/>
      <c r="C181" s="108" t="str">
        <f>IFNA(VLOOKUP('Dashboard-Dados'!B181,'Dashboard-Dados'!$Y$2:$AA$13,2),"")</f>
        <v/>
      </c>
      <c r="D181" s="109">
        <f>IFERROR(GETPIVOTDATA("Valor Recebido",'Dashboard-Dados'!$J$1,$A$1,A181,$B$1,B181),0)</f>
        <v>0</v>
      </c>
      <c r="E181" s="110">
        <f>IFERROR(GETPIVOTDATA("Valor Despesa",'Dashboard-Dados'!$P$1,$A$1,A181,$B$1,B181),0)</f>
        <v>0</v>
      </c>
      <c r="F181" s="110">
        <f t="shared" si="1"/>
        <v>0</v>
      </c>
      <c r="G181" s="56">
        <f>IFERROR(GETPIVOTDATA("Exame",'Dashboard-Dados'!$J$1,$A$1,A181,$B$1,B181),0)</f>
        <v>0</v>
      </c>
      <c r="H181" s="56">
        <f t="shared" si="2"/>
        <v>181</v>
      </c>
      <c r="U181" s="56"/>
      <c r="V181" s="56"/>
      <c r="W181" s="56"/>
      <c r="Y181" s="138"/>
    </row>
    <row r="182">
      <c r="A182" s="56"/>
      <c r="B182" s="56"/>
      <c r="C182" s="108" t="str">
        <f>IFNA(VLOOKUP('Dashboard-Dados'!B182,'Dashboard-Dados'!$Y$2:$AA$13,2),"")</f>
        <v/>
      </c>
      <c r="D182" s="109">
        <f>IFERROR(GETPIVOTDATA("Valor Recebido",'Dashboard-Dados'!$J$1,$A$1,A182,$B$1,B182),0)</f>
        <v>0</v>
      </c>
      <c r="E182" s="110">
        <f>IFERROR(GETPIVOTDATA("Valor Despesa",'Dashboard-Dados'!$P$1,$A$1,A182,$B$1,B182),0)</f>
        <v>0</v>
      </c>
      <c r="F182" s="110">
        <f t="shared" si="1"/>
        <v>0</v>
      </c>
      <c r="G182" s="56">
        <f>IFERROR(GETPIVOTDATA("Exame",'Dashboard-Dados'!$J$1,$A$1,A182,$B$1,B182),0)</f>
        <v>0</v>
      </c>
      <c r="H182" s="56">
        <f t="shared" si="2"/>
        <v>182</v>
      </c>
      <c r="U182" s="56"/>
      <c r="V182" s="56"/>
      <c r="W182" s="56"/>
      <c r="Y182" s="138"/>
    </row>
    <row r="183">
      <c r="A183" s="56"/>
      <c r="B183" s="56"/>
      <c r="C183" s="108" t="str">
        <f>IFNA(VLOOKUP('Dashboard-Dados'!B183,'Dashboard-Dados'!$Y$2:$AA$13,2),"")</f>
        <v/>
      </c>
      <c r="D183" s="109">
        <f>IFERROR(GETPIVOTDATA("Valor Recebido",'Dashboard-Dados'!$J$1,$A$1,A183,$B$1,B183),0)</f>
        <v>0</v>
      </c>
      <c r="E183" s="110">
        <f>IFERROR(GETPIVOTDATA("Valor Despesa",'Dashboard-Dados'!$P$1,$A$1,A183,$B$1,B183),0)</f>
        <v>0</v>
      </c>
      <c r="F183" s="110">
        <f t="shared" si="1"/>
        <v>0</v>
      </c>
      <c r="G183" s="56">
        <f>IFERROR(GETPIVOTDATA("Exame",'Dashboard-Dados'!$J$1,$A$1,A183,$B$1,B183),0)</f>
        <v>0</v>
      </c>
      <c r="H183" s="56">
        <f t="shared" si="2"/>
        <v>183</v>
      </c>
      <c r="U183" s="56"/>
      <c r="V183" s="56"/>
      <c r="W183" s="56"/>
      <c r="Y183" s="138"/>
    </row>
    <row r="184">
      <c r="A184" s="56"/>
      <c r="B184" s="56"/>
      <c r="C184" s="108" t="str">
        <f>IFNA(VLOOKUP('Dashboard-Dados'!B184,'Dashboard-Dados'!$Y$2:$AA$13,2),"")</f>
        <v/>
      </c>
      <c r="D184" s="109">
        <f>IFERROR(GETPIVOTDATA("Valor Recebido",'Dashboard-Dados'!$J$1,$A$1,A184,$B$1,B184),0)</f>
        <v>0</v>
      </c>
      <c r="E184" s="110">
        <f>IFERROR(GETPIVOTDATA("Valor Despesa",'Dashboard-Dados'!$P$1,$A$1,A184,$B$1,B184),0)</f>
        <v>0</v>
      </c>
      <c r="F184" s="110">
        <f t="shared" si="1"/>
        <v>0</v>
      </c>
      <c r="G184" s="56">
        <f>IFERROR(GETPIVOTDATA("Exame",'Dashboard-Dados'!$J$1,$A$1,A184,$B$1,B184),0)</f>
        <v>0</v>
      </c>
      <c r="H184" s="56">
        <f t="shared" si="2"/>
        <v>184</v>
      </c>
      <c r="U184" s="56"/>
      <c r="V184" s="56"/>
      <c r="W184" s="56"/>
      <c r="Y184" s="138"/>
    </row>
    <row r="185">
      <c r="A185" s="56"/>
      <c r="B185" s="56"/>
      <c r="C185" s="108" t="str">
        <f>IFNA(VLOOKUP('Dashboard-Dados'!B185,'Dashboard-Dados'!$Y$2:$AA$13,2),"")</f>
        <v/>
      </c>
      <c r="D185" s="109">
        <f>IFERROR(GETPIVOTDATA("Valor Recebido",'Dashboard-Dados'!$J$1,$A$1,A185,$B$1,B185),0)</f>
        <v>0</v>
      </c>
      <c r="E185" s="110">
        <f>IFERROR(GETPIVOTDATA("Valor Despesa",'Dashboard-Dados'!$P$1,$A$1,A185,$B$1,B185),0)</f>
        <v>0</v>
      </c>
      <c r="F185" s="110">
        <f t="shared" si="1"/>
        <v>0</v>
      </c>
      <c r="G185" s="56">
        <f>IFERROR(GETPIVOTDATA("Exame",'Dashboard-Dados'!$J$1,$A$1,A185,$B$1,B185),0)</f>
        <v>0</v>
      </c>
      <c r="H185" s="56">
        <f t="shared" si="2"/>
        <v>185</v>
      </c>
      <c r="U185" s="56"/>
      <c r="V185" s="56"/>
      <c r="W185" s="56"/>
      <c r="Y185" s="138"/>
    </row>
    <row r="186">
      <c r="A186" s="56"/>
      <c r="B186" s="56"/>
      <c r="C186" s="108" t="str">
        <f>IFNA(VLOOKUP('Dashboard-Dados'!B186,'Dashboard-Dados'!$Y$2:$AA$13,2),"")</f>
        <v/>
      </c>
      <c r="D186" s="109">
        <f>IFERROR(GETPIVOTDATA("Valor Recebido",'Dashboard-Dados'!$J$1,$A$1,A186,$B$1,B186),0)</f>
        <v>0</v>
      </c>
      <c r="E186" s="110">
        <f>IFERROR(GETPIVOTDATA("Valor Despesa",'Dashboard-Dados'!$P$1,$A$1,A186,$B$1,B186),0)</f>
        <v>0</v>
      </c>
      <c r="F186" s="110">
        <f t="shared" si="1"/>
        <v>0</v>
      </c>
      <c r="G186" s="56">
        <f>IFERROR(GETPIVOTDATA("Exame",'Dashboard-Dados'!$J$1,$A$1,A186,$B$1,B186),0)</f>
        <v>0</v>
      </c>
      <c r="H186" s="56">
        <f t="shared" si="2"/>
        <v>186</v>
      </c>
      <c r="U186" s="56"/>
      <c r="V186" s="56"/>
      <c r="W186" s="56"/>
      <c r="Y186" s="138"/>
    </row>
    <row r="187">
      <c r="A187" s="56"/>
      <c r="B187" s="56"/>
      <c r="C187" s="108" t="str">
        <f>IFNA(VLOOKUP('Dashboard-Dados'!B187,'Dashboard-Dados'!$Y$2:$AA$13,2),"")</f>
        <v/>
      </c>
      <c r="D187" s="109">
        <f>IFERROR(GETPIVOTDATA("Valor Recebido",'Dashboard-Dados'!$J$1,$A$1,A187,$B$1,B187),0)</f>
        <v>0</v>
      </c>
      <c r="E187" s="110">
        <f>IFERROR(GETPIVOTDATA("Valor Despesa",'Dashboard-Dados'!$P$1,$A$1,A187,$B$1,B187),0)</f>
        <v>0</v>
      </c>
      <c r="F187" s="110">
        <f t="shared" si="1"/>
        <v>0</v>
      </c>
      <c r="G187" s="56">
        <f>IFERROR(GETPIVOTDATA("Exame",'Dashboard-Dados'!$J$1,$A$1,A187,$B$1,B187),0)</f>
        <v>0</v>
      </c>
      <c r="H187" s="56">
        <f t="shared" si="2"/>
        <v>187</v>
      </c>
      <c r="U187" s="56"/>
      <c r="V187" s="56"/>
      <c r="W187" s="56"/>
      <c r="Y187" s="138"/>
    </row>
    <row r="188">
      <c r="A188" s="56"/>
      <c r="B188" s="56"/>
      <c r="C188" s="108" t="str">
        <f>IFNA(VLOOKUP('Dashboard-Dados'!B188,'Dashboard-Dados'!$Y$2:$AA$13,2),"")</f>
        <v/>
      </c>
      <c r="D188" s="109">
        <f>IFERROR(GETPIVOTDATA("Valor Recebido",'Dashboard-Dados'!$J$1,$A$1,A188,$B$1,B188),0)</f>
        <v>0</v>
      </c>
      <c r="E188" s="110">
        <f>IFERROR(GETPIVOTDATA("Valor Despesa",'Dashboard-Dados'!$P$1,$A$1,A188,$B$1,B188),0)</f>
        <v>0</v>
      </c>
      <c r="F188" s="110">
        <f t="shared" si="1"/>
        <v>0</v>
      </c>
      <c r="G188" s="56">
        <f>IFERROR(GETPIVOTDATA("Exame",'Dashboard-Dados'!$J$1,$A$1,A188,$B$1,B188),0)</f>
        <v>0</v>
      </c>
      <c r="H188" s="56">
        <f t="shared" si="2"/>
        <v>188</v>
      </c>
      <c r="U188" s="56"/>
      <c r="V188" s="56"/>
      <c r="W188" s="56"/>
      <c r="Y188" s="138"/>
    </row>
    <row r="189">
      <c r="A189" s="56"/>
      <c r="B189" s="56"/>
      <c r="C189" s="108" t="str">
        <f>IFNA(VLOOKUP('Dashboard-Dados'!B189,'Dashboard-Dados'!$Y$2:$AA$13,2),"")</f>
        <v/>
      </c>
      <c r="D189" s="109">
        <f>IFERROR(GETPIVOTDATA("Valor Recebido",'Dashboard-Dados'!$J$1,$A$1,A189,$B$1,B189),0)</f>
        <v>0</v>
      </c>
      <c r="E189" s="110">
        <f>IFERROR(GETPIVOTDATA("Valor Despesa",'Dashboard-Dados'!$P$1,$A$1,A189,$B$1,B189),0)</f>
        <v>0</v>
      </c>
      <c r="F189" s="110">
        <f t="shared" si="1"/>
        <v>0</v>
      </c>
      <c r="G189" s="56">
        <f>IFERROR(GETPIVOTDATA("Exame",'Dashboard-Dados'!$J$1,$A$1,A189,$B$1,B189),0)</f>
        <v>0</v>
      </c>
      <c r="H189" s="56">
        <f t="shared" si="2"/>
        <v>189</v>
      </c>
      <c r="U189" s="56"/>
      <c r="V189" s="56"/>
      <c r="W189" s="56"/>
      <c r="Y189" s="138"/>
    </row>
    <row r="190">
      <c r="A190" s="56"/>
      <c r="B190" s="56"/>
      <c r="C190" s="108" t="str">
        <f>IFNA(VLOOKUP('Dashboard-Dados'!B190,'Dashboard-Dados'!$Y$2:$AA$13,2),"")</f>
        <v/>
      </c>
      <c r="D190" s="109">
        <f>IFERROR(GETPIVOTDATA("Valor Recebido",'Dashboard-Dados'!$J$1,$A$1,A190,$B$1,B190),0)</f>
        <v>0</v>
      </c>
      <c r="E190" s="110">
        <f>IFERROR(GETPIVOTDATA("Valor Despesa",'Dashboard-Dados'!$P$1,$A$1,A190,$B$1,B190),0)</f>
        <v>0</v>
      </c>
      <c r="F190" s="110">
        <f t="shared" si="1"/>
        <v>0</v>
      </c>
      <c r="G190" s="56">
        <f>IFERROR(GETPIVOTDATA("Exame",'Dashboard-Dados'!$J$1,$A$1,A190,$B$1,B190),0)</f>
        <v>0</v>
      </c>
      <c r="H190" s="56">
        <f t="shared" si="2"/>
        <v>190</v>
      </c>
      <c r="U190" s="56"/>
      <c r="V190" s="56"/>
      <c r="W190" s="56"/>
      <c r="Y190" s="138"/>
    </row>
    <row r="191">
      <c r="A191" s="56"/>
      <c r="B191" s="56"/>
      <c r="C191" s="108" t="str">
        <f>IFNA(VLOOKUP('Dashboard-Dados'!B191,'Dashboard-Dados'!$Y$2:$AA$13,2),"")</f>
        <v/>
      </c>
      <c r="D191" s="109">
        <f>IFERROR(GETPIVOTDATA("Valor Recebido",'Dashboard-Dados'!$J$1,$A$1,A191,$B$1,B191),0)</f>
        <v>0</v>
      </c>
      <c r="E191" s="110">
        <f>IFERROR(GETPIVOTDATA("Valor Despesa",'Dashboard-Dados'!$P$1,$A$1,A191,$B$1,B191),0)</f>
        <v>0</v>
      </c>
      <c r="F191" s="110">
        <f t="shared" si="1"/>
        <v>0</v>
      </c>
      <c r="G191" s="56">
        <f>IFERROR(GETPIVOTDATA("Exame",'Dashboard-Dados'!$J$1,$A$1,A191,$B$1,B191),0)</f>
        <v>0</v>
      </c>
      <c r="H191" s="56">
        <f t="shared" si="2"/>
        <v>191</v>
      </c>
      <c r="U191" s="56"/>
      <c r="V191" s="56"/>
      <c r="W191" s="56"/>
      <c r="Y191" s="138"/>
    </row>
    <row r="192">
      <c r="A192" s="56"/>
      <c r="B192" s="56"/>
      <c r="C192" s="108" t="str">
        <f>IFNA(VLOOKUP('Dashboard-Dados'!B192,'Dashboard-Dados'!$Y$2:$AA$13,2),"")</f>
        <v/>
      </c>
      <c r="D192" s="109">
        <f>IFERROR(GETPIVOTDATA("Valor Recebido",'Dashboard-Dados'!$J$1,$A$1,A192,$B$1,B192),0)</f>
        <v>0</v>
      </c>
      <c r="E192" s="110">
        <f>IFERROR(GETPIVOTDATA("Valor Despesa",'Dashboard-Dados'!$P$1,$A$1,A192,$B$1,B192),0)</f>
        <v>0</v>
      </c>
      <c r="F192" s="110">
        <f t="shared" si="1"/>
        <v>0</v>
      </c>
      <c r="G192" s="56">
        <f>IFERROR(GETPIVOTDATA("Exame",'Dashboard-Dados'!$J$1,$A$1,A192,$B$1,B192),0)</f>
        <v>0</v>
      </c>
      <c r="H192" s="56">
        <f t="shared" si="2"/>
        <v>192</v>
      </c>
      <c r="U192" s="56"/>
      <c r="V192" s="56"/>
      <c r="W192" s="56"/>
      <c r="Y192" s="138"/>
    </row>
    <row r="193">
      <c r="A193" s="56"/>
      <c r="B193" s="56"/>
      <c r="C193" s="108" t="str">
        <f>IFNA(VLOOKUP('Dashboard-Dados'!B193,'Dashboard-Dados'!$Y$2:$AA$13,2),"")</f>
        <v/>
      </c>
      <c r="D193" s="109">
        <f>IFERROR(GETPIVOTDATA("Valor Recebido",'Dashboard-Dados'!$J$1,$A$1,A193,$B$1,B193),0)</f>
        <v>0</v>
      </c>
      <c r="E193" s="110">
        <f>IFERROR(GETPIVOTDATA("Valor Despesa",'Dashboard-Dados'!$P$1,$A$1,A193,$B$1,B193),0)</f>
        <v>0</v>
      </c>
      <c r="F193" s="110">
        <f t="shared" si="1"/>
        <v>0</v>
      </c>
      <c r="G193" s="56">
        <f>IFERROR(GETPIVOTDATA("Exame",'Dashboard-Dados'!$J$1,$A$1,A193,$B$1,B193),0)</f>
        <v>0</v>
      </c>
      <c r="H193" s="56">
        <f t="shared" si="2"/>
        <v>193</v>
      </c>
      <c r="U193" s="56"/>
      <c r="V193" s="56"/>
      <c r="W193" s="56"/>
      <c r="Y193" s="138"/>
    </row>
    <row r="194">
      <c r="A194" s="56"/>
      <c r="B194" s="56"/>
      <c r="C194" s="108" t="str">
        <f>IFNA(VLOOKUP('Dashboard-Dados'!B194,'Dashboard-Dados'!$Y$2:$AA$13,2),"")</f>
        <v/>
      </c>
      <c r="D194" s="109">
        <f>IFERROR(GETPIVOTDATA("Valor Recebido",'Dashboard-Dados'!$J$1,$A$1,A194,$B$1,B194),0)</f>
        <v>0</v>
      </c>
      <c r="E194" s="110">
        <f>IFERROR(GETPIVOTDATA("Valor Despesa",'Dashboard-Dados'!$P$1,$A$1,A194,$B$1,B194),0)</f>
        <v>0</v>
      </c>
      <c r="F194" s="110">
        <f t="shared" si="1"/>
        <v>0</v>
      </c>
      <c r="G194" s="56">
        <f>IFERROR(GETPIVOTDATA("Exame",'Dashboard-Dados'!$J$1,$A$1,A194,$B$1,B194),0)</f>
        <v>0</v>
      </c>
      <c r="H194" s="56">
        <f t="shared" si="2"/>
        <v>194</v>
      </c>
      <c r="U194" s="56"/>
      <c r="V194" s="56"/>
      <c r="W194" s="56"/>
      <c r="Y194" s="138"/>
    </row>
    <row r="195">
      <c r="A195" s="56"/>
      <c r="B195" s="56"/>
      <c r="C195" s="108" t="str">
        <f>IFNA(VLOOKUP('Dashboard-Dados'!B195,'Dashboard-Dados'!$Y$2:$AA$13,2),"")</f>
        <v/>
      </c>
      <c r="D195" s="109">
        <f>IFERROR(GETPIVOTDATA("Valor Recebido",'Dashboard-Dados'!$J$1,$A$1,A195,$B$1,B195),0)</f>
        <v>0</v>
      </c>
      <c r="E195" s="110">
        <f>IFERROR(GETPIVOTDATA("Valor Despesa",'Dashboard-Dados'!$P$1,$A$1,A195,$B$1,B195),0)</f>
        <v>0</v>
      </c>
      <c r="F195" s="110">
        <f t="shared" si="1"/>
        <v>0</v>
      </c>
      <c r="G195" s="56">
        <f>IFERROR(GETPIVOTDATA("Exame",'Dashboard-Dados'!$J$1,$A$1,A195,$B$1,B195),0)</f>
        <v>0</v>
      </c>
      <c r="H195" s="56">
        <f t="shared" si="2"/>
        <v>195</v>
      </c>
      <c r="U195" s="56"/>
      <c r="V195" s="56"/>
      <c r="W195" s="56"/>
      <c r="Y195" s="138"/>
    </row>
    <row r="196">
      <c r="A196" s="56"/>
      <c r="B196" s="56"/>
      <c r="C196" s="108" t="str">
        <f>IFNA(VLOOKUP('Dashboard-Dados'!B196,'Dashboard-Dados'!$Y$2:$AA$13,2),"")</f>
        <v/>
      </c>
      <c r="D196" s="109">
        <f>IFERROR(GETPIVOTDATA("Valor Recebido",'Dashboard-Dados'!$J$1,$A$1,A196,$B$1,B196),0)</f>
        <v>0</v>
      </c>
      <c r="E196" s="110">
        <f>IFERROR(GETPIVOTDATA("Valor Despesa",'Dashboard-Dados'!$P$1,$A$1,A196,$B$1,B196),0)</f>
        <v>0</v>
      </c>
      <c r="F196" s="110">
        <f t="shared" si="1"/>
        <v>0</v>
      </c>
      <c r="G196" s="56">
        <f>IFERROR(GETPIVOTDATA("Exame",'Dashboard-Dados'!$J$1,$A$1,A196,$B$1,B196),0)</f>
        <v>0</v>
      </c>
      <c r="H196" s="56">
        <f t="shared" si="2"/>
        <v>196</v>
      </c>
      <c r="U196" s="56"/>
      <c r="V196" s="56"/>
      <c r="W196" s="56"/>
      <c r="Y196" s="138"/>
    </row>
    <row r="197">
      <c r="A197" s="56"/>
      <c r="B197" s="56"/>
      <c r="C197" s="108" t="str">
        <f>IFNA(VLOOKUP('Dashboard-Dados'!B197,'Dashboard-Dados'!$Y$2:$AA$13,2),"")</f>
        <v/>
      </c>
      <c r="D197" s="109">
        <f>IFERROR(GETPIVOTDATA("Valor Recebido",'Dashboard-Dados'!$J$1,$A$1,A197,$B$1,B197),0)</f>
        <v>0</v>
      </c>
      <c r="E197" s="110">
        <f>IFERROR(GETPIVOTDATA("Valor Despesa",'Dashboard-Dados'!$P$1,$A$1,A197,$B$1,B197),0)</f>
        <v>0</v>
      </c>
      <c r="F197" s="110">
        <f t="shared" si="1"/>
        <v>0</v>
      </c>
      <c r="G197" s="56">
        <f>IFERROR(GETPIVOTDATA("Exame",'Dashboard-Dados'!$J$1,$A$1,A197,$B$1,B197),0)</f>
        <v>0</v>
      </c>
      <c r="H197" s="56">
        <f t="shared" si="2"/>
        <v>197</v>
      </c>
      <c r="U197" s="56"/>
      <c r="V197" s="56"/>
      <c r="W197" s="56"/>
      <c r="Y197" s="138"/>
    </row>
    <row r="198">
      <c r="A198" s="56"/>
      <c r="B198" s="56"/>
      <c r="C198" s="108" t="str">
        <f>IFNA(VLOOKUP('Dashboard-Dados'!B198,'Dashboard-Dados'!$Y$2:$AA$13,2),"")</f>
        <v/>
      </c>
      <c r="D198" s="109">
        <f>IFERROR(GETPIVOTDATA("Valor Recebido",'Dashboard-Dados'!$J$1,$A$1,A198,$B$1,B198),0)</f>
        <v>0</v>
      </c>
      <c r="E198" s="110">
        <f>IFERROR(GETPIVOTDATA("Valor Despesa",'Dashboard-Dados'!$P$1,$A$1,A198,$B$1,B198),0)</f>
        <v>0</v>
      </c>
      <c r="F198" s="110">
        <f t="shared" si="1"/>
        <v>0</v>
      </c>
      <c r="G198" s="56">
        <f>IFERROR(GETPIVOTDATA("Exame",'Dashboard-Dados'!$J$1,$A$1,A198,$B$1,B198),0)</f>
        <v>0</v>
      </c>
      <c r="H198" s="56">
        <f t="shared" si="2"/>
        <v>198</v>
      </c>
      <c r="U198" s="56"/>
      <c r="V198" s="56"/>
      <c r="W198" s="56"/>
      <c r="Y198" s="138"/>
    </row>
    <row r="199">
      <c r="A199" s="56"/>
      <c r="B199" s="56"/>
      <c r="C199" s="108" t="str">
        <f>IFNA(VLOOKUP('Dashboard-Dados'!B199,'Dashboard-Dados'!$Y$2:$AA$13,2),"")</f>
        <v/>
      </c>
      <c r="D199" s="109">
        <f>IFERROR(GETPIVOTDATA("Valor Recebido",'Dashboard-Dados'!$J$1,$A$1,A199,$B$1,B199),0)</f>
        <v>0</v>
      </c>
      <c r="E199" s="110">
        <f>IFERROR(GETPIVOTDATA("Valor Despesa",'Dashboard-Dados'!$P$1,$A$1,A199,$B$1,B199),0)</f>
        <v>0</v>
      </c>
      <c r="F199" s="110">
        <f t="shared" si="1"/>
        <v>0</v>
      </c>
      <c r="G199" s="56">
        <f>IFERROR(GETPIVOTDATA("Exame",'Dashboard-Dados'!$J$1,$A$1,A199,$B$1,B199),0)</f>
        <v>0</v>
      </c>
      <c r="H199" s="56">
        <f t="shared" si="2"/>
        <v>199</v>
      </c>
      <c r="U199" s="56"/>
      <c r="V199" s="56"/>
      <c r="W199" s="56"/>
      <c r="Y199" s="138"/>
    </row>
    <row r="200">
      <c r="A200" s="56"/>
      <c r="B200" s="56"/>
      <c r="C200" s="108" t="str">
        <f>IFNA(VLOOKUP('Dashboard-Dados'!B200,'Dashboard-Dados'!$Y$2:$AA$13,2),"")</f>
        <v/>
      </c>
      <c r="D200" s="109">
        <f>IFERROR(GETPIVOTDATA("Valor Recebido",'Dashboard-Dados'!$J$1,$A$1,A200,$B$1,B200),0)</f>
        <v>0</v>
      </c>
      <c r="E200" s="110">
        <f>IFERROR(GETPIVOTDATA("Valor Despesa",'Dashboard-Dados'!$P$1,$A$1,A200,$B$1,B200),0)</f>
        <v>0</v>
      </c>
      <c r="F200" s="110">
        <f t="shared" si="1"/>
        <v>0</v>
      </c>
      <c r="G200" s="56">
        <f>IFERROR(GETPIVOTDATA("Exame",'Dashboard-Dados'!$J$1,$A$1,A200,$B$1,B200),0)</f>
        <v>0</v>
      </c>
      <c r="H200" s="56">
        <f t="shared" si="2"/>
        <v>200</v>
      </c>
      <c r="U200" s="56"/>
      <c r="V200" s="56"/>
      <c r="W200" s="56"/>
      <c r="Y200" s="138"/>
    </row>
    <row r="201">
      <c r="A201" s="56"/>
      <c r="B201" s="56"/>
      <c r="C201" s="108" t="str">
        <f>IFNA(VLOOKUP('Dashboard-Dados'!B201,'Dashboard-Dados'!$Y$2:$AA$13,2),"")</f>
        <v/>
      </c>
      <c r="D201" s="109">
        <f>IFERROR(GETPIVOTDATA("Valor Recebido",'Dashboard-Dados'!$J$1,$A$1,A201,$B$1,B201),0)</f>
        <v>0</v>
      </c>
      <c r="E201" s="110">
        <f>IFERROR(GETPIVOTDATA("Valor Despesa",'Dashboard-Dados'!$P$1,$A$1,A201,$B$1,B201),0)</f>
        <v>0</v>
      </c>
      <c r="F201" s="110">
        <f t="shared" si="1"/>
        <v>0</v>
      </c>
      <c r="G201" s="56">
        <f>IFERROR(GETPIVOTDATA("Exame",'Dashboard-Dados'!$J$1,$A$1,A201,$B$1,B201),0)</f>
        <v>0</v>
      </c>
      <c r="H201" s="56">
        <f t="shared" si="2"/>
        <v>201</v>
      </c>
      <c r="U201" s="56"/>
      <c r="V201" s="56"/>
      <c r="W201" s="56"/>
      <c r="Y201" s="138"/>
    </row>
    <row r="202">
      <c r="A202" s="56"/>
      <c r="B202" s="56"/>
      <c r="C202" s="108" t="str">
        <f>IFNA(VLOOKUP('Dashboard-Dados'!B202,'Dashboard-Dados'!$Y$2:$AA$13,2),"")</f>
        <v/>
      </c>
      <c r="D202" s="109">
        <f>IFERROR(GETPIVOTDATA("Valor Recebido",'Dashboard-Dados'!$J$1,$A$1,A202,$B$1,B202),0)</f>
        <v>0</v>
      </c>
      <c r="E202" s="110">
        <f>IFERROR(GETPIVOTDATA("Valor Despesa",'Dashboard-Dados'!$P$1,$A$1,A202,$B$1,B202),0)</f>
        <v>0</v>
      </c>
      <c r="F202" s="110">
        <f t="shared" si="1"/>
        <v>0</v>
      </c>
      <c r="G202" s="56">
        <f>IFERROR(GETPIVOTDATA("Exame",'Dashboard-Dados'!$J$1,$A$1,A202,$B$1,B202),0)</f>
        <v>0</v>
      </c>
      <c r="H202" s="56">
        <f t="shared" si="2"/>
        <v>202</v>
      </c>
      <c r="U202" s="56"/>
      <c r="V202" s="56"/>
      <c r="W202" s="56"/>
      <c r="Y202" s="138"/>
    </row>
    <row r="203">
      <c r="A203" s="56"/>
      <c r="B203" s="56"/>
      <c r="C203" s="108" t="str">
        <f>IFNA(VLOOKUP('Dashboard-Dados'!B203,'Dashboard-Dados'!$Y$2:$AA$13,2),"")</f>
        <v/>
      </c>
      <c r="D203" s="109">
        <f>IFERROR(GETPIVOTDATA("Valor Recebido",'Dashboard-Dados'!$J$1,$A$1,A203,$B$1,B203),0)</f>
        <v>0</v>
      </c>
      <c r="E203" s="110">
        <f>IFERROR(GETPIVOTDATA("Valor Despesa",'Dashboard-Dados'!$P$1,$A$1,A203,$B$1,B203),0)</f>
        <v>0</v>
      </c>
      <c r="F203" s="110">
        <f t="shared" si="1"/>
        <v>0</v>
      </c>
      <c r="G203" s="56">
        <f>IFERROR(GETPIVOTDATA("Exame",'Dashboard-Dados'!$J$1,$A$1,A203,$B$1,B203),0)</f>
        <v>0</v>
      </c>
      <c r="H203" s="56">
        <f t="shared" si="2"/>
        <v>203</v>
      </c>
      <c r="U203" s="56"/>
      <c r="V203" s="56"/>
      <c r="W203" s="56"/>
      <c r="Y203" s="138"/>
    </row>
    <row r="204">
      <c r="A204" s="56"/>
      <c r="B204" s="56"/>
      <c r="C204" s="108" t="str">
        <f>IFNA(VLOOKUP('Dashboard-Dados'!B204,'Dashboard-Dados'!$Y$2:$AA$13,2),"")</f>
        <v/>
      </c>
      <c r="D204" s="109">
        <f>IFERROR(GETPIVOTDATA("Valor Recebido",'Dashboard-Dados'!$J$1,$A$1,A204,$B$1,B204),0)</f>
        <v>0</v>
      </c>
      <c r="E204" s="110">
        <f>IFERROR(GETPIVOTDATA("Valor Despesa",'Dashboard-Dados'!$P$1,$A$1,A204,$B$1,B204),0)</f>
        <v>0</v>
      </c>
      <c r="F204" s="110">
        <f t="shared" si="1"/>
        <v>0</v>
      </c>
      <c r="G204" s="56">
        <f>IFERROR(GETPIVOTDATA("Exame",'Dashboard-Dados'!$J$1,$A$1,A204,$B$1,B204),0)</f>
        <v>0</v>
      </c>
      <c r="H204" s="56">
        <f t="shared" si="2"/>
        <v>204</v>
      </c>
      <c r="U204" s="56"/>
      <c r="V204" s="56"/>
      <c r="W204" s="56"/>
      <c r="Y204" s="138"/>
    </row>
    <row r="205">
      <c r="A205" s="56"/>
      <c r="B205" s="56"/>
      <c r="C205" s="108" t="str">
        <f>IFNA(VLOOKUP('Dashboard-Dados'!B205,'Dashboard-Dados'!$Y$2:$AA$13,2),"")</f>
        <v/>
      </c>
      <c r="D205" s="109">
        <f>IFERROR(GETPIVOTDATA("Valor Recebido",'Dashboard-Dados'!$J$1,$A$1,A205,$B$1,B205),0)</f>
        <v>0</v>
      </c>
      <c r="E205" s="110">
        <f>IFERROR(GETPIVOTDATA("Valor Despesa",'Dashboard-Dados'!$P$1,$A$1,A205,$B$1,B205),0)</f>
        <v>0</v>
      </c>
      <c r="F205" s="110">
        <f t="shared" si="1"/>
        <v>0</v>
      </c>
      <c r="G205" s="56">
        <f>IFERROR(GETPIVOTDATA("Exame",'Dashboard-Dados'!$J$1,$A$1,A205,$B$1,B205),0)</f>
        <v>0</v>
      </c>
      <c r="H205" s="56">
        <f t="shared" si="2"/>
        <v>205</v>
      </c>
      <c r="U205" s="56"/>
      <c r="V205" s="56"/>
      <c r="W205" s="56"/>
      <c r="Y205" s="138"/>
    </row>
    <row r="206">
      <c r="A206" s="56"/>
      <c r="B206" s="56"/>
      <c r="C206" s="108" t="str">
        <f>IFNA(VLOOKUP('Dashboard-Dados'!B206,'Dashboard-Dados'!$Y$2:$AA$13,2),"")</f>
        <v/>
      </c>
      <c r="D206" s="109">
        <f>IFERROR(GETPIVOTDATA("Valor Recebido",'Dashboard-Dados'!$J$1,$A$1,A206,$B$1,B206),0)</f>
        <v>0</v>
      </c>
      <c r="E206" s="110">
        <f>IFERROR(GETPIVOTDATA("Valor Despesa",'Dashboard-Dados'!$P$1,$A$1,A206,$B$1,B206),0)</f>
        <v>0</v>
      </c>
      <c r="F206" s="110">
        <f t="shared" si="1"/>
        <v>0</v>
      </c>
      <c r="G206" s="56">
        <f>IFERROR(GETPIVOTDATA("Exame",'Dashboard-Dados'!$J$1,$A$1,A206,$B$1,B206),0)</f>
        <v>0</v>
      </c>
      <c r="H206" s="56">
        <f t="shared" si="2"/>
        <v>206</v>
      </c>
      <c r="U206" s="56"/>
      <c r="V206" s="56"/>
      <c r="W206" s="56"/>
      <c r="Y206" s="138"/>
    </row>
    <row r="207">
      <c r="A207" s="56"/>
      <c r="B207" s="56"/>
      <c r="C207" s="108" t="str">
        <f>IFNA(VLOOKUP('Dashboard-Dados'!B207,'Dashboard-Dados'!$Y$2:$AA$13,2),"")</f>
        <v/>
      </c>
      <c r="D207" s="109">
        <f>IFERROR(GETPIVOTDATA("Valor Recebido",'Dashboard-Dados'!$J$1,$A$1,A207,$B$1,B207),0)</f>
        <v>0</v>
      </c>
      <c r="E207" s="110">
        <f>IFERROR(GETPIVOTDATA("Valor Despesa",'Dashboard-Dados'!$P$1,$A$1,A207,$B$1,B207),0)</f>
        <v>0</v>
      </c>
      <c r="F207" s="110">
        <f t="shared" si="1"/>
        <v>0</v>
      </c>
      <c r="G207" s="56">
        <f>IFERROR(GETPIVOTDATA("Exame",'Dashboard-Dados'!$J$1,$A$1,A207,$B$1,B207),0)</f>
        <v>0</v>
      </c>
      <c r="H207" s="56">
        <f t="shared" si="2"/>
        <v>207</v>
      </c>
      <c r="U207" s="56"/>
      <c r="V207" s="56"/>
      <c r="W207" s="56"/>
      <c r="Y207" s="138"/>
    </row>
    <row r="208">
      <c r="A208" s="56"/>
      <c r="B208" s="56"/>
      <c r="C208" s="108" t="str">
        <f>IFNA(VLOOKUP('Dashboard-Dados'!B208,'Dashboard-Dados'!$Y$2:$AA$13,2),"")</f>
        <v/>
      </c>
      <c r="D208" s="109">
        <f>IFERROR(GETPIVOTDATA("Valor Recebido",'Dashboard-Dados'!$J$1,$A$1,A208,$B$1,B208),0)</f>
        <v>0</v>
      </c>
      <c r="E208" s="110">
        <f>IFERROR(GETPIVOTDATA("Valor Despesa",'Dashboard-Dados'!$P$1,$A$1,A208,$B$1,B208),0)</f>
        <v>0</v>
      </c>
      <c r="F208" s="110">
        <f t="shared" si="1"/>
        <v>0</v>
      </c>
      <c r="G208" s="56">
        <f>IFERROR(GETPIVOTDATA("Exame",'Dashboard-Dados'!$J$1,$A$1,A208,$B$1,B208),0)</f>
        <v>0</v>
      </c>
      <c r="H208" s="56">
        <f t="shared" si="2"/>
        <v>208</v>
      </c>
      <c r="U208" s="56"/>
      <c r="V208" s="56"/>
      <c r="W208" s="56"/>
      <c r="Y208" s="138"/>
    </row>
    <row r="209">
      <c r="A209" s="56"/>
      <c r="B209" s="56"/>
      <c r="C209" s="108" t="str">
        <f>IFNA(VLOOKUP('Dashboard-Dados'!B209,'Dashboard-Dados'!$Y$2:$AA$13,2),"")</f>
        <v/>
      </c>
      <c r="D209" s="109">
        <f>IFERROR(GETPIVOTDATA("Valor Recebido",'Dashboard-Dados'!$J$1,$A$1,A209,$B$1,B209),0)</f>
        <v>0</v>
      </c>
      <c r="E209" s="110">
        <f>IFERROR(GETPIVOTDATA("Valor Despesa",'Dashboard-Dados'!$P$1,$A$1,A209,$B$1,B209),0)</f>
        <v>0</v>
      </c>
      <c r="F209" s="110">
        <f t="shared" si="1"/>
        <v>0</v>
      </c>
      <c r="G209" s="56">
        <f>IFERROR(GETPIVOTDATA("Exame",'Dashboard-Dados'!$J$1,$A$1,A209,$B$1,B209),0)</f>
        <v>0</v>
      </c>
      <c r="H209" s="56">
        <f t="shared" si="2"/>
        <v>209</v>
      </c>
      <c r="U209" s="56"/>
      <c r="V209" s="56"/>
      <c r="W209" s="56"/>
      <c r="Y209" s="138"/>
    </row>
    <row r="210">
      <c r="A210" s="56"/>
      <c r="B210" s="56"/>
      <c r="C210" s="108" t="str">
        <f>IFNA(VLOOKUP('Dashboard-Dados'!B210,'Dashboard-Dados'!$Y$2:$AA$13,2),"")</f>
        <v/>
      </c>
      <c r="D210" s="109">
        <f>IFERROR(GETPIVOTDATA("Valor Recebido",'Dashboard-Dados'!$J$1,$A$1,A210,$B$1,B210),0)</f>
        <v>0</v>
      </c>
      <c r="E210" s="110">
        <f>IFERROR(GETPIVOTDATA("Valor Despesa",'Dashboard-Dados'!$P$1,$A$1,A210,$B$1,B210),0)</f>
        <v>0</v>
      </c>
      <c r="F210" s="110">
        <f t="shared" si="1"/>
        <v>0</v>
      </c>
      <c r="G210" s="56">
        <f>IFERROR(GETPIVOTDATA("Exame",'Dashboard-Dados'!$J$1,$A$1,A210,$B$1,B210),0)</f>
        <v>0</v>
      </c>
      <c r="H210" s="56">
        <f t="shared" si="2"/>
        <v>210</v>
      </c>
      <c r="U210" s="56"/>
      <c r="V210" s="56"/>
      <c r="W210" s="56"/>
      <c r="Y210" s="138"/>
    </row>
    <row r="211">
      <c r="A211" s="56"/>
      <c r="B211" s="56"/>
      <c r="C211" s="108" t="str">
        <f>IFNA(VLOOKUP('Dashboard-Dados'!B211,'Dashboard-Dados'!$Y$2:$AA$13,2),"")</f>
        <v/>
      </c>
      <c r="D211" s="109">
        <f>IFERROR(GETPIVOTDATA("Valor Recebido",'Dashboard-Dados'!$J$1,$A$1,A211,$B$1,B211),0)</f>
        <v>0</v>
      </c>
      <c r="E211" s="110">
        <f>IFERROR(GETPIVOTDATA("Valor Despesa",'Dashboard-Dados'!$P$1,$A$1,A211,$B$1,B211),0)</f>
        <v>0</v>
      </c>
      <c r="F211" s="110">
        <f t="shared" si="1"/>
        <v>0</v>
      </c>
      <c r="G211" s="56">
        <f>IFERROR(GETPIVOTDATA("Exame",'Dashboard-Dados'!$J$1,$A$1,A211,$B$1,B211),0)</f>
        <v>0</v>
      </c>
      <c r="H211" s="56">
        <f t="shared" si="2"/>
        <v>211</v>
      </c>
      <c r="U211" s="56"/>
      <c r="V211" s="56"/>
      <c r="W211" s="56"/>
      <c r="Y211" s="138"/>
    </row>
    <row r="212">
      <c r="A212" s="56"/>
      <c r="B212" s="56"/>
      <c r="C212" s="108" t="str">
        <f>IFNA(VLOOKUP('Dashboard-Dados'!B212,'Dashboard-Dados'!$Y$2:$AA$13,2),"")</f>
        <v/>
      </c>
      <c r="D212" s="109">
        <f>IFERROR(GETPIVOTDATA("Valor Recebido",'Dashboard-Dados'!$J$1,$A$1,A212,$B$1,B212),0)</f>
        <v>0</v>
      </c>
      <c r="E212" s="110">
        <f>IFERROR(GETPIVOTDATA("Valor Despesa",'Dashboard-Dados'!$P$1,$A$1,A212,$B$1,B212),0)</f>
        <v>0</v>
      </c>
      <c r="F212" s="110">
        <f t="shared" si="1"/>
        <v>0</v>
      </c>
      <c r="G212" s="56">
        <f>IFERROR(GETPIVOTDATA("Exame",'Dashboard-Dados'!$J$1,$A$1,A212,$B$1,B212),0)</f>
        <v>0</v>
      </c>
      <c r="H212" s="56">
        <f t="shared" si="2"/>
        <v>212</v>
      </c>
      <c r="U212" s="56"/>
      <c r="V212" s="56"/>
      <c r="W212" s="56"/>
      <c r="Y212" s="138"/>
    </row>
    <row r="213">
      <c r="A213" s="56"/>
      <c r="B213" s="56"/>
      <c r="C213" s="108" t="str">
        <f>IFNA(VLOOKUP('Dashboard-Dados'!B213,'Dashboard-Dados'!$Y$2:$AA$13,2),"")</f>
        <v/>
      </c>
      <c r="D213" s="109">
        <f>IFERROR(GETPIVOTDATA("Valor Recebido",'Dashboard-Dados'!$J$1,$A$1,A213,$B$1,B213),0)</f>
        <v>0</v>
      </c>
      <c r="E213" s="110">
        <f>IFERROR(GETPIVOTDATA("Valor Despesa",'Dashboard-Dados'!$P$1,$A$1,A213,$B$1,B213),0)</f>
        <v>0</v>
      </c>
      <c r="F213" s="110">
        <f t="shared" si="1"/>
        <v>0</v>
      </c>
      <c r="G213" s="56">
        <f>IFERROR(GETPIVOTDATA("Exame",'Dashboard-Dados'!$J$1,$A$1,A213,$B$1,B213),0)</f>
        <v>0</v>
      </c>
      <c r="H213" s="56">
        <f t="shared" si="2"/>
        <v>213</v>
      </c>
      <c r="U213" s="56"/>
      <c r="V213" s="56"/>
      <c r="W213" s="56"/>
      <c r="Y213" s="138"/>
    </row>
    <row r="214">
      <c r="A214" s="56"/>
      <c r="B214" s="56"/>
      <c r="C214" s="108" t="str">
        <f>IFNA(VLOOKUP('Dashboard-Dados'!B214,'Dashboard-Dados'!$Y$2:$AA$13,2),"")</f>
        <v/>
      </c>
      <c r="D214" s="109">
        <f>IFERROR(GETPIVOTDATA("Valor Recebido",'Dashboard-Dados'!$J$1,$A$1,A214,$B$1,B214),0)</f>
        <v>0</v>
      </c>
      <c r="E214" s="110">
        <f>IFERROR(GETPIVOTDATA("Valor Despesa",'Dashboard-Dados'!$P$1,$A$1,A214,$B$1,B214),0)</f>
        <v>0</v>
      </c>
      <c r="F214" s="110">
        <f t="shared" si="1"/>
        <v>0</v>
      </c>
      <c r="G214" s="56">
        <f>IFERROR(GETPIVOTDATA("Exame",'Dashboard-Dados'!$J$1,$A$1,A214,$B$1,B214),0)</f>
        <v>0</v>
      </c>
      <c r="H214" s="56">
        <f t="shared" si="2"/>
        <v>214</v>
      </c>
      <c r="U214" s="56"/>
      <c r="V214" s="56"/>
      <c r="W214" s="56"/>
      <c r="Y214" s="138"/>
    </row>
    <row r="215">
      <c r="A215" s="56"/>
      <c r="B215" s="56"/>
      <c r="C215" s="108" t="str">
        <f>IFNA(VLOOKUP('Dashboard-Dados'!B215,'Dashboard-Dados'!$Y$2:$AA$13,2),"")</f>
        <v/>
      </c>
      <c r="D215" s="109">
        <f>IFERROR(GETPIVOTDATA("Valor Recebido",'Dashboard-Dados'!$J$1,$A$1,A215,$B$1,B215),0)</f>
        <v>0</v>
      </c>
      <c r="E215" s="110">
        <f>IFERROR(GETPIVOTDATA("Valor Despesa",'Dashboard-Dados'!$P$1,$A$1,A215,$B$1,B215),0)</f>
        <v>0</v>
      </c>
      <c r="F215" s="110">
        <f t="shared" si="1"/>
        <v>0</v>
      </c>
      <c r="G215" s="56">
        <f>IFERROR(GETPIVOTDATA("Exame",'Dashboard-Dados'!$J$1,$A$1,A215,$B$1,B215),0)</f>
        <v>0</v>
      </c>
      <c r="H215" s="56">
        <f t="shared" si="2"/>
        <v>215</v>
      </c>
      <c r="U215" s="56"/>
      <c r="V215" s="56"/>
      <c r="W215" s="56"/>
      <c r="Y215" s="138"/>
    </row>
    <row r="216">
      <c r="A216" s="56"/>
      <c r="B216" s="56"/>
      <c r="C216" s="108" t="str">
        <f>IFNA(VLOOKUP('Dashboard-Dados'!B216,'Dashboard-Dados'!$Y$2:$AA$13,2),"")</f>
        <v/>
      </c>
      <c r="D216" s="109">
        <f>IFERROR(GETPIVOTDATA("Valor Recebido",'Dashboard-Dados'!$J$1,$A$1,A216,$B$1,B216),0)</f>
        <v>0</v>
      </c>
      <c r="E216" s="110">
        <f>IFERROR(GETPIVOTDATA("Valor Despesa",'Dashboard-Dados'!$P$1,$A$1,A216,$B$1,B216),0)</f>
        <v>0</v>
      </c>
      <c r="F216" s="110">
        <f t="shared" si="1"/>
        <v>0</v>
      </c>
      <c r="G216" s="56">
        <f>IFERROR(GETPIVOTDATA("Exame",'Dashboard-Dados'!$J$1,$A$1,A216,$B$1,B216),0)</f>
        <v>0</v>
      </c>
      <c r="H216" s="56">
        <f t="shared" si="2"/>
        <v>216</v>
      </c>
      <c r="U216" s="56"/>
      <c r="V216" s="56"/>
      <c r="W216" s="56"/>
      <c r="Y216" s="138"/>
    </row>
    <row r="217">
      <c r="A217" s="56"/>
      <c r="B217" s="56"/>
      <c r="C217" s="108" t="str">
        <f>IFNA(VLOOKUP('Dashboard-Dados'!B217,'Dashboard-Dados'!$Y$2:$AA$13,2),"")</f>
        <v/>
      </c>
      <c r="D217" s="109">
        <f>IFERROR(GETPIVOTDATA("Valor Recebido",'Dashboard-Dados'!$J$1,$A$1,A217,$B$1,B217),0)</f>
        <v>0</v>
      </c>
      <c r="E217" s="110">
        <f>IFERROR(GETPIVOTDATA("Valor Despesa",'Dashboard-Dados'!$P$1,$A$1,A217,$B$1,B217),0)</f>
        <v>0</v>
      </c>
      <c r="F217" s="110">
        <f t="shared" si="1"/>
        <v>0</v>
      </c>
      <c r="G217" s="56">
        <f>IFERROR(GETPIVOTDATA("Exame",'Dashboard-Dados'!$J$1,$A$1,A217,$B$1,B217),0)</f>
        <v>0</v>
      </c>
      <c r="H217" s="56">
        <f t="shared" si="2"/>
        <v>217</v>
      </c>
      <c r="U217" s="56"/>
      <c r="V217" s="56"/>
      <c r="W217" s="56"/>
      <c r="Y217" s="138"/>
    </row>
    <row r="218">
      <c r="A218" s="56"/>
      <c r="B218" s="56"/>
      <c r="C218" s="108" t="str">
        <f>IFNA(VLOOKUP('Dashboard-Dados'!B218,'Dashboard-Dados'!$Y$2:$AA$13,2),"")</f>
        <v/>
      </c>
      <c r="D218" s="109">
        <f>IFERROR(GETPIVOTDATA("Valor Recebido",'Dashboard-Dados'!$J$1,$A$1,A218,$B$1,B218),0)</f>
        <v>0</v>
      </c>
      <c r="E218" s="110">
        <f>IFERROR(GETPIVOTDATA("Valor Despesa",'Dashboard-Dados'!$P$1,$A$1,A218,$B$1,B218),0)</f>
        <v>0</v>
      </c>
      <c r="F218" s="110">
        <f t="shared" si="1"/>
        <v>0</v>
      </c>
      <c r="G218" s="56">
        <f>IFERROR(GETPIVOTDATA("Exame",'Dashboard-Dados'!$J$1,$A$1,A218,$B$1,B218),0)</f>
        <v>0</v>
      </c>
      <c r="H218" s="56">
        <f t="shared" si="2"/>
        <v>218</v>
      </c>
      <c r="U218" s="56"/>
      <c r="V218" s="56"/>
      <c r="W218" s="56"/>
      <c r="Y218" s="138"/>
    </row>
    <row r="219">
      <c r="A219" s="56"/>
      <c r="B219" s="56"/>
      <c r="C219" s="108" t="str">
        <f>IFNA(VLOOKUP('Dashboard-Dados'!B219,'Dashboard-Dados'!$Y$2:$AA$13,2),"")</f>
        <v/>
      </c>
      <c r="D219" s="109">
        <f>IFERROR(GETPIVOTDATA("Valor Recebido",'Dashboard-Dados'!$J$1,$A$1,A219,$B$1,B219),0)</f>
        <v>0</v>
      </c>
      <c r="E219" s="110">
        <f>IFERROR(GETPIVOTDATA("Valor Despesa",'Dashboard-Dados'!$P$1,$A$1,A219,$B$1,B219),0)</f>
        <v>0</v>
      </c>
      <c r="F219" s="110">
        <f t="shared" si="1"/>
        <v>0</v>
      </c>
      <c r="G219" s="56">
        <f>IFERROR(GETPIVOTDATA("Exame",'Dashboard-Dados'!$J$1,$A$1,A219,$B$1,B219),0)</f>
        <v>0</v>
      </c>
      <c r="H219" s="56">
        <f t="shared" si="2"/>
        <v>219</v>
      </c>
      <c r="U219" s="56"/>
      <c r="V219" s="56"/>
      <c r="W219" s="56"/>
      <c r="Y219" s="138"/>
    </row>
    <row r="220">
      <c r="A220" s="56"/>
      <c r="B220" s="56"/>
      <c r="C220" s="108" t="str">
        <f>IFNA(VLOOKUP('Dashboard-Dados'!B220,'Dashboard-Dados'!$Y$2:$AA$13,2),"")</f>
        <v/>
      </c>
      <c r="D220" s="109">
        <f>IFERROR(GETPIVOTDATA("Valor Recebido",'Dashboard-Dados'!$J$1,$A$1,A220,$B$1,B220),0)</f>
        <v>0</v>
      </c>
      <c r="E220" s="110">
        <f>IFERROR(GETPIVOTDATA("Valor Despesa",'Dashboard-Dados'!$P$1,$A$1,A220,$B$1,B220),0)</f>
        <v>0</v>
      </c>
      <c r="F220" s="110">
        <f t="shared" si="1"/>
        <v>0</v>
      </c>
      <c r="G220" s="56">
        <f>IFERROR(GETPIVOTDATA("Exame",'Dashboard-Dados'!$J$1,$A$1,A220,$B$1,B220),0)</f>
        <v>0</v>
      </c>
      <c r="H220" s="56">
        <f t="shared" si="2"/>
        <v>220</v>
      </c>
      <c r="U220" s="56"/>
      <c r="V220" s="56"/>
      <c r="W220" s="56"/>
      <c r="Y220" s="138"/>
    </row>
    <row r="221">
      <c r="A221" s="56"/>
      <c r="B221" s="56"/>
      <c r="C221" s="108" t="str">
        <f>IFNA(VLOOKUP('Dashboard-Dados'!B221,'Dashboard-Dados'!$Y$2:$AA$13,2),"")</f>
        <v/>
      </c>
      <c r="D221" s="109">
        <f>IFERROR(GETPIVOTDATA("Valor Recebido",'Dashboard-Dados'!$J$1,$A$1,A221,$B$1,B221),0)</f>
        <v>0</v>
      </c>
      <c r="E221" s="110">
        <f>IFERROR(GETPIVOTDATA("Valor Despesa",'Dashboard-Dados'!$P$1,$A$1,A221,$B$1,B221),0)</f>
        <v>0</v>
      </c>
      <c r="F221" s="110">
        <f t="shared" si="1"/>
        <v>0</v>
      </c>
      <c r="G221" s="56">
        <f>IFERROR(GETPIVOTDATA("Exame",'Dashboard-Dados'!$J$1,$A$1,A221,$B$1,B221),0)</f>
        <v>0</v>
      </c>
      <c r="H221" s="56">
        <f t="shared" si="2"/>
        <v>221</v>
      </c>
      <c r="U221" s="56"/>
      <c r="V221" s="56"/>
      <c r="W221" s="56"/>
      <c r="Y221" s="138"/>
    </row>
    <row r="222">
      <c r="A222" s="56"/>
      <c r="B222" s="56"/>
      <c r="C222" s="108" t="str">
        <f>IFNA(VLOOKUP('Dashboard-Dados'!B222,'Dashboard-Dados'!$Y$2:$AA$13,2),"")</f>
        <v/>
      </c>
      <c r="D222" s="109">
        <f>IFERROR(GETPIVOTDATA("Valor Recebido",'Dashboard-Dados'!$J$1,$A$1,A222,$B$1,B222),0)</f>
        <v>0</v>
      </c>
      <c r="E222" s="110">
        <f>IFERROR(GETPIVOTDATA("Valor Despesa",'Dashboard-Dados'!$P$1,$A$1,A222,$B$1,B222),0)</f>
        <v>0</v>
      </c>
      <c r="F222" s="110">
        <f t="shared" si="1"/>
        <v>0</v>
      </c>
      <c r="G222" s="56">
        <f>IFERROR(GETPIVOTDATA("Exame",'Dashboard-Dados'!$J$1,$A$1,A222,$B$1,B222),0)</f>
        <v>0</v>
      </c>
      <c r="H222" s="56">
        <f t="shared" si="2"/>
        <v>222</v>
      </c>
      <c r="U222" s="56"/>
      <c r="V222" s="56"/>
      <c r="W222" s="56"/>
      <c r="Y222" s="138"/>
    </row>
    <row r="223">
      <c r="A223" s="56"/>
      <c r="B223" s="56"/>
      <c r="C223" s="108" t="str">
        <f>IFNA(VLOOKUP('Dashboard-Dados'!B223,'Dashboard-Dados'!$Y$2:$AA$13,2),"")</f>
        <v/>
      </c>
      <c r="D223" s="109">
        <f>IFERROR(GETPIVOTDATA("Valor Recebido",'Dashboard-Dados'!$J$1,$A$1,A223,$B$1,B223),0)</f>
        <v>0</v>
      </c>
      <c r="E223" s="110">
        <f>IFERROR(GETPIVOTDATA("Valor Despesa",'Dashboard-Dados'!$P$1,$A$1,A223,$B$1,B223),0)</f>
        <v>0</v>
      </c>
      <c r="F223" s="110">
        <f t="shared" si="1"/>
        <v>0</v>
      </c>
      <c r="G223" s="56">
        <f>IFERROR(GETPIVOTDATA("Exame",'Dashboard-Dados'!$J$1,$A$1,A223,$B$1,B223),0)</f>
        <v>0</v>
      </c>
      <c r="H223" s="56">
        <f t="shared" si="2"/>
        <v>223</v>
      </c>
      <c r="U223" s="56"/>
      <c r="V223" s="56"/>
      <c r="W223" s="56"/>
      <c r="Y223" s="138"/>
    </row>
    <row r="224">
      <c r="A224" s="56"/>
      <c r="B224" s="56"/>
      <c r="C224" s="108" t="str">
        <f>IFNA(VLOOKUP('Dashboard-Dados'!B224,'Dashboard-Dados'!$Y$2:$AA$13,2),"")</f>
        <v/>
      </c>
      <c r="D224" s="109">
        <f>IFERROR(GETPIVOTDATA("Valor Recebido",'Dashboard-Dados'!$J$1,$A$1,A224,$B$1,B224),0)</f>
        <v>0</v>
      </c>
      <c r="E224" s="110">
        <f>IFERROR(GETPIVOTDATA("Valor Despesa",'Dashboard-Dados'!$P$1,$A$1,A224,$B$1,B224),0)</f>
        <v>0</v>
      </c>
      <c r="F224" s="110">
        <f t="shared" si="1"/>
        <v>0</v>
      </c>
      <c r="G224" s="56">
        <f>IFERROR(GETPIVOTDATA("Exame",'Dashboard-Dados'!$J$1,$A$1,A224,$B$1,B224),0)</f>
        <v>0</v>
      </c>
      <c r="H224" s="56">
        <f t="shared" si="2"/>
        <v>224</v>
      </c>
      <c r="U224" s="56"/>
      <c r="V224" s="56"/>
      <c r="W224" s="56"/>
      <c r="Y224" s="138"/>
    </row>
    <row r="225">
      <c r="A225" s="56"/>
      <c r="B225" s="56"/>
      <c r="C225" s="108" t="str">
        <f>IFNA(VLOOKUP('Dashboard-Dados'!B225,'Dashboard-Dados'!$Y$2:$AA$13,2),"")</f>
        <v/>
      </c>
      <c r="D225" s="109">
        <f>IFERROR(GETPIVOTDATA("Valor Recebido",'Dashboard-Dados'!$J$1,$A$1,A225,$B$1,B225),0)</f>
        <v>0</v>
      </c>
      <c r="E225" s="110">
        <f>IFERROR(GETPIVOTDATA("Valor Despesa",'Dashboard-Dados'!$P$1,$A$1,A225,$B$1,B225),0)</f>
        <v>0</v>
      </c>
      <c r="F225" s="110">
        <f t="shared" si="1"/>
        <v>0</v>
      </c>
      <c r="G225" s="56">
        <f>IFERROR(GETPIVOTDATA("Exame",'Dashboard-Dados'!$J$1,$A$1,A225,$B$1,B225),0)</f>
        <v>0</v>
      </c>
      <c r="H225" s="56">
        <f t="shared" si="2"/>
        <v>225</v>
      </c>
      <c r="U225" s="56"/>
      <c r="V225" s="56"/>
      <c r="W225" s="56"/>
      <c r="Y225" s="138"/>
    </row>
    <row r="226">
      <c r="A226" s="56"/>
      <c r="B226" s="56"/>
      <c r="C226" s="108" t="str">
        <f>IFNA(VLOOKUP('Dashboard-Dados'!B226,'Dashboard-Dados'!$Y$2:$AA$13,2),"")</f>
        <v/>
      </c>
      <c r="D226" s="109">
        <f>IFERROR(GETPIVOTDATA("Valor Recebido",'Dashboard-Dados'!$J$1,$A$1,A226,$B$1,B226),0)</f>
        <v>0</v>
      </c>
      <c r="E226" s="110">
        <f>IFERROR(GETPIVOTDATA("Valor Despesa",'Dashboard-Dados'!$P$1,$A$1,A226,$B$1,B226),0)</f>
        <v>0</v>
      </c>
      <c r="F226" s="110">
        <f t="shared" si="1"/>
        <v>0</v>
      </c>
      <c r="G226" s="56">
        <f>IFERROR(GETPIVOTDATA("Exame",'Dashboard-Dados'!$J$1,$A$1,A226,$B$1,B226),0)</f>
        <v>0</v>
      </c>
      <c r="H226" s="56">
        <f t="shared" si="2"/>
        <v>226</v>
      </c>
      <c r="U226" s="56"/>
      <c r="V226" s="56"/>
      <c r="W226" s="56"/>
      <c r="Y226" s="138"/>
    </row>
    <row r="227">
      <c r="A227" s="56"/>
      <c r="B227" s="56"/>
      <c r="C227" s="108" t="str">
        <f>IFNA(VLOOKUP('Dashboard-Dados'!B227,'Dashboard-Dados'!$Y$2:$AA$13,2),"")</f>
        <v/>
      </c>
      <c r="D227" s="109">
        <f>IFERROR(GETPIVOTDATA("Valor Recebido",'Dashboard-Dados'!$J$1,$A$1,A227,$B$1,B227),0)</f>
        <v>0</v>
      </c>
      <c r="E227" s="110">
        <f>IFERROR(GETPIVOTDATA("Valor Despesa",'Dashboard-Dados'!$P$1,$A$1,A227,$B$1,B227),0)</f>
        <v>0</v>
      </c>
      <c r="F227" s="110">
        <f t="shared" si="1"/>
        <v>0</v>
      </c>
      <c r="G227" s="56">
        <f>IFERROR(GETPIVOTDATA("Exame",'Dashboard-Dados'!$J$1,$A$1,A227,$B$1,B227),0)</f>
        <v>0</v>
      </c>
      <c r="H227" s="56">
        <f t="shared" si="2"/>
        <v>227</v>
      </c>
      <c r="U227" s="56"/>
      <c r="V227" s="56"/>
      <c r="W227" s="56"/>
      <c r="Y227" s="138"/>
    </row>
    <row r="228">
      <c r="A228" s="56"/>
      <c r="B228" s="56"/>
      <c r="C228" s="108" t="str">
        <f>IFNA(VLOOKUP('Dashboard-Dados'!B228,'Dashboard-Dados'!$Y$2:$AA$13,2),"")</f>
        <v/>
      </c>
      <c r="D228" s="109">
        <f>IFERROR(GETPIVOTDATA("Valor Recebido",'Dashboard-Dados'!$J$1,$A$1,A228,$B$1,B228),0)</f>
        <v>0</v>
      </c>
      <c r="E228" s="110">
        <f>IFERROR(GETPIVOTDATA("Valor Despesa",'Dashboard-Dados'!$P$1,$A$1,A228,$B$1,B228),0)</f>
        <v>0</v>
      </c>
      <c r="F228" s="110">
        <f t="shared" si="1"/>
        <v>0</v>
      </c>
      <c r="G228" s="56">
        <f>IFERROR(GETPIVOTDATA("Exame",'Dashboard-Dados'!$J$1,$A$1,A228,$B$1,B228),0)</f>
        <v>0</v>
      </c>
      <c r="H228" s="56">
        <f t="shared" si="2"/>
        <v>228</v>
      </c>
      <c r="U228" s="56"/>
      <c r="V228" s="56"/>
      <c r="W228" s="56"/>
      <c r="Y228" s="138"/>
    </row>
    <row r="229">
      <c r="A229" s="56"/>
      <c r="B229" s="56"/>
      <c r="C229" s="108" t="str">
        <f>IFNA(VLOOKUP('Dashboard-Dados'!B229,'Dashboard-Dados'!$Y$2:$AA$13,2),"")</f>
        <v/>
      </c>
      <c r="D229" s="109">
        <f>IFERROR(GETPIVOTDATA("Valor Recebido",'Dashboard-Dados'!$J$1,$A$1,A229,$B$1,B229),0)</f>
        <v>0</v>
      </c>
      <c r="E229" s="110">
        <f>IFERROR(GETPIVOTDATA("Valor Despesa",'Dashboard-Dados'!$P$1,$A$1,A229,$B$1,B229),0)</f>
        <v>0</v>
      </c>
      <c r="F229" s="110">
        <f t="shared" si="1"/>
        <v>0</v>
      </c>
      <c r="G229" s="56">
        <f>IFERROR(GETPIVOTDATA("Exame",'Dashboard-Dados'!$J$1,$A$1,A229,$B$1,B229),0)</f>
        <v>0</v>
      </c>
      <c r="H229" s="56">
        <f t="shared" si="2"/>
        <v>229</v>
      </c>
      <c r="U229" s="56"/>
      <c r="V229" s="56"/>
      <c r="W229" s="56"/>
      <c r="Y229" s="138"/>
    </row>
    <row r="230">
      <c r="A230" s="56"/>
      <c r="B230" s="56"/>
      <c r="C230" s="108" t="str">
        <f>IFNA(VLOOKUP('Dashboard-Dados'!B230,'Dashboard-Dados'!$Y$2:$AA$13,2),"")</f>
        <v/>
      </c>
      <c r="D230" s="109">
        <f>IFERROR(GETPIVOTDATA("Valor Recebido",'Dashboard-Dados'!$J$1,$A$1,A230,$B$1,B230),0)</f>
        <v>0</v>
      </c>
      <c r="E230" s="110">
        <f>IFERROR(GETPIVOTDATA("Valor Despesa",'Dashboard-Dados'!$P$1,$A$1,A230,$B$1,B230),0)</f>
        <v>0</v>
      </c>
      <c r="F230" s="110">
        <f t="shared" si="1"/>
        <v>0</v>
      </c>
      <c r="G230" s="56">
        <f>IFERROR(GETPIVOTDATA("Exame",'Dashboard-Dados'!$J$1,$A$1,A230,$B$1,B230),0)</f>
        <v>0</v>
      </c>
      <c r="H230" s="56">
        <f t="shared" si="2"/>
        <v>230</v>
      </c>
      <c r="U230" s="56"/>
      <c r="V230" s="56"/>
      <c r="W230" s="56"/>
      <c r="Y230" s="138"/>
    </row>
    <row r="231">
      <c r="A231" s="56"/>
      <c r="B231" s="56"/>
      <c r="C231" s="108" t="str">
        <f>IFNA(VLOOKUP('Dashboard-Dados'!B231,'Dashboard-Dados'!$Y$2:$AA$13,2),"")</f>
        <v/>
      </c>
      <c r="D231" s="109">
        <f>IFERROR(GETPIVOTDATA("Valor Recebido",'Dashboard-Dados'!$J$1,$A$1,A231,$B$1,B231),0)</f>
        <v>0</v>
      </c>
      <c r="E231" s="110">
        <f>IFERROR(GETPIVOTDATA("Valor Despesa",'Dashboard-Dados'!$P$1,$A$1,A231,$B$1,B231),0)</f>
        <v>0</v>
      </c>
      <c r="F231" s="110">
        <f t="shared" si="1"/>
        <v>0</v>
      </c>
      <c r="G231" s="56">
        <f>IFERROR(GETPIVOTDATA("Exame",'Dashboard-Dados'!$J$1,$A$1,A231,$B$1,B231),0)</f>
        <v>0</v>
      </c>
      <c r="H231" s="56">
        <f t="shared" si="2"/>
        <v>231</v>
      </c>
      <c r="U231" s="56"/>
      <c r="V231" s="56"/>
      <c r="W231" s="56"/>
      <c r="Y231" s="138"/>
    </row>
    <row r="232">
      <c r="A232" s="56"/>
      <c r="B232" s="56"/>
      <c r="C232" s="108" t="str">
        <f>IFNA(VLOOKUP('Dashboard-Dados'!B232,'Dashboard-Dados'!$Y$2:$AA$13,2),"")</f>
        <v/>
      </c>
      <c r="D232" s="109">
        <f>IFERROR(GETPIVOTDATA("Valor Recebido",'Dashboard-Dados'!$J$1,$A$1,A232,$B$1,B232),0)</f>
        <v>0</v>
      </c>
      <c r="E232" s="110">
        <f>IFERROR(GETPIVOTDATA("Valor Despesa",'Dashboard-Dados'!$P$1,$A$1,A232,$B$1,B232),0)</f>
        <v>0</v>
      </c>
      <c r="F232" s="110">
        <f t="shared" si="1"/>
        <v>0</v>
      </c>
      <c r="G232" s="56">
        <f>IFERROR(GETPIVOTDATA("Exame",'Dashboard-Dados'!$J$1,$A$1,A232,$B$1,B232),0)</f>
        <v>0</v>
      </c>
      <c r="H232" s="56">
        <f t="shared" si="2"/>
        <v>232</v>
      </c>
      <c r="U232" s="56"/>
      <c r="V232" s="56"/>
      <c r="W232" s="56"/>
      <c r="Y232" s="138"/>
    </row>
    <row r="233">
      <c r="A233" s="56"/>
      <c r="B233" s="56"/>
      <c r="C233" s="108" t="str">
        <f>IFNA(VLOOKUP('Dashboard-Dados'!B233,'Dashboard-Dados'!$Y$2:$AA$13,2),"")</f>
        <v/>
      </c>
      <c r="D233" s="109">
        <f>IFERROR(GETPIVOTDATA("Valor Recebido",'Dashboard-Dados'!$J$1,$A$1,A233,$B$1,B233),0)</f>
        <v>0</v>
      </c>
      <c r="E233" s="110">
        <f>IFERROR(GETPIVOTDATA("Valor Despesa",'Dashboard-Dados'!$P$1,$A$1,A233,$B$1,B233),0)</f>
        <v>0</v>
      </c>
      <c r="F233" s="110">
        <f t="shared" si="1"/>
        <v>0</v>
      </c>
      <c r="G233" s="56">
        <f>IFERROR(GETPIVOTDATA("Exame",'Dashboard-Dados'!$J$1,$A$1,A233,$B$1,B233),0)</f>
        <v>0</v>
      </c>
      <c r="H233" s="56">
        <f t="shared" si="2"/>
        <v>233</v>
      </c>
      <c r="U233" s="56"/>
      <c r="V233" s="56"/>
      <c r="W233" s="56"/>
      <c r="Y233" s="138"/>
    </row>
    <row r="234">
      <c r="A234" s="56"/>
      <c r="B234" s="56"/>
      <c r="C234" s="108" t="str">
        <f>IFNA(VLOOKUP('Dashboard-Dados'!B234,'Dashboard-Dados'!$Y$2:$AA$13,2),"")</f>
        <v/>
      </c>
      <c r="D234" s="109">
        <f>IFERROR(GETPIVOTDATA("Valor Recebido",'Dashboard-Dados'!$J$1,$A$1,A234,$B$1,B234),0)</f>
        <v>0</v>
      </c>
      <c r="E234" s="110">
        <f>IFERROR(GETPIVOTDATA("Valor Despesa",'Dashboard-Dados'!$P$1,$A$1,A234,$B$1,B234),0)</f>
        <v>0</v>
      </c>
      <c r="F234" s="110">
        <f t="shared" si="1"/>
        <v>0</v>
      </c>
      <c r="G234" s="56">
        <f>IFERROR(GETPIVOTDATA("Exame",'Dashboard-Dados'!$J$1,$A$1,A234,$B$1,B234),0)</f>
        <v>0</v>
      </c>
      <c r="H234" s="56">
        <f t="shared" si="2"/>
        <v>234</v>
      </c>
      <c r="U234" s="56"/>
      <c r="V234" s="56"/>
      <c r="W234" s="56"/>
      <c r="Y234" s="138"/>
    </row>
    <row r="235">
      <c r="A235" s="56"/>
      <c r="B235" s="56"/>
      <c r="C235" s="108" t="str">
        <f>IFNA(VLOOKUP('Dashboard-Dados'!B235,'Dashboard-Dados'!$Y$2:$AA$13,2),"")</f>
        <v/>
      </c>
      <c r="D235" s="109">
        <f>IFERROR(GETPIVOTDATA("Valor Recebido",'Dashboard-Dados'!$J$1,$A$1,A235,$B$1,B235),0)</f>
        <v>0</v>
      </c>
      <c r="E235" s="110">
        <f>IFERROR(GETPIVOTDATA("Valor Despesa",'Dashboard-Dados'!$P$1,$A$1,A235,$B$1,B235),0)</f>
        <v>0</v>
      </c>
      <c r="F235" s="110">
        <f t="shared" si="1"/>
        <v>0</v>
      </c>
      <c r="G235" s="56">
        <f>IFERROR(GETPIVOTDATA("Exame",'Dashboard-Dados'!$J$1,$A$1,A235,$B$1,B235),0)</f>
        <v>0</v>
      </c>
      <c r="H235" s="56">
        <f t="shared" si="2"/>
        <v>235</v>
      </c>
      <c r="U235" s="56"/>
      <c r="V235" s="56"/>
      <c r="W235" s="56"/>
      <c r="Y235" s="138"/>
    </row>
    <row r="236">
      <c r="A236" s="56"/>
      <c r="B236" s="56"/>
      <c r="C236" s="108" t="str">
        <f>IFNA(VLOOKUP('Dashboard-Dados'!B236,'Dashboard-Dados'!$Y$2:$AA$13,2),"")</f>
        <v/>
      </c>
      <c r="D236" s="109">
        <f>IFERROR(GETPIVOTDATA("Valor Recebido",'Dashboard-Dados'!$J$1,$A$1,A236,$B$1,B236),0)</f>
        <v>0</v>
      </c>
      <c r="E236" s="110">
        <f>IFERROR(GETPIVOTDATA("Valor Despesa",'Dashboard-Dados'!$P$1,$A$1,A236,$B$1,B236),0)</f>
        <v>0</v>
      </c>
      <c r="F236" s="110">
        <f t="shared" si="1"/>
        <v>0</v>
      </c>
      <c r="G236" s="56">
        <f>IFERROR(GETPIVOTDATA("Exame",'Dashboard-Dados'!$J$1,$A$1,A236,$B$1,B236),0)</f>
        <v>0</v>
      </c>
      <c r="H236" s="56">
        <f t="shared" si="2"/>
        <v>236</v>
      </c>
      <c r="U236" s="56"/>
      <c r="V236" s="56"/>
      <c r="W236" s="56"/>
      <c r="Y236" s="138"/>
    </row>
    <row r="237">
      <c r="A237" s="56"/>
      <c r="B237" s="56"/>
      <c r="C237" s="108" t="str">
        <f>IFNA(VLOOKUP('Dashboard-Dados'!B237,'Dashboard-Dados'!$Y$2:$AA$13,2),"")</f>
        <v/>
      </c>
      <c r="D237" s="109">
        <f>IFERROR(GETPIVOTDATA("Valor Recebido",'Dashboard-Dados'!$J$1,$A$1,A237,$B$1,B237),0)</f>
        <v>0</v>
      </c>
      <c r="E237" s="110">
        <f>IFERROR(GETPIVOTDATA("Valor Despesa",'Dashboard-Dados'!$P$1,$A$1,A237,$B$1,B237),0)</f>
        <v>0</v>
      </c>
      <c r="F237" s="110">
        <f t="shared" si="1"/>
        <v>0</v>
      </c>
      <c r="G237" s="56">
        <f>IFERROR(GETPIVOTDATA("Exame",'Dashboard-Dados'!$J$1,$A$1,A237,$B$1,B237),0)</f>
        <v>0</v>
      </c>
      <c r="H237" s="56">
        <f t="shared" si="2"/>
        <v>237</v>
      </c>
      <c r="U237" s="56"/>
      <c r="V237" s="56"/>
      <c r="W237" s="56"/>
      <c r="Y237" s="138"/>
    </row>
    <row r="238">
      <c r="A238" s="56"/>
      <c r="B238" s="56"/>
      <c r="C238" s="108" t="str">
        <f>IFNA(VLOOKUP('Dashboard-Dados'!B238,'Dashboard-Dados'!$Y$2:$AA$13,2),"")</f>
        <v/>
      </c>
      <c r="D238" s="109">
        <f>IFERROR(GETPIVOTDATA("Valor Recebido",'Dashboard-Dados'!$J$1,$A$1,A238,$B$1,B238),0)</f>
        <v>0</v>
      </c>
      <c r="E238" s="110">
        <f>IFERROR(GETPIVOTDATA("Valor Despesa",'Dashboard-Dados'!$P$1,$A$1,A238,$B$1,B238),0)</f>
        <v>0</v>
      </c>
      <c r="F238" s="110">
        <f t="shared" si="1"/>
        <v>0</v>
      </c>
      <c r="G238" s="56">
        <f>IFERROR(GETPIVOTDATA("Exame",'Dashboard-Dados'!$J$1,$A$1,A238,$B$1,B238),0)</f>
        <v>0</v>
      </c>
      <c r="H238" s="56">
        <f t="shared" si="2"/>
        <v>238</v>
      </c>
      <c r="U238" s="56"/>
      <c r="V238" s="56"/>
      <c r="W238" s="56"/>
      <c r="Y238" s="138"/>
    </row>
    <row r="239">
      <c r="A239" s="56"/>
      <c r="B239" s="56"/>
      <c r="C239" s="108" t="str">
        <f>IFNA(VLOOKUP('Dashboard-Dados'!B239,'Dashboard-Dados'!$Y$2:$AA$13,2),"")</f>
        <v/>
      </c>
      <c r="D239" s="109">
        <f>IFERROR(GETPIVOTDATA("Valor Recebido",'Dashboard-Dados'!$J$1,$A$1,A239,$B$1,B239),0)</f>
        <v>0</v>
      </c>
      <c r="E239" s="110">
        <f>IFERROR(GETPIVOTDATA("Valor Despesa",'Dashboard-Dados'!$P$1,$A$1,A239,$B$1,B239),0)</f>
        <v>0</v>
      </c>
      <c r="F239" s="110">
        <f t="shared" si="1"/>
        <v>0</v>
      </c>
      <c r="G239" s="56">
        <f>IFERROR(GETPIVOTDATA("Exame",'Dashboard-Dados'!$J$1,$A$1,A239,$B$1,B239),0)</f>
        <v>0</v>
      </c>
      <c r="H239" s="56">
        <f t="shared" si="2"/>
        <v>239</v>
      </c>
      <c r="U239" s="56"/>
      <c r="V239" s="56"/>
      <c r="W239" s="56"/>
      <c r="Y239" s="138"/>
    </row>
    <row r="240">
      <c r="A240" s="56"/>
      <c r="B240" s="56"/>
      <c r="C240" s="108" t="str">
        <f>IFNA(VLOOKUP('Dashboard-Dados'!B240,'Dashboard-Dados'!$Y$2:$AA$13,2),"")</f>
        <v/>
      </c>
      <c r="D240" s="109">
        <f>IFERROR(GETPIVOTDATA("Valor Recebido",'Dashboard-Dados'!$J$1,$A$1,A240,$B$1,B240),0)</f>
        <v>0</v>
      </c>
      <c r="E240" s="110">
        <f>IFERROR(GETPIVOTDATA("Valor Despesa",'Dashboard-Dados'!$P$1,$A$1,A240,$B$1,B240),0)</f>
        <v>0</v>
      </c>
      <c r="F240" s="110">
        <f t="shared" si="1"/>
        <v>0</v>
      </c>
      <c r="G240" s="56">
        <f>IFERROR(GETPIVOTDATA("Exame",'Dashboard-Dados'!$J$1,$A$1,A240,$B$1,B240),0)</f>
        <v>0</v>
      </c>
      <c r="H240" s="56">
        <f t="shared" si="2"/>
        <v>240</v>
      </c>
      <c r="U240" s="56"/>
      <c r="V240" s="56"/>
      <c r="W240" s="56"/>
      <c r="Y240" s="138"/>
    </row>
    <row r="241">
      <c r="A241" s="56"/>
      <c r="B241" s="56"/>
      <c r="C241" s="108" t="str">
        <f>IFNA(VLOOKUP('Dashboard-Dados'!B241,'Dashboard-Dados'!$Y$2:$AA$13,2),"")</f>
        <v/>
      </c>
      <c r="D241" s="109">
        <f>IFERROR(GETPIVOTDATA("Valor Recebido",'Dashboard-Dados'!$J$1,$A$1,A241,$B$1,B241),0)</f>
        <v>0</v>
      </c>
      <c r="E241" s="110">
        <f>IFERROR(GETPIVOTDATA("Valor Despesa",'Dashboard-Dados'!$P$1,$A$1,A241,$B$1,B241),0)</f>
        <v>0</v>
      </c>
      <c r="F241" s="110">
        <f t="shared" si="1"/>
        <v>0</v>
      </c>
      <c r="G241" s="56">
        <f>IFERROR(GETPIVOTDATA("Exame",'Dashboard-Dados'!$J$1,$A$1,A241,$B$1,B241),0)</f>
        <v>0</v>
      </c>
      <c r="H241" s="56">
        <f t="shared" si="2"/>
        <v>241</v>
      </c>
      <c r="U241" s="56"/>
      <c r="V241" s="56"/>
      <c r="W241" s="56"/>
      <c r="Y241" s="138"/>
    </row>
    <row r="242">
      <c r="A242" s="56"/>
      <c r="B242" s="56"/>
      <c r="C242" s="108" t="str">
        <f>IFNA(VLOOKUP('Dashboard-Dados'!B242,'Dashboard-Dados'!$Y$2:$AA$13,2),"")</f>
        <v/>
      </c>
      <c r="D242" s="109">
        <f>IFERROR(GETPIVOTDATA("Valor Recebido",'Dashboard-Dados'!$J$1,$A$1,A242,$B$1,B242),0)</f>
        <v>0</v>
      </c>
      <c r="E242" s="110">
        <f>IFERROR(GETPIVOTDATA("Valor Despesa",'Dashboard-Dados'!$P$1,$A$1,A242,$B$1,B242),0)</f>
        <v>0</v>
      </c>
      <c r="F242" s="110">
        <f t="shared" si="1"/>
        <v>0</v>
      </c>
      <c r="G242" s="56">
        <f>IFERROR(GETPIVOTDATA("Exame",'Dashboard-Dados'!$J$1,$A$1,A242,$B$1,B242),0)</f>
        <v>0</v>
      </c>
      <c r="H242" s="56">
        <f t="shared" si="2"/>
        <v>242</v>
      </c>
      <c r="U242" s="56"/>
      <c r="V242" s="56"/>
      <c r="W242" s="56"/>
      <c r="Y242" s="138"/>
    </row>
    <row r="243">
      <c r="A243" s="56"/>
      <c r="B243" s="56"/>
      <c r="C243" s="108" t="str">
        <f>IFNA(VLOOKUP('Dashboard-Dados'!B243,'Dashboard-Dados'!$Y$2:$AA$13,2),"")</f>
        <v/>
      </c>
      <c r="D243" s="109">
        <f>IFERROR(GETPIVOTDATA("Valor Recebido",'Dashboard-Dados'!$J$1,$A$1,A243,$B$1,B243),0)</f>
        <v>0</v>
      </c>
      <c r="E243" s="110">
        <f>IFERROR(GETPIVOTDATA("Valor Despesa",'Dashboard-Dados'!$P$1,$A$1,A243,$B$1,B243),0)</f>
        <v>0</v>
      </c>
      <c r="F243" s="110">
        <f t="shared" si="1"/>
        <v>0</v>
      </c>
      <c r="G243" s="56">
        <f>IFERROR(GETPIVOTDATA("Exame",'Dashboard-Dados'!$J$1,$A$1,A243,$B$1,B243),0)</f>
        <v>0</v>
      </c>
      <c r="H243" s="56">
        <f t="shared" si="2"/>
        <v>243</v>
      </c>
      <c r="U243" s="56"/>
      <c r="V243" s="56"/>
      <c r="W243" s="56"/>
      <c r="Y243" s="138"/>
    </row>
    <row r="244">
      <c r="A244" s="56"/>
      <c r="B244" s="56"/>
      <c r="C244" s="108" t="str">
        <f>IFNA(VLOOKUP('Dashboard-Dados'!B244,'Dashboard-Dados'!$Y$2:$AA$13,2),"")</f>
        <v/>
      </c>
      <c r="D244" s="109">
        <f>IFERROR(GETPIVOTDATA("Valor Recebido",'Dashboard-Dados'!$J$1,$A$1,A244,$B$1,B244),0)</f>
        <v>0</v>
      </c>
      <c r="E244" s="110">
        <f>IFERROR(GETPIVOTDATA("Valor Despesa",'Dashboard-Dados'!$P$1,$A$1,A244,$B$1,B244),0)</f>
        <v>0</v>
      </c>
      <c r="F244" s="110">
        <f t="shared" si="1"/>
        <v>0</v>
      </c>
      <c r="G244" s="56">
        <f>IFERROR(GETPIVOTDATA("Exame",'Dashboard-Dados'!$J$1,$A$1,A244,$B$1,B244),0)</f>
        <v>0</v>
      </c>
      <c r="H244" s="56">
        <f t="shared" si="2"/>
        <v>244</v>
      </c>
      <c r="U244" s="56"/>
      <c r="V244" s="56"/>
      <c r="W244" s="56"/>
      <c r="Y244" s="138"/>
    </row>
    <row r="245">
      <c r="A245" s="56"/>
      <c r="B245" s="56"/>
      <c r="C245" s="108" t="str">
        <f>IFNA(VLOOKUP('Dashboard-Dados'!B245,'Dashboard-Dados'!$Y$2:$AA$13,2),"")</f>
        <v/>
      </c>
      <c r="D245" s="109">
        <f>IFERROR(GETPIVOTDATA("Valor Recebido",'Dashboard-Dados'!$J$1,$A$1,A245,$B$1,B245),0)</f>
        <v>0</v>
      </c>
      <c r="E245" s="110">
        <f>IFERROR(GETPIVOTDATA("Valor Despesa",'Dashboard-Dados'!$P$1,$A$1,A245,$B$1,B245),0)</f>
        <v>0</v>
      </c>
      <c r="F245" s="110">
        <f t="shared" si="1"/>
        <v>0</v>
      </c>
      <c r="G245" s="56">
        <f>IFERROR(GETPIVOTDATA("Exame",'Dashboard-Dados'!$J$1,$A$1,A245,$B$1,B245),0)</f>
        <v>0</v>
      </c>
      <c r="H245" s="56">
        <f t="shared" si="2"/>
        <v>245</v>
      </c>
      <c r="U245" s="56"/>
      <c r="V245" s="56"/>
      <c r="W245" s="56"/>
      <c r="Y245" s="138"/>
    </row>
    <row r="246">
      <c r="A246" s="56"/>
      <c r="B246" s="56"/>
      <c r="C246" s="108" t="str">
        <f>IFNA(VLOOKUP('Dashboard-Dados'!B246,'Dashboard-Dados'!$Y$2:$AA$13,2),"")</f>
        <v/>
      </c>
      <c r="D246" s="109">
        <f>IFERROR(GETPIVOTDATA("Valor Recebido",'Dashboard-Dados'!$J$1,$A$1,A246,$B$1,B246),0)</f>
        <v>0</v>
      </c>
      <c r="E246" s="110">
        <f>IFERROR(GETPIVOTDATA("Valor Despesa",'Dashboard-Dados'!$P$1,$A$1,A246,$B$1,B246),0)</f>
        <v>0</v>
      </c>
      <c r="F246" s="110">
        <f t="shared" si="1"/>
        <v>0</v>
      </c>
      <c r="G246" s="56">
        <f>IFERROR(GETPIVOTDATA("Exame",'Dashboard-Dados'!$J$1,$A$1,A246,$B$1,B246),0)</f>
        <v>0</v>
      </c>
      <c r="H246" s="56">
        <f t="shared" si="2"/>
        <v>246</v>
      </c>
      <c r="U246" s="56"/>
      <c r="V246" s="56"/>
      <c r="W246" s="56"/>
      <c r="Y246" s="138"/>
    </row>
    <row r="247">
      <c r="A247" s="56"/>
      <c r="B247" s="56"/>
      <c r="C247" s="108" t="str">
        <f>IFNA(VLOOKUP('Dashboard-Dados'!B247,'Dashboard-Dados'!$Y$2:$AA$13,2),"")</f>
        <v/>
      </c>
      <c r="D247" s="109">
        <f>IFERROR(GETPIVOTDATA("Valor Recebido",'Dashboard-Dados'!$J$1,$A$1,A247,$B$1,B247),0)</f>
        <v>0</v>
      </c>
      <c r="E247" s="110">
        <f>IFERROR(GETPIVOTDATA("Valor Despesa",'Dashboard-Dados'!$P$1,$A$1,A247,$B$1,B247),0)</f>
        <v>0</v>
      </c>
      <c r="F247" s="110">
        <f t="shared" si="1"/>
        <v>0</v>
      </c>
      <c r="G247" s="56">
        <f>IFERROR(GETPIVOTDATA("Exame",'Dashboard-Dados'!$J$1,$A$1,A247,$B$1,B247),0)</f>
        <v>0</v>
      </c>
      <c r="H247" s="56">
        <f t="shared" si="2"/>
        <v>247</v>
      </c>
      <c r="U247" s="56"/>
      <c r="V247" s="56"/>
      <c r="W247" s="56"/>
      <c r="Y247" s="138"/>
    </row>
    <row r="248">
      <c r="A248" s="56"/>
      <c r="B248" s="56"/>
      <c r="C248" s="108" t="str">
        <f>IFNA(VLOOKUP('Dashboard-Dados'!B248,'Dashboard-Dados'!$Y$2:$AA$13,2),"")</f>
        <v/>
      </c>
      <c r="D248" s="109">
        <f>IFERROR(GETPIVOTDATA("Valor Recebido",'Dashboard-Dados'!$J$1,$A$1,A248,$B$1,B248),0)</f>
        <v>0</v>
      </c>
      <c r="E248" s="110">
        <f>IFERROR(GETPIVOTDATA("Valor Despesa",'Dashboard-Dados'!$P$1,$A$1,A248,$B$1,B248),0)</f>
        <v>0</v>
      </c>
      <c r="F248" s="110">
        <f t="shared" si="1"/>
        <v>0</v>
      </c>
      <c r="G248" s="56">
        <f>IFERROR(GETPIVOTDATA("Exame",'Dashboard-Dados'!$J$1,$A$1,A248,$B$1,B248),0)</f>
        <v>0</v>
      </c>
      <c r="H248" s="56">
        <f t="shared" si="2"/>
        <v>248</v>
      </c>
      <c r="U248" s="56"/>
      <c r="V248" s="56"/>
      <c r="W248" s="56"/>
      <c r="Y248" s="138"/>
    </row>
    <row r="249">
      <c r="A249" s="56"/>
      <c r="B249" s="56"/>
      <c r="C249" s="108" t="str">
        <f>IFNA(VLOOKUP('Dashboard-Dados'!B249,'Dashboard-Dados'!$Y$2:$AA$13,2),"")</f>
        <v/>
      </c>
      <c r="D249" s="109">
        <f>IFERROR(GETPIVOTDATA("Valor Recebido",'Dashboard-Dados'!$J$1,$A$1,A249,$B$1,B249),0)</f>
        <v>0</v>
      </c>
      <c r="E249" s="110">
        <f>IFERROR(GETPIVOTDATA("Valor Despesa",'Dashboard-Dados'!$P$1,$A$1,A249,$B$1,B249),0)</f>
        <v>0</v>
      </c>
      <c r="F249" s="110">
        <f t="shared" si="1"/>
        <v>0</v>
      </c>
      <c r="G249" s="56">
        <f>IFERROR(GETPIVOTDATA("Exame",'Dashboard-Dados'!$J$1,$A$1,A249,$B$1,B249),0)</f>
        <v>0</v>
      </c>
      <c r="H249" s="56">
        <f t="shared" si="2"/>
        <v>249</v>
      </c>
      <c r="U249" s="56"/>
      <c r="V249" s="56"/>
      <c r="W249" s="56"/>
      <c r="Y249" s="138"/>
    </row>
    <row r="250">
      <c r="A250" s="56"/>
      <c r="B250" s="56"/>
      <c r="C250" s="108" t="str">
        <f>IFNA(VLOOKUP('Dashboard-Dados'!B250,'Dashboard-Dados'!$Y$2:$AA$13,2),"")</f>
        <v/>
      </c>
      <c r="D250" s="109">
        <f>IFERROR(GETPIVOTDATA("Valor Recebido",'Dashboard-Dados'!$J$1,$A$1,A250,$B$1,B250),0)</f>
        <v>0</v>
      </c>
      <c r="E250" s="110">
        <f>IFERROR(GETPIVOTDATA("Valor Despesa",'Dashboard-Dados'!$P$1,$A$1,A250,$B$1,B250),0)</f>
        <v>0</v>
      </c>
      <c r="F250" s="110">
        <f t="shared" si="1"/>
        <v>0</v>
      </c>
      <c r="G250" s="56">
        <f>IFERROR(GETPIVOTDATA("Exame",'Dashboard-Dados'!$J$1,$A$1,A250,$B$1,B250),0)</f>
        <v>0</v>
      </c>
      <c r="H250" s="56">
        <f t="shared" si="2"/>
        <v>250</v>
      </c>
      <c r="U250" s="56"/>
      <c r="V250" s="56"/>
      <c r="W250" s="56"/>
      <c r="Y250" s="138"/>
    </row>
    <row r="251">
      <c r="A251" s="56"/>
      <c r="B251" s="56"/>
      <c r="C251" s="108" t="str">
        <f>IFNA(VLOOKUP('Dashboard-Dados'!B251,'Dashboard-Dados'!$Y$2:$AA$13,2),"")</f>
        <v/>
      </c>
      <c r="D251" s="109">
        <f>IFERROR(GETPIVOTDATA("Valor Recebido",'Dashboard-Dados'!$J$1,$A$1,A251,$B$1,B251),0)</f>
        <v>0</v>
      </c>
      <c r="E251" s="110">
        <f>IFERROR(GETPIVOTDATA("Valor Despesa",'Dashboard-Dados'!$P$1,$A$1,A251,$B$1,B251),0)</f>
        <v>0</v>
      </c>
      <c r="F251" s="110">
        <f t="shared" si="1"/>
        <v>0</v>
      </c>
      <c r="G251" s="56">
        <f>IFERROR(GETPIVOTDATA("Exame",'Dashboard-Dados'!$J$1,$A$1,A251,$B$1,B251),0)</f>
        <v>0</v>
      </c>
      <c r="H251" s="56">
        <f t="shared" si="2"/>
        <v>251</v>
      </c>
      <c r="U251" s="56"/>
      <c r="V251" s="56"/>
      <c r="W251" s="56"/>
      <c r="Y251" s="138"/>
    </row>
    <row r="252">
      <c r="A252" s="56"/>
      <c r="B252" s="56"/>
      <c r="C252" s="108" t="str">
        <f>IFNA(VLOOKUP('Dashboard-Dados'!B252,'Dashboard-Dados'!$Y$2:$AA$13,2),"")</f>
        <v/>
      </c>
      <c r="D252" s="109">
        <f>IFERROR(GETPIVOTDATA("Valor Recebido",'Dashboard-Dados'!$J$1,$A$1,A252,$B$1,B252),0)</f>
        <v>0</v>
      </c>
      <c r="E252" s="110">
        <f>IFERROR(GETPIVOTDATA("Valor Despesa",'Dashboard-Dados'!$P$1,$A$1,A252,$B$1,B252),0)</f>
        <v>0</v>
      </c>
      <c r="F252" s="110">
        <f t="shared" si="1"/>
        <v>0</v>
      </c>
      <c r="G252" s="56">
        <f>IFERROR(GETPIVOTDATA("Exame",'Dashboard-Dados'!$J$1,$A$1,A252,$B$1,B252),0)</f>
        <v>0</v>
      </c>
      <c r="H252" s="56">
        <f t="shared" si="2"/>
        <v>252</v>
      </c>
      <c r="U252" s="56"/>
      <c r="V252" s="56"/>
      <c r="W252" s="56"/>
      <c r="Y252" s="138"/>
    </row>
    <row r="253">
      <c r="A253" s="56"/>
      <c r="B253" s="56"/>
      <c r="C253" s="108" t="str">
        <f>IFNA(VLOOKUP('Dashboard-Dados'!B253,'Dashboard-Dados'!$Y$2:$AA$13,2),"")</f>
        <v/>
      </c>
      <c r="D253" s="109">
        <f>IFERROR(GETPIVOTDATA("Valor Recebido",'Dashboard-Dados'!$J$1,$A$1,A253,$B$1,B253),0)</f>
        <v>0</v>
      </c>
      <c r="E253" s="110">
        <f>IFERROR(GETPIVOTDATA("Valor Despesa",'Dashboard-Dados'!$P$1,$A$1,A253,$B$1,B253),0)</f>
        <v>0</v>
      </c>
      <c r="F253" s="110">
        <f t="shared" si="1"/>
        <v>0</v>
      </c>
      <c r="G253" s="56">
        <f>IFERROR(GETPIVOTDATA("Exame",'Dashboard-Dados'!$J$1,$A$1,A253,$B$1,B253),0)</f>
        <v>0</v>
      </c>
      <c r="H253" s="56">
        <f t="shared" si="2"/>
        <v>253</v>
      </c>
      <c r="U253" s="56"/>
      <c r="V253" s="56"/>
      <c r="W253" s="56"/>
      <c r="Y253" s="138"/>
    </row>
    <row r="254">
      <c r="A254" s="56"/>
      <c r="B254" s="56"/>
      <c r="C254" s="108" t="str">
        <f>IFNA(VLOOKUP('Dashboard-Dados'!B254,'Dashboard-Dados'!$Y$2:$AA$13,2),"")</f>
        <v/>
      </c>
      <c r="D254" s="109">
        <f>IFERROR(GETPIVOTDATA("Valor Recebido",'Dashboard-Dados'!$J$1,$A$1,A254,$B$1,B254),0)</f>
        <v>0</v>
      </c>
      <c r="E254" s="110">
        <f>IFERROR(GETPIVOTDATA("Valor Despesa",'Dashboard-Dados'!$P$1,$A$1,A254,$B$1,B254),0)</f>
        <v>0</v>
      </c>
      <c r="F254" s="110">
        <f t="shared" si="1"/>
        <v>0</v>
      </c>
      <c r="G254" s="56">
        <f>IFERROR(GETPIVOTDATA("Exame",'Dashboard-Dados'!$J$1,$A$1,A254,$B$1,B254),0)</f>
        <v>0</v>
      </c>
      <c r="H254" s="56">
        <f t="shared" si="2"/>
        <v>254</v>
      </c>
      <c r="U254" s="56"/>
      <c r="V254" s="56"/>
      <c r="W254" s="56"/>
      <c r="Y254" s="138"/>
    </row>
    <row r="255">
      <c r="A255" s="56"/>
      <c r="B255" s="56"/>
      <c r="C255" s="108" t="str">
        <f>IFNA(VLOOKUP('Dashboard-Dados'!B255,'Dashboard-Dados'!$Y$2:$AA$13,2),"")</f>
        <v/>
      </c>
      <c r="D255" s="109">
        <f>IFERROR(GETPIVOTDATA("Valor Recebido",'Dashboard-Dados'!$J$1,$A$1,A255,$B$1,B255),0)</f>
        <v>0</v>
      </c>
      <c r="E255" s="110">
        <f>IFERROR(GETPIVOTDATA("Valor Despesa",'Dashboard-Dados'!$P$1,$A$1,A255,$B$1,B255),0)</f>
        <v>0</v>
      </c>
      <c r="F255" s="110">
        <f t="shared" si="1"/>
        <v>0</v>
      </c>
      <c r="G255" s="56">
        <f>IFERROR(GETPIVOTDATA("Exame",'Dashboard-Dados'!$J$1,$A$1,A255,$B$1,B255),0)</f>
        <v>0</v>
      </c>
      <c r="H255" s="56">
        <f t="shared" si="2"/>
        <v>255</v>
      </c>
      <c r="U255" s="56"/>
      <c r="V255" s="56"/>
      <c r="W255" s="56"/>
      <c r="Y255" s="138"/>
    </row>
    <row r="256">
      <c r="A256" s="56"/>
      <c r="B256" s="56"/>
      <c r="C256" s="108" t="str">
        <f>IFNA(VLOOKUP('Dashboard-Dados'!B256,'Dashboard-Dados'!$Y$2:$AA$13,2),"")</f>
        <v/>
      </c>
      <c r="D256" s="109">
        <f>IFERROR(GETPIVOTDATA("Valor Recebido",'Dashboard-Dados'!$J$1,$A$1,A256,$B$1,B256),0)</f>
        <v>0</v>
      </c>
      <c r="E256" s="110">
        <f>IFERROR(GETPIVOTDATA("Valor Despesa",'Dashboard-Dados'!$P$1,$A$1,A256,$B$1,B256),0)</f>
        <v>0</v>
      </c>
      <c r="F256" s="110">
        <f t="shared" si="1"/>
        <v>0</v>
      </c>
      <c r="G256" s="56">
        <f>IFERROR(GETPIVOTDATA("Exame",'Dashboard-Dados'!$J$1,$A$1,A256,$B$1,B256),0)</f>
        <v>0</v>
      </c>
      <c r="H256" s="56">
        <f t="shared" si="2"/>
        <v>256</v>
      </c>
      <c r="U256" s="56"/>
      <c r="V256" s="56"/>
      <c r="W256" s="56"/>
      <c r="Y256" s="138"/>
    </row>
    <row r="257">
      <c r="A257" s="56"/>
      <c r="B257" s="56"/>
      <c r="C257" s="108" t="str">
        <f>IFNA(VLOOKUP('Dashboard-Dados'!B257,'Dashboard-Dados'!$Y$2:$AA$13,2),"")</f>
        <v/>
      </c>
      <c r="D257" s="109">
        <f>IFERROR(GETPIVOTDATA("Valor Recebido",'Dashboard-Dados'!$J$1,$A$1,A257,$B$1,B257),0)</f>
        <v>0</v>
      </c>
      <c r="E257" s="110">
        <f>IFERROR(GETPIVOTDATA("Valor Despesa",'Dashboard-Dados'!$P$1,$A$1,A257,$B$1,B257),0)</f>
        <v>0</v>
      </c>
      <c r="F257" s="110">
        <f t="shared" si="1"/>
        <v>0</v>
      </c>
      <c r="G257" s="56">
        <f>IFERROR(GETPIVOTDATA("Exame",'Dashboard-Dados'!$J$1,$A$1,A257,$B$1,B257),0)</f>
        <v>0</v>
      </c>
      <c r="H257" s="56">
        <f t="shared" si="2"/>
        <v>257</v>
      </c>
      <c r="U257" s="56"/>
      <c r="V257" s="56"/>
      <c r="W257" s="56"/>
      <c r="Y257" s="138"/>
    </row>
    <row r="258">
      <c r="A258" s="56"/>
      <c r="B258" s="56"/>
      <c r="C258" s="108" t="str">
        <f>IFNA(VLOOKUP('Dashboard-Dados'!B258,'Dashboard-Dados'!$Y$2:$AA$13,2),"")</f>
        <v/>
      </c>
      <c r="D258" s="109">
        <f>IFERROR(GETPIVOTDATA("Valor Recebido",'Dashboard-Dados'!$J$1,$A$1,A258,$B$1,B258),0)</f>
        <v>0</v>
      </c>
      <c r="E258" s="110">
        <f>IFERROR(GETPIVOTDATA("Valor Despesa",'Dashboard-Dados'!$P$1,$A$1,A258,$B$1,B258),0)</f>
        <v>0</v>
      </c>
      <c r="F258" s="110">
        <f t="shared" si="1"/>
        <v>0</v>
      </c>
      <c r="G258" s="56">
        <f>IFERROR(GETPIVOTDATA("Exame",'Dashboard-Dados'!$J$1,$A$1,A258,$B$1,B258),0)</f>
        <v>0</v>
      </c>
      <c r="H258" s="56">
        <f t="shared" si="2"/>
        <v>258</v>
      </c>
      <c r="U258" s="56"/>
      <c r="V258" s="56"/>
      <c r="W258" s="56"/>
      <c r="Y258" s="138"/>
    </row>
    <row r="259">
      <c r="A259" s="56"/>
      <c r="B259" s="56"/>
      <c r="C259" s="108" t="str">
        <f>IFNA(VLOOKUP('Dashboard-Dados'!B259,'Dashboard-Dados'!$Y$2:$AA$13,2),"")</f>
        <v/>
      </c>
      <c r="D259" s="109">
        <f>IFERROR(GETPIVOTDATA("Valor Recebido",'Dashboard-Dados'!$J$1,$A$1,A259,$B$1,B259),0)</f>
        <v>0</v>
      </c>
      <c r="E259" s="110">
        <f>IFERROR(GETPIVOTDATA("Valor Despesa",'Dashboard-Dados'!$P$1,$A$1,A259,$B$1,B259),0)</f>
        <v>0</v>
      </c>
      <c r="F259" s="110">
        <f t="shared" si="1"/>
        <v>0</v>
      </c>
      <c r="G259" s="56">
        <f>IFERROR(GETPIVOTDATA("Exame",'Dashboard-Dados'!$J$1,$A$1,A259,$B$1,B259),0)</f>
        <v>0</v>
      </c>
      <c r="H259" s="56">
        <f t="shared" si="2"/>
        <v>259</v>
      </c>
      <c r="U259" s="56"/>
      <c r="V259" s="56"/>
      <c r="W259" s="56"/>
      <c r="Y259" s="138"/>
    </row>
    <row r="260">
      <c r="A260" s="56"/>
      <c r="B260" s="56"/>
      <c r="C260" s="108" t="str">
        <f>IFNA(VLOOKUP('Dashboard-Dados'!B260,'Dashboard-Dados'!$Y$2:$AA$13,2),"")</f>
        <v/>
      </c>
      <c r="D260" s="109">
        <f>IFERROR(GETPIVOTDATA("Valor Recebido",'Dashboard-Dados'!$J$1,$A$1,A260,$B$1,B260),0)</f>
        <v>0</v>
      </c>
      <c r="E260" s="110">
        <f>IFERROR(GETPIVOTDATA("Valor Despesa",'Dashboard-Dados'!$P$1,$A$1,A260,$B$1,B260),0)</f>
        <v>0</v>
      </c>
      <c r="F260" s="110">
        <f t="shared" si="1"/>
        <v>0</v>
      </c>
      <c r="G260" s="56">
        <f>IFERROR(GETPIVOTDATA("Exame",'Dashboard-Dados'!$J$1,$A$1,A260,$B$1,B260),0)</f>
        <v>0</v>
      </c>
      <c r="H260" s="56">
        <f t="shared" si="2"/>
        <v>260</v>
      </c>
      <c r="U260" s="56"/>
      <c r="V260" s="56"/>
      <c r="W260" s="56"/>
      <c r="Y260" s="138"/>
    </row>
    <row r="261">
      <c r="A261" s="56"/>
      <c r="B261" s="56"/>
      <c r="C261" s="108" t="str">
        <f>IFNA(VLOOKUP('Dashboard-Dados'!B261,'Dashboard-Dados'!$Y$2:$AA$13,2),"")</f>
        <v/>
      </c>
      <c r="D261" s="109">
        <f>IFERROR(GETPIVOTDATA("Valor Recebido",'Dashboard-Dados'!$J$1,$A$1,A261,$B$1,B261),0)</f>
        <v>0</v>
      </c>
      <c r="E261" s="110">
        <f>IFERROR(GETPIVOTDATA("Valor Despesa",'Dashboard-Dados'!$P$1,$A$1,A261,$B$1,B261),0)</f>
        <v>0</v>
      </c>
      <c r="F261" s="110">
        <f t="shared" si="1"/>
        <v>0</v>
      </c>
      <c r="G261" s="56">
        <f>IFERROR(GETPIVOTDATA("Exame",'Dashboard-Dados'!$J$1,$A$1,A261,$B$1,B261),0)</f>
        <v>0</v>
      </c>
      <c r="H261" s="56">
        <f t="shared" si="2"/>
        <v>261</v>
      </c>
      <c r="U261" s="56"/>
      <c r="V261" s="56"/>
      <c r="W261" s="56"/>
      <c r="Y261" s="138"/>
    </row>
    <row r="262">
      <c r="A262" s="56"/>
      <c r="B262" s="56"/>
      <c r="C262" s="108" t="str">
        <f>IFNA(VLOOKUP('Dashboard-Dados'!B262,'Dashboard-Dados'!$Y$2:$AA$13,2),"")</f>
        <v/>
      </c>
      <c r="D262" s="109">
        <f>IFERROR(GETPIVOTDATA("Valor Recebido",'Dashboard-Dados'!$J$1,$A$1,A262,$B$1,B262),0)</f>
        <v>0</v>
      </c>
      <c r="E262" s="110">
        <f>IFERROR(GETPIVOTDATA("Valor Despesa",'Dashboard-Dados'!$P$1,$A$1,A262,$B$1,B262),0)</f>
        <v>0</v>
      </c>
      <c r="F262" s="110">
        <f t="shared" si="1"/>
        <v>0</v>
      </c>
      <c r="G262" s="56">
        <f>IFERROR(GETPIVOTDATA("Exame",'Dashboard-Dados'!$J$1,$A$1,A262,$B$1,B262),0)</f>
        <v>0</v>
      </c>
      <c r="H262" s="56">
        <f t="shared" si="2"/>
        <v>262</v>
      </c>
      <c r="U262" s="56"/>
      <c r="V262" s="56"/>
      <c r="W262" s="56"/>
      <c r="Y262" s="138"/>
    </row>
    <row r="263">
      <c r="A263" s="56"/>
      <c r="B263" s="56"/>
      <c r="C263" s="108" t="str">
        <f>IFNA(VLOOKUP('Dashboard-Dados'!B263,'Dashboard-Dados'!$Y$2:$AA$13,2),"")</f>
        <v/>
      </c>
      <c r="D263" s="109">
        <f>IFERROR(GETPIVOTDATA("Valor Recebido",'Dashboard-Dados'!$J$1,$A$1,A263,$B$1,B263),0)</f>
        <v>0</v>
      </c>
      <c r="E263" s="110">
        <f>IFERROR(GETPIVOTDATA("Valor Despesa",'Dashboard-Dados'!$P$1,$A$1,A263,$B$1,B263),0)</f>
        <v>0</v>
      </c>
      <c r="F263" s="110">
        <f t="shared" si="1"/>
        <v>0</v>
      </c>
      <c r="G263" s="56">
        <f>IFERROR(GETPIVOTDATA("Exame",'Dashboard-Dados'!$J$1,$A$1,A263,$B$1,B263),0)</f>
        <v>0</v>
      </c>
      <c r="H263" s="56">
        <f t="shared" si="2"/>
        <v>263</v>
      </c>
      <c r="U263" s="56"/>
      <c r="V263" s="56"/>
      <c r="W263" s="56"/>
      <c r="Y263" s="138"/>
    </row>
    <row r="264">
      <c r="A264" s="56"/>
      <c r="B264" s="56"/>
      <c r="C264" s="108" t="str">
        <f>IFNA(VLOOKUP('Dashboard-Dados'!B264,'Dashboard-Dados'!$Y$2:$AA$13,2),"")</f>
        <v/>
      </c>
      <c r="D264" s="109">
        <f>IFERROR(GETPIVOTDATA("Valor Recebido",'Dashboard-Dados'!$J$1,$A$1,A264,$B$1,B264),0)</f>
        <v>0</v>
      </c>
      <c r="E264" s="110">
        <f>IFERROR(GETPIVOTDATA("Valor Despesa",'Dashboard-Dados'!$P$1,$A$1,A264,$B$1,B264),0)</f>
        <v>0</v>
      </c>
      <c r="F264" s="110">
        <f t="shared" si="1"/>
        <v>0</v>
      </c>
      <c r="G264" s="56">
        <f>IFERROR(GETPIVOTDATA("Exame",'Dashboard-Dados'!$J$1,$A$1,A264,$B$1,B264),0)</f>
        <v>0</v>
      </c>
      <c r="H264" s="56">
        <f t="shared" si="2"/>
        <v>264</v>
      </c>
      <c r="U264" s="56"/>
      <c r="V264" s="56"/>
      <c r="W264" s="56"/>
      <c r="Y264" s="138"/>
    </row>
    <row r="265">
      <c r="A265" s="56"/>
      <c r="B265" s="56"/>
      <c r="C265" s="108" t="str">
        <f>IFNA(VLOOKUP('Dashboard-Dados'!B265,'Dashboard-Dados'!$Y$2:$AA$13,2),"")</f>
        <v/>
      </c>
      <c r="D265" s="109">
        <f>IFERROR(GETPIVOTDATA("Valor Recebido",'Dashboard-Dados'!$J$1,$A$1,A265,$B$1,B265),0)</f>
        <v>0</v>
      </c>
      <c r="E265" s="110">
        <f>IFERROR(GETPIVOTDATA("Valor Despesa",'Dashboard-Dados'!$P$1,$A$1,A265,$B$1,B265),0)</f>
        <v>0</v>
      </c>
      <c r="F265" s="110">
        <f t="shared" si="1"/>
        <v>0</v>
      </c>
      <c r="G265" s="56">
        <f>IFERROR(GETPIVOTDATA("Exame",'Dashboard-Dados'!$J$1,$A$1,A265,$B$1,B265),0)</f>
        <v>0</v>
      </c>
      <c r="H265" s="56">
        <f t="shared" si="2"/>
        <v>265</v>
      </c>
      <c r="U265" s="56"/>
      <c r="V265" s="56"/>
      <c r="W265" s="56"/>
      <c r="Y265" s="138"/>
    </row>
    <row r="266">
      <c r="A266" s="56"/>
      <c r="B266" s="56"/>
      <c r="C266" s="108" t="str">
        <f>IFNA(VLOOKUP('Dashboard-Dados'!B266,'Dashboard-Dados'!$Y$2:$AA$13,2),"")</f>
        <v/>
      </c>
      <c r="D266" s="109">
        <f>IFERROR(GETPIVOTDATA("Valor Recebido",'Dashboard-Dados'!$J$1,$A$1,A266,$B$1,B266),0)</f>
        <v>0</v>
      </c>
      <c r="E266" s="110">
        <f>IFERROR(GETPIVOTDATA("Valor Despesa",'Dashboard-Dados'!$P$1,$A$1,A266,$B$1,B266),0)</f>
        <v>0</v>
      </c>
      <c r="F266" s="110">
        <f t="shared" si="1"/>
        <v>0</v>
      </c>
      <c r="G266" s="56">
        <f>IFERROR(GETPIVOTDATA("Exame",'Dashboard-Dados'!$J$1,$A$1,A266,$B$1,B266),0)</f>
        <v>0</v>
      </c>
      <c r="H266" s="56">
        <f t="shared" si="2"/>
        <v>266</v>
      </c>
      <c r="U266" s="56"/>
      <c r="V266" s="56"/>
      <c r="W266" s="56"/>
      <c r="Y266" s="138"/>
    </row>
    <row r="267">
      <c r="A267" s="56"/>
      <c r="B267" s="56"/>
      <c r="C267" s="108" t="str">
        <f>IFNA(VLOOKUP('Dashboard-Dados'!B267,'Dashboard-Dados'!$Y$2:$AA$13,2),"")</f>
        <v/>
      </c>
      <c r="D267" s="109">
        <f>IFERROR(GETPIVOTDATA("Valor Recebido",'Dashboard-Dados'!$J$1,$A$1,A267,$B$1,B267),0)</f>
        <v>0</v>
      </c>
      <c r="E267" s="110">
        <f>IFERROR(GETPIVOTDATA("Valor Despesa",'Dashboard-Dados'!$P$1,$A$1,A267,$B$1,B267),0)</f>
        <v>0</v>
      </c>
      <c r="F267" s="110">
        <f t="shared" si="1"/>
        <v>0</v>
      </c>
      <c r="G267" s="56">
        <f>IFERROR(GETPIVOTDATA("Exame",'Dashboard-Dados'!$J$1,$A$1,A267,$B$1,B267),0)</f>
        <v>0</v>
      </c>
      <c r="H267" s="56">
        <f t="shared" si="2"/>
        <v>267</v>
      </c>
      <c r="U267" s="56"/>
      <c r="V267" s="56"/>
      <c r="W267" s="56"/>
      <c r="Y267" s="138"/>
    </row>
    <row r="268">
      <c r="A268" s="56"/>
      <c r="B268" s="56"/>
      <c r="C268" s="108" t="str">
        <f>IFNA(VLOOKUP('Dashboard-Dados'!B268,'Dashboard-Dados'!$Y$2:$AA$13,2),"")</f>
        <v/>
      </c>
      <c r="D268" s="109">
        <f>IFERROR(GETPIVOTDATA("Valor Recebido",'Dashboard-Dados'!$J$1,$A$1,A268,$B$1,B268),0)</f>
        <v>0</v>
      </c>
      <c r="E268" s="110">
        <f>IFERROR(GETPIVOTDATA("Valor Despesa",'Dashboard-Dados'!$P$1,$A$1,A268,$B$1,B268),0)</f>
        <v>0</v>
      </c>
      <c r="F268" s="110">
        <f t="shared" si="1"/>
        <v>0</v>
      </c>
      <c r="G268" s="56">
        <f>IFERROR(GETPIVOTDATA("Exame",'Dashboard-Dados'!$J$1,$A$1,A268,$B$1,B268),0)</f>
        <v>0</v>
      </c>
      <c r="H268" s="56">
        <f t="shared" si="2"/>
        <v>268</v>
      </c>
      <c r="U268" s="56"/>
      <c r="V268" s="56"/>
      <c r="W268" s="56"/>
      <c r="Y268" s="138"/>
    </row>
    <row r="269">
      <c r="A269" s="56"/>
      <c r="B269" s="56"/>
      <c r="C269" s="108" t="str">
        <f>IFNA(VLOOKUP('Dashboard-Dados'!B269,'Dashboard-Dados'!$Y$2:$AA$13,2),"")</f>
        <v/>
      </c>
      <c r="D269" s="109">
        <f>IFERROR(GETPIVOTDATA("Valor Recebido",'Dashboard-Dados'!$J$1,$A$1,A269,$B$1,B269),0)</f>
        <v>0</v>
      </c>
      <c r="E269" s="110">
        <f>IFERROR(GETPIVOTDATA("Valor Despesa",'Dashboard-Dados'!$P$1,$A$1,A269,$B$1,B269),0)</f>
        <v>0</v>
      </c>
      <c r="F269" s="110">
        <f t="shared" si="1"/>
        <v>0</v>
      </c>
      <c r="G269" s="56">
        <f>IFERROR(GETPIVOTDATA("Exame",'Dashboard-Dados'!$J$1,$A$1,A269,$B$1,B269),0)</f>
        <v>0</v>
      </c>
      <c r="H269" s="56">
        <f t="shared" si="2"/>
        <v>269</v>
      </c>
      <c r="U269" s="56"/>
      <c r="V269" s="56"/>
      <c r="W269" s="56"/>
      <c r="Y269" s="138"/>
    </row>
    <row r="270">
      <c r="A270" s="56"/>
      <c r="B270" s="56"/>
      <c r="C270" s="108" t="str">
        <f>IFNA(VLOOKUP('Dashboard-Dados'!B270,'Dashboard-Dados'!$Y$2:$AA$13,2),"")</f>
        <v/>
      </c>
      <c r="D270" s="109">
        <f>IFERROR(GETPIVOTDATA("Valor Recebido",'Dashboard-Dados'!$J$1,$A$1,A270,$B$1,B270),0)</f>
        <v>0</v>
      </c>
      <c r="E270" s="110">
        <f>IFERROR(GETPIVOTDATA("Valor Despesa",'Dashboard-Dados'!$P$1,$A$1,A270,$B$1,B270),0)</f>
        <v>0</v>
      </c>
      <c r="F270" s="110">
        <f t="shared" si="1"/>
        <v>0</v>
      </c>
      <c r="G270" s="56">
        <f>IFERROR(GETPIVOTDATA("Exame",'Dashboard-Dados'!$J$1,$A$1,A270,$B$1,B270),0)</f>
        <v>0</v>
      </c>
      <c r="H270" s="56">
        <f t="shared" si="2"/>
        <v>270</v>
      </c>
      <c r="U270" s="56"/>
      <c r="V270" s="56"/>
      <c r="W270" s="56"/>
      <c r="Y270" s="138"/>
    </row>
    <row r="271">
      <c r="A271" s="56"/>
      <c r="B271" s="56"/>
      <c r="C271" s="108" t="str">
        <f>IFNA(VLOOKUP('Dashboard-Dados'!B271,'Dashboard-Dados'!$Y$2:$AA$13,2),"")</f>
        <v/>
      </c>
      <c r="D271" s="109">
        <f>IFERROR(GETPIVOTDATA("Valor Recebido",'Dashboard-Dados'!$J$1,$A$1,A271,$B$1,B271),0)</f>
        <v>0</v>
      </c>
      <c r="E271" s="110">
        <f>IFERROR(GETPIVOTDATA("Valor Despesa",'Dashboard-Dados'!$P$1,$A$1,A271,$B$1,B271),0)</f>
        <v>0</v>
      </c>
      <c r="F271" s="110">
        <f t="shared" si="1"/>
        <v>0</v>
      </c>
      <c r="G271" s="56">
        <f>IFERROR(GETPIVOTDATA("Exame",'Dashboard-Dados'!$J$1,$A$1,A271,$B$1,B271),0)</f>
        <v>0</v>
      </c>
      <c r="H271" s="56">
        <f t="shared" si="2"/>
        <v>271</v>
      </c>
      <c r="U271" s="56"/>
      <c r="V271" s="56"/>
      <c r="W271" s="56"/>
      <c r="Y271" s="138"/>
    </row>
    <row r="272">
      <c r="A272" s="56"/>
      <c r="B272" s="56"/>
      <c r="C272" s="108" t="str">
        <f>IFNA(VLOOKUP('Dashboard-Dados'!B272,'Dashboard-Dados'!$Y$2:$AA$13,2),"")</f>
        <v/>
      </c>
      <c r="D272" s="109">
        <f>IFERROR(GETPIVOTDATA("Valor Recebido",'Dashboard-Dados'!$J$1,$A$1,A272,$B$1,B272),0)</f>
        <v>0</v>
      </c>
      <c r="E272" s="110">
        <f>IFERROR(GETPIVOTDATA("Valor Despesa",'Dashboard-Dados'!$P$1,$A$1,A272,$B$1,B272),0)</f>
        <v>0</v>
      </c>
      <c r="F272" s="110">
        <f t="shared" si="1"/>
        <v>0</v>
      </c>
      <c r="G272" s="56">
        <f>IFERROR(GETPIVOTDATA("Exame",'Dashboard-Dados'!$J$1,$A$1,A272,$B$1,B272),0)</f>
        <v>0</v>
      </c>
      <c r="H272" s="56">
        <f t="shared" si="2"/>
        <v>272</v>
      </c>
      <c r="U272" s="56"/>
      <c r="V272" s="56"/>
      <c r="W272" s="56"/>
      <c r="Y272" s="138"/>
    </row>
    <row r="273">
      <c r="A273" s="56"/>
      <c r="B273" s="56"/>
      <c r="C273" s="108" t="str">
        <f>IFNA(VLOOKUP('Dashboard-Dados'!B273,'Dashboard-Dados'!$Y$2:$AA$13,2),"")</f>
        <v/>
      </c>
      <c r="D273" s="109">
        <f>IFERROR(GETPIVOTDATA("Valor Recebido",'Dashboard-Dados'!$J$1,$A$1,A273,$B$1,B273),0)</f>
        <v>0</v>
      </c>
      <c r="E273" s="110">
        <f>IFERROR(GETPIVOTDATA("Valor Despesa",'Dashboard-Dados'!$P$1,$A$1,A273,$B$1,B273),0)</f>
        <v>0</v>
      </c>
      <c r="F273" s="110">
        <f t="shared" si="1"/>
        <v>0</v>
      </c>
      <c r="G273" s="56">
        <f>IFERROR(GETPIVOTDATA("Exame",'Dashboard-Dados'!$J$1,$A$1,A273,$B$1,B273),0)</f>
        <v>0</v>
      </c>
      <c r="H273" s="56">
        <f t="shared" si="2"/>
        <v>273</v>
      </c>
      <c r="U273" s="56"/>
      <c r="V273" s="56"/>
      <c r="W273" s="56"/>
      <c r="Y273" s="138"/>
    </row>
    <row r="274">
      <c r="A274" s="56"/>
      <c r="B274" s="56"/>
      <c r="C274" s="108" t="str">
        <f>IFNA(VLOOKUP('Dashboard-Dados'!B274,'Dashboard-Dados'!$Y$2:$AA$13,2),"")</f>
        <v/>
      </c>
      <c r="D274" s="109">
        <f>IFERROR(GETPIVOTDATA("Valor Recebido",'Dashboard-Dados'!$J$1,$A$1,A274,$B$1,B274),0)</f>
        <v>0</v>
      </c>
      <c r="E274" s="110">
        <f>IFERROR(GETPIVOTDATA("Valor Despesa",'Dashboard-Dados'!$P$1,$A$1,A274,$B$1,B274),0)</f>
        <v>0</v>
      </c>
      <c r="F274" s="110">
        <f t="shared" si="1"/>
        <v>0</v>
      </c>
      <c r="G274" s="56">
        <f>IFERROR(GETPIVOTDATA("Exame",'Dashboard-Dados'!$J$1,$A$1,A274,$B$1,B274),0)</f>
        <v>0</v>
      </c>
      <c r="H274" s="56">
        <f t="shared" si="2"/>
        <v>274</v>
      </c>
      <c r="U274" s="56"/>
      <c r="V274" s="56"/>
      <c r="W274" s="56"/>
      <c r="Y274" s="138"/>
    </row>
    <row r="275">
      <c r="A275" s="56"/>
      <c r="B275" s="56"/>
      <c r="C275" s="108" t="str">
        <f>IFNA(VLOOKUP('Dashboard-Dados'!B275,'Dashboard-Dados'!$Y$2:$AA$13,2),"")</f>
        <v/>
      </c>
      <c r="D275" s="109">
        <f>IFERROR(GETPIVOTDATA("Valor Recebido",'Dashboard-Dados'!$J$1,$A$1,A275,$B$1,B275),0)</f>
        <v>0</v>
      </c>
      <c r="E275" s="110">
        <f>IFERROR(GETPIVOTDATA("Valor Despesa",'Dashboard-Dados'!$P$1,$A$1,A275,$B$1,B275),0)</f>
        <v>0</v>
      </c>
      <c r="F275" s="110">
        <f t="shared" si="1"/>
        <v>0</v>
      </c>
      <c r="G275" s="56">
        <f>IFERROR(GETPIVOTDATA("Exame",'Dashboard-Dados'!$J$1,$A$1,A275,$B$1,B275),0)</f>
        <v>0</v>
      </c>
      <c r="H275" s="56">
        <f t="shared" si="2"/>
        <v>275</v>
      </c>
      <c r="U275" s="56"/>
      <c r="V275" s="56"/>
      <c r="W275" s="56"/>
      <c r="Y275" s="138"/>
    </row>
    <row r="276">
      <c r="A276" s="56"/>
      <c r="B276" s="56"/>
      <c r="C276" s="108" t="str">
        <f>IFNA(VLOOKUP('Dashboard-Dados'!B276,'Dashboard-Dados'!$Y$2:$AA$13,2),"")</f>
        <v/>
      </c>
      <c r="D276" s="109">
        <f>IFERROR(GETPIVOTDATA("Valor Recebido",'Dashboard-Dados'!$J$1,$A$1,A276,$B$1,B276),0)</f>
        <v>0</v>
      </c>
      <c r="E276" s="110">
        <f>IFERROR(GETPIVOTDATA("Valor Despesa",'Dashboard-Dados'!$P$1,$A$1,A276,$B$1,B276),0)</f>
        <v>0</v>
      </c>
      <c r="F276" s="110">
        <f t="shared" si="1"/>
        <v>0</v>
      </c>
      <c r="G276" s="56">
        <f>IFERROR(GETPIVOTDATA("Exame",'Dashboard-Dados'!$J$1,$A$1,A276,$B$1,B276),0)</f>
        <v>0</v>
      </c>
      <c r="H276" s="56">
        <f t="shared" si="2"/>
        <v>276</v>
      </c>
      <c r="U276" s="56"/>
      <c r="V276" s="56"/>
      <c r="W276" s="56"/>
      <c r="Y276" s="138"/>
    </row>
    <row r="277">
      <c r="A277" s="56"/>
      <c r="B277" s="56"/>
      <c r="C277" s="108" t="str">
        <f>IFNA(VLOOKUP('Dashboard-Dados'!B277,'Dashboard-Dados'!$Y$2:$AA$13,2),"")</f>
        <v/>
      </c>
      <c r="D277" s="109">
        <f>IFERROR(GETPIVOTDATA("Valor Recebido",'Dashboard-Dados'!$J$1,$A$1,A277,$B$1,B277),0)</f>
        <v>0</v>
      </c>
      <c r="E277" s="110">
        <f>IFERROR(GETPIVOTDATA("Valor Despesa",'Dashboard-Dados'!$P$1,$A$1,A277,$B$1,B277),0)</f>
        <v>0</v>
      </c>
      <c r="F277" s="110">
        <f t="shared" si="1"/>
        <v>0</v>
      </c>
      <c r="G277" s="56">
        <f>IFERROR(GETPIVOTDATA("Exame",'Dashboard-Dados'!$J$1,$A$1,A277,$B$1,B277),0)</f>
        <v>0</v>
      </c>
      <c r="H277" s="56">
        <f t="shared" si="2"/>
        <v>277</v>
      </c>
      <c r="U277" s="56"/>
      <c r="V277" s="56"/>
      <c r="W277" s="56"/>
      <c r="Y277" s="138"/>
    </row>
    <row r="278">
      <c r="A278" s="56"/>
      <c r="B278" s="56"/>
      <c r="C278" s="108" t="str">
        <f>IFNA(VLOOKUP('Dashboard-Dados'!B278,'Dashboard-Dados'!$Y$2:$AA$13,2),"")</f>
        <v/>
      </c>
      <c r="D278" s="109">
        <f>IFERROR(GETPIVOTDATA("Valor Recebido",'Dashboard-Dados'!$J$1,$A$1,A278,$B$1,B278),0)</f>
        <v>0</v>
      </c>
      <c r="E278" s="110">
        <f>IFERROR(GETPIVOTDATA("Valor Despesa",'Dashboard-Dados'!$P$1,$A$1,A278,$B$1,B278),0)</f>
        <v>0</v>
      </c>
      <c r="F278" s="110">
        <f t="shared" si="1"/>
        <v>0</v>
      </c>
      <c r="G278" s="56">
        <f>IFERROR(GETPIVOTDATA("Exame",'Dashboard-Dados'!$J$1,$A$1,A278,$B$1,B278),0)</f>
        <v>0</v>
      </c>
      <c r="H278" s="56">
        <f t="shared" si="2"/>
        <v>278</v>
      </c>
      <c r="U278" s="56"/>
      <c r="V278" s="56"/>
      <c r="W278" s="56"/>
      <c r="Y278" s="138"/>
    </row>
    <row r="279">
      <c r="A279" s="56"/>
      <c r="B279" s="56"/>
      <c r="C279" s="108" t="str">
        <f>IFNA(VLOOKUP('Dashboard-Dados'!B279,'Dashboard-Dados'!$Y$2:$AA$13,2),"")</f>
        <v/>
      </c>
      <c r="D279" s="109">
        <f>IFERROR(GETPIVOTDATA("Valor Recebido",'Dashboard-Dados'!$J$1,$A$1,A279,$B$1,B279),0)</f>
        <v>0</v>
      </c>
      <c r="E279" s="110">
        <f>IFERROR(GETPIVOTDATA("Valor Despesa",'Dashboard-Dados'!$P$1,$A$1,A279,$B$1,B279),0)</f>
        <v>0</v>
      </c>
      <c r="F279" s="110">
        <f t="shared" si="1"/>
        <v>0</v>
      </c>
      <c r="G279" s="56">
        <f>IFERROR(GETPIVOTDATA("Exame",'Dashboard-Dados'!$J$1,$A$1,A279,$B$1,B279),0)</f>
        <v>0</v>
      </c>
      <c r="H279" s="56">
        <f t="shared" si="2"/>
        <v>279</v>
      </c>
      <c r="U279" s="56"/>
      <c r="V279" s="56"/>
      <c r="W279" s="56"/>
      <c r="Y279" s="138"/>
    </row>
    <row r="280">
      <c r="A280" s="56"/>
      <c r="B280" s="56"/>
      <c r="C280" s="108" t="str">
        <f>IFNA(VLOOKUP('Dashboard-Dados'!B280,'Dashboard-Dados'!$Y$2:$AA$13,2),"")</f>
        <v/>
      </c>
      <c r="D280" s="109">
        <f>IFERROR(GETPIVOTDATA("Valor Recebido",'Dashboard-Dados'!$J$1,$A$1,A280,$B$1,B280),0)</f>
        <v>0</v>
      </c>
      <c r="E280" s="110">
        <f>IFERROR(GETPIVOTDATA("Valor Despesa",'Dashboard-Dados'!$P$1,$A$1,A280,$B$1,B280),0)</f>
        <v>0</v>
      </c>
      <c r="F280" s="110">
        <f t="shared" si="1"/>
        <v>0</v>
      </c>
      <c r="G280" s="56">
        <f>IFERROR(GETPIVOTDATA("Exame",'Dashboard-Dados'!$J$1,$A$1,A280,$B$1,B280),0)</f>
        <v>0</v>
      </c>
      <c r="H280" s="56">
        <f t="shared" si="2"/>
        <v>280</v>
      </c>
      <c r="U280" s="56"/>
      <c r="V280" s="56"/>
      <c r="W280" s="56"/>
      <c r="Y280" s="138"/>
    </row>
    <row r="281">
      <c r="A281" s="56"/>
      <c r="B281" s="56"/>
      <c r="C281" s="108" t="str">
        <f>IFNA(VLOOKUP('Dashboard-Dados'!B281,'Dashboard-Dados'!$Y$2:$AA$13,2),"")</f>
        <v/>
      </c>
      <c r="D281" s="109">
        <f>IFERROR(GETPIVOTDATA("Valor Recebido",'Dashboard-Dados'!$J$1,$A$1,A281,$B$1,B281),0)</f>
        <v>0</v>
      </c>
      <c r="E281" s="110">
        <f>IFERROR(GETPIVOTDATA("Valor Despesa",'Dashboard-Dados'!$P$1,$A$1,A281,$B$1,B281),0)</f>
        <v>0</v>
      </c>
      <c r="F281" s="110">
        <f t="shared" si="1"/>
        <v>0</v>
      </c>
      <c r="G281" s="56">
        <f>IFERROR(GETPIVOTDATA("Exame",'Dashboard-Dados'!$J$1,$A$1,A281,$B$1,B281),0)</f>
        <v>0</v>
      </c>
      <c r="H281" s="56">
        <f t="shared" si="2"/>
        <v>281</v>
      </c>
      <c r="U281" s="56"/>
      <c r="V281" s="56"/>
      <c r="W281" s="56"/>
      <c r="Y281" s="138"/>
    </row>
    <row r="282">
      <c r="A282" s="56"/>
      <c r="B282" s="56"/>
      <c r="C282" s="108" t="str">
        <f>IFNA(VLOOKUP('Dashboard-Dados'!B282,'Dashboard-Dados'!$Y$2:$AA$13,2),"")</f>
        <v/>
      </c>
      <c r="D282" s="109">
        <f>IFERROR(GETPIVOTDATA("Valor Recebido",'Dashboard-Dados'!$J$1,$A$1,A282,$B$1,B282),0)</f>
        <v>0</v>
      </c>
      <c r="E282" s="110">
        <f>IFERROR(GETPIVOTDATA("Valor Despesa",'Dashboard-Dados'!$P$1,$A$1,A282,$B$1,B282),0)</f>
        <v>0</v>
      </c>
      <c r="F282" s="110">
        <f t="shared" si="1"/>
        <v>0</v>
      </c>
      <c r="G282" s="56">
        <f>IFERROR(GETPIVOTDATA("Exame",'Dashboard-Dados'!$J$1,$A$1,A282,$B$1,B282),0)</f>
        <v>0</v>
      </c>
      <c r="H282" s="56">
        <f t="shared" si="2"/>
        <v>282</v>
      </c>
      <c r="U282" s="56"/>
      <c r="V282" s="56"/>
      <c r="W282" s="56"/>
      <c r="Y282" s="138"/>
    </row>
    <row r="283">
      <c r="A283" s="56"/>
      <c r="B283" s="56"/>
      <c r="C283" s="108" t="str">
        <f>IFNA(VLOOKUP('Dashboard-Dados'!B283,'Dashboard-Dados'!$Y$2:$AA$13,2),"")</f>
        <v/>
      </c>
      <c r="D283" s="109">
        <f>IFERROR(GETPIVOTDATA("Valor Recebido",'Dashboard-Dados'!$J$1,$A$1,A283,$B$1,B283),0)</f>
        <v>0</v>
      </c>
      <c r="E283" s="110">
        <f>IFERROR(GETPIVOTDATA("Valor Despesa",'Dashboard-Dados'!$P$1,$A$1,A283,$B$1,B283),0)</f>
        <v>0</v>
      </c>
      <c r="F283" s="110">
        <f t="shared" si="1"/>
        <v>0</v>
      </c>
      <c r="G283" s="56">
        <f>IFERROR(GETPIVOTDATA("Exame",'Dashboard-Dados'!$J$1,$A$1,A283,$B$1,B283),0)</f>
        <v>0</v>
      </c>
      <c r="H283" s="56">
        <f t="shared" si="2"/>
        <v>283</v>
      </c>
      <c r="U283" s="56"/>
      <c r="V283" s="56"/>
      <c r="W283" s="56"/>
      <c r="Y283" s="138"/>
    </row>
    <row r="284">
      <c r="A284" s="56"/>
      <c r="B284" s="56"/>
      <c r="C284" s="108" t="str">
        <f>IFNA(VLOOKUP('Dashboard-Dados'!B284,'Dashboard-Dados'!$Y$2:$AA$13,2),"")</f>
        <v/>
      </c>
      <c r="D284" s="109">
        <f>IFERROR(GETPIVOTDATA("Valor Recebido",'Dashboard-Dados'!$J$1,$A$1,A284,$B$1,B284),0)</f>
        <v>0</v>
      </c>
      <c r="E284" s="110">
        <f>IFERROR(GETPIVOTDATA("Valor Despesa",'Dashboard-Dados'!$P$1,$A$1,A284,$B$1,B284),0)</f>
        <v>0</v>
      </c>
      <c r="F284" s="110">
        <f t="shared" si="1"/>
        <v>0</v>
      </c>
      <c r="G284" s="56">
        <f>IFERROR(GETPIVOTDATA("Exame",'Dashboard-Dados'!$J$1,$A$1,A284,$B$1,B284),0)</f>
        <v>0</v>
      </c>
      <c r="H284" s="56">
        <f t="shared" si="2"/>
        <v>284</v>
      </c>
      <c r="U284" s="56"/>
      <c r="V284" s="56"/>
      <c r="W284" s="56"/>
      <c r="Y284" s="138"/>
    </row>
    <row r="285">
      <c r="A285" s="56"/>
      <c r="B285" s="56"/>
      <c r="C285" s="108" t="str">
        <f>IFNA(VLOOKUP('Dashboard-Dados'!B285,'Dashboard-Dados'!$Y$2:$AA$13,2),"")</f>
        <v/>
      </c>
      <c r="D285" s="109">
        <f>IFERROR(GETPIVOTDATA("Valor Recebido",'Dashboard-Dados'!$J$1,$A$1,A285,$B$1,B285),0)</f>
        <v>0</v>
      </c>
      <c r="E285" s="110">
        <f>IFERROR(GETPIVOTDATA("Valor Despesa",'Dashboard-Dados'!$P$1,$A$1,A285,$B$1,B285),0)</f>
        <v>0</v>
      </c>
      <c r="F285" s="110">
        <f t="shared" si="1"/>
        <v>0</v>
      </c>
      <c r="G285" s="56">
        <f>IFERROR(GETPIVOTDATA("Exame",'Dashboard-Dados'!$J$1,$A$1,A285,$B$1,B285),0)</f>
        <v>0</v>
      </c>
      <c r="H285" s="56">
        <f t="shared" si="2"/>
        <v>285</v>
      </c>
      <c r="U285" s="56"/>
      <c r="V285" s="56"/>
      <c r="W285" s="56"/>
      <c r="Y285" s="138"/>
    </row>
    <row r="286">
      <c r="A286" s="56"/>
      <c r="B286" s="56"/>
      <c r="C286" s="108" t="str">
        <f>IFNA(VLOOKUP('Dashboard-Dados'!B286,'Dashboard-Dados'!$Y$2:$AA$13,2),"")</f>
        <v/>
      </c>
      <c r="D286" s="109">
        <f>IFERROR(GETPIVOTDATA("Valor Recebido",'Dashboard-Dados'!$J$1,$A$1,A286,$B$1,B286),0)</f>
        <v>0</v>
      </c>
      <c r="E286" s="110">
        <f>IFERROR(GETPIVOTDATA("Valor Despesa",'Dashboard-Dados'!$P$1,$A$1,A286,$B$1,B286),0)</f>
        <v>0</v>
      </c>
      <c r="F286" s="110">
        <f t="shared" si="1"/>
        <v>0</v>
      </c>
      <c r="G286" s="56">
        <f>IFERROR(GETPIVOTDATA("Exame",'Dashboard-Dados'!$J$1,$A$1,A286,$B$1,B286),0)</f>
        <v>0</v>
      </c>
      <c r="H286" s="56">
        <f t="shared" si="2"/>
        <v>286</v>
      </c>
      <c r="U286" s="56"/>
      <c r="V286" s="56"/>
      <c r="W286" s="56"/>
      <c r="Y286" s="138"/>
    </row>
    <row r="287">
      <c r="A287" s="56"/>
      <c r="B287" s="56"/>
      <c r="C287" s="108" t="str">
        <f>IFNA(VLOOKUP('Dashboard-Dados'!B287,'Dashboard-Dados'!$Y$2:$AA$13,2),"")</f>
        <v/>
      </c>
      <c r="D287" s="109">
        <f>IFERROR(GETPIVOTDATA("Valor Recebido",'Dashboard-Dados'!$J$1,$A$1,A287,$B$1,B287),0)</f>
        <v>0</v>
      </c>
      <c r="E287" s="110">
        <f>IFERROR(GETPIVOTDATA("Valor Despesa",'Dashboard-Dados'!$P$1,$A$1,A287,$B$1,B287),0)</f>
        <v>0</v>
      </c>
      <c r="F287" s="110">
        <f t="shared" si="1"/>
        <v>0</v>
      </c>
      <c r="G287" s="56">
        <f>IFERROR(GETPIVOTDATA("Exame",'Dashboard-Dados'!$J$1,$A$1,A287,$B$1,B287),0)</f>
        <v>0</v>
      </c>
      <c r="H287" s="56">
        <f t="shared" si="2"/>
        <v>287</v>
      </c>
      <c r="U287" s="56"/>
      <c r="V287" s="56"/>
      <c r="W287" s="56"/>
      <c r="Y287" s="138"/>
    </row>
    <row r="288">
      <c r="A288" s="56"/>
      <c r="B288" s="56"/>
      <c r="C288" s="108" t="str">
        <f>IFNA(VLOOKUP('Dashboard-Dados'!B288,'Dashboard-Dados'!$Y$2:$AA$13,2),"")</f>
        <v/>
      </c>
      <c r="D288" s="109">
        <f>IFERROR(GETPIVOTDATA("Valor Recebido",'Dashboard-Dados'!$J$1,$A$1,A288,$B$1,B288),0)</f>
        <v>0</v>
      </c>
      <c r="E288" s="110">
        <f>IFERROR(GETPIVOTDATA("Valor Despesa",'Dashboard-Dados'!$P$1,$A$1,A288,$B$1,B288),0)</f>
        <v>0</v>
      </c>
      <c r="F288" s="110">
        <f t="shared" si="1"/>
        <v>0</v>
      </c>
      <c r="G288" s="56">
        <f>IFERROR(GETPIVOTDATA("Exame",'Dashboard-Dados'!$J$1,$A$1,A288,$B$1,B288),0)</f>
        <v>0</v>
      </c>
      <c r="H288" s="56">
        <f t="shared" si="2"/>
        <v>288</v>
      </c>
      <c r="U288" s="56"/>
      <c r="V288" s="56"/>
      <c r="W288" s="56"/>
      <c r="Y288" s="138"/>
    </row>
    <row r="289">
      <c r="A289" s="56"/>
      <c r="B289" s="56"/>
      <c r="C289" s="108" t="str">
        <f>IFNA(VLOOKUP('Dashboard-Dados'!B289,'Dashboard-Dados'!$Y$2:$AA$13,2),"")</f>
        <v/>
      </c>
      <c r="D289" s="109">
        <f>IFERROR(GETPIVOTDATA("Valor Recebido",'Dashboard-Dados'!$J$1,$A$1,A289,$B$1,B289),0)</f>
        <v>0</v>
      </c>
      <c r="E289" s="110">
        <f>IFERROR(GETPIVOTDATA("Valor Despesa",'Dashboard-Dados'!$P$1,$A$1,A289,$B$1,B289),0)</f>
        <v>0</v>
      </c>
      <c r="F289" s="110">
        <f t="shared" si="1"/>
        <v>0</v>
      </c>
      <c r="G289" s="56">
        <f>IFERROR(GETPIVOTDATA("Exame",'Dashboard-Dados'!$J$1,$A$1,A289,$B$1,B289),0)</f>
        <v>0</v>
      </c>
      <c r="H289" s="56">
        <f t="shared" si="2"/>
        <v>289</v>
      </c>
      <c r="U289" s="56"/>
      <c r="V289" s="56"/>
      <c r="W289" s="56"/>
      <c r="Y289" s="138"/>
    </row>
    <row r="290">
      <c r="A290" s="56"/>
      <c r="B290" s="56"/>
      <c r="C290" s="108" t="str">
        <f>IFNA(VLOOKUP('Dashboard-Dados'!B290,'Dashboard-Dados'!$Y$2:$AA$13,2),"")</f>
        <v/>
      </c>
      <c r="D290" s="109">
        <f>IFERROR(GETPIVOTDATA("Valor Recebido",'Dashboard-Dados'!$J$1,$A$1,A290,$B$1,B290),0)</f>
        <v>0</v>
      </c>
      <c r="E290" s="110">
        <f>IFERROR(GETPIVOTDATA("Valor Despesa",'Dashboard-Dados'!$P$1,$A$1,A290,$B$1,B290),0)</f>
        <v>0</v>
      </c>
      <c r="F290" s="110">
        <f t="shared" si="1"/>
        <v>0</v>
      </c>
      <c r="G290" s="56">
        <f>IFERROR(GETPIVOTDATA("Exame",'Dashboard-Dados'!$J$1,$A$1,A290,$B$1,B290),0)</f>
        <v>0</v>
      </c>
      <c r="H290" s="56">
        <f t="shared" si="2"/>
        <v>290</v>
      </c>
      <c r="U290" s="56"/>
      <c r="V290" s="56"/>
      <c r="W290" s="56"/>
      <c r="Y290" s="138"/>
    </row>
    <row r="291">
      <c r="A291" s="56"/>
      <c r="B291" s="56"/>
      <c r="C291" s="108" t="str">
        <f>IFNA(VLOOKUP('Dashboard-Dados'!B291,'Dashboard-Dados'!$Y$2:$AA$13,2),"")</f>
        <v/>
      </c>
      <c r="D291" s="109">
        <f>IFERROR(GETPIVOTDATA("Valor Recebido",'Dashboard-Dados'!$J$1,$A$1,A291,$B$1,B291),0)</f>
        <v>0</v>
      </c>
      <c r="E291" s="110">
        <f>IFERROR(GETPIVOTDATA("Valor Despesa",'Dashboard-Dados'!$P$1,$A$1,A291,$B$1,B291),0)</f>
        <v>0</v>
      </c>
      <c r="F291" s="110">
        <f t="shared" si="1"/>
        <v>0</v>
      </c>
      <c r="G291" s="56">
        <f>IFERROR(GETPIVOTDATA("Exame",'Dashboard-Dados'!$J$1,$A$1,A291,$B$1,B291),0)</f>
        <v>0</v>
      </c>
      <c r="H291" s="56">
        <f t="shared" si="2"/>
        <v>291</v>
      </c>
      <c r="U291" s="56"/>
      <c r="V291" s="56"/>
      <c r="W291" s="56"/>
      <c r="Y291" s="138"/>
    </row>
    <row r="292">
      <c r="A292" s="56"/>
      <c r="B292" s="56"/>
      <c r="C292" s="108" t="str">
        <f>IFNA(VLOOKUP('Dashboard-Dados'!B292,'Dashboard-Dados'!$Y$2:$AA$13,2),"")</f>
        <v/>
      </c>
      <c r="D292" s="109">
        <f>IFERROR(GETPIVOTDATA("Valor Recebido",'Dashboard-Dados'!$J$1,$A$1,A292,$B$1,B292),0)</f>
        <v>0</v>
      </c>
      <c r="E292" s="110">
        <f>IFERROR(GETPIVOTDATA("Valor Despesa",'Dashboard-Dados'!$P$1,$A$1,A292,$B$1,B292),0)</f>
        <v>0</v>
      </c>
      <c r="F292" s="110">
        <f t="shared" si="1"/>
        <v>0</v>
      </c>
      <c r="G292" s="56">
        <f>IFERROR(GETPIVOTDATA("Exame",'Dashboard-Dados'!$J$1,$A$1,A292,$B$1,B292),0)</f>
        <v>0</v>
      </c>
      <c r="H292" s="56">
        <f t="shared" si="2"/>
        <v>292</v>
      </c>
      <c r="U292" s="56"/>
      <c r="V292" s="56"/>
      <c r="W292" s="56"/>
      <c r="Y292" s="138"/>
    </row>
    <row r="293">
      <c r="A293" s="56"/>
      <c r="B293" s="56"/>
      <c r="C293" s="108" t="str">
        <f>IFNA(VLOOKUP('Dashboard-Dados'!B293,'Dashboard-Dados'!$Y$2:$AA$13,2),"")</f>
        <v/>
      </c>
      <c r="D293" s="109">
        <f>IFERROR(GETPIVOTDATA("Valor Recebido",'Dashboard-Dados'!$J$1,$A$1,A293,$B$1,B293),0)</f>
        <v>0</v>
      </c>
      <c r="E293" s="110">
        <f>IFERROR(GETPIVOTDATA("Valor Despesa",'Dashboard-Dados'!$P$1,$A$1,A293,$B$1,B293),0)</f>
        <v>0</v>
      </c>
      <c r="F293" s="110">
        <f t="shared" si="1"/>
        <v>0</v>
      </c>
      <c r="G293" s="56">
        <f>IFERROR(GETPIVOTDATA("Exame",'Dashboard-Dados'!$J$1,$A$1,A293,$B$1,B293),0)</f>
        <v>0</v>
      </c>
      <c r="H293" s="56">
        <f t="shared" si="2"/>
        <v>293</v>
      </c>
      <c r="U293" s="56"/>
      <c r="V293" s="56"/>
      <c r="W293" s="56"/>
      <c r="Y293" s="138"/>
    </row>
    <row r="294">
      <c r="A294" s="56"/>
      <c r="B294" s="56"/>
      <c r="C294" s="108" t="str">
        <f>IFNA(VLOOKUP('Dashboard-Dados'!B294,'Dashboard-Dados'!$Y$2:$AA$13,2),"")</f>
        <v/>
      </c>
      <c r="D294" s="109">
        <f>IFERROR(GETPIVOTDATA("Valor Recebido",'Dashboard-Dados'!$J$1,$A$1,A294,$B$1,B294),0)</f>
        <v>0</v>
      </c>
      <c r="E294" s="110">
        <f>IFERROR(GETPIVOTDATA("Valor Despesa",'Dashboard-Dados'!$P$1,$A$1,A294,$B$1,B294),0)</f>
        <v>0</v>
      </c>
      <c r="F294" s="110">
        <f t="shared" si="1"/>
        <v>0</v>
      </c>
      <c r="G294" s="56">
        <f>IFERROR(GETPIVOTDATA("Exame",'Dashboard-Dados'!$J$1,$A$1,A294,$B$1,B294),0)</f>
        <v>0</v>
      </c>
      <c r="H294" s="56">
        <f t="shared" si="2"/>
        <v>294</v>
      </c>
      <c r="U294" s="56"/>
      <c r="V294" s="56"/>
      <c r="W294" s="56"/>
      <c r="Y294" s="138"/>
    </row>
    <row r="295">
      <c r="A295" s="56"/>
      <c r="B295" s="56"/>
      <c r="C295" s="108" t="str">
        <f>IFNA(VLOOKUP('Dashboard-Dados'!B295,'Dashboard-Dados'!$Y$2:$AA$13,2),"")</f>
        <v/>
      </c>
      <c r="D295" s="109">
        <f>IFERROR(GETPIVOTDATA("Valor Recebido",'Dashboard-Dados'!$J$1,$A$1,A295,$B$1,B295),0)</f>
        <v>0</v>
      </c>
      <c r="E295" s="110">
        <f>IFERROR(GETPIVOTDATA("Valor Despesa",'Dashboard-Dados'!$P$1,$A$1,A295,$B$1,B295),0)</f>
        <v>0</v>
      </c>
      <c r="F295" s="110">
        <f t="shared" si="1"/>
        <v>0</v>
      </c>
      <c r="G295" s="56">
        <f>IFERROR(GETPIVOTDATA("Exame",'Dashboard-Dados'!$J$1,$A$1,A295,$B$1,B295),0)</f>
        <v>0</v>
      </c>
      <c r="H295" s="56">
        <f t="shared" si="2"/>
        <v>295</v>
      </c>
      <c r="U295" s="56"/>
      <c r="V295" s="56"/>
      <c r="W295" s="56"/>
      <c r="Y295" s="138"/>
    </row>
    <row r="296">
      <c r="A296" s="56"/>
      <c r="B296" s="56"/>
      <c r="C296" s="108" t="str">
        <f>IFNA(VLOOKUP('Dashboard-Dados'!B296,'Dashboard-Dados'!$Y$2:$AA$13,2),"")</f>
        <v/>
      </c>
      <c r="D296" s="109">
        <f>IFERROR(GETPIVOTDATA("Valor Recebido",'Dashboard-Dados'!$J$1,$A$1,A296,$B$1,B296),0)</f>
        <v>0</v>
      </c>
      <c r="E296" s="110">
        <f>IFERROR(GETPIVOTDATA("Valor Despesa",'Dashboard-Dados'!$P$1,$A$1,A296,$B$1,B296),0)</f>
        <v>0</v>
      </c>
      <c r="F296" s="110">
        <f t="shared" si="1"/>
        <v>0</v>
      </c>
      <c r="G296" s="56">
        <f>IFERROR(GETPIVOTDATA("Exame",'Dashboard-Dados'!$J$1,$A$1,A296,$B$1,B296),0)</f>
        <v>0</v>
      </c>
      <c r="H296" s="56">
        <f t="shared" si="2"/>
        <v>296</v>
      </c>
      <c r="U296" s="56"/>
      <c r="V296" s="56"/>
      <c r="W296" s="56"/>
      <c r="Y296" s="138"/>
    </row>
    <row r="297">
      <c r="A297" s="56"/>
      <c r="B297" s="56"/>
      <c r="C297" s="108" t="str">
        <f>IFNA(VLOOKUP('Dashboard-Dados'!B297,'Dashboard-Dados'!$Y$2:$AA$13,2),"")</f>
        <v/>
      </c>
      <c r="D297" s="109">
        <f>IFERROR(GETPIVOTDATA("Valor Recebido",'Dashboard-Dados'!$J$1,$A$1,A297,$B$1,B297),0)</f>
        <v>0</v>
      </c>
      <c r="E297" s="110">
        <f>IFERROR(GETPIVOTDATA("Valor Despesa",'Dashboard-Dados'!$P$1,$A$1,A297,$B$1,B297),0)</f>
        <v>0</v>
      </c>
      <c r="F297" s="110">
        <f t="shared" si="1"/>
        <v>0</v>
      </c>
      <c r="G297" s="56">
        <f>IFERROR(GETPIVOTDATA("Exame",'Dashboard-Dados'!$J$1,$A$1,A297,$B$1,B297),0)</f>
        <v>0</v>
      </c>
      <c r="H297" s="56">
        <f t="shared" si="2"/>
        <v>297</v>
      </c>
      <c r="U297" s="56"/>
      <c r="V297" s="56"/>
      <c r="W297" s="56"/>
      <c r="Y297" s="138"/>
    </row>
    <row r="298">
      <c r="A298" s="56"/>
      <c r="B298" s="56"/>
      <c r="C298" s="108" t="str">
        <f>IFNA(VLOOKUP('Dashboard-Dados'!B298,'Dashboard-Dados'!$Y$2:$AA$13,2),"")</f>
        <v/>
      </c>
      <c r="D298" s="109">
        <f>IFERROR(GETPIVOTDATA("Valor Recebido",'Dashboard-Dados'!$J$1,$A$1,A298,$B$1,B298),0)</f>
        <v>0</v>
      </c>
      <c r="E298" s="110">
        <f>IFERROR(GETPIVOTDATA("Valor Despesa",'Dashboard-Dados'!$P$1,$A$1,A298,$B$1,B298),0)</f>
        <v>0</v>
      </c>
      <c r="F298" s="110">
        <f t="shared" si="1"/>
        <v>0</v>
      </c>
      <c r="G298" s="56">
        <f>IFERROR(GETPIVOTDATA("Exame",'Dashboard-Dados'!$J$1,$A$1,A298,$B$1,B298),0)</f>
        <v>0</v>
      </c>
      <c r="H298" s="56">
        <f t="shared" si="2"/>
        <v>298</v>
      </c>
      <c r="U298" s="56"/>
      <c r="V298" s="56"/>
      <c r="W298" s="56"/>
      <c r="Y298" s="138"/>
    </row>
    <row r="299">
      <c r="A299" s="56"/>
      <c r="B299" s="56"/>
      <c r="C299" s="108" t="str">
        <f>IFNA(VLOOKUP('Dashboard-Dados'!B299,'Dashboard-Dados'!$Y$2:$AA$13,2),"")</f>
        <v/>
      </c>
      <c r="D299" s="109">
        <f>IFERROR(GETPIVOTDATA("Valor Recebido",'Dashboard-Dados'!$J$1,$A$1,A299,$B$1,B299),0)</f>
        <v>0</v>
      </c>
      <c r="E299" s="110">
        <f>IFERROR(GETPIVOTDATA("Valor Despesa",'Dashboard-Dados'!$P$1,$A$1,A299,$B$1,B299),0)</f>
        <v>0</v>
      </c>
      <c r="F299" s="110">
        <f t="shared" si="1"/>
        <v>0</v>
      </c>
      <c r="G299" s="56">
        <f>IFERROR(GETPIVOTDATA("Exame",'Dashboard-Dados'!$J$1,$A$1,A299,$B$1,B299),0)</f>
        <v>0</v>
      </c>
      <c r="H299" s="56">
        <f t="shared" si="2"/>
        <v>299</v>
      </c>
      <c r="U299" s="56"/>
      <c r="V299" s="56"/>
      <c r="W299" s="56"/>
      <c r="Y299" s="138"/>
    </row>
    <row r="300">
      <c r="A300" s="56"/>
      <c r="B300" s="56"/>
      <c r="C300" s="108" t="str">
        <f>IFNA(VLOOKUP('Dashboard-Dados'!B300,'Dashboard-Dados'!$Y$2:$AA$13,2),"")</f>
        <v/>
      </c>
      <c r="D300" s="109">
        <f>IFERROR(GETPIVOTDATA("Valor Recebido",'Dashboard-Dados'!$J$1,$A$1,A300,$B$1,B300),0)</f>
        <v>0</v>
      </c>
      <c r="E300" s="110">
        <f>IFERROR(GETPIVOTDATA("Valor Despesa",'Dashboard-Dados'!$P$1,$A$1,A300,$B$1,B300),0)</f>
        <v>0</v>
      </c>
      <c r="F300" s="110">
        <f t="shared" si="1"/>
        <v>0</v>
      </c>
      <c r="G300" s="56">
        <f>IFERROR(GETPIVOTDATA("Exame",'Dashboard-Dados'!$J$1,$A$1,A300,$B$1,B300),0)</f>
        <v>0</v>
      </c>
      <c r="H300" s="56">
        <f t="shared" si="2"/>
        <v>300</v>
      </c>
      <c r="U300" s="56"/>
      <c r="V300" s="56"/>
      <c r="W300" s="56"/>
      <c r="Y300" s="138"/>
    </row>
    <row r="301">
      <c r="A301" s="56"/>
      <c r="B301" s="56"/>
      <c r="C301" s="108" t="str">
        <f>IFNA(VLOOKUP('Dashboard-Dados'!B301,'Dashboard-Dados'!$Y$2:$AA$13,2),"")</f>
        <v/>
      </c>
      <c r="D301" s="109">
        <f>IFERROR(GETPIVOTDATA("Valor Recebido",'Dashboard-Dados'!$J$1,$A$1,A301,$B$1,B301),0)</f>
        <v>0</v>
      </c>
      <c r="E301" s="110">
        <f>IFERROR(GETPIVOTDATA("Valor Despesa",'Dashboard-Dados'!$P$1,$A$1,A301,$B$1,B301),0)</f>
        <v>0</v>
      </c>
      <c r="F301" s="110">
        <f t="shared" si="1"/>
        <v>0</v>
      </c>
      <c r="G301" s="56">
        <f>IFERROR(GETPIVOTDATA("Exame",'Dashboard-Dados'!$J$1,$A$1,A301,$B$1,B301),0)</f>
        <v>0</v>
      </c>
      <c r="H301" s="56">
        <f t="shared" si="2"/>
        <v>301</v>
      </c>
      <c r="U301" s="56"/>
      <c r="V301" s="56"/>
      <c r="W301" s="56"/>
      <c r="Y301" s="138"/>
    </row>
    <row r="302">
      <c r="A302" s="56"/>
      <c r="B302" s="56"/>
      <c r="C302" s="108" t="str">
        <f>IFNA(VLOOKUP('Dashboard-Dados'!B302,'Dashboard-Dados'!$Y$2:$AA$13,2),"")</f>
        <v/>
      </c>
      <c r="D302" s="109">
        <f>IFERROR(GETPIVOTDATA("Valor Recebido",'Dashboard-Dados'!$J$1,$A$1,A302,$B$1,B302),0)</f>
        <v>0</v>
      </c>
      <c r="E302" s="110">
        <f>IFERROR(GETPIVOTDATA("Valor Despesa",'Dashboard-Dados'!$P$1,$A$1,A302,$B$1,B302),0)</f>
        <v>0</v>
      </c>
      <c r="F302" s="110">
        <f t="shared" si="1"/>
        <v>0</v>
      </c>
      <c r="G302" s="56">
        <f>IFERROR(GETPIVOTDATA("Exame",'Dashboard-Dados'!$J$1,$A$1,A302,$B$1,B302),0)</f>
        <v>0</v>
      </c>
      <c r="H302" s="56">
        <f t="shared" si="2"/>
        <v>302</v>
      </c>
      <c r="U302" s="56"/>
      <c r="V302" s="56"/>
      <c r="W302" s="56"/>
      <c r="Y302" s="138"/>
    </row>
    <row r="303">
      <c r="A303" s="56"/>
      <c r="B303" s="56"/>
      <c r="C303" s="108" t="str">
        <f>IFNA(VLOOKUP('Dashboard-Dados'!B303,'Dashboard-Dados'!$Y$2:$AA$13,2),"")</f>
        <v/>
      </c>
      <c r="D303" s="109">
        <f>IFERROR(GETPIVOTDATA("Valor Recebido",'Dashboard-Dados'!$J$1,$A$1,A303,$B$1,B303),0)</f>
        <v>0</v>
      </c>
      <c r="E303" s="110">
        <f>IFERROR(GETPIVOTDATA("Valor Despesa",'Dashboard-Dados'!$P$1,$A$1,A303,$B$1,B303),0)</f>
        <v>0</v>
      </c>
      <c r="F303" s="110">
        <f t="shared" si="1"/>
        <v>0</v>
      </c>
      <c r="G303" s="56">
        <f>IFERROR(GETPIVOTDATA("Exame",'Dashboard-Dados'!$J$1,$A$1,A303,$B$1,B303),0)</f>
        <v>0</v>
      </c>
      <c r="H303" s="56">
        <f t="shared" si="2"/>
        <v>303</v>
      </c>
      <c r="U303" s="56"/>
      <c r="V303" s="56"/>
      <c r="W303" s="56"/>
      <c r="Y303" s="138"/>
    </row>
    <row r="304">
      <c r="A304" s="56"/>
      <c r="B304" s="56"/>
      <c r="C304" s="108" t="str">
        <f>IFNA(VLOOKUP('Dashboard-Dados'!B304,'Dashboard-Dados'!$Y$2:$AA$13,2),"")</f>
        <v/>
      </c>
      <c r="D304" s="109">
        <f>IFERROR(GETPIVOTDATA("Valor Recebido",'Dashboard-Dados'!$J$1,$A$1,A304,$B$1,B304),0)</f>
        <v>0</v>
      </c>
      <c r="E304" s="110">
        <f>IFERROR(GETPIVOTDATA("Valor Despesa",'Dashboard-Dados'!$P$1,$A$1,A304,$B$1,B304),0)</f>
        <v>0</v>
      </c>
      <c r="F304" s="110">
        <f t="shared" si="1"/>
        <v>0</v>
      </c>
      <c r="G304" s="56">
        <f>IFERROR(GETPIVOTDATA("Exame",'Dashboard-Dados'!$J$1,$A$1,A304,$B$1,B304),0)</f>
        <v>0</v>
      </c>
      <c r="H304" s="56">
        <f t="shared" si="2"/>
        <v>304</v>
      </c>
      <c r="U304" s="56"/>
      <c r="V304" s="56"/>
      <c r="W304" s="56"/>
      <c r="Y304" s="138"/>
    </row>
    <row r="305">
      <c r="A305" s="56"/>
      <c r="B305" s="56"/>
      <c r="C305" s="108" t="str">
        <f>IFNA(VLOOKUP('Dashboard-Dados'!B305,'Dashboard-Dados'!$Y$2:$AA$13,2),"")</f>
        <v/>
      </c>
      <c r="D305" s="109">
        <f>IFERROR(GETPIVOTDATA("Valor Recebido",'Dashboard-Dados'!$J$1,$A$1,A305,$B$1,B305),0)</f>
        <v>0</v>
      </c>
      <c r="E305" s="110">
        <f>IFERROR(GETPIVOTDATA("Valor Despesa",'Dashboard-Dados'!$P$1,$A$1,A305,$B$1,B305),0)</f>
        <v>0</v>
      </c>
      <c r="F305" s="110">
        <f t="shared" si="1"/>
        <v>0</v>
      </c>
      <c r="G305" s="56">
        <f>IFERROR(GETPIVOTDATA("Exame",'Dashboard-Dados'!$J$1,$A$1,A305,$B$1,B305),0)</f>
        <v>0</v>
      </c>
      <c r="H305" s="56">
        <f t="shared" si="2"/>
        <v>305</v>
      </c>
      <c r="U305" s="56"/>
      <c r="V305" s="56"/>
      <c r="W305" s="56"/>
      <c r="Y305" s="138"/>
    </row>
    <row r="306">
      <c r="A306" s="56"/>
      <c r="B306" s="56"/>
      <c r="C306" s="108" t="str">
        <f>IFNA(VLOOKUP('Dashboard-Dados'!B306,'Dashboard-Dados'!$Y$2:$AA$13,2),"")</f>
        <v/>
      </c>
      <c r="D306" s="109">
        <f>IFERROR(GETPIVOTDATA("Valor Recebido",'Dashboard-Dados'!$J$1,$A$1,A306,$B$1,B306),0)</f>
        <v>0</v>
      </c>
      <c r="E306" s="110">
        <f>IFERROR(GETPIVOTDATA("Valor Despesa",'Dashboard-Dados'!$P$1,$A$1,A306,$B$1,B306),0)</f>
        <v>0</v>
      </c>
      <c r="F306" s="110">
        <f t="shared" si="1"/>
        <v>0</v>
      </c>
      <c r="G306" s="56">
        <f>IFERROR(GETPIVOTDATA("Exame",'Dashboard-Dados'!$J$1,$A$1,A306,$B$1,B306),0)</f>
        <v>0</v>
      </c>
      <c r="H306" s="56">
        <f t="shared" si="2"/>
        <v>306</v>
      </c>
      <c r="U306" s="56"/>
      <c r="V306" s="56"/>
      <c r="W306" s="56"/>
      <c r="Y306" s="138"/>
    </row>
    <row r="307">
      <c r="A307" s="56"/>
      <c r="B307" s="56"/>
      <c r="C307" s="108" t="str">
        <f>IFNA(VLOOKUP('Dashboard-Dados'!B307,'Dashboard-Dados'!$Y$2:$AA$13,2),"")</f>
        <v/>
      </c>
      <c r="D307" s="109">
        <f>IFERROR(GETPIVOTDATA("Valor Recebido",'Dashboard-Dados'!$J$1,$A$1,A307,$B$1,B307),0)</f>
        <v>0</v>
      </c>
      <c r="E307" s="110">
        <f>IFERROR(GETPIVOTDATA("Valor Despesa",'Dashboard-Dados'!$P$1,$A$1,A307,$B$1,B307),0)</f>
        <v>0</v>
      </c>
      <c r="F307" s="110">
        <f t="shared" si="1"/>
        <v>0</v>
      </c>
      <c r="G307" s="56">
        <f>IFERROR(GETPIVOTDATA("Exame",'Dashboard-Dados'!$J$1,$A$1,A307,$B$1,B307),0)</f>
        <v>0</v>
      </c>
      <c r="H307" s="56">
        <f t="shared" si="2"/>
        <v>307</v>
      </c>
      <c r="U307" s="56"/>
      <c r="V307" s="56"/>
      <c r="W307" s="56"/>
      <c r="Y307" s="138"/>
    </row>
    <row r="308">
      <c r="A308" s="56"/>
      <c r="B308" s="56"/>
      <c r="C308" s="108" t="str">
        <f>IFNA(VLOOKUP('Dashboard-Dados'!B308,'Dashboard-Dados'!$Y$2:$AA$13,2),"")</f>
        <v/>
      </c>
      <c r="D308" s="109">
        <f>IFERROR(GETPIVOTDATA("Valor Recebido",'Dashboard-Dados'!$J$1,$A$1,A308,$B$1,B308),0)</f>
        <v>0</v>
      </c>
      <c r="E308" s="110">
        <f>IFERROR(GETPIVOTDATA("Valor Despesa",'Dashboard-Dados'!$P$1,$A$1,A308,$B$1,B308),0)</f>
        <v>0</v>
      </c>
      <c r="F308" s="110">
        <f t="shared" si="1"/>
        <v>0</v>
      </c>
      <c r="G308" s="56">
        <f>IFERROR(GETPIVOTDATA("Exame",'Dashboard-Dados'!$J$1,$A$1,A308,$B$1,B308),0)</f>
        <v>0</v>
      </c>
      <c r="H308" s="56">
        <f t="shared" si="2"/>
        <v>308</v>
      </c>
      <c r="U308" s="56"/>
      <c r="V308" s="56"/>
      <c r="W308" s="56"/>
      <c r="Y308" s="138"/>
    </row>
    <row r="309">
      <c r="A309" s="56"/>
      <c r="B309" s="56"/>
      <c r="C309" s="108" t="str">
        <f>IFNA(VLOOKUP('Dashboard-Dados'!B309,'Dashboard-Dados'!$Y$2:$AA$13,2),"")</f>
        <v/>
      </c>
      <c r="D309" s="109">
        <f>IFERROR(GETPIVOTDATA("Valor Recebido",'Dashboard-Dados'!$J$1,$A$1,A309,$B$1,B309),0)</f>
        <v>0</v>
      </c>
      <c r="E309" s="110">
        <f>IFERROR(GETPIVOTDATA("Valor Despesa",'Dashboard-Dados'!$P$1,$A$1,A309,$B$1,B309),0)</f>
        <v>0</v>
      </c>
      <c r="F309" s="110">
        <f t="shared" si="1"/>
        <v>0</v>
      </c>
      <c r="G309" s="56">
        <f>IFERROR(GETPIVOTDATA("Exame",'Dashboard-Dados'!$J$1,$A$1,A309,$B$1,B309),0)</f>
        <v>0</v>
      </c>
      <c r="H309" s="56">
        <f t="shared" si="2"/>
        <v>309</v>
      </c>
      <c r="U309" s="56"/>
      <c r="V309" s="56"/>
      <c r="W309" s="56"/>
      <c r="Y309" s="138"/>
    </row>
    <row r="310">
      <c r="A310" s="56"/>
      <c r="B310" s="56"/>
      <c r="C310" s="108" t="str">
        <f>IFNA(VLOOKUP('Dashboard-Dados'!B310,'Dashboard-Dados'!$Y$2:$AA$13,2),"")</f>
        <v/>
      </c>
      <c r="D310" s="109">
        <f>IFERROR(GETPIVOTDATA("Valor Recebido",'Dashboard-Dados'!$J$1,$A$1,A310,$B$1,B310),0)</f>
        <v>0</v>
      </c>
      <c r="E310" s="110">
        <f>IFERROR(GETPIVOTDATA("Valor Despesa",'Dashboard-Dados'!$P$1,$A$1,A310,$B$1,B310),0)</f>
        <v>0</v>
      </c>
      <c r="F310" s="110">
        <f t="shared" si="1"/>
        <v>0</v>
      </c>
      <c r="G310" s="56">
        <f>IFERROR(GETPIVOTDATA("Exame",'Dashboard-Dados'!$J$1,$A$1,A310,$B$1,B310),0)</f>
        <v>0</v>
      </c>
      <c r="H310" s="56">
        <f t="shared" si="2"/>
        <v>310</v>
      </c>
      <c r="U310" s="56"/>
      <c r="V310" s="56"/>
      <c r="W310" s="56"/>
      <c r="Y310" s="138"/>
    </row>
    <row r="311">
      <c r="A311" s="56"/>
      <c r="B311" s="56"/>
      <c r="C311" s="108" t="str">
        <f>IFNA(VLOOKUP('Dashboard-Dados'!B311,'Dashboard-Dados'!$Y$2:$AA$13,2),"")</f>
        <v/>
      </c>
      <c r="D311" s="109">
        <f>IFERROR(GETPIVOTDATA("Valor Recebido",'Dashboard-Dados'!$J$1,$A$1,A311,$B$1,B311),0)</f>
        <v>0</v>
      </c>
      <c r="E311" s="110">
        <f>IFERROR(GETPIVOTDATA("Valor Despesa",'Dashboard-Dados'!$P$1,$A$1,A311,$B$1,B311),0)</f>
        <v>0</v>
      </c>
      <c r="F311" s="110">
        <f t="shared" si="1"/>
        <v>0</v>
      </c>
      <c r="G311" s="56">
        <f>IFERROR(GETPIVOTDATA("Exame",'Dashboard-Dados'!$J$1,$A$1,A311,$B$1,B311),0)</f>
        <v>0</v>
      </c>
      <c r="H311" s="56">
        <f t="shared" si="2"/>
        <v>311</v>
      </c>
      <c r="U311" s="56"/>
      <c r="V311" s="56"/>
      <c r="W311" s="56"/>
      <c r="Y311" s="138"/>
    </row>
    <row r="312">
      <c r="A312" s="56"/>
      <c r="B312" s="56"/>
      <c r="C312" s="108" t="str">
        <f>IFNA(VLOOKUP('Dashboard-Dados'!B312,'Dashboard-Dados'!$Y$2:$AA$13,2),"")</f>
        <v/>
      </c>
      <c r="D312" s="109">
        <f>IFERROR(GETPIVOTDATA("Valor Recebido",'Dashboard-Dados'!$J$1,$A$1,A312,$B$1,B312),0)</f>
        <v>0</v>
      </c>
      <c r="E312" s="110">
        <f>IFERROR(GETPIVOTDATA("Valor Despesa",'Dashboard-Dados'!$P$1,$A$1,A312,$B$1,B312),0)</f>
        <v>0</v>
      </c>
      <c r="F312" s="110">
        <f t="shared" si="1"/>
        <v>0</v>
      </c>
      <c r="G312" s="56">
        <f>IFERROR(GETPIVOTDATA("Exame",'Dashboard-Dados'!$J$1,$A$1,A312,$B$1,B312),0)</f>
        <v>0</v>
      </c>
      <c r="H312" s="56">
        <f t="shared" si="2"/>
        <v>312</v>
      </c>
      <c r="U312" s="56"/>
      <c r="V312" s="56"/>
      <c r="W312" s="56"/>
      <c r="Y312" s="138"/>
    </row>
    <row r="313">
      <c r="A313" s="56"/>
      <c r="B313" s="56"/>
      <c r="C313" s="108" t="str">
        <f>IFNA(VLOOKUP('Dashboard-Dados'!B313,'Dashboard-Dados'!$Y$2:$AA$13,2),"")</f>
        <v/>
      </c>
      <c r="D313" s="109">
        <f>IFERROR(GETPIVOTDATA("Valor Recebido",'Dashboard-Dados'!$J$1,$A$1,A313,$B$1,B313),0)</f>
        <v>0</v>
      </c>
      <c r="E313" s="110">
        <f>IFERROR(GETPIVOTDATA("Valor Despesa",'Dashboard-Dados'!$P$1,$A$1,A313,$B$1,B313),0)</f>
        <v>0</v>
      </c>
      <c r="F313" s="110">
        <f t="shared" si="1"/>
        <v>0</v>
      </c>
      <c r="G313" s="56">
        <f>IFERROR(GETPIVOTDATA("Exame",'Dashboard-Dados'!$J$1,$A$1,A313,$B$1,B313),0)</f>
        <v>0</v>
      </c>
      <c r="H313" s="56">
        <f t="shared" si="2"/>
        <v>313</v>
      </c>
      <c r="U313" s="56"/>
      <c r="V313" s="56"/>
      <c r="W313" s="56"/>
      <c r="Y313" s="138"/>
    </row>
    <row r="314">
      <c r="A314" s="56"/>
      <c r="B314" s="56"/>
      <c r="C314" s="108" t="str">
        <f>IFNA(VLOOKUP('Dashboard-Dados'!B314,'Dashboard-Dados'!$Y$2:$AA$13,2),"")</f>
        <v/>
      </c>
      <c r="D314" s="109">
        <f>IFERROR(GETPIVOTDATA("Valor Recebido",'Dashboard-Dados'!$J$1,$A$1,A314,$B$1,B314),0)</f>
        <v>0</v>
      </c>
      <c r="E314" s="110">
        <f>IFERROR(GETPIVOTDATA("Valor Despesa",'Dashboard-Dados'!$P$1,$A$1,A314,$B$1,B314),0)</f>
        <v>0</v>
      </c>
      <c r="F314" s="110">
        <f t="shared" si="1"/>
        <v>0</v>
      </c>
      <c r="G314" s="56">
        <f>IFERROR(GETPIVOTDATA("Exame",'Dashboard-Dados'!$J$1,$A$1,A314,$B$1,B314),0)</f>
        <v>0</v>
      </c>
      <c r="H314" s="56">
        <f t="shared" si="2"/>
        <v>314</v>
      </c>
      <c r="U314" s="56"/>
      <c r="V314" s="56"/>
      <c r="W314" s="56"/>
      <c r="Y314" s="138"/>
    </row>
    <row r="315">
      <c r="A315" s="56"/>
      <c r="B315" s="56"/>
      <c r="C315" s="108" t="str">
        <f>IFNA(VLOOKUP('Dashboard-Dados'!B315,'Dashboard-Dados'!$Y$2:$AA$13,2),"")</f>
        <v/>
      </c>
      <c r="D315" s="109">
        <f>IFERROR(GETPIVOTDATA("Valor Recebido",'Dashboard-Dados'!$J$1,$A$1,A315,$B$1,B315),0)</f>
        <v>0</v>
      </c>
      <c r="E315" s="110">
        <f>IFERROR(GETPIVOTDATA("Valor Despesa",'Dashboard-Dados'!$P$1,$A$1,A315,$B$1,B315),0)</f>
        <v>0</v>
      </c>
      <c r="F315" s="110">
        <f t="shared" si="1"/>
        <v>0</v>
      </c>
      <c r="G315" s="56">
        <f>IFERROR(GETPIVOTDATA("Exame",'Dashboard-Dados'!$J$1,$A$1,A315,$B$1,B315),0)</f>
        <v>0</v>
      </c>
      <c r="H315" s="56">
        <f t="shared" si="2"/>
        <v>315</v>
      </c>
      <c r="U315" s="56"/>
      <c r="V315" s="56"/>
      <c r="W315" s="56"/>
      <c r="Y315" s="138"/>
    </row>
    <row r="316">
      <c r="A316" s="56"/>
      <c r="B316" s="56"/>
      <c r="C316" s="108" t="str">
        <f>IFNA(VLOOKUP('Dashboard-Dados'!B316,'Dashboard-Dados'!$Y$2:$AA$13,2),"")</f>
        <v/>
      </c>
      <c r="D316" s="109">
        <f>IFERROR(GETPIVOTDATA("Valor Recebido",'Dashboard-Dados'!$J$1,$A$1,A316,$B$1,B316),0)</f>
        <v>0</v>
      </c>
      <c r="E316" s="110">
        <f>IFERROR(GETPIVOTDATA("Valor Despesa",'Dashboard-Dados'!$P$1,$A$1,A316,$B$1,B316),0)</f>
        <v>0</v>
      </c>
      <c r="F316" s="110">
        <f t="shared" si="1"/>
        <v>0</v>
      </c>
      <c r="G316" s="56">
        <f>IFERROR(GETPIVOTDATA("Exame",'Dashboard-Dados'!$J$1,$A$1,A316,$B$1,B316),0)</f>
        <v>0</v>
      </c>
      <c r="H316" s="56">
        <f t="shared" si="2"/>
        <v>316</v>
      </c>
      <c r="U316" s="56"/>
      <c r="V316" s="56"/>
      <c r="W316" s="56"/>
      <c r="Y316" s="138"/>
    </row>
    <row r="317">
      <c r="A317" s="56"/>
      <c r="B317" s="56"/>
      <c r="C317" s="108" t="str">
        <f>IFNA(VLOOKUP('Dashboard-Dados'!B317,'Dashboard-Dados'!$Y$2:$AA$13,2),"")</f>
        <v/>
      </c>
      <c r="D317" s="109">
        <f>IFERROR(GETPIVOTDATA("Valor Recebido",'Dashboard-Dados'!$J$1,$A$1,A317,$B$1,B317),0)</f>
        <v>0</v>
      </c>
      <c r="E317" s="110">
        <f>IFERROR(GETPIVOTDATA("Valor Despesa",'Dashboard-Dados'!$P$1,$A$1,A317,$B$1,B317),0)</f>
        <v>0</v>
      </c>
      <c r="F317" s="110">
        <f t="shared" si="1"/>
        <v>0</v>
      </c>
      <c r="G317" s="56">
        <f>IFERROR(GETPIVOTDATA("Exame",'Dashboard-Dados'!$J$1,$A$1,A317,$B$1,B317),0)</f>
        <v>0</v>
      </c>
      <c r="H317" s="56">
        <f t="shared" si="2"/>
        <v>317</v>
      </c>
      <c r="U317" s="56"/>
      <c r="V317" s="56"/>
      <c r="W317" s="56"/>
      <c r="Y317" s="138"/>
    </row>
    <row r="318">
      <c r="A318" s="56"/>
      <c r="B318" s="56"/>
      <c r="C318" s="108" t="str">
        <f>IFNA(VLOOKUP('Dashboard-Dados'!B318,'Dashboard-Dados'!$Y$2:$AA$13,2),"")</f>
        <v/>
      </c>
      <c r="D318" s="109">
        <f>IFERROR(GETPIVOTDATA("Valor Recebido",'Dashboard-Dados'!$J$1,$A$1,A318,$B$1,B318),0)</f>
        <v>0</v>
      </c>
      <c r="E318" s="110">
        <f>IFERROR(GETPIVOTDATA("Valor Despesa",'Dashboard-Dados'!$P$1,$A$1,A318,$B$1,B318),0)</f>
        <v>0</v>
      </c>
      <c r="F318" s="110">
        <f t="shared" si="1"/>
        <v>0</v>
      </c>
      <c r="G318" s="56">
        <f>IFERROR(GETPIVOTDATA("Exame",'Dashboard-Dados'!$J$1,$A$1,A318,$B$1,B318),0)</f>
        <v>0</v>
      </c>
      <c r="H318" s="56">
        <f t="shared" si="2"/>
        <v>318</v>
      </c>
      <c r="U318" s="56"/>
      <c r="V318" s="56"/>
      <c r="W318" s="56"/>
      <c r="Y318" s="138"/>
    </row>
    <row r="319">
      <c r="A319" s="56"/>
      <c r="B319" s="56"/>
      <c r="C319" s="108" t="str">
        <f>IFNA(VLOOKUP('Dashboard-Dados'!B319,'Dashboard-Dados'!$Y$2:$AA$13,2),"")</f>
        <v/>
      </c>
      <c r="D319" s="109">
        <f>IFERROR(GETPIVOTDATA("Valor Recebido",'Dashboard-Dados'!$J$1,$A$1,A319,$B$1,B319),0)</f>
        <v>0</v>
      </c>
      <c r="E319" s="110">
        <f>IFERROR(GETPIVOTDATA("Valor Despesa",'Dashboard-Dados'!$P$1,$A$1,A319,$B$1,B319),0)</f>
        <v>0</v>
      </c>
      <c r="F319" s="110">
        <f t="shared" si="1"/>
        <v>0</v>
      </c>
      <c r="G319" s="56">
        <f>IFERROR(GETPIVOTDATA("Exame",'Dashboard-Dados'!$J$1,$A$1,A319,$B$1,B319),0)</f>
        <v>0</v>
      </c>
      <c r="H319" s="56">
        <f t="shared" si="2"/>
        <v>319</v>
      </c>
      <c r="U319" s="56"/>
      <c r="V319" s="56"/>
      <c r="W319" s="56"/>
      <c r="Y319" s="138"/>
    </row>
    <row r="320">
      <c r="A320" s="56"/>
      <c r="B320" s="56"/>
      <c r="C320" s="108" t="str">
        <f>IFNA(VLOOKUP('Dashboard-Dados'!B320,'Dashboard-Dados'!$Y$2:$AA$13,2),"")</f>
        <v/>
      </c>
      <c r="D320" s="109">
        <f>IFERROR(GETPIVOTDATA("Valor Recebido",'Dashboard-Dados'!$J$1,$A$1,A320,$B$1,B320),0)</f>
        <v>0</v>
      </c>
      <c r="E320" s="110">
        <f>IFERROR(GETPIVOTDATA("Valor Despesa",'Dashboard-Dados'!$P$1,$A$1,A320,$B$1,B320),0)</f>
        <v>0</v>
      </c>
      <c r="F320" s="110">
        <f t="shared" si="1"/>
        <v>0</v>
      </c>
      <c r="G320" s="56">
        <f>IFERROR(GETPIVOTDATA("Exame",'Dashboard-Dados'!$J$1,$A$1,A320,$B$1,B320),0)</f>
        <v>0</v>
      </c>
      <c r="H320" s="56">
        <f t="shared" si="2"/>
        <v>320</v>
      </c>
      <c r="U320" s="56"/>
      <c r="V320" s="56"/>
      <c r="W320" s="56"/>
      <c r="Y320" s="138"/>
    </row>
    <row r="321">
      <c r="A321" s="56"/>
      <c r="B321" s="56"/>
      <c r="C321" s="108" t="str">
        <f>IFNA(VLOOKUP('Dashboard-Dados'!B321,'Dashboard-Dados'!$Y$2:$AA$13,2),"")</f>
        <v/>
      </c>
      <c r="D321" s="109">
        <f>IFERROR(GETPIVOTDATA("Valor Recebido",'Dashboard-Dados'!$J$1,$A$1,A321,$B$1,B321),0)</f>
        <v>0</v>
      </c>
      <c r="E321" s="110">
        <f>IFERROR(GETPIVOTDATA("Valor Despesa",'Dashboard-Dados'!$P$1,$A$1,A321,$B$1,B321),0)</f>
        <v>0</v>
      </c>
      <c r="F321" s="110">
        <f t="shared" si="1"/>
        <v>0</v>
      </c>
      <c r="G321" s="56">
        <f>IFERROR(GETPIVOTDATA("Exame",'Dashboard-Dados'!$J$1,$A$1,A321,$B$1,B321),0)</f>
        <v>0</v>
      </c>
      <c r="H321" s="56">
        <f t="shared" si="2"/>
        <v>321</v>
      </c>
      <c r="U321" s="56"/>
      <c r="V321" s="56"/>
      <c r="W321" s="56"/>
      <c r="Y321" s="138"/>
    </row>
    <row r="322">
      <c r="A322" s="56"/>
      <c r="B322" s="56"/>
      <c r="C322" s="108" t="str">
        <f>IFNA(VLOOKUP('Dashboard-Dados'!B322,'Dashboard-Dados'!$Y$2:$AA$13,2),"")</f>
        <v/>
      </c>
      <c r="D322" s="109">
        <f>IFERROR(GETPIVOTDATA("Valor Recebido",'Dashboard-Dados'!$J$1,$A$1,A322,$B$1,B322),0)</f>
        <v>0</v>
      </c>
      <c r="E322" s="110">
        <f>IFERROR(GETPIVOTDATA("Valor Despesa",'Dashboard-Dados'!$P$1,$A$1,A322,$B$1,B322),0)</f>
        <v>0</v>
      </c>
      <c r="F322" s="110">
        <f t="shared" si="1"/>
        <v>0</v>
      </c>
      <c r="G322" s="56">
        <f>IFERROR(GETPIVOTDATA("Exame",'Dashboard-Dados'!$J$1,$A$1,A322,$B$1,B322),0)</f>
        <v>0</v>
      </c>
      <c r="H322" s="56">
        <f t="shared" si="2"/>
        <v>322</v>
      </c>
      <c r="U322" s="56"/>
      <c r="V322" s="56"/>
      <c r="W322" s="56"/>
      <c r="Y322" s="138"/>
    </row>
    <row r="323">
      <c r="A323" s="56"/>
      <c r="B323" s="56"/>
      <c r="C323" s="108" t="str">
        <f>IFNA(VLOOKUP('Dashboard-Dados'!B323,'Dashboard-Dados'!$Y$2:$AA$13,2),"")</f>
        <v/>
      </c>
      <c r="D323" s="109">
        <f>IFERROR(GETPIVOTDATA("Valor Recebido",'Dashboard-Dados'!$J$1,$A$1,A323,$B$1,B323),0)</f>
        <v>0</v>
      </c>
      <c r="E323" s="110">
        <f>IFERROR(GETPIVOTDATA("Valor Despesa",'Dashboard-Dados'!$P$1,$A$1,A323,$B$1,B323),0)</f>
        <v>0</v>
      </c>
      <c r="F323" s="110">
        <f t="shared" si="1"/>
        <v>0</v>
      </c>
      <c r="G323" s="56">
        <f>IFERROR(GETPIVOTDATA("Exame",'Dashboard-Dados'!$J$1,$A$1,A323,$B$1,B323),0)</f>
        <v>0</v>
      </c>
      <c r="H323" s="56">
        <f t="shared" si="2"/>
        <v>323</v>
      </c>
      <c r="U323" s="56"/>
      <c r="V323" s="56"/>
      <c r="W323" s="56"/>
      <c r="Y323" s="138"/>
    </row>
    <row r="324">
      <c r="A324" s="56"/>
      <c r="B324" s="56"/>
      <c r="C324" s="108" t="str">
        <f>IFNA(VLOOKUP('Dashboard-Dados'!B324,'Dashboard-Dados'!$Y$2:$AA$13,2),"")</f>
        <v/>
      </c>
      <c r="D324" s="109">
        <f>IFERROR(GETPIVOTDATA("Valor Recebido",'Dashboard-Dados'!$J$1,$A$1,A324,$B$1,B324),0)</f>
        <v>0</v>
      </c>
      <c r="E324" s="110">
        <f>IFERROR(GETPIVOTDATA("Valor Despesa",'Dashboard-Dados'!$P$1,$A$1,A324,$B$1,B324),0)</f>
        <v>0</v>
      </c>
      <c r="F324" s="110">
        <f t="shared" si="1"/>
        <v>0</v>
      </c>
      <c r="G324" s="56">
        <f>IFERROR(GETPIVOTDATA("Exame",'Dashboard-Dados'!$J$1,$A$1,A324,$B$1,B324),0)</f>
        <v>0</v>
      </c>
      <c r="H324" s="56">
        <f t="shared" si="2"/>
        <v>324</v>
      </c>
      <c r="U324" s="56"/>
      <c r="V324" s="56"/>
      <c r="W324" s="56"/>
      <c r="Y324" s="138"/>
    </row>
    <row r="325">
      <c r="A325" s="56"/>
      <c r="B325" s="56"/>
      <c r="C325" s="108" t="str">
        <f>IFNA(VLOOKUP('Dashboard-Dados'!B325,'Dashboard-Dados'!$Y$2:$AA$13,2),"")</f>
        <v/>
      </c>
      <c r="D325" s="109">
        <f>IFERROR(GETPIVOTDATA("Valor Recebido",'Dashboard-Dados'!$J$1,$A$1,A325,$B$1,B325),0)</f>
        <v>0</v>
      </c>
      <c r="E325" s="110">
        <f>IFERROR(GETPIVOTDATA("Valor Despesa",'Dashboard-Dados'!$P$1,$A$1,A325,$B$1,B325),0)</f>
        <v>0</v>
      </c>
      <c r="F325" s="110">
        <f t="shared" si="1"/>
        <v>0</v>
      </c>
      <c r="G325" s="56">
        <f>IFERROR(GETPIVOTDATA("Exame",'Dashboard-Dados'!$J$1,$A$1,A325,$B$1,B325),0)</f>
        <v>0</v>
      </c>
      <c r="H325" s="56">
        <f t="shared" si="2"/>
        <v>325</v>
      </c>
      <c r="U325" s="56"/>
      <c r="V325" s="56"/>
      <c r="W325" s="56"/>
      <c r="Y325" s="138"/>
    </row>
    <row r="326">
      <c r="A326" s="56"/>
      <c r="B326" s="56"/>
      <c r="C326" s="108" t="str">
        <f>IFNA(VLOOKUP('Dashboard-Dados'!B326,'Dashboard-Dados'!$Y$2:$AA$13,2),"")</f>
        <v/>
      </c>
      <c r="D326" s="109">
        <f>IFERROR(GETPIVOTDATA("Valor Recebido",'Dashboard-Dados'!$J$1,$A$1,A326,$B$1,B326),0)</f>
        <v>0</v>
      </c>
      <c r="E326" s="110">
        <f>IFERROR(GETPIVOTDATA("Valor Despesa",'Dashboard-Dados'!$P$1,$A$1,A326,$B$1,B326),0)</f>
        <v>0</v>
      </c>
      <c r="F326" s="110">
        <f t="shared" si="1"/>
        <v>0</v>
      </c>
      <c r="G326" s="56">
        <f>IFERROR(GETPIVOTDATA("Exame",'Dashboard-Dados'!$J$1,$A$1,A326,$B$1,B326),0)</f>
        <v>0</v>
      </c>
      <c r="H326" s="56">
        <f t="shared" si="2"/>
        <v>326</v>
      </c>
      <c r="U326" s="56"/>
      <c r="V326" s="56"/>
      <c r="W326" s="56"/>
      <c r="Y326" s="138"/>
    </row>
    <row r="327">
      <c r="A327" s="56"/>
      <c r="B327" s="56"/>
      <c r="C327" s="108" t="str">
        <f>IFNA(VLOOKUP('Dashboard-Dados'!B327,'Dashboard-Dados'!$Y$2:$AA$13,2),"")</f>
        <v/>
      </c>
      <c r="D327" s="109">
        <f>IFERROR(GETPIVOTDATA("Valor Recebido",'Dashboard-Dados'!$J$1,$A$1,A327,$B$1,B327),0)</f>
        <v>0</v>
      </c>
      <c r="E327" s="110">
        <f>IFERROR(GETPIVOTDATA("Valor Despesa",'Dashboard-Dados'!$P$1,$A$1,A327,$B$1,B327),0)</f>
        <v>0</v>
      </c>
      <c r="F327" s="110">
        <f t="shared" si="1"/>
        <v>0</v>
      </c>
      <c r="G327" s="56">
        <f>IFERROR(GETPIVOTDATA("Exame",'Dashboard-Dados'!$J$1,$A$1,A327,$B$1,B327),0)</f>
        <v>0</v>
      </c>
      <c r="H327" s="56">
        <f t="shared" si="2"/>
        <v>327</v>
      </c>
      <c r="U327" s="56"/>
      <c r="V327" s="56"/>
      <c r="W327" s="56"/>
      <c r="Y327" s="138"/>
    </row>
    <row r="328">
      <c r="A328" s="56"/>
      <c r="B328" s="56"/>
      <c r="C328" s="108" t="str">
        <f>IFNA(VLOOKUP('Dashboard-Dados'!B328,'Dashboard-Dados'!$Y$2:$AA$13,2),"")</f>
        <v/>
      </c>
      <c r="D328" s="109">
        <f>IFERROR(GETPIVOTDATA("Valor Recebido",'Dashboard-Dados'!$J$1,$A$1,A328,$B$1,B328),0)</f>
        <v>0</v>
      </c>
      <c r="E328" s="110">
        <f>IFERROR(GETPIVOTDATA("Valor Despesa",'Dashboard-Dados'!$P$1,$A$1,A328,$B$1,B328),0)</f>
        <v>0</v>
      </c>
      <c r="F328" s="110">
        <f t="shared" si="1"/>
        <v>0</v>
      </c>
      <c r="G328" s="56">
        <f>IFERROR(GETPIVOTDATA("Exame",'Dashboard-Dados'!$J$1,$A$1,A328,$B$1,B328),0)</f>
        <v>0</v>
      </c>
      <c r="H328" s="56">
        <f t="shared" si="2"/>
        <v>328</v>
      </c>
      <c r="U328" s="56"/>
      <c r="V328" s="56"/>
      <c r="W328" s="56"/>
      <c r="Y328" s="138"/>
    </row>
    <row r="329">
      <c r="A329" s="56"/>
      <c r="B329" s="56"/>
      <c r="C329" s="108" t="str">
        <f>IFNA(VLOOKUP('Dashboard-Dados'!B329,'Dashboard-Dados'!$Y$2:$AA$13,2),"")</f>
        <v/>
      </c>
      <c r="D329" s="109">
        <f>IFERROR(GETPIVOTDATA("Valor Recebido",'Dashboard-Dados'!$J$1,$A$1,A329,$B$1,B329),0)</f>
        <v>0</v>
      </c>
      <c r="E329" s="110">
        <f>IFERROR(GETPIVOTDATA("Valor Despesa",'Dashboard-Dados'!$P$1,$A$1,A329,$B$1,B329),0)</f>
        <v>0</v>
      </c>
      <c r="F329" s="110">
        <f t="shared" si="1"/>
        <v>0</v>
      </c>
      <c r="G329" s="56">
        <f>IFERROR(GETPIVOTDATA("Exame",'Dashboard-Dados'!$J$1,$A$1,A329,$B$1,B329),0)</f>
        <v>0</v>
      </c>
      <c r="H329" s="56">
        <f t="shared" si="2"/>
        <v>329</v>
      </c>
      <c r="U329" s="56"/>
      <c r="V329" s="56"/>
      <c r="W329" s="56"/>
      <c r="Y329" s="138"/>
    </row>
    <row r="330">
      <c r="A330" s="56"/>
      <c r="B330" s="56"/>
      <c r="C330" s="108" t="str">
        <f>IFNA(VLOOKUP('Dashboard-Dados'!B330,'Dashboard-Dados'!$Y$2:$AA$13,2),"")</f>
        <v/>
      </c>
      <c r="D330" s="109">
        <f>IFERROR(GETPIVOTDATA("Valor Recebido",'Dashboard-Dados'!$J$1,$A$1,A330,$B$1,B330),0)</f>
        <v>0</v>
      </c>
      <c r="E330" s="110">
        <f>IFERROR(GETPIVOTDATA("Valor Despesa",'Dashboard-Dados'!$P$1,$A$1,A330,$B$1,B330),0)</f>
        <v>0</v>
      </c>
      <c r="F330" s="110">
        <f t="shared" si="1"/>
        <v>0</v>
      </c>
      <c r="G330" s="56">
        <f>IFERROR(GETPIVOTDATA("Exame",'Dashboard-Dados'!$J$1,$A$1,A330,$B$1,B330),0)</f>
        <v>0</v>
      </c>
      <c r="H330" s="56">
        <f t="shared" si="2"/>
        <v>330</v>
      </c>
      <c r="U330" s="56"/>
      <c r="V330" s="56"/>
      <c r="W330" s="56"/>
      <c r="Y330" s="138"/>
    </row>
    <row r="331">
      <c r="A331" s="56"/>
      <c r="B331" s="56"/>
      <c r="C331" s="108" t="str">
        <f>IFNA(VLOOKUP('Dashboard-Dados'!B331,'Dashboard-Dados'!$Y$2:$AA$13,2),"")</f>
        <v/>
      </c>
      <c r="D331" s="109">
        <f>IFERROR(GETPIVOTDATA("Valor Recebido",'Dashboard-Dados'!$J$1,$A$1,A331,$B$1,B331),0)</f>
        <v>0</v>
      </c>
      <c r="E331" s="110">
        <f>IFERROR(GETPIVOTDATA("Valor Despesa",'Dashboard-Dados'!$P$1,$A$1,A331,$B$1,B331),0)</f>
        <v>0</v>
      </c>
      <c r="F331" s="110">
        <f t="shared" si="1"/>
        <v>0</v>
      </c>
      <c r="G331" s="56">
        <f>IFERROR(GETPIVOTDATA("Exame",'Dashboard-Dados'!$J$1,$A$1,A331,$B$1,B331),0)</f>
        <v>0</v>
      </c>
      <c r="H331" s="56">
        <f t="shared" si="2"/>
        <v>331</v>
      </c>
      <c r="U331" s="56"/>
      <c r="V331" s="56"/>
      <c r="W331" s="56"/>
      <c r="Y331" s="138"/>
    </row>
    <row r="332">
      <c r="A332" s="56"/>
      <c r="B332" s="56"/>
      <c r="C332" s="108" t="str">
        <f>IFNA(VLOOKUP('Dashboard-Dados'!B332,'Dashboard-Dados'!$Y$2:$AA$13,2),"")</f>
        <v/>
      </c>
      <c r="D332" s="109">
        <f>IFERROR(GETPIVOTDATA("Valor Recebido",'Dashboard-Dados'!$J$1,$A$1,A332,$B$1,B332),0)</f>
        <v>0</v>
      </c>
      <c r="E332" s="110">
        <f>IFERROR(GETPIVOTDATA("Valor Despesa",'Dashboard-Dados'!$P$1,$A$1,A332,$B$1,B332),0)</f>
        <v>0</v>
      </c>
      <c r="F332" s="110">
        <f t="shared" si="1"/>
        <v>0</v>
      </c>
      <c r="G332" s="56">
        <f>IFERROR(GETPIVOTDATA("Exame",'Dashboard-Dados'!$J$1,$A$1,A332,$B$1,B332),0)</f>
        <v>0</v>
      </c>
      <c r="H332" s="56">
        <f t="shared" si="2"/>
        <v>332</v>
      </c>
      <c r="U332" s="56"/>
      <c r="V332" s="56"/>
      <c r="W332" s="56"/>
      <c r="Y332" s="138"/>
    </row>
    <row r="333">
      <c r="A333" s="56"/>
      <c r="B333" s="56"/>
      <c r="C333" s="108" t="str">
        <f>IFNA(VLOOKUP('Dashboard-Dados'!B333,'Dashboard-Dados'!$Y$2:$AA$13,2),"")</f>
        <v/>
      </c>
      <c r="D333" s="109">
        <f>IFERROR(GETPIVOTDATA("Valor Recebido",'Dashboard-Dados'!$J$1,$A$1,A333,$B$1,B333),0)</f>
        <v>0</v>
      </c>
      <c r="E333" s="110">
        <f>IFERROR(GETPIVOTDATA("Valor Despesa",'Dashboard-Dados'!$P$1,$A$1,A333,$B$1,B333),0)</f>
        <v>0</v>
      </c>
      <c r="F333" s="110">
        <f t="shared" si="1"/>
        <v>0</v>
      </c>
      <c r="G333" s="56">
        <f>IFERROR(GETPIVOTDATA("Exame",'Dashboard-Dados'!$J$1,$A$1,A333,$B$1,B333),0)</f>
        <v>0</v>
      </c>
      <c r="H333" s="56">
        <f t="shared" si="2"/>
        <v>333</v>
      </c>
      <c r="U333" s="56"/>
      <c r="V333" s="56"/>
      <c r="W333" s="56"/>
      <c r="Y333" s="138"/>
    </row>
    <row r="334">
      <c r="A334" s="56"/>
      <c r="B334" s="56"/>
      <c r="C334" s="108" t="str">
        <f>IFNA(VLOOKUP('Dashboard-Dados'!B334,'Dashboard-Dados'!$Y$2:$AA$13,2),"")</f>
        <v/>
      </c>
      <c r="D334" s="109">
        <f>IFERROR(GETPIVOTDATA("Valor Recebido",'Dashboard-Dados'!$J$1,$A$1,A334,$B$1,B334),0)</f>
        <v>0</v>
      </c>
      <c r="E334" s="110">
        <f>IFERROR(GETPIVOTDATA("Valor Despesa",'Dashboard-Dados'!$P$1,$A$1,A334,$B$1,B334),0)</f>
        <v>0</v>
      </c>
      <c r="F334" s="110">
        <f t="shared" si="1"/>
        <v>0</v>
      </c>
      <c r="G334" s="56">
        <f>IFERROR(GETPIVOTDATA("Exame",'Dashboard-Dados'!$J$1,$A$1,A334,$B$1,B334),0)</f>
        <v>0</v>
      </c>
      <c r="H334" s="56">
        <f t="shared" si="2"/>
        <v>334</v>
      </c>
      <c r="U334" s="56"/>
      <c r="V334" s="56"/>
      <c r="W334" s="56"/>
      <c r="Y334" s="138"/>
    </row>
    <row r="335">
      <c r="A335" s="56"/>
      <c r="B335" s="56"/>
      <c r="C335" s="108" t="str">
        <f>IFNA(VLOOKUP('Dashboard-Dados'!B335,'Dashboard-Dados'!$Y$2:$AA$13,2),"")</f>
        <v/>
      </c>
      <c r="D335" s="109">
        <f>IFERROR(GETPIVOTDATA("Valor Recebido",'Dashboard-Dados'!$J$1,$A$1,A335,$B$1,B335),0)</f>
        <v>0</v>
      </c>
      <c r="E335" s="110">
        <f>IFERROR(GETPIVOTDATA("Valor Despesa",'Dashboard-Dados'!$P$1,$A$1,A335,$B$1,B335),0)</f>
        <v>0</v>
      </c>
      <c r="F335" s="110">
        <f t="shared" si="1"/>
        <v>0</v>
      </c>
      <c r="G335" s="56">
        <f>IFERROR(GETPIVOTDATA("Exame",'Dashboard-Dados'!$J$1,$A$1,A335,$B$1,B335),0)</f>
        <v>0</v>
      </c>
      <c r="H335" s="56">
        <f t="shared" si="2"/>
        <v>335</v>
      </c>
      <c r="U335" s="56"/>
      <c r="V335" s="56"/>
      <c r="W335" s="56"/>
      <c r="Y335" s="138"/>
    </row>
    <row r="336">
      <c r="A336" s="56"/>
      <c r="B336" s="56"/>
      <c r="C336" s="108" t="str">
        <f>IFNA(VLOOKUP('Dashboard-Dados'!B336,'Dashboard-Dados'!$Y$2:$AA$13,2),"")</f>
        <v/>
      </c>
      <c r="D336" s="109">
        <f>IFERROR(GETPIVOTDATA("Valor Recebido",'Dashboard-Dados'!$J$1,$A$1,A336,$B$1,B336),0)</f>
        <v>0</v>
      </c>
      <c r="E336" s="110">
        <f>IFERROR(GETPIVOTDATA("Valor Despesa",'Dashboard-Dados'!$P$1,$A$1,A336,$B$1,B336),0)</f>
        <v>0</v>
      </c>
      <c r="F336" s="110">
        <f t="shared" si="1"/>
        <v>0</v>
      </c>
      <c r="G336" s="56">
        <f>IFERROR(GETPIVOTDATA("Exame",'Dashboard-Dados'!$J$1,$A$1,A336,$B$1,B336),0)</f>
        <v>0</v>
      </c>
      <c r="H336" s="56">
        <f t="shared" si="2"/>
        <v>336</v>
      </c>
      <c r="U336" s="56"/>
      <c r="V336" s="56"/>
      <c r="W336" s="56"/>
      <c r="Y336" s="138"/>
    </row>
    <row r="337">
      <c r="A337" s="56"/>
      <c r="B337" s="56"/>
      <c r="C337" s="108" t="str">
        <f>IFNA(VLOOKUP('Dashboard-Dados'!B337,'Dashboard-Dados'!$Y$2:$AA$13,2),"")</f>
        <v/>
      </c>
      <c r="D337" s="109">
        <f>IFERROR(GETPIVOTDATA("Valor Recebido",'Dashboard-Dados'!$J$1,$A$1,A337,$B$1,B337),0)</f>
        <v>0</v>
      </c>
      <c r="E337" s="110">
        <f>IFERROR(GETPIVOTDATA("Valor Despesa",'Dashboard-Dados'!$P$1,$A$1,A337,$B$1,B337),0)</f>
        <v>0</v>
      </c>
      <c r="F337" s="110">
        <f t="shared" si="1"/>
        <v>0</v>
      </c>
      <c r="G337" s="56">
        <f>IFERROR(GETPIVOTDATA("Exame",'Dashboard-Dados'!$J$1,$A$1,A337,$B$1,B337),0)</f>
        <v>0</v>
      </c>
      <c r="H337" s="56">
        <f t="shared" si="2"/>
        <v>337</v>
      </c>
      <c r="U337" s="56"/>
      <c r="V337" s="56"/>
      <c r="W337" s="56"/>
      <c r="Y337" s="138"/>
    </row>
    <row r="338">
      <c r="A338" s="56"/>
      <c r="B338" s="56"/>
      <c r="C338" s="108" t="str">
        <f>IFNA(VLOOKUP('Dashboard-Dados'!B338,'Dashboard-Dados'!$Y$2:$AA$13,2),"")</f>
        <v/>
      </c>
      <c r="D338" s="109">
        <f>IFERROR(GETPIVOTDATA("Valor Recebido",'Dashboard-Dados'!$J$1,$A$1,A338,$B$1,B338),0)</f>
        <v>0</v>
      </c>
      <c r="E338" s="110">
        <f>IFERROR(GETPIVOTDATA("Valor Despesa",'Dashboard-Dados'!$P$1,$A$1,A338,$B$1,B338),0)</f>
        <v>0</v>
      </c>
      <c r="F338" s="110">
        <f t="shared" si="1"/>
        <v>0</v>
      </c>
      <c r="G338" s="56">
        <f>IFERROR(GETPIVOTDATA("Exame",'Dashboard-Dados'!$J$1,$A$1,A338,$B$1,B338),0)</f>
        <v>0</v>
      </c>
      <c r="H338" s="56">
        <f t="shared" si="2"/>
        <v>338</v>
      </c>
      <c r="U338" s="56"/>
      <c r="V338" s="56"/>
      <c r="W338" s="56"/>
      <c r="Y338" s="138"/>
    </row>
    <row r="339">
      <c r="A339" s="56"/>
      <c r="B339" s="56"/>
      <c r="C339" s="108" t="str">
        <f>IFNA(VLOOKUP('Dashboard-Dados'!B339,'Dashboard-Dados'!$Y$2:$AA$13,2),"")</f>
        <v/>
      </c>
      <c r="D339" s="109">
        <f>IFERROR(GETPIVOTDATA("Valor Recebido",'Dashboard-Dados'!$J$1,$A$1,A339,$B$1,B339),0)</f>
        <v>0</v>
      </c>
      <c r="E339" s="110">
        <f>IFERROR(GETPIVOTDATA("Valor Despesa",'Dashboard-Dados'!$P$1,$A$1,A339,$B$1,B339),0)</f>
        <v>0</v>
      </c>
      <c r="F339" s="110">
        <f t="shared" si="1"/>
        <v>0</v>
      </c>
      <c r="G339" s="56">
        <f>IFERROR(GETPIVOTDATA("Exame",'Dashboard-Dados'!$J$1,$A$1,A339,$B$1,B339),0)</f>
        <v>0</v>
      </c>
      <c r="H339" s="56">
        <f t="shared" si="2"/>
        <v>339</v>
      </c>
      <c r="U339" s="56"/>
      <c r="V339" s="56"/>
      <c r="W339" s="56"/>
      <c r="Y339" s="138"/>
    </row>
    <row r="340">
      <c r="A340" s="56"/>
      <c r="B340" s="56"/>
      <c r="C340" s="108" t="str">
        <f>IFNA(VLOOKUP('Dashboard-Dados'!B340,'Dashboard-Dados'!$Y$2:$AA$13,2),"")</f>
        <v/>
      </c>
      <c r="D340" s="109">
        <f>IFERROR(GETPIVOTDATA("Valor Recebido",'Dashboard-Dados'!$J$1,$A$1,A340,$B$1,B340),0)</f>
        <v>0</v>
      </c>
      <c r="E340" s="110">
        <f>IFERROR(GETPIVOTDATA("Valor Despesa",'Dashboard-Dados'!$P$1,$A$1,A340,$B$1,B340),0)</f>
        <v>0</v>
      </c>
      <c r="F340" s="110">
        <f t="shared" si="1"/>
        <v>0</v>
      </c>
      <c r="G340" s="56">
        <f>IFERROR(GETPIVOTDATA("Exame",'Dashboard-Dados'!$J$1,$A$1,A340,$B$1,B340),0)</f>
        <v>0</v>
      </c>
      <c r="H340" s="56">
        <f t="shared" si="2"/>
        <v>340</v>
      </c>
      <c r="U340" s="56"/>
      <c r="V340" s="56"/>
      <c r="W340" s="56"/>
      <c r="Y340" s="138"/>
    </row>
    <row r="341">
      <c r="A341" s="56"/>
      <c r="B341" s="56"/>
      <c r="C341" s="108" t="str">
        <f>IFNA(VLOOKUP('Dashboard-Dados'!B341,'Dashboard-Dados'!$Y$2:$AA$13,2),"")</f>
        <v/>
      </c>
      <c r="D341" s="109">
        <f>IFERROR(GETPIVOTDATA("Valor Recebido",'Dashboard-Dados'!$J$1,$A$1,A341,$B$1,B341),0)</f>
        <v>0</v>
      </c>
      <c r="E341" s="110">
        <f>IFERROR(GETPIVOTDATA("Valor Despesa",'Dashboard-Dados'!$P$1,$A$1,A341,$B$1,B341),0)</f>
        <v>0</v>
      </c>
      <c r="F341" s="110">
        <f t="shared" si="1"/>
        <v>0</v>
      </c>
      <c r="G341" s="56">
        <f>IFERROR(GETPIVOTDATA("Exame",'Dashboard-Dados'!$J$1,$A$1,A341,$B$1,B341),0)</f>
        <v>0</v>
      </c>
      <c r="H341" s="56">
        <f t="shared" si="2"/>
        <v>341</v>
      </c>
      <c r="U341" s="56"/>
      <c r="V341" s="56"/>
      <c r="W341" s="56"/>
      <c r="Y341" s="138"/>
    </row>
    <row r="342">
      <c r="A342" s="56"/>
      <c r="B342" s="56"/>
      <c r="C342" s="108" t="str">
        <f>IFNA(VLOOKUP('Dashboard-Dados'!B342,'Dashboard-Dados'!$Y$2:$AA$13,2),"")</f>
        <v/>
      </c>
      <c r="D342" s="109">
        <f>IFERROR(GETPIVOTDATA("Valor Recebido",'Dashboard-Dados'!$J$1,$A$1,A342,$B$1,B342),0)</f>
        <v>0</v>
      </c>
      <c r="E342" s="110">
        <f>IFERROR(GETPIVOTDATA("Valor Despesa",'Dashboard-Dados'!$P$1,$A$1,A342,$B$1,B342),0)</f>
        <v>0</v>
      </c>
      <c r="F342" s="110">
        <f t="shared" si="1"/>
        <v>0</v>
      </c>
      <c r="G342" s="56">
        <f>IFERROR(GETPIVOTDATA("Exame",'Dashboard-Dados'!$J$1,$A$1,A342,$B$1,B342),0)</f>
        <v>0</v>
      </c>
      <c r="H342" s="56">
        <f t="shared" si="2"/>
        <v>342</v>
      </c>
      <c r="U342" s="56"/>
      <c r="V342" s="56"/>
      <c r="W342" s="56"/>
      <c r="Y342" s="138"/>
    </row>
    <row r="343">
      <c r="A343" s="56"/>
      <c r="B343" s="56"/>
      <c r="C343" s="108" t="str">
        <f>IFNA(VLOOKUP('Dashboard-Dados'!B343,'Dashboard-Dados'!$Y$2:$AA$13,2),"")</f>
        <v/>
      </c>
      <c r="D343" s="109">
        <f>IFERROR(GETPIVOTDATA("Valor Recebido",'Dashboard-Dados'!$J$1,$A$1,A343,$B$1,B343),0)</f>
        <v>0</v>
      </c>
      <c r="E343" s="110">
        <f>IFERROR(GETPIVOTDATA("Valor Despesa",'Dashboard-Dados'!$P$1,$A$1,A343,$B$1,B343),0)</f>
        <v>0</v>
      </c>
      <c r="F343" s="110">
        <f t="shared" si="1"/>
        <v>0</v>
      </c>
      <c r="G343" s="56">
        <f>IFERROR(GETPIVOTDATA("Exame",'Dashboard-Dados'!$J$1,$A$1,A343,$B$1,B343),0)</f>
        <v>0</v>
      </c>
      <c r="H343" s="56">
        <f t="shared" si="2"/>
        <v>343</v>
      </c>
      <c r="U343" s="56"/>
      <c r="V343" s="56"/>
      <c r="W343" s="56"/>
      <c r="Y343" s="138"/>
    </row>
    <row r="344">
      <c r="A344" s="56"/>
      <c r="B344" s="56"/>
      <c r="C344" s="108" t="str">
        <f>IFNA(VLOOKUP('Dashboard-Dados'!B344,'Dashboard-Dados'!$Y$2:$AA$13,2),"")</f>
        <v/>
      </c>
      <c r="D344" s="109">
        <f>IFERROR(GETPIVOTDATA("Valor Recebido",'Dashboard-Dados'!$J$1,$A$1,A344,$B$1,B344),0)</f>
        <v>0</v>
      </c>
      <c r="E344" s="110">
        <f>IFERROR(GETPIVOTDATA("Valor Despesa",'Dashboard-Dados'!$P$1,$A$1,A344,$B$1,B344),0)</f>
        <v>0</v>
      </c>
      <c r="F344" s="110">
        <f t="shared" si="1"/>
        <v>0</v>
      </c>
      <c r="G344" s="56">
        <f>IFERROR(GETPIVOTDATA("Exame",'Dashboard-Dados'!$J$1,$A$1,A344,$B$1,B344),0)</f>
        <v>0</v>
      </c>
      <c r="H344" s="56">
        <f t="shared" si="2"/>
        <v>344</v>
      </c>
      <c r="U344" s="56"/>
      <c r="V344" s="56"/>
      <c r="W344" s="56"/>
      <c r="Y344" s="138"/>
    </row>
    <row r="345">
      <c r="A345" s="56"/>
      <c r="B345" s="56"/>
      <c r="C345" s="108" t="str">
        <f>IFNA(VLOOKUP('Dashboard-Dados'!B345,'Dashboard-Dados'!$Y$2:$AA$13,2),"")</f>
        <v/>
      </c>
      <c r="D345" s="109">
        <f>IFERROR(GETPIVOTDATA("Valor Recebido",'Dashboard-Dados'!$J$1,$A$1,A345,$B$1,B345),0)</f>
        <v>0</v>
      </c>
      <c r="E345" s="110">
        <f>IFERROR(GETPIVOTDATA("Valor Despesa",'Dashboard-Dados'!$P$1,$A$1,A345,$B$1,B345),0)</f>
        <v>0</v>
      </c>
      <c r="F345" s="110">
        <f t="shared" si="1"/>
        <v>0</v>
      </c>
      <c r="G345" s="56">
        <f>IFERROR(GETPIVOTDATA("Exame",'Dashboard-Dados'!$J$1,$A$1,A345,$B$1,B345),0)</f>
        <v>0</v>
      </c>
      <c r="H345" s="56">
        <f t="shared" si="2"/>
        <v>345</v>
      </c>
      <c r="U345" s="56"/>
      <c r="V345" s="56"/>
      <c r="W345" s="56"/>
      <c r="Y345" s="138"/>
    </row>
    <row r="346">
      <c r="A346" s="56"/>
      <c r="B346" s="56"/>
      <c r="C346" s="108" t="str">
        <f>IFNA(VLOOKUP('Dashboard-Dados'!B346,'Dashboard-Dados'!$Y$2:$AA$13,2),"")</f>
        <v/>
      </c>
      <c r="D346" s="109">
        <f>IFERROR(GETPIVOTDATA("Valor Recebido",'Dashboard-Dados'!$J$1,$A$1,A346,$B$1,B346),0)</f>
        <v>0</v>
      </c>
      <c r="E346" s="110">
        <f>IFERROR(GETPIVOTDATA("Valor Despesa",'Dashboard-Dados'!$P$1,$A$1,A346,$B$1,B346),0)</f>
        <v>0</v>
      </c>
      <c r="F346" s="110">
        <f t="shared" si="1"/>
        <v>0</v>
      </c>
      <c r="G346" s="56">
        <f>IFERROR(GETPIVOTDATA("Exame",'Dashboard-Dados'!$J$1,$A$1,A346,$B$1,B346),0)</f>
        <v>0</v>
      </c>
      <c r="H346" s="56">
        <f t="shared" si="2"/>
        <v>346</v>
      </c>
      <c r="U346" s="56"/>
      <c r="V346" s="56"/>
      <c r="W346" s="56"/>
      <c r="Y346" s="138"/>
    </row>
    <row r="347">
      <c r="A347" s="56"/>
      <c r="B347" s="56"/>
      <c r="C347" s="108" t="str">
        <f>IFNA(VLOOKUP('Dashboard-Dados'!B347,'Dashboard-Dados'!$Y$2:$AA$13,2),"")</f>
        <v/>
      </c>
      <c r="D347" s="109">
        <f>IFERROR(GETPIVOTDATA("Valor Recebido",'Dashboard-Dados'!$J$1,$A$1,A347,$B$1,B347),0)</f>
        <v>0</v>
      </c>
      <c r="E347" s="110">
        <f>IFERROR(GETPIVOTDATA("Valor Despesa",'Dashboard-Dados'!$P$1,$A$1,A347,$B$1,B347),0)</f>
        <v>0</v>
      </c>
      <c r="F347" s="110">
        <f t="shared" si="1"/>
        <v>0</v>
      </c>
      <c r="G347" s="56">
        <f>IFERROR(GETPIVOTDATA("Exame",'Dashboard-Dados'!$J$1,$A$1,A347,$B$1,B347),0)</f>
        <v>0</v>
      </c>
      <c r="H347" s="56">
        <f t="shared" si="2"/>
        <v>347</v>
      </c>
      <c r="U347" s="56"/>
      <c r="V347" s="56"/>
      <c r="W347" s="56"/>
      <c r="Y347" s="138"/>
    </row>
    <row r="348">
      <c r="A348" s="56"/>
      <c r="B348" s="56"/>
      <c r="C348" s="108" t="str">
        <f>IFNA(VLOOKUP('Dashboard-Dados'!B348,'Dashboard-Dados'!$Y$2:$AA$13,2),"")</f>
        <v/>
      </c>
      <c r="D348" s="109">
        <f>IFERROR(GETPIVOTDATA("Valor Recebido",'Dashboard-Dados'!$J$1,$A$1,A348,$B$1,B348),0)</f>
        <v>0</v>
      </c>
      <c r="E348" s="110">
        <f>IFERROR(GETPIVOTDATA("Valor Despesa",'Dashboard-Dados'!$P$1,$A$1,A348,$B$1,B348),0)</f>
        <v>0</v>
      </c>
      <c r="F348" s="110">
        <f t="shared" si="1"/>
        <v>0</v>
      </c>
      <c r="G348" s="56">
        <f>IFERROR(GETPIVOTDATA("Exame",'Dashboard-Dados'!$J$1,$A$1,A348,$B$1,B348),0)</f>
        <v>0</v>
      </c>
      <c r="H348" s="56">
        <f t="shared" si="2"/>
        <v>348</v>
      </c>
      <c r="U348" s="56"/>
      <c r="V348" s="56"/>
      <c r="W348" s="56"/>
      <c r="Y348" s="138"/>
    </row>
    <row r="349">
      <c r="A349" s="56"/>
      <c r="B349" s="56"/>
      <c r="C349" s="108" t="str">
        <f>IFNA(VLOOKUP('Dashboard-Dados'!B349,'Dashboard-Dados'!$Y$2:$AA$13,2),"")</f>
        <v/>
      </c>
      <c r="D349" s="109">
        <f>IFERROR(GETPIVOTDATA("Valor Recebido",'Dashboard-Dados'!$J$1,$A$1,A349,$B$1,B349),0)</f>
        <v>0</v>
      </c>
      <c r="E349" s="110">
        <f>IFERROR(GETPIVOTDATA("Valor Despesa",'Dashboard-Dados'!$P$1,$A$1,A349,$B$1,B349),0)</f>
        <v>0</v>
      </c>
      <c r="F349" s="110">
        <f t="shared" si="1"/>
        <v>0</v>
      </c>
      <c r="G349" s="56">
        <f>IFERROR(GETPIVOTDATA("Exame",'Dashboard-Dados'!$J$1,$A$1,A349,$B$1,B349),0)</f>
        <v>0</v>
      </c>
      <c r="H349" s="56">
        <f t="shared" si="2"/>
        <v>349</v>
      </c>
      <c r="U349" s="56"/>
      <c r="V349" s="56"/>
      <c r="W349" s="56"/>
      <c r="Y349" s="138"/>
    </row>
    <row r="350">
      <c r="A350" s="56"/>
      <c r="B350" s="56"/>
      <c r="C350" s="108" t="str">
        <f>IFNA(VLOOKUP('Dashboard-Dados'!B350,'Dashboard-Dados'!$Y$2:$AA$13,2),"")</f>
        <v/>
      </c>
      <c r="D350" s="109">
        <f>IFERROR(GETPIVOTDATA("Valor Recebido",'Dashboard-Dados'!$J$1,$A$1,A350,$B$1,B350),0)</f>
        <v>0</v>
      </c>
      <c r="E350" s="110">
        <f>IFERROR(GETPIVOTDATA("Valor Despesa",'Dashboard-Dados'!$P$1,$A$1,A350,$B$1,B350),0)</f>
        <v>0</v>
      </c>
      <c r="F350" s="110">
        <f t="shared" si="1"/>
        <v>0</v>
      </c>
      <c r="G350" s="56">
        <f>IFERROR(GETPIVOTDATA("Exame",'Dashboard-Dados'!$J$1,$A$1,A350,$B$1,B350),0)</f>
        <v>0</v>
      </c>
      <c r="H350" s="56">
        <f t="shared" si="2"/>
        <v>350</v>
      </c>
      <c r="U350" s="56"/>
      <c r="V350" s="56"/>
      <c r="W350" s="56"/>
      <c r="Y350" s="138"/>
    </row>
    <row r="351">
      <c r="A351" s="56"/>
      <c r="B351" s="56"/>
      <c r="C351" s="108" t="str">
        <f>IFNA(VLOOKUP('Dashboard-Dados'!B351,'Dashboard-Dados'!$Y$2:$AA$13,2),"")</f>
        <v/>
      </c>
      <c r="D351" s="109">
        <f>IFERROR(GETPIVOTDATA("Valor Recebido",'Dashboard-Dados'!$J$1,$A$1,A351,$B$1,B351),0)</f>
        <v>0</v>
      </c>
      <c r="E351" s="110">
        <f>IFERROR(GETPIVOTDATA("Valor Despesa",'Dashboard-Dados'!$P$1,$A$1,A351,$B$1,B351),0)</f>
        <v>0</v>
      </c>
      <c r="F351" s="110">
        <f t="shared" si="1"/>
        <v>0</v>
      </c>
      <c r="G351" s="56">
        <f>IFERROR(GETPIVOTDATA("Exame",'Dashboard-Dados'!$J$1,$A$1,A351,$B$1,B351),0)</f>
        <v>0</v>
      </c>
      <c r="H351" s="56">
        <f t="shared" si="2"/>
        <v>351</v>
      </c>
      <c r="U351" s="56"/>
      <c r="V351" s="56"/>
      <c r="W351" s="56"/>
      <c r="Y351" s="138"/>
    </row>
    <row r="352">
      <c r="A352" s="56"/>
      <c r="B352" s="56"/>
      <c r="C352" s="108" t="str">
        <f>IFNA(VLOOKUP('Dashboard-Dados'!B352,'Dashboard-Dados'!$Y$2:$AA$13,2),"")</f>
        <v/>
      </c>
      <c r="D352" s="109">
        <f>IFERROR(GETPIVOTDATA("Valor Recebido",'Dashboard-Dados'!$J$1,$A$1,A352,$B$1,B352),0)</f>
        <v>0</v>
      </c>
      <c r="E352" s="110">
        <f>IFERROR(GETPIVOTDATA("Valor Despesa",'Dashboard-Dados'!$P$1,$A$1,A352,$B$1,B352),0)</f>
        <v>0</v>
      </c>
      <c r="F352" s="110">
        <f t="shared" si="1"/>
        <v>0</v>
      </c>
      <c r="G352" s="56">
        <f>IFERROR(GETPIVOTDATA("Exame",'Dashboard-Dados'!$J$1,$A$1,A352,$B$1,B352),0)</f>
        <v>0</v>
      </c>
      <c r="H352" s="56">
        <f t="shared" si="2"/>
        <v>352</v>
      </c>
      <c r="U352" s="56"/>
      <c r="V352" s="56"/>
      <c r="W352" s="56"/>
      <c r="Y352" s="138"/>
    </row>
    <row r="353">
      <c r="A353" s="56"/>
      <c r="B353" s="56"/>
      <c r="C353" s="108" t="str">
        <f>IFNA(VLOOKUP('Dashboard-Dados'!B353,'Dashboard-Dados'!$Y$2:$AA$13,2),"")</f>
        <v/>
      </c>
      <c r="D353" s="109">
        <f>IFERROR(GETPIVOTDATA("Valor Recebido",'Dashboard-Dados'!$J$1,$A$1,A353,$B$1,B353),0)</f>
        <v>0</v>
      </c>
      <c r="E353" s="110">
        <f>IFERROR(GETPIVOTDATA("Valor Despesa",'Dashboard-Dados'!$P$1,$A$1,A353,$B$1,B353),0)</f>
        <v>0</v>
      </c>
      <c r="F353" s="110">
        <f t="shared" si="1"/>
        <v>0</v>
      </c>
      <c r="G353" s="56">
        <f>IFERROR(GETPIVOTDATA("Exame",'Dashboard-Dados'!$J$1,$A$1,A353,$B$1,B353),0)</f>
        <v>0</v>
      </c>
      <c r="H353" s="56">
        <f t="shared" si="2"/>
        <v>353</v>
      </c>
      <c r="U353" s="56"/>
      <c r="V353" s="56"/>
      <c r="W353" s="56"/>
      <c r="Y353" s="138"/>
    </row>
    <row r="354">
      <c r="A354" s="56"/>
      <c r="B354" s="56"/>
      <c r="C354" s="108" t="str">
        <f>IFNA(VLOOKUP('Dashboard-Dados'!B354,'Dashboard-Dados'!$Y$2:$AA$13,2),"")</f>
        <v/>
      </c>
      <c r="D354" s="109">
        <f>IFERROR(GETPIVOTDATA("Valor Recebido",'Dashboard-Dados'!$J$1,$A$1,A354,$B$1,B354),0)</f>
        <v>0</v>
      </c>
      <c r="E354" s="110">
        <f>IFERROR(GETPIVOTDATA("Valor Despesa",'Dashboard-Dados'!$P$1,$A$1,A354,$B$1,B354),0)</f>
        <v>0</v>
      </c>
      <c r="F354" s="110">
        <f t="shared" si="1"/>
        <v>0</v>
      </c>
      <c r="G354" s="56">
        <f>IFERROR(GETPIVOTDATA("Exame",'Dashboard-Dados'!$J$1,$A$1,A354,$B$1,B354),0)</f>
        <v>0</v>
      </c>
      <c r="H354" s="56">
        <f t="shared" si="2"/>
        <v>354</v>
      </c>
      <c r="U354" s="56"/>
      <c r="V354" s="56"/>
      <c r="W354" s="56"/>
      <c r="Y354" s="138"/>
    </row>
    <row r="355">
      <c r="A355" s="56"/>
      <c r="B355" s="56"/>
      <c r="C355" s="108" t="str">
        <f>IFNA(VLOOKUP('Dashboard-Dados'!B355,'Dashboard-Dados'!$Y$2:$AA$13,2),"")</f>
        <v/>
      </c>
      <c r="D355" s="109">
        <f>IFERROR(GETPIVOTDATA("Valor Recebido",'Dashboard-Dados'!$J$1,$A$1,A355,$B$1,B355),0)</f>
        <v>0</v>
      </c>
      <c r="E355" s="110">
        <f>IFERROR(GETPIVOTDATA("Valor Despesa",'Dashboard-Dados'!$P$1,$A$1,A355,$B$1,B355),0)</f>
        <v>0</v>
      </c>
      <c r="F355" s="110">
        <f t="shared" si="1"/>
        <v>0</v>
      </c>
      <c r="G355" s="56">
        <f>IFERROR(GETPIVOTDATA("Exame",'Dashboard-Dados'!$J$1,$A$1,A355,$B$1,B355),0)</f>
        <v>0</v>
      </c>
      <c r="H355" s="56">
        <f t="shared" si="2"/>
        <v>355</v>
      </c>
      <c r="U355" s="56"/>
      <c r="V355" s="56"/>
      <c r="W355" s="56"/>
      <c r="Y355" s="138"/>
    </row>
    <row r="356">
      <c r="A356" s="56"/>
      <c r="B356" s="56"/>
      <c r="C356" s="108" t="str">
        <f>IFNA(VLOOKUP('Dashboard-Dados'!B356,'Dashboard-Dados'!$Y$2:$AA$13,2),"")</f>
        <v/>
      </c>
      <c r="D356" s="109">
        <f>IFERROR(GETPIVOTDATA("Valor Recebido",'Dashboard-Dados'!$J$1,$A$1,A356,$B$1,B356),0)</f>
        <v>0</v>
      </c>
      <c r="E356" s="110">
        <f>IFERROR(GETPIVOTDATA("Valor Despesa",'Dashboard-Dados'!$P$1,$A$1,A356,$B$1,B356),0)</f>
        <v>0</v>
      </c>
      <c r="F356" s="110">
        <f t="shared" si="1"/>
        <v>0</v>
      </c>
      <c r="G356" s="56">
        <f>IFERROR(GETPIVOTDATA("Exame",'Dashboard-Dados'!$J$1,$A$1,A356,$B$1,B356),0)</f>
        <v>0</v>
      </c>
      <c r="H356" s="56">
        <f t="shared" si="2"/>
        <v>356</v>
      </c>
      <c r="U356" s="56"/>
      <c r="V356" s="56"/>
      <c r="W356" s="56"/>
      <c r="Y356" s="138"/>
    </row>
    <row r="357">
      <c r="A357" s="56"/>
      <c r="B357" s="56"/>
      <c r="C357" s="108" t="str">
        <f>IFNA(VLOOKUP('Dashboard-Dados'!B357,'Dashboard-Dados'!$Y$2:$AA$13,2),"")</f>
        <v/>
      </c>
      <c r="D357" s="109">
        <f>IFERROR(GETPIVOTDATA("Valor Recebido",'Dashboard-Dados'!$J$1,$A$1,A357,$B$1,B357),0)</f>
        <v>0</v>
      </c>
      <c r="E357" s="110">
        <f>IFERROR(GETPIVOTDATA("Valor Despesa",'Dashboard-Dados'!$P$1,$A$1,A357,$B$1,B357),0)</f>
        <v>0</v>
      </c>
      <c r="F357" s="110">
        <f t="shared" si="1"/>
        <v>0</v>
      </c>
      <c r="G357" s="56">
        <f>IFERROR(GETPIVOTDATA("Exame",'Dashboard-Dados'!$J$1,$A$1,A357,$B$1,B357),0)</f>
        <v>0</v>
      </c>
      <c r="H357" s="56">
        <f t="shared" si="2"/>
        <v>357</v>
      </c>
      <c r="U357" s="56"/>
      <c r="V357" s="56"/>
      <c r="W357" s="56"/>
      <c r="Y357" s="138"/>
    </row>
    <row r="358">
      <c r="A358" s="56"/>
      <c r="B358" s="56"/>
      <c r="C358" s="108" t="str">
        <f>IFNA(VLOOKUP('Dashboard-Dados'!B358,'Dashboard-Dados'!$Y$2:$AA$13,2),"")</f>
        <v/>
      </c>
      <c r="D358" s="109">
        <f>IFERROR(GETPIVOTDATA("Valor Recebido",'Dashboard-Dados'!$J$1,$A$1,A358,$B$1,B358),0)</f>
        <v>0</v>
      </c>
      <c r="E358" s="110">
        <f>IFERROR(GETPIVOTDATA("Valor Despesa",'Dashboard-Dados'!$P$1,$A$1,A358,$B$1,B358),0)</f>
        <v>0</v>
      </c>
      <c r="F358" s="110">
        <f t="shared" si="1"/>
        <v>0</v>
      </c>
      <c r="G358" s="56">
        <f>IFERROR(GETPIVOTDATA("Exame",'Dashboard-Dados'!$J$1,$A$1,A358,$B$1,B358),0)</f>
        <v>0</v>
      </c>
      <c r="H358" s="56">
        <f t="shared" si="2"/>
        <v>358</v>
      </c>
      <c r="U358" s="56"/>
      <c r="V358" s="56"/>
      <c r="W358" s="56"/>
      <c r="Y358" s="138"/>
    </row>
    <row r="359">
      <c r="A359" s="56"/>
      <c r="B359" s="56"/>
      <c r="C359" s="108" t="str">
        <f>IFNA(VLOOKUP('Dashboard-Dados'!B359,'Dashboard-Dados'!$Y$2:$AA$13,2),"")</f>
        <v/>
      </c>
      <c r="D359" s="109">
        <f>IFERROR(GETPIVOTDATA("Valor Recebido",'Dashboard-Dados'!$J$1,$A$1,A359,$B$1,B359),0)</f>
        <v>0</v>
      </c>
      <c r="E359" s="110">
        <f>IFERROR(GETPIVOTDATA("Valor Despesa",'Dashboard-Dados'!$P$1,$A$1,A359,$B$1,B359),0)</f>
        <v>0</v>
      </c>
      <c r="F359" s="110">
        <f t="shared" si="1"/>
        <v>0</v>
      </c>
      <c r="G359" s="56">
        <f>IFERROR(GETPIVOTDATA("Exame",'Dashboard-Dados'!$J$1,$A$1,A359,$B$1,B359),0)</f>
        <v>0</v>
      </c>
      <c r="H359" s="56">
        <f t="shared" si="2"/>
        <v>359</v>
      </c>
      <c r="U359" s="56"/>
      <c r="V359" s="56"/>
      <c r="W359" s="56"/>
      <c r="Y359" s="138"/>
    </row>
    <row r="360">
      <c r="A360" s="56"/>
      <c r="B360" s="56"/>
      <c r="C360" s="108" t="str">
        <f>IFNA(VLOOKUP('Dashboard-Dados'!B360,'Dashboard-Dados'!$Y$2:$AA$13,2),"")</f>
        <v/>
      </c>
      <c r="D360" s="109">
        <f>IFERROR(GETPIVOTDATA("Valor Recebido",'Dashboard-Dados'!$J$1,$A$1,A360,$B$1,B360),0)</f>
        <v>0</v>
      </c>
      <c r="E360" s="110">
        <f>IFERROR(GETPIVOTDATA("Valor Despesa",'Dashboard-Dados'!$P$1,$A$1,A360,$B$1,B360),0)</f>
        <v>0</v>
      </c>
      <c r="F360" s="110">
        <f t="shared" si="1"/>
        <v>0</v>
      </c>
      <c r="G360" s="56">
        <f>IFERROR(GETPIVOTDATA("Exame",'Dashboard-Dados'!$J$1,$A$1,A360,$B$1,B360),0)</f>
        <v>0</v>
      </c>
      <c r="H360" s="56">
        <f t="shared" si="2"/>
        <v>360</v>
      </c>
      <c r="U360" s="56"/>
      <c r="V360" s="56"/>
      <c r="W360" s="56"/>
      <c r="Y360" s="138"/>
    </row>
    <row r="361">
      <c r="A361" s="56"/>
      <c r="B361" s="56"/>
      <c r="C361" s="108" t="str">
        <f>IFNA(VLOOKUP('Dashboard-Dados'!B361,'Dashboard-Dados'!$Y$2:$AA$13,2),"")</f>
        <v/>
      </c>
      <c r="D361" s="109">
        <f>IFERROR(GETPIVOTDATA("Valor Recebido",'Dashboard-Dados'!$J$1,$A$1,A361,$B$1,B361),0)</f>
        <v>0</v>
      </c>
      <c r="E361" s="110">
        <f>IFERROR(GETPIVOTDATA("Valor Despesa",'Dashboard-Dados'!$P$1,$A$1,A361,$B$1,B361),0)</f>
        <v>0</v>
      </c>
      <c r="F361" s="110">
        <f t="shared" si="1"/>
        <v>0</v>
      </c>
      <c r="G361" s="56">
        <f>IFERROR(GETPIVOTDATA("Exame",'Dashboard-Dados'!$J$1,$A$1,A361,$B$1,B361),0)</f>
        <v>0</v>
      </c>
      <c r="H361" s="56">
        <f t="shared" si="2"/>
        <v>361</v>
      </c>
      <c r="U361" s="56"/>
      <c r="V361" s="56"/>
      <c r="W361" s="56"/>
      <c r="Y361" s="138"/>
    </row>
    <row r="362">
      <c r="A362" s="56"/>
      <c r="B362" s="56"/>
      <c r="C362" s="108" t="str">
        <f>IFNA(VLOOKUP('Dashboard-Dados'!B362,'Dashboard-Dados'!$Y$2:$AA$13,2),"")</f>
        <v/>
      </c>
      <c r="D362" s="109">
        <f>IFERROR(GETPIVOTDATA("Valor Recebido",'Dashboard-Dados'!$J$1,$A$1,A362,$B$1,B362),0)</f>
        <v>0</v>
      </c>
      <c r="E362" s="110">
        <f>IFERROR(GETPIVOTDATA("Valor Despesa",'Dashboard-Dados'!$P$1,$A$1,A362,$B$1,B362),0)</f>
        <v>0</v>
      </c>
      <c r="F362" s="110">
        <f t="shared" si="1"/>
        <v>0</v>
      </c>
      <c r="G362" s="56">
        <f>IFERROR(GETPIVOTDATA("Exame",'Dashboard-Dados'!$J$1,$A$1,A362,$B$1,B362),0)</f>
        <v>0</v>
      </c>
      <c r="H362" s="56">
        <f t="shared" si="2"/>
        <v>362</v>
      </c>
      <c r="U362" s="56"/>
      <c r="V362" s="56"/>
      <c r="W362" s="56"/>
      <c r="Y362" s="138"/>
    </row>
    <row r="363">
      <c r="A363" s="56"/>
      <c r="B363" s="56"/>
      <c r="C363" s="108" t="str">
        <f>IFNA(VLOOKUP('Dashboard-Dados'!B363,'Dashboard-Dados'!$Y$2:$AA$13,2),"")</f>
        <v/>
      </c>
      <c r="D363" s="109">
        <f>IFERROR(GETPIVOTDATA("Valor Recebido",'Dashboard-Dados'!$J$1,$A$1,A363,$B$1,B363),0)</f>
        <v>0</v>
      </c>
      <c r="E363" s="110">
        <f>IFERROR(GETPIVOTDATA("Valor Despesa",'Dashboard-Dados'!$P$1,$A$1,A363,$B$1,B363),0)</f>
        <v>0</v>
      </c>
      <c r="F363" s="110">
        <f t="shared" si="1"/>
        <v>0</v>
      </c>
      <c r="G363" s="56">
        <f>IFERROR(GETPIVOTDATA("Exame",'Dashboard-Dados'!$J$1,$A$1,A363,$B$1,B363),0)</f>
        <v>0</v>
      </c>
      <c r="H363" s="56">
        <f t="shared" si="2"/>
        <v>363</v>
      </c>
      <c r="U363" s="56"/>
      <c r="V363" s="56"/>
      <c r="W363" s="56"/>
      <c r="Y363" s="138"/>
    </row>
    <row r="364">
      <c r="A364" s="56"/>
      <c r="B364" s="56"/>
      <c r="C364" s="108" t="str">
        <f>IFNA(VLOOKUP('Dashboard-Dados'!B364,'Dashboard-Dados'!$Y$2:$AA$13,2),"")</f>
        <v/>
      </c>
      <c r="D364" s="109">
        <f>IFERROR(GETPIVOTDATA("Valor Recebido",'Dashboard-Dados'!$J$1,$A$1,A364,$B$1,B364),0)</f>
        <v>0</v>
      </c>
      <c r="E364" s="110">
        <f>IFERROR(GETPIVOTDATA("Valor Despesa",'Dashboard-Dados'!$P$1,$A$1,A364,$B$1,B364),0)</f>
        <v>0</v>
      </c>
      <c r="F364" s="110">
        <f t="shared" si="1"/>
        <v>0</v>
      </c>
      <c r="G364" s="56">
        <f>IFERROR(GETPIVOTDATA("Exame",'Dashboard-Dados'!$J$1,$A$1,A364,$B$1,B364),0)</f>
        <v>0</v>
      </c>
      <c r="H364" s="56">
        <f t="shared" si="2"/>
        <v>364</v>
      </c>
      <c r="U364" s="56"/>
      <c r="V364" s="56"/>
      <c r="W364" s="56"/>
      <c r="Y364" s="138"/>
    </row>
    <row r="365">
      <c r="A365" s="56"/>
      <c r="B365" s="56"/>
      <c r="C365" s="108" t="str">
        <f>IFNA(VLOOKUP('Dashboard-Dados'!B365,'Dashboard-Dados'!$Y$2:$AA$13,2),"")</f>
        <v/>
      </c>
      <c r="D365" s="109">
        <f>IFERROR(GETPIVOTDATA("Valor Recebido",'Dashboard-Dados'!$J$1,$A$1,A365,$B$1,B365),0)</f>
        <v>0</v>
      </c>
      <c r="E365" s="110">
        <f>IFERROR(GETPIVOTDATA("Valor Despesa",'Dashboard-Dados'!$P$1,$A$1,A365,$B$1,B365),0)</f>
        <v>0</v>
      </c>
      <c r="F365" s="110">
        <f t="shared" si="1"/>
        <v>0</v>
      </c>
      <c r="G365" s="56">
        <f>IFERROR(GETPIVOTDATA("Exame",'Dashboard-Dados'!$J$1,$A$1,A365,$B$1,B365),0)</f>
        <v>0</v>
      </c>
      <c r="H365" s="56">
        <f t="shared" si="2"/>
        <v>365</v>
      </c>
      <c r="U365" s="56"/>
      <c r="V365" s="56"/>
      <c r="W365" s="56"/>
      <c r="Y365" s="138"/>
    </row>
    <row r="366">
      <c r="A366" s="56"/>
      <c r="B366" s="56"/>
      <c r="C366" s="108" t="str">
        <f>IFNA(VLOOKUP('Dashboard-Dados'!B366,'Dashboard-Dados'!$Y$2:$AA$13,2),"")</f>
        <v/>
      </c>
      <c r="D366" s="109">
        <f>IFERROR(GETPIVOTDATA("Valor Recebido",'Dashboard-Dados'!$J$1,$A$1,A366,$B$1,B366),0)</f>
        <v>0</v>
      </c>
      <c r="E366" s="110">
        <f>IFERROR(GETPIVOTDATA("Valor Despesa",'Dashboard-Dados'!$P$1,$A$1,A366,$B$1,B366),0)</f>
        <v>0</v>
      </c>
      <c r="F366" s="110">
        <f t="shared" si="1"/>
        <v>0</v>
      </c>
      <c r="G366" s="56">
        <f>IFERROR(GETPIVOTDATA("Exame",'Dashboard-Dados'!$J$1,$A$1,A366,$B$1,B366),0)</f>
        <v>0</v>
      </c>
      <c r="H366" s="56">
        <f t="shared" si="2"/>
        <v>366</v>
      </c>
      <c r="U366" s="56"/>
      <c r="V366" s="56"/>
      <c r="W366" s="56"/>
      <c r="Y366" s="138"/>
    </row>
    <row r="367">
      <c r="A367" s="56"/>
      <c r="B367" s="56"/>
      <c r="C367" s="108" t="str">
        <f>IFNA(VLOOKUP('Dashboard-Dados'!B367,'Dashboard-Dados'!$Y$2:$AA$13,2),"")</f>
        <v/>
      </c>
      <c r="D367" s="109">
        <f>IFERROR(GETPIVOTDATA("Valor Recebido",'Dashboard-Dados'!$J$1,$A$1,A367,$B$1,B367),0)</f>
        <v>0</v>
      </c>
      <c r="E367" s="110">
        <f>IFERROR(GETPIVOTDATA("Valor Despesa",'Dashboard-Dados'!$P$1,$A$1,A367,$B$1,B367),0)</f>
        <v>0</v>
      </c>
      <c r="F367" s="110">
        <f t="shared" si="1"/>
        <v>0</v>
      </c>
      <c r="G367" s="56">
        <f>IFERROR(GETPIVOTDATA("Exame",'Dashboard-Dados'!$J$1,$A$1,A367,$B$1,B367),0)</f>
        <v>0</v>
      </c>
      <c r="H367" s="56">
        <f t="shared" si="2"/>
        <v>367</v>
      </c>
      <c r="U367" s="56"/>
      <c r="V367" s="56"/>
      <c r="W367" s="56"/>
      <c r="Y367" s="138"/>
    </row>
    <row r="368">
      <c r="A368" s="56"/>
      <c r="B368" s="56"/>
      <c r="C368" s="108" t="str">
        <f>IFNA(VLOOKUP('Dashboard-Dados'!B368,'Dashboard-Dados'!$Y$2:$AA$13,2),"")</f>
        <v/>
      </c>
      <c r="D368" s="109">
        <f>IFERROR(GETPIVOTDATA("Valor Recebido",'Dashboard-Dados'!$J$1,$A$1,A368,$B$1,B368),0)</f>
        <v>0</v>
      </c>
      <c r="E368" s="110">
        <f>IFERROR(GETPIVOTDATA("Valor Despesa",'Dashboard-Dados'!$P$1,$A$1,A368,$B$1,B368),0)</f>
        <v>0</v>
      </c>
      <c r="F368" s="110">
        <f t="shared" si="1"/>
        <v>0</v>
      </c>
      <c r="G368" s="56">
        <f>IFERROR(GETPIVOTDATA("Exame",'Dashboard-Dados'!$J$1,$A$1,A368,$B$1,B368),0)</f>
        <v>0</v>
      </c>
      <c r="H368" s="56">
        <f t="shared" si="2"/>
        <v>368</v>
      </c>
      <c r="U368" s="56"/>
      <c r="V368" s="56"/>
      <c r="W368" s="56"/>
      <c r="Y368" s="138"/>
    </row>
    <row r="369">
      <c r="A369" s="56"/>
      <c r="B369" s="56"/>
      <c r="C369" s="108" t="str">
        <f>IFNA(VLOOKUP('Dashboard-Dados'!B369,'Dashboard-Dados'!$Y$2:$AA$13,2),"")</f>
        <v/>
      </c>
      <c r="D369" s="109">
        <f>IFERROR(GETPIVOTDATA("Valor Recebido",'Dashboard-Dados'!$J$1,$A$1,A369,$B$1,B369),0)</f>
        <v>0</v>
      </c>
      <c r="E369" s="110">
        <f>IFERROR(GETPIVOTDATA("Valor Despesa",'Dashboard-Dados'!$P$1,$A$1,A369,$B$1,B369),0)</f>
        <v>0</v>
      </c>
      <c r="F369" s="110">
        <f t="shared" si="1"/>
        <v>0</v>
      </c>
      <c r="G369" s="56">
        <f>IFERROR(GETPIVOTDATA("Exame",'Dashboard-Dados'!$J$1,$A$1,A369,$B$1,B369),0)</f>
        <v>0</v>
      </c>
      <c r="H369" s="56">
        <f t="shared" si="2"/>
        <v>369</v>
      </c>
      <c r="U369" s="56"/>
      <c r="V369" s="56"/>
      <c r="W369" s="56"/>
      <c r="Y369" s="138"/>
    </row>
    <row r="370">
      <c r="A370" s="56"/>
      <c r="B370" s="56"/>
      <c r="C370" s="108" t="str">
        <f>IFNA(VLOOKUP('Dashboard-Dados'!B370,'Dashboard-Dados'!$Y$2:$AA$13,2),"")</f>
        <v/>
      </c>
      <c r="D370" s="109">
        <f>IFERROR(GETPIVOTDATA("Valor Recebido",'Dashboard-Dados'!$J$1,$A$1,A370,$B$1,B370),0)</f>
        <v>0</v>
      </c>
      <c r="E370" s="110">
        <f>IFERROR(GETPIVOTDATA("Valor Despesa",'Dashboard-Dados'!$P$1,$A$1,A370,$B$1,B370),0)</f>
        <v>0</v>
      </c>
      <c r="F370" s="110">
        <f t="shared" si="1"/>
        <v>0</v>
      </c>
      <c r="G370" s="56">
        <f>IFERROR(GETPIVOTDATA("Exame",'Dashboard-Dados'!$J$1,$A$1,A370,$B$1,B370),0)</f>
        <v>0</v>
      </c>
      <c r="H370" s="56">
        <f t="shared" si="2"/>
        <v>370</v>
      </c>
      <c r="U370" s="56"/>
      <c r="V370" s="56"/>
      <c r="W370" s="56"/>
      <c r="Y370" s="138"/>
    </row>
    <row r="371">
      <c r="A371" s="56"/>
      <c r="B371" s="56"/>
      <c r="C371" s="108" t="str">
        <f>IFNA(VLOOKUP('Dashboard-Dados'!B371,'Dashboard-Dados'!$Y$2:$AA$13,2),"")</f>
        <v/>
      </c>
      <c r="D371" s="109">
        <f>IFERROR(GETPIVOTDATA("Valor Recebido",'Dashboard-Dados'!$J$1,$A$1,A371,$B$1,B371),0)</f>
        <v>0</v>
      </c>
      <c r="E371" s="110">
        <f>IFERROR(GETPIVOTDATA("Valor Despesa",'Dashboard-Dados'!$P$1,$A$1,A371,$B$1,B371),0)</f>
        <v>0</v>
      </c>
      <c r="F371" s="110">
        <f t="shared" si="1"/>
        <v>0</v>
      </c>
      <c r="G371" s="56">
        <f>IFERROR(GETPIVOTDATA("Exame",'Dashboard-Dados'!$J$1,$A$1,A371,$B$1,B371),0)</f>
        <v>0</v>
      </c>
      <c r="H371" s="56">
        <f t="shared" si="2"/>
        <v>371</v>
      </c>
      <c r="U371" s="56"/>
      <c r="V371" s="56"/>
      <c r="W371" s="56"/>
      <c r="Y371" s="138"/>
    </row>
    <row r="372">
      <c r="A372" s="56"/>
      <c r="B372" s="56"/>
      <c r="C372" s="108" t="str">
        <f>IFNA(VLOOKUP('Dashboard-Dados'!B372,'Dashboard-Dados'!$Y$2:$AA$13,2),"")</f>
        <v/>
      </c>
      <c r="D372" s="109">
        <f>IFERROR(GETPIVOTDATA("Valor Recebido",'Dashboard-Dados'!$J$1,$A$1,A372,$B$1,B372),0)</f>
        <v>0</v>
      </c>
      <c r="E372" s="110">
        <f>IFERROR(GETPIVOTDATA("Valor Despesa",'Dashboard-Dados'!$P$1,$A$1,A372,$B$1,B372),0)</f>
        <v>0</v>
      </c>
      <c r="F372" s="110">
        <f t="shared" si="1"/>
        <v>0</v>
      </c>
      <c r="G372" s="56">
        <f>IFERROR(GETPIVOTDATA("Exame",'Dashboard-Dados'!$J$1,$A$1,A372,$B$1,B372),0)</f>
        <v>0</v>
      </c>
      <c r="H372" s="56">
        <f t="shared" si="2"/>
        <v>372</v>
      </c>
      <c r="U372" s="56"/>
      <c r="V372" s="56"/>
      <c r="W372" s="56"/>
      <c r="Y372" s="138"/>
    </row>
    <row r="373">
      <c r="A373" s="56"/>
      <c r="B373" s="56"/>
      <c r="C373" s="108" t="str">
        <f>IFNA(VLOOKUP('Dashboard-Dados'!B373,'Dashboard-Dados'!$Y$2:$AA$13,2),"")</f>
        <v/>
      </c>
      <c r="D373" s="109">
        <f>IFERROR(GETPIVOTDATA("Valor Recebido",'Dashboard-Dados'!$J$1,$A$1,A373,$B$1,B373),0)</f>
        <v>0</v>
      </c>
      <c r="E373" s="110">
        <f>IFERROR(GETPIVOTDATA("Valor Despesa",'Dashboard-Dados'!$P$1,$A$1,A373,$B$1,B373),0)</f>
        <v>0</v>
      </c>
      <c r="F373" s="110">
        <f t="shared" si="1"/>
        <v>0</v>
      </c>
      <c r="G373" s="56">
        <f>IFERROR(GETPIVOTDATA("Exame",'Dashboard-Dados'!$J$1,$A$1,A373,$B$1,B373),0)</f>
        <v>0</v>
      </c>
      <c r="H373" s="56">
        <f t="shared" si="2"/>
        <v>373</v>
      </c>
      <c r="U373" s="56"/>
      <c r="V373" s="56"/>
      <c r="W373" s="56"/>
      <c r="Y373" s="138"/>
    </row>
    <row r="374">
      <c r="A374" s="56"/>
      <c r="B374" s="56"/>
      <c r="C374" s="108" t="str">
        <f>IFNA(VLOOKUP('Dashboard-Dados'!B374,'Dashboard-Dados'!$Y$2:$AA$13,2),"")</f>
        <v/>
      </c>
      <c r="D374" s="109">
        <f>IFERROR(GETPIVOTDATA("Valor Recebido",'Dashboard-Dados'!$J$1,$A$1,A374,$B$1,B374),0)</f>
        <v>0</v>
      </c>
      <c r="E374" s="110">
        <f>IFERROR(GETPIVOTDATA("Valor Despesa",'Dashboard-Dados'!$P$1,$A$1,A374,$B$1,B374),0)</f>
        <v>0</v>
      </c>
      <c r="F374" s="110">
        <f t="shared" si="1"/>
        <v>0</v>
      </c>
      <c r="G374" s="56">
        <f>IFERROR(GETPIVOTDATA("Exame",'Dashboard-Dados'!$J$1,$A$1,A374,$B$1,B374),0)</f>
        <v>0</v>
      </c>
      <c r="H374" s="56">
        <f t="shared" si="2"/>
        <v>374</v>
      </c>
      <c r="U374" s="56"/>
      <c r="V374" s="56"/>
      <c r="W374" s="56"/>
      <c r="Y374" s="138"/>
    </row>
    <row r="375">
      <c r="A375" s="56"/>
      <c r="B375" s="56"/>
      <c r="C375" s="108" t="str">
        <f>IFNA(VLOOKUP('Dashboard-Dados'!B375,'Dashboard-Dados'!$Y$2:$AA$13,2),"")</f>
        <v/>
      </c>
      <c r="D375" s="109">
        <f>IFERROR(GETPIVOTDATA("Valor Recebido",'Dashboard-Dados'!$J$1,$A$1,A375,$B$1,B375),0)</f>
        <v>0</v>
      </c>
      <c r="E375" s="110">
        <f>IFERROR(GETPIVOTDATA("Valor Despesa",'Dashboard-Dados'!$P$1,$A$1,A375,$B$1,B375),0)</f>
        <v>0</v>
      </c>
      <c r="F375" s="110">
        <f t="shared" si="1"/>
        <v>0</v>
      </c>
      <c r="G375" s="56">
        <f>IFERROR(GETPIVOTDATA("Exame",'Dashboard-Dados'!$J$1,$A$1,A375,$B$1,B375),0)</f>
        <v>0</v>
      </c>
      <c r="H375" s="56">
        <f t="shared" si="2"/>
        <v>375</v>
      </c>
      <c r="U375" s="56"/>
      <c r="V375" s="56"/>
      <c r="W375" s="56"/>
      <c r="Y375" s="138"/>
    </row>
    <row r="376">
      <c r="A376" s="56"/>
      <c r="B376" s="56"/>
      <c r="C376" s="108" t="str">
        <f>IFNA(VLOOKUP('Dashboard-Dados'!B376,'Dashboard-Dados'!$Y$2:$AA$13,2),"")</f>
        <v/>
      </c>
      <c r="D376" s="109">
        <f>IFERROR(GETPIVOTDATA("Valor Recebido",'Dashboard-Dados'!$J$1,$A$1,A376,$B$1,B376),0)</f>
        <v>0</v>
      </c>
      <c r="E376" s="110">
        <f>IFERROR(GETPIVOTDATA("Valor Despesa",'Dashboard-Dados'!$P$1,$A$1,A376,$B$1,B376),0)</f>
        <v>0</v>
      </c>
      <c r="F376" s="110">
        <f t="shared" si="1"/>
        <v>0</v>
      </c>
      <c r="G376" s="56">
        <f>IFERROR(GETPIVOTDATA("Exame",'Dashboard-Dados'!$J$1,$A$1,A376,$B$1,B376),0)</f>
        <v>0</v>
      </c>
      <c r="H376" s="56">
        <f t="shared" si="2"/>
        <v>376</v>
      </c>
      <c r="U376" s="56"/>
      <c r="V376" s="56"/>
      <c r="W376" s="56"/>
      <c r="Y376" s="138"/>
    </row>
    <row r="377">
      <c r="A377" s="56"/>
      <c r="B377" s="56"/>
      <c r="C377" s="108" t="str">
        <f>IFNA(VLOOKUP('Dashboard-Dados'!B377,'Dashboard-Dados'!$Y$2:$AA$13,2),"")</f>
        <v/>
      </c>
      <c r="D377" s="109">
        <f>IFERROR(GETPIVOTDATA("Valor Recebido",'Dashboard-Dados'!$J$1,$A$1,A377,$B$1,B377),0)</f>
        <v>0</v>
      </c>
      <c r="E377" s="110">
        <f>IFERROR(GETPIVOTDATA("Valor Despesa",'Dashboard-Dados'!$P$1,$A$1,A377,$B$1,B377),0)</f>
        <v>0</v>
      </c>
      <c r="F377" s="110">
        <f t="shared" si="1"/>
        <v>0</v>
      </c>
      <c r="G377" s="56">
        <f>IFERROR(GETPIVOTDATA("Exame",'Dashboard-Dados'!$J$1,$A$1,A377,$B$1,B377),0)</f>
        <v>0</v>
      </c>
      <c r="H377" s="56">
        <f t="shared" si="2"/>
        <v>377</v>
      </c>
      <c r="U377" s="56"/>
      <c r="V377" s="56"/>
      <c r="W377" s="56"/>
      <c r="Y377" s="138"/>
    </row>
    <row r="378">
      <c r="A378" s="56"/>
      <c r="B378" s="56"/>
      <c r="C378" s="108" t="str">
        <f>IFNA(VLOOKUP('Dashboard-Dados'!B378,'Dashboard-Dados'!$Y$2:$AA$13,2),"")</f>
        <v/>
      </c>
      <c r="D378" s="109">
        <f>IFERROR(GETPIVOTDATA("Valor Recebido",'Dashboard-Dados'!$J$1,$A$1,A378,$B$1,B378),0)</f>
        <v>0</v>
      </c>
      <c r="E378" s="110">
        <f>IFERROR(GETPIVOTDATA("Valor Despesa",'Dashboard-Dados'!$P$1,$A$1,A378,$B$1,B378),0)</f>
        <v>0</v>
      </c>
      <c r="F378" s="110">
        <f t="shared" si="1"/>
        <v>0</v>
      </c>
      <c r="G378" s="56">
        <f>IFERROR(GETPIVOTDATA("Exame",'Dashboard-Dados'!$J$1,$A$1,A378,$B$1,B378),0)</f>
        <v>0</v>
      </c>
      <c r="H378" s="56">
        <f t="shared" si="2"/>
        <v>378</v>
      </c>
      <c r="U378" s="56"/>
      <c r="V378" s="56"/>
      <c r="W378" s="56"/>
      <c r="Y378" s="138"/>
    </row>
    <row r="379">
      <c r="A379" s="56"/>
      <c r="B379" s="56"/>
      <c r="C379" s="108" t="str">
        <f>IFNA(VLOOKUP('Dashboard-Dados'!B379,'Dashboard-Dados'!$Y$2:$AA$13,2),"")</f>
        <v/>
      </c>
      <c r="D379" s="109">
        <f>IFERROR(GETPIVOTDATA("Valor Recebido",'Dashboard-Dados'!$J$1,$A$1,A379,$B$1,B379),0)</f>
        <v>0</v>
      </c>
      <c r="E379" s="110">
        <f>IFERROR(GETPIVOTDATA("Valor Despesa",'Dashboard-Dados'!$P$1,$A$1,A379,$B$1,B379),0)</f>
        <v>0</v>
      </c>
      <c r="F379" s="110">
        <f t="shared" si="1"/>
        <v>0</v>
      </c>
      <c r="G379" s="56">
        <f>IFERROR(GETPIVOTDATA("Exame",'Dashboard-Dados'!$J$1,$A$1,A379,$B$1,B379),0)</f>
        <v>0</v>
      </c>
      <c r="H379" s="56">
        <f t="shared" si="2"/>
        <v>379</v>
      </c>
      <c r="U379" s="56"/>
      <c r="V379" s="56"/>
      <c r="W379" s="56"/>
      <c r="Y379" s="138"/>
    </row>
    <row r="380">
      <c r="A380" s="56"/>
      <c r="B380" s="56"/>
      <c r="C380" s="108" t="str">
        <f>IFNA(VLOOKUP('Dashboard-Dados'!B380,'Dashboard-Dados'!$Y$2:$AA$13,2),"")</f>
        <v/>
      </c>
      <c r="D380" s="109">
        <f>IFERROR(GETPIVOTDATA("Valor Recebido",'Dashboard-Dados'!$J$1,$A$1,A380,$B$1,B380),0)</f>
        <v>0</v>
      </c>
      <c r="E380" s="110">
        <f>IFERROR(GETPIVOTDATA("Valor Despesa",'Dashboard-Dados'!$P$1,$A$1,A380,$B$1,B380),0)</f>
        <v>0</v>
      </c>
      <c r="F380" s="110">
        <f t="shared" si="1"/>
        <v>0</v>
      </c>
      <c r="G380" s="56">
        <f>IFERROR(GETPIVOTDATA("Exame",'Dashboard-Dados'!$J$1,$A$1,A380,$B$1,B380),0)</f>
        <v>0</v>
      </c>
      <c r="H380" s="56">
        <f t="shared" si="2"/>
        <v>380</v>
      </c>
      <c r="U380" s="56"/>
      <c r="V380" s="56"/>
      <c r="W380" s="56"/>
      <c r="Y380" s="138"/>
    </row>
    <row r="381">
      <c r="A381" s="56"/>
      <c r="B381" s="56"/>
      <c r="C381" s="108" t="str">
        <f>IFNA(VLOOKUP('Dashboard-Dados'!B381,'Dashboard-Dados'!$Y$2:$AA$13,2),"")</f>
        <v/>
      </c>
      <c r="D381" s="109">
        <f>IFERROR(GETPIVOTDATA("Valor Recebido",'Dashboard-Dados'!$J$1,$A$1,A381,$B$1,B381),0)</f>
        <v>0</v>
      </c>
      <c r="E381" s="110">
        <f>IFERROR(GETPIVOTDATA("Valor Despesa",'Dashboard-Dados'!$P$1,$A$1,A381,$B$1,B381),0)</f>
        <v>0</v>
      </c>
      <c r="F381" s="110">
        <f t="shared" si="1"/>
        <v>0</v>
      </c>
      <c r="G381" s="56">
        <f>IFERROR(GETPIVOTDATA("Exame",'Dashboard-Dados'!$J$1,$A$1,A381,$B$1,B381),0)</f>
        <v>0</v>
      </c>
      <c r="H381" s="56">
        <f t="shared" si="2"/>
        <v>381</v>
      </c>
      <c r="U381" s="56"/>
      <c r="V381" s="56"/>
      <c r="W381" s="56"/>
      <c r="Y381" s="138"/>
    </row>
    <row r="382">
      <c r="A382" s="56"/>
      <c r="B382" s="56"/>
      <c r="C382" s="108" t="str">
        <f>IFNA(VLOOKUP('Dashboard-Dados'!B382,'Dashboard-Dados'!$Y$2:$AA$13,2),"")</f>
        <v/>
      </c>
      <c r="D382" s="109">
        <f>IFERROR(GETPIVOTDATA("Valor Recebido",'Dashboard-Dados'!$J$1,$A$1,A382,$B$1,B382),0)</f>
        <v>0</v>
      </c>
      <c r="E382" s="110">
        <f>IFERROR(GETPIVOTDATA("Valor Despesa",'Dashboard-Dados'!$P$1,$A$1,A382,$B$1,B382),0)</f>
        <v>0</v>
      </c>
      <c r="F382" s="110">
        <f t="shared" si="1"/>
        <v>0</v>
      </c>
      <c r="G382" s="56">
        <f>IFERROR(GETPIVOTDATA("Exame",'Dashboard-Dados'!$J$1,$A$1,A382,$B$1,B382),0)</f>
        <v>0</v>
      </c>
      <c r="H382" s="56">
        <f t="shared" si="2"/>
        <v>382</v>
      </c>
      <c r="U382" s="56"/>
      <c r="V382" s="56"/>
      <c r="W382" s="56"/>
      <c r="Y382" s="138"/>
    </row>
    <row r="383">
      <c r="A383" s="56"/>
      <c r="B383" s="56"/>
      <c r="C383" s="108" t="str">
        <f>IFNA(VLOOKUP('Dashboard-Dados'!B383,'Dashboard-Dados'!$Y$2:$AA$13,2),"")</f>
        <v/>
      </c>
      <c r="D383" s="109">
        <f>IFERROR(GETPIVOTDATA("Valor Recebido",'Dashboard-Dados'!$J$1,$A$1,A383,$B$1,B383),0)</f>
        <v>0</v>
      </c>
      <c r="E383" s="110">
        <f>IFERROR(GETPIVOTDATA("Valor Despesa",'Dashboard-Dados'!$P$1,$A$1,A383,$B$1,B383),0)</f>
        <v>0</v>
      </c>
      <c r="F383" s="110">
        <f t="shared" si="1"/>
        <v>0</v>
      </c>
      <c r="G383" s="56">
        <f>IFERROR(GETPIVOTDATA("Exame",'Dashboard-Dados'!$J$1,$A$1,A383,$B$1,B383),0)</f>
        <v>0</v>
      </c>
      <c r="H383" s="56">
        <f t="shared" si="2"/>
        <v>383</v>
      </c>
      <c r="U383" s="56"/>
      <c r="V383" s="56"/>
      <c r="W383" s="56"/>
      <c r="Y383" s="138"/>
    </row>
    <row r="384">
      <c r="A384" s="56"/>
      <c r="B384" s="56"/>
      <c r="C384" s="108" t="str">
        <f>IFNA(VLOOKUP('Dashboard-Dados'!B384,'Dashboard-Dados'!$Y$2:$AA$13,2),"")</f>
        <v/>
      </c>
      <c r="D384" s="109">
        <f>IFERROR(GETPIVOTDATA("Valor Recebido",'Dashboard-Dados'!$J$1,$A$1,A384,$B$1,B384),0)</f>
        <v>0</v>
      </c>
      <c r="E384" s="110">
        <f>IFERROR(GETPIVOTDATA("Valor Despesa",'Dashboard-Dados'!$P$1,$A$1,A384,$B$1,B384),0)</f>
        <v>0</v>
      </c>
      <c r="F384" s="110">
        <f t="shared" si="1"/>
        <v>0</v>
      </c>
      <c r="G384" s="56">
        <f>IFERROR(GETPIVOTDATA("Exame",'Dashboard-Dados'!$J$1,$A$1,A384,$B$1,B384),0)</f>
        <v>0</v>
      </c>
      <c r="H384" s="56">
        <f t="shared" si="2"/>
        <v>384</v>
      </c>
      <c r="U384" s="56"/>
      <c r="V384" s="56"/>
      <c r="W384" s="56"/>
      <c r="Y384" s="138"/>
    </row>
    <row r="385">
      <c r="A385" s="56"/>
      <c r="B385" s="56"/>
      <c r="C385" s="108" t="str">
        <f>IFNA(VLOOKUP('Dashboard-Dados'!B385,'Dashboard-Dados'!$Y$2:$AA$13,2),"")</f>
        <v/>
      </c>
      <c r="D385" s="109">
        <f>IFERROR(GETPIVOTDATA("Valor Recebido",'Dashboard-Dados'!$J$1,$A$1,A385,$B$1,B385),0)</f>
        <v>0</v>
      </c>
      <c r="E385" s="110">
        <f>IFERROR(GETPIVOTDATA("Valor Despesa",'Dashboard-Dados'!$P$1,$A$1,A385,$B$1,B385),0)</f>
        <v>0</v>
      </c>
      <c r="F385" s="110">
        <f t="shared" si="1"/>
        <v>0</v>
      </c>
      <c r="G385" s="56">
        <f>IFERROR(GETPIVOTDATA("Exame",'Dashboard-Dados'!$J$1,$A$1,A385,$B$1,B385),0)</f>
        <v>0</v>
      </c>
      <c r="H385" s="56">
        <f t="shared" si="2"/>
        <v>385</v>
      </c>
      <c r="U385" s="56"/>
      <c r="V385" s="56"/>
      <c r="W385" s="56"/>
      <c r="Y385" s="138"/>
    </row>
    <row r="386">
      <c r="A386" s="56"/>
      <c r="B386" s="56"/>
      <c r="C386" s="108" t="str">
        <f>IFNA(VLOOKUP('Dashboard-Dados'!B386,'Dashboard-Dados'!$Y$2:$AA$13,2),"")</f>
        <v/>
      </c>
      <c r="D386" s="109">
        <f>IFERROR(GETPIVOTDATA("Valor Recebido",'Dashboard-Dados'!$J$1,$A$1,A386,$B$1,B386),0)</f>
        <v>0</v>
      </c>
      <c r="E386" s="110">
        <f>IFERROR(GETPIVOTDATA("Valor Despesa",'Dashboard-Dados'!$P$1,$A$1,A386,$B$1,B386),0)</f>
        <v>0</v>
      </c>
      <c r="F386" s="110">
        <f t="shared" si="1"/>
        <v>0</v>
      </c>
      <c r="G386" s="56">
        <f>IFERROR(GETPIVOTDATA("Exame",'Dashboard-Dados'!$J$1,$A$1,A386,$B$1,B386),0)</f>
        <v>0</v>
      </c>
      <c r="H386" s="56">
        <f t="shared" si="2"/>
        <v>386</v>
      </c>
      <c r="U386" s="56"/>
      <c r="V386" s="56"/>
      <c r="W386" s="56"/>
      <c r="Y386" s="138"/>
    </row>
    <row r="387">
      <c r="A387" s="56"/>
      <c r="B387" s="56"/>
      <c r="C387" s="108" t="str">
        <f>IFNA(VLOOKUP('Dashboard-Dados'!B387,'Dashboard-Dados'!$Y$2:$AA$13,2),"")</f>
        <v/>
      </c>
      <c r="D387" s="109">
        <f>IFERROR(GETPIVOTDATA("Valor Recebido",'Dashboard-Dados'!$J$1,$A$1,A387,$B$1,B387),0)</f>
        <v>0</v>
      </c>
      <c r="E387" s="110">
        <f>IFERROR(GETPIVOTDATA("Valor Despesa",'Dashboard-Dados'!$P$1,$A$1,A387,$B$1,B387),0)</f>
        <v>0</v>
      </c>
      <c r="F387" s="110">
        <f t="shared" si="1"/>
        <v>0</v>
      </c>
      <c r="G387" s="56">
        <f>IFERROR(GETPIVOTDATA("Exame",'Dashboard-Dados'!$J$1,$A$1,A387,$B$1,B387),0)</f>
        <v>0</v>
      </c>
      <c r="H387" s="56">
        <f t="shared" si="2"/>
        <v>387</v>
      </c>
      <c r="U387" s="56"/>
      <c r="V387" s="56"/>
      <c r="W387" s="56"/>
      <c r="Y387" s="138"/>
    </row>
    <row r="388">
      <c r="A388" s="56"/>
      <c r="B388" s="56"/>
      <c r="C388" s="108" t="str">
        <f>IFNA(VLOOKUP('Dashboard-Dados'!B388,'Dashboard-Dados'!$Y$2:$AA$13,2),"")</f>
        <v/>
      </c>
      <c r="D388" s="109">
        <f>IFERROR(GETPIVOTDATA("Valor Recebido",'Dashboard-Dados'!$J$1,$A$1,A388,$B$1,B388),0)</f>
        <v>0</v>
      </c>
      <c r="E388" s="110">
        <f>IFERROR(GETPIVOTDATA("Valor Despesa",'Dashboard-Dados'!$P$1,$A$1,A388,$B$1,B388),0)</f>
        <v>0</v>
      </c>
      <c r="F388" s="110">
        <f t="shared" si="1"/>
        <v>0</v>
      </c>
      <c r="G388" s="56">
        <f>IFERROR(GETPIVOTDATA("Exame",'Dashboard-Dados'!$J$1,$A$1,A388,$B$1,B388),0)</f>
        <v>0</v>
      </c>
      <c r="H388" s="56">
        <f t="shared" si="2"/>
        <v>388</v>
      </c>
      <c r="U388" s="56"/>
      <c r="V388" s="56"/>
      <c r="W388" s="56"/>
      <c r="Y388" s="138"/>
    </row>
    <row r="389">
      <c r="A389" s="56"/>
      <c r="B389" s="56"/>
      <c r="C389" s="108" t="str">
        <f>IFNA(VLOOKUP('Dashboard-Dados'!B389,'Dashboard-Dados'!$Y$2:$AA$13,2),"")</f>
        <v/>
      </c>
      <c r="D389" s="109">
        <f>IFERROR(GETPIVOTDATA("Valor Recebido",'Dashboard-Dados'!$J$1,$A$1,A389,$B$1,B389),0)</f>
        <v>0</v>
      </c>
      <c r="E389" s="110">
        <f>IFERROR(GETPIVOTDATA("Valor Despesa",'Dashboard-Dados'!$P$1,$A$1,A389,$B$1,B389),0)</f>
        <v>0</v>
      </c>
      <c r="F389" s="110">
        <f t="shared" si="1"/>
        <v>0</v>
      </c>
      <c r="G389" s="56">
        <f>IFERROR(GETPIVOTDATA("Exame",'Dashboard-Dados'!$J$1,$A$1,A389,$B$1,B389),0)</f>
        <v>0</v>
      </c>
      <c r="H389" s="56">
        <f t="shared" si="2"/>
        <v>389</v>
      </c>
      <c r="U389" s="56"/>
      <c r="V389" s="56"/>
      <c r="W389" s="56"/>
      <c r="Y389" s="138"/>
    </row>
    <row r="390">
      <c r="A390" s="56"/>
      <c r="B390" s="56"/>
      <c r="C390" s="108" t="str">
        <f>IFNA(VLOOKUP('Dashboard-Dados'!B390,'Dashboard-Dados'!$Y$2:$AA$13,2),"")</f>
        <v/>
      </c>
      <c r="D390" s="109">
        <f>IFERROR(GETPIVOTDATA("Valor Recebido",'Dashboard-Dados'!$J$1,$A$1,A390,$B$1,B390),0)</f>
        <v>0</v>
      </c>
      <c r="E390" s="110">
        <f>IFERROR(GETPIVOTDATA("Valor Despesa",'Dashboard-Dados'!$P$1,$A$1,A390,$B$1,B390),0)</f>
        <v>0</v>
      </c>
      <c r="F390" s="110">
        <f t="shared" si="1"/>
        <v>0</v>
      </c>
      <c r="G390" s="56">
        <f>IFERROR(GETPIVOTDATA("Exame",'Dashboard-Dados'!$J$1,$A$1,A390,$B$1,B390),0)</f>
        <v>0</v>
      </c>
      <c r="H390" s="56">
        <f t="shared" si="2"/>
        <v>390</v>
      </c>
      <c r="U390" s="56"/>
      <c r="V390" s="56"/>
      <c r="W390" s="56"/>
      <c r="Y390" s="138"/>
    </row>
    <row r="391">
      <c r="A391" s="56"/>
      <c r="B391" s="56"/>
      <c r="C391" s="108" t="str">
        <f>IFNA(VLOOKUP('Dashboard-Dados'!B391,'Dashboard-Dados'!$Y$2:$AA$13,2),"")</f>
        <v/>
      </c>
      <c r="D391" s="109">
        <f>IFERROR(GETPIVOTDATA("Valor Recebido",'Dashboard-Dados'!$J$1,$A$1,A391,$B$1,B391),0)</f>
        <v>0</v>
      </c>
      <c r="E391" s="110">
        <f>IFERROR(GETPIVOTDATA("Valor Despesa",'Dashboard-Dados'!$P$1,$A$1,A391,$B$1,B391),0)</f>
        <v>0</v>
      </c>
      <c r="F391" s="110">
        <f t="shared" si="1"/>
        <v>0</v>
      </c>
      <c r="G391" s="56">
        <f>IFERROR(GETPIVOTDATA("Exame",'Dashboard-Dados'!$J$1,$A$1,A391,$B$1,B391),0)</f>
        <v>0</v>
      </c>
      <c r="H391" s="56">
        <f t="shared" si="2"/>
        <v>391</v>
      </c>
      <c r="U391" s="56"/>
      <c r="V391" s="56"/>
      <c r="W391" s="56"/>
      <c r="Y391" s="138"/>
    </row>
    <row r="392">
      <c r="A392" s="56"/>
      <c r="B392" s="56"/>
      <c r="C392" s="108" t="str">
        <f>IFNA(VLOOKUP('Dashboard-Dados'!B392,'Dashboard-Dados'!$Y$2:$AA$13,2),"")</f>
        <v/>
      </c>
      <c r="D392" s="109">
        <f>IFERROR(GETPIVOTDATA("Valor Recebido",'Dashboard-Dados'!$J$1,$A$1,A392,$B$1,B392),0)</f>
        <v>0</v>
      </c>
      <c r="E392" s="110">
        <f>IFERROR(GETPIVOTDATA("Valor Despesa",'Dashboard-Dados'!$P$1,$A$1,A392,$B$1,B392),0)</f>
        <v>0</v>
      </c>
      <c r="F392" s="110">
        <f t="shared" si="1"/>
        <v>0</v>
      </c>
      <c r="G392" s="56">
        <f>IFERROR(GETPIVOTDATA("Exame",'Dashboard-Dados'!$J$1,$A$1,A392,$B$1,B392),0)</f>
        <v>0</v>
      </c>
      <c r="H392" s="56">
        <f t="shared" si="2"/>
        <v>392</v>
      </c>
      <c r="U392" s="56"/>
      <c r="V392" s="56"/>
      <c r="W392" s="56"/>
      <c r="Y392" s="138"/>
    </row>
    <row r="393">
      <c r="A393" s="56"/>
      <c r="B393" s="56"/>
      <c r="C393" s="108" t="str">
        <f>IFNA(VLOOKUP('Dashboard-Dados'!B393,'Dashboard-Dados'!$Y$2:$AA$13,2),"")</f>
        <v/>
      </c>
      <c r="D393" s="109">
        <f>IFERROR(GETPIVOTDATA("Valor Recebido",'Dashboard-Dados'!$J$1,$A$1,A393,$B$1,B393),0)</f>
        <v>0</v>
      </c>
      <c r="E393" s="110">
        <f>IFERROR(GETPIVOTDATA("Valor Despesa",'Dashboard-Dados'!$P$1,$A$1,A393,$B$1,B393),0)</f>
        <v>0</v>
      </c>
      <c r="F393" s="110">
        <f t="shared" si="1"/>
        <v>0</v>
      </c>
      <c r="G393" s="56">
        <f>IFERROR(GETPIVOTDATA("Exame",'Dashboard-Dados'!$J$1,$A$1,A393,$B$1,B393),0)</f>
        <v>0</v>
      </c>
      <c r="H393" s="56">
        <f t="shared" si="2"/>
        <v>393</v>
      </c>
      <c r="U393" s="56"/>
      <c r="V393" s="56"/>
      <c r="W393" s="56"/>
      <c r="Y393" s="138"/>
    </row>
    <row r="394">
      <c r="A394" s="56"/>
      <c r="B394" s="56"/>
      <c r="C394" s="108" t="str">
        <f>IFNA(VLOOKUP('Dashboard-Dados'!B394,'Dashboard-Dados'!$Y$2:$AA$13,2),"")</f>
        <v/>
      </c>
      <c r="D394" s="109">
        <f>IFERROR(GETPIVOTDATA("Valor Recebido",'Dashboard-Dados'!$J$1,$A$1,A394,$B$1,B394),0)</f>
        <v>0</v>
      </c>
      <c r="E394" s="110">
        <f>IFERROR(GETPIVOTDATA("Valor Despesa",'Dashboard-Dados'!$P$1,$A$1,A394,$B$1,B394),0)</f>
        <v>0</v>
      </c>
      <c r="F394" s="110">
        <f t="shared" si="1"/>
        <v>0</v>
      </c>
      <c r="G394" s="56">
        <f>IFERROR(GETPIVOTDATA("Exame",'Dashboard-Dados'!$J$1,$A$1,A394,$B$1,B394),0)</f>
        <v>0</v>
      </c>
      <c r="H394" s="56">
        <f t="shared" si="2"/>
        <v>394</v>
      </c>
      <c r="U394" s="56"/>
      <c r="V394" s="56"/>
      <c r="W394" s="56"/>
      <c r="Y394" s="138"/>
    </row>
    <row r="395">
      <c r="A395" s="56"/>
      <c r="B395" s="56"/>
      <c r="C395" s="108" t="str">
        <f>IFNA(VLOOKUP('Dashboard-Dados'!B395,'Dashboard-Dados'!$Y$2:$AA$13,2),"")</f>
        <v/>
      </c>
      <c r="D395" s="109">
        <f>IFERROR(GETPIVOTDATA("Valor Recebido",'Dashboard-Dados'!$J$1,$A$1,A395,$B$1,B395),0)</f>
        <v>0</v>
      </c>
      <c r="E395" s="110">
        <f>IFERROR(GETPIVOTDATA("Valor Despesa",'Dashboard-Dados'!$P$1,$A$1,A395,$B$1,B395),0)</f>
        <v>0</v>
      </c>
      <c r="F395" s="110">
        <f t="shared" si="1"/>
        <v>0</v>
      </c>
      <c r="G395" s="56">
        <f>IFERROR(GETPIVOTDATA("Exame",'Dashboard-Dados'!$J$1,$A$1,A395,$B$1,B395),0)</f>
        <v>0</v>
      </c>
      <c r="H395" s="56">
        <f t="shared" si="2"/>
        <v>395</v>
      </c>
      <c r="U395" s="56"/>
      <c r="V395" s="56"/>
      <c r="W395" s="56"/>
      <c r="Y395" s="138"/>
    </row>
    <row r="396">
      <c r="A396" s="56"/>
      <c r="B396" s="56"/>
      <c r="C396" s="108" t="str">
        <f>IFNA(VLOOKUP('Dashboard-Dados'!B396,'Dashboard-Dados'!$Y$2:$AA$13,2),"")</f>
        <v/>
      </c>
      <c r="D396" s="109">
        <f>IFERROR(GETPIVOTDATA("Valor Recebido",'Dashboard-Dados'!$J$1,$A$1,A396,$B$1,B396),0)</f>
        <v>0</v>
      </c>
      <c r="E396" s="110">
        <f>IFERROR(GETPIVOTDATA("Valor Despesa",'Dashboard-Dados'!$P$1,$A$1,A396,$B$1,B396),0)</f>
        <v>0</v>
      </c>
      <c r="F396" s="110">
        <f t="shared" si="1"/>
        <v>0</v>
      </c>
      <c r="G396" s="56">
        <f>IFERROR(GETPIVOTDATA("Exame",'Dashboard-Dados'!$J$1,$A$1,A396,$B$1,B396),0)</f>
        <v>0</v>
      </c>
      <c r="H396" s="56">
        <f t="shared" si="2"/>
        <v>396</v>
      </c>
      <c r="U396" s="56"/>
      <c r="V396" s="56"/>
      <c r="W396" s="56"/>
      <c r="Y396" s="138"/>
    </row>
    <row r="397">
      <c r="A397" s="56"/>
      <c r="B397" s="56"/>
      <c r="C397" s="108" t="str">
        <f>IFNA(VLOOKUP('Dashboard-Dados'!B397,'Dashboard-Dados'!$Y$2:$AA$13,2),"")</f>
        <v/>
      </c>
      <c r="D397" s="109">
        <f>IFERROR(GETPIVOTDATA("Valor Recebido",'Dashboard-Dados'!$J$1,$A$1,A397,$B$1,B397),0)</f>
        <v>0</v>
      </c>
      <c r="E397" s="110">
        <f>IFERROR(GETPIVOTDATA("Valor Despesa",'Dashboard-Dados'!$P$1,$A$1,A397,$B$1,B397),0)</f>
        <v>0</v>
      </c>
      <c r="F397" s="110">
        <f t="shared" si="1"/>
        <v>0</v>
      </c>
      <c r="G397" s="56">
        <f>IFERROR(GETPIVOTDATA("Exame",'Dashboard-Dados'!$J$1,$A$1,A397,$B$1,B397),0)</f>
        <v>0</v>
      </c>
      <c r="H397" s="56">
        <f t="shared" si="2"/>
        <v>397</v>
      </c>
      <c r="U397" s="56"/>
      <c r="V397" s="56"/>
      <c r="W397" s="56"/>
      <c r="Y397" s="138"/>
    </row>
    <row r="398">
      <c r="A398" s="56"/>
      <c r="B398" s="56"/>
      <c r="C398" s="108" t="str">
        <f>IFNA(VLOOKUP('Dashboard-Dados'!B398,'Dashboard-Dados'!$Y$2:$AA$13,2),"")</f>
        <v/>
      </c>
      <c r="D398" s="109">
        <f>IFERROR(GETPIVOTDATA("Valor Recebido",'Dashboard-Dados'!$J$1,$A$1,A398,$B$1,B398),0)</f>
        <v>0</v>
      </c>
      <c r="E398" s="110">
        <f>IFERROR(GETPIVOTDATA("Valor Despesa",'Dashboard-Dados'!$P$1,$A$1,A398,$B$1,B398),0)</f>
        <v>0</v>
      </c>
      <c r="F398" s="110">
        <f t="shared" si="1"/>
        <v>0</v>
      </c>
      <c r="G398" s="56">
        <f>IFERROR(GETPIVOTDATA("Exame",'Dashboard-Dados'!$J$1,$A$1,A398,$B$1,B398),0)</f>
        <v>0</v>
      </c>
      <c r="H398" s="56">
        <f t="shared" si="2"/>
        <v>398</v>
      </c>
      <c r="U398" s="56"/>
      <c r="V398" s="56"/>
      <c r="W398" s="56"/>
      <c r="Y398" s="138"/>
    </row>
    <row r="399">
      <c r="A399" s="56"/>
      <c r="B399" s="56"/>
      <c r="C399" s="108" t="str">
        <f>IFNA(VLOOKUP('Dashboard-Dados'!B399,'Dashboard-Dados'!$Y$2:$AA$13,2),"")</f>
        <v/>
      </c>
      <c r="D399" s="109">
        <f>IFERROR(GETPIVOTDATA("Valor Recebido",'Dashboard-Dados'!$J$1,$A$1,A399,$B$1,B399),0)</f>
        <v>0</v>
      </c>
      <c r="E399" s="110">
        <f>IFERROR(GETPIVOTDATA("Valor Despesa",'Dashboard-Dados'!$P$1,$A$1,A399,$B$1,B399),0)</f>
        <v>0</v>
      </c>
      <c r="F399" s="110">
        <f t="shared" si="1"/>
        <v>0</v>
      </c>
      <c r="G399" s="56">
        <f>IFERROR(GETPIVOTDATA("Exame",'Dashboard-Dados'!$J$1,$A$1,A399,$B$1,B399),0)</f>
        <v>0</v>
      </c>
      <c r="H399" s="56">
        <f t="shared" si="2"/>
        <v>399</v>
      </c>
      <c r="U399" s="56"/>
      <c r="V399" s="56"/>
      <c r="W399" s="56"/>
      <c r="Y399" s="138"/>
    </row>
    <row r="400">
      <c r="A400" s="56"/>
      <c r="B400" s="56"/>
      <c r="C400" s="108" t="str">
        <f>IFNA(VLOOKUP('Dashboard-Dados'!B400,'Dashboard-Dados'!$Y$2:$AA$13,2),"")</f>
        <v/>
      </c>
      <c r="D400" s="109">
        <f>IFERROR(GETPIVOTDATA("Valor Recebido",'Dashboard-Dados'!$J$1,$A$1,A400,$B$1,B400),0)</f>
        <v>0</v>
      </c>
      <c r="E400" s="110">
        <f>IFERROR(GETPIVOTDATA("Valor Despesa",'Dashboard-Dados'!$P$1,$A$1,A400,$B$1,B400),0)</f>
        <v>0</v>
      </c>
      <c r="F400" s="110">
        <f t="shared" si="1"/>
        <v>0</v>
      </c>
      <c r="G400" s="56">
        <f>IFERROR(GETPIVOTDATA("Exame",'Dashboard-Dados'!$J$1,$A$1,A400,$B$1,B400),0)</f>
        <v>0</v>
      </c>
      <c r="H400" s="56">
        <f t="shared" si="2"/>
        <v>400</v>
      </c>
      <c r="U400" s="56"/>
      <c r="V400" s="56"/>
      <c r="W400" s="56"/>
      <c r="Y400" s="138"/>
    </row>
    <row r="401">
      <c r="A401" s="56"/>
      <c r="B401" s="56"/>
      <c r="C401" s="108" t="str">
        <f>IFNA(VLOOKUP('Dashboard-Dados'!B401,'Dashboard-Dados'!$Y$2:$AA$13,2),"")</f>
        <v/>
      </c>
      <c r="D401" s="109">
        <f>IFERROR(GETPIVOTDATA("Valor Recebido",'Dashboard-Dados'!$J$1,$A$1,A401,$B$1,B401),0)</f>
        <v>0</v>
      </c>
      <c r="E401" s="110">
        <f>IFERROR(GETPIVOTDATA("Valor Despesa",'Dashboard-Dados'!$P$1,$A$1,A401,$B$1,B401),0)</f>
        <v>0</v>
      </c>
      <c r="F401" s="110">
        <f t="shared" si="1"/>
        <v>0</v>
      </c>
      <c r="G401" s="56">
        <f>IFERROR(GETPIVOTDATA("Exame",'Dashboard-Dados'!$J$1,$A$1,A401,$B$1,B401),0)</f>
        <v>0</v>
      </c>
      <c r="H401" s="56">
        <f t="shared" si="2"/>
        <v>401</v>
      </c>
      <c r="U401" s="56"/>
      <c r="V401" s="56"/>
      <c r="W401" s="56"/>
      <c r="Y401" s="138"/>
    </row>
    <row r="402">
      <c r="A402" s="56"/>
      <c r="B402" s="56"/>
      <c r="C402" s="108" t="str">
        <f>IFNA(VLOOKUP('Dashboard-Dados'!B402,'Dashboard-Dados'!$Y$2:$AA$13,2),"")</f>
        <v/>
      </c>
      <c r="D402" s="109">
        <f>IFERROR(GETPIVOTDATA("Valor Recebido",'Dashboard-Dados'!$J$1,$A$1,A402,$B$1,B402),0)</f>
        <v>0</v>
      </c>
      <c r="E402" s="110">
        <f>IFERROR(GETPIVOTDATA("Valor Despesa",'Dashboard-Dados'!$P$1,$A$1,A402,$B$1,B402),0)</f>
        <v>0</v>
      </c>
      <c r="F402" s="110">
        <f t="shared" si="1"/>
        <v>0</v>
      </c>
      <c r="G402" s="56">
        <f>IFERROR(GETPIVOTDATA("Exame",'Dashboard-Dados'!$J$1,$A$1,A402,$B$1,B402),0)</f>
        <v>0</v>
      </c>
      <c r="H402" s="56">
        <f t="shared" si="2"/>
        <v>402</v>
      </c>
      <c r="U402" s="56"/>
      <c r="V402" s="56"/>
      <c r="W402" s="56"/>
      <c r="Y402" s="138"/>
    </row>
    <row r="403">
      <c r="A403" s="56"/>
      <c r="B403" s="56"/>
      <c r="C403" s="108" t="str">
        <f>IFNA(VLOOKUP('Dashboard-Dados'!B403,'Dashboard-Dados'!$Y$2:$AA$13,2),"")</f>
        <v/>
      </c>
      <c r="D403" s="109">
        <f>IFERROR(GETPIVOTDATA("Valor Recebido",'Dashboard-Dados'!$J$1,$A$1,A403,$B$1,B403),0)</f>
        <v>0</v>
      </c>
      <c r="E403" s="110">
        <f>IFERROR(GETPIVOTDATA("Valor Despesa",'Dashboard-Dados'!$P$1,$A$1,A403,$B$1,B403),0)</f>
        <v>0</v>
      </c>
      <c r="F403" s="110">
        <f t="shared" si="1"/>
        <v>0</v>
      </c>
      <c r="G403" s="56">
        <f>IFERROR(GETPIVOTDATA("Exame",'Dashboard-Dados'!$J$1,$A$1,A403,$B$1,B403),0)</f>
        <v>0</v>
      </c>
      <c r="H403" s="56">
        <f t="shared" si="2"/>
        <v>403</v>
      </c>
      <c r="U403" s="56"/>
      <c r="V403" s="56"/>
      <c r="W403" s="56"/>
      <c r="Y403" s="138"/>
    </row>
    <row r="404">
      <c r="A404" s="56"/>
      <c r="B404" s="56"/>
      <c r="C404" s="108" t="str">
        <f>IFNA(VLOOKUP('Dashboard-Dados'!B404,'Dashboard-Dados'!$Y$2:$AA$13,2),"")</f>
        <v/>
      </c>
      <c r="D404" s="109">
        <f>IFERROR(GETPIVOTDATA("Valor Recebido",'Dashboard-Dados'!$J$1,$A$1,A404,$B$1,B404),0)</f>
        <v>0</v>
      </c>
      <c r="E404" s="110">
        <f>IFERROR(GETPIVOTDATA("Valor Despesa",'Dashboard-Dados'!$P$1,$A$1,A404,$B$1,B404),0)</f>
        <v>0</v>
      </c>
      <c r="F404" s="110">
        <f t="shared" si="1"/>
        <v>0</v>
      </c>
      <c r="G404" s="56">
        <f>IFERROR(GETPIVOTDATA("Exame",'Dashboard-Dados'!$J$1,$A$1,A404,$B$1,B404),0)</f>
        <v>0</v>
      </c>
      <c r="H404" s="56">
        <f t="shared" si="2"/>
        <v>404</v>
      </c>
      <c r="U404" s="56"/>
      <c r="V404" s="56"/>
      <c r="W404" s="56"/>
      <c r="Y404" s="138"/>
    </row>
    <row r="405">
      <c r="A405" s="56"/>
      <c r="B405" s="56"/>
      <c r="C405" s="108" t="str">
        <f>IFNA(VLOOKUP('Dashboard-Dados'!B405,'Dashboard-Dados'!$Y$2:$AA$13,2),"")</f>
        <v/>
      </c>
      <c r="D405" s="109">
        <f>IFERROR(GETPIVOTDATA("Valor Recebido",'Dashboard-Dados'!$J$1,$A$1,A405,$B$1,B405),0)</f>
        <v>0</v>
      </c>
      <c r="E405" s="110">
        <f>IFERROR(GETPIVOTDATA("Valor Despesa",'Dashboard-Dados'!$P$1,$A$1,A405,$B$1,B405),0)</f>
        <v>0</v>
      </c>
      <c r="F405" s="110">
        <f t="shared" si="1"/>
        <v>0</v>
      </c>
      <c r="G405" s="56">
        <f>IFERROR(GETPIVOTDATA("Exame",'Dashboard-Dados'!$J$1,$A$1,A405,$B$1,B405),0)</f>
        <v>0</v>
      </c>
      <c r="H405" s="56">
        <f t="shared" si="2"/>
        <v>405</v>
      </c>
      <c r="U405" s="56"/>
      <c r="V405" s="56"/>
      <c r="W405" s="56"/>
      <c r="Y405" s="138"/>
    </row>
    <row r="406">
      <c r="A406" s="56"/>
      <c r="B406" s="56"/>
      <c r="C406" s="108" t="str">
        <f>IFNA(VLOOKUP('Dashboard-Dados'!B406,'Dashboard-Dados'!$Y$2:$AA$13,2),"")</f>
        <v/>
      </c>
      <c r="D406" s="109">
        <f>IFERROR(GETPIVOTDATA("Valor Recebido",'Dashboard-Dados'!$J$1,$A$1,A406,$B$1,B406),0)</f>
        <v>0</v>
      </c>
      <c r="E406" s="110">
        <f>IFERROR(GETPIVOTDATA("Valor Despesa",'Dashboard-Dados'!$P$1,$A$1,A406,$B$1,B406),0)</f>
        <v>0</v>
      </c>
      <c r="F406" s="110">
        <f t="shared" si="1"/>
        <v>0</v>
      </c>
      <c r="G406" s="56">
        <f>IFERROR(GETPIVOTDATA("Exame",'Dashboard-Dados'!$J$1,$A$1,A406,$B$1,B406),0)</f>
        <v>0</v>
      </c>
      <c r="H406" s="56">
        <f t="shared" si="2"/>
        <v>406</v>
      </c>
      <c r="U406" s="56"/>
      <c r="V406" s="56"/>
      <c r="W406" s="56"/>
      <c r="Y406" s="138"/>
    </row>
    <row r="407">
      <c r="A407" s="56"/>
      <c r="B407" s="56"/>
      <c r="C407" s="108" t="str">
        <f>IFNA(VLOOKUP('Dashboard-Dados'!B407,'Dashboard-Dados'!$Y$2:$AA$13,2),"")</f>
        <v/>
      </c>
      <c r="D407" s="109">
        <f>IFERROR(GETPIVOTDATA("Valor Recebido",'Dashboard-Dados'!$J$1,$A$1,A407,$B$1,B407),0)</f>
        <v>0</v>
      </c>
      <c r="E407" s="110">
        <f>IFERROR(GETPIVOTDATA("Valor Despesa",'Dashboard-Dados'!$P$1,$A$1,A407,$B$1,B407),0)</f>
        <v>0</v>
      </c>
      <c r="F407" s="110">
        <f t="shared" si="1"/>
        <v>0</v>
      </c>
      <c r="G407" s="56">
        <f>IFERROR(GETPIVOTDATA("Exame",'Dashboard-Dados'!$J$1,$A$1,A407,$B$1,B407),0)</f>
        <v>0</v>
      </c>
      <c r="H407" s="56">
        <f t="shared" si="2"/>
        <v>407</v>
      </c>
      <c r="U407" s="56"/>
      <c r="V407" s="56"/>
      <c r="W407" s="56"/>
      <c r="Y407" s="138"/>
    </row>
    <row r="408">
      <c r="A408" s="56"/>
      <c r="B408" s="56"/>
      <c r="C408" s="108" t="str">
        <f>IFNA(VLOOKUP('Dashboard-Dados'!B408,'Dashboard-Dados'!$Y$2:$AA$13,2),"")</f>
        <v/>
      </c>
      <c r="D408" s="109">
        <f>IFERROR(GETPIVOTDATA("Valor Recebido",'Dashboard-Dados'!$J$1,$A$1,A408,$B$1,B408),0)</f>
        <v>0</v>
      </c>
      <c r="E408" s="110">
        <f>IFERROR(GETPIVOTDATA("Valor Despesa",'Dashboard-Dados'!$P$1,$A$1,A408,$B$1,B408),0)</f>
        <v>0</v>
      </c>
      <c r="F408" s="110">
        <f t="shared" si="1"/>
        <v>0</v>
      </c>
      <c r="G408" s="56">
        <f>IFERROR(GETPIVOTDATA("Exame",'Dashboard-Dados'!$J$1,$A$1,A408,$B$1,B408),0)</f>
        <v>0</v>
      </c>
      <c r="H408" s="56">
        <f t="shared" si="2"/>
        <v>408</v>
      </c>
      <c r="U408" s="56"/>
      <c r="V408" s="56"/>
      <c r="W408" s="56"/>
      <c r="Y408" s="138"/>
    </row>
    <row r="409">
      <c r="A409" s="56"/>
      <c r="B409" s="56"/>
      <c r="C409" s="108" t="str">
        <f>IFNA(VLOOKUP('Dashboard-Dados'!B409,'Dashboard-Dados'!$Y$2:$AA$13,2),"")</f>
        <v/>
      </c>
      <c r="D409" s="109">
        <f>IFERROR(GETPIVOTDATA("Valor Recebido",'Dashboard-Dados'!$J$1,$A$1,A409,$B$1,B409),0)</f>
        <v>0</v>
      </c>
      <c r="E409" s="110">
        <f>IFERROR(GETPIVOTDATA("Valor Despesa",'Dashboard-Dados'!$P$1,$A$1,A409,$B$1,B409),0)</f>
        <v>0</v>
      </c>
      <c r="F409" s="110">
        <f t="shared" si="1"/>
        <v>0</v>
      </c>
      <c r="G409" s="56">
        <f>IFERROR(GETPIVOTDATA("Exame",'Dashboard-Dados'!$J$1,$A$1,A409,$B$1,B409),0)</f>
        <v>0</v>
      </c>
      <c r="H409" s="56">
        <f t="shared" si="2"/>
        <v>409</v>
      </c>
      <c r="U409" s="56"/>
      <c r="V409" s="56"/>
      <c r="W409" s="56"/>
      <c r="Y409" s="138"/>
    </row>
    <row r="410">
      <c r="A410" s="56"/>
      <c r="B410" s="56"/>
      <c r="C410" s="108" t="str">
        <f>IFNA(VLOOKUP('Dashboard-Dados'!B410,'Dashboard-Dados'!$Y$2:$AA$13,2),"")</f>
        <v/>
      </c>
      <c r="D410" s="109">
        <f>IFERROR(GETPIVOTDATA("Valor Recebido",'Dashboard-Dados'!$J$1,$A$1,A410,$B$1,B410),0)</f>
        <v>0</v>
      </c>
      <c r="E410" s="110">
        <f>IFERROR(GETPIVOTDATA("Valor Despesa",'Dashboard-Dados'!$P$1,$A$1,A410,$B$1,B410),0)</f>
        <v>0</v>
      </c>
      <c r="F410" s="110">
        <f t="shared" si="1"/>
        <v>0</v>
      </c>
      <c r="G410" s="56">
        <f>IFERROR(GETPIVOTDATA("Exame",'Dashboard-Dados'!$J$1,$A$1,A410,$B$1,B410),0)</f>
        <v>0</v>
      </c>
      <c r="H410" s="56">
        <f t="shared" si="2"/>
        <v>410</v>
      </c>
      <c r="U410" s="56"/>
      <c r="V410" s="56"/>
      <c r="W410" s="56"/>
      <c r="Y410" s="138"/>
    </row>
    <row r="411">
      <c r="A411" s="56"/>
      <c r="B411" s="56"/>
      <c r="C411" s="108" t="str">
        <f>IFNA(VLOOKUP('Dashboard-Dados'!B411,'Dashboard-Dados'!$Y$2:$AA$13,2),"")</f>
        <v/>
      </c>
      <c r="D411" s="109">
        <f>IFERROR(GETPIVOTDATA("Valor Recebido",'Dashboard-Dados'!$J$1,$A$1,A411,$B$1,B411),0)</f>
        <v>0</v>
      </c>
      <c r="E411" s="110">
        <f>IFERROR(GETPIVOTDATA("Valor Despesa",'Dashboard-Dados'!$P$1,$A$1,A411,$B$1,B411),0)</f>
        <v>0</v>
      </c>
      <c r="F411" s="110">
        <f t="shared" si="1"/>
        <v>0</v>
      </c>
      <c r="G411" s="56">
        <f>IFERROR(GETPIVOTDATA("Exame",'Dashboard-Dados'!$J$1,$A$1,A411,$B$1,B411),0)</f>
        <v>0</v>
      </c>
      <c r="H411" s="56">
        <f t="shared" si="2"/>
        <v>411</v>
      </c>
      <c r="U411" s="56"/>
      <c r="V411" s="56"/>
      <c r="W411" s="56"/>
      <c r="Y411" s="138"/>
    </row>
    <row r="412">
      <c r="A412" s="56"/>
      <c r="B412" s="56"/>
      <c r="C412" s="108" t="str">
        <f>IFNA(VLOOKUP('Dashboard-Dados'!B412,'Dashboard-Dados'!$Y$2:$AA$13,2),"")</f>
        <v/>
      </c>
      <c r="D412" s="109">
        <f>IFERROR(GETPIVOTDATA("Valor Recebido",'Dashboard-Dados'!$J$1,$A$1,A412,$B$1,B412),0)</f>
        <v>0</v>
      </c>
      <c r="E412" s="110">
        <f>IFERROR(GETPIVOTDATA("Valor Despesa",'Dashboard-Dados'!$P$1,$A$1,A412,$B$1,B412),0)</f>
        <v>0</v>
      </c>
      <c r="F412" s="110">
        <f t="shared" si="1"/>
        <v>0</v>
      </c>
      <c r="G412" s="56">
        <f>IFERROR(GETPIVOTDATA("Exame",'Dashboard-Dados'!$J$1,$A$1,A412,$B$1,B412),0)</f>
        <v>0</v>
      </c>
      <c r="H412" s="56">
        <f t="shared" si="2"/>
        <v>412</v>
      </c>
      <c r="U412" s="56"/>
      <c r="V412" s="56"/>
      <c r="W412" s="56"/>
      <c r="Y412" s="138"/>
    </row>
    <row r="413">
      <c r="A413" s="56"/>
      <c r="B413" s="56"/>
      <c r="C413" s="108" t="str">
        <f>IFNA(VLOOKUP('Dashboard-Dados'!B413,'Dashboard-Dados'!$Y$2:$AA$13,2),"")</f>
        <v/>
      </c>
      <c r="D413" s="109">
        <f>IFERROR(GETPIVOTDATA("Valor Recebido",'Dashboard-Dados'!$J$1,$A$1,A413,$B$1,B413),0)</f>
        <v>0</v>
      </c>
      <c r="E413" s="110">
        <f>IFERROR(GETPIVOTDATA("Valor Despesa",'Dashboard-Dados'!$P$1,$A$1,A413,$B$1,B413),0)</f>
        <v>0</v>
      </c>
      <c r="F413" s="110">
        <f t="shared" si="1"/>
        <v>0</v>
      </c>
      <c r="G413" s="56">
        <f>IFERROR(GETPIVOTDATA("Exame",'Dashboard-Dados'!$J$1,$A$1,A413,$B$1,B413),0)</f>
        <v>0</v>
      </c>
      <c r="H413" s="56">
        <f t="shared" si="2"/>
        <v>413</v>
      </c>
      <c r="U413" s="56"/>
      <c r="V413" s="56"/>
      <c r="W413" s="56"/>
      <c r="Y413" s="138"/>
    </row>
    <row r="414">
      <c r="A414" s="56"/>
      <c r="B414" s="56"/>
      <c r="C414" s="108" t="str">
        <f>IFNA(VLOOKUP('Dashboard-Dados'!B414,'Dashboard-Dados'!$Y$2:$AA$13,2),"")</f>
        <v/>
      </c>
      <c r="D414" s="109">
        <f>IFERROR(GETPIVOTDATA("Valor Recebido",'Dashboard-Dados'!$J$1,$A$1,A414,$B$1,B414),0)</f>
        <v>0</v>
      </c>
      <c r="E414" s="110">
        <f>IFERROR(GETPIVOTDATA("Valor Despesa",'Dashboard-Dados'!$P$1,$A$1,A414,$B$1,B414),0)</f>
        <v>0</v>
      </c>
      <c r="F414" s="110">
        <f t="shared" si="1"/>
        <v>0</v>
      </c>
      <c r="G414" s="56">
        <f>IFERROR(GETPIVOTDATA("Exame",'Dashboard-Dados'!$J$1,$A$1,A414,$B$1,B414),0)</f>
        <v>0</v>
      </c>
      <c r="H414" s="56">
        <f t="shared" si="2"/>
        <v>414</v>
      </c>
      <c r="U414" s="56"/>
      <c r="V414" s="56"/>
      <c r="W414" s="56"/>
      <c r="Y414" s="138"/>
    </row>
    <row r="415">
      <c r="A415" s="56"/>
      <c r="B415" s="56"/>
      <c r="C415" s="108" t="str">
        <f>IFNA(VLOOKUP('Dashboard-Dados'!B415,'Dashboard-Dados'!$Y$2:$AA$13,2),"")</f>
        <v/>
      </c>
      <c r="D415" s="109">
        <f>IFERROR(GETPIVOTDATA("Valor Recebido",'Dashboard-Dados'!$J$1,$A$1,A415,$B$1,B415),0)</f>
        <v>0</v>
      </c>
      <c r="E415" s="110">
        <f>IFERROR(GETPIVOTDATA("Valor Despesa",'Dashboard-Dados'!$P$1,$A$1,A415,$B$1,B415),0)</f>
        <v>0</v>
      </c>
      <c r="F415" s="110">
        <f t="shared" si="1"/>
        <v>0</v>
      </c>
      <c r="G415" s="56">
        <f>IFERROR(GETPIVOTDATA("Exame",'Dashboard-Dados'!$J$1,$A$1,A415,$B$1,B415),0)</f>
        <v>0</v>
      </c>
      <c r="H415" s="56">
        <f t="shared" si="2"/>
        <v>415</v>
      </c>
      <c r="U415" s="56"/>
      <c r="V415" s="56"/>
      <c r="W415" s="56"/>
      <c r="Y415" s="138"/>
    </row>
    <row r="416">
      <c r="A416" s="56"/>
      <c r="B416" s="56"/>
      <c r="C416" s="108" t="str">
        <f>IFNA(VLOOKUP('Dashboard-Dados'!B416,'Dashboard-Dados'!$Y$2:$AA$13,2),"")</f>
        <v/>
      </c>
      <c r="D416" s="109">
        <f>IFERROR(GETPIVOTDATA("Valor Recebido",'Dashboard-Dados'!$J$1,$A$1,A416,$B$1,B416),0)</f>
        <v>0</v>
      </c>
      <c r="E416" s="110">
        <f>IFERROR(GETPIVOTDATA("Valor Despesa",'Dashboard-Dados'!$P$1,$A$1,A416,$B$1,B416),0)</f>
        <v>0</v>
      </c>
      <c r="F416" s="110">
        <f t="shared" si="1"/>
        <v>0</v>
      </c>
      <c r="G416" s="56">
        <f>IFERROR(GETPIVOTDATA("Exame",'Dashboard-Dados'!$J$1,$A$1,A416,$B$1,B416),0)</f>
        <v>0</v>
      </c>
      <c r="H416" s="56">
        <f t="shared" si="2"/>
        <v>416</v>
      </c>
      <c r="U416" s="56"/>
      <c r="V416" s="56"/>
      <c r="W416" s="56"/>
      <c r="Y416" s="138"/>
    </row>
    <row r="417">
      <c r="A417" s="56"/>
      <c r="B417" s="56"/>
      <c r="C417" s="108" t="str">
        <f>IFNA(VLOOKUP('Dashboard-Dados'!B417,'Dashboard-Dados'!$Y$2:$AA$13,2),"")</f>
        <v/>
      </c>
      <c r="D417" s="109">
        <f>IFERROR(GETPIVOTDATA("Valor Recebido",'Dashboard-Dados'!$J$1,$A$1,A417,$B$1,B417),0)</f>
        <v>0</v>
      </c>
      <c r="E417" s="110">
        <f>IFERROR(GETPIVOTDATA("Valor Despesa",'Dashboard-Dados'!$P$1,$A$1,A417,$B$1,B417),0)</f>
        <v>0</v>
      </c>
      <c r="F417" s="110">
        <f t="shared" si="1"/>
        <v>0</v>
      </c>
      <c r="G417" s="56">
        <f>IFERROR(GETPIVOTDATA("Exame",'Dashboard-Dados'!$J$1,$A$1,A417,$B$1,B417),0)</f>
        <v>0</v>
      </c>
      <c r="H417" s="56">
        <f t="shared" si="2"/>
        <v>417</v>
      </c>
      <c r="U417" s="56"/>
      <c r="V417" s="56"/>
      <c r="W417" s="56"/>
      <c r="Y417" s="138"/>
    </row>
    <row r="418">
      <c r="A418" s="56"/>
      <c r="B418" s="56"/>
      <c r="C418" s="108" t="str">
        <f>IFNA(VLOOKUP('Dashboard-Dados'!B418,'Dashboard-Dados'!$Y$2:$AA$13,2),"")</f>
        <v/>
      </c>
      <c r="D418" s="109">
        <f>IFERROR(GETPIVOTDATA("Valor Recebido",'Dashboard-Dados'!$J$1,$A$1,A418,$B$1,B418),0)</f>
        <v>0</v>
      </c>
      <c r="E418" s="110">
        <f>IFERROR(GETPIVOTDATA("Valor Despesa",'Dashboard-Dados'!$P$1,$A$1,A418,$B$1,B418),0)</f>
        <v>0</v>
      </c>
      <c r="F418" s="110">
        <f t="shared" si="1"/>
        <v>0</v>
      </c>
      <c r="G418" s="56">
        <f>IFERROR(GETPIVOTDATA("Exame",'Dashboard-Dados'!$J$1,$A$1,A418,$B$1,B418),0)</f>
        <v>0</v>
      </c>
      <c r="H418" s="56">
        <f t="shared" si="2"/>
        <v>418</v>
      </c>
      <c r="U418" s="56"/>
      <c r="V418" s="56"/>
      <c r="W418" s="56"/>
      <c r="Y418" s="138"/>
    </row>
    <row r="419">
      <c r="A419" s="56"/>
      <c r="B419" s="56"/>
      <c r="C419" s="108" t="str">
        <f>IFNA(VLOOKUP('Dashboard-Dados'!B419,'Dashboard-Dados'!$Y$2:$AA$13,2),"")</f>
        <v/>
      </c>
      <c r="D419" s="109">
        <f>IFERROR(GETPIVOTDATA("Valor Recebido",'Dashboard-Dados'!$J$1,$A$1,A419,$B$1,B419),0)</f>
        <v>0</v>
      </c>
      <c r="E419" s="110">
        <f>IFERROR(GETPIVOTDATA("Valor Despesa",'Dashboard-Dados'!$P$1,$A$1,A419,$B$1,B419),0)</f>
        <v>0</v>
      </c>
      <c r="F419" s="110">
        <f t="shared" si="1"/>
        <v>0</v>
      </c>
      <c r="G419" s="56">
        <f>IFERROR(GETPIVOTDATA("Exame",'Dashboard-Dados'!$J$1,$A$1,A419,$B$1,B419),0)</f>
        <v>0</v>
      </c>
      <c r="H419" s="56">
        <f t="shared" si="2"/>
        <v>419</v>
      </c>
      <c r="U419" s="56"/>
      <c r="V419" s="56"/>
      <c r="W419" s="56"/>
      <c r="Y419" s="138"/>
    </row>
    <row r="420">
      <c r="A420" s="56"/>
      <c r="B420" s="56"/>
      <c r="C420" s="108" t="str">
        <f>IFNA(VLOOKUP('Dashboard-Dados'!B420,'Dashboard-Dados'!$Y$2:$AA$13,2),"")</f>
        <v/>
      </c>
      <c r="D420" s="109">
        <f>IFERROR(GETPIVOTDATA("Valor Recebido",'Dashboard-Dados'!$J$1,$A$1,A420,$B$1,B420),0)</f>
        <v>0</v>
      </c>
      <c r="E420" s="110">
        <f>IFERROR(GETPIVOTDATA("Valor Despesa",'Dashboard-Dados'!$P$1,$A$1,A420,$B$1,B420),0)</f>
        <v>0</v>
      </c>
      <c r="F420" s="110">
        <f t="shared" si="1"/>
        <v>0</v>
      </c>
      <c r="G420" s="56">
        <f>IFERROR(GETPIVOTDATA("Exame",'Dashboard-Dados'!$J$1,$A$1,A420,$B$1,B420),0)</f>
        <v>0</v>
      </c>
      <c r="H420" s="56">
        <f t="shared" si="2"/>
        <v>420</v>
      </c>
      <c r="U420" s="56"/>
      <c r="V420" s="56"/>
      <c r="W420" s="56"/>
      <c r="Y420" s="138"/>
    </row>
    <row r="421">
      <c r="A421" s="56"/>
      <c r="B421" s="56"/>
      <c r="C421" s="108" t="str">
        <f>IFNA(VLOOKUP('Dashboard-Dados'!B421,'Dashboard-Dados'!$Y$2:$AA$13,2),"")</f>
        <v/>
      </c>
      <c r="D421" s="109">
        <f>IFERROR(GETPIVOTDATA("Valor Recebido",'Dashboard-Dados'!$J$1,$A$1,A421,$B$1,B421),0)</f>
        <v>0</v>
      </c>
      <c r="E421" s="110">
        <f>IFERROR(GETPIVOTDATA("Valor Despesa",'Dashboard-Dados'!$P$1,$A$1,A421,$B$1,B421),0)</f>
        <v>0</v>
      </c>
      <c r="F421" s="110">
        <f t="shared" si="1"/>
        <v>0</v>
      </c>
      <c r="G421" s="56">
        <f>IFERROR(GETPIVOTDATA("Exame",'Dashboard-Dados'!$J$1,$A$1,A421,$B$1,B421),0)</f>
        <v>0</v>
      </c>
      <c r="H421" s="56">
        <f t="shared" si="2"/>
        <v>421</v>
      </c>
      <c r="U421" s="56"/>
      <c r="V421" s="56"/>
      <c r="W421" s="56"/>
      <c r="Y421" s="138"/>
    </row>
    <row r="422">
      <c r="A422" s="56"/>
      <c r="B422" s="56"/>
      <c r="C422" s="108" t="str">
        <f>IFNA(VLOOKUP('Dashboard-Dados'!B422,'Dashboard-Dados'!$Y$2:$AA$13,2),"")</f>
        <v/>
      </c>
      <c r="D422" s="109">
        <f>IFERROR(GETPIVOTDATA("Valor Recebido",'Dashboard-Dados'!$J$1,$A$1,A422,$B$1,B422),0)</f>
        <v>0</v>
      </c>
      <c r="E422" s="110">
        <f>IFERROR(GETPIVOTDATA("Valor Despesa",'Dashboard-Dados'!$P$1,$A$1,A422,$B$1,B422),0)</f>
        <v>0</v>
      </c>
      <c r="F422" s="110">
        <f t="shared" si="1"/>
        <v>0</v>
      </c>
      <c r="G422" s="56">
        <f>IFERROR(GETPIVOTDATA("Exame",'Dashboard-Dados'!$J$1,$A$1,A422,$B$1,B422),0)</f>
        <v>0</v>
      </c>
      <c r="H422" s="56">
        <f t="shared" si="2"/>
        <v>422</v>
      </c>
      <c r="U422" s="56"/>
      <c r="V422" s="56"/>
      <c r="W422" s="56"/>
      <c r="Y422" s="138"/>
    </row>
    <row r="423">
      <c r="A423" s="56"/>
      <c r="B423" s="56"/>
      <c r="C423" s="108" t="str">
        <f>IFNA(VLOOKUP('Dashboard-Dados'!B423,'Dashboard-Dados'!$Y$2:$AA$13,2),"")</f>
        <v/>
      </c>
      <c r="D423" s="109">
        <f>IFERROR(GETPIVOTDATA("Valor Recebido",'Dashboard-Dados'!$J$1,$A$1,A423,$B$1,B423),0)</f>
        <v>0</v>
      </c>
      <c r="E423" s="110">
        <f>IFERROR(GETPIVOTDATA("Valor Despesa",'Dashboard-Dados'!$P$1,$A$1,A423,$B$1,B423),0)</f>
        <v>0</v>
      </c>
      <c r="F423" s="110">
        <f t="shared" si="1"/>
        <v>0</v>
      </c>
      <c r="G423" s="56">
        <f>IFERROR(GETPIVOTDATA("Exame",'Dashboard-Dados'!$J$1,$A$1,A423,$B$1,B423),0)</f>
        <v>0</v>
      </c>
      <c r="H423" s="56">
        <f t="shared" si="2"/>
        <v>423</v>
      </c>
      <c r="U423" s="56"/>
      <c r="V423" s="56"/>
      <c r="W423" s="56"/>
      <c r="Y423" s="138"/>
    </row>
    <row r="424">
      <c r="A424" s="56"/>
      <c r="B424" s="56"/>
      <c r="C424" s="108" t="str">
        <f>IFNA(VLOOKUP('Dashboard-Dados'!B424,'Dashboard-Dados'!$Y$2:$AA$13,2),"")</f>
        <v/>
      </c>
      <c r="D424" s="109">
        <f>IFERROR(GETPIVOTDATA("Valor Recebido",'Dashboard-Dados'!$J$1,$A$1,A424,$B$1,B424),0)</f>
        <v>0</v>
      </c>
      <c r="E424" s="110">
        <f>IFERROR(GETPIVOTDATA("Valor Despesa",'Dashboard-Dados'!$P$1,$A$1,A424,$B$1,B424),0)</f>
        <v>0</v>
      </c>
      <c r="F424" s="110">
        <f t="shared" si="1"/>
        <v>0</v>
      </c>
      <c r="G424" s="56">
        <f>IFERROR(GETPIVOTDATA("Exame",'Dashboard-Dados'!$J$1,$A$1,A424,$B$1,B424),0)</f>
        <v>0</v>
      </c>
      <c r="H424" s="56">
        <f t="shared" si="2"/>
        <v>424</v>
      </c>
      <c r="U424" s="56"/>
      <c r="V424" s="56"/>
      <c r="W424" s="56"/>
      <c r="Y424" s="138"/>
    </row>
    <row r="425">
      <c r="A425" s="56"/>
      <c r="B425" s="56"/>
      <c r="C425" s="108" t="str">
        <f>IFNA(VLOOKUP('Dashboard-Dados'!B425,'Dashboard-Dados'!$Y$2:$AA$13,2),"")</f>
        <v/>
      </c>
      <c r="D425" s="109">
        <f>IFERROR(GETPIVOTDATA("Valor Recebido",'Dashboard-Dados'!$J$1,$A$1,A425,$B$1,B425),0)</f>
        <v>0</v>
      </c>
      <c r="E425" s="110">
        <f>IFERROR(GETPIVOTDATA("Valor Despesa",'Dashboard-Dados'!$P$1,$A$1,A425,$B$1,B425),0)</f>
        <v>0</v>
      </c>
      <c r="F425" s="110">
        <f t="shared" si="1"/>
        <v>0</v>
      </c>
      <c r="G425" s="56">
        <f>IFERROR(GETPIVOTDATA("Exame",'Dashboard-Dados'!$J$1,$A$1,A425,$B$1,B425),0)</f>
        <v>0</v>
      </c>
      <c r="H425" s="56">
        <f t="shared" si="2"/>
        <v>425</v>
      </c>
      <c r="U425" s="56"/>
      <c r="V425" s="56"/>
      <c r="W425" s="56"/>
      <c r="Y425" s="138"/>
    </row>
    <row r="426">
      <c r="A426" s="56"/>
      <c r="B426" s="56"/>
      <c r="C426" s="108" t="str">
        <f>IFNA(VLOOKUP('Dashboard-Dados'!B426,'Dashboard-Dados'!$Y$2:$AA$13,2),"")</f>
        <v/>
      </c>
      <c r="D426" s="109">
        <f>IFERROR(GETPIVOTDATA("Valor Recebido",'Dashboard-Dados'!$J$1,$A$1,A426,$B$1,B426),0)</f>
        <v>0</v>
      </c>
      <c r="E426" s="110">
        <f>IFERROR(GETPIVOTDATA("Valor Despesa",'Dashboard-Dados'!$P$1,$A$1,A426,$B$1,B426),0)</f>
        <v>0</v>
      </c>
      <c r="F426" s="110">
        <f t="shared" si="1"/>
        <v>0</v>
      </c>
      <c r="G426" s="56">
        <f>IFERROR(GETPIVOTDATA("Exame",'Dashboard-Dados'!$J$1,$A$1,A426,$B$1,B426),0)</f>
        <v>0</v>
      </c>
      <c r="H426" s="56">
        <f t="shared" si="2"/>
        <v>426</v>
      </c>
      <c r="U426" s="56"/>
      <c r="V426" s="56"/>
      <c r="W426" s="56"/>
      <c r="Y426" s="138"/>
    </row>
    <row r="427">
      <c r="A427" s="56"/>
      <c r="B427" s="56"/>
      <c r="C427" s="108" t="str">
        <f>IFNA(VLOOKUP('Dashboard-Dados'!B427,'Dashboard-Dados'!$Y$2:$AA$13,2),"")</f>
        <v/>
      </c>
      <c r="D427" s="109">
        <f>IFERROR(GETPIVOTDATA("Valor Recebido",'Dashboard-Dados'!$J$1,$A$1,A427,$B$1,B427),0)</f>
        <v>0</v>
      </c>
      <c r="E427" s="110">
        <f>IFERROR(GETPIVOTDATA("Valor Despesa",'Dashboard-Dados'!$P$1,$A$1,A427,$B$1,B427),0)</f>
        <v>0</v>
      </c>
      <c r="F427" s="110">
        <f t="shared" si="1"/>
        <v>0</v>
      </c>
      <c r="G427" s="56">
        <f>IFERROR(GETPIVOTDATA("Exame",'Dashboard-Dados'!$J$1,$A$1,A427,$B$1,B427),0)</f>
        <v>0</v>
      </c>
      <c r="H427" s="56">
        <f t="shared" si="2"/>
        <v>427</v>
      </c>
      <c r="U427" s="56"/>
      <c r="V427" s="56"/>
      <c r="W427" s="56"/>
      <c r="Y427" s="138"/>
    </row>
    <row r="428">
      <c r="A428" s="56"/>
      <c r="B428" s="56"/>
      <c r="C428" s="108" t="str">
        <f>IFNA(VLOOKUP('Dashboard-Dados'!B428,'Dashboard-Dados'!$Y$2:$AA$13,2),"")</f>
        <v/>
      </c>
      <c r="D428" s="109">
        <f>IFERROR(GETPIVOTDATA("Valor Recebido",'Dashboard-Dados'!$J$1,$A$1,A428,$B$1,B428),0)</f>
        <v>0</v>
      </c>
      <c r="E428" s="110">
        <f>IFERROR(GETPIVOTDATA("Valor Despesa",'Dashboard-Dados'!$P$1,$A$1,A428,$B$1,B428),0)</f>
        <v>0</v>
      </c>
      <c r="F428" s="110">
        <f t="shared" si="1"/>
        <v>0</v>
      </c>
      <c r="G428" s="56">
        <f>IFERROR(GETPIVOTDATA("Exame",'Dashboard-Dados'!$J$1,$A$1,A428,$B$1,B428),0)</f>
        <v>0</v>
      </c>
      <c r="H428" s="56">
        <f t="shared" si="2"/>
        <v>428</v>
      </c>
      <c r="U428" s="56"/>
      <c r="V428" s="56"/>
      <c r="W428" s="56"/>
      <c r="Y428" s="138"/>
    </row>
    <row r="429">
      <c r="A429" s="56"/>
      <c r="B429" s="56"/>
      <c r="C429" s="108" t="str">
        <f>IFNA(VLOOKUP('Dashboard-Dados'!B429,'Dashboard-Dados'!$Y$2:$AA$13,2),"")</f>
        <v/>
      </c>
      <c r="D429" s="109">
        <f>IFERROR(GETPIVOTDATA("Valor Recebido",'Dashboard-Dados'!$J$1,$A$1,A429,$B$1,B429),0)</f>
        <v>0</v>
      </c>
      <c r="E429" s="110">
        <f>IFERROR(GETPIVOTDATA("Valor Despesa",'Dashboard-Dados'!$P$1,$A$1,A429,$B$1,B429),0)</f>
        <v>0</v>
      </c>
      <c r="F429" s="110">
        <f t="shared" si="1"/>
        <v>0</v>
      </c>
      <c r="G429" s="56">
        <f>IFERROR(GETPIVOTDATA("Exame",'Dashboard-Dados'!$J$1,$A$1,A429,$B$1,B429),0)</f>
        <v>0</v>
      </c>
      <c r="H429" s="56">
        <f t="shared" si="2"/>
        <v>429</v>
      </c>
      <c r="U429" s="56"/>
      <c r="V429" s="56"/>
      <c r="W429" s="56"/>
      <c r="Y429" s="138"/>
    </row>
    <row r="430">
      <c r="A430" s="56"/>
      <c r="B430" s="56"/>
      <c r="C430" s="108" t="str">
        <f>IFNA(VLOOKUP('Dashboard-Dados'!B430,'Dashboard-Dados'!$Y$2:$AA$13,2),"")</f>
        <v/>
      </c>
      <c r="D430" s="109">
        <f>IFERROR(GETPIVOTDATA("Valor Recebido",'Dashboard-Dados'!$J$1,$A$1,A430,$B$1,B430),0)</f>
        <v>0</v>
      </c>
      <c r="E430" s="110">
        <f>IFERROR(GETPIVOTDATA("Valor Despesa",'Dashboard-Dados'!$P$1,$A$1,A430,$B$1,B430),0)</f>
        <v>0</v>
      </c>
      <c r="F430" s="110">
        <f t="shared" si="1"/>
        <v>0</v>
      </c>
      <c r="G430" s="56">
        <f>IFERROR(GETPIVOTDATA("Exame",'Dashboard-Dados'!$J$1,$A$1,A430,$B$1,B430),0)</f>
        <v>0</v>
      </c>
      <c r="H430" s="56">
        <f t="shared" si="2"/>
        <v>430</v>
      </c>
      <c r="U430" s="56"/>
      <c r="V430" s="56"/>
      <c r="W430" s="56"/>
      <c r="Y430" s="138"/>
    </row>
    <row r="431">
      <c r="A431" s="56"/>
      <c r="B431" s="56"/>
      <c r="C431" s="108" t="str">
        <f>IFNA(VLOOKUP('Dashboard-Dados'!B431,'Dashboard-Dados'!$Y$2:$AA$13,2),"")</f>
        <v/>
      </c>
      <c r="D431" s="109">
        <f>IFERROR(GETPIVOTDATA("Valor Recebido",'Dashboard-Dados'!$J$1,$A$1,A431,$B$1,B431),0)</f>
        <v>0</v>
      </c>
      <c r="E431" s="110">
        <f>IFERROR(GETPIVOTDATA("Valor Despesa",'Dashboard-Dados'!$P$1,$A$1,A431,$B$1,B431),0)</f>
        <v>0</v>
      </c>
      <c r="F431" s="110">
        <f t="shared" si="1"/>
        <v>0</v>
      </c>
      <c r="G431" s="56">
        <f>IFERROR(GETPIVOTDATA("Exame",'Dashboard-Dados'!$J$1,$A$1,A431,$B$1,B431),0)</f>
        <v>0</v>
      </c>
      <c r="H431" s="56">
        <f t="shared" si="2"/>
        <v>431</v>
      </c>
      <c r="U431" s="56"/>
      <c r="V431" s="56"/>
      <c r="W431" s="56"/>
      <c r="Y431" s="138"/>
    </row>
    <row r="432">
      <c r="A432" s="56"/>
      <c r="B432" s="56"/>
      <c r="C432" s="108" t="str">
        <f>IFNA(VLOOKUP('Dashboard-Dados'!B432,'Dashboard-Dados'!$Y$2:$AA$13,2),"")</f>
        <v/>
      </c>
      <c r="D432" s="109">
        <f>IFERROR(GETPIVOTDATA("Valor Recebido",'Dashboard-Dados'!$J$1,$A$1,A432,$B$1,B432),0)</f>
        <v>0</v>
      </c>
      <c r="E432" s="110">
        <f>IFERROR(GETPIVOTDATA("Valor Despesa",'Dashboard-Dados'!$P$1,$A$1,A432,$B$1,B432),0)</f>
        <v>0</v>
      </c>
      <c r="F432" s="110">
        <f t="shared" si="1"/>
        <v>0</v>
      </c>
      <c r="G432" s="56">
        <f>IFERROR(GETPIVOTDATA("Exame",'Dashboard-Dados'!$J$1,$A$1,A432,$B$1,B432),0)</f>
        <v>0</v>
      </c>
      <c r="H432" s="56">
        <f t="shared" si="2"/>
        <v>432</v>
      </c>
      <c r="U432" s="56"/>
      <c r="V432" s="56"/>
      <c r="W432" s="56"/>
      <c r="Y432" s="138"/>
    </row>
    <row r="433">
      <c r="A433" s="56"/>
      <c r="B433" s="56"/>
      <c r="C433" s="108" t="str">
        <f>IFNA(VLOOKUP('Dashboard-Dados'!B433,'Dashboard-Dados'!$Y$2:$AA$13,2),"")</f>
        <v/>
      </c>
      <c r="D433" s="109">
        <f>IFERROR(GETPIVOTDATA("Valor Recebido",'Dashboard-Dados'!$J$1,$A$1,A433,$B$1,B433),0)</f>
        <v>0</v>
      </c>
      <c r="E433" s="110">
        <f>IFERROR(GETPIVOTDATA("Valor Despesa",'Dashboard-Dados'!$P$1,$A$1,A433,$B$1,B433),0)</f>
        <v>0</v>
      </c>
      <c r="F433" s="110">
        <f t="shared" si="1"/>
        <v>0</v>
      </c>
      <c r="G433" s="56">
        <f>IFERROR(GETPIVOTDATA("Exame",'Dashboard-Dados'!$J$1,$A$1,A433,$B$1,B433),0)</f>
        <v>0</v>
      </c>
      <c r="H433" s="56">
        <f t="shared" si="2"/>
        <v>433</v>
      </c>
      <c r="U433" s="56"/>
      <c r="V433" s="56"/>
      <c r="W433" s="56"/>
      <c r="Y433" s="138"/>
    </row>
    <row r="434">
      <c r="A434" s="56"/>
      <c r="B434" s="56"/>
      <c r="C434" s="108" t="str">
        <f>IFNA(VLOOKUP('Dashboard-Dados'!B434,'Dashboard-Dados'!$Y$2:$AA$13,2),"")</f>
        <v/>
      </c>
      <c r="D434" s="109">
        <f>IFERROR(GETPIVOTDATA("Valor Recebido",'Dashboard-Dados'!$J$1,$A$1,A434,$B$1,B434),0)</f>
        <v>0</v>
      </c>
      <c r="E434" s="110">
        <f>IFERROR(GETPIVOTDATA("Valor Despesa",'Dashboard-Dados'!$P$1,$A$1,A434,$B$1,B434),0)</f>
        <v>0</v>
      </c>
      <c r="F434" s="110">
        <f t="shared" si="1"/>
        <v>0</v>
      </c>
      <c r="G434" s="56">
        <f>IFERROR(GETPIVOTDATA("Exame",'Dashboard-Dados'!$J$1,$A$1,A434,$B$1,B434),0)</f>
        <v>0</v>
      </c>
      <c r="H434" s="56">
        <f t="shared" si="2"/>
        <v>434</v>
      </c>
      <c r="U434" s="56"/>
      <c r="V434" s="56"/>
      <c r="W434" s="56"/>
      <c r="Y434" s="138"/>
    </row>
    <row r="435">
      <c r="A435" s="56"/>
      <c r="B435" s="56"/>
      <c r="C435" s="108" t="str">
        <f>IFNA(VLOOKUP('Dashboard-Dados'!B435,'Dashboard-Dados'!$Y$2:$AA$13,2),"")</f>
        <v/>
      </c>
      <c r="D435" s="109">
        <f>IFERROR(GETPIVOTDATA("Valor Recebido",'Dashboard-Dados'!$J$1,$A$1,A435,$B$1,B435),0)</f>
        <v>0</v>
      </c>
      <c r="E435" s="110">
        <f>IFERROR(GETPIVOTDATA("Valor Despesa",'Dashboard-Dados'!$P$1,$A$1,A435,$B$1,B435),0)</f>
        <v>0</v>
      </c>
      <c r="F435" s="110">
        <f t="shared" si="1"/>
        <v>0</v>
      </c>
      <c r="G435" s="56">
        <f>IFERROR(GETPIVOTDATA("Exame",'Dashboard-Dados'!$J$1,$A$1,A435,$B$1,B435),0)</f>
        <v>0</v>
      </c>
      <c r="H435" s="56">
        <f t="shared" si="2"/>
        <v>435</v>
      </c>
      <c r="U435" s="56"/>
      <c r="V435" s="56"/>
      <c r="W435" s="56"/>
      <c r="Y435" s="138"/>
    </row>
    <row r="436">
      <c r="A436" s="56"/>
      <c r="B436" s="56"/>
      <c r="C436" s="108" t="str">
        <f>IFNA(VLOOKUP('Dashboard-Dados'!B436,'Dashboard-Dados'!$Y$2:$AA$13,2),"")</f>
        <v/>
      </c>
      <c r="D436" s="109">
        <f>IFERROR(GETPIVOTDATA("Valor Recebido",'Dashboard-Dados'!$J$1,$A$1,A436,$B$1,B436),0)</f>
        <v>0</v>
      </c>
      <c r="E436" s="110">
        <f>IFERROR(GETPIVOTDATA("Valor Despesa",'Dashboard-Dados'!$P$1,$A$1,A436,$B$1,B436),0)</f>
        <v>0</v>
      </c>
      <c r="F436" s="110">
        <f t="shared" si="1"/>
        <v>0</v>
      </c>
      <c r="G436" s="56">
        <f>IFERROR(GETPIVOTDATA("Exame",'Dashboard-Dados'!$J$1,$A$1,A436,$B$1,B436),0)</f>
        <v>0</v>
      </c>
      <c r="H436" s="56">
        <f t="shared" si="2"/>
        <v>436</v>
      </c>
      <c r="U436" s="56"/>
      <c r="V436" s="56"/>
      <c r="W436" s="56"/>
      <c r="Y436" s="138"/>
    </row>
    <row r="437">
      <c r="A437" s="56"/>
      <c r="B437" s="56"/>
      <c r="C437" s="108" t="str">
        <f>IFNA(VLOOKUP('Dashboard-Dados'!B437,'Dashboard-Dados'!$Y$2:$AA$13,2),"")</f>
        <v/>
      </c>
      <c r="D437" s="109">
        <f>IFERROR(GETPIVOTDATA("Valor Recebido",'Dashboard-Dados'!$J$1,$A$1,A437,$B$1,B437),0)</f>
        <v>0</v>
      </c>
      <c r="E437" s="110">
        <f>IFERROR(GETPIVOTDATA("Valor Despesa",'Dashboard-Dados'!$P$1,$A$1,A437,$B$1,B437),0)</f>
        <v>0</v>
      </c>
      <c r="F437" s="110">
        <f t="shared" si="1"/>
        <v>0</v>
      </c>
      <c r="G437" s="56">
        <f>IFERROR(GETPIVOTDATA("Exame",'Dashboard-Dados'!$J$1,$A$1,A437,$B$1,B437),0)</f>
        <v>0</v>
      </c>
      <c r="H437" s="56">
        <f t="shared" si="2"/>
        <v>437</v>
      </c>
      <c r="U437" s="56"/>
      <c r="V437" s="56"/>
      <c r="W437" s="56"/>
      <c r="Y437" s="138"/>
    </row>
    <row r="438">
      <c r="A438" s="56"/>
      <c r="B438" s="56"/>
      <c r="C438" s="108" t="str">
        <f>IFNA(VLOOKUP('Dashboard-Dados'!B438,'Dashboard-Dados'!$Y$2:$AA$13,2),"")</f>
        <v/>
      </c>
      <c r="D438" s="109">
        <f>IFERROR(GETPIVOTDATA("Valor Recebido",'Dashboard-Dados'!$J$1,$A$1,A438,$B$1,B438),0)</f>
        <v>0</v>
      </c>
      <c r="E438" s="110">
        <f>IFERROR(GETPIVOTDATA("Valor Despesa",'Dashboard-Dados'!$P$1,$A$1,A438,$B$1,B438),0)</f>
        <v>0</v>
      </c>
      <c r="F438" s="110">
        <f t="shared" si="1"/>
        <v>0</v>
      </c>
      <c r="G438" s="56">
        <f>IFERROR(GETPIVOTDATA("Exame",'Dashboard-Dados'!$J$1,$A$1,A438,$B$1,B438),0)</f>
        <v>0</v>
      </c>
      <c r="H438" s="56">
        <f t="shared" si="2"/>
        <v>438</v>
      </c>
      <c r="U438" s="56"/>
      <c r="V438" s="56"/>
      <c r="W438" s="56"/>
      <c r="Y438" s="138"/>
    </row>
    <row r="439">
      <c r="A439" s="56"/>
      <c r="B439" s="56"/>
      <c r="C439" s="108" t="str">
        <f>IFNA(VLOOKUP('Dashboard-Dados'!B439,'Dashboard-Dados'!$Y$2:$AA$13,2),"")</f>
        <v/>
      </c>
      <c r="D439" s="109">
        <f>IFERROR(GETPIVOTDATA("Valor Recebido",'Dashboard-Dados'!$J$1,$A$1,A439,$B$1,B439),0)</f>
        <v>0</v>
      </c>
      <c r="E439" s="110">
        <f>IFERROR(GETPIVOTDATA("Valor Despesa",'Dashboard-Dados'!$P$1,$A$1,A439,$B$1,B439),0)</f>
        <v>0</v>
      </c>
      <c r="F439" s="110">
        <f t="shared" si="1"/>
        <v>0</v>
      </c>
      <c r="G439" s="56">
        <f>IFERROR(GETPIVOTDATA("Exame",'Dashboard-Dados'!$J$1,$A$1,A439,$B$1,B439),0)</f>
        <v>0</v>
      </c>
      <c r="H439" s="56">
        <f t="shared" si="2"/>
        <v>439</v>
      </c>
      <c r="U439" s="56"/>
      <c r="V439" s="56"/>
      <c r="W439" s="56"/>
      <c r="Y439" s="138"/>
    </row>
    <row r="440">
      <c r="A440" s="56"/>
      <c r="B440" s="56"/>
      <c r="C440" s="108" t="str">
        <f>IFNA(VLOOKUP('Dashboard-Dados'!B440,'Dashboard-Dados'!$Y$2:$AA$13,2),"")</f>
        <v/>
      </c>
      <c r="D440" s="109">
        <f>IFERROR(GETPIVOTDATA("Valor Recebido",'Dashboard-Dados'!$J$1,$A$1,A440,$B$1,B440),0)</f>
        <v>0</v>
      </c>
      <c r="E440" s="110">
        <f>IFERROR(GETPIVOTDATA("Valor Despesa",'Dashboard-Dados'!$P$1,$A$1,A440,$B$1,B440),0)</f>
        <v>0</v>
      </c>
      <c r="F440" s="110">
        <f t="shared" si="1"/>
        <v>0</v>
      </c>
      <c r="G440" s="56">
        <f>IFERROR(GETPIVOTDATA("Exame",'Dashboard-Dados'!$J$1,$A$1,A440,$B$1,B440),0)</f>
        <v>0</v>
      </c>
      <c r="H440" s="56">
        <f t="shared" si="2"/>
        <v>440</v>
      </c>
      <c r="U440" s="56"/>
      <c r="V440" s="56"/>
      <c r="W440" s="56"/>
      <c r="Y440" s="138"/>
    </row>
    <row r="441">
      <c r="A441" s="56"/>
      <c r="B441" s="56"/>
      <c r="C441" s="108" t="str">
        <f>IFNA(VLOOKUP('Dashboard-Dados'!B441,'Dashboard-Dados'!$Y$2:$AA$13,2),"")</f>
        <v/>
      </c>
      <c r="D441" s="109">
        <f>IFERROR(GETPIVOTDATA("Valor Recebido",'Dashboard-Dados'!$J$1,$A$1,A441,$B$1,B441),0)</f>
        <v>0</v>
      </c>
      <c r="E441" s="110">
        <f>IFERROR(GETPIVOTDATA("Valor Despesa",'Dashboard-Dados'!$P$1,$A$1,A441,$B$1,B441),0)</f>
        <v>0</v>
      </c>
      <c r="F441" s="110">
        <f t="shared" si="1"/>
        <v>0</v>
      </c>
      <c r="G441" s="56">
        <f>IFERROR(GETPIVOTDATA("Exame",'Dashboard-Dados'!$J$1,$A$1,A441,$B$1,B441),0)</f>
        <v>0</v>
      </c>
      <c r="H441" s="56">
        <f t="shared" si="2"/>
        <v>441</v>
      </c>
      <c r="U441" s="56"/>
      <c r="V441" s="56"/>
      <c r="W441" s="56"/>
      <c r="Y441" s="138"/>
    </row>
    <row r="442">
      <c r="A442" s="56"/>
      <c r="B442" s="56"/>
      <c r="C442" s="108" t="str">
        <f>IFNA(VLOOKUP('Dashboard-Dados'!B442,'Dashboard-Dados'!$Y$2:$AA$13,2),"")</f>
        <v/>
      </c>
      <c r="D442" s="109">
        <f>IFERROR(GETPIVOTDATA("Valor Recebido",'Dashboard-Dados'!$J$1,$A$1,A442,$B$1,B442),0)</f>
        <v>0</v>
      </c>
      <c r="E442" s="110">
        <f>IFERROR(GETPIVOTDATA("Valor Despesa",'Dashboard-Dados'!$P$1,$A$1,A442,$B$1,B442),0)</f>
        <v>0</v>
      </c>
      <c r="F442" s="110">
        <f t="shared" si="1"/>
        <v>0</v>
      </c>
      <c r="G442" s="56">
        <f>IFERROR(GETPIVOTDATA("Exame",'Dashboard-Dados'!$J$1,$A$1,A442,$B$1,B442),0)</f>
        <v>0</v>
      </c>
      <c r="H442" s="56">
        <f t="shared" si="2"/>
        <v>442</v>
      </c>
      <c r="U442" s="56"/>
      <c r="V442" s="56"/>
      <c r="W442" s="56"/>
      <c r="Y442" s="138"/>
    </row>
    <row r="443">
      <c r="A443" s="56"/>
      <c r="B443" s="56"/>
      <c r="C443" s="108" t="str">
        <f>IFNA(VLOOKUP('Dashboard-Dados'!B443,'Dashboard-Dados'!$Y$2:$AA$13,2),"")</f>
        <v/>
      </c>
      <c r="D443" s="109">
        <f>IFERROR(GETPIVOTDATA("Valor Recebido",'Dashboard-Dados'!$J$1,$A$1,A443,$B$1,B443),0)</f>
        <v>0</v>
      </c>
      <c r="E443" s="110">
        <f>IFERROR(GETPIVOTDATA("Valor Despesa",'Dashboard-Dados'!$P$1,$A$1,A443,$B$1,B443),0)</f>
        <v>0</v>
      </c>
      <c r="F443" s="110">
        <f t="shared" si="1"/>
        <v>0</v>
      </c>
      <c r="G443" s="56">
        <f>IFERROR(GETPIVOTDATA("Exame",'Dashboard-Dados'!$J$1,$A$1,A443,$B$1,B443),0)</f>
        <v>0</v>
      </c>
      <c r="H443" s="56">
        <f t="shared" si="2"/>
        <v>443</v>
      </c>
      <c r="U443" s="56"/>
      <c r="V443" s="56"/>
      <c r="W443" s="56"/>
      <c r="Y443" s="138"/>
    </row>
    <row r="444">
      <c r="A444" s="56"/>
      <c r="B444" s="56"/>
      <c r="C444" s="108" t="str">
        <f>IFNA(VLOOKUP('Dashboard-Dados'!B444,'Dashboard-Dados'!$Y$2:$AA$13,2),"")</f>
        <v/>
      </c>
      <c r="D444" s="109">
        <f>IFERROR(GETPIVOTDATA("Valor Recebido",'Dashboard-Dados'!$J$1,$A$1,A444,$B$1,B444),0)</f>
        <v>0</v>
      </c>
      <c r="E444" s="110">
        <f>IFERROR(GETPIVOTDATA("Valor Despesa",'Dashboard-Dados'!$P$1,$A$1,A444,$B$1,B444),0)</f>
        <v>0</v>
      </c>
      <c r="F444" s="110">
        <f t="shared" si="1"/>
        <v>0</v>
      </c>
      <c r="G444" s="56">
        <f>IFERROR(GETPIVOTDATA("Exame",'Dashboard-Dados'!$J$1,$A$1,A444,$B$1,B444),0)</f>
        <v>0</v>
      </c>
      <c r="H444" s="56">
        <f t="shared" si="2"/>
        <v>444</v>
      </c>
      <c r="U444" s="56"/>
      <c r="V444" s="56"/>
      <c r="W444" s="56"/>
      <c r="Y444" s="138"/>
    </row>
    <row r="445">
      <c r="A445" s="56"/>
      <c r="B445" s="56"/>
      <c r="C445" s="108" t="str">
        <f>IFNA(VLOOKUP('Dashboard-Dados'!B445,'Dashboard-Dados'!$Y$2:$AA$13,2),"")</f>
        <v/>
      </c>
      <c r="D445" s="109">
        <f>IFERROR(GETPIVOTDATA("Valor Recebido",'Dashboard-Dados'!$J$1,$A$1,A445,$B$1,B445),0)</f>
        <v>0</v>
      </c>
      <c r="E445" s="110">
        <f>IFERROR(GETPIVOTDATA("Valor Despesa",'Dashboard-Dados'!$P$1,$A$1,A445,$B$1,B445),0)</f>
        <v>0</v>
      </c>
      <c r="F445" s="110">
        <f t="shared" si="1"/>
        <v>0</v>
      </c>
      <c r="G445" s="56">
        <f>IFERROR(GETPIVOTDATA("Exame",'Dashboard-Dados'!$J$1,$A$1,A445,$B$1,B445),0)</f>
        <v>0</v>
      </c>
      <c r="H445" s="56">
        <f t="shared" si="2"/>
        <v>445</v>
      </c>
      <c r="U445" s="56"/>
      <c r="V445" s="56"/>
      <c r="W445" s="56"/>
      <c r="Y445" s="138"/>
    </row>
    <row r="446">
      <c r="A446" s="56"/>
      <c r="B446" s="56"/>
      <c r="C446" s="108" t="str">
        <f>IFNA(VLOOKUP('Dashboard-Dados'!B446,'Dashboard-Dados'!$Y$2:$AA$13,2),"")</f>
        <v/>
      </c>
      <c r="D446" s="109">
        <f>IFERROR(GETPIVOTDATA("Valor Recebido",'Dashboard-Dados'!$J$1,$A$1,A446,$B$1,B446),0)</f>
        <v>0</v>
      </c>
      <c r="E446" s="110">
        <f>IFERROR(GETPIVOTDATA("Valor Despesa",'Dashboard-Dados'!$P$1,$A$1,A446,$B$1,B446),0)</f>
        <v>0</v>
      </c>
      <c r="F446" s="110">
        <f t="shared" si="1"/>
        <v>0</v>
      </c>
      <c r="G446" s="56">
        <f>IFERROR(GETPIVOTDATA("Exame",'Dashboard-Dados'!$J$1,$A$1,A446,$B$1,B446),0)</f>
        <v>0</v>
      </c>
      <c r="H446" s="56">
        <f t="shared" si="2"/>
        <v>446</v>
      </c>
      <c r="U446" s="56"/>
      <c r="V446" s="56"/>
      <c r="W446" s="56"/>
      <c r="Y446" s="138"/>
    </row>
    <row r="447">
      <c r="A447" s="56"/>
      <c r="B447" s="56"/>
      <c r="C447" s="108" t="str">
        <f>IFNA(VLOOKUP('Dashboard-Dados'!B447,'Dashboard-Dados'!$Y$2:$AA$13,2),"")</f>
        <v/>
      </c>
      <c r="D447" s="109">
        <f>IFERROR(GETPIVOTDATA("Valor Recebido",'Dashboard-Dados'!$J$1,$A$1,A447,$B$1,B447),0)</f>
        <v>0</v>
      </c>
      <c r="E447" s="110">
        <f>IFERROR(GETPIVOTDATA("Valor Despesa",'Dashboard-Dados'!$P$1,$A$1,A447,$B$1,B447),0)</f>
        <v>0</v>
      </c>
      <c r="F447" s="110">
        <f t="shared" si="1"/>
        <v>0</v>
      </c>
      <c r="G447" s="56">
        <f>IFERROR(GETPIVOTDATA("Exame",'Dashboard-Dados'!$J$1,$A$1,A447,$B$1,B447),0)</f>
        <v>0</v>
      </c>
      <c r="H447" s="56">
        <f t="shared" si="2"/>
        <v>447</v>
      </c>
      <c r="U447" s="56"/>
      <c r="V447" s="56"/>
      <c r="W447" s="56"/>
      <c r="Y447" s="138"/>
    </row>
    <row r="448">
      <c r="A448" s="56"/>
      <c r="B448" s="56"/>
      <c r="C448" s="108" t="str">
        <f>IFNA(VLOOKUP('Dashboard-Dados'!B448,'Dashboard-Dados'!$Y$2:$AA$13,2),"")</f>
        <v/>
      </c>
      <c r="D448" s="109">
        <f>IFERROR(GETPIVOTDATA("Valor Recebido",'Dashboard-Dados'!$J$1,$A$1,A448,$B$1,B448),0)</f>
        <v>0</v>
      </c>
      <c r="E448" s="110">
        <f>IFERROR(GETPIVOTDATA("Valor Despesa",'Dashboard-Dados'!$P$1,$A$1,A448,$B$1,B448),0)</f>
        <v>0</v>
      </c>
      <c r="F448" s="110">
        <f t="shared" si="1"/>
        <v>0</v>
      </c>
      <c r="G448" s="56">
        <f>IFERROR(GETPIVOTDATA("Exame",'Dashboard-Dados'!$J$1,$A$1,A448,$B$1,B448),0)</f>
        <v>0</v>
      </c>
      <c r="H448" s="56">
        <f t="shared" si="2"/>
        <v>448</v>
      </c>
      <c r="U448" s="56"/>
      <c r="V448" s="56"/>
      <c r="W448" s="56"/>
      <c r="Y448" s="138"/>
    </row>
    <row r="449">
      <c r="A449" s="56"/>
      <c r="B449" s="56"/>
      <c r="C449" s="108" t="str">
        <f>IFNA(VLOOKUP('Dashboard-Dados'!B449,'Dashboard-Dados'!$Y$2:$AA$13,2),"")</f>
        <v/>
      </c>
      <c r="D449" s="109">
        <f>IFERROR(GETPIVOTDATA("Valor Recebido",'Dashboard-Dados'!$J$1,$A$1,A449,$B$1,B449),0)</f>
        <v>0</v>
      </c>
      <c r="E449" s="110">
        <f>IFERROR(GETPIVOTDATA("Valor Despesa",'Dashboard-Dados'!$P$1,$A$1,A449,$B$1,B449),0)</f>
        <v>0</v>
      </c>
      <c r="F449" s="110">
        <f t="shared" si="1"/>
        <v>0</v>
      </c>
      <c r="G449" s="56">
        <f>IFERROR(GETPIVOTDATA("Exame",'Dashboard-Dados'!$J$1,$A$1,A449,$B$1,B449),0)</f>
        <v>0</v>
      </c>
      <c r="H449" s="56">
        <f t="shared" si="2"/>
        <v>449</v>
      </c>
      <c r="U449" s="56"/>
      <c r="V449" s="56"/>
      <c r="W449" s="56"/>
      <c r="Y449" s="138"/>
    </row>
    <row r="450">
      <c r="A450" s="56"/>
      <c r="B450" s="56"/>
      <c r="C450" s="108" t="str">
        <f>IFNA(VLOOKUP('Dashboard-Dados'!B450,'Dashboard-Dados'!$Y$2:$AA$13,2),"")</f>
        <v/>
      </c>
      <c r="D450" s="109">
        <f>IFERROR(GETPIVOTDATA("Valor Recebido",'Dashboard-Dados'!$J$1,$A$1,A450,$B$1,B450),0)</f>
        <v>0</v>
      </c>
      <c r="E450" s="110">
        <f>IFERROR(GETPIVOTDATA("Valor Despesa",'Dashboard-Dados'!$P$1,$A$1,A450,$B$1,B450),0)</f>
        <v>0</v>
      </c>
      <c r="F450" s="110">
        <f t="shared" si="1"/>
        <v>0</v>
      </c>
      <c r="G450" s="56">
        <f>IFERROR(GETPIVOTDATA("Exame",'Dashboard-Dados'!$J$1,$A$1,A450,$B$1,B450),0)</f>
        <v>0</v>
      </c>
      <c r="H450" s="56">
        <f t="shared" si="2"/>
        <v>450</v>
      </c>
      <c r="U450" s="56"/>
      <c r="V450" s="56"/>
      <c r="W450" s="56"/>
      <c r="Y450" s="138"/>
    </row>
    <row r="451">
      <c r="A451" s="56"/>
      <c r="B451" s="56"/>
      <c r="C451" s="108" t="str">
        <f>IFNA(VLOOKUP('Dashboard-Dados'!B451,'Dashboard-Dados'!$Y$2:$AA$13,2),"")</f>
        <v/>
      </c>
      <c r="D451" s="109">
        <f>IFERROR(GETPIVOTDATA("Valor Recebido",'Dashboard-Dados'!$J$1,$A$1,A451,$B$1,B451),0)</f>
        <v>0</v>
      </c>
      <c r="E451" s="110">
        <f>IFERROR(GETPIVOTDATA("Valor Despesa",'Dashboard-Dados'!$P$1,$A$1,A451,$B$1,B451),0)</f>
        <v>0</v>
      </c>
      <c r="F451" s="110">
        <f t="shared" si="1"/>
        <v>0</v>
      </c>
      <c r="G451" s="56">
        <f>IFERROR(GETPIVOTDATA("Exame",'Dashboard-Dados'!$J$1,$A$1,A451,$B$1,B451),0)</f>
        <v>0</v>
      </c>
      <c r="H451" s="56">
        <f t="shared" si="2"/>
        <v>451</v>
      </c>
      <c r="U451" s="56"/>
      <c r="V451" s="56"/>
      <c r="W451" s="56"/>
      <c r="Y451" s="138"/>
    </row>
    <row r="452">
      <c r="A452" s="56"/>
      <c r="B452" s="56"/>
      <c r="C452" s="108" t="str">
        <f>IFNA(VLOOKUP('Dashboard-Dados'!B452,'Dashboard-Dados'!$Y$2:$AA$13,2),"")</f>
        <v/>
      </c>
      <c r="D452" s="109">
        <f>IFERROR(GETPIVOTDATA("Valor Recebido",'Dashboard-Dados'!$J$1,$A$1,A452,$B$1,B452),0)</f>
        <v>0</v>
      </c>
      <c r="E452" s="110">
        <f>IFERROR(GETPIVOTDATA("Valor Despesa",'Dashboard-Dados'!$P$1,$A$1,A452,$B$1,B452),0)</f>
        <v>0</v>
      </c>
      <c r="F452" s="110">
        <f t="shared" si="1"/>
        <v>0</v>
      </c>
      <c r="G452" s="56">
        <f>IFERROR(GETPIVOTDATA("Exame",'Dashboard-Dados'!$J$1,$A$1,A452,$B$1,B452),0)</f>
        <v>0</v>
      </c>
      <c r="H452" s="56">
        <f t="shared" si="2"/>
        <v>452</v>
      </c>
      <c r="U452" s="56"/>
      <c r="V452" s="56"/>
      <c r="W452" s="56"/>
      <c r="Y452" s="138"/>
    </row>
    <row r="453">
      <c r="A453" s="56"/>
      <c r="B453" s="56"/>
      <c r="C453" s="108" t="str">
        <f>IFNA(VLOOKUP('Dashboard-Dados'!B453,'Dashboard-Dados'!$Y$2:$AA$13,2),"")</f>
        <v/>
      </c>
      <c r="D453" s="109">
        <f>IFERROR(GETPIVOTDATA("Valor Recebido",'Dashboard-Dados'!$J$1,$A$1,A453,$B$1,B453),0)</f>
        <v>0</v>
      </c>
      <c r="E453" s="110">
        <f>IFERROR(GETPIVOTDATA("Valor Despesa",'Dashboard-Dados'!$P$1,$A$1,A453,$B$1,B453),0)</f>
        <v>0</v>
      </c>
      <c r="F453" s="110">
        <f t="shared" si="1"/>
        <v>0</v>
      </c>
      <c r="G453" s="56">
        <f>IFERROR(GETPIVOTDATA("Exame",'Dashboard-Dados'!$J$1,$A$1,A453,$B$1,B453),0)</f>
        <v>0</v>
      </c>
      <c r="H453" s="56">
        <f t="shared" si="2"/>
        <v>453</v>
      </c>
      <c r="U453" s="56"/>
      <c r="V453" s="56"/>
      <c r="W453" s="56"/>
      <c r="Y453" s="138"/>
    </row>
    <row r="454">
      <c r="A454" s="56"/>
      <c r="B454" s="56"/>
      <c r="C454" s="108" t="str">
        <f>IFNA(VLOOKUP('Dashboard-Dados'!B454,'Dashboard-Dados'!$Y$2:$AA$13,2),"")</f>
        <v/>
      </c>
      <c r="D454" s="109">
        <f>IFERROR(GETPIVOTDATA("Valor Recebido",'Dashboard-Dados'!$J$1,$A$1,A454,$B$1,B454),0)</f>
        <v>0</v>
      </c>
      <c r="E454" s="110">
        <f>IFERROR(GETPIVOTDATA("Valor Despesa",'Dashboard-Dados'!$P$1,$A$1,A454,$B$1,B454),0)</f>
        <v>0</v>
      </c>
      <c r="F454" s="110">
        <f t="shared" si="1"/>
        <v>0</v>
      </c>
      <c r="G454" s="56">
        <f>IFERROR(GETPIVOTDATA("Exame",'Dashboard-Dados'!$J$1,$A$1,A454,$B$1,B454),0)</f>
        <v>0</v>
      </c>
      <c r="H454" s="56">
        <f t="shared" si="2"/>
        <v>454</v>
      </c>
      <c r="U454" s="56"/>
      <c r="V454" s="56"/>
      <c r="W454" s="56"/>
      <c r="Y454" s="138"/>
    </row>
    <row r="455">
      <c r="A455" s="56"/>
      <c r="B455" s="56"/>
      <c r="C455" s="108" t="str">
        <f>IFNA(VLOOKUP('Dashboard-Dados'!B455,'Dashboard-Dados'!$Y$2:$AA$13,2),"")</f>
        <v/>
      </c>
      <c r="D455" s="109">
        <f>IFERROR(GETPIVOTDATA("Valor Recebido",'Dashboard-Dados'!$J$1,$A$1,A455,$B$1,B455),0)</f>
        <v>0</v>
      </c>
      <c r="E455" s="110">
        <f>IFERROR(GETPIVOTDATA("Valor Despesa",'Dashboard-Dados'!$P$1,$A$1,A455,$B$1,B455),0)</f>
        <v>0</v>
      </c>
      <c r="F455" s="110">
        <f t="shared" si="1"/>
        <v>0</v>
      </c>
      <c r="G455" s="56">
        <f>IFERROR(GETPIVOTDATA("Exame",'Dashboard-Dados'!$J$1,$A$1,A455,$B$1,B455),0)</f>
        <v>0</v>
      </c>
      <c r="H455" s="56">
        <f t="shared" si="2"/>
        <v>455</v>
      </c>
      <c r="U455" s="56"/>
      <c r="V455" s="56"/>
      <c r="W455" s="56"/>
      <c r="Y455" s="138"/>
    </row>
    <row r="456">
      <c r="A456" s="56"/>
      <c r="B456" s="56"/>
      <c r="C456" s="108" t="str">
        <f>IFNA(VLOOKUP('Dashboard-Dados'!B456,'Dashboard-Dados'!$Y$2:$AA$13,2),"")</f>
        <v/>
      </c>
      <c r="D456" s="109">
        <f>IFERROR(GETPIVOTDATA("Valor Recebido",'Dashboard-Dados'!$J$1,$A$1,A456,$B$1,B456),0)</f>
        <v>0</v>
      </c>
      <c r="E456" s="110">
        <f>IFERROR(GETPIVOTDATA("Valor Despesa",'Dashboard-Dados'!$P$1,$A$1,A456,$B$1,B456),0)</f>
        <v>0</v>
      </c>
      <c r="F456" s="110">
        <f t="shared" si="1"/>
        <v>0</v>
      </c>
      <c r="G456" s="56">
        <f>IFERROR(GETPIVOTDATA("Exame",'Dashboard-Dados'!$J$1,$A$1,A456,$B$1,B456),0)</f>
        <v>0</v>
      </c>
      <c r="H456" s="56">
        <f t="shared" si="2"/>
        <v>456</v>
      </c>
      <c r="U456" s="56"/>
      <c r="V456" s="56"/>
      <c r="W456" s="56"/>
      <c r="Y456" s="138"/>
    </row>
    <row r="457">
      <c r="A457" s="56"/>
      <c r="B457" s="56"/>
      <c r="C457" s="108" t="str">
        <f>IFNA(VLOOKUP('Dashboard-Dados'!B457,'Dashboard-Dados'!$Y$2:$AA$13,2),"")</f>
        <v/>
      </c>
      <c r="D457" s="109">
        <f>IFERROR(GETPIVOTDATA("Valor Recebido",'Dashboard-Dados'!$J$1,$A$1,A457,$B$1,B457),0)</f>
        <v>0</v>
      </c>
      <c r="E457" s="110">
        <f>IFERROR(GETPIVOTDATA("Valor Despesa",'Dashboard-Dados'!$P$1,$A$1,A457,$B$1,B457),0)</f>
        <v>0</v>
      </c>
      <c r="F457" s="110">
        <f t="shared" si="1"/>
        <v>0</v>
      </c>
      <c r="G457" s="56">
        <f>IFERROR(GETPIVOTDATA("Exame",'Dashboard-Dados'!$J$1,$A$1,A457,$B$1,B457),0)</f>
        <v>0</v>
      </c>
      <c r="H457" s="56">
        <f t="shared" si="2"/>
        <v>457</v>
      </c>
      <c r="U457" s="56"/>
      <c r="V457" s="56"/>
      <c r="W457" s="56"/>
      <c r="Y457" s="138"/>
    </row>
    <row r="458">
      <c r="A458" s="56"/>
      <c r="B458" s="56"/>
      <c r="C458" s="108" t="str">
        <f>IFNA(VLOOKUP('Dashboard-Dados'!B458,'Dashboard-Dados'!$Y$2:$AA$13,2),"")</f>
        <v/>
      </c>
      <c r="D458" s="109">
        <f>IFERROR(GETPIVOTDATA("Valor Recebido",'Dashboard-Dados'!$J$1,$A$1,A458,$B$1,B458),0)</f>
        <v>0</v>
      </c>
      <c r="E458" s="110">
        <f>IFERROR(GETPIVOTDATA("Valor Despesa",'Dashboard-Dados'!$P$1,$A$1,A458,$B$1,B458),0)</f>
        <v>0</v>
      </c>
      <c r="F458" s="110">
        <f t="shared" si="1"/>
        <v>0</v>
      </c>
      <c r="G458" s="56">
        <f>IFERROR(GETPIVOTDATA("Exame",'Dashboard-Dados'!$J$1,$A$1,A458,$B$1,B458),0)</f>
        <v>0</v>
      </c>
      <c r="H458" s="56">
        <f t="shared" si="2"/>
        <v>458</v>
      </c>
      <c r="U458" s="56"/>
      <c r="V458" s="56"/>
      <c r="W458" s="56"/>
      <c r="Y458" s="138"/>
    </row>
    <row r="459">
      <c r="A459" s="56"/>
      <c r="B459" s="56"/>
      <c r="C459" s="108" t="str">
        <f>IFNA(VLOOKUP('Dashboard-Dados'!B459,'Dashboard-Dados'!$Y$2:$AA$13,2),"")</f>
        <v/>
      </c>
      <c r="D459" s="109">
        <f>IFERROR(GETPIVOTDATA("Valor Recebido",'Dashboard-Dados'!$J$1,$A$1,A459,$B$1,B459),0)</f>
        <v>0</v>
      </c>
      <c r="E459" s="110">
        <f>IFERROR(GETPIVOTDATA("Valor Despesa",'Dashboard-Dados'!$P$1,$A$1,A459,$B$1,B459),0)</f>
        <v>0</v>
      </c>
      <c r="F459" s="110">
        <f t="shared" si="1"/>
        <v>0</v>
      </c>
      <c r="G459" s="56">
        <f>IFERROR(GETPIVOTDATA("Exame",'Dashboard-Dados'!$J$1,$A$1,A459,$B$1,B459),0)</f>
        <v>0</v>
      </c>
      <c r="H459" s="56">
        <f t="shared" si="2"/>
        <v>459</v>
      </c>
      <c r="U459" s="56"/>
      <c r="V459" s="56"/>
      <c r="W459" s="56"/>
      <c r="Y459" s="138"/>
    </row>
    <row r="460">
      <c r="A460" s="56"/>
      <c r="B460" s="56"/>
      <c r="C460" s="108" t="str">
        <f>IFNA(VLOOKUP('Dashboard-Dados'!B460,'Dashboard-Dados'!$Y$2:$AA$13,2),"")</f>
        <v/>
      </c>
      <c r="D460" s="109">
        <f>IFERROR(GETPIVOTDATA("Valor Recebido",'Dashboard-Dados'!$J$1,$A$1,A460,$B$1,B460),0)</f>
        <v>0</v>
      </c>
      <c r="E460" s="110">
        <f>IFERROR(GETPIVOTDATA("Valor Despesa",'Dashboard-Dados'!$P$1,$A$1,A460,$B$1,B460),0)</f>
        <v>0</v>
      </c>
      <c r="F460" s="110">
        <f t="shared" si="1"/>
        <v>0</v>
      </c>
      <c r="G460" s="56">
        <f>IFERROR(GETPIVOTDATA("Exame",'Dashboard-Dados'!$J$1,$A$1,A460,$B$1,B460),0)</f>
        <v>0</v>
      </c>
      <c r="H460" s="56">
        <f t="shared" si="2"/>
        <v>460</v>
      </c>
      <c r="U460" s="56"/>
      <c r="V460" s="56"/>
      <c r="W460" s="56"/>
      <c r="Y460" s="138"/>
    </row>
    <row r="461">
      <c r="A461" s="56"/>
      <c r="B461" s="56"/>
      <c r="C461" s="108" t="str">
        <f>IFNA(VLOOKUP('Dashboard-Dados'!B461,'Dashboard-Dados'!$Y$2:$AA$13,2),"")</f>
        <v/>
      </c>
      <c r="D461" s="109">
        <f>IFERROR(GETPIVOTDATA("Valor Recebido",'Dashboard-Dados'!$J$1,$A$1,A461,$B$1,B461),0)</f>
        <v>0</v>
      </c>
      <c r="E461" s="110">
        <f>IFERROR(GETPIVOTDATA("Valor Despesa",'Dashboard-Dados'!$P$1,$A$1,A461,$B$1,B461),0)</f>
        <v>0</v>
      </c>
      <c r="F461" s="110">
        <f t="shared" si="1"/>
        <v>0</v>
      </c>
      <c r="G461" s="56">
        <f>IFERROR(GETPIVOTDATA("Exame",'Dashboard-Dados'!$J$1,$A$1,A461,$B$1,B461),0)</f>
        <v>0</v>
      </c>
      <c r="H461" s="56">
        <f t="shared" si="2"/>
        <v>461</v>
      </c>
      <c r="U461" s="56"/>
      <c r="V461" s="56"/>
      <c r="W461" s="56"/>
      <c r="Y461" s="138"/>
    </row>
    <row r="462">
      <c r="A462" s="56"/>
      <c r="B462" s="56"/>
      <c r="C462" s="108" t="str">
        <f>IFNA(VLOOKUP('Dashboard-Dados'!B462,'Dashboard-Dados'!$Y$2:$AA$13,2),"")</f>
        <v/>
      </c>
      <c r="D462" s="109">
        <f>IFERROR(GETPIVOTDATA("Valor Recebido",'Dashboard-Dados'!$J$1,$A$1,A462,$B$1,B462),0)</f>
        <v>0</v>
      </c>
      <c r="E462" s="110">
        <f>IFERROR(GETPIVOTDATA("Valor Despesa",'Dashboard-Dados'!$P$1,$A$1,A462,$B$1,B462),0)</f>
        <v>0</v>
      </c>
      <c r="F462" s="110">
        <f t="shared" si="1"/>
        <v>0</v>
      </c>
      <c r="G462" s="56">
        <f>IFERROR(GETPIVOTDATA("Exame",'Dashboard-Dados'!$J$1,$A$1,A462,$B$1,B462),0)</f>
        <v>0</v>
      </c>
      <c r="H462" s="56">
        <f t="shared" si="2"/>
        <v>462</v>
      </c>
      <c r="U462" s="56"/>
      <c r="V462" s="56"/>
      <c r="W462" s="56"/>
      <c r="Y462" s="138"/>
    </row>
    <row r="463">
      <c r="A463" s="56"/>
      <c r="B463" s="56"/>
      <c r="C463" s="108" t="str">
        <f>IFNA(VLOOKUP('Dashboard-Dados'!B463,'Dashboard-Dados'!$Y$2:$AA$13,2),"")</f>
        <v/>
      </c>
      <c r="D463" s="109">
        <f>IFERROR(GETPIVOTDATA("Valor Recebido",'Dashboard-Dados'!$J$1,$A$1,A463,$B$1,B463),0)</f>
        <v>0</v>
      </c>
      <c r="E463" s="110">
        <f>IFERROR(GETPIVOTDATA("Valor Despesa",'Dashboard-Dados'!$P$1,$A$1,A463,$B$1,B463),0)</f>
        <v>0</v>
      </c>
      <c r="F463" s="110">
        <f t="shared" si="1"/>
        <v>0</v>
      </c>
      <c r="G463" s="56">
        <f>IFERROR(GETPIVOTDATA("Exame",'Dashboard-Dados'!$J$1,$A$1,A463,$B$1,B463),0)</f>
        <v>0</v>
      </c>
      <c r="H463" s="56">
        <f t="shared" si="2"/>
        <v>463</v>
      </c>
      <c r="U463" s="56"/>
      <c r="V463" s="56"/>
      <c r="W463" s="56"/>
      <c r="Y463" s="138"/>
    </row>
    <row r="464">
      <c r="A464" s="56"/>
      <c r="B464" s="56"/>
      <c r="C464" s="108" t="str">
        <f>IFNA(VLOOKUP('Dashboard-Dados'!B464,'Dashboard-Dados'!$Y$2:$AA$13,2),"")</f>
        <v/>
      </c>
      <c r="D464" s="109">
        <f>IFERROR(GETPIVOTDATA("Valor Recebido",'Dashboard-Dados'!$J$1,$A$1,A464,$B$1,B464),0)</f>
        <v>0</v>
      </c>
      <c r="E464" s="110">
        <f>IFERROR(GETPIVOTDATA("Valor Despesa",'Dashboard-Dados'!$P$1,$A$1,A464,$B$1,B464),0)</f>
        <v>0</v>
      </c>
      <c r="F464" s="110">
        <f t="shared" si="1"/>
        <v>0</v>
      </c>
      <c r="G464" s="56">
        <f>IFERROR(GETPIVOTDATA("Exame",'Dashboard-Dados'!$J$1,$A$1,A464,$B$1,B464),0)</f>
        <v>0</v>
      </c>
      <c r="H464" s="56">
        <f t="shared" si="2"/>
        <v>464</v>
      </c>
      <c r="U464" s="56"/>
      <c r="V464" s="56"/>
      <c r="W464" s="56"/>
      <c r="Y464" s="138"/>
    </row>
    <row r="465">
      <c r="A465" s="56"/>
      <c r="B465" s="56"/>
      <c r="C465" s="108" t="str">
        <f>IFNA(VLOOKUP('Dashboard-Dados'!B465,'Dashboard-Dados'!$Y$2:$AA$13,2),"")</f>
        <v/>
      </c>
      <c r="D465" s="109">
        <f>IFERROR(GETPIVOTDATA("Valor Recebido",'Dashboard-Dados'!$J$1,$A$1,A465,$B$1,B465),0)</f>
        <v>0</v>
      </c>
      <c r="E465" s="110">
        <f>IFERROR(GETPIVOTDATA("Valor Despesa",'Dashboard-Dados'!$P$1,$A$1,A465,$B$1,B465),0)</f>
        <v>0</v>
      </c>
      <c r="F465" s="110">
        <f t="shared" si="1"/>
        <v>0</v>
      </c>
      <c r="G465" s="56">
        <f>IFERROR(GETPIVOTDATA("Exame",'Dashboard-Dados'!$J$1,$A$1,A465,$B$1,B465),0)</f>
        <v>0</v>
      </c>
      <c r="H465" s="56">
        <f t="shared" si="2"/>
        <v>465</v>
      </c>
      <c r="U465" s="56"/>
      <c r="V465" s="56"/>
      <c r="W465" s="56"/>
      <c r="Y465" s="138"/>
    </row>
    <row r="466">
      <c r="A466" s="56"/>
      <c r="B466" s="56"/>
      <c r="C466" s="108" t="str">
        <f>IFNA(VLOOKUP('Dashboard-Dados'!B466,'Dashboard-Dados'!$Y$2:$AA$13,2),"")</f>
        <v/>
      </c>
      <c r="D466" s="109">
        <f>IFERROR(GETPIVOTDATA("Valor Recebido",'Dashboard-Dados'!$J$1,$A$1,A466,$B$1,B466),0)</f>
        <v>0</v>
      </c>
      <c r="E466" s="110">
        <f>IFERROR(GETPIVOTDATA("Valor Despesa",'Dashboard-Dados'!$P$1,$A$1,A466,$B$1,B466),0)</f>
        <v>0</v>
      </c>
      <c r="F466" s="110">
        <f t="shared" si="1"/>
        <v>0</v>
      </c>
      <c r="G466" s="56">
        <f>IFERROR(GETPIVOTDATA("Exame",'Dashboard-Dados'!$J$1,$A$1,A466,$B$1,B466),0)</f>
        <v>0</v>
      </c>
      <c r="H466" s="56">
        <f t="shared" si="2"/>
        <v>466</v>
      </c>
      <c r="U466" s="56"/>
      <c r="V466" s="56"/>
      <c r="W466" s="56"/>
      <c r="Y466" s="138"/>
    </row>
    <row r="467">
      <c r="A467" s="56"/>
      <c r="B467" s="56"/>
      <c r="C467" s="108" t="str">
        <f>IFNA(VLOOKUP('Dashboard-Dados'!B467,'Dashboard-Dados'!$Y$2:$AA$13,2),"")</f>
        <v/>
      </c>
      <c r="D467" s="109">
        <f>IFERROR(GETPIVOTDATA("Valor Recebido",'Dashboard-Dados'!$J$1,$A$1,A467,$B$1,B467),0)</f>
        <v>0</v>
      </c>
      <c r="E467" s="110">
        <f>IFERROR(GETPIVOTDATA("Valor Despesa",'Dashboard-Dados'!$P$1,$A$1,A467,$B$1,B467),0)</f>
        <v>0</v>
      </c>
      <c r="F467" s="110">
        <f t="shared" si="1"/>
        <v>0</v>
      </c>
      <c r="G467" s="56">
        <f>IFERROR(GETPIVOTDATA("Exame",'Dashboard-Dados'!$J$1,$A$1,A467,$B$1,B467),0)</f>
        <v>0</v>
      </c>
      <c r="H467" s="56">
        <f t="shared" si="2"/>
        <v>467</v>
      </c>
      <c r="U467" s="56"/>
      <c r="V467" s="56"/>
      <c r="W467" s="56"/>
      <c r="Y467" s="138"/>
    </row>
    <row r="468">
      <c r="A468" s="56"/>
      <c r="B468" s="56"/>
      <c r="C468" s="108" t="str">
        <f>IFNA(VLOOKUP('Dashboard-Dados'!B468,'Dashboard-Dados'!$Y$2:$AA$13,2),"")</f>
        <v/>
      </c>
      <c r="D468" s="109">
        <f>IFERROR(GETPIVOTDATA("Valor Recebido",'Dashboard-Dados'!$J$1,$A$1,A468,$B$1,B468),0)</f>
        <v>0</v>
      </c>
      <c r="E468" s="110">
        <f>IFERROR(GETPIVOTDATA("Valor Despesa",'Dashboard-Dados'!$P$1,$A$1,A468,$B$1,B468),0)</f>
        <v>0</v>
      </c>
      <c r="F468" s="110">
        <f t="shared" si="1"/>
        <v>0</v>
      </c>
      <c r="G468" s="56">
        <f>IFERROR(GETPIVOTDATA("Exame",'Dashboard-Dados'!$J$1,$A$1,A468,$B$1,B468),0)</f>
        <v>0</v>
      </c>
      <c r="H468" s="56">
        <f t="shared" si="2"/>
        <v>468</v>
      </c>
      <c r="U468" s="56"/>
      <c r="V468" s="56"/>
      <c r="W468" s="56"/>
      <c r="Y468" s="138"/>
    </row>
    <row r="469">
      <c r="A469" s="56"/>
      <c r="B469" s="56"/>
      <c r="C469" s="108" t="str">
        <f>IFNA(VLOOKUP('Dashboard-Dados'!B469,'Dashboard-Dados'!$Y$2:$AA$13,2),"")</f>
        <v/>
      </c>
      <c r="D469" s="109">
        <f>IFERROR(GETPIVOTDATA("Valor Recebido",'Dashboard-Dados'!$J$1,$A$1,A469,$B$1,B469),0)</f>
        <v>0</v>
      </c>
      <c r="E469" s="110">
        <f>IFERROR(GETPIVOTDATA("Valor Despesa",'Dashboard-Dados'!$P$1,$A$1,A469,$B$1,B469),0)</f>
        <v>0</v>
      </c>
      <c r="F469" s="110">
        <f t="shared" si="1"/>
        <v>0</v>
      </c>
      <c r="G469" s="56">
        <f>IFERROR(GETPIVOTDATA("Exame",'Dashboard-Dados'!$J$1,$A$1,A469,$B$1,B469),0)</f>
        <v>0</v>
      </c>
      <c r="H469" s="56">
        <f t="shared" si="2"/>
        <v>469</v>
      </c>
      <c r="U469" s="56"/>
      <c r="V469" s="56"/>
      <c r="W469" s="56"/>
      <c r="Y469" s="138"/>
    </row>
    <row r="470">
      <c r="A470" s="56"/>
      <c r="B470" s="56"/>
      <c r="C470" s="108" t="str">
        <f>IFNA(VLOOKUP('Dashboard-Dados'!B470,'Dashboard-Dados'!$Y$2:$AA$13,2),"")</f>
        <v/>
      </c>
      <c r="D470" s="109">
        <f>IFERROR(GETPIVOTDATA("Valor Recebido",'Dashboard-Dados'!$J$1,$A$1,A470,$B$1,B470),0)</f>
        <v>0</v>
      </c>
      <c r="E470" s="110">
        <f>IFERROR(GETPIVOTDATA("Valor Despesa",'Dashboard-Dados'!$P$1,$A$1,A470,$B$1,B470),0)</f>
        <v>0</v>
      </c>
      <c r="F470" s="110">
        <f t="shared" si="1"/>
        <v>0</v>
      </c>
      <c r="G470" s="56">
        <f>IFERROR(GETPIVOTDATA("Exame",'Dashboard-Dados'!$J$1,$A$1,A470,$B$1,B470),0)</f>
        <v>0</v>
      </c>
      <c r="H470" s="56">
        <f t="shared" si="2"/>
        <v>470</v>
      </c>
      <c r="U470" s="56"/>
      <c r="V470" s="56"/>
      <c r="W470" s="56"/>
      <c r="Y470" s="138"/>
    </row>
    <row r="471">
      <c r="A471" s="56"/>
      <c r="B471" s="56"/>
      <c r="C471" s="108" t="str">
        <f>IFNA(VLOOKUP('Dashboard-Dados'!B471,'Dashboard-Dados'!$Y$2:$AA$13,2),"")</f>
        <v/>
      </c>
      <c r="D471" s="109">
        <f>IFERROR(GETPIVOTDATA("Valor Recebido",'Dashboard-Dados'!$J$1,$A$1,A471,$B$1,B471),0)</f>
        <v>0</v>
      </c>
      <c r="E471" s="110">
        <f>IFERROR(GETPIVOTDATA("Valor Despesa",'Dashboard-Dados'!$P$1,$A$1,A471,$B$1,B471),0)</f>
        <v>0</v>
      </c>
      <c r="F471" s="110">
        <f t="shared" si="1"/>
        <v>0</v>
      </c>
      <c r="G471" s="56">
        <f>IFERROR(GETPIVOTDATA("Exame",'Dashboard-Dados'!$J$1,$A$1,A471,$B$1,B471),0)</f>
        <v>0</v>
      </c>
      <c r="H471" s="56">
        <f t="shared" si="2"/>
        <v>471</v>
      </c>
      <c r="U471" s="56"/>
      <c r="V471" s="56"/>
      <c r="W471" s="56"/>
      <c r="Y471" s="138"/>
    </row>
    <row r="472">
      <c r="A472" s="56"/>
      <c r="B472" s="56"/>
      <c r="C472" s="108" t="str">
        <f>IFNA(VLOOKUP('Dashboard-Dados'!B472,'Dashboard-Dados'!$Y$2:$AA$13,2),"")</f>
        <v/>
      </c>
      <c r="D472" s="109">
        <f>IFERROR(GETPIVOTDATA("Valor Recebido",'Dashboard-Dados'!$J$1,$A$1,A472,$B$1,B472),0)</f>
        <v>0</v>
      </c>
      <c r="E472" s="110">
        <f>IFERROR(GETPIVOTDATA("Valor Despesa",'Dashboard-Dados'!$P$1,$A$1,A472,$B$1,B472),0)</f>
        <v>0</v>
      </c>
      <c r="F472" s="110">
        <f t="shared" si="1"/>
        <v>0</v>
      </c>
      <c r="G472" s="56">
        <f>IFERROR(GETPIVOTDATA("Exame",'Dashboard-Dados'!$J$1,$A$1,A472,$B$1,B472),0)</f>
        <v>0</v>
      </c>
      <c r="H472" s="56">
        <f t="shared" si="2"/>
        <v>472</v>
      </c>
      <c r="U472" s="56"/>
      <c r="V472" s="56"/>
      <c r="W472" s="56"/>
      <c r="Y472" s="138"/>
    </row>
    <row r="473">
      <c r="A473" s="56"/>
      <c r="B473" s="56"/>
      <c r="C473" s="108" t="str">
        <f>IFNA(VLOOKUP('Dashboard-Dados'!B473,'Dashboard-Dados'!$Y$2:$AA$13,2),"")</f>
        <v/>
      </c>
      <c r="D473" s="109">
        <f>IFERROR(GETPIVOTDATA("Valor Recebido",'Dashboard-Dados'!$J$1,$A$1,A473,$B$1,B473),0)</f>
        <v>0</v>
      </c>
      <c r="E473" s="110">
        <f>IFERROR(GETPIVOTDATA("Valor Despesa",'Dashboard-Dados'!$P$1,$A$1,A473,$B$1,B473),0)</f>
        <v>0</v>
      </c>
      <c r="F473" s="110">
        <f t="shared" si="1"/>
        <v>0</v>
      </c>
      <c r="G473" s="56">
        <f>IFERROR(GETPIVOTDATA("Exame",'Dashboard-Dados'!$J$1,$A$1,A473,$B$1,B473),0)</f>
        <v>0</v>
      </c>
      <c r="H473" s="56">
        <f t="shared" si="2"/>
        <v>473</v>
      </c>
      <c r="U473" s="56"/>
      <c r="V473" s="56"/>
      <c r="W473" s="56"/>
      <c r="Y473" s="138"/>
    </row>
    <row r="474">
      <c r="A474" s="56"/>
      <c r="B474" s="56"/>
      <c r="C474" s="108" t="str">
        <f>IFNA(VLOOKUP('Dashboard-Dados'!B474,'Dashboard-Dados'!$Y$2:$AA$13,2),"")</f>
        <v/>
      </c>
      <c r="D474" s="109">
        <f>IFERROR(GETPIVOTDATA("Valor Recebido",'Dashboard-Dados'!$J$1,$A$1,A474,$B$1,B474),0)</f>
        <v>0</v>
      </c>
      <c r="E474" s="110">
        <f>IFERROR(GETPIVOTDATA("Valor Despesa",'Dashboard-Dados'!$P$1,$A$1,A474,$B$1,B474),0)</f>
        <v>0</v>
      </c>
      <c r="F474" s="110">
        <f t="shared" si="1"/>
        <v>0</v>
      </c>
      <c r="G474" s="56">
        <f>IFERROR(GETPIVOTDATA("Exame",'Dashboard-Dados'!$J$1,$A$1,A474,$B$1,B474),0)</f>
        <v>0</v>
      </c>
      <c r="H474" s="56">
        <f t="shared" si="2"/>
        <v>474</v>
      </c>
      <c r="U474" s="56"/>
      <c r="V474" s="56"/>
      <c r="W474" s="56"/>
      <c r="Y474" s="138"/>
    </row>
    <row r="475">
      <c r="A475" s="56"/>
      <c r="B475" s="56"/>
      <c r="C475" s="108" t="str">
        <f>IFNA(VLOOKUP('Dashboard-Dados'!B475,'Dashboard-Dados'!$Y$2:$AA$13,2),"")</f>
        <v/>
      </c>
      <c r="D475" s="109">
        <f>IFERROR(GETPIVOTDATA("Valor Recebido",'Dashboard-Dados'!$J$1,$A$1,A475,$B$1,B475),0)</f>
        <v>0</v>
      </c>
      <c r="E475" s="110">
        <f>IFERROR(GETPIVOTDATA("Valor Despesa",'Dashboard-Dados'!$P$1,$A$1,A475,$B$1,B475),0)</f>
        <v>0</v>
      </c>
      <c r="F475" s="110">
        <f t="shared" si="1"/>
        <v>0</v>
      </c>
      <c r="G475" s="56">
        <f>IFERROR(GETPIVOTDATA("Exame",'Dashboard-Dados'!$J$1,$A$1,A475,$B$1,B475),0)</f>
        <v>0</v>
      </c>
      <c r="H475" s="56">
        <f t="shared" si="2"/>
        <v>475</v>
      </c>
      <c r="U475" s="56"/>
      <c r="V475" s="56"/>
      <c r="W475" s="56"/>
      <c r="Y475" s="138"/>
    </row>
    <row r="476">
      <c r="A476" s="56"/>
      <c r="B476" s="56"/>
      <c r="C476" s="108" t="str">
        <f>IFNA(VLOOKUP('Dashboard-Dados'!B476,'Dashboard-Dados'!$Y$2:$AA$13,2),"")</f>
        <v/>
      </c>
      <c r="D476" s="109">
        <f>IFERROR(GETPIVOTDATA("Valor Recebido",'Dashboard-Dados'!$J$1,$A$1,A476,$B$1,B476),0)</f>
        <v>0</v>
      </c>
      <c r="E476" s="110">
        <f>IFERROR(GETPIVOTDATA("Valor Despesa",'Dashboard-Dados'!$P$1,$A$1,A476,$B$1,B476),0)</f>
        <v>0</v>
      </c>
      <c r="F476" s="110">
        <f t="shared" si="1"/>
        <v>0</v>
      </c>
      <c r="G476" s="56">
        <f>IFERROR(GETPIVOTDATA("Exame",'Dashboard-Dados'!$J$1,$A$1,A476,$B$1,B476),0)</f>
        <v>0</v>
      </c>
      <c r="H476" s="56">
        <f t="shared" si="2"/>
        <v>476</v>
      </c>
      <c r="U476" s="56"/>
      <c r="V476" s="56"/>
      <c r="W476" s="56"/>
      <c r="Y476" s="138"/>
    </row>
    <row r="477">
      <c r="A477" s="56"/>
      <c r="B477" s="56"/>
      <c r="C477" s="108" t="str">
        <f>IFNA(VLOOKUP('Dashboard-Dados'!B477,'Dashboard-Dados'!$Y$2:$AA$13,2),"")</f>
        <v/>
      </c>
      <c r="D477" s="109">
        <f>IFERROR(GETPIVOTDATA("Valor Recebido",'Dashboard-Dados'!$J$1,$A$1,A477,$B$1,B477),0)</f>
        <v>0</v>
      </c>
      <c r="E477" s="110">
        <f>IFERROR(GETPIVOTDATA("Valor Despesa",'Dashboard-Dados'!$P$1,$A$1,A477,$B$1,B477),0)</f>
        <v>0</v>
      </c>
      <c r="F477" s="110">
        <f t="shared" si="1"/>
        <v>0</v>
      </c>
      <c r="G477" s="56">
        <f>IFERROR(GETPIVOTDATA("Exame",'Dashboard-Dados'!$J$1,$A$1,A477,$B$1,B477),0)</f>
        <v>0</v>
      </c>
      <c r="H477" s="56">
        <f t="shared" si="2"/>
        <v>477</v>
      </c>
      <c r="U477" s="56"/>
      <c r="V477" s="56"/>
      <c r="W477" s="56"/>
      <c r="Y477" s="138"/>
    </row>
    <row r="478">
      <c r="A478" s="56"/>
      <c r="B478" s="56"/>
      <c r="C478" s="108" t="str">
        <f>IFNA(VLOOKUP('Dashboard-Dados'!B478,'Dashboard-Dados'!$Y$2:$AA$13,2),"")</f>
        <v/>
      </c>
      <c r="D478" s="109">
        <f>IFERROR(GETPIVOTDATA("Valor Recebido",'Dashboard-Dados'!$J$1,$A$1,A478,$B$1,B478),0)</f>
        <v>0</v>
      </c>
      <c r="E478" s="110">
        <f>IFERROR(GETPIVOTDATA("Valor Despesa",'Dashboard-Dados'!$P$1,$A$1,A478,$B$1,B478),0)</f>
        <v>0</v>
      </c>
      <c r="F478" s="110">
        <f t="shared" si="1"/>
        <v>0</v>
      </c>
      <c r="G478" s="56">
        <f>IFERROR(GETPIVOTDATA("Exame",'Dashboard-Dados'!$J$1,$A$1,A478,$B$1,B478),0)</f>
        <v>0</v>
      </c>
      <c r="H478" s="56">
        <f t="shared" si="2"/>
        <v>478</v>
      </c>
      <c r="U478" s="56"/>
      <c r="V478" s="56"/>
      <c r="W478" s="56"/>
      <c r="Y478" s="138"/>
    </row>
    <row r="479">
      <c r="A479" s="56"/>
      <c r="B479" s="56"/>
      <c r="C479" s="108" t="str">
        <f>IFNA(VLOOKUP('Dashboard-Dados'!B479,'Dashboard-Dados'!$Y$2:$AA$13,2),"")</f>
        <v/>
      </c>
      <c r="D479" s="109">
        <f>IFERROR(GETPIVOTDATA("Valor Recebido",'Dashboard-Dados'!$J$1,$A$1,A479,$B$1,B479),0)</f>
        <v>0</v>
      </c>
      <c r="E479" s="110">
        <f>IFERROR(GETPIVOTDATA("Valor Despesa",'Dashboard-Dados'!$P$1,$A$1,A479,$B$1,B479),0)</f>
        <v>0</v>
      </c>
      <c r="F479" s="110">
        <f t="shared" si="1"/>
        <v>0</v>
      </c>
      <c r="G479" s="56">
        <f>IFERROR(GETPIVOTDATA("Exame",'Dashboard-Dados'!$J$1,$A$1,A479,$B$1,B479),0)</f>
        <v>0</v>
      </c>
      <c r="H479" s="56">
        <f t="shared" si="2"/>
        <v>479</v>
      </c>
      <c r="U479" s="56"/>
      <c r="V479" s="56"/>
      <c r="W479" s="56"/>
      <c r="Y479" s="138"/>
    </row>
    <row r="480">
      <c r="A480" s="56"/>
      <c r="B480" s="56"/>
      <c r="C480" s="108" t="str">
        <f>IFNA(VLOOKUP('Dashboard-Dados'!B480,'Dashboard-Dados'!$Y$2:$AA$13,2),"")</f>
        <v/>
      </c>
      <c r="D480" s="109">
        <f>IFERROR(GETPIVOTDATA("Valor Recebido",'Dashboard-Dados'!$J$1,$A$1,A480,$B$1,B480),0)</f>
        <v>0</v>
      </c>
      <c r="E480" s="110">
        <f>IFERROR(GETPIVOTDATA("Valor Despesa",'Dashboard-Dados'!$P$1,$A$1,A480,$B$1,B480),0)</f>
        <v>0</v>
      </c>
      <c r="F480" s="110">
        <f t="shared" si="1"/>
        <v>0</v>
      </c>
      <c r="G480" s="56">
        <f>IFERROR(GETPIVOTDATA("Exame",'Dashboard-Dados'!$J$1,$A$1,A480,$B$1,B480),0)</f>
        <v>0</v>
      </c>
      <c r="H480" s="56">
        <f t="shared" si="2"/>
        <v>480</v>
      </c>
      <c r="U480" s="56"/>
      <c r="V480" s="56"/>
      <c r="W480" s="56"/>
      <c r="Y480" s="138"/>
    </row>
    <row r="481">
      <c r="A481" s="56"/>
      <c r="B481" s="56"/>
      <c r="C481" s="108" t="str">
        <f>IFNA(VLOOKUP('Dashboard-Dados'!B481,'Dashboard-Dados'!$Y$2:$AA$13,2),"")</f>
        <v/>
      </c>
      <c r="D481" s="109">
        <f>IFERROR(GETPIVOTDATA("Valor Recebido",'Dashboard-Dados'!$J$1,$A$1,A481,$B$1,B481),0)</f>
        <v>0</v>
      </c>
      <c r="E481" s="110">
        <f>IFERROR(GETPIVOTDATA("Valor Despesa",'Dashboard-Dados'!$P$1,$A$1,A481,$B$1,B481),0)</f>
        <v>0</v>
      </c>
      <c r="F481" s="110">
        <f t="shared" si="1"/>
        <v>0</v>
      </c>
      <c r="G481" s="56">
        <f>IFERROR(GETPIVOTDATA("Exame",'Dashboard-Dados'!$J$1,$A$1,A481,$B$1,B481),0)</f>
        <v>0</v>
      </c>
      <c r="H481" s="56">
        <f t="shared" si="2"/>
        <v>481</v>
      </c>
      <c r="U481" s="56"/>
      <c r="V481" s="56"/>
      <c r="W481" s="56"/>
      <c r="Y481" s="138"/>
    </row>
    <row r="482">
      <c r="A482" s="56"/>
      <c r="B482" s="56"/>
      <c r="C482" s="108" t="str">
        <f>IFNA(VLOOKUP('Dashboard-Dados'!B482,'Dashboard-Dados'!$Y$2:$AA$13,2),"")</f>
        <v/>
      </c>
      <c r="D482" s="109">
        <f>IFERROR(GETPIVOTDATA("Valor Recebido",'Dashboard-Dados'!$J$1,$A$1,A482,$B$1,B482),0)</f>
        <v>0</v>
      </c>
      <c r="E482" s="110">
        <f>IFERROR(GETPIVOTDATA("Valor Despesa",'Dashboard-Dados'!$P$1,$A$1,A482,$B$1,B482),0)</f>
        <v>0</v>
      </c>
      <c r="F482" s="110">
        <f t="shared" si="1"/>
        <v>0</v>
      </c>
      <c r="G482" s="56">
        <f>IFERROR(GETPIVOTDATA("Exame",'Dashboard-Dados'!$J$1,$A$1,A482,$B$1,B482),0)</f>
        <v>0</v>
      </c>
      <c r="H482" s="56">
        <f t="shared" si="2"/>
        <v>482</v>
      </c>
      <c r="U482" s="56"/>
      <c r="V482" s="56"/>
      <c r="W482" s="56"/>
      <c r="Y482" s="138"/>
    </row>
    <row r="483">
      <c r="A483" s="56"/>
      <c r="B483" s="56"/>
      <c r="C483" s="108" t="str">
        <f>IFNA(VLOOKUP('Dashboard-Dados'!B483,'Dashboard-Dados'!$Y$2:$AA$13,2),"")</f>
        <v/>
      </c>
      <c r="D483" s="109">
        <f>IFERROR(GETPIVOTDATA("Valor Recebido",'Dashboard-Dados'!$J$1,$A$1,A483,$B$1,B483),0)</f>
        <v>0</v>
      </c>
      <c r="E483" s="110">
        <f>IFERROR(GETPIVOTDATA("Valor Despesa",'Dashboard-Dados'!$P$1,$A$1,A483,$B$1,B483),0)</f>
        <v>0</v>
      </c>
      <c r="F483" s="110">
        <f t="shared" si="1"/>
        <v>0</v>
      </c>
      <c r="G483" s="56">
        <f>IFERROR(GETPIVOTDATA("Exame",'Dashboard-Dados'!$J$1,$A$1,A483,$B$1,B483),0)</f>
        <v>0</v>
      </c>
      <c r="H483" s="56">
        <f t="shared" si="2"/>
        <v>483</v>
      </c>
      <c r="U483" s="56"/>
      <c r="V483" s="56"/>
      <c r="W483" s="56"/>
      <c r="Y483" s="138"/>
    </row>
    <row r="484">
      <c r="A484" s="56"/>
      <c r="B484" s="56"/>
      <c r="C484" s="108" t="str">
        <f>IFNA(VLOOKUP('Dashboard-Dados'!B484,'Dashboard-Dados'!$Y$2:$AA$13,2),"")</f>
        <v/>
      </c>
      <c r="D484" s="109">
        <f>IFERROR(GETPIVOTDATA("Valor Recebido",'Dashboard-Dados'!$J$1,$A$1,A484,$B$1,B484),0)</f>
        <v>0</v>
      </c>
      <c r="E484" s="110">
        <f>IFERROR(GETPIVOTDATA("Valor Despesa",'Dashboard-Dados'!$P$1,$A$1,A484,$B$1,B484),0)</f>
        <v>0</v>
      </c>
      <c r="F484" s="110">
        <f t="shared" si="1"/>
        <v>0</v>
      </c>
      <c r="G484" s="56">
        <f>IFERROR(GETPIVOTDATA("Exame",'Dashboard-Dados'!$J$1,$A$1,A484,$B$1,B484),0)</f>
        <v>0</v>
      </c>
      <c r="H484" s="56">
        <f t="shared" si="2"/>
        <v>484</v>
      </c>
      <c r="U484" s="56"/>
      <c r="V484" s="56"/>
      <c r="W484" s="56"/>
      <c r="Y484" s="138"/>
    </row>
    <row r="485">
      <c r="A485" s="56"/>
      <c r="B485" s="56"/>
      <c r="C485" s="108" t="str">
        <f>IFNA(VLOOKUP('Dashboard-Dados'!B485,'Dashboard-Dados'!$Y$2:$AA$13,2),"")</f>
        <v/>
      </c>
      <c r="D485" s="109">
        <f>IFERROR(GETPIVOTDATA("Valor Recebido",'Dashboard-Dados'!$J$1,$A$1,A485,$B$1,B485),0)</f>
        <v>0</v>
      </c>
      <c r="E485" s="110">
        <f>IFERROR(GETPIVOTDATA("Valor Despesa",'Dashboard-Dados'!$P$1,$A$1,A485,$B$1,B485),0)</f>
        <v>0</v>
      </c>
      <c r="F485" s="110">
        <f t="shared" si="1"/>
        <v>0</v>
      </c>
      <c r="G485" s="56">
        <f>IFERROR(GETPIVOTDATA("Exame",'Dashboard-Dados'!$J$1,$A$1,A485,$B$1,B485),0)</f>
        <v>0</v>
      </c>
      <c r="H485" s="56">
        <f t="shared" si="2"/>
        <v>485</v>
      </c>
      <c r="U485" s="56"/>
      <c r="V485" s="56"/>
      <c r="W485" s="56"/>
      <c r="Y485" s="138"/>
    </row>
    <row r="486">
      <c r="A486" s="56"/>
      <c r="B486" s="56"/>
      <c r="C486" s="108" t="str">
        <f>IFNA(VLOOKUP('Dashboard-Dados'!B486,'Dashboard-Dados'!$Y$2:$AA$13,2),"")</f>
        <v/>
      </c>
      <c r="D486" s="109">
        <f>IFERROR(GETPIVOTDATA("Valor Recebido",'Dashboard-Dados'!$J$1,$A$1,A486,$B$1,B486),0)</f>
        <v>0</v>
      </c>
      <c r="E486" s="110">
        <f>IFERROR(GETPIVOTDATA("Valor Despesa",'Dashboard-Dados'!$P$1,$A$1,A486,$B$1,B486),0)</f>
        <v>0</v>
      </c>
      <c r="F486" s="110">
        <f t="shared" si="1"/>
        <v>0</v>
      </c>
      <c r="G486" s="56">
        <f>IFERROR(GETPIVOTDATA("Exame",'Dashboard-Dados'!$J$1,$A$1,A486,$B$1,B486),0)</f>
        <v>0</v>
      </c>
      <c r="H486" s="56">
        <f t="shared" si="2"/>
        <v>486</v>
      </c>
      <c r="U486" s="56"/>
      <c r="V486" s="56"/>
      <c r="W486" s="56"/>
      <c r="Y486" s="138"/>
    </row>
    <row r="487">
      <c r="A487" s="56"/>
      <c r="B487" s="56"/>
      <c r="C487" s="108" t="str">
        <f>IFNA(VLOOKUP('Dashboard-Dados'!B487,'Dashboard-Dados'!$Y$2:$AA$13,2),"")</f>
        <v/>
      </c>
      <c r="D487" s="109">
        <f>IFERROR(GETPIVOTDATA("Valor Recebido",'Dashboard-Dados'!$J$1,$A$1,A487,$B$1,B487),0)</f>
        <v>0</v>
      </c>
      <c r="E487" s="110">
        <f>IFERROR(GETPIVOTDATA("Valor Despesa",'Dashboard-Dados'!$P$1,$A$1,A487,$B$1,B487),0)</f>
        <v>0</v>
      </c>
      <c r="F487" s="110">
        <f t="shared" si="1"/>
        <v>0</v>
      </c>
      <c r="G487" s="56">
        <f>IFERROR(GETPIVOTDATA("Exame",'Dashboard-Dados'!$J$1,$A$1,A487,$B$1,B487),0)</f>
        <v>0</v>
      </c>
      <c r="H487" s="56">
        <f t="shared" si="2"/>
        <v>487</v>
      </c>
      <c r="U487" s="56"/>
      <c r="V487" s="56"/>
      <c r="W487" s="56"/>
      <c r="Y487" s="138"/>
    </row>
    <row r="488">
      <c r="A488" s="56"/>
      <c r="B488" s="56"/>
      <c r="C488" s="108" t="str">
        <f>IFNA(VLOOKUP('Dashboard-Dados'!B488,'Dashboard-Dados'!$Y$2:$AA$13,2),"")</f>
        <v/>
      </c>
      <c r="D488" s="109">
        <f>IFERROR(GETPIVOTDATA("Valor Recebido",'Dashboard-Dados'!$J$1,$A$1,A488,$B$1,B488),0)</f>
        <v>0</v>
      </c>
      <c r="E488" s="110">
        <f>IFERROR(GETPIVOTDATA("Valor Despesa",'Dashboard-Dados'!$P$1,$A$1,A488,$B$1,B488),0)</f>
        <v>0</v>
      </c>
      <c r="F488" s="110">
        <f t="shared" si="1"/>
        <v>0</v>
      </c>
      <c r="G488" s="56">
        <f>IFERROR(GETPIVOTDATA("Exame",'Dashboard-Dados'!$J$1,$A$1,A488,$B$1,B488),0)</f>
        <v>0</v>
      </c>
      <c r="H488" s="56">
        <f t="shared" si="2"/>
        <v>488</v>
      </c>
      <c r="U488" s="56"/>
      <c r="V488" s="56"/>
      <c r="W488" s="56"/>
      <c r="Y488" s="138"/>
    </row>
    <row r="489">
      <c r="A489" s="56"/>
      <c r="B489" s="56"/>
      <c r="C489" s="108" t="str">
        <f>IFNA(VLOOKUP('Dashboard-Dados'!B489,'Dashboard-Dados'!$Y$2:$AA$13,2),"")</f>
        <v/>
      </c>
      <c r="D489" s="109">
        <f>IFERROR(GETPIVOTDATA("Valor Recebido",'Dashboard-Dados'!$J$1,$A$1,A489,$B$1,B489),0)</f>
        <v>0</v>
      </c>
      <c r="E489" s="110">
        <f>IFERROR(GETPIVOTDATA("Valor Despesa",'Dashboard-Dados'!$P$1,$A$1,A489,$B$1,B489),0)</f>
        <v>0</v>
      </c>
      <c r="F489" s="110">
        <f t="shared" si="1"/>
        <v>0</v>
      </c>
      <c r="G489" s="56">
        <f>IFERROR(GETPIVOTDATA("Exame",'Dashboard-Dados'!$J$1,$A$1,A489,$B$1,B489),0)</f>
        <v>0</v>
      </c>
      <c r="H489" s="56">
        <f t="shared" si="2"/>
        <v>489</v>
      </c>
      <c r="U489" s="56"/>
      <c r="V489" s="56"/>
      <c r="W489" s="56"/>
      <c r="Y489" s="138"/>
    </row>
    <row r="490">
      <c r="A490" s="56"/>
      <c r="B490" s="56"/>
      <c r="C490" s="108" t="str">
        <f>IFNA(VLOOKUP('Dashboard-Dados'!B490,'Dashboard-Dados'!$Y$2:$AA$13,2),"")</f>
        <v/>
      </c>
      <c r="D490" s="109">
        <f>IFERROR(GETPIVOTDATA("Valor Recebido",'Dashboard-Dados'!$J$1,$A$1,A490,$B$1,B490),0)</f>
        <v>0</v>
      </c>
      <c r="E490" s="110">
        <f>IFERROR(GETPIVOTDATA("Valor Despesa",'Dashboard-Dados'!$P$1,$A$1,A490,$B$1,B490),0)</f>
        <v>0</v>
      </c>
      <c r="F490" s="110">
        <f t="shared" si="1"/>
        <v>0</v>
      </c>
      <c r="G490" s="56">
        <f>IFERROR(GETPIVOTDATA("Exame",'Dashboard-Dados'!$J$1,$A$1,A490,$B$1,B490),0)</f>
        <v>0</v>
      </c>
      <c r="H490" s="56">
        <f t="shared" si="2"/>
        <v>490</v>
      </c>
      <c r="U490" s="56"/>
      <c r="V490" s="56"/>
      <c r="W490" s="56"/>
      <c r="Y490" s="138"/>
    </row>
    <row r="491">
      <c r="A491" s="56"/>
      <c r="B491" s="56"/>
      <c r="C491" s="108" t="str">
        <f>IFNA(VLOOKUP('Dashboard-Dados'!B491,'Dashboard-Dados'!$Y$2:$AA$13,2),"")</f>
        <v/>
      </c>
      <c r="D491" s="109">
        <f>IFERROR(GETPIVOTDATA("Valor Recebido",'Dashboard-Dados'!$J$1,$A$1,A491,$B$1,B491),0)</f>
        <v>0</v>
      </c>
      <c r="E491" s="110">
        <f>IFERROR(GETPIVOTDATA("Valor Despesa",'Dashboard-Dados'!$P$1,$A$1,A491,$B$1,B491),0)</f>
        <v>0</v>
      </c>
      <c r="F491" s="110">
        <f t="shared" si="1"/>
        <v>0</v>
      </c>
      <c r="G491" s="56">
        <f>IFERROR(GETPIVOTDATA("Exame",'Dashboard-Dados'!$J$1,$A$1,A491,$B$1,B491),0)</f>
        <v>0</v>
      </c>
      <c r="H491" s="56">
        <f t="shared" si="2"/>
        <v>491</v>
      </c>
      <c r="U491" s="56"/>
      <c r="V491" s="56"/>
      <c r="W491" s="56"/>
      <c r="Y491" s="138"/>
    </row>
    <row r="492">
      <c r="A492" s="56"/>
      <c r="B492" s="56"/>
      <c r="C492" s="108" t="str">
        <f>IFNA(VLOOKUP('Dashboard-Dados'!B492,'Dashboard-Dados'!$Y$2:$AA$13,2),"")</f>
        <v/>
      </c>
      <c r="D492" s="109">
        <f>IFERROR(GETPIVOTDATA("Valor Recebido",'Dashboard-Dados'!$J$1,$A$1,A492,$B$1,B492),0)</f>
        <v>0</v>
      </c>
      <c r="E492" s="110">
        <f>IFERROR(GETPIVOTDATA("Valor Despesa",'Dashboard-Dados'!$P$1,$A$1,A492,$B$1,B492),0)</f>
        <v>0</v>
      </c>
      <c r="F492" s="110">
        <f t="shared" si="1"/>
        <v>0</v>
      </c>
      <c r="G492" s="56">
        <f>IFERROR(GETPIVOTDATA("Exame",'Dashboard-Dados'!$J$1,$A$1,A492,$B$1,B492),0)</f>
        <v>0</v>
      </c>
      <c r="H492" s="56">
        <f t="shared" si="2"/>
        <v>492</v>
      </c>
      <c r="U492" s="56"/>
      <c r="V492" s="56"/>
      <c r="W492" s="56"/>
      <c r="Y492" s="138"/>
    </row>
    <row r="493">
      <c r="A493" s="56"/>
      <c r="B493" s="56"/>
      <c r="C493" s="108" t="str">
        <f>IFNA(VLOOKUP('Dashboard-Dados'!B493,'Dashboard-Dados'!$Y$2:$AA$13,2),"")</f>
        <v/>
      </c>
      <c r="D493" s="109">
        <f>IFERROR(GETPIVOTDATA("Valor Recebido",'Dashboard-Dados'!$J$1,$A$1,A493,$B$1,B493),0)</f>
        <v>0</v>
      </c>
      <c r="E493" s="110">
        <f>IFERROR(GETPIVOTDATA("Valor Despesa",'Dashboard-Dados'!$P$1,$A$1,A493,$B$1,B493),0)</f>
        <v>0</v>
      </c>
      <c r="F493" s="110">
        <f t="shared" si="1"/>
        <v>0</v>
      </c>
      <c r="G493" s="56">
        <f>IFERROR(GETPIVOTDATA("Exame",'Dashboard-Dados'!$J$1,$A$1,A493,$B$1,B493),0)</f>
        <v>0</v>
      </c>
      <c r="H493" s="56">
        <f t="shared" si="2"/>
        <v>493</v>
      </c>
      <c r="U493" s="56"/>
      <c r="V493" s="56"/>
      <c r="W493" s="56"/>
      <c r="Y493" s="138"/>
    </row>
    <row r="494">
      <c r="A494" s="56"/>
      <c r="B494" s="56"/>
      <c r="C494" s="108" t="str">
        <f>IFNA(VLOOKUP('Dashboard-Dados'!B494,'Dashboard-Dados'!$Y$2:$AA$13,2),"")</f>
        <v/>
      </c>
      <c r="D494" s="109">
        <f>IFERROR(GETPIVOTDATA("Valor Recebido",'Dashboard-Dados'!$J$1,$A$1,A494,$B$1,B494),0)</f>
        <v>0</v>
      </c>
      <c r="E494" s="110">
        <f>IFERROR(GETPIVOTDATA("Valor Despesa",'Dashboard-Dados'!$P$1,$A$1,A494,$B$1,B494),0)</f>
        <v>0</v>
      </c>
      <c r="F494" s="110">
        <f t="shared" si="1"/>
        <v>0</v>
      </c>
      <c r="G494" s="56">
        <f>IFERROR(GETPIVOTDATA("Exame",'Dashboard-Dados'!$J$1,$A$1,A494,$B$1,B494),0)</f>
        <v>0</v>
      </c>
      <c r="H494" s="56">
        <f t="shared" si="2"/>
        <v>494</v>
      </c>
      <c r="U494" s="56"/>
      <c r="V494" s="56"/>
      <c r="W494" s="56"/>
      <c r="Y494" s="138"/>
    </row>
    <row r="495">
      <c r="A495" s="56"/>
      <c r="B495" s="56"/>
      <c r="C495" s="108" t="str">
        <f>IFNA(VLOOKUP('Dashboard-Dados'!B495,'Dashboard-Dados'!$Y$2:$AA$13,2),"")</f>
        <v/>
      </c>
      <c r="D495" s="109">
        <f>IFERROR(GETPIVOTDATA("Valor Recebido",'Dashboard-Dados'!$J$1,$A$1,A495,$B$1,B495),0)</f>
        <v>0</v>
      </c>
      <c r="E495" s="110">
        <f>IFERROR(GETPIVOTDATA("Valor Despesa",'Dashboard-Dados'!$P$1,$A$1,A495,$B$1,B495),0)</f>
        <v>0</v>
      </c>
      <c r="F495" s="110">
        <f t="shared" si="1"/>
        <v>0</v>
      </c>
      <c r="G495" s="56">
        <f>IFERROR(GETPIVOTDATA("Exame",'Dashboard-Dados'!$J$1,$A$1,A495,$B$1,B495),0)</f>
        <v>0</v>
      </c>
      <c r="H495" s="56">
        <f t="shared" si="2"/>
        <v>495</v>
      </c>
      <c r="U495" s="56"/>
      <c r="V495" s="56"/>
      <c r="W495" s="56"/>
      <c r="Y495" s="138"/>
    </row>
    <row r="496">
      <c r="A496" s="56"/>
      <c r="B496" s="56"/>
      <c r="C496" s="108" t="str">
        <f>IFNA(VLOOKUP('Dashboard-Dados'!B496,'Dashboard-Dados'!$Y$2:$AA$13,2),"")</f>
        <v/>
      </c>
      <c r="D496" s="109">
        <f>IFERROR(GETPIVOTDATA("Valor Recebido",'Dashboard-Dados'!$J$1,$A$1,A496,$B$1,B496),0)</f>
        <v>0</v>
      </c>
      <c r="E496" s="110">
        <f>IFERROR(GETPIVOTDATA("Valor Despesa",'Dashboard-Dados'!$P$1,$A$1,A496,$B$1,B496),0)</f>
        <v>0</v>
      </c>
      <c r="F496" s="110">
        <f t="shared" si="1"/>
        <v>0</v>
      </c>
      <c r="G496" s="56">
        <f>IFERROR(GETPIVOTDATA("Exame",'Dashboard-Dados'!$J$1,$A$1,A496,$B$1,B496),0)</f>
        <v>0</v>
      </c>
      <c r="H496" s="56">
        <f t="shared" si="2"/>
        <v>496</v>
      </c>
      <c r="U496" s="56"/>
      <c r="V496" s="56"/>
      <c r="W496" s="56"/>
      <c r="Y496" s="138"/>
    </row>
    <row r="497">
      <c r="A497" s="56"/>
      <c r="B497" s="56"/>
      <c r="C497" s="108" t="str">
        <f>IFNA(VLOOKUP('Dashboard-Dados'!B497,'Dashboard-Dados'!$Y$2:$AA$13,2),"")</f>
        <v/>
      </c>
      <c r="D497" s="109">
        <f>IFERROR(GETPIVOTDATA("Valor Recebido",'Dashboard-Dados'!$J$1,$A$1,A497,$B$1,B497),0)</f>
        <v>0</v>
      </c>
      <c r="E497" s="110">
        <f>IFERROR(GETPIVOTDATA("Valor Despesa",'Dashboard-Dados'!$P$1,$A$1,A497,$B$1,B497),0)</f>
        <v>0</v>
      </c>
      <c r="F497" s="110">
        <f t="shared" si="1"/>
        <v>0</v>
      </c>
      <c r="G497" s="56">
        <f>IFERROR(GETPIVOTDATA("Exame",'Dashboard-Dados'!$J$1,$A$1,A497,$B$1,B497),0)</f>
        <v>0</v>
      </c>
      <c r="H497" s="56">
        <f t="shared" si="2"/>
        <v>497</v>
      </c>
      <c r="U497" s="56"/>
      <c r="V497" s="56"/>
      <c r="W497" s="56"/>
      <c r="Y497" s="138"/>
    </row>
    <row r="498">
      <c r="A498" s="56"/>
      <c r="B498" s="56"/>
      <c r="C498" s="108" t="str">
        <f>IFNA(VLOOKUP('Dashboard-Dados'!B498,'Dashboard-Dados'!$Y$2:$AA$13,2),"")</f>
        <v/>
      </c>
      <c r="D498" s="109">
        <f>IFERROR(GETPIVOTDATA("Valor Recebido",'Dashboard-Dados'!$J$1,$A$1,A498,$B$1,B498),0)</f>
        <v>0</v>
      </c>
      <c r="E498" s="110">
        <f>IFERROR(GETPIVOTDATA("Valor Despesa",'Dashboard-Dados'!$P$1,$A$1,A498,$B$1,B498),0)</f>
        <v>0</v>
      </c>
      <c r="F498" s="110">
        <f t="shared" si="1"/>
        <v>0</v>
      </c>
      <c r="G498" s="56">
        <f>IFERROR(GETPIVOTDATA("Exame",'Dashboard-Dados'!$J$1,$A$1,A498,$B$1,B498),0)</f>
        <v>0</v>
      </c>
      <c r="H498" s="56">
        <f t="shared" si="2"/>
        <v>498</v>
      </c>
      <c r="U498" s="56"/>
      <c r="V498" s="56"/>
      <c r="W498" s="56"/>
      <c r="Y498" s="138"/>
    </row>
    <row r="499">
      <c r="A499" s="56"/>
      <c r="B499" s="56"/>
      <c r="C499" s="108" t="str">
        <f>IFNA(VLOOKUP('Dashboard-Dados'!B499,'Dashboard-Dados'!$Y$2:$AA$13,2),"")</f>
        <v/>
      </c>
      <c r="D499" s="109">
        <f>IFERROR(GETPIVOTDATA("Valor Recebido",'Dashboard-Dados'!$J$1,$A$1,A499,$B$1,B499),0)</f>
        <v>0</v>
      </c>
      <c r="E499" s="110">
        <f>IFERROR(GETPIVOTDATA("Valor Despesa",'Dashboard-Dados'!$P$1,$A$1,A499,$B$1,B499),0)</f>
        <v>0</v>
      </c>
      <c r="F499" s="110">
        <f t="shared" si="1"/>
        <v>0</v>
      </c>
      <c r="G499" s="56">
        <f>IFERROR(GETPIVOTDATA("Exame",'Dashboard-Dados'!$J$1,$A$1,A499,$B$1,B499),0)</f>
        <v>0</v>
      </c>
      <c r="H499" s="56">
        <f t="shared" si="2"/>
        <v>499</v>
      </c>
      <c r="U499" s="56"/>
      <c r="V499" s="56"/>
      <c r="W499" s="56"/>
      <c r="Y499" s="138"/>
    </row>
    <row r="500">
      <c r="A500" s="56"/>
      <c r="B500" s="56"/>
      <c r="C500" s="108" t="str">
        <f>IFNA(VLOOKUP('Dashboard-Dados'!B500,'Dashboard-Dados'!$Y$2:$AA$13,2),"")</f>
        <v/>
      </c>
      <c r="D500" s="109">
        <f>IFERROR(GETPIVOTDATA("Valor Recebido",'Dashboard-Dados'!$J$1,$A$1,A500,$B$1,B500),0)</f>
        <v>0</v>
      </c>
      <c r="E500" s="110">
        <f>IFERROR(GETPIVOTDATA("Valor Despesa",'Dashboard-Dados'!$P$1,$A$1,A500,$B$1,B500),0)</f>
        <v>0</v>
      </c>
      <c r="F500" s="110">
        <f t="shared" si="1"/>
        <v>0</v>
      </c>
      <c r="G500" s="56">
        <f>IFERROR(GETPIVOTDATA("Exame",'Dashboard-Dados'!$J$1,$A$1,A500,$B$1,B500),0)</f>
        <v>0</v>
      </c>
      <c r="H500" s="56">
        <f t="shared" si="2"/>
        <v>500</v>
      </c>
      <c r="U500" s="56"/>
      <c r="V500" s="56"/>
      <c r="W500" s="56"/>
      <c r="Y500" s="138"/>
    </row>
    <row r="501">
      <c r="A501" s="56"/>
      <c r="B501" s="56"/>
      <c r="C501" s="108" t="str">
        <f>IFNA(VLOOKUP('Dashboard-Dados'!B501,'Dashboard-Dados'!$Y$2:$AA$13,2),"")</f>
        <v/>
      </c>
      <c r="D501" s="109">
        <f>IFERROR(GETPIVOTDATA("Valor Recebido",'Dashboard-Dados'!$J$1,$A$1,A501,$B$1,B501),0)</f>
        <v>0</v>
      </c>
      <c r="E501" s="110">
        <f>IFERROR(GETPIVOTDATA("Valor Despesa",'Dashboard-Dados'!$P$1,$A$1,A501,$B$1,B501),0)</f>
        <v>0</v>
      </c>
      <c r="F501" s="110">
        <f t="shared" si="1"/>
        <v>0</v>
      </c>
      <c r="G501" s="56">
        <f>IFERROR(GETPIVOTDATA("Exame",'Dashboard-Dados'!$J$1,$A$1,A501,$B$1,B501),0)</f>
        <v>0</v>
      </c>
      <c r="H501" s="56">
        <f t="shared" si="2"/>
        <v>501</v>
      </c>
      <c r="U501" s="56"/>
      <c r="V501" s="56"/>
      <c r="W501" s="56"/>
      <c r="Y501" s="138"/>
    </row>
    <row r="502">
      <c r="A502" s="56"/>
      <c r="B502" s="56"/>
      <c r="C502" s="108" t="str">
        <f>IFNA(VLOOKUP('Dashboard-Dados'!B502,'Dashboard-Dados'!$Y$2:$AA$13,2),"")</f>
        <v/>
      </c>
      <c r="D502" s="109">
        <f>IFERROR(GETPIVOTDATA("Valor Recebido",'Dashboard-Dados'!$J$1,$A$1,A502,$B$1,B502),0)</f>
        <v>0</v>
      </c>
      <c r="E502" s="110">
        <f>IFERROR(GETPIVOTDATA("Valor Despesa",'Dashboard-Dados'!$P$1,$A$1,A502,$B$1,B502),0)</f>
        <v>0</v>
      </c>
      <c r="F502" s="110">
        <f t="shared" si="1"/>
        <v>0</v>
      </c>
      <c r="G502" s="56">
        <f>IFERROR(GETPIVOTDATA("Exame",'Dashboard-Dados'!$J$1,$A$1,A502,$B$1,B502),0)</f>
        <v>0</v>
      </c>
      <c r="H502" s="56">
        <f t="shared" si="2"/>
        <v>502</v>
      </c>
      <c r="U502" s="56"/>
      <c r="V502" s="56"/>
      <c r="W502" s="56"/>
      <c r="Y502" s="138"/>
    </row>
    <row r="503">
      <c r="A503" s="56"/>
      <c r="B503" s="56"/>
      <c r="C503" s="108" t="str">
        <f>IFNA(VLOOKUP('Dashboard-Dados'!B503,'Dashboard-Dados'!$Y$2:$AA$13,2),"")</f>
        <v/>
      </c>
      <c r="D503" s="109">
        <f>IFERROR(GETPIVOTDATA("Valor Recebido",'Dashboard-Dados'!$J$1,$A$1,A503,$B$1,B503),0)</f>
        <v>0</v>
      </c>
      <c r="E503" s="110">
        <f>IFERROR(GETPIVOTDATA("Valor Despesa",'Dashboard-Dados'!$P$1,$A$1,A503,$B$1,B503),0)</f>
        <v>0</v>
      </c>
      <c r="F503" s="110">
        <f t="shared" si="1"/>
        <v>0</v>
      </c>
      <c r="G503" s="56">
        <f>IFERROR(GETPIVOTDATA("Exame",'Dashboard-Dados'!$J$1,$A$1,A503,$B$1,B503),0)</f>
        <v>0</v>
      </c>
      <c r="H503" s="56">
        <f t="shared" si="2"/>
        <v>503</v>
      </c>
      <c r="U503" s="56"/>
      <c r="V503" s="56"/>
      <c r="W503" s="56"/>
      <c r="Y503" s="138"/>
    </row>
    <row r="504">
      <c r="A504" s="56"/>
      <c r="B504" s="56"/>
      <c r="C504" s="108" t="str">
        <f>IFNA(VLOOKUP('Dashboard-Dados'!B504,'Dashboard-Dados'!$Y$2:$AA$13,2),"")</f>
        <v/>
      </c>
      <c r="D504" s="109">
        <f>IFERROR(GETPIVOTDATA("Valor Recebido",'Dashboard-Dados'!$J$1,$A$1,A504,$B$1,B504),0)</f>
        <v>0</v>
      </c>
      <c r="E504" s="110">
        <f>IFERROR(GETPIVOTDATA("Valor Despesa",'Dashboard-Dados'!$P$1,$A$1,A504,$B$1,B504),0)</f>
        <v>0</v>
      </c>
      <c r="F504" s="110">
        <f t="shared" si="1"/>
        <v>0</v>
      </c>
      <c r="G504" s="56">
        <f>IFERROR(GETPIVOTDATA("Exame",'Dashboard-Dados'!$J$1,$A$1,A504,$B$1,B504),0)</f>
        <v>0</v>
      </c>
      <c r="H504" s="56">
        <f t="shared" si="2"/>
        <v>504</v>
      </c>
      <c r="U504" s="56"/>
      <c r="V504" s="56"/>
      <c r="W504" s="56"/>
      <c r="Y504" s="138"/>
    </row>
    <row r="505">
      <c r="A505" s="56"/>
      <c r="B505" s="56"/>
      <c r="C505" s="108" t="str">
        <f>IFNA(VLOOKUP('Dashboard-Dados'!B505,'Dashboard-Dados'!$Y$2:$AA$13,2),"")</f>
        <v/>
      </c>
      <c r="D505" s="109">
        <f>IFERROR(GETPIVOTDATA("Valor Recebido",'Dashboard-Dados'!$J$1,$A$1,A505,$B$1,B505),0)</f>
        <v>0</v>
      </c>
      <c r="E505" s="110">
        <f>IFERROR(GETPIVOTDATA("Valor Despesa",'Dashboard-Dados'!$P$1,$A$1,A505,$B$1,B505),0)</f>
        <v>0</v>
      </c>
      <c r="F505" s="110">
        <f t="shared" si="1"/>
        <v>0</v>
      </c>
      <c r="G505" s="56">
        <f>IFERROR(GETPIVOTDATA("Exame",'Dashboard-Dados'!$J$1,$A$1,A505,$B$1,B505),0)</f>
        <v>0</v>
      </c>
      <c r="H505" s="56">
        <f t="shared" si="2"/>
        <v>505</v>
      </c>
      <c r="U505" s="56"/>
      <c r="V505" s="56"/>
      <c r="W505" s="56"/>
      <c r="Y505" s="138"/>
    </row>
    <row r="506">
      <c r="A506" s="56"/>
      <c r="B506" s="56"/>
      <c r="C506" s="108" t="str">
        <f>IFNA(VLOOKUP('Dashboard-Dados'!B506,'Dashboard-Dados'!$Y$2:$AA$13,2),"")</f>
        <v/>
      </c>
      <c r="D506" s="109">
        <f>IFERROR(GETPIVOTDATA("Valor Recebido",'Dashboard-Dados'!$J$1,$A$1,A506,$B$1,B506),0)</f>
        <v>0</v>
      </c>
      <c r="E506" s="110">
        <f>IFERROR(GETPIVOTDATA("Valor Despesa",'Dashboard-Dados'!$P$1,$A$1,A506,$B$1,B506),0)</f>
        <v>0</v>
      </c>
      <c r="F506" s="110">
        <f t="shared" si="1"/>
        <v>0</v>
      </c>
      <c r="G506" s="56">
        <f>IFERROR(GETPIVOTDATA("Exame",'Dashboard-Dados'!$J$1,$A$1,A506,$B$1,B506),0)</f>
        <v>0</v>
      </c>
      <c r="H506" s="56">
        <f t="shared" si="2"/>
        <v>506</v>
      </c>
      <c r="U506" s="56"/>
      <c r="V506" s="56"/>
      <c r="W506" s="56"/>
      <c r="Y506" s="138"/>
    </row>
    <row r="507">
      <c r="A507" s="56"/>
      <c r="B507" s="56"/>
      <c r="C507" s="108" t="str">
        <f>IFNA(VLOOKUP('Dashboard-Dados'!B507,'Dashboard-Dados'!$Y$2:$AA$13,2),"")</f>
        <v/>
      </c>
      <c r="D507" s="109">
        <f>IFERROR(GETPIVOTDATA("Valor Recebido",'Dashboard-Dados'!$J$1,$A$1,A507,$B$1,B507),0)</f>
        <v>0</v>
      </c>
      <c r="E507" s="110">
        <f>IFERROR(GETPIVOTDATA("Valor Despesa",'Dashboard-Dados'!$P$1,$A$1,A507,$B$1,B507),0)</f>
        <v>0</v>
      </c>
      <c r="F507" s="110">
        <f t="shared" si="1"/>
        <v>0</v>
      </c>
      <c r="G507" s="56">
        <f>IFERROR(GETPIVOTDATA("Exame",'Dashboard-Dados'!$J$1,$A$1,A507,$B$1,B507),0)</f>
        <v>0</v>
      </c>
      <c r="H507" s="56">
        <f t="shared" si="2"/>
        <v>507</v>
      </c>
      <c r="U507" s="56"/>
      <c r="V507" s="56"/>
      <c r="W507" s="56"/>
      <c r="Y507" s="138"/>
    </row>
    <row r="508">
      <c r="A508" s="56"/>
      <c r="B508" s="56"/>
      <c r="C508" s="108" t="str">
        <f>IFNA(VLOOKUP('Dashboard-Dados'!B508,'Dashboard-Dados'!$Y$2:$AA$13,2),"")</f>
        <v/>
      </c>
      <c r="D508" s="109">
        <f>IFERROR(GETPIVOTDATA("Valor Recebido",'Dashboard-Dados'!$J$1,$A$1,A508,$B$1,B508),0)</f>
        <v>0</v>
      </c>
      <c r="E508" s="110">
        <f>IFERROR(GETPIVOTDATA("Valor Despesa",'Dashboard-Dados'!$P$1,$A$1,A508,$B$1,B508),0)</f>
        <v>0</v>
      </c>
      <c r="F508" s="110">
        <f t="shared" si="1"/>
        <v>0</v>
      </c>
      <c r="G508" s="56">
        <f>IFERROR(GETPIVOTDATA("Exame",'Dashboard-Dados'!$J$1,$A$1,A508,$B$1,B508),0)</f>
        <v>0</v>
      </c>
      <c r="H508" s="56">
        <f t="shared" si="2"/>
        <v>508</v>
      </c>
      <c r="U508" s="56"/>
      <c r="V508" s="56"/>
      <c r="W508" s="56"/>
      <c r="Y508" s="138"/>
    </row>
    <row r="509">
      <c r="A509" s="56"/>
      <c r="B509" s="56"/>
      <c r="C509" s="108" t="str">
        <f>IFNA(VLOOKUP('Dashboard-Dados'!B509,'Dashboard-Dados'!$Y$2:$AA$13,2),"")</f>
        <v/>
      </c>
      <c r="D509" s="109">
        <f>IFERROR(GETPIVOTDATA("Valor Recebido",'Dashboard-Dados'!$J$1,$A$1,A509,$B$1,B509),0)</f>
        <v>0</v>
      </c>
      <c r="E509" s="110">
        <f>IFERROR(GETPIVOTDATA("Valor Despesa",'Dashboard-Dados'!$P$1,$A$1,A509,$B$1,B509),0)</f>
        <v>0</v>
      </c>
      <c r="F509" s="110">
        <f t="shared" si="1"/>
        <v>0</v>
      </c>
      <c r="G509" s="56">
        <f>IFERROR(GETPIVOTDATA("Exame",'Dashboard-Dados'!$J$1,$A$1,A509,$B$1,B509),0)</f>
        <v>0</v>
      </c>
      <c r="H509" s="56">
        <f t="shared" si="2"/>
        <v>509</v>
      </c>
      <c r="U509" s="56"/>
      <c r="V509" s="56"/>
      <c r="W509" s="56"/>
      <c r="Y509" s="138"/>
    </row>
    <row r="510">
      <c r="A510" s="56"/>
      <c r="B510" s="56"/>
      <c r="C510" s="108" t="str">
        <f>IFNA(VLOOKUP('Dashboard-Dados'!B510,'Dashboard-Dados'!$Y$2:$AA$13,2),"")</f>
        <v/>
      </c>
      <c r="D510" s="109">
        <f>IFERROR(GETPIVOTDATA("Valor Recebido",'Dashboard-Dados'!$J$1,$A$1,A510,$B$1,B510),0)</f>
        <v>0</v>
      </c>
      <c r="E510" s="110">
        <f>IFERROR(GETPIVOTDATA("Valor Despesa",'Dashboard-Dados'!$P$1,$A$1,A510,$B$1,B510),0)</f>
        <v>0</v>
      </c>
      <c r="F510" s="110">
        <f t="shared" si="1"/>
        <v>0</v>
      </c>
      <c r="G510" s="56">
        <f>IFERROR(GETPIVOTDATA("Exame",'Dashboard-Dados'!$J$1,$A$1,A510,$B$1,B510),0)</f>
        <v>0</v>
      </c>
      <c r="H510" s="56">
        <f t="shared" si="2"/>
        <v>510</v>
      </c>
      <c r="U510" s="56"/>
      <c r="V510" s="56"/>
      <c r="W510" s="56"/>
      <c r="Y510" s="138"/>
    </row>
    <row r="511">
      <c r="A511" s="56"/>
      <c r="B511" s="56"/>
      <c r="C511" s="108" t="str">
        <f>IFNA(VLOOKUP('Dashboard-Dados'!B511,'Dashboard-Dados'!$Y$2:$AA$13,2),"")</f>
        <v/>
      </c>
      <c r="D511" s="109">
        <f>IFERROR(GETPIVOTDATA("Valor Recebido",'Dashboard-Dados'!$J$1,$A$1,A511,$B$1,B511),0)</f>
        <v>0</v>
      </c>
      <c r="E511" s="110">
        <f>IFERROR(GETPIVOTDATA("Valor Despesa",'Dashboard-Dados'!$P$1,$A$1,A511,$B$1,B511),0)</f>
        <v>0</v>
      </c>
      <c r="F511" s="110">
        <f t="shared" si="1"/>
        <v>0</v>
      </c>
      <c r="G511" s="56">
        <f>IFERROR(GETPIVOTDATA("Exame",'Dashboard-Dados'!$J$1,$A$1,A511,$B$1,B511),0)</f>
        <v>0</v>
      </c>
      <c r="H511" s="56">
        <f t="shared" si="2"/>
        <v>511</v>
      </c>
      <c r="U511" s="56"/>
      <c r="V511" s="56"/>
      <c r="W511" s="56"/>
      <c r="Y511" s="138"/>
    </row>
    <row r="512">
      <c r="A512" s="56"/>
      <c r="B512" s="56"/>
      <c r="C512" s="108" t="str">
        <f>IFNA(VLOOKUP('Dashboard-Dados'!B512,'Dashboard-Dados'!$Y$2:$AA$13,2),"")</f>
        <v/>
      </c>
      <c r="D512" s="109">
        <f>IFERROR(GETPIVOTDATA("Valor Recebido",'Dashboard-Dados'!$J$1,$A$1,A512,$B$1,B512),0)</f>
        <v>0</v>
      </c>
      <c r="E512" s="110">
        <f>IFERROR(GETPIVOTDATA("Valor Despesa",'Dashboard-Dados'!$P$1,$A$1,A512,$B$1,B512),0)</f>
        <v>0</v>
      </c>
      <c r="F512" s="110">
        <f t="shared" si="1"/>
        <v>0</v>
      </c>
      <c r="G512" s="56">
        <f>IFERROR(GETPIVOTDATA("Exame",'Dashboard-Dados'!$J$1,$A$1,A512,$B$1,B512),0)</f>
        <v>0</v>
      </c>
      <c r="H512" s="56">
        <f t="shared" si="2"/>
        <v>512</v>
      </c>
      <c r="U512" s="56"/>
      <c r="V512" s="56"/>
      <c r="W512" s="56"/>
      <c r="Y512" s="138"/>
    </row>
    <row r="513">
      <c r="A513" s="56"/>
      <c r="B513" s="56"/>
      <c r="C513" s="108" t="str">
        <f>IFNA(VLOOKUP('Dashboard-Dados'!B513,'Dashboard-Dados'!$Y$2:$AA$13,2),"")</f>
        <v/>
      </c>
      <c r="D513" s="109">
        <f>IFERROR(GETPIVOTDATA("Valor Recebido",'Dashboard-Dados'!$J$1,$A$1,A513,$B$1,B513),0)</f>
        <v>0</v>
      </c>
      <c r="E513" s="110">
        <f>IFERROR(GETPIVOTDATA("Valor Despesa",'Dashboard-Dados'!$P$1,$A$1,A513,$B$1,B513),0)</f>
        <v>0</v>
      </c>
      <c r="F513" s="110">
        <f t="shared" si="1"/>
        <v>0</v>
      </c>
      <c r="G513" s="56">
        <f>IFERROR(GETPIVOTDATA("Exame",'Dashboard-Dados'!$J$1,$A$1,A513,$B$1,B513),0)</f>
        <v>0</v>
      </c>
      <c r="H513" s="56">
        <f t="shared" si="2"/>
        <v>513</v>
      </c>
      <c r="U513" s="56"/>
      <c r="V513" s="56"/>
      <c r="W513" s="56"/>
      <c r="Y513" s="138"/>
    </row>
    <row r="514">
      <c r="A514" s="56"/>
      <c r="B514" s="56"/>
      <c r="C514" s="108" t="str">
        <f>IFNA(VLOOKUP('Dashboard-Dados'!B514,'Dashboard-Dados'!$Y$2:$AA$13,2),"")</f>
        <v/>
      </c>
      <c r="D514" s="109">
        <f>IFERROR(GETPIVOTDATA("Valor Recebido",'Dashboard-Dados'!$J$1,$A$1,A514,$B$1,B514),0)</f>
        <v>0</v>
      </c>
      <c r="E514" s="110">
        <f>IFERROR(GETPIVOTDATA("Valor Despesa",'Dashboard-Dados'!$P$1,$A$1,A514,$B$1,B514),0)</f>
        <v>0</v>
      </c>
      <c r="F514" s="110">
        <f t="shared" si="1"/>
        <v>0</v>
      </c>
      <c r="G514" s="56">
        <f>IFERROR(GETPIVOTDATA("Exame",'Dashboard-Dados'!$J$1,$A$1,A514,$B$1,B514),0)</f>
        <v>0</v>
      </c>
      <c r="H514" s="56">
        <f t="shared" si="2"/>
        <v>514</v>
      </c>
      <c r="U514" s="56"/>
      <c r="V514" s="56"/>
      <c r="W514" s="56"/>
      <c r="Y514" s="138"/>
    </row>
    <row r="515">
      <c r="A515" s="56"/>
      <c r="B515" s="56"/>
      <c r="C515" s="108" t="str">
        <f>IFNA(VLOOKUP('Dashboard-Dados'!B515,'Dashboard-Dados'!$Y$2:$AA$13,2),"")</f>
        <v/>
      </c>
      <c r="D515" s="109">
        <f>IFERROR(GETPIVOTDATA("Valor Recebido",'Dashboard-Dados'!$J$1,$A$1,A515,$B$1,B515),0)</f>
        <v>0</v>
      </c>
      <c r="E515" s="110">
        <f>IFERROR(GETPIVOTDATA("Valor Despesa",'Dashboard-Dados'!$P$1,$A$1,A515,$B$1,B515),0)</f>
        <v>0</v>
      </c>
      <c r="F515" s="110">
        <f t="shared" si="1"/>
        <v>0</v>
      </c>
      <c r="G515" s="56">
        <f>IFERROR(GETPIVOTDATA("Exame",'Dashboard-Dados'!$J$1,$A$1,A515,$B$1,B515),0)</f>
        <v>0</v>
      </c>
      <c r="H515" s="56">
        <f t="shared" si="2"/>
        <v>515</v>
      </c>
      <c r="U515" s="56"/>
      <c r="V515" s="56"/>
      <c r="W515" s="56"/>
      <c r="Y515" s="138"/>
    </row>
    <row r="516">
      <c r="A516" s="56"/>
      <c r="B516" s="56"/>
      <c r="C516" s="108" t="str">
        <f>IFNA(VLOOKUP('Dashboard-Dados'!B516,'Dashboard-Dados'!$Y$2:$AA$13,2),"")</f>
        <v/>
      </c>
      <c r="D516" s="109">
        <f>IFERROR(GETPIVOTDATA("Valor Recebido",'Dashboard-Dados'!$J$1,$A$1,A516,$B$1,B516),0)</f>
        <v>0</v>
      </c>
      <c r="E516" s="110">
        <f>IFERROR(GETPIVOTDATA("Valor Despesa",'Dashboard-Dados'!$P$1,$A$1,A516,$B$1,B516),0)</f>
        <v>0</v>
      </c>
      <c r="F516" s="110">
        <f t="shared" si="1"/>
        <v>0</v>
      </c>
      <c r="G516" s="56">
        <f>IFERROR(GETPIVOTDATA("Exame",'Dashboard-Dados'!$J$1,$A$1,A516,$B$1,B516),0)</f>
        <v>0</v>
      </c>
      <c r="H516" s="56">
        <f t="shared" si="2"/>
        <v>516</v>
      </c>
      <c r="U516" s="56"/>
      <c r="V516" s="56"/>
      <c r="W516" s="56"/>
      <c r="Y516" s="138"/>
    </row>
    <row r="517">
      <c r="A517" s="56"/>
      <c r="B517" s="56"/>
      <c r="C517" s="108" t="str">
        <f>IFNA(VLOOKUP('Dashboard-Dados'!B517,'Dashboard-Dados'!$Y$2:$AA$13,2),"")</f>
        <v/>
      </c>
      <c r="D517" s="109">
        <f>IFERROR(GETPIVOTDATA("Valor Recebido",'Dashboard-Dados'!$J$1,$A$1,A517,$B$1,B517),0)</f>
        <v>0</v>
      </c>
      <c r="E517" s="110">
        <f>IFERROR(GETPIVOTDATA("Valor Despesa",'Dashboard-Dados'!$P$1,$A$1,A517,$B$1,B517),0)</f>
        <v>0</v>
      </c>
      <c r="F517" s="110">
        <f t="shared" si="1"/>
        <v>0</v>
      </c>
      <c r="G517" s="56">
        <f>IFERROR(GETPIVOTDATA("Exame",'Dashboard-Dados'!$J$1,$A$1,A517,$B$1,B517),0)</f>
        <v>0</v>
      </c>
      <c r="H517" s="56">
        <f t="shared" si="2"/>
        <v>517</v>
      </c>
      <c r="U517" s="56"/>
      <c r="V517" s="56"/>
      <c r="W517" s="56"/>
      <c r="Y517" s="138"/>
    </row>
    <row r="518">
      <c r="A518" s="56"/>
      <c r="B518" s="56"/>
      <c r="C518" s="108" t="str">
        <f>IFNA(VLOOKUP('Dashboard-Dados'!B518,'Dashboard-Dados'!$Y$2:$AA$13,2),"")</f>
        <v/>
      </c>
      <c r="D518" s="109">
        <f>IFERROR(GETPIVOTDATA("Valor Recebido",'Dashboard-Dados'!$J$1,$A$1,A518,$B$1,B518),0)</f>
        <v>0</v>
      </c>
      <c r="E518" s="110">
        <f>IFERROR(GETPIVOTDATA("Valor Despesa",'Dashboard-Dados'!$P$1,$A$1,A518,$B$1,B518),0)</f>
        <v>0</v>
      </c>
      <c r="F518" s="110">
        <f t="shared" si="1"/>
        <v>0</v>
      </c>
      <c r="G518" s="56">
        <f>IFERROR(GETPIVOTDATA("Exame",'Dashboard-Dados'!$J$1,$A$1,A518,$B$1,B518),0)</f>
        <v>0</v>
      </c>
      <c r="H518" s="56">
        <f t="shared" si="2"/>
        <v>518</v>
      </c>
      <c r="U518" s="56"/>
      <c r="V518" s="56"/>
      <c r="W518" s="56"/>
      <c r="Y518" s="138"/>
    </row>
    <row r="519">
      <c r="A519" s="56"/>
      <c r="B519" s="56"/>
      <c r="C519" s="108" t="str">
        <f>IFNA(VLOOKUP('Dashboard-Dados'!B519,'Dashboard-Dados'!$Y$2:$AA$13,2),"")</f>
        <v/>
      </c>
      <c r="D519" s="109">
        <f>IFERROR(GETPIVOTDATA("Valor Recebido",'Dashboard-Dados'!$J$1,$A$1,A519,$B$1,B519),0)</f>
        <v>0</v>
      </c>
      <c r="E519" s="110">
        <f>IFERROR(GETPIVOTDATA("Valor Despesa",'Dashboard-Dados'!$P$1,$A$1,A519,$B$1,B519),0)</f>
        <v>0</v>
      </c>
      <c r="F519" s="110">
        <f t="shared" si="1"/>
        <v>0</v>
      </c>
      <c r="G519" s="56">
        <f>IFERROR(GETPIVOTDATA("Exame",'Dashboard-Dados'!$J$1,$A$1,A519,$B$1,B519),0)</f>
        <v>0</v>
      </c>
      <c r="H519" s="56">
        <f t="shared" si="2"/>
        <v>519</v>
      </c>
      <c r="U519" s="56"/>
      <c r="V519" s="56"/>
      <c r="W519" s="56"/>
      <c r="Y519" s="138"/>
    </row>
    <row r="520">
      <c r="A520" s="56"/>
      <c r="B520" s="56"/>
      <c r="C520" s="108" t="str">
        <f>IFNA(VLOOKUP('Dashboard-Dados'!B520,'Dashboard-Dados'!$Y$2:$AA$13,2),"")</f>
        <v/>
      </c>
      <c r="D520" s="109">
        <f>IFERROR(GETPIVOTDATA("Valor Recebido",'Dashboard-Dados'!$J$1,$A$1,A520,$B$1,B520),0)</f>
        <v>0</v>
      </c>
      <c r="E520" s="110">
        <f>IFERROR(GETPIVOTDATA("Valor Despesa",'Dashboard-Dados'!$P$1,$A$1,A520,$B$1,B520),0)</f>
        <v>0</v>
      </c>
      <c r="F520" s="110">
        <f t="shared" si="1"/>
        <v>0</v>
      </c>
      <c r="G520" s="56">
        <f>IFERROR(GETPIVOTDATA("Exame",'Dashboard-Dados'!$J$1,$A$1,A520,$B$1,B520),0)</f>
        <v>0</v>
      </c>
      <c r="H520" s="56">
        <f t="shared" si="2"/>
        <v>520</v>
      </c>
      <c r="U520" s="56"/>
      <c r="V520" s="56"/>
      <c r="W520" s="56"/>
      <c r="Y520" s="138"/>
    </row>
    <row r="521">
      <c r="A521" s="56"/>
      <c r="B521" s="56"/>
      <c r="C521" s="108" t="str">
        <f>IFNA(VLOOKUP('Dashboard-Dados'!B521,'Dashboard-Dados'!$Y$2:$AA$13,2),"")</f>
        <v/>
      </c>
      <c r="D521" s="109">
        <f>IFERROR(GETPIVOTDATA("Valor Recebido",'Dashboard-Dados'!$J$1,$A$1,A521,$B$1,B521),0)</f>
        <v>0</v>
      </c>
      <c r="E521" s="110">
        <f>IFERROR(GETPIVOTDATA("Valor Despesa",'Dashboard-Dados'!$P$1,$A$1,A521,$B$1,B521),0)</f>
        <v>0</v>
      </c>
      <c r="F521" s="110">
        <f t="shared" si="1"/>
        <v>0</v>
      </c>
      <c r="G521" s="56">
        <f>IFERROR(GETPIVOTDATA("Exame",'Dashboard-Dados'!$J$1,$A$1,A521,$B$1,B521),0)</f>
        <v>0</v>
      </c>
      <c r="H521" s="56">
        <f t="shared" si="2"/>
        <v>521</v>
      </c>
      <c r="U521" s="56"/>
      <c r="V521" s="56"/>
      <c r="W521" s="56"/>
      <c r="Y521" s="138"/>
    </row>
    <row r="522">
      <c r="A522" s="56"/>
      <c r="B522" s="56"/>
      <c r="C522" s="108" t="str">
        <f>IFNA(VLOOKUP('Dashboard-Dados'!B522,'Dashboard-Dados'!$Y$2:$AA$13,2),"")</f>
        <v/>
      </c>
      <c r="D522" s="109">
        <f>IFERROR(GETPIVOTDATA("Valor Recebido",'Dashboard-Dados'!$J$1,$A$1,A522,$B$1,B522),0)</f>
        <v>0</v>
      </c>
      <c r="E522" s="110">
        <f>IFERROR(GETPIVOTDATA("Valor Despesa",'Dashboard-Dados'!$P$1,$A$1,A522,$B$1,B522),0)</f>
        <v>0</v>
      </c>
      <c r="F522" s="110">
        <f t="shared" si="1"/>
        <v>0</v>
      </c>
      <c r="G522" s="56">
        <f>IFERROR(GETPIVOTDATA("Exame",'Dashboard-Dados'!$J$1,$A$1,A522,$B$1,B522),0)</f>
        <v>0</v>
      </c>
      <c r="H522" s="56">
        <f t="shared" si="2"/>
        <v>522</v>
      </c>
      <c r="U522" s="56"/>
      <c r="V522" s="56"/>
      <c r="W522" s="56"/>
      <c r="Y522" s="138"/>
    </row>
    <row r="523">
      <c r="A523" s="56"/>
      <c r="B523" s="56"/>
      <c r="C523" s="108" t="str">
        <f>IFNA(VLOOKUP('Dashboard-Dados'!B523,'Dashboard-Dados'!$Y$2:$AA$13,2),"")</f>
        <v/>
      </c>
      <c r="D523" s="109">
        <f>IFERROR(GETPIVOTDATA("Valor Recebido",'Dashboard-Dados'!$J$1,$A$1,A523,$B$1,B523),0)</f>
        <v>0</v>
      </c>
      <c r="E523" s="110">
        <f>IFERROR(GETPIVOTDATA("Valor Despesa",'Dashboard-Dados'!$P$1,$A$1,A523,$B$1,B523),0)</f>
        <v>0</v>
      </c>
      <c r="F523" s="110">
        <f t="shared" si="1"/>
        <v>0</v>
      </c>
      <c r="G523" s="56">
        <f>IFERROR(GETPIVOTDATA("Exame",'Dashboard-Dados'!$J$1,$A$1,A523,$B$1,B523),0)</f>
        <v>0</v>
      </c>
      <c r="H523" s="56">
        <f t="shared" si="2"/>
        <v>523</v>
      </c>
      <c r="U523" s="56"/>
      <c r="V523" s="56"/>
      <c r="W523" s="56"/>
      <c r="Y523" s="138"/>
    </row>
    <row r="524">
      <c r="A524" s="56"/>
      <c r="B524" s="56"/>
      <c r="C524" s="108" t="str">
        <f>IFNA(VLOOKUP('Dashboard-Dados'!B524,'Dashboard-Dados'!$Y$2:$AA$13,2),"")</f>
        <v/>
      </c>
      <c r="D524" s="109">
        <f>IFERROR(GETPIVOTDATA("Valor Recebido",'Dashboard-Dados'!$J$1,$A$1,A524,$B$1,B524),0)</f>
        <v>0</v>
      </c>
      <c r="E524" s="110">
        <f>IFERROR(GETPIVOTDATA("Valor Despesa",'Dashboard-Dados'!$P$1,$A$1,A524,$B$1,B524),0)</f>
        <v>0</v>
      </c>
      <c r="F524" s="110">
        <f t="shared" si="1"/>
        <v>0</v>
      </c>
      <c r="G524" s="56">
        <f>IFERROR(GETPIVOTDATA("Exame",'Dashboard-Dados'!$J$1,$A$1,A524,$B$1,B524),0)</f>
        <v>0</v>
      </c>
      <c r="H524" s="56">
        <f t="shared" si="2"/>
        <v>524</v>
      </c>
      <c r="U524" s="56"/>
      <c r="V524" s="56"/>
      <c r="W524" s="56"/>
      <c r="Y524" s="138"/>
    </row>
    <row r="525">
      <c r="A525" s="56"/>
      <c r="B525" s="56"/>
      <c r="C525" s="108" t="str">
        <f>IFNA(VLOOKUP('Dashboard-Dados'!B525,'Dashboard-Dados'!$Y$2:$AA$13,2),"")</f>
        <v/>
      </c>
      <c r="D525" s="109">
        <f>IFERROR(GETPIVOTDATA("Valor Recebido",'Dashboard-Dados'!$J$1,$A$1,A525,$B$1,B525),0)</f>
        <v>0</v>
      </c>
      <c r="E525" s="110">
        <f>IFERROR(GETPIVOTDATA("Valor Despesa",'Dashboard-Dados'!$P$1,$A$1,A525,$B$1,B525),0)</f>
        <v>0</v>
      </c>
      <c r="F525" s="110">
        <f t="shared" si="1"/>
        <v>0</v>
      </c>
      <c r="G525" s="56">
        <f>IFERROR(GETPIVOTDATA("Exame",'Dashboard-Dados'!$J$1,$A$1,A525,$B$1,B525),0)</f>
        <v>0</v>
      </c>
      <c r="H525" s="56">
        <f t="shared" si="2"/>
        <v>525</v>
      </c>
      <c r="U525" s="56"/>
      <c r="V525" s="56"/>
      <c r="W525" s="56"/>
      <c r="Y525" s="138"/>
    </row>
    <row r="526">
      <c r="A526" s="56"/>
      <c r="B526" s="56"/>
      <c r="C526" s="108" t="str">
        <f>IFNA(VLOOKUP('Dashboard-Dados'!B526,'Dashboard-Dados'!$Y$2:$AA$13,2),"")</f>
        <v/>
      </c>
      <c r="D526" s="109">
        <f>IFERROR(GETPIVOTDATA("Valor Recebido",'Dashboard-Dados'!$J$1,$A$1,A526,$B$1,B526),0)</f>
        <v>0</v>
      </c>
      <c r="E526" s="110">
        <f>IFERROR(GETPIVOTDATA("Valor Despesa",'Dashboard-Dados'!$P$1,$A$1,A526,$B$1,B526),0)</f>
        <v>0</v>
      </c>
      <c r="F526" s="110">
        <f t="shared" si="1"/>
        <v>0</v>
      </c>
      <c r="G526" s="56">
        <f>IFERROR(GETPIVOTDATA("Exame",'Dashboard-Dados'!$J$1,$A$1,A526,$B$1,B526),0)</f>
        <v>0</v>
      </c>
      <c r="H526" s="56">
        <f t="shared" si="2"/>
        <v>526</v>
      </c>
      <c r="U526" s="56"/>
      <c r="V526" s="56"/>
      <c r="W526" s="56"/>
      <c r="Y526" s="138"/>
    </row>
    <row r="527">
      <c r="A527" s="56"/>
      <c r="B527" s="56"/>
      <c r="C527" s="108" t="str">
        <f>IFNA(VLOOKUP('Dashboard-Dados'!B527,'Dashboard-Dados'!$Y$2:$AA$13,2),"")</f>
        <v/>
      </c>
      <c r="D527" s="109">
        <f>IFERROR(GETPIVOTDATA("Valor Recebido",'Dashboard-Dados'!$J$1,$A$1,A527,$B$1,B527),0)</f>
        <v>0</v>
      </c>
      <c r="E527" s="110">
        <f>IFERROR(GETPIVOTDATA("Valor Despesa",'Dashboard-Dados'!$P$1,$A$1,A527,$B$1,B527),0)</f>
        <v>0</v>
      </c>
      <c r="F527" s="110">
        <f t="shared" si="1"/>
        <v>0</v>
      </c>
      <c r="G527" s="56">
        <f>IFERROR(GETPIVOTDATA("Exame",'Dashboard-Dados'!$J$1,$A$1,A527,$B$1,B527),0)</f>
        <v>0</v>
      </c>
      <c r="H527" s="56">
        <f t="shared" si="2"/>
        <v>527</v>
      </c>
      <c r="U527" s="56"/>
      <c r="V527" s="56"/>
      <c r="W527" s="56"/>
      <c r="Y527" s="138"/>
    </row>
    <row r="528">
      <c r="A528" s="56"/>
      <c r="B528" s="56"/>
      <c r="C528" s="108" t="str">
        <f>IFNA(VLOOKUP('Dashboard-Dados'!B528,'Dashboard-Dados'!$Y$2:$AA$13,2),"")</f>
        <v/>
      </c>
      <c r="D528" s="109">
        <f>IFERROR(GETPIVOTDATA("Valor Recebido",'Dashboard-Dados'!$J$1,$A$1,A528,$B$1,B528),0)</f>
        <v>0</v>
      </c>
      <c r="E528" s="110">
        <f>IFERROR(GETPIVOTDATA("Valor Despesa",'Dashboard-Dados'!$P$1,$A$1,A528,$B$1,B528),0)</f>
        <v>0</v>
      </c>
      <c r="F528" s="110">
        <f t="shared" si="1"/>
        <v>0</v>
      </c>
      <c r="G528" s="56">
        <f>IFERROR(GETPIVOTDATA("Exame",'Dashboard-Dados'!$J$1,$A$1,A528,$B$1,B528),0)</f>
        <v>0</v>
      </c>
      <c r="H528" s="56">
        <f t="shared" si="2"/>
        <v>528</v>
      </c>
      <c r="U528" s="56"/>
      <c r="V528" s="56"/>
      <c r="W528" s="56"/>
      <c r="Y528" s="138"/>
    </row>
    <row r="529">
      <c r="A529" s="56"/>
      <c r="B529" s="56"/>
      <c r="C529" s="108" t="str">
        <f>IFNA(VLOOKUP('Dashboard-Dados'!B529,'Dashboard-Dados'!$Y$2:$AA$13,2),"")</f>
        <v/>
      </c>
      <c r="D529" s="109">
        <f>IFERROR(GETPIVOTDATA("Valor Recebido",'Dashboard-Dados'!$J$1,$A$1,A529,$B$1,B529),0)</f>
        <v>0</v>
      </c>
      <c r="E529" s="110">
        <f>IFERROR(GETPIVOTDATA("Valor Despesa",'Dashboard-Dados'!$P$1,$A$1,A529,$B$1,B529),0)</f>
        <v>0</v>
      </c>
      <c r="F529" s="110">
        <f t="shared" si="1"/>
        <v>0</v>
      </c>
      <c r="G529" s="56">
        <f>IFERROR(GETPIVOTDATA("Exame",'Dashboard-Dados'!$J$1,$A$1,A529,$B$1,B529),0)</f>
        <v>0</v>
      </c>
      <c r="H529" s="56">
        <f t="shared" si="2"/>
        <v>529</v>
      </c>
      <c r="U529" s="56"/>
      <c r="V529" s="56"/>
      <c r="W529" s="56"/>
      <c r="Y529" s="138"/>
    </row>
    <row r="530">
      <c r="A530" s="56"/>
      <c r="B530" s="56"/>
      <c r="C530" s="108" t="str">
        <f>IFNA(VLOOKUP('Dashboard-Dados'!B530,'Dashboard-Dados'!$Y$2:$AA$13,2),"")</f>
        <v/>
      </c>
      <c r="D530" s="109">
        <f>IFERROR(GETPIVOTDATA("Valor Recebido",'Dashboard-Dados'!$J$1,$A$1,A530,$B$1,B530),0)</f>
        <v>0</v>
      </c>
      <c r="E530" s="110">
        <f>IFERROR(GETPIVOTDATA("Valor Despesa",'Dashboard-Dados'!$P$1,$A$1,A530,$B$1,B530),0)</f>
        <v>0</v>
      </c>
      <c r="F530" s="110">
        <f t="shared" si="1"/>
        <v>0</v>
      </c>
      <c r="G530" s="56">
        <f>IFERROR(GETPIVOTDATA("Exame",'Dashboard-Dados'!$J$1,$A$1,A530,$B$1,B530),0)</f>
        <v>0</v>
      </c>
      <c r="H530" s="56">
        <f t="shared" si="2"/>
        <v>530</v>
      </c>
      <c r="U530" s="56"/>
      <c r="V530" s="56"/>
      <c r="W530" s="56"/>
      <c r="Y530" s="138"/>
    </row>
    <row r="531">
      <c r="A531" s="56"/>
      <c r="B531" s="56"/>
      <c r="C531" s="108" t="str">
        <f>IFNA(VLOOKUP('Dashboard-Dados'!B531,'Dashboard-Dados'!$Y$2:$AA$13,2),"")</f>
        <v/>
      </c>
      <c r="D531" s="109">
        <f>IFERROR(GETPIVOTDATA("Valor Recebido",'Dashboard-Dados'!$J$1,$A$1,A531,$B$1,B531),0)</f>
        <v>0</v>
      </c>
      <c r="E531" s="110">
        <f>IFERROR(GETPIVOTDATA("Valor Despesa",'Dashboard-Dados'!$P$1,$A$1,A531,$B$1,B531),0)</f>
        <v>0</v>
      </c>
      <c r="F531" s="110">
        <f t="shared" si="1"/>
        <v>0</v>
      </c>
      <c r="G531" s="56">
        <f>IFERROR(GETPIVOTDATA("Exame",'Dashboard-Dados'!$J$1,$A$1,A531,$B$1,B531),0)</f>
        <v>0</v>
      </c>
      <c r="H531" s="56">
        <f t="shared" si="2"/>
        <v>531</v>
      </c>
      <c r="U531" s="56"/>
      <c r="V531" s="56"/>
      <c r="W531" s="56"/>
      <c r="Y531" s="138"/>
    </row>
    <row r="532">
      <c r="A532" s="56"/>
      <c r="B532" s="56"/>
      <c r="C532" s="108" t="str">
        <f>IFNA(VLOOKUP('Dashboard-Dados'!B532,'Dashboard-Dados'!$Y$2:$AA$13,2),"")</f>
        <v/>
      </c>
      <c r="D532" s="109">
        <f>IFERROR(GETPIVOTDATA("Valor Recebido",'Dashboard-Dados'!$J$1,$A$1,A532,$B$1,B532),0)</f>
        <v>0</v>
      </c>
      <c r="E532" s="110">
        <f>IFERROR(GETPIVOTDATA("Valor Despesa",'Dashboard-Dados'!$P$1,$A$1,A532,$B$1,B532),0)</f>
        <v>0</v>
      </c>
      <c r="F532" s="110">
        <f t="shared" si="1"/>
        <v>0</v>
      </c>
      <c r="G532" s="56">
        <f>IFERROR(GETPIVOTDATA("Exame",'Dashboard-Dados'!$J$1,$A$1,A532,$B$1,B532),0)</f>
        <v>0</v>
      </c>
      <c r="H532" s="56">
        <f t="shared" si="2"/>
        <v>532</v>
      </c>
      <c r="U532" s="56"/>
      <c r="V532" s="56"/>
      <c r="W532" s="56"/>
      <c r="Y532" s="138"/>
    </row>
    <row r="533">
      <c r="A533" s="56"/>
      <c r="B533" s="56"/>
      <c r="C533" s="108" t="str">
        <f>IFNA(VLOOKUP('Dashboard-Dados'!B533,'Dashboard-Dados'!$Y$2:$AA$13,2),"")</f>
        <v/>
      </c>
      <c r="D533" s="109">
        <f>IFERROR(GETPIVOTDATA("Valor Recebido",'Dashboard-Dados'!$J$1,$A$1,A533,$B$1,B533),0)</f>
        <v>0</v>
      </c>
      <c r="E533" s="110">
        <f>IFERROR(GETPIVOTDATA("Valor Despesa",'Dashboard-Dados'!$P$1,$A$1,A533,$B$1,B533),0)</f>
        <v>0</v>
      </c>
      <c r="F533" s="110">
        <f t="shared" si="1"/>
        <v>0</v>
      </c>
      <c r="G533" s="56">
        <f>IFERROR(GETPIVOTDATA("Exame",'Dashboard-Dados'!$J$1,$A$1,A533,$B$1,B533),0)</f>
        <v>0</v>
      </c>
      <c r="H533" s="56">
        <f t="shared" si="2"/>
        <v>533</v>
      </c>
      <c r="U533" s="56"/>
      <c r="V533" s="56"/>
      <c r="W533" s="56"/>
      <c r="Y533" s="138"/>
    </row>
    <row r="534">
      <c r="A534" s="56"/>
      <c r="B534" s="56"/>
      <c r="C534" s="108" t="str">
        <f>IFNA(VLOOKUP('Dashboard-Dados'!B534,'Dashboard-Dados'!$Y$2:$AA$13,2),"")</f>
        <v/>
      </c>
      <c r="D534" s="109">
        <f>IFERROR(GETPIVOTDATA("Valor Recebido",'Dashboard-Dados'!$J$1,$A$1,A534,$B$1,B534),0)</f>
        <v>0</v>
      </c>
      <c r="E534" s="110">
        <f>IFERROR(GETPIVOTDATA("Valor Despesa",'Dashboard-Dados'!$P$1,$A$1,A534,$B$1,B534),0)</f>
        <v>0</v>
      </c>
      <c r="F534" s="110">
        <f t="shared" si="1"/>
        <v>0</v>
      </c>
      <c r="G534" s="56">
        <f>IFERROR(GETPIVOTDATA("Exame",'Dashboard-Dados'!$J$1,$A$1,A534,$B$1,B534),0)</f>
        <v>0</v>
      </c>
      <c r="H534" s="56">
        <f t="shared" si="2"/>
        <v>534</v>
      </c>
      <c r="U534" s="56"/>
      <c r="V534" s="56"/>
      <c r="W534" s="56"/>
      <c r="Y534" s="138"/>
    </row>
    <row r="535">
      <c r="A535" s="56"/>
      <c r="B535" s="56"/>
      <c r="C535" s="108" t="str">
        <f>IFNA(VLOOKUP('Dashboard-Dados'!B535,'Dashboard-Dados'!$Y$2:$AA$13,2),"")</f>
        <v/>
      </c>
      <c r="D535" s="109">
        <f>IFERROR(GETPIVOTDATA("Valor Recebido",'Dashboard-Dados'!$J$1,$A$1,A535,$B$1,B535),0)</f>
        <v>0</v>
      </c>
      <c r="E535" s="110">
        <f>IFERROR(GETPIVOTDATA("Valor Despesa",'Dashboard-Dados'!$P$1,$A$1,A535,$B$1,B535),0)</f>
        <v>0</v>
      </c>
      <c r="F535" s="110">
        <f t="shared" si="1"/>
        <v>0</v>
      </c>
      <c r="G535" s="56">
        <f>IFERROR(GETPIVOTDATA("Exame",'Dashboard-Dados'!$J$1,$A$1,A535,$B$1,B535),0)</f>
        <v>0</v>
      </c>
      <c r="H535" s="56">
        <f t="shared" si="2"/>
        <v>535</v>
      </c>
      <c r="U535" s="56"/>
      <c r="V535" s="56"/>
      <c r="W535" s="56"/>
      <c r="Y535" s="138"/>
    </row>
    <row r="536">
      <c r="A536" s="56"/>
      <c r="B536" s="56"/>
      <c r="C536" s="108" t="str">
        <f>IFNA(VLOOKUP('Dashboard-Dados'!B536,'Dashboard-Dados'!$Y$2:$AA$13,2),"")</f>
        <v/>
      </c>
      <c r="D536" s="109">
        <f>IFERROR(GETPIVOTDATA("Valor Recebido",'Dashboard-Dados'!$J$1,$A$1,A536,$B$1,B536),0)</f>
        <v>0</v>
      </c>
      <c r="E536" s="110">
        <f>IFERROR(GETPIVOTDATA("Valor Despesa",'Dashboard-Dados'!$P$1,$A$1,A536,$B$1,B536),0)</f>
        <v>0</v>
      </c>
      <c r="F536" s="110">
        <f t="shared" si="1"/>
        <v>0</v>
      </c>
      <c r="G536" s="56">
        <f>IFERROR(GETPIVOTDATA("Exame",'Dashboard-Dados'!$J$1,$A$1,A536,$B$1,B536),0)</f>
        <v>0</v>
      </c>
      <c r="H536" s="56">
        <f t="shared" si="2"/>
        <v>536</v>
      </c>
      <c r="U536" s="56"/>
      <c r="V536" s="56"/>
      <c r="W536" s="56"/>
      <c r="Y536" s="138"/>
    </row>
    <row r="537">
      <c r="A537" s="56"/>
      <c r="B537" s="56"/>
      <c r="C537" s="108" t="str">
        <f>IFNA(VLOOKUP('Dashboard-Dados'!B537,'Dashboard-Dados'!$Y$2:$AA$13,2),"")</f>
        <v/>
      </c>
      <c r="D537" s="109">
        <f>IFERROR(GETPIVOTDATA("Valor Recebido",'Dashboard-Dados'!$J$1,$A$1,A537,$B$1,B537),0)</f>
        <v>0</v>
      </c>
      <c r="E537" s="110">
        <f>IFERROR(GETPIVOTDATA("Valor Despesa",'Dashboard-Dados'!$P$1,$A$1,A537,$B$1,B537),0)</f>
        <v>0</v>
      </c>
      <c r="F537" s="110">
        <f t="shared" si="1"/>
        <v>0</v>
      </c>
      <c r="G537" s="56">
        <f>IFERROR(GETPIVOTDATA("Exame",'Dashboard-Dados'!$J$1,$A$1,A537,$B$1,B537),0)</f>
        <v>0</v>
      </c>
      <c r="H537" s="56">
        <f t="shared" si="2"/>
        <v>537</v>
      </c>
      <c r="U537" s="56"/>
      <c r="V537" s="56"/>
      <c r="W537" s="56"/>
      <c r="Y537" s="138"/>
    </row>
    <row r="538">
      <c r="A538" s="56"/>
      <c r="B538" s="56"/>
      <c r="C538" s="108" t="str">
        <f>IFNA(VLOOKUP('Dashboard-Dados'!B538,'Dashboard-Dados'!$Y$2:$AA$13,2),"")</f>
        <v/>
      </c>
      <c r="D538" s="109">
        <f>IFERROR(GETPIVOTDATA("Valor Recebido",'Dashboard-Dados'!$J$1,$A$1,A538,$B$1,B538),0)</f>
        <v>0</v>
      </c>
      <c r="E538" s="110">
        <f>IFERROR(GETPIVOTDATA("Valor Despesa",'Dashboard-Dados'!$P$1,$A$1,A538,$B$1,B538),0)</f>
        <v>0</v>
      </c>
      <c r="F538" s="110">
        <f t="shared" si="1"/>
        <v>0</v>
      </c>
      <c r="G538" s="56">
        <f>IFERROR(GETPIVOTDATA("Exame",'Dashboard-Dados'!$J$1,$A$1,A538,$B$1,B538),0)</f>
        <v>0</v>
      </c>
      <c r="H538" s="56">
        <f t="shared" si="2"/>
        <v>538</v>
      </c>
      <c r="U538" s="56"/>
      <c r="V538" s="56"/>
      <c r="W538" s="56"/>
      <c r="Y538" s="138"/>
    </row>
    <row r="539">
      <c r="A539" s="56"/>
      <c r="B539" s="56"/>
      <c r="C539" s="108" t="str">
        <f>IFNA(VLOOKUP('Dashboard-Dados'!B539,'Dashboard-Dados'!$Y$2:$AA$13,2),"")</f>
        <v/>
      </c>
      <c r="D539" s="109">
        <f>IFERROR(GETPIVOTDATA("Valor Recebido",'Dashboard-Dados'!$J$1,$A$1,A539,$B$1,B539),0)</f>
        <v>0</v>
      </c>
      <c r="E539" s="110">
        <f>IFERROR(GETPIVOTDATA("Valor Despesa",'Dashboard-Dados'!$P$1,$A$1,A539,$B$1,B539),0)</f>
        <v>0</v>
      </c>
      <c r="F539" s="110">
        <f t="shared" si="1"/>
        <v>0</v>
      </c>
      <c r="G539" s="56">
        <f>IFERROR(GETPIVOTDATA("Exame",'Dashboard-Dados'!$J$1,$A$1,A539,$B$1,B539),0)</f>
        <v>0</v>
      </c>
      <c r="H539" s="56">
        <f t="shared" si="2"/>
        <v>539</v>
      </c>
      <c r="U539" s="56"/>
      <c r="V539" s="56"/>
      <c r="W539" s="56"/>
      <c r="Y539" s="138"/>
    </row>
    <row r="540">
      <c r="A540" s="56"/>
      <c r="B540" s="56"/>
      <c r="C540" s="108" t="str">
        <f>IFNA(VLOOKUP('Dashboard-Dados'!B540,'Dashboard-Dados'!$Y$2:$AA$13,2),"")</f>
        <v/>
      </c>
      <c r="D540" s="109">
        <f>IFERROR(GETPIVOTDATA("Valor Recebido",'Dashboard-Dados'!$J$1,$A$1,A540,$B$1,B540),0)</f>
        <v>0</v>
      </c>
      <c r="E540" s="110">
        <f>IFERROR(GETPIVOTDATA("Valor Despesa",'Dashboard-Dados'!$P$1,$A$1,A540,$B$1,B540),0)</f>
        <v>0</v>
      </c>
      <c r="F540" s="110">
        <f t="shared" si="1"/>
        <v>0</v>
      </c>
      <c r="G540" s="56">
        <f>IFERROR(GETPIVOTDATA("Exame",'Dashboard-Dados'!$J$1,$A$1,A540,$B$1,B540),0)</f>
        <v>0</v>
      </c>
      <c r="H540" s="56">
        <f t="shared" si="2"/>
        <v>540</v>
      </c>
      <c r="U540" s="56"/>
      <c r="V540" s="56"/>
      <c r="W540" s="56"/>
      <c r="Y540" s="138"/>
    </row>
    <row r="541">
      <c r="A541" s="56"/>
      <c r="B541" s="56"/>
      <c r="C541" s="108" t="str">
        <f>IFNA(VLOOKUP('Dashboard-Dados'!B541,'Dashboard-Dados'!$Y$2:$AA$13,2),"")</f>
        <v/>
      </c>
      <c r="D541" s="109">
        <f>IFERROR(GETPIVOTDATA("Valor Recebido",'Dashboard-Dados'!$J$1,$A$1,A541,$B$1,B541),0)</f>
        <v>0</v>
      </c>
      <c r="E541" s="110">
        <f>IFERROR(GETPIVOTDATA("Valor Despesa",'Dashboard-Dados'!$P$1,$A$1,A541,$B$1,B541),0)</f>
        <v>0</v>
      </c>
      <c r="F541" s="110">
        <f t="shared" si="1"/>
        <v>0</v>
      </c>
      <c r="G541" s="56">
        <f>IFERROR(GETPIVOTDATA("Exame",'Dashboard-Dados'!$J$1,$A$1,A541,$B$1,B541),0)</f>
        <v>0</v>
      </c>
      <c r="H541" s="56">
        <f t="shared" si="2"/>
        <v>541</v>
      </c>
      <c r="U541" s="56"/>
      <c r="V541" s="56"/>
      <c r="W541" s="56"/>
      <c r="Y541" s="138"/>
    </row>
    <row r="542">
      <c r="A542" s="56"/>
      <c r="B542" s="56"/>
      <c r="C542" s="108" t="str">
        <f>IFNA(VLOOKUP('Dashboard-Dados'!B542,'Dashboard-Dados'!$Y$2:$AA$13,2),"")</f>
        <v/>
      </c>
      <c r="D542" s="109">
        <f>IFERROR(GETPIVOTDATA("Valor Recebido",'Dashboard-Dados'!$J$1,$A$1,A542,$B$1,B542),0)</f>
        <v>0</v>
      </c>
      <c r="E542" s="110">
        <f>IFERROR(GETPIVOTDATA("Valor Despesa",'Dashboard-Dados'!$P$1,$A$1,A542,$B$1,B542),0)</f>
        <v>0</v>
      </c>
      <c r="F542" s="110">
        <f t="shared" si="1"/>
        <v>0</v>
      </c>
      <c r="G542" s="56">
        <f>IFERROR(GETPIVOTDATA("Exame",'Dashboard-Dados'!$J$1,$A$1,A542,$B$1,B542),0)</f>
        <v>0</v>
      </c>
      <c r="H542" s="56">
        <f t="shared" si="2"/>
        <v>542</v>
      </c>
      <c r="U542" s="56"/>
      <c r="V542" s="56"/>
      <c r="W542" s="56"/>
      <c r="Y542" s="138"/>
    </row>
    <row r="543">
      <c r="A543" s="56"/>
      <c r="B543" s="56"/>
      <c r="C543" s="108" t="str">
        <f>IFNA(VLOOKUP('Dashboard-Dados'!B543,'Dashboard-Dados'!$Y$2:$AA$13,2),"")</f>
        <v/>
      </c>
      <c r="D543" s="109">
        <f>IFERROR(GETPIVOTDATA("Valor Recebido",'Dashboard-Dados'!$J$1,$A$1,A543,$B$1,B543),0)</f>
        <v>0</v>
      </c>
      <c r="E543" s="110">
        <f>IFERROR(GETPIVOTDATA("Valor Despesa",'Dashboard-Dados'!$P$1,$A$1,A543,$B$1,B543),0)</f>
        <v>0</v>
      </c>
      <c r="F543" s="110">
        <f t="shared" si="1"/>
        <v>0</v>
      </c>
      <c r="G543" s="56">
        <f>IFERROR(GETPIVOTDATA("Exame",'Dashboard-Dados'!$J$1,$A$1,A543,$B$1,B543),0)</f>
        <v>0</v>
      </c>
      <c r="H543" s="56">
        <f t="shared" si="2"/>
        <v>543</v>
      </c>
      <c r="U543" s="56"/>
      <c r="V543" s="56"/>
      <c r="W543" s="56"/>
      <c r="Y543" s="138"/>
    </row>
    <row r="544">
      <c r="A544" s="56"/>
      <c r="B544" s="56"/>
      <c r="C544" s="108" t="str">
        <f>IFNA(VLOOKUP('Dashboard-Dados'!B544,'Dashboard-Dados'!$Y$2:$AA$13,2),"")</f>
        <v/>
      </c>
      <c r="D544" s="109">
        <f>IFERROR(GETPIVOTDATA("Valor Recebido",'Dashboard-Dados'!$J$1,$A$1,A544,$B$1,B544),0)</f>
        <v>0</v>
      </c>
      <c r="E544" s="110">
        <f>IFERROR(GETPIVOTDATA("Valor Despesa",'Dashboard-Dados'!$P$1,$A$1,A544,$B$1,B544),0)</f>
        <v>0</v>
      </c>
      <c r="F544" s="110">
        <f t="shared" si="1"/>
        <v>0</v>
      </c>
      <c r="G544" s="56">
        <f>IFERROR(GETPIVOTDATA("Exame",'Dashboard-Dados'!$J$1,$A$1,A544,$B$1,B544),0)</f>
        <v>0</v>
      </c>
      <c r="H544" s="56">
        <f t="shared" si="2"/>
        <v>544</v>
      </c>
      <c r="U544" s="56"/>
      <c r="V544" s="56"/>
      <c r="W544" s="56"/>
      <c r="Y544" s="138"/>
    </row>
    <row r="545">
      <c r="A545" s="56"/>
      <c r="B545" s="56"/>
      <c r="C545" s="108" t="str">
        <f>IFNA(VLOOKUP('Dashboard-Dados'!B545,'Dashboard-Dados'!$Y$2:$AA$13,2),"")</f>
        <v/>
      </c>
      <c r="D545" s="109">
        <f>IFERROR(GETPIVOTDATA("Valor Recebido",'Dashboard-Dados'!$J$1,$A$1,A545,$B$1,B545),0)</f>
        <v>0</v>
      </c>
      <c r="E545" s="110">
        <f>IFERROR(GETPIVOTDATA("Valor Despesa",'Dashboard-Dados'!$P$1,$A$1,A545,$B$1,B545),0)</f>
        <v>0</v>
      </c>
      <c r="F545" s="110">
        <f t="shared" si="1"/>
        <v>0</v>
      </c>
      <c r="G545" s="56">
        <f>IFERROR(GETPIVOTDATA("Exame",'Dashboard-Dados'!$J$1,$A$1,A545,$B$1,B545),0)</f>
        <v>0</v>
      </c>
      <c r="H545" s="56">
        <f t="shared" si="2"/>
        <v>545</v>
      </c>
      <c r="U545" s="56"/>
      <c r="V545" s="56"/>
      <c r="W545" s="56"/>
      <c r="Y545" s="138"/>
    </row>
    <row r="546">
      <c r="A546" s="56"/>
      <c r="B546" s="56"/>
      <c r="C546" s="108" t="str">
        <f>IFNA(VLOOKUP('Dashboard-Dados'!B546,'Dashboard-Dados'!$Y$2:$AA$13,2),"")</f>
        <v/>
      </c>
      <c r="D546" s="109">
        <f>IFERROR(GETPIVOTDATA("Valor Recebido",'Dashboard-Dados'!$J$1,$A$1,A546,$B$1,B546),0)</f>
        <v>0</v>
      </c>
      <c r="E546" s="110">
        <f>IFERROR(GETPIVOTDATA("Valor Despesa",'Dashboard-Dados'!$P$1,$A$1,A546,$B$1,B546),0)</f>
        <v>0</v>
      </c>
      <c r="F546" s="110">
        <f t="shared" si="1"/>
        <v>0</v>
      </c>
      <c r="G546" s="56">
        <f>IFERROR(GETPIVOTDATA("Exame",'Dashboard-Dados'!$J$1,$A$1,A546,$B$1,B546),0)</f>
        <v>0</v>
      </c>
      <c r="H546" s="56">
        <f t="shared" si="2"/>
        <v>546</v>
      </c>
      <c r="U546" s="56"/>
      <c r="V546" s="56"/>
      <c r="W546" s="56"/>
      <c r="Y546" s="138"/>
    </row>
    <row r="547">
      <c r="A547" s="56"/>
      <c r="B547" s="56"/>
      <c r="C547" s="108" t="str">
        <f>IFNA(VLOOKUP('Dashboard-Dados'!B547,'Dashboard-Dados'!$Y$2:$AA$13,2),"")</f>
        <v/>
      </c>
      <c r="D547" s="109">
        <f>IFERROR(GETPIVOTDATA("Valor Recebido",'Dashboard-Dados'!$J$1,$A$1,A547,$B$1,B547),0)</f>
        <v>0</v>
      </c>
      <c r="E547" s="110">
        <f>IFERROR(GETPIVOTDATA("Valor Despesa",'Dashboard-Dados'!$P$1,$A$1,A547,$B$1,B547),0)</f>
        <v>0</v>
      </c>
      <c r="F547" s="110">
        <f t="shared" si="1"/>
        <v>0</v>
      </c>
      <c r="G547" s="56">
        <f>IFERROR(GETPIVOTDATA("Exame",'Dashboard-Dados'!$J$1,$A$1,A547,$B$1,B547),0)</f>
        <v>0</v>
      </c>
      <c r="H547" s="56">
        <f t="shared" si="2"/>
        <v>547</v>
      </c>
      <c r="U547" s="56"/>
      <c r="V547" s="56"/>
      <c r="W547" s="56"/>
      <c r="Y547" s="138"/>
    </row>
    <row r="548">
      <c r="A548" s="56"/>
      <c r="B548" s="56"/>
      <c r="C548" s="108" t="str">
        <f>IFNA(VLOOKUP('Dashboard-Dados'!B548,'Dashboard-Dados'!$Y$2:$AA$13,2),"")</f>
        <v/>
      </c>
      <c r="D548" s="109">
        <f>IFERROR(GETPIVOTDATA("Valor Recebido",'Dashboard-Dados'!$J$1,$A$1,A548,$B$1,B548),0)</f>
        <v>0</v>
      </c>
      <c r="E548" s="110">
        <f>IFERROR(GETPIVOTDATA("Valor Despesa",'Dashboard-Dados'!$P$1,$A$1,A548,$B$1,B548),0)</f>
        <v>0</v>
      </c>
      <c r="F548" s="110">
        <f t="shared" si="1"/>
        <v>0</v>
      </c>
      <c r="G548" s="56">
        <f>IFERROR(GETPIVOTDATA("Exame",'Dashboard-Dados'!$J$1,$A$1,A548,$B$1,B548),0)</f>
        <v>0</v>
      </c>
      <c r="H548" s="56">
        <f t="shared" si="2"/>
        <v>548</v>
      </c>
      <c r="U548" s="56"/>
      <c r="V548" s="56"/>
      <c r="W548" s="56"/>
      <c r="Y548" s="138"/>
    </row>
    <row r="549">
      <c r="A549" s="56"/>
      <c r="B549" s="56"/>
      <c r="C549" s="108" t="str">
        <f>IFNA(VLOOKUP('Dashboard-Dados'!B549,'Dashboard-Dados'!$Y$2:$AA$13,2),"")</f>
        <v/>
      </c>
      <c r="D549" s="109">
        <f>IFERROR(GETPIVOTDATA("Valor Recebido",'Dashboard-Dados'!$J$1,$A$1,A549,$B$1,B549),0)</f>
        <v>0</v>
      </c>
      <c r="E549" s="110">
        <f>IFERROR(GETPIVOTDATA("Valor Despesa",'Dashboard-Dados'!$P$1,$A$1,A549,$B$1,B549),0)</f>
        <v>0</v>
      </c>
      <c r="F549" s="110">
        <f t="shared" si="1"/>
        <v>0</v>
      </c>
      <c r="G549" s="56">
        <f>IFERROR(GETPIVOTDATA("Exame",'Dashboard-Dados'!$J$1,$A$1,A549,$B$1,B549),0)</f>
        <v>0</v>
      </c>
      <c r="H549" s="56">
        <f t="shared" si="2"/>
        <v>549</v>
      </c>
      <c r="U549" s="56"/>
      <c r="V549" s="56"/>
      <c r="W549" s="56"/>
      <c r="Y549" s="138"/>
    </row>
    <row r="550">
      <c r="A550" s="56"/>
      <c r="B550" s="56"/>
      <c r="C550" s="108" t="str">
        <f>IFNA(VLOOKUP('Dashboard-Dados'!B550,'Dashboard-Dados'!$Y$2:$AA$13,2),"")</f>
        <v/>
      </c>
      <c r="D550" s="109">
        <f>IFERROR(GETPIVOTDATA("Valor Recebido",'Dashboard-Dados'!$J$1,$A$1,A550,$B$1,B550),0)</f>
        <v>0</v>
      </c>
      <c r="E550" s="110">
        <f>IFERROR(GETPIVOTDATA("Valor Despesa",'Dashboard-Dados'!$P$1,$A$1,A550,$B$1,B550),0)</f>
        <v>0</v>
      </c>
      <c r="F550" s="110">
        <f t="shared" si="1"/>
        <v>0</v>
      </c>
      <c r="G550" s="56">
        <f>IFERROR(GETPIVOTDATA("Exame",'Dashboard-Dados'!$J$1,$A$1,A550,$B$1,B550),0)</f>
        <v>0</v>
      </c>
      <c r="H550" s="56">
        <f t="shared" si="2"/>
        <v>550</v>
      </c>
      <c r="U550" s="56"/>
      <c r="V550" s="56"/>
      <c r="W550" s="56"/>
      <c r="Y550" s="138"/>
    </row>
    <row r="551">
      <c r="A551" s="56"/>
      <c r="B551" s="56"/>
      <c r="C551" s="108" t="str">
        <f>IFNA(VLOOKUP('Dashboard-Dados'!B551,'Dashboard-Dados'!$Y$2:$AA$13,2),"")</f>
        <v/>
      </c>
      <c r="D551" s="109">
        <f>IFERROR(GETPIVOTDATA("Valor Recebido",'Dashboard-Dados'!$J$1,$A$1,A551,$B$1,B551),0)</f>
        <v>0</v>
      </c>
      <c r="E551" s="110">
        <f>IFERROR(GETPIVOTDATA("Valor Despesa",'Dashboard-Dados'!$P$1,$A$1,A551,$B$1,B551),0)</f>
        <v>0</v>
      </c>
      <c r="F551" s="110">
        <f t="shared" si="1"/>
        <v>0</v>
      </c>
      <c r="G551" s="56">
        <f>IFERROR(GETPIVOTDATA("Exame",'Dashboard-Dados'!$J$1,$A$1,A551,$B$1,B551),0)</f>
        <v>0</v>
      </c>
      <c r="H551" s="56">
        <f t="shared" si="2"/>
        <v>551</v>
      </c>
      <c r="U551" s="56"/>
      <c r="V551" s="56"/>
      <c r="W551" s="56"/>
      <c r="Y551" s="138"/>
    </row>
    <row r="552">
      <c r="A552" s="56"/>
      <c r="B552" s="56"/>
      <c r="C552" s="108" t="str">
        <f>IFNA(VLOOKUP('Dashboard-Dados'!B552,'Dashboard-Dados'!$Y$2:$AA$13,2),"")</f>
        <v/>
      </c>
      <c r="D552" s="109">
        <f>IFERROR(GETPIVOTDATA("Valor Recebido",'Dashboard-Dados'!$J$1,$A$1,A552,$B$1,B552),0)</f>
        <v>0</v>
      </c>
      <c r="E552" s="110">
        <f>IFERROR(GETPIVOTDATA("Valor Despesa",'Dashboard-Dados'!$P$1,$A$1,A552,$B$1,B552),0)</f>
        <v>0</v>
      </c>
      <c r="F552" s="110">
        <f t="shared" si="1"/>
        <v>0</v>
      </c>
      <c r="G552" s="56">
        <f>IFERROR(GETPIVOTDATA("Exame",'Dashboard-Dados'!$J$1,$A$1,A552,$B$1,B552),0)</f>
        <v>0</v>
      </c>
      <c r="H552" s="56">
        <f t="shared" si="2"/>
        <v>552</v>
      </c>
      <c r="U552" s="56"/>
      <c r="V552" s="56"/>
      <c r="W552" s="56"/>
      <c r="Y552" s="138"/>
    </row>
    <row r="553">
      <c r="A553" s="56"/>
      <c r="B553" s="56"/>
      <c r="C553" s="108" t="str">
        <f>IFNA(VLOOKUP('Dashboard-Dados'!B553,'Dashboard-Dados'!$Y$2:$AA$13,2),"")</f>
        <v/>
      </c>
      <c r="D553" s="109">
        <f>IFERROR(GETPIVOTDATA("Valor Recebido",'Dashboard-Dados'!$J$1,$A$1,A553,$B$1,B553),0)</f>
        <v>0</v>
      </c>
      <c r="E553" s="110">
        <f>IFERROR(GETPIVOTDATA("Valor Despesa",'Dashboard-Dados'!$P$1,$A$1,A553,$B$1,B553),0)</f>
        <v>0</v>
      </c>
      <c r="F553" s="110">
        <f t="shared" si="1"/>
        <v>0</v>
      </c>
      <c r="G553" s="56">
        <f>IFERROR(GETPIVOTDATA("Exame",'Dashboard-Dados'!$J$1,$A$1,A553,$B$1,B553),0)</f>
        <v>0</v>
      </c>
      <c r="H553" s="56">
        <f t="shared" si="2"/>
        <v>553</v>
      </c>
      <c r="U553" s="56"/>
      <c r="V553" s="56"/>
      <c r="W553" s="56"/>
      <c r="Y553" s="138"/>
    </row>
    <row r="554">
      <c r="A554" s="56"/>
      <c r="B554" s="56"/>
      <c r="C554" s="108" t="str">
        <f>IFNA(VLOOKUP('Dashboard-Dados'!B554,'Dashboard-Dados'!$Y$2:$AA$13,2),"")</f>
        <v/>
      </c>
      <c r="D554" s="109">
        <f>IFERROR(GETPIVOTDATA("Valor Recebido",'Dashboard-Dados'!$J$1,$A$1,A554,$B$1,B554),0)</f>
        <v>0</v>
      </c>
      <c r="E554" s="110">
        <f>IFERROR(GETPIVOTDATA("Valor Despesa",'Dashboard-Dados'!$P$1,$A$1,A554,$B$1,B554),0)</f>
        <v>0</v>
      </c>
      <c r="F554" s="110">
        <f t="shared" si="1"/>
        <v>0</v>
      </c>
      <c r="G554" s="56">
        <f>IFERROR(GETPIVOTDATA("Exame",'Dashboard-Dados'!$J$1,$A$1,A554,$B$1,B554),0)</f>
        <v>0</v>
      </c>
      <c r="H554" s="56">
        <f t="shared" si="2"/>
        <v>554</v>
      </c>
      <c r="U554" s="56"/>
      <c r="V554" s="56"/>
      <c r="W554" s="56"/>
      <c r="Y554" s="138"/>
    </row>
    <row r="555">
      <c r="A555" s="56"/>
      <c r="B555" s="56"/>
      <c r="C555" s="108" t="str">
        <f>IFNA(VLOOKUP('Dashboard-Dados'!B555,'Dashboard-Dados'!$Y$2:$AA$13,2),"")</f>
        <v/>
      </c>
      <c r="D555" s="109">
        <f>IFERROR(GETPIVOTDATA("Valor Recebido",'Dashboard-Dados'!$J$1,$A$1,A555,$B$1,B555),0)</f>
        <v>0</v>
      </c>
      <c r="E555" s="110">
        <f>IFERROR(GETPIVOTDATA("Valor Despesa",'Dashboard-Dados'!$P$1,$A$1,A555,$B$1,B555),0)</f>
        <v>0</v>
      </c>
      <c r="F555" s="110">
        <f t="shared" si="1"/>
        <v>0</v>
      </c>
      <c r="G555" s="56">
        <f>IFERROR(GETPIVOTDATA("Exame",'Dashboard-Dados'!$J$1,$A$1,A555,$B$1,B555),0)</f>
        <v>0</v>
      </c>
      <c r="H555" s="56">
        <f t="shared" si="2"/>
        <v>555</v>
      </c>
      <c r="U555" s="56"/>
      <c r="V555" s="56"/>
      <c r="W555" s="56"/>
      <c r="Y555" s="138"/>
    </row>
    <row r="556">
      <c r="A556" s="56"/>
      <c r="B556" s="56"/>
      <c r="C556" s="108" t="str">
        <f>IFNA(VLOOKUP('Dashboard-Dados'!B556,'Dashboard-Dados'!$Y$2:$AA$13,2),"")</f>
        <v/>
      </c>
      <c r="D556" s="109">
        <f>IFERROR(GETPIVOTDATA("Valor Recebido",'Dashboard-Dados'!$J$1,$A$1,A556,$B$1,B556),0)</f>
        <v>0</v>
      </c>
      <c r="E556" s="110">
        <f>IFERROR(GETPIVOTDATA("Valor Despesa",'Dashboard-Dados'!$P$1,$A$1,A556,$B$1,B556),0)</f>
        <v>0</v>
      </c>
      <c r="F556" s="110">
        <f t="shared" si="1"/>
        <v>0</v>
      </c>
      <c r="G556" s="56">
        <f>IFERROR(GETPIVOTDATA("Exame",'Dashboard-Dados'!$J$1,$A$1,A556,$B$1,B556),0)</f>
        <v>0</v>
      </c>
      <c r="H556" s="56">
        <f t="shared" si="2"/>
        <v>556</v>
      </c>
      <c r="U556" s="56"/>
      <c r="V556" s="56"/>
      <c r="W556" s="56"/>
      <c r="Y556" s="138"/>
    </row>
    <row r="557">
      <c r="A557" s="56"/>
      <c r="B557" s="56"/>
      <c r="C557" s="108" t="str">
        <f>IFNA(VLOOKUP('Dashboard-Dados'!B557,'Dashboard-Dados'!$Y$2:$AA$13,2),"")</f>
        <v/>
      </c>
      <c r="D557" s="109">
        <f>IFERROR(GETPIVOTDATA("Valor Recebido",'Dashboard-Dados'!$J$1,$A$1,A557,$B$1,B557),0)</f>
        <v>0</v>
      </c>
      <c r="E557" s="110">
        <f>IFERROR(GETPIVOTDATA("Valor Despesa",'Dashboard-Dados'!$P$1,$A$1,A557,$B$1,B557),0)</f>
        <v>0</v>
      </c>
      <c r="F557" s="110">
        <f t="shared" si="1"/>
        <v>0</v>
      </c>
      <c r="G557" s="56">
        <f>IFERROR(GETPIVOTDATA("Exame",'Dashboard-Dados'!$J$1,$A$1,A557,$B$1,B557),0)</f>
        <v>0</v>
      </c>
      <c r="H557" s="56">
        <f t="shared" si="2"/>
        <v>557</v>
      </c>
      <c r="U557" s="56"/>
      <c r="V557" s="56"/>
      <c r="W557" s="56"/>
      <c r="Y557" s="138"/>
    </row>
    <row r="558">
      <c r="A558" s="56"/>
      <c r="B558" s="56"/>
      <c r="C558" s="108" t="str">
        <f>IFNA(VLOOKUP('Dashboard-Dados'!B558,'Dashboard-Dados'!$Y$2:$AA$13,2),"")</f>
        <v/>
      </c>
      <c r="D558" s="109">
        <f>IFERROR(GETPIVOTDATA("Valor Recebido",'Dashboard-Dados'!$J$1,$A$1,A558,$B$1,B558),0)</f>
        <v>0</v>
      </c>
      <c r="E558" s="110">
        <f>IFERROR(GETPIVOTDATA("Valor Despesa",'Dashboard-Dados'!$P$1,$A$1,A558,$B$1,B558),0)</f>
        <v>0</v>
      </c>
      <c r="F558" s="110">
        <f t="shared" si="1"/>
        <v>0</v>
      </c>
      <c r="G558" s="56">
        <f>IFERROR(GETPIVOTDATA("Exame",'Dashboard-Dados'!$J$1,$A$1,A558,$B$1,B558),0)</f>
        <v>0</v>
      </c>
      <c r="H558" s="56">
        <f t="shared" si="2"/>
        <v>558</v>
      </c>
      <c r="U558" s="56"/>
      <c r="V558" s="56"/>
      <c r="W558" s="56"/>
      <c r="Y558" s="138"/>
    </row>
    <row r="559">
      <c r="A559" s="56"/>
      <c r="B559" s="56"/>
      <c r="C559" s="108" t="str">
        <f>IFNA(VLOOKUP('Dashboard-Dados'!B559,'Dashboard-Dados'!$Y$2:$AA$13,2),"")</f>
        <v/>
      </c>
      <c r="D559" s="109">
        <f>IFERROR(GETPIVOTDATA("Valor Recebido",'Dashboard-Dados'!$J$1,$A$1,A559,$B$1,B559),0)</f>
        <v>0</v>
      </c>
      <c r="E559" s="110">
        <f>IFERROR(GETPIVOTDATA("Valor Despesa",'Dashboard-Dados'!$P$1,$A$1,A559,$B$1,B559),0)</f>
        <v>0</v>
      </c>
      <c r="F559" s="110">
        <f t="shared" si="1"/>
        <v>0</v>
      </c>
      <c r="G559" s="56">
        <f>IFERROR(GETPIVOTDATA("Exame",'Dashboard-Dados'!$J$1,$A$1,A559,$B$1,B559),0)</f>
        <v>0</v>
      </c>
      <c r="H559" s="56">
        <f t="shared" si="2"/>
        <v>559</v>
      </c>
      <c r="U559" s="56"/>
      <c r="V559" s="56"/>
      <c r="W559" s="56"/>
      <c r="Y559" s="138"/>
    </row>
    <row r="560">
      <c r="A560" s="56"/>
      <c r="B560" s="56"/>
      <c r="C560" s="108" t="str">
        <f>IFNA(VLOOKUP('Dashboard-Dados'!B560,'Dashboard-Dados'!$Y$2:$AA$13,2),"")</f>
        <v/>
      </c>
      <c r="D560" s="109">
        <f>IFERROR(GETPIVOTDATA("Valor Recebido",'Dashboard-Dados'!$J$1,$A$1,A560,$B$1,B560),0)</f>
        <v>0</v>
      </c>
      <c r="E560" s="110">
        <f>IFERROR(GETPIVOTDATA("Valor Despesa",'Dashboard-Dados'!$P$1,$A$1,A560,$B$1,B560),0)</f>
        <v>0</v>
      </c>
      <c r="F560" s="110">
        <f t="shared" si="1"/>
        <v>0</v>
      </c>
      <c r="G560" s="56">
        <f>IFERROR(GETPIVOTDATA("Exame",'Dashboard-Dados'!$J$1,$A$1,A560,$B$1,B560),0)</f>
        <v>0</v>
      </c>
      <c r="H560" s="56">
        <f t="shared" si="2"/>
        <v>560</v>
      </c>
      <c r="U560" s="56"/>
      <c r="V560" s="56"/>
      <c r="W560" s="56"/>
      <c r="Y560" s="138"/>
    </row>
    <row r="561">
      <c r="A561" s="56"/>
      <c r="B561" s="56"/>
      <c r="C561" s="108" t="str">
        <f>IFNA(VLOOKUP('Dashboard-Dados'!B561,'Dashboard-Dados'!$Y$2:$AA$13,2),"")</f>
        <v/>
      </c>
      <c r="D561" s="109">
        <f>IFERROR(GETPIVOTDATA("Valor Recebido",'Dashboard-Dados'!$J$1,$A$1,A561,$B$1,B561),0)</f>
        <v>0</v>
      </c>
      <c r="E561" s="110">
        <f>IFERROR(GETPIVOTDATA("Valor Despesa",'Dashboard-Dados'!$P$1,$A$1,A561,$B$1,B561),0)</f>
        <v>0</v>
      </c>
      <c r="F561" s="110">
        <f t="shared" si="1"/>
        <v>0</v>
      </c>
      <c r="G561" s="56">
        <f>IFERROR(GETPIVOTDATA("Exame",'Dashboard-Dados'!$J$1,$A$1,A561,$B$1,B561),0)</f>
        <v>0</v>
      </c>
      <c r="H561" s="56">
        <f t="shared" si="2"/>
        <v>561</v>
      </c>
      <c r="U561" s="56"/>
      <c r="V561" s="56"/>
      <c r="W561" s="56"/>
      <c r="Y561" s="138"/>
    </row>
    <row r="562">
      <c r="A562" s="56"/>
      <c r="B562" s="56"/>
      <c r="C562" s="108" t="str">
        <f>IFNA(VLOOKUP('Dashboard-Dados'!B562,'Dashboard-Dados'!$Y$2:$AA$13,2),"")</f>
        <v/>
      </c>
      <c r="D562" s="109">
        <f>IFERROR(GETPIVOTDATA("Valor Recebido",'Dashboard-Dados'!$J$1,$A$1,A562,$B$1,B562),0)</f>
        <v>0</v>
      </c>
      <c r="E562" s="110">
        <f>IFERROR(GETPIVOTDATA("Valor Despesa",'Dashboard-Dados'!$P$1,$A$1,A562,$B$1,B562),0)</f>
        <v>0</v>
      </c>
      <c r="F562" s="110">
        <f t="shared" si="1"/>
        <v>0</v>
      </c>
      <c r="G562" s="56">
        <f>IFERROR(GETPIVOTDATA("Exame",'Dashboard-Dados'!$J$1,$A$1,A562,$B$1,B562),0)</f>
        <v>0</v>
      </c>
      <c r="H562" s="56">
        <f t="shared" si="2"/>
        <v>562</v>
      </c>
      <c r="U562" s="56"/>
      <c r="V562" s="56"/>
      <c r="W562" s="56"/>
      <c r="Y562" s="138"/>
    </row>
    <row r="563">
      <c r="A563" s="56"/>
      <c r="B563" s="56"/>
      <c r="C563" s="108" t="str">
        <f>IFNA(VLOOKUP('Dashboard-Dados'!B563,'Dashboard-Dados'!$Y$2:$AA$13,2),"")</f>
        <v/>
      </c>
      <c r="D563" s="109">
        <f>IFERROR(GETPIVOTDATA("Valor Recebido",'Dashboard-Dados'!$J$1,$A$1,A563,$B$1,B563),0)</f>
        <v>0</v>
      </c>
      <c r="E563" s="110">
        <f>IFERROR(GETPIVOTDATA("Valor Despesa",'Dashboard-Dados'!$P$1,$A$1,A563,$B$1,B563),0)</f>
        <v>0</v>
      </c>
      <c r="F563" s="110">
        <f t="shared" si="1"/>
        <v>0</v>
      </c>
      <c r="G563" s="56">
        <f>IFERROR(GETPIVOTDATA("Exame",'Dashboard-Dados'!$J$1,$A$1,A563,$B$1,B563),0)</f>
        <v>0</v>
      </c>
      <c r="H563" s="56">
        <f t="shared" si="2"/>
        <v>563</v>
      </c>
      <c r="U563" s="56"/>
      <c r="V563" s="56"/>
      <c r="W563" s="56"/>
      <c r="Y563" s="138"/>
    </row>
    <row r="564">
      <c r="A564" s="56"/>
      <c r="B564" s="56"/>
      <c r="C564" s="108" t="str">
        <f>IFNA(VLOOKUP('Dashboard-Dados'!B564,'Dashboard-Dados'!$Y$2:$AA$13,2),"")</f>
        <v/>
      </c>
      <c r="D564" s="109">
        <f>IFERROR(GETPIVOTDATA("Valor Recebido",'Dashboard-Dados'!$J$1,$A$1,A564,$B$1,B564),0)</f>
        <v>0</v>
      </c>
      <c r="E564" s="110">
        <f>IFERROR(GETPIVOTDATA("Valor Despesa",'Dashboard-Dados'!$P$1,$A$1,A564,$B$1,B564),0)</f>
        <v>0</v>
      </c>
      <c r="F564" s="110">
        <f t="shared" si="1"/>
        <v>0</v>
      </c>
      <c r="G564" s="56">
        <f>IFERROR(GETPIVOTDATA("Exame",'Dashboard-Dados'!$J$1,$A$1,A564,$B$1,B564),0)</f>
        <v>0</v>
      </c>
      <c r="H564" s="56">
        <f t="shared" si="2"/>
        <v>564</v>
      </c>
      <c r="U564" s="56"/>
      <c r="V564" s="56"/>
      <c r="W564" s="56"/>
      <c r="Y564" s="138"/>
    </row>
    <row r="565">
      <c r="A565" s="56"/>
      <c r="B565" s="56"/>
      <c r="C565" s="108" t="str">
        <f>IFNA(VLOOKUP('Dashboard-Dados'!B565,'Dashboard-Dados'!$Y$2:$AA$13,2),"")</f>
        <v/>
      </c>
      <c r="D565" s="109">
        <f>IFERROR(GETPIVOTDATA("Valor Recebido",'Dashboard-Dados'!$J$1,$A$1,A565,$B$1,B565),0)</f>
        <v>0</v>
      </c>
      <c r="E565" s="110">
        <f>IFERROR(GETPIVOTDATA("Valor Despesa",'Dashboard-Dados'!$P$1,$A$1,A565,$B$1,B565),0)</f>
        <v>0</v>
      </c>
      <c r="F565" s="110">
        <f t="shared" si="1"/>
        <v>0</v>
      </c>
      <c r="G565" s="56">
        <f>IFERROR(GETPIVOTDATA("Exame",'Dashboard-Dados'!$J$1,$A$1,A565,$B$1,B565),0)</f>
        <v>0</v>
      </c>
      <c r="H565" s="56">
        <f t="shared" si="2"/>
        <v>565</v>
      </c>
      <c r="U565" s="56"/>
      <c r="V565" s="56"/>
      <c r="W565" s="56"/>
      <c r="Y565" s="138"/>
    </row>
    <row r="566">
      <c r="A566" s="56"/>
      <c r="B566" s="56"/>
      <c r="C566" s="108" t="str">
        <f>IFNA(VLOOKUP('Dashboard-Dados'!B566,'Dashboard-Dados'!$Y$2:$AA$13,2),"")</f>
        <v/>
      </c>
      <c r="D566" s="109">
        <f>IFERROR(GETPIVOTDATA("Valor Recebido",'Dashboard-Dados'!$J$1,$A$1,A566,$B$1,B566),0)</f>
        <v>0</v>
      </c>
      <c r="E566" s="110">
        <f>IFERROR(GETPIVOTDATA("Valor Despesa",'Dashboard-Dados'!$P$1,$A$1,A566,$B$1,B566),0)</f>
        <v>0</v>
      </c>
      <c r="F566" s="110">
        <f t="shared" si="1"/>
        <v>0</v>
      </c>
      <c r="G566" s="56">
        <f>IFERROR(GETPIVOTDATA("Exame",'Dashboard-Dados'!$J$1,$A$1,A566,$B$1,B566),0)</f>
        <v>0</v>
      </c>
      <c r="H566" s="56">
        <f t="shared" si="2"/>
        <v>566</v>
      </c>
      <c r="U566" s="56"/>
      <c r="V566" s="56"/>
      <c r="W566" s="56"/>
      <c r="Y566" s="138"/>
    </row>
    <row r="567">
      <c r="A567" s="56"/>
      <c r="B567" s="56"/>
      <c r="C567" s="108" t="str">
        <f>IFNA(VLOOKUP('Dashboard-Dados'!B567,'Dashboard-Dados'!$Y$2:$AA$13,2),"")</f>
        <v/>
      </c>
      <c r="D567" s="109">
        <f>IFERROR(GETPIVOTDATA("Valor Recebido",'Dashboard-Dados'!$J$1,$A$1,A567,$B$1,B567),0)</f>
        <v>0</v>
      </c>
      <c r="E567" s="110">
        <f>IFERROR(GETPIVOTDATA("Valor Despesa",'Dashboard-Dados'!$P$1,$A$1,A567,$B$1,B567),0)</f>
        <v>0</v>
      </c>
      <c r="F567" s="110">
        <f t="shared" si="1"/>
        <v>0</v>
      </c>
      <c r="G567" s="56">
        <f>IFERROR(GETPIVOTDATA("Exame",'Dashboard-Dados'!$J$1,$A$1,A567,$B$1,B567),0)</f>
        <v>0</v>
      </c>
      <c r="H567" s="56">
        <f t="shared" si="2"/>
        <v>567</v>
      </c>
      <c r="U567" s="56"/>
      <c r="V567" s="56"/>
      <c r="W567" s="56"/>
      <c r="Y567" s="138"/>
    </row>
    <row r="568">
      <c r="A568" s="56"/>
      <c r="B568" s="56"/>
      <c r="C568" s="108" t="str">
        <f>IFNA(VLOOKUP('Dashboard-Dados'!B568,'Dashboard-Dados'!$Y$2:$AA$13,2),"")</f>
        <v/>
      </c>
      <c r="D568" s="109">
        <f>IFERROR(GETPIVOTDATA("Valor Recebido",'Dashboard-Dados'!$J$1,$A$1,A568,$B$1,B568),0)</f>
        <v>0</v>
      </c>
      <c r="E568" s="110">
        <f>IFERROR(GETPIVOTDATA("Valor Despesa",'Dashboard-Dados'!$P$1,$A$1,A568,$B$1,B568),0)</f>
        <v>0</v>
      </c>
      <c r="F568" s="110">
        <f t="shared" si="1"/>
        <v>0</v>
      </c>
      <c r="G568" s="56">
        <f>IFERROR(GETPIVOTDATA("Exame",'Dashboard-Dados'!$J$1,$A$1,A568,$B$1,B568),0)</f>
        <v>0</v>
      </c>
      <c r="H568" s="56">
        <f t="shared" si="2"/>
        <v>568</v>
      </c>
      <c r="U568" s="56"/>
      <c r="V568" s="56"/>
      <c r="W568" s="56"/>
      <c r="Y568" s="138"/>
    </row>
    <row r="569">
      <c r="A569" s="56"/>
      <c r="B569" s="56"/>
      <c r="C569" s="108" t="str">
        <f>IFNA(VLOOKUP('Dashboard-Dados'!B569,'Dashboard-Dados'!$Y$2:$AA$13,2),"")</f>
        <v/>
      </c>
      <c r="D569" s="109">
        <f>IFERROR(GETPIVOTDATA("Valor Recebido",'Dashboard-Dados'!$J$1,$A$1,A569,$B$1,B569),0)</f>
        <v>0</v>
      </c>
      <c r="E569" s="110">
        <f>IFERROR(GETPIVOTDATA("Valor Despesa",'Dashboard-Dados'!$P$1,$A$1,A569,$B$1,B569),0)</f>
        <v>0</v>
      </c>
      <c r="F569" s="110">
        <f t="shared" si="1"/>
        <v>0</v>
      </c>
      <c r="G569" s="56">
        <f>IFERROR(GETPIVOTDATA("Exame",'Dashboard-Dados'!$J$1,$A$1,A569,$B$1,B569),0)</f>
        <v>0</v>
      </c>
      <c r="H569" s="56">
        <f t="shared" si="2"/>
        <v>569</v>
      </c>
      <c r="U569" s="56"/>
      <c r="V569" s="56"/>
      <c r="W569" s="56"/>
      <c r="Y569" s="138"/>
    </row>
    <row r="570">
      <c r="A570" s="56"/>
      <c r="B570" s="56"/>
      <c r="C570" s="108" t="str">
        <f>IFNA(VLOOKUP('Dashboard-Dados'!B570,'Dashboard-Dados'!$Y$2:$AA$13,2),"")</f>
        <v/>
      </c>
      <c r="D570" s="109">
        <f>IFERROR(GETPIVOTDATA("Valor Recebido",'Dashboard-Dados'!$J$1,$A$1,A570,$B$1,B570),0)</f>
        <v>0</v>
      </c>
      <c r="E570" s="110">
        <f>IFERROR(GETPIVOTDATA("Valor Despesa",'Dashboard-Dados'!$P$1,$A$1,A570,$B$1,B570),0)</f>
        <v>0</v>
      </c>
      <c r="F570" s="110">
        <f t="shared" si="1"/>
        <v>0</v>
      </c>
      <c r="G570" s="56">
        <f>IFERROR(GETPIVOTDATA("Exame",'Dashboard-Dados'!$J$1,$A$1,A570,$B$1,B570),0)</f>
        <v>0</v>
      </c>
      <c r="H570" s="56">
        <f t="shared" si="2"/>
        <v>570</v>
      </c>
      <c r="U570" s="56"/>
      <c r="V570" s="56"/>
      <c r="W570" s="56"/>
      <c r="Y570" s="138"/>
    </row>
    <row r="571">
      <c r="A571" s="56"/>
      <c r="B571" s="56"/>
      <c r="C571" s="108" t="str">
        <f>IFNA(VLOOKUP('Dashboard-Dados'!B571,'Dashboard-Dados'!$Y$2:$AA$13,2),"")</f>
        <v/>
      </c>
      <c r="D571" s="109">
        <f>IFERROR(GETPIVOTDATA("Valor Recebido",'Dashboard-Dados'!$J$1,$A$1,A571,$B$1,B571),0)</f>
        <v>0</v>
      </c>
      <c r="E571" s="110">
        <f>IFERROR(GETPIVOTDATA("Valor Despesa",'Dashboard-Dados'!$P$1,$A$1,A571,$B$1,B571),0)</f>
        <v>0</v>
      </c>
      <c r="F571" s="110">
        <f t="shared" si="1"/>
        <v>0</v>
      </c>
      <c r="G571" s="56">
        <f>IFERROR(GETPIVOTDATA("Exame",'Dashboard-Dados'!$J$1,$A$1,A571,$B$1,B571),0)</f>
        <v>0</v>
      </c>
      <c r="H571" s="56">
        <f t="shared" si="2"/>
        <v>571</v>
      </c>
      <c r="U571" s="56"/>
      <c r="V571" s="56"/>
      <c r="W571" s="56"/>
      <c r="Y571" s="138"/>
    </row>
    <row r="572">
      <c r="A572" s="56"/>
      <c r="B572" s="56"/>
      <c r="C572" s="108" t="str">
        <f>IFNA(VLOOKUP('Dashboard-Dados'!B572,'Dashboard-Dados'!$Y$2:$AA$13,2),"")</f>
        <v/>
      </c>
      <c r="D572" s="109">
        <f>IFERROR(GETPIVOTDATA("Valor Recebido",'Dashboard-Dados'!$J$1,$A$1,A572,$B$1,B572),0)</f>
        <v>0</v>
      </c>
      <c r="E572" s="110">
        <f>IFERROR(GETPIVOTDATA("Valor Despesa",'Dashboard-Dados'!$P$1,$A$1,A572,$B$1,B572),0)</f>
        <v>0</v>
      </c>
      <c r="F572" s="110">
        <f t="shared" si="1"/>
        <v>0</v>
      </c>
      <c r="G572" s="56">
        <f>IFERROR(GETPIVOTDATA("Exame",'Dashboard-Dados'!$J$1,$A$1,A572,$B$1,B572),0)</f>
        <v>0</v>
      </c>
      <c r="H572" s="56">
        <f t="shared" si="2"/>
        <v>572</v>
      </c>
      <c r="U572" s="56"/>
      <c r="V572" s="56"/>
      <c r="W572" s="56"/>
      <c r="Y572" s="138"/>
    </row>
    <row r="573">
      <c r="A573" s="56"/>
      <c r="B573" s="56"/>
      <c r="C573" s="108" t="str">
        <f>IFNA(VLOOKUP('Dashboard-Dados'!B573,'Dashboard-Dados'!$Y$2:$AA$13,2),"")</f>
        <v/>
      </c>
      <c r="D573" s="109">
        <f>IFERROR(GETPIVOTDATA("Valor Recebido",'Dashboard-Dados'!$J$1,$A$1,A573,$B$1,B573),0)</f>
        <v>0</v>
      </c>
      <c r="E573" s="110">
        <f>IFERROR(GETPIVOTDATA("Valor Despesa",'Dashboard-Dados'!$P$1,$A$1,A573,$B$1,B573),0)</f>
        <v>0</v>
      </c>
      <c r="F573" s="110">
        <f t="shared" si="1"/>
        <v>0</v>
      </c>
      <c r="G573" s="56">
        <f>IFERROR(GETPIVOTDATA("Exame",'Dashboard-Dados'!$J$1,$A$1,A573,$B$1,B573),0)</f>
        <v>0</v>
      </c>
      <c r="H573" s="56">
        <f t="shared" si="2"/>
        <v>573</v>
      </c>
      <c r="U573" s="56"/>
      <c r="V573" s="56"/>
      <c r="W573" s="56"/>
      <c r="Y573" s="138"/>
    </row>
    <row r="574">
      <c r="A574" s="56"/>
      <c r="B574" s="56"/>
      <c r="C574" s="108" t="str">
        <f>IFNA(VLOOKUP('Dashboard-Dados'!B574,'Dashboard-Dados'!$Y$2:$AA$13,2),"")</f>
        <v/>
      </c>
      <c r="D574" s="109">
        <f>IFERROR(GETPIVOTDATA("Valor Recebido",'Dashboard-Dados'!$J$1,$A$1,A574,$B$1,B574),0)</f>
        <v>0</v>
      </c>
      <c r="E574" s="110">
        <f>IFERROR(GETPIVOTDATA("Valor Despesa",'Dashboard-Dados'!$P$1,$A$1,A574,$B$1,B574),0)</f>
        <v>0</v>
      </c>
      <c r="F574" s="110">
        <f t="shared" si="1"/>
        <v>0</v>
      </c>
      <c r="G574" s="56">
        <f>IFERROR(GETPIVOTDATA("Exame",'Dashboard-Dados'!$J$1,$A$1,A574,$B$1,B574),0)</f>
        <v>0</v>
      </c>
      <c r="H574" s="56">
        <f t="shared" si="2"/>
        <v>574</v>
      </c>
      <c r="U574" s="56"/>
      <c r="V574" s="56"/>
      <c r="W574" s="56"/>
      <c r="Y574" s="138"/>
    </row>
    <row r="575">
      <c r="A575" s="56"/>
      <c r="B575" s="56"/>
      <c r="C575" s="108" t="str">
        <f>IFNA(VLOOKUP('Dashboard-Dados'!B575,'Dashboard-Dados'!$Y$2:$AA$13,2),"")</f>
        <v/>
      </c>
      <c r="D575" s="109">
        <f>IFERROR(GETPIVOTDATA("Valor Recebido",'Dashboard-Dados'!$J$1,$A$1,A575,$B$1,B575),0)</f>
        <v>0</v>
      </c>
      <c r="E575" s="110">
        <f>IFERROR(GETPIVOTDATA("Valor Despesa",'Dashboard-Dados'!$P$1,$A$1,A575,$B$1,B575),0)</f>
        <v>0</v>
      </c>
      <c r="F575" s="110">
        <f t="shared" si="1"/>
        <v>0</v>
      </c>
      <c r="G575" s="56">
        <f>IFERROR(GETPIVOTDATA("Exame",'Dashboard-Dados'!$J$1,$A$1,A575,$B$1,B575),0)</f>
        <v>0</v>
      </c>
      <c r="H575" s="56">
        <f t="shared" si="2"/>
        <v>575</v>
      </c>
      <c r="U575" s="56"/>
      <c r="V575" s="56"/>
      <c r="W575" s="56"/>
      <c r="Y575" s="138"/>
    </row>
    <row r="576">
      <c r="A576" s="56"/>
      <c r="B576" s="56"/>
      <c r="C576" s="108" t="str">
        <f>IFNA(VLOOKUP('Dashboard-Dados'!B576,'Dashboard-Dados'!$Y$2:$AA$13,2),"")</f>
        <v/>
      </c>
      <c r="D576" s="109">
        <f>IFERROR(GETPIVOTDATA("Valor Recebido",'Dashboard-Dados'!$J$1,$A$1,A576,$B$1,B576),0)</f>
        <v>0</v>
      </c>
      <c r="E576" s="110">
        <f>IFERROR(GETPIVOTDATA("Valor Despesa",'Dashboard-Dados'!$P$1,$A$1,A576,$B$1,B576),0)</f>
        <v>0</v>
      </c>
      <c r="F576" s="110">
        <f t="shared" si="1"/>
        <v>0</v>
      </c>
      <c r="G576" s="56">
        <f>IFERROR(GETPIVOTDATA("Exame",'Dashboard-Dados'!$J$1,$A$1,A576,$B$1,B576),0)</f>
        <v>0</v>
      </c>
      <c r="H576" s="56">
        <f t="shared" si="2"/>
        <v>576</v>
      </c>
      <c r="U576" s="56"/>
      <c r="V576" s="56"/>
      <c r="W576" s="56"/>
      <c r="Y576" s="138"/>
    </row>
    <row r="577">
      <c r="A577" s="56"/>
      <c r="B577" s="56"/>
      <c r="C577" s="108" t="str">
        <f>IFNA(VLOOKUP('Dashboard-Dados'!B577,'Dashboard-Dados'!$Y$2:$AA$13,2),"")</f>
        <v/>
      </c>
      <c r="D577" s="109">
        <f>IFERROR(GETPIVOTDATA("Valor Recebido",'Dashboard-Dados'!$J$1,$A$1,A577,$B$1,B577),0)</f>
        <v>0</v>
      </c>
      <c r="E577" s="110">
        <f>IFERROR(GETPIVOTDATA("Valor Despesa",'Dashboard-Dados'!$P$1,$A$1,A577,$B$1,B577),0)</f>
        <v>0</v>
      </c>
      <c r="F577" s="110">
        <f t="shared" si="1"/>
        <v>0</v>
      </c>
      <c r="G577" s="56">
        <f>IFERROR(GETPIVOTDATA("Exame",'Dashboard-Dados'!$J$1,$A$1,A577,$B$1,B577),0)</f>
        <v>0</v>
      </c>
      <c r="H577" s="56">
        <f t="shared" si="2"/>
        <v>577</v>
      </c>
      <c r="U577" s="56"/>
      <c r="V577" s="56"/>
      <c r="W577" s="56"/>
      <c r="Y577" s="138"/>
    </row>
    <row r="578">
      <c r="A578" s="56"/>
      <c r="B578" s="56"/>
      <c r="C578" s="108" t="str">
        <f>IFNA(VLOOKUP('Dashboard-Dados'!B578,'Dashboard-Dados'!$Y$2:$AA$13,2),"")</f>
        <v/>
      </c>
      <c r="D578" s="109">
        <f>IFERROR(GETPIVOTDATA("Valor Recebido",'Dashboard-Dados'!$J$1,$A$1,A578,$B$1,B578),0)</f>
        <v>0</v>
      </c>
      <c r="E578" s="110">
        <f>IFERROR(GETPIVOTDATA("Valor Despesa",'Dashboard-Dados'!$P$1,$A$1,A578,$B$1,B578),0)</f>
        <v>0</v>
      </c>
      <c r="F578" s="110">
        <f t="shared" si="1"/>
        <v>0</v>
      </c>
      <c r="G578" s="56">
        <f>IFERROR(GETPIVOTDATA("Exame",'Dashboard-Dados'!$J$1,$A$1,A578,$B$1,B578),0)</f>
        <v>0</v>
      </c>
      <c r="H578" s="56">
        <f t="shared" si="2"/>
        <v>578</v>
      </c>
      <c r="U578" s="56"/>
      <c r="V578" s="56"/>
      <c r="W578" s="56"/>
      <c r="Y578" s="138"/>
    </row>
    <row r="579">
      <c r="A579" s="56"/>
      <c r="B579" s="56"/>
      <c r="C579" s="108" t="str">
        <f>IFNA(VLOOKUP('Dashboard-Dados'!B579,'Dashboard-Dados'!$Y$2:$AA$13,2),"")</f>
        <v/>
      </c>
      <c r="D579" s="109">
        <f>IFERROR(GETPIVOTDATA("Valor Recebido",'Dashboard-Dados'!$J$1,$A$1,A579,$B$1,B579),0)</f>
        <v>0</v>
      </c>
      <c r="E579" s="110">
        <f>IFERROR(GETPIVOTDATA("Valor Despesa",'Dashboard-Dados'!$P$1,$A$1,A579,$B$1,B579),0)</f>
        <v>0</v>
      </c>
      <c r="F579" s="110">
        <f t="shared" si="1"/>
        <v>0</v>
      </c>
      <c r="G579" s="56">
        <f>IFERROR(GETPIVOTDATA("Exame",'Dashboard-Dados'!$J$1,$A$1,A579,$B$1,B579),0)</f>
        <v>0</v>
      </c>
      <c r="H579" s="56">
        <f t="shared" si="2"/>
        <v>579</v>
      </c>
      <c r="U579" s="56"/>
      <c r="V579" s="56"/>
      <c r="W579" s="56"/>
      <c r="Y579" s="138"/>
    </row>
    <row r="580">
      <c r="A580" s="56"/>
      <c r="B580" s="56"/>
      <c r="C580" s="108" t="str">
        <f>IFNA(VLOOKUP('Dashboard-Dados'!B580,'Dashboard-Dados'!$Y$2:$AA$13,2),"")</f>
        <v/>
      </c>
      <c r="D580" s="109">
        <f>IFERROR(GETPIVOTDATA("Valor Recebido",'Dashboard-Dados'!$J$1,$A$1,A580,$B$1,B580),0)</f>
        <v>0</v>
      </c>
      <c r="E580" s="110">
        <f>IFERROR(GETPIVOTDATA("Valor Despesa",'Dashboard-Dados'!$P$1,$A$1,A580,$B$1,B580),0)</f>
        <v>0</v>
      </c>
      <c r="F580" s="110">
        <f t="shared" si="1"/>
        <v>0</v>
      </c>
      <c r="G580" s="56">
        <f>IFERROR(GETPIVOTDATA("Exame",'Dashboard-Dados'!$J$1,$A$1,A580,$B$1,B580),0)</f>
        <v>0</v>
      </c>
      <c r="H580" s="56">
        <f t="shared" si="2"/>
        <v>580</v>
      </c>
      <c r="U580" s="56"/>
      <c r="V580" s="56"/>
      <c r="W580" s="56"/>
      <c r="Y580" s="138"/>
    </row>
    <row r="581">
      <c r="A581" s="56"/>
      <c r="B581" s="56"/>
      <c r="C581" s="108" t="str">
        <f>IFNA(VLOOKUP('Dashboard-Dados'!B581,'Dashboard-Dados'!$Y$2:$AA$13,2),"")</f>
        <v/>
      </c>
      <c r="D581" s="109">
        <f>IFERROR(GETPIVOTDATA("Valor Recebido",'Dashboard-Dados'!$J$1,$A$1,A581,$B$1,B581),0)</f>
        <v>0</v>
      </c>
      <c r="E581" s="110">
        <f>IFERROR(GETPIVOTDATA("Valor Despesa",'Dashboard-Dados'!$P$1,$A$1,A581,$B$1,B581),0)</f>
        <v>0</v>
      </c>
      <c r="F581" s="110">
        <f t="shared" si="1"/>
        <v>0</v>
      </c>
      <c r="G581" s="56">
        <f>IFERROR(GETPIVOTDATA("Exame",'Dashboard-Dados'!$J$1,$A$1,A581,$B$1,B581),0)</f>
        <v>0</v>
      </c>
      <c r="H581" s="56">
        <f t="shared" si="2"/>
        <v>581</v>
      </c>
      <c r="U581" s="56"/>
      <c r="V581" s="56"/>
      <c r="W581" s="56"/>
      <c r="Y581" s="138"/>
    </row>
    <row r="582">
      <c r="A582" s="56"/>
      <c r="B582" s="56"/>
      <c r="C582" s="108" t="str">
        <f>IFNA(VLOOKUP('Dashboard-Dados'!B582,'Dashboard-Dados'!$Y$2:$AA$13,2),"")</f>
        <v/>
      </c>
      <c r="D582" s="109">
        <f>IFERROR(GETPIVOTDATA("Valor Recebido",'Dashboard-Dados'!$J$1,$A$1,A582,$B$1,B582),0)</f>
        <v>0</v>
      </c>
      <c r="E582" s="110">
        <f>IFERROR(GETPIVOTDATA("Valor Despesa",'Dashboard-Dados'!$P$1,$A$1,A582,$B$1,B582),0)</f>
        <v>0</v>
      </c>
      <c r="F582" s="110">
        <f t="shared" si="1"/>
        <v>0</v>
      </c>
      <c r="G582" s="56">
        <f>IFERROR(GETPIVOTDATA("Exame",'Dashboard-Dados'!$J$1,$A$1,A582,$B$1,B582),0)</f>
        <v>0</v>
      </c>
      <c r="H582" s="56">
        <f t="shared" si="2"/>
        <v>582</v>
      </c>
      <c r="U582" s="56"/>
      <c r="V582" s="56"/>
      <c r="W582" s="56"/>
      <c r="Y582" s="138"/>
    </row>
    <row r="583">
      <c r="A583" s="56"/>
      <c r="B583" s="56"/>
      <c r="C583" s="108" t="str">
        <f>IFNA(VLOOKUP('Dashboard-Dados'!B583,'Dashboard-Dados'!$Y$2:$AA$13,2),"")</f>
        <v/>
      </c>
      <c r="D583" s="109">
        <f>IFERROR(GETPIVOTDATA("Valor Recebido",'Dashboard-Dados'!$J$1,$A$1,A583,$B$1,B583),0)</f>
        <v>0</v>
      </c>
      <c r="E583" s="110">
        <f>IFERROR(GETPIVOTDATA("Valor Despesa",'Dashboard-Dados'!$P$1,$A$1,A583,$B$1,B583),0)</f>
        <v>0</v>
      </c>
      <c r="F583" s="110">
        <f t="shared" si="1"/>
        <v>0</v>
      </c>
      <c r="G583" s="56">
        <f>IFERROR(GETPIVOTDATA("Exame",'Dashboard-Dados'!$J$1,$A$1,A583,$B$1,B583),0)</f>
        <v>0</v>
      </c>
      <c r="H583" s="56">
        <f t="shared" si="2"/>
        <v>583</v>
      </c>
      <c r="U583" s="56"/>
      <c r="V583" s="56"/>
      <c r="W583" s="56"/>
      <c r="Y583" s="138"/>
    </row>
    <row r="584">
      <c r="A584" s="56"/>
      <c r="B584" s="56"/>
      <c r="C584" s="108" t="str">
        <f>IFNA(VLOOKUP('Dashboard-Dados'!B584,'Dashboard-Dados'!$Y$2:$AA$13,2),"")</f>
        <v/>
      </c>
      <c r="D584" s="109">
        <f>IFERROR(GETPIVOTDATA("Valor Recebido",'Dashboard-Dados'!$J$1,$A$1,A584,$B$1,B584),0)</f>
        <v>0</v>
      </c>
      <c r="E584" s="110">
        <f>IFERROR(GETPIVOTDATA("Valor Despesa",'Dashboard-Dados'!$P$1,$A$1,A584,$B$1,B584),0)</f>
        <v>0</v>
      </c>
      <c r="F584" s="110">
        <f t="shared" si="1"/>
        <v>0</v>
      </c>
      <c r="G584" s="56">
        <f>IFERROR(GETPIVOTDATA("Exame",'Dashboard-Dados'!$J$1,$A$1,A584,$B$1,B584),0)</f>
        <v>0</v>
      </c>
      <c r="H584" s="56">
        <f t="shared" si="2"/>
        <v>584</v>
      </c>
      <c r="U584" s="56"/>
      <c r="V584" s="56"/>
      <c r="W584" s="56"/>
      <c r="Y584" s="138"/>
    </row>
    <row r="585">
      <c r="A585" s="56"/>
      <c r="B585" s="56"/>
      <c r="C585" s="108" t="str">
        <f>IFNA(VLOOKUP('Dashboard-Dados'!B585,'Dashboard-Dados'!$Y$2:$AA$13,2),"")</f>
        <v/>
      </c>
      <c r="D585" s="109">
        <f>IFERROR(GETPIVOTDATA("Valor Recebido",'Dashboard-Dados'!$J$1,$A$1,A585,$B$1,B585),0)</f>
        <v>0</v>
      </c>
      <c r="E585" s="110">
        <f>IFERROR(GETPIVOTDATA("Valor Despesa",'Dashboard-Dados'!$P$1,$A$1,A585,$B$1,B585),0)</f>
        <v>0</v>
      </c>
      <c r="F585" s="110">
        <f t="shared" si="1"/>
        <v>0</v>
      </c>
      <c r="G585" s="56">
        <f>IFERROR(GETPIVOTDATA("Exame",'Dashboard-Dados'!$J$1,$A$1,A585,$B$1,B585),0)</f>
        <v>0</v>
      </c>
      <c r="H585" s="56">
        <f t="shared" si="2"/>
        <v>585</v>
      </c>
      <c r="U585" s="56"/>
      <c r="V585" s="56"/>
      <c r="W585" s="56"/>
      <c r="Y585" s="138"/>
    </row>
    <row r="586">
      <c r="A586" s="56"/>
      <c r="B586" s="56"/>
      <c r="C586" s="108" t="str">
        <f>IFNA(VLOOKUP('Dashboard-Dados'!B586,'Dashboard-Dados'!$Y$2:$AA$13,2),"")</f>
        <v/>
      </c>
      <c r="D586" s="109">
        <f>IFERROR(GETPIVOTDATA("Valor Recebido",'Dashboard-Dados'!$J$1,$A$1,A586,$B$1,B586),0)</f>
        <v>0</v>
      </c>
      <c r="E586" s="110">
        <f>IFERROR(GETPIVOTDATA("Valor Despesa",'Dashboard-Dados'!$P$1,$A$1,A586,$B$1,B586),0)</f>
        <v>0</v>
      </c>
      <c r="F586" s="110">
        <f t="shared" si="1"/>
        <v>0</v>
      </c>
      <c r="G586" s="56">
        <f>IFERROR(GETPIVOTDATA("Exame",'Dashboard-Dados'!$J$1,$A$1,A586,$B$1,B586),0)</f>
        <v>0</v>
      </c>
      <c r="H586" s="56">
        <f t="shared" si="2"/>
        <v>586</v>
      </c>
      <c r="U586" s="56"/>
      <c r="V586" s="56"/>
      <c r="W586" s="56"/>
      <c r="Y586" s="138"/>
    </row>
    <row r="587">
      <c r="A587" s="56"/>
      <c r="B587" s="56"/>
      <c r="C587" s="108" t="str">
        <f>IFNA(VLOOKUP('Dashboard-Dados'!B587,'Dashboard-Dados'!$Y$2:$AA$13,2),"")</f>
        <v/>
      </c>
      <c r="D587" s="109">
        <f>IFERROR(GETPIVOTDATA("Valor Recebido",'Dashboard-Dados'!$J$1,$A$1,A587,$B$1,B587),0)</f>
        <v>0</v>
      </c>
      <c r="E587" s="110">
        <f>IFERROR(GETPIVOTDATA("Valor Despesa",'Dashboard-Dados'!$P$1,$A$1,A587,$B$1,B587),0)</f>
        <v>0</v>
      </c>
      <c r="F587" s="110">
        <f t="shared" si="1"/>
        <v>0</v>
      </c>
      <c r="G587" s="56">
        <f>IFERROR(GETPIVOTDATA("Exame",'Dashboard-Dados'!$J$1,$A$1,A587,$B$1,B587),0)</f>
        <v>0</v>
      </c>
      <c r="H587" s="56">
        <f t="shared" si="2"/>
        <v>587</v>
      </c>
      <c r="U587" s="56"/>
      <c r="V587" s="56"/>
      <c r="W587" s="56"/>
      <c r="Y587" s="138"/>
    </row>
    <row r="588">
      <c r="A588" s="56"/>
      <c r="B588" s="56"/>
      <c r="C588" s="108" t="str">
        <f>IFNA(VLOOKUP('Dashboard-Dados'!B588,'Dashboard-Dados'!$Y$2:$AA$13,2),"")</f>
        <v/>
      </c>
      <c r="D588" s="109">
        <f>IFERROR(GETPIVOTDATA("Valor Recebido",'Dashboard-Dados'!$J$1,$A$1,A588,$B$1,B588),0)</f>
        <v>0</v>
      </c>
      <c r="E588" s="110">
        <f>IFERROR(GETPIVOTDATA("Valor Despesa",'Dashboard-Dados'!$P$1,$A$1,A588,$B$1,B588),0)</f>
        <v>0</v>
      </c>
      <c r="F588" s="110">
        <f t="shared" si="1"/>
        <v>0</v>
      </c>
      <c r="G588" s="56">
        <f>IFERROR(GETPIVOTDATA("Exame",'Dashboard-Dados'!$J$1,$A$1,A588,$B$1,B588),0)</f>
        <v>0</v>
      </c>
      <c r="H588" s="56">
        <f t="shared" si="2"/>
        <v>588</v>
      </c>
      <c r="U588" s="56"/>
      <c r="V588" s="56"/>
      <c r="W588" s="56"/>
      <c r="Y588" s="138"/>
    </row>
    <row r="589">
      <c r="A589" s="56"/>
      <c r="B589" s="56"/>
      <c r="C589" s="108" t="str">
        <f>IFNA(VLOOKUP('Dashboard-Dados'!B589,'Dashboard-Dados'!$Y$2:$AA$13,2),"")</f>
        <v/>
      </c>
      <c r="D589" s="109">
        <f>IFERROR(GETPIVOTDATA("Valor Recebido",'Dashboard-Dados'!$J$1,$A$1,A589,$B$1,B589),0)</f>
        <v>0</v>
      </c>
      <c r="E589" s="110">
        <f>IFERROR(GETPIVOTDATA("Valor Despesa",'Dashboard-Dados'!$P$1,$A$1,A589,$B$1,B589),0)</f>
        <v>0</v>
      </c>
      <c r="F589" s="110">
        <f t="shared" si="1"/>
        <v>0</v>
      </c>
      <c r="G589" s="56">
        <f>IFERROR(GETPIVOTDATA("Exame",'Dashboard-Dados'!$J$1,$A$1,A589,$B$1,B589),0)</f>
        <v>0</v>
      </c>
      <c r="H589" s="56">
        <f t="shared" si="2"/>
        <v>589</v>
      </c>
      <c r="U589" s="56"/>
      <c r="V589" s="56"/>
      <c r="W589" s="56"/>
      <c r="Y589" s="138"/>
    </row>
    <row r="590">
      <c r="A590" s="56"/>
      <c r="B590" s="56"/>
      <c r="C590" s="108" t="str">
        <f>IFNA(VLOOKUP('Dashboard-Dados'!B590,'Dashboard-Dados'!$Y$2:$AA$13,2),"")</f>
        <v/>
      </c>
      <c r="D590" s="109">
        <f>IFERROR(GETPIVOTDATA("Valor Recebido",'Dashboard-Dados'!$J$1,$A$1,A590,$B$1,B590),0)</f>
        <v>0</v>
      </c>
      <c r="E590" s="110">
        <f>IFERROR(GETPIVOTDATA("Valor Despesa",'Dashboard-Dados'!$P$1,$A$1,A590,$B$1,B590),0)</f>
        <v>0</v>
      </c>
      <c r="F590" s="110">
        <f t="shared" si="1"/>
        <v>0</v>
      </c>
      <c r="G590" s="56">
        <f>IFERROR(GETPIVOTDATA("Exame",'Dashboard-Dados'!$J$1,$A$1,A590,$B$1,B590),0)</f>
        <v>0</v>
      </c>
      <c r="H590" s="56">
        <f t="shared" si="2"/>
        <v>590</v>
      </c>
      <c r="U590" s="56"/>
      <c r="V590" s="56"/>
      <c r="W590" s="56"/>
      <c r="Y590" s="138"/>
    </row>
    <row r="591">
      <c r="A591" s="56"/>
      <c r="B591" s="56"/>
      <c r="C591" s="108" t="str">
        <f>IFNA(VLOOKUP('Dashboard-Dados'!B591,'Dashboard-Dados'!$Y$2:$AA$13,2),"")</f>
        <v/>
      </c>
      <c r="D591" s="109">
        <f>IFERROR(GETPIVOTDATA("Valor Recebido",'Dashboard-Dados'!$J$1,$A$1,A591,$B$1,B591),0)</f>
        <v>0</v>
      </c>
      <c r="E591" s="110">
        <f>IFERROR(GETPIVOTDATA("Valor Despesa",'Dashboard-Dados'!$P$1,$A$1,A591,$B$1,B591),0)</f>
        <v>0</v>
      </c>
      <c r="F591" s="110">
        <f t="shared" si="1"/>
        <v>0</v>
      </c>
      <c r="G591" s="56">
        <f>IFERROR(GETPIVOTDATA("Exame",'Dashboard-Dados'!$J$1,$A$1,A591,$B$1,B591),0)</f>
        <v>0</v>
      </c>
      <c r="H591" s="56">
        <f t="shared" si="2"/>
        <v>591</v>
      </c>
      <c r="U591" s="56"/>
      <c r="V591" s="56"/>
      <c r="W591" s="56"/>
      <c r="Y591" s="138"/>
    </row>
    <row r="592">
      <c r="A592" s="56"/>
      <c r="B592" s="56"/>
      <c r="C592" s="108" t="str">
        <f>IFNA(VLOOKUP('Dashboard-Dados'!B592,'Dashboard-Dados'!$Y$2:$AA$13,2),"")</f>
        <v/>
      </c>
      <c r="D592" s="109">
        <f>IFERROR(GETPIVOTDATA("Valor Recebido",'Dashboard-Dados'!$J$1,$A$1,A592,$B$1,B592),0)</f>
        <v>0</v>
      </c>
      <c r="E592" s="110">
        <f>IFERROR(GETPIVOTDATA("Valor Despesa",'Dashboard-Dados'!$P$1,$A$1,A592,$B$1,B592),0)</f>
        <v>0</v>
      </c>
      <c r="F592" s="110">
        <f t="shared" si="1"/>
        <v>0</v>
      </c>
      <c r="G592" s="56">
        <f>IFERROR(GETPIVOTDATA("Exame",'Dashboard-Dados'!$J$1,$A$1,A592,$B$1,B592),0)</f>
        <v>0</v>
      </c>
      <c r="H592" s="56">
        <f t="shared" si="2"/>
        <v>592</v>
      </c>
      <c r="U592" s="56"/>
      <c r="V592" s="56"/>
      <c r="W592" s="56"/>
      <c r="Y592" s="138"/>
    </row>
    <row r="593">
      <c r="A593" s="56"/>
      <c r="B593" s="56"/>
      <c r="C593" s="108" t="str">
        <f>IFNA(VLOOKUP('Dashboard-Dados'!B593,'Dashboard-Dados'!$Y$2:$AA$13,2),"")</f>
        <v/>
      </c>
      <c r="D593" s="109">
        <f>IFERROR(GETPIVOTDATA("Valor Recebido",'Dashboard-Dados'!$J$1,$A$1,A593,$B$1,B593),0)</f>
        <v>0</v>
      </c>
      <c r="E593" s="110">
        <f>IFERROR(GETPIVOTDATA("Valor Despesa",'Dashboard-Dados'!$P$1,$A$1,A593,$B$1,B593),0)</f>
        <v>0</v>
      </c>
      <c r="F593" s="110">
        <f t="shared" si="1"/>
        <v>0</v>
      </c>
      <c r="G593" s="56">
        <f>IFERROR(GETPIVOTDATA("Exame",'Dashboard-Dados'!$J$1,$A$1,A593,$B$1,B593),0)</f>
        <v>0</v>
      </c>
      <c r="H593" s="56">
        <f t="shared" si="2"/>
        <v>593</v>
      </c>
      <c r="U593" s="56"/>
      <c r="V593" s="56"/>
      <c r="W593" s="56"/>
      <c r="Y593" s="138"/>
    </row>
    <row r="594">
      <c r="A594" s="56"/>
      <c r="B594" s="56"/>
      <c r="C594" s="108" t="str">
        <f>IFNA(VLOOKUP('Dashboard-Dados'!B594,'Dashboard-Dados'!$Y$2:$AA$13,2),"")</f>
        <v/>
      </c>
      <c r="D594" s="109">
        <f>IFERROR(GETPIVOTDATA("Valor Recebido",'Dashboard-Dados'!$J$1,$A$1,A594,$B$1,B594),0)</f>
        <v>0</v>
      </c>
      <c r="E594" s="110">
        <f>IFERROR(GETPIVOTDATA("Valor Despesa",'Dashboard-Dados'!$P$1,$A$1,A594,$B$1,B594),0)</f>
        <v>0</v>
      </c>
      <c r="F594" s="110">
        <f t="shared" si="1"/>
        <v>0</v>
      </c>
      <c r="G594" s="56">
        <f>IFERROR(GETPIVOTDATA("Exame",'Dashboard-Dados'!$J$1,$A$1,A594,$B$1,B594),0)</f>
        <v>0</v>
      </c>
      <c r="H594" s="56">
        <f t="shared" si="2"/>
        <v>594</v>
      </c>
      <c r="U594" s="56"/>
      <c r="V594" s="56"/>
      <c r="W594" s="56"/>
      <c r="Y594" s="138"/>
    </row>
    <row r="595">
      <c r="A595" s="56"/>
      <c r="B595" s="56"/>
      <c r="C595" s="108" t="str">
        <f>IFNA(VLOOKUP('Dashboard-Dados'!B595,'Dashboard-Dados'!$Y$2:$AA$13,2),"")</f>
        <v/>
      </c>
      <c r="D595" s="109">
        <f>IFERROR(GETPIVOTDATA("Valor Recebido",'Dashboard-Dados'!$J$1,$A$1,A595,$B$1,B595),0)</f>
        <v>0</v>
      </c>
      <c r="E595" s="110">
        <f>IFERROR(GETPIVOTDATA("Valor Despesa",'Dashboard-Dados'!$P$1,$A$1,A595,$B$1,B595),0)</f>
        <v>0</v>
      </c>
      <c r="F595" s="110">
        <f t="shared" si="1"/>
        <v>0</v>
      </c>
      <c r="G595" s="56">
        <f>IFERROR(GETPIVOTDATA("Exame",'Dashboard-Dados'!$J$1,$A$1,A595,$B$1,B595),0)</f>
        <v>0</v>
      </c>
      <c r="H595" s="56">
        <f t="shared" si="2"/>
        <v>595</v>
      </c>
      <c r="U595" s="56"/>
      <c r="V595" s="56"/>
      <c r="W595" s="56"/>
      <c r="Y595" s="138"/>
    </row>
    <row r="596">
      <c r="A596" s="56"/>
      <c r="B596" s="56"/>
      <c r="C596" s="108" t="str">
        <f>IFNA(VLOOKUP('Dashboard-Dados'!B596,'Dashboard-Dados'!$Y$2:$AA$13,2),"")</f>
        <v/>
      </c>
      <c r="D596" s="109">
        <f>IFERROR(GETPIVOTDATA("Valor Recebido",'Dashboard-Dados'!$J$1,$A$1,A596,$B$1,B596),0)</f>
        <v>0</v>
      </c>
      <c r="E596" s="110">
        <f>IFERROR(GETPIVOTDATA("Valor Despesa",'Dashboard-Dados'!$P$1,$A$1,A596,$B$1,B596),0)</f>
        <v>0</v>
      </c>
      <c r="F596" s="110">
        <f t="shared" si="1"/>
        <v>0</v>
      </c>
      <c r="G596" s="56">
        <f>IFERROR(GETPIVOTDATA("Exame",'Dashboard-Dados'!$J$1,$A$1,A596,$B$1,B596),0)</f>
        <v>0</v>
      </c>
      <c r="H596" s="56">
        <f t="shared" si="2"/>
        <v>596</v>
      </c>
      <c r="U596" s="56"/>
      <c r="V596" s="56"/>
      <c r="W596" s="56"/>
      <c r="Y596" s="138"/>
    </row>
    <row r="597">
      <c r="A597" s="56"/>
      <c r="B597" s="56"/>
      <c r="C597" s="108" t="str">
        <f>IFNA(VLOOKUP('Dashboard-Dados'!B597,'Dashboard-Dados'!$Y$2:$AA$13,2),"")</f>
        <v/>
      </c>
      <c r="D597" s="109">
        <f>IFERROR(GETPIVOTDATA("Valor Recebido",'Dashboard-Dados'!$J$1,$A$1,A597,$B$1,B597),0)</f>
        <v>0</v>
      </c>
      <c r="E597" s="110">
        <f>IFERROR(GETPIVOTDATA("Valor Despesa",'Dashboard-Dados'!$P$1,$A$1,A597,$B$1,B597),0)</f>
        <v>0</v>
      </c>
      <c r="F597" s="110">
        <f t="shared" si="1"/>
        <v>0</v>
      </c>
      <c r="G597" s="56">
        <f>IFERROR(GETPIVOTDATA("Exame",'Dashboard-Dados'!$J$1,$A$1,A597,$B$1,B597),0)</f>
        <v>0</v>
      </c>
      <c r="H597" s="56">
        <f t="shared" si="2"/>
        <v>597</v>
      </c>
      <c r="U597" s="56"/>
      <c r="V597" s="56"/>
      <c r="W597" s="56"/>
      <c r="Y597" s="138"/>
    </row>
    <row r="598">
      <c r="A598" s="56"/>
      <c r="B598" s="56"/>
      <c r="C598" s="108" t="str">
        <f>IFNA(VLOOKUP('Dashboard-Dados'!B598,'Dashboard-Dados'!$Y$2:$AA$13,2),"")</f>
        <v/>
      </c>
      <c r="D598" s="109">
        <f>IFERROR(GETPIVOTDATA("Valor Recebido",'Dashboard-Dados'!$J$1,$A$1,A598,$B$1,B598),0)</f>
        <v>0</v>
      </c>
      <c r="E598" s="110">
        <f>IFERROR(GETPIVOTDATA("Valor Despesa",'Dashboard-Dados'!$P$1,$A$1,A598,$B$1,B598),0)</f>
        <v>0</v>
      </c>
      <c r="F598" s="110">
        <f t="shared" si="1"/>
        <v>0</v>
      </c>
      <c r="G598" s="56">
        <f>IFERROR(GETPIVOTDATA("Exame",'Dashboard-Dados'!$J$1,$A$1,A598,$B$1,B598),0)</f>
        <v>0</v>
      </c>
      <c r="H598" s="56">
        <f t="shared" si="2"/>
        <v>598</v>
      </c>
      <c r="U598" s="56"/>
      <c r="V598" s="56"/>
      <c r="W598" s="56"/>
      <c r="Y598" s="138"/>
    </row>
    <row r="599">
      <c r="A599" s="56"/>
      <c r="B599" s="56"/>
      <c r="C599" s="108" t="str">
        <f>IFNA(VLOOKUP('Dashboard-Dados'!B599,'Dashboard-Dados'!$Y$2:$AA$13,2),"")</f>
        <v/>
      </c>
      <c r="D599" s="109">
        <f>IFERROR(GETPIVOTDATA("Valor Recebido",'Dashboard-Dados'!$J$1,$A$1,A599,$B$1,B599),0)</f>
        <v>0</v>
      </c>
      <c r="E599" s="110">
        <f>IFERROR(GETPIVOTDATA("Valor Despesa",'Dashboard-Dados'!$P$1,$A$1,A599,$B$1,B599),0)</f>
        <v>0</v>
      </c>
      <c r="F599" s="110">
        <f t="shared" si="1"/>
        <v>0</v>
      </c>
      <c r="G599" s="56">
        <f>IFERROR(GETPIVOTDATA("Exame",'Dashboard-Dados'!$J$1,$A$1,A599,$B$1,B599),0)</f>
        <v>0</v>
      </c>
      <c r="H599" s="56">
        <f t="shared" si="2"/>
        <v>599</v>
      </c>
      <c r="U599" s="56"/>
      <c r="V599" s="56"/>
      <c r="W599" s="56"/>
      <c r="Y599" s="138"/>
    </row>
    <row r="600">
      <c r="A600" s="56"/>
      <c r="B600" s="56"/>
      <c r="C600" s="108" t="str">
        <f>IFNA(VLOOKUP('Dashboard-Dados'!B600,'Dashboard-Dados'!$Y$2:$AA$13,2),"")</f>
        <v/>
      </c>
      <c r="D600" s="109">
        <f>IFERROR(GETPIVOTDATA("Valor Recebido",'Dashboard-Dados'!$J$1,$A$1,A600,$B$1,B600),0)</f>
        <v>0</v>
      </c>
      <c r="E600" s="110">
        <f>IFERROR(GETPIVOTDATA("Valor Despesa",'Dashboard-Dados'!$P$1,$A$1,A600,$B$1,B600),0)</f>
        <v>0</v>
      </c>
      <c r="F600" s="110">
        <f t="shared" si="1"/>
        <v>0</v>
      </c>
      <c r="G600" s="56">
        <f>IFERROR(GETPIVOTDATA("Exame",'Dashboard-Dados'!$J$1,$A$1,A600,$B$1,B600),0)</f>
        <v>0</v>
      </c>
      <c r="H600" s="56">
        <f t="shared" si="2"/>
        <v>600</v>
      </c>
      <c r="U600" s="56"/>
      <c r="V600" s="56"/>
      <c r="W600" s="56"/>
      <c r="Y600" s="138"/>
    </row>
    <row r="601">
      <c r="A601" s="56"/>
      <c r="B601" s="56"/>
      <c r="C601" s="108" t="str">
        <f>IFNA(VLOOKUP('Dashboard-Dados'!B601,'Dashboard-Dados'!$Y$2:$AA$13,2),"")</f>
        <v/>
      </c>
      <c r="D601" s="109">
        <f>IFERROR(GETPIVOTDATA("Valor Recebido",'Dashboard-Dados'!$J$1,$A$1,A601,$B$1,B601),0)</f>
        <v>0</v>
      </c>
      <c r="E601" s="110">
        <f>IFERROR(GETPIVOTDATA("Valor Despesa",'Dashboard-Dados'!$P$1,$A$1,A601,$B$1,B601),0)</f>
        <v>0</v>
      </c>
      <c r="F601" s="110">
        <f t="shared" si="1"/>
        <v>0</v>
      </c>
      <c r="G601" s="56">
        <f>IFERROR(GETPIVOTDATA("Exame",'Dashboard-Dados'!$J$1,$A$1,A601,$B$1,B601),0)</f>
        <v>0</v>
      </c>
      <c r="H601" s="56">
        <f t="shared" si="2"/>
        <v>601</v>
      </c>
      <c r="U601" s="56"/>
      <c r="V601" s="56"/>
      <c r="W601" s="56"/>
      <c r="Y601" s="138"/>
    </row>
    <row r="602">
      <c r="A602" s="56"/>
      <c r="B602" s="56"/>
      <c r="C602" s="108" t="str">
        <f>IFNA(VLOOKUP('Dashboard-Dados'!B602,'Dashboard-Dados'!$Y$2:$AA$13,2),"")</f>
        <v/>
      </c>
      <c r="D602" s="109">
        <f>IFERROR(GETPIVOTDATA("Valor Recebido",'Dashboard-Dados'!$J$1,$A$1,A602,$B$1,B602),0)</f>
        <v>0</v>
      </c>
      <c r="E602" s="110">
        <f>IFERROR(GETPIVOTDATA("Valor Despesa",'Dashboard-Dados'!$P$1,$A$1,A602,$B$1,B602),0)</f>
        <v>0</v>
      </c>
      <c r="F602" s="110">
        <f t="shared" si="1"/>
        <v>0</v>
      </c>
      <c r="G602" s="56">
        <f>IFERROR(GETPIVOTDATA("Exame",'Dashboard-Dados'!$J$1,$A$1,A602,$B$1,B602),0)</f>
        <v>0</v>
      </c>
      <c r="H602" s="56">
        <f t="shared" si="2"/>
        <v>602</v>
      </c>
      <c r="U602" s="56"/>
      <c r="V602" s="56"/>
      <c r="W602" s="56"/>
      <c r="Y602" s="138"/>
    </row>
    <row r="603">
      <c r="A603" s="56"/>
      <c r="B603" s="56"/>
      <c r="C603" s="108" t="str">
        <f>IFNA(VLOOKUP('Dashboard-Dados'!B603,'Dashboard-Dados'!$Y$2:$AA$13,2),"")</f>
        <v/>
      </c>
      <c r="D603" s="109">
        <f>IFERROR(GETPIVOTDATA("Valor Recebido",'Dashboard-Dados'!$J$1,$A$1,A603,$B$1,B603),0)</f>
        <v>0</v>
      </c>
      <c r="E603" s="110">
        <f>IFERROR(GETPIVOTDATA("Valor Despesa",'Dashboard-Dados'!$P$1,$A$1,A603,$B$1,B603),0)</f>
        <v>0</v>
      </c>
      <c r="F603" s="110">
        <f t="shared" si="1"/>
        <v>0</v>
      </c>
      <c r="G603" s="56">
        <f>IFERROR(GETPIVOTDATA("Exame",'Dashboard-Dados'!$J$1,$A$1,A603,$B$1,B603),0)</f>
        <v>0</v>
      </c>
      <c r="H603" s="56">
        <f t="shared" si="2"/>
        <v>603</v>
      </c>
      <c r="U603" s="56"/>
      <c r="V603" s="56"/>
      <c r="W603" s="56"/>
      <c r="Y603" s="138"/>
    </row>
    <row r="604">
      <c r="A604" s="56"/>
      <c r="B604" s="56"/>
      <c r="C604" s="108" t="str">
        <f>IFNA(VLOOKUP('Dashboard-Dados'!B604,'Dashboard-Dados'!$Y$2:$AA$13,2),"")</f>
        <v/>
      </c>
      <c r="D604" s="109">
        <f>IFERROR(GETPIVOTDATA("Valor Recebido",'Dashboard-Dados'!$J$1,$A$1,A604,$B$1,B604),0)</f>
        <v>0</v>
      </c>
      <c r="E604" s="110">
        <f>IFERROR(GETPIVOTDATA("Valor Despesa",'Dashboard-Dados'!$P$1,$A$1,A604,$B$1,B604),0)</f>
        <v>0</v>
      </c>
      <c r="F604" s="110">
        <f t="shared" si="1"/>
        <v>0</v>
      </c>
      <c r="G604" s="56">
        <f>IFERROR(GETPIVOTDATA("Exame",'Dashboard-Dados'!$J$1,$A$1,A604,$B$1,B604),0)</f>
        <v>0</v>
      </c>
      <c r="H604" s="56">
        <f t="shared" si="2"/>
        <v>604</v>
      </c>
      <c r="U604" s="56"/>
      <c r="V604" s="56"/>
      <c r="W604" s="56"/>
      <c r="Y604" s="138"/>
    </row>
    <row r="605">
      <c r="A605" s="56"/>
      <c r="B605" s="56"/>
      <c r="C605" s="108" t="str">
        <f>IFNA(VLOOKUP('Dashboard-Dados'!B605,'Dashboard-Dados'!$Y$2:$AA$13,2),"")</f>
        <v/>
      </c>
      <c r="D605" s="109">
        <f>IFERROR(GETPIVOTDATA("Valor Recebido",'Dashboard-Dados'!$J$1,$A$1,A605,$B$1,B605),0)</f>
        <v>0</v>
      </c>
      <c r="E605" s="110">
        <f>IFERROR(GETPIVOTDATA("Valor Despesa",'Dashboard-Dados'!$P$1,$A$1,A605,$B$1,B605),0)</f>
        <v>0</v>
      </c>
      <c r="F605" s="110">
        <f t="shared" si="1"/>
        <v>0</v>
      </c>
      <c r="G605" s="56">
        <f>IFERROR(GETPIVOTDATA("Exame",'Dashboard-Dados'!$J$1,$A$1,A605,$B$1,B605),0)</f>
        <v>0</v>
      </c>
      <c r="H605" s="56">
        <f t="shared" si="2"/>
        <v>605</v>
      </c>
      <c r="U605" s="56"/>
      <c r="V605" s="56"/>
      <c r="W605" s="56"/>
      <c r="Y605" s="138"/>
    </row>
    <row r="606">
      <c r="A606" s="56"/>
      <c r="B606" s="56"/>
      <c r="C606" s="108" t="str">
        <f>IFNA(VLOOKUP('Dashboard-Dados'!B606,'Dashboard-Dados'!$Y$2:$AA$13,2),"")</f>
        <v/>
      </c>
      <c r="D606" s="109">
        <f>IFERROR(GETPIVOTDATA("Valor Recebido",'Dashboard-Dados'!$J$1,$A$1,A606,$B$1,B606),0)</f>
        <v>0</v>
      </c>
      <c r="E606" s="110">
        <f>IFERROR(GETPIVOTDATA("Valor Despesa",'Dashboard-Dados'!$P$1,$A$1,A606,$B$1,B606),0)</f>
        <v>0</v>
      </c>
      <c r="F606" s="110">
        <f t="shared" si="1"/>
        <v>0</v>
      </c>
      <c r="G606" s="56">
        <f>IFERROR(GETPIVOTDATA("Exame",'Dashboard-Dados'!$J$1,$A$1,A606,$B$1,B606),0)</f>
        <v>0</v>
      </c>
      <c r="H606" s="56">
        <f t="shared" si="2"/>
        <v>606</v>
      </c>
      <c r="U606" s="56"/>
      <c r="V606" s="56"/>
      <c r="W606" s="56"/>
      <c r="Y606" s="138"/>
    </row>
    <row r="607">
      <c r="A607" s="56"/>
      <c r="B607" s="56"/>
      <c r="C607" s="108" t="str">
        <f>IFNA(VLOOKUP('Dashboard-Dados'!B607,'Dashboard-Dados'!$Y$2:$AA$13,2),"")</f>
        <v/>
      </c>
      <c r="D607" s="109">
        <f>IFERROR(GETPIVOTDATA("Valor Recebido",'Dashboard-Dados'!$J$1,$A$1,A607,$B$1,B607),0)</f>
        <v>0</v>
      </c>
      <c r="E607" s="110">
        <f>IFERROR(GETPIVOTDATA("Valor Despesa",'Dashboard-Dados'!$P$1,$A$1,A607,$B$1,B607),0)</f>
        <v>0</v>
      </c>
      <c r="F607" s="110">
        <f t="shared" si="1"/>
        <v>0</v>
      </c>
      <c r="G607" s="56">
        <f>IFERROR(GETPIVOTDATA("Exame",'Dashboard-Dados'!$J$1,$A$1,A607,$B$1,B607),0)</f>
        <v>0</v>
      </c>
      <c r="H607" s="56">
        <f t="shared" si="2"/>
        <v>607</v>
      </c>
      <c r="U607" s="56"/>
      <c r="V607" s="56"/>
      <c r="W607" s="56"/>
      <c r="Y607" s="138"/>
    </row>
    <row r="608">
      <c r="A608" s="56"/>
      <c r="B608" s="56"/>
      <c r="C608" s="108" t="str">
        <f>IFNA(VLOOKUP('Dashboard-Dados'!B608,'Dashboard-Dados'!$Y$2:$AA$13,2),"")</f>
        <v/>
      </c>
      <c r="D608" s="109">
        <f>IFERROR(GETPIVOTDATA("Valor Recebido",'Dashboard-Dados'!$J$1,$A$1,A608,$B$1,B608),0)</f>
        <v>0</v>
      </c>
      <c r="E608" s="110">
        <f>IFERROR(GETPIVOTDATA("Valor Despesa",'Dashboard-Dados'!$P$1,$A$1,A608,$B$1,B608),0)</f>
        <v>0</v>
      </c>
      <c r="F608" s="110">
        <f t="shared" si="1"/>
        <v>0</v>
      </c>
      <c r="G608" s="56">
        <f>IFERROR(GETPIVOTDATA("Exame",'Dashboard-Dados'!$J$1,$A$1,A608,$B$1,B608),0)</f>
        <v>0</v>
      </c>
      <c r="H608" s="56">
        <f t="shared" si="2"/>
        <v>608</v>
      </c>
      <c r="U608" s="56"/>
      <c r="V608" s="56"/>
      <c r="W608" s="56"/>
      <c r="Y608" s="138"/>
    </row>
    <row r="609">
      <c r="A609" s="56"/>
      <c r="B609" s="56"/>
      <c r="C609" s="108" t="str">
        <f>IFNA(VLOOKUP('Dashboard-Dados'!B609,'Dashboard-Dados'!$Y$2:$AA$13,2),"")</f>
        <v/>
      </c>
      <c r="D609" s="109">
        <f>IFERROR(GETPIVOTDATA("Valor Recebido",'Dashboard-Dados'!$J$1,$A$1,A609,$B$1,B609),0)</f>
        <v>0</v>
      </c>
      <c r="E609" s="110">
        <f>IFERROR(GETPIVOTDATA("Valor Despesa",'Dashboard-Dados'!$P$1,$A$1,A609,$B$1,B609),0)</f>
        <v>0</v>
      </c>
      <c r="F609" s="110">
        <f t="shared" si="1"/>
        <v>0</v>
      </c>
      <c r="G609" s="56">
        <f>IFERROR(GETPIVOTDATA("Exame",'Dashboard-Dados'!$J$1,$A$1,A609,$B$1,B609),0)</f>
        <v>0</v>
      </c>
      <c r="H609" s="56">
        <f t="shared" si="2"/>
        <v>609</v>
      </c>
      <c r="U609" s="56"/>
      <c r="V609" s="56"/>
      <c r="W609" s="56"/>
      <c r="Y609" s="138"/>
    </row>
    <row r="610">
      <c r="A610" s="56"/>
      <c r="B610" s="56"/>
      <c r="C610" s="108" t="str">
        <f>IFNA(VLOOKUP('Dashboard-Dados'!B610,'Dashboard-Dados'!$Y$2:$AA$13,2),"")</f>
        <v/>
      </c>
      <c r="D610" s="109">
        <f>IFERROR(GETPIVOTDATA("Valor Recebido",'Dashboard-Dados'!$J$1,$A$1,A610,$B$1,B610),0)</f>
        <v>0</v>
      </c>
      <c r="E610" s="110">
        <f>IFERROR(GETPIVOTDATA("Valor Despesa",'Dashboard-Dados'!$P$1,$A$1,A610,$B$1,B610),0)</f>
        <v>0</v>
      </c>
      <c r="F610" s="110">
        <f t="shared" si="1"/>
        <v>0</v>
      </c>
      <c r="G610" s="56">
        <f>IFERROR(GETPIVOTDATA("Exame",'Dashboard-Dados'!$J$1,$A$1,A610,$B$1,B610),0)</f>
        <v>0</v>
      </c>
      <c r="H610" s="56">
        <f t="shared" si="2"/>
        <v>610</v>
      </c>
      <c r="U610" s="56"/>
      <c r="V610" s="56"/>
      <c r="W610" s="56"/>
      <c r="Y610" s="138"/>
    </row>
    <row r="611">
      <c r="A611" s="56"/>
      <c r="B611" s="56"/>
      <c r="C611" s="108" t="str">
        <f>IFNA(VLOOKUP('Dashboard-Dados'!B611,'Dashboard-Dados'!$Y$2:$AA$13,2),"")</f>
        <v/>
      </c>
      <c r="D611" s="109">
        <f>IFERROR(GETPIVOTDATA("Valor Recebido",'Dashboard-Dados'!$J$1,$A$1,A611,$B$1,B611),0)</f>
        <v>0</v>
      </c>
      <c r="E611" s="110">
        <f>IFERROR(GETPIVOTDATA("Valor Despesa",'Dashboard-Dados'!$P$1,$A$1,A611,$B$1,B611),0)</f>
        <v>0</v>
      </c>
      <c r="F611" s="110">
        <f t="shared" si="1"/>
        <v>0</v>
      </c>
      <c r="G611" s="56">
        <f>IFERROR(GETPIVOTDATA("Exame",'Dashboard-Dados'!$J$1,$A$1,A611,$B$1,B611),0)</f>
        <v>0</v>
      </c>
      <c r="H611" s="56">
        <f t="shared" si="2"/>
        <v>611</v>
      </c>
      <c r="U611" s="56"/>
      <c r="V611" s="56"/>
      <c r="W611" s="56"/>
      <c r="Y611" s="138"/>
    </row>
    <row r="612">
      <c r="A612" s="56"/>
      <c r="B612" s="56"/>
      <c r="C612" s="108" t="str">
        <f>IFNA(VLOOKUP('Dashboard-Dados'!B612,'Dashboard-Dados'!$Y$2:$AA$13,2),"")</f>
        <v/>
      </c>
      <c r="D612" s="109">
        <f>IFERROR(GETPIVOTDATA("Valor Recebido",'Dashboard-Dados'!$J$1,$A$1,A612,$B$1,B612),0)</f>
        <v>0</v>
      </c>
      <c r="E612" s="110">
        <f>IFERROR(GETPIVOTDATA("Valor Despesa",'Dashboard-Dados'!$P$1,$A$1,A612,$B$1,B612),0)</f>
        <v>0</v>
      </c>
      <c r="F612" s="110">
        <f t="shared" si="1"/>
        <v>0</v>
      </c>
      <c r="G612" s="56">
        <f>IFERROR(GETPIVOTDATA("Exame",'Dashboard-Dados'!$J$1,$A$1,A612,$B$1,B612),0)</f>
        <v>0</v>
      </c>
      <c r="H612" s="56">
        <f t="shared" si="2"/>
        <v>612</v>
      </c>
      <c r="U612" s="56"/>
      <c r="V612" s="56"/>
      <c r="W612" s="56"/>
      <c r="Y612" s="138"/>
    </row>
    <row r="613">
      <c r="A613" s="56"/>
      <c r="B613" s="56"/>
      <c r="C613" s="108" t="str">
        <f>IFNA(VLOOKUP('Dashboard-Dados'!B613,'Dashboard-Dados'!$Y$2:$AA$13,2),"")</f>
        <v/>
      </c>
      <c r="D613" s="109">
        <f>IFERROR(GETPIVOTDATA("Valor Recebido",'Dashboard-Dados'!$J$1,$A$1,A613,$B$1,B613),0)</f>
        <v>0</v>
      </c>
      <c r="E613" s="110">
        <f>IFERROR(GETPIVOTDATA("Valor Despesa",'Dashboard-Dados'!$P$1,$A$1,A613,$B$1,B613),0)</f>
        <v>0</v>
      </c>
      <c r="F613" s="110">
        <f t="shared" si="1"/>
        <v>0</v>
      </c>
      <c r="G613" s="56">
        <f>IFERROR(GETPIVOTDATA("Exame",'Dashboard-Dados'!$J$1,$A$1,A613,$B$1,B613),0)</f>
        <v>0</v>
      </c>
      <c r="H613" s="56">
        <f t="shared" si="2"/>
        <v>613</v>
      </c>
      <c r="U613" s="56"/>
      <c r="V613" s="56"/>
      <c r="W613" s="56"/>
      <c r="Y613" s="138"/>
    </row>
    <row r="614">
      <c r="A614" s="56"/>
      <c r="B614" s="56"/>
      <c r="C614" s="108" t="str">
        <f>IFNA(VLOOKUP('Dashboard-Dados'!B614,'Dashboard-Dados'!$Y$2:$AA$13,2),"")</f>
        <v/>
      </c>
      <c r="D614" s="109">
        <f>IFERROR(GETPIVOTDATA("Valor Recebido",'Dashboard-Dados'!$J$1,$A$1,A614,$B$1,B614),0)</f>
        <v>0</v>
      </c>
      <c r="E614" s="110">
        <f>IFERROR(GETPIVOTDATA("Valor Despesa",'Dashboard-Dados'!$P$1,$A$1,A614,$B$1,B614),0)</f>
        <v>0</v>
      </c>
      <c r="F614" s="110">
        <f t="shared" si="1"/>
        <v>0</v>
      </c>
      <c r="G614" s="56">
        <f>IFERROR(GETPIVOTDATA("Exame",'Dashboard-Dados'!$J$1,$A$1,A614,$B$1,B614),0)</f>
        <v>0</v>
      </c>
      <c r="H614" s="56">
        <f t="shared" si="2"/>
        <v>614</v>
      </c>
      <c r="U614" s="56"/>
      <c r="V614" s="56"/>
      <c r="W614" s="56"/>
      <c r="Y614" s="138"/>
    </row>
    <row r="615">
      <c r="A615" s="56"/>
      <c r="B615" s="56"/>
      <c r="C615" s="108" t="str">
        <f>IFNA(VLOOKUP('Dashboard-Dados'!B615,'Dashboard-Dados'!$Y$2:$AA$13,2),"")</f>
        <v/>
      </c>
      <c r="D615" s="109">
        <f>IFERROR(GETPIVOTDATA("Valor Recebido",'Dashboard-Dados'!$J$1,$A$1,A615,$B$1,B615),0)</f>
        <v>0</v>
      </c>
      <c r="E615" s="110">
        <f>IFERROR(GETPIVOTDATA("Valor Despesa",'Dashboard-Dados'!$P$1,$A$1,A615,$B$1,B615),0)</f>
        <v>0</v>
      </c>
      <c r="F615" s="110">
        <f t="shared" si="1"/>
        <v>0</v>
      </c>
      <c r="G615" s="56">
        <f>IFERROR(GETPIVOTDATA("Exame",'Dashboard-Dados'!$J$1,$A$1,A615,$B$1,B615),0)</f>
        <v>0</v>
      </c>
      <c r="H615" s="56">
        <f t="shared" si="2"/>
        <v>615</v>
      </c>
      <c r="U615" s="56"/>
      <c r="V615" s="56"/>
      <c r="W615" s="56"/>
      <c r="Y615" s="138"/>
    </row>
    <row r="616">
      <c r="A616" s="56"/>
      <c r="B616" s="56"/>
      <c r="C616" s="108" t="str">
        <f>IFNA(VLOOKUP('Dashboard-Dados'!B616,'Dashboard-Dados'!$Y$2:$AA$13,2),"")</f>
        <v/>
      </c>
      <c r="D616" s="109">
        <f>IFERROR(GETPIVOTDATA("Valor Recebido",'Dashboard-Dados'!$J$1,$A$1,A616,$B$1,B616),0)</f>
        <v>0</v>
      </c>
      <c r="E616" s="110">
        <f>IFERROR(GETPIVOTDATA("Valor Despesa",'Dashboard-Dados'!$P$1,$A$1,A616,$B$1,B616),0)</f>
        <v>0</v>
      </c>
      <c r="F616" s="110">
        <f t="shared" si="1"/>
        <v>0</v>
      </c>
      <c r="G616" s="56">
        <f>IFERROR(GETPIVOTDATA("Exame",'Dashboard-Dados'!$J$1,$A$1,A616,$B$1,B616),0)</f>
        <v>0</v>
      </c>
      <c r="H616" s="56">
        <f t="shared" si="2"/>
        <v>616</v>
      </c>
      <c r="U616" s="56"/>
      <c r="V616" s="56"/>
      <c r="W616" s="56"/>
      <c r="Y616" s="138"/>
    </row>
    <row r="617">
      <c r="A617" s="56"/>
      <c r="B617" s="56"/>
      <c r="C617" s="108" t="str">
        <f>IFNA(VLOOKUP('Dashboard-Dados'!B617,'Dashboard-Dados'!$Y$2:$AA$13,2),"")</f>
        <v/>
      </c>
      <c r="D617" s="109">
        <f>IFERROR(GETPIVOTDATA("Valor Recebido",'Dashboard-Dados'!$J$1,$A$1,A617,$B$1,B617),0)</f>
        <v>0</v>
      </c>
      <c r="E617" s="110">
        <f>IFERROR(GETPIVOTDATA("Valor Despesa",'Dashboard-Dados'!$P$1,$A$1,A617,$B$1,B617),0)</f>
        <v>0</v>
      </c>
      <c r="F617" s="110">
        <f t="shared" si="1"/>
        <v>0</v>
      </c>
      <c r="G617" s="56">
        <f>IFERROR(GETPIVOTDATA("Exame",'Dashboard-Dados'!$J$1,$A$1,A617,$B$1,B617),0)</f>
        <v>0</v>
      </c>
      <c r="H617" s="56">
        <f t="shared" si="2"/>
        <v>617</v>
      </c>
      <c r="U617" s="56"/>
      <c r="V617" s="56"/>
      <c r="W617" s="56"/>
      <c r="Y617" s="138"/>
    </row>
    <row r="618">
      <c r="A618" s="56"/>
      <c r="B618" s="56"/>
      <c r="C618" s="108" t="str">
        <f>IFNA(VLOOKUP('Dashboard-Dados'!B618,'Dashboard-Dados'!$Y$2:$AA$13,2),"")</f>
        <v/>
      </c>
      <c r="D618" s="109">
        <f>IFERROR(GETPIVOTDATA("Valor Recebido",'Dashboard-Dados'!$J$1,$A$1,A618,$B$1,B618),0)</f>
        <v>0</v>
      </c>
      <c r="E618" s="110">
        <f>IFERROR(GETPIVOTDATA("Valor Despesa",'Dashboard-Dados'!$P$1,$A$1,A618,$B$1,B618),0)</f>
        <v>0</v>
      </c>
      <c r="F618" s="110">
        <f t="shared" si="1"/>
        <v>0</v>
      </c>
      <c r="G618" s="56">
        <f>IFERROR(GETPIVOTDATA("Exame",'Dashboard-Dados'!$J$1,$A$1,A618,$B$1,B618),0)</f>
        <v>0</v>
      </c>
      <c r="H618" s="56">
        <f t="shared" si="2"/>
        <v>618</v>
      </c>
      <c r="U618" s="56"/>
      <c r="V618" s="56"/>
      <c r="W618" s="56"/>
      <c r="Y618" s="138"/>
    </row>
    <row r="619">
      <c r="A619" s="56"/>
      <c r="B619" s="56"/>
      <c r="C619" s="108" t="str">
        <f>IFNA(VLOOKUP('Dashboard-Dados'!B619,'Dashboard-Dados'!$Y$2:$AA$13,2),"")</f>
        <v/>
      </c>
      <c r="D619" s="109">
        <f>IFERROR(GETPIVOTDATA("Valor Recebido",'Dashboard-Dados'!$J$1,$A$1,A619,$B$1,B619),0)</f>
        <v>0</v>
      </c>
      <c r="E619" s="110">
        <f>IFERROR(GETPIVOTDATA("Valor Despesa",'Dashboard-Dados'!$P$1,$A$1,A619,$B$1,B619),0)</f>
        <v>0</v>
      </c>
      <c r="F619" s="110">
        <f t="shared" si="1"/>
        <v>0</v>
      </c>
      <c r="G619" s="56">
        <f>IFERROR(GETPIVOTDATA("Exame",'Dashboard-Dados'!$J$1,$A$1,A619,$B$1,B619),0)</f>
        <v>0</v>
      </c>
      <c r="H619" s="56">
        <f t="shared" si="2"/>
        <v>619</v>
      </c>
      <c r="U619" s="56"/>
      <c r="V619" s="56"/>
      <c r="W619" s="56"/>
      <c r="Y619" s="138"/>
    </row>
    <row r="620">
      <c r="A620" s="56"/>
      <c r="B620" s="56"/>
      <c r="C620" s="108" t="str">
        <f>IFNA(VLOOKUP('Dashboard-Dados'!B620,'Dashboard-Dados'!$Y$2:$AA$13,2),"")</f>
        <v/>
      </c>
      <c r="D620" s="109">
        <f>IFERROR(GETPIVOTDATA("Valor Recebido",'Dashboard-Dados'!$J$1,$A$1,A620,$B$1,B620),0)</f>
        <v>0</v>
      </c>
      <c r="E620" s="110">
        <f>IFERROR(GETPIVOTDATA("Valor Despesa",'Dashboard-Dados'!$P$1,$A$1,A620,$B$1,B620),0)</f>
        <v>0</v>
      </c>
      <c r="F620" s="110">
        <f t="shared" si="1"/>
        <v>0</v>
      </c>
      <c r="G620" s="56">
        <f>IFERROR(GETPIVOTDATA("Exame",'Dashboard-Dados'!$J$1,$A$1,A620,$B$1,B620),0)</f>
        <v>0</v>
      </c>
      <c r="H620" s="56">
        <f t="shared" si="2"/>
        <v>620</v>
      </c>
      <c r="U620" s="56"/>
      <c r="V620" s="56"/>
      <c r="W620" s="56"/>
      <c r="Y620" s="138"/>
    </row>
    <row r="621">
      <c r="A621" s="56"/>
      <c r="B621" s="56"/>
      <c r="C621" s="108" t="str">
        <f>IFNA(VLOOKUP('Dashboard-Dados'!B621,'Dashboard-Dados'!$Y$2:$AA$13,2),"")</f>
        <v/>
      </c>
      <c r="D621" s="109">
        <f>IFERROR(GETPIVOTDATA("Valor Recebido",'Dashboard-Dados'!$J$1,$A$1,A621,$B$1,B621),0)</f>
        <v>0</v>
      </c>
      <c r="E621" s="110">
        <f>IFERROR(GETPIVOTDATA("Valor Despesa",'Dashboard-Dados'!$P$1,$A$1,A621,$B$1,B621),0)</f>
        <v>0</v>
      </c>
      <c r="F621" s="110">
        <f t="shared" si="1"/>
        <v>0</v>
      </c>
      <c r="G621" s="56">
        <f>IFERROR(GETPIVOTDATA("Exame",'Dashboard-Dados'!$J$1,$A$1,A621,$B$1,B621),0)</f>
        <v>0</v>
      </c>
      <c r="H621" s="56">
        <f t="shared" si="2"/>
        <v>621</v>
      </c>
      <c r="U621" s="56"/>
      <c r="V621" s="56"/>
      <c r="W621" s="56"/>
      <c r="Y621" s="138"/>
    </row>
    <row r="622">
      <c r="A622" s="56"/>
      <c r="B622" s="56"/>
      <c r="C622" s="108" t="str">
        <f>IFNA(VLOOKUP('Dashboard-Dados'!B622,'Dashboard-Dados'!$Y$2:$AA$13,2),"")</f>
        <v/>
      </c>
      <c r="D622" s="109">
        <f>IFERROR(GETPIVOTDATA("Valor Recebido",'Dashboard-Dados'!$J$1,$A$1,A622,$B$1,B622),0)</f>
        <v>0</v>
      </c>
      <c r="E622" s="110">
        <f>IFERROR(GETPIVOTDATA("Valor Despesa",'Dashboard-Dados'!$P$1,$A$1,A622,$B$1,B622),0)</f>
        <v>0</v>
      </c>
      <c r="F622" s="110">
        <f t="shared" si="1"/>
        <v>0</v>
      </c>
      <c r="G622" s="56">
        <f>IFERROR(GETPIVOTDATA("Exame",'Dashboard-Dados'!$J$1,$A$1,A622,$B$1,B622),0)</f>
        <v>0</v>
      </c>
      <c r="H622" s="56">
        <f t="shared" si="2"/>
        <v>622</v>
      </c>
      <c r="U622" s="56"/>
      <c r="V622" s="56"/>
      <c r="W622" s="56"/>
      <c r="Y622" s="138"/>
    </row>
    <row r="623">
      <c r="A623" s="56"/>
      <c r="B623" s="56"/>
      <c r="C623" s="108" t="str">
        <f>IFNA(VLOOKUP('Dashboard-Dados'!B623,'Dashboard-Dados'!$Y$2:$AA$13,2),"")</f>
        <v/>
      </c>
      <c r="D623" s="109">
        <f>IFERROR(GETPIVOTDATA("Valor Recebido",'Dashboard-Dados'!$J$1,$A$1,A623,$B$1,B623),0)</f>
        <v>0</v>
      </c>
      <c r="E623" s="110">
        <f>IFERROR(GETPIVOTDATA("Valor Despesa",'Dashboard-Dados'!$P$1,$A$1,A623,$B$1,B623),0)</f>
        <v>0</v>
      </c>
      <c r="F623" s="110">
        <f t="shared" si="1"/>
        <v>0</v>
      </c>
      <c r="G623" s="56">
        <f>IFERROR(GETPIVOTDATA("Exame",'Dashboard-Dados'!$J$1,$A$1,A623,$B$1,B623),0)</f>
        <v>0</v>
      </c>
      <c r="H623" s="56">
        <f t="shared" si="2"/>
        <v>623</v>
      </c>
      <c r="U623" s="56"/>
      <c r="V623" s="56"/>
      <c r="W623" s="56"/>
      <c r="Y623" s="138"/>
    </row>
    <row r="624">
      <c r="A624" s="56"/>
      <c r="B624" s="56"/>
      <c r="C624" s="108" t="str">
        <f>IFNA(VLOOKUP('Dashboard-Dados'!B624,'Dashboard-Dados'!$Y$2:$AA$13,2),"")</f>
        <v/>
      </c>
      <c r="D624" s="109">
        <f>IFERROR(GETPIVOTDATA("Valor Recebido",'Dashboard-Dados'!$J$1,$A$1,A624,$B$1,B624),0)</f>
        <v>0</v>
      </c>
      <c r="E624" s="110">
        <f>IFERROR(GETPIVOTDATA("Valor Despesa",'Dashboard-Dados'!$P$1,$A$1,A624,$B$1,B624),0)</f>
        <v>0</v>
      </c>
      <c r="F624" s="110">
        <f t="shared" si="1"/>
        <v>0</v>
      </c>
      <c r="G624" s="56">
        <f>IFERROR(GETPIVOTDATA("Exame",'Dashboard-Dados'!$J$1,$A$1,A624,$B$1,B624),0)</f>
        <v>0</v>
      </c>
      <c r="H624" s="56">
        <f t="shared" si="2"/>
        <v>624</v>
      </c>
      <c r="U624" s="56"/>
      <c r="V624" s="56"/>
      <c r="W624" s="56"/>
      <c r="Y624" s="138"/>
    </row>
    <row r="625">
      <c r="A625" s="56"/>
      <c r="B625" s="56"/>
      <c r="C625" s="108" t="str">
        <f>IFNA(VLOOKUP('Dashboard-Dados'!B625,'Dashboard-Dados'!$Y$2:$AA$13,2),"")</f>
        <v/>
      </c>
      <c r="D625" s="109">
        <f>IFERROR(GETPIVOTDATA("Valor Recebido",'Dashboard-Dados'!$J$1,$A$1,A625,$B$1,B625),0)</f>
        <v>0</v>
      </c>
      <c r="E625" s="110">
        <f>IFERROR(GETPIVOTDATA("Valor Despesa",'Dashboard-Dados'!$P$1,$A$1,A625,$B$1,B625),0)</f>
        <v>0</v>
      </c>
      <c r="F625" s="110">
        <f t="shared" si="1"/>
        <v>0</v>
      </c>
      <c r="G625" s="56">
        <f>IFERROR(GETPIVOTDATA("Exame",'Dashboard-Dados'!$J$1,$A$1,A625,$B$1,B625),0)</f>
        <v>0</v>
      </c>
      <c r="H625" s="56">
        <f t="shared" si="2"/>
        <v>625</v>
      </c>
      <c r="U625" s="56"/>
      <c r="V625" s="56"/>
      <c r="W625" s="56"/>
      <c r="Y625" s="138"/>
    </row>
    <row r="626">
      <c r="A626" s="56"/>
      <c r="B626" s="56"/>
      <c r="C626" s="108" t="str">
        <f>IFNA(VLOOKUP('Dashboard-Dados'!B626,'Dashboard-Dados'!$Y$2:$AA$13,2),"")</f>
        <v/>
      </c>
      <c r="D626" s="109">
        <f>IFERROR(GETPIVOTDATA("Valor Recebido",'Dashboard-Dados'!$J$1,$A$1,A626,$B$1,B626),0)</f>
        <v>0</v>
      </c>
      <c r="E626" s="110">
        <f>IFERROR(GETPIVOTDATA("Valor Despesa",'Dashboard-Dados'!$P$1,$A$1,A626,$B$1,B626),0)</f>
        <v>0</v>
      </c>
      <c r="F626" s="110">
        <f t="shared" si="1"/>
        <v>0</v>
      </c>
      <c r="G626" s="56">
        <f>IFERROR(GETPIVOTDATA("Exame",'Dashboard-Dados'!$J$1,$A$1,A626,$B$1,B626),0)</f>
        <v>0</v>
      </c>
      <c r="H626" s="56">
        <f t="shared" si="2"/>
        <v>626</v>
      </c>
      <c r="U626" s="56"/>
      <c r="V626" s="56"/>
      <c r="W626" s="56"/>
      <c r="Y626" s="138"/>
    </row>
    <row r="627">
      <c r="A627" s="56"/>
      <c r="B627" s="56"/>
      <c r="C627" s="108" t="str">
        <f>IFNA(VLOOKUP('Dashboard-Dados'!B627,'Dashboard-Dados'!$Y$2:$AA$13,2),"")</f>
        <v/>
      </c>
      <c r="D627" s="109">
        <f>IFERROR(GETPIVOTDATA("Valor Recebido",'Dashboard-Dados'!$J$1,$A$1,A627,$B$1,B627),0)</f>
        <v>0</v>
      </c>
      <c r="E627" s="110">
        <f>IFERROR(GETPIVOTDATA("Valor Despesa",'Dashboard-Dados'!$P$1,$A$1,A627,$B$1,B627),0)</f>
        <v>0</v>
      </c>
      <c r="F627" s="110">
        <f t="shared" si="1"/>
        <v>0</v>
      </c>
      <c r="G627" s="56">
        <f>IFERROR(GETPIVOTDATA("Exame",'Dashboard-Dados'!$J$1,$A$1,A627,$B$1,B627),0)</f>
        <v>0</v>
      </c>
      <c r="H627" s="56">
        <f t="shared" si="2"/>
        <v>627</v>
      </c>
      <c r="U627" s="56"/>
      <c r="V627" s="56"/>
      <c r="W627" s="56"/>
      <c r="Y627" s="138"/>
    </row>
    <row r="628">
      <c r="A628" s="56"/>
      <c r="B628" s="56"/>
      <c r="C628" s="108" t="str">
        <f>IFNA(VLOOKUP('Dashboard-Dados'!B628,'Dashboard-Dados'!$Y$2:$AA$13,2),"")</f>
        <v/>
      </c>
      <c r="D628" s="109">
        <f>IFERROR(GETPIVOTDATA("Valor Recebido",'Dashboard-Dados'!$J$1,$A$1,A628,$B$1,B628),0)</f>
        <v>0</v>
      </c>
      <c r="E628" s="110">
        <f>IFERROR(GETPIVOTDATA("Valor Despesa",'Dashboard-Dados'!$P$1,$A$1,A628,$B$1,B628),0)</f>
        <v>0</v>
      </c>
      <c r="F628" s="110">
        <f t="shared" si="1"/>
        <v>0</v>
      </c>
      <c r="G628" s="56">
        <f>IFERROR(GETPIVOTDATA("Exame",'Dashboard-Dados'!$J$1,$A$1,A628,$B$1,B628),0)</f>
        <v>0</v>
      </c>
      <c r="H628" s="56">
        <f t="shared" si="2"/>
        <v>628</v>
      </c>
      <c r="U628" s="56"/>
      <c r="V628" s="56"/>
      <c r="W628" s="56"/>
      <c r="Y628" s="138"/>
    </row>
    <row r="629">
      <c r="A629" s="56"/>
      <c r="B629" s="56"/>
      <c r="C629" s="108" t="str">
        <f>IFNA(VLOOKUP('Dashboard-Dados'!B629,'Dashboard-Dados'!$Y$2:$AA$13,2),"")</f>
        <v/>
      </c>
      <c r="D629" s="109">
        <f>IFERROR(GETPIVOTDATA("Valor Recebido",'Dashboard-Dados'!$J$1,$A$1,A629,$B$1,B629),0)</f>
        <v>0</v>
      </c>
      <c r="E629" s="110">
        <f>IFERROR(GETPIVOTDATA("Valor Despesa",'Dashboard-Dados'!$P$1,$A$1,A629,$B$1,B629),0)</f>
        <v>0</v>
      </c>
      <c r="F629" s="110">
        <f t="shared" si="1"/>
        <v>0</v>
      </c>
      <c r="G629" s="56">
        <f>IFERROR(GETPIVOTDATA("Exame",'Dashboard-Dados'!$J$1,$A$1,A629,$B$1,B629),0)</f>
        <v>0</v>
      </c>
      <c r="H629" s="56">
        <f t="shared" si="2"/>
        <v>629</v>
      </c>
      <c r="U629" s="56"/>
      <c r="V629" s="56"/>
      <c r="W629" s="56"/>
      <c r="Y629" s="138"/>
    </row>
    <row r="630">
      <c r="A630" s="56"/>
      <c r="B630" s="56"/>
      <c r="C630" s="108" t="str">
        <f>IFNA(VLOOKUP('Dashboard-Dados'!B630,'Dashboard-Dados'!$Y$2:$AA$13,2),"")</f>
        <v/>
      </c>
      <c r="D630" s="109">
        <f>IFERROR(GETPIVOTDATA("Valor Recebido",'Dashboard-Dados'!$J$1,$A$1,A630,$B$1,B630),0)</f>
        <v>0</v>
      </c>
      <c r="E630" s="110">
        <f>IFERROR(GETPIVOTDATA("Valor Despesa",'Dashboard-Dados'!$P$1,$A$1,A630,$B$1,B630),0)</f>
        <v>0</v>
      </c>
      <c r="F630" s="110">
        <f t="shared" si="1"/>
        <v>0</v>
      </c>
      <c r="G630" s="56">
        <f>IFERROR(GETPIVOTDATA("Exame",'Dashboard-Dados'!$J$1,$A$1,A630,$B$1,B630),0)</f>
        <v>0</v>
      </c>
      <c r="H630" s="56">
        <f t="shared" si="2"/>
        <v>630</v>
      </c>
      <c r="U630" s="56"/>
      <c r="V630" s="56"/>
      <c r="W630" s="56"/>
      <c r="Y630" s="138"/>
    </row>
    <row r="631">
      <c r="A631" s="56"/>
      <c r="B631" s="56"/>
      <c r="C631" s="108" t="str">
        <f>IFNA(VLOOKUP('Dashboard-Dados'!B631,'Dashboard-Dados'!$Y$2:$AA$13,2),"")</f>
        <v/>
      </c>
      <c r="D631" s="109">
        <f>IFERROR(GETPIVOTDATA("Valor Recebido",'Dashboard-Dados'!$J$1,$A$1,A631,$B$1,B631),0)</f>
        <v>0</v>
      </c>
      <c r="E631" s="110">
        <f>IFERROR(GETPIVOTDATA("Valor Despesa",'Dashboard-Dados'!$P$1,$A$1,A631,$B$1,B631),0)</f>
        <v>0</v>
      </c>
      <c r="F631" s="110">
        <f t="shared" si="1"/>
        <v>0</v>
      </c>
      <c r="G631" s="56">
        <f>IFERROR(GETPIVOTDATA("Exame",'Dashboard-Dados'!$J$1,$A$1,A631,$B$1,B631),0)</f>
        <v>0</v>
      </c>
      <c r="H631" s="56">
        <f t="shared" si="2"/>
        <v>631</v>
      </c>
      <c r="U631" s="56"/>
      <c r="V631" s="56"/>
      <c r="W631" s="56"/>
      <c r="Y631" s="138"/>
    </row>
    <row r="632">
      <c r="A632" s="56"/>
      <c r="B632" s="56"/>
      <c r="C632" s="108" t="str">
        <f>IFNA(VLOOKUP('Dashboard-Dados'!B632,'Dashboard-Dados'!$Y$2:$AA$13,2),"")</f>
        <v/>
      </c>
      <c r="D632" s="109">
        <f>IFERROR(GETPIVOTDATA("Valor Recebido",'Dashboard-Dados'!$J$1,$A$1,A632,$B$1,B632),0)</f>
        <v>0</v>
      </c>
      <c r="E632" s="110">
        <f>IFERROR(GETPIVOTDATA("Valor Despesa",'Dashboard-Dados'!$P$1,$A$1,A632,$B$1,B632),0)</f>
        <v>0</v>
      </c>
      <c r="F632" s="110">
        <f t="shared" si="1"/>
        <v>0</v>
      </c>
      <c r="G632" s="56">
        <f>IFERROR(GETPIVOTDATA("Exame",'Dashboard-Dados'!$J$1,$A$1,A632,$B$1,B632),0)</f>
        <v>0</v>
      </c>
      <c r="H632" s="56">
        <f t="shared" si="2"/>
        <v>632</v>
      </c>
      <c r="U632" s="56"/>
      <c r="V632" s="56"/>
      <c r="W632" s="56"/>
      <c r="Y632" s="138"/>
    </row>
    <row r="633">
      <c r="A633" s="56"/>
      <c r="B633" s="56"/>
      <c r="C633" s="108" t="str">
        <f>IFNA(VLOOKUP('Dashboard-Dados'!B633,'Dashboard-Dados'!$Y$2:$AA$13,2),"")</f>
        <v/>
      </c>
      <c r="D633" s="109">
        <f>IFERROR(GETPIVOTDATA("Valor Recebido",'Dashboard-Dados'!$J$1,$A$1,A633,$B$1,B633),0)</f>
        <v>0</v>
      </c>
      <c r="E633" s="110">
        <f>IFERROR(GETPIVOTDATA("Valor Despesa",'Dashboard-Dados'!$P$1,$A$1,A633,$B$1,B633),0)</f>
        <v>0</v>
      </c>
      <c r="F633" s="110">
        <f t="shared" si="1"/>
        <v>0</v>
      </c>
      <c r="G633" s="56">
        <f>IFERROR(GETPIVOTDATA("Exame",'Dashboard-Dados'!$J$1,$A$1,A633,$B$1,B633),0)</f>
        <v>0</v>
      </c>
      <c r="H633" s="56">
        <f t="shared" si="2"/>
        <v>633</v>
      </c>
      <c r="U633" s="56"/>
      <c r="V633" s="56"/>
      <c r="W633" s="56"/>
      <c r="Y633" s="138"/>
    </row>
    <row r="634">
      <c r="A634" s="56"/>
      <c r="B634" s="56"/>
      <c r="C634" s="108" t="str">
        <f>IFNA(VLOOKUP('Dashboard-Dados'!B634,'Dashboard-Dados'!$Y$2:$AA$13,2),"")</f>
        <v/>
      </c>
      <c r="D634" s="109">
        <f>IFERROR(GETPIVOTDATA("Valor Recebido",'Dashboard-Dados'!$J$1,$A$1,A634,$B$1,B634),0)</f>
        <v>0</v>
      </c>
      <c r="E634" s="110">
        <f>IFERROR(GETPIVOTDATA("Valor Despesa",'Dashboard-Dados'!$P$1,$A$1,A634,$B$1,B634),0)</f>
        <v>0</v>
      </c>
      <c r="F634" s="110">
        <f t="shared" si="1"/>
        <v>0</v>
      </c>
      <c r="G634" s="56">
        <f>IFERROR(GETPIVOTDATA("Exame",'Dashboard-Dados'!$J$1,$A$1,A634,$B$1,B634),0)</f>
        <v>0</v>
      </c>
      <c r="H634" s="56">
        <f t="shared" si="2"/>
        <v>634</v>
      </c>
      <c r="U634" s="56"/>
      <c r="V634" s="56"/>
      <c r="W634" s="56"/>
      <c r="Y634" s="138"/>
    </row>
    <row r="635">
      <c r="A635" s="56"/>
      <c r="B635" s="56"/>
      <c r="C635" s="108" t="str">
        <f>IFNA(VLOOKUP('Dashboard-Dados'!B635,'Dashboard-Dados'!$Y$2:$AA$13,2),"")</f>
        <v/>
      </c>
      <c r="D635" s="109">
        <f>IFERROR(GETPIVOTDATA("Valor Recebido",'Dashboard-Dados'!$J$1,$A$1,A635,$B$1,B635),0)</f>
        <v>0</v>
      </c>
      <c r="E635" s="110">
        <f>IFERROR(GETPIVOTDATA("Valor Despesa",'Dashboard-Dados'!$P$1,$A$1,A635,$B$1,B635),0)</f>
        <v>0</v>
      </c>
      <c r="F635" s="110">
        <f t="shared" si="1"/>
        <v>0</v>
      </c>
      <c r="G635" s="56">
        <f>IFERROR(GETPIVOTDATA("Exame",'Dashboard-Dados'!$J$1,$A$1,A635,$B$1,B635),0)</f>
        <v>0</v>
      </c>
      <c r="H635" s="56">
        <f t="shared" si="2"/>
        <v>635</v>
      </c>
      <c r="U635" s="56"/>
      <c r="V635" s="56"/>
      <c r="W635" s="56"/>
      <c r="Y635" s="138"/>
    </row>
    <row r="636">
      <c r="A636" s="56"/>
      <c r="B636" s="56"/>
      <c r="C636" s="108" t="str">
        <f>IFNA(VLOOKUP('Dashboard-Dados'!B636,'Dashboard-Dados'!$Y$2:$AA$13,2),"")</f>
        <v/>
      </c>
      <c r="D636" s="109">
        <f>IFERROR(GETPIVOTDATA("Valor Recebido",'Dashboard-Dados'!$J$1,$A$1,A636,$B$1,B636),0)</f>
        <v>0</v>
      </c>
      <c r="E636" s="110">
        <f>IFERROR(GETPIVOTDATA("Valor Despesa",'Dashboard-Dados'!$P$1,$A$1,A636,$B$1,B636),0)</f>
        <v>0</v>
      </c>
      <c r="F636" s="110">
        <f t="shared" si="1"/>
        <v>0</v>
      </c>
      <c r="G636" s="56">
        <f>IFERROR(GETPIVOTDATA("Exame",'Dashboard-Dados'!$J$1,$A$1,A636,$B$1,B636),0)</f>
        <v>0</v>
      </c>
      <c r="H636" s="56">
        <f t="shared" si="2"/>
        <v>636</v>
      </c>
      <c r="U636" s="56"/>
      <c r="V636" s="56"/>
      <c r="W636" s="56"/>
      <c r="Y636" s="138"/>
    </row>
    <row r="637">
      <c r="A637" s="56"/>
      <c r="B637" s="56"/>
      <c r="C637" s="108" t="str">
        <f>IFNA(VLOOKUP('Dashboard-Dados'!B637,'Dashboard-Dados'!$Y$2:$AA$13,2),"")</f>
        <v/>
      </c>
      <c r="D637" s="109">
        <f>IFERROR(GETPIVOTDATA("Valor Recebido",'Dashboard-Dados'!$J$1,$A$1,A637,$B$1,B637),0)</f>
        <v>0</v>
      </c>
      <c r="E637" s="110">
        <f>IFERROR(GETPIVOTDATA("Valor Despesa",'Dashboard-Dados'!$P$1,$A$1,A637,$B$1,B637),0)</f>
        <v>0</v>
      </c>
      <c r="F637" s="110">
        <f t="shared" si="1"/>
        <v>0</v>
      </c>
      <c r="G637" s="56">
        <f>IFERROR(GETPIVOTDATA("Exame",'Dashboard-Dados'!$J$1,$A$1,A637,$B$1,B637),0)</f>
        <v>0</v>
      </c>
      <c r="H637" s="56">
        <f t="shared" si="2"/>
        <v>637</v>
      </c>
      <c r="U637" s="56"/>
      <c r="V637" s="56"/>
      <c r="W637" s="56"/>
      <c r="Y637" s="138"/>
    </row>
    <row r="638">
      <c r="A638" s="56"/>
      <c r="B638" s="56"/>
      <c r="C638" s="108" t="str">
        <f>IFNA(VLOOKUP('Dashboard-Dados'!B638,'Dashboard-Dados'!$Y$2:$AA$13,2),"")</f>
        <v/>
      </c>
      <c r="D638" s="109">
        <f>IFERROR(GETPIVOTDATA("Valor Recebido",'Dashboard-Dados'!$J$1,$A$1,A638,$B$1,B638),0)</f>
        <v>0</v>
      </c>
      <c r="E638" s="110">
        <f>IFERROR(GETPIVOTDATA("Valor Despesa",'Dashboard-Dados'!$P$1,$A$1,A638,$B$1,B638),0)</f>
        <v>0</v>
      </c>
      <c r="F638" s="110">
        <f t="shared" si="1"/>
        <v>0</v>
      </c>
      <c r="G638" s="56">
        <f>IFERROR(GETPIVOTDATA("Exame",'Dashboard-Dados'!$J$1,$A$1,A638,$B$1,B638),0)</f>
        <v>0</v>
      </c>
      <c r="H638" s="56">
        <f t="shared" si="2"/>
        <v>638</v>
      </c>
      <c r="U638" s="56"/>
      <c r="V638" s="56"/>
      <c r="W638" s="56"/>
      <c r="Y638" s="138"/>
    </row>
    <row r="639">
      <c r="A639" s="56"/>
      <c r="B639" s="56"/>
      <c r="C639" s="108" t="str">
        <f>IFNA(VLOOKUP('Dashboard-Dados'!B639,'Dashboard-Dados'!$Y$2:$AA$13,2),"")</f>
        <v/>
      </c>
      <c r="D639" s="109">
        <f>IFERROR(GETPIVOTDATA("Valor Recebido",'Dashboard-Dados'!$J$1,$A$1,A639,$B$1,B639),0)</f>
        <v>0</v>
      </c>
      <c r="E639" s="110">
        <f>IFERROR(GETPIVOTDATA("Valor Despesa",'Dashboard-Dados'!$P$1,$A$1,A639,$B$1,B639),0)</f>
        <v>0</v>
      </c>
      <c r="F639" s="110">
        <f t="shared" si="1"/>
        <v>0</v>
      </c>
      <c r="G639" s="56">
        <f>IFERROR(GETPIVOTDATA("Exame",'Dashboard-Dados'!$J$1,$A$1,A639,$B$1,B639),0)</f>
        <v>0</v>
      </c>
      <c r="H639" s="56">
        <f t="shared" si="2"/>
        <v>639</v>
      </c>
      <c r="U639" s="56"/>
      <c r="V639" s="56"/>
      <c r="W639" s="56"/>
      <c r="Y639" s="138"/>
    </row>
    <row r="640">
      <c r="A640" s="56"/>
      <c r="B640" s="56"/>
      <c r="C640" s="108" t="str">
        <f>IFNA(VLOOKUP('Dashboard-Dados'!B640,'Dashboard-Dados'!$Y$2:$AA$13,2),"")</f>
        <v/>
      </c>
      <c r="D640" s="109">
        <f>IFERROR(GETPIVOTDATA("Valor Recebido",'Dashboard-Dados'!$J$1,$A$1,A640,$B$1,B640),0)</f>
        <v>0</v>
      </c>
      <c r="E640" s="110">
        <f>IFERROR(GETPIVOTDATA("Valor Despesa",'Dashboard-Dados'!$P$1,$A$1,A640,$B$1,B640),0)</f>
        <v>0</v>
      </c>
      <c r="F640" s="110">
        <f t="shared" si="1"/>
        <v>0</v>
      </c>
      <c r="G640" s="56">
        <f>IFERROR(GETPIVOTDATA("Exame",'Dashboard-Dados'!$J$1,$A$1,A640,$B$1,B640),0)</f>
        <v>0</v>
      </c>
      <c r="H640" s="56">
        <f t="shared" si="2"/>
        <v>640</v>
      </c>
      <c r="U640" s="56"/>
      <c r="V640" s="56"/>
      <c r="W640" s="56"/>
      <c r="Y640" s="138"/>
    </row>
    <row r="641">
      <c r="A641" s="56"/>
      <c r="B641" s="56"/>
      <c r="C641" s="108" t="str">
        <f>IFNA(VLOOKUP('Dashboard-Dados'!B641,'Dashboard-Dados'!$Y$2:$AA$13,2),"")</f>
        <v/>
      </c>
      <c r="D641" s="109">
        <f>IFERROR(GETPIVOTDATA("Valor Recebido",'Dashboard-Dados'!$J$1,$A$1,A641,$B$1,B641),0)</f>
        <v>0</v>
      </c>
      <c r="E641" s="110">
        <f>IFERROR(GETPIVOTDATA("Valor Despesa",'Dashboard-Dados'!$P$1,$A$1,A641,$B$1,B641),0)</f>
        <v>0</v>
      </c>
      <c r="F641" s="110">
        <f t="shared" si="1"/>
        <v>0</v>
      </c>
      <c r="G641" s="56">
        <f>IFERROR(GETPIVOTDATA("Exame",'Dashboard-Dados'!$J$1,$A$1,A641,$B$1,B641),0)</f>
        <v>0</v>
      </c>
      <c r="H641" s="56">
        <f t="shared" si="2"/>
        <v>641</v>
      </c>
      <c r="U641" s="56"/>
      <c r="V641" s="56"/>
      <c r="W641" s="56"/>
      <c r="Y641" s="138"/>
    </row>
    <row r="642">
      <c r="A642" s="56"/>
      <c r="B642" s="56"/>
      <c r="C642" s="108" t="str">
        <f>IFNA(VLOOKUP('Dashboard-Dados'!B642,'Dashboard-Dados'!$Y$2:$AA$13,2),"")</f>
        <v/>
      </c>
      <c r="D642" s="109">
        <f>IFERROR(GETPIVOTDATA("Valor Recebido",'Dashboard-Dados'!$J$1,$A$1,A642,$B$1,B642),0)</f>
        <v>0</v>
      </c>
      <c r="E642" s="110">
        <f>IFERROR(GETPIVOTDATA("Valor Despesa",'Dashboard-Dados'!$P$1,$A$1,A642,$B$1,B642),0)</f>
        <v>0</v>
      </c>
      <c r="F642" s="110">
        <f t="shared" si="1"/>
        <v>0</v>
      </c>
      <c r="G642" s="56">
        <f>IFERROR(GETPIVOTDATA("Exame",'Dashboard-Dados'!$J$1,$A$1,A642,$B$1,B642),0)</f>
        <v>0</v>
      </c>
      <c r="H642" s="56">
        <f t="shared" si="2"/>
        <v>642</v>
      </c>
      <c r="U642" s="56"/>
      <c r="V642" s="56"/>
      <c r="W642" s="56"/>
      <c r="Y642" s="138"/>
    </row>
    <row r="643">
      <c r="A643" s="56"/>
      <c r="B643" s="56"/>
      <c r="C643" s="108" t="str">
        <f>IFNA(VLOOKUP('Dashboard-Dados'!B643,'Dashboard-Dados'!$Y$2:$AA$13,2),"")</f>
        <v/>
      </c>
      <c r="D643" s="109">
        <f>IFERROR(GETPIVOTDATA("Valor Recebido",'Dashboard-Dados'!$J$1,$A$1,A643,$B$1,B643),0)</f>
        <v>0</v>
      </c>
      <c r="E643" s="110">
        <f>IFERROR(GETPIVOTDATA("Valor Despesa",'Dashboard-Dados'!$P$1,$A$1,A643,$B$1,B643),0)</f>
        <v>0</v>
      </c>
      <c r="F643" s="110">
        <f t="shared" si="1"/>
        <v>0</v>
      </c>
      <c r="G643" s="56">
        <f>IFERROR(GETPIVOTDATA("Exame",'Dashboard-Dados'!$J$1,$A$1,A643,$B$1,B643),0)</f>
        <v>0</v>
      </c>
      <c r="H643" s="56">
        <f t="shared" si="2"/>
        <v>643</v>
      </c>
      <c r="U643" s="56"/>
      <c r="V643" s="56"/>
      <c r="W643" s="56"/>
      <c r="Y643" s="138"/>
    </row>
    <row r="644">
      <c r="A644" s="56"/>
      <c r="B644" s="56"/>
      <c r="C644" s="108" t="str">
        <f>IFNA(VLOOKUP('Dashboard-Dados'!B644,'Dashboard-Dados'!$Y$2:$AA$13,2),"")</f>
        <v/>
      </c>
      <c r="D644" s="109">
        <f>IFERROR(GETPIVOTDATA("Valor Recebido",'Dashboard-Dados'!$J$1,$A$1,A644,$B$1,B644),0)</f>
        <v>0</v>
      </c>
      <c r="E644" s="110">
        <f>IFERROR(GETPIVOTDATA("Valor Despesa",'Dashboard-Dados'!$P$1,$A$1,A644,$B$1,B644),0)</f>
        <v>0</v>
      </c>
      <c r="F644" s="110">
        <f t="shared" si="1"/>
        <v>0</v>
      </c>
      <c r="G644" s="56">
        <f>IFERROR(GETPIVOTDATA("Exame",'Dashboard-Dados'!$J$1,$A$1,A644,$B$1,B644),0)</f>
        <v>0</v>
      </c>
      <c r="H644" s="56">
        <f t="shared" si="2"/>
        <v>644</v>
      </c>
      <c r="U644" s="56"/>
      <c r="V644" s="56"/>
      <c r="W644" s="56"/>
      <c r="Y644" s="138"/>
    </row>
    <row r="645">
      <c r="A645" s="56"/>
      <c r="B645" s="56"/>
      <c r="C645" s="108" t="str">
        <f>IFNA(VLOOKUP('Dashboard-Dados'!B645,'Dashboard-Dados'!$Y$2:$AA$13,2),"")</f>
        <v/>
      </c>
      <c r="D645" s="109">
        <f>IFERROR(GETPIVOTDATA("Valor Recebido",'Dashboard-Dados'!$J$1,$A$1,A645,$B$1,B645),0)</f>
        <v>0</v>
      </c>
      <c r="E645" s="110">
        <f>IFERROR(GETPIVOTDATA("Valor Despesa",'Dashboard-Dados'!$P$1,$A$1,A645,$B$1,B645),0)</f>
        <v>0</v>
      </c>
      <c r="F645" s="110">
        <f t="shared" si="1"/>
        <v>0</v>
      </c>
      <c r="G645" s="56">
        <f>IFERROR(GETPIVOTDATA("Exame",'Dashboard-Dados'!$J$1,$A$1,A645,$B$1,B645),0)</f>
        <v>0</v>
      </c>
      <c r="H645" s="56">
        <f t="shared" si="2"/>
        <v>645</v>
      </c>
      <c r="U645" s="56"/>
      <c r="V645" s="56"/>
      <c r="W645" s="56"/>
      <c r="Y645" s="138"/>
    </row>
    <row r="646">
      <c r="A646" s="56"/>
      <c r="B646" s="56"/>
      <c r="C646" s="108" t="str">
        <f>IFNA(VLOOKUP('Dashboard-Dados'!B646,'Dashboard-Dados'!$Y$2:$AA$13,2),"")</f>
        <v/>
      </c>
      <c r="D646" s="109">
        <f>IFERROR(GETPIVOTDATA("Valor Recebido",'Dashboard-Dados'!$J$1,$A$1,A646,$B$1,B646),0)</f>
        <v>0</v>
      </c>
      <c r="E646" s="110">
        <f>IFERROR(GETPIVOTDATA("Valor Despesa",'Dashboard-Dados'!$P$1,$A$1,A646,$B$1,B646),0)</f>
        <v>0</v>
      </c>
      <c r="F646" s="110">
        <f t="shared" si="1"/>
        <v>0</v>
      </c>
      <c r="G646" s="56">
        <f>IFERROR(GETPIVOTDATA("Exame",'Dashboard-Dados'!$J$1,$A$1,A646,$B$1,B646),0)</f>
        <v>0</v>
      </c>
      <c r="H646" s="56">
        <f t="shared" si="2"/>
        <v>646</v>
      </c>
      <c r="U646" s="56"/>
      <c r="V646" s="56"/>
      <c r="W646" s="56"/>
      <c r="Y646" s="138"/>
    </row>
    <row r="647">
      <c r="A647" s="56"/>
      <c r="B647" s="56"/>
      <c r="C647" s="108" t="str">
        <f>IFNA(VLOOKUP('Dashboard-Dados'!B647,'Dashboard-Dados'!$Y$2:$AA$13,2),"")</f>
        <v/>
      </c>
      <c r="D647" s="109">
        <f>IFERROR(GETPIVOTDATA("Valor Recebido",'Dashboard-Dados'!$J$1,$A$1,A647,$B$1,B647),0)</f>
        <v>0</v>
      </c>
      <c r="E647" s="110">
        <f>IFERROR(GETPIVOTDATA("Valor Despesa",'Dashboard-Dados'!$P$1,$A$1,A647,$B$1,B647),0)</f>
        <v>0</v>
      </c>
      <c r="F647" s="110">
        <f t="shared" si="1"/>
        <v>0</v>
      </c>
      <c r="G647" s="56">
        <f>IFERROR(GETPIVOTDATA("Exame",'Dashboard-Dados'!$J$1,$A$1,A647,$B$1,B647),0)</f>
        <v>0</v>
      </c>
      <c r="H647" s="56">
        <f t="shared" si="2"/>
        <v>647</v>
      </c>
      <c r="U647" s="56"/>
      <c r="V647" s="56"/>
      <c r="W647" s="56"/>
      <c r="Y647" s="138"/>
    </row>
    <row r="648">
      <c r="A648" s="56"/>
      <c r="B648" s="56"/>
      <c r="C648" s="108" t="str">
        <f>IFNA(VLOOKUP('Dashboard-Dados'!B648,'Dashboard-Dados'!$Y$2:$AA$13,2),"")</f>
        <v/>
      </c>
      <c r="D648" s="109">
        <f>IFERROR(GETPIVOTDATA("Valor Recebido",'Dashboard-Dados'!$J$1,$A$1,A648,$B$1,B648),0)</f>
        <v>0</v>
      </c>
      <c r="E648" s="110">
        <f>IFERROR(GETPIVOTDATA("Valor Despesa",'Dashboard-Dados'!$P$1,$A$1,A648,$B$1,B648),0)</f>
        <v>0</v>
      </c>
      <c r="F648" s="110">
        <f t="shared" si="1"/>
        <v>0</v>
      </c>
      <c r="G648" s="56">
        <f>IFERROR(GETPIVOTDATA("Exame",'Dashboard-Dados'!$J$1,$A$1,A648,$B$1,B648),0)</f>
        <v>0</v>
      </c>
      <c r="H648" s="56">
        <f t="shared" si="2"/>
        <v>648</v>
      </c>
      <c r="U648" s="56"/>
      <c r="V648" s="56"/>
      <c r="W648" s="56"/>
      <c r="Y648" s="138"/>
    </row>
    <row r="649">
      <c r="A649" s="56"/>
      <c r="B649" s="56"/>
      <c r="C649" s="108" t="str">
        <f>IFNA(VLOOKUP('Dashboard-Dados'!B649,'Dashboard-Dados'!$Y$2:$AA$13,2),"")</f>
        <v/>
      </c>
      <c r="D649" s="109">
        <f>IFERROR(GETPIVOTDATA("Valor Recebido",'Dashboard-Dados'!$J$1,$A$1,A649,$B$1,B649),0)</f>
        <v>0</v>
      </c>
      <c r="E649" s="110">
        <f>IFERROR(GETPIVOTDATA("Valor Despesa",'Dashboard-Dados'!$P$1,$A$1,A649,$B$1,B649),0)</f>
        <v>0</v>
      </c>
      <c r="F649" s="110">
        <f t="shared" si="1"/>
        <v>0</v>
      </c>
      <c r="G649" s="56">
        <f>IFERROR(GETPIVOTDATA("Exame",'Dashboard-Dados'!$J$1,$A$1,A649,$B$1,B649),0)</f>
        <v>0</v>
      </c>
      <c r="H649" s="56">
        <f t="shared" si="2"/>
        <v>649</v>
      </c>
      <c r="U649" s="56"/>
      <c r="V649" s="56"/>
      <c r="W649" s="56"/>
      <c r="Y649" s="138"/>
    </row>
    <row r="650">
      <c r="A650" s="56"/>
      <c r="B650" s="56"/>
      <c r="C650" s="108" t="str">
        <f>IFNA(VLOOKUP('Dashboard-Dados'!B650,'Dashboard-Dados'!$Y$2:$AA$13,2),"")</f>
        <v/>
      </c>
      <c r="D650" s="109">
        <f>IFERROR(GETPIVOTDATA("Valor Recebido",'Dashboard-Dados'!$J$1,$A$1,A650,$B$1,B650),0)</f>
        <v>0</v>
      </c>
      <c r="E650" s="110">
        <f>IFERROR(GETPIVOTDATA("Valor Despesa",'Dashboard-Dados'!$P$1,$A$1,A650,$B$1,B650),0)</f>
        <v>0</v>
      </c>
      <c r="F650" s="110">
        <f t="shared" si="1"/>
        <v>0</v>
      </c>
      <c r="G650" s="56">
        <f>IFERROR(GETPIVOTDATA("Exame",'Dashboard-Dados'!$J$1,$A$1,A650,$B$1,B650),0)</f>
        <v>0</v>
      </c>
      <c r="H650" s="56">
        <f t="shared" si="2"/>
        <v>650</v>
      </c>
      <c r="U650" s="56"/>
      <c r="V650" s="56"/>
      <c r="W650" s="56"/>
      <c r="Y650" s="138"/>
    </row>
    <row r="651">
      <c r="A651" s="56"/>
      <c r="B651" s="56"/>
      <c r="C651" s="108" t="str">
        <f>IFNA(VLOOKUP('Dashboard-Dados'!B651,'Dashboard-Dados'!$Y$2:$AA$13,2),"")</f>
        <v/>
      </c>
      <c r="D651" s="109">
        <f>IFERROR(GETPIVOTDATA("Valor Recebido",'Dashboard-Dados'!$J$1,$A$1,A651,$B$1,B651),0)</f>
        <v>0</v>
      </c>
      <c r="E651" s="110">
        <f>IFERROR(GETPIVOTDATA("Valor Despesa",'Dashboard-Dados'!$P$1,$A$1,A651,$B$1,B651),0)</f>
        <v>0</v>
      </c>
      <c r="F651" s="110">
        <f t="shared" si="1"/>
        <v>0</v>
      </c>
      <c r="G651" s="56">
        <f>IFERROR(GETPIVOTDATA("Exame",'Dashboard-Dados'!$J$1,$A$1,A651,$B$1,B651),0)</f>
        <v>0</v>
      </c>
      <c r="H651" s="56">
        <f t="shared" si="2"/>
        <v>651</v>
      </c>
      <c r="U651" s="56"/>
      <c r="V651" s="56"/>
      <c r="W651" s="56"/>
      <c r="Y651" s="138"/>
    </row>
    <row r="652">
      <c r="A652" s="56"/>
      <c r="B652" s="56"/>
      <c r="C652" s="108" t="str">
        <f>IFNA(VLOOKUP('Dashboard-Dados'!B652,'Dashboard-Dados'!$Y$2:$AA$13,2),"")</f>
        <v/>
      </c>
      <c r="D652" s="109">
        <f>IFERROR(GETPIVOTDATA("Valor Recebido",'Dashboard-Dados'!$J$1,$A$1,A652,$B$1,B652),0)</f>
        <v>0</v>
      </c>
      <c r="E652" s="110">
        <f>IFERROR(GETPIVOTDATA("Valor Despesa",'Dashboard-Dados'!$P$1,$A$1,A652,$B$1,B652),0)</f>
        <v>0</v>
      </c>
      <c r="F652" s="110">
        <f t="shared" si="1"/>
        <v>0</v>
      </c>
      <c r="G652" s="56">
        <f>IFERROR(GETPIVOTDATA("Exame",'Dashboard-Dados'!$J$1,$A$1,A652,$B$1,B652),0)</f>
        <v>0</v>
      </c>
      <c r="H652" s="56">
        <f t="shared" si="2"/>
        <v>652</v>
      </c>
      <c r="U652" s="56"/>
      <c r="V652" s="56"/>
      <c r="W652" s="56"/>
      <c r="Y652" s="138"/>
    </row>
    <row r="653">
      <c r="A653" s="56"/>
      <c r="B653" s="56"/>
      <c r="C653" s="108" t="str">
        <f>IFNA(VLOOKUP('Dashboard-Dados'!B653,'Dashboard-Dados'!$Y$2:$AA$13,2),"")</f>
        <v/>
      </c>
      <c r="D653" s="109">
        <f>IFERROR(GETPIVOTDATA("Valor Recebido",'Dashboard-Dados'!$J$1,$A$1,A653,$B$1,B653),0)</f>
        <v>0</v>
      </c>
      <c r="E653" s="110">
        <f>IFERROR(GETPIVOTDATA("Valor Despesa",'Dashboard-Dados'!$P$1,$A$1,A653,$B$1,B653),0)</f>
        <v>0</v>
      </c>
      <c r="F653" s="110">
        <f t="shared" si="1"/>
        <v>0</v>
      </c>
      <c r="G653" s="56">
        <f>IFERROR(GETPIVOTDATA("Exame",'Dashboard-Dados'!$J$1,$A$1,A653,$B$1,B653),0)</f>
        <v>0</v>
      </c>
      <c r="H653" s="56">
        <f t="shared" si="2"/>
        <v>653</v>
      </c>
      <c r="U653" s="56"/>
      <c r="V653" s="56"/>
      <c r="W653" s="56"/>
      <c r="Y653" s="138"/>
    </row>
    <row r="654">
      <c r="A654" s="56"/>
      <c r="B654" s="56"/>
      <c r="C654" s="108" t="str">
        <f>IFNA(VLOOKUP('Dashboard-Dados'!B654,'Dashboard-Dados'!$Y$2:$AA$13,2),"")</f>
        <v/>
      </c>
      <c r="D654" s="109">
        <f>IFERROR(GETPIVOTDATA("Valor Recebido",'Dashboard-Dados'!$J$1,$A$1,A654,$B$1,B654),0)</f>
        <v>0</v>
      </c>
      <c r="E654" s="110">
        <f>IFERROR(GETPIVOTDATA("Valor Despesa",'Dashboard-Dados'!$P$1,$A$1,A654,$B$1,B654),0)</f>
        <v>0</v>
      </c>
      <c r="F654" s="110">
        <f t="shared" si="1"/>
        <v>0</v>
      </c>
      <c r="G654" s="56">
        <f>IFERROR(GETPIVOTDATA("Exame",'Dashboard-Dados'!$J$1,$A$1,A654,$B$1,B654),0)</f>
        <v>0</v>
      </c>
      <c r="H654" s="56">
        <f t="shared" si="2"/>
        <v>654</v>
      </c>
      <c r="U654" s="56"/>
      <c r="V654" s="56"/>
      <c r="W654" s="56"/>
      <c r="Y654" s="138"/>
    </row>
    <row r="655">
      <c r="A655" s="56"/>
      <c r="B655" s="56"/>
      <c r="C655" s="108" t="str">
        <f>IFNA(VLOOKUP('Dashboard-Dados'!B655,'Dashboard-Dados'!$Y$2:$AA$13,2),"")</f>
        <v/>
      </c>
      <c r="D655" s="109">
        <f>IFERROR(GETPIVOTDATA("Valor Recebido",'Dashboard-Dados'!$J$1,$A$1,A655,$B$1,B655),0)</f>
        <v>0</v>
      </c>
      <c r="E655" s="110">
        <f>IFERROR(GETPIVOTDATA("Valor Despesa",'Dashboard-Dados'!$P$1,$A$1,A655,$B$1,B655),0)</f>
        <v>0</v>
      </c>
      <c r="F655" s="110">
        <f t="shared" si="1"/>
        <v>0</v>
      </c>
      <c r="G655" s="56">
        <f>IFERROR(GETPIVOTDATA("Exame",'Dashboard-Dados'!$J$1,$A$1,A655,$B$1,B655),0)</f>
        <v>0</v>
      </c>
      <c r="H655" s="56">
        <f t="shared" si="2"/>
        <v>655</v>
      </c>
      <c r="U655" s="56"/>
      <c r="V655" s="56"/>
      <c r="W655" s="56"/>
      <c r="Y655" s="138"/>
    </row>
    <row r="656">
      <c r="A656" s="56"/>
      <c r="B656" s="56"/>
      <c r="C656" s="108" t="str">
        <f>IFNA(VLOOKUP('Dashboard-Dados'!B656,'Dashboard-Dados'!$Y$2:$AA$13,2),"")</f>
        <v/>
      </c>
      <c r="D656" s="109">
        <f>IFERROR(GETPIVOTDATA("Valor Recebido",'Dashboard-Dados'!$J$1,$A$1,A656,$B$1,B656),0)</f>
        <v>0</v>
      </c>
      <c r="E656" s="110">
        <f>IFERROR(GETPIVOTDATA("Valor Despesa",'Dashboard-Dados'!$P$1,$A$1,A656,$B$1,B656),0)</f>
        <v>0</v>
      </c>
      <c r="F656" s="110">
        <f t="shared" si="1"/>
        <v>0</v>
      </c>
      <c r="G656" s="56">
        <f>IFERROR(GETPIVOTDATA("Exame",'Dashboard-Dados'!$J$1,$A$1,A656,$B$1,B656),0)</f>
        <v>0</v>
      </c>
      <c r="H656" s="56">
        <f t="shared" si="2"/>
        <v>656</v>
      </c>
      <c r="U656" s="56"/>
      <c r="V656" s="56"/>
      <c r="W656" s="56"/>
      <c r="Y656" s="138"/>
    </row>
    <row r="657">
      <c r="A657" s="56"/>
      <c r="B657" s="56"/>
      <c r="C657" s="108" t="str">
        <f>IFNA(VLOOKUP('Dashboard-Dados'!B657,'Dashboard-Dados'!$Y$2:$AA$13,2),"")</f>
        <v/>
      </c>
      <c r="D657" s="109">
        <f>IFERROR(GETPIVOTDATA("Valor Recebido",'Dashboard-Dados'!$J$1,$A$1,A657,$B$1,B657),0)</f>
        <v>0</v>
      </c>
      <c r="E657" s="110">
        <f>IFERROR(GETPIVOTDATA("Valor Despesa",'Dashboard-Dados'!$P$1,$A$1,A657,$B$1,B657),0)</f>
        <v>0</v>
      </c>
      <c r="F657" s="110">
        <f t="shared" si="1"/>
        <v>0</v>
      </c>
      <c r="G657" s="56">
        <f>IFERROR(GETPIVOTDATA("Exame",'Dashboard-Dados'!$J$1,$A$1,A657,$B$1,B657),0)</f>
        <v>0</v>
      </c>
      <c r="H657" s="56">
        <f t="shared" si="2"/>
        <v>657</v>
      </c>
      <c r="U657" s="56"/>
      <c r="V657" s="56"/>
      <c r="W657" s="56"/>
      <c r="Y657" s="138"/>
    </row>
    <row r="658">
      <c r="A658" s="56"/>
      <c r="B658" s="56"/>
      <c r="C658" s="108" t="str">
        <f>IFNA(VLOOKUP('Dashboard-Dados'!B658,'Dashboard-Dados'!$Y$2:$AA$13,2),"")</f>
        <v/>
      </c>
      <c r="D658" s="109">
        <f>IFERROR(GETPIVOTDATA("Valor Recebido",'Dashboard-Dados'!$J$1,$A$1,A658,$B$1,B658),0)</f>
        <v>0</v>
      </c>
      <c r="E658" s="110">
        <f>IFERROR(GETPIVOTDATA("Valor Despesa",'Dashboard-Dados'!$P$1,$A$1,A658,$B$1,B658),0)</f>
        <v>0</v>
      </c>
      <c r="F658" s="110">
        <f t="shared" si="1"/>
        <v>0</v>
      </c>
      <c r="G658" s="56">
        <f>IFERROR(GETPIVOTDATA("Exame",'Dashboard-Dados'!$J$1,$A$1,A658,$B$1,B658),0)</f>
        <v>0</v>
      </c>
      <c r="H658" s="56">
        <f t="shared" si="2"/>
        <v>658</v>
      </c>
      <c r="U658" s="56"/>
      <c r="V658" s="56"/>
      <c r="W658" s="56"/>
      <c r="Y658" s="138"/>
    </row>
    <row r="659">
      <c r="A659" s="56"/>
      <c r="B659" s="56"/>
      <c r="C659" s="108" t="str">
        <f>IFNA(VLOOKUP('Dashboard-Dados'!B659,'Dashboard-Dados'!$Y$2:$AA$13,2),"")</f>
        <v/>
      </c>
      <c r="D659" s="109">
        <f>IFERROR(GETPIVOTDATA("Valor Recebido",'Dashboard-Dados'!$J$1,$A$1,A659,$B$1,B659),0)</f>
        <v>0</v>
      </c>
      <c r="E659" s="110">
        <f>IFERROR(GETPIVOTDATA("Valor Despesa",'Dashboard-Dados'!$P$1,$A$1,A659,$B$1,B659),0)</f>
        <v>0</v>
      </c>
      <c r="F659" s="110">
        <f t="shared" si="1"/>
        <v>0</v>
      </c>
      <c r="G659" s="56">
        <f>IFERROR(GETPIVOTDATA("Exame",'Dashboard-Dados'!$J$1,$A$1,A659,$B$1,B659),0)</f>
        <v>0</v>
      </c>
      <c r="H659" s="56">
        <f t="shared" si="2"/>
        <v>659</v>
      </c>
      <c r="U659" s="56"/>
      <c r="V659" s="56"/>
      <c r="W659" s="56"/>
      <c r="Y659" s="138"/>
    </row>
    <row r="660">
      <c r="A660" s="56"/>
      <c r="B660" s="56"/>
      <c r="C660" s="108" t="str">
        <f>IFNA(VLOOKUP('Dashboard-Dados'!B660,'Dashboard-Dados'!$Y$2:$AA$13,2),"")</f>
        <v/>
      </c>
      <c r="D660" s="109">
        <f>IFERROR(GETPIVOTDATA("Valor Recebido",'Dashboard-Dados'!$J$1,$A$1,A660,$B$1,B660),0)</f>
        <v>0</v>
      </c>
      <c r="E660" s="110">
        <f>IFERROR(GETPIVOTDATA("Valor Despesa",'Dashboard-Dados'!$P$1,$A$1,A660,$B$1,B660),0)</f>
        <v>0</v>
      </c>
      <c r="F660" s="110">
        <f t="shared" si="1"/>
        <v>0</v>
      </c>
      <c r="G660" s="56">
        <f>IFERROR(GETPIVOTDATA("Exame",'Dashboard-Dados'!$J$1,$A$1,A660,$B$1,B660),0)</f>
        <v>0</v>
      </c>
      <c r="H660" s="56">
        <f t="shared" si="2"/>
        <v>660</v>
      </c>
      <c r="U660" s="56"/>
      <c r="V660" s="56"/>
      <c r="W660" s="56"/>
      <c r="Y660" s="138"/>
    </row>
    <row r="661">
      <c r="A661" s="56"/>
      <c r="B661" s="56"/>
      <c r="C661" s="108" t="str">
        <f>IFNA(VLOOKUP('Dashboard-Dados'!B661,'Dashboard-Dados'!$Y$2:$AA$13,2),"")</f>
        <v/>
      </c>
      <c r="D661" s="109">
        <f>IFERROR(GETPIVOTDATA("Valor Recebido",'Dashboard-Dados'!$J$1,$A$1,A661,$B$1,B661),0)</f>
        <v>0</v>
      </c>
      <c r="E661" s="110">
        <f>IFERROR(GETPIVOTDATA("Valor Despesa",'Dashboard-Dados'!$P$1,$A$1,A661,$B$1,B661),0)</f>
        <v>0</v>
      </c>
      <c r="F661" s="110">
        <f t="shared" si="1"/>
        <v>0</v>
      </c>
      <c r="G661" s="56">
        <f>IFERROR(GETPIVOTDATA("Exame",'Dashboard-Dados'!$J$1,$A$1,A661,$B$1,B661),0)</f>
        <v>0</v>
      </c>
      <c r="H661" s="56">
        <f t="shared" si="2"/>
        <v>661</v>
      </c>
      <c r="U661" s="56"/>
      <c r="V661" s="56"/>
      <c r="W661" s="56"/>
      <c r="Y661" s="138"/>
    </row>
    <row r="662">
      <c r="A662" s="56"/>
      <c r="B662" s="56"/>
      <c r="C662" s="108" t="str">
        <f>IFNA(VLOOKUP('Dashboard-Dados'!B662,'Dashboard-Dados'!$Y$2:$AA$13,2),"")</f>
        <v/>
      </c>
      <c r="D662" s="109">
        <f>IFERROR(GETPIVOTDATA("Valor Recebido",'Dashboard-Dados'!$J$1,$A$1,A662,$B$1,B662),0)</f>
        <v>0</v>
      </c>
      <c r="E662" s="110">
        <f>IFERROR(GETPIVOTDATA("Valor Despesa",'Dashboard-Dados'!$P$1,$A$1,A662,$B$1,B662),0)</f>
        <v>0</v>
      </c>
      <c r="F662" s="110">
        <f t="shared" si="1"/>
        <v>0</v>
      </c>
      <c r="G662" s="56">
        <f>IFERROR(GETPIVOTDATA("Exame",'Dashboard-Dados'!$J$1,$A$1,A662,$B$1,B662),0)</f>
        <v>0</v>
      </c>
      <c r="H662" s="56">
        <f t="shared" si="2"/>
        <v>662</v>
      </c>
      <c r="U662" s="56"/>
      <c r="V662" s="56"/>
      <c r="W662" s="56"/>
      <c r="Y662" s="138"/>
    </row>
    <row r="663">
      <c r="A663" s="56"/>
      <c r="B663" s="56"/>
      <c r="C663" s="108" t="str">
        <f>IFNA(VLOOKUP('Dashboard-Dados'!B663,'Dashboard-Dados'!$Y$2:$AA$13,2),"")</f>
        <v/>
      </c>
      <c r="D663" s="109">
        <f>IFERROR(GETPIVOTDATA("Valor Recebido",'Dashboard-Dados'!$J$1,$A$1,A663,$B$1,B663),0)</f>
        <v>0</v>
      </c>
      <c r="E663" s="110">
        <f>IFERROR(GETPIVOTDATA("Valor Despesa",'Dashboard-Dados'!$P$1,$A$1,A663,$B$1,B663),0)</f>
        <v>0</v>
      </c>
      <c r="F663" s="110">
        <f t="shared" si="1"/>
        <v>0</v>
      </c>
      <c r="G663" s="56">
        <f>IFERROR(GETPIVOTDATA("Exame",'Dashboard-Dados'!$J$1,$A$1,A663,$B$1,B663),0)</f>
        <v>0</v>
      </c>
      <c r="H663" s="56">
        <f t="shared" si="2"/>
        <v>663</v>
      </c>
      <c r="U663" s="56"/>
      <c r="V663" s="56"/>
      <c r="W663" s="56"/>
      <c r="Y663" s="138"/>
    </row>
    <row r="664">
      <c r="A664" s="56"/>
      <c r="B664" s="56"/>
      <c r="C664" s="108" t="str">
        <f>IFNA(VLOOKUP('Dashboard-Dados'!B664,'Dashboard-Dados'!$Y$2:$AA$13,2),"")</f>
        <v/>
      </c>
      <c r="D664" s="109">
        <f>IFERROR(GETPIVOTDATA("Valor Recebido",'Dashboard-Dados'!$J$1,$A$1,A664,$B$1,B664),0)</f>
        <v>0</v>
      </c>
      <c r="E664" s="110">
        <f>IFERROR(GETPIVOTDATA("Valor Despesa",'Dashboard-Dados'!$P$1,$A$1,A664,$B$1,B664),0)</f>
        <v>0</v>
      </c>
      <c r="F664" s="110">
        <f t="shared" si="1"/>
        <v>0</v>
      </c>
      <c r="G664" s="56">
        <f>IFERROR(GETPIVOTDATA("Exame",'Dashboard-Dados'!$J$1,$A$1,A664,$B$1,B664),0)</f>
        <v>0</v>
      </c>
      <c r="H664" s="56">
        <f t="shared" si="2"/>
        <v>664</v>
      </c>
      <c r="U664" s="56"/>
      <c r="V664" s="56"/>
      <c r="W664" s="56"/>
      <c r="Y664" s="138"/>
    </row>
    <row r="665">
      <c r="A665" s="56"/>
      <c r="B665" s="56"/>
      <c r="C665" s="108" t="str">
        <f>IFNA(VLOOKUP('Dashboard-Dados'!B665,'Dashboard-Dados'!$Y$2:$AA$13,2),"")</f>
        <v/>
      </c>
      <c r="D665" s="109">
        <f>IFERROR(GETPIVOTDATA("Valor Recebido",'Dashboard-Dados'!$J$1,$A$1,A665,$B$1,B665),0)</f>
        <v>0</v>
      </c>
      <c r="E665" s="110">
        <f>IFERROR(GETPIVOTDATA("Valor Despesa",'Dashboard-Dados'!$P$1,$A$1,A665,$B$1,B665),0)</f>
        <v>0</v>
      </c>
      <c r="F665" s="110">
        <f t="shared" si="1"/>
        <v>0</v>
      </c>
      <c r="G665" s="56">
        <f>IFERROR(GETPIVOTDATA("Exame",'Dashboard-Dados'!$J$1,$A$1,A665,$B$1,B665),0)</f>
        <v>0</v>
      </c>
      <c r="H665" s="56">
        <f t="shared" si="2"/>
        <v>665</v>
      </c>
      <c r="U665" s="56"/>
      <c r="V665" s="56"/>
      <c r="W665" s="56"/>
      <c r="Y665" s="138"/>
    </row>
    <row r="666">
      <c r="A666" s="56"/>
      <c r="B666" s="56"/>
      <c r="C666" s="108" t="str">
        <f>IFNA(VLOOKUP('Dashboard-Dados'!B666,'Dashboard-Dados'!$Y$2:$AA$13,2),"")</f>
        <v/>
      </c>
      <c r="D666" s="109">
        <f>IFERROR(GETPIVOTDATA("Valor Recebido",'Dashboard-Dados'!$J$1,$A$1,A666,$B$1,B666),0)</f>
        <v>0</v>
      </c>
      <c r="E666" s="110">
        <f>IFERROR(GETPIVOTDATA("Valor Despesa",'Dashboard-Dados'!$P$1,$A$1,A666,$B$1,B666),0)</f>
        <v>0</v>
      </c>
      <c r="F666" s="110">
        <f t="shared" si="1"/>
        <v>0</v>
      </c>
      <c r="G666" s="56">
        <f>IFERROR(GETPIVOTDATA("Exame",'Dashboard-Dados'!$J$1,$A$1,A666,$B$1,B666),0)</f>
        <v>0</v>
      </c>
      <c r="H666" s="56">
        <f t="shared" si="2"/>
        <v>666</v>
      </c>
      <c r="U666" s="56"/>
      <c r="V666" s="56"/>
      <c r="W666" s="56"/>
      <c r="Y666" s="138"/>
    </row>
    <row r="667">
      <c r="A667" s="56"/>
      <c r="B667" s="56"/>
      <c r="C667" s="108" t="str">
        <f>IFNA(VLOOKUP('Dashboard-Dados'!B667,'Dashboard-Dados'!$Y$2:$AA$13,2),"")</f>
        <v/>
      </c>
      <c r="D667" s="109">
        <f>IFERROR(GETPIVOTDATA("Valor Recebido",'Dashboard-Dados'!$J$1,$A$1,A667,$B$1,B667),0)</f>
        <v>0</v>
      </c>
      <c r="E667" s="110">
        <f>IFERROR(GETPIVOTDATA("Valor Despesa",'Dashboard-Dados'!$P$1,$A$1,A667,$B$1,B667),0)</f>
        <v>0</v>
      </c>
      <c r="F667" s="110">
        <f t="shared" si="1"/>
        <v>0</v>
      </c>
      <c r="G667" s="56">
        <f>IFERROR(GETPIVOTDATA("Exame",'Dashboard-Dados'!$J$1,$A$1,A667,$B$1,B667),0)</f>
        <v>0</v>
      </c>
      <c r="H667" s="56">
        <f t="shared" si="2"/>
        <v>667</v>
      </c>
      <c r="U667" s="56"/>
      <c r="V667" s="56"/>
      <c r="W667" s="56"/>
      <c r="Y667" s="138"/>
    </row>
    <row r="668">
      <c r="A668" s="56"/>
      <c r="B668" s="56"/>
      <c r="C668" s="108" t="str">
        <f>IFNA(VLOOKUP('Dashboard-Dados'!B668,'Dashboard-Dados'!$Y$2:$AA$13,2),"")</f>
        <v/>
      </c>
      <c r="D668" s="109">
        <f>IFERROR(GETPIVOTDATA("Valor Recebido",'Dashboard-Dados'!$J$1,$A$1,A668,$B$1,B668),0)</f>
        <v>0</v>
      </c>
      <c r="E668" s="110">
        <f>IFERROR(GETPIVOTDATA("Valor Despesa",'Dashboard-Dados'!$P$1,$A$1,A668,$B$1,B668),0)</f>
        <v>0</v>
      </c>
      <c r="F668" s="110">
        <f t="shared" si="1"/>
        <v>0</v>
      </c>
      <c r="G668" s="56">
        <f>IFERROR(GETPIVOTDATA("Exame",'Dashboard-Dados'!$J$1,$A$1,A668,$B$1,B668),0)</f>
        <v>0</v>
      </c>
      <c r="H668" s="56">
        <f t="shared" si="2"/>
        <v>668</v>
      </c>
      <c r="U668" s="56"/>
      <c r="V668" s="56"/>
      <c r="W668" s="56"/>
      <c r="Y668" s="138"/>
    </row>
    <row r="669">
      <c r="A669" s="56"/>
      <c r="B669" s="56"/>
      <c r="C669" s="108" t="str">
        <f>IFNA(VLOOKUP('Dashboard-Dados'!B669,'Dashboard-Dados'!$Y$2:$AA$13,2),"")</f>
        <v/>
      </c>
      <c r="D669" s="109">
        <f>IFERROR(GETPIVOTDATA("Valor Recebido",'Dashboard-Dados'!$J$1,$A$1,A669,$B$1,B669),0)</f>
        <v>0</v>
      </c>
      <c r="E669" s="110">
        <f>IFERROR(GETPIVOTDATA("Valor Despesa",'Dashboard-Dados'!$P$1,$A$1,A669,$B$1,B669),0)</f>
        <v>0</v>
      </c>
      <c r="F669" s="110">
        <f t="shared" si="1"/>
        <v>0</v>
      </c>
      <c r="G669" s="56">
        <f>IFERROR(GETPIVOTDATA("Exame",'Dashboard-Dados'!$J$1,$A$1,A669,$B$1,B669),0)</f>
        <v>0</v>
      </c>
      <c r="H669" s="56">
        <f t="shared" si="2"/>
        <v>669</v>
      </c>
      <c r="U669" s="56"/>
      <c r="V669" s="56"/>
      <c r="W669" s="56"/>
      <c r="Y669" s="138"/>
    </row>
    <row r="670">
      <c r="A670" s="56"/>
      <c r="B670" s="56"/>
      <c r="C670" s="108" t="str">
        <f>IFNA(VLOOKUP('Dashboard-Dados'!B670,'Dashboard-Dados'!$Y$2:$AA$13,2),"")</f>
        <v/>
      </c>
      <c r="D670" s="109">
        <f>IFERROR(GETPIVOTDATA("Valor Recebido",'Dashboard-Dados'!$J$1,$A$1,A670,$B$1,B670),0)</f>
        <v>0</v>
      </c>
      <c r="E670" s="110">
        <f>IFERROR(GETPIVOTDATA("Valor Despesa",'Dashboard-Dados'!$P$1,$A$1,A670,$B$1,B670),0)</f>
        <v>0</v>
      </c>
      <c r="F670" s="110">
        <f t="shared" si="1"/>
        <v>0</v>
      </c>
      <c r="G670" s="56">
        <f>IFERROR(GETPIVOTDATA("Exame",'Dashboard-Dados'!$J$1,$A$1,A670,$B$1,B670),0)</f>
        <v>0</v>
      </c>
      <c r="H670" s="56">
        <f t="shared" si="2"/>
        <v>670</v>
      </c>
      <c r="U670" s="56"/>
      <c r="V670" s="56"/>
      <c r="W670" s="56"/>
      <c r="Y670" s="138"/>
    </row>
    <row r="671">
      <c r="A671" s="56"/>
      <c r="B671" s="56"/>
      <c r="C671" s="108" t="str">
        <f>IFNA(VLOOKUP('Dashboard-Dados'!B671,'Dashboard-Dados'!$Y$2:$AA$13,2),"")</f>
        <v/>
      </c>
      <c r="D671" s="109">
        <f>IFERROR(GETPIVOTDATA("Valor Recebido",'Dashboard-Dados'!$J$1,$A$1,A671,$B$1,B671),0)</f>
        <v>0</v>
      </c>
      <c r="E671" s="110">
        <f>IFERROR(GETPIVOTDATA("Valor Despesa",'Dashboard-Dados'!$P$1,$A$1,A671,$B$1,B671),0)</f>
        <v>0</v>
      </c>
      <c r="F671" s="110">
        <f t="shared" si="1"/>
        <v>0</v>
      </c>
      <c r="G671" s="56">
        <f>IFERROR(GETPIVOTDATA("Exame",'Dashboard-Dados'!$J$1,$A$1,A671,$B$1,B671),0)</f>
        <v>0</v>
      </c>
      <c r="H671" s="56">
        <f t="shared" si="2"/>
        <v>671</v>
      </c>
      <c r="U671" s="56"/>
      <c r="V671" s="56"/>
      <c r="W671" s="56"/>
      <c r="Y671" s="138"/>
    </row>
    <row r="672">
      <c r="A672" s="56"/>
      <c r="B672" s="56"/>
      <c r="C672" s="108" t="str">
        <f>IFNA(VLOOKUP('Dashboard-Dados'!B672,'Dashboard-Dados'!$Y$2:$AA$13,2),"")</f>
        <v/>
      </c>
      <c r="D672" s="109">
        <f>IFERROR(GETPIVOTDATA("Valor Recebido",'Dashboard-Dados'!$J$1,$A$1,A672,$B$1,B672),0)</f>
        <v>0</v>
      </c>
      <c r="E672" s="110">
        <f>IFERROR(GETPIVOTDATA("Valor Despesa",'Dashboard-Dados'!$P$1,$A$1,A672,$B$1,B672),0)</f>
        <v>0</v>
      </c>
      <c r="F672" s="110">
        <f t="shared" si="1"/>
        <v>0</v>
      </c>
      <c r="G672" s="56">
        <f>IFERROR(GETPIVOTDATA("Exame",'Dashboard-Dados'!$J$1,$A$1,A672,$B$1,B672),0)</f>
        <v>0</v>
      </c>
      <c r="H672" s="56">
        <f t="shared" si="2"/>
        <v>672</v>
      </c>
      <c r="U672" s="56"/>
      <c r="V672" s="56"/>
      <c r="W672" s="56"/>
      <c r="Y672" s="138"/>
    </row>
    <row r="673">
      <c r="A673" s="56"/>
      <c r="B673" s="56"/>
      <c r="C673" s="108" t="str">
        <f>IFNA(VLOOKUP('Dashboard-Dados'!B673,'Dashboard-Dados'!$Y$2:$AA$13,2),"")</f>
        <v/>
      </c>
      <c r="D673" s="109">
        <f>IFERROR(GETPIVOTDATA("Valor Recebido",'Dashboard-Dados'!$J$1,$A$1,A673,$B$1,B673),0)</f>
        <v>0</v>
      </c>
      <c r="E673" s="110">
        <f>IFERROR(GETPIVOTDATA("Valor Despesa",'Dashboard-Dados'!$P$1,$A$1,A673,$B$1,B673),0)</f>
        <v>0</v>
      </c>
      <c r="F673" s="110">
        <f t="shared" si="1"/>
        <v>0</v>
      </c>
      <c r="G673" s="56">
        <f>IFERROR(GETPIVOTDATA("Exame",'Dashboard-Dados'!$J$1,$A$1,A673,$B$1,B673),0)</f>
        <v>0</v>
      </c>
      <c r="H673" s="56">
        <f t="shared" si="2"/>
        <v>673</v>
      </c>
      <c r="U673" s="56"/>
      <c r="V673" s="56"/>
      <c r="W673" s="56"/>
      <c r="Y673" s="138"/>
    </row>
    <row r="674">
      <c r="A674" s="56"/>
      <c r="B674" s="56"/>
      <c r="C674" s="108" t="str">
        <f>IFNA(VLOOKUP('Dashboard-Dados'!B674,'Dashboard-Dados'!$Y$2:$AA$13,2),"")</f>
        <v/>
      </c>
      <c r="D674" s="109">
        <f>IFERROR(GETPIVOTDATA("Valor Recebido",'Dashboard-Dados'!$J$1,$A$1,A674,$B$1,B674),0)</f>
        <v>0</v>
      </c>
      <c r="E674" s="110">
        <f>IFERROR(GETPIVOTDATA("Valor Despesa",'Dashboard-Dados'!$P$1,$A$1,A674,$B$1,B674),0)</f>
        <v>0</v>
      </c>
      <c r="F674" s="110">
        <f t="shared" si="1"/>
        <v>0</v>
      </c>
      <c r="G674" s="56">
        <f>IFERROR(GETPIVOTDATA("Exame",'Dashboard-Dados'!$J$1,$A$1,A674,$B$1,B674),0)</f>
        <v>0</v>
      </c>
      <c r="H674" s="56">
        <f t="shared" si="2"/>
        <v>674</v>
      </c>
      <c r="U674" s="56"/>
      <c r="V674" s="56"/>
      <c r="W674" s="56"/>
      <c r="Y674" s="138"/>
    </row>
    <row r="675">
      <c r="A675" s="56"/>
      <c r="B675" s="56"/>
      <c r="C675" s="108" t="str">
        <f>IFNA(VLOOKUP('Dashboard-Dados'!B675,'Dashboard-Dados'!$Y$2:$AA$13,2),"")</f>
        <v/>
      </c>
      <c r="D675" s="109">
        <f>IFERROR(GETPIVOTDATA("Valor Recebido",'Dashboard-Dados'!$J$1,$A$1,A675,$B$1,B675),0)</f>
        <v>0</v>
      </c>
      <c r="E675" s="110">
        <f>IFERROR(GETPIVOTDATA("Valor Despesa",'Dashboard-Dados'!$P$1,$A$1,A675,$B$1,B675),0)</f>
        <v>0</v>
      </c>
      <c r="F675" s="110">
        <f t="shared" si="1"/>
        <v>0</v>
      </c>
      <c r="G675" s="56">
        <f>IFERROR(GETPIVOTDATA("Exame",'Dashboard-Dados'!$J$1,$A$1,A675,$B$1,B675),0)</f>
        <v>0</v>
      </c>
      <c r="H675" s="56">
        <f t="shared" si="2"/>
        <v>675</v>
      </c>
      <c r="U675" s="56"/>
      <c r="V675" s="56"/>
      <c r="W675" s="56"/>
      <c r="Y675" s="138"/>
    </row>
    <row r="676">
      <c r="A676" s="56"/>
      <c r="B676" s="56"/>
      <c r="C676" s="108" t="str">
        <f>IFNA(VLOOKUP('Dashboard-Dados'!B676,'Dashboard-Dados'!$Y$2:$AA$13,2),"")</f>
        <v/>
      </c>
      <c r="D676" s="109">
        <f>IFERROR(GETPIVOTDATA("Valor Recebido",'Dashboard-Dados'!$J$1,$A$1,A676,$B$1,B676),0)</f>
        <v>0</v>
      </c>
      <c r="E676" s="110">
        <f>IFERROR(GETPIVOTDATA("Valor Despesa",'Dashboard-Dados'!$P$1,$A$1,A676,$B$1,B676),0)</f>
        <v>0</v>
      </c>
      <c r="F676" s="110">
        <f t="shared" si="1"/>
        <v>0</v>
      </c>
      <c r="G676" s="56">
        <f>IFERROR(GETPIVOTDATA("Exame",'Dashboard-Dados'!$J$1,$A$1,A676,$B$1,B676),0)</f>
        <v>0</v>
      </c>
      <c r="H676" s="56">
        <f t="shared" si="2"/>
        <v>676</v>
      </c>
      <c r="U676" s="56"/>
      <c r="V676" s="56"/>
      <c r="W676" s="56"/>
      <c r="Y676" s="138"/>
    </row>
    <row r="677">
      <c r="A677" s="56"/>
      <c r="B677" s="56"/>
      <c r="C677" s="108" t="str">
        <f>IFNA(VLOOKUP('Dashboard-Dados'!B677,'Dashboard-Dados'!$Y$2:$AA$13,2),"")</f>
        <v/>
      </c>
      <c r="D677" s="109">
        <f>IFERROR(GETPIVOTDATA("Valor Recebido",'Dashboard-Dados'!$J$1,$A$1,A677,$B$1,B677),0)</f>
        <v>0</v>
      </c>
      <c r="E677" s="110">
        <f>IFERROR(GETPIVOTDATA("Valor Despesa",'Dashboard-Dados'!$P$1,$A$1,A677,$B$1,B677),0)</f>
        <v>0</v>
      </c>
      <c r="F677" s="110">
        <f t="shared" si="1"/>
        <v>0</v>
      </c>
      <c r="G677" s="56">
        <f>IFERROR(GETPIVOTDATA("Exame",'Dashboard-Dados'!$J$1,$A$1,A677,$B$1,B677),0)</f>
        <v>0</v>
      </c>
      <c r="H677" s="56">
        <f t="shared" si="2"/>
        <v>677</v>
      </c>
      <c r="U677" s="56"/>
      <c r="V677" s="56"/>
      <c r="W677" s="56"/>
      <c r="Y677" s="138"/>
    </row>
    <row r="678">
      <c r="A678" s="56"/>
      <c r="B678" s="56"/>
      <c r="C678" s="108" t="str">
        <f>IFNA(VLOOKUP('Dashboard-Dados'!B678,'Dashboard-Dados'!$Y$2:$AA$13,2),"")</f>
        <v/>
      </c>
      <c r="D678" s="109">
        <f>IFERROR(GETPIVOTDATA("Valor Recebido",'Dashboard-Dados'!$J$1,$A$1,A678,$B$1,B678),0)</f>
        <v>0</v>
      </c>
      <c r="E678" s="110">
        <f>IFERROR(GETPIVOTDATA("Valor Despesa",'Dashboard-Dados'!$P$1,$A$1,A678,$B$1,B678),0)</f>
        <v>0</v>
      </c>
      <c r="F678" s="110">
        <f t="shared" si="1"/>
        <v>0</v>
      </c>
      <c r="G678" s="56">
        <f>IFERROR(GETPIVOTDATA("Exame",'Dashboard-Dados'!$J$1,$A$1,A678,$B$1,B678),0)</f>
        <v>0</v>
      </c>
      <c r="H678" s="56">
        <f t="shared" si="2"/>
        <v>678</v>
      </c>
      <c r="U678" s="56"/>
      <c r="V678" s="56"/>
      <c r="W678" s="56"/>
      <c r="Y678" s="138"/>
    </row>
    <row r="679">
      <c r="A679" s="56"/>
      <c r="B679" s="56"/>
      <c r="C679" s="108" t="str">
        <f>IFNA(VLOOKUP('Dashboard-Dados'!B679,'Dashboard-Dados'!$Y$2:$AA$13,2),"")</f>
        <v/>
      </c>
      <c r="D679" s="109">
        <f>IFERROR(GETPIVOTDATA("Valor Recebido",'Dashboard-Dados'!$J$1,$A$1,A679,$B$1,B679),0)</f>
        <v>0</v>
      </c>
      <c r="E679" s="110">
        <f>IFERROR(GETPIVOTDATA("Valor Despesa",'Dashboard-Dados'!$P$1,$A$1,A679,$B$1,B679),0)</f>
        <v>0</v>
      </c>
      <c r="F679" s="110">
        <f t="shared" si="1"/>
        <v>0</v>
      </c>
      <c r="G679" s="56">
        <f>IFERROR(GETPIVOTDATA("Exame",'Dashboard-Dados'!$J$1,$A$1,A679,$B$1,B679),0)</f>
        <v>0</v>
      </c>
      <c r="H679" s="56">
        <f t="shared" si="2"/>
        <v>679</v>
      </c>
      <c r="U679" s="56"/>
      <c r="V679" s="56"/>
      <c r="W679" s="56"/>
      <c r="Y679" s="138"/>
    </row>
    <row r="680">
      <c r="A680" s="56"/>
      <c r="B680" s="56"/>
      <c r="C680" s="108" t="str">
        <f>IFNA(VLOOKUP('Dashboard-Dados'!B680,'Dashboard-Dados'!$Y$2:$AA$13,2),"")</f>
        <v/>
      </c>
      <c r="D680" s="109">
        <f>IFERROR(GETPIVOTDATA("Valor Recebido",'Dashboard-Dados'!$J$1,$A$1,A680,$B$1,B680),0)</f>
        <v>0</v>
      </c>
      <c r="E680" s="110">
        <f>IFERROR(GETPIVOTDATA("Valor Despesa",'Dashboard-Dados'!$P$1,$A$1,A680,$B$1,B680),0)</f>
        <v>0</v>
      </c>
      <c r="F680" s="110">
        <f t="shared" si="1"/>
        <v>0</v>
      </c>
      <c r="G680" s="56">
        <f>IFERROR(GETPIVOTDATA("Exame",'Dashboard-Dados'!$J$1,$A$1,A680,$B$1,B680),0)</f>
        <v>0</v>
      </c>
      <c r="H680" s="56">
        <f t="shared" si="2"/>
        <v>680</v>
      </c>
      <c r="U680" s="56"/>
      <c r="V680" s="56"/>
      <c r="W680" s="56"/>
      <c r="Y680" s="138"/>
    </row>
    <row r="681">
      <c r="A681" s="56"/>
      <c r="B681" s="56"/>
      <c r="C681" s="108" t="str">
        <f>IFNA(VLOOKUP('Dashboard-Dados'!B681,'Dashboard-Dados'!$Y$2:$AA$13,2),"")</f>
        <v/>
      </c>
      <c r="D681" s="109">
        <f>IFERROR(GETPIVOTDATA("Valor Recebido",'Dashboard-Dados'!$J$1,$A$1,A681,$B$1,B681),0)</f>
        <v>0</v>
      </c>
      <c r="E681" s="110">
        <f>IFERROR(GETPIVOTDATA("Valor Despesa",'Dashboard-Dados'!$P$1,$A$1,A681,$B$1,B681),0)</f>
        <v>0</v>
      </c>
      <c r="F681" s="110">
        <f t="shared" si="1"/>
        <v>0</v>
      </c>
      <c r="G681" s="56">
        <f>IFERROR(GETPIVOTDATA("Exame",'Dashboard-Dados'!$J$1,$A$1,A681,$B$1,B681),0)</f>
        <v>0</v>
      </c>
      <c r="H681" s="56">
        <f t="shared" si="2"/>
        <v>681</v>
      </c>
      <c r="U681" s="56"/>
      <c r="V681" s="56"/>
      <c r="W681" s="56"/>
      <c r="Y681" s="138"/>
    </row>
    <row r="682">
      <c r="A682" s="56"/>
      <c r="B682" s="56"/>
      <c r="C682" s="108" t="str">
        <f>IFNA(VLOOKUP('Dashboard-Dados'!B682,'Dashboard-Dados'!$Y$2:$AA$13,2),"")</f>
        <v/>
      </c>
      <c r="D682" s="109">
        <f>IFERROR(GETPIVOTDATA("Valor Recebido",'Dashboard-Dados'!$J$1,$A$1,A682,$B$1,B682),0)</f>
        <v>0</v>
      </c>
      <c r="E682" s="110">
        <f>IFERROR(GETPIVOTDATA("Valor Despesa",'Dashboard-Dados'!$P$1,$A$1,A682,$B$1,B682),0)</f>
        <v>0</v>
      </c>
      <c r="F682" s="110">
        <f t="shared" si="1"/>
        <v>0</v>
      </c>
      <c r="G682" s="56">
        <f>IFERROR(GETPIVOTDATA("Exame",'Dashboard-Dados'!$J$1,$A$1,A682,$B$1,B682),0)</f>
        <v>0</v>
      </c>
      <c r="H682" s="56">
        <f t="shared" si="2"/>
        <v>682</v>
      </c>
      <c r="U682" s="56"/>
      <c r="V682" s="56"/>
      <c r="W682" s="56"/>
      <c r="Y682" s="138"/>
    </row>
    <row r="683">
      <c r="A683" s="56"/>
      <c r="B683" s="56"/>
      <c r="C683" s="108" t="str">
        <f>IFNA(VLOOKUP('Dashboard-Dados'!B683,'Dashboard-Dados'!$Y$2:$AA$13,2),"")</f>
        <v/>
      </c>
      <c r="D683" s="109">
        <f>IFERROR(GETPIVOTDATA("Valor Recebido",'Dashboard-Dados'!$J$1,$A$1,A683,$B$1,B683),0)</f>
        <v>0</v>
      </c>
      <c r="E683" s="110">
        <f>IFERROR(GETPIVOTDATA("Valor Despesa",'Dashboard-Dados'!$P$1,$A$1,A683,$B$1,B683),0)</f>
        <v>0</v>
      </c>
      <c r="F683" s="110">
        <f t="shared" si="1"/>
        <v>0</v>
      </c>
      <c r="G683" s="56">
        <f>IFERROR(GETPIVOTDATA("Exame",'Dashboard-Dados'!$J$1,$A$1,A683,$B$1,B683),0)</f>
        <v>0</v>
      </c>
      <c r="H683" s="56">
        <f t="shared" si="2"/>
        <v>683</v>
      </c>
      <c r="U683" s="56"/>
      <c r="V683" s="56"/>
      <c r="W683" s="56"/>
      <c r="Y683" s="138"/>
    </row>
    <row r="684">
      <c r="A684" s="56"/>
      <c r="B684" s="56"/>
      <c r="C684" s="108" t="str">
        <f>IFNA(VLOOKUP('Dashboard-Dados'!B684,'Dashboard-Dados'!$Y$2:$AA$13,2),"")</f>
        <v/>
      </c>
      <c r="D684" s="109">
        <f>IFERROR(GETPIVOTDATA("Valor Recebido",'Dashboard-Dados'!$J$1,$A$1,A684,$B$1,B684),0)</f>
        <v>0</v>
      </c>
      <c r="E684" s="110">
        <f>IFERROR(GETPIVOTDATA("Valor Despesa",'Dashboard-Dados'!$P$1,$A$1,A684,$B$1,B684),0)</f>
        <v>0</v>
      </c>
      <c r="F684" s="110">
        <f t="shared" si="1"/>
        <v>0</v>
      </c>
      <c r="G684" s="56">
        <f>IFERROR(GETPIVOTDATA("Exame",'Dashboard-Dados'!$J$1,$A$1,A684,$B$1,B684),0)</f>
        <v>0</v>
      </c>
      <c r="H684" s="56">
        <f t="shared" si="2"/>
        <v>684</v>
      </c>
      <c r="U684" s="56"/>
      <c r="V684" s="56"/>
      <c r="W684" s="56"/>
      <c r="Y684" s="138"/>
    </row>
    <row r="685">
      <c r="A685" s="56"/>
      <c r="B685" s="56"/>
      <c r="C685" s="108" t="str">
        <f>IFNA(VLOOKUP('Dashboard-Dados'!B685,'Dashboard-Dados'!$Y$2:$AA$13,2),"")</f>
        <v/>
      </c>
      <c r="D685" s="109">
        <f>IFERROR(GETPIVOTDATA("Valor Recebido",'Dashboard-Dados'!$J$1,$A$1,A685,$B$1,B685),0)</f>
        <v>0</v>
      </c>
      <c r="E685" s="110">
        <f>IFERROR(GETPIVOTDATA("Valor Despesa",'Dashboard-Dados'!$P$1,$A$1,A685,$B$1,B685),0)</f>
        <v>0</v>
      </c>
      <c r="F685" s="110">
        <f t="shared" si="1"/>
        <v>0</v>
      </c>
      <c r="G685" s="56">
        <f>IFERROR(GETPIVOTDATA("Exame",'Dashboard-Dados'!$J$1,$A$1,A685,$B$1,B685),0)</f>
        <v>0</v>
      </c>
      <c r="H685" s="56">
        <f t="shared" si="2"/>
        <v>685</v>
      </c>
      <c r="U685" s="56"/>
      <c r="V685" s="56"/>
      <c r="W685" s="56"/>
      <c r="Y685" s="138"/>
    </row>
    <row r="686">
      <c r="A686" s="56"/>
      <c r="B686" s="56"/>
      <c r="C686" s="108" t="str">
        <f>IFNA(VLOOKUP('Dashboard-Dados'!B686,'Dashboard-Dados'!$Y$2:$AA$13,2),"")</f>
        <v/>
      </c>
      <c r="D686" s="109">
        <f>IFERROR(GETPIVOTDATA("Valor Recebido",'Dashboard-Dados'!$J$1,$A$1,A686,$B$1,B686),0)</f>
        <v>0</v>
      </c>
      <c r="E686" s="110">
        <f>IFERROR(GETPIVOTDATA("Valor Despesa",'Dashboard-Dados'!$P$1,$A$1,A686,$B$1,B686),0)</f>
        <v>0</v>
      </c>
      <c r="F686" s="110">
        <f t="shared" si="1"/>
        <v>0</v>
      </c>
      <c r="G686" s="56">
        <f>IFERROR(GETPIVOTDATA("Exame",'Dashboard-Dados'!$J$1,$A$1,A686,$B$1,B686),0)</f>
        <v>0</v>
      </c>
      <c r="H686" s="56">
        <f t="shared" si="2"/>
        <v>686</v>
      </c>
      <c r="U686" s="56"/>
      <c r="V686" s="56"/>
      <c r="W686" s="56"/>
      <c r="Y686" s="138"/>
    </row>
    <row r="687">
      <c r="A687" s="56"/>
      <c r="B687" s="56"/>
      <c r="C687" s="108" t="str">
        <f>IFNA(VLOOKUP('Dashboard-Dados'!B687,'Dashboard-Dados'!$Y$2:$AA$13,2),"")</f>
        <v/>
      </c>
      <c r="D687" s="109">
        <f>IFERROR(GETPIVOTDATA("Valor Recebido",'Dashboard-Dados'!$J$1,$A$1,A687,$B$1,B687),0)</f>
        <v>0</v>
      </c>
      <c r="E687" s="110">
        <f>IFERROR(GETPIVOTDATA("Valor Despesa",'Dashboard-Dados'!$P$1,$A$1,A687,$B$1,B687),0)</f>
        <v>0</v>
      </c>
      <c r="F687" s="110">
        <f t="shared" si="1"/>
        <v>0</v>
      </c>
      <c r="G687" s="56">
        <f>IFERROR(GETPIVOTDATA("Exame",'Dashboard-Dados'!$J$1,$A$1,A687,$B$1,B687),0)</f>
        <v>0</v>
      </c>
      <c r="H687" s="56">
        <f t="shared" si="2"/>
        <v>687</v>
      </c>
      <c r="U687" s="56"/>
      <c r="V687" s="56"/>
      <c r="W687" s="56"/>
      <c r="Y687" s="138"/>
    </row>
    <row r="688">
      <c r="A688" s="56"/>
      <c r="B688" s="56"/>
      <c r="C688" s="108" t="str">
        <f>IFNA(VLOOKUP('Dashboard-Dados'!B688,'Dashboard-Dados'!$Y$2:$AA$13,2),"")</f>
        <v/>
      </c>
      <c r="D688" s="109">
        <f>IFERROR(GETPIVOTDATA("Valor Recebido",'Dashboard-Dados'!$J$1,$A$1,A688,$B$1,B688),0)</f>
        <v>0</v>
      </c>
      <c r="E688" s="110">
        <f>IFERROR(GETPIVOTDATA("Valor Despesa",'Dashboard-Dados'!$P$1,$A$1,A688,$B$1,B688),0)</f>
        <v>0</v>
      </c>
      <c r="F688" s="110">
        <f t="shared" si="1"/>
        <v>0</v>
      </c>
      <c r="G688" s="56">
        <f>IFERROR(GETPIVOTDATA("Exame",'Dashboard-Dados'!$J$1,$A$1,A688,$B$1,B688),0)</f>
        <v>0</v>
      </c>
      <c r="H688" s="56">
        <f t="shared" si="2"/>
        <v>688</v>
      </c>
      <c r="U688" s="56"/>
      <c r="V688" s="56"/>
      <c r="W688" s="56"/>
      <c r="Y688" s="138"/>
    </row>
    <row r="689">
      <c r="A689" s="56"/>
      <c r="B689" s="56"/>
      <c r="C689" s="108" t="str">
        <f>IFNA(VLOOKUP('Dashboard-Dados'!B689,'Dashboard-Dados'!$Y$2:$AA$13,2),"")</f>
        <v/>
      </c>
      <c r="D689" s="109">
        <f>IFERROR(GETPIVOTDATA("Valor Recebido",'Dashboard-Dados'!$J$1,$A$1,A689,$B$1,B689),0)</f>
        <v>0</v>
      </c>
      <c r="E689" s="110">
        <f>IFERROR(GETPIVOTDATA("Valor Despesa",'Dashboard-Dados'!$P$1,$A$1,A689,$B$1,B689),0)</f>
        <v>0</v>
      </c>
      <c r="F689" s="110">
        <f t="shared" si="1"/>
        <v>0</v>
      </c>
      <c r="G689" s="56">
        <f>IFERROR(GETPIVOTDATA("Exame",'Dashboard-Dados'!$J$1,$A$1,A689,$B$1,B689),0)</f>
        <v>0</v>
      </c>
      <c r="H689" s="56">
        <f t="shared" si="2"/>
        <v>689</v>
      </c>
      <c r="U689" s="56"/>
      <c r="V689" s="56"/>
      <c r="W689" s="56"/>
      <c r="Y689" s="138"/>
    </row>
    <row r="690">
      <c r="A690" s="56"/>
      <c r="B690" s="56"/>
      <c r="C690" s="108" t="str">
        <f>IFNA(VLOOKUP('Dashboard-Dados'!B690,'Dashboard-Dados'!$Y$2:$AA$13,2),"")</f>
        <v/>
      </c>
      <c r="D690" s="109">
        <f>IFERROR(GETPIVOTDATA("Valor Recebido",'Dashboard-Dados'!$J$1,$A$1,A690,$B$1,B690),0)</f>
        <v>0</v>
      </c>
      <c r="E690" s="110">
        <f>IFERROR(GETPIVOTDATA("Valor Despesa",'Dashboard-Dados'!$P$1,$A$1,A690,$B$1,B690),0)</f>
        <v>0</v>
      </c>
      <c r="F690" s="110">
        <f t="shared" si="1"/>
        <v>0</v>
      </c>
      <c r="G690" s="56">
        <f>IFERROR(GETPIVOTDATA("Exame",'Dashboard-Dados'!$J$1,$A$1,A690,$B$1,B690),0)</f>
        <v>0</v>
      </c>
      <c r="H690" s="56">
        <f t="shared" si="2"/>
        <v>690</v>
      </c>
      <c r="U690" s="56"/>
      <c r="V690" s="56"/>
      <c r="W690" s="56"/>
      <c r="Y690" s="138"/>
    </row>
    <row r="691">
      <c r="A691" s="56"/>
      <c r="B691" s="56"/>
      <c r="C691" s="108" t="str">
        <f>IFNA(VLOOKUP('Dashboard-Dados'!B691,'Dashboard-Dados'!$Y$2:$AA$13,2),"")</f>
        <v/>
      </c>
      <c r="D691" s="109">
        <f>IFERROR(GETPIVOTDATA("Valor Recebido",'Dashboard-Dados'!$J$1,$A$1,A691,$B$1,B691),0)</f>
        <v>0</v>
      </c>
      <c r="E691" s="110">
        <f>IFERROR(GETPIVOTDATA("Valor Despesa",'Dashboard-Dados'!$P$1,$A$1,A691,$B$1,B691),0)</f>
        <v>0</v>
      </c>
      <c r="F691" s="110">
        <f t="shared" si="1"/>
        <v>0</v>
      </c>
      <c r="G691" s="56">
        <f>IFERROR(GETPIVOTDATA("Exame",'Dashboard-Dados'!$J$1,$A$1,A691,$B$1,B691),0)</f>
        <v>0</v>
      </c>
      <c r="H691" s="56">
        <f t="shared" si="2"/>
        <v>691</v>
      </c>
      <c r="U691" s="56"/>
      <c r="V691" s="56"/>
      <c r="W691" s="56"/>
      <c r="Y691" s="138"/>
    </row>
    <row r="692">
      <c r="A692" s="56"/>
      <c r="B692" s="56"/>
      <c r="C692" s="108" t="str">
        <f>IFNA(VLOOKUP('Dashboard-Dados'!B692,'Dashboard-Dados'!$Y$2:$AA$13,2),"")</f>
        <v/>
      </c>
      <c r="D692" s="109">
        <f>IFERROR(GETPIVOTDATA("Valor Recebido",'Dashboard-Dados'!$J$1,$A$1,A692,$B$1,B692),0)</f>
        <v>0</v>
      </c>
      <c r="E692" s="110">
        <f>IFERROR(GETPIVOTDATA("Valor Despesa",'Dashboard-Dados'!$P$1,$A$1,A692,$B$1,B692),0)</f>
        <v>0</v>
      </c>
      <c r="F692" s="110">
        <f t="shared" si="1"/>
        <v>0</v>
      </c>
      <c r="G692" s="56">
        <f>IFERROR(GETPIVOTDATA("Exame",'Dashboard-Dados'!$J$1,$A$1,A692,$B$1,B692),0)</f>
        <v>0</v>
      </c>
      <c r="H692" s="56">
        <f t="shared" si="2"/>
        <v>692</v>
      </c>
      <c r="U692" s="56"/>
      <c r="V692" s="56"/>
      <c r="W692" s="56"/>
      <c r="Y692" s="138"/>
    </row>
    <row r="693">
      <c r="A693" s="56"/>
      <c r="B693" s="56"/>
      <c r="C693" s="108" t="str">
        <f>IFNA(VLOOKUP('Dashboard-Dados'!B693,'Dashboard-Dados'!$Y$2:$AA$13,2),"")</f>
        <v/>
      </c>
      <c r="D693" s="109">
        <f>IFERROR(GETPIVOTDATA("Valor Recebido",'Dashboard-Dados'!$J$1,$A$1,A693,$B$1,B693),0)</f>
        <v>0</v>
      </c>
      <c r="E693" s="110">
        <f>IFERROR(GETPIVOTDATA("Valor Despesa",'Dashboard-Dados'!$P$1,$A$1,A693,$B$1,B693),0)</f>
        <v>0</v>
      </c>
      <c r="F693" s="110">
        <f t="shared" si="1"/>
        <v>0</v>
      </c>
      <c r="G693" s="56">
        <f>IFERROR(GETPIVOTDATA("Exame",'Dashboard-Dados'!$J$1,$A$1,A693,$B$1,B693),0)</f>
        <v>0</v>
      </c>
      <c r="H693" s="56">
        <f t="shared" si="2"/>
        <v>693</v>
      </c>
      <c r="U693" s="56"/>
      <c r="V693" s="56"/>
      <c r="W693" s="56"/>
      <c r="Y693" s="138"/>
    </row>
    <row r="694">
      <c r="A694" s="56"/>
      <c r="B694" s="56"/>
      <c r="C694" s="108" t="str">
        <f>IFNA(VLOOKUP('Dashboard-Dados'!B694,'Dashboard-Dados'!$Y$2:$AA$13,2),"")</f>
        <v/>
      </c>
      <c r="D694" s="109">
        <f>IFERROR(GETPIVOTDATA("Valor Recebido",'Dashboard-Dados'!$J$1,$A$1,A694,$B$1,B694),0)</f>
        <v>0</v>
      </c>
      <c r="E694" s="110">
        <f>IFERROR(GETPIVOTDATA("Valor Despesa",'Dashboard-Dados'!$P$1,$A$1,A694,$B$1,B694),0)</f>
        <v>0</v>
      </c>
      <c r="F694" s="110">
        <f t="shared" si="1"/>
        <v>0</v>
      </c>
      <c r="G694" s="56">
        <f>IFERROR(GETPIVOTDATA("Exame",'Dashboard-Dados'!$J$1,$A$1,A694,$B$1,B694),0)</f>
        <v>0</v>
      </c>
      <c r="H694" s="56">
        <f t="shared" si="2"/>
        <v>694</v>
      </c>
      <c r="U694" s="56"/>
      <c r="V694" s="56"/>
      <c r="W694" s="56"/>
      <c r="Y694" s="138"/>
    </row>
    <row r="695">
      <c r="A695" s="56"/>
      <c r="B695" s="56"/>
      <c r="C695" s="108" t="str">
        <f>IFNA(VLOOKUP('Dashboard-Dados'!B695,'Dashboard-Dados'!$Y$2:$AA$13,2),"")</f>
        <v/>
      </c>
      <c r="D695" s="109">
        <f>IFERROR(GETPIVOTDATA("Valor Recebido",'Dashboard-Dados'!$J$1,$A$1,A695,$B$1,B695),0)</f>
        <v>0</v>
      </c>
      <c r="E695" s="110">
        <f>IFERROR(GETPIVOTDATA("Valor Despesa",'Dashboard-Dados'!$P$1,$A$1,A695,$B$1,B695),0)</f>
        <v>0</v>
      </c>
      <c r="F695" s="110">
        <f t="shared" si="1"/>
        <v>0</v>
      </c>
      <c r="G695" s="56">
        <f>IFERROR(GETPIVOTDATA("Exame",'Dashboard-Dados'!$J$1,$A$1,A695,$B$1,B695),0)</f>
        <v>0</v>
      </c>
      <c r="H695" s="56">
        <f t="shared" si="2"/>
        <v>695</v>
      </c>
      <c r="U695" s="56"/>
      <c r="V695" s="56"/>
      <c r="W695" s="56"/>
      <c r="Y695" s="138"/>
    </row>
    <row r="696">
      <c r="A696" s="56"/>
      <c r="B696" s="56"/>
      <c r="C696" s="108" t="str">
        <f>IFNA(VLOOKUP('Dashboard-Dados'!B696,'Dashboard-Dados'!$Y$2:$AA$13,2),"")</f>
        <v/>
      </c>
      <c r="D696" s="109">
        <f>IFERROR(GETPIVOTDATA("Valor Recebido",'Dashboard-Dados'!$J$1,$A$1,A696,$B$1,B696),0)</f>
        <v>0</v>
      </c>
      <c r="E696" s="110">
        <f>IFERROR(GETPIVOTDATA("Valor Despesa",'Dashboard-Dados'!$P$1,$A$1,A696,$B$1,B696),0)</f>
        <v>0</v>
      </c>
      <c r="F696" s="110">
        <f t="shared" si="1"/>
        <v>0</v>
      </c>
      <c r="G696" s="56">
        <f>IFERROR(GETPIVOTDATA("Exame",'Dashboard-Dados'!$J$1,$A$1,A696,$B$1,B696),0)</f>
        <v>0</v>
      </c>
      <c r="H696" s="56">
        <f t="shared" si="2"/>
        <v>696</v>
      </c>
      <c r="U696" s="56"/>
      <c r="V696" s="56"/>
      <c r="W696" s="56"/>
      <c r="Y696" s="138"/>
    </row>
    <row r="697">
      <c r="A697" s="56"/>
      <c r="B697" s="56"/>
      <c r="C697" s="108" t="str">
        <f>IFNA(VLOOKUP('Dashboard-Dados'!B697,'Dashboard-Dados'!$Y$2:$AA$13,2),"")</f>
        <v/>
      </c>
      <c r="D697" s="109">
        <f>IFERROR(GETPIVOTDATA("Valor Recebido",'Dashboard-Dados'!$J$1,$A$1,A697,$B$1,B697),0)</f>
        <v>0</v>
      </c>
      <c r="E697" s="110">
        <f>IFERROR(GETPIVOTDATA("Valor Despesa",'Dashboard-Dados'!$P$1,$A$1,A697,$B$1,B697),0)</f>
        <v>0</v>
      </c>
      <c r="F697" s="110">
        <f t="shared" si="1"/>
        <v>0</v>
      </c>
      <c r="G697" s="56">
        <f>IFERROR(GETPIVOTDATA("Exame",'Dashboard-Dados'!$J$1,$A$1,A697,$B$1,B697),0)</f>
        <v>0</v>
      </c>
      <c r="H697" s="56">
        <f t="shared" si="2"/>
        <v>697</v>
      </c>
      <c r="U697" s="56"/>
      <c r="V697" s="56"/>
      <c r="W697" s="56"/>
      <c r="Y697" s="138"/>
    </row>
    <row r="698">
      <c r="A698" s="56"/>
      <c r="B698" s="56"/>
      <c r="C698" s="108" t="str">
        <f>IFNA(VLOOKUP('Dashboard-Dados'!B698,'Dashboard-Dados'!$Y$2:$AA$13,2),"")</f>
        <v/>
      </c>
      <c r="D698" s="109">
        <f>IFERROR(GETPIVOTDATA("Valor Recebido",'Dashboard-Dados'!$J$1,$A$1,A698,$B$1,B698),0)</f>
        <v>0</v>
      </c>
      <c r="E698" s="110">
        <f>IFERROR(GETPIVOTDATA("Valor Despesa",'Dashboard-Dados'!$P$1,$A$1,A698,$B$1,B698),0)</f>
        <v>0</v>
      </c>
      <c r="F698" s="110">
        <f t="shared" si="1"/>
        <v>0</v>
      </c>
      <c r="G698" s="56">
        <f>IFERROR(GETPIVOTDATA("Exame",'Dashboard-Dados'!$J$1,$A$1,A698,$B$1,B698),0)</f>
        <v>0</v>
      </c>
      <c r="H698" s="56">
        <f t="shared" si="2"/>
        <v>698</v>
      </c>
      <c r="U698" s="56"/>
      <c r="V698" s="56"/>
      <c r="W698" s="56"/>
      <c r="Y698" s="138"/>
    </row>
    <row r="699">
      <c r="A699" s="56"/>
      <c r="B699" s="56"/>
      <c r="C699" s="108" t="str">
        <f>IFNA(VLOOKUP('Dashboard-Dados'!B699,'Dashboard-Dados'!$Y$2:$AA$13,2),"")</f>
        <v/>
      </c>
      <c r="D699" s="109">
        <f>IFERROR(GETPIVOTDATA("Valor Recebido",'Dashboard-Dados'!$J$1,$A$1,A699,$B$1,B699),0)</f>
        <v>0</v>
      </c>
      <c r="E699" s="110">
        <f>IFERROR(GETPIVOTDATA("Valor Despesa",'Dashboard-Dados'!$P$1,$A$1,A699,$B$1,B699),0)</f>
        <v>0</v>
      </c>
      <c r="F699" s="110">
        <f t="shared" si="1"/>
        <v>0</v>
      </c>
      <c r="G699" s="56">
        <f>IFERROR(GETPIVOTDATA("Exame",'Dashboard-Dados'!$J$1,$A$1,A699,$B$1,B699),0)</f>
        <v>0</v>
      </c>
      <c r="H699" s="56">
        <f t="shared" si="2"/>
        <v>699</v>
      </c>
      <c r="U699" s="56"/>
      <c r="V699" s="56"/>
      <c r="W699" s="56"/>
      <c r="Y699" s="138"/>
    </row>
    <row r="700">
      <c r="A700" s="56"/>
      <c r="B700" s="56"/>
      <c r="C700" s="108" t="str">
        <f>IFNA(VLOOKUP('Dashboard-Dados'!B700,'Dashboard-Dados'!$Y$2:$AA$13,2),"")</f>
        <v/>
      </c>
      <c r="D700" s="109">
        <f>IFERROR(GETPIVOTDATA("Valor Recebido",'Dashboard-Dados'!$J$1,$A$1,A700,$B$1,B700),0)</f>
        <v>0</v>
      </c>
      <c r="E700" s="110">
        <f>IFERROR(GETPIVOTDATA("Valor Despesa",'Dashboard-Dados'!$P$1,$A$1,A700,$B$1,B700),0)</f>
        <v>0</v>
      </c>
      <c r="F700" s="110">
        <f t="shared" si="1"/>
        <v>0</v>
      </c>
      <c r="G700" s="56">
        <f>IFERROR(GETPIVOTDATA("Exame",'Dashboard-Dados'!$J$1,$A$1,A700,$B$1,B700),0)</f>
        <v>0</v>
      </c>
      <c r="H700" s="56">
        <f t="shared" si="2"/>
        <v>700</v>
      </c>
      <c r="U700" s="56"/>
      <c r="V700" s="56"/>
      <c r="W700" s="56"/>
      <c r="Y700" s="138"/>
    </row>
    <row r="701">
      <c r="A701" s="56"/>
      <c r="B701" s="56"/>
      <c r="C701" s="108" t="str">
        <f>IFNA(VLOOKUP('Dashboard-Dados'!B701,'Dashboard-Dados'!$Y$2:$AA$13,2),"")</f>
        <v/>
      </c>
      <c r="D701" s="109">
        <f>IFERROR(GETPIVOTDATA("Valor Recebido",'Dashboard-Dados'!$J$1,$A$1,A701,$B$1,B701),0)</f>
        <v>0</v>
      </c>
      <c r="E701" s="110">
        <f>IFERROR(GETPIVOTDATA("Valor Despesa",'Dashboard-Dados'!$P$1,$A$1,A701,$B$1,B701),0)</f>
        <v>0</v>
      </c>
      <c r="F701" s="110">
        <f t="shared" si="1"/>
        <v>0</v>
      </c>
      <c r="G701" s="56">
        <f>IFERROR(GETPIVOTDATA("Exame",'Dashboard-Dados'!$J$1,$A$1,A701,$B$1,B701),0)</f>
        <v>0</v>
      </c>
      <c r="H701" s="56">
        <f t="shared" si="2"/>
        <v>701</v>
      </c>
      <c r="U701" s="56"/>
      <c r="V701" s="56"/>
      <c r="W701" s="56"/>
      <c r="Y701" s="138"/>
    </row>
    <row r="702">
      <c r="A702" s="56"/>
      <c r="B702" s="56"/>
      <c r="C702" s="108" t="str">
        <f>IFNA(VLOOKUP('Dashboard-Dados'!B702,'Dashboard-Dados'!$Y$2:$AA$13,2),"")</f>
        <v/>
      </c>
      <c r="D702" s="109">
        <f>IFERROR(GETPIVOTDATA("Valor Recebido",'Dashboard-Dados'!$J$1,$A$1,A702,$B$1,B702),0)</f>
        <v>0</v>
      </c>
      <c r="E702" s="110">
        <f>IFERROR(GETPIVOTDATA("Valor Despesa",'Dashboard-Dados'!$P$1,$A$1,A702,$B$1,B702),0)</f>
        <v>0</v>
      </c>
      <c r="F702" s="110">
        <f t="shared" si="1"/>
        <v>0</v>
      </c>
      <c r="G702" s="56">
        <f>IFERROR(GETPIVOTDATA("Exame",'Dashboard-Dados'!$J$1,$A$1,A702,$B$1,B702),0)</f>
        <v>0</v>
      </c>
      <c r="H702" s="56">
        <f t="shared" si="2"/>
        <v>702</v>
      </c>
      <c r="U702" s="56"/>
      <c r="V702" s="56"/>
      <c r="W702" s="56"/>
      <c r="Y702" s="138"/>
    </row>
    <row r="703">
      <c r="A703" s="56"/>
      <c r="B703" s="56"/>
      <c r="C703" s="108" t="str">
        <f>IFNA(VLOOKUP('Dashboard-Dados'!B703,'Dashboard-Dados'!$Y$2:$AA$13,2),"")</f>
        <v/>
      </c>
      <c r="D703" s="109">
        <f>IFERROR(GETPIVOTDATA("Valor Recebido",'Dashboard-Dados'!$J$1,$A$1,A703,$B$1,B703),0)</f>
        <v>0</v>
      </c>
      <c r="E703" s="110">
        <f>IFERROR(GETPIVOTDATA("Valor Despesa",'Dashboard-Dados'!$P$1,$A$1,A703,$B$1,B703),0)</f>
        <v>0</v>
      </c>
      <c r="F703" s="110">
        <f t="shared" si="1"/>
        <v>0</v>
      </c>
      <c r="G703" s="56">
        <f>IFERROR(GETPIVOTDATA("Exame",'Dashboard-Dados'!$J$1,$A$1,A703,$B$1,B703),0)</f>
        <v>0</v>
      </c>
      <c r="H703" s="56">
        <f t="shared" si="2"/>
        <v>703</v>
      </c>
      <c r="U703" s="56"/>
      <c r="V703" s="56"/>
      <c r="W703" s="56"/>
      <c r="Y703" s="138"/>
    </row>
    <row r="704">
      <c r="A704" s="56"/>
      <c r="B704" s="56"/>
      <c r="C704" s="108" t="str">
        <f>IFNA(VLOOKUP('Dashboard-Dados'!B704,'Dashboard-Dados'!$Y$2:$AA$13,2),"")</f>
        <v/>
      </c>
      <c r="D704" s="109">
        <f>IFERROR(GETPIVOTDATA("Valor Recebido",'Dashboard-Dados'!$J$1,$A$1,A704,$B$1,B704),0)</f>
        <v>0</v>
      </c>
      <c r="E704" s="110">
        <f>IFERROR(GETPIVOTDATA("Valor Despesa",'Dashboard-Dados'!$P$1,$A$1,A704,$B$1,B704),0)</f>
        <v>0</v>
      </c>
      <c r="F704" s="110">
        <f t="shared" si="1"/>
        <v>0</v>
      </c>
      <c r="G704" s="56">
        <f>IFERROR(GETPIVOTDATA("Exame",'Dashboard-Dados'!$J$1,$A$1,A704,$B$1,B704),0)</f>
        <v>0</v>
      </c>
      <c r="H704" s="56">
        <f t="shared" si="2"/>
        <v>704</v>
      </c>
      <c r="U704" s="56"/>
      <c r="V704" s="56"/>
      <c r="W704" s="56"/>
      <c r="Y704" s="138"/>
    </row>
    <row r="705">
      <c r="A705" s="56"/>
      <c r="B705" s="56"/>
      <c r="C705" s="108" t="str">
        <f>IFNA(VLOOKUP('Dashboard-Dados'!B705,'Dashboard-Dados'!$Y$2:$AA$13,2),"")</f>
        <v/>
      </c>
      <c r="D705" s="109">
        <f>IFERROR(GETPIVOTDATA("Valor Recebido",'Dashboard-Dados'!$J$1,$A$1,A705,$B$1,B705),0)</f>
        <v>0</v>
      </c>
      <c r="E705" s="110">
        <f>IFERROR(GETPIVOTDATA("Valor Despesa",'Dashboard-Dados'!$P$1,$A$1,A705,$B$1,B705),0)</f>
        <v>0</v>
      </c>
      <c r="F705" s="110">
        <f t="shared" si="1"/>
        <v>0</v>
      </c>
      <c r="G705" s="56">
        <f>IFERROR(GETPIVOTDATA("Exame",'Dashboard-Dados'!$J$1,$A$1,A705,$B$1,B705),0)</f>
        <v>0</v>
      </c>
      <c r="H705" s="56">
        <f t="shared" si="2"/>
        <v>705</v>
      </c>
      <c r="U705" s="56"/>
      <c r="V705" s="56"/>
      <c r="W705" s="56"/>
      <c r="Y705" s="138"/>
    </row>
    <row r="706">
      <c r="A706" s="56"/>
      <c r="B706" s="56"/>
      <c r="C706" s="108" t="str">
        <f>IFNA(VLOOKUP('Dashboard-Dados'!B706,'Dashboard-Dados'!$Y$2:$AA$13,2),"")</f>
        <v/>
      </c>
      <c r="D706" s="109">
        <f>IFERROR(GETPIVOTDATA("Valor Recebido",'Dashboard-Dados'!$J$1,$A$1,A706,$B$1,B706),0)</f>
        <v>0</v>
      </c>
      <c r="E706" s="110">
        <f>IFERROR(GETPIVOTDATA("Valor Despesa",'Dashboard-Dados'!$P$1,$A$1,A706,$B$1,B706),0)</f>
        <v>0</v>
      </c>
      <c r="F706" s="110">
        <f t="shared" si="1"/>
        <v>0</v>
      </c>
      <c r="G706" s="56">
        <f>IFERROR(GETPIVOTDATA("Exame",'Dashboard-Dados'!$J$1,$A$1,A706,$B$1,B706),0)</f>
        <v>0</v>
      </c>
      <c r="H706" s="56">
        <f t="shared" si="2"/>
        <v>706</v>
      </c>
      <c r="U706" s="56"/>
      <c r="V706" s="56"/>
      <c r="W706" s="56"/>
      <c r="Y706" s="138"/>
    </row>
    <row r="707">
      <c r="A707" s="56"/>
      <c r="B707" s="56"/>
      <c r="C707" s="108" t="str">
        <f>IFNA(VLOOKUP('Dashboard-Dados'!B707,'Dashboard-Dados'!$Y$2:$AA$13,2),"")</f>
        <v/>
      </c>
      <c r="D707" s="109">
        <f>IFERROR(GETPIVOTDATA("Valor Recebido",'Dashboard-Dados'!$J$1,$A$1,A707,$B$1,B707),0)</f>
        <v>0</v>
      </c>
      <c r="E707" s="110">
        <f>IFERROR(GETPIVOTDATA("Valor Despesa",'Dashboard-Dados'!$P$1,$A$1,A707,$B$1,B707),0)</f>
        <v>0</v>
      </c>
      <c r="F707" s="110">
        <f t="shared" si="1"/>
        <v>0</v>
      </c>
      <c r="G707" s="56">
        <f>IFERROR(GETPIVOTDATA("Exame",'Dashboard-Dados'!$J$1,$A$1,A707,$B$1,B707),0)</f>
        <v>0</v>
      </c>
      <c r="H707" s="56">
        <f t="shared" si="2"/>
        <v>707</v>
      </c>
      <c r="U707" s="56"/>
      <c r="V707" s="56"/>
      <c r="W707" s="56"/>
      <c r="Y707" s="138"/>
    </row>
    <row r="708">
      <c r="A708" s="56"/>
      <c r="B708" s="56"/>
      <c r="C708" s="108" t="str">
        <f>IFNA(VLOOKUP('Dashboard-Dados'!B708,'Dashboard-Dados'!$Y$2:$AA$13,2),"")</f>
        <v/>
      </c>
      <c r="D708" s="109">
        <f>IFERROR(GETPIVOTDATA("Valor Recebido",'Dashboard-Dados'!$J$1,$A$1,A708,$B$1,B708),0)</f>
        <v>0</v>
      </c>
      <c r="E708" s="110">
        <f>IFERROR(GETPIVOTDATA("Valor Despesa",'Dashboard-Dados'!$P$1,$A$1,A708,$B$1,B708),0)</f>
        <v>0</v>
      </c>
      <c r="F708" s="110">
        <f t="shared" si="1"/>
        <v>0</v>
      </c>
      <c r="G708" s="56">
        <f>IFERROR(GETPIVOTDATA("Exame",'Dashboard-Dados'!$J$1,$A$1,A708,$B$1,B708),0)</f>
        <v>0</v>
      </c>
      <c r="H708" s="56">
        <f t="shared" si="2"/>
        <v>708</v>
      </c>
      <c r="U708" s="56"/>
      <c r="V708" s="56"/>
      <c r="W708" s="56"/>
      <c r="Y708" s="138"/>
    </row>
    <row r="709">
      <c r="A709" s="56"/>
      <c r="B709" s="56"/>
      <c r="C709" s="108" t="str">
        <f>IFNA(VLOOKUP('Dashboard-Dados'!B709,'Dashboard-Dados'!$Y$2:$AA$13,2),"")</f>
        <v/>
      </c>
      <c r="D709" s="109">
        <f>IFERROR(GETPIVOTDATA("Valor Recebido",'Dashboard-Dados'!$J$1,$A$1,A709,$B$1,B709),0)</f>
        <v>0</v>
      </c>
      <c r="E709" s="110">
        <f>IFERROR(GETPIVOTDATA("Valor Despesa",'Dashboard-Dados'!$P$1,$A$1,A709,$B$1,B709),0)</f>
        <v>0</v>
      </c>
      <c r="F709" s="110">
        <f t="shared" si="1"/>
        <v>0</v>
      </c>
      <c r="G709" s="56">
        <f>IFERROR(GETPIVOTDATA("Exame",'Dashboard-Dados'!$J$1,$A$1,A709,$B$1,B709),0)</f>
        <v>0</v>
      </c>
      <c r="H709" s="56">
        <f t="shared" si="2"/>
        <v>709</v>
      </c>
      <c r="U709" s="56"/>
      <c r="V709" s="56"/>
      <c r="W709" s="56"/>
      <c r="Y709" s="138"/>
    </row>
    <row r="710">
      <c r="A710" s="56"/>
      <c r="B710" s="56"/>
      <c r="C710" s="108" t="str">
        <f>IFNA(VLOOKUP('Dashboard-Dados'!B710,'Dashboard-Dados'!$Y$2:$AA$13,2),"")</f>
        <v/>
      </c>
      <c r="D710" s="109">
        <f>IFERROR(GETPIVOTDATA("Valor Recebido",'Dashboard-Dados'!$J$1,$A$1,A710,$B$1,B710),0)</f>
        <v>0</v>
      </c>
      <c r="E710" s="110">
        <f>IFERROR(GETPIVOTDATA("Valor Despesa",'Dashboard-Dados'!$P$1,$A$1,A710,$B$1,B710),0)</f>
        <v>0</v>
      </c>
      <c r="F710" s="110">
        <f t="shared" si="1"/>
        <v>0</v>
      </c>
      <c r="G710" s="56">
        <f>IFERROR(GETPIVOTDATA("Exame",'Dashboard-Dados'!$J$1,$A$1,A710,$B$1,B710),0)</f>
        <v>0</v>
      </c>
      <c r="H710" s="56">
        <f t="shared" si="2"/>
        <v>710</v>
      </c>
      <c r="U710" s="56"/>
      <c r="V710" s="56"/>
      <c r="W710" s="56"/>
      <c r="Y710" s="138"/>
    </row>
    <row r="711">
      <c r="A711" s="56"/>
      <c r="B711" s="56"/>
      <c r="C711" s="108" t="str">
        <f>IFNA(VLOOKUP('Dashboard-Dados'!B711,'Dashboard-Dados'!$Y$2:$AA$13,2),"")</f>
        <v/>
      </c>
      <c r="D711" s="109">
        <f>IFERROR(GETPIVOTDATA("Valor Recebido",'Dashboard-Dados'!$J$1,$A$1,A711,$B$1,B711),0)</f>
        <v>0</v>
      </c>
      <c r="E711" s="110">
        <f>IFERROR(GETPIVOTDATA("Valor Despesa",'Dashboard-Dados'!$P$1,$A$1,A711,$B$1,B711),0)</f>
        <v>0</v>
      </c>
      <c r="F711" s="110">
        <f t="shared" si="1"/>
        <v>0</v>
      </c>
      <c r="G711" s="56">
        <f>IFERROR(GETPIVOTDATA("Exame",'Dashboard-Dados'!$J$1,$A$1,A711,$B$1,B711),0)</f>
        <v>0</v>
      </c>
      <c r="H711" s="56">
        <f t="shared" si="2"/>
        <v>711</v>
      </c>
      <c r="U711" s="56"/>
      <c r="V711" s="56"/>
      <c r="W711" s="56"/>
      <c r="Y711" s="138"/>
    </row>
    <row r="712">
      <c r="A712" s="56"/>
      <c r="B712" s="56"/>
      <c r="C712" s="108" t="str">
        <f>IFNA(VLOOKUP('Dashboard-Dados'!B712,'Dashboard-Dados'!$Y$2:$AA$13,2),"")</f>
        <v/>
      </c>
      <c r="D712" s="109">
        <f>IFERROR(GETPIVOTDATA("Valor Recebido",'Dashboard-Dados'!$J$1,$A$1,A712,$B$1,B712),0)</f>
        <v>0</v>
      </c>
      <c r="E712" s="110">
        <f>IFERROR(GETPIVOTDATA("Valor Despesa",'Dashboard-Dados'!$P$1,$A$1,A712,$B$1,B712),0)</f>
        <v>0</v>
      </c>
      <c r="F712" s="110">
        <f t="shared" si="1"/>
        <v>0</v>
      </c>
      <c r="G712" s="56">
        <f>IFERROR(GETPIVOTDATA("Exame",'Dashboard-Dados'!$J$1,$A$1,A712,$B$1,B712),0)</f>
        <v>0</v>
      </c>
      <c r="H712" s="56">
        <f t="shared" si="2"/>
        <v>712</v>
      </c>
      <c r="U712" s="56"/>
      <c r="V712" s="56"/>
      <c r="W712" s="56"/>
      <c r="Y712" s="138"/>
    </row>
    <row r="713">
      <c r="A713" s="56"/>
      <c r="B713" s="56"/>
      <c r="C713" s="108" t="str">
        <f>IFNA(VLOOKUP('Dashboard-Dados'!B713,'Dashboard-Dados'!$Y$2:$AA$13,2),"")</f>
        <v/>
      </c>
      <c r="D713" s="109">
        <f>IFERROR(GETPIVOTDATA("Valor Recebido",'Dashboard-Dados'!$J$1,$A$1,A713,$B$1,B713),0)</f>
        <v>0</v>
      </c>
      <c r="E713" s="110">
        <f>IFERROR(GETPIVOTDATA("Valor Despesa",'Dashboard-Dados'!$P$1,$A$1,A713,$B$1,B713),0)</f>
        <v>0</v>
      </c>
      <c r="F713" s="110">
        <f t="shared" si="1"/>
        <v>0</v>
      </c>
      <c r="G713" s="56">
        <f>IFERROR(GETPIVOTDATA("Exame",'Dashboard-Dados'!$J$1,$A$1,A713,$B$1,B713),0)</f>
        <v>0</v>
      </c>
      <c r="H713" s="56">
        <f t="shared" si="2"/>
        <v>713</v>
      </c>
      <c r="U713" s="56"/>
      <c r="V713" s="56"/>
      <c r="W713" s="56"/>
      <c r="Y713" s="138"/>
    </row>
    <row r="714">
      <c r="A714" s="56"/>
      <c r="B714" s="56"/>
      <c r="C714" s="108" t="str">
        <f>IFNA(VLOOKUP('Dashboard-Dados'!B714,'Dashboard-Dados'!$Y$2:$AA$13,2),"")</f>
        <v/>
      </c>
      <c r="D714" s="109">
        <f>IFERROR(GETPIVOTDATA("Valor Recebido",'Dashboard-Dados'!$J$1,$A$1,A714,$B$1,B714),0)</f>
        <v>0</v>
      </c>
      <c r="E714" s="110">
        <f>IFERROR(GETPIVOTDATA("Valor Despesa",'Dashboard-Dados'!$P$1,$A$1,A714,$B$1,B714),0)</f>
        <v>0</v>
      </c>
      <c r="F714" s="110">
        <f t="shared" si="1"/>
        <v>0</v>
      </c>
      <c r="G714" s="56">
        <f>IFERROR(GETPIVOTDATA("Exame",'Dashboard-Dados'!$J$1,$A$1,A714,$B$1,B714),0)</f>
        <v>0</v>
      </c>
      <c r="H714" s="56">
        <f t="shared" si="2"/>
        <v>714</v>
      </c>
      <c r="U714" s="56"/>
      <c r="V714" s="56"/>
      <c r="W714" s="56"/>
      <c r="Y714" s="138"/>
    </row>
    <row r="715">
      <c r="A715" s="56"/>
      <c r="B715" s="56"/>
      <c r="C715" s="108" t="str">
        <f>IFNA(VLOOKUP('Dashboard-Dados'!B715,'Dashboard-Dados'!$Y$2:$AA$13,2),"")</f>
        <v/>
      </c>
      <c r="D715" s="109">
        <f>IFERROR(GETPIVOTDATA("Valor Recebido",'Dashboard-Dados'!$J$1,$A$1,A715,$B$1,B715),0)</f>
        <v>0</v>
      </c>
      <c r="E715" s="110">
        <f>IFERROR(GETPIVOTDATA("Valor Despesa",'Dashboard-Dados'!$P$1,$A$1,A715,$B$1,B715),0)</f>
        <v>0</v>
      </c>
      <c r="F715" s="110">
        <f t="shared" si="1"/>
        <v>0</v>
      </c>
      <c r="G715" s="56">
        <f>IFERROR(GETPIVOTDATA("Exame",'Dashboard-Dados'!$J$1,$A$1,A715,$B$1,B715),0)</f>
        <v>0</v>
      </c>
      <c r="H715" s="56">
        <f t="shared" si="2"/>
        <v>715</v>
      </c>
      <c r="U715" s="56"/>
      <c r="V715" s="56"/>
      <c r="W715" s="56"/>
      <c r="Y715" s="138"/>
    </row>
    <row r="716">
      <c r="A716" s="56"/>
      <c r="B716" s="56"/>
      <c r="C716" s="108" t="str">
        <f>IFNA(VLOOKUP('Dashboard-Dados'!B716,'Dashboard-Dados'!$Y$2:$AA$13,2),"")</f>
        <v/>
      </c>
      <c r="D716" s="109">
        <f>IFERROR(GETPIVOTDATA("Valor Recebido",'Dashboard-Dados'!$J$1,$A$1,A716,$B$1,B716),0)</f>
        <v>0</v>
      </c>
      <c r="E716" s="110">
        <f>IFERROR(GETPIVOTDATA("Valor Despesa",'Dashboard-Dados'!$P$1,$A$1,A716,$B$1,B716),0)</f>
        <v>0</v>
      </c>
      <c r="F716" s="110">
        <f t="shared" si="1"/>
        <v>0</v>
      </c>
      <c r="G716" s="56">
        <f>IFERROR(GETPIVOTDATA("Exame",'Dashboard-Dados'!$J$1,$A$1,A716,$B$1,B716),0)</f>
        <v>0</v>
      </c>
      <c r="H716" s="56">
        <f t="shared" si="2"/>
        <v>716</v>
      </c>
      <c r="U716" s="56"/>
      <c r="V716" s="56"/>
      <c r="W716" s="56"/>
      <c r="Y716" s="138"/>
    </row>
    <row r="717">
      <c r="A717" s="56"/>
      <c r="B717" s="56"/>
      <c r="C717" s="108" t="str">
        <f>IFNA(VLOOKUP('Dashboard-Dados'!B717,'Dashboard-Dados'!$Y$2:$AA$13,2),"")</f>
        <v/>
      </c>
      <c r="D717" s="109">
        <f>IFERROR(GETPIVOTDATA("Valor Recebido",'Dashboard-Dados'!$J$1,$A$1,A717,$B$1,B717),0)</f>
        <v>0</v>
      </c>
      <c r="E717" s="110">
        <f>IFERROR(GETPIVOTDATA("Valor Despesa",'Dashboard-Dados'!$P$1,$A$1,A717,$B$1,B717),0)</f>
        <v>0</v>
      </c>
      <c r="F717" s="110">
        <f t="shared" si="1"/>
        <v>0</v>
      </c>
      <c r="G717" s="56">
        <f>IFERROR(GETPIVOTDATA("Exame",'Dashboard-Dados'!$J$1,$A$1,A717,$B$1,B717),0)</f>
        <v>0</v>
      </c>
      <c r="H717" s="56">
        <f t="shared" si="2"/>
        <v>717</v>
      </c>
      <c r="U717" s="56"/>
      <c r="V717" s="56"/>
      <c r="W717" s="56"/>
      <c r="Y717" s="138"/>
    </row>
    <row r="718">
      <c r="A718" s="56"/>
      <c r="B718" s="56"/>
      <c r="C718" s="108" t="str">
        <f>IFNA(VLOOKUP('Dashboard-Dados'!B718,'Dashboard-Dados'!$Y$2:$AA$13,2),"")</f>
        <v/>
      </c>
      <c r="D718" s="109">
        <f>IFERROR(GETPIVOTDATA("Valor Recebido",'Dashboard-Dados'!$J$1,$A$1,A718,$B$1,B718),0)</f>
        <v>0</v>
      </c>
      <c r="E718" s="110">
        <f>IFERROR(GETPIVOTDATA("Valor Despesa",'Dashboard-Dados'!$P$1,$A$1,A718,$B$1,B718),0)</f>
        <v>0</v>
      </c>
      <c r="F718" s="110">
        <f t="shared" si="1"/>
        <v>0</v>
      </c>
      <c r="G718" s="56">
        <f>IFERROR(GETPIVOTDATA("Exame",'Dashboard-Dados'!$J$1,$A$1,A718,$B$1,B718),0)</f>
        <v>0</v>
      </c>
      <c r="H718" s="56">
        <f t="shared" si="2"/>
        <v>718</v>
      </c>
      <c r="U718" s="56"/>
      <c r="V718" s="56"/>
      <c r="W718" s="56"/>
      <c r="Y718" s="138"/>
    </row>
    <row r="719">
      <c r="A719" s="56"/>
      <c r="B719" s="56"/>
      <c r="C719" s="108" t="str">
        <f>IFNA(VLOOKUP('Dashboard-Dados'!B719,'Dashboard-Dados'!$Y$2:$AA$13,2),"")</f>
        <v/>
      </c>
      <c r="D719" s="109">
        <f>IFERROR(GETPIVOTDATA("Valor Recebido",'Dashboard-Dados'!$J$1,$A$1,A719,$B$1,B719),0)</f>
        <v>0</v>
      </c>
      <c r="E719" s="110">
        <f>IFERROR(GETPIVOTDATA("Valor Despesa",'Dashboard-Dados'!$P$1,$A$1,A719,$B$1,B719),0)</f>
        <v>0</v>
      </c>
      <c r="F719" s="110">
        <f t="shared" si="1"/>
        <v>0</v>
      </c>
      <c r="G719" s="56">
        <f>IFERROR(GETPIVOTDATA("Exame",'Dashboard-Dados'!$J$1,$A$1,A719,$B$1,B719),0)</f>
        <v>0</v>
      </c>
      <c r="H719" s="56">
        <f t="shared" si="2"/>
        <v>719</v>
      </c>
      <c r="U719" s="56"/>
      <c r="V719" s="56"/>
      <c r="W719" s="56"/>
      <c r="Y719" s="138"/>
    </row>
    <row r="720">
      <c r="A720" s="56"/>
      <c r="B720" s="56"/>
      <c r="C720" s="108" t="str">
        <f>IFNA(VLOOKUP('Dashboard-Dados'!B720,'Dashboard-Dados'!$Y$2:$AA$13,2),"")</f>
        <v/>
      </c>
      <c r="D720" s="109">
        <f>IFERROR(GETPIVOTDATA("Valor Recebido",'Dashboard-Dados'!$J$1,$A$1,A720,$B$1,B720),0)</f>
        <v>0</v>
      </c>
      <c r="E720" s="110">
        <f>IFERROR(GETPIVOTDATA("Valor Despesa",'Dashboard-Dados'!$P$1,$A$1,A720,$B$1,B720),0)</f>
        <v>0</v>
      </c>
      <c r="F720" s="110">
        <f t="shared" si="1"/>
        <v>0</v>
      </c>
      <c r="G720" s="56">
        <f>IFERROR(GETPIVOTDATA("Exame",'Dashboard-Dados'!$J$1,$A$1,A720,$B$1,B720),0)</f>
        <v>0</v>
      </c>
      <c r="H720" s="56">
        <f t="shared" si="2"/>
        <v>720</v>
      </c>
      <c r="U720" s="56"/>
      <c r="V720" s="56"/>
      <c r="W720" s="56"/>
      <c r="Y720" s="138"/>
    </row>
    <row r="721">
      <c r="A721" s="56"/>
      <c r="B721" s="56"/>
      <c r="C721" s="108" t="str">
        <f>IFNA(VLOOKUP('Dashboard-Dados'!B721,'Dashboard-Dados'!$Y$2:$AA$13,2),"")</f>
        <v/>
      </c>
      <c r="D721" s="109">
        <f>IFERROR(GETPIVOTDATA("Valor Recebido",'Dashboard-Dados'!$J$1,$A$1,A721,$B$1,B721),0)</f>
        <v>0</v>
      </c>
      <c r="E721" s="110">
        <f>IFERROR(GETPIVOTDATA("Valor Despesa",'Dashboard-Dados'!$P$1,$A$1,A721,$B$1,B721),0)</f>
        <v>0</v>
      </c>
      <c r="F721" s="110">
        <f t="shared" si="1"/>
        <v>0</v>
      </c>
      <c r="G721" s="56">
        <f>IFERROR(GETPIVOTDATA("Exame",'Dashboard-Dados'!$J$1,$A$1,A721,$B$1,B721),0)</f>
        <v>0</v>
      </c>
      <c r="H721" s="56">
        <f t="shared" si="2"/>
        <v>721</v>
      </c>
      <c r="U721" s="56"/>
      <c r="V721" s="56"/>
      <c r="W721" s="56"/>
      <c r="Y721" s="138"/>
    </row>
    <row r="722">
      <c r="A722" s="56"/>
      <c r="B722" s="56"/>
      <c r="C722" s="108" t="str">
        <f>IFNA(VLOOKUP('Dashboard-Dados'!B722,'Dashboard-Dados'!$Y$2:$AA$13,2),"")</f>
        <v/>
      </c>
      <c r="D722" s="109">
        <f>IFERROR(GETPIVOTDATA("Valor Recebido",'Dashboard-Dados'!$J$1,$A$1,A722,$B$1,B722),0)</f>
        <v>0</v>
      </c>
      <c r="E722" s="110">
        <f>IFERROR(GETPIVOTDATA("Valor Despesa",'Dashboard-Dados'!$P$1,$A$1,A722,$B$1,B722),0)</f>
        <v>0</v>
      </c>
      <c r="F722" s="110">
        <f t="shared" si="1"/>
        <v>0</v>
      </c>
      <c r="G722" s="56">
        <f>IFERROR(GETPIVOTDATA("Exame",'Dashboard-Dados'!$J$1,$A$1,A722,$B$1,B722),0)</f>
        <v>0</v>
      </c>
      <c r="H722" s="56">
        <f t="shared" si="2"/>
        <v>722</v>
      </c>
      <c r="U722" s="56"/>
      <c r="V722" s="56"/>
      <c r="W722" s="56"/>
      <c r="Y722" s="138"/>
    </row>
    <row r="723">
      <c r="A723" s="56"/>
      <c r="B723" s="56"/>
      <c r="C723" s="108" t="str">
        <f>IFNA(VLOOKUP('Dashboard-Dados'!B723,'Dashboard-Dados'!$Y$2:$AA$13,2),"")</f>
        <v/>
      </c>
      <c r="D723" s="109">
        <f>IFERROR(GETPIVOTDATA("Valor Recebido",'Dashboard-Dados'!$J$1,$A$1,A723,$B$1,B723),0)</f>
        <v>0</v>
      </c>
      <c r="E723" s="110">
        <f>IFERROR(GETPIVOTDATA("Valor Despesa",'Dashboard-Dados'!$P$1,$A$1,A723,$B$1,B723),0)</f>
        <v>0</v>
      </c>
      <c r="F723" s="110">
        <f t="shared" si="1"/>
        <v>0</v>
      </c>
      <c r="G723" s="56">
        <f>IFERROR(GETPIVOTDATA("Exame",'Dashboard-Dados'!$J$1,$A$1,A723,$B$1,B723),0)</f>
        <v>0</v>
      </c>
      <c r="H723" s="56">
        <f t="shared" si="2"/>
        <v>723</v>
      </c>
      <c r="U723" s="56"/>
      <c r="V723" s="56"/>
      <c r="W723" s="56"/>
      <c r="Y723" s="138"/>
    </row>
    <row r="724">
      <c r="A724" s="56"/>
      <c r="B724" s="56"/>
      <c r="C724" s="108" t="str">
        <f>IFNA(VLOOKUP('Dashboard-Dados'!B724,'Dashboard-Dados'!$Y$2:$AA$13,2),"")</f>
        <v/>
      </c>
      <c r="D724" s="109">
        <f>IFERROR(GETPIVOTDATA("Valor Recebido",'Dashboard-Dados'!$J$1,$A$1,A724,$B$1,B724),0)</f>
        <v>0</v>
      </c>
      <c r="E724" s="110">
        <f>IFERROR(GETPIVOTDATA("Valor Despesa",'Dashboard-Dados'!$P$1,$A$1,A724,$B$1,B724),0)</f>
        <v>0</v>
      </c>
      <c r="F724" s="110">
        <f t="shared" si="1"/>
        <v>0</v>
      </c>
      <c r="G724" s="56">
        <f>IFERROR(GETPIVOTDATA("Exame",'Dashboard-Dados'!$J$1,$A$1,A724,$B$1,B724),0)</f>
        <v>0</v>
      </c>
      <c r="H724" s="56">
        <f t="shared" si="2"/>
        <v>724</v>
      </c>
      <c r="U724" s="56"/>
      <c r="V724" s="56"/>
      <c r="W724" s="56"/>
      <c r="Y724" s="138"/>
    </row>
    <row r="725">
      <c r="A725" s="56"/>
      <c r="B725" s="56"/>
      <c r="C725" s="108" t="str">
        <f>IFNA(VLOOKUP('Dashboard-Dados'!B725,'Dashboard-Dados'!$Y$2:$AA$13,2),"")</f>
        <v/>
      </c>
      <c r="D725" s="109">
        <f>IFERROR(GETPIVOTDATA("Valor Recebido",'Dashboard-Dados'!$J$1,$A$1,A725,$B$1,B725),0)</f>
        <v>0</v>
      </c>
      <c r="E725" s="110">
        <f>IFERROR(GETPIVOTDATA("Valor Despesa",'Dashboard-Dados'!$P$1,$A$1,A725,$B$1,B725),0)</f>
        <v>0</v>
      </c>
      <c r="F725" s="110">
        <f t="shared" si="1"/>
        <v>0</v>
      </c>
      <c r="G725" s="56">
        <f>IFERROR(GETPIVOTDATA("Exame",'Dashboard-Dados'!$J$1,$A$1,A725,$B$1,B725),0)</f>
        <v>0</v>
      </c>
      <c r="H725" s="56">
        <f t="shared" si="2"/>
        <v>725</v>
      </c>
      <c r="U725" s="56"/>
      <c r="V725" s="56"/>
      <c r="W725" s="56"/>
      <c r="Y725" s="138"/>
    </row>
    <row r="726">
      <c r="A726" s="56"/>
      <c r="B726" s="56"/>
      <c r="C726" s="108" t="str">
        <f>IFNA(VLOOKUP('Dashboard-Dados'!B726,'Dashboard-Dados'!$Y$2:$AA$13,2),"")</f>
        <v/>
      </c>
      <c r="D726" s="109">
        <f>IFERROR(GETPIVOTDATA("Valor Recebido",'Dashboard-Dados'!$J$1,$A$1,A726,$B$1,B726),0)</f>
        <v>0</v>
      </c>
      <c r="E726" s="110">
        <f>IFERROR(GETPIVOTDATA("Valor Despesa",'Dashboard-Dados'!$P$1,$A$1,A726,$B$1,B726),0)</f>
        <v>0</v>
      </c>
      <c r="F726" s="110">
        <f t="shared" si="1"/>
        <v>0</v>
      </c>
      <c r="G726" s="56">
        <f>IFERROR(GETPIVOTDATA("Exame",'Dashboard-Dados'!$J$1,$A$1,A726,$B$1,B726),0)</f>
        <v>0</v>
      </c>
      <c r="H726" s="56">
        <f t="shared" si="2"/>
        <v>726</v>
      </c>
      <c r="U726" s="56"/>
      <c r="V726" s="56"/>
      <c r="W726" s="56"/>
      <c r="Y726" s="138"/>
    </row>
    <row r="727">
      <c r="A727" s="56"/>
      <c r="B727" s="56"/>
      <c r="C727" s="108" t="str">
        <f>IFNA(VLOOKUP('Dashboard-Dados'!B727,'Dashboard-Dados'!$Y$2:$AA$13,2),"")</f>
        <v/>
      </c>
      <c r="D727" s="109">
        <f>IFERROR(GETPIVOTDATA("Valor Recebido",'Dashboard-Dados'!$J$1,$A$1,A727,$B$1,B727),0)</f>
        <v>0</v>
      </c>
      <c r="E727" s="110">
        <f>IFERROR(GETPIVOTDATA("Valor Despesa",'Dashboard-Dados'!$P$1,$A$1,A727,$B$1,B727),0)</f>
        <v>0</v>
      </c>
      <c r="F727" s="110">
        <f t="shared" si="1"/>
        <v>0</v>
      </c>
      <c r="G727" s="56">
        <f>IFERROR(GETPIVOTDATA("Exame",'Dashboard-Dados'!$J$1,$A$1,A727,$B$1,B727),0)</f>
        <v>0</v>
      </c>
      <c r="H727" s="56">
        <f t="shared" si="2"/>
        <v>727</v>
      </c>
      <c r="U727" s="56"/>
      <c r="V727" s="56"/>
      <c r="W727" s="56"/>
      <c r="Y727" s="138"/>
    </row>
    <row r="728">
      <c r="A728" s="56"/>
      <c r="B728" s="56"/>
      <c r="C728" s="108" t="str">
        <f>IFNA(VLOOKUP('Dashboard-Dados'!B728,'Dashboard-Dados'!$Y$2:$AA$13,2),"")</f>
        <v/>
      </c>
      <c r="D728" s="109">
        <f>IFERROR(GETPIVOTDATA("Valor Recebido",'Dashboard-Dados'!$J$1,$A$1,A728,$B$1,B728),0)</f>
        <v>0</v>
      </c>
      <c r="E728" s="110">
        <f>IFERROR(GETPIVOTDATA("Valor Despesa",'Dashboard-Dados'!$P$1,$A$1,A728,$B$1,B728),0)</f>
        <v>0</v>
      </c>
      <c r="F728" s="110">
        <f t="shared" si="1"/>
        <v>0</v>
      </c>
      <c r="G728" s="56">
        <f>IFERROR(GETPIVOTDATA("Exame",'Dashboard-Dados'!$J$1,$A$1,A728,$B$1,B728),0)</f>
        <v>0</v>
      </c>
      <c r="H728" s="56">
        <f t="shared" si="2"/>
        <v>728</v>
      </c>
      <c r="U728" s="56"/>
      <c r="V728" s="56"/>
      <c r="W728" s="56"/>
      <c r="Y728" s="138"/>
    </row>
    <row r="729">
      <c r="A729" s="56"/>
      <c r="B729" s="56"/>
      <c r="C729" s="108" t="str">
        <f>IFNA(VLOOKUP('Dashboard-Dados'!B729,'Dashboard-Dados'!$Y$2:$AA$13,2),"")</f>
        <v/>
      </c>
      <c r="D729" s="109">
        <f>IFERROR(GETPIVOTDATA("Valor Recebido",'Dashboard-Dados'!$J$1,$A$1,A729,$B$1,B729),0)</f>
        <v>0</v>
      </c>
      <c r="E729" s="110">
        <f>IFERROR(GETPIVOTDATA("Valor Despesa",'Dashboard-Dados'!$P$1,$A$1,A729,$B$1,B729),0)</f>
        <v>0</v>
      </c>
      <c r="F729" s="110">
        <f t="shared" si="1"/>
        <v>0</v>
      </c>
      <c r="G729" s="56">
        <f>IFERROR(GETPIVOTDATA("Exame",'Dashboard-Dados'!$J$1,$A$1,A729,$B$1,B729),0)</f>
        <v>0</v>
      </c>
      <c r="H729" s="56">
        <f t="shared" si="2"/>
        <v>729</v>
      </c>
      <c r="U729" s="56"/>
      <c r="V729" s="56"/>
      <c r="W729" s="56"/>
      <c r="Y729" s="138"/>
    </row>
    <row r="730">
      <c r="A730" s="56"/>
      <c r="B730" s="56"/>
      <c r="C730" s="108" t="str">
        <f>IFNA(VLOOKUP('Dashboard-Dados'!B730,'Dashboard-Dados'!$Y$2:$AA$13,2),"")</f>
        <v/>
      </c>
      <c r="D730" s="109">
        <f>IFERROR(GETPIVOTDATA("Valor Recebido",'Dashboard-Dados'!$J$1,$A$1,A730,$B$1,B730),0)</f>
        <v>0</v>
      </c>
      <c r="E730" s="110">
        <f>IFERROR(GETPIVOTDATA("Valor Despesa",'Dashboard-Dados'!$P$1,$A$1,A730,$B$1,B730),0)</f>
        <v>0</v>
      </c>
      <c r="F730" s="110">
        <f t="shared" si="1"/>
        <v>0</v>
      </c>
      <c r="G730" s="56">
        <f>IFERROR(GETPIVOTDATA("Exame",'Dashboard-Dados'!$J$1,$A$1,A730,$B$1,B730),0)</f>
        <v>0</v>
      </c>
      <c r="H730" s="56">
        <f t="shared" si="2"/>
        <v>730</v>
      </c>
      <c r="U730" s="56"/>
      <c r="V730" s="56"/>
      <c r="W730" s="56"/>
      <c r="Y730" s="138"/>
    </row>
    <row r="731">
      <c r="A731" s="56"/>
      <c r="B731" s="56"/>
      <c r="C731" s="108" t="str">
        <f>IFNA(VLOOKUP('Dashboard-Dados'!B731,'Dashboard-Dados'!$Y$2:$AA$13,2),"")</f>
        <v/>
      </c>
      <c r="D731" s="109">
        <f>IFERROR(GETPIVOTDATA("Valor Recebido",'Dashboard-Dados'!$J$1,$A$1,A731,$B$1,B731),0)</f>
        <v>0</v>
      </c>
      <c r="E731" s="110">
        <f>IFERROR(GETPIVOTDATA("Valor Despesa",'Dashboard-Dados'!$P$1,$A$1,A731,$B$1,B731),0)</f>
        <v>0</v>
      </c>
      <c r="F731" s="110">
        <f t="shared" si="1"/>
        <v>0</v>
      </c>
      <c r="G731" s="56">
        <f>IFERROR(GETPIVOTDATA("Exame",'Dashboard-Dados'!$J$1,$A$1,A731,$B$1,B731),0)</f>
        <v>0</v>
      </c>
      <c r="H731" s="56">
        <f t="shared" si="2"/>
        <v>731</v>
      </c>
      <c r="U731" s="56"/>
      <c r="V731" s="56"/>
      <c r="W731" s="56"/>
      <c r="Y731" s="138"/>
    </row>
    <row r="732">
      <c r="A732" s="56"/>
      <c r="B732" s="56"/>
      <c r="C732" s="108" t="str">
        <f>IFNA(VLOOKUP('Dashboard-Dados'!B732,'Dashboard-Dados'!$Y$2:$AA$13,2),"")</f>
        <v/>
      </c>
      <c r="D732" s="109">
        <f>IFERROR(GETPIVOTDATA("Valor Recebido",'Dashboard-Dados'!$J$1,$A$1,A732,$B$1,B732),0)</f>
        <v>0</v>
      </c>
      <c r="E732" s="110">
        <f>IFERROR(GETPIVOTDATA("Valor Despesa",'Dashboard-Dados'!$P$1,$A$1,A732,$B$1,B732),0)</f>
        <v>0</v>
      </c>
      <c r="F732" s="110">
        <f t="shared" si="1"/>
        <v>0</v>
      </c>
      <c r="G732" s="56">
        <f>IFERROR(GETPIVOTDATA("Exame",'Dashboard-Dados'!$J$1,$A$1,A732,$B$1,B732),0)</f>
        <v>0</v>
      </c>
      <c r="H732" s="56">
        <f t="shared" si="2"/>
        <v>732</v>
      </c>
      <c r="U732" s="56"/>
      <c r="V732" s="56"/>
      <c r="W732" s="56"/>
      <c r="Y732" s="138"/>
    </row>
    <row r="733">
      <c r="A733" s="56"/>
      <c r="B733" s="56"/>
      <c r="C733" s="108" t="str">
        <f>IFNA(VLOOKUP('Dashboard-Dados'!B733,'Dashboard-Dados'!$Y$2:$AA$13,2),"")</f>
        <v/>
      </c>
      <c r="D733" s="109">
        <f>IFERROR(GETPIVOTDATA("Valor Recebido",'Dashboard-Dados'!$J$1,$A$1,A733,$B$1,B733),0)</f>
        <v>0</v>
      </c>
      <c r="E733" s="110">
        <f>IFERROR(GETPIVOTDATA("Valor Despesa",'Dashboard-Dados'!$P$1,$A$1,A733,$B$1,B733),0)</f>
        <v>0</v>
      </c>
      <c r="F733" s="110">
        <f t="shared" si="1"/>
        <v>0</v>
      </c>
      <c r="G733" s="56">
        <f>IFERROR(GETPIVOTDATA("Exame",'Dashboard-Dados'!$J$1,$A$1,A733,$B$1,B733),0)</f>
        <v>0</v>
      </c>
      <c r="H733" s="56">
        <f t="shared" si="2"/>
        <v>733</v>
      </c>
      <c r="U733" s="56"/>
      <c r="V733" s="56"/>
      <c r="W733" s="56"/>
      <c r="Y733" s="138"/>
    </row>
    <row r="734">
      <c r="A734" s="56"/>
      <c r="B734" s="56"/>
      <c r="C734" s="108" t="str">
        <f>IFNA(VLOOKUP('Dashboard-Dados'!B734,'Dashboard-Dados'!$Y$2:$AA$13,2),"")</f>
        <v/>
      </c>
      <c r="D734" s="109">
        <f>IFERROR(GETPIVOTDATA("Valor Recebido",'Dashboard-Dados'!$J$1,$A$1,A734,$B$1,B734),0)</f>
        <v>0</v>
      </c>
      <c r="E734" s="110">
        <f>IFERROR(GETPIVOTDATA("Valor Despesa",'Dashboard-Dados'!$P$1,$A$1,A734,$B$1,B734),0)</f>
        <v>0</v>
      </c>
      <c r="F734" s="110">
        <f t="shared" si="1"/>
        <v>0</v>
      </c>
      <c r="G734" s="56">
        <f>IFERROR(GETPIVOTDATA("Exame",'Dashboard-Dados'!$J$1,$A$1,A734,$B$1,B734),0)</f>
        <v>0</v>
      </c>
      <c r="H734" s="56">
        <f t="shared" si="2"/>
        <v>734</v>
      </c>
      <c r="U734" s="56"/>
      <c r="V734" s="56"/>
      <c r="W734" s="56"/>
      <c r="Y734" s="138"/>
    </row>
    <row r="735">
      <c r="A735" s="56"/>
      <c r="B735" s="56"/>
      <c r="C735" s="108" t="str">
        <f>IFNA(VLOOKUP('Dashboard-Dados'!B735,'Dashboard-Dados'!$Y$2:$AA$13,2),"")</f>
        <v/>
      </c>
      <c r="D735" s="109">
        <f>IFERROR(GETPIVOTDATA("Valor Recebido",'Dashboard-Dados'!$J$1,$A$1,A735,$B$1,B735),0)</f>
        <v>0</v>
      </c>
      <c r="E735" s="110">
        <f>IFERROR(GETPIVOTDATA("Valor Despesa",'Dashboard-Dados'!$P$1,$A$1,A735,$B$1,B735),0)</f>
        <v>0</v>
      </c>
      <c r="F735" s="110">
        <f t="shared" si="1"/>
        <v>0</v>
      </c>
      <c r="G735" s="56">
        <f>IFERROR(GETPIVOTDATA("Exame",'Dashboard-Dados'!$J$1,$A$1,A735,$B$1,B735),0)</f>
        <v>0</v>
      </c>
      <c r="H735" s="56">
        <f t="shared" si="2"/>
        <v>735</v>
      </c>
      <c r="U735" s="56"/>
      <c r="V735" s="56"/>
      <c r="W735" s="56"/>
      <c r="Y735" s="138"/>
    </row>
    <row r="736">
      <c r="A736" s="56"/>
      <c r="B736" s="56"/>
      <c r="C736" s="108" t="str">
        <f>IFNA(VLOOKUP('Dashboard-Dados'!B736,'Dashboard-Dados'!$Y$2:$AA$13,2),"")</f>
        <v/>
      </c>
      <c r="D736" s="109">
        <f>IFERROR(GETPIVOTDATA("Valor Recebido",'Dashboard-Dados'!$J$1,$A$1,A736,$B$1,B736),0)</f>
        <v>0</v>
      </c>
      <c r="E736" s="110">
        <f>IFERROR(GETPIVOTDATA("Valor Despesa",'Dashboard-Dados'!$P$1,$A$1,A736,$B$1,B736),0)</f>
        <v>0</v>
      </c>
      <c r="F736" s="110">
        <f t="shared" si="1"/>
        <v>0</v>
      </c>
      <c r="G736" s="56">
        <f>IFERROR(GETPIVOTDATA("Exame",'Dashboard-Dados'!$J$1,$A$1,A736,$B$1,B736),0)</f>
        <v>0</v>
      </c>
      <c r="H736" s="56">
        <f t="shared" si="2"/>
        <v>736</v>
      </c>
      <c r="U736" s="56"/>
      <c r="V736" s="56"/>
      <c r="W736" s="56"/>
      <c r="Y736" s="138"/>
    </row>
    <row r="737">
      <c r="A737" s="56"/>
      <c r="B737" s="56"/>
      <c r="C737" s="108" t="str">
        <f>IFNA(VLOOKUP('Dashboard-Dados'!B737,'Dashboard-Dados'!$Y$2:$AA$13,2),"")</f>
        <v/>
      </c>
      <c r="D737" s="109">
        <f>IFERROR(GETPIVOTDATA("Valor Recebido",'Dashboard-Dados'!$J$1,$A$1,A737,$B$1,B737),0)</f>
        <v>0</v>
      </c>
      <c r="E737" s="110">
        <f>IFERROR(GETPIVOTDATA("Valor Despesa",'Dashboard-Dados'!$P$1,$A$1,A737,$B$1,B737),0)</f>
        <v>0</v>
      </c>
      <c r="F737" s="110">
        <f t="shared" si="1"/>
        <v>0</v>
      </c>
      <c r="G737" s="56">
        <f>IFERROR(GETPIVOTDATA("Exame",'Dashboard-Dados'!$J$1,$A$1,A737,$B$1,B737),0)</f>
        <v>0</v>
      </c>
      <c r="H737" s="56">
        <f t="shared" si="2"/>
        <v>737</v>
      </c>
      <c r="U737" s="56"/>
      <c r="V737" s="56"/>
      <c r="W737" s="56"/>
      <c r="Y737" s="138"/>
    </row>
    <row r="738">
      <c r="A738" s="56"/>
      <c r="B738" s="56"/>
      <c r="C738" s="108" t="str">
        <f>IFNA(VLOOKUP('Dashboard-Dados'!B738,'Dashboard-Dados'!$Y$2:$AA$13,2),"")</f>
        <v/>
      </c>
      <c r="D738" s="109">
        <f>IFERROR(GETPIVOTDATA("Valor Recebido",'Dashboard-Dados'!$J$1,$A$1,A738,$B$1,B738),0)</f>
        <v>0</v>
      </c>
      <c r="E738" s="110">
        <f>IFERROR(GETPIVOTDATA("Valor Despesa",'Dashboard-Dados'!$P$1,$A$1,A738,$B$1,B738),0)</f>
        <v>0</v>
      </c>
      <c r="F738" s="110">
        <f t="shared" si="1"/>
        <v>0</v>
      </c>
      <c r="G738" s="56">
        <f>IFERROR(GETPIVOTDATA("Exame",'Dashboard-Dados'!$J$1,$A$1,A738,$B$1,B738),0)</f>
        <v>0</v>
      </c>
      <c r="H738" s="56">
        <f t="shared" si="2"/>
        <v>738</v>
      </c>
      <c r="U738" s="56"/>
      <c r="V738" s="56"/>
      <c r="W738" s="56"/>
      <c r="Y738" s="138"/>
    </row>
    <row r="739">
      <c r="A739" s="56"/>
      <c r="B739" s="56"/>
      <c r="C739" s="108" t="str">
        <f>IFNA(VLOOKUP('Dashboard-Dados'!B739,'Dashboard-Dados'!$Y$2:$AA$13,2),"")</f>
        <v/>
      </c>
      <c r="D739" s="109">
        <f>IFERROR(GETPIVOTDATA("Valor Recebido",'Dashboard-Dados'!$J$1,$A$1,A739,$B$1,B739),0)</f>
        <v>0</v>
      </c>
      <c r="E739" s="110">
        <f>IFERROR(GETPIVOTDATA("Valor Despesa",'Dashboard-Dados'!$P$1,$A$1,A739,$B$1,B739),0)</f>
        <v>0</v>
      </c>
      <c r="F739" s="110">
        <f t="shared" si="1"/>
        <v>0</v>
      </c>
      <c r="G739" s="56">
        <f>IFERROR(GETPIVOTDATA("Exame",'Dashboard-Dados'!$J$1,$A$1,A739,$B$1,B739),0)</f>
        <v>0</v>
      </c>
      <c r="H739" s="56">
        <f t="shared" si="2"/>
        <v>739</v>
      </c>
      <c r="U739" s="56"/>
      <c r="V739" s="56"/>
      <c r="W739" s="56"/>
      <c r="Y739" s="138"/>
    </row>
    <row r="740">
      <c r="A740" s="56"/>
      <c r="B740" s="56"/>
      <c r="C740" s="108" t="str">
        <f>IFNA(VLOOKUP('Dashboard-Dados'!B740,'Dashboard-Dados'!$Y$2:$AA$13,2),"")</f>
        <v/>
      </c>
      <c r="D740" s="109">
        <f>IFERROR(GETPIVOTDATA("Valor Recebido",'Dashboard-Dados'!$J$1,$A$1,A740,$B$1,B740),0)</f>
        <v>0</v>
      </c>
      <c r="E740" s="110">
        <f>IFERROR(GETPIVOTDATA("Valor Despesa",'Dashboard-Dados'!$P$1,$A$1,A740,$B$1,B740),0)</f>
        <v>0</v>
      </c>
      <c r="F740" s="110">
        <f t="shared" si="1"/>
        <v>0</v>
      </c>
      <c r="G740" s="56">
        <f>IFERROR(GETPIVOTDATA("Exame",'Dashboard-Dados'!$J$1,$A$1,A740,$B$1,B740),0)</f>
        <v>0</v>
      </c>
      <c r="H740" s="56">
        <f t="shared" si="2"/>
        <v>740</v>
      </c>
      <c r="U740" s="56"/>
      <c r="V740" s="56"/>
      <c r="W740" s="56"/>
      <c r="Y740" s="138"/>
    </row>
    <row r="741">
      <c r="A741" s="56"/>
      <c r="B741" s="56"/>
      <c r="C741" s="108" t="str">
        <f>IFNA(VLOOKUP('Dashboard-Dados'!B741,'Dashboard-Dados'!$Y$2:$AA$13,2),"")</f>
        <v/>
      </c>
      <c r="D741" s="109">
        <f>IFERROR(GETPIVOTDATA("Valor Recebido",'Dashboard-Dados'!$J$1,$A$1,A741,$B$1,B741),0)</f>
        <v>0</v>
      </c>
      <c r="E741" s="110">
        <f>IFERROR(GETPIVOTDATA("Valor Despesa",'Dashboard-Dados'!$P$1,$A$1,A741,$B$1,B741),0)</f>
        <v>0</v>
      </c>
      <c r="F741" s="110">
        <f t="shared" si="1"/>
        <v>0</v>
      </c>
      <c r="G741" s="56">
        <f>IFERROR(GETPIVOTDATA("Exame",'Dashboard-Dados'!$J$1,$A$1,A741,$B$1,B741),0)</f>
        <v>0</v>
      </c>
      <c r="H741" s="56">
        <f t="shared" si="2"/>
        <v>741</v>
      </c>
      <c r="U741" s="56"/>
      <c r="V741" s="56"/>
      <c r="W741" s="56"/>
      <c r="Y741" s="138"/>
    </row>
    <row r="742">
      <c r="A742" s="56"/>
      <c r="B742" s="56"/>
      <c r="C742" s="108" t="str">
        <f>IFNA(VLOOKUP('Dashboard-Dados'!B742,'Dashboard-Dados'!$Y$2:$AA$13,2),"")</f>
        <v/>
      </c>
      <c r="D742" s="109">
        <f>IFERROR(GETPIVOTDATA("Valor Recebido",'Dashboard-Dados'!$J$1,$A$1,A742,$B$1,B742),0)</f>
        <v>0</v>
      </c>
      <c r="E742" s="110">
        <f>IFERROR(GETPIVOTDATA("Valor Despesa",'Dashboard-Dados'!$P$1,$A$1,A742,$B$1,B742),0)</f>
        <v>0</v>
      </c>
      <c r="F742" s="110">
        <f t="shared" si="1"/>
        <v>0</v>
      </c>
      <c r="G742" s="56">
        <f>IFERROR(GETPIVOTDATA("Exame",'Dashboard-Dados'!$J$1,$A$1,A742,$B$1,B742),0)</f>
        <v>0</v>
      </c>
      <c r="H742" s="56">
        <f t="shared" si="2"/>
        <v>742</v>
      </c>
      <c r="U742" s="56"/>
      <c r="V742" s="56"/>
      <c r="W742" s="56"/>
      <c r="Y742" s="138"/>
    </row>
    <row r="743">
      <c r="A743" s="56"/>
      <c r="B743" s="56"/>
      <c r="C743" s="108" t="str">
        <f>IFNA(VLOOKUP('Dashboard-Dados'!B743,'Dashboard-Dados'!$Y$2:$AA$13,2),"")</f>
        <v/>
      </c>
      <c r="D743" s="109">
        <f>IFERROR(GETPIVOTDATA("Valor Recebido",'Dashboard-Dados'!$J$1,$A$1,A743,$B$1,B743),0)</f>
        <v>0</v>
      </c>
      <c r="E743" s="110">
        <f>IFERROR(GETPIVOTDATA("Valor Despesa",'Dashboard-Dados'!$P$1,$A$1,A743,$B$1,B743),0)</f>
        <v>0</v>
      </c>
      <c r="F743" s="110">
        <f t="shared" si="1"/>
        <v>0</v>
      </c>
      <c r="G743" s="56">
        <f>IFERROR(GETPIVOTDATA("Exame",'Dashboard-Dados'!$J$1,$A$1,A743,$B$1,B743),0)</f>
        <v>0</v>
      </c>
      <c r="H743" s="56">
        <f t="shared" si="2"/>
        <v>743</v>
      </c>
      <c r="U743" s="56"/>
      <c r="V743" s="56"/>
      <c r="W743" s="56"/>
      <c r="Y743" s="138"/>
    </row>
    <row r="744">
      <c r="A744" s="56"/>
      <c r="B744" s="56"/>
      <c r="C744" s="108" t="str">
        <f>IFNA(VLOOKUP('Dashboard-Dados'!B744,'Dashboard-Dados'!$Y$2:$AA$13,2),"")</f>
        <v/>
      </c>
      <c r="D744" s="109">
        <f>IFERROR(GETPIVOTDATA("Valor Recebido",'Dashboard-Dados'!$J$1,$A$1,A744,$B$1,B744),0)</f>
        <v>0</v>
      </c>
      <c r="E744" s="110">
        <f>IFERROR(GETPIVOTDATA("Valor Despesa",'Dashboard-Dados'!$P$1,$A$1,A744,$B$1,B744),0)</f>
        <v>0</v>
      </c>
      <c r="F744" s="110">
        <f t="shared" si="1"/>
        <v>0</v>
      </c>
      <c r="G744" s="56">
        <f>IFERROR(GETPIVOTDATA("Exame",'Dashboard-Dados'!$J$1,$A$1,A744,$B$1,B744),0)</f>
        <v>0</v>
      </c>
      <c r="H744" s="56">
        <f t="shared" si="2"/>
        <v>744</v>
      </c>
      <c r="U744" s="56"/>
      <c r="V744" s="56"/>
      <c r="W744" s="56"/>
      <c r="Y744" s="138"/>
    </row>
    <row r="745">
      <c r="A745" s="56"/>
      <c r="B745" s="56"/>
      <c r="C745" s="108" t="str">
        <f>IFNA(VLOOKUP('Dashboard-Dados'!B745,'Dashboard-Dados'!$Y$2:$AA$13,2),"")</f>
        <v/>
      </c>
      <c r="D745" s="109">
        <f>IFERROR(GETPIVOTDATA("Valor Recebido",'Dashboard-Dados'!$J$1,$A$1,A745,$B$1,B745),0)</f>
        <v>0</v>
      </c>
      <c r="E745" s="110">
        <f>IFERROR(GETPIVOTDATA("Valor Despesa",'Dashboard-Dados'!$P$1,$A$1,A745,$B$1,B745),0)</f>
        <v>0</v>
      </c>
      <c r="F745" s="110">
        <f t="shared" si="1"/>
        <v>0</v>
      </c>
      <c r="G745" s="56">
        <f>IFERROR(GETPIVOTDATA("Exame",'Dashboard-Dados'!$J$1,$A$1,A745,$B$1,B745),0)</f>
        <v>0</v>
      </c>
      <c r="H745" s="56">
        <f t="shared" si="2"/>
        <v>745</v>
      </c>
      <c r="U745" s="56"/>
      <c r="V745" s="56"/>
      <c r="W745" s="56"/>
      <c r="Y745" s="138"/>
    </row>
    <row r="746">
      <c r="A746" s="56"/>
      <c r="B746" s="56"/>
      <c r="C746" s="108" t="str">
        <f>IFNA(VLOOKUP('Dashboard-Dados'!B746,'Dashboard-Dados'!$Y$2:$AA$13,2),"")</f>
        <v/>
      </c>
      <c r="D746" s="109">
        <f>IFERROR(GETPIVOTDATA("Valor Recebido",'Dashboard-Dados'!$J$1,$A$1,A746,$B$1,B746),0)</f>
        <v>0</v>
      </c>
      <c r="E746" s="110">
        <f>IFERROR(GETPIVOTDATA("Valor Despesa",'Dashboard-Dados'!$P$1,$A$1,A746,$B$1,B746),0)</f>
        <v>0</v>
      </c>
      <c r="F746" s="110">
        <f t="shared" si="1"/>
        <v>0</v>
      </c>
      <c r="G746" s="56">
        <f>IFERROR(GETPIVOTDATA("Exame",'Dashboard-Dados'!$J$1,$A$1,A746,$B$1,B746),0)</f>
        <v>0</v>
      </c>
      <c r="H746" s="56">
        <f t="shared" si="2"/>
        <v>746</v>
      </c>
      <c r="U746" s="56"/>
      <c r="V746" s="56"/>
      <c r="W746" s="56"/>
      <c r="Y746" s="138"/>
    </row>
    <row r="747">
      <c r="A747" s="56"/>
      <c r="B747" s="56"/>
      <c r="C747" s="108" t="str">
        <f>IFNA(VLOOKUP('Dashboard-Dados'!B747,'Dashboard-Dados'!$Y$2:$AA$13,2),"")</f>
        <v/>
      </c>
      <c r="D747" s="109">
        <f>IFERROR(GETPIVOTDATA("Valor Recebido",'Dashboard-Dados'!$J$1,$A$1,A747,$B$1,B747),0)</f>
        <v>0</v>
      </c>
      <c r="E747" s="110">
        <f>IFERROR(GETPIVOTDATA("Valor Despesa",'Dashboard-Dados'!$P$1,$A$1,A747,$B$1,B747),0)</f>
        <v>0</v>
      </c>
      <c r="F747" s="110">
        <f t="shared" si="1"/>
        <v>0</v>
      </c>
      <c r="G747" s="56">
        <f>IFERROR(GETPIVOTDATA("Exame",'Dashboard-Dados'!$J$1,$A$1,A747,$B$1,B747),0)</f>
        <v>0</v>
      </c>
      <c r="H747" s="56">
        <f t="shared" si="2"/>
        <v>747</v>
      </c>
      <c r="U747" s="56"/>
      <c r="V747" s="56"/>
      <c r="W747" s="56"/>
      <c r="Y747" s="138"/>
    </row>
    <row r="748">
      <c r="A748" s="56"/>
      <c r="B748" s="56"/>
      <c r="C748" s="108" t="str">
        <f>IFNA(VLOOKUP('Dashboard-Dados'!B748,'Dashboard-Dados'!$Y$2:$AA$13,2),"")</f>
        <v/>
      </c>
      <c r="D748" s="109">
        <f>IFERROR(GETPIVOTDATA("Valor Recebido",'Dashboard-Dados'!$J$1,$A$1,A748,$B$1,B748),0)</f>
        <v>0</v>
      </c>
      <c r="E748" s="110">
        <f>IFERROR(GETPIVOTDATA("Valor Despesa",'Dashboard-Dados'!$P$1,$A$1,A748,$B$1,B748),0)</f>
        <v>0</v>
      </c>
      <c r="F748" s="110">
        <f t="shared" si="1"/>
        <v>0</v>
      </c>
      <c r="G748" s="56">
        <f>IFERROR(GETPIVOTDATA("Exame",'Dashboard-Dados'!$J$1,$A$1,A748,$B$1,B748),0)</f>
        <v>0</v>
      </c>
      <c r="H748" s="56">
        <f t="shared" si="2"/>
        <v>748</v>
      </c>
      <c r="U748" s="56"/>
      <c r="V748" s="56"/>
      <c r="W748" s="56"/>
      <c r="Y748" s="138"/>
    </row>
    <row r="749">
      <c r="A749" s="56"/>
      <c r="B749" s="56"/>
      <c r="C749" s="108" t="str">
        <f>IFNA(VLOOKUP('Dashboard-Dados'!B749,'Dashboard-Dados'!$Y$2:$AA$13,2),"")</f>
        <v/>
      </c>
      <c r="D749" s="109">
        <f>IFERROR(GETPIVOTDATA("Valor Recebido",'Dashboard-Dados'!$J$1,$A$1,A749,$B$1,B749),0)</f>
        <v>0</v>
      </c>
      <c r="E749" s="110">
        <f>IFERROR(GETPIVOTDATA("Valor Despesa",'Dashboard-Dados'!$P$1,$A$1,A749,$B$1,B749),0)</f>
        <v>0</v>
      </c>
      <c r="F749" s="110">
        <f t="shared" si="1"/>
        <v>0</v>
      </c>
      <c r="G749" s="56">
        <f>IFERROR(GETPIVOTDATA("Exame",'Dashboard-Dados'!$J$1,$A$1,A749,$B$1,B749),0)</f>
        <v>0</v>
      </c>
      <c r="H749" s="56">
        <f t="shared" si="2"/>
        <v>749</v>
      </c>
      <c r="U749" s="56"/>
      <c r="V749" s="56"/>
      <c r="W749" s="56"/>
      <c r="Y749" s="138"/>
    </row>
    <row r="750">
      <c r="A750" s="56"/>
      <c r="B750" s="56"/>
      <c r="C750" s="108" t="str">
        <f>IFNA(VLOOKUP('Dashboard-Dados'!B750,'Dashboard-Dados'!$Y$2:$AA$13,2),"")</f>
        <v/>
      </c>
      <c r="D750" s="109">
        <f>IFERROR(GETPIVOTDATA("Valor Recebido",'Dashboard-Dados'!$J$1,$A$1,A750,$B$1,B750),0)</f>
        <v>0</v>
      </c>
      <c r="E750" s="110">
        <f>IFERROR(GETPIVOTDATA("Valor Despesa",'Dashboard-Dados'!$P$1,$A$1,A750,$B$1,B750),0)</f>
        <v>0</v>
      </c>
      <c r="F750" s="110">
        <f t="shared" si="1"/>
        <v>0</v>
      </c>
      <c r="G750" s="56">
        <f>IFERROR(GETPIVOTDATA("Exame",'Dashboard-Dados'!$J$1,$A$1,A750,$B$1,B750),0)</f>
        <v>0</v>
      </c>
      <c r="H750" s="56">
        <f t="shared" si="2"/>
        <v>750</v>
      </c>
      <c r="U750" s="56"/>
      <c r="V750" s="56"/>
      <c r="W750" s="56"/>
      <c r="Y750" s="138"/>
    </row>
    <row r="751">
      <c r="A751" s="56"/>
      <c r="B751" s="56"/>
      <c r="C751" s="108" t="str">
        <f>IFNA(VLOOKUP('Dashboard-Dados'!B751,'Dashboard-Dados'!$Y$2:$AA$13,2),"")</f>
        <v/>
      </c>
      <c r="D751" s="109">
        <f>IFERROR(GETPIVOTDATA("Valor Recebido",'Dashboard-Dados'!$J$1,$A$1,A751,$B$1,B751),0)</f>
        <v>0</v>
      </c>
      <c r="E751" s="110">
        <f>IFERROR(GETPIVOTDATA("Valor Despesa",'Dashboard-Dados'!$P$1,$A$1,A751,$B$1,B751),0)</f>
        <v>0</v>
      </c>
      <c r="F751" s="110">
        <f t="shared" si="1"/>
        <v>0</v>
      </c>
      <c r="G751" s="56">
        <f>IFERROR(GETPIVOTDATA("Exame",'Dashboard-Dados'!$J$1,$A$1,A751,$B$1,B751),0)</f>
        <v>0</v>
      </c>
      <c r="H751" s="56">
        <f t="shared" si="2"/>
        <v>751</v>
      </c>
      <c r="U751" s="56"/>
      <c r="V751" s="56"/>
      <c r="W751" s="56"/>
      <c r="Y751" s="138"/>
    </row>
    <row r="752">
      <c r="A752" s="56"/>
      <c r="B752" s="56"/>
      <c r="C752" s="108" t="str">
        <f>IFNA(VLOOKUP('Dashboard-Dados'!B752,'Dashboard-Dados'!$Y$2:$AA$13,2),"")</f>
        <v/>
      </c>
      <c r="D752" s="109">
        <f>IFERROR(GETPIVOTDATA("Valor Recebido",'Dashboard-Dados'!$J$1,$A$1,A752,$B$1,B752),0)</f>
        <v>0</v>
      </c>
      <c r="E752" s="110">
        <f>IFERROR(GETPIVOTDATA("Valor Despesa",'Dashboard-Dados'!$P$1,$A$1,A752,$B$1,B752),0)</f>
        <v>0</v>
      </c>
      <c r="F752" s="110">
        <f t="shared" si="1"/>
        <v>0</v>
      </c>
      <c r="G752" s="56">
        <f>IFERROR(GETPIVOTDATA("Exame",'Dashboard-Dados'!$J$1,$A$1,A752,$B$1,B752),0)</f>
        <v>0</v>
      </c>
      <c r="H752" s="56">
        <f t="shared" si="2"/>
        <v>752</v>
      </c>
      <c r="U752" s="56"/>
      <c r="V752" s="56"/>
      <c r="W752" s="56"/>
      <c r="Y752" s="138"/>
    </row>
    <row r="753">
      <c r="A753" s="56"/>
      <c r="B753" s="56"/>
      <c r="C753" s="108" t="str">
        <f>IFNA(VLOOKUP('Dashboard-Dados'!B753,'Dashboard-Dados'!$Y$2:$AA$13,2),"")</f>
        <v/>
      </c>
      <c r="D753" s="109">
        <f>IFERROR(GETPIVOTDATA("Valor Recebido",'Dashboard-Dados'!$J$1,$A$1,A753,$B$1,B753),0)</f>
        <v>0</v>
      </c>
      <c r="E753" s="110">
        <f>IFERROR(GETPIVOTDATA("Valor Despesa",'Dashboard-Dados'!$P$1,$A$1,A753,$B$1,B753),0)</f>
        <v>0</v>
      </c>
      <c r="F753" s="110">
        <f t="shared" si="1"/>
        <v>0</v>
      </c>
      <c r="G753" s="56">
        <f>IFERROR(GETPIVOTDATA("Exame",'Dashboard-Dados'!$J$1,$A$1,A753,$B$1,B753),0)</f>
        <v>0</v>
      </c>
      <c r="H753" s="56">
        <f t="shared" si="2"/>
        <v>753</v>
      </c>
      <c r="U753" s="56"/>
      <c r="V753" s="56"/>
      <c r="W753" s="56"/>
      <c r="Y753" s="138"/>
    </row>
    <row r="754">
      <c r="A754" s="56"/>
      <c r="B754" s="56"/>
      <c r="C754" s="108" t="str">
        <f>IFNA(VLOOKUP('Dashboard-Dados'!B754,'Dashboard-Dados'!$Y$2:$AA$13,2),"")</f>
        <v/>
      </c>
      <c r="D754" s="109">
        <f>IFERROR(GETPIVOTDATA("Valor Recebido",'Dashboard-Dados'!$J$1,$A$1,A754,$B$1,B754),0)</f>
        <v>0</v>
      </c>
      <c r="E754" s="110">
        <f>IFERROR(GETPIVOTDATA("Valor Despesa",'Dashboard-Dados'!$P$1,$A$1,A754,$B$1,B754),0)</f>
        <v>0</v>
      </c>
      <c r="F754" s="110">
        <f t="shared" si="1"/>
        <v>0</v>
      </c>
      <c r="G754" s="56">
        <f>IFERROR(GETPIVOTDATA("Exame",'Dashboard-Dados'!$J$1,$A$1,A754,$B$1,B754),0)</f>
        <v>0</v>
      </c>
      <c r="H754" s="56">
        <f t="shared" si="2"/>
        <v>754</v>
      </c>
      <c r="U754" s="56"/>
      <c r="V754" s="56"/>
      <c r="W754" s="56"/>
      <c r="Y754" s="138"/>
    </row>
    <row r="755">
      <c r="A755" s="56"/>
      <c r="B755" s="56"/>
      <c r="C755" s="108" t="str">
        <f>IFNA(VLOOKUP('Dashboard-Dados'!B755,'Dashboard-Dados'!$Y$2:$AA$13,2),"")</f>
        <v/>
      </c>
      <c r="D755" s="109">
        <f>IFERROR(GETPIVOTDATA("Valor Recebido",'Dashboard-Dados'!$J$1,$A$1,A755,$B$1,B755),0)</f>
        <v>0</v>
      </c>
      <c r="E755" s="110">
        <f>IFERROR(GETPIVOTDATA("Valor Despesa",'Dashboard-Dados'!$P$1,$A$1,A755,$B$1,B755),0)</f>
        <v>0</v>
      </c>
      <c r="F755" s="110">
        <f t="shared" si="1"/>
        <v>0</v>
      </c>
      <c r="G755" s="56">
        <f>IFERROR(GETPIVOTDATA("Exame",'Dashboard-Dados'!$J$1,$A$1,A755,$B$1,B755),0)</f>
        <v>0</v>
      </c>
      <c r="H755" s="56">
        <f t="shared" si="2"/>
        <v>755</v>
      </c>
      <c r="U755" s="56"/>
      <c r="V755" s="56"/>
      <c r="W755" s="56"/>
      <c r="Y755" s="138"/>
    </row>
    <row r="756">
      <c r="A756" s="56"/>
      <c r="B756" s="56"/>
      <c r="C756" s="108" t="str">
        <f>IFNA(VLOOKUP('Dashboard-Dados'!B756,'Dashboard-Dados'!$Y$2:$AA$13,2),"")</f>
        <v/>
      </c>
      <c r="D756" s="109">
        <f>IFERROR(GETPIVOTDATA("Valor Recebido",'Dashboard-Dados'!$J$1,$A$1,A756,$B$1,B756),0)</f>
        <v>0</v>
      </c>
      <c r="E756" s="110">
        <f>IFERROR(GETPIVOTDATA("Valor Despesa",'Dashboard-Dados'!$P$1,$A$1,A756,$B$1,B756),0)</f>
        <v>0</v>
      </c>
      <c r="F756" s="110">
        <f t="shared" si="1"/>
        <v>0</v>
      </c>
      <c r="G756" s="56">
        <f>IFERROR(GETPIVOTDATA("Exame",'Dashboard-Dados'!$J$1,$A$1,A756,$B$1,B756),0)</f>
        <v>0</v>
      </c>
      <c r="H756" s="56">
        <f t="shared" si="2"/>
        <v>756</v>
      </c>
      <c r="U756" s="56"/>
      <c r="V756" s="56"/>
      <c r="W756" s="56"/>
      <c r="Y756" s="138"/>
    </row>
    <row r="757">
      <c r="A757" s="56"/>
      <c r="B757" s="56"/>
      <c r="C757" s="108" t="str">
        <f>IFNA(VLOOKUP('Dashboard-Dados'!B757,'Dashboard-Dados'!$Y$2:$AA$13,2),"")</f>
        <v/>
      </c>
      <c r="D757" s="109">
        <f>IFERROR(GETPIVOTDATA("Valor Recebido",'Dashboard-Dados'!$J$1,$A$1,A757,$B$1,B757),0)</f>
        <v>0</v>
      </c>
      <c r="E757" s="110">
        <f>IFERROR(GETPIVOTDATA("Valor Despesa",'Dashboard-Dados'!$P$1,$A$1,A757,$B$1,B757),0)</f>
        <v>0</v>
      </c>
      <c r="F757" s="110">
        <f t="shared" si="1"/>
        <v>0</v>
      </c>
      <c r="G757" s="56">
        <f>IFERROR(GETPIVOTDATA("Exame",'Dashboard-Dados'!$J$1,$A$1,A757,$B$1,B757),0)</f>
        <v>0</v>
      </c>
      <c r="H757" s="56">
        <f t="shared" si="2"/>
        <v>757</v>
      </c>
      <c r="U757" s="56"/>
      <c r="V757" s="56"/>
      <c r="W757" s="56"/>
      <c r="Y757" s="138"/>
    </row>
    <row r="758">
      <c r="A758" s="56"/>
      <c r="B758" s="56"/>
      <c r="C758" s="108" t="str">
        <f>IFNA(VLOOKUP('Dashboard-Dados'!B758,'Dashboard-Dados'!$Y$2:$AA$13,2),"")</f>
        <v/>
      </c>
      <c r="D758" s="109">
        <f>IFERROR(GETPIVOTDATA("Valor Recebido",'Dashboard-Dados'!$J$1,$A$1,A758,$B$1,B758),0)</f>
        <v>0</v>
      </c>
      <c r="E758" s="110">
        <f>IFERROR(GETPIVOTDATA("Valor Despesa",'Dashboard-Dados'!$P$1,$A$1,A758,$B$1,B758),0)</f>
        <v>0</v>
      </c>
      <c r="F758" s="110">
        <f t="shared" si="1"/>
        <v>0</v>
      </c>
      <c r="G758" s="56">
        <f>IFERROR(GETPIVOTDATA("Exame",'Dashboard-Dados'!$J$1,$A$1,A758,$B$1,B758),0)</f>
        <v>0</v>
      </c>
      <c r="H758" s="56">
        <f t="shared" si="2"/>
        <v>758</v>
      </c>
      <c r="U758" s="56"/>
      <c r="V758" s="56"/>
      <c r="W758" s="56"/>
      <c r="Y758" s="138"/>
    </row>
    <row r="759">
      <c r="A759" s="56"/>
      <c r="B759" s="56"/>
      <c r="C759" s="108" t="str">
        <f>IFNA(VLOOKUP('Dashboard-Dados'!B759,'Dashboard-Dados'!$Y$2:$AA$13,2),"")</f>
        <v/>
      </c>
      <c r="D759" s="109">
        <f>IFERROR(GETPIVOTDATA("Valor Recebido",'Dashboard-Dados'!$J$1,$A$1,A759,$B$1,B759),0)</f>
        <v>0</v>
      </c>
      <c r="E759" s="110">
        <f>IFERROR(GETPIVOTDATA("Valor Despesa",'Dashboard-Dados'!$P$1,$A$1,A759,$B$1,B759),0)</f>
        <v>0</v>
      </c>
      <c r="F759" s="110">
        <f t="shared" si="1"/>
        <v>0</v>
      </c>
      <c r="G759" s="56">
        <f>IFERROR(GETPIVOTDATA("Exame",'Dashboard-Dados'!$J$1,$A$1,A759,$B$1,B759),0)</f>
        <v>0</v>
      </c>
      <c r="H759" s="56">
        <f t="shared" si="2"/>
        <v>759</v>
      </c>
      <c r="U759" s="56"/>
      <c r="V759" s="56"/>
      <c r="W759" s="56"/>
      <c r="Y759" s="138"/>
    </row>
    <row r="760">
      <c r="A760" s="56"/>
      <c r="B760" s="56"/>
      <c r="C760" s="108" t="str">
        <f>IFNA(VLOOKUP('Dashboard-Dados'!B760,'Dashboard-Dados'!$Y$2:$AA$13,2),"")</f>
        <v/>
      </c>
      <c r="D760" s="109">
        <f>IFERROR(GETPIVOTDATA("Valor Recebido",'Dashboard-Dados'!$J$1,$A$1,A760,$B$1,B760),0)</f>
        <v>0</v>
      </c>
      <c r="E760" s="110">
        <f>IFERROR(GETPIVOTDATA("Valor Despesa",'Dashboard-Dados'!$P$1,$A$1,A760,$B$1,B760),0)</f>
        <v>0</v>
      </c>
      <c r="F760" s="110">
        <f t="shared" si="1"/>
        <v>0</v>
      </c>
      <c r="G760" s="56">
        <f>IFERROR(GETPIVOTDATA("Exame",'Dashboard-Dados'!$J$1,$A$1,A760,$B$1,B760),0)</f>
        <v>0</v>
      </c>
      <c r="H760" s="56">
        <f t="shared" si="2"/>
        <v>760</v>
      </c>
      <c r="U760" s="56"/>
      <c r="V760" s="56"/>
      <c r="W760" s="56"/>
      <c r="Y760" s="138"/>
    </row>
    <row r="761">
      <c r="A761" s="56"/>
      <c r="B761" s="56"/>
      <c r="C761" s="108" t="str">
        <f>IFNA(VLOOKUP('Dashboard-Dados'!B761,'Dashboard-Dados'!$Y$2:$AA$13,2),"")</f>
        <v/>
      </c>
      <c r="D761" s="109">
        <f>IFERROR(GETPIVOTDATA("Valor Recebido",'Dashboard-Dados'!$J$1,$A$1,A761,$B$1,B761),0)</f>
        <v>0</v>
      </c>
      <c r="E761" s="110">
        <f>IFERROR(GETPIVOTDATA("Valor Despesa",'Dashboard-Dados'!$P$1,$A$1,A761,$B$1,B761),0)</f>
        <v>0</v>
      </c>
      <c r="F761" s="110">
        <f t="shared" si="1"/>
        <v>0</v>
      </c>
      <c r="G761" s="56">
        <f>IFERROR(GETPIVOTDATA("Exame",'Dashboard-Dados'!$J$1,$A$1,A761,$B$1,B761),0)</f>
        <v>0</v>
      </c>
      <c r="H761" s="56">
        <f t="shared" si="2"/>
        <v>761</v>
      </c>
      <c r="U761" s="56"/>
      <c r="V761" s="56"/>
      <c r="W761" s="56"/>
      <c r="Y761" s="138"/>
    </row>
    <row r="762">
      <c r="A762" s="56"/>
      <c r="B762" s="56"/>
      <c r="C762" s="108" t="str">
        <f>IFNA(VLOOKUP('Dashboard-Dados'!B762,'Dashboard-Dados'!$Y$2:$AA$13,2),"")</f>
        <v/>
      </c>
      <c r="D762" s="109">
        <f>IFERROR(GETPIVOTDATA("Valor Recebido",'Dashboard-Dados'!$J$1,$A$1,A762,$B$1,B762),0)</f>
        <v>0</v>
      </c>
      <c r="E762" s="110">
        <f>IFERROR(GETPIVOTDATA("Valor Despesa",'Dashboard-Dados'!$P$1,$A$1,A762,$B$1,B762),0)</f>
        <v>0</v>
      </c>
      <c r="F762" s="110">
        <f t="shared" si="1"/>
        <v>0</v>
      </c>
      <c r="G762" s="56">
        <f>IFERROR(GETPIVOTDATA("Exame",'Dashboard-Dados'!$J$1,$A$1,A762,$B$1,B762),0)</f>
        <v>0</v>
      </c>
      <c r="H762" s="56">
        <f t="shared" si="2"/>
        <v>762</v>
      </c>
      <c r="U762" s="56"/>
      <c r="V762" s="56"/>
      <c r="W762" s="56"/>
      <c r="Y762" s="138"/>
    </row>
    <row r="763">
      <c r="A763" s="56"/>
      <c r="B763" s="56"/>
      <c r="C763" s="108" t="str">
        <f>IFNA(VLOOKUP('Dashboard-Dados'!B763,'Dashboard-Dados'!$Y$2:$AA$13,2),"")</f>
        <v/>
      </c>
      <c r="D763" s="109">
        <f>IFERROR(GETPIVOTDATA("Valor Recebido",'Dashboard-Dados'!$J$1,$A$1,A763,$B$1,B763),0)</f>
        <v>0</v>
      </c>
      <c r="E763" s="110">
        <f>IFERROR(GETPIVOTDATA("Valor Despesa",'Dashboard-Dados'!$P$1,$A$1,A763,$B$1,B763),0)</f>
        <v>0</v>
      </c>
      <c r="F763" s="110">
        <f t="shared" si="1"/>
        <v>0</v>
      </c>
      <c r="G763" s="56">
        <f>IFERROR(GETPIVOTDATA("Exame",'Dashboard-Dados'!$J$1,$A$1,A763,$B$1,B763),0)</f>
        <v>0</v>
      </c>
      <c r="H763" s="56">
        <f t="shared" si="2"/>
        <v>763</v>
      </c>
      <c r="U763" s="56"/>
      <c r="V763" s="56"/>
      <c r="W763" s="56"/>
      <c r="Y763" s="138"/>
    </row>
    <row r="764">
      <c r="A764" s="56"/>
      <c r="B764" s="56"/>
      <c r="C764" s="108" t="str">
        <f>IFNA(VLOOKUP('Dashboard-Dados'!B764,'Dashboard-Dados'!$Y$2:$AA$13,2),"")</f>
        <v/>
      </c>
      <c r="D764" s="109">
        <f>IFERROR(GETPIVOTDATA("Valor Recebido",'Dashboard-Dados'!$J$1,$A$1,A764,$B$1,B764),0)</f>
        <v>0</v>
      </c>
      <c r="E764" s="110">
        <f>IFERROR(GETPIVOTDATA("Valor Despesa",'Dashboard-Dados'!$P$1,$A$1,A764,$B$1,B764),0)</f>
        <v>0</v>
      </c>
      <c r="F764" s="110">
        <f t="shared" si="1"/>
        <v>0</v>
      </c>
      <c r="G764" s="56">
        <f>IFERROR(GETPIVOTDATA("Exame",'Dashboard-Dados'!$J$1,$A$1,A764,$B$1,B764),0)</f>
        <v>0</v>
      </c>
      <c r="H764" s="56">
        <f t="shared" si="2"/>
        <v>764</v>
      </c>
      <c r="U764" s="56"/>
      <c r="V764" s="56"/>
      <c r="W764" s="56"/>
      <c r="Y764" s="138"/>
    </row>
    <row r="765">
      <c r="A765" s="56"/>
      <c r="B765" s="56"/>
      <c r="C765" s="108" t="str">
        <f>IFNA(VLOOKUP('Dashboard-Dados'!B765,'Dashboard-Dados'!$Y$2:$AA$13,2),"")</f>
        <v/>
      </c>
      <c r="D765" s="109">
        <f>IFERROR(GETPIVOTDATA("Valor Recebido",'Dashboard-Dados'!$J$1,$A$1,A765,$B$1,B765),0)</f>
        <v>0</v>
      </c>
      <c r="E765" s="110">
        <f>IFERROR(GETPIVOTDATA("Valor Despesa",'Dashboard-Dados'!$P$1,$A$1,A765,$B$1,B765),0)</f>
        <v>0</v>
      </c>
      <c r="F765" s="110">
        <f t="shared" si="1"/>
        <v>0</v>
      </c>
      <c r="G765" s="56">
        <f>IFERROR(GETPIVOTDATA("Exame",'Dashboard-Dados'!$J$1,$A$1,A765,$B$1,B765),0)</f>
        <v>0</v>
      </c>
      <c r="H765" s="56">
        <f t="shared" si="2"/>
        <v>765</v>
      </c>
      <c r="U765" s="56"/>
      <c r="V765" s="56"/>
      <c r="W765" s="56"/>
      <c r="Y765" s="138"/>
    </row>
    <row r="766">
      <c r="A766" s="56"/>
      <c r="B766" s="56"/>
      <c r="C766" s="108" t="str">
        <f>IFNA(VLOOKUP('Dashboard-Dados'!B766,'Dashboard-Dados'!$Y$2:$AA$13,2),"")</f>
        <v/>
      </c>
      <c r="D766" s="109">
        <f>IFERROR(GETPIVOTDATA("Valor Recebido",'Dashboard-Dados'!$J$1,$A$1,A766,$B$1,B766),0)</f>
        <v>0</v>
      </c>
      <c r="E766" s="110">
        <f>IFERROR(GETPIVOTDATA("Valor Despesa",'Dashboard-Dados'!$P$1,$A$1,A766,$B$1,B766),0)</f>
        <v>0</v>
      </c>
      <c r="F766" s="110">
        <f t="shared" si="1"/>
        <v>0</v>
      </c>
      <c r="G766" s="56">
        <f>IFERROR(GETPIVOTDATA("Exame",'Dashboard-Dados'!$J$1,$A$1,A766,$B$1,B766),0)</f>
        <v>0</v>
      </c>
      <c r="H766" s="56">
        <f t="shared" si="2"/>
        <v>766</v>
      </c>
      <c r="U766" s="56"/>
      <c r="V766" s="56"/>
      <c r="W766" s="56"/>
      <c r="Y766" s="138"/>
    </row>
    <row r="767">
      <c r="A767" s="56"/>
      <c r="B767" s="56"/>
      <c r="C767" s="108" t="str">
        <f>IFNA(VLOOKUP('Dashboard-Dados'!B767,'Dashboard-Dados'!$Y$2:$AA$13,2),"")</f>
        <v/>
      </c>
      <c r="D767" s="109">
        <f>IFERROR(GETPIVOTDATA("Valor Recebido",'Dashboard-Dados'!$J$1,$A$1,A767,$B$1,B767),0)</f>
        <v>0</v>
      </c>
      <c r="E767" s="110">
        <f>IFERROR(GETPIVOTDATA("Valor Despesa",'Dashboard-Dados'!$P$1,$A$1,A767,$B$1,B767),0)</f>
        <v>0</v>
      </c>
      <c r="F767" s="110">
        <f t="shared" si="1"/>
        <v>0</v>
      </c>
      <c r="G767" s="56">
        <f>IFERROR(GETPIVOTDATA("Exame",'Dashboard-Dados'!$J$1,$A$1,A767,$B$1,B767),0)</f>
        <v>0</v>
      </c>
      <c r="H767" s="56">
        <f t="shared" si="2"/>
        <v>767</v>
      </c>
      <c r="U767" s="56"/>
      <c r="V767" s="56"/>
      <c r="W767" s="56"/>
      <c r="Y767" s="138"/>
    </row>
    <row r="768">
      <c r="A768" s="56"/>
      <c r="B768" s="56"/>
      <c r="C768" s="108" t="str">
        <f>IFNA(VLOOKUP('Dashboard-Dados'!B768,'Dashboard-Dados'!$Y$2:$AA$13,2),"")</f>
        <v/>
      </c>
      <c r="D768" s="109">
        <f>IFERROR(GETPIVOTDATA("Valor Recebido",'Dashboard-Dados'!$J$1,$A$1,A768,$B$1,B768),0)</f>
        <v>0</v>
      </c>
      <c r="E768" s="110">
        <f>IFERROR(GETPIVOTDATA("Valor Despesa",'Dashboard-Dados'!$P$1,$A$1,A768,$B$1,B768),0)</f>
        <v>0</v>
      </c>
      <c r="F768" s="110">
        <f t="shared" si="1"/>
        <v>0</v>
      </c>
      <c r="G768" s="56">
        <f>IFERROR(GETPIVOTDATA("Exame",'Dashboard-Dados'!$J$1,$A$1,A768,$B$1,B768),0)</f>
        <v>0</v>
      </c>
      <c r="H768" s="56">
        <f t="shared" si="2"/>
        <v>768</v>
      </c>
      <c r="U768" s="56"/>
      <c r="V768" s="56"/>
      <c r="W768" s="56"/>
      <c r="Y768" s="138"/>
    </row>
    <row r="769">
      <c r="A769" s="56"/>
      <c r="B769" s="56"/>
      <c r="C769" s="108" t="str">
        <f>IFNA(VLOOKUP('Dashboard-Dados'!B769,'Dashboard-Dados'!$Y$2:$AA$13,2),"")</f>
        <v/>
      </c>
      <c r="D769" s="109">
        <f>IFERROR(GETPIVOTDATA("Valor Recebido",'Dashboard-Dados'!$J$1,$A$1,A769,$B$1,B769),0)</f>
        <v>0</v>
      </c>
      <c r="E769" s="110">
        <f>IFERROR(GETPIVOTDATA("Valor Despesa",'Dashboard-Dados'!$P$1,$A$1,A769,$B$1,B769),0)</f>
        <v>0</v>
      </c>
      <c r="F769" s="110">
        <f t="shared" si="1"/>
        <v>0</v>
      </c>
      <c r="G769" s="56">
        <f>IFERROR(GETPIVOTDATA("Exame",'Dashboard-Dados'!$J$1,$A$1,A769,$B$1,B769),0)</f>
        <v>0</v>
      </c>
      <c r="H769" s="56">
        <f t="shared" si="2"/>
        <v>769</v>
      </c>
      <c r="U769" s="56"/>
      <c r="V769" s="56"/>
      <c r="W769" s="56"/>
      <c r="Y769" s="138"/>
    </row>
    <row r="770">
      <c r="A770" s="56"/>
      <c r="B770" s="56"/>
      <c r="C770" s="108" t="str">
        <f>IFNA(VLOOKUP('Dashboard-Dados'!B770,'Dashboard-Dados'!$Y$2:$AA$13,2),"")</f>
        <v/>
      </c>
      <c r="D770" s="109">
        <f>IFERROR(GETPIVOTDATA("Valor Recebido",'Dashboard-Dados'!$J$1,$A$1,A770,$B$1,B770),0)</f>
        <v>0</v>
      </c>
      <c r="E770" s="110">
        <f>IFERROR(GETPIVOTDATA("Valor Despesa",'Dashboard-Dados'!$P$1,$A$1,A770,$B$1,B770),0)</f>
        <v>0</v>
      </c>
      <c r="F770" s="110">
        <f t="shared" si="1"/>
        <v>0</v>
      </c>
      <c r="G770" s="56">
        <f>IFERROR(GETPIVOTDATA("Exame",'Dashboard-Dados'!$J$1,$A$1,A770,$B$1,B770),0)</f>
        <v>0</v>
      </c>
      <c r="H770" s="56">
        <f t="shared" si="2"/>
        <v>770</v>
      </c>
      <c r="U770" s="56"/>
      <c r="V770" s="56"/>
      <c r="W770" s="56"/>
      <c r="Y770" s="138"/>
    </row>
    <row r="771">
      <c r="A771" s="56"/>
      <c r="B771" s="56"/>
      <c r="C771" s="108" t="str">
        <f>IFNA(VLOOKUP('Dashboard-Dados'!B771,'Dashboard-Dados'!$Y$2:$AA$13,2),"")</f>
        <v/>
      </c>
      <c r="D771" s="109">
        <f>IFERROR(GETPIVOTDATA("Valor Recebido",'Dashboard-Dados'!$J$1,$A$1,A771,$B$1,B771),0)</f>
        <v>0</v>
      </c>
      <c r="E771" s="110">
        <f>IFERROR(GETPIVOTDATA("Valor Despesa",'Dashboard-Dados'!$P$1,$A$1,A771,$B$1,B771),0)</f>
        <v>0</v>
      </c>
      <c r="F771" s="110">
        <f t="shared" si="1"/>
        <v>0</v>
      </c>
      <c r="G771" s="56">
        <f>IFERROR(GETPIVOTDATA("Exame",'Dashboard-Dados'!$J$1,$A$1,A771,$B$1,B771),0)</f>
        <v>0</v>
      </c>
      <c r="H771" s="56">
        <f t="shared" si="2"/>
        <v>771</v>
      </c>
      <c r="U771" s="56"/>
      <c r="V771" s="56"/>
      <c r="W771" s="56"/>
      <c r="Y771" s="138"/>
    </row>
    <row r="772">
      <c r="A772" s="56"/>
      <c r="B772" s="56"/>
      <c r="C772" s="108" t="str">
        <f>IFNA(VLOOKUP('Dashboard-Dados'!B772,'Dashboard-Dados'!$Y$2:$AA$13,2),"")</f>
        <v/>
      </c>
      <c r="D772" s="109">
        <f>IFERROR(GETPIVOTDATA("Valor Recebido",'Dashboard-Dados'!$J$1,$A$1,A772,$B$1,B772),0)</f>
        <v>0</v>
      </c>
      <c r="E772" s="110">
        <f>IFERROR(GETPIVOTDATA("Valor Despesa",'Dashboard-Dados'!$P$1,$A$1,A772,$B$1,B772),0)</f>
        <v>0</v>
      </c>
      <c r="F772" s="110">
        <f t="shared" si="1"/>
        <v>0</v>
      </c>
      <c r="G772" s="56">
        <f>IFERROR(GETPIVOTDATA("Exame",'Dashboard-Dados'!$J$1,$A$1,A772,$B$1,B772),0)</f>
        <v>0</v>
      </c>
      <c r="H772" s="56">
        <f t="shared" si="2"/>
        <v>772</v>
      </c>
      <c r="U772" s="56"/>
      <c r="V772" s="56"/>
      <c r="W772" s="56"/>
      <c r="Y772" s="138"/>
    </row>
    <row r="773">
      <c r="A773" s="56"/>
      <c r="B773" s="56"/>
      <c r="C773" s="108" t="str">
        <f>IFNA(VLOOKUP('Dashboard-Dados'!B773,'Dashboard-Dados'!$Y$2:$AA$13,2),"")</f>
        <v/>
      </c>
      <c r="D773" s="109">
        <f>IFERROR(GETPIVOTDATA("Valor Recebido",'Dashboard-Dados'!$J$1,$A$1,A773,$B$1,B773),0)</f>
        <v>0</v>
      </c>
      <c r="E773" s="110">
        <f>IFERROR(GETPIVOTDATA("Valor Despesa",'Dashboard-Dados'!$P$1,$A$1,A773,$B$1,B773),0)</f>
        <v>0</v>
      </c>
      <c r="F773" s="110">
        <f t="shared" si="1"/>
        <v>0</v>
      </c>
      <c r="G773" s="56">
        <f>IFERROR(GETPIVOTDATA("Exame",'Dashboard-Dados'!$J$1,$A$1,A773,$B$1,B773),0)</f>
        <v>0</v>
      </c>
      <c r="H773" s="56">
        <f t="shared" si="2"/>
        <v>773</v>
      </c>
      <c r="U773" s="56"/>
      <c r="V773" s="56"/>
      <c r="W773" s="56"/>
      <c r="Y773" s="138"/>
    </row>
    <row r="774">
      <c r="A774" s="56"/>
      <c r="B774" s="56"/>
      <c r="C774" s="108" t="str">
        <f>IFNA(VLOOKUP('Dashboard-Dados'!B774,'Dashboard-Dados'!$Y$2:$AA$13,2),"")</f>
        <v/>
      </c>
      <c r="D774" s="109">
        <f>IFERROR(GETPIVOTDATA("Valor Recebido",'Dashboard-Dados'!$J$1,$A$1,A774,$B$1,B774),0)</f>
        <v>0</v>
      </c>
      <c r="E774" s="110">
        <f>IFERROR(GETPIVOTDATA("Valor Despesa",'Dashboard-Dados'!$P$1,$A$1,A774,$B$1,B774),0)</f>
        <v>0</v>
      </c>
      <c r="F774" s="110">
        <f t="shared" si="1"/>
        <v>0</v>
      </c>
      <c r="G774" s="56">
        <f>IFERROR(GETPIVOTDATA("Exame",'Dashboard-Dados'!$J$1,$A$1,A774,$B$1,B774),0)</f>
        <v>0</v>
      </c>
      <c r="H774" s="56">
        <f t="shared" si="2"/>
        <v>774</v>
      </c>
      <c r="U774" s="56"/>
      <c r="V774" s="56"/>
      <c r="W774" s="56"/>
      <c r="Y774" s="138"/>
    </row>
    <row r="775">
      <c r="A775" s="56"/>
      <c r="B775" s="56"/>
      <c r="C775" s="108" t="str">
        <f>IFNA(VLOOKUP('Dashboard-Dados'!B775,'Dashboard-Dados'!$Y$2:$AA$13,2),"")</f>
        <v/>
      </c>
      <c r="D775" s="109">
        <f>IFERROR(GETPIVOTDATA("Valor Recebido",'Dashboard-Dados'!$J$1,$A$1,A775,$B$1,B775),0)</f>
        <v>0</v>
      </c>
      <c r="E775" s="110">
        <f>IFERROR(GETPIVOTDATA("Valor Despesa",'Dashboard-Dados'!$P$1,$A$1,A775,$B$1,B775),0)</f>
        <v>0</v>
      </c>
      <c r="F775" s="110">
        <f t="shared" si="1"/>
        <v>0</v>
      </c>
      <c r="G775" s="56">
        <f>IFERROR(GETPIVOTDATA("Exame",'Dashboard-Dados'!$J$1,$A$1,A775,$B$1,B775),0)</f>
        <v>0</v>
      </c>
      <c r="H775" s="56">
        <f t="shared" si="2"/>
        <v>775</v>
      </c>
      <c r="U775" s="56"/>
      <c r="V775" s="56"/>
      <c r="W775" s="56"/>
      <c r="Y775" s="138"/>
    </row>
    <row r="776">
      <c r="A776" s="56"/>
      <c r="B776" s="56"/>
      <c r="C776" s="108" t="str">
        <f>IFNA(VLOOKUP('Dashboard-Dados'!B776,'Dashboard-Dados'!$Y$2:$AA$13,2),"")</f>
        <v/>
      </c>
      <c r="D776" s="109">
        <f>IFERROR(GETPIVOTDATA("Valor Recebido",'Dashboard-Dados'!$J$1,$A$1,A776,$B$1,B776),0)</f>
        <v>0</v>
      </c>
      <c r="E776" s="110">
        <f>IFERROR(GETPIVOTDATA("Valor Despesa",'Dashboard-Dados'!$P$1,$A$1,A776,$B$1,B776),0)</f>
        <v>0</v>
      </c>
      <c r="F776" s="110">
        <f t="shared" si="1"/>
        <v>0</v>
      </c>
      <c r="G776" s="56">
        <f>IFERROR(GETPIVOTDATA("Exame",'Dashboard-Dados'!$J$1,$A$1,A776,$B$1,B776),0)</f>
        <v>0</v>
      </c>
      <c r="H776" s="56">
        <f t="shared" si="2"/>
        <v>776</v>
      </c>
      <c r="U776" s="56"/>
      <c r="V776" s="56"/>
      <c r="W776" s="56"/>
      <c r="Y776" s="138"/>
    </row>
    <row r="777">
      <c r="A777" s="56"/>
      <c r="B777" s="56"/>
      <c r="C777" s="108" t="str">
        <f>IFNA(VLOOKUP('Dashboard-Dados'!B777,'Dashboard-Dados'!$Y$2:$AA$13,2),"")</f>
        <v/>
      </c>
      <c r="D777" s="109">
        <f>IFERROR(GETPIVOTDATA("Valor Recebido",'Dashboard-Dados'!$J$1,$A$1,A777,$B$1,B777),0)</f>
        <v>0</v>
      </c>
      <c r="E777" s="110">
        <f>IFERROR(GETPIVOTDATA("Valor Despesa",'Dashboard-Dados'!$P$1,$A$1,A777,$B$1,B777),0)</f>
        <v>0</v>
      </c>
      <c r="F777" s="110">
        <f t="shared" si="1"/>
        <v>0</v>
      </c>
      <c r="G777" s="56">
        <f>IFERROR(GETPIVOTDATA("Exame",'Dashboard-Dados'!$J$1,$A$1,A777,$B$1,B777),0)</f>
        <v>0</v>
      </c>
      <c r="H777" s="56">
        <f t="shared" si="2"/>
        <v>777</v>
      </c>
      <c r="U777" s="56"/>
      <c r="V777" s="56"/>
      <c r="W777" s="56"/>
      <c r="Y777" s="138"/>
    </row>
    <row r="778">
      <c r="A778" s="56"/>
      <c r="B778" s="56"/>
      <c r="C778" s="108" t="str">
        <f>IFNA(VLOOKUP('Dashboard-Dados'!B778,'Dashboard-Dados'!$Y$2:$AA$13,2),"")</f>
        <v/>
      </c>
      <c r="D778" s="109">
        <f>IFERROR(GETPIVOTDATA("Valor Recebido",'Dashboard-Dados'!$J$1,$A$1,A778,$B$1,B778),0)</f>
        <v>0</v>
      </c>
      <c r="E778" s="110">
        <f>IFERROR(GETPIVOTDATA("Valor Despesa",'Dashboard-Dados'!$P$1,$A$1,A778,$B$1,B778),0)</f>
        <v>0</v>
      </c>
      <c r="F778" s="110">
        <f t="shared" si="1"/>
        <v>0</v>
      </c>
      <c r="G778" s="56">
        <f>IFERROR(GETPIVOTDATA("Exame",'Dashboard-Dados'!$J$1,$A$1,A778,$B$1,B778),0)</f>
        <v>0</v>
      </c>
      <c r="H778" s="56">
        <f t="shared" si="2"/>
        <v>778</v>
      </c>
      <c r="U778" s="56"/>
      <c r="V778" s="56"/>
      <c r="W778" s="56"/>
      <c r="Y778" s="138"/>
    </row>
    <row r="779">
      <c r="A779" s="56"/>
      <c r="B779" s="56"/>
      <c r="C779" s="108" t="str">
        <f>IFNA(VLOOKUP('Dashboard-Dados'!B779,'Dashboard-Dados'!$Y$2:$AA$13,2),"")</f>
        <v/>
      </c>
      <c r="D779" s="109">
        <f>IFERROR(GETPIVOTDATA("Valor Recebido",'Dashboard-Dados'!$J$1,$A$1,A779,$B$1,B779),0)</f>
        <v>0</v>
      </c>
      <c r="E779" s="110">
        <f>IFERROR(GETPIVOTDATA("Valor Despesa",'Dashboard-Dados'!$P$1,$A$1,A779,$B$1,B779),0)</f>
        <v>0</v>
      </c>
      <c r="F779" s="110">
        <f t="shared" si="1"/>
        <v>0</v>
      </c>
      <c r="G779" s="56">
        <f>IFERROR(GETPIVOTDATA("Exame",'Dashboard-Dados'!$J$1,$A$1,A779,$B$1,B779),0)</f>
        <v>0</v>
      </c>
      <c r="H779" s="56">
        <f t="shared" si="2"/>
        <v>779</v>
      </c>
      <c r="U779" s="56"/>
      <c r="V779" s="56"/>
      <c r="W779" s="56"/>
      <c r="Y779" s="138"/>
    </row>
    <row r="780">
      <c r="A780" s="56"/>
      <c r="B780" s="56"/>
      <c r="C780" s="108" t="str">
        <f>IFNA(VLOOKUP('Dashboard-Dados'!B780,'Dashboard-Dados'!$Y$2:$AA$13,2),"")</f>
        <v/>
      </c>
      <c r="D780" s="109">
        <f>IFERROR(GETPIVOTDATA("Valor Recebido",'Dashboard-Dados'!$J$1,$A$1,A780,$B$1,B780),0)</f>
        <v>0</v>
      </c>
      <c r="E780" s="110">
        <f>IFERROR(GETPIVOTDATA("Valor Despesa",'Dashboard-Dados'!$P$1,$A$1,A780,$B$1,B780),0)</f>
        <v>0</v>
      </c>
      <c r="F780" s="110">
        <f t="shared" si="1"/>
        <v>0</v>
      </c>
      <c r="G780" s="56">
        <f>IFERROR(GETPIVOTDATA("Exame",'Dashboard-Dados'!$J$1,$A$1,A780,$B$1,B780),0)</f>
        <v>0</v>
      </c>
      <c r="H780" s="56">
        <f t="shared" si="2"/>
        <v>780</v>
      </c>
      <c r="U780" s="56"/>
      <c r="V780" s="56"/>
      <c r="W780" s="56"/>
      <c r="Y780" s="138"/>
    </row>
    <row r="781">
      <c r="A781" s="56"/>
      <c r="B781" s="56"/>
      <c r="C781" s="108" t="str">
        <f>IFNA(VLOOKUP('Dashboard-Dados'!B781,'Dashboard-Dados'!$Y$2:$AA$13,2),"")</f>
        <v/>
      </c>
      <c r="D781" s="109">
        <f>IFERROR(GETPIVOTDATA("Valor Recebido",'Dashboard-Dados'!$J$1,$A$1,A781,$B$1,B781),0)</f>
        <v>0</v>
      </c>
      <c r="E781" s="110">
        <f>IFERROR(GETPIVOTDATA("Valor Despesa",'Dashboard-Dados'!$P$1,$A$1,A781,$B$1,B781),0)</f>
        <v>0</v>
      </c>
      <c r="F781" s="110">
        <f t="shared" si="1"/>
        <v>0</v>
      </c>
      <c r="G781" s="56">
        <f>IFERROR(GETPIVOTDATA("Exame",'Dashboard-Dados'!$J$1,$A$1,A781,$B$1,B781),0)</f>
        <v>0</v>
      </c>
      <c r="H781" s="56">
        <f t="shared" si="2"/>
        <v>781</v>
      </c>
      <c r="U781" s="56"/>
      <c r="V781" s="56"/>
      <c r="W781" s="56"/>
      <c r="Y781" s="138"/>
    </row>
    <row r="782">
      <c r="A782" s="56"/>
      <c r="B782" s="56"/>
      <c r="C782" s="108" t="str">
        <f>IFNA(VLOOKUP('Dashboard-Dados'!B782,'Dashboard-Dados'!$Y$2:$AA$13,2),"")</f>
        <v/>
      </c>
      <c r="D782" s="109">
        <f>IFERROR(GETPIVOTDATA("Valor Recebido",'Dashboard-Dados'!$J$1,$A$1,A782,$B$1,B782),0)</f>
        <v>0</v>
      </c>
      <c r="E782" s="110">
        <f>IFERROR(GETPIVOTDATA("Valor Despesa",'Dashboard-Dados'!$P$1,$A$1,A782,$B$1,B782),0)</f>
        <v>0</v>
      </c>
      <c r="F782" s="110">
        <f t="shared" si="1"/>
        <v>0</v>
      </c>
      <c r="G782" s="56">
        <f>IFERROR(GETPIVOTDATA("Exame",'Dashboard-Dados'!$J$1,$A$1,A782,$B$1,B782),0)</f>
        <v>0</v>
      </c>
      <c r="H782" s="56">
        <f t="shared" si="2"/>
        <v>782</v>
      </c>
      <c r="U782" s="56"/>
      <c r="V782" s="56"/>
      <c r="W782" s="56"/>
      <c r="Y782" s="138"/>
    </row>
    <row r="783">
      <c r="A783" s="56"/>
      <c r="B783" s="56"/>
      <c r="C783" s="108" t="str">
        <f>IFNA(VLOOKUP('Dashboard-Dados'!B783,'Dashboard-Dados'!$Y$2:$AA$13,2),"")</f>
        <v/>
      </c>
      <c r="D783" s="109">
        <f>IFERROR(GETPIVOTDATA("Valor Recebido",'Dashboard-Dados'!$J$1,$A$1,A783,$B$1,B783),0)</f>
        <v>0</v>
      </c>
      <c r="E783" s="110">
        <f>IFERROR(GETPIVOTDATA("Valor Despesa",'Dashboard-Dados'!$P$1,$A$1,A783,$B$1,B783),0)</f>
        <v>0</v>
      </c>
      <c r="F783" s="110">
        <f t="shared" si="1"/>
        <v>0</v>
      </c>
      <c r="G783" s="56">
        <f>IFERROR(GETPIVOTDATA("Exame",'Dashboard-Dados'!$J$1,$A$1,A783,$B$1,B783),0)</f>
        <v>0</v>
      </c>
      <c r="H783" s="56">
        <f t="shared" si="2"/>
        <v>783</v>
      </c>
      <c r="U783" s="56"/>
      <c r="V783" s="56"/>
      <c r="W783" s="56"/>
      <c r="Y783" s="138"/>
    </row>
    <row r="784">
      <c r="A784" s="56"/>
      <c r="B784" s="56"/>
      <c r="C784" s="108" t="str">
        <f>IFNA(VLOOKUP('Dashboard-Dados'!B784,'Dashboard-Dados'!$Y$2:$AA$13,2),"")</f>
        <v/>
      </c>
      <c r="D784" s="109">
        <f>IFERROR(GETPIVOTDATA("Valor Recebido",'Dashboard-Dados'!$J$1,$A$1,A784,$B$1,B784),0)</f>
        <v>0</v>
      </c>
      <c r="E784" s="110">
        <f>IFERROR(GETPIVOTDATA("Valor Despesa",'Dashboard-Dados'!$P$1,$A$1,A784,$B$1,B784),0)</f>
        <v>0</v>
      </c>
      <c r="F784" s="110">
        <f t="shared" si="1"/>
        <v>0</v>
      </c>
      <c r="G784" s="56">
        <f>IFERROR(GETPIVOTDATA("Exame",'Dashboard-Dados'!$J$1,$A$1,A784,$B$1,B784),0)</f>
        <v>0</v>
      </c>
      <c r="H784" s="56">
        <f t="shared" si="2"/>
        <v>784</v>
      </c>
      <c r="U784" s="56"/>
      <c r="V784" s="56"/>
      <c r="W784" s="56"/>
      <c r="Y784" s="138"/>
    </row>
    <row r="785">
      <c r="A785" s="56"/>
      <c r="B785" s="56"/>
      <c r="C785" s="108" t="str">
        <f>IFNA(VLOOKUP('Dashboard-Dados'!B785,'Dashboard-Dados'!$Y$2:$AA$13,2),"")</f>
        <v/>
      </c>
      <c r="D785" s="109">
        <f>IFERROR(GETPIVOTDATA("Valor Recebido",'Dashboard-Dados'!$J$1,$A$1,A785,$B$1,B785),0)</f>
        <v>0</v>
      </c>
      <c r="E785" s="110">
        <f>IFERROR(GETPIVOTDATA("Valor Despesa",'Dashboard-Dados'!$P$1,$A$1,A785,$B$1,B785),0)</f>
        <v>0</v>
      </c>
      <c r="F785" s="110">
        <f t="shared" si="1"/>
        <v>0</v>
      </c>
      <c r="G785" s="56">
        <f>IFERROR(GETPIVOTDATA("Exame",'Dashboard-Dados'!$J$1,$A$1,A785,$B$1,B785),0)</f>
        <v>0</v>
      </c>
      <c r="H785" s="56">
        <f t="shared" si="2"/>
        <v>785</v>
      </c>
      <c r="U785" s="56"/>
      <c r="V785" s="56"/>
      <c r="W785" s="56"/>
      <c r="Y785" s="138"/>
    </row>
    <row r="786">
      <c r="A786" s="56"/>
      <c r="B786" s="56"/>
      <c r="C786" s="108" t="str">
        <f>IFNA(VLOOKUP('Dashboard-Dados'!B786,'Dashboard-Dados'!$Y$2:$AA$13,2),"")</f>
        <v/>
      </c>
      <c r="D786" s="109">
        <f>IFERROR(GETPIVOTDATA("Valor Recebido",'Dashboard-Dados'!$J$1,$A$1,A786,$B$1,B786),0)</f>
        <v>0</v>
      </c>
      <c r="E786" s="110">
        <f>IFERROR(GETPIVOTDATA("Valor Despesa",'Dashboard-Dados'!$P$1,$A$1,A786,$B$1,B786),0)</f>
        <v>0</v>
      </c>
      <c r="F786" s="110">
        <f t="shared" si="1"/>
        <v>0</v>
      </c>
      <c r="G786" s="56">
        <f>IFERROR(GETPIVOTDATA("Exame",'Dashboard-Dados'!$J$1,$A$1,A786,$B$1,B786),0)</f>
        <v>0</v>
      </c>
      <c r="H786" s="56">
        <f t="shared" si="2"/>
        <v>786</v>
      </c>
      <c r="U786" s="56"/>
      <c r="V786" s="56"/>
      <c r="W786" s="56"/>
      <c r="Y786" s="138"/>
    </row>
    <row r="787">
      <c r="A787" s="56"/>
      <c r="B787" s="56"/>
      <c r="C787" s="108" t="str">
        <f>IFNA(VLOOKUP('Dashboard-Dados'!B787,'Dashboard-Dados'!$Y$2:$AA$13,2),"")</f>
        <v/>
      </c>
      <c r="D787" s="109">
        <f>IFERROR(GETPIVOTDATA("Valor Recebido",'Dashboard-Dados'!$J$1,$A$1,A787,$B$1,B787),0)</f>
        <v>0</v>
      </c>
      <c r="E787" s="110">
        <f>IFERROR(GETPIVOTDATA("Valor Despesa",'Dashboard-Dados'!$P$1,$A$1,A787,$B$1,B787),0)</f>
        <v>0</v>
      </c>
      <c r="F787" s="110">
        <f t="shared" si="1"/>
        <v>0</v>
      </c>
      <c r="G787" s="56">
        <f>IFERROR(GETPIVOTDATA("Exame",'Dashboard-Dados'!$J$1,$A$1,A787,$B$1,B787),0)</f>
        <v>0</v>
      </c>
      <c r="H787" s="56">
        <f t="shared" si="2"/>
        <v>787</v>
      </c>
      <c r="U787" s="56"/>
      <c r="V787" s="56"/>
      <c r="W787" s="56"/>
      <c r="Y787" s="138"/>
    </row>
    <row r="788">
      <c r="A788" s="56"/>
      <c r="B788" s="56"/>
      <c r="C788" s="108" t="str">
        <f>IFNA(VLOOKUP('Dashboard-Dados'!B788,'Dashboard-Dados'!$Y$2:$AA$13,2),"")</f>
        <v/>
      </c>
      <c r="D788" s="109">
        <f>IFERROR(GETPIVOTDATA("Valor Recebido",'Dashboard-Dados'!$J$1,$A$1,A788,$B$1,B788),0)</f>
        <v>0</v>
      </c>
      <c r="E788" s="110">
        <f>IFERROR(GETPIVOTDATA("Valor Despesa",'Dashboard-Dados'!$P$1,$A$1,A788,$B$1,B788),0)</f>
        <v>0</v>
      </c>
      <c r="F788" s="110">
        <f t="shared" si="1"/>
        <v>0</v>
      </c>
      <c r="G788" s="56">
        <f>IFERROR(GETPIVOTDATA("Exame",'Dashboard-Dados'!$J$1,$A$1,A788,$B$1,B788),0)</f>
        <v>0</v>
      </c>
      <c r="H788" s="56">
        <f t="shared" si="2"/>
        <v>788</v>
      </c>
      <c r="U788" s="56"/>
      <c r="V788" s="56"/>
      <c r="W788" s="56"/>
      <c r="Y788" s="138"/>
    </row>
    <row r="789">
      <c r="A789" s="56"/>
      <c r="B789" s="56"/>
      <c r="C789" s="108" t="str">
        <f>IFNA(VLOOKUP('Dashboard-Dados'!B789,'Dashboard-Dados'!$Y$2:$AA$13,2),"")</f>
        <v/>
      </c>
      <c r="D789" s="109">
        <f>IFERROR(GETPIVOTDATA("Valor Recebido",'Dashboard-Dados'!$J$1,$A$1,A789,$B$1,B789),0)</f>
        <v>0</v>
      </c>
      <c r="E789" s="110">
        <f>IFERROR(GETPIVOTDATA("Valor Despesa",'Dashboard-Dados'!$P$1,$A$1,A789,$B$1,B789),0)</f>
        <v>0</v>
      </c>
      <c r="F789" s="110">
        <f t="shared" si="1"/>
        <v>0</v>
      </c>
      <c r="G789" s="56">
        <f>IFERROR(GETPIVOTDATA("Exame",'Dashboard-Dados'!$J$1,$A$1,A789,$B$1,B789),0)</f>
        <v>0</v>
      </c>
      <c r="H789" s="56">
        <f t="shared" si="2"/>
        <v>789</v>
      </c>
      <c r="U789" s="56"/>
      <c r="V789" s="56"/>
      <c r="W789" s="56"/>
      <c r="Y789" s="138"/>
    </row>
    <row r="790">
      <c r="A790" s="56"/>
      <c r="B790" s="56"/>
      <c r="C790" s="108" t="str">
        <f>IFNA(VLOOKUP('Dashboard-Dados'!B790,'Dashboard-Dados'!$Y$2:$AA$13,2),"")</f>
        <v/>
      </c>
      <c r="D790" s="109">
        <f>IFERROR(GETPIVOTDATA("Valor Recebido",'Dashboard-Dados'!$J$1,$A$1,A790,$B$1,B790),0)</f>
        <v>0</v>
      </c>
      <c r="E790" s="110">
        <f>IFERROR(GETPIVOTDATA("Valor Despesa",'Dashboard-Dados'!$P$1,$A$1,A790,$B$1,B790),0)</f>
        <v>0</v>
      </c>
      <c r="F790" s="110">
        <f t="shared" si="1"/>
        <v>0</v>
      </c>
      <c r="G790" s="56">
        <f>IFERROR(GETPIVOTDATA("Exame",'Dashboard-Dados'!$J$1,$A$1,A790,$B$1,B790),0)</f>
        <v>0</v>
      </c>
      <c r="H790" s="56">
        <f t="shared" si="2"/>
        <v>790</v>
      </c>
      <c r="U790" s="56"/>
      <c r="V790" s="56"/>
      <c r="W790" s="56"/>
      <c r="Y790" s="138"/>
    </row>
    <row r="791">
      <c r="A791" s="56"/>
      <c r="B791" s="56"/>
      <c r="C791" s="108" t="str">
        <f>IFNA(VLOOKUP('Dashboard-Dados'!B791,'Dashboard-Dados'!$Y$2:$AA$13,2),"")</f>
        <v/>
      </c>
      <c r="D791" s="109">
        <f>IFERROR(GETPIVOTDATA("Valor Recebido",'Dashboard-Dados'!$J$1,$A$1,A791,$B$1,B791),0)</f>
        <v>0</v>
      </c>
      <c r="E791" s="110">
        <f>IFERROR(GETPIVOTDATA("Valor Despesa",'Dashboard-Dados'!$P$1,$A$1,A791,$B$1,B791),0)</f>
        <v>0</v>
      </c>
      <c r="F791" s="110">
        <f t="shared" si="1"/>
        <v>0</v>
      </c>
      <c r="G791" s="56">
        <f>IFERROR(GETPIVOTDATA("Exame",'Dashboard-Dados'!$J$1,$A$1,A791,$B$1,B791),0)</f>
        <v>0</v>
      </c>
      <c r="H791" s="56">
        <f t="shared" si="2"/>
        <v>791</v>
      </c>
      <c r="U791" s="56"/>
      <c r="V791" s="56"/>
      <c r="W791" s="56"/>
      <c r="Y791" s="138"/>
    </row>
    <row r="792">
      <c r="A792" s="56"/>
      <c r="B792" s="56"/>
      <c r="C792" s="108" t="str">
        <f>IFNA(VLOOKUP('Dashboard-Dados'!B792,'Dashboard-Dados'!$Y$2:$AA$13,2),"")</f>
        <v/>
      </c>
      <c r="D792" s="109">
        <f>IFERROR(GETPIVOTDATA("Valor Recebido",'Dashboard-Dados'!$J$1,$A$1,A792,$B$1,B792),0)</f>
        <v>0</v>
      </c>
      <c r="E792" s="110">
        <f>IFERROR(GETPIVOTDATA("Valor Despesa",'Dashboard-Dados'!$P$1,$A$1,A792,$B$1,B792),0)</f>
        <v>0</v>
      </c>
      <c r="F792" s="110">
        <f t="shared" si="1"/>
        <v>0</v>
      </c>
      <c r="G792" s="56">
        <f>IFERROR(GETPIVOTDATA("Exame",'Dashboard-Dados'!$J$1,$A$1,A792,$B$1,B792),0)</f>
        <v>0</v>
      </c>
      <c r="H792" s="56">
        <f t="shared" si="2"/>
        <v>792</v>
      </c>
      <c r="U792" s="56"/>
      <c r="V792" s="56"/>
      <c r="W792" s="56"/>
      <c r="Y792" s="138"/>
    </row>
    <row r="793">
      <c r="A793" s="56"/>
      <c r="B793" s="56"/>
      <c r="C793" s="108" t="str">
        <f>IFNA(VLOOKUP('Dashboard-Dados'!B793,'Dashboard-Dados'!$Y$2:$AA$13,2),"")</f>
        <v/>
      </c>
      <c r="D793" s="109">
        <f>IFERROR(GETPIVOTDATA("Valor Recebido",'Dashboard-Dados'!$J$1,$A$1,A793,$B$1,B793),0)</f>
        <v>0</v>
      </c>
      <c r="E793" s="110">
        <f>IFERROR(GETPIVOTDATA("Valor Despesa",'Dashboard-Dados'!$P$1,$A$1,A793,$B$1,B793),0)</f>
        <v>0</v>
      </c>
      <c r="F793" s="110">
        <f t="shared" si="1"/>
        <v>0</v>
      </c>
      <c r="G793" s="56">
        <f>IFERROR(GETPIVOTDATA("Exame",'Dashboard-Dados'!$J$1,$A$1,A793,$B$1,B793),0)</f>
        <v>0</v>
      </c>
      <c r="H793" s="56">
        <f t="shared" si="2"/>
        <v>793</v>
      </c>
      <c r="U793" s="56"/>
      <c r="V793" s="56"/>
      <c r="W793" s="56"/>
      <c r="Y793" s="138"/>
    </row>
    <row r="794">
      <c r="A794" s="56"/>
      <c r="B794" s="56"/>
      <c r="C794" s="108" t="str">
        <f>IFNA(VLOOKUP('Dashboard-Dados'!B794,'Dashboard-Dados'!$Y$2:$AA$13,2),"")</f>
        <v/>
      </c>
      <c r="D794" s="109">
        <f>IFERROR(GETPIVOTDATA("Valor Recebido",'Dashboard-Dados'!$J$1,$A$1,A794,$B$1,B794),0)</f>
        <v>0</v>
      </c>
      <c r="E794" s="110">
        <f>IFERROR(GETPIVOTDATA("Valor Despesa",'Dashboard-Dados'!$P$1,$A$1,A794,$B$1,B794),0)</f>
        <v>0</v>
      </c>
      <c r="F794" s="110">
        <f t="shared" si="1"/>
        <v>0</v>
      </c>
      <c r="G794" s="56">
        <f>IFERROR(GETPIVOTDATA("Exame",'Dashboard-Dados'!$J$1,$A$1,A794,$B$1,B794),0)</f>
        <v>0</v>
      </c>
      <c r="H794" s="56">
        <f t="shared" si="2"/>
        <v>794</v>
      </c>
      <c r="U794" s="56"/>
      <c r="V794" s="56"/>
      <c r="W794" s="56"/>
      <c r="Y794" s="138"/>
    </row>
    <row r="795">
      <c r="A795" s="56"/>
      <c r="B795" s="56"/>
      <c r="C795" s="108" t="str">
        <f>IFNA(VLOOKUP('Dashboard-Dados'!B795,'Dashboard-Dados'!$Y$2:$AA$13,2),"")</f>
        <v/>
      </c>
      <c r="D795" s="109">
        <f>IFERROR(GETPIVOTDATA("Valor Recebido",'Dashboard-Dados'!$J$1,$A$1,A795,$B$1,B795),0)</f>
        <v>0</v>
      </c>
      <c r="E795" s="110">
        <f>IFERROR(GETPIVOTDATA("Valor Despesa",'Dashboard-Dados'!$P$1,$A$1,A795,$B$1,B795),0)</f>
        <v>0</v>
      </c>
      <c r="F795" s="110">
        <f t="shared" si="1"/>
        <v>0</v>
      </c>
      <c r="G795" s="56">
        <f>IFERROR(GETPIVOTDATA("Exame",'Dashboard-Dados'!$J$1,$A$1,A795,$B$1,B795),0)</f>
        <v>0</v>
      </c>
      <c r="H795" s="56">
        <f t="shared" si="2"/>
        <v>795</v>
      </c>
      <c r="U795" s="56"/>
      <c r="V795" s="56"/>
      <c r="W795" s="56"/>
      <c r="Y795" s="138"/>
    </row>
    <row r="796">
      <c r="A796" s="56"/>
      <c r="B796" s="56"/>
      <c r="C796" s="108" t="str">
        <f>IFNA(VLOOKUP('Dashboard-Dados'!B796,'Dashboard-Dados'!$Y$2:$AA$13,2),"")</f>
        <v/>
      </c>
      <c r="D796" s="109">
        <f>IFERROR(GETPIVOTDATA("Valor Recebido",'Dashboard-Dados'!$J$1,$A$1,A796,$B$1,B796),0)</f>
        <v>0</v>
      </c>
      <c r="E796" s="110">
        <f>IFERROR(GETPIVOTDATA("Valor Despesa",'Dashboard-Dados'!$P$1,$A$1,A796,$B$1,B796),0)</f>
        <v>0</v>
      </c>
      <c r="F796" s="110">
        <f t="shared" si="1"/>
        <v>0</v>
      </c>
      <c r="G796" s="56">
        <f>IFERROR(GETPIVOTDATA("Exame",'Dashboard-Dados'!$J$1,$A$1,A796,$B$1,B796),0)</f>
        <v>0</v>
      </c>
      <c r="H796" s="56">
        <f t="shared" si="2"/>
        <v>796</v>
      </c>
      <c r="U796" s="56"/>
      <c r="V796" s="56"/>
      <c r="W796" s="56"/>
      <c r="Y796" s="138"/>
    </row>
    <row r="797">
      <c r="A797" s="56"/>
      <c r="B797" s="56"/>
      <c r="C797" s="108" t="str">
        <f>IFNA(VLOOKUP('Dashboard-Dados'!B797,'Dashboard-Dados'!$Y$2:$AA$13,2),"")</f>
        <v/>
      </c>
      <c r="D797" s="109">
        <f>IFERROR(GETPIVOTDATA("Valor Recebido",'Dashboard-Dados'!$J$1,$A$1,A797,$B$1,B797),0)</f>
        <v>0</v>
      </c>
      <c r="E797" s="110">
        <f>IFERROR(GETPIVOTDATA("Valor Despesa",'Dashboard-Dados'!$P$1,$A$1,A797,$B$1,B797),0)</f>
        <v>0</v>
      </c>
      <c r="F797" s="110">
        <f t="shared" si="1"/>
        <v>0</v>
      </c>
      <c r="G797" s="56">
        <f>IFERROR(GETPIVOTDATA("Exame",'Dashboard-Dados'!$J$1,$A$1,A797,$B$1,B797),0)</f>
        <v>0</v>
      </c>
      <c r="H797" s="56">
        <f t="shared" si="2"/>
        <v>797</v>
      </c>
      <c r="U797" s="56"/>
      <c r="V797" s="56"/>
      <c r="W797" s="56"/>
      <c r="Y797" s="138"/>
    </row>
    <row r="798">
      <c r="A798" s="56"/>
      <c r="B798" s="56"/>
      <c r="C798" s="108" t="str">
        <f>IFNA(VLOOKUP('Dashboard-Dados'!B798,'Dashboard-Dados'!$Y$2:$AA$13,2),"")</f>
        <v/>
      </c>
      <c r="D798" s="109">
        <f>IFERROR(GETPIVOTDATA("Valor Recebido",'Dashboard-Dados'!$J$1,$A$1,A798,$B$1,B798),0)</f>
        <v>0</v>
      </c>
      <c r="E798" s="110">
        <f>IFERROR(GETPIVOTDATA("Valor Despesa",'Dashboard-Dados'!$P$1,$A$1,A798,$B$1,B798),0)</f>
        <v>0</v>
      </c>
      <c r="F798" s="110">
        <f t="shared" si="1"/>
        <v>0</v>
      </c>
      <c r="G798" s="56">
        <f>IFERROR(GETPIVOTDATA("Exame",'Dashboard-Dados'!$J$1,$A$1,A798,$B$1,B798),0)</f>
        <v>0</v>
      </c>
      <c r="H798" s="56">
        <f t="shared" si="2"/>
        <v>798</v>
      </c>
      <c r="U798" s="56"/>
      <c r="V798" s="56"/>
      <c r="W798" s="56"/>
      <c r="Y798" s="138"/>
    </row>
    <row r="799">
      <c r="A799" s="56"/>
      <c r="B799" s="56"/>
      <c r="C799" s="108" t="str">
        <f>IFNA(VLOOKUP('Dashboard-Dados'!B799,'Dashboard-Dados'!$Y$2:$AA$13,2),"")</f>
        <v/>
      </c>
      <c r="D799" s="109">
        <f>IFERROR(GETPIVOTDATA("Valor Recebido",'Dashboard-Dados'!$J$1,$A$1,A799,$B$1,B799),0)</f>
        <v>0</v>
      </c>
      <c r="E799" s="110">
        <f>IFERROR(GETPIVOTDATA("Valor Despesa",'Dashboard-Dados'!$P$1,$A$1,A799,$B$1,B799),0)</f>
        <v>0</v>
      </c>
      <c r="F799" s="110">
        <f t="shared" si="1"/>
        <v>0</v>
      </c>
      <c r="G799" s="56">
        <f>IFERROR(GETPIVOTDATA("Exame",'Dashboard-Dados'!$J$1,$A$1,A799,$B$1,B799),0)</f>
        <v>0</v>
      </c>
      <c r="H799" s="56">
        <f t="shared" si="2"/>
        <v>799</v>
      </c>
      <c r="U799" s="56"/>
      <c r="V799" s="56"/>
      <c r="W799" s="56"/>
      <c r="Y799" s="138"/>
    </row>
    <row r="800">
      <c r="A800" s="56"/>
      <c r="B800" s="56"/>
      <c r="C800" s="108" t="str">
        <f>IFNA(VLOOKUP('Dashboard-Dados'!B800,'Dashboard-Dados'!$Y$2:$AA$13,2),"")</f>
        <v/>
      </c>
      <c r="D800" s="109">
        <f>IFERROR(GETPIVOTDATA("Valor Recebido",'Dashboard-Dados'!$J$1,$A$1,A800,$B$1,B800),0)</f>
        <v>0</v>
      </c>
      <c r="E800" s="110">
        <f>IFERROR(GETPIVOTDATA("Valor Despesa",'Dashboard-Dados'!$P$1,$A$1,A800,$B$1,B800),0)</f>
        <v>0</v>
      </c>
      <c r="F800" s="110">
        <f t="shared" si="1"/>
        <v>0</v>
      </c>
      <c r="G800" s="56">
        <f>IFERROR(GETPIVOTDATA("Exame",'Dashboard-Dados'!$J$1,$A$1,A800,$B$1,B800),0)</f>
        <v>0</v>
      </c>
      <c r="H800" s="56">
        <f t="shared" si="2"/>
        <v>800</v>
      </c>
      <c r="U800" s="56"/>
      <c r="V800" s="56"/>
      <c r="W800" s="56"/>
      <c r="Y800" s="138"/>
    </row>
    <row r="801">
      <c r="A801" s="56"/>
      <c r="B801" s="56"/>
      <c r="C801" s="108" t="str">
        <f>IFNA(VLOOKUP('Dashboard-Dados'!B801,'Dashboard-Dados'!$Y$2:$AA$13,2),"")</f>
        <v/>
      </c>
      <c r="D801" s="109">
        <f>IFERROR(GETPIVOTDATA("Valor Recebido",'Dashboard-Dados'!$J$1,$A$1,A801,$B$1,B801),0)</f>
        <v>0</v>
      </c>
      <c r="E801" s="110">
        <f>IFERROR(GETPIVOTDATA("Valor Despesa",'Dashboard-Dados'!$P$1,$A$1,A801,$B$1,B801),0)</f>
        <v>0</v>
      </c>
      <c r="F801" s="110">
        <f t="shared" si="1"/>
        <v>0</v>
      </c>
      <c r="G801" s="56">
        <f>IFERROR(GETPIVOTDATA("Exame",'Dashboard-Dados'!$J$1,$A$1,A801,$B$1,B801),0)</f>
        <v>0</v>
      </c>
      <c r="H801" s="56">
        <f t="shared" si="2"/>
        <v>801</v>
      </c>
      <c r="U801" s="56"/>
      <c r="V801" s="56"/>
      <c r="W801" s="56"/>
      <c r="Y801" s="138"/>
    </row>
    <row r="802">
      <c r="A802" s="56"/>
      <c r="B802" s="56"/>
      <c r="C802" s="108" t="str">
        <f>IFNA(VLOOKUP('Dashboard-Dados'!B802,'Dashboard-Dados'!$Y$2:$AA$13,2),"")</f>
        <v/>
      </c>
      <c r="D802" s="109">
        <f>IFERROR(GETPIVOTDATA("Valor Recebido",'Dashboard-Dados'!$J$1,$A$1,A802,$B$1,B802),0)</f>
        <v>0</v>
      </c>
      <c r="E802" s="110">
        <f>IFERROR(GETPIVOTDATA("Valor Despesa",'Dashboard-Dados'!$P$1,$A$1,A802,$B$1,B802),0)</f>
        <v>0</v>
      </c>
      <c r="F802" s="110">
        <f t="shared" si="1"/>
        <v>0</v>
      </c>
      <c r="G802" s="56">
        <f>IFERROR(GETPIVOTDATA("Exame",'Dashboard-Dados'!$J$1,$A$1,A802,$B$1,B802),0)</f>
        <v>0</v>
      </c>
      <c r="H802" s="56">
        <f t="shared" si="2"/>
        <v>802</v>
      </c>
      <c r="U802" s="56"/>
      <c r="V802" s="56"/>
      <c r="W802" s="56"/>
      <c r="Y802" s="138"/>
    </row>
    <row r="803">
      <c r="A803" s="56"/>
      <c r="B803" s="56"/>
      <c r="C803" s="108" t="str">
        <f>IFNA(VLOOKUP('Dashboard-Dados'!B803,'Dashboard-Dados'!$Y$2:$AA$13,2),"")</f>
        <v/>
      </c>
      <c r="D803" s="109">
        <f>IFERROR(GETPIVOTDATA("Valor Recebido",'Dashboard-Dados'!$J$1,$A$1,A803,$B$1,B803),0)</f>
        <v>0</v>
      </c>
      <c r="E803" s="110">
        <f>IFERROR(GETPIVOTDATA("Valor Despesa",'Dashboard-Dados'!$P$1,$A$1,A803,$B$1,B803),0)</f>
        <v>0</v>
      </c>
      <c r="F803" s="110">
        <f t="shared" si="1"/>
        <v>0</v>
      </c>
      <c r="G803" s="56">
        <f>IFERROR(GETPIVOTDATA("Exame",'Dashboard-Dados'!$J$1,$A$1,A803,$B$1,B803),0)</f>
        <v>0</v>
      </c>
      <c r="H803" s="56">
        <f t="shared" si="2"/>
        <v>803</v>
      </c>
      <c r="U803" s="56"/>
      <c r="V803" s="56"/>
      <c r="W803" s="56"/>
      <c r="Y803" s="138"/>
    </row>
    <row r="804">
      <c r="A804" s="56"/>
      <c r="B804" s="56"/>
      <c r="C804" s="108" t="str">
        <f>IFNA(VLOOKUP('Dashboard-Dados'!B804,'Dashboard-Dados'!$Y$2:$AA$13,2),"")</f>
        <v/>
      </c>
      <c r="D804" s="109">
        <f>IFERROR(GETPIVOTDATA("Valor Recebido",'Dashboard-Dados'!$J$1,$A$1,A804,$B$1,B804),0)</f>
        <v>0</v>
      </c>
      <c r="E804" s="110">
        <f>IFERROR(GETPIVOTDATA("Valor Despesa",'Dashboard-Dados'!$P$1,$A$1,A804,$B$1,B804),0)</f>
        <v>0</v>
      </c>
      <c r="F804" s="110">
        <f t="shared" si="1"/>
        <v>0</v>
      </c>
      <c r="G804" s="56">
        <f>IFERROR(GETPIVOTDATA("Exame",'Dashboard-Dados'!$J$1,$A$1,A804,$B$1,B804),0)</f>
        <v>0</v>
      </c>
      <c r="H804" s="56">
        <f t="shared" si="2"/>
        <v>804</v>
      </c>
      <c r="U804" s="56"/>
      <c r="V804" s="56"/>
      <c r="W804" s="56"/>
      <c r="Y804" s="138"/>
    </row>
    <row r="805">
      <c r="A805" s="56"/>
      <c r="B805" s="56"/>
      <c r="C805" s="108" t="str">
        <f>IFNA(VLOOKUP('Dashboard-Dados'!B805,'Dashboard-Dados'!$Y$2:$AA$13,2),"")</f>
        <v/>
      </c>
      <c r="D805" s="109">
        <f>IFERROR(GETPIVOTDATA("Valor Recebido",'Dashboard-Dados'!$J$1,$A$1,A805,$B$1,B805),0)</f>
        <v>0</v>
      </c>
      <c r="E805" s="110">
        <f>IFERROR(GETPIVOTDATA("Valor Despesa",'Dashboard-Dados'!$P$1,$A$1,A805,$B$1,B805),0)</f>
        <v>0</v>
      </c>
      <c r="F805" s="110">
        <f t="shared" si="1"/>
        <v>0</v>
      </c>
      <c r="G805" s="56">
        <f>IFERROR(GETPIVOTDATA("Exame",'Dashboard-Dados'!$J$1,$A$1,A805,$B$1,B805),0)</f>
        <v>0</v>
      </c>
      <c r="H805" s="56">
        <f t="shared" si="2"/>
        <v>805</v>
      </c>
      <c r="U805" s="56"/>
      <c r="V805" s="56"/>
      <c r="W805" s="56"/>
      <c r="Y805" s="138"/>
    </row>
    <row r="806">
      <c r="A806" s="56"/>
      <c r="B806" s="56"/>
      <c r="C806" s="108" t="str">
        <f>IFNA(VLOOKUP('Dashboard-Dados'!B806,'Dashboard-Dados'!$Y$2:$AA$13,2),"")</f>
        <v/>
      </c>
      <c r="D806" s="109">
        <f>IFERROR(GETPIVOTDATA("Valor Recebido",'Dashboard-Dados'!$J$1,$A$1,A806,$B$1,B806),0)</f>
        <v>0</v>
      </c>
      <c r="E806" s="110">
        <f>IFERROR(GETPIVOTDATA("Valor Despesa",'Dashboard-Dados'!$P$1,$A$1,A806,$B$1,B806),0)</f>
        <v>0</v>
      </c>
      <c r="F806" s="110">
        <f t="shared" si="1"/>
        <v>0</v>
      </c>
      <c r="G806" s="56">
        <f>IFERROR(GETPIVOTDATA("Exame",'Dashboard-Dados'!$J$1,$A$1,A806,$B$1,B806),0)</f>
        <v>0</v>
      </c>
      <c r="H806" s="56">
        <f t="shared" si="2"/>
        <v>806</v>
      </c>
      <c r="U806" s="56"/>
      <c r="V806" s="56"/>
      <c r="W806" s="56"/>
      <c r="Y806" s="138"/>
    </row>
    <row r="807">
      <c r="A807" s="56"/>
      <c r="B807" s="56"/>
      <c r="C807" s="108" t="str">
        <f>IFNA(VLOOKUP('Dashboard-Dados'!B807,'Dashboard-Dados'!$Y$2:$AA$13,2),"")</f>
        <v/>
      </c>
      <c r="D807" s="109">
        <f>IFERROR(GETPIVOTDATA("Valor Recebido",'Dashboard-Dados'!$J$1,$A$1,A807,$B$1,B807),0)</f>
        <v>0</v>
      </c>
      <c r="E807" s="110">
        <f>IFERROR(GETPIVOTDATA("Valor Despesa",'Dashboard-Dados'!$P$1,$A$1,A807,$B$1,B807),0)</f>
        <v>0</v>
      </c>
      <c r="F807" s="110">
        <f t="shared" si="1"/>
        <v>0</v>
      </c>
      <c r="G807" s="56">
        <f>IFERROR(GETPIVOTDATA("Exame",'Dashboard-Dados'!$J$1,$A$1,A807,$B$1,B807),0)</f>
        <v>0</v>
      </c>
      <c r="H807" s="56">
        <f t="shared" si="2"/>
        <v>807</v>
      </c>
      <c r="U807" s="56"/>
      <c r="V807" s="56"/>
      <c r="W807" s="56"/>
      <c r="Y807" s="138"/>
    </row>
    <row r="808">
      <c r="A808" s="56"/>
      <c r="B808" s="56"/>
      <c r="C808" s="108" t="str">
        <f>IFNA(VLOOKUP('Dashboard-Dados'!B808,'Dashboard-Dados'!$Y$2:$AA$13,2),"")</f>
        <v/>
      </c>
      <c r="D808" s="109">
        <f>IFERROR(GETPIVOTDATA("Valor Recebido",'Dashboard-Dados'!$J$1,$A$1,A808,$B$1,B808),0)</f>
        <v>0</v>
      </c>
      <c r="E808" s="110">
        <f>IFERROR(GETPIVOTDATA("Valor Despesa",'Dashboard-Dados'!$P$1,$A$1,A808,$B$1,B808),0)</f>
        <v>0</v>
      </c>
      <c r="F808" s="110">
        <f t="shared" si="1"/>
        <v>0</v>
      </c>
      <c r="G808" s="56">
        <f>IFERROR(GETPIVOTDATA("Exame",'Dashboard-Dados'!$J$1,$A$1,A808,$B$1,B808),0)</f>
        <v>0</v>
      </c>
      <c r="H808" s="56">
        <f t="shared" si="2"/>
        <v>808</v>
      </c>
      <c r="U808" s="56"/>
      <c r="V808" s="56"/>
      <c r="W808" s="56"/>
      <c r="Y808" s="138"/>
    </row>
    <row r="809">
      <c r="A809" s="56"/>
      <c r="B809" s="56"/>
      <c r="C809" s="108" t="str">
        <f>IFNA(VLOOKUP('Dashboard-Dados'!B809,'Dashboard-Dados'!$Y$2:$AA$13,2),"")</f>
        <v/>
      </c>
      <c r="D809" s="109">
        <f>IFERROR(GETPIVOTDATA("Valor Recebido",'Dashboard-Dados'!$J$1,$A$1,A809,$B$1,B809),0)</f>
        <v>0</v>
      </c>
      <c r="E809" s="110">
        <f>IFERROR(GETPIVOTDATA("Valor Despesa",'Dashboard-Dados'!$P$1,$A$1,A809,$B$1,B809),0)</f>
        <v>0</v>
      </c>
      <c r="F809" s="110">
        <f t="shared" si="1"/>
        <v>0</v>
      </c>
      <c r="G809" s="56">
        <f>IFERROR(GETPIVOTDATA("Exame",'Dashboard-Dados'!$J$1,$A$1,A809,$B$1,B809),0)</f>
        <v>0</v>
      </c>
      <c r="H809" s="56">
        <f t="shared" si="2"/>
        <v>809</v>
      </c>
      <c r="U809" s="56"/>
      <c r="V809" s="56"/>
      <c r="W809" s="56"/>
      <c r="Y809" s="138"/>
    </row>
    <row r="810">
      <c r="A810" s="56"/>
      <c r="B810" s="56"/>
      <c r="C810" s="108" t="str">
        <f>IFNA(VLOOKUP('Dashboard-Dados'!B810,'Dashboard-Dados'!$Y$2:$AA$13,2),"")</f>
        <v/>
      </c>
      <c r="D810" s="109">
        <f>IFERROR(GETPIVOTDATA("Valor Recebido",'Dashboard-Dados'!$J$1,$A$1,A810,$B$1,B810),0)</f>
        <v>0</v>
      </c>
      <c r="E810" s="110">
        <f>IFERROR(GETPIVOTDATA("Valor Despesa",'Dashboard-Dados'!$P$1,$A$1,A810,$B$1,B810),0)</f>
        <v>0</v>
      </c>
      <c r="F810" s="110">
        <f t="shared" si="1"/>
        <v>0</v>
      </c>
      <c r="G810" s="56">
        <f>IFERROR(GETPIVOTDATA("Exame",'Dashboard-Dados'!$J$1,$A$1,A810,$B$1,B810),0)</f>
        <v>0</v>
      </c>
      <c r="H810" s="56">
        <f t="shared" si="2"/>
        <v>810</v>
      </c>
      <c r="U810" s="56"/>
      <c r="V810" s="56"/>
      <c r="W810" s="56"/>
      <c r="Y810" s="138"/>
    </row>
    <row r="811">
      <c r="A811" s="56"/>
      <c r="B811" s="56"/>
      <c r="C811" s="108" t="str">
        <f>IFNA(VLOOKUP('Dashboard-Dados'!B811,'Dashboard-Dados'!$Y$2:$AA$13,2),"")</f>
        <v/>
      </c>
      <c r="D811" s="109">
        <f>IFERROR(GETPIVOTDATA("Valor Recebido",'Dashboard-Dados'!$J$1,$A$1,A811,$B$1,B811),0)</f>
        <v>0</v>
      </c>
      <c r="E811" s="110">
        <f>IFERROR(GETPIVOTDATA("Valor Despesa",'Dashboard-Dados'!$P$1,$A$1,A811,$B$1,B811),0)</f>
        <v>0</v>
      </c>
      <c r="F811" s="110">
        <f t="shared" si="1"/>
        <v>0</v>
      </c>
      <c r="G811" s="56">
        <f>IFERROR(GETPIVOTDATA("Exame",'Dashboard-Dados'!$J$1,$A$1,A811,$B$1,B811),0)</f>
        <v>0</v>
      </c>
      <c r="H811" s="56">
        <f t="shared" si="2"/>
        <v>811</v>
      </c>
      <c r="U811" s="56"/>
      <c r="V811" s="56"/>
      <c r="W811" s="56"/>
      <c r="Y811" s="138"/>
    </row>
    <row r="812">
      <c r="A812" s="56"/>
      <c r="B812" s="56"/>
      <c r="C812" s="108" t="str">
        <f>IFNA(VLOOKUP('Dashboard-Dados'!B812,'Dashboard-Dados'!$Y$2:$AA$13,2),"")</f>
        <v/>
      </c>
      <c r="D812" s="109">
        <f>IFERROR(GETPIVOTDATA("Valor Recebido",'Dashboard-Dados'!$J$1,$A$1,A812,$B$1,B812),0)</f>
        <v>0</v>
      </c>
      <c r="E812" s="110">
        <f>IFERROR(GETPIVOTDATA("Valor Despesa",'Dashboard-Dados'!$P$1,$A$1,A812,$B$1,B812),0)</f>
        <v>0</v>
      </c>
      <c r="F812" s="110">
        <f t="shared" si="1"/>
        <v>0</v>
      </c>
      <c r="G812" s="56">
        <f>IFERROR(GETPIVOTDATA("Exame",'Dashboard-Dados'!$J$1,$A$1,A812,$B$1,B812),0)</f>
        <v>0</v>
      </c>
      <c r="H812" s="56">
        <f t="shared" si="2"/>
        <v>812</v>
      </c>
      <c r="U812" s="56"/>
      <c r="V812" s="56"/>
      <c r="W812" s="56"/>
      <c r="Y812" s="138"/>
    </row>
    <row r="813">
      <c r="A813" s="56"/>
      <c r="B813" s="56"/>
      <c r="C813" s="108" t="str">
        <f>IFNA(VLOOKUP('Dashboard-Dados'!B813,'Dashboard-Dados'!$Y$2:$AA$13,2),"")</f>
        <v/>
      </c>
      <c r="D813" s="109">
        <f>IFERROR(GETPIVOTDATA("Valor Recebido",'Dashboard-Dados'!$J$1,$A$1,A813,$B$1,B813),0)</f>
        <v>0</v>
      </c>
      <c r="E813" s="110">
        <f>IFERROR(GETPIVOTDATA("Valor Despesa",'Dashboard-Dados'!$P$1,$A$1,A813,$B$1,B813),0)</f>
        <v>0</v>
      </c>
      <c r="F813" s="110">
        <f t="shared" si="1"/>
        <v>0</v>
      </c>
      <c r="G813" s="56">
        <f>IFERROR(GETPIVOTDATA("Exame",'Dashboard-Dados'!$J$1,$A$1,A813,$B$1,B813),0)</f>
        <v>0</v>
      </c>
      <c r="H813" s="56">
        <f t="shared" si="2"/>
        <v>813</v>
      </c>
      <c r="U813" s="56"/>
      <c r="V813" s="56"/>
      <c r="W813" s="56"/>
      <c r="Y813" s="138"/>
    </row>
    <row r="814">
      <c r="A814" s="56"/>
      <c r="B814" s="56"/>
      <c r="C814" s="108" t="str">
        <f>IFNA(VLOOKUP('Dashboard-Dados'!B814,'Dashboard-Dados'!$Y$2:$AA$13,2),"")</f>
        <v/>
      </c>
      <c r="D814" s="109">
        <f>IFERROR(GETPIVOTDATA("Valor Recebido",'Dashboard-Dados'!$J$1,$A$1,A814,$B$1,B814),0)</f>
        <v>0</v>
      </c>
      <c r="E814" s="110">
        <f>IFERROR(GETPIVOTDATA("Valor Despesa",'Dashboard-Dados'!$P$1,$A$1,A814,$B$1,B814),0)</f>
        <v>0</v>
      </c>
      <c r="F814" s="110">
        <f t="shared" si="1"/>
        <v>0</v>
      </c>
      <c r="G814" s="56">
        <f>IFERROR(GETPIVOTDATA("Exame",'Dashboard-Dados'!$J$1,$A$1,A814,$B$1,B814),0)</f>
        <v>0</v>
      </c>
      <c r="H814" s="56">
        <f t="shared" si="2"/>
        <v>814</v>
      </c>
      <c r="U814" s="56"/>
      <c r="V814" s="56"/>
      <c r="W814" s="56"/>
      <c r="Y814" s="138"/>
    </row>
    <row r="815">
      <c r="A815" s="56"/>
      <c r="B815" s="56"/>
      <c r="C815" s="108" t="str">
        <f>IFNA(VLOOKUP('Dashboard-Dados'!B815,'Dashboard-Dados'!$Y$2:$AA$13,2),"")</f>
        <v/>
      </c>
      <c r="D815" s="109">
        <f>IFERROR(GETPIVOTDATA("Valor Recebido",'Dashboard-Dados'!$J$1,$A$1,A815,$B$1,B815),0)</f>
        <v>0</v>
      </c>
      <c r="E815" s="110">
        <f>IFERROR(GETPIVOTDATA("Valor Despesa",'Dashboard-Dados'!$P$1,$A$1,A815,$B$1,B815),0)</f>
        <v>0</v>
      </c>
      <c r="F815" s="110">
        <f t="shared" si="1"/>
        <v>0</v>
      </c>
      <c r="G815" s="56">
        <f>IFERROR(GETPIVOTDATA("Exame",'Dashboard-Dados'!$J$1,$A$1,A815,$B$1,B815),0)</f>
        <v>0</v>
      </c>
      <c r="H815" s="56">
        <f t="shared" si="2"/>
        <v>815</v>
      </c>
      <c r="U815" s="56"/>
      <c r="V815" s="56"/>
      <c r="W815" s="56"/>
      <c r="Y815" s="138"/>
    </row>
    <row r="816">
      <c r="A816" s="56"/>
      <c r="B816" s="56"/>
      <c r="C816" s="108" t="str">
        <f>IFNA(VLOOKUP('Dashboard-Dados'!B816,'Dashboard-Dados'!$Y$2:$AA$13,2),"")</f>
        <v/>
      </c>
      <c r="D816" s="109">
        <f>IFERROR(GETPIVOTDATA("Valor Recebido",'Dashboard-Dados'!$J$1,$A$1,A816,$B$1,B816),0)</f>
        <v>0</v>
      </c>
      <c r="E816" s="110">
        <f>IFERROR(GETPIVOTDATA("Valor Despesa",'Dashboard-Dados'!$P$1,$A$1,A816,$B$1,B816),0)</f>
        <v>0</v>
      </c>
      <c r="F816" s="110">
        <f t="shared" si="1"/>
        <v>0</v>
      </c>
      <c r="G816" s="56">
        <f>IFERROR(GETPIVOTDATA("Exame",'Dashboard-Dados'!$J$1,$A$1,A816,$B$1,B816),0)</f>
        <v>0</v>
      </c>
      <c r="H816" s="56">
        <f t="shared" si="2"/>
        <v>816</v>
      </c>
      <c r="U816" s="56"/>
      <c r="V816" s="56"/>
      <c r="W816" s="56"/>
      <c r="Y816" s="138"/>
    </row>
    <row r="817">
      <c r="A817" s="56"/>
      <c r="B817" s="56"/>
      <c r="C817" s="108" t="str">
        <f>IFNA(VLOOKUP('Dashboard-Dados'!B817,'Dashboard-Dados'!$Y$2:$AA$13,2),"")</f>
        <v/>
      </c>
      <c r="D817" s="109">
        <f>IFERROR(GETPIVOTDATA("Valor Recebido",'Dashboard-Dados'!$J$1,$A$1,A817,$B$1,B817),0)</f>
        <v>0</v>
      </c>
      <c r="E817" s="110">
        <f>IFERROR(GETPIVOTDATA("Valor Despesa",'Dashboard-Dados'!$P$1,$A$1,A817,$B$1,B817),0)</f>
        <v>0</v>
      </c>
      <c r="F817" s="110">
        <f t="shared" si="1"/>
        <v>0</v>
      </c>
      <c r="G817" s="56">
        <f>IFERROR(GETPIVOTDATA("Exame",'Dashboard-Dados'!$J$1,$A$1,A817,$B$1,B817),0)</f>
        <v>0</v>
      </c>
      <c r="H817" s="56">
        <f t="shared" si="2"/>
        <v>817</v>
      </c>
      <c r="U817" s="56"/>
      <c r="V817" s="56"/>
      <c r="W817" s="56"/>
      <c r="Y817" s="138"/>
    </row>
    <row r="818">
      <c r="A818" s="56"/>
      <c r="B818" s="56"/>
      <c r="C818" s="108" t="str">
        <f>IFNA(VLOOKUP('Dashboard-Dados'!B818,'Dashboard-Dados'!$Y$2:$AA$13,2),"")</f>
        <v/>
      </c>
      <c r="D818" s="109">
        <f>IFERROR(GETPIVOTDATA("Valor Recebido",'Dashboard-Dados'!$J$1,$A$1,A818,$B$1,B818),0)</f>
        <v>0</v>
      </c>
      <c r="E818" s="110">
        <f>IFERROR(GETPIVOTDATA("Valor Despesa",'Dashboard-Dados'!$P$1,$A$1,A818,$B$1,B818),0)</f>
        <v>0</v>
      </c>
      <c r="F818" s="110">
        <f t="shared" si="1"/>
        <v>0</v>
      </c>
      <c r="G818" s="56">
        <f>IFERROR(GETPIVOTDATA("Exame",'Dashboard-Dados'!$J$1,$A$1,A818,$B$1,B818),0)</f>
        <v>0</v>
      </c>
      <c r="H818" s="56">
        <f t="shared" si="2"/>
        <v>818</v>
      </c>
      <c r="U818" s="56"/>
      <c r="V818" s="56"/>
      <c r="W818" s="56"/>
      <c r="Y818" s="138"/>
    </row>
    <row r="819">
      <c r="A819" s="56"/>
      <c r="B819" s="56"/>
      <c r="C819" s="108" t="str">
        <f>IFNA(VLOOKUP('Dashboard-Dados'!B819,'Dashboard-Dados'!$Y$2:$AA$13,2),"")</f>
        <v/>
      </c>
      <c r="D819" s="109">
        <f>IFERROR(GETPIVOTDATA("Valor Recebido",'Dashboard-Dados'!$J$1,$A$1,A819,$B$1,B819),0)</f>
        <v>0</v>
      </c>
      <c r="E819" s="110">
        <f>IFERROR(GETPIVOTDATA("Valor Despesa",'Dashboard-Dados'!$P$1,$A$1,A819,$B$1,B819),0)</f>
        <v>0</v>
      </c>
      <c r="F819" s="110">
        <f t="shared" si="1"/>
        <v>0</v>
      </c>
      <c r="G819" s="56">
        <f>IFERROR(GETPIVOTDATA("Exame",'Dashboard-Dados'!$J$1,$A$1,A819,$B$1,B819),0)</f>
        <v>0</v>
      </c>
      <c r="H819" s="56">
        <f t="shared" si="2"/>
        <v>819</v>
      </c>
      <c r="U819" s="56"/>
      <c r="V819" s="56"/>
      <c r="W819" s="56"/>
      <c r="Y819" s="138"/>
    </row>
    <row r="820">
      <c r="A820" s="56"/>
      <c r="B820" s="56"/>
      <c r="C820" s="108" t="str">
        <f>IFNA(VLOOKUP('Dashboard-Dados'!B820,'Dashboard-Dados'!$Y$2:$AA$13,2),"")</f>
        <v/>
      </c>
      <c r="D820" s="109">
        <f>IFERROR(GETPIVOTDATA("Valor Recebido",'Dashboard-Dados'!$J$1,$A$1,A820,$B$1,B820),0)</f>
        <v>0</v>
      </c>
      <c r="E820" s="110">
        <f>IFERROR(GETPIVOTDATA("Valor Despesa",'Dashboard-Dados'!$P$1,$A$1,A820,$B$1,B820),0)</f>
        <v>0</v>
      </c>
      <c r="F820" s="110">
        <f t="shared" si="1"/>
        <v>0</v>
      </c>
      <c r="G820" s="56">
        <f>IFERROR(GETPIVOTDATA("Exame",'Dashboard-Dados'!$J$1,$A$1,A820,$B$1,B820),0)</f>
        <v>0</v>
      </c>
      <c r="H820" s="56">
        <f t="shared" si="2"/>
        <v>820</v>
      </c>
      <c r="U820" s="56"/>
      <c r="V820" s="56"/>
      <c r="W820" s="56"/>
      <c r="Y820" s="138"/>
    </row>
    <row r="821">
      <c r="A821" s="56"/>
      <c r="B821" s="56"/>
      <c r="C821" s="108" t="str">
        <f>IFNA(VLOOKUP('Dashboard-Dados'!B821,'Dashboard-Dados'!$Y$2:$AA$13,2),"")</f>
        <v/>
      </c>
      <c r="D821" s="109">
        <f>IFERROR(GETPIVOTDATA("Valor Recebido",'Dashboard-Dados'!$J$1,$A$1,A821,$B$1,B821),0)</f>
        <v>0</v>
      </c>
      <c r="E821" s="110">
        <f>IFERROR(GETPIVOTDATA("Valor Despesa",'Dashboard-Dados'!$P$1,$A$1,A821,$B$1,B821),0)</f>
        <v>0</v>
      </c>
      <c r="F821" s="110">
        <f t="shared" si="1"/>
        <v>0</v>
      </c>
      <c r="G821" s="56">
        <f>IFERROR(GETPIVOTDATA("Exame",'Dashboard-Dados'!$J$1,$A$1,A821,$B$1,B821),0)</f>
        <v>0</v>
      </c>
      <c r="H821" s="56">
        <f t="shared" si="2"/>
        <v>821</v>
      </c>
      <c r="U821" s="56"/>
      <c r="V821" s="56"/>
      <c r="W821" s="56"/>
      <c r="Y821" s="138"/>
    </row>
    <row r="822">
      <c r="A822" s="56"/>
      <c r="B822" s="56"/>
      <c r="C822" s="108" t="str">
        <f>IFNA(VLOOKUP('Dashboard-Dados'!B822,'Dashboard-Dados'!$Y$2:$AA$13,2),"")</f>
        <v/>
      </c>
      <c r="D822" s="109">
        <f>IFERROR(GETPIVOTDATA("Valor Recebido",'Dashboard-Dados'!$J$1,$A$1,A822,$B$1,B822),0)</f>
        <v>0</v>
      </c>
      <c r="E822" s="110">
        <f>IFERROR(GETPIVOTDATA("Valor Despesa",'Dashboard-Dados'!$P$1,$A$1,A822,$B$1,B822),0)</f>
        <v>0</v>
      </c>
      <c r="F822" s="110">
        <f t="shared" si="1"/>
        <v>0</v>
      </c>
      <c r="G822" s="56">
        <f>IFERROR(GETPIVOTDATA("Exame",'Dashboard-Dados'!$J$1,$A$1,A822,$B$1,B822),0)</f>
        <v>0</v>
      </c>
      <c r="H822" s="56">
        <f t="shared" si="2"/>
        <v>822</v>
      </c>
      <c r="U822" s="56"/>
      <c r="V822" s="56"/>
      <c r="W822" s="56"/>
      <c r="Y822" s="138"/>
    </row>
    <row r="823">
      <c r="A823" s="56"/>
      <c r="B823" s="56"/>
      <c r="C823" s="108" t="str">
        <f>IFNA(VLOOKUP('Dashboard-Dados'!B823,'Dashboard-Dados'!$Y$2:$AA$13,2),"")</f>
        <v/>
      </c>
      <c r="D823" s="109">
        <f>IFERROR(GETPIVOTDATA("Valor Recebido",'Dashboard-Dados'!$J$1,$A$1,A823,$B$1,B823),0)</f>
        <v>0</v>
      </c>
      <c r="E823" s="110">
        <f>IFERROR(GETPIVOTDATA("Valor Despesa",'Dashboard-Dados'!$P$1,$A$1,A823,$B$1,B823),0)</f>
        <v>0</v>
      </c>
      <c r="F823" s="110">
        <f t="shared" si="1"/>
        <v>0</v>
      </c>
      <c r="G823" s="56">
        <f>IFERROR(GETPIVOTDATA("Exame",'Dashboard-Dados'!$J$1,$A$1,A823,$B$1,B823),0)</f>
        <v>0</v>
      </c>
      <c r="H823" s="56">
        <f t="shared" si="2"/>
        <v>823</v>
      </c>
      <c r="U823" s="56"/>
      <c r="V823" s="56"/>
      <c r="W823" s="56"/>
      <c r="Y823" s="138"/>
    </row>
    <row r="824">
      <c r="A824" s="56"/>
      <c r="B824" s="56"/>
      <c r="C824" s="108" t="str">
        <f>IFNA(VLOOKUP('Dashboard-Dados'!B824,'Dashboard-Dados'!$Y$2:$AA$13,2),"")</f>
        <v/>
      </c>
      <c r="D824" s="109">
        <f>IFERROR(GETPIVOTDATA("Valor Recebido",'Dashboard-Dados'!$J$1,$A$1,A824,$B$1,B824),0)</f>
        <v>0</v>
      </c>
      <c r="E824" s="110">
        <f>IFERROR(GETPIVOTDATA("Valor Despesa",'Dashboard-Dados'!$P$1,$A$1,A824,$B$1,B824),0)</f>
        <v>0</v>
      </c>
      <c r="F824" s="110">
        <f t="shared" si="1"/>
        <v>0</v>
      </c>
      <c r="G824" s="56">
        <f>IFERROR(GETPIVOTDATA("Exame",'Dashboard-Dados'!$J$1,$A$1,A824,$B$1,B824),0)</f>
        <v>0</v>
      </c>
      <c r="H824" s="56">
        <f t="shared" si="2"/>
        <v>824</v>
      </c>
      <c r="U824" s="56"/>
      <c r="V824" s="56"/>
      <c r="W824" s="56"/>
      <c r="Y824" s="138"/>
    </row>
    <row r="825">
      <c r="A825" s="56"/>
      <c r="B825" s="56"/>
      <c r="C825" s="108" t="str">
        <f>IFNA(VLOOKUP('Dashboard-Dados'!B825,'Dashboard-Dados'!$Y$2:$AA$13,2),"")</f>
        <v/>
      </c>
      <c r="D825" s="109">
        <f>IFERROR(GETPIVOTDATA("Valor Recebido",'Dashboard-Dados'!$J$1,$A$1,A825,$B$1,B825),0)</f>
        <v>0</v>
      </c>
      <c r="E825" s="110">
        <f>IFERROR(GETPIVOTDATA("Valor Despesa",'Dashboard-Dados'!$P$1,$A$1,A825,$B$1,B825),0)</f>
        <v>0</v>
      </c>
      <c r="F825" s="110">
        <f t="shared" si="1"/>
        <v>0</v>
      </c>
      <c r="G825" s="56">
        <f>IFERROR(GETPIVOTDATA("Exame",'Dashboard-Dados'!$J$1,$A$1,A825,$B$1,B825),0)</f>
        <v>0</v>
      </c>
      <c r="H825" s="56">
        <f t="shared" si="2"/>
        <v>825</v>
      </c>
      <c r="U825" s="56"/>
      <c r="V825" s="56"/>
      <c r="W825" s="56"/>
      <c r="Y825" s="138"/>
    </row>
    <row r="826">
      <c r="A826" s="56"/>
      <c r="B826" s="56"/>
      <c r="C826" s="108" t="str">
        <f>IFNA(VLOOKUP('Dashboard-Dados'!B826,'Dashboard-Dados'!$Y$2:$AA$13,2),"")</f>
        <v/>
      </c>
      <c r="D826" s="109">
        <f>IFERROR(GETPIVOTDATA("Valor Recebido",'Dashboard-Dados'!$J$1,$A$1,A826,$B$1,B826),0)</f>
        <v>0</v>
      </c>
      <c r="E826" s="110">
        <f>IFERROR(GETPIVOTDATA("Valor Despesa",'Dashboard-Dados'!$P$1,$A$1,A826,$B$1,B826),0)</f>
        <v>0</v>
      </c>
      <c r="F826" s="110">
        <f t="shared" si="1"/>
        <v>0</v>
      </c>
      <c r="G826" s="56">
        <f>IFERROR(GETPIVOTDATA("Exame",'Dashboard-Dados'!$J$1,$A$1,A826,$B$1,B826),0)</f>
        <v>0</v>
      </c>
      <c r="H826" s="56">
        <f t="shared" si="2"/>
        <v>826</v>
      </c>
      <c r="U826" s="56"/>
      <c r="V826" s="56"/>
      <c r="W826" s="56"/>
      <c r="Y826" s="138"/>
    </row>
    <row r="827">
      <c r="A827" s="56"/>
      <c r="B827" s="56"/>
      <c r="C827" s="108" t="str">
        <f>IFNA(VLOOKUP('Dashboard-Dados'!B827,'Dashboard-Dados'!$Y$2:$AA$13,2),"")</f>
        <v/>
      </c>
      <c r="D827" s="109">
        <f>IFERROR(GETPIVOTDATA("Valor Recebido",'Dashboard-Dados'!$J$1,$A$1,A827,$B$1,B827),0)</f>
        <v>0</v>
      </c>
      <c r="E827" s="110">
        <f>IFERROR(GETPIVOTDATA("Valor Despesa",'Dashboard-Dados'!$P$1,$A$1,A827,$B$1,B827),0)</f>
        <v>0</v>
      </c>
      <c r="F827" s="110">
        <f t="shared" si="1"/>
        <v>0</v>
      </c>
      <c r="G827" s="56">
        <f>IFERROR(GETPIVOTDATA("Exame",'Dashboard-Dados'!$J$1,$A$1,A827,$B$1,B827),0)</f>
        <v>0</v>
      </c>
      <c r="H827" s="56">
        <f t="shared" si="2"/>
        <v>827</v>
      </c>
      <c r="U827" s="56"/>
      <c r="V827" s="56"/>
      <c r="W827" s="56"/>
      <c r="Y827" s="138"/>
    </row>
    <row r="828">
      <c r="A828" s="56"/>
      <c r="B828" s="56"/>
      <c r="C828" s="108" t="str">
        <f>IFNA(VLOOKUP('Dashboard-Dados'!B828,'Dashboard-Dados'!$Y$2:$AA$13,2),"")</f>
        <v/>
      </c>
      <c r="D828" s="109">
        <f>IFERROR(GETPIVOTDATA("Valor Recebido",'Dashboard-Dados'!$J$1,$A$1,A828,$B$1,B828),0)</f>
        <v>0</v>
      </c>
      <c r="E828" s="110">
        <f>IFERROR(GETPIVOTDATA("Valor Despesa",'Dashboard-Dados'!$P$1,$A$1,A828,$B$1,B828),0)</f>
        <v>0</v>
      </c>
      <c r="F828" s="110">
        <f t="shared" si="1"/>
        <v>0</v>
      </c>
      <c r="G828" s="56">
        <f>IFERROR(GETPIVOTDATA("Exame",'Dashboard-Dados'!$J$1,$A$1,A828,$B$1,B828),0)</f>
        <v>0</v>
      </c>
      <c r="H828" s="56">
        <f t="shared" si="2"/>
        <v>828</v>
      </c>
      <c r="U828" s="56"/>
      <c r="V828" s="56"/>
      <c r="W828" s="56"/>
      <c r="Y828" s="138"/>
    </row>
    <row r="829">
      <c r="A829" s="56"/>
      <c r="B829" s="56"/>
      <c r="C829" s="108" t="str">
        <f>IFNA(VLOOKUP('Dashboard-Dados'!B829,'Dashboard-Dados'!$Y$2:$AA$13,2),"")</f>
        <v/>
      </c>
      <c r="D829" s="109">
        <f>IFERROR(GETPIVOTDATA("Valor Recebido",'Dashboard-Dados'!$J$1,$A$1,A829,$B$1,B829),0)</f>
        <v>0</v>
      </c>
      <c r="E829" s="110">
        <f>IFERROR(GETPIVOTDATA("Valor Despesa",'Dashboard-Dados'!$P$1,$A$1,A829,$B$1,B829),0)</f>
        <v>0</v>
      </c>
      <c r="F829" s="110">
        <f t="shared" si="1"/>
        <v>0</v>
      </c>
      <c r="G829" s="56">
        <f>IFERROR(GETPIVOTDATA("Exame",'Dashboard-Dados'!$J$1,$A$1,A829,$B$1,B829),0)</f>
        <v>0</v>
      </c>
      <c r="H829" s="56">
        <f t="shared" si="2"/>
        <v>829</v>
      </c>
      <c r="U829" s="56"/>
      <c r="V829" s="56"/>
      <c r="W829" s="56"/>
      <c r="Y829" s="138"/>
    </row>
    <row r="830">
      <c r="A830" s="56"/>
      <c r="B830" s="56"/>
      <c r="C830" s="108" t="str">
        <f>IFNA(VLOOKUP('Dashboard-Dados'!B830,'Dashboard-Dados'!$Y$2:$AA$13,2),"")</f>
        <v/>
      </c>
      <c r="D830" s="109">
        <f>IFERROR(GETPIVOTDATA("Valor Recebido",'Dashboard-Dados'!$J$1,$A$1,A830,$B$1,B830),0)</f>
        <v>0</v>
      </c>
      <c r="E830" s="110">
        <f>IFERROR(GETPIVOTDATA("Valor Despesa",'Dashboard-Dados'!$P$1,$A$1,A830,$B$1,B830),0)</f>
        <v>0</v>
      </c>
      <c r="F830" s="110">
        <f t="shared" si="1"/>
        <v>0</v>
      </c>
      <c r="G830" s="56">
        <f>IFERROR(GETPIVOTDATA("Exame",'Dashboard-Dados'!$J$1,$A$1,A830,$B$1,B830),0)</f>
        <v>0</v>
      </c>
      <c r="H830" s="56">
        <f t="shared" si="2"/>
        <v>830</v>
      </c>
      <c r="U830" s="56"/>
      <c r="V830" s="56"/>
      <c r="W830" s="56"/>
      <c r="Y830" s="138"/>
    </row>
    <row r="831">
      <c r="A831" s="56"/>
      <c r="B831" s="56"/>
      <c r="C831" s="108" t="str">
        <f>IFNA(VLOOKUP('Dashboard-Dados'!B831,'Dashboard-Dados'!$Y$2:$AA$13,2),"")</f>
        <v/>
      </c>
      <c r="D831" s="109">
        <f>IFERROR(GETPIVOTDATA("Valor Recebido",'Dashboard-Dados'!$J$1,$A$1,A831,$B$1,B831),0)</f>
        <v>0</v>
      </c>
      <c r="E831" s="110">
        <f>IFERROR(GETPIVOTDATA("Valor Despesa",'Dashboard-Dados'!$P$1,$A$1,A831,$B$1,B831),0)</f>
        <v>0</v>
      </c>
      <c r="F831" s="110">
        <f t="shared" si="1"/>
        <v>0</v>
      </c>
      <c r="G831" s="56">
        <f>IFERROR(GETPIVOTDATA("Exame",'Dashboard-Dados'!$J$1,$A$1,A831,$B$1,B831),0)</f>
        <v>0</v>
      </c>
      <c r="H831" s="56">
        <f t="shared" si="2"/>
        <v>831</v>
      </c>
      <c r="U831" s="56"/>
      <c r="V831" s="56"/>
      <c r="W831" s="56"/>
      <c r="Y831" s="138"/>
    </row>
    <row r="832">
      <c r="A832" s="56"/>
      <c r="B832" s="56"/>
      <c r="C832" s="108" t="str">
        <f>IFNA(VLOOKUP('Dashboard-Dados'!B832,'Dashboard-Dados'!$Y$2:$AA$13,2),"")</f>
        <v/>
      </c>
      <c r="D832" s="109">
        <f>IFERROR(GETPIVOTDATA("Valor Recebido",'Dashboard-Dados'!$J$1,$A$1,A832,$B$1,B832),0)</f>
        <v>0</v>
      </c>
      <c r="E832" s="110">
        <f>IFERROR(GETPIVOTDATA("Valor Despesa",'Dashboard-Dados'!$P$1,$A$1,A832,$B$1,B832),0)</f>
        <v>0</v>
      </c>
      <c r="F832" s="110">
        <f t="shared" si="1"/>
        <v>0</v>
      </c>
      <c r="G832" s="56">
        <f>IFERROR(GETPIVOTDATA("Exame",'Dashboard-Dados'!$J$1,$A$1,A832,$B$1,B832),0)</f>
        <v>0</v>
      </c>
      <c r="H832" s="56">
        <f t="shared" si="2"/>
        <v>832</v>
      </c>
      <c r="U832" s="56"/>
      <c r="V832" s="56"/>
      <c r="W832" s="56"/>
      <c r="Y832" s="138"/>
    </row>
    <row r="833">
      <c r="A833" s="56"/>
      <c r="B833" s="56"/>
      <c r="C833" s="108" t="str">
        <f>IFNA(VLOOKUP('Dashboard-Dados'!B833,'Dashboard-Dados'!$Y$2:$AA$13,2),"")</f>
        <v/>
      </c>
      <c r="D833" s="109">
        <f>IFERROR(GETPIVOTDATA("Valor Recebido",'Dashboard-Dados'!$J$1,$A$1,A833,$B$1,B833),0)</f>
        <v>0</v>
      </c>
      <c r="E833" s="110">
        <f>IFERROR(GETPIVOTDATA("Valor Despesa",'Dashboard-Dados'!$P$1,$A$1,A833,$B$1,B833),0)</f>
        <v>0</v>
      </c>
      <c r="F833" s="110">
        <f t="shared" si="1"/>
        <v>0</v>
      </c>
      <c r="G833" s="56">
        <f>IFERROR(GETPIVOTDATA("Exame",'Dashboard-Dados'!$J$1,$A$1,A833,$B$1,B833),0)</f>
        <v>0</v>
      </c>
      <c r="H833" s="56">
        <f t="shared" si="2"/>
        <v>833</v>
      </c>
      <c r="U833" s="56"/>
      <c r="V833" s="56"/>
      <c r="W833" s="56"/>
      <c r="Y833" s="138"/>
    </row>
    <row r="834">
      <c r="A834" s="56"/>
      <c r="B834" s="56"/>
      <c r="C834" s="108" t="str">
        <f>IFNA(VLOOKUP('Dashboard-Dados'!B834,'Dashboard-Dados'!$Y$2:$AA$13,2),"")</f>
        <v/>
      </c>
      <c r="D834" s="109">
        <f>IFERROR(GETPIVOTDATA("Valor Recebido",'Dashboard-Dados'!$J$1,$A$1,A834,$B$1,B834),0)</f>
        <v>0</v>
      </c>
      <c r="E834" s="110">
        <f>IFERROR(GETPIVOTDATA("Valor Despesa",'Dashboard-Dados'!$P$1,$A$1,A834,$B$1,B834),0)</f>
        <v>0</v>
      </c>
      <c r="F834" s="110">
        <f t="shared" si="1"/>
        <v>0</v>
      </c>
      <c r="G834" s="56">
        <f>IFERROR(GETPIVOTDATA("Exame",'Dashboard-Dados'!$J$1,$A$1,A834,$B$1,B834),0)</f>
        <v>0</v>
      </c>
      <c r="H834" s="56">
        <f t="shared" si="2"/>
        <v>834</v>
      </c>
      <c r="U834" s="56"/>
      <c r="V834" s="56"/>
      <c r="W834" s="56"/>
      <c r="Y834" s="138"/>
    </row>
    <row r="835">
      <c r="A835" s="56"/>
      <c r="B835" s="56"/>
      <c r="C835" s="108" t="str">
        <f>IFNA(VLOOKUP('Dashboard-Dados'!B835,'Dashboard-Dados'!$Y$2:$AA$13,2),"")</f>
        <v/>
      </c>
      <c r="D835" s="109">
        <f>IFERROR(GETPIVOTDATA("Valor Recebido",'Dashboard-Dados'!$J$1,$A$1,A835,$B$1,B835),0)</f>
        <v>0</v>
      </c>
      <c r="E835" s="110">
        <f>IFERROR(GETPIVOTDATA("Valor Despesa",'Dashboard-Dados'!$P$1,$A$1,A835,$B$1,B835),0)</f>
        <v>0</v>
      </c>
      <c r="F835" s="110">
        <f t="shared" si="1"/>
        <v>0</v>
      </c>
      <c r="G835" s="56">
        <f>IFERROR(GETPIVOTDATA("Exame",'Dashboard-Dados'!$J$1,$A$1,A835,$B$1,B835),0)</f>
        <v>0</v>
      </c>
      <c r="H835" s="56">
        <f t="shared" si="2"/>
        <v>835</v>
      </c>
      <c r="U835" s="56"/>
      <c r="V835" s="56"/>
      <c r="W835" s="56"/>
      <c r="Y835" s="138"/>
    </row>
    <row r="836">
      <c r="A836" s="56"/>
      <c r="B836" s="56"/>
      <c r="C836" s="108" t="str">
        <f>IFNA(VLOOKUP('Dashboard-Dados'!B836,'Dashboard-Dados'!$Y$2:$AA$13,2),"")</f>
        <v/>
      </c>
      <c r="D836" s="109">
        <f>IFERROR(GETPIVOTDATA("Valor Recebido",'Dashboard-Dados'!$J$1,$A$1,A836,$B$1,B836),0)</f>
        <v>0</v>
      </c>
      <c r="E836" s="110">
        <f>IFERROR(GETPIVOTDATA("Valor Despesa",'Dashboard-Dados'!$P$1,$A$1,A836,$B$1,B836),0)</f>
        <v>0</v>
      </c>
      <c r="F836" s="110">
        <f t="shared" si="1"/>
        <v>0</v>
      </c>
      <c r="G836" s="56">
        <f>IFERROR(GETPIVOTDATA("Exame",'Dashboard-Dados'!$J$1,$A$1,A836,$B$1,B836),0)</f>
        <v>0</v>
      </c>
      <c r="H836" s="56">
        <f t="shared" si="2"/>
        <v>836</v>
      </c>
      <c r="U836" s="56"/>
      <c r="V836" s="56"/>
      <c r="W836" s="56"/>
      <c r="Y836" s="138"/>
    </row>
    <row r="837">
      <c r="A837" s="56"/>
      <c r="B837" s="56"/>
      <c r="C837" s="108" t="str">
        <f>IFNA(VLOOKUP('Dashboard-Dados'!B837,'Dashboard-Dados'!$Y$2:$AA$13,2),"")</f>
        <v/>
      </c>
      <c r="D837" s="109">
        <f>IFERROR(GETPIVOTDATA("Valor Recebido",'Dashboard-Dados'!$J$1,$A$1,A837,$B$1,B837),0)</f>
        <v>0</v>
      </c>
      <c r="E837" s="110">
        <f>IFERROR(GETPIVOTDATA("Valor Despesa",'Dashboard-Dados'!$P$1,$A$1,A837,$B$1,B837),0)</f>
        <v>0</v>
      </c>
      <c r="F837" s="110">
        <f t="shared" si="1"/>
        <v>0</v>
      </c>
      <c r="G837" s="56">
        <f>IFERROR(GETPIVOTDATA("Exame",'Dashboard-Dados'!$J$1,$A$1,A837,$B$1,B837),0)</f>
        <v>0</v>
      </c>
      <c r="H837" s="56">
        <f t="shared" si="2"/>
        <v>837</v>
      </c>
      <c r="U837" s="56"/>
      <c r="V837" s="56"/>
      <c r="W837" s="56"/>
      <c r="Y837" s="138"/>
    </row>
    <row r="838">
      <c r="A838" s="56"/>
      <c r="B838" s="56"/>
      <c r="C838" s="108" t="str">
        <f>IFNA(VLOOKUP('Dashboard-Dados'!B838,'Dashboard-Dados'!$Y$2:$AA$13,2),"")</f>
        <v/>
      </c>
      <c r="D838" s="109">
        <f>IFERROR(GETPIVOTDATA("Valor Recebido",'Dashboard-Dados'!$J$1,$A$1,A838,$B$1,B838),0)</f>
        <v>0</v>
      </c>
      <c r="E838" s="110">
        <f>IFERROR(GETPIVOTDATA("Valor Despesa",'Dashboard-Dados'!$P$1,$A$1,A838,$B$1,B838),0)</f>
        <v>0</v>
      </c>
      <c r="F838" s="110">
        <f t="shared" si="1"/>
        <v>0</v>
      </c>
      <c r="G838" s="56">
        <f>IFERROR(GETPIVOTDATA("Exame",'Dashboard-Dados'!$J$1,$A$1,A838,$B$1,B838),0)</f>
        <v>0</v>
      </c>
      <c r="H838" s="56">
        <f t="shared" si="2"/>
        <v>838</v>
      </c>
      <c r="U838" s="56"/>
      <c r="V838" s="56"/>
      <c r="W838" s="56"/>
      <c r="Y838" s="138"/>
    </row>
    <row r="839">
      <c r="A839" s="56"/>
      <c r="B839" s="56"/>
      <c r="C839" s="108" t="str">
        <f>IFNA(VLOOKUP('Dashboard-Dados'!B839,'Dashboard-Dados'!$Y$2:$AA$13,2),"")</f>
        <v/>
      </c>
      <c r="D839" s="109">
        <f>IFERROR(GETPIVOTDATA("Valor Recebido",'Dashboard-Dados'!$J$1,$A$1,A839,$B$1,B839),0)</f>
        <v>0</v>
      </c>
      <c r="E839" s="110">
        <f>IFERROR(GETPIVOTDATA("Valor Despesa",'Dashboard-Dados'!$P$1,$A$1,A839,$B$1,B839),0)</f>
        <v>0</v>
      </c>
      <c r="F839" s="110">
        <f t="shared" si="1"/>
        <v>0</v>
      </c>
      <c r="G839" s="56">
        <f>IFERROR(GETPIVOTDATA("Exame",'Dashboard-Dados'!$J$1,$A$1,A839,$B$1,B839),0)</f>
        <v>0</v>
      </c>
      <c r="H839" s="56">
        <f t="shared" si="2"/>
        <v>839</v>
      </c>
      <c r="U839" s="56"/>
      <c r="V839" s="56"/>
      <c r="W839" s="56"/>
      <c r="Y839" s="138"/>
    </row>
    <row r="840">
      <c r="A840" s="56"/>
      <c r="B840" s="56"/>
      <c r="C840" s="108" t="str">
        <f>IFNA(VLOOKUP('Dashboard-Dados'!B840,'Dashboard-Dados'!$Y$2:$AA$13,2),"")</f>
        <v/>
      </c>
      <c r="D840" s="109">
        <f>IFERROR(GETPIVOTDATA("Valor Recebido",'Dashboard-Dados'!$J$1,$A$1,A840,$B$1,B840),0)</f>
        <v>0</v>
      </c>
      <c r="E840" s="110">
        <f>IFERROR(GETPIVOTDATA("Valor Despesa",'Dashboard-Dados'!$P$1,$A$1,A840,$B$1,B840),0)</f>
        <v>0</v>
      </c>
      <c r="F840" s="110">
        <f t="shared" si="1"/>
        <v>0</v>
      </c>
      <c r="G840" s="56">
        <f>IFERROR(GETPIVOTDATA("Exame",'Dashboard-Dados'!$J$1,$A$1,A840,$B$1,B840),0)</f>
        <v>0</v>
      </c>
      <c r="H840" s="56">
        <f t="shared" si="2"/>
        <v>840</v>
      </c>
      <c r="U840" s="56"/>
      <c r="V840" s="56"/>
      <c r="W840" s="56"/>
      <c r="Y840" s="138"/>
    </row>
    <row r="841">
      <c r="A841" s="56"/>
      <c r="B841" s="56"/>
      <c r="C841" s="108" t="str">
        <f>IFNA(VLOOKUP('Dashboard-Dados'!B841,'Dashboard-Dados'!$Y$2:$AA$13,2),"")</f>
        <v/>
      </c>
      <c r="D841" s="109">
        <f>IFERROR(GETPIVOTDATA("Valor Recebido",'Dashboard-Dados'!$J$1,$A$1,A841,$B$1,B841),0)</f>
        <v>0</v>
      </c>
      <c r="E841" s="110">
        <f>IFERROR(GETPIVOTDATA("Valor Despesa",'Dashboard-Dados'!$P$1,$A$1,A841,$B$1,B841),0)</f>
        <v>0</v>
      </c>
      <c r="F841" s="110">
        <f t="shared" si="1"/>
        <v>0</v>
      </c>
      <c r="G841" s="56">
        <f>IFERROR(GETPIVOTDATA("Exame",'Dashboard-Dados'!$J$1,$A$1,A841,$B$1,B841),0)</f>
        <v>0</v>
      </c>
      <c r="H841" s="56">
        <f t="shared" si="2"/>
        <v>841</v>
      </c>
      <c r="U841" s="56"/>
      <c r="V841" s="56"/>
      <c r="W841" s="56"/>
      <c r="Y841" s="138"/>
    </row>
    <row r="842">
      <c r="A842" s="56"/>
      <c r="B842" s="56"/>
      <c r="C842" s="108" t="str">
        <f>IFNA(VLOOKUP('Dashboard-Dados'!B842,'Dashboard-Dados'!$Y$2:$AA$13,2),"")</f>
        <v/>
      </c>
      <c r="D842" s="109">
        <f>IFERROR(GETPIVOTDATA("Valor Recebido",'Dashboard-Dados'!$J$1,$A$1,A842,$B$1,B842),0)</f>
        <v>0</v>
      </c>
      <c r="E842" s="110">
        <f>IFERROR(GETPIVOTDATA("Valor Despesa",'Dashboard-Dados'!$P$1,$A$1,A842,$B$1,B842),0)</f>
        <v>0</v>
      </c>
      <c r="F842" s="110">
        <f t="shared" si="1"/>
        <v>0</v>
      </c>
      <c r="G842" s="56">
        <f>IFERROR(GETPIVOTDATA("Exame",'Dashboard-Dados'!$J$1,$A$1,A842,$B$1,B842),0)</f>
        <v>0</v>
      </c>
      <c r="H842" s="56">
        <f t="shared" si="2"/>
        <v>842</v>
      </c>
      <c r="U842" s="56"/>
      <c r="V842" s="56"/>
      <c r="W842" s="56"/>
      <c r="Y842" s="138"/>
    </row>
    <row r="843">
      <c r="A843" s="56"/>
      <c r="B843" s="56"/>
      <c r="C843" s="108" t="str">
        <f>IFNA(VLOOKUP('Dashboard-Dados'!B843,'Dashboard-Dados'!$Y$2:$AA$13,2),"")</f>
        <v/>
      </c>
      <c r="D843" s="109">
        <f>IFERROR(GETPIVOTDATA("Valor Recebido",'Dashboard-Dados'!$J$1,$A$1,A843,$B$1,B843),0)</f>
        <v>0</v>
      </c>
      <c r="E843" s="110">
        <f>IFERROR(GETPIVOTDATA("Valor Despesa",'Dashboard-Dados'!$P$1,$A$1,A843,$B$1,B843),0)</f>
        <v>0</v>
      </c>
      <c r="F843" s="110">
        <f t="shared" si="1"/>
        <v>0</v>
      </c>
      <c r="G843" s="56">
        <f>IFERROR(GETPIVOTDATA("Exame",'Dashboard-Dados'!$J$1,$A$1,A843,$B$1,B843),0)</f>
        <v>0</v>
      </c>
      <c r="H843" s="56">
        <f t="shared" si="2"/>
        <v>843</v>
      </c>
      <c r="U843" s="56"/>
      <c r="V843" s="56"/>
      <c r="W843" s="56"/>
      <c r="Y843" s="138"/>
    </row>
    <row r="844">
      <c r="A844" s="56"/>
      <c r="B844" s="56"/>
      <c r="C844" s="108" t="str">
        <f>IFNA(VLOOKUP('Dashboard-Dados'!B844,'Dashboard-Dados'!$Y$2:$AA$13,2),"")</f>
        <v/>
      </c>
      <c r="D844" s="109">
        <f>IFERROR(GETPIVOTDATA("Valor Recebido",'Dashboard-Dados'!$J$1,$A$1,A844,$B$1,B844),0)</f>
        <v>0</v>
      </c>
      <c r="E844" s="110">
        <f>IFERROR(GETPIVOTDATA("Valor Despesa",'Dashboard-Dados'!$P$1,$A$1,A844,$B$1,B844),0)</f>
        <v>0</v>
      </c>
      <c r="F844" s="110">
        <f t="shared" si="1"/>
        <v>0</v>
      </c>
      <c r="G844" s="56">
        <f>IFERROR(GETPIVOTDATA("Exame",'Dashboard-Dados'!$J$1,$A$1,A844,$B$1,B844),0)</f>
        <v>0</v>
      </c>
      <c r="H844" s="56">
        <f t="shared" si="2"/>
        <v>844</v>
      </c>
      <c r="U844" s="56"/>
      <c r="V844" s="56"/>
      <c r="W844" s="56"/>
      <c r="Y844" s="138"/>
    </row>
    <row r="845">
      <c r="A845" s="56"/>
      <c r="B845" s="56"/>
      <c r="C845" s="108" t="str">
        <f>IFNA(VLOOKUP('Dashboard-Dados'!B845,'Dashboard-Dados'!$Y$2:$AA$13,2),"")</f>
        <v/>
      </c>
      <c r="D845" s="109">
        <f>IFERROR(GETPIVOTDATA("Valor Recebido",'Dashboard-Dados'!$J$1,$A$1,A845,$B$1,B845),0)</f>
        <v>0</v>
      </c>
      <c r="E845" s="110">
        <f>IFERROR(GETPIVOTDATA("Valor Despesa",'Dashboard-Dados'!$P$1,$A$1,A845,$B$1,B845),0)</f>
        <v>0</v>
      </c>
      <c r="F845" s="110">
        <f t="shared" si="1"/>
        <v>0</v>
      </c>
      <c r="G845" s="56">
        <f>IFERROR(GETPIVOTDATA("Exame",'Dashboard-Dados'!$J$1,$A$1,A845,$B$1,B845),0)</f>
        <v>0</v>
      </c>
      <c r="H845" s="56">
        <f t="shared" si="2"/>
        <v>845</v>
      </c>
      <c r="U845" s="56"/>
      <c r="V845" s="56"/>
      <c r="W845" s="56"/>
      <c r="Y845" s="138"/>
    </row>
    <row r="846">
      <c r="A846" s="56"/>
      <c r="B846" s="56"/>
      <c r="C846" s="108" t="str">
        <f>IFNA(VLOOKUP('Dashboard-Dados'!B846,'Dashboard-Dados'!$Y$2:$AA$13,2),"")</f>
        <v/>
      </c>
      <c r="D846" s="109">
        <f>IFERROR(GETPIVOTDATA("Valor Recebido",'Dashboard-Dados'!$J$1,$A$1,A846,$B$1,B846),0)</f>
        <v>0</v>
      </c>
      <c r="E846" s="110">
        <f>IFERROR(GETPIVOTDATA("Valor Despesa",'Dashboard-Dados'!$P$1,$A$1,A846,$B$1,B846),0)</f>
        <v>0</v>
      </c>
      <c r="F846" s="110">
        <f t="shared" si="1"/>
        <v>0</v>
      </c>
      <c r="G846" s="56">
        <f>IFERROR(GETPIVOTDATA("Exame",'Dashboard-Dados'!$J$1,$A$1,A846,$B$1,B846),0)</f>
        <v>0</v>
      </c>
      <c r="H846" s="56">
        <f t="shared" si="2"/>
        <v>846</v>
      </c>
      <c r="U846" s="56"/>
      <c r="V846" s="56"/>
      <c r="W846" s="56"/>
      <c r="Y846" s="138"/>
    </row>
    <row r="847">
      <c r="A847" s="56"/>
      <c r="B847" s="56"/>
      <c r="C847" s="108" t="str">
        <f>IFNA(VLOOKUP('Dashboard-Dados'!B847,'Dashboard-Dados'!$Y$2:$AA$13,2),"")</f>
        <v/>
      </c>
      <c r="D847" s="109">
        <f>IFERROR(GETPIVOTDATA("Valor Recebido",'Dashboard-Dados'!$J$1,$A$1,A847,$B$1,B847),0)</f>
        <v>0</v>
      </c>
      <c r="E847" s="110">
        <f>IFERROR(GETPIVOTDATA("Valor Despesa",'Dashboard-Dados'!$P$1,$A$1,A847,$B$1,B847),0)</f>
        <v>0</v>
      </c>
      <c r="F847" s="110">
        <f t="shared" si="1"/>
        <v>0</v>
      </c>
      <c r="G847" s="56">
        <f>IFERROR(GETPIVOTDATA("Exame",'Dashboard-Dados'!$J$1,$A$1,A847,$B$1,B847),0)</f>
        <v>0</v>
      </c>
      <c r="H847" s="56">
        <f t="shared" si="2"/>
        <v>847</v>
      </c>
      <c r="U847" s="56"/>
      <c r="V847" s="56"/>
      <c r="W847" s="56"/>
      <c r="Y847" s="138"/>
    </row>
    <row r="848">
      <c r="A848" s="56"/>
      <c r="B848" s="56"/>
      <c r="C848" s="108" t="str">
        <f>IFNA(VLOOKUP('Dashboard-Dados'!B848,'Dashboard-Dados'!$Y$2:$AA$13,2),"")</f>
        <v/>
      </c>
      <c r="D848" s="109">
        <f>IFERROR(GETPIVOTDATA("Valor Recebido",'Dashboard-Dados'!$J$1,$A$1,A848,$B$1,B848),0)</f>
        <v>0</v>
      </c>
      <c r="E848" s="110">
        <f>IFERROR(GETPIVOTDATA("Valor Despesa",'Dashboard-Dados'!$P$1,$A$1,A848,$B$1,B848),0)</f>
        <v>0</v>
      </c>
      <c r="F848" s="110">
        <f t="shared" si="1"/>
        <v>0</v>
      </c>
      <c r="G848" s="56">
        <f>IFERROR(GETPIVOTDATA("Exame",'Dashboard-Dados'!$J$1,$A$1,A848,$B$1,B848),0)</f>
        <v>0</v>
      </c>
      <c r="H848" s="56">
        <f t="shared" si="2"/>
        <v>848</v>
      </c>
      <c r="U848" s="56"/>
      <c r="V848" s="56"/>
      <c r="W848" s="56"/>
      <c r="Y848" s="138"/>
    </row>
    <row r="849">
      <c r="A849" s="56"/>
      <c r="B849" s="56"/>
      <c r="C849" s="108" t="str">
        <f>IFNA(VLOOKUP('Dashboard-Dados'!B849,'Dashboard-Dados'!$Y$2:$AA$13,2),"")</f>
        <v/>
      </c>
      <c r="D849" s="109">
        <f>IFERROR(GETPIVOTDATA("Valor Recebido",'Dashboard-Dados'!$J$1,$A$1,A849,$B$1,B849),0)</f>
        <v>0</v>
      </c>
      <c r="E849" s="110">
        <f>IFERROR(GETPIVOTDATA("Valor Despesa",'Dashboard-Dados'!$P$1,$A$1,A849,$B$1,B849),0)</f>
        <v>0</v>
      </c>
      <c r="F849" s="110">
        <f t="shared" si="1"/>
        <v>0</v>
      </c>
      <c r="G849" s="56">
        <f>IFERROR(GETPIVOTDATA("Exame",'Dashboard-Dados'!$J$1,$A$1,A849,$B$1,B849),0)</f>
        <v>0</v>
      </c>
      <c r="H849" s="56">
        <f t="shared" si="2"/>
        <v>849</v>
      </c>
      <c r="U849" s="56"/>
      <c r="V849" s="56"/>
      <c r="W849" s="56"/>
      <c r="Y849" s="138"/>
    </row>
    <row r="850">
      <c r="A850" s="56"/>
      <c r="B850" s="56"/>
      <c r="C850" s="108" t="str">
        <f>IFNA(VLOOKUP('Dashboard-Dados'!B850,'Dashboard-Dados'!$Y$2:$AA$13,2),"")</f>
        <v/>
      </c>
      <c r="D850" s="109">
        <f>IFERROR(GETPIVOTDATA("Valor Recebido",'Dashboard-Dados'!$J$1,$A$1,A850,$B$1,B850),0)</f>
        <v>0</v>
      </c>
      <c r="E850" s="110">
        <f>IFERROR(GETPIVOTDATA("Valor Despesa",'Dashboard-Dados'!$P$1,$A$1,A850,$B$1,B850),0)</f>
        <v>0</v>
      </c>
      <c r="F850" s="110">
        <f t="shared" si="1"/>
        <v>0</v>
      </c>
      <c r="G850" s="56">
        <f>IFERROR(GETPIVOTDATA("Exame",'Dashboard-Dados'!$J$1,$A$1,A850,$B$1,B850),0)</f>
        <v>0</v>
      </c>
      <c r="H850" s="56">
        <f t="shared" si="2"/>
        <v>850</v>
      </c>
      <c r="U850" s="56"/>
      <c r="V850" s="56"/>
      <c r="W850" s="56"/>
      <c r="Y850" s="138"/>
    </row>
    <row r="851">
      <c r="A851" s="56"/>
      <c r="B851" s="56"/>
      <c r="C851" s="108" t="str">
        <f>IFNA(VLOOKUP('Dashboard-Dados'!B851,'Dashboard-Dados'!$Y$2:$AA$13,2),"")</f>
        <v/>
      </c>
      <c r="D851" s="109">
        <f>IFERROR(GETPIVOTDATA("Valor Recebido",'Dashboard-Dados'!$J$1,$A$1,A851,$B$1,B851),0)</f>
        <v>0</v>
      </c>
      <c r="E851" s="110">
        <f>IFERROR(GETPIVOTDATA("Valor Despesa",'Dashboard-Dados'!$P$1,$A$1,A851,$B$1,B851),0)</f>
        <v>0</v>
      </c>
      <c r="F851" s="110">
        <f t="shared" si="1"/>
        <v>0</v>
      </c>
      <c r="G851" s="56">
        <f>IFERROR(GETPIVOTDATA("Exame",'Dashboard-Dados'!$J$1,$A$1,A851,$B$1,B851),0)</f>
        <v>0</v>
      </c>
      <c r="H851" s="56">
        <f t="shared" si="2"/>
        <v>851</v>
      </c>
      <c r="U851" s="56"/>
      <c r="V851" s="56"/>
      <c r="W851" s="56"/>
      <c r="Y851" s="138"/>
    </row>
    <row r="852">
      <c r="A852" s="56"/>
      <c r="B852" s="56"/>
      <c r="C852" s="108" t="str">
        <f>IFNA(VLOOKUP('Dashboard-Dados'!B852,'Dashboard-Dados'!$Y$2:$AA$13,2),"")</f>
        <v/>
      </c>
      <c r="D852" s="109">
        <f>IFERROR(GETPIVOTDATA("Valor Recebido",'Dashboard-Dados'!$J$1,$A$1,A852,$B$1,B852),0)</f>
        <v>0</v>
      </c>
      <c r="E852" s="110">
        <f>IFERROR(GETPIVOTDATA("Valor Despesa",'Dashboard-Dados'!$P$1,$A$1,A852,$B$1,B852),0)</f>
        <v>0</v>
      </c>
      <c r="F852" s="110">
        <f t="shared" si="1"/>
        <v>0</v>
      </c>
      <c r="G852" s="56">
        <f>IFERROR(GETPIVOTDATA("Exame",'Dashboard-Dados'!$J$1,$A$1,A852,$B$1,B852),0)</f>
        <v>0</v>
      </c>
      <c r="H852" s="56">
        <f t="shared" si="2"/>
        <v>852</v>
      </c>
      <c r="U852" s="56"/>
      <c r="V852" s="56"/>
      <c r="W852" s="56"/>
      <c r="Y852" s="138"/>
    </row>
    <row r="853">
      <c r="A853" s="56"/>
      <c r="B853" s="56"/>
      <c r="C853" s="108" t="str">
        <f>IFNA(VLOOKUP('Dashboard-Dados'!B853,'Dashboard-Dados'!$Y$2:$AA$13,2),"")</f>
        <v/>
      </c>
      <c r="D853" s="109">
        <f>IFERROR(GETPIVOTDATA("Valor Recebido",'Dashboard-Dados'!$J$1,$A$1,A853,$B$1,B853),0)</f>
        <v>0</v>
      </c>
      <c r="E853" s="110">
        <f>IFERROR(GETPIVOTDATA("Valor Despesa",'Dashboard-Dados'!$P$1,$A$1,A853,$B$1,B853),0)</f>
        <v>0</v>
      </c>
      <c r="F853" s="110">
        <f t="shared" si="1"/>
        <v>0</v>
      </c>
      <c r="G853" s="56">
        <f>IFERROR(GETPIVOTDATA("Exame",'Dashboard-Dados'!$J$1,$A$1,A853,$B$1,B853),0)</f>
        <v>0</v>
      </c>
      <c r="H853" s="56">
        <f t="shared" si="2"/>
        <v>853</v>
      </c>
      <c r="U853" s="56"/>
      <c r="V853" s="56"/>
      <c r="W853" s="56"/>
      <c r="Y853" s="138"/>
    </row>
    <row r="854">
      <c r="A854" s="56"/>
      <c r="B854" s="56"/>
      <c r="C854" s="108" t="str">
        <f>IFNA(VLOOKUP('Dashboard-Dados'!B854,'Dashboard-Dados'!$Y$2:$AA$13,2),"")</f>
        <v/>
      </c>
      <c r="D854" s="109">
        <f>IFERROR(GETPIVOTDATA("Valor Recebido",'Dashboard-Dados'!$J$1,$A$1,A854,$B$1,B854),0)</f>
        <v>0</v>
      </c>
      <c r="E854" s="110">
        <f>IFERROR(GETPIVOTDATA("Valor Despesa",'Dashboard-Dados'!$P$1,$A$1,A854,$B$1,B854),0)</f>
        <v>0</v>
      </c>
      <c r="F854" s="110">
        <f t="shared" si="1"/>
        <v>0</v>
      </c>
      <c r="G854" s="56">
        <f>IFERROR(GETPIVOTDATA("Exame",'Dashboard-Dados'!$J$1,$A$1,A854,$B$1,B854),0)</f>
        <v>0</v>
      </c>
      <c r="H854" s="56">
        <f t="shared" si="2"/>
        <v>854</v>
      </c>
      <c r="U854" s="56"/>
      <c r="V854" s="56"/>
      <c r="W854" s="56"/>
      <c r="Y854" s="138"/>
    </row>
    <row r="855">
      <c r="A855" s="56"/>
      <c r="B855" s="56"/>
      <c r="C855" s="108" t="str">
        <f>IFNA(VLOOKUP('Dashboard-Dados'!B855,'Dashboard-Dados'!$Y$2:$AA$13,2),"")</f>
        <v/>
      </c>
      <c r="D855" s="109">
        <f>IFERROR(GETPIVOTDATA("Valor Recebido",'Dashboard-Dados'!$J$1,$A$1,A855,$B$1,B855),0)</f>
        <v>0</v>
      </c>
      <c r="E855" s="110">
        <f>IFERROR(GETPIVOTDATA("Valor Despesa",'Dashboard-Dados'!$P$1,$A$1,A855,$B$1,B855),0)</f>
        <v>0</v>
      </c>
      <c r="F855" s="110">
        <f t="shared" si="1"/>
        <v>0</v>
      </c>
      <c r="G855" s="56">
        <f>IFERROR(GETPIVOTDATA("Exame",'Dashboard-Dados'!$J$1,$A$1,A855,$B$1,B855),0)</f>
        <v>0</v>
      </c>
      <c r="H855" s="56">
        <f t="shared" si="2"/>
        <v>855</v>
      </c>
      <c r="U855" s="56"/>
      <c r="V855" s="56"/>
      <c r="W855" s="56"/>
      <c r="Y855" s="138"/>
    </row>
    <row r="856">
      <c r="A856" s="56"/>
      <c r="B856" s="56"/>
      <c r="C856" s="108" t="str">
        <f>IFNA(VLOOKUP('Dashboard-Dados'!B856,'Dashboard-Dados'!$Y$2:$AA$13,2),"")</f>
        <v/>
      </c>
      <c r="D856" s="109">
        <f>IFERROR(GETPIVOTDATA("Valor Recebido",'Dashboard-Dados'!$J$1,$A$1,A856,$B$1,B856),0)</f>
        <v>0</v>
      </c>
      <c r="E856" s="110">
        <f>IFERROR(GETPIVOTDATA("Valor Despesa",'Dashboard-Dados'!$P$1,$A$1,A856,$B$1,B856),0)</f>
        <v>0</v>
      </c>
      <c r="F856" s="110">
        <f t="shared" si="1"/>
        <v>0</v>
      </c>
      <c r="G856" s="56">
        <f>IFERROR(GETPIVOTDATA("Exame",'Dashboard-Dados'!$J$1,$A$1,A856,$B$1,B856),0)</f>
        <v>0</v>
      </c>
      <c r="H856" s="56">
        <f t="shared" si="2"/>
        <v>856</v>
      </c>
      <c r="U856" s="56"/>
      <c r="V856" s="56"/>
      <c r="W856" s="56"/>
      <c r="Y856" s="138"/>
    </row>
    <row r="857">
      <c r="A857" s="56"/>
      <c r="B857" s="56"/>
      <c r="C857" s="108" t="str">
        <f>IFNA(VLOOKUP('Dashboard-Dados'!B857,'Dashboard-Dados'!$Y$2:$AA$13,2),"")</f>
        <v/>
      </c>
      <c r="D857" s="109">
        <f>IFERROR(GETPIVOTDATA("Valor Recebido",'Dashboard-Dados'!$J$1,$A$1,A857,$B$1,B857),0)</f>
        <v>0</v>
      </c>
      <c r="E857" s="110">
        <f>IFERROR(GETPIVOTDATA("Valor Despesa",'Dashboard-Dados'!$P$1,$A$1,A857,$B$1,B857),0)</f>
        <v>0</v>
      </c>
      <c r="F857" s="110">
        <f t="shared" si="1"/>
        <v>0</v>
      </c>
      <c r="G857" s="56">
        <f>IFERROR(GETPIVOTDATA("Exame",'Dashboard-Dados'!$J$1,$A$1,A857,$B$1,B857),0)</f>
        <v>0</v>
      </c>
      <c r="H857" s="56">
        <f t="shared" si="2"/>
        <v>857</v>
      </c>
      <c r="U857" s="56"/>
      <c r="V857" s="56"/>
      <c r="W857" s="56"/>
      <c r="Y857" s="138"/>
    </row>
    <row r="858">
      <c r="A858" s="56"/>
      <c r="B858" s="56"/>
      <c r="C858" s="108" t="str">
        <f>IFNA(VLOOKUP('Dashboard-Dados'!B858,'Dashboard-Dados'!$Y$2:$AA$13,2),"")</f>
        <v/>
      </c>
      <c r="D858" s="109">
        <f>IFERROR(GETPIVOTDATA("Valor Recebido",'Dashboard-Dados'!$J$1,$A$1,A858,$B$1,B858),0)</f>
        <v>0</v>
      </c>
      <c r="E858" s="110">
        <f>IFERROR(GETPIVOTDATA("Valor Despesa",'Dashboard-Dados'!$P$1,$A$1,A858,$B$1,B858),0)</f>
        <v>0</v>
      </c>
      <c r="F858" s="110">
        <f t="shared" si="1"/>
        <v>0</v>
      </c>
      <c r="G858" s="56">
        <f>IFERROR(GETPIVOTDATA("Exame",'Dashboard-Dados'!$J$1,$A$1,A858,$B$1,B858),0)</f>
        <v>0</v>
      </c>
      <c r="H858" s="56">
        <f t="shared" si="2"/>
        <v>858</v>
      </c>
      <c r="U858" s="56"/>
      <c r="V858" s="56"/>
      <c r="W858" s="56"/>
      <c r="Y858" s="138"/>
    </row>
    <row r="859">
      <c r="A859" s="56"/>
      <c r="B859" s="56"/>
      <c r="C859" s="108" t="str">
        <f>IFNA(VLOOKUP('Dashboard-Dados'!B859,'Dashboard-Dados'!$Y$2:$AA$13,2),"")</f>
        <v/>
      </c>
      <c r="D859" s="109">
        <f>IFERROR(GETPIVOTDATA("Valor Recebido",'Dashboard-Dados'!$J$1,$A$1,A859,$B$1,B859),0)</f>
        <v>0</v>
      </c>
      <c r="E859" s="110">
        <f>IFERROR(GETPIVOTDATA("Valor Despesa",'Dashboard-Dados'!$P$1,$A$1,A859,$B$1,B859),0)</f>
        <v>0</v>
      </c>
      <c r="F859" s="110">
        <f t="shared" si="1"/>
        <v>0</v>
      </c>
      <c r="G859" s="56">
        <f>IFERROR(GETPIVOTDATA("Exame",'Dashboard-Dados'!$J$1,$A$1,A859,$B$1,B859),0)</f>
        <v>0</v>
      </c>
      <c r="H859" s="56">
        <f t="shared" si="2"/>
        <v>859</v>
      </c>
      <c r="U859" s="56"/>
      <c r="V859" s="56"/>
      <c r="W859" s="56"/>
      <c r="Y859" s="138"/>
    </row>
    <row r="860">
      <c r="A860" s="56"/>
      <c r="B860" s="56"/>
      <c r="C860" s="108" t="str">
        <f>IFNA(VLOOKUP('Dashboard-Dados'!B860,'Dashboard-Dados'!$Y$2:$AA$13,2),"")</f>
        <v/>
      </c>
      <c r="D860" s="109">
        <f>IFERROR(GETPIVOTDATA("Valor Recebido",'Dashboard-Dados'!$J$1,$A$1,A860,$B$1,B860),0)</f>
        <v>0</v>
      </c>
      <c r="E860" s="110">
        <f>IFERROR(GETPIVOTDATA("Valor Despesa",'Dashboard-Dados'!$P$1,$A$1,A860,$B$1,B860),0)</f>
        <v>0</v>
      </c>
      <c r="F860" s="110">
        <f t="shared" si="1"/>
        <v>0</v>
      </c>
      <c r="G860" s="56">
        <f>IFERROR(GETPIVOTDATA("Exame",'Dashboard-Dados'!$J$1,$A$1,A860,$B$1,B860),0)</f>
        <v>0</v>
      </c>
      <c r="H860" s="56">
        <f t="shared" si="2"/>
        <v>860</v>
      </c>
      <c r="U860" s="56"/>
      <c r="V860" s="56"/>
      <c r="W860" s="56"/>
      <c r="Y860" s="138"/>
    </row>
    <row r="861">
      <c r="A861" s="56"/>
      <c r="B861" s="56"/>
      <c r="C861" s="108" t="str">
        <f>IFNA(VLOOKUP('Dashboard-Dados'!B861,'Dashboard-Dados'!$Y$2:$AA$13,2),"")</f>
        <v/>
      </c>
      <c r="D861" s="109">
        <f>IFERROR(GETPIVOTDATA("Valor Recebido",'Dashboard-Dados'!$J$1,$A$1,A861,$B$1,B861),0)</f>
        <v>0</v>
      </c>
      <c r="E861" s="110">
        <f>IFERROR(GETPIVOTDATA("Valor Despesa",'Dashboard-Dados'!$P$1,$A$1,A861,$B$1,B861),0)</f>
        <v>0</v>
      </c>
      <c r="F861" s="110">
        <f t="shared" si="1"/>
        <v>0</v>
      </c>
      <c r="G861" s="56">
        <f>IFERROR(GETPIVOTDATA("Exame",'Dashboard-Dados'!$J$1,$A$1,A861,$B$1,B861),0)</f>
        <v>0</v>
      </c>
      <c r="H861" s="56">
        <f t="shared" si="2"/>
        <v>861</v>
      </c>
      <c r="U861" s="56"/>
      <c r="V861" s="56"/>
      <c r="W861" s="56"/>
      <c r="Y861" s="138"/>
    </row>
    <row r="862">
      <c r="A862" s="56"/>
      <c r="B862" s="56"/>
      <c r="C862" s="108" t="str">
        <f>IFNA(VLOOKUP('Dashboard-Dados'!B862,'Dashboard-Dados'!$Y$2:$AA$13,2),"")</f>
        <v/>
      </c>
      <c r="D862" s="109">
        <f>IFERROR(GETPIVOTDATA("Valor Recebido",'Dashboard-Dados'!$J$1,$A$1,A862,$B$1,B862),0)</f>
        <v>0</v>
      </c>
      <c r="E862" s="110">
        <f>IFERROR(GETPIVOTDATA("Valor Despesa",'Dashboard-Dados'!$P$1,$A$1,A862,$B$1,B862),0)</f>
        <v>0</v>
      </c>
      <c r="F862" s="110">
        <f t="shared" si="1"/>
        <v>0</v>
      </c>
      <c r="G862" s="56">
        <f>IFERROR(GETPIVOTDATA("Exame",'Dashboard-Dados'!$J$1,$A$1,A862,$B$1,B862),0)</f>
        <v>0</v>
      </c>
      <c r="H862" s="56">
        <f t="shared" si="2"/>
        <v>862</v>
      </c>
      <c r="U862" s="56"/>
      <c r="V862" s="56"/>
      <c r="W862" s="56"/>
      <c r="Y862" s="138"/>
    </row>
    <row r="863">
      <c r="A863" s="56"/>
      <c r="B863" s="56"/>
      <c r="C863" s="108" t="str">
        <f>IFNA(VLOOKUP('Dashboard-Dados'!B863,'Dashboard-Dados'!$Y$2:$AA$13,2),"")</f>
        <v/>
      </c>
      <c r="D863" s="109">
        <f>IFERROR(GETPIVOTDATA("Valor Recebido",'Dashboard-Dados'!$J$1,$A$1,A863,$B$1,B863),0)</f>
        <v>0</v>
      </c>
      <c r="E863" s="110">
        <f>IFERROR(GETPIVOTDATA("Valor Despesa",'Dashboard-Dados'!$P$1,$A$1,A863,$B$1,B863),0)</f>
        <v>0</v>
      </c>
      <c r="F863" s="110">
        <f t="shared" si="1"/>
        <v>0</v>
      </c>
      <c r="G863" s="56">
        <f>IFERROR(GETPIVOTDATA("Exame",'Dashboard-Dados'!$J$1,$A$1,A863,$B$1,B863),0)</f>
        <v>0</v>
      </c>
      <c r="H863" s="56">
        <f t="shared" si="2"/>
        <v>863</v>
      </c>
      <c r="U863" s="56"/>
      <c r="V863" s="56"/>
      <c r="W863" s="56"/>
      <c r="Y863" s="138"/>
    </row>
    <row r="864">
      <c r="A864" s="56"/>
      <c r="B864" s="56"/>
      <c r="C864" s="108" t="str">
        <f>IFNA(VLOOKUP('Dashboard-Dados'!B864,'Dashboard-Dados'!$Y$2:$AA$13,2),"")</f>
        <v/>
      </c>
      <c r="D864" s="109">
        <f>IFERROR(GETPIVOTDATA("Valor Recebido",'Dashboard-Dados'!$J$1,$A$1,A864,$B$1,B864),0)</f>
        <v>0</v>
      </c>
      <c r="E864" s="110">
        <f>IFERROR(GETPIVOTDATA("Valor Despesa",'Dashboard-Dados'!$P$1,$A$1,A864,$B$1,B864),0)</f>
        <v>0</v>
      </c>
      <c r="F864" s="110">
        <f t="shared" si="1"/>
        <v>0</v>
      </c>
      <c r="G864" s="56">
        <f>IFERROR(GETPIVOTDATA("Exame",'Dashboard-Dados'!$J$1,$A$1,A864,$B$1,B864),0)</f>
        <v>0</v>
      </c>
      <c r="H864" s="56">
        <f t="shared" si="2"/>
        <v>864</v>
      </c>
      <c r="U864" s="56"/>
      <c r="V864" s="56"/>
      <c r="W864" s="56"/>
      <c r="Y864" s="138"/>
    </row>
    <row r="865">
      <c r="A865" s="56"/>
      <c r="B865" s="56"/>
      <c r="C865" s="108" t="str">
        <f>IFNA(VLOOKUP('Dashboard-Dados'!B865,'Dashboard-Dados'!$Y$2:$AA$13,2),"")</f>
        <v/>
      </c>
      <c r="D865" s="109">
        <f>IFERROR(GETPIVOTDATA("Valor Recebido",'Dashboard-Dados'!$J$1,$A$1,A865,$B$1,B865),0)</f>
        <v>0</v>
      </c>
      <c r="E865" s="110">
        <f>IFERROR(GETPIVOTDATA("Valor Despesa",'Dashboard-Dados'!$P$1,$A$1,A865,$B$1,B865),0)</f>
        <v>0</v>
      </c>
      <c r="F865" s="110">
        <f t="shared" si="1"/>
        <v>0</v>
      </c>
      <c r="G865" s="56">
        <f>IFERROR(GETPIVOTDATA("Exame",'Dashboard-Dados'!$J$1,$A$1,A865,$B$1,B865),0)</f>
        <v>0</v>
      </c>
      <c r="H865" s="56">
        <f t="shared" si="2"/>
        <v>865</v>
      </c>
      <c r="U865" s="56"/>
      <c r="V865" s="56"/>
      <c r="W865" s="56"/>
      <c r="Y865" s="138"/>
    </row>
    <row r="866">
      <c r="A866" s="56"/>
      <c r="B866" s="56"/>
      <c r="C866" s="108" t="str">
        <f>IFNA(VLOOKUP('Dashboard-Dados'!B866,'Dashboard-Dados'!$Y$2:$AA$13,2),"")</f>
        <v/>
      </c>
      <c r="D866" s="109">
        <f>IFERROR(GETPIVOTDATA("Valor Recebido",'Dashboard-Dados'!$J$1,$A$1,A866,$B$1,B866),0)</f>
        <v>0</v>
      </c>
      <c r="E866" s="110">
        <f>IFERROR(GETPIVOTDATA("Valor Despesa",'Dashboard-Dados'!$P$1,$A$1,A866,$B$1,B866),0)</f>
        <v>0</v>
      </c>
      <c r="F866" s="110">
        <f t="shared" si="1"/>
        <v>0</v>
      </c>
      <c r="G866" s="56">
        <f>IFERROR(GETPIVOTDATA("Exame",'Dashboard-Dados'!$J$1,$A$1,A866,$B$1,B866),0)</f>
        <v>0</v>
      </c>
      <c r="H866" s="56">
        <f t="shared" si="2"/>
        <v>866</v>
      </c>
      <c r="U866" s="56"/>
      <c r="V866" s="56"/>
      <c r="W866" s="56"/>
      <c r="Y866" s="138"/>
    </row>
    <row r="867">
      <c r="A867" s="56"/>
      <c r="B867" s="56"/>
      <c r="C867" s="108" t="str">
        <f>IFNA(VLOOKUP('Dashboard-Dados'!B867,'Dashboard-Dados'!$Y$2:$AA$13,2),"")</f>
        <v/>
      </c>
      <c r="D867" s="109">
        <f>IFERROR(GETPIVOTDATA("Valor Recebido",'Dashboard-Dados'!$J$1,$A$1,A867,$B$1,B867),0)</f>
        <v>0</v>
      </c>
      <c r="E867" s="110">
        <f>IFERROR(GETPIVOTDATA("Valor Despesa",'Dashboard-Dados'!$P$1,$A$1,A867,$B$1,B867),0)</f>
        <v>0</v>
      </c>
      <c r="F867" s="110">
        <f t="shared" si="1"/>
        <v>0</v>
      </c>
      <c r="G867" s="56">
        <f>IFERROR(GETPIVOTDATA("Exame",'Dashboard-Dados'!$J$1,$A$1,A867,$B$1,B867),0)</f>
        <v>0</v>
      </c>
      <c r="H867" s="56">
        <f t="shared" si="2"/>
        <v>867</v>
      </c>
      <c r="U867" s="56"/>
      <c r="V867" s="56"/>
      <c r="W867" s="56"/>
      <c r="Y867" s="138"/>
    </row>
    <row r="868">
      <c r="A868" s="56"/>
      <c r="B868" s="56"/>
      <c r="C868" s="108" t="str">
        <f>IFNA(VLOOKUP('Dashboard-Dados'!B868,'Dashboard-Dados'!$Y$2:$AA$13,2),"")</f>
        <v/>
      </c>
      <c r="D868" s="109">
        <f>IFERROR(GETPIVOTDATA("Valor Recebido",'Dashboard-Dados'!$J$1,$A$1,A868,$B$1,B868),0)</f>
        <v>0</v>
      </c>
      <c r="E868" s="110">
        <f>IFERROR(GETPIVOTDATA("Valor Despesa",'Dashboard-Dados'!$P$1,$A$1,A868,$B$1,B868),0)</f>
        <v>0</v>
      </c>
      <c r="F868" s="110">
        <f t="shared" si="1"/>
        <v>0</v>
      </c>
      <c r="G868" s="56">
        <f>IFERROR(GETPIVOTDATA("Exame",'Dashboard-Dados'!$J$1,$A$1,A868,$B$1,B868),0)</f>
        <v>0</v>
      </c>
      <c r="H868" s="56">
        <f t="shared" si="2"/>
        <v>868</v>
      </c>
      <c r="U868" s="56"/>
      <c r="V868" s="56"/>
      <c r="W868" s="56"/>
      <c r="Y868" s="138"/>
    </row>
    <row r="869">
      <c r="A869" s="56"/>
      <c r="B869" s="56"/>
      <c r="C869" s="108" t="str">
        <f>IFNA(VLOOKUP('Dashboard-Dados'!B869,'Dashboard-Dados'!$Y$2:$AA$13,2),"")</f>
        <v/>
      </c>
      <c r="D869" s="109">
        <f>IFERROR(GETPIVOTDATA("Valor Recebido",'Dashboard-Dados'!$J$1,$A$1,A869,$B$1,B869),0)</f>
        <v>0</v>
      </c>
      <c r="E869" s="110">
        <f>IFERROR(GETPIVOTDATA("Valor Despesa",'Dashboard-Dados'!$P$1,$A$1,A869,$B$1,B869),0)</f>
        <v>0</v>
      </c>
      <c r="F869" s="110">
        <f t="shared" si="1"/>
        <v>0</v>
      </c>
      <c r="G869" s="56">
        <f>IFERROR(GETPIVOTDATA("Exame",'Dashboard-Dados'!$J$1,$A$1,A869,$B$1,B869),0)</f>
        <v>0</v>
      </c>
      <c r="H869" s="56">
        <f t="shared" si="2"/>
        <v>869</v>
      </c>
      <c r="U869" s="56"/>
      <c r="V869" s="56"/>
      <c r="W869" s="56"/>
      <c r="Y869" s="138"/>
    </row>
    <row r="870">
      <c r="A870" s="56"/>
      <c r="B870" s="56"/>
      <c r="C870" s="108" t="str">
        <f>IFNA(VLOOKUP('Dashboard-Dados'!B870,'Dashboard-Dados'!$Y$2:$AA$13,2),"")</f>
        <v/>
      </c>
      <c r="D870" s="109">
        <f>IFERROR(GETPIVOTDATA("Valor Recebido",'Dashboard-Dados'!$J$1,$A$1,A870,$B$1,B870),0)</f>
        <v>0</v>
      </c>
      <c r="E870" s="110">
        <f>IFERROR(GETPIVOTDATA("Valor Despesa",'Dashboard-Dados'!$P$1,$A$1,A870,$B$1,B870),0)</f>
        <v>0</v>
      </c>
      <c r="F870" s="110">
        <f t="shared" si="1"/>
        <v>0</v>
      </c>
      <c r="G870" s="56">
        <f>IFERROR(GETPIVOTDATA("Exame",'Dashboard-Dados'!$J$1,$A$1,A870,$B$1,B870),0)</f>
        <v>0</v>
      </c>
      <c r="H870" s="56">
        <f t="shared" si="2"/>
        <v>870</v>
      </c>
      <c r="U870" s="56"/>
      <c r="V870" s="56"/>
      <c r="W870" s="56"/>
      <c r="Y870" s="138"/>
    </row>
    <row r="871">
      <c r="A871" s="56"/>
      <c r="B871" s="56"/>
      <c r="C871" s="108" t="str">
        <f>IFNA(VLOOKUP('Dashboard-Dados'!B871,'Dashboard-Dados'!$Y$2:$AA$13,2),"")</f>
        <v/>
      </c>
      <c r="D871" s="109">
        <f>IFERROR(GETPIVOTDATA("Valor Recebido",'Dashboard-Dados'!$J$1,$A$1,A871,$B$1,B871),0)</f>
        <v>0</v>
      </c>
      <c r="E871" s="110">
        <f>IFERROR(GETPIVOTDATA("Valor Despesa",'Dashboard-Dados'!$P$1,$A$1,A871,$B$1,B871),0)</f>
        <v>0</v>
      </c>
      <c r="F871" s="110">
        <f t="shared" si="1"/>
        <v>0</v>
      </c>
      <c r="G871" s="56">
        <f>IFERROR(GETPIVOTDATA("Exame",'Dashboard-Dados'!$J$1,$A$1,A871,$B$1,B871),0)</f>
        <v>0</v>
      </c>
      <c r="H871" s="56">
        <f t="shared" si="2"/>
        <v>871</v>
      </c>
      <c r="U871" s="56"/>
      <c r="V871" s="56"/>
      <c r="W871" s="56"/>
      <c r="Y871" s="138"/>
    </row>
    <row r="872">
      <c r="A872" s="56"/>
      <c r="B872" s="56"/>
      <c r="C872" s="108" t="str">
        <f>IFNA(VLOOKUP('Dashboard-Dados'!B872,'Dashboard-Dados'!$Y$2:$AA$13,2),"")</f>
        <v/>
      </c>
      <c r="D872" s="109">
        <f>IFERROR(GETPIVOTDATA("Valor Recebido",'Dashboard-Dados'!$J$1,$A$1,A872,$B$1,B872),0)</f>
        <v>0</v>
      </c>
      <c r="E872" s="110">
        <f>IFERROR(GETPIVOTDATA("Valor Despesa",'Dashboard-Dados'!$P$1,$A$1,A872,$B$1,B872),0)</f>
        <v>0</v>
      </c>
      <c r="F872" s="110">
        <f t="shared" si="1"/>
        <v>0</v>
      </c>
      <c r="G872" s="56">
        <f>IFERROR(GETPIVOTDATA("Exame",'Dashboard-Dados'!$J$1,$A$1,A872,$B$1,B872),0)</f>
        <v>0</v>
      </c>
      <c r="H872" s="56">
        <f t="shared" si="2"/>
        <v>872</v>
      </c>
      <c r="U872" s="56"/>
      <c r="V872" s="56"/>
      <c r="W872" s="56"/>
      <c r="Y872" s="138"/>
    </row>
    <row r="873">
      <c r="A873" s="56"/>
      <c r="B873" s="56"/>
      <c r="C873" s="108" t="str">
        <f>IFNA(VLOOKUP('Dashboard-Dados'!B873,'Dashboard-Dados'!$Y$2:$AA$13,2),"")</f>
        <v/>
      </c>
      <c r="D873" s="109">
        <f>IFERROR(GETPIVOTDATA("Valor Recebido",'Dashboard-Dados'!$J$1,$A$1,A873,$B$1,B873),0)</f>
        <v>0</v>
      </c>
      <c r="E873" s="110">
        <f>IFERROR(GETPIVOTDATA("Valor Despesa",'Dashboard-Dados'!$P$1,$A$1,A873,$B$1,B873),0)</f>
        <v>0</v>
      </c>
      <c r="F873" s="110">
        <f t="shared" si="1"/>
        <v>0</v>
      </c>
      <c r="G873" s="56">
        <f>IFERROR(GETPIVOTDATA("Exame",'Dashboard-Dados'!$J$1,$A$1,A873,$B$1,B873),0)</f>
        <v>0</v>
      </c>
      <c r="H873" s="56">
        <f t="shared" si="2"/>
        <v>873</v>
      </c>
      <c r="U873" s="56"/>
      <c r="V873" s="56"/>
      <c r="W873" s="56"/>
      <c r="Y873" s="138"/>
    </row>
    <row r="874">
      <c r="A874" s="56"/>
      <c r="B874" s="56"/>
      <c r="C874" s="108" t="str">
        <f>IFNA(VLOOKUP('Dashboard-Dados'!B874,'Dashboard-Dados'!$Y$2:$AA$13,2),"")</f>
        <v/>
      </c>
      <c r="D874" s="109">
        <f>IFERROR(GETPIVOTDATA("Valor Recebido",'Dashboard-Dados'!$J$1,$A$1,A874,$B$1,B874),0)</f>
        <v>0</v>
      </c>
      <c r="E874" s="110">
        <f>IFERROR(GETPIVOTDATA("Valor Despesa",'Dashboard-Dados'!$P$1,$A$1,A874,$B$1,B874),0)</f>
        <v>0</v>
      </c>
      <c r="F874" s="110">
        <f t="shared" si="1"/>
        <v>0</v>
      </c>
      <c r="G874" s="56">
        <f>IFERROR(GETPIVOTDATA("Exame",'Dashboard-Dados'!$J$1,$A$1,A874,$B$1,B874),0)</f>
        <v>0</v>
      </c>
      <c r="H874" s="56">
        <f t="shared" si="2"/>
        <v>874</v>
      </c>
      <c r="U874" s="56"/>
      <c r="V874" s="56"/>
      <c r="W874" s="56"/>
      <c r="Y874" s="138"/>
    </row>
    <row r="875">
      <c r="A875" s="56"/>
      <c r="B875" s="56"/>
      <c r="C875" s="108" t="str">
        <f>IFNA(VLOOKUP('Dashboard-Dados'!B875,'Dashboard-Dados'!$Y$2:$AA$13,2),"")</f>
        <v/>
      </c>
      <c r="D875" s="109">
        <f>IFERROR(GETPIVOTDATA("Valor Recebido",'Dashboard-Dados'!$J$1,$A$1,A875,$B$1,B875),0)</f>
        <v>0</v>
      </c>
      <c r="E875" s="110">
        <f>IFERROR(GETPIVOTDATA("Valor Despesa",'Dashboard-Dados'!$P$1,$A$1,A875,$B$1,B875),0)</f>
        <v>0</v>
      </c>
      <c r="F875" s="110">
        <f t="shared" si="1"/>
        <v>0</v>
      </c>
      <c r="G875" s="56">
        <f>IFERROR(GETPIVOTDATA("Exame",'Dashboard-Dados'!$J$1,$A$1,A875,$B$1,B875),0)</f>
        <v>0</v>
      </c>
      <c r="H875" s="56">
        <f t="shared" si="2"/>
        <v>875</v>
      </c>
      <c r="U875" s="56"/>
      <c r="V875" s="56"/>
      <c r="W875" s="56"/>
      <c r="Y875" s="138"/>
    </row>
    <row r="876">
      <c r="A876" s="56"/>
      <c r="B876" s="56"/>
      <c r="C876" s="108" t="str">
        <f>IFNA(VLOOKUP('Dashboard-Dados'!B876,'Dashboard-Dados'!$Y$2:$AA$13,2),"")</f>
        <v/>
      </c>
      <c r="D876" s="109">
        <f>IFERROR(GETPIVOTDATA("Valor Recebido",'Dashboard-Dados'!$J$1,$A$1,A876,$B$1,B876),0)</f>
        <v>0</v>
      </c>
      <c r="E876" s="110">
        <f>IFERROR(GETPIVOTDATA("Valor Despesa",'Dashboard-Dados'!$P$1,$A$1,A876,$B$1,B876),0)</f>
        <v>0</v>
      </c>
      <c r="F876" s="110">
        <f t="shared" si="1"/>
        <v>0</v>
      </c>
      <c r="G876" s="56">
        <f>IFERROR(GETPIVOTDATA("Exame",'Dashboard-Dados'!$J$1,$A$1,A876,$B$1,B876),0)</f>
        <v>0</v>
      </c>
      <c r="H876" s="56">
        <f t="shared" si="2"/>
        <v>876</v>
      </c>
      <c r="U876" s="56"/>
      <c r="V876" s="56"/>
      <c r="W876" s="56"/>
      <c r="Y876" s="138"/>
    </row>
    <row r="877">
      <c r="A877" s="56"/>
      <c r="B877" s="56"/>
      <c r="C877" s="108" t="str">
        <f>IFNA(VLOOKUP('Dashboard-Dados'!B877,'Dashboard-Dados'!$Y$2:$AA$13,2),"")</f>
        <v/>
      </c>
      <c r="D877" s="109">
        <f>IFERROR(GETPIVOTDATA("Valor Recebido",'Dashboard-Dados'!$J$1,$A$1,A877,$B$1,B877),0)</f>
        <v>0</v>
      </c>
      <c r="E877" s="110">
        <f>IFERROR(GETPIVOTDATA("Valor Despesa",'Dashboard-Dados'!$P$1,$A$1,A877,$B$1,B877),0)</f>
        <v>0</v>
      </c>
      <c r="F877" s="110">
        <f t="shared" si="1"/>
        <v>0</v>
      </c>
      <c r="G877" s="56">
        <f>IFERROR(GETPIVOTDATA("Exame",'Dashboard-Dados'!$J$1,$A$1,A877,$B$1,B877),0)</f>
        <v>0</v>
      </c>
      <c r="H877" s="56">
        <f t="shared" si="2"/>
        <v>877</v>
      </c>
      <c r="U877" s="56"/>
      <c r="V877" s="56"/>
      <c r="W877" s="56"/>
      <c r="Y877" s="138"/>
    </row>
    <row r="878">
      <c r="A878" s="56"/>
      <c r="B878" s="56"/>
      <c r="C878" s="108" t="str">
        <f>IFNA(VLOOKUP('Dashboard-Dados'!B878,'Dashboard-Dados'!$Y$2:$AA$13,2),"")</f>
        <v/>
      </c>
      <c r="D878" s="109">
        <f>IFERROR(GETPIVOTDATA("Valor Recebido",'Dashboard-Dados'!$J$1,$A$1,A878,$B$1,B878),0)</f>
        <v>0</v>
      </c>
      <c r="E878" s="110">
        <f>IFERROR(GETPIVOTDATA("Valor Despesa",'Dashboard-Dados'!$P$1,$A$1,A878,$B$1,B878),0)</f>
        <v>0</v>
      </c>
      <c r="F878" s="110">
        <f t="shared" si="1"/>
        <v>0</v>
      </c>
      <c r="G878" s="56">
        <f>IFERROR(GETPIVOTDATA("Exame",'Dashboard-Dados'!$J$1,$A$1,A878,$B$1,B878),0)</f>
        <v>0</v>
      </c>
      <c r="H878" s="56">
        <f t="shared" si="2"/>
        <v>878</v>
      </c>
      <c r="U878" s="56"/>
      <c r="V878" s="56"/>
      <c r="W878" s="56"/>
      <c r="Y878" s="138"/>
    </row>
    <row r="879">
      <c r="A879" s="56"/>
      <c r="B879" s="56"/>
      <c r="C879" s="108" t="str">
        <f>IFNA(VLOOKUP('Dashboard-Dados'!B879,'Dashboard-Dados'!$Y$2:$AA$13,2),"")</f>
        <v/>
      </c>
      <c r="D879" s="109">
        <f>IFERROR(GETPIVOTDATA("Valor Recebido",'Dashboard-Dados'!$J$1,$A$1,A879,$B$1,B879),0)</f>
        <v>0</v>
      </c>
      <c r="E879" s="110">
        <f>IFERROR(GETPIVOTDATA("Valor Despesa",'Dashboard-Dados'!$P$1,$A$1,A879,$B$1,B879),0)</f>
        <v>0</v>
      </c>
      <c r="F879" s="110">
        <f t="shared" si="1"/>
        <v>0</v>
      </c>
      <c r="G879" s="56">
        <f>IFERROR(GETPIVOTDATA("Exame",'Dashboard-Dados'!$J$1,$A$1,A879,$B$1,B879),0)</f>
        <v>0</v>
      </c>
      <c r="H879" s="56">
        <f t="shared" si="2"/>
        <v>879</v>
      </c>
      <c r="U879" s="56"/>
      <c r="V879" s="56"/>
      <c r="W879" s="56"/>
      <c r="Y879" s="138"/>
    </row>
    <row r="880">
      <c r="A880" s="56"/>
      <c r="B880" s="56"/>
      <c r="C880" s="108" t="str">
        <f>IFNA(VLOOKUP('Dashboard-Dados'!B880,'Dashboard-Dados'!$Y$2:$AA$13,2),"")</f>
        <v/>
      </c>
      <c r="D880" s="109">
        <f>IFERROR(GETPIVOTDATA("Valor Recebido",'Dashboard-Dados'!$J$1,$A$1,A880,$B$1,B880),0)</f>
        <v>0</v>
      </c>
      <c r="E880" s="110">
        <f>IFERROR(GETPIVOTDATA("Valor Despesa",'Dashboard-Dados'!$P$1,$A$1,A880,$B$1,B880),0)</f>
        <v>0</v>
      </c>
      <c r="F880" s="110">
        <f t="shared" si="1"/>
        <v>0</v>
      </c>
      <c r="G880" s="56">
        <f>IFERROR(GETPIVOTDATA("Exame",'Dashboard-Dados'!$J$1,$A$1,A880,$B$1,B880),0)</f>
        <v>0</v>
      </c>
      <c r="H880" s="56">
        <f t="shared" si="2"/>
        <v>880</v>
      </c>
      <c r="U880" s="56"/>
      <c r="V880" s="56"/>
      <c r="W880" s="56"/>
      <c r="Y880" s="138"/>
    </row>
    <row r="881">
      <c r="A881" s="56"/>
      <c r="B881" s="56"/>
      <c r="C881" s="108" t="str">
        <f>IFNA(VLOOKUP('Dashboard-Dados'!B881,'Dashboard-Dados'!$Y$2:$AA$13,2),"")</f>
        <v/>
      </c>
      <c r="D881" s="109">
        <f>IFERROR(GETPIVOTDATA("Valor Recebido",'Dashboard-Dados'!$J$1,$A$1,A881,$B$1,B881),0)</f>
        <v>0</v>
      </c>
      <c r="E881" s="110">
        <f>IFERROR(GETPIVOTDATA("Valor Despesa",'Dashboard-Dados'!$P$1,$A$1,A881,$B$1,B881),0)</f>
        <v>0</v>
      </c>
      <c r="F881" s="110">
        <f t="shared" si="1"/>
        <v>0</v>
      </c>
      <c r="G881" s="56">
        <f>IFERROR(GETPIVOTDATA("Exame",'Dashboard-Dados'!$J$1,$A$1,A881,$B$1,B881),0)</f>
        <v>0</v>
      </c>
      <c r="H881" s="56">
        <f t="shared" si="2"/>
        <v>881</v>
      </c>
      <c r="U881" s="56"/>
      <c r="V881" s="56"/>
      <c r="W881" s="56"/>
      <c r="Y881" s="138"/>
    </row>
    <row r="882">
      <c r="A882" s="56"/>
      <c r="B882" s="56"/>
      <c r="C882" s="108" t="str">
        <f>IFNA(VLOOKUP('Dashboard-Dados'!B882,'Dashboard-Dados'!$Y$2:$AA$13,2),"")</f>
        <v/>
      </c>
      <c r="D882" s="109">
        <f>IFERROR(GETPIVOTDATA("Valor Recebido",'Dashboard-Dados'!$J$1,$A$1,A882,$B$1,B882),0)</f>
        <v>0</v>
      </c>
      <c r="E882" s="110">
        <f>IFERROR(GETPIVOTDATA("Valor Despesa",'Dashboard-Dados'!$P$1,$A$1,A882,$B$1,B882),0)</f>
        <v>0</v>
      </c>
      <c r="F882" s="110">
        <f t="shared" si="1"/>
        <v>0</v>
      </c>
      <c r="G882" s="56">
        <f>IFERROR(GETPIVOTDATA("Exame",'Dashboard-Dados'!$J$1,$A$1,A882,$B$1,B882),0)</f>
        <v>0</v>
      </c>
      <c r="H882" s="56">
        <f t="shared" si="2"/>
        <v>882</v>
      </c>
      <c r="U882" s="56"/>
      <c r="V882" s="56"/>
      <c r="W882" s="56"/>
      <c r="Y882" s="138"/>
    </row>
    <row r="883">
      <c r="A883" s="56"/>
      <c r="B883" s="56"/>
      <c r="C883" s="108" t="str">
        <f>IFNA(VLOOKUP('Dashboard-Dados'!B883,'Dashboard-Dados'!$Y$2:$AA$13,2),"")</f>
        <v/>
      </c>
      <c r="D883" s="109">
        <f>IFERROR(GETPIVOTDATA("Valor Recebido",'Dashboard-Dados'!$J$1,$A$1,A883,$B$1,B883),0)</f>
        <v>0</v>
      </c>
      <c r="E883" s="110">
        <f>IFERROR(GETPIVOTDATA("Valor Despesa",'Dashboard-Dados'!$P$1,$A$1,A883,$B$1,B883),0)</f>
        <v>0</v>
      </c>
      <c r="F883" s="110">
        <f t="shared" si="1"/>
        <v>0</v>
      </c>
      <c r="G883" s="56">
        <f>IFERROR(GETPIVOTDATA("Exame",'Dashboard-Dados'!$J$1,$A$1,A883,$B$1,B883),0)</f>
        <v>0</v>
      </c>
      <c r="H883" s="56">
        <f t="shared" si="2"/>
        <v>883</v>
      </c>
      <c r="U883" s="56"/>
      <c r="V883" s="56"/>
      <c r="W883" s="56"/>
      <c r="Y883" s="138"/>
    </row>
    <row r="884">
      <c r="A884" s="56"/>
      <c r="B884" s="56"/>
      <c r="C884" s="108" t="str">
        <f>IFNA(VLOOKUP('Dashboard-Dados'!B884,'Dashboard-Dados'!$Y$2:$AA$13,2),"")</f>
        <v/>
      </c>
      <c r="D884" s="109">
        <f>IFERROR(GETPIVOTDATA("Valor Recebido",'Dashboard-Dados'!$J$1,$A$1,A884,$B$1,B884),0)</f>
        <v>0</v>
      </c>
      <c r="E884" s="110">
        <f>IFERROR(GETPIVOTDATA("Valor Despesa",'Dashboard-Dados'!$P$1,$A$1,A884,$B$1,B884),0)</f>
        <v>0</v>
      </c>
      <c r="F884" s="110">
        <f t="shared" si="1"/>
        <v>0</v>
      </c>
      <c r="G884" s="56">
        <f>IFERROR(GETPIVOTDATA("Exame",'Dashboard-Dados'!$J$1,$A$1,A884,$B$1,B884),0)</f>
        <v>0</v>
      </c>
      <c r="H884" s="56">
        <f t="shared" si="2"/>
        <v>884</v>
      </c>
      <c r="U884" s="56"/>
      <c r="V884" s="56"/>
      <c r="W884" s="56"/>
      <c r="Y884" s="138"/>
    </row>
    <row r="885">
      <c r="A885" s="56"/>
      <c r="B885" s="56"/>
      <c r="C885" s="108" t="str">
        <f>IFNA(VLOOKUP('Dashboard-Dados'!B885,'Dashboard-Dados'!$Y$2:$AA$13,2),"")</f>
        <v/>
      </c>
      <c r="D885" s="109">
        <f>IFERROR(GETPIVOTDATA("Valor Recebido",'Dashboard-Dados'!$J$1,$A$1,A885,$B$1,B885),0)</f>
        <v>0</v>
      </c>
      <c r="E885" s="110">
        <f>IFERROR(GETPIVOTDATA("Valor Despesa",'Dashboard-Dados'!$P$1,$A$1,A885,$B$1,B885),0)</f>
        <v>0</v>
      </c>
      <c r="F885" s="110">
        <f t="shared" si="1"/>
        <v>0</v>
      </c>
      <c r="G885" s="56">
        <f>IFERROR(GETPIVOTDATA("Exame",'Dashboard-Dados'!$J$1,$A$1,A885,$B$1,B885),0)</f>
        <v>0</v>
      </c>
      <c r="H885" s="56">
        <f t="shared" si="2"/>
        <v>885</v>
      </c>
      <c r="U885" s="56"/>
      <c r="V885" s="56"/>
      <c r="W885" s="56"/>
      <c r="Y885" s="138"/>
    </row>
    <row r="886">
      <c r="A886" s="56"/>
      <c r="B886" s="56"/>
      <c r="C886" s="108" t="str">
        <f>IFNA(VLOOKUP('Dashboard-Dados'!B886,'Dashboard-Dados'!$Y$2:$AA$13,2),"")</f>
        <v/>
      </c>
      <c r="D886" s="109">
        <f>IFERROR(GETPIVOTDATA("Valor Recebido",'Dashboard-Dados'!$J$1,$A$1,A886,$B$1,B886),0)</f>
        <v>0</v>
      </c>
      <c r="E886" s="110">
        <f>IFERROR(GETPIVOTDATA("Valor Despesa",'Dashboard-Dados'!$P$1,$A$1,A886,$B$1,B886),0)</f>
        <v>0</v>
      </c>
      <c r="F886" s="110">
        <f t="shared" si="1"/>
        <v>0</v>
      </c>
      <c r="G886" s="56">
        <f>IFERROR(GETPIVOTDATA("Exame",'Dashboard-Dados'!$J$1,$A$1,A886,$B$1,B886),0)</f>
        <v>0</v>
      </c>
      <c r="H886" s="56">
        <f t="shared" si="2"/>
        <v>886</v>
      </c>
      <c r="U886" s="56"/>
      <c r="V886" s="56"/>
      <c r="W886" s="56"/>
      <c r="Y886" s="138"/>
    </row>
    <row r="887">
      <c r="A887" s="56"/>
      <c r="B887" s="56"/>
      <c r="C887" s="108" t="str">
        <f>IFNA(VLOOKUP('Dashboard-Dados'!B887,'Dashboard-Dados'!$Y$2:$AA$13,2),"")</f>
        <v/>
      </c>
      <c r="D887" s="109">
        <f>IFERROR(GETPIVOTDATA("Valor Recebido",'Dashboard-Dados'!$J$1,$A$1,A887,$B$1,B887),0)</f>
        <v>0</v>
      </c>
      <c r="E887" s="110">
        <f>IFERROR(GETPIVOTDATA("Valor Despesa",'Dashboard-Dados'!$P$1,$A$1,A887,$B$1,B887),0)</f>
        <v>0</v>
      </c>
      <c r="F887" s="110">
        <f t="shared" si="1"/>
        <v>0</v>
      </c>
      <c r="G887" s="56">
        <f>IFERROR(GETPIVOTDATA("Exame",'Dashboard-Dados'!$J$1,$A$1,A887,$B$1,B887),0)</f>
        <v>0</v>
      </c>
      <c r="H887" s="56">
        <f t="shared" si="2"/>
        <v>887</v>
      </c>
      <c r="U887" s="56"/>
      <c r="V887" s="56"/>
      <c r="W887" s="56"/>
      <c r="Y887" s="138"/>
    </row>
    <row r="888">
      <c r="A888" s="56"/>
      <c r="B888" s="56"/>
      <c r="C888" s="108" t="str">
        <f>IFNA(VLOOKUP('Dashboard-Dados'!B888,'Dashboard-Dados'!$Y$2:$AA$13,2),"")</f>
        <v/>
      </c>
      <c r="D888" s="109">
        <f>IFERROR(GETPIVOTDATA("Valor Recebido",'Dashboard-Dados'!$J$1,$A$1,A888,$B$1,B888),0)</f>
        <v>0</v>
      </c>
      <c r="E888" s="110">
        <f>IFERROR(GETPIVOTDATA("Valor Despesa",'Dashboard-Dados'!$P$1,$A$1,A888,$B$1,B888),0)</f>
        <v>0</v>
      </c>
      <c r="F888" s="110">
        <f t="shared" si="1"/>
        <v>0</v>
      </c>
      <c r="G888" s="56">
        <f>IFERROR(GETPIVOTDATA("Exame",'Dashboard-Dados'!$J$1,$A$1,A888,$B$1,B888),0)</f>
        <v>0</v>
      </c>
      <c r="H888" s="56">
        <f t="shared" si="2"/>
        <v>888</v>
      </c>
      <c r="U888" s="56"/>
      <c r="V888" s="56"/>
      <c r="W888" s="56"/>
      <c r="Y888" s="138"/>
    </row>
    <row r="889">
      <c r="A889" s="56"/>
      <c r="B889" s="56"/>
      <c r="C889" s="108" t="str">
        <f>IFNA(VLOOKUP('Dashboard-Dados'!B889,'Dashboard-Dados'!$Y$2:$AA$13,2),"")</f>
        <v/>
      </c>
      <c r="D889" s="109">
        <f>IFERROR(GETPIVOTDATA("Valor Recebido",'Dashboard-Dados'!$J$1,$A$1,A889,$B$1,B889),0)</f>
        <v>0</v>
      </c>
      <c r="E889" s="110">
        <f>IFERROR(GETPIVOTDATA("Valor Despesa",'Dashboard-Dados'!$P$1,$A$1,A889,$B$1,B889),0)</f>
        <v>0</v>
      </c>
      <c r="F889" s="110">
        <f t="shared" si="1"/>
        <v>0</v>
      </c>
      <c r="G889" s="56">
        <f>IFERROR(GETPIVOTDATA("Exame",'Dashboard-Dados'!$J$1,$A$1,A889,$B$1,B889),0)</f>
        <v>0</v>
      </c>
      <c r="H889" s="56">
        <f t="shared" si="2"/>
        <v>889</v>
      </c>
      <c r="U889" s="56"/>
      <c r="V889" s="56"/>
      <c r="W889" s="56"/>
      <c r="Y889" s="138"/>
    </row>
    <row r="890">
      <c r="A890" s="56"/>
      <c r="B890" s="56"/>
      <c r="C890" s="108" t="str">
        <f>IFNA(VLOOKUP('Dashboard-Dados'!B890,'Dashboard-Dados'!$Y$2:$AA$13,2),"")</f>
        <v/>
      </c>
      <c r="D890" s="109">
        <f>IFERROR(GETPIVOTDATA("Valor Recebido",'Dashboard-Dados'!$J$1,$A$1,A890,$B$1,B890),0)</f>
        <v>0</v>
      </c>
      <c r="E890" s="110">
        <f>IFERROR(GETPIVOTDATA("Valor Despesa",'Dashboard-Dados'!$P$1,$A$1,A890,$B$1,B890),0)</f>
        <v>0</v>
      </c>
      <c r="F890" s="110">
        <f t="shared" si="1"/>
        <v>0</v>
      </c>
      <c r="G890" s="56">
        <f>IFERROR(GETPIVOTDATA("Exame",'Dashboard-Dados'!$J$1,$A$1,A890,$B$1,B890),0)</f>
        <v>0</v>
      </c>
      <c r="H890" s="56">
        <f t="shared" si="2"/>
        <v>890</v>
      </c>
      <c r="U890" s="56"/>
      <c r="V890" s="56"/>
      <c r="W890" s="56"/>
      <c r="Y890" s="138"/>
    </row>
    <row r="891">
      <c r="A891" s="56"/>
      <c r="B891" s="56"/>
      <c r="C891" s="108" t="str">
        <f>IFNA(VLOOKUP('Dashboard-Dados'!B891,'Dashboard-Dados'!$Y$2:$AA$13,2),"")</f>
        <v/>
      </c>
      <c r="D891" s="109">
        <f>IFERROR(GETPIVOTDATA("Valor Recebido",'Dashboard-Dados'!$J$1,$A$1,A891,$B$1,B891),0)</f>
        <v>0</v>
      </c>
      <c r="E891" s="110">
        <f>IFERROR(GETPIVOTDATA("Valor Despesa",'Dashboard-Dados'!$P$1,$A$1,A891,$B$1,B891),0)</f>
        <v>0</v>
      </c>
      <c r="F891" s="110">
        <f t="shared" si="1"/>
        <v>0</v>
      </c>
      <c r="G891" s="56">
        <f>IFERROR(GETPIVOTDATA("Exame",'Dashboard-Dados'!$J$1,$A$1,A891,$B$1,B891),0)</f>
        <v>0</v>
      </c>
      <c r="H891" s="56">
        <f t="shared" si="2"/>
        <v>891</v>
      </c>
      <c r="U891" s="56"/>
      <c r="V891" s="56"/>
      <c r="W891" s="56"/>
      <c r="Y891" s="138"/>
    </row>
    <row r="892">
      <c r="A892" s="56"/>
      <c r="B892" s="56"/>
      <c r="C892" s="108" t="str">
        <f>IFNA(VLOOKUP('Dashboard-Dados'!B892,'Dashboard-Dados'!$Y$2:$AA$13,2),"")</f>
        <v/>
      </c>
      <c r="D892" s="109">
        <f>IFERROR(GETPIVOTDATA("Valor Recebido",'Dashboard-Dados'!$J$1,$A$1,A892,$B$1,B892),0)</f>
        <v>0</v>
      </c>
      <c r="E892" s="110">
        <f>IFERROR(GETPIVOTDATA("Valor Despesa",'Dashboard-Dados'!$P$1,$A$1,A892,$B$1,B892),0)</f>
        <v>0</v>
      </c>
      <c r="F892" s="110">
        <f t="shared" si="1"/>
        <v>0</v>
      </c>
      <c r="G892" s="56">
        <f>IFERROR(GETPIVOTDATA("Exame",'Dashboard-Dados'!$J$1,$A$1,A892,$B$1,B892),0)</f>
        <v>0</v>
      </c>
      <c r="H892" s="56">
        <f t="shared" si="2"/>
        <v>892</v>
      </c>
      <c r="U892" s="56"/>
      <c r="V892" s="56"/>
      <c r="W892" s="56"/>
      <c r="Y892" s="138"/>
    </row>
    <row r="893">
      <c r="A893" s="56"/>
      <c r="B893" s="56"/>
      <c r="C893" s="108" t="str">
        <f>IFNA(VLOOKUP('Dashboard-Dados'!B893,'Dashboard-Dados'!$Y$2:$AA$13,2),"")</f>
        <v/>
      </c>
      <c r="D893" s="109">
        <f>IFERROR(GETPIVOTDATA("Valor Recebido",'Dashboard-Dados'!$J$1,$A$1,A893,$B$1,B893),0)</f>
        <v>0</v>
      </c>
      <c r="E893" s="110">
        <f>IFERROR(GETPIVOTDATA("Valor Despesa",'Dashboard-Dados'!$P$1,$A$1,A893,$B$1,B893),0)</f>
        <v>0</v>
      </c>
      <c r="F893" s="110">
        <f t="shared" si="1"/>
        <v>0</v>
      </c>
      <c r="G893" s="56">
        <f>IFERROR(GETPIVOTDATA("Exame",'Dashboard-Dados'!$J$1,$A$1,A893,$B$1,B893),0)</f>
        <v>0</v>
      </c>
      <c r="H893" s="56">
        <f t="shared" si="2"/>
        <v>893</v>
      </c>
      <c r="U893" s="56"/>
      <c r="V893" s="56"/>
      <c r="W893" s="56"/>
      <c r="Y893" s="138"/>
    </row>
    <row r="894">
      <c r="A894" s="56"/>
      <c r="B894" s="56"/>
      <c r="C894" s="108" t="str">
        <f>IFNA(VLOOKUP('Dashboard-Dados'!B894,'Dashboard-Dados'!$Y$2:$AA$13,2),"")</f>
        <v/>
      </c>
      <c r="D894" s="109">
        <f>IFERROR(GETPIVOTDATA("Valor Recebido",'Dashboard-Dados'!$J$1,$A$1,A894,$B$1,B894),0)</f>
        <v>0</v>
      </c>
      <c r="E894" s="110">
        <f>IFERROR(GETPIVOTDATA("Valor Despesa",'Dashboard-Dados'!$P$1,$A$1,A894,$B$1,B894),0)</f>
        <v>0</v>
      </c>
      <c r="F894" s="110">
        <f t="shared" si="1"/>
        <v>0</v>
      </c>
      <c r="G894" s="56">
        <f>IFERROR(GETPIVOTDATA("Exame",'Dashboard-Dados'!$J$1,$A$1,A894,$B$1,B894),0)</f>
        <v>0</v>
      </c>
      <c r="H894" s="56">
        <f t="shared" si="2"/>
        <v>894</v>
      </c>
      <c r="U894" s="56"/>
      <c r="V894" s="56"/>
      <c r="W894" s="56"/>
      <c r="Y894" s="138"/>
    </row>
    <row r="895">
      <c r="A895" s="56"/>
      <c r="B895" s="56"/>
      <c r="C895" s="108" t="str">
        <f>IFNA(VLOOKUP('Dashboard-Dados'!B895,'Dashboard-Dados'!$Y$2:$AA$13,2),"")</f>
        <v/>
      </c>
      <c r="D895" s="109">
        <f>IFERROR(GETPIVOTDATA("Valor Recebido",'Dashboard-Dados'!$J$1,$A$1,A895,$B$1,B895),0)</f>
        <v>0</v>
      </c>
      <c r="E895" s="110">
        <f>IFERROR(GETPIVOTDATA("Valor Despesa",'Dashboard-Dados'!$P$1,$A$1,A895,$B$1,B895),0)</f>
        <v>0</v>
      </c>
      <c r="F895" s="110">
        <f t="shared" si="1"/>
        <v>0</v>
      </c>
      <c r="G895" s="56">
        <f>IFERROR(GETPIVOTDATA("Exame",'Dashboard-Dados'!$J$1,$A$1,A895,$B$1,B895),0)</f>
        <v>0</v>
      </c>
      <c r="H895" s="56">
        <f t="shared" si="2"/>
        <v>895</v>
      </c>
      <c r="U895" s="56"/>
      <c r="V895" s="56"/>
      <c r="W895" s="56"/>
      <c r="Y895" s="138"/>
    </row>
    <row r="896">
      <c r="A896" s="56"/>
      <c r="B896" s="56"/>
      <c r="C896" s="108" t="str">
        <f>IFNA(VLOOKUP('Dashboard-Dados'!B896,'Dashboard-Dados'!$Y$2:$AA$13,2),"")</f>
        <v/>
      </c>
      <c r="D896" s="109">
        <f>IFERROR(GETPIVOTDATA("Valor Recebido",'Dashboard-Dados'!$J$1,$A$1,A896,$B$1,B896),0)</f>
        <v>0</v>
      </c>
      <c r="E896" s="110">
        <f>IFERROR(GETPIVOTDATA("Valor Despesa",'Dashboard-Dados'!$P$1,$A$1,A896,$B$1,B896),0)</f>
        <v>0</v>
      </c>
      <c r="F896" s="110">
        <f t="shared" si="1"/>
        <v>0</v>
      </c>
      <c r="G896" s="56">
        <f>IFERROR(GETPIVOTDATA("Exame",'Dashboard-Dados'!$J$1,$A$1,A896,$B$1,B896),0)</f>
        <v>0</v>
      </c>
      <c r="H896" s="56">
        <f t="shared" si="2"/>
        <v>896</v>
      </c>
      <c r="U896" s="56"/>
      <c r="V896" s="56"/>
      <c r="W896" s="56"/>
      <c r="Y896" s="138"/>
    </row>
    <row r="897">
      <c r="A897" s="56"/>
      <c r="B897" s="56"/>
      <c r="C897" s="108" t="str">
        <f>IFNA(VLOOKUP('Dashboard-Dados'!B897,'Dashboard-Dados'!$Y$2:$AA$13,2),"")</f>
        <v/>
      </c>
      <c r="D897" s="109">
        <f>IFERROR(GETPIVOTDATA("Valor Recebido",'Dashboard-Dados'!$J$1,$A$1,A897,$B$1,B897),0)</f>
        <v>0</v>
      </c>
      <c r="E897" s="110">
        <f>IFERROR(GETPIVOTDATA("Valor Despesa",'Dashboard-Dados'!$P$1,$A$1,A897,$B$1,B897),0)</f>
        <v>0</v>
      </c>
      <c r="F897" s="110">
        <f t="shared" si="1"/>
        <v>0</v>
      </c>
      <c r="G897" s="56">
        <f>IFERROR(GETPIVOTDATA("Exame",'Dashboard-Dados'!$J$1,$A$1,A897,$B$1,B897),0)</f>
        <v>0</v>
      </c>
      <c r="H897" s="56">
        <f t="shared" si="2"/>
        <v>897</v>
      </c>
      <c r="U897" s="56"/>
      <c r="V897" s="56"/>
      <c r="W897" s="56"/>
      <c r="Y897" s="138"/>
    </row>
    <row r="898">
      <c r="A898" s="56"/>
      <c r="B898" s="56"/>
      <c r="C898" s="108" t="str">
        <f>IFNA(VLOOKUP('Dashboard-Dados'!B898,'Dashboard-Dados'!$Y$2:$AA$13,2),"")</f>
        <v/>
      </c>
      <c r="D898" s="109">
        <f>IFERROR(GETPIVOTDATA("Valor Recebido",'Dashboard-Dados'!$J$1,$A$1,A898,$B$1,B898),0)</f>
        <v>0</v>
      </c>
      <c r="E898" s="110">
        <f>IFERROR(GETPIVOTDATA("Valor Despesa",'Dashboard-Dados'!$P$1,$A$1,A898,$B$1,B898),0)</f>
        <v>0</v>
      </c>
      <c r="F898" s="110">
        <f t="shared" si="1"/>
        <v>0</v>
      </c>
      <c r="G898" s="56">
        <f>IFERROR(GETPIVOTDATA("Exame",'Dashboard-Dados'!$J$1,$A$1,A898,$B$1,B898),0)</f>
        <v>0</v>
      </c>
      <c r="H898" s="56">
        <f t="shared" si="2"/>
        <v>898</v>
      </c>
      <c r="U898" s="56"/>
      <c r="V898" s="56"/>
      <c r="W898" s="56"/>
      <c r="Y898" s="138"/>
    </row>
    <row r="899">
      <c r="A899" s="56"/>
      <c r="B899" s="56"/>
      <c r="C899" s="108" t="str">
        <f>IFNA(VLOOKUP('Dashboard-Dados'!B899,'Dashboard-Dados'!$Y$2:$AA$13,2),"")</f>
        <v/>
      </c>
      <c r="D899" s="109">
        <f>IFERROR(GETPIVOTDATA("Valor Recebido",'Dashboard-Dados'!$J$1,$A$1,A899,$B$1,B899),0)</f>
        <v>0</v>
      </c>
      <c r="E899" s="110">
        <f>IFERROR(GETPIVOTDATA("Valor Despesa",'Dashboard-Dados'!$P$1,$A$1,A899,$B$1,B899),0)</f>
        <v>0</v>
      </c>
      <c r="F899" s="110">
        <f t="shared" si="1"/>
        <v>0</v>
      </c>
      <c r="G899" s="56">
        <f>IFERROR(GETPIVOTDATA("Exame",'Dashboard-Dados'!$J$1,$A$1,A899,$B$1,B899),0)</f>
        <v>0</v>
      </c>
      <c r="H899" s="56">
        <f t="shared" si="2"/>
        <v>899</v>
      </c>
      <c r="U899" s="56"/>
      <c r="V899" s="56"/>
      <c r="W899" s="56"/>
      <c r="Y899" s="138"/>
    </row>
    <row r="900">
      <c r="A900" s="56"/>
      <c r="B900" s="56"/>
      <c r="C900" s="108" t="str">
        <f>IFNA(VLOOKUP('Dashboard-Dados'!B900,'Dashboard-Dados'!$Y$2:$AA$13,2),"")</f>
        <v/>
      </c>
      <c r="D900" s="109">
        <f>IFERROR(GETPIVOTDATA("Valor Recebido",'Dashboard-Dados'!$J$1,$A$1,A900,$B$1,B900),0)</f>
        <v>0</v>
      </c>
      <c r="E900" s="110">
        <f>IFERROR(GETPIVOTDATA("Valor Despesa",'Dashboard-Dados'!$P$1,$A$1,A900,$B$1,B900),0)</f>
        <v>0</v>
      </c>
      <c r="F900" s="110">
        <f t="shared" si="1"/>
        <v>0</v>
      </c>
      <c r="G900" s="56">
        <f>IFERROR(GETPIVOTDATA("Exame",'Dashboard-Dados'!$J$1,$A$1,A900,$B$1,B900),0)</f>
        <v>0</v>
      </c>
      <c r="H900" s="56">
        <f t="shared" si="2"/>
        <v>900</v>
      </c>
      <c r="U900" s="56"/>
      <c r="V900" s="56"/>
      <c r="W900" s="56"/>
      <c r="Y900" s="138"/>
    </row>
    <row r="901">
      <c r="A901" s="56"/>
      <c r="B901" s="56"/>
      <c r="C901" s="108" t="str">
        <f>IFNA(VLOOKUP('Dashboard-Dados'!B901,'Dashboard-Dados'!$Y$2:$AA$13,2),"")</f>
        <v/>
      </c>
      <c r="D901" s="109">
        <f>IFERROR(GETPIVOTDATA("Valor Recebido",'Dashboard-Dados'!$J$1,$A$1,A901,$B$1,B901),0)</f>
        <v>0</v>
      </c>
      <c r="E901" s="110">
        <f>IFERROR(GETPIVOTDATA("Valor Despesa",'Dashboard-Dados'!$P$1,$A$1,A901,$B$1,B901),0)</f>
        <v>0</v>
      </c>
      <c r="F901" s="110">
        <f t="shared" si="1"/>
        <v>0</v>
      </c>
      <c r="G901" s="56">
        <f>IFERROR(GETPIVOTDATA("Exame",'Dashboard-Dados'!$J$1,$A$1,A901,$B$1,B901),0)</f>
        <v>0</v>
      </c>
      <c r="H901" s="56">
        <f t="shared" si="2"/>
        <v>901</v>
      </c>
      <c r="U901" s="56"/>
      <c r="V901" s="56"/>
      <c r="W901" s="56"/>
      <c r="Y901" s="138"/>
    </row>
    <row r="902">
      <c r="A902" s="56"/>
      <c r="B902" s="56"/>
      <c r="C902" s="108" t="str">
        <f>IFNA(VLOOKUP('Dashboard-Dados'!B902,'Dashboard-Dados'!$Y$2:$AA$13,2),"")</f>
        <v/>
      </c>
      <c r="D902" s="109">
        <f>IFERROR(GETPIVOTDATA("Valor Recebido",'Dashboard-Dados'!$J$1,$A$1,A902,$B$1,B902),0)</f>
        <v>0</v>
      </c>
      <c r="E902" s="110">
        <f>IFERROR(GETPIVOTDATA("Valor Despesa",'Dashboard-Dados'!$P$1,$A$1,A902,$B$1,B902),0)</f>
        <v>0</v>
      </c>
      <c r="F902" s="110">
        <f t="shared" si="1"/>
        <v>0</v>
      </c>
      <c r="G902" s="56">
        <f>IFERROR(GETPIVOTDATA("Exame",'Dashboard-Dados'!$J$1,$A$1,A902,$B$1,B902),0)</f>
        <v>0</v>
      </c>
      <c r="H902" s="56">
        <f t="shared" si="2"/>
        <v>902</v>
      </c>
      <c r="U902" s="56"/>
      <c r="V902" s="56"/>
      <c r="W902" s="56"/>
      <c r="Y902" s="138"/>
    </row>
    <row r="903">
      <c r="A903" s="56"/>
      <c r="B903" s="56"/>
      <c r="C903" s="108" t="str">
        <f>IFNA(VLOOKUP('Dashboard-Dados'!B903,'Dashboard-Dados'!$Y$2:$AA$13,2),"")</f>
        <v/>
      </c>
      <c r="D903" s="109">
        <f>IFERROR(GETPIVOTDATA("Valor Recebido",'Dashboard-Dados'!$J$1,$A$1,A903,$B$1,B903),0)</f>
        <v>0</v>
      </c>
      <c r="E903" s="110">
        <f>IFERROR(GETPIVOTDATA("Valor Despesa",'Dashboard-Dados'!$P$1,$A$1,A903,$B$1,B903),0)</f>
        <v>0</v>
      </c>
      <c r="F903" s="110">
        <f t="shared" si="1"/>
        <v>0</v>
      </c>
      <c r="G903" s="56">
        <f>IFERROR(GETPIVOTDATA("Exame",'Dashboard-Dados'!$J$1,$A$1,A903,$B$1,B903),0)</f>
        <v>0</v>
      </c>
      <c r="H903" s="56">
        <f t="shared" si="2"/>
        <v>903</v>
      </c>
      <c r="U903" s="56"/>
      <c r="V903" s="56"/>
      <c r="W903" s="56"/>
      <c r="Y903" s="138"/>
    </row>
    <row r="904">
      <c r="A904" s="56"/>
      <c r="B904" s="56"/>
      <c r="C904" s="108" t="str">
        <f>IFNA(VLOOKUP('Dashboard-Dados'!B904,'Dashboard-Dados'!$Y$2:$AA$13,2),"")</f>
        <v/>
      </c>
      <c r="D904" s="109">
        <f>IFERROR(GETPIVOTDATA("Valor Recebido",'Dashboard-Dados'!$J$1,$A$1,A904,$B$1,B904),0)</f>
        <v>0</v>
      </c>
      <c r="E904" s="110">
        <f>IFERROR(GETPIVOTDATA("Valor Despesa",'Dashboard-Dados'!$P$1,$A$1,A904,$B$1,B904),0)</f>
        <v>0</v>
      </c>
      <c r="F904" s="110">
        <f t="shared" si="1"/>
        <v>0</v>
      </c>
      <c r="G904" s="56">
        <f>IFERROR(GETPIVOTDATA("Exame",'Dashboard-Dados'!$J$1,$A$1,A904,$B$1,B904),0)</f>
        <v>0</v>
      </c>
      <c r="H904" s="56">
        <f t="shared" si="2"/>
        <v>904</v>
      </c>
      <c r="U904" s="56"/>
      <c r="V904" s="56"/>
      <c r="W904" s="56"/>
      <c r="Y904" s="138"/>
    </row>
    <row r="905">
      <c r="A905" s="56"/>
      <c r="B905" s="56"/>
      <c r="C905" s="108" t="str">
        <f>IFNA(VLOOKUP('Dashboard-Dados'!B905,'Dashboard-Dados'!$Y$2:$AA$13,2),"")</f>
        <v/>
      </c>
      <c r="D905" s="109">
        <f>IFERROR(GETPIVOTDATA("Valor Recebido",'Dashboard-Dados'!$J$1,$A$1,A905,$B$1,B905),0)</f>
        <v>0</v>
      </c>
      <c r="E905" s="110">
        <f>IFERROR(GETPIVOTDATA("Valor Despesa",'Dashboard-Dados'!$P$1,$A$1,A905,$B$1,B905),0)</f>
        <v>0</v>
      </c>
      <c r="F905" s="110">
        <f t="shared" si="1"/>
        <v>0</v>
      </c>
      <c r="G905" s="56">
        <f>IFERROR(GETPIVOTDATA("Exame",'Dashboard-Dados'!$J$1,$A$1,A905,$B$1,B905),0)</f>
        <v>0</v>
      </c>
      <c r="H905" s="56">
        <f t="shared" si="2"/>
        <v>905</v>
      </c>
      <c r="U905" s="56"/>
      <c r="V905" s="56"/>
      <c r="W905" s="56"/>
      <c r="Y905" s="138"/>
    </row>
    <row r="906">
      <c r="A906" s="56"/>
      <c r="B906" s="56"/>
      <c r="C906" s="108" t="str">
        <f>IFNA(VLOOKUP('Dashboard-Dados'!B906,'Dashboard-Dados'!$Y$2:$AA$13,2),"")</f>
        <v/>
      </c>
      <c r="D906" s="109">
        <f>IFERROR(GETPIVOTDATA("Valor Recebido",'Dashboard-Dados'!$J$1,$A$1,A906,$B$1,B906),0)</f>
        <v>0</v>
      </c>
      <c r="E906" s="110">
        <f>IFERROR(GETPIVOTDATA("Valor Despesa",'Dashboard-Dados'!$P$1,$A$1,A906,$B$1,B906),0)</f>
        <v>0</v>
      </c>
      <c r="F906" s="110">
        <f t="shared" si="1"/>
        <v>0</v>
      </c>
      <c r="G906" s="56">
        <f>IFERROR(GETPIVOTDATA("Exame",'Dashboard-Dados'!$J$1,$A$1,A906,$B$1,B906),0)</f>
        <v>0</v>
      </c>
      <c r="H906" s="56">
        <f t="shared" si="2"/>
        <v>906</v>
      </c>
      <c r="U906" s="56"/>
      <c r="V906" s="56"/>
      <c r="W906" s="56"/>
      <c r="Y906" s="138"/>
    </row>
    <row r="907">
      <c r="A907" s="56"/>
      <c r="B907" s="56"/>
      <c r="C907" s="108" t="str">
        <f>IFNA(VLOOKUP('Dashboard-Dados'!B907,'Dashboard-Dados'!$Y$2:$AA$13,2),"")</f>
        <v/>
      </c>
      <c r="D907" s="109">
        <f>IFERROR(GETPIVOTDATA("Valor Recebido",'Dashboard-Dados'!$J$1,$A$1,A907,$B$1,B907),0)</f>
        <v>0</v>
      </c>
      <c r="E907" s="110">
        <f>IFERROR(GETPIVOTDATA("Valor Despesa",'Dashboard-Dados'!$P$1,$A$1,A907,$B$1,B907),0)</f>
        <v>0</v>
      </c>
      <c r="F907" s="110">
        <f t="shared" si="1"/>
        <v>0</v>
      </c>
      <c r="G907" s="56">
        <f>IFERROR(GETPIVOTDATA("Exame",'Dashboard-Dados'!$J$1,$A$1,A907,$B$1,B907),0)</f>
        <v>0</v>
      </c>
      <c r="H907" s="56">
        <f t="shared" si="2"/>
        <v>907</v>
      </c>
      <c r="U907" s="56"/>
      <c r="V907" s="56"/>
      <c r="W907" s="56"/>
      <c r="Y907" s="138"/>
    </row>
    <row r="908">
      <c r="A908" s="56"/>
      <c r="B908" s="56"/>
      <c r="C908" s="108" t="str">
        <f>IFNA(VLOOKUP('Dashboard-Dados'!B908,'Dashboard-Dados'!$Y$2:$AA$13,2),"")</f>
        <v/>
      </c>
      <c r="D908" s="109">
        <f>IFERROR(GETPIVOTDATA("Valor Recebido",'Dashboard-Dados'!$J$1,$A$1,A908,$B$1,B908),0)</f>
        <v>0</v>
      </c>
      <c r="E908" s="110">
        <f>IFERROR(GETPIVOTDATA("Valor Despesa",'Dashboard-Dados'!$P$1,$A$1,A908,$B$1,B908),0)</f>
        <v>0</v>
      </c>
      <c r="F908" s="110">
        <f t="shared" si="1"/>
        <v>0</v>
      </c>
      <c r="G908" s="56">
        <f>IFERROR(GETPIVOTDATA("Exame",'Dashboard-Dados'!$J$1,$A$1,A908,$B$1,B908),0)</f>
        <v>0</v>
      </c>
      <c r="H908" s="56">
        <f t="shared" si="2"/>
        <v>908</v>
      </c>
      <c r="U908" s="56"/>
      <c r="V908" s="56"/>
      <c r="W908" s="56"/>
      <c r="Y908" s="138"/>
    </row>
    <row r="909">
      <c r="A909" s="56"/>
      <c r="B909" s="56"/>
      <c r="C909" s="108" t="str">
        <f>IFNA(VLOOKUP('Dashboard-Dados'!B909,'Dashboard-Dados'!$Y$2:$AA$13,2),"")</f>
        <v/>
      </c>
      <c r="D909" s="109">
        <f>IFERROR(GETPIVOTDATA("Valor Recebido",'Dashboard-Dados'!$J$1,$A$1,A909,$B$1,B909),0)</f>
        <v>0</v>
      </c>
      <c r="E909" s="110">
        <f>IFERROR(GETPIVOTDATA("Valor Despesa",'Dashboard-Dados'!$P$1,$A$1,A909,$B$1,B909),0)</f>
        <v>0</v>
      </c>
      <c r="F909" s="110">
        <f t="shared" si="1"/>
        <v>0</v>
      </c>
      <c r="G909" s="56">
        <f>IFERROR(GETPIVOTDATA("Exame",'Dashboard-Dados'!$J$1,$A$1,A909,$B$1,B909),0)</f>
        <v>0</v>
      </c>
      <c r="H909" s="56">
        <f t="shared" si="2"/>
        <v>909</v>
      </c>
      <c r="U909" s="56"/>
      <c r="V909" s="56"/>
      <c r="W909" s="56"/>
      <c r="Y909" s="138"/>
    </row>
    <row r="910">
      <c r="A910" s="56"/>
      <c r="B910" s="56"/>
      <c r="C910" s="108" t="str">
        <f>IFNA(VLOOKUP('Dashboard-Dados'!B910,'Dashboard-Dados'!$Y$2:$AA$13,2),"")</f>
        <v/>
      </c>
      <c r="D910" s="109">
        <f>IFERROR(GETPIVOTDATA("Valor Recebido",'Dashboard-Dados'!$J$1,$A$1,A910,$B$1,B910),0)</f>
        <v>0</v>
      </c>
      <c r="E910" s="110">
        <f>IFERROR(GETPIVOTDATA("Valor Despesa",'Dashboard-Dados'!$P$1,$A$1,A910,$B$1,B910),0)</f>
        <v>0</v>
      </c>
      <c r="F910" s="110">
        <f t="shared" si="1"/>
        <v>0</v>
      </c>
      <c r="G910" s="56">
        <f>IFERROR(GETPIVOTDATA("Exame",'Dashboard-Dados'!$J$1,$A$1,A910,$B$1,B910),0)</f>
        <v>0</v>
      </c>
      <c r="H910" s="56">
        <f t="shared" si="2"/>
        <v>910</v>
      </c>
      <c r="U910" s="56"/>
      <c r="V910" s="56"/>
      <c r="W910" s="56"/>
      <c r="Y910" s="138"/>
    </row>
    <row r="911">
      <c r="A911" s="56"/>
      <c r="B911" s="56"/>
      <c r="C911" s="108" t="str">
        <f>IFNA(VLOOKUP('Dashboard-Dados'!B911,'Dashboard-Dados'!$Y$2:$AA$13,2),"")</f>
        <v/>
      </c>
      <c r="D911" s="109">
        <f>IFERROR(GETPIVOTDATA("Valor Recebido",'Dashboard-Dados'!$J$1,$A$1,A911,$B$1,B911),0)</f>
        <v>0</v>
      </c>
      <c r="E911" s="110">
        <f>IFERROR(GETPIVOTDATA("Valor Despesa",'Dashboard-Dados'!$P$1,$A$1,A911,$B$1,B911),0)</f>
        <v>0</v>
      </c>
      <c r="F911" s="110">
        <f t="shared" si="1"/>
        <v>0</v>
      </c>
      <c r="G911" s="56">
        <f>IFERROR(GETPIVOTDATA("Exame",'Dashboard-Dados'!$J$1,$A$1,A911,$B$1,B911),0)</f>
        <v>0</v>
      </c>
      <c r="H911" s="56">
        <f t="shared" si="2"/>
        <v>911</v>
      </c>
      <c r="U911" s="56"/>
      <c r="V911" s="56"/>
      <c r="W911" s="56"/>
      <c r="Y911" s="138"/>
    </row>
    <row r="912">
      <c r="A912" s="56"/>
      <c r="B912" s="56"/>
      <c r="C912" s="108" t="str">
        <f>IFNA(VLOOKUP('Dashboard-Dados'!B912,'Dashboard-Dados'!$Y$2:$AA$13,2),"")</f>
        <v/>
      </c>
      <c r="D912" s="109">
        <f>IFERROR(GETPIVOTDATA("Valor Recebido",'Dashboard-Dados'!$J$1,$A$1,A912,$B$1,B912),0)</f>
        <v>0</v>
      </c>
      <c r="E912" s="110">
        <f>IFERROR(GETPIVOTDATA("Valor Despesa",'Dashboard-Dados'!$P$1,$A$1,A912,$B$1,B912),0)</f>
        <v>0</v>
      </c>
      <c r="F912" s="110">
        <f t="shared" si="1"/>
        <v>0</v>
      </c>
      <c r="G912" s="56">
        <f>IFERROR(GETPIVOTDATA("Exame",'Dashboard-Dados'!$J$1,$A$1,A912,$B$1,B912),0)</f>
        <v>0</v>
      </c>
      <c r="H912" s="56">
        <f t="shared" si="2"/>
        <v>912</v>
      </c>
      <c r="U912" s="56"/>
      <c r="V912" s="56"/>
      <c r="W912" s="56"/>
      <c r="Y912" s="138"/>
    </row>
    <row r="913">
      <c r="A913" s="56"/>
      <c r="B913" s="56"/>
      <c r="C913" s="108" t="str">
        <f>IFNA(VLOOKUP('Dashboard-Dados'!B913,'Dashboard-Dados'!$Y$2:$AA$13,2),"")</f>
        <v/>
      </c>
      <c r="D913" s="109">
        <f>IFERROR(GETPIVOTDATA("Valor Recebido",'Dashboard-Dados'!$J$1,$A$1,A913,$B$1,B913),0)</f>
        <v>0</v>
      </c>
      <c r="E913" s="110">
        <f>IFERROR(GETPIVOTDATA("Valor Despesa",'Dashboard-Dados'!$P$1,$A$1,A913,$B$1,B913),0)</f>
        <v>0</v>
      </c>
      <c r="F913" s="110">
        <f t="shared" si="1"/>
        <v>0</v>
      </c>
      <c r="G913" s="56">
        <f>IFERROR(GETPIVOTDATA("Exame",'Dashboard-Dados'!$J$1,$A$1,A913,$B$1,B913),0)</f>
        <v>0</v>
      </c>
      <c r="H913" s="56">
        <f t="shared" si="2"/>
        <v>913</v>
      </c>
      <c r="U913" s="56"/>
      <c r="V913" s="56"/>
      <c r="W913" s="56"/>
      <c r="Y913" s="138"/>
    </row>
    <row r="914">
      <c r="A914" s="56"/>
      <c r="B914" s="56"/>
      <c r="C914" s="108" t="str">
        <f>IFNA(VLOOKUP('Dashboard-Dados'!B914,'Dashboard-Dados'!$Y$2:$AA$13,2),"")</f>
        <v/>
      </c>
      <c r="D914" s="109">
        <f>IFERROR(GETPIVOTDATA("Valor Recebido",'Dashboard-Dados'!$J$1,$A$1,A914,$B$1,B914),0)</f>
        <v>0</v>
      </c>
      <c r="E914" s="110">
        <f>IFERROR(GETPIVOTDATA("Valor Despesa",'Dashboard-Dados'!$P$1,$A$1,A914,$B$1,B914),0)</f>
        <v>0</v>
      </c>
      <c r="F914" s="110">
        <f t="shared" si="1"/>
        <v>0</v>
      </c>
      <c r="G914" s="56">
        <f>IFERROR(GETPIVOTDATA("Exame",'Dashboard-Dados'!$J$1,$A$1,A914,$B$1,B914),0)</f>
        <v>0</v>
      </c>
      <c r="H914" s="56">
        <f t="shared" si="2"/>
        <v>914</v>
      </c>
      <c r="U914" s="56"/>
      <c r="V914" s="56"/>
      <c r="W914" s="56"/>
      <c r="Y914" s="138"/>
    </row>
    <row r="915">
      <c r="A915" s="56"/>
      <c r="B915" s="56"/>
      <c r="C915" s="108" t="str">
        <f>IFNA(VLOOKUP('Dashboard-Dados'!B915,'Dashboard-Dados'!$Y$2:$AA$13,2),"")</f>
        <v/>
      </c>
      <c r="D915" s="109">
        <f>IFERROR(GETPIVOTDATA("Valor Recebido",'Dashboard-Dados'!$J$1,$A$1,A915,$B$1,B915),0)</f>
        <v>0</v>
      </c>
      <c r="E915" s="110">
        <f>IFERROR(GETPIVOTDATA("Valor Despesa",'Dashboard-Dados'!$P$1,$A$1,A915,$B$1,B915),0)</f>
        <v>0</v>
      </c>
      <c r="F915" s="110">
        <f t="shared" si="1"/>
        <v>0</v>
      </c>
      <c r="G915" s="56">
        <f>IFERROR(GETPIVOTDATA("Exame",'Dashboard-Dados'!$J$1,$A$1,A915,$B$1,B915),0)</f>
        <v>0</v>
      </c>
      <c r="H915" s="56">
        <f t="shared" si="2"/>
        <v>915</v>
      </c>
      <c r="U915" s="56"/>
      <c r="V915" s="56"/>
      <c r="W915" s="56"/>
      <c r="Y915" s="138"/>
    </row>
    <row r="916">
      <c r="A916" s="56"/>
      <c r="B916" s="56"/>
      <c r="C916" s="108" t="str">
        <f>IFNA(VLOOKUP('Dashboard-Dados'!B916,'Dashboard-Dados'!$Y$2:$AA$13,2),"")</f>
        <v/>
      </c>
      <c r="D916" s="109">
        <f>IFERROR(GETPIVOTDATA("Valor Recebido",'Dashboard-Dados'!$J$1,$A$1,A916,$B$1,B916),0)</f>
        <v>0</v>
      </c>
      <c r="E916" s="110">
        <f>IFERROR(GETPIVOTDATA("Valor Despesa",'Dashboard-Dados'!$P$1,$A$1,A916,$B$1,B916),0)</f>
        <v>0</v>
      </c>
      <c r="F916" s="110">
        <f t="shared" si="1"/>
        <v>0</v>
      </c>
      <c r="G916" s="56">
        <f>IFERROR(GETPIVOTDATA("Exame",'Dashboard-Dados'!$J$1,$A$1,A916,$B$1,B916),0)</f>
        <v>0</v>
      </c>
      <c r="H916" s="56">
        <f t="shared" si="2"/>
        <v>916</v>
      </c>
      <c r="U916" s="56"/>
      <c r="V916" s="56"/>
      <c r="W916" s="56"/>
      <c r="Y916" s="138"/>
    </row>
    <row r="917">
      <c r="A917" s="56"/>
      <c r="B917" s="56"/>
      <c r="C917" s="108" t="str">
        <f>IFNA(VLOOKUP('Dashboard-Dados'!B917,'Dashboard-Dados'!$Y$2:$AA$13,2),"")</f>
        <v/>
      </c>
      <c r="D917" s="109">
        <f>IFERROR(GETPIVOTDATA("Valor Recebido",'Dashboard-Dados'!$J$1,$A$1,A917,$B$1,B917),0)</f>
        <v>0</v>
      </c>
      <c r="E917" s="110">
        <f>IFERROR(GETPIVOTDATA("Valor Despesa",'Dashboard-Dados'!$P$1,$A$1,A917,$B$1,B917),0)</f>
        <v>0</v>
      </c>
      <c r="F917" s="110">
        <f t="shared" si="1"/>
        <v>0</v>
      </c>
      <c r="G917" s="56">
        <f>IFERROR(GETPIVOTDATA("Exame",'Dashboard-Dados'!$J$1,$A$1,A917,$B$1,B917),0)</f>
        <v>0</v>
      </c>
      <c r="H917" s="56">
        <f t="shared" si="2"/>
        <v>917</v>
      </c>
      <c r="U917" s="56"/>
      <c r="V917" s="56"/>
      <c r="W917" s="56"/>
      <c r="Y917" s="138"/>
    </row>
    <row r="918">
      <c r="A918" s="56"/>
      <c r="B918" s="56"/>
      <c r="C918" s="108" t="str">
        <f>IFNA(VLOOKUP('Dashboard-Dados'!B918,'Dashboard-Dados'!$Y$2:$AA$13,2),"")</f>
        <v/>
      </c>
      <c r="D918" s="109">
        <f>IFERROR(GETPIVOTDATA("Valor Recebido",'Dashboard-Dados'!$J$1,$A$1,A918,$B$1,B918),0)</f>
        <v>0</v>
      </c>
      <c r="E918" s="110">
        <f>IFERROR(GETPIVOTDATA("Valor Despesa",'Dashboard-Dados'!$P$1,$A$1,A918,$B$1,B918),0)</f>
        <v>0</v>
      </c>
      <c r="F918" s="110">
        <f t="shared" si="1"/>
        <v>0</v>
      </c>
      <c r="G918" s="56">
        <f>IFERROR(GETPIVOTDATA("Exame",'Dashboard-Dados'!$J$1,$A$1,A918,$B$1,B918),0)</f>
        <v>0</v>
      </c>
      <c r="H918" s="56">
        <f t="shared" si="2"/>
        <v>918</v>
      </c>
      <c r="U918" s="56"/>
      <c r="V918" s="56"/>
      <c r="W918" s="56"/>
      <c r="Y918" s="138"/>
    </row>
    <row r="919">
      <c r="A919" s="56"/>
      <c r="B919" s="56"/>
      <c r="C919" s="108" t="str">
        <f>IFNA(VLOOKUP('Dashboard-Dados'!B919,'Dashboard-Dados'!$Y$2:$AA$13,2),"")</f>
        <v/>
      </c>
      <c r="D919" s="109">
        <f>IFERROR(GETPIVOTDATA("Valor Recebido",'Dashboard-Dados'!$J$1,$A$1,A919,$B$1,B919),0)</f>
        <v>0</v>
      </c>
      <c r="E919" s="110">
        <f>IFERROR(GETPIVOTDATA("Valor Despesa",'Dashboard-Dados'!$P$1,$A$1,A919,$B$1,B919),0)</f>
        <v>0</v>
      </c>
      <c r="F919" s="110">
        <f t="shared" si="1"/>
        <v>0</v>
      </c>
      <c r="G919" s="56">
        <f>IFERROR(GETPIVOTDATA("Exame",'Dashboard-Dados'!$J$1,$A$1,A919,$B$1,B919),0)</f>
        <v>0</v>
      </c>
      <c r="H919" s="56">
        <f t="shared" si="2"/>
        <v>919</v>
      </c>
      <c r="U919" s="56"/>
      <c r="V919" s="56"/>
      <c r="W919" s="56"/>
      <c r="Y919" s="138"/>
    </row>
    <row r="920">
      <c r="A920" s="56"/>
      <c r="B920" s="56"/>
      <c r="C920" s="108" t="str">
        <f>IFNA(VLOOKUP('Dashboard-Dados'!B920,'Dashboard-Dados'!$Y$2:$AA$13,2),"")</f>
        <v/>
      </c>
      <c r="D920" s="109">
        <f>IFERROR(GETPIVOTDATA("Valor Recebido",'Dashboard-Dados'!$J$1,$A$1,A920,$B$1,B920),0)</f>
        <v>0</v>
      </c>
      <c r="E920" s="110">
        <f>IFERROR(GETPIVOTDATA("Valor Despesa",'Dashboard-Dados'!$P$1,$A$1,A920,$B$1,B920),0)</f>
        <v>0</v>
      </c>
      <c r="F920" s="110">
        <f t="shared" si="1"/>
        <v>0</v>
      </c>
      <c r="G920" s="56">
        <f>IFERROR(GETPIVOTDATA("Exame",'Dashboard-Dados'!$J$1,$A$1,A920,$B$1,B920),0)</f>
        <v>0</v>
      </c>
      <c r="H920" s="56">
        <f t="shared" si="2"/>
        <v>920</v>
      </c>
      <c r="U920" s="56"/>
      <c r="V920" s="56"/>
      <c r="W920" s="56"/>
      <c r="Y920" s="138"/>
    </row>
    <row r="921">
      <c r="A921" s="56"/>
      <c r="B921" s="56"/>
      <c r="C921" s="108" t="str">
        <f>IFNA(VLOOKUP('Dashboard-Dados'!B921,'Dashboard-Dados'!$Y$2:$AA$13,2),"")</f>
        <v/>
      </c>
      <c r="D921" s="109">
        <f>IFERROR(GETPIVOTDATA("Valor Recebido",'Dashboard-Dados'!$J$1,$A$1,A921,$B$1,B921),0)</f>
        <v>0</v>
      </c>
      <c r="E921" s="110">
        <f>IFERROR(GETPIVOTDATA("Valor Despesa",'Dashboard-Dados'!$P$1,$A$1,A921,$B$1,B921),0)</f>
        <v>0</v>
      </c>
      <c r="F921" s="110">
        <f t="shared" si="1"/>
        <v>0</v>
      </c>
      <c r="G921" s="56">
        <f>IFERROR(GETPIVOTDATA("Exame",'Dashboard-Dados'!$J$1,$A$1,A921,$B$1,B921),0)</f>
        <v>0</v>
      </c>
      <c r="H921" s="56">
        <f t="shared" si="2"/>
        <v>921</v>
      </c>
      <c r="U921" s="56"/>
      <c r="V921" s="56"/>
      <c r="W921" s="56"/>
      <c r="Y921" s="138"/>
    </row>
    <row r="922">
      <c r="A922" s="56"/>
      <c r="B922" s="56"/>
      <c r="C922" s="108" t="str">
        <f>IFNA(VLOOKUP('Dashboard-Dados'!B922,'Dashboard-Dados'!$Y$2:$AA$13,2),"")</f>
        <v/>
      </c>
      <c r="D922" s="109">
        <f>IFERROR(GETPIVOTDATA("Valor Recebido",'Dashboard-Dados'!$J$1,$A$1,A922,$B$1,B922),0)</f>
        <v>0</v>
      </c>
      <c r="E922" s="110">
        <f>IFERROR(GETPIVOTDATA("Valor Despesa",'Dashboard-Dados'!$P$1,$A$1,A922,$B$1,B922),0)</f>
        <v>0</v>
      </c>
      <c r="F922" s="110">
        <f t="shared" si="1"/>
        <v>0</v>
      </c>
      <c r="G922" s="56">
        <f>IFERROR(GETPIVOTDATA("Exame",'Dashboard-Dados'!$J$1,$A$1,A922,$B$1,B922),0)</f>
        <v>0</v>
      </c>
      <c r="H922" s="56">
        <f t="shared" si="2"/>
        <v>922</v>
      </c>
      <c r="U922" s="56"/>
      <c r="V922" s="56"/>
      <c r="W922" s="56"/>
      <c r="Y922" s="138"/>
    </row>
    <row r="923">
      <c r="A923" s="56"/>
      <c r="B923" s="56"/>
      <c r="C923" s="108" t="str">
        <f>IFNA(VLOOKUP('Dashboard-Dados'!B923,'Dashboard-Dados'!$Y$2:$AA$13,2),"")</f>
        <v/>
      </c>
      <c r="D923" s="109">
        <f>IFERROR(GETPIVOTDATA("Valor Recebido",'Dashboard-Dados'!$J$1,$A$1,A923,$B$1,B923),0)</f>
        <v>0</v>
      </c>
      <c r="E923" s="110">
        <f>IFERROR(GETPIVOTDATA("Valor Despesa",'Dashboard-Dados'!$P$1,$A$1,A923,$B$1,B923),0)</f>
        <v>0</v>
      </c>
      <c r="F923" s="110">
        <f t="shared" si="1"/>
        <v>0</v>
      </c>
      <c r="G923" s="56">
        <f>IFERROR(GETPIVOTDATA("Exame",'Dashboard-Dados'!$J$1,$A$1,A923,$B$1,B923),0)</f>
        <v>0</v>
      </c>
      <c r="H923" s="56">
        <f t="shared" si="2"/>
        <v>923</v>
      </c>
      <c r="U923" s="56"/>
      <c r="V923" s="56"/>
      <c r="W923" s="56"/>
      <c r="Y923" s="138"/>
    </row>
    <row r="924">
      <c r="A924" s="56"/>
      <c r="B924" s="56"/>
      <c r="C924" s="108" t="str">
        <f>IFNA(VLOOKUP('Dashboard-Dados'!B924,'Dashboard-Dados'!$Y$2:$AA$13,2),"")</f>
        <v/>
      </c>
      <c r="D924" s="109">
        <f>IFERROR(GETPIVOTDATA("Valor Recebido",'Dashboard-Dados'!$J$1,$A$1,A924,$B$1,B924),0)</f>
        <v>0</v>
      </c>
      <c r="E924" s="110">
        <f>IFERROR(GETPIVOTDATA("Valor Despesa",'Dashboard-Dados'!$P$1,$A$1,A924,$B$1,B924),0)</f>
        <v>0</v>
      </c>
      <c r="F924" s="110">
        <f t="shared" si="1"/>
        <v>0</v>
      </c>
      <c r="G924" s="56">
        <f>IFERROR(GETPIVOTDATA("Exame",'Dashboard-Dados'!$J$1,$A$1,A924,$B$1,B924),0)</f>
        <v>0</v>
      </c>
      <c r="H924" s="56">
        <f t="shared" si="2"/>
        <v>924</v>
      </c>
      <c r="U924" s="56"/>
      <c r="V924" s="56"/>
      <c r="W924" s="56"/>
      <c r="Y924" s="138"/>
    </row>
    <row r="925">
      <c r="A925" s="56"/>
      <c r="B925" s="56"/>
      <c r="C925" s="108" t="str">
        <f>IFNA(VLOOKUP('Dashboard-Dados'!B925,'Dashboard-Dados'!$Y$2:$AA$13,2),"")</f>
        <v/>
      </c>
      <c r="D925" s="109">
        <f>IFERROR(GETPIVOTDATA("Valor Recebido",'Dashboard-Dados'!$J$1,$A$1,A925,$B$1,B925),0)</f>
        <v>0</v>
      </c>
      <c r="E925" s="110">
        <f>IFERROR(GETPIVOTDATA("Valor Despesa",'Dashboard-Dados'!$P$1,$A$1,A925,$B$1,B925),0)</f>
        <v>0</v>
      </c>
      <c r="F925" s="110">
        <f t="shared" si="1"/>
        <v>0</v>
      </c>
      <c r="G925" s="56">
        <f>IFERROR(GETPIVOTDATA("Exame",'Dashboard-Dados'!$J$1,$A$1,A925,$B$1,B925),0)</f>
        <v>0</v>
      </c>
      <c r="H925" s="56">
        <f t="shared" si="2"/>
        <v>925</v>
      </c>
      <c r="U925" s="56"/>
      <c r="V925" s="56"/>
      <c r="W925" s="56"/>
      <c r="Y925" s="138"/>
    </row>
    <row r="926">
      <c r="A926" s="56"/>
      <c r="B926" s="56"/>
      <c r="C926" s="108" t="str">
        <f>IFNA(VLOOKUP('Dashboard-Dados'!B926,'Dashboard-Dados'!$Y$2:$AA$13,2),"")</f>
        <v/>
      </c>
      <c r="D926" s="109">
        <f>IFERROR(GETPIVOTDATA("Valor Recebido",'Dashboard-Dados'!$J$1,$A$1,A926,$B$1,B926),0)</f>
        <v>0</v>
      </c>
      <c r="E926" s="110">
        <f>IFERROR(GETPIVOTDATA("Valor Despesa",'Dashboard-Dados'!$P$1,$A$1,A926,$B$1,B926),0)</f>
        <v>0</v>
      </c>
      <c r="F926" s="110">
        <f t="shared" si="1"/>
        <v>0</v>
      </c>
      <c r="G926" s="56">
        <f>IFERROR(GETPIVOTDATA("Exame",'Dashboard-Dados'!$J$1,$A$1,A926,$B$1,B926),0)</f>
        <v>0</v>
      </c>
      <c r="H926" s="56">
        <f t="shared" si="2"/>
        <v>926</v>
      </c>
      <c r="U926" s="56"/>
      <c r="V926" s="56"/>
      <c r="W926" s="56"/>
      <c r="Y926" s="138"/>
    </row>
    <row r="927">
      <c r="A927" s="56"/>
      <c r="B927" s="56"/>
      <c r="C927" s="108" t="str">
        <f>IFNA(VLOOKUP('Dashboard-Dados'!B927,'Dashboard-Dados'!$Y$2:$AA$13,2),"")</f>
        <v/>
      </c>
      <c r="D927" s="109">
        <f>IFERROR(GETPIVOTDATA("Valor Recebido",'Dashboard-Dados'!$J$1,$A$1,A927,$B$1,B927),0)</f>
        <v>0</v>
      </c>
      <c r="E927" s="110">
        <f>IFERROR(GETPIVOTDATA("Valor Despesa",'Dashboard-Dados'!$P$1,$A$1,A927,$B$1,B927),0)</f>
        <v>0</v>
      </c>
      <c r="F927" s="110">
        <f t="shared" si="1"/>
        <v>0</v>
      </c>
      <c r="G927" s="56">
        <f>IFERROR(GETPIVOTDATA("Exame",'Dashboard-Dados'!$J$1,$A$1,A927,$B$1,B927),0)</f>
        <v>0</v>
      </c>
      <c r="H927" s="56">
        <f t="shared" si="2"/>
        <v>927</v>
      </c>
      <c r="U927" s="56"/>
      <c r="V927" s="56"/>
      <c r="W927" s="56"/>
      <c r="Y927" s="138"/>
    </row>
    <row r="928">
      <c r="A928" s="56"/>
      <c r="B928" s="56"/>
      <c r="C928" s="108" t="str">
        <f>IFNA(VLOOKUP('Dashboard-Dados'!B928,'Dashboard-Dados'!$Y$2:$AA$13,2),"")</f>
        <v/>
      </c>
      <c r="D928" s="109">
        <f>IFERROR(GETPIVOTDATA("Valor Recebido",'Dashboard-Dados'!$J$1,$A$1,A928,$B$1,B928),0)</f>
        <v>0</v>
      </c>
      <c r="E928" s="110">
        <f>IFERROR(GETPIVOTDATA("Valor Despesa",'Dashboard-Dados'!$P$1,$A$1,A928,$B$1,B928),0)</f>
        <v>0</v>
      </c>
      <c r="F928" s="110">
        <f t="shared" si="1"/>
        <v>0</v>
      </c>
      <c r="G928" s="56">
        <f>IFERROR(GETPIVOTDATA("Exame",'Dashboard-Dados'!$J$1,$A$1,A928,$B$1,B928),0)</f>
        <v>0</v>
      </c>
      <c r="H928" s="56">
        <f t="shared" si="2"/>
        <v>928</v>
      </c>
      <c r="U928" s="56"/>
      <c r="V928" s="56"/>
      <c r="W928" s="56"/>
      <c r="Y928" s="138"/>
    </row>
    <row r="929">
      <c r="A929" s="56"/>
      <c r="B929" s="56"/>
      <c r="C929" s="108" t="str">
        <f>IFNA(VLOOKUP('Dashboard-Dados'!B929,'Dashboard-Dados'!$Y$2:$AA$13,2),"")</f>
        <v/>
      </c>
      <c r="D929" s="109">
        <f>IFERROR(GETPIVOTDATA("Valor Recebido",'Dashboard-Dados'!$J$1,$A$1,A929,$B$1,B929),0)</f>
        <v>0</v>
      </c>
      <c r="E929" s="110">
        <f>IFERROR(GETPIVOTDATA("Valor Despesa",'Dashboard-Dados'!$P$1,$A$1,A929,$B$1,B929),0)</f>
        <v>0</v>
      </c>
      <c r="F929" s="110">
        <f t="shared" si="1"/>
        <v>0</v>
      </c>
      <c r="G929" s="56">
        <f>IFERROR(GETPIVOTDATA("Exame",'Dashboard-Dados'!$J$1,$A$1,A929,$B$1,B929),0)</f>
        <v>0</v>
      </c>
      <c r="H929" s="56">
        <f t="shared" si="2"/>
        <v>929</v>
      </c>
      <c r="U929" s="56"/>
      <c r="V929" s="56"/>
      <c r="W929" s="56"/>
      <c r="Y929" s="138"/>
    </row>
    <row r="930">
      <c r="A930" s="56"/>
      <c r="B930" s="56"/>
      <c r="C930" s="108" t="str">
        <f>IFNA(VLOOKUP('Dashboard-Dados'!B930,'Dashboard-Dados'!$Y$2:$AA$13,2),"")</f>
        <v/>
      </c>
      <c r="D930" s="109">
        <f>IFERROR(GETPIVOTDATA("Valor Recebido",'Dashboard-Dados'!$J$1,$A$1,A930,$B$1,B930),0)</f>
        <v>0</v>
      </c>
      <c r="E930" s="110">
        <f>IFERROR(GETPIVOTDATA("Valor Despesa",'Dashboard-Dados'!$P$1,$A$1,A930,$B$1,B930),0)</f>
        <v>0</v>
      </c>
      <c r="F930" s="110">
        <f t="shared" si="1"/>
        <v>0</v>
      </c>
      <c r="G930" s="56">
        <f>IFERROR(GETPIVOTDATA("Exame",'Dashboard-Dados'!$J$1,$A$1,A930,$B$1,B930),0)</f>
        <v>0</v>
      </c>
      <c r="H930" s="56">
        <f t="shared" si="2"/>
        <v>930</v>
      </c>
      <c r="U930" s="56"/>
      <c r="V930" s="56"/>
      <c r="W930" s="56"/>
      <c r="Y930" s="138"/>
    </row>
    <row r="931">
      <c r="A931" s="56"/>
      <c r="B931" s="56"/>
      <c r="C931" s="108" t="str">
        <f>IFNA(VLOOKUP('Dashboard-Dados'!B931,'Dashboard-Dados'!$Y$2:$AA$13,2),"")</f>
        <v/>
      </c>
      <c r="D931" s="109">
        <f>IFERROR(GETPIVOTDATA("Valor Recebido",'Dashboard-Dados'!$J$1,$A$1,A931,$B$1,B931),0)</f>
        <v>0</v>
      </c>
      <c r="E931" s="110">
        <f>IFERROR(GETPIVOTDATA("Valor Despesa",'Dashboard-Dados'!$P$1,$A$1,A931,$B$1,B931),0)</f>
        <v>0</v>
      </c>
      <c r="F931" s="110">
        <f t="shared" si="1"/>
        <v>0</v>
      </c>
      <c r="G931" s="56">
        <f>IFERROR(GETPIVOTDATA("Exame",'Dashboard-Dados'!$J$1,$A$1,A931,$B$1,B931),0)</f>
        <v>0</v>
      </c>
      <c r="H931" s="56">
        <f t="shared" si="2"/>
        <v>931</v>
      </c>
      <c r="U931" s="56"/>
      <c r="V931" s="56"/>
      <c r="W931" s="56"/>
      <c r="Y931" s="138"/>
    </row>
    <row r="932">
      <c r="A932" s="56"/>
      <c r="B932" s="56"/>
      <c r="C932" s="108" t="str">
        <f>IFNA(VLOOKUP('Dashboard-Dados'!B932,'Dashboard-Dados'!$Y$2:$AA$13,2),"")</f>
        <v/>
      </c>
      <c r="D932" s="109">
        <f>IFERROR(GETPIVOTDATA("Valor Recebido",'Dashboard-Dados'!$J$1,$A$1,A932,$B$1,B932),0)</f>
        <v>0</v>
      </c>
      <c r="E932" s="110">
        <f>IFERROR(GETPIVOTDATA("Valor Despesa",'Dashboard-Dados'!$P$1,$A$1,A932,$B$1,B932),0)</f>
        <v>0</v>
      </c>
      <c r="F932" s="110">
        <f t="shared" si="1"/>
        <v>0</v>
      </c>
      <c r="G932" s="56">
        <f>IFERROR(GETPIVOTDATA("Exame",'Dashboard-Dados'!$J$1,$A$1,A932,$B$1,B932),0)</f>
        <v>0</v>
      </c>
      <c r="H932" s="56">
        <f t="shared" si="2"/>
        <v>932</v>
      </c>
      <c r="U932" s="56"/>
      <c r="V932" s="56"/>
      <c r="W932" s="56"/>
      <c r="Y932" s="138"/>
    </row>
    <row r="933">
      <c r="A933" s="56"/>
      <c r="B933" s="56"/>
      <c r="C933" s="108" t="str">
        <f>IFNA(VLOOKUP('Dashboard-Dados'!B933,'Dashboard-Dados'!$Y$2:$AA$13,2),"")</f>
        <v/>
      </c>
      <c r="D933" s="109">
        <f>IFERROR(GETPIVOTDATA("Valor Recebido",'Dashboard-Dados'!$J$1,$A$1,A933,$B$1,B933),0)</f>
        <v>0</v>
      </c>
      <c r="E933" s="110">
        <f>IFERROR(GETPIVOTDATA("Valor Despesa",'Dashboard-Dados'!$P$1,$A$1,A933,$B$1,B933),0)</f>
        <v>0</v>
      </c>
      <c r="F933" s="110">
        <f t="shared" si="1"/>
        <v>0</v>
      </c>
      <c r="G933" s="56">
        <f>IFERROR(GETPIVOTDATA("Exame",'Dashboard-Dados'!$J$1,$A$1,A933,$B$1,B933),0)</f>
        <v>0</v>
      </c>
      <c r="H933" s="56">
        <f t="shared" si="2"/>
        <v>933</v>
      </c>
      <c r="U933" s="56"/>
      <c r="V933" s="56"/>
      <c r="W933" s="56"/>
      <c r="Y933" s="138"/>
    </row>
    <row r="934">
      <c r="A934" s="56"/>
      <c r="B934" s="56"/>
      <c r="C934" s="108" t="str">
        <f>IFNA(VLOOKUP('Dashboard-Dados'!B934,'Dashboard-Dados'!$Y$2:$AA$13,2),"")</f>
        <v/>
      </c>
      <c r="D934" s="109">
        <f>IFERROR(GETPIVOTDATA("Valor Recebido",'Dashboard-Dados'!$J$1,$A$1,A934,$B$1,B934),0)</f>
        <v>0</v>
      </c>
      <c r="E934" s="110">
        <f>IFERROR(GETPIVOTDATA("Valor Despesa",'Dashboard-Dados'!$P$1,$A$1,A934,$B$1,B934),0)</f>
        <v>0</v>
      </c>
      <c r="F934" s="110">
        <f t="shared" si="1"/>
        <v>0</v>
      </c>
      <c r="G934" s="56">
        <f>IFERROR(GETPIVOTDATA("Exame",'Dashboard-Dados'!$J$1,$A$1,A934,$B$1,B934),0)</f>
        <v>0</v>
      </c>
      <c r="H934" s="56">
        <f t="shared" si="2"/>
        <v>934</v>
      </c>
      <c r="U934" s="56"/>
      <c r="V934" s="56"/>
      <c r="W934" s="56"/>
      <c r="Y934" s="138"/>
    </row>
    <row r="935">
      <c r="A935" s="56"/>
      <c r="B935" s="56"/>
      <c r="C935" s="108" t="str">
        <f>IFNA(VLOOKUP('Dashboard-Dados'!B935,'Dashboard-Dados'!$Y$2:$AA$13,2),"")</f>
        <v/>
      </c>
      <c r="D935" s="109">
        <f>IFERROR(GETPIVOTDATA("Valor Recebido",'Dashboard-Dados'!$J$1,$A$1,A935,$B$1,B935),0)</f>
        <v>0</v>
      </c>
      <c r="E935" s="110">
        <f>IFERROR(GETPIVOTDATA("Valor Despesa",'Dashboard-Dados'!$P$1,$A$1,A935,$B$1,B935),0)</f>
        <v>0</v>
      </c>
      <c r="F935" s="110">
        <f t="shared" si="1"/>
        <v>0</v>
      </c>
      <c r="G935" s="56">
        <f>IFERROR(GETPIVOTDATA("Exame",'Dashboard-Dados'!$J$1,$A$1,A935,$B$1,B935),0)</f>
        <v>0</v>
      </c>
      <c r="H935" s="56">
        <f t="shared" si="2"/>
        <v>935</v>
      </c>
      <c r="U935" s="56"/>
      <c r="V935" s="56"/>
      <c r="W935" s="56"/>
      <c r="Y935" s="138"/>
    </row>
    <row r="936">
      <c r="A936" s="56"/>
      <c r="B936" s="56"/>
      <c r="C936" s="108" t="str">
        <f>IFNA(VLOOKUP('Dashboard-Dados'!B936,'Dashboard-Dados'!$Y$2:$AA$13,2),"")</f>
        <v/>
      </c>
      <c r="D936" s="109">
        <f>IFERROR(GETPIVOTDATA("Valor Recebido",'Dashboard-Dados'!$J$1,$A$1,A936,$B$1,B936),0)</f>
        <v>0</v>
      </c>
      <c r="E936" s="110">
        <f>IFERROR(GETPIVOTDATA("Valor Despesa",'Dashboard-Dados'!$P$1,$A$1,A936,$B$1,B936),0)</f>
        <v>0</v>
      </c>
      <c r="F936" s="110">
        <f t="shared" si="1"/>
        <v>0</v>
      </c>
      <c r="G936" s="56">
        <f>IFERROR(GETPIVOTDATA("Exame",'Dashboard-Dados'!$J$1,$A$1,A936,$B$1,B936),0)</f>
        <v>0</v>
      </c>
      <c r="H936" s="56">
        <f t="shared" si="2"/>
        <v>936</v>
      </c>
      <c r="U936" s="56"/>
      <c r="V936" s="56"/>
      <c r="W936" s="56"/>
      <c r="Y936" s="138"/>
    </row>
    <row r="937">
      <c r="A937" s="56"/>
      <c r="B937" s="56"/>
      <c r="C937" s="108" t="str">
        <f>IFNA(VLOOKUP('Dashboard-Dados'!B937,'Dashboard-Dados'!$Y$2:$AA$13,2),"")</f>
        <v/>
      </c>
      <c r="D937" s="109">
        <f>IFERROR(GETPIVOTDATA("Valor Recebido",'Dashboard-Dados'!$J$1,$A$1,A937,$B$1,B937),0)</f>
        <v>0</v>
      </c>
      <c r="E937" s="110">
        <f>IFERROR(GETPIVOTDATA("Valor Despesa",'Dashboard-Dados'!$P$1,$A$1,A937,$B$1,B937),0)</f>
        <v>0</v>
      </c>
      <c r="F937" s="110">
        <f t="shared" si="1"/>
        <v>0</v>
      </c>
      <c r="G937" s="56">
        <f>IFERROR(GETPIVOTDATA("Exame",'Dashboard-Dados'!$J$1,$A$1,A937,$B$1,B937),0)</f>
        <v>0</v>
      </c>
      <c r="H937" s="56">
        <f t="shared" si="2"/>
        <v>937</v>
      </c>
      <c r="U937" s="56"/>
      <c r="V937" s="56"/>
      <c r="W937" s="56"/>
      <c r="Y937" s="138"/>
    </row>
    <row r="938">
      <c r="A938" s="56"/>
      <c r="B938" s="56"/>
      <c r="C938" s="108" t="str">
        <f>IFNA(VLOOKUP('Dashboard-Dados'!B938,'Dashboard-Dados'!$Y$2:$AA$13,2),"")</f>
        <v/>
      </c>
      <c r="D938" s="109">
        <f>IFERROR(GETPIVOTDATA("Valor Recebido",'Dashboard-Dados'!$J$1,$A$1,A938,$B$1,B938),0)</f>
        <v>0</v>
      </c>
      <c r="E938" s="110">
        <f>IFERROR(GETPIVOTDATA("Valor Despesa",'Dashboard-Dados'!$P$1,$A$1,A938,$B$1,B938),0)</f>
        <v>0</v>
      </c>
      <c r="F938" s="110">
        <f t="shared" si="1"/>
        <v>0</v>
      </c>
      <c r="G938" s="56">
        <f>IFERROR(GETPIVOTDATA("Exame",'Dashboard-Dados'!$J$1,$A$1,A938,$B$1,B938),0)</f>
        <v>0</v>
      </c>
      <c r="H938" s="56">
        <f t="shared" si="2"/>
        <v>938</v>
      </c>
      <c r="U938" s="56"/>
      <c r="V938" s="56"/>
      <c r="W938" s="56"/>
      <c r="Y938" s="138"/>
    </row>
    <row r="939">
      <c r="A939" s="56"/>
      <c r="B939" s="56"/>
      <c r="C939" s="108" t="str">
        <f>IFNA(VLOOKUP('Dashboard-Dados'!B939,'Dashboard-Dados'!$Y$2:$AA$13,2),"")</f>
        <v/>
      </c>
      <c r="D939" s="109">
        <f>IFERROR(GETPIVOTDATA("Valor Recebido",'Dashboard-Dados'!$J$1,$A$1,A939,$B$1,B939),0)</f>
        <v>0</v>
      </c>
      <c r="E939" s="110">
        <f>IFERROR(GETPIVOTDATA("Valor Despesa",'Dashboard-Dados'!$P$1,$A$1,A939,$B$1,B939),0)</f>
        <v>0</v>
      </c>
      <c r="F939" s="110">
        <f t="shared" si="1"/>
        <v>0</v>
      </c>
      <c r="G939" s="56">
        <f>IFERROR(GETPIVOTDATA("Exame",'Dashboard-Dados'!$J$1,$A$1,A939,$B$1,B939),0)</f>
        <v>0</v>
      </c>
      <c r="H939" s="56">
        <f t="shared" si="2"/>
        <v>939</v>
      </c>
      <c r="U939" s="56"/>
      <c r="V939" s="56"/>
      <c r="W939" s="56"/>
      <c r="Y939" s="138"/>
    </row>
    <row r="940">
      <c r="A940" s="56"/>
      <c r="B940" s="56"/>
      <c r="C940" s="108" t="str">
        <f>IFNA(VLOOKUP('Dashboard-Dados'!B940,'Dashboard-Dados'!$Y$2:$AA$13,2),"")</f>
        <v/>
      </c>
      <c r="D940" s="109">
        <f>IFERROR(GETPIVOTDATA("Valor Recebido",'Dashboard-Dados'!$J$1,$A$1,A940,$B$1,B940),0)</f>
        <v>0</v>
      </c>
      <c r="E940" s="110">
        <f>IFERROR(GETPIVOTDATA("Valor Despesa",'Dashboard-Dados'!$P$1,$A$1,A940,$B$1,B940),0)</f>
        <v>0</v>
      </c>
      <c r="F940" s="110">
        <f t="shared" si="1"/>
        <v>0</v>
      </c>
      <c r="G940" s="56">
        <f>IFERROR(GETPIVOTDATA("Exame",'Dashboard-Dados'!$J$1,$A$1,A940,$B$1,B940),0)</f>
        <v>0</v>
      </c>
      <c r="H940" s="56">
        <f t="shared" si="2"/>
        <v>940</v>
      </c>
      <c r="U940" s="56"/>
      <c r="V940" s="56"/>
      <c r="W940" s="56"/>
      <c r="Y940" s="138"/>
    </row>
    <row r="941">
      <c r="A941" s="56"/>
      <c r="B941" s="56"/>
      <c r="C941" s="108" t="str">
        <f>IFNA(VLOOKUP('Dashboard-Dados'!B941,'Dashboard-Dados'!$Y$2:$AA$13,2),"")</f>
        <v/>
      </c>
      <c r="D941" s="109">
        <f>IFERROR(GETPIVOTDATA("Valor Recebido",'Dashboard-Dados'!$J$1,$A$1,A941,$B$1,B941),0)</f>
        <v>0</v>
      </c>
      <c r="E941" s="110">
        <f>IFERROR(GETPIVOTDATA("Valor Despesa",'Dashboard-Dados'!$P$1,$A$1,A941,$B$1,B941),0)</f>
        <v>0</v>
      </c>
      <c r="F941" s="110">
        <f t="shared" si="1"/>
        <v>0</v>
      </c>
      <c r="G941" s="56">
        <f>IFERROR(GETPIVOTDATA("Exame",'Dashboard-Dados'!$J$1,$A$1,A941,$B$1,B941),0)</f>
        <v>0</v>
      </c>
      <c r="H941" s="56">
        <f t="shared" si="2"/>
        <v>941</v>
      </c>
      <c r="U941" s="56"/>
      <c r="V941" s="56"/>
      <c r="W941" s="56"/>
      <c r="Y941" s="138"/>
    </row>
    <row r="942">
      <c r="A942" s="56"/>
      <c r="B942" s="56"/>
      <c r="C942" s="108" t="str">
        <f>IFNA(VLOOKUP('Dashboard-Dados'!B942,'Dashboard-Dados'!$Y$2:$AA$13,2),"")</f>
        <v/>
      </c>
      <c r="D942" s="109">
        <f>IFERROR(GETPIVOTDATA("Valor Recebido",'Dashboard-Dados'!$J$1,$A$1,A942,$B$1,B942),0)</f>
        <v>0</v>
      </c>
      <c r="E942" s="110">
        <f>IFERROR(GETPIVOTDATA("Valor Despesa",'Dashboard-Dados'!$P$1,$A$1,A942,$B$1,B942),0)</f>
        <v>0</v>
      </c>
      <c r="F942" s="110">
        <f t="shared" si="1"/>
        <v>0</v>
      </c>
      <c r="G942" s="56">
        <f>IFERROR(GETPIVOTDATA("Exame",'Dashboard-Dados'!$J$1,$A$1,A942,$B$1,B942),0)</f>
        <v>0</v>
      </c>
      <c r="H942" s="56">
        <f t="shared" si="2"/>
        <v>942</v>
      </c>
      <c r="U942" s="56"/>
      <c r="V942" s="56"/>
      <c r="W942" s="56"/>
      <c r="Y942" s="138"/>
    </row>
    <row r="943">
      <c r="A943" s="56"/>
      <c r="B943" s="56"/>
      <c r="C943" s="108" t="str">
        <f>IFNA(VLOOKUP('Dashboard-Dados'!B943,'Dashboard-Dados'!$Y$2:$AA$13,2),"")</f>
        <v/>
      </c>
      <c r="D943" s="109">
        <f>IFERROR(GETPIVOTDATA("Valor Recebido",'Dashboard-Dados'!$J$1,$A$1,A943,$B$1,B943),0)</f>
        <v>0</v>
      </c>
      <c r="E943" s="110">
        <f>IFERROR(GETPIVOTDATA("Valor Despesa",'Dashboard-Dados'!$P$1,$A$1,A943,$B$1,B943),0)</f>
        <v>0</v>
      </c>
      <c r="F943" s="110">
        <f t="shared" si="1"/>
        <v>0</v>
      </c>
      <c r="G943" s="56">
        <f>IFERROR(GETPIVOTDATA("Exame",'Dashboard-Dados'!$J$1,$A$1,A943,$B$1,B943),0)</f>
        <v>0</v>
      </c>
      <c r="H943" s="56">
        <f t="shared" si="2"/>
        <v>943</v>
      </c>
      <c r="U943" s="56"/>
      <c r="V943" s="56"/>
      <c r="W943" s="56"/>
      <c r="Y943" s="138"/>
    </row>
    <row r="944">
      <c r="A944" s="56"/>
      <c r="B944" s="56"/>
      <c r="C944" s="108" t="str">
        <f>IFNA(VLOOKUP('Dashboard-Dados'!B944,'Dashboard-Dados'!$Y$2:$AA$13,2),"")</f>
        <v/>
      </c>
      <c r="D944" s="109">
        <f>IFERROR(GETPIVOTDATA("Valor Recebido",'Dashboard-Dados'!$J$1,$A$1,A944,$B$1,B944),0)</f>
        <v>0</v>
      </c>
      <c r="E944" s="110">
        <f>IFERROR(GETPIVOTDATA("Valor Despesa",'Dashboard-Dados'!$P$1,$A$1,A944,$B$1,B944),0)</f>
        <v>0</v>
      </c>
      <c r="F944" s="110">
        <f t="shared" si="1"/>
        <v>0</v>
      </c>
      <c r="G944" s="56">
        <f>IFERROR(GETPIVOTDATA("Exame",'Dashboard-Dados'!$J$1,$A$1,A944,$B$1,B944),0)</f>
        <v>0</v>
      </c>
      <c r="H944" s="56">
        <f t="shared" si="2"/>
        <v>944</v>
      </c>
      <c r="U944" s="56"/>
      <c r="V944" s="56"/>
      <c r="W944" s="56"/>
      <c r="Y944" s="138"/>
    </row>
    <row r="945">
      <c r="A945" s="56"/>
      <c r="B945" s="56"/>
      <c r="C945" s="108" t="str">
        <f>IFNA(VLOOKUP('Dashboard-Dados'!B945,'Dashboard-Dados'!$Y$2:$AA$13,2),"")</f>
        <v/>
      </c>
      <c r="D945" s="109">
        <f>IFERROR(GETPIVOTDATA("Valor Recebido",'Dashboard-Dados'!$J$1,$A$1,A945,$B$1,B945),0)</f>
        <v>0</v>
      </c>
      <c r="E945" s="110">
        <f>IFERROR(GETPIVOTDATA("Valor Despesa",'Dashboard-Dados'!$P$1,$A$1,A945,$B$1,B945),0)</f>
        <v>0</v>
      </c>
      <c r="F945" s="110">
        <f t="shared" si="1"/>
        <v>0</v>
      </c>
      <c r="G945" s="56">
        <f>IFERROR(GETPIVOTDATA("Exame",'Dashboard-Dados'!$J$1,$A$1,A945,$B$1,B945),0)</f>
        <v>0</v>
      </c>
      <c r="H945" s="56">
        <f t="shared" si="2"/>
        <v>945</v>
      </c>
      <c r="U945" s="56"/>
      <c r="V945" s="56"/>
      <c r="W945" s="56"/>
      <c r="Y945" s="138"/>
    </row>
    <row r="946">
      <c r="A946" s="56"/>
      <c r="B946" s="56"/>
      <c r="C946" s="108" t="str">
        <f>IFNA(VLOOKUP('Dashboard-Dados'!B946,'Dashboard-Dados'!$Y$2:$AA$13,2),"")</f>
        <v/>
      </c>
      <c r="D946" s="109">
        <f>IFERROR(GETPIVOTDATA("Valor Recebido",'Dashboard-Dados'!$J$1,$A$1,A946,$B$1,B946),0)</f>
        <v>0</v>
      </c>
      <c r="E946" s="110">
        <f>IFERROR(GETPIVOTDATA("Valor Despesa",'Dashboard-Dados'!$P$1,$A$1,A946,$B$1,B946),0)</f>
        <v>0</v>
      </c>
      <c r="F946" s="110">
        <f t="shared" si="1"/>
        <v>0</v>
      </c>
      <c r="G946" s="56">
        <f>IFERROR(GETPIVOTDATA("Exame",'Dashboard-Dados'!$J$1,$A$1,A946,$B$1,B946),0)</f>
        <v>0</v>
      </c>
      <c r="H946" s="56">
        <f t="shared" si="2"/>
        <v>946</v>
      </c>
      <c r="U946" s="56"/>
      <c r="V946" s="56"/>
      <c r="W946" s="56"/>
      <c r="Y946" s="138"/>
    </row>
    <row r="947">
      <c r="A947" s="56"/>
      <c r="B947" s="56"/>
      <c r="C947" s="108" t="str">
        <f>IFNA(VLOOKUP('Dashboard-Dados'!B947,'Dashboard-Dados'!$Y$2:$AA$13,2),"")</f>
        <v/>
      </c>
      <c r="D947" s="109">
        <f>IFERROR(GETPIVOTDATA("Valor Recebido",'Dashboard-Dados'!$J$1,$A$1,A947,$B$1,B947),0)</f>
        <v>0</v>
      </c>
      <c r="E947" s="110">
        <f>IFERROR(GETPIVOTDATA("Valor Despesa",'Dashboard-Dados'!$P$1,$A$1,A947,$B$1,B947),0)</f>
        <v>0</v>
      </c>
      <c r="F947" s="110">
        <f t="shared" si="1"/>
        <v>0</v>
      </c>
      <c r="G947" s="56">
        <f>IFERROR(GETPIVOTDATA("Exame",'Dashboard-Dados'!$J$1,$A$1,A947,$B$1,B947),0)</f>
        <v>0</v>
      </c>
      <c r="H947" s="56">
        <f t="shared" si="2"/>
        <v>947</v>
      </c>
      <c r="U947" s="56"/>
      <c r="V947" s="56"/>
      <c r="W947" s="56"/>
      <c r="Y947" s="138"/>
    </row>
    <row r="948">
      <c r="A948" s="56"/>
      <c r="B948" s="56"/>
      <c r="C948" s="108" t="str">
        <f>IFNA(VLOOKUP('Dashboard-Dados'!B948,'Dashboard-Dados'!$Y$2:$AA$13,2),"")</f>
        <v/>
      </c>
      <c r="D948" s="109">
        <f>IFERROR(GETPIVOTDATA("Valor Recebido",'Dashboard-Dados'!$J$1,$A$1,A948,$B$1,B948),0)</f>
        <v>0</v>
      </c>
      <c r="E948" s="110">
        <f>IFERROR(GETPIVOTDATA("Valor Despesa",'Dashboard-Dados'!$P$1,$A$1,A948,$B$1,B948),0)</f>
        <v>0</v>
      </c>
      <c r="F948" s="110">
        <f t="shared" si="1"/>
        <v>0</v>
      </c>
      <c r="G948" s="56">
        <f>IFERROR(GETPIVOTDATA("Exame",'Dashboard-Dados'!$J$1,$A$1,A948,$B$1,B948),0)</f>
        <v>0</v>
      </c>
      <c r="H948" s="56">
        <f t="shared" si="2"/>
        <v>948</v>
      </c>
      <c r="U948" s="56"/>
      <c r="V948" s="56"/>
      <c r="W948" s="56"/>
      <c r="Y948" s="138"/>
    </row>
    <row r="949">
      <c r="A949" s="56"/>
      <c r="B949" s="56"/>
      <c r="C949" s="108" t="str">
        <f>IFNA(VLOOKUP('Dashboard-Dados'!B949,'Dashboard-Dados'!$Y$2:$AA$13,2),"")</f>
        <v/>
      </c>
      <c r="D949" s="109">
        <f>IFERROR(GETPIVOTDATA("Valor Recebido",'Dashboard-Dados'!$J$1,$A$1,A949,$B$1,B949),0)</f>
        <v>0</v>
      </c>
      <c r="E949" s="110">
        <f>IFERROR(GETPIVOTDATA("Valor Despesa",'Dashboard-Dados'!$P$1,$A$1,A949,$B$1,B949),0)</f>
        <v>0</v>
      </c>
      <c r="F949" s="110">
        <f t="shared" si="1"/>
        <v>0</v>
      </c>
      <c r="G949" s="56">
        <f>IFERROR(GETPIVOTDATA("Exame",'Dashboard-Dados'!$J$1,$A$1,A949,$B$1,B949),0)</f>
        <v>0</v>
      </c>
      <c r="H949" s="56">
        <f t="shared" si="2"/>
        <v>949</v>
      </c>
      <c r="U949" s="56"/>
      <c r="V949" s="56"/>
      <c r="W949" s="56"/>
      <c r="Y949" s="138"/>
    </row>
    <row r="950">
      <c r="A950" s="56"/>
      <c r="B950" s="56"/>
      <c r="C950" s="108" t="str">
        <f>IFNA(VLOOKUP('Dashboard-Dados'!B950,'Dashboard-Dados'!$Y$2:$AA$13,2),"")</f>
        <v/>
      </c>
      <c r="D950" s="109">
        <f>IFERROR(GETPIVOTDATA("Valor Recebido",'Dashboard-Dados'!$J$1,$A$1,A950,$B$1,B950),0)</f>
        <v>0</v>
      </c>
      <c r="E950" s="110">
        <f>IFERROR(GETPIVOTDATA("Valor Despesa",'Dashboard-Dados'!$P$1,$A$1,A950,$B$1,B950),0)</f>
        <v>0</v>
      </c>
      <c r="F950" s="110">
        <f t="shared" si="1"/>
        <v>0</v>
      </c>
      <c r="G950" s="56">
        <f>IFERROR(GETPIVOTDATA("Exame",'Dashboard-Dados'!$J$1,$A$1,A950,$B$1,B950),0)</f>
        <v>0</v>
      </c>
      <c r="H950" s="56">
        <f t="shared" si="2"/>
        <v>950</v>
      </c>
      <c r="U950" s="56"/>
      <c r="V950" s="56"/>
      <c r="W950" s="56"/>
      <c r="Y950" s="138"/>
    </row>
    <row r="951">
      <c r="A951" s="56"/>
      <c r="B951" s="56"/>
      <c r="C951" s="108" t="str">
        <f>IFNA(VLOOKUP('Dashboard-Dados'!B951,'Dashboard-Dados'!$Y$2:$AA$13,2),"")</f>
        <v/>
      </c>
      <c r="D951" s="109">
        <f>IFERROR(GETPIVOTDATA("Valor Recebido",'Dashboard-Dados'!$J$1,$A$1,A951,$B$1,B951),0)</f>
        <v>0</v>
      </c>
      <c r="E951" s="110">
        <f>IFERROR(GETPIVOTDATA("Valor Despesa",'Dashboard-Dados'!$P$1,$A$1,A951,$B$1,B951),0)</f>
        <v>0</v>
      </c>
      <c r="F951" s="110">
        <f t="shared" si="1"/>
        <v>0</v>
      </c>
      <c r="G951" s="56">
        <f>IFERROR(GETPIVOTDATA("Exame",'Dashboard-Dados'!$J$1,$A$1,A951,$B$1,B951),0)</f>
        <v>0</v>
      </c>
      <c r="H951" s="56">
        <f t="shared" si="2"/>
        <v>951</v>
      </c>
      <c r="U951" s="56"/>
      <c r="V951" s="56"/>
      <c r="W951" s="56"/>
      <c r="Y951" s="138"/>
    </row>
    <row r="952">
      <c r="A952" s="56"/>
      <c r="B952" s="56"/>
      <c r="C952" s="108" t="str">
        <f>IFNA(VLOOKUP('Dashboard-Dados'!B952,'Dashboard-Dados'!$Y$2:$AA$13,2),"")</f>
        <v/>
      </c>
      <c r="D952" s="109">
        <f>IFERROR(GETPIVOTDATA("Valor Recebido",'Dashboard-Dados'!$J$1,$A$1,A952,$B$1,B952),0)</f>
        <v>0</v>
      </c>
      <c r="E952" s="110">
        <f>IFERROR(GETPIVOTDATA("Valor Despesa",'Dashboard-Dados'!$P$1,$A$1,A952,$B$1,B952),0)</f>
        <v>0</v>
      </c>
      <c r="F952" s="110">
        <f t="shared" si="1"/>
        <v>0</v>
      </c>
      <c r="G952" s="56">
        <f>IFERROR(GETPIVOTDATA("Exame",'Dashboard-Dados'!$J$1,$A$1,A952,$B$1,B952),0)</f>
        <v>0</v>
      </c>
      <c r="H952" s="56">
        <f t="shared" si="2"/>
        <v>952</v>
      </c>
      <c r="U952" s="56"/>
      <c r="V952" s="56"/>
      <c r="W952" s="56"/>
      <c r="Y952" s="138"/>
    </row>
    <row r="953">
      <c r="A953" s="56"/>
      <c r="B953" s="56"/>
      <c r="C953" s="108" t="str">
        <f>IFNA(VLOOKUP('Dashboard-Dados'!B953,'Dashboard-Dados'!$Y$2:$AA$13,2),"")</f>
        <v/>
      </c>
      <c r="D953" s="109">
        <f>IFERROR(GETPIVOTDATA("Valor Recebido",'Dashboard-Dados'!$J$1,$A$1,A953,$B$1,B953),0)</f>
        <v>0</v>
      </c>
      <c r="E953" s="110">
        <f>IFERROR(GETPIVOTDATA("Valor Despesa",'Dashboard-Dados'!$P$1,$A$1,A953,$B$1,B953),0)</f>
        <v>0</v>
      </c>
      <c r="F953" s="110">
        <f t="shared" si="1"/>
        <v>0</v>
      </c>
      <c r="G953" s="56">
        <f>IFERROR(GETPIVOTDATA("Exame",'Dashboard-Dados'!$J$1,$A$1,A953,$B$1,B953),0)</f>
        <v>0</v>
      </c>
      <c r="H953" s="56">
        <f t="shared" si="2"/>
        <v>953</v>
      </c>
      <c r="U953" s="56"/>
      <c r="V953" s="56"/>
      <c r="W953" s="56"/>
      <c r="Y953" s="138"/>
    </row>
    <row r="954">
      <c r="A954" s="56"/>
      <c r="B954" s="56"/>
      <c r="C954" s="108" t="str">
        <f>IFNA(VLOOKUP('Dashboard-Dados'!B954,'Dashboard-Dados'!$Y$2:$AA$13,2),"")</f>
        <v/>
      </c>
      <c r="D954" s="109">
        <f>IFERROR(GETPIVOTDATA("Valor Recebido",'Dashboard-Dados'!$J$1,$A$1,A954,$B$1,B954),0)</f>
        <v>0</v>
      </c>
      <c r="E954" s="110">
        <f>IFERROR(GETPIVOTDATA("Valor Despesa",'Dashboard-Dados'!$P$1,$A$1,A954,$B$1,B954),0)</f>
        <v>0</v>
      </c>
      <c r="F954" s="110">
        <f t="shared" si="1"/>
        <v>0</v>
      </c>
      <c r="G954" s="56">
        <f>IFERROR(GETPIVOTDATA("Exame",'Dashboard-Dados'!$J$1,$A$1,A954,$B$1,B954),0)</f>
        <v>0</v>
      </c>
      <c r="H954" s="56">
        <f t="shared" si="2"/>
        <v>954</v>
      </c>
      <c r="U954" s="56"/>
      <c r="V954" s="56"/>
      <c r="W954" s="56"/>
      <c r="Y954" s="138"/>
    </row>
    <row r="955">
      <c r="A955" s="56"/>
      <c r="B955" s="56"/>
      <c r="C955" s="108" t="str">
        <f>IFNA(VLOOKUP('Dashboard-Dados'!B955,'Dashboard-Dados'!$Y$2:$AA$13,2),"")</f>
        <v/>
      </c>
      <c r="D955" s="109">
        <f>IFERROR(GETPIVOTDATA("Valor Recebido",'Dashboard-Dados'!$J$1,$A$1,A955,$B$1,B955),0)</f>
        <v>0</v>
      </c>
      <c r="E955" s="110">
        <f>IFERROR(GETPIVOTDATA("Valor Despesa",'Dashboard-Dados'!$P$1,$A$1,A955,$B$1,B955),0)</f>
        <v>0</v>
      </c>
      <c r="F955" s="110">
        <f t="shared" si="1"/>
        <v>0</v>
      </c>
      <c r="G955" s="56">
        <f>IFERROR(GETPIVOTDATA("Exame",'Dashboard-Dados'!$J$1,$A$1,A955,$B$1,B955),0)</f>
        <v>0</v>
      </c>
      <c r="H955" s="56">
        <f t="shared" si="2"/>
        <v>955</v>
      </c>
      <c r="U955" s="56"/>
      <c r="V955" s="56"/>
      <c r="W955" s="56"/>
      <c r="Y955" s="138"/>
    </row>
    <row r="956">
      <c r="A956" s="56"/>
      <c r="B956" s="56"/>
      <c r="C956" s="108" t="str">
        <f>IFNA(VLOOKUP('Dashboard-Dados'!B956,'Dashboard-Dados'!$Y$2:$AA$13,2),"")</f>
        <v/>
      </c>
      <c r="D956" s="109">
        <f>IFERROR(GETPIVOTDATA("Valor Recebido",'Dashboard-Dados'!$J$1,$A$1,A956,$B$1,B956),0)</f>
        <v>0</v>
      </c>
      <c r="E956" s="110">
        <f>IFERROR(GETPIVOTDATA("Valor Despesa",'Dashboard-Dados'!$P$1,$A$1,A956,$B$1,B956),0)</f>
        <v>0</v>
      </c>
      <c r="F956" s="110">
        <f t="shared" si="1"/>
        <v>0</v>
      </c>
      <c r="G956" s="56">
        <f>IFERROR(GETPIVOTDATA("Exame",'Dashboard-Dados'!$J$1,$A$1,A956,$B$1,B956),0)</f>
        <v>0</v>
      </c>
      <c r="H956" s="56">
        <f t="shared" si="2"/>
        <v>956</v>
      </c>
      <c r="U956" s="56"/>
      <c r="V956" s="56"/>
      <c r="W956" s="56"/>
      <c r="Y956" s="138"/>
    </row>
    <row r="957">
      <c r="A957" s="56"/>
      <c r="B957" s="56"/>
      <c r="C957" s="108" t="str">
        <f>IFNA(VLOOKUP('Dashboard-Dados'!B957,'Dashboard-Dados'!$Y$2:$AA$13,2),"")</f>
        <v/>
      </c>
      <c r="D957" s="109">
        <f>IFERROR(GETPIVOTDATA("Valor Recebido",'Dashboard-Dados'!$J$1,$A$1,A957,$B$1,B957),0)</f>
        <v>0</v>
      </c>
      <c r="E957" s="110">
        <f>IFERROR(GETPIVOTDATA("Valor Despesa",'Dashboard-Dados'!$P$1,$A$1,A957,$B$1,B957),0)</f>
        <v>0</v>
      </c>
      <c r="F957" s="110">
        <f t="shared" si="1"/>
        <v>0</v>
      </c>
      <c r="G957" s="56">
        <f>IFERROR(GETPIVOTDATA("Exame",'Dashboard-Dados'!$J$1,$A$1,A957,$B$1,B957),0)</f>
        <v>0</v>
      </c>
      <c r="H957" s="56">
        <f t="shared" si="2"/>
        <v>957</v>
      </c>
      <c r="U957" s="56"/>
      <c r="V957" s="56"/>
      <c r="W957" s="56"/>
      <c r="Y957" s="138"/>
    </row>
    <row r="958">
      <c r="A958" s="56"/>
      <c r="B958" s="56"/>
      <c r="C958" s="108" t="str">
        <f>IFNA(VLOOKUP('Dashboard-Dados'!B958,'Dashboard-Dados'!$Y$2:$AA$13,2),"")</f>
        <v/>
      </c>
      <c r="D958" s="109">
        <f>IFERROR(GETPIVOTDATA("Valor Recebido",'Dashboard-Dados'!$J$1,$A$1,A958,$B$1,B958),0)</f>
        <v>0</v>
      </c>
      <c r="E958" s="110">
        <f>IFERROR(GETPIVOTDATA("Valor Despesa",'Dashboard-Dados'!$P$1,$A$1,A958,$B$1,B958),0)</f>
        <v>0</v>
      </c>
      <c r="F958" s="110">
        <f t="shared" si="1"/>
        <v>0</v>
      </c>
      <c r="G958" s="56">
        <f>IFERROR(GETPIVOTDATA("Exame",'Dashboard-Dados'!$J$1,$A$1,A958,$B$1,B958),0)</f>
        <v>0</v>
      </c>
      <c r="H958" s="56">
        <f t="shared" si="2"/>
        <v>958</v>
      </c>
      <c r="U958" s="56"/>
      <c r="V958" s="56"/>
      <c r="W958" s="56"/>
      <c r="Y958" s="138"/>
    </row>
    <row r="959">
      <c r="A959" s="56"/>
      <c r="B959" s="56"/>
      <c r="C959" s="108" t="str">
        <f>IFNA(VLOOKUP('Dashboard-Dados'!B959,'Dashboard-Dados'!$Y$2:$AA$13,2),"")</f>
        <v/>
      </c>
      <c r="D959" s="109">
        <f>IFERROR(GETPIVOTDATA("Valor Recebido",'Dashboard-Dados'!$J$1,$A$1,A959,$B$1,B959),0)</f>
        <v>0</v>
      </c>
      <c r="E959" s="110">
        <f>IFERROR(GETPIVOTDATA("Valor Despesa",'Dashboard-Dados'!$P$1,$A$1,A959,$B$1,B959),0)</f>
        <v>0</v>
      </c>
      <c r="F959" s="110">
        <f t="shared" si="1"/>
        <v>0</v>
      </c>
      <c r="G959" s="56">
        <f>IFERROR(GETPIVOTDATA("Exame",'Dashboard-Dados'!$J$1,$A$1,A959,$B$1,B959),0)</f>
        <v>0</v>
      </c>
      <c r="H959" s="56">
        <f t="shared" si="2"/>
        <v>959</v>
      </c>
      <c r="U959" s="56"/>
      <c r="V959" s="56"/>
      <c r="W959" s="56"/>
      <c r="Y959" s="138"/>
    </row>
    <row r="960">
      <c r="A960" s="56"/>
      <c r="B960" s="56"/>
      <c r="C960" s="108" t="str">
        <f>IFNA(VLOOKUP('Dashboard-Dados'!B960,'Dashboard-Dados'!$Y$2:$AA$13,2),"")</f>
        <v/>
      </c>
      <c r="D960" s="109">
        <f>IFERROR(GETPIVOTDATA("Valor Recebido",'Dashboard-Dados'!$J$1,$A$1,A960,$B$1,B960),0)</f>
        <v>0</v>
      </c>
      <c r="E960" s="110">
        <f>IFERROR(GETPIVOTDATA("Valor Despesa",'Dashboard-Dados'!$P$1,$A$1,A960,$B$1,B960),0)</f>
        <v>0</v>
      </c>
      <c r="F960" s="110">
        <f t="shared" si="1"/>
        <v>0</v>
      </c>
      <c r="G960" s="56">
        <f>IFERROR(GETPIVOTDATA("Exame",'Dashboard-Dados'!$J$1,$A$1,A960,$B$1,B960),0)</f>
        <v>0</v>
      </c>
      <c r="H960" s="56">
        <f t="shared" si="2"/>
        <v>960</v>
      </c>
      <c r="U960" s="56"/>
      <c r="V960" s="56"/>
      <c r="W960" s="56"/>
      <c r="Y960" s="138"/>
    </row>
    <row r="961">
      <c r="A961" s="56"/>
      <c r="B961" s="56"/>
      <c r="C961" s="108" t="str">
        <f>IFNA(VLOOKUP('Dashboard-Dados'!B961,'Dashboard-Dados'!$Y$2:$AA$13,2),"")</f>
        <v/>
      </c>
      <c r="D961" s="109">
        <f>IFERROR(GETPIVOTDATA("Valor Recebido",'Dashboard-Dados'!$J$1,$A$1,A961,$B$1,B961),0)</f>
        <v>0</v>
      </c>
      <c r="E961" s="110">
        <f>IFERROR(GETPIVOTDATA("Valor Despesa",'Dashboard-Dados'!$P$1,$A$1,A961,$B$1,B961),0)</f>
        <v>0</v>
      </c>
      <c r="F961" s="110">
        <f t="shared" si="1"/>
        <v>0</v>
      </c>
      <c r="G961" s="56">
        <f>IFERROR(GETPIVOTDATA("Exame",'Dashboard-Dados'!$J$1,$A$1,A961,$B$1,B961),0)</f>
        <v>0</v>
      </c>
      <c r="H961" s="56">
        <f t="shared" si="2"/>
        <v>961</v>
      </c>
      <c r="U961" s="56"/>
      <c r="V961" s="56"/>
      <c r="W961" s="56"/>
      <c r="Y961" s="138"/>
    </row>
    <row r="962">
      <c r="A962" s="56"/>
      <c r="B962" s="56"/>
      <c r="C962" s="108" t="str">
        <f>IFNA(VLOOKUP('Dashboard-Dados'!B962,'Dashboard-Dados'!$Y$2:$AA$13,2),"")</f>
        <v/>
      </c>
      <c r="D962" s="109">
        <f>IFERROR(GETPIVOTDATA("Valor Recebido",'Dashboard-Dados'!$J$1,$A$1,A962,$B$1,B962),0)</f>
        <v>0</v>
      </c>
      <c r="E962" s="110">
        <f>IFERROR(GETPIVOTDATA("Valor Despesa",'Dashboard-Dados'!$P$1,$A$1,A962,$B$1,B962),0)</f>
        <v>0</v>
      </c>
      <c r="F962" s="110">
        <f t="shared" si="1"/>
        <v>0</v>
      </c>
      <c r="G962" s="56">
        <f>IFERROR(GETPIVOTDATA("Exame",'Dashboard-Dados'!$J$1,$A$1,A962,$B$1,B962),0)</f>
        <v>0</v>
      </c>
      <c r="H962" s="56">
        <f t="shared" si="2"/>
        <v>962</v>
      </c>
      <c r="U962" s="56"/>
      <c r="V962" s="56"/>
      <c r="W962" s="56"/>
      <c r="Y962" s="138"/>
    </row>
    <row r="963">
      <c r="A963" s="56"/>
      <c r="B963" s="56"/>
      <c r="C963" s="108" t="str">
        <f>IFNA(VLOOKUP('Dashboard-Dados'!B963,'Dashboard-Dados'!$Y$2:$AA$13,2),"")</f>
        <v/>
      </c>
      <c r="D963" s="109">
        <f>IFERROR(GETPIVOTDATA("Valor Recebido",'Dashboard-Dados'!$J$1,$A$1,A963,$B$1,B963),0)</f>
        <v>0</v>
      </c>
      <c r="E963" s="110">
        <f>IFERROR(GETPIVOTDATA("Valor Despesa",'Dashboard-Dados'!$P$1,$A$1,A963,$B$1,B963),0)</f>
        <v>0</v>
      </c>
      <c r="F963" s="110">
        <f t="shared" si="1"/>
        <v>0</v>
      </c>
      <c r="G963" s="56">
        <f>IFERROR(GETPIVOTDATA("Exame",'Dashboard-Dados'!$J$1,$A$1,A963,$B$1,B963),0)</f>
        <v>0</v>
      </c>
      <c r="H963" s="56">
        <f t="shared" si="2"/>
        <v>963</v>
      </c>
      <c r="U963" s="56"/>
      <c r="V963" s="56"/>
      <c r="W963" s="56"/>
      <c r="Y963" s="138"/>
    </row>
    <row r="964">
      <c r="A964" s="56"/>
      <c r="B964" s="56"/>
      <c r="C964" s="108" t="str">
        <f>IFNA(VLOOKUP('Dashboard-Dados'!B964,'Dashboard-Dados'!$Y$2:$AA$13,2),"")</f>
        <v/>
      </c>
      <c r="D964" s="109">
        <f>IFERROR(GETPIVOTDATA("Valor Recebido",'Dashboard-Dados'!$J$1,$A$1,A964,$B$1,B964),0)</f>
        <v>0</v>
      </c>
      <c r="E964" s="110">
        <f>IFERROR(GETPIVOTDATA("Valor Despesa",'Dashboard-Dados'!$P$1,$A$1,A964,$B$1,B964),0)</f>
        <v>0</v>
      </c>
      <c r="F964" s="110">
        <f t="shared" si="1"/>
        <v>0</v>
      </c>
      <c r="G964" s="56">
        <f>IFERROR(GETPIVOTDATA("Exame",'Dashboard-Dados'!$J$1,$A$1,A964,$B$1,B964),0)</f>
        <v>0</v>
      </c>
      <c r="H964" s="56">
        <f t="shared" si="2"/>
        <v>964</v>
      </c>
      <c r="U964" s="56"/>
      <c r="V964" s="56"/>
      <c r="W964" s="56"/>
      <c r="Y964" s="138"/>
    </row>
    <row r="965">
      <c r="A965" s="56"/>
      <c r="B965" s="56"/>
      <c r="C965" s="108" t="str">
        <f>IFNA(VLOOKUP('Dashboard-Dados'!B965,'Dashboard-Dados'!$Y$2:$AA$13,2),"")</f>
        <v/>
      </c>
      <c r="D965" s="109">
        <f>IFERROR(GETPIVOTDATA("Valor Recebido",'Dashboard-Dados'!$J$1,$A$1,A965,$B$1,B965),0)</f>
        <v>0</v>
      </c>
      <c r="E965" s="110">
        <f>IFERROR(GETPIVOTDATA("Valor Despesa",'Dashboard-Dados'!$P$1,$A$1,A965,$B$1,B965),0)</f>
        <v>0</v>
      </c>
      <c r="F965" s="110">
        <f t="shared" si="1"/>
        <v>0</v>
      </c>
      <c r="G965" s="56">
        <f>IFERROR(GETPIVOTDATA("Exame",'Dashboard-Dados'!$J$1,$A$1,A965,$B$1,B965),0)</f>
        <v>0</v>
      </c>
      <c r="H965" s="56">
        <f t="shared" si="2"/>
        <v>965</v>
      </c>
      <c r="U965" s="56"/>
      <c r="V965" s="56"/>
      <c r="W965" s="56"/>
      <c r="Y965" s="138"/>
    </row>
    <row r="966">
      <c r="A966" s="56"/>
      <c r="B966" s="56"/>
      <c r="C966" s="108" t="str">
        <f>IFNA(VLOOKUP('Dashboard-Dados'!B966,'Dashboard-Dados'!$Y$2:$AA$13,2),"")</f>
        <v/>
      </c>
      <c r="D966" s="109">
        <f>IFERROR(GETPIVOTDATA("Valor Recebido",'Dashboard-Dados'!$J$1,$A$1,A966,$B$1,B966),0)</f>
        <v>0</v>
      </c>
      <c r="E966" s="110">
        <f>IFERROR(GETPIVOTDATA("Valor Despesa",'Dashboard-Dados'!$P$1,$A$1,A966,$B$1,B966),0)</f>
        <v>0</v>
      </c>
      <c r="F966" s="110">
        <f t="shared" si="1"/>
        <v>0</v>
      </c>
      <c r="G966" s="56">
        <f>IFERROR(GETPIVOTDATA("Exame",'Dashboard-Dados'!$J$1,$A$1,A966,$B$1,B966),0)</f>
        <v>0</v>
      </c>
      <c r="H966" s="56">
        <f t="shared" si="2"/>
        <v>966</v>
      </c>
      <c r="U966" s="56"/>
      <c r="V966" s="56"/>
      <c r="W966" s="56"/>
      <c r="Y966" s="138"/>
    </row>
    <row r="967">
      <c r="A967" s="56"/>
      <c r="B967" s="56"/>
      <c r="C967" s="108" t="str">
        <f>IFNA(VLOOKUP('Dashboard-Dados'!B967,'Dashboard-Dados'!$Y$2:$AA$13,2),"")</f>
        <v/>
      </c>
      <c r="D967" s="109">
        <f>IFERROR(GETPIVOTDATA("Valor Recebido",'Dashboard-Dados'!$J$1,$A$1,A967,$B$1,B967),0)</f>
        <v>0</v>
      </c>
      <c r="E967" s="110">
        <f>IFERROR(GETPIVOTDATA("Valor Despesa",'Dashboard-Dados'!$P$1,$A$1,A967,$B$1,B967),0)</f>
        <v>0</v>
      </c>
      <c r="F967" s="110">
        <f t="shared" si="1"/>
        <v>0</v>
      </c>
      <c r="G967" s="56">
        <f>IFERROR(GETPIVOTDATA("Exame",'Dashboard-Dados'!$J$1,$A$1,A967,$B$1,B967),0)</f>
        <v>0</v>
      </c>
      <c r="H967" s="56">
        <f t="shared" si="2"/>
        <v>967</v>
      </c>
      <c r="U967" s="56"/>
      <c r="V967" s="56"/>
      <c r="W967" s="56"/>
      <c r="Y967" s="138"/>
    </row>
    <row r="968">
      <c r="A968" s="56"/>
      <c r="B968" s="56"/>
      <c r="C968" s="108" t="str">
        <f>IFNA(VLOOKUP('Dashboard-Dados'!B968,'Dashboard-Dados'!$Y$2:$AA$13,2),"")</f>
        <v/>
      </c>
      <c r="D968" s="109">
        <f>IFERROR(GETPIVOTDATA("Valor Recebido",'Dashboard-Dados'!$J$1,$A$1,A968,$B$1,B968),0)</f>
        <v>0</v>
      </c>
      <c r="E968" s="110">
        <f>IFERROR(GETPIVOTDATA("Valor Despesa",'Dashboard-Dados'!$P$1,$A$1,A968,$B$1,B968),0)</f>
        <v>0</v>
      </c>
      <c r="F968" s="110">
        <f t="shared" si="1"/>
        <v>0</v>
      </c>
      <c r="G968" s="56">
        <f>IFERROR(GETPIVOTDATA("Exame",'Dashboard-Dados'!$J$1,$A$1,A968,$B$1,B968),0)</f>
        <v>0</v>
      </c>
      <c r="H968" s="56">
        <f t="shared" si="2"/>
        <v>968</v>
      </c>
      <c r="U968" s="56"/>
      <c r="V968" s="56"/>
      <c r="W968" s="56"/>
      <c r="Y968" s="138"/>
    </row>
    <row r="969">
      <c r="A969" s="56"/>
      <c r="B969" s="56"/>
      <c r="C969" s="108" t="str">
        <f>IFNA(VLOOKUP('Dashboard-Dados'!B969,'Dashboard-Dados'!$Y$2:$AA$13,2),"")</f>
        <v/>
      </c>
      <c r="D969" s="109">
        <f>IFERROR(GETPIVOTDATA("Valor Recebido",'Dashboard-Dados'!$J$1,$A$1,A969,$B$1,B969),0)</f>
        <v>0</v>
      </c>
      <c r="E969" s="110">
        <f>IFERROR(GETPIVOTDATA("Valor Despesa",'Dashboard-Dados'!$P$1,$A$1,A969,$B$1,B969),0)</f>
        <v>0</v>
      </c>
      <c r="F969" s="110">
        <f t="shared" si="1"/>
        <v>0</v>
      </c>
      <c r="G969" s="56">
        <f>IFERROR(GETPIVOTDATA("Exame",'Dashboard-Dados'!$J$1,$A$1,A969,$B$1,B969),0)</f>
        <v>0</v>
      </c>
      <c r="H969" s="56">
        <f t="shared" si="2"/>
        <v>969</v>
      </c>
      <c r="U969" s="56"/>
      <c r="V969" s="56"/>
      <c r="W969" s="56"/>
      <c r="Y969" s="138"/>
    </row>
    <row r="970">
      <c r="A970" s="56"/>
      <c r="B970" s="56"/>
      <c r="C970" s="108" t="str">
        <f>IFNA(VLOOKUP('Dashboard-Dados'!B970,'Dashboard-Dados'!$Y$2:$AA$13,2),"")</f>
        <v/>
      </c>
      <c r="D970" s="109">
        <f>IFERROR(GETPIVOTDATA("Valor Recebido",'Dashboard-Dados'!$J$1,$A$1,A970,$B$1,B970),0)</f>
        <v>0</v>
      </c>
      <c r="E970" s="110">
        <f>IFERROR(GETPIVOTDATA("Valor Despesa",'Dashboard-Dados'!$P$1,$A$1,A970,$B$1,B970),0)</f>
        <v>0</v>
      </c>
      <c r="F970" s="110">
        <f t="shared" si="1"/>
        <v>0</v>
      </c>
      <c r="G970" s="56">
        <f>IFERROR(GETPIVOTDATA("Exame",'Dashboard-Dados'!$J$1,$A$1,A970,$B$1,B970),0)</f>
        <v>0</v>
      </c>
      <c r="H970" s="56">
        <f t="shared" si="2"/>
        <v>970</v>
      </c>
      <c r="U970" s="56"/>
      <c r="V970" s="56"/>
      <c r="W970" s="56"/>
      <c r="Y970" s="138"/>
    </row>
    <row r="971">
      <c r="A971" s="56"/>
      <c r="B971" s="56"/>
      <c r="C971" s="108" t="str">
        <f>IFNA(VLOOKUP('Dashboard-Dados'!B971,'Dashboard-Dados'!$Y$2:$AA$13,2),"")</f>
        <v/>
      </c>
      <c r="D971" s="109">
        <f>IFERROR(GETPIVOTDATA("Valor Recebido",'Dashboard-Dados'!$J$1,$A$1,A971,$B$1,B971),0)</f>
        <v>0</v>
      </c>
      <c r="E971" s="110">
        <f>IFERROR(GETPIVOTDATA("Valor Despesa",'Dashboard-Dados'!$P$1,$A$1,A971,$B$1,B971),0)</f>
        <v>0</v>
      </c>
      <c r="F971" s="110">
        <f t="shared" si="1"/>
        <v>0</v>
      </c>
      <c r="G971" s="56">
        <f>IFERROR(GETPIVOTDATA("Exame",'Dashboard-Dados'!$J$1,$A$1,A971,$B$1,B971),0)</f>
        <v>0</v>
      </c>
      <c r="H971" s="56">
        <f t="shared" si="2"/>
        <v>971</v>
      </c>
      <c r="U971" s="56"/>
      <c r="V971" s="56"/>
      <c r="W971" s="56"/>
      <c r="Y971" s="138"/>
    </row>
    <row r="972">
      <c r="A972" s="56"/>
      <c r="B972" s="56"/>
      <c r="C972" s="108" t="str">
        <f>IFNA(VLOOKUP('Dashboard-Dados'!B972,'Dashboard-Dados'!$Y$2:$AA$13,2),"")</f>
        <v/>
      </c>
      <c r="D972" s="109">
        <f>IFERROR(GETPIVOTDATA("Valor Recebido",'Dashboard-Dados'!$J$1,$A$1,A972,$B$1,B972),0)</f>
        <v>0</v>
      </c>
      <c r="E972" s="110">
        <f>IFERROR(GETPIVOTDATA("Valor Despesa",'Dashboard-Dados'!$P$1,$A$1,A972,$B$1,B972),0)</f>
        <v>0</v>
      </c>
      <c r="F972" s="110">
        <f t="shared" si="1"/>
        <v>0</v>
      </c>
      <c r="G972" s="56">
        <f>IFERROR(GETPIVOTDATA("Exame",'Dashboard-Dados'!$J$1,$A$1,A972,$B$1,B972),0)</f>
        <v>0</v>
      </c>
      <c r="H972" s="56">
        <f t="shared" si="2"/>
        <v>972</v>
      </c>
      <c r="U972" s="56"/>
      <c r="V972" s="56"/>
      <c r="W972" s="56"/>
      <c r="Y972" s="138"/>
    </row>
    <row r="973">
      <c r="A973" s="56"/>
      <c r="B973" s="56"/>
      <c r="C973" s="108" t="str">
        <f>IFNA(VLOOKUP('Dashboard-Dados'!B973,'Dashboard-Dados'!$Y$2:$AA$13,2),"")</f>
        <v/>
      </c>
      <c r="D973" s="109">
        <f>IFERROR(GETPIVOTDATA("Valor Recebido",'Dashboard-Dados'!$J$1,$A$1,A973,$B$1,B973),0)</f>
        <v>0</v>
      </c>
      <c r="E973" s="110">
        <f>IFERROR(GETPIVOTDATA("Valor Despesa",'Dashboard-Dados'!$P$1,$A$1,A973,$B$1,B973),0)</f>
        <v>0</v>
      </c>
      <c r="F973" s="110">
        <f t="shared" si="1"/>
        <v>0</v>
      </c>
      <c r="G973" s="56">
        <f>IFERROR(GETPIVOTDATA("Exame",'Dashboard-Dados'!$J$1,$A$1,A973,$B$1,B973),0)</f>
        <v>0</v>
      </c>
      <c r="H973" s="56">
        <f t="shared" si="2"/>
        <v>973</v>
      </c>
      <c r="U973" s="56"/>
      <c r="V973" s="56"/>
      <c r="W973" s="56"/>
      <c r="Y973" s="138"/>
    </row>
    <row r="974">
      <c r="A974" s="56"/>
      <c r="B974" s="56"/>
      <c r="C974" s="108" t="str">
        <f>IFNA(VLOOKUP('Dashboard-Dados'!B974,'Dashboard-Dados'!$Y$2:$AA$13,2),"")</f>
        <v/>
      </c>
      <c r="D974" s="109">
        <f>IFERROR(GETPIVOTDATA("Valor Recebido",'Dashboard-Dados'!$J$1,$A$1,A974,$B$1,B974),0)</f>
        <v>0</v>
      </c>
      <c r="E974" s="110">
        <f>IFERROR(GETPIVOTDATA("Valor Despesa",'Dashboard-Dados'!$P$1,$A$1,A974,$B$1,B974),0)</f>
        <v>0</v>
      </c>
      <c r="F974" s="110">
        <f t="shared" si="1"/>
        <v>0</v>
      </c>
      <c r="G974" s="56">
        <f>IFERROR(GETPIVOTDATA("Exame",'Dashboard-Dados'!$J$1,$A$1,A974,$B$1,B974),0)</f>
        <v>0</v>
      </c>
      <c r="H974" s="56">
        <f t="shared" si="2"/>
        <v>974</v>
      </c>
      <c r="U974" s="56"/>
      <c r="V974" s="56"/>
      <c r="W974" s="56"/>
      <c r="Y974" s="138"/>
    </row>
    <row r="975">
      <c r="A975" s="56"/>
      <c r="B975" s="56"/>
      <c r="C975" s="108" t="str">
        <f>IFNA(VLOOKUP('Dashboard-Dados'!B975,'Dashboard-Dados'!$Y$2:$AA$13,2),"")</f>
        <v/>
      </c>
      <c r="D975" s="109">
        <f>IFERROR(GETPIVOTDATA("Valor Recebido",'Dashboard-Dados'!$J$1,$A$1,A975,$B$1,B975),0)</f>
        <v>0</v>
      </c>
      <c r="E975" s="110">
        <f>IFERROR(GETPIVOTDATA("Valor Despesa",'Dashboard-Dados'!$P$1,$A$1,A975,$B$1,B975),0)</f>
        <v>0</v>
      </c>
      <c r="F975" s="110">
        <f t="shared" si="1"/>
        <v>0</v>
      </c>
      <c r="G975" s="56">
        <f>IFERROR(GETPIVOTDATA("Exame",'Dashboard-Dados'!$J$1,$A$1,A975,$B$1,B975),0)</f>
        <v>0</v>
      </c>
      <c r="H975" s="56">
        <f t="shared" si="2"/>
        <v>975</v>
      </c>
      <c r="U975" s="56"/>
      <c r="V975" s="56"/>
      <c r="W975" s="56"/>
      <c r="Y975" s="138"/>
    </row>
    <row r="976">
      <c r="A976" s="56"/>
      <c r="B976" s="56"/>
      <c r="C976" s="108" t="str">
        <f>IFNA(VLOOKUP('Dashboard-Dados'!B976,'Dashboard-Dados'!$Y$2:$AA$13,2),"")</f>
        <v/>
      </c>
      <c r="D976" s="109">
        <f>IFERROR(GETPIVOTDATA("Valor Recebido",'Dashboard-Dados'!$J$1,$A$1,A976,$B$1,B976),0)</f>
        <v>0</v>
      </c>
      <c r="E976" s="110">
        <f>IFERROR(GETPIVOTDATA("Valor Despesa",'Dashboard-Dados'!$P$1,$A$1,A976,$B$1,B976),0)</f>
        <v>0</v>
      </c>
      <c r="F976" s="110">
        <f t="shared" si="1"/>
        <v>0</v>
      </c>
      <c r="G976" s="56">
        <f>IFERROR(GETPIVOTDATA("Exame",'Dashboard-Dados'!$J$1,$A$1,A976,$B$1,B976),0)</f>
        <v>0</v>
      </c>
      <c r="H976" s="56">
        <f t="shared" si="2"/>
        <v>976</v>
      </c>
      <c r="U976" s="56"/>
      <c r="V976" s="56"/>
      <c r="W976" s="56"/>
      <c r="Y976" s="138"/>
    </row>
    <row r="977">
      <c r="A977" s="56"/>
      <c r="B977" s="56"/>
      <c r="C977" s="108" t="str">
        <f>IFNA(VLOOKUP('Dashboard-Dados'!B977,'Dashboard-Dados'!$Y$2:$AA$13,2),"")</f>
        <v/>
      </c>
      <c r="D977" s="109">
        <f>IFERROR(GETPIVOTDATA("Valor Recebido",'Dashboard-Dados'!$J$1,$A$1,A977,$B$1,B977),0)</f>
        <v>0</v>
      </c>
      <c r="E977" s="110">
        <f>IFERROR(GETPIVOTDATA("Valor Despesa",'Dashboard-Dados'!$P$1,$A$1,A977,$B$1,B977),0)</f>
        <v>0</v>
      </c>
      <c r="F977" s="110">
        <f t="shared" si="1"/>
        <v>0</v>
      </c>
      <c r="G977" s="56">
        <f>IFERROR(GETPIVOTDATA("Exame",'Dashboard-Dados'!$J$1,$A$1,A977,$B$1,B977),0)</f>
        <v>0</v>
      </c>
      <c r="H977" s="56">
        <f t="shared" si="2"/>
        <v>977</v>
      </c>
      <c r="U977" s="56"/>
      <c r="V977" s="56"/>
      <c r="W977" s="56"/>
      <c r="Y977" s="138"/>
    </row>
    <row r="978">
      <c r="A978" s="56"/>
      <c r="B978" s="56"/>
      <c r="C978" s="108" t="str">
        <f>IFNA(VLOOKUP('Dashboard-Dados'!B978,'Dashboard-Dados'!$Y$2:$AA$13,2),"")</f>
        <v/>
      </c>
      <c r="D978" s="109">
        <f>IFERROR(GETPIVOTDATA("Valor Recebido",'Dashboard-Dados'!$J$1,$A$1,A978,$B$1,B978),0)</f>
        <v>0</v>
      </c>
      <c r="E978" s="110">
        <f>IFERROR(GETPIVOTDATA("Valor Despesa",'Dashboard-Dados'!$P$1,$A$1,A978,$B$1,B978),0)</f>
        <v>0</v>
      </c>
      <c r="F978" s="110">
        <f t="shared" si="1"/>
        <v>0</v>
      </c>
      <c r="G978" s="56">
        <f>IFERROR(GETPIVOTDATA("Exame",'Dashboard-Dados'!$J$1,$A$1,A978,$B$1,B978),0)</f>
        <v>0</v>
      </c>
      <c r="H978" s="56">
        <f t="shared" si="2"/>
        <v>978</v>
      </c>
      <c r="U978" s="56"/>
      <c r="V978" s="56"/>
      <c r="W978" s="56"/>
      <c r="Y978" s="138"/>
    </row>
    <row r="979">
      <c r="A979" s="56"/>
      <c r="B979" s="56"/>
      <c r="C979" s="108" t="str">
        <f>IFNA(VLOOKUP('Dashboard-Dados'!B979,'Dashboard-Dados'!$Y$2:$AA$13,2),"")</f>
        <v/>
      </c>
      <c r="D979" s="109">
        <f>IFERROR(GETPIVOTDATA("Valor Recebido",'Dashboard-Dados'!$J$1,$A$1,A979,$B$1,B979),0)</f>
        <v>0</v>
      </c>
      <c r="E979" s="110">
        <f>IFERROR(GETPIVOTDATA("Valor Despesa",'Dashboard-Dados'!$P$1,$A$1,A979,$B$1,B979),0)</f>
        <v>0</v>
      </c>
      <c r="F979" s="110">
        <f t="shared" si="1"/>
        <v>0</v>
      </c>
      <c r="G979" s="56">
        <f>IFERROR(GETPIVOTDATA("Exame",'Dashboard-Dados'!$J$1,$A$1,A979,$B$1,B979),0)</f>
        <v>0</v>
      </c>
      <c r="H979" s="56">
        <f t="shared" si="2"/>
        <v>979</v>
      </c>
      <c r="U979" s="56"/>
      <c r="V979" s="56"/>
      <c r="W979" s="56"/>
      <c r="Y979" s="138"/>
    </row>
    <row r="980">
      <c r="A980" s="56"/>
      <c r="B980" s="56"/>
      <c r="C980" s="108" t="str">
        <f>IFNA(VLOOKUP('Dashboard-Dados'!B980,'Dashboard-Dados'!$Y$2:$AA$13,2),"")</f>
        <v/>
      </c>
      <c r="D980" s="109">
        <f>IFERROR(GETPIVOTDATA("Valor Recebido",'Dashboard-Dados'!$J$1,$A$1,A980,$B$1,B980),0)</f>
        <v>0</v>
      </c>
      <c r="E980" s="110">
        <f>IFERROR(GETPIVOTDATA("Valor Despesa",'Dashboard-Dados'!$P$1,$A$1,A980,$B$1,B980),0)</f>
        <v>0</v>
      </c>
      <c r="F980" s="110">
        <f t="shared" si="1"/>
        <v>0</v>
      </c>
      <c r="G980" s="56">
        <f>IFERROR(GETPIVOTDATA("Exame",'Dashboard-Dados'!$J$1,$A$1,A980,$B$1,B980),0)</f>
        <v>0</v>
      </c>
      <c r="H980" s="56">
        <f t="shared" si="2"/>
        <v>980</v>
      </c>
      <c r="U980" s="56"/>
      <c r="V980" s="56"/>
      <c r="W980" s="56"/>
      <c r="Y980" s="138"/>
    </row>
    <row r="981">
      <c r="A981" s="56"/>
      <c r="B981" s="56"/>
      <c r="C981" s="108" t="str">
        <f>IFNA(VLOOKUP('Dashboard-Dados'!B981,'Dashboard-Dados'!$Y$2:$AA$13,2),"")</f>
        <v/>
      </c>
      <c r="D981" s="109">
        <f>IFERROR(GETPIVOTDATA("Valor Recebido",'Dashboard-Dados'!$J$1,$A$1,A981,$B$1,B981),0)</f>
        <v>0</v>
      </c>
      <c r="E981" s="110">
        <f>IFERROR(GETPIVOTDATA("Valor Despesa",'Dashboard-Dados'!$P$1,$A$1,A981,$B$1,B981),0)</f>
        <v>0</v>
      </c>
      <c r="F981" s="110">
        <f t="shared" si="1"/>
        <v>0</v>
      </c>
      <c r="G981" s="56">
        <f>IFERROR(GETPIVOTDATA("Exame",'Dashboard-Dados'!$J$1,$A$1,A981,$B$1,B981),0)</f>
        <v>0</v>
      </c>
      <c r="H981" s="56">
        <f t="shared" si="2"/>
        <v>981</v>
      </c>
      <c r="U981" s="56"/>
      <c r="V981" s="56"/>
      <c r="W981" s="56"/>
      <c r="Y981" s="138"/>
    </row>
    <row r="982">
      <c r="A982" s="56"/>
      <c r="B982" s="56"/>
      <c r="C982" s="108" t="str">
        <f>IFNA(VLOOKUP('Dashboard-Dados'!B982,'Dashboard-Dados'!$Y$2:$AA$13,2),"")</f>
        <v/>
      </c>
      <c r="D982" s="109">
        <f>IFERROR(GETPIVOTDATA("Valor Recebido",'Dashboard-Dados'!$J$1,$A$1,A982,$B$1,B982),0)</f>
        <v>0</v>
      </c>
      <c r="E982" s="110">
        <f>IFERROR(GETPIVOTDATA("Valor Despesa",'Dashboard-Dados'!$P$1,$A$1,A982,$B$1,B982),0)</f>
        <v>0</v>
      </c>
      <c r="F982" s="110">
        <f t="shared" si="1"/>
        <v>0</v>
      </c>
      <c r="G982" s="56">
        <f>IFERROR(GETPIVOTDATA("Exame",'Dashboard-Dados'!$J$1,$A$1,A982,$B$1,B982),0)</f>
        <v>0</v>
      </c>
      <c r="H982" s="56">
        <f t="shared" si="2"/>
        <v>982</v>
      </c>
      <c r="U982" s="56"/>
      <c r="V982" s="56"/>
      <c r="W982" s="56"/>
      <c r="Y982" s="138"/>
    </row>
    <row r="983">
      <c r="A983" s="56"/>
      <c r="B983" s="56"/>
      <c r="C983" s="108" t="str">
        <f>IFNA(VLOOKUP('Dashboard-Dados'!B983,'Dashboard-Dados'!$Y$2:$AA$13,2),"")</f>
        <v/>
      </c>
      <c r="D983" s="109">
        <f>IFERROR(GETPIVOTDATA("Valor Recebido",'Dashboard-Dados'!$J$1,$A$1,A983,$B$1,B983),0)</f>
        <v>0</v>
      </c>
      <c r="E983" s="110">
        <f>IFERROR(GETPIVOTDATA("Valor Despesa",'Dashboard-Dados'!$P$1,$A$1,A983,$B$1,B983),0)</f>
        <v>0</v>
      </c>
      <c r="F983" s="110">
        <f t="shared" si="1"/>
        <v>0</v>
      </c>
      <c r="G983" s="56">
        <f>IFERROR(GETPIVOTDATA("Exame",'Dashboard-Dados'!$J$1,$A$1,A983,$B$1,B983),0)</f>
        <v>0</v>
      </c>
      <c r="H983" s="56">
        <f t="shared" si="2"/>
        <v>983</v>
      </c>
      <c r="U983" s="56"/>
      <c r="V983" s="56"/>
      <c r="W983" s="56"/>
      <c r="Y983" s="138"/>
    </row>
    <row r="984">
      <c r="A984" s="56"/>
      <c r="B984" s="56"/>
      <c r="C984" s="108" t="str">
        <f>IFNA(VLOOKUP('Dashboard-Dados'!B984,'Dashboard-Dados'!$Y$2:$AA$13,2),"")</f>
        <v/>
      </c>
      <c r="D984" s="109">
        <f>IFERROR(GETPIVOTDATA("Valor Recebido",'Dashboard-Dados'!$J$1,$A$1,A984,$B$1,B984),0)</f>
        <v>0</v>
      </c>
      <c r="E984" s="110">
        <f>IFERROR(GETPIVOTDATA("Valor Despesa",'Dashboard-Dados'!$P$1,$A$1,A984,$B$1,B984),0)</f>
        <v>0</v>
      </c>
      <c r="F984" s="110">
        <f t="shared" si="1"/>
        <v>0</v>
      </c>
      <c r="G984" s="56">
        <f>IFERROR(GETPIVOTDATA("Exame",'Dashboard-Dados'!$J$1,$A$1,A984,$B$1,B984),0)</f>
        <v>0</v>
      </c>
      <c r="H984" s="56">
        <f t="shared" si="2"/>
        <v>984</v>
      </c>
      <c r="U984" s="56"/>
      <c r="V984" s="56"/>
      <c r="W984" s="56"/>
      <c r="Y984" s="138"/>
    </row>
    <row r="985">
      <c r="A985" s="56"/>
      <c r="B985" s="56"/>
      <c r="C985" s="108" t="str">
        <f>IFNA(VLOOKUP('Dashboard-Dados'!B985,'Dashboard-Dados'!$Y$2:$AA$13,2),"")</f>
        <v/>
      </c>
      <c r="D985" s="109">
        <f>IFERROR(GETPIVOTDATA("Valor Recebido",'Dashboard-Dados'!$J$1,$A$1,A985,$B$1,B985),0)</f>
        <v>0</v>
      </c>
      <c r="E985" s="110">
        <f>IFERROR(GETPIVOTDATA("Valor Despesa",'Dashboard-Dados'!$P$1,$A$1,A985,$B$1,B985),0)</f>
        <v>0</v>
      </c>
      <c r="F985" s="110">
        <f t="shared" si="1"/>
        <v>0</v>
      </c>
      <c r="G985" s="56">
        <f>IFERROR(GETPIVOTDATA("Exame",'Dashboard-Dados'!$J$1,$A$1,A985,$B$1,B985),0)</f>
        <v>0</v>
      </c>
      <c r="H985" s="56">
        <f t="shared" si="2"/>
        <v>985</v>
      </c>
      <c r="U985" s="56"/>
      <c r="V985" s="56"/>
      <c r="W985" s="56"/>
      <c r="Y985" s="138"/>
    </row>
    <row r="986">
      <c r="A986" s="56"/>
      <c r="B986" s="56"/>
      <c r="C986" s="108" t="str">
        <f>IFNA(VLOOKUP('Dashboard-Dados'!B986,'Dashboard-Dados'!$Y$2:$AA$13,2),"")</f>
        <v/>
      </c>
      <c r="D986" s="109">
        <f>IFERROR(GETPIVOTDATA("Valor Recebido",'Dashboard-Dados'!$J$1,$A$1,A986,$B$1,B986),0)</f>
        <v>0</v>
      </c>
      <c r="E986" s="110">
        <f>IFERROR(GETPIVOTDATA("Valor Despesa",'Dashboard-Dados'!$P$1,$A$1,A986,$B$1,B986),0)</f>
        <v>0</v>
      </c>
      <c r="F986" s="110">
        <f t="shared" si="1"/>
        <v>0</v>
      </c>
      <c r="G986" s="56">
        <f>IFERROR(GETPIVOTDATA("Exame",'Dashboard-Dados'!$J$1,$A$1,A986,$B$1,B986),0)</f>
        <v>0</v>
      </c>
      <c r="H986" s="56">
        <f t="shared" si="2"/>
        <v>986</v>
      </c>
      <c r="U986" s="56"/>
      <c r="V986" s="56"/>
      <c r="W986" s="56"/>
      <c r="Y986" s="138"/>
    </row>
    <row r="987">
      <c r="A987" s="56"/>
      <c r="B987" s="56"/>
      <c r="C987" s="108" t="str">
        <f>IFNA(VLOOKUP('Dashboard-Dados'!B987,'Dashboard-Dados'!$Y$2:$AA$13,2),"")</f>
        <v/>
      </c>
      <c r="D987" s="109">
        <f>IFERROR(GETPIVOTDATA("Valor Recebido",'Dashboard-Dados'!$J$1,$A$1,A987,$B$1,B987),0)</f>
        <v>0</v>
      </c>
      <c r="E987" s="110">
        <f>IFERROR(GETPIVOTDATA("Valor Despesa",'Dashboard-Dados'!$P$1,$A$1,A987,$B$1,B987),0)</f>
        <v>0</v>
      </c>
      <c r="F987" s="110">
        <f t="shared" si="1"/>
        <v>0</v>
      </c>
      <c r="G987" s="56">
        <f>IFERROR(GETPIVOTDATA("Exame",'Dashboard-Dados'!$J$1,$A$1,A987,$B$1,B987),0)</f>
        <v>0</v>
      </c>
      <c r="H987" s="56">
        <f t="shared" si="2"/>
        <v>987</v>
      </c>
      <c r="U987" s="56"/>
      <c r="V987" s="56"/>
      <c r="W987" s="56"/>
      <c r="Y987" s="138"/>
    </row>
    <row r="988">
      <c r="A988" s="56"/>
      <c r="B988" s="56"/>
      <c r="C988" s="108" t="str">
        <f>IFNA(VLOOKUP('Dashboard-Dados'!B988,'Dashboard-Dados'!$Y$2:$AA$13,2),"")</f>
        <v/>
      </c>
      <c r="D988" s="109">
        <f>IFERROR(GETPIVOTDATA("Valor Recebido",'Dashboard-Dados'!$J$1,$A$1,A988,$B$1,B988),0)</f>
        <v>0</v>
      </c>
      <c r="E988" s="110">
        <f>IFERROR(GETPIVOTDATA("Valor Despesa",'Dashboard-Dados'!$P$1,$A$1,A988,$B$1,B988),0)</f>
        <v>0</v>
      </c>
      <c r="F988" s="110">
        <f t="shared" si="1"/>
        <v>0</v>
      </c>
      <c r="G988" s="56">
        <f>IFERROR(GETPIVOTDATA("Exame",'Dashboard-Dados'!$J$1,$A$1,A988,$B$1,B988),0)</f>
        <v>0</v>
      </c>
      <c r="H988" s="56">
        <f t="shared" si="2"/>
        <v>988</v>
      </c>
      <c r="U988" s="56"/>
      <c r="V988" s="56"/>
      <c r="W988" s="56"/>
      <c r="Y988" s="138"/>
    </row>
    <row r="989">
      <c r="A989" s="56"/>
      <c r="B989" s="56"/>
      <c r="C989" s="108" t="str">
        <f>IFNA(VLOOKUP('Dashboard-Dados'!B989,'Dashboard-Dados'!$Y$2:$AA$13,2),"")</f>
        <v/>
      </c>
      <c r="D989" s="109">
        <f>IFERROR(GETPIVOTDATA("Valor Recebido",'Dashboard-Dados'!$J$1,$A$1,A989,$B$1,B989),0)</f>
        <v>0</v>
      </c>
      <c r="E989" s="110">
        <f>IFERROR(GETPIVOTDATA("Valor Despesa",'Dashboard-Dados'!$P$1,$A$1,A989,$B$1,B989),0)</f>
        <v>0</v>
      </c>
      <c r="F989" s="110">
        <f t="shared" si="1"/>
        <v>0</v>
      </c>
      <c r="G989" s="56">
        <f>IFERROR(GETPIVOTDATA("Exame",'Dashboard-Dados'!$J$1,$A$1,A989,$B$1,B989),0)</f>
        <v>0</v>
      </c>
      <c r="H989" s="56">
        <f t="shared" si="2"/>
        <v>989</v>
      </c>
      <c r="U989" s="56"/>
      <c r="V989" s="56"/>
      <c r="W989" s="56"/>
      <c r="Y989" s="138"/>
    </row>
    <row r="990">
      <c r="A990" s="56"/>
      <c r="B990" s="56"/>
      <c r="C990" s="108" t="str">
        <f>IFNA(VLOOKUP('Dashboard-Dados'!B990,'Dashboard-Dados'!$Y$2:$AA$13,2),"")</f>
        <v/>
      </c>
      <c r="D990" s="109">
        <f>IFERROR(GETPIVOTDATA("Valor Recebido",'Dashboard-Dados'!$J$1,$A$1,A990,$B$1,B990),0)</f>
        <v>0</v>
      </c>
      <c r="E990" s="110">
        <f>IFERROR(GETPIVOTDATA("Valor Despesa",'Dashboard-Dados'!$P$1,$A$1,A990,$B$1,B990),0)</f>
        <v>0</v>
      </c>
      <c r="F990" s="110">
        <f t="shared" si="1"/>
        <v>0</v>
      </c>
      <c r="G990" s="56">
        <f>IFERROR(GETPIVOTDATA("Exame",'Dashboard-Dados'!$J$1,$A$1,A990,$B$1,B990),0)</f>
        <v>0</v>
      </c>
      <c r="H990" s="56">
        <f t="shared" si="2"/>
        <v>990</v>
      </c>
      <c r="U990" s="56"/>
      <c r="V990" s="56"/>
      <c r="W990" s="56"/>
      <c r="Y990" s="138"/>
    </row>
    <row r="991">
      <c r="A991" s="56"/>
      <c r="B991" s="56"/>
      <c r="C991" s="108" t="str">
        <f>IFNA(VLOOKUP('Dashboard-Dados'!B991,'Dashboard-Dados'!$Y$2:$AA$13,2),"")</f>
        <v/>
      </c>
      <c r="D991" s="109">
        <f>IFERROR(GETPIVOTDATA("Valor Recebido",'Dashboard-Dados'!$J$1,$A$1,A991,$B$1,B991),0)</f>
        <v>0</v>
      </c>
      <c r="E991" s="110">
        <f>IFERROR(GETPIVOTDATA("Valor Despesa",'Dashboard-Dados'!$P$1,$A$1,A991,$B$1,B991),0)</f>
        <v>0</v>
      </c>
      <c r="F991" s="110">
        <f t="shared" si="1"/>
        <v>0</v>
      </c>
      <c r="G991" s="56">
        <f>IFERROR(GETPIVOTDATA("Exame",'Dashboard-Dados'!$J$1,$A$1,A991,$B$1,B991),0)</f>
        <v>0</v>
      </c>
      <c r="H991" s="56">
        <f t="shared" si="2"/>
        <v>991</v>
      </c>
      <c r="U991" s="56"/>
      <c r="V991" s="56"/>
      <c r="W991" s="56"/>
      <c r="Y991" s="138"/>
    </row>
    <row r="992">
      <c r="A992" s="56"/>
      <c r="B992" s="56"/>
      <c r="C992" s="108" t="str">
        <f>IFNA(VLOOKUP('Dashboard-Dados'!B992,'Dashboard-Dados'!$Y$2:$AA$13,2),"")</f>
        <v/>
      </c>
      <c r="D992" s="109">
        <f>IFERROR(GETPIVOTDATA("Valor Recebido",'Dashboard-Dados'!$J$1,$A$1,A992,$B$1,B992),0)</f>
        <v>0</v>
      </c>
      <c r="E992" s="110">
        <f>IFERROR(GETPIVOTDATA("Valor Despesa",'Dashboard-Dados'!$P$1,$A$1,A992,$B$1,B992),0)</f>
        <v>0</v>
      </c>
      <c r="F992" s="110">
        <f t="shared" si="1"/>
        <v>0</v>
      </c>
      <c r="G992" s="56">
        <f>IFERROR(GETPIVOTDATA("Exame",'Dashboard-Dados'!$J$1,$A$1,A992,$B$1,B992),0)</f>
        <v>0</v>
      </c>
      <c r="H992" s="56">
        <f t="shared" si="2"/>
        <v>992</v>
      </c>
      <c r="U992" s="56"/>
      <c r="V992" s="56"/>
      <c r="W992" s="56"/>
      <c r="Y992" s="138"/>
    </row>
    <row r="993">
      <c r="A993" s="56"/>
      <c r="B993" s="56"/>
      <c r="C993" s="108" t="str">
        <f>IFNA(VLOOKUP('Dashboard-Dados'!B993,'Dashboard-Dados'!$Y$2:$AA$13,2),"")</f>
        <v/>
      </c>
      <c r="D993" s="109">
        <f>IFERROR(GETPIVOTDATA("Valor Recebido",'Dashboard-Dados'!$J$1,$A$1,A993,$B$1,B993),0)</f>
        <v>0</v>
      </c>
      <c r="E993" s="110">
        <f>IFERROR(GETPIVOTDATA("Valor Despesa",'Dashboard-Dados'!$P$1,$A$1,A993,$B$1,B993),0)</f>
        <v>0</v>
      </c>
      <c r="F993" s="110">
        <f t="shared" si="1"/>
        <v>0</v>
      </c>
      <c r="G993" s="56">
        <f>IFERROR(GETPIVOTDATA("Exame",'Dashboard-Dados'!$J$1,$A$1,A993,$B$1,B993),0)</f>
        <v>0</v>
      </c>
      <c r="H993" s="56">
        <f t="shared" si="2"/>
        <v>993</v>
      </c>
      <c r="U993" s="56"/>
      <c r="V993" s="56"/>
      <c r="W993" s="56"/>
      <c r="Y993" s="138"/>
    </row>
    <row r="994">
      <c r="A994" s="56"/>
      <c r="B994" s="56"/>
      <c r="C994" s="108" t="str">
        <f>IFNA(VLOOKUP('Dashboard-Dados'!B994,'Dashboard-Dados'!$Y$2:$AA$13,2),"")</f>
        <v/>
      </c>
      <c r="D994" s="109">
        <f>IFERROR(GETPIVOTDATA("Valor Recebido",'Dashboard-Dados'!$J$1,$A$1,A994,$B$1,B994),0)</f>
        <v>0</v>
      </c>
      <c r="E994" s="110">
        <f>IFERROR(GETPIVOTDATA("Valor Despesa",'Dashboard-Dados'!$P$1,$A$1,A994,$B$1,B994),0)</f>
        <v>0</v>
      </c>
      <c r="F994" s="110">
        <f t="shared" si="1"/>
        <v>0</v>
      </c>
      <c r="G994" s="56">
        <f>IFERROR(GETPIVOTDATA("Exame",'Dashboard-Dados'!$J$1,$A$1,A994,$B$1,B994),0)</f>
        <v>0</v>
      </c>
      <c r="H994" s="56">
        <f t="shared" si="2"/>
        <v>994</v>
      </c>
      <c r="U994" s="56"/>
      <c r="V994" s="56"/>
      <c r="W994" s="56"/>
      <c r="Y994" s="138"/>
    </row>
    <row r="995">
      <c r="A995" s="56"/>
      <c r="B995" s="56"/>
      <c r="C995" s="108" t="str">
        <f>IFNA(VLOOKUP('Dashboard-Dados'!B995,'Dashboard-Dados'!$Y$2:$AA$13,2),"")</f>
        <v/>
      </c>
      <c r="D995" s="109">
        <f>IFERROR(GETPIVOTDATA("Valor Recebido",'Dashboard-Dados'!$J$1,$A$1,A995,$B$1,B995),0)</f>
        <v>0</v>
      </c>
      <c r="E995" s="110">
        <f>IFERROR(GETPIVOTDATA("Valor Despesa",'Dashboard-Dados'!$P$1,$A$1,A995,$B$1,B995),0)</f>
        <v>0</v>
      </c>
      <c r="F995" s="110">
        <f t="shared" si="1"/>
        <v>0</v>
      </c>
      <c r="G995" s="56">
        <f>IFERROR(GETPIVOTDATA("Exame",'Dashboard-Dados'!$J$1,$A$1,A995,$B$1,B995),0)</f>
        <v>0</v>
      </c>
      <c r="H995" s="56">
        <f t="shared" si="2"/>
        <v>995</v>
      </c>
      <c r="U995" s="56"/>
      <c r="V995" s="56"/>
      <c r="W995" s="56"/>
      <c r="Y995" s="138"/>
    </row>
    <row r="996">
      <c r="A996" s="56"/>
      <c r="B996" s="56"/>
      <c r="C996" s="108" t="str">
        <f>IFNA(VLOOKUP('Dashboard-Dados'!B996,'Dashboard-Dados'!$Y$2:$AA$13,2),"")</f>
        <v/>
      </c>
      <c r="D996" s="109">
        <f>IFERROR(GETPIVOTDATA("Valor Recebido",'Dashboard-Dados'!$J$1,$A$1,A996,$B$1,B996),0)</f>
        <v>0</v>
      </c>
      <c r="E996" s="110">
        <f>IFERROR(GETPIVOTDATA("Valor Despesa",'Dashboard-Dados'!$P$1,$A$1,A996,$B$1,B996),0)</f>
        <v>0</v>
      </c>
      <c r="F996" s="110">
        <f t="shared" si="1"/>
        <v>0</v>
      </c>
      <c r="G996" s="56">
        <f>IFERROR(GETPIVOTDATA("Exame",'Dashboard-Dados'!$J$1,$A$1,A996,$B$1,B996),0)</f>
        <v>0</v>
      </c>
      <c r="H996" s="56">
        <f t="shared" si="2"/>
        <v>996</v>
      </c>
      <c r="U996" s="56"/>
      <c r="V996" s="56"/>
      <c r="W996" s="56"/>
      <c r="Y996" s="138"/>
    </row>
    <row r="997">
      <c r="A997" s="56"/>
      <c r="B997" s="56"/>
      <c r="C997" s="108" t="str">
        <f>IFNA(VLOOKUP('Dashboard-Dados'!B997,'Dashboard-Dados'!$Y$2:$AA$13,2),"")</f>
        <v/>
      </c>
      <c r="D997" s="109">
        <f>IFERROR(GETPIVOTDATA("Valor Recebido",'Dashboard-Dados'!$J$1,$A$1,A997,$B$1,B997),0)</f>
        <v>0</v>
      </c>
      <c r="E997" s="110">
        <f>IFERROR(GETPIVOTDATA("Valor Despesa",'Dashboard-Dados'!$P$1,$A$1,A997,$B$1,B997),0)</f>
        <v>0</v>
      </c>
      <c r="F997" s="110">
        <f t="shared" si="1"/>
        <v>0</v>
      </c>
      <c r="G997" s="56">
        <f>IFERROR(GETPIVOTDATA("Exame",'Dashboard-Dados'!$J$1,$A$1,A997,$B$1,B997),0)</f>
        <v>0</v>
      </c>
      <c r="H997" s="56">
        <f t="shared" si="2"/>
        <v>997</v>
      </c>
      <c r="U997" s="56"/>
      <c r="V997" s="56"/>
      <c r="W997" s="56"/>
      <c r="Y997" s="138"/>
    </row>
    <row r="998">
      <c r="A998" s="56"/>
      <c r="B998" s="56"/>
      <c r="C998" s="108" t="str">
        <f>IFNA(VLOOKUP('Dashboard-Dados'!B998,'Dashboard-Dados'!$Y$2:$AA$13,2),"")</f>
        <v/>
      </c>
      <c r="D998" s="109">
        <f>IFERROR(GETPIVOTDATA("Valor Recebido",'Dashboard-Dados'!$J$1,$A$1,A998,$B$1,B998),0)</f>
        <v>0</v>
      </c>
      <c r="E998" s="110">
        <f>IFERROR(GETPIVOTDATA("Valor Despesa",'Dashboard-Dados'!$P$1,$A$1,A998,$B$1,B998),0)</f>
        <v>0</v>
      </c>
      <c r="F998" s="110">
        <f t="shared" si="1"/>
        <v>0</v>
      </c>
      <c r="G998" s="56">
        <f>IFERROR(GETPIVOTDATA("Exame",'Dashboard-Dados'!$J$1,$A$1,A998,$B$1,B998),0)</f>
        <v>0</v>
      </c>
      <c r="H998" s="56">
        <f t="shared" si="2"/>
        <v>998</v>
      </c>
      <c r="U998" s="56"/>
      <c r="V998" s="56"/>
      <c r="W998" s="56"/>
      <c r="Y998" s="138"/>
    </row>
    <row r="999">
      <c r="A999" s="56"/>
      <c r="B999" s="56"/>
      <c r="C999" s="108" t="str">
        <f>IFNA(VLOOKUP('Dashboard-Dados'!B999,'Dashboard-Dados'!$Y$2:$AA$13,2),"")</f>
        <v/>
      </c>
      <c r="D999" s="109">
        <f>IFERROR(GETPIVOTDATA("Valor Recebido",'Dashboard-Dados'!$J$1,$A$1,A999,$B$1,B999),0)</f>
        <v>0</v>
      </c>
      <c r="E999" s="110">
        <f>IFERROR(GETPIVOTDATA("Valor Despesa",'Dashboard-Dados'!$P$1,$A$1,A999,$B$1,B999),0)</f>
        <v>0</v>
      </c>
      <c r="F999" s="110">
        <f t="shared" si="1"/>
        <v>0</v>
      </c>
      <c r="G999" s="56">
        <f>IFERROR(GETPIVOTDATA("Exame",'Dashboard-Dados'!$J$1,$A$1,A999,$B$1,B999),0)</f>
        <v>0</v>
      </c>
      <c r="H999" s="56">
        <f t="shared" si="2"/>
        <v>999</v>
      </c>
      <c r="U999" s="56"/>
      <c r="V999" s="56"/>
      <c r="W999" s="56"/>
      <c r="Y999" s="138"/>
    </row>
    <row r="1000">
      <c r="A1000" s="56"/>
      <c r="B1000" s="56"/>
      <c r="C1000" s="108" t="str">
        <f>IFNA(VLOOKUP('Dashboard-Dados'!B1000,'Dashboard-Dados'!$Y$2:$AA$13,2),"")</f>
        <v/>
      </c>
      <c r="D1000" s="109">
        <f>IFERROR(GETPIVOTDATA("Valor Recebido",'Dashboard-Dados'!$J$1,$A$1,A1000,$B$1,B1000),0)</f>
        <v>0</v>
      </c>
      <c r="E1000" s="110">
        <f>IFERROR(GETPIVOTDATA("Valor Despesa",'Dashboard-Dados'!$P$1,$A$1,A1000,$B$1,B1000),0)</f>
        <v>0</v>
      </c>
      <c r="F1000" s="110">
        <f t="shared" si="1"/>
        <v>0</v>
      </c>
      <c r="G1000" s="56">
        <f>IFERROR(GETPIVOTDATA("Exame",'Dashboard-Dados'!$J$1,$A$1,A1000,$B$1,B1000),0)</f>
        <v>0</v>
      </c>
      <c r="H1000" s="56">
        <f t="shared" si="2"/>
        <v>1000</v>
      </c>
      <c r="U1000" s="56"/>
      <c r="V1000" s="56"/>
      <c r="W1000" s="56"/>
      <c r="Y1000" s="138"/>
    </row>
    <row r="1001">
      <c r="A1001" s="56"/>
      <c r="B1001" s="56"/>
      <c r="C1001" s="108" t="str">
        <f>IFNA(VLOOKUP('Dashboard-Dados'!B1001,'Dashboard-Dados'!$Y$2:$AA$13,2),"")</f>
        <v/>
      </c>
      <c r="D1001" s="109">
        <f>IFERROR(GETPIVOTDATA("Valor Recebido",'Dashboard-Dados'!$J$1,$A$1,A1001,$B$1,B1001),0)</f>
        <v>0</v>
      </c>
      <c r="E1001" s="110">
        <f>IFERROR(GETPIVOTDATA("Valor Despesa",'Dashboard-Dados'!$P$1,$A$1,A1001,$B$1,B1001),0)</f>
        <v>0</v>
      </c>
      <c r="F1001" s="110">
        <f t="shared" si="1"/>
        <v>0</v>
      </c>
      <c r="G1001" s="56">
        <f>IFERROR(GETPIVOTDATA("Exame",'Dashboard-Dados'!$J$1,$A$1,A1001,$B$1,B1001),0)</f>
        <v>0</v>
      </c>
      <c r="H1001" s="56">
        <f t="shared" si="2"/>
        <v>1001</v>
      </c>
      <c r="U1001" s="56"/>
      <c r="V1001" s="56"/>
      <c r="W1001" s="56"/>
      <c r="Y1001" s="138"/>
    </row>
    <row r="1002">
      <c r="A1002" s="56"/>
      <c r="B1002" s="56"/>
      <c r="C1002" s="108" t="str">
        <f>IFNA(VLOOKUP('Dashboard-Dados'!B1002,'Dashboard-Dados'!$Y$2:$AA$13,2),"")</f>
        <v/>
      </c>
      <c r="D1002" s="109">
        <f>IFERROR(GETPIVOTDATA("Valor Recebido",'Dashboard-Dados'!$J$1,$A$1,A1002,$B$1,B1002),0)</f>
        <v>0</v>
      </c>
      <c r="E1002" s="110">
        <f>IFERROR(GETPIVOTDATA("Valor Despesa",'Dashboard-Dados'!$P$1,$A$1,A1002,$B$1,B1002),0)</f>
        <v>0</v>
      </c>
      <c r="F1002" s="110">
        <f t="shared" si="1"/>
        <v>0</v>
      </c>
      <c r="G1002" s="56">
        <f>IFERROR(GETPIVOTDATA("Exame",'Dashboard-Dados'!$J$1,$A$1,A1002,$B$1,B1002),0)</f>
        <v>0</v>
      </c>
      <c r="H1002" s="56">
        <f t="shared" si="2"/>
        <v>1002</v>
      </c>
      <c r="U1002" s="56"/>
      <c r="V1002" s="56"/>
      <c r="W1002" s="56"/>
      <c r="Y1002" s="138"/>
    </row>
    <row r="1003">
      <c r="A1003" s="56"/>
      <c r="B1003" s="56"/>
      <c r="C1003" s="108" t="str">
        <f>IFNA(VLOOKUP('Dashboard-Dados'!B1003,'Dashboard-Dados'!$Y$2:$AA$13,2),"")</f>
        <v/>
      </c>
      <c r="D1003" s="109">
        <f>IFERROR(GETPIVOTDATA("Valor Recebido",'Dashboard-Dados'!$J$1,$A$1,A1003,$B$1,B1003),0)</f>
        <v>0</v>
      </c>
      <c r="E1003" s="110">
        <f>IFERROR(GETPIVOTDATA("Valor Despesa",'Dashboard-Dados'!$P$1,$A$1,A1003,$B$1,B1003),0)</f>
        <v>0</v>
      </c>
      <c r="F1003" s="110">
        <f t="shared" si="1"/>
        <v>0</v>
      </c>
      <c r="G1003" s="56">
        <f>IFERROR(GETPIVOTDATA("Exame",'Dashboard-Dados'!$J$1,$A$1,A1003,$B$1,B1003),0)</f>
        <v>0</v>
      </c>
      <c r="H1003" s="56">
        <f t="shared" si="2"/>
        <v>1003</v>
      </c>
      <c r="U1003" s="56"/>
      <c r="V1003" s="56"/>
      <c r="W1003" s="56"/>
      <c r="Y1003" s="138"/>
    </row>
    <row r="1004">
      <c r="A1004" s="56"/>
      <c r="B1004" s="56"/>
      <c r="C1004" s="108" t="str">
        <f>IFNA(VLOOKUP('Dashboard-Dados'!B1004,'Dashboard-Dados'!$Y$2:$AA$13,2),"")</f>
        <v/>
      </c>
      <c r="D1004" s="109">
        <f>IFERROR(GETPIVOTDATA("Valor Recebido",'Dashboard-Dados'!$J$1,$A$1,A1004,$B$1,B1004),0)</f>
        <v>0</v>
      </c>
      <c r="E1004" s="110">
        <f>IFERROR(GETPIVOTDATA("Valor Despesa",'Dashboard-Dados'!$P$1,$A$1,A1004,$B$1,B1004),0)</f>
        <v>0</v>
      </c>
      <c r="F1004" s="110">
        <f t="shared" si="1"/>
        <v>0</v>
      </c>
      <c r="G1004" s="56">
        <f>IFERROR(GETPIVOTDATA("Exame",'Dashboard-Dados'!$J$1,$A$1,A1004,$B$1,B1004),0)</f>
        <v>0</v>
      </c>
      <c r="H1004" s="56">
        <f t="shared" si="2"/>
        <v>1004</v>
      </c>
      <c r="U1004" s="56"/>
      <c r="V1004" s="56"/>
      <c r="W1004" s="56"/>
      <c r="Y1004" s="138"/>
    </row>
    <row r="1005">
      <c r="A1005" s="56"/>
      <c r="B1005" s="56"/>
      <c r="C1005" s="108" t="str">
        <f>IFNA(VLOOKUP('Dashboard-Dados'!B1005,'Dashboard-Dados'!$Y$2:$AA$13,2),"")</f>
        <v/>
      </c>
      <c r="D1005" s="109">
        <f>IFERROR(GETPIVOTDATA("Valor Recebido",'Dashboard-Dados'!$J$1,$A$1,A1005,$B$1,B1005),0)</f>
        <v>0</v>
      </c>
      <c r="E1005" s="110">
        <f>IFERROR(GETPIVOTDATA("Valor Despesa",'Dashboard-Dados'!$P$1,$A$1,A1005,$B$1,B1005),0)</f>
        <v>0</v>
      </c>
      <c r="F1005" s="110">
        <f t="shared" si="1"/>
        <v>0</v>
      </c>
      <c r="G1005" s="56">
        <f>IFERROR(GETPIVOTDATA("Exame",'Dashboard-Dados'!$J$1,$A$1,A1005,$B$1,B1005),0)</f>
        <v>0</v>
      </c>
      <c r="H1005" s="56">
        <f t="shared" si="2"/>
        <v>1005</v>
      </c>
      <c r="U1005" s="56"/>
      <c r="V1005" s="56"/>
      <c r="W1005" s="56"/>
      <c r="Y1005" s="138"/>
    </row>
    <row r="1006">
      <c r="A1006" s="56"/>
      <c r="B1006" s="56"/>
      <c r="C1006" s="108" t="str">
        <f>IFNA(VLOOKUP('Dashboard-Dados'!B1006,'Dashboard-Dados'!$Y$2:$AA$13,2),"")</f>
        <v/>
      </c>
      <c r="D1006" s="109">
        <f>IFERROR(GETPIVOTDATA("Valor Recebido",'Dashboard-Dados'!$J$1,$A$1,A1006,$B$1,B1006),0)</f>
        <v>0</v>
      </c>
      <c r="E1006" s="110">
        <f>IFERROR(GETPIVOTDATA("Valor Despesa",'Dashboard-Dados'!$P$1,$A$1,A1006,$B$1,B1006),0)</f>
        <v>0</v>
      </c>
      <c r="F1006" s="110">
        <f t="shared" si="1"/>
        <v>0</v>
      </c>
      <c r="G1006" s="56">
        <f>IFERROR(GETPIVOTDATA("Exame",'Dashboard-Dados'!$J$1,$A$1,A1006,$B$1,B1006),0)</f>
        <v>0</v>
      </c>
      <c r="H1006" s="56">
        <f t="shared" si="2"/>
        <v>1006</v>
      </c>
      <c r="U1006" s="56"/>
      <c r="V1006" s="56"/>
      <c r="W1006" s="56"/>
      <c r="Y1006" s="138"/>
    </row>
    <row r="1007">
      <c r="A1007" s="56"/>
      <c r="B1007" s="56"/>
      <c r="C1007" s="108" t="str">
        <f>IFNA(VLOOKUP('Dashboard-Dados'!B1007,'Dashboard-Dados'!$Y$2:$AA$13,2),"")</f>
        <v/>
      </c>
      <c r="D1007" s="109">
        <f>IFERROR(GETPIVOTDATA("Valor Recebido",'Dashboard-Dados'!$J$1,$A$1,A1007,$B$1,B1007),0)</f>
        <v>0</v>
      </c>
      <c r="E1007" s="110">
        <f>IFERROR(GETPIVOTDATA("Valor Despesa",'Dashboard-Dados'!$P$1,$A$1,A1007,$B$1,B1007),0)</f>
        <v>0</v>
      </c>
      <c r="F1007" s="110">
        <f t="shared" si="1"/>
        <v>0</v>
      </c>
      <c r="G1007" s="56">
        <f>IFERROR(GETPIVOTDATA("Exame",'Dashboard-Dados'!$J$1,$A$1,A1007,$B$1,B1007),0)</f>
        <v>0</v>
      </c>
      <c r="H1007" s="56">
        <f t="shared" si="2"/>
        <v>1007</v>
      </c>
      <c r="U1007" s="56"/>
      <c r="V1007" s="56"/>
      <c r="W1007" s="56"/>
      <c r="Y1007" s="138"/>
    </row>
    <row r="1008">
      <c r="A1008" s="56"/>
      <c r="B1008" s="56"/>
      <c r="C1008" s="108" t="str">
        <f>IFNA(VLOOKUP('Dashboard-Dados'!B1008,'Dashboard-Dados'!$Y$2:$AA$13,2),"")</f>
        <v/>
      </c>
      <c r="D1008" s="109">
        <f>IFERROR(GETPIVOTDATA("Valor Recebido",'Dashboard-Dados'!$J$1,$A$1,A1008,$B$1,B1008),0)</f>
        <v>0</v>
      </c>
      <c r="E1008" s="110">
        <f>IFERROR(GETPIVOTDATA("Valor Despesa",'Dashboard-Dados'!$P$1,$A$1,A1008,$B$1,B1008),0)</f>
        <v>0</v>
      </c>
      <c r="F1008" s="110">
        <f t="shared" si="1"/>
        <v>0</v>
      </c>
      <c r="G1008" s="56">
        <f>IFERROR(GETPIVOTDATA("Exame",'Dashboard-Dados'!$J$1,$A$1,A1008,$B$1,B1008),0)</f>
        <v>0</v>
      </c>
      <c r="H1008" s="56">
        <f t="shared" si="2"/>
        <v>1008</v>
      </c>
      <c r="U1008" s="56"/>
      <c r="V1008" s="56"/>
      <c r="W1008" s="56"/>
      <c r="Y1008" s="138"/>
    </row>
    <row r="1009">
      <c r="A1009" s="56"/>
      <c r="B1009" s="56"/>
      <c r="C1009" s="108" t="str">
        <f>IFNA(VLOOKUP('Dashboard-Dados'!B1009,'Dashboard-Dados'!$Y$2:$AA$13,2),"")</f>
        <v/>
      </c>
      <c r="D1009" s="109">
        <f>IFERROR(GETPIVOTDATA("Valor Recebido",'Dashboard-Dados'!$J$1,$A$1,A1009,$B$1,B1009),0)</f>
        <v>0</v>
      </c>
      <c r="E1009" s="110">
        <f>IFERROR(GETPIVOTDATA("Valor Despesa",'Dashboard-Dados'!$P$1,$A$1,A1009,$B$1,B1009),0)</f>
        <v>0</v>
      </c>
      <c r="F1009" s="110">
        <f t="shared" si="1"/>
        <v>0</v>
      </c>
      <c r="G1009" s="56">
        <f>IFERROR(GETPIVOTDATA("Exame",'Dashboard-Dados'!$J$1,$A$1,A1009,$B$1,B1009),0)</f>
        <v>0</v>
      </c>
      <c r="H1009" s="56">
        <f t="shared" si="2"/>
        <v>1009</v>
      </c>
      <c r="U1009" s="56"/>
      <c r="V1009" s="56"/>
      <c r="W1009" s="56"/>
      <c r="Y1009" s="138"/>
    </row>
    <row r="1010">
      <c r="A1010" s="56"/>
      <c r="B1010" s="56"/>
      <c r="C1010" s="108" t="str">
        <f>IFNA(VLOOKUP('Dashboard-Dados'!B1010,'Dashboard-Dados'!$Y$2:$AA$13,2),"")</f>
        <v/>
      </c>
      <c r="D1010" s="109">
        <f>IFERROR(GETPIVOTDATA("Valor Recebido",'Dashboard-Dados'!$J$1,$A$1,A1010,$B$1,B1010),0)</f>
        <v>0</v>
      </c>
      <c r="E1010" s="110">
        <f>IFERROR(GETPIVOTDATA("Valor Despesa",'Dashboard-Dados'!$P$1,$A$1,A1010,$B$1,B1010),0)</f>
        <v>0</v>
      </c>
      <c r="F1010" s="110">
        <f t="shared" si="1"/>
        <v>0</v>
      </c>
      <c r="G1010" s="56">
        <f>IFERROR(GETPIVOTDATA("Exame",'Dashboard-Dados'!$J$1,$A$1,A1010,$B$1,B1010),0)</f>
        <v>0</v>
      </c>
      <c r="H1010" s="56">
        <f t="shared" si="2"/>
        <v>1010</v>
      </c>
      <c r="U1010" s="56"/>
      <c r="V1010" s="56"/>
      <c r="W1010" s="56"/>
      <c r="Y1010" s="138"/>
    </row>
    <row r="1011">
      <c r="A1011" s="56"/>
      <c r="B1011" s="56"/>
      <c r="C1011" s="108" t="str">
        <f>IFNA(VLOOKUP('Dashboard-Dados'!B1011,'Dashboard-Dados'!$Y$2:$AA$13,2),"")</f>
        <v/>
      </c>
      <c r="D1011" s="109">
        <f>IFERROR(GETPIVOTDATA("Valor Recebido",'Dashboard-Dados'!$J$1,$A$1,A1011,$B$1,B1011),0)</f>
        <v>0</v>
      </c>
      <c r="E1011" s="110">
        <f>IFERROR(GETPIVOTDATA("Valor Despesa",'Dashboard-Dados'!$P$1,$A$1,A1011,$B$1,B1011),0)</f>
        <v>0</v>
      </c>
      <c r="F1011" s="110">
        <f t="shared" si="1"/>
        <v>0</v>
      </c>
      <c r="G1011" s="56">
        <f>IFERROR(GETPIVOTDATA("Exame",'Dashboard-Dados'!$J$1,$A$1,A1011,$B$1,B1011),0)</f>
        <v>0</v>
      </c>
      <c r="H1011" s="56">
        <f t="shared" si="2"/>
        <v>1011</v>
      </c>
      <c r="U1011" s="56"/>
      <c r="V1011" s="56"/>
      <c r="W1011" s="56"/>
      <c r="Y1011" s="138"/>
    </row>
    <row r="1012">
      <c r="A1012" s="56"/>
      <c r="B1012" s="56"/>
      <c r="C1012" s="108" t="str">
        <f>IFNA(VLOOKUP('Dashboard-Dados'!B1012,'Dashboard-Dados'!$Y$2:$AA$13,2),"")</f>
        <v/>
      </c>
      <c r="D1012" s="109">
        <f>IFERROR(GETPIVOTDATA("Valor Recebido",'Dashboard-Dados'!$J$1,$A$1,A1012,$B$1,B1012),0)</f>
        <v>0</v>
      </c>
      <c r="E1012" s="110">
        <f>IFERROR(GETPIVOTDATA("Valor Despesa",'Dashboard-Dados'!$P$1,$A$1,A1012,$B$1,B1012),0)</f>
        <v>0</v>
      </c>
      <c r="F1012" s="110">
        <f t="shared" si="1"/>
        <v>0</v>
      </c>
      <c r="G1012" s="56">
        <f>IFERROR(GETPIVOTDATA("Exame",'Dashboard-Dados'!$J$1,$A$1,A1012,$B$1,B1012),0)</f>
        <v>0</v>
      </c>
      <c r="H1012" s="56">
        <f t="shared" si="2"/>
        <v>1012</v>
      </c>
      <c r="U1012" s="56"/>
      <c r="V1012" s="56"/>
      <c r="W1012" s="56"/>
      <c r="Y1012" s="138"/>
    </row>
    <row r="1013">
      <c r="A1013" s="56"/>
      <c r="B1013" s="56"/>
      <c r="C1013" s="108" t="str">
        <f>IFNA(VLOOKUP('Dashboard-Dados'!B1013,'Dashboard-Dados'!$Y$2:$AA$13,2),"")</f>
        <v/>
      </c>
      <c r="D1013" s="109">
        <f>IFERROR(GETPIVOTDATA("Valor Recebido",'Dashboard-Dados'!$J$1,$A$1,A1013,$B$1,B1013),0)</f>
        <v>0</v>
      </c>
      <c r="E1013" s="110">
        <f>IFERROR(GETPIVOTDATA("Valor Despesa",'Dashboard-Dados'!$P$1,$A$1,A1013,$B$1,B1013),0)</f>
        <v>0</v>
      </c>
      <c r="F1013" s="110">
        <f t="shared" si="1"/>
        <v>0</v>
      </c>
      <c r="G1013" s="56">
        <f>IFERROR(GETPIVOTDATA("Exame",'Dashboard-Dados'!$J$1,$A$1,A1013,$B$1,B1013),0)</f>
        <v>0</v>
      </c>
      <c r="H1013" s="56">
        <f t="shared" si="2"/>
        <v>1013</v>
      </c>
      <c r="U1013" s="56"/>
      <c r="V1013" s="56"/>
      <c r="W1013" s="56"/>
      <c r="Y1013" s="138"/>
    </row>
    <row r="1014">
      <c r="A1014" s="56"/>
      <c r="B1014" s="56"/>
      <c r="C1014" s="108" t="str">
        <f>IFNA(VLOOKUP('Dashboard-Dados'!B1014,'Dashboard-Dados'!$Y$2:$AA$13,2),"")</f>
        <v/>
      </c>
      <c r="D1014" s="109">
        <f>IFERROR(GETPIVOTDATA("Valor Recebido",'Dashboard-Dados'!$J$1,$A$1,A1014,$B$1,B1014),0)</f>
        <v>0</v>
      </c>
      <c r="E1014" s="110">
        <f>IFERROR(GETPIVOTDATA("Valor Despesa",'Dashboard-Dados'!$P$1,$A$1,A1014,$B$1,B1014),0)</f>
        <v>0</v>
      </c>
      <c r="F1014" s="110">
        <f t="shared" si="1"/>
        <v>0</v>
      </c>
      <c r="G1014" s="56">
        <f>IFERROR(GETPIVOTDATA("Exame",'Dashboard-Dados'!$J$1,$A$1,A1014,$B$1,B1014),0)</f>
        <v>0</v>
      </c>
      <c r="H1014" s="56">
        <f t="shared" si="2"/>
        <v>1014</v>
      </c>
      <c r="U1014" s="56"/>
      <c r="V1014" s="56"/>
      <c r="W1014" s="56"/>
      <c r="Y1014" s="138"/>
    </row>
    <row r="1015">
      <c r="A1015" s="56"/>
      <c r="B1015" s="56"/>
      <c r="C1015" s="108" t="str">
        <f>IFNA(VLOOKUP('Dashboard-Dados'!B1015,'Dashboard-Dados'!$Y$2:$AA$13,2),"")</f>
        <v/>
      </c>
      <c r="D1015" s="109">
        <f>IFERROR(GETPIVOTDATA("Valor Recebido",'Dashboard-Dados'!$J$1,$A$1,A1015,$B$1,B1015),0)</f>
        <v>0</v>
      </c>
      <c r="E1015" s="110">
        <f>IFERROR(GETPIVOTDATA("Valor Despesa",'Dashboard-Dados'!$P$1,$A$1,A1015,$B$1,B1015),0)</f>
        <v>0</v>
      </c>
      <c r="F1015" s="110">
        <f t="shared" si="1"/>
        <v>0</v>
      </c>
      <c r="G1015" s="56">
        <f>IFERROR(GETPIVOTDATA("Exame",'Dashboard-Dados'!$J$1,$A$1,A1015,$B$1,B1015),0)</f>
        <v>0</v>
      </c>
      <c r="H1015" s="56">
        <f t="shared" si="2"/>
        <v>1015</v>
      </c>
      <c r="U1015" s="56"/>
      <c r="V1015" s="56"/>
      <c r="W1015" s="56"/>
      <c r="Y1015" s="138"/>
    </row>
    <row r="1016">
      <c r="A1016" s="56"/>
      <c r="B1016" s="56"/>
      <c r="C1016" s="108" t="str">
        <f>IFNA(VLOOKUP('Dashboard-Dados'!B1016,'Dashboard-Dados'!$Y$2:$AA$13,2),"")</f>
        <v/>
      </c>
      <c r="D1016" s="109">
        <f>IFERROR(GETPIVOTDATA("Valor Recebido",'Dashboard-Dados'!$J$1,$A$1,A1016,$B$1,B1016),0)</f>
        <v>0</v>
      </c>
      <c r="E1016" s="110">
        <f>IFERROR(GETPIVOTDATA("Valor Despesa",'Dashboard-Dados'!$P$1,$A$1,A1016,$B$1,B1016),0)</f>
        <v>0</v>
      </c>
      <c r="F1016" s="110">
        <f t="shared" si="1"/>
        <v>0</v>
      </c>
      <c r="G1016" s="56">
        <f>IFERROR(GETPIVOTDATA("Exame",'Dashboard-Dados'!$J$1,$A$1,A1016,$B$1,B1016),0)</f>
        <v>0</v>
      </c>
      <c r="H1016" s="56">
        <f t="shared" si="2"/>
        <v>1016</v>
      </c>
      <c r="U1016" s="56"/>
      <c r="V1016" s="56"/>
      <c r="W1016" s="56"/>
      <c r="Y1016" s="138"/>
    </row>
    <row r="1017">
      <c r="A1017" s="56"/>
      <c r="B1017" s="56"/>
      <c r="C1017" s="108" t="str">
        <f>IFNA(VLOOKUP('Dashboard-Dados'!B1017,'Dashboard-Dados'!$Y$2:$AA$13,2),"")</f>
        <v/>
      </c>
      <c r="D1017" s="109">
        <f>IFERROR(GETPIVOTDATA("Valor Recebido",'Dashboard-Dados'!$J$1,$A$1,A1017,$B$1,B1017),0)</f>
        <v>0</v>
      </c>
      <c r="E1017" s="110">
        <f>IFERROR(GETPIVOTDATA("Valor Despesa",'Dashboard-Dados'!$P$1,$A$1,A1017,$B$1,B1017),0)</f>
        <v>0</v>
      </c>
      <c r="F1017" s="110">
        <f t="shared" si="1"/>
        <v>0</v>
      </c>
      <c r="G1017" s="56">
        <f>IFERROR(GETPIVOTDATA("Exame",'Dashboard-Dados'!$J$1,$A$1,A1017,$B$1,B1017),0)</f>
        <v>0</v>
      </c>
      <c r="H1017" s="56">
        <f t="shared" si="2"/>
        <v>1017</v>
      </c>
      <c r="U1017" s="56"/>
      <c r="V1017" s="56"/>
      <c r="W1017" s="56"/>
      <c r="Y1017" s="138"/>
    </row>
    <row r="1018">
      <c r="A1018" s="56"/>
      <c r="B1018" s="56"/>
      <c r="C1018" s="108" t="str">
        <f>IFNA(VLOOKUP('Dashboard-Dados'!B1018,'Dashboard-Dados'!$Y$2:$AA$13,2),"")</f>
        <v/>
      </c>
      <c r="D1018" s="109">
        <f>IFERROR(GETPIVOTDATA("Valor Recebido",'Dashboard-Dados'!$J$1,$A$1,A1018,$B$1,B1018),0)</f>
        <v>0</v>
      </c>
      <c r="E1018" s="110">
        <f>IFERROR(GETPIVOTDATA("Valor Despesa",'Dashboard-Dados'!$P$1,$A$1,A1018,$B$1,B1018),0)</f>
        <v>0</v>
      </c>
      <c r="F1018" s="110">
        <f t="shared" si="1"/>
        <v>0</v>
      </c>
      <c r="G1018" s="56">
        <f>IFERROR(GETPIVOTDATA("Exame",'Dashboard-Dados'!$J$1,$A$1,A1018,$B$1,B1018),0)</f>
        <v>0</v>
      </c>
      <c r="H1018" s="56">
        <f t="shared" si="2"/>
        <v>1018</v>
      </c>
      <c r="U1018" s="56"/>
      <c r="V1018" s="56"/>
      <c r="W1018" s="56"/>
      <c r="Y1018" s="138"/>
    </row>
    <row r="1019">
      <c r="A1019" s="56"/>
      <c r="B1019" s="56"/>
      <c r="C1019" s="108" t="str">
        <f>IFNA(VLOOKUP('Dashboard-Dados'!B1019,'Dashboard-Dados'!$Y$2:$AA$13,2),"")</f>
        <v/>
      </c>
      <c r="D1019" s="109">
        <f>IFERROR(GETPIVOTDATA("Valor Recebido",'Dashboard-Dados'!$J$1,$A$1,A1019,$B$1,B1019),0)</f>
        <v>0</v>
      </c>
      <c r="E1019" s="110">
        <f>IFERROR(GETPIVOTDATA("Valor Despesa",'Dashboard-Dados'!$P$1,$A$1,A1019,$B$1,B1019),0)</f>
        <v>0</v>
      </c>
      <c r="F1019" s="110">
        <f t="shared" si="1"/>
        <v>0</v>
      </c>
      <c r="G1019" s="56">
        <f>IFERROR(GETPIVOTDATA("Exame",'Dashboard-Dados'!$J$1,$A$1,A1019,$B$1,B1019),0)</f>
        <v>0</v>
      </c>
      <c r="H1019" s="56">
        <f t="shared" si="2"/>
        <v>1019</v>
      </c>
      <c r="U1019" s="56"/>
      <c r="V1019" s="56"/>
      <c r="W1019" s="56"/>
      <c r="Y1019" s="138"/>
    </row>
    <row r="1020">
      <c r="A1020" s="56"/>
      <c r="B1020" s="56"/>
      <c r="C1020" s="108" t="str">
        <f>IFNA(VLOOKUP('Dashboard-Dados'!B1020,'Dashboard-Dados'!$Y$2:$AA$13,2),"")</f>
        <v/>
      </c>
      <c r="D1020" s="109">
        <f>IFERROR(GETPIVOTDATA("Valor Recebido",'Dashboard-Dados'!$J$1,$A$1,A1020,$B$1,B1020),0)</f>
        <v>0</v>
      </c>
      <c r="E1020" s="110">
        <f>IFERROR(GETPIVOTDATA("Valor Despesa",'Dashboard-Dados'!$P$1,$A$1,A1020,$B$1,B1020),0)</f>
        <v>0</v>
      </c>
      <c r="F1020" s="110">
        <f t="shared" si="1"/>
        <v>0</v>
      </c>
      <c r="G1020" s="56">
        <f>IFERROR(GETPIVOTDATA("Exame",'Dashboard-Dados'!$J$1,$A$1,A1020,$B$1,B1020),0)</f>
        <v>0</v>
      </c>
      <c r="H1020" s="56">
        <f t="shared" si="2"/>
        <v>1020</v>
      </c>
      <c r="U1020" s="56"/>
      <c r="V1020" s="56"/>
      <c r="W1020" s="56"/>
      <c r="Y1020" s="138"/>
    </row>
    <row r="1021">
      <c r="A1021" s="56"/>
      <c r="B1021" s="56"/>
      <c r="C1021" s="108" t="str">
        <f>IFNA(VLOOKUP('Dashboard-Dados'!B1021,'Dashboard-Dados'!$Y$2:$AA$13,2),"")</f>
        <v/>
      </c>
      <c r="D1021" s="109">
        <f>IFERROR(GETPIVOTDATA("Valor Recebido",'Dashboard-Dados'!$J$1,$A$1,A1021,$B$1,B1021),0)</f>
        <v>0</v>
      </c>
      <c r="E1021" s="110">
        <f>IFERROR(GETPIVOTDATA("Valor Despesa",'Dashboard-Dados'!$P$1,$A$1,A1021,$B$1,B1021),0)</f>
        <v>0</v>
      </c>
      <c r="F1021" s="110">
        <f t="shared" si="1"/>
        <v>0</v>
      </c>
      <c r="G1021" s="56">
        <f>IFERROR(GETPIVOTDATA("Exame",'Dashboard-Dados'!$J$1,$A$1,A1021,$B$1,B1021),0)</f>
        <v>0</v>
      </c>
      <c r="H1021" s="56">
        <f t="shared" si="2"/>
        <v>1021</v>
      </c>
      <c r="U1021" s="56"/>
      <c r="V1021" s="56"/>
      <c r="W1021" s="56"/>
      <c r="Y1021" s="138"/>
    </row>
    <row r="1022">
      <c r="A1022" s="56"/>
      <c r="B1022" s="56"/>
      <c r="C1022" s="108" t="str">
        <f>IFNA(VLOOKUP('Dashboard-Dados'!B1022,'Dashboard-Dados'!$Y$2:$AA$13,2),"")</f>
        <v/>
      </c>
      <c r="D1022" s="109">
        <f>IFERROR(GETPIVOTDATA("Valor Recebido",'Dashboard-Dados'!$J$1,$A$1,A1022,$B$1,B1022),0)</f>
        <v>0</v>
      </c>
      <c r="E1022" s="110">
        <f>IFERROR(GETPIVOTDATA("Valor Despesa",'Dashboard-Dados'!$P$1,$A$1,A1022,$B$1,B1022),0)</f>
        <v>0</v>
      </c>
      <c r="F1022" s="110">
        <f t="shared" si="1"/>
        <v>0</v>
      </c>
      <c r="G1022" s="56">
        <f>IFERROR(GETPIVOTDATA("Exame",'Dashboard-Dados'!$J$1,$A$1,A1022,$B$1,B1022),0)</f>
        <v>0</v>
      </c>
      <c r="H1022" s="56">
        <f t="shared" si="2"/>
        <v>1022</v>
      </c>
      <c r="U1022" s="56"/>
      <c r="V1022" s="56"/>
      <c r="W1022" s="56"/>
      <c r="Y1022" s="138"/>
    </row>
    <row r="1023">
      <c r="A1023" s="56"/>
      <c r="B1023" s="56"/>
      <c r="C1023" s="108" t="str">
        <f>IFNA(VLOOKUP('Dashboard-Dados'!B1023,'Dashboard-Dados'!$Y$2:$AA$13,2),"")</f>
        <v/>
      </c>
      <c r="D1023" s="109">
        <f>IFERROR(GETPIVOTDATA("Valor Recebido",'Dashboard-Dados'!$J$1,$A$1,A1023,$B$1,B1023),0)</f>
        <v>0</v>
      </c>
      <c r="E1023" s="110">
        <f>IFERROR(GETPIVOTDATA("Valor Despesa",'Dashboard-Dados'!$P$1,$A$1,A1023,$B$1,B1023),0)</f>
        <v>0</v>
      </c>
      <c r="F1023" s="110">
        <f t="shared" si="1"/>
        <v>0</v>
      </c>
      <c r="G1023" s="56">
        <f>IFERROR(GETPIVOTDATA("Exame",'Dashboard-Dados'!$J$1,$A$1,A1023,$B$1,B1023),0)</f>
        <v>0</v>
      </c>
      <c r="H1023" s="56">
        <f t="shared" si="2"/>
        <v>1023</v>
      </c>
      <c r="U1023" s="56"/>
      <c r="V1023" s="56"/>
      <c r="W1023" s="56"/>
      <c r="Y1023" s="138"/>
    </row>
    <row r="1024">
      <c r="A1024" s="56"/>
      <c r="B1024" s="56"/>
      <c r="C1024" s="108" t="str">
        <f>IFNA(VLOOKUP('Dashboard-Dados'!B1024,'Dashboard-Dados'!$Y$2:$AA$13,2),"")</f>
        <v/>
      </c>
      <c r="D1024" s="109">
        <f>IFERROR(GETPIVOTDATA("Valor Recebido",'Dashboard-Dados'!$J$1,$A$1,A1024,$B$1,B1024),0)</f>
        <v>0</v>
      </c>
      <c r="E1024" s="110">
        <f>IFERROR(GETPIVOTDATA("Valor Despesa",'Dashboard-Dados'!$P$1,$A$1,A1024,$B$1,B1024),0)</f>
        <v>0</v>
      </c>
      <c r="F1024" s="110">
        <f t="shared" si="1"/>
        <v>0</v>
      </c>
      <c r="G1024" s="56">
        <f>IFERROR(GETPIVOTDATA("Exame",'Dashboard-Dados'!$J$1,$A$1,A1024,$B$1,B1024),0)</f>
        <v>0</v>
      </c>
      <c r="H1024" s="56">
        <f t="shared" si="2"/>
        <v>1024</v>
      </c>
      <c r="U1024" s="56"/>
      <c r="V1024" s="56"/>
      <c r="W1024" s="56"/>
      <c r="Y1024" s="138"/>
    </row>
    <row r="1025">
      <c r="A1025" s="56"/>
      <c r="B1025" s="56"/>
      <c r="C1025" s="108" t="str">
        <f>IFNA(VLOOKUP('Dashboard-Dados'!B1025,'Dashboard-Dados'!$Y$2:$AA$13,2),"")</f>
        <v/>
      </c>
      <c r="D1025" s="109">
        <f>IFERROR(GETPIVOTDATA("Valor Recebido",'Dashboard-Dados'!$J$1,$A$1,A1025,$B$1,B1025),0)</f>
        <v>0</v>
      </c>
      <c r="E1025" s="110">
        <f>IFERROR(GETPIVOTDATA("Valor Despesa",'Dashboard-Dados'!$P$1,$A$1,A1025,$B$1,B1025),0)</f>
        <v>0</v>
      </c>
      <c r="F1025" s="110">
        <f t="shared" si="1"/>
        <v>0</v>
      </c>
      <c r="G1025" s="56">
        <f>IFERROR(GETPIVOTDATA("Exame",'Dashboard-Dados'!$J$1,$A$1,A1025,$B$1,B1025),0)</f>
        <v>0</v>
      </c>
      <c r="H1025" s="56">
        <f t="shared" si="2"/>
        <v>1025</v>
      </c>
      <c r="U1025" s="56"/>
      <c r="V1025" s="56"/>
      <c r="W1025" s="56"/>
      <c r="Y1025" s="138"/>
    </row>
    <row r="1026">
      <c r="A1026" s="56"/>
      <c r="B1026" s="56"/>
      <c r="C1026" s="108" t="str">
        <f>IFNA(VLOOKUP('Dashboard-Dados'!B1026,'Dashboard-Dados'!$Y$2:$AA$13,2),"")</f>
        <v/>
      </c>
      <c r="D1026" s="109">
        <f>IFERROR(GETPIVOTDATA("Valor Recebido",'Dashboard-Dados'!$J$1,$A$1,A1026,$B$1,B1026),0)</f>
        <v>0</v>
      </c>
      <c r="E1026" s="110">
        <f>IFERROR(GETPIVOTDATA("Valor Despesa",'Dashboard-Dados'!$P$1,$A$1,A1026,$B$1,B1026),0)</f>
        <v>0</v>
      </c>
      <c r="F1026" s="110">
        <f t="shared" si="1"/>
        <v>0</v>
      </c>
      <c r="G1026" s="56">
        <f>IFERROR(GETPIVOTDATA("Exame",'Dashboard-Dados'!$J$1,$A$1,A1026,$B$1,B1026),0)</f>
        <v>0</v>
      </c>
      <c r="H1026" s="56">
        <f t="shared" si="2"/>
        <v>1026</v>
      </c>
      <c r="U1026" s="56"/>
      <c r="V1026" s="56"/>
      <c r="W1026" s="56"/>
      <c r="Y1026" s="138"/>
    </row>
    <row r="1027">
      <c r="A1027" s="56"/>
      <c r="B1027" s="56"/>
      <c r="C1027" s="108" t="str">
        <f>IFNA(VLOOKUP('Dashboard-Dados'!B1027,'Dashboard-Dados'!$Y$2:$AA$13,2),"")</f>
        <v/>
      </c>
      <c r="D1027" s="109">
        <f>IFERROR(GETPIVOTDATA("Valor Recebido",'Dashboard-Dados'!$J$1,$A$1,A1027,$B$1,B1027),0)</f>
        <v>0</v>
      </c>
      <c r="E1027" s="110">
        <f>IFERROR(GETPIVOTDATA("Valor Despesa",'Dashboard-Dados'!$P$1,$A$1,A1027,$B$1,B1027),0)</f>
        <v>0</v>
      </c>
      <c r="F1027" s="110">
        <f t="shared" si="1"/>
        <v>0</v>
      </c>
      <c r="G1027" s="56">
        <f>IFERROR(GETPIVOTDATA("Exame",'Dashboard-Dados'!$J$1,$A$1,A1027,$B$1,B1027),0)</f>
        <v>0</v>
      </c>
      <c r="H1027" s="56">
        <f t="shared" si="2"/>
        <v>1027</v>
      </c>
      <c r="U1027" s="56"/>
      <c r="V1027" s="56"/>
      <c r="W1027" s="56"/>
      <c r="Y1027" s="138"/>
    </row>
    <row r="1028">
      <c r="A1028" s="56"/>
      <c r="B1028" s="56"/>
      <c r="C1028" s="108" t="str">
        <f>IFNA(VLOOKUP('Dashboard-Dados'!B1028,'Dashboard-Dados'!$Y$2:$AA$13,2),"")</f>
        <v/>
      </c>
      <c r="D1028" s="109">
        <f>IFERROR(GETPIVOTDATA("Valor Recebido",'Dashboard-Dados'!$J$1,$A$1,A1028,$B$1,B1028),0)</f>
        <v>0</v>
      </c>
      <c r="E1028" s="110">
        <f>IFERROR(GETPIVOTDATA("Valor Despesa",'Dashboard-Dados'!$P$1,$A$1,A1028,$B$1,B1028),0)</f>
        <v>0</v>
      </c>
      <c r="F1028" s="110">
        <f t="shared" si="1"/>
        <v>0</v>
      </c>
      <c r="G1028" s="56">
        <f>IFERROR(GETPIVOTDATA("Exame",'Dashboard-Dados'!$J$1,$A$1,A1028,$B$1,B1028),0)</f>
        <v>0</v>
      </c>
      <c r="H1028" s="56">
        <f t="shared" si="2"/>
        <v>1028</v>
      </c>
      <c r="U1028" s="56"/>
      <c r="V1028" s="56"/>
      <c r="W1028" s="56"/>
      <c r="Y1028" s="138"/>
    </row>
    <row r="1029">
      <c r="A1029" s="56"/>
      <c r="B1029" s="56"/>
      <c r="C1029" s="108" t="str">
        <f>IFNA(VLOOKUP('Dashboard-Dados'!B1029,'Dashboard-Dados'!$Y$2:$AA$13,2),"")</f>
        <v/>
      </c>
      <c r="D1029" s="109">
        <f>IFERROR(GETPIVOTDATA("Valor Recebido",'Dashboard-Dados'!$J$1,$A$1,A1029,$B$1,B1029),0)</f>
        <v>0</v>
      </c>
      <c r="E1029" s="110">
        <f>IFERROR(GETPIVOTDATA("Valor Despesa",'Dashboard-Dados'!$P$1,$A$1,A1029,$B$1,B1029),0)</f>
        <v>0</v>
      </c>
      <c r="F1029" s="110">
        <f t="shared" si="1"/>
        <v>0</v>
      </c>
      <c r="G1029" s="56">
        <f>IFERROR(GETPIVOTDATA("Exame",'Dashboard-Dados'!$J$1,$A$1,A1029,$B$1,B1029),0)</f>
        <v>0</v>
      </c>
      <c r="H1029" s="56">
        <f t="shared" si="2"/>
        <v>1029</v>
      </c>
      <c r="U1029" s="56"/>
      <c r="V1029" s="56"/>
      <c r="W1029" s="56"/>
      <c r="Y1029" s="138"/>
    </row>
    <row r="1030">
      <c r="A1030" s="56"/>
      <c r="B1030" s="56"/>
      <c r="C1030" s="108" t="str">
        <f>IFNA(VLOOKUP('Dashboard-Dados'!B1030,'Dashboard-Dados'!$Y$2:$AA$13,2),"")</f>
        <v/>
      </c>
      <c r="D1030" s="109">
        <f>IFERROR(GETPIVOTDATA("Valor Recebido",'Dashboard-Dados'!$J$1,$A$1,A1030,$B$1,B1030),0)</f>
        <v>0</v>
      </c>
      <c r="E1030" s="110">
        <f>IFERROR(GETPIVOTDATA("Valor Despesa",'Dashboard-Dados'!$P$1,$A$1,A1030,$B$1,B1030),0)</f>
        <v>0</v>
      </c>
      <c r="F1030" s="110">
        <f t="shared" si="1"/>
        <v>0</v>
      </c>
      <c r="G1030" s="56">
        <f>IFERROR(GETPIVOTDATA("Exame",'Dashboard-Dados'!$J$1,$A$1,A1030,$B$1,B1030),0)</f>
        <v>0</v>
      </c>
      <c r="H1030" s="56">
        <f t="shared" si="2"/>
        <v>1030</v>
      </c>
      <c r="U1030" s="56"/>
      <c r="V1030" s="56"/>
      <c r="W1030" s="56"/>
      <c r="Y1030" s="138"/>
    </row>
    <row r="1031">
      <c r="A1031" s="56"/>
      <c r="B1031" s="56"/>
      <c r="C1031" s="108" t="str">
        <f>IFNA(VLOOKUP('Dashboard-Dados'!B1031,'Dashboard-Dados'!$Y$2:$AA$13,2),"")</f>
        <v/>
      </c>
      <c r="D1031" s="109">
        <f>IFERROR(GETPIVOTDATA("Valor Recebido",'Dashboard-Dados'!$J$1,$A$1,A1031,$B$1,B1031),0)</f>
        <v>0</v>
      </c>
      <c r="E1031" s="110">
        <f>IFERROR(GETPIVOTDATA("Valor Despesa",'Dashboard-Dados'!$P$1,$A$1,A1031,$B$1,B1031),0)</f>
        <v>0</v>
      </c>
      <c r="F1031" s="110">
        <f t="shared" si="1"/>
        <v>0</v>
      </c>
      <c r="G1031" s="56">
        <f>IFERROR(GETPIVOTDATA("Exame",'Dashboard-Dados'!$J$1,$A$1,A1031,$B$1,B1031),0)</f>
        <v>0</v>
      </c>
      <c r="H1031" s="56">
        <f t="shared" si="2"/>
        <v>1031</v>
      </c>
      <c r="U1031" s="56"/>
      <c r="V1031" s="56"/>
      <c r="W1031" s="56"/>
      <c r="Y1031" s="138"/>
    </row>
    <row r="1032">
      <c r="A1032" s="56"/>
      <c r="B1032" s="56"/>
      <c r="C1032" s="108" t="str">
        <f>IFNA(VLOOKUP('Dashboard-Dados'!B1032,'Dashboard-Dados'!$Y$2:$AA$13,2),"")</f>
        <v/>
      </c>
      <c r="D1032" s="109">
        <f>IFERROR(GETPIVOTDATA("Valor Recebido",'Dashboard-Dados'!$J$1,$A$1,A1032,$B$1,B1032),0)</f>
        <v>0</v>
      </c>
      <c r="E1032" s="110">
        <f>IFERROR(GETPIVOTDATA("Valor Despesa",'Dashboard-Dados'!$P$1,$A$1,A1032,$B$1,B1032),0)</f>
        <v>0</v>
      </c>
      <c r="F1032" s="110">
        <f t="shared" si="1"/>
        <v>0</v>
      </c>
      <c r="G1032" s="56">
        <f>IFERROR(GETPIVOTDATA("Exame",'Dashboard-Dados'!$J$1,$A$1,A1032,$B$1,B1032),0)</f>
        <v>0</v>
      </c>
      <c r="H1032" s="56">
        <f t="shared" si="2"/>
        <v>1032</v>
      </c>
      <c r="U1032" s="56"/>
      <c r="V1032" s="56"/>
      <c r="W1032" s="56"/>
      <c r="Y1032" s="138"/>
    </row>
    <row r="1033">
      <c r="A1033" s="56"/>
      <c r="B1033" s="56"/>
      <c r="C1033" s="108" t="str">
        <f>IFNA(VLOOKUP('Dashboard-Dados'!B1033,'Dashboard-Dados'!$Y$2:$AA$13,2),"")</f>
        <v/>
      </c>
      <c r="D1033" s="109">
        <f>IFERROR(GETPIVOTDATA("Valor Recebido",'Dashboard-Dados'!$J$1,$A$1,A1033,$B$1,B1033),0)</f>
        <v>0</v>
      </c>
      <c r="E1033" s="110">
        <f>IFERROR(GETPIVOTDATA("Valor Despesa",'Dashboard-Dados'!$P$1,$A$1,A1033,$B$1,B1033),0)</f>
        <v>0</v>
      </c>
      <c r="F1033" s="110">
        <f t="shared" si="1"/>
        <v>0</v>
      </c>
      <c r="G1033" s="56">
        <f>IFERROR(GETPIVOTDATA("Exame",'Dashboard-Dados'!$J$1,$A$1,A1033,$B$1,B1033),0)</f>
        <v>0</v>
      </c>
      <c r="H1033" s="56">
        <f t="shared" si="2"/>
        <v>1033</v>
      </c>
      <c r="U1033" s="56"/>
      <c r="V1033" s="56"/>
      <c r="W1033" s="56"/>
      <c r="Y1033" s="138"/>
    </row>
    <row r="1034">
      <c r="A1034" s="56"/>
      <c r="B1034" s="56"/>
      <c r="C1034" s="108" t="str">
        <f>IFNA(VLOOKUP('Dashboard-Dados'!B1034,'Dashboard-Dados'!$Y$2:$AA$13,2),"")</f>
        <v/>
      </c>
      <c r="D1034" s="109">
        <f>IFERROR(GETPIVOTDATA("Valor Recebido",'Dashboard-Dados'!$J$1,$A$1,A1034,$B$1,B1034),0)</f>
        <v>0</v>
      </c>
      <c r="E1034" s="110">
        <f>IFERROR(GETPIVOTDATA("Valor Despesa",'Dashboard-Dados'!$P$1,$A$1,A1034,$B$1,B1034),0)</f>
        <v>0</v>
      </c>
      <c r="F1034" s="110">
        <f t="shared" si="1"/>
        <v>0</v>
      </c>
      <c r="G1034" s="56">
        <f>IFERROR(GETPIVOTDATA("Exame",'Dashboard-Dados'!$J$1,$A$1,A1034,$B$1,B1034),0)</f>
        <v>0</v>
      </c>
      <c r="H1034" s="56">
        <f t="shared" si="2"/>
        <v>1034</v>
      </c>
      <c r="U1034" s="56"/>
      <c r="V1034" s="56"/>
      <c r="W1034" s="56"/>
      <c r="Y1034" s="138"/>
    </row>
    <row r="1035">
      <c r="A1035" s="56"/>
      <c r="B1035" s="56"/>
      <c r="C1035" s="108" t="str">
        <f>IFNA(VLOOKUP('Dashboard-Dados'!B1035,'Dashboard-Dados'!$Y$2:$AA$13,2),"")</f>
        <v/>
      </c>
      <c r="D1035" s="109">
        <f>IFERROR(GETPIVOTDATA("Valor Recebido",'Dashboard-Dados'!$J$1,$A$1,A1035,$B$1,B1035),0)</f>
        <v>0</v>
      </c>
      <c r="E1035" s="110">
        <f>IFERROR(GETPIVOTDATA("Valor Despesa",'Dashboard-Dados'!$P$1,$A$1,A1035,$B$1,B1035),0)</f>
        <v>0</v>
      </c>
      <c r="F1035" s="110">
        <f t="shared" si="1"/>
        <v>0</v>
      </c>
      <c r="G1035" s="56">
        <f>IFERROR(GETPIVOTDATA("Exame",'Dashboard-Dados'!$J$1,$A$1,A1035,$B$1,B1035),0)</f>
        <v>0</v>
      </c>
      <c r="H1035" s="56">
        <f t="shared" si="2"/>
        <v>1035</v>
      </c>
      <c r="U1035" s="56"/>
      <c r="V1035" s="56"/>
      <c r="W1035" s="56"/>
      <c r="Y1035" s="138"/>
    </row>
    <row r="1036">
      <c r="A1036" s="56"/>
      <c r="B1036" s="56"/>
      <c r="C1036" s="108" t="str">
        <f>IFNA(VLOOKUP('Dashboard-Dados'!B1036,'Dashboard-Dados'!$Y$2:$AA$13,2),"")</f>
        <v/>
      </c>
      <c r="D1036" s="109">
        <f>IFERROR(GETPIVOTDATA("Valor Recebido",'Dashboard-Dados'!$J$1,$A$1,A1036,$B$1,B1036),0)</f>
        <v>0</v>
      </c>
      <c r="E1036" s="110">
        <f>IFERROR(GETPIVOTDATA("Valor Despesa",'Dashboard-Dados'!$P$1,$A$1,A1036,$B$1,B1036),0)</f>
        <v>0</v>
      </c>
      <c r="F1036" s="110">
        <f t="shared" si="1"/>
        <v>0</v>
      </c>
      <c r="G1036" s="56">
        <f>IFERROR(GETPIVOTDATA("Exame",'Dashboard-Dados'!$J$1,$A$1,A1036,$B$1,B1036),0)</f>
        <v>0</v>
      </c>
      <c r="H1036" s="56">
        <f t="shared" si="2"/>
        <v>1036</v>
      </c>
      <c r="U1036" s="56"/>
      <c r="V1036" s="56"/>
      <c r="W1036" s="56"/>
      <c r="Y1036" s="138"/>
    </row>
    <row r="1037">
      <c r="A1037" s="56"/>
      <c r="B1037" s="56"/>
      <c r="C1037" s="108" t="str">
        <f>IFNA(VLOOKUP('Dashboard-Dados'!B1037,'Dashboard-Dados'!$Y$2:$AA$13,2),"")</f>
        <v/>
      </c>
      <c r="D1037" s="109">
        <f>IFERROR(GETPIVOTDATA("Valor Recebido",'Dashboard-Dados'!$J$1,$A$1,A1037,$B$1,B1037),0)</f>
        <v>0</v>
      </c>
      <c r="E1037" s="110">
        <f>IFERROR(GETPIVOTDATA("Valor Despesa",'Dashboard-Dados'!$P$1,$A$1,A1037,$B$1,B1037),0)</f>
        <v>0</v>
      </c>
      <c r="F1037" s="110">
        <f t="shared" si="1"/>
        <v>0</v>
      </c>
      <c r="G1037" s="56">
        <f>IFERROR(GETPIVOTDATA("Exame",'Dashboard-Dados'!$J$1,$A$1,A1037,$B$1,B1037),0)</f>
        <v>0</v>
      </c>
      <c r="H1037" s="56">
        <f t="shared" si="2"/>
        <v>1037</v>
      </c>
      <c r="U1037" s="56"/>
      <c r="V1037" s="56"/>
      <c r="W1037" s="56"/>
      <c r="Y1037" s="138"/>
    </row>
    <row r="1038">
      <c r="A1038" s="56"/>
      <c r="B1038" s="56"/>
      <c r="C1038" s="108" t="str">
        <f>IFNA(VLOOKUP('Dashboard-Dados'!B1038,'Dashboard-Dados'!$Y$2:$AA$13,2),"")</f>
        <v/>
      </c>
      <c r="D1038" s="109">
        <f>IFERROR(GETPIVOTDATA("Valor Recebido",'Dashboard-Dados'!$J$1,$A$1,A1038,$B$1,B1038),0)</f>
        <v>0</v>
      </c>
      <c r="E1038" s="110">
        <f>IFERROR(GETPIVOTDATA("Valor Despesa",'Dashboard-Dados'!$P$1,$A$1,A1038,$B$1,B1038),0)</f>
        <v>0</v>
      </c>
      <c r="F1038" s="110">
        <f t="shared" si="1"/>
        <v>0</v>
      </c>
      <c r="G1038" s="56">
        <f>IFERROR(GETPIVOTDATA("Exame",'Dashboard-Dados'!$J$1,$A$1,A1038,$B$1,B1038),0)</f>
        <v>0</v>
      </c>
      <c r="H1038" s="56">
        <f t="shared" si="2"/>
        <v>1038</v>
      </c>
      <c r="U1038" s="56"/>
      <c r="V1038" s="56"/>
      <c r="W1038" s="56"/>
      <c r="Y1038" s="138"/>
    </row>
    <row r="1039">
      <c r="A1039" s="56"/>
      <c r="B1039" s="56"/>
      <c r="C1039" s="108" t="str">
        <f>IFNA(VLOOKUP('Dashboard-Dados'!B1039,'Dashboard-Dados'!$Y$2:$AA$13,2),"")</f>
        <v/>
      </c>
      <c r="D1039" s="109">
        <f>IFERROR(GETPIVOTDATA("Valor Recebido",'Dashboard-Dados'!$J$1,$A$1,A1039,$B$1,B1039),0)</f>
        <v>0</v>
      </c>
      <c r="E1039" s="110">
        <f>IFERROR(GETPIVOTDATA("Valor Despesa",'Dashboard-Dados'!$P$1,$A$1,A1039,$B$1,B1039),0)</f>
        <v>0</v>
      </c>
      <c r="F1039" s="110">
        <f t="shared" si="1"/>
        <v>0</v>
      </c>
      <c r="G1039" s="56">
        <f>IFERROR(GETPIVOTDATA("Exame",'Dashboard-Dados'!$J$1,$A$1,A1039,$B$1,B1039),0)</f>
        <v>0</v>
      </c>
      <c r="H1039" s="56">
        <f t="shared" si="2"/>
        <v>1039</v>
      </c>
      <c r="U1039" s="56"/>
      <c r="V1039" s="56"/>
      <c r="W1039" s="56"/>
      <c r="Y1039" s="138"/>
    </row>
    <row r="1040">
      <c r="A1040" s="56"/>
      <c r="B1040" s="56"/>
      <c r="C1040" s="108" t="str">
        <f>IFNA(VLOOKUP('Dashboard-Dados'!B1040,'Dashboard-Dados'!$Y$2:$AA$13,2),"")</f>
        <v/>
      </c>
      <c r="D1040" s="109">
        <f>IFERROR(GETPIVOTDATA("Valor Recebido",'Dashboard-Dados'!$J$1,$A$1,A1040,$B$1,B1040),0)</f>
        <v>0</v>
      </c>
      <c r="E1040" s="110">
        <f>IFERROR(GETPIVOTDATA("Valor Despesa",'Dashboard-Dados'!$P$1,$A$1,A1040,$B$1,B1040),0)</f>
        <v>0</v>
      </c>
      <c r="F1040" s="110">
        <f t="shared" si="1"/>
        <v>0</v>
      </c>
      <c r="G1040" s="56">
        <f>IFERROR(GETPIVOTDATA("Exame",'Dashboard-Dados'!$J$1,$A$1,A1040,$B$1,B1040),0)</f>
        <v>0</v>
      </c>
      <c r="H1040" s="56">
        <f t="shared" si="2"/>
        <v>1040</v>
      </c>
      <c r="U1040" s="56"/>
      <c r="V1040" s="56"/>
      <c r="W1040" s="56"/>
      <c r="Y1040" s="138"/>
    </row>
    <row r="1041">
      <c r="A1041" s="56"/>
      <c r="B1041" s="56"/>
      <c r="C1041" s="108" t="str">
        <f>IFNA(VLOOKUP('Dashboard-Dados'!B1041,'Dashboard-Dados'!$Y$2:$AA$13,2),"")</f>
        <v/>
      </c>
      <c r="D1041" s="109">
        <f>IFERROR(GETPIVOTDATA("Valor Recebido",'Dashboard-Dados'!$J$1,$A$1,A1041,$B$1,B1041),0)</f>
        <v>0</v>
      </c>
      <c r="E1041" s="110">
        <f>IFERROR(GETPIVOTDATA("Valor Despesa",'Dashboard-Dados'!$P$1,$A$1,A1041,$B$1,B1041),0)</f>
        <v>0</v>
      </c>
      <c r="F1041" s="110">
        <f t="shared" si="1"/>
        <v>0</v>
      </c>
      <c r="G1041" s="56">
        <f>IFERROR(GETPIVOTDATA("Exame",'Dashboard-Dados'!$J$1,$A$1,A1041,$B$1,B1041),0)</f>
        <v>0</v>
      </c>
      <c r="H1041" s="56">
        <f t="shared" si="2"/>
        <v>1041</v>
      </c>
      <c r="U1041" s="56"/>
      <c r="V1041" s="56"/>
      <c r="W1041" s="56"/>
      <c r="Y1041" s="138"/>
    </row>
    <row r="1042">
      <c r="A1042" s="56"/>
      <c r="B1042" s="56"/>
      <c r="C1042" s="108" t="str">
        <f>IFNA(VLOOKUP('Dashboard-Dados'!B1042,'Dashboard-Dados'!$Y$2:$AA$13,2),"")</f>
        <v/>
      </c>
      <c r="D1042" s="109">
        <f>IFERROR(GETPIVOTDATA("Valor Recebido",'Dashboard-Dados'!$J$1,$A$1,A1042,$B$1,B1042),0)</f>
        <v>0</v>
      </c>
      <c r="E1042" s="110">
        <f>IFERROR(GETPIVOTDATA("Valor Despesa",'Dashboard-Dados'!$P$1,$A$1,A1042,$B$1,B1042),0)</f>
        <v>0</v>
      </c>
      <c r="F1042" s="110">
        <f t="shared" si="1"/>
        <v>0</v>
      </c>
      <c r="G1042" s="56">
        <f>IFERROR(GETPIVOTDATA("Exame",'Dashboard-Dados'!$J$1,$A$1,A1042,$B$1,B1042),0)</f>
        <v>0</v>
      </c>
      <c r="H1042" s="56">
        <f t="shared" si="2"/>
        <v>1042</v>
      </c>
      <c r="U1042" s="56"/>
      <c r="V1042" s="56"/>
      <c r="W1042" s="56"/>
      <c r="Y1042" s="138"/>
    </row>
    <row r="1043">
      <c r="A1043" s="56"/>
      <c r="B1043" s="56"/>
      <c r="C1043" s="108" t="str">
        <f>IFNA(VLOOKUP('Dashboard-Dados'!B1043,'Dashboard-Dados'!$Y$2:$AA$13,2),"")</f>
        <v/>
      </c>
      <c r="D1043" s="109">
        <f>IFERROR(GETPIVOTDATA("Valor Recebido",'Dashboard-Dados'!$J$1,$A$1,A1043,$B$1,B1043),0)</f>
        <v>0</v>
      </c>
      <c r="E1043" s="110">
        <f>IFERROR(GETPIVOTDATA("Valor Despesa",'Dashboard-Dados'!$P$1,$A$1,A1043,$B$1,B1043),0)</f>
        <v>0</v>
      </c>
      <c r="F1043" s="110">
        <f t="shared" si="1"/>
        <v>0</v>
      </c>
      <c r="G1043" s="56">
        <f>IFERROR(GETPIVOTDATA("Exame",'Dashboard-Dados'!$J$1,$A$1,A1043,$B$1,B1043),0)</f>
        <v>0</v>
      </c>
      <c r="H1043" s="56">
        <f t="shared" si="2"/>
        <v>1043</v>
      </c>
      <c r="U1043" s="56"/>
      <c r="V1043" s="56"/>
      <c r="W1043" s="56"/>
      <c r="Y1043" s="138"/>
    </row>
    <row r="1044">
      <c r="A1044" s="56"/>
      <c r="B1044" s="56"/>
      <c r="C1044" s="108" t="str">
        <f>IFNA(VLOOKUP('Dashboard-Dados'!B1044,'Dashboard-Dados'!$Y$2:$AA$13,2),"")</f>
        <v/>
      </c>
      <c r="D1044" s="109">
        <f>IFERROR(GETPIVOTDATA("Valor Recebido",'Dashboard-Dados'!$J$1,$A$1,A1044,$B$1,B1044),0)</f>
        <v>0</v>
      </c>
      <c r="E1044" s="110">
        <f>IFERROR(GETPIVOTDATA("Valor Despesa",'Dashboard-Dados'!$P$1,$A$1,A1044,$B$1,B1044),0)</f>
        <v>0</v>
      </c>
      <c r="F1044" s="110">
        <f t="shared" si="1"/>
        <v>0</v>
      </c>
      <c r="G1044" s="56">
        <f>IFERROR(GETPIVOTDATA("Exame",'Dashboard-Dados'!$J$1,$A$1,A1044,$B$1,B1044),0)</f>
        <v>0</v>
      </c>
      <c r="H1044" s="56">
        <f t="shared" si="2"/>
        <v>1044</v>
      </c>
      <c r="U1044" s="56"/>
      <c r="V1044" s="56"/>
      <c r="W1044" s="56"/>
      <c r="Y1044" s="138"/>
    </row>
    <row r="1045">
      <c r="A1045" s="56"/>
      <c r="B1045" s="56"/>
      <c r="C1045" s="108" t="str">
        <f>IFNA(VLOOKUP('Dashboard-Dados'!B1045,'Dashboard-Dados'!$Y$2:$AA$13,2),"")</f>
        <v/>
      </c>
      <c r="D1045" s="109">
        <f>IFERROR(GETPIVOTDATA("Valor Recebido",'Dashboard-Dados'!$J$1,$A$1,A1045,$B$1,B1045),0)</f>
        <v>0</v>
      </c>
      <c r="E1045" s="110">
        <f>IFERROR(GETPIVOTDATA("Valor Despesa",'Dashboard-Dados'!$P$1,$A$1,A1045,$B$1,B1045),0)</f>
        <v>0</v>
      </c>
      <c r="F1045" s="110">
        <f t="shared" si="1"/>
        <v>0</v>
      </c>
      <c r="G1045" s="56">
        <f>IFERROR(GETPIVOTDATA("Exame",'Dashboard-Dados'!$J$1,$A$1,A1045,$B$1,B1045),0)</f>
        <v>0</v>
      </c>
      <c r="H1045" s="56">
        <f t="shared" si="2"/>
        <v>1045</v>
      </c>
      <c r="U1045" s="56"/>
      <c r="V1045" s="56"/>
      <c r="W1045" s="56"/>
      <c r="Y1045" s="138"/>
    </row>
    <row r="1046">
      <c r="A1046" s="56"/>
      <c r="B1046" s="56"/>
      <c r="C1046" s="108" t="str">
        <f>IFNA(VLOOKUP('Dashboard-Dados'!B1046,'Dashboard-Dados'!$Y$2:$AA$13,2),"")</f>
        <v/>
      </c>
      <c r="D1046" s="109">
        <f>IFERROR(GETPIVOTDATA("Valor Recebido",'Dashboard-Dados'!$J$1,$A$1,A1046,$B$1,B1046),0)</f>
        <v>0</v>
      </c>
      <c r="E1046" s="110">
        <f>IFERROR(GETPIVOTDATA("Valor Despesa",'Dashboard-Dados'!$P$1,$A$1,A1046,$B$1,B1046),0)</f>
        <v>0</v>
      </c>
      <c r="F1046" s="110">
        <f t="shared" si="1"/>
        <v>0</v>
      </c>
      <c r="G1046" s="56">
        <f>IFERROR(GETPIVOTDATA("Exame",'Dashboard-Dados'!$J$1,$A$1,A1046,$B$1,B1046),0)</f>
        <v>0</v>
      </c>
      <c r="H1046" s="56">
        <f t="shared" si="2"/>
        <v>1046</v>
      </c>
      <c r="U1046" s="56"/>
      <c r="V1046" s="56"/>
      <c r="W1046" s="56"/>
      <c r="Y1046" s="138"/>
    </row>
    <row r="1047">
      <c r="A1047" s="56"/>
      <c r="B1047" s="56"/>
      <c r="C1047" s="108" t="str">
        <f>IFNA(VLOOKUP('Dashboard-Dados'!B1047,'Dashboard-Dados'!$Y$2:$AA$13,2),"")</f>
        <v/>
      </c>
      <c r="D1047" s="109">
        <f>IFERROR(GETPIVOTDATA("Valor Recebido",'Dashboard-Dados'!$J$1,$A$1,A1047,$B$1,B1047),0)</f>
        <v>0</v>
      </c>
      <c r="E1047" s="110">
        <f>IFERROR(GETPIVOTDATA("Valor Despesa",'Dashboard-Dados'!$P$1,$A$1,A1047,$B$1,B1047),0)</f>
        <v>0</v>
      </c>
      <c r="F1047" s="110">
        <f t="shared" si="1"/>
        <v>0</v>
      </c>
      <c r="G1047" s="56">
        <f>IFERROR(GETPIVOTDATA("Exame",'Dashboard-Dados'!$J$1,$A$1,A1047,$B$1,B1047),0)</f>
        <v>0</v>
      </c>
      <c r="H1047" s="56">
        <f t="shared" si="2"/>
        <v>1047</v>
      </c>
      <c r="U1047" s="56"/>
      <c r="V1047" s="56"/>
      <c r="W1047" s="56"/>
      <c r="Y1047" s="138"/>
    </row>
    <row r="1048">
      <c r="A1048" s="56"/>
      <c r="B1048" s="56"/>
      <c r="C1048" s="108" t="str">
        <f>IFNA(VLOOKUP('Dashboard-Dados'!B1048,'Dashboard-Dados'!$Y$2:$AA$13,2),"")</f>
        <v/>
      </c>
      <c r="D1048" s="109">
        <f>IFERROR(GETPIVOTDATA("Valor Recebido",'Dashboard-Dados'!$J$1,$A$1,A1048,$B$1,B1048),0)</f>
        <v>0</v>
      </c>
      <c r="E1048" s="110">
        <f>IFERROR(GETPIVOTDATA("Valor Despesa",'Dashboard-Dados'!$P$1,$A$1,A1048,$B$1,B1048),0)</f>
        <v>0</v>
      </c>
      <c r="F1048" s="110">
        <f t="shared" si="1"/>
        <v>0</v>
      </c>
      <c r="G1048" s="56">
        <f>IFERROR(GETPIVOTDATA("Exame",'Dashboard-Dados'!$J$1,$A$1,A1048,$B$1,B1048),0)</f>
        <v>0</v>
      </c>
      <c r="H1048" s="56">
        <f t="shared" si="2"/>
        <v>1048</v>
      </c>
      <c r="U1048" s="56"/>
      <c r="V1048" s="56"/>
      <c r="W1048" s="56"/>
      <c r="Y1048" s="138"/>
    </row>
    <row r="1049">
      <c r="A1049" s="56"/>
      <c r="B1049" s="56"/>
      <c r="C1049" s="108" t="str">
        <f>IFNA(VLOOKUP('Dashboard-Dados'!B1049,'Dashboard-Dados'!$Y$2:$AA$13,2),"")</f>
        <v/>
      </c>
      <c r="D1049" s="109">
        <f>IFERROR(GETPIVOTDATA("Valor Recebido",'Dashboard-Dados'!$J$1,$A$1,A1049,$B$1,B1049),0)</f>
        <v>0</v>
      </c>
      <c r="E1049" s="110">
        <f>IFERROR(GETPIVOTDATA("Valor Despesa",'Dashboard-Dados'!$P$1,$A$1,A1049,$B$1,B1049),0)</f>
        <v>0</v>
      </c>
      <c r="F1049" s="110">
        <f t="shared" si="1"/>
        <v>0</v>
      </c>
      <c r="G1049" s="56">
        <f>IFERROR(GETPIVOTDATA("Exame",'Dashboard-Dados'!$J$1,$A$1,A1049,$B$1,B1049),0)</f>
        <v>0</v>
      </c>
      <c r="H1049" s="56">
        <f t="shared" si="2"/>
        <v>1049</v>
      </c>
      <c r="U1049" s="56"/>
      <c r="V1049" s="56"/>
      <c r="W1049" s="56"/>
      <c r="Y1049" s="138"/>
    </row>
    <row r="1050">
      <c r="A1050" s="56"/>
      <c r="B1050" s="56"/>
      <c r="C1050" s="108" t="str">
        <f>IFNA(VLOOKUP('Dashboard-Dados'!B1050,'Dashboard-Dados'!$Y$2:$AA$13,2),"")</f>
        <v/>
      </c>
      <c r="D1050" s="109">
        <f>IFERROR(GETPIVOTDATA("Valor Recebido",'Dashboard-Dados'!$J$1,$A$1,A1050,$B$1,B1050),0)</f>
        <v>0</v>
      </c>
      <c r="E1050" s="110">
        <f>IFERROR(GETPIVOTDATA("Valor Despesa",'Dashboard-Dados'!$P$1,$A$1,A1050,$B$1,B1050),0)</f>
        <v>0</v>
      </c>
      <c r="F1050" s="110">
        <f t="shared" si="1"/>
        <v>0</v>
      </c>
      <c r="G1050" s="56">
        <f>IFERROR(GETPIVOTDATA("Exame",'Dashboard-Dados'!$J$1,$A$1,A1050,$B$1,B1050),0)</f>
        <v>0</v>
      </c>
      <c r="H1050" s="56">
        <f t="shared" si="2"/>
        <v>1050</v>
      </c>
      <c r="U1050" s="56"/>
      <c r="V1050" s="56"/>
      <c r="W1050" s="56"/>
      <c r="Y1050" s="138"/>
    </row>
    <row r="1051">
      <c r="A1051" s="56"/>
      <c r="B1051" s="56"/>
      <c r="C1051" s="108" t="str">
        <f>IFNA(VLOOKUP('Dashboard-Dados'!B1051,'Dashboard-Dados'!$Y$2:$AA$13,2),"")</f>
        <v/>
      </c>
      <c r="D1051" s="109">
        <f>IFERROR(GETPIVOTDATA("Valor Recebido",'Dashboard-Dados'!$J$1,$A$1,A1051,$B$1,B1051),0)</f>
        <v>0</v>
      </c>
      <c r="E1051" s="110">
        <f>IFERROR(GETPIVOTDATA("Valor Despesa",'Dashboard-Dados'!$P$1,$A$1,A1051,$B$1,B1051),0)</f>
        <v>0</v>
      </c>
      <c r="F1051" s="110">
        <f t="shared" si="1"/>
        <v>0</v>
      </c>
      <c r="G1051" s="56">
        <f>IFERROR(GETPIVOTDATA("Exame",'Dashboard-Dados'!$J$1,$A$1,A1051,$B$1,B1051),0)</f>
        <v>0</v>
      </c>
      <c r="H1051" s="56">
        <f t="shared" si="2"/>
        <v>1051</v>
      </c>
      <c r="U1051" s="56"/>
      <c r="V1051" s="56"/>
      <c r="W1051" s="56"/>
      <c r="Y1051" s="138"/>
    </row>
    <row r="1052">
      <c r="A1052" s="56"/>
      <c r="B1052" s="56"/>
      <c r="C1052" s="108" t="str">
        <f>IFNA(VLOOKUP('Dashboard-Dados'!B1052,'Dashboard-Dados'!$Y$2:$AA$13,2),"")</f>
        <v/>
      </c>
      <c r="D1052" s="109">
        <f>IFERROR(GETPIVOTDATA("Valor Recebido",'Dashboard-Dados'!$J$1,$A$1,A1052,$B$1,B1052),0)</f>
        <v>0</v>
      </c>
      <c r="E1052" s="110">
        <f>IFERROR(GETPIVOTDATA("Valor Despesa",'Dashboard-Dados'!$P$1,$A$1,A1052,$B$1,B1052),0)</f>
        <v>0</v>
      </c>
      <c r="F1052" s="110">
        <f t="shared" si="1"/>
        <v>0</v>
      </c>
      <c r="G1052" s="56">
        <f>IFERROR(GETPIVOTDATA("Exame",'Dashboard-Dados'!$J$1,$A$1,A1052,$B$1,B1052),0)</f>
        <v>0</v>
      </c>
      <c r="H1052" s="56">
        <f t="shared" si="2"/>
        <v>1052</v>
      </c>
      <c r="U1052" s="56"/>
      <c r="V1052" s="56"/>
      <c r="W1052" s="56"/>
      <c r="Y1052" s="138"/>
    </row>
    <row r="1053">
      <c r="A1053" s="56"/>
      <c r="B1053" s="56"/>
      <c r="C1053" s="108" t="str">
        <f>IFNA(VLOOKUP('Dashboard-Dados'!B1053,'Dashboard-Dados'!$Y$2:$AA$13,2),"")</f>
        <v/>
      </c>
      <c r="D1053" s="109">
        <f>IFERROR(GETPIVOTDATA("Valor Recebido",'Dashboard-Dados'!$J$1,$A$1,A1053,$B$1,B1053),0)</f>
        <v>0</v>
      </c>
      <c r="E1053" s="110">
        <f>IFERROR(GETPIVOTDATA("Valor Despesa",'Dashboard-Dados'!$P$1,$A$1,A1053,$B$1,B1053),0)</f>
        <v>0</v>
      </c>
      <c r="F1053" s="110">
        <f t="shared" si="1"/>
        <v>0</v>
      </c>
      <c r="G1053" s="56">
        <f>IFERROR(GETPIVOTDATA("Exame",'Dashboard-Dados'!$J$1,$A$1,A1053,$B$1,B1053),0)</f>
        <v>0</v>
      </c>
      <c r="H1053" s="56">
        <f t="shared" si="2"/>
        <v>1053</v>
      </c>
      <c r="U1053" s="56"/>
      <c r="V1053" s="56"/>
      <c r="W1053" s="56"/>
      <c r="Y1053" s="138"/>
    </row>
    <row r="1054">
      <c r="A1054" s="56"/>
      <c r="B1054" s="56"/>
      <c r="C1054" s="108" t="str">
        <f>IFNA(VLOOKUP('Dashboard-Dados'!B1054,'Dashboard-Dados'!$Y$2:$AA$13,2),"")</f>
        <v/>
      </c>
      <c r="D1054" s="109">
        <f>IFERROR(GETPIVOTDATA("Valor Recebido",'Dashboard-Dados'!$J$1,$A$1,A1054,$B$1,B1054),0)</f>
        <v>0</v>
      </c>
      <c r="E1054" s="110">
        <f>IFERROR(GETPIVOTDATA("Valor Despesa",'Dashboard-Dados'!$P$1,$A$1,A1054,$B$1,B1054),0)</f>
        <v>0</v>
      </c>
      <c r="F1054" s="110">
        <f t="shared" si="1"/>
        <v>0</v>
      </c>
      <c r="G1054" s="56">
        <f>IFERROR(GETPIVOTDATA("Exame",'Dashboard-Dados'!$J$1,$A$1,A1054,$B$1,B1054),0)</f>
        <v>0</v>
      </c>
      <c r="H1054" s="56">
        <f t="shared" si="2"/>
        <v>1054</v>
      </c>
      <c r="U1054" s="56"/>
      <c r="V1054" s="56"/>
      <c r="W1054" s="56"/>
      <c r="Y1054" s="138"/>
    </row>
    <row r="1055">
      <c r="A1055" s="56"/>
      <c r="B1055" s="56"/>
      <c r="C1055" s="108" t="str">
        <f>IFNA(VLOOKUP('Dashboard-Dados'!B1055,'Dashboard-Dados'!$Y$2:$AA$13,2),"")</f>
        <v/>
      </c>
      <c r="D1055" s="109">
        <f>IFERROR(GETPIVOTDATA("Valor Recebido",'Dashboard-Dados'!$J$1,$A$1,A1055,$B$1,B1055),0)</f>
        <v>0</v>
      </c>
      <c r="E1055" s="110">
        <f>IFERROR(GETPIVOTDATA("Valor Despesa",'Dashboard-Dados'!$P$1,$A$1,A1055,$B$1,B1055),0)</f>
        <v>0</v>
      </c>
      <c r="F1055" s="110">
        <f t="shared" si="1"/>
        <v>0</v>
      </c>
      <c r="G1055" s="56">
        <f>IFERROR(GETPIVOTDATA("Exame",'Dashboard-Dados'!$J$1,$A$1,A1055,$B$1,B1055),0)</f>
        <v>0</v>
      </c>
      <c r="H1055" s="56">
        <f t="shared" si="2"/>
        <v>1055</v>
      </c>
      <c r="U1055" s="56"/>
      <c r="V1055" s="56"/>
      <c r="W1055" s="56"/>
      <c r="Y1055" s="138"/>
    </row>
    <row r="1056">
      <c r="A1056" s="56"/>
      <c r="B1056" s="56"/>
      <c r="C1056" s="108" t="str">
        <f>IFNA(VLOOKUP('Dashboard-Dados'!B1056,'Dashboard-Dados'!$Y$2:$AA$13,2),"")</f>
        <v/>
      </c>
      <c r="D1056" s="109">
        <f>IFERROR(GETPIVOTDATA("Valor Recebido",'Dashboard-Dados'!$J$1,$A$1,A1056,$B$1,B1056),0)</f>
        <v>0</v>
      </c>
      <c r="E1056" s="110">
        <f>IFERROR(GETPIVOTDATA("Valor Despesa",'Dashboard-Dados'!$P$1,$A$1,A1056,$B$1,B1056),0)</f>
        <v>0</v>
      </c>
      <c r="F1056" s="110">
        <f t="shared" si="1"/>
        <v>0</v>
      </c>
      <c r="G1056" s="56">
        <f>IFERROR(GETPIVOTDATA("Exame",'Dashboard-Dados'!$J$1,$A$1,A1056,$B$1,B1056),0)</f>
        <v>0</v>
      </c>
      <c r="H1056" s="56">
        <f t="shared" si="2"/>
        <v>1056</v>
      </c>
      <c r="U1056" s="56"/>
      <c r="V1056" s="56"/>
      <c r="W1056" s="56"/>
      <c r="Y1056" s="138"/>
    </row>
    <row r="1057">
      <c r="A1057" s="56"/>
      <c r="B1057" s="56"/>
      <c r="C1057" s="108" t="str">
        <f>IFNA(VLOOKUP('Dashboard-Dados'!B1057,'Dashboard-Dados'!$Y$2:$AA$13,2),"")</f>
        <v/>
      </c>
      <c r="D1057" s="109">
        <f>IFERROR(GETPIVOTDATA("Valor Recebido",'Dashboard-Dados'!$J$1,$A$1,A1057,$B$1,B1057),0)</f>
        <v>0</v>
      </c>
      <c r="E1057" s="110">
        <f>IFERROR(GETPIVOTDATA("Valor Despesa",'Dashboard-Dados'!$P$1,$A$1,A1057,$B$1,B1057),0)</f>
        <v>0</v>
      </c>
      <c r="F1057" s="110">
        <f t="shared" si="1"/>
        <v>0</v>
      </c>
      <c r="G1057" s="56">
        <f>IFERROR(GETPIVOTDATA("Exame",'Dashboard-Dados'!$J$1,$A$1,A1057,$B$1,B1057),0)</f>
        <v>0</v>
      </c>
      <c r="H1057" s="56">
        <f t="shared" si="2"/>
        <v>1057</v>
      </c>
      <c r="U1057" s="56"/>
      <c r="V1057" s="56"/>
      <c r="W1057" s="56"/>
      <c r="Y1057" s="138"/>
    </row>
    <row r="1058">
      <c r="A1058" s="56"/>
      <c r="B1058" s="56"/>
      <c r="C1058" s="108" t="str">
        <f>IFNA(VLOOKUP('Dashboard-Dados'!B1058,'Dashboard-Dados'!$Y$2:$AA$13,2),"")</f>
        <v/>
      </c>
      <c r="D1058" s="109">
        <f>IFERROR(GETPIVOTDATA("Valor Recebido",'Dashboard-Dados'!$J$1,$A$1,A1058,$B$1,B1058),0)</f>
        <v>0</v>
      </c>
      <c r="E1058" s="110">
        <f>IFERROR(GETPIVOTDATA("Valor Despesa",'Dashboard-Dados'!$P$1,$A$1,A1058,$B$1,B1058),0)</f>
        <v>0</v>
      </c>
      <c r="F1058" s="110">
        <f t="shared" si="1"/>
        <v>0</v>
      </c>
      <c r="G1058" s="56">
        <f>IFERROR(GETPIVOTDATA("Exame",'Dashboard-Dados'!$J$1,$A$1,A1058,$B$1,B1058),0)</f>
        <v>0</v>
      </c>
      <c r="H1058" s="56">
        <f t="shared" si="2"/>
        <v>1058</v>
      </c>
      <c r="U1058" s="56"/>
      <c r="V1058" s="56"/>
      <c r="W1058" s="56"/>
      <c r="Y1058" s="138"/>
    </row>
    <row r="1059">
      <c r="A1059" s="56"/>
      <c r="B1059" s="56"/>
      <c r="C1059" s="108" t="str">
        <f>IFNA(VLOOKUP('Dashboard-Dados'!B1059,'Dashboard-Dados'!$Y$2:$AA$13,2),"")</f>
        <v/>
      </c>
      <c r="D1059" s="109">
        <f>IFERROR(GETPIVOTDATA("Valor Recebido",'Dashboard-Dados'!$J$1,$A$1,A1059,$B$1,B1059),0)</f>
        <v>0</v>
      </c>
      <c r="E1059" s="110">
        <f>IFERROR(GETPIVOTDATA("Valor Despesa",'Dashboard-Dados'!$P$1,$A$1,A1059,$B$1,B1059),0)</f>
        <v>0</v>
      </c>
      <c r="F1059" s="110">
        <f t="shared" si="1"/>
        <v>0</v>
      </c>
      <c r="G1059" s="56">
        <f>IFERROR(GETPIVOTDATA("Exame",'Dashboard-Dados'!$J$1,$A$1,A1059,$B$1,B1059),0)</f>
        <v>0</v>
      </c>
      <c r="H1059" s="56">
        <f t="shared" si="2"/>
        <v>1059</v>
      </c>
      <c r="U1059" s="56"/>
      <c r="V1059" s="56"/>
      <c r="W1059" s="56"/>
      <c r="Y1059" s="138"/>
    </row>
    <row r="1060">
      <c r="A1060" s="56"/>
      <c r="B1060" s="56"/>
      <c r="C1060" s="108" t="str">
        <f>IFNA(VLOOKUP('Dashboard-Dados'!B1060,'Dashboard-Dados'!$Y$2:$AA$13,2),"")</f>
        <v/>
      </c>
      <c r="D1060" s="109">
        <f>IFERROR(GETPIVOTDATA("Valor Recebido",'Dashboard-Dados'!$J$1,$A$1,A1060,$B$1,B1060),0)</f>
        <v>0</v>
      </c>
      <c r="E1060" s="110">
        <f>IFERROR(GETPIVOTDATA("Valor Despesa",'Dashboard-Dados'!$P$1,$A$1,A1060,$B$1,B1060),0)</f>
        <v>0</v>
      </c>
      <c r="F1060" s="110">
        <f t="shared" si="1"/>
        <v>0</v>
      </c>
      <c r="G1060" s="56">
        <f>IFERROR(GETPIVOTDATA("Exame",'Dashboard-Dados'!$J$1,$A$1,A1060,$B$1,B1060),0)</f>
        <v>0</v>
      </c>
      <c r="H1060" s="56">
        <f t="shared" si="2"/>
        <v>1060</v>
      </c>
      <c r="U1060" s="56"/>
      <c r="V1060" s="56"/>
      <c r="W1060" s="56"/>
      <c r="Y1060" s="138"/>
    </row>
    <row r="1061">
      <c r="A1061" s="56"/>
      <c r="B1061" s="56"/>
      <c r="C1061" s="108" t="str">
        <f>IFNA(VLOOKUP('Dashboard-Dados'!B1061,'Dashboard-Dados'!$Y$2:$AA$13,2),"")</f>
        <v/>
      </c>
      <c r="D1061" s="109">
        <f>IFERROR(GETPIVOTDATA("Valor Recebido",'Dashboard-Dados'!$J$1,$A$1,A1061,$B$1,B1061),0)</f>
        <v>0</v>
      </c>
      <c r="E1061" s="110">
        <f>IFERROR(GETPIVOTDATA("Valor Despesa",'Dashboard-Dados'!$P$1,$A$1,A1061,$B$1,B1061),0)</f>
        <v>0</v>
      </c>
      <c r="F1061" s="110">
        <f t="shared" si="1"/>
        <v>0</v>
      </c>
      <c r="G1061" s="56">
        <f>IFERROR(GETPIVOTDATA("Exame",'Dashboard-Dados'!$J$1,$A$1,A1061,$B$1,B1061),0)</f>
        <v>0</v>
      </c>
      <c r="H1061" s="56">
        <f t="shared" si="2"/>
        <v>1061</v>
      </c>
      <c r="U1061" s="56"/>
      <c r="V1061" s="56"/>
      <c r="W1061" s="56"/>
      <c r="Y1061" s="138"/>
    </row>
    <row r="1062">
      <c r="A1062" s="56"/>
      <c r="B1062" s="56"/>
      <c r="C1062" s="108" t="str">
        <f>IFNA(VLOOKUP('Dashboard-Dados'!B1062,'Dashboard-Dados'!$Y$2:$AA$13,2),"")</f>
        <v/>
      </c>
      <c r="D1062" s="109">
        <f>IFERROR(GETPIVOTDATA("Valor Recebido",'Dashboard-Dados'!$J$1,$A$1,A1062,$B$1,B1062),0)</f>
        <v>0</v>
      </c>
      <c r="E1062" s="110">
        <f>IFERROR(GETPIVOTDATA("Valor Despesa",'Dashboard-Dados'!$P$1,$A$1,A1062,$B$1,B1062),0)</f>
        <v>0</v>
      </c>
      <c r="F1062" s="110">
        <f t="shared" si="1"/>
        <v>0</v>
      </c>
      <c r="G1062" s="56">
        <f>IFERROR(GETPIVOTDATA("Exame",'Dashboard-Dados'!$J$1,$A$1,A1062,$B$1,B1062),0)</f>
        <v>0</v>
      </c>
      <c r="H1062" s="56">
        <f t="shared" si="2"/>
        <v>1062</v>
      </c>
      <c r="U1062" s="56"/>
      <c r="V1062" s="56"/>
      <c r="W1062" s="56"/>
      <c r="Y1062" s="138"/>
    </row>
    <row r="1063">
      <c r="A1063" s="56"/>
      <c r="B1063" s="56"/>
      <c r="C1063" s="108" t="str">
        <f>IFNA(VLOOKUP('Dashboard-Dados'!B1063,'Dashboard-Dados'!$Y$2:$AA$13,2),"")</f>
        <v/>
      </c>
      <c r="D1063" s="109">
        <f>IFERROR(GETPIVOTDATA("Valor Recebido",'Dashboard-Dados'!$J$1,$A$1,A1063,$B$1,B1063),0)</f>
        <v>0</v>
      </c>
      <c r="E1063" s="110">
        <f>IFERROR(GETPIVOTDATA("Valor Despesa",'Dashboard-Dados'!$P$1,$A$1,A1063,$B$1,B1063),0)</f>
        <v>0</v>
      </c>
      <c r="F1063" s="110">
        <f t="shared" si="1"/>
        <v>0</v>
      </c>
      <c r="G1063" s="56">
        <f>IFERROR(GETPIVOTDATA("Exame",'Dashboard-Dados'!$J$1,$A$1,A1063,$B$1,B1063),0)</f>
        <v>0</v>
      </c>
      <c r="H1063" s="56">
        <f t="shared" si="2"/>
        <v>1063</v>
      </c>
      <c r="U1063" s="56"/>
      <c r="V1063" s="56"/>
      <c r="W1063" s="56"/>
      <c r="Y1063" s="138"/>
    </row>
    <row r="1064">
      <c r="A1064" s="56"/>
      <c r="B1064" s="56"/>
      <c r="C1064" s="108" t="str">
        <f>IFNA(VLOOKUP('Dashboard-Dados'!B1064,'Dashboard-Dados'!$Y$2:$AA$13,2),"")</f>
        <v/>
      </c>
      <c r="D1064" s="109">
        <f>IFERROR(GETPIVOTDATA("Valor Recebido",'Dashboard-Dados'!$J$1,$A$1,A1064,$B$1,B1064),0)</f>
        <v>0</v>
      </c>
      <c r="E1064" s="110">
        <f>IFERROR(GETPIVOTDATA("Valor Despesa",'Dashboard-Dados'!$P$1,$A$1,A1064,$B$1,B1064),0)</f>
        <v>0</v>
      </c>
      <c r="F1064" s="110">
        <f t="shared" si="1"/>
        <v>0</v>
      </c>
      <c r="G1064" s="56">
        <f>IFERROR(GETPIVOTDATA("Exame",'Dashboard-Dados'!$J$1,$A$1,A1064,$B$1,B1064),0)</f>
        <v>0</v>
      </c>
      <c r="H1064" s="56">
        <f t="shared" si="2"/>
        <v>1064</v>
      </c>
      <c r="U1064" s="56"/>
      <c r="V1064" s="56"/>
      <c r="W1064" s="56"/>
      <c r="Y1064" s="138"/>
    </row>
    <row r="1065">
      <c r="A1065" s="56"/>
      <c r="B1065" s="56"/>
      <c r="C1065" s="108" t="str">
        <f>IFNA(VLOOKUP('Dashboard-Dados'!B1065,'Dashboard-Dados'!$Y$2:$AA$13,2),"")</f>
        <v/>
      </c>
      <c r="D1065" s="109">
        <f>IFERROR(GETPIVOTDATA("Valor Recebido",'Dashboard-Dados'!$J$1,$A$1,A1065,$B$1,B1065),0)</f>
        <v>0</v>
      </c>
      <c r="E1065" s="110">
        <f>IFERROR(GETPIVOTDATA("Valor Despesa",'Dashboard-Dados'!$P$1,$A$1,A1065,$B$1,B1065),0)</f>
        <v>0</v>
      </c>
      <c r="F1065" s="110">
        <f t="shared" si="1"/>
        <v>0</v>
      </c>
      <c r="G1065" s="56">
        <f>IFERROR(GETPIVOTDATA("Exame",'Dashboard-Dados'!$J$1,$A$1,A1065,$B$1,B1065),0)</f>
        <v>0</v>
      </c>
      <c r="H1065" s="56">
        <f t="shared" si="2"/>
        <v>1065</v>
      </c>
      <c r="U1065" s="56"/>
      <c r="V1065" s="56"/>
      <c r="W1065" s="56"/>
      <c r="Y1065" s="138"/>
    </row>
    <row r="1066">
      <c r="A1066" s="56"/>
      <c r="B1066" s="56"/>
      <c r="C1066" s="108" t="str">
        <f>IFNA(VLOOKUP('Dashboard-Dados'!B1066,'Dashboard-Dados'!$Y$2:$AA$13,2),"")</f>
        <v/>
      </c>
      <c r="D1066" s="109">
        <f>IFERROR(GETPIVOTDATA("Valor Recebido",'Dashboard-Dados'!$J$1,$A$1,A1066,$B$1,B1066),0)</f>
        <v>0</v>
      </c>
      <c r="E1066" s="110">
        <f>IFERROR(GETPIVOTDATA("Valor Despesa",'Dashboard-Dados'!$P$1,$A$1,A1066,$B$1,B1066),0)</f>
        <v>0</v>
      </c>
      <c r="F1066" s="110">
        <f t="shared" si="1"/>
        <v>0</v>
      </c>
      <c r="G1066" s="56">
        <f>IFERROR(GETPIVOTDATA("Exame",'Dashboard-Dados'!$J$1,$A$1,A1066,$B$1,B1066),0)</f>
        <v>0</v>
      </c>
      <c r="H1066" s="56">
        <f t="shared" si="2"/>
        <v>1066</v>
      </c>
      <c r="U1066" s="56"/>
      <c r="V1066" s="56"/>
      <c r="W1066" s="56"/>
      <c r="Y1066" s="138"/>
    </row>
    <row r="1067">
      <c r="A1067" s="56"/>
      <c r="B1067" s="56"/>
      <c r="C1067" s="108" t="str">
        <f>IFNA(VLOOKUP('Dashboard-Dados'!B1067,'Dashboard-Dados'!$Y$2:$AA$13,2),"")</f>
        <v/>
      </c>
      <c r="D1067" s="109">
        <f>IFERROR(GETPIVOTDATA("Valor Recebido",'Dashboard-Dados'!$J$1,$A$1,A1067,$B$1,B1067),0)</f>
        <v>0</v>
      </c>
      <c r="E1067" s="110">
        <f>IFERROR(GETPIVOTDATA("Valor Despesa",'Dashboard-Dados'!$P$1,$A$1,A1067,$B$1,B1067),0)</f>
        <v>0</v>
      </c>
      <c r="F1067" s="110">
        <f t="shared" si="1"/>
        <v>0</v>
      </c>
      <c r="G1067" s="56">
        <f>IFERROR(GETPIVOTDATA("Exame",'Dashboard-Dados'!$J$1,$A$1,A1067,$B$1,B1067),0)</f>
        <v>0</v>
      </c>
      <c r="H1067" s="56">
        <f t="shared" si="2"/>
        <v>1067</v>
      </c>
      <c r="U1067" s="56"/>
      <c r="V1067" s="56"/>
      <c r="W1067" s="56"/>
      <c r="Y1067" s="138"/>
    </row>
    <row r="1068">
      <c r="A1068" s="56"/>
      <c r="B1068" s="56"/>
      <c r="C1068" s="108" t="str">
        <f>IFNA(VLOOKUP('Dashboard-Dados'!B1068,'Dashboard-Dados'!$Y$2:$AA$13,2),"")</f>
        <v/>
      </c>
      <c r="D1068" s="109">
        <f>IFERROR(GETPIVOTDATA("Valor Recebido",'Dashboard-Dados'!$J$1,$A$1,A1068,$B$1,B1068),0)</f>
        <v>0</v>
      </c>
      <c r="E1068" s="110">
        <f>IFERROR(GETPIVOTDATA("Valor Despesa",'Dashboard-Dados'!$P$1,$A$1,A1068,$B$1,B1068),0)</f>
        <v>0</v>
      </c>
      <c r="F1068" s="110">
        <f t="shared" si="1"/>
        <v>0</v>
      </c>
      <c r="G1068" s="56">
        <f>IFERROR(GETPIVOTDATA("Exame",'Dashboard-Dados'!$J$1,$A$1,A1068,$B$1,B1068),0)</f>
        <v>0</v>
      </c>
      <c r="H1068" s="56">
        <f t="shared" si="2"/>
        <v>1068</v>
      </c>
      <c r="U1068" s="56"/>
      <c r="V1068" s="56"/>
      <c r="W1068" s="56"/>
      <c r="Y1068" s="138"/>
    </row>
    <row r="1069">
      <c r="A1069" s="56"/>
      <c r="B1069" s="56"/>
      <c r="C1069" s="108" t="str">
        <f>IFNA(VLOOKUP('Dashboard-Dados'!B1069,'Dashboard-Dados'!$Y$2:$AA$13,2),"")</f>
        <v/>
      </c>
      <c r="D1069" s="109">
        <f>IFERROR(GETPIVOTDATA("Valor Recebido",'Dashboard-Dados'!$J$1,$A$1,A1069,$B$1,B1069),0)</f>
        <v>0</v>
      </c>
      <c r="E1069" s="110">
        <f>IFERROR(GETPIVOTDATA("Valor Despesa",'Dashboard-Dados'!$P$1,$A$1,A1069,$B$1,B1069),0)</f>
        <v>0</v>
      </c>
      <c r="F1069" s="110">
        <f t="shared" si="1"/>
        <v>0</v>
      </c>
      <c r="G1069" s="56">
        <f>IFERROR(GETPIVOTDATA("Exame",'Dashboard-Dados'!$J$1,$A$1,A1069,$B$1,B1069),0)</f>
        <v>0</v>
      </c>
      <c r="H1069" s="56">
        <f t="shared" si="2"/>
        <v>1069</v>
      </c>
      <c r="U1069" s="56"/>
      <c r="V1069" s="56"/>
      <c r="W1069" s="56"/>
      <c r="Y1069" s="138"/>
    </row>
    <row r="1070">
      <c r="A1070" s="56"/>
      <c r="B1070" s="56"/>
      <c r="C1070" s="108" t="str">
        <f>IFNA(VLOOKUP('Dashboard-Dados'!B1070,'Dashboard-Dados'!$Y$2:$AA$13,2),"")</f>
        <v/>
      </c>
      <c r="D1070" s="109">
        <f>IFERROR(GETPIVOTDATA("Valor Recebido",'Dashboard-Dados'!$J$1,$A$1,A1070,$B$1,B1070),0)</f>
        <v>0</v>
      </c>
      <c r="E1070" s="110">
        <f>IFERROR(GETPIVOTDATA("Valor Despesa",'Dashboard-Dados'!$P$1,$A$1,A1070,$B$1,B1070),0)</f>
        <v>0</v>
      </c>
      <c r="F1070" s="110">
        <f t="shared" si="1"/>
        <v>0</v>
      </c>
      <c r="G1070" s="56">
        <f>IFERROR(GETPIVOTDATA("Exame",'Dashboard-Dados'!$J$1,$A$1,A1070,$B$1,B1070),0)</f>
        <v>0</v>
      </c>
      <c r="H1070" s="56">
        <f t="shared" si="2"/>
        <v>1070</v>
      </c>
      <c r="U1070" s="56"/>
      <c r="V1070" s="56"/>
      <c r="W1070" s="56"/>
      <c r="Y1070" s="138"/>
    </row>
    <row r="1071">
      <c r="A1071" s="56"/>
      <c r="B1071" s="56"/>
      <c r="C1071" s="108" t="str">
        <f>IFNA(VLOOKUP('Dashboard-Dados'!B1071,'Dashboard-Dados'!$Y$2:$AA$13,2),"")</f>
        <v/>
      </c>
      <c r="D1071" s="109">
        <f>IFERROR(GETPIVOTDATA("Valor Recebido",'Dashboard-Dados'!$J$1,$A$1,A1071,$B$1,B1071),0)</f>
        <v>0</v>
      </c>
      <c r="E1071" s="110">
        <f>IFERROR(GETPIVOTDATA("Valor Despesa",'Dashboard-Dados'!$P$1,$A$1,A1071,$B$1,B1071),0)</f>
        <v>0</v>
      </c>
      <c r="F1071" s="110">
        <f t="shared" si="1"/>
        <v>0</v>
      </c>
      <c r="G1071" s="56">
        <f>IFERROR(GETPIVOTDATA("Exame",'Dashboard-Dados'!$J$1,$A$1,A1071,$B$1,B1071),0)</f>
        <v>0</v>
      </c>
      <c r="H1071" s="56">
        <f t="shared" si="2"/>
        <v>1071</v>
      </c>
      <c r="U1071" s="56"/>
      <c r="V1071" s="56"/>
      <c r="W1071" s="56"/>
      <c r="Y1071" s="138"/>
    </row>
    <row r="1072">
      <c r="A1072" s="56"/>
      <c r="B1072" s="56"/>
      <c r="C1072" s="108" t="str">
        <f>IFNA(VLOOKUP('Dashboard-Dados'!B1072,'Dashboard-Dados'!$Y$2:$AA$13,2),"")</f>
        <v/>
      </c>
      <c r="D1072" s="109">
        <f>IFERROR(GETPIVOTDATA("Valor Recebido",'Dashboard-Dados'!$J$1,$A$1,A1072,$B$1,B1072),0)</f>
        <v>0</v>
      </c>
      <c r="E1072" s="110">
        <f>IFERROR(GETPIVOTDATA("Valor Despesa",'Dashboard-Dados'!$P$1,$A$1,A1072,$B$1,B1072),0)</f>
        <v>0</v>
      </c>
      <c r="F1072" s="110">
        <f t="shared" si="1"/>
        <v>0</v>
      </c>
      <c r="G1072" s="56">
        <f>IFERROR(GETPIVOTDATA("Exame",'Dashboard-Dados'!$J$1,$A$1,A1072,$B$1,B1072),0)</f>
        <v>0</v>
      </c>
      <c r="H1072" s="56">
        <f t="shared" si="2"/>
        <v>1072</v>
      </c>
      <c r="U1072" s="56"/>
      <c r="V1072" s="56"/>
      <c r="W1072" s="56"/>
      <c r="Y1072" s="138"/>
    </row>
    <row r="1073">
      <c r="A1073" s="56"/>
      <c r="B1073" s="56"/>
      <c r="C1073" s="108" t="str">
        <f>IFNA(VLOOKUP('Dashboard-Dados'!B1073,'Dashboard-Dados'!$Y$2:$AA$13,2),"")</f>
        <v/>
      </c>
      <c r="D1073" s="109">
        <f>IFERROR(GETPIVOTDATA("Valor Recebido",'Dashboard-Dados'!$J$1,$A$1,A1073,$B$1,B1073),0)</f>
        <v>0</v>
      </c>
      <c r="E1073" s="110">
        <f>IFERROR(GETPIVOTDATA("Valor Despesa",'Dashboard-Dados'!$P$1,$A$1,A1073,$B$1,B1073),0)</f>
        <v>0</v>
      </c>
      <c r="F1073" s="110">
        <f t="shared" si="1"/>
        <v>0</v>
      </c>
      <c r="G1073" s="56">
        <f>IFERROR(GETPIVOTDATA("Exame",'Dashboard-Dados'!$J$1,$A$1,A1073,$B$1,B1073),0)</f>
        <v>0</v>
      </c>
      <c r="H1073" s="56">
        <f t="shared" si="2"/>
        <v>1073</v>
      </c>
      <c r="U1073" s="56"/>
      <c r="V1073" s="56"/>
      <c r="W1073" s="56"/>
      <c r="Y1073" s="138"/>
    </row>
    <row r="1074">
      <c r="A1074" s="56"/>
      <c r="B1074" s="56"/>
      <c r="C1074" s="108" t="str">
        <f>IFNA(VLOOKUP('Dashboard-Dados'!B1074,'Dashboard-Dados'!$Y$2:$AA$13,2),"")</f>
        <v/>
      </c>
      <c r="D1074" s="109">
        <f>IFERROR(GETPIVOTDATA("Valor Recebido",'Dashboard-Dados'!$J$1,$A$1,A1074,$B$1,B1074),0)</f>
        <v>0</v>
      </c>
      <c r="E1074" s="110">
        <f>IFERROR(GETPIVOTDATA("Valor Despesa",'Dashboard-Dados'!$P$1,$A$1,A1074,$B$1,B1074),0)</f>
        <v>0</v>
      </c>
      <c r="F1074" s="110">
        <f t="shared" si="1"/>
        <v>0</v>
      </c>
      <c r="G1074" s="56">
        <f>IFERROR(GETPIVOTDATA("Exame",'Dashboard-Dados'!$J$1,$A$1,A1074,$B$1,B1074),0)</f>
        <v>0</v>
      </c>
      <c r="H1074" s="56">
        <f t="shared" si="2"/>
        <v>1074</v>
      </c>
      <c r="U1074" s="56"/>
      <c r="V1074" s="56"/>
      <c r="W1074" s="56"/>
      <c r="Y1074" s="138"/>
    </row>
    <row r="1075">
      <c r="A1075" s="56"/>
      <c r="B1075" s="56"/>
      <c r="C1075" s="108" t="str">
        <f>IFNA(VLOOKUP('Dashboard-Dados'!B1075,'Dashboard-Dados'!$Y$2:$AA$13,2),"")</f>
        <v/>
      </c>
      <c r="D1075" s="109">
        <f>IFERROR(GETPIVOTDATA("Valor Recebido",'Dashboard-Dados'!$J$1,$A$1,A1075,$B$1,B1075),0)</f>
        <v>0</v>
      </c>
      <c r="E1075" s="110">
        <f>IFERROR(GETPIVOTDATA("Valor Despesa",'Dashboard-Dados'!$P$1,$A$1,A1075,$B$1,B1075),0)</f>
        <v>0</v>
      </c>
      <c r="F1075" s="110">
        <f t="shared" si="1"/>
        <v>0</v>
      </c>
      <c r="G1075" s="56">
        <f>IFERROR(GETPIVOTDATA("Exame",'Dashboard-Dados'!$J$1,$A$1,A1075,$B$1,B1075),0)</f>
        <v>0</v>
      </c>
      <c r="H1075" s="56">
        <f t="shared" si="2"/>
        <v>1075</v>
      </c>
      <c r="U1075" s="56"/>
      <c r="V1075" s="56"/>
      <c r="W1075" s="56"/>
      <c r="Y1075" s="138"/>
    </row>
    <row r="1076">
      <c r="A1076" s="56"/>
      <c r="B1076" s="56"/>
      <c r="C1076" s="108" t="str">
        <f>IFNA(VLOOKUP('Dashboard-Dados'!B1076,'Dashboard-Dados'!$Y$2:$AA$13,2),"")</f>
        <v/>
      </c>
      <c r="D1076" s="109">
        <f>IFERROR(GETPIVOTDATA("Valor Recebido",'Dashboard-Dados'!$J$1,$A$1,A1076,$B$1,B1076),0)</f>
        <v>0</v>
      </c>
      <c r="E1076" s="110">
        <f>IFERROR(GETPIVOTDATA("Valor Despesa",'Dashboard-Dados'!$P$1,$A$1,A1076,$B$1,B1076),0)</f>
        <v>0</v>
      </c>
      <c r="F1076" s="110">
        <f t="shared" si="1"/>
        <v>0</v>
      </c>
      <c r="G1076" s="56">
        <f>IFERROR(GETPIVOTDATA("Exame",'Dashboard-Dados'!$J$1,$A$1,A1076,$B$1,B1076),0)</f>
        <v>0</v>
      </c>
      <c r="H1076" s="56">
        <f t="shared" si="2"/>
        <v>1076</v>
      </c>
      <c r="U1076" s="56"/>
      <c r="V1076" s="56"/>
      <c r="W1076" s="56"/>
      <c r="Y1076" s="138"/>
    </row>
    <row r="1077">
      <c r="A1077" s="56"/>
      <c r="B1077" s="56"/>
      <c r="C1077" s="108" t="str">
        <f>IFNA(VLOOKUP('Dashboard-Dados'!B1077,'Dashboard-Dados'!$Y$2:$AA$13,2),"")</f>
        <v/>
      </c>
      <c r="D1077" s="109">
        <f>IFERROR(GETPIVOTDATA("Valor Recebido",'Dashboard-Dados'!$J$1,$A$1,A1077,$B$1,B1077),0)</f>
        <v>0</v>
      </c>
      <c r="E1077" s="110">
        <f>IFERROR(GETPIVOTDATA("Valor Despesa",'Dashboard-Dados'!$P$1,$A$1,A1077,$B$1,B1077),0)</f>
        <v>0</v>
      </c>
      <c r="F1077" s="110">
        <f t="shared" si="1"/>
        <v>0</v>
      </c>
      <c r="G1077" s="56">
        <f>IFERROR(GETPIVOTDATA("Exame",'Dashboard-Dados'!$J$1,$A$1,A1077,$B$1,B1077),0)</f>
        <v>0</v>
      </c>
      <c r="H1077" s="56">
        <f t="shared" si="2"/>
        <v>1077</v>
      </c>
      <c r="U1077" s="56"/>
      <c r="V1077" s="56"/>
      <c r="W1077" s="56"/>
      <c r="Y1077" s="138"/>
    </row>
    <row r="1078">
      <c r="A1078" s="56"/>
      <c r="B1078" s="56"/>
      <c r="C1078" s="108" t="str">
        <f>IFNA(VLOOKUP('Dashboard-Dados'!B1078,'Dashboard-Dados'!$Y$2:$AA$13,2),"")</f>
        <v/>
      </c>
      <c r="D1078" s="109">
        <f>IFERROR(GETPIVOTDATA("Valor Recebido",'Dashboard-Dados'!$J$1,$A$1,A1078,$B$1,B1078),0)</f>
        <v>0</v>
      </c>
      <c r="E1078" s="110">
        <f>IFERROR(GETPIVOTDATA("Valor Despesa",'Dashboard-Dados'!$P$1,$A$1,A1078,$B$1,B1078),0)</f>
        <v>0</v>
      </c>
      <c r="F1078" s="110">
        <f t="shared" si="1"/>
        <v>0</v>
      </c>
      <c r="G1078" s="56">
        <f>IFERROR(GETPIVOTDATA("Exame",'Dashboard-Dados'!$J$1,$A$1,A1078,$B$1,B1078),0)</f>
        <v>0</v>
      </c>
      <c r="H1078" s="56">
        <f t="shared" si="2"/>
        <v>1078</v>
      </c>
      <c r="U1078" s="56"/>
      <c r="V1078" s="56"/>
      <c r="W1078" s="56"/>
      <c r="Y1078" s="138"/>
    </row>
    <row r="1079">
      <c r="A1079" s="56"/>
      <c r="B1079" s="56"/>
      <c r="C1079" s="108" t="str">
        <f>IFNA(VLOOKUP('Dashboard-Dados'!B1079,'Dashboard-Dados'!$Y$2:$AA$13,2),"")</f>
        <v/>
      </c>
      <c r="D1079" s="109">
        <f>IFERROR(GETPIVOTDATA("Valor Recebido",'Dashboard-Dados'!$J$1,$A$1,A1079,$B$1,B1079),0)</f>
        <v>0</v>
      </c>
      <c r="E1079" s="110">
        <f>IFERROR(GETPIVOTDATA("Valor Despesa",'Dashboard-Dados'!$P$1,$A$1,A1079,$B$1,B1079),0)</f>
        <v>0</v>
      </c>
      <c r="F1079" s="110">
        <f t="shared" si="1"/>
        <v>0</v>
      </c>
      <c r="G1079" s="56">
        <f>IFERROR(GETPIVOTDATA("Exame",'Dashboard-Dados'!$J$1,$A$1,A1079,$B$1,B1079),0)</f>
        <v>0</v>
      </c>
      <c r="H1079" s="56">
        <f t="shared" si="2"/>
        <v>1079</v>
      </c>
      <c r="U1079" s="56"/>
      <c r="V1079" s="56"/>
      <c r="W1079" s="56"/>
      <c r="Y1079" s="138"/>
    </row>
    <row r="1080">
      <c r="A1080" s="56"/>
      <c r="B1080" s="56"/>
      <c r="C1080" s="108" t="str">
        <f>IFNA(VLOOKUP('Dashboard-Dados'!B1080,'Dashboard-Dados'!$Y$2:$AA$13,2),"")</f>
        <v/>
      </c>
      <c r="D1080" s="109">
        <f>IFERROR(GETPIVOTDATA("Valor Recebido",'Dashboard-Dados'!$J$1,$A$1,A1080,$B$1,B1080),0)</f>
        <v>0</v>
      </c>
      <c r="E1080" s="110">
        <f>IFERROR(GETPIVOTDATA("Valor Despesa",'Dashboard-Dados'!$P$1,$A$1,A1080,$B$1,B1080),0)</f>
        <v>0</v>
      </c>
      <c r="F1080" s="110">
        <f t="shared" si="1"/>
        <v>0</v>
      </c>
      <c r="G1080" s="56">
        <f>IFERROR(GETPIVOTDATA("Exame",'Dashboard-Dados'!$J$1,$A$1,A1080,$B$1,B1080),0)</f>
        <v>0</v>
      </c>
      <c r="H1080" s="56">
        <f t="shared" si="2"/>
        <v>1080</v>
      </c>
      <c r="U1080" s="56"/>
      <c r="V1080" s="56"/>
      <c r="W1080" s="56"/>
      <c r="Y1080" s="138"/>
    </row>
    <row r="1081">
      <c r="A1081" s="56"/>
      <c r="B1081" s="56"/>
      <c r="C1081" s="108" t="str">
        <f>IFNA(VLOOKUP('Dashboard-Dados'!B1081,'Dashboard-Dados'!$Y$2:$AA$13,2),"")</f>
        <v/>
      </c>
      <c r="D1081" s="109">
        <f>IFERROR(GETPIVOTDATA("Valor Recebido",'Dashboard-Dados'!$J$1,$A$1,A1081,$B$1,B1081),0)</f>
        <v>0</v>
      </c>
      <c r="E1081" s="110">
        <f>IFERROR(GETPIVOTDATA("Valor Despesa",'Dashboard-Dados'!$P$1,$A$1,A1081,$B$1,B1081),0)</f>
        <v>0</v>
      </c>
      <c r="F1081" s="110">
        <f t="shared" si="1"/>
        <v>0</v>
      </c>
      <c r="G1081" s="56">
        <f>IFERROR(GETPIVOTDATA("Exame",'Dashboard-Dados'!$J$1,$A$1,A1081,$B$1,B1081),0)</f>
        <v>0</v>
      </c>
      <c r="H1081" s="56">
        <f t="shared" si="2"/>
        <v>1081</v>
      </c>
      <c r="U1081" s="56"/>
      <c r="V1081" s="56"/>
      <c r="W1081" s="56"/>
      <c r="Y1081" s="138"/>
    </row>
    <row r="1082">
      <c r="A1082" s="56"/>
      <c r="B1082" s="56"/>
      <c r="C1082" s="108" t="str">
        <f>IFNA(VLOOKUP('Dashboard-Dados'!B1082,'Dashboard-Dados'!$Y$2:$AA$13,2),"")</f>
        <v/>
      </c>
      <c r="D1082" s="109">
        <f>IFERROR(GETPIVOTDATA("Valor Recebido",'Dashboard-Dados'!$J$1,$A$1,A1082,$B$1,B1082),0)</f>
        <v>0</v>
      </c>
      <c r="E1082" s="110">
        <f>IFERROR(GETPIVOTDATA("Valor Despesa",'Dashboard-Dados'!$P$1,$A$1,A1082,$B$1,B1082),0)</f>
        <v>0</v>
      </c>
      <c r="F1082" s="110">
        <f t="shared" si="1"/>
        <v>0</v>
      </c>
      <c r="G1082" s="56">
        <f>IFERROR(GETPIVOTDATA("Exame",'Dashboard-Dados'!$J$1,$A$1,A1082,$B$1,B1082),0)</f>
        <v>0</v>
      </c>
      <c r="H1082" s="56">
        <f t="shared" si="2"/>
        <v>1082</v>
      </c>
      <c r="U1082" s="56"/>
      <c r="V1082" s="56"/>
      <c r="W1082" s="56"/>
      <c r="Y1082" s="138"/>
    </row>
    <row r="1083">
      <c r="A1083" s="56"/>
      <c r="B1083" s="56"/>
      <c r="C1083" s="108" t="str">
        <f>IFNA(VLOOKUP('Dashboard-Dados'!B1083,'Dashboard-Dados'!$Y$2:$AA$13,2),"")</f>
        <v/>
      </c>
      <c r="D1083" s="109">
        <f>IFERROR(GETPIVOTDATA("Valor Recebido",'Dashboard-Dados'!$J$1,$A$1,A1083,$B$1,B1083),0)</f>
        <v>0</v>
      </c>
      <c r="E1083" s="110">
        <f>IFERROR(GETPIVOTDATA("Valor Despesa",'Dashboard-Dados'!$P$1,$A$1,A1083,$B$1,B1083),0)</f>
        <v>0</v>
      </c>
      <c r="F1083" s="110">
        <f t="shared" si="1"/>
        <v>0</v>
      </c>
      <c r="G1083" s="56">
        <f>IFERROR(GETPIVOTDATA("Exame",'Dashboard-Dados'!$J$1,$A$1,A1083,$B$1,B1083),0)</f>
        <v>0</v>
      </c>
      <c r="H1083" s="56">
        <f t="shared" si="2"/>
        <v>1083</v>
      </c>
      <c r="U1083" s="56"/>
      <c r="V1083" s="56"/>
      <c r="W1083" s="56"/>
      <c r="Y1083" s="138"/>
    </row>
    <row r="1084">
      <c r="A1084" s="56"/>
      <c r="B1084" s="56"/>
      <c r="C1084" s="108" t="str">
        <f>IFNA(VLOOKUP('Dashboard-Dados'!B1084,'Dashboard-Dados'!$Y$2:$AA$13,2),"")</f>
        <v/>
      </c>
      <c r="D1084" s="109">
        <f>IFERROR(GETPIVOTDATA("Valor Recebido",'Dashboard-Dados'!$J$1,$A$1,A1084,$B$1,B1084),0)</f>
        <v>0</v>
      </c>
      <c r="E1084" s="110">
        <f>IFERROR(GETPIVOTDATA("Valor Despesa",'Dashboard-Dados'!$P$1,$A$1,A1084,$B$1,B1084),0)</f>
        <v>0</v>
      </c>
      <c r="F1084" s="110">
        <f t="shared" si="1"/>
        <v>0</v>
      </c>
      <c r="G1084" s="56">
        <f>IFERROR(GETPIVOTDATA("Exame",'Dashboard-Dados'!$J$1,$A$1,A1084,$B$1,B1084),0)</f>
        <v>0</v>
      </c>
      <c r="H1084" s="56">
        <f t="shared" si="2"/>
        <v>1084</v>
      </c>
      <c r="U1084" s="56"/>
      <c r="V1084" s="56"/>
      <c r="W1084" s="56"/>
      <c r="Y1084" s="138"/>
    </row>
    <row r="1085">
      <c r="A1085" s="56"/>
      <c r="B1085" s="56"/>
      <c r="C1085" s="108" t="str">
        <f>IFNA(VLOOKUP('Dashboard-Dados'!B1085,'Dashboard-Dados'!$Y$2:$AA$13,2),"")</f>
        <v/>
      </c>
      <c r="D1085" s="109">
        <f>IFERROR(GETPIVOTDATA("Valor Recebido",'Dashboard-Dados'!$J$1,$A$1,A1085,$B$1,B1085),0)</f>
        <v>0</v>
      </c>
      <c r="E1085" s="110">
        <f>IFERROR(GETPIVOTDATA("Valor Despesa",'Dashboard-Dados'!$P$1,$A$1,A1085,$B$1,B1085),0)</f>
        <v>0</v>
      </c>
      <c r="F1085" s="110">
        <f t="shared" si="1"/>
        <v>0</v>
      </c>
      <c r="G1085" s="56">
        <f>IFERROR(GETPIVOTDATA("Exame",'Dashboard-Dados'!$J$1,$A$1,A1085,$B$1,B1085),0)</f>
        <v>0</v>
      </c>
      <c r="H1085" s="56">
        <f t="shared" si="2"/>
        <v>1085</v>
      </c>
      <c r="U1085" s="56"/>
      <c r="V1085" s="56"/>
      <c r="W1085" s="56"/>
      <c r="Y1085" s="138"/>
    </row>
    <row r="1086">
      <c r="A1086" s="56"/>
      <c r="B1086" s="56"/>
      <c r="C1086" s="108" t="str">
        <f>IFNA(VLOOKUP('Dashboard-Dados'!B1086,'Dashboard-Dados'!$Y$2:$AA$13,2),"")</f>
        <v/>
      </c>
      <c r="D1086" s="109">
        <f>IFERROR(GETPIVOTDATA("Valor Recebido",'Dashboard-Dados'!$J$1,$A$1,A1086,$B$1,B1086),0)</f>
        <v>0</v>
      </c>
      <c r="E1086" s="110">
        <f>IFERROR(GETPIVOTDATA("Valor Despesa",'Dashboard-Dados'!$P$1,$A$1,A1086,$B$1,B1086),0)</f>
        <v>0</v>
      </c>
      <c r="F1086" s="110">
        <f t="shared" si="1"/>
        <v>0</v>
      </c>
      <c r="G1086" s="56">
        <f>IFERROR(GETPIVOTDATA("Exame",'Dashboard-Dados'!$J$1,$A$1,A1086,$B$1,B1086),0)</f>
        <v>0</v>
      </c>
      <c r="H1086" s="56">
        <f t="shared" si="2"/>
        <v>1086</v>
      </c>
      <c r="U1086" s="56"/>
      <c r="V1086" s="56"/>
      <c r="W1086" s="56"/>
      <c r="Y1086" s="138"/>
    </row>
    <row r="1087">
      <c r="A1087" s="56"/>
      <c r="B1087" s="56"/>
      <c r="C1087" s="108" t="str">
        <f>IFNA(VLOOKUP('Dashboard-Dados'!B1087,'Dashboard-Dados'!$Y$2:$AA$13,2),"")</f>
        <v/>
      </c>
      <c r="D1087" s="109">
        <f>IFERROR(GETPIVOTDATA("Valor Recebido",'Dashboard-Dados'!$J$1,$A$1,A1087,$B$1,B1087),0)</f>
        <v>0</v>
      </c>
      <c r="E1087" s="110">
        <f>IFERROR(GETPIVOTDATA("Valor Despesa",'Dashboard-Dados'!$P$1,$A$1,A1087,$B$1,B1087),0)</f>
        <v>0</v>
      </c>
      <c r="F1087" s="110">
        <f t="shared" si="1"/>
        <v>0</v>
      </c>
      <c r="G1087" s="56">
        <f>IFERROR(GETPIVOTDATA("Exame",'Dashboard-Dados'!$J$1,$A$1,A1087,$B$1,B1087),0)</f>
        <v>0</v>
      </c>
      <c r="H1087" s="56">
        <f t="shared" si="2"/>
        <v>1087</v>
      </c>
      <c r="U1087" s="56"/>
      <c r="V1087" s="56"/>
      <c r="W1087" s="56"/>
      <c r="Y1087" s="138"/>
    </row>
    <row r="1088">
      <c r="A1088" s="56"/>
      <c r="B1088" s="56"/>
      <c r="C1088" s="108" t="str">
        <f>IFNA(VLOOKUP('Dashboard-Dados'!B1088,'Dashboard-Dados'!$Y$2:$AA$13,2),"")</f>
        <v/>
      </c>
      <c r="D1088" s="109">
        <f>IFERROR(GETPIVOTDATA("Valor Recebido",'Dashboard-Dados'!$J$1,$A$1,A1088,$B$1,B1088),0)</f>
        <v>0</v>
      </c>
      <c r="E1088" s="110">
        <f>IFERROR(GETPIVOTDATA("Valor Despesa",'Dashboard-Dados'!$P$1,$A$1,A1088,$B$1,B1088),0)</f>
        <v>0</v>
      </c>
      <c r="F1088" s="110">
        <f t="shared" si="1"/>
        <v>0</v>
      </c>
      <c r="G1088" s="56">
        <f>IFERROR(GETPIVOTDATA("Exame",'Dashboard-Dados'!$J$1,$A$1,A1088,$B$1,B1088),0)</f>
        <v>0</v>
      </c>
      <c r="H1088" s="56">
        <f t="shared" si="2"/>
        <v>1088</v>
      </c>
      <c r="U1088" s="56"/>
      <c r="V1088" s="56"/>
      <c r="W1088" s="56"/>
      <c r="Y1088" s="138"/>
    </row>
    <row r="1089">
      <c r="A1089" s="56"/>
      <c r="B1089" s="56"/>
      <c r="C1089" s="108" t="str">
        <f>IFNA(VLOOKUP('Dashboard-Dados'!B1089,'Dashboard-Dados'!$Y$2:$AA$13,2),"")</f>
        <v/>
      </c>
      <c r="D1089" s="109">
        <f>IFERROR(GETPIVOTDATA("Valor Recebido",'Dashboard-Dados'!$J$1,$A$1,A1089,$B$1,B1089),0)</f>
        <v>0</v>
      </c>
      <c r="E1089" s="110">
        <f>IFERROR(GETPIVOTDATA("Valor Despesa",'Dashboard-Dados'!$P$1,$A$1,A1089,$B$1,B1089),0)</f>
        <v>0</v>
      </c>
      <c r="F1089" s="110">
        <f t="shared" si="1"/>
        <v>0</v>
      </c>
      <c r="G1089" s="56">
        <f>IFERROR(GETPIVOTDATA("Exame",'Dashboard-Dados'!$J$1,$A$1,A1089,$B$1,B1089),0)</f>
        <v>0</v>
      </c>
      <c r="H1089" s="56">
        <f t="shared" si="2"/>
        <v>1089</v>
      </c>
      <c r="U1089" s="56"/>
      <c r="V1089" s="56"/>
      <c r="W1089" s="56"/>
      <c r="Y1089" s="138"/>
    </row>
    <row r="1090">
      <c r="A1090" s="56"/>
      <c r="B1090" s="56"/>
      <c r="C1090" s="108" t="str">
        <f>IFNA(VLOOKUP('Dashboard-Dados'!B1090,'Dashboard-Dados'!$Y$2:$AA$13,2),"")</f>
        <v/>
      </c>
      <c r="D1090" s="109">
        <f>IFERROR(GETPIVOTDATA("Valor Recebido",'Dashboard-Dados'!$J$1,$A$1,A1090,$B$1,B1090),0)</f>
        <v>0</v>
      </c>
      <c r="E1090" s="110">
        <f>IFERROR(GETPIVOTDATA("Valor Despesa",'Dashboard-Dados'!$P$1,$A$1,A1090,$B$1,B1090),0)</f>
        <v>0</v>
      </c>
      <c r="F1090" s="110">
        <f t="shared" si="1"/>
        <v>0</v>
      </c>
      <c r="G1090" s="56">
        <f>IFERROR(GETPIVOTDATA("Exame",'Dashboard-Dados'!$J$1,$A$1,A1090,$B$1,B1090),0)</f>
        <v>0</v>
      </c>
      <c r="H1090" s="56">
        <f t="shared" si="2"/>
        <v>1090</v>
      </c>
      <c r="U1090" s="56"/>
      <c r="V1090" s="56"/>
      <c r="W1090" s="56"/>
      <c r="Y1090" s="138"/>
    </row>
    <row r="1091">
      <c r="A1091" s="56"/>
      <c r="B1091" s="56"/>
      <c r="C1091" s="108" t="str">
        <f>IFNA(VLOOKUP('Dashboard-Dados'!B1091,'Dashboard-Dados'!$Y$2:$AA$13,2),"")</f>
        <v/>
      </c>
      <c r="D1091" s="109">
        <f>IFERROR(GETPIVOTDATA("Valor Recebido",'Dashboard-Dados'!$J$1,$A$1,A1091,$B$1,B1091),0)</f>
        <v>0</v>
      </c>
      <c r="E1091" s="110">
        <f>IFERROR(GETPIVOTDATA("Valor Despesa",'Dashboard-Dados'!$P$1,$A$1,A1091,$B$1,B1091),0)</f>
        <v>0</v>
      </c>
      <c r="F1091" s="110">
        <f t="shared" si="1"/>
        <v>0</v>
      </c>
      <c r="G1091" s="56">
        <f>IFERROR(GETPIVOTDATA("Exame",'Dashboard-Dados'!$J$1,$A$1,A1091,$B$1,B1091),0)</f>
        <v>0</v>
      </c>
      <c r="H1091" s="56">
        <f t="shared" si="2"/>
        <v>1091</v>
      </c>
      <c r="U1091" s="56"/>
      <c r="V1091" s="56"/>
      <c r="W1091" s="56"/>
      <c r="Y1091" s="138"/>
    </row>
    <row r="1092">
      <c r="A1092" s="56"/>
      <c r="B1092" s="56"/>
      <c r="C1092" s="108" t="str">
        <f>IFNA(VLOOKUP('Dashboard-Dados'!B1092,'Dashboard-Dados'!$Y$2:$AA$13,2),"")</f>
        <v/>
      </c>
      <c r="D1092" s="109">
        <f>IFERROR(GETPIVOTDATA("Valor Recebido",'Dashboard-Dados'!$J$1,$A$1,A1092,$B$1,B1092),0)</f>
        <v>0</v>
      </c>
      <c r="E1092" s="110">
        <f>IFERROR(GETPIVOTDATA("Valor Despesa",'Dashboard-Dados'!$P$1,$A$1,A1092,$B$1,B1092),0)</f>
        <v>0</v>
      </c>
      <c r="F1092" s="110">
        <f t="shared" si="1"/>
        <v>0</v>
      </c>
      <c r="G1092" s="56">
        <f>IFERROR(GETPIVOTDATA("Exame",'Dashboard-Dados'!$J$1,$A$1,A1092,$B$1,B1092),0)</f>
        <v>0</v>
      </c>
      <c r="H1092" s="56">
        <f t="shared" si="2"/>
        <v>1092</v>
      </c>
      <c r="U1092" s="56"/>
      <c r="V1092" s="56"/>
      <c r="W1092" s="56"/>
      <c r="Y1092" s="138"/>
    </row>
    <row r="1093">
      <c r="A1093" s="56"/>
      <c r="B1093" s="56"/>
      <c r="C1093" s="108" t="str">
        <f>IFNA(VLOOKUP('Dashboard-Dados'!B1093,'Dashboard-Dados'!$Y$2:$AA$13,2),"")</f>
        <v/>
      </c>
      <c r="D1093" s="109">
        <f>IFERROR(GETPIVOTDATA("Valor Recebido",'Dashboard-Dados'!$J$1,$A$1,A1093,$B$1,B1093),0)</f>
        <v>0</v>
      </c>
      <c r="E1093" s="110">
        <f>IFERROR(GETPIVOTDATA("Valor Despesa",'Dashboard-Dados'!$P$1,$A$1,A1093,$B$1,B1093),0)</f>
        <v>0</v>
      </c>
      <c r="F1093" s="110">
        <f t="shared" si="1"/>
        <v>0</v>
      </c>
      <c r="G1093" s="56">
        <f>IFERROR(GETPIVOTDATA("Exame",'Dashboard-Dados'!$J$1,$A$1,A1093,$B$1,B1093),0)</f>
        <v>0</v>
      </c>
      <c r="H1093" s="56">
        <f t="shared" si="2"/>
        <v>1093</v>
      </c>
      <c r="U1093" s="56"/>
      <c r="V1093" s="56"/>
      <c r="W1093" s="56"/>
      <c r="Y1093" s="138"/>
    </row>
    <row r="1094">
      <c r="A1094" s="56"/>
      <c r="B1094" s="56"/>
      <c r="C1094" s="108" t="str">
        <f>IFNA(VLOOKUP('Dashboard-Dados'!B1094,'Dashboard-Dados'!$Y$2:$AA$13,2),"")</f>
        <v/>
      </c>
      <c r="D1094" s="109">
        <f>IFERROR(GETPIVOTDATA("Valor Recebido",'Dashboard-Dados'!$J$1,$A$1,A1094,$B$1,B1094),0)</f>
        <v>0</v>
      </c>
      <c r="E1094" s="110">
        <f>IFERROR(GETPIVOTDATA("Valor Despesa",'Dashboard-Dados'!$P$1,$A$1,A1094,$B$1,B1094),0)</f>
        <v>0</v>
      </c>
      <c r="F1094" s="110">
        <f t="shared" si="1"/>
        <v>0</v>
      </c>
      <c r="G1094" s="56">
        <f>IFERROR(GETPIVOTDATA("Exame",'Dashboard-Dados'!$J$1,$A$1,A1094,$B$1,B1094),0)</f>
        <v>0</v>
      </c>
      <c r="H1094" s="56">
        <f t="shared" si="2"/>
        <v>1094</v>
      </c>
      <c r="U1094" s="56"/>
      <c r="V1094" s="56"/>
      <c r="W1094" s="56"/>
      <c r="Y1094" s="138"/>
    </row>
    <row r="1095">
      <c r="A1095" s="56"/>
      <c r="B1095" s="56"/>
      <c r="C1095" s="108" t="str">
        <f>IFNA(VLOOKUP('Dashboard-Dados'!B1095,'Dashboard-Dados'!$Y$2:$AA$13,2),"")</f>
        <v/>
      </c>
      <c r="D1095" s="109">
        <f>IFERROR(GETPIVOTDATA("Valor Recebido",'Dashboard-Dados'!$J$1,$A$1,A1095,$B$1,B1095),0)</f>
        <v>0</v>
      </c>
      <c r="E1095" s="110">
        <f>IFERROR(GETPIVOTDATA("Valor Despesa",'Dashboard-Dados'!$P$1,$A$1,A1095,$B$1,B1095),0)</f>
        <v>0</v>
      </c>
      <c r="F1095" s="110">
        <f t="shared" si="1"/>
        <v>0</v>
      </c>
      <c r="G1095" s="56">
        <f>IFERROR(GETPIVOTDATA("Exame",'Dashboard-Dados'!$J$1,$A$1,A1095,$B$1,B1095),0)</f>
        <v>0</v>
      </c>
      <c r="H1095" s="56">
        <f t="shared" si="2"/>
        <v>1095</v>
      </c>
      <c r="U1095" s="56"/>
      <c r="V1095" s="56"/>
      <c r="W1095" s="56"/>
      <c r="Y1095" s="138"/>
    </row>
    <row r="1096">
      <c r="A1096" s="56"/>
      <c r="B1096" s="56"/>
      <c r="C1096" s="108" t="str">
        <f>IFNA(VLOOKUP('Dashboard-Dados'!B1096,'Dashboard-Dados'!$Y$2:$AA$13,2),"")</f>
        <v/>
      </c>
      <c r="D1096" s="109">
        <f>IFERROR(GETPIVOTDATA("Valor Recebido",'Dashboard-Dados'!$J$1,$A$1,A1096,$B$1,B1096),0)</f>
        <v>0</v>
      </c>
      <c r="E1096" s="110">
        <f>IFERROR(GETPIVOTDATA("Valor Despesa",'Dashboard-Dados'!$P$1,$A$1,A1096,$B$1,B1096),0)</f>
        <v>0</v>
      </c>
      <c r="F1096" s="110">
        <f t="shared" si="1"/>
        <v>0</v>
      </c>
      <c r="G1096" s="56">
        <f>IFERROR(GETPIVOTDATA("Exame",'Dashboard-Dados'!$J$1,$A$1,A1096,$B$1,B1096),0)</f>
        <v>0</v>
      </c>
      <c r="H1096" s="56">
        <f t="shared" si="2"/>
        <v>1096</v>
      </c>
      <c r="U1096" s="56"/>
      <c r="V1096" s="56"/>
      <c r="W1096" s="56"/>
      <c r="Y1096" s="138"/>
    </row>
    <row r="1097">
      <c r="A1097" s="56"/>
      <c r="B1097" s="56"/>
      <c r="C1097" s="108" t="str">
        <f>IFNA(VLOOKUP('Dashboard-Dados'!B1097,'Dashboard-Dados'!$Y$2:$AA$13,2),"")</f>
        <v/>
      </c>
      <c r="D1097" s="109">
        <f>IFERROR(GETPIVOTDATA("Valor Recebido",'Dashboard-Dados'!$J$1,$A$1,A1097,$B$1,B1097),0)</f>
        <v>0</v>
      </c>
      <c r="E1097" s="110">
        <f>IFERROR(GETPIVOTDATA("Valor Despesa",'Dashboard-Dados'!$P$1,$A$1,A1097,$B$1,B1097),0)</f>
        <v>0</v>
      </c>
      <c r="F1097" s="110">
        <f t="shared" si="1"/>
        <v>0</v>
      </c>
      <c r="G1097" s="56">
        <f>IFERROR(GETPIVOTDATA("Exame",'Dashboard-Dados'!$J$1,$A$1,A1097,$B$1,B1097),0)</f>
        <v>0</v>
      </c>
      <c r="H1097" s="56">
        <f t="shared" si="2"/>
        <v>1097</v>
      </c>
      <c r="U1097" s="56"/>
      <c r="V1097" s="56"/>
      <c r="W1097" s="56"/>
      <c r="Y1097" s="138"/>
    </row>
    <row r="1098">
      <c r="A1098" s="56"/>
      <c r="B1098" s="56"/>
      <c r="C1098" s="108" t="str">
        <f>IFNA(VLOOKUP('Dashboard-Dados'!B1098,'Dashboard-Dados'!$Y$2:$AA$13,2),"")</f>
        <v/>
      </c>
      <c r="D1098" s="109">
        <f>IFERROR(GETPIVOTDATA("Valor Recebido",'Dashboard-Dados'!$J$1,$A$1,A1098,$B$1,B1098),0)</f>
        <v>0</v>
      </c>
      <c r="E1098" s="110">
        <f>IFERROR(GETPIVOTDATA("Valor Despesa",'Dashboard-Dados'!$P$1,$A$1,A1098,$B$1,B1098),0)</f>
        <v>0</v>
      </c>
      <c r="F1098" s="110">
        <f t="shared" si="1"/>
        <v>0</v>
      </c>
      <c r="G1098" s="56">
        <f>IFERROR(GETPIVOTDATA("Exame",'Dashboard-Dados'!$J$1,$A$1,A1098,$B$1,B1098),0)</f>
        <v>0</v>
      </c>
      <c r="H1098" s="56">
        <f t="shared" si="2"/>
        <v>1098</v>
      </c>
      <c r="U1098" s="56"/>
      <c r="V1098" s="56"/>
      <c r="W1098" s="56"/>
      <c r="Y1098" s="138"/>
    </row>
    <row r="1099">
      <c r="A1099" s="56"/>
      <c r="B1099" s="56"/>
      <c r="C1099" s="108" t="str">
        <f>IFNA(VLOOKUP('Dashboard-Dados'!B1099,'Dashboard-Dados'!$Y$2:$AA$13,2),"")</f>
        <v/>
      </c>
      <c r="D1099" s="109">
        <f>IFERROR(GETPIVOTDATA("Valor Recebido",'Dashboard-Dados'!$J$1,$A$1,A1099,$B$1,B1099),0)</f>
        <v>0</v>
      </c>
      <c r="E1099" s="110">
        <f>IFERROR(GETPIVOTDATA("Valor Despesa",'Dashboard-Dados'!$P$1,$A$1,A1099,$B$1,B1099),0)</f>
        <v>0</v>
      </c>
      <c r="F1099" s="110">
        <f t="shared" si="1"/>
        <v>0</v>
      </c>
      <c r="G1099" s="56">
        <f>IFERROR(GETPIVOTDATA("Exame",'Dashboard-Dados'!$J$1,$A$1,A1099,$B$1,B1099),0)</f>
        <v>0</v>
      </c>
      <c r="H1099" s="56">
        <f t="shared" si="2"/>
        <v>1099</v>
      </c>
      <c r="U1099" s="56"/>
      <c r="V1099" s="56"/>
      <c r="W1099" s="56"/>
      <c r="Y1099" s="138"/>
    </row>
    <row r="1100">
      <c r="A1100" s="56"/>
      <c r="B1100" s="56"/>
      <c r="C1100" s="108" t="str">
        <f>IFNA(VLOOKUP('Dashboard-Dados'!B1100,'Dashboard-Dados'!$Y$2:$AA$13,2),"")</f>
        <v/>
      </c>
      <c r="D1100" s="109">
        <f>IFERROR(GETPIVOTDATA("Valor Recebido",'Dashboard-Dados'!$J$1,$A$1,A1100,$B$1,B1100),0)</f>
        <v>0</v>
      </c>
      <c r="E1100" s="110">
        <f>IFERROR(GETPIVOTDATA("Valor Despesa",'Dashboard-Dados'!$P$1,$A$1,A1100,$B$1,B1100),0)</f>
        <v>0</v>
      </c>
      <c r="F1100" s="110">
        <f t="shared" si="1"/>
        <v>0</v>
      </c>
      <c r="G1100" s="56">
        <f>IFERROR(GETPIVOTDATA("Exame",'Dashboard-Dados'!$J$1,$A$1,A1100,$B$1,B1100),0)</f>
        <v>0</v>
      </c>
      <c r="H1100" s="56">
        <f t="shared" si="2"/>
        <v>1100</v>
      </c>
      <c r="U1100" s="56"/>
      <c r="V1100" s="56"/>
      <c r="W1100" s="56"/>
      <c r="Y1100" s="138"/>
    </row>
    <row r="1101">
      <c r="A1101" s="56"/>
      <c r="B1101" s="56"/>
      <c r="C1101" s="108" t="str">
        <f>IFNA(VLOOKUP('Dashboard-Dados'!B1101,'Dashboard-Dados'!$Y$2:$AA$13,2),"")</f>
        <v/>
      </c>
      <c r="D1101" s="109">
        <f>IFERROR(GETPIVOTDATA("Valor Recebido",'Dashboard-Dados'!$J$1,$A$1,A1101,$B$1,B1101),0)</f>
        <v>0</v>
      </c>
      <c r="E1101" s="110">
        <f>IFERROR(GETPIVOTDATA("Valor Despesa",'Dashboard-Dados'!$P$1,$A$1,A1101,$B$1,B1101),0)</f>
        <v>0</v>
      </c>
      <c r="F1101" s="110">
        <f t="shared" si="1"/>
        <v>0</v>
      </c>
      <c r="G1101" s="56">
        <f>IFERROR(GETPIVOTDATA("Exame",'Dashboard-Dados'!$J$1,$A$1,A1101,$B$1,B1101),0)</f>
        <v>0</v>
      </c>
      <c r="H1101" s="56">
        <f t="shared" si="2"/>
        <v>1101</v>
      </c>
      <c r="U1101" s="56"/>
      <c r="V1101" s="56"/>
      <c r="W1101" s="56"/>
      <c r="Y1101" s="138"/>
    </row>
    <row r="1102">
      <c r="A1102" s="56"/>
      <c r="B1102" s="56"/>
      <c r="C1102" s="108" t="str">
        <f>IFNA(VLOOKUP('Dashboard-Dados'!B1102,'Dashboard-Dados'!$Y$2:$AA$13,2),"")</f>
        <v/>
      </c>
      <c r="D1102" s="109">
        <f>IFERROR(GETPIVOTDATA("Valor Recebido",'Dashboard-Dados'!$J$1,$A$1,A1102,$B$1,B1102),0)</f>
        <v>0</v>
      </c>
      <c r="E1102" s="110">
        <f>IFERROR(GETPIVOTDATA("Valor Despesa",'Dashboard-Dados'!$P$1,$A$1,A1102,$B$1,B1102),0)</f>
        <v>0</v>
      </c>
      <c r="F1102" s="110">
        <f t="shared" si="1"/>
        <v>0</v>
      </c>
      <c r="G1102" s="56">
        <f>IFERROR(GETPIVOTDATA("Exame",'Dashboard-Dados'!$J$1,$A$1,A1102,$B$1,B1102),0)</f>
        <v>0</v>
      </c>
      <c r="H1102" s="56">
        <f t="shared" si="2"/>
        <v>1102</v>
      </c>
      <c r="U1102" s="56"/>
      <c r="V1102" s="56"/>
      <c r="W1102" s="56"/>
      <c r="Y1102" s="138"/>
    </row>
    <row r="1103">
      <c r="A1103" s="56"/>
      <c r="B1103" s="56"/>
      <c r="C1103" s="108" t="str">
        <f>IFNA(VLOOKUP('Dashboard-Dados'!B1103,'Dashboard-Dados'!$Y$2:$AA$13,2),"")</f>
        <v/>
      </c>
      <c r="D1103" s="109">
        <f>IFERROR(GETPIVOTDATA("Valor Recebido",'Dashboard-Dados'!$J$1,$A$1,A1103,$B$1,B1103),0)</f>
        <v>0</v>
      </c>
      <c r="E1103" s="110">
        <f>IFERROR(GETPIVOTDATA("Valor Despesa",'Dashboard-Dados'!$P$1,$A$1,A1103,$B$1,B1103),0)</f>
        <v>0</v>
      </c>
      <c r="F1103" s="110">
        <f t="shared" si="1"/>
        <v>0</v>
      </c>
      <c r="G1103" s="56">
        <f>IFERROR(GETPIVOTDATA("Exame",'Dashboard-Dados'!$J$1,$A$1,A1103,$B$1,B1103),0)</f>
        <v>0</v>
      </c>
      <c r="H1103" s="56">
        <f t="shared" si="2"/>
        <v>1103</v>
      </c>
      <c r="U1103" s="56"/>
      <c r="V1103" s="56"/>
      <c r="W1103" s="56"/>
      <c r="Y1103" s="138"/>
    </row>
    <row r="1104">
      <c r="A1104" s="56"/>
      <c r="B1104" s="56"/>
      <c r="C1104" s="108" t="str">
        <f>IFNA(VLOOKUP('Dashboard-Dados'!B1104,'Dashboard-Dados'!$Y$2:$AA$13,2),"")</f>
        <v/>
      </c>
      <c r="D1104" s="109">
        <f>IFERROR(GETPIVOTDATA("Valor Recebido",'Dashboard-Dados'!$J$1,$A$1,A1104,$B$1,B1104),0)</f>
        <v>0</v>
      </c>
      <c r="E1104" s="110">
        <f>IFERROR(GETPIVOTDATA("Valor Despesa",'Dashboard-Dados'!$P$1,$A$1,A1104,$B$1,B1104),0)</f>
        <v>0</v>
      </c>
      <c r="F1104" s="110">
        <f t="shared" si="1"/>
        <v>0</v>
      </c>
      <c r="G1104" s="56">
        <f>IFERROR(GETPIVOTDATA("Exame",'Dashboard-Dados'!$J$1,$A$1,A1104,$B$1,B1104),0)</f>
        <v>0</v>
      </c>
      <c r="H1104" s="56">
        <f t="shared" si="2"/>
        <v>1104</v>
      </c>
      <c r="U1104" s="56"/>
      <c r="V1104" s="56"/>
      <c r="W1104" s="56"/>
      <c r="Y1104" s="138"/>
    </row>
    <row r="1105">
      <c r="A1105" s="56"/>
      <c r="B1105" s="56"/>
      <c r="C1105" s="108" t="str">
        <f>IFNA(VLOOKUP('Dashboard-Dados'!B1105,'Dashboard-Dados'!$Y$2:$AA$13,2),"")</f>
        <v/>
      </c>
      <c r="D1105" s="109">
        <f>IFERROR(GETPIVOTDATA("Valor Recebido",'Dashboard-Dados'!$J$1,$A$1,A1105,$B$1,B1105),0)</f>
        <v>0</v>
      </c>
      <c r="E1105" s="110">
        <f>IFERROR(GETPIVOTDATA("Valor Despesa",'Dashboard-Dados'!$P$1,$A$1,A1105,$B$1,B1105),0)</f>
        <v>0</v>
      </c>
      <c r="F1105" s="110">
        <f t="shared" si="1"/>
        <v>0</v>
      </c>
      <c r="G1105" s="56">
        <f>IFERROR(GETPIVOTDATA("Exame",'Dashboard-Dados'!$J$1,$A$1,A1105,$B$1,B1105),0)</f>
        <v>0</v>
      </c>
      <c r="H1105" s="56">
        <f t="shared" si="2"/>
        <v>1105</v>
      </c>
      <c r="U1105" s="56"/>
      <c r="V1105" s="56"/>
      <c r="W1105" s="56"/>
      <c r="Y1105" s="138"/>
    </row>
    <row r="1106">
      <c r="A1106" s="56"/>
      <c r="B1106" s="56"/>
      <c r="C1106" s="108" t="str">
        <f>IFNA(VLOOKUP('Dashboard-Dados'!B1106,'Dashboard-Dados'!$Y$2:$AA$13,2),"")</f>
        <v/>
      </c>
      <c r="D1106" s="109">
        <f>IFERROR(GETPIVOTDATA("Valor Recebido",'Dashboard-Dados'!$J$1,$A$1,A1106,$B$1,B1106),0)</f>
        <v>0</v>
      </c>
      <c r="E1106" s="110">
        <f>IFERROR(GETPIVOTDATA("Valor Despesa",'Dashboard-Dados'!$P$1,$A$1,A1106,$B$1,B1106),0)</f>
        <v>0</v>
      </c>
      <c r="F1106" s="110">
        <f t="shared" si="1"/>
        <v>0</v>
      </c>
      <c r="G1106" s="56">
        <f>IFERROR(GETPIVOTDATA("Exame",'Dashboard-Dados'!$J$1,$A$1,A1106,$B$1,B1106),0)</f>
        <v>0</v>
      </c>
      <c r="H1106" s="56">
        <f t="shared" si="2"/>
        <v>1106</v>
      </c>
      <c r="U1106" s="56"/>
      <c r="V1106" s="56"/>
      <c r="W1106" s="56"/>
      <c r="Y1106" s="138"/>
    </row>
    <row r="1107">
      <c r="A1107" s="56"/>
      <c r="B1107" s="56"/>
      <c r="C1107" s="108" t="str">
        <f>IFNA(VLOOKUP('Dashboard-Dados'!B1107,'Dashboard-Dados'!$Y$2:$AA$13,2),"")</f>
        <v/>
      </c>
      <c r="D1107" s="109">
        <f>IFERROR(GETPIVOTDATA("Valor Recebido",'Dashboard-Dados'!$J$1,$A$1,A1107,$B$1,B1107),0)</f>
        <v>0</v>
      </c>
      <c r="E1107" s="110">
        <f>IFERROR(GETPIVOTDATA("Valor Despesa",'Dashboard-Dados'!$P$1,$A$1,A1107,$B$1,B1107),0)</f>
        <v>0</v>
      </c>
      <c r="F1107" s="110">
        <f t="shared" si="1"/>
        <v>0</v>
      </c>
      <c r="G1107" s="56">
        <f>IFERROR(GETPIVOTDATA("Exame",'Dashboard-Dados'!$J$1,$A$1,A1107,$B$1,B1107),0)</f>
        <v>0</v>
      </c>
      <c r="H1107" s="56">
        <f t="shared" si="2"/>
        <v>1107</v>
      </c>
      <c r="U1107" s="56"/>
      <c r="V1107" s="56"/>
      <c r="W1107" s="56"/>
      <c r="Y1107" s="138"/>
    </row>
    <row r="1108">
      <c r="A1108" s="56"/>
      <c r="B1108" s="56"/>
      <c r="C1108" s="108" t="str">
        <f>IFNA(VLOOKUP('Dashboard-Dados'!B1108,'Dashboard-Dados'!$Y$2:$AA$13,2),"")</f>
        <v/>
      </c>
      <c r="D1108" s="109">
        <f>IFERROR(GETPIVOTDATA("Valor Recebido",'Dashboard-Dados'!$J$1,$A$1,A1108,$B$1,B1108),0)</f>
        <v>0</v>
      </c>
      <c r="E1108" s="110">
        <f>IFERROR(GETPIVOTDATA("Valor Despesa",'Dashboard-Dados'!$P$1,$A$1,A1108,$B$1,B1108),0)</f>
        <v>0</v>
      </c>
      <c r="F1108" s="110">
        <f t="shared" si="1"/>
        <v>0</v>
      </c>
      <c r="G1108" s="56">
        <f>IFERROR(GETPIVOTDATA("Exame",'Dashboard-Dados'!$J$1,$A$1,A1108,$B$1,B1108),0)</f>
        <v>0</v>
      </c>
      <c r="H1108" s="56">
        <f t="shared" si="2"/>
        <v>1108</v>
      </c>
      <c r="U1108" s="56"/>
      <c r="V1108" s="56"/>
      <c r="W1108" s="56"/>
      <c r="Y1108" s="138"/>
    </row>
    <row r="1109">
      <c r="A1109" s="56"/>
      <c r="B1109" s="56"/>
      <c r="C1109" s="108" t="str">
        <f>IFNA(VLOOKUP('Dashboard-Dados'!B1109,'Dashboard-Dados'!$Y$2:$AA$13,2),"")</f>
        <v/>
      </c>
      <c r="D1109" s="109">
        <f>IFERROR(GETPIVOTDATA("Valor Recebido",'Dashboard-Dados'!$J$1,$A$1,A1109,$B$1,B1109),0)</f>
        <v>0</v>
      </c>
      <c r="E1109" s="110">
        <f>IFERROR(GETPIVOTDATA("Valor Despesa",'Dashboard-Dados'!$P$1,$A$1,A1109,$B$1,B1109),0)</f>
        <v>0</v>
      </c>
      <c r="F1109" s="110">
        <f t="shared" si="1"/>
        <v>0</v>
      </c>
      <c r="G1109" s="56">
        <f>IFERROR(GETPIVOTDATA("Exame",'Dashboard-Dados'!$J$1,$A$1,A1109,$B$1,B1109),0)</f>
        <v>0</v>
      </c>
      <c r="H1109" s="56">
        <f t="shared" si="2"/>
        <v>1109</v>
      </c>
      <c r="U1109" s="56"/>
      <c r="V1109" s="56"/>
      <c r="W1109" s="56"/>
      <c r="Y1109" s="138"/>
    </row>
    <row r="1110">
      <c r="A1110" s="56"/>
      <c r="B1110" s="56"/>
      <c r="C1110" s="108" t="str">
        <f>IFNA(VLOOKUP('Dashboard-Dados'!B1110,'Dashboard-Dados'!$Y$2:$AA$13,2),"")</f>
        <v/>
      </c>
      <c r="D1110" s="109">
        <f>IFERROR(GETPIVOTDATA("Valor Recebido",'Dashboard-Dados'!$J$1,$A$1,A1110,$B$1,B1110),0)</f>
        <v>0</v>
      </c>
      <c r="E1110" s="110">
        <f>IFERROR(GETPIVOTDATA("Valor Despesa",'Dashboard-Dados'!$P$1,$A$1,A1110,$B$1,B1110),0)</f>
        <v>0</v>
      </c>
      <c r="F1110" s="110">
        <f t="shared" si="1"/>
        <v>0</v>
      </c>
      <c r="G1110" s="56">
        <f>IFERROR(GETPIVOTDATA("Exame",'Dashboard-Dados'!$J$1,$A$1,A1110,$B$1,B1110),0)</f>
        <v>0</v>
      </c>
      <c r="H1110" s="56">
        <f t="shared" si="2"/>
        <v>1110</v>
      </c>
      <c r="U1110" s="56"/>
      <c r="V1110" s="56"/>
      <c r="W1110" s="56"/>
      <c r="Y1110" s="138"/>
    </row>
    <row r="1111">
      <c r="A1111" s="56"/>
      <c r="B1111" s="56"/>
      <c r="C1111" s="108" t="str">
        <f>IFNA(VLOOKUP('Dashboard-Dados'!B1111,'Dashboard-Dados'!$Y$2:$AA$13,2),"")</f>
        <v/>
      </c>
      <c r="D1111" s="109">
        <f>IFERROR(GETPIVOTDATA("Valor Recebido",'Dashboard-Dados'!$J$1,$A$1,A1111,$B$1,B1111),0)</f>
        <v>0</v>
      </c>
      <c r="E1111" s="110">
        <f>IFERROR(GETPIVOTDATA("Valor Despesa",'Dashboard-Dados'!$P$1,$A$1,A1111,$B$1,B1111),0)</f>
        <v>0</v>
      </c>
      <c r="F1111" s="110">
        <f t="shared" si="1"/>
        <v>0</v>
      </c>
      <c r="G1111" s="56">
        <f>IFERROR(GETPIVOTDATA("Exame",'Dashboard-Dados'!$J$1,$A$1,A1111,$B$1,B1111),0)</f>
        <v>0</v>
      </c>
      <c r="H1111" s="56">
        <f t="shared" si="2"/>
        <v>1111</v>
      </c>
      <c r="U1111" s="56"/>
      <c r="V1111" s="56"/>
      <c r="W1111" s="56"/>
      <c r="Y1111" s="138"/>
    </row>
    <row r="1112">
      <c r="A1112" s="56"/>
      <c r="B1112" s="56"/>
      <c r="C1112" s="108" t="str">
        <f>IFNA(VLOOKUP('Dashboard-Dados'!B1112,'Dashboard-Dados'!$Y$2:$AA$13,2),"")</f>
        <v/>
      </c>
      <c r="D1112" s="109">
        <f>IFERROR(GETPIVOTDATA("Valor Recebido",'Dashboard-Dados'!$J$1,$A$1,A1112,$B$1,B1112),0)</f>
        <v>0</v>
      </c>
      <c r="E1112" s="110">
        <f>IFERROR(GETPIVOTDATA("Valor Despesa",'Dashboard-Dados'!$P$1,$A$1,A1112,$B$1,B1112),0)</f>
        <v>0</v>
      </c>
      <c r="F1112" s="110">
        <f t="shared" si="1"/>
        <v>0</v>
      </c>
      <c r="G1112" s="56">
        <f>IFERROR(GETPIVOTDATA("Exame",'Dashboard-Dados'!$J$1,$A$1,A1112,$B$1,B1112),0)</f>
        <v>0</v>
      </c>
      <c r="H1112" s="56">
        <f t="shared" si="2"/>
        <v>1112</v>
      </c>
      <c r="U1112" s="56"/>
      <c r="V1112" s="56"/>
      <c r="W1112" s="56"/>
      <c r="Y1112" s="138"/>
    </row>
    <row r="1113">
      <c r="A1113" s="56"/>
      <c r="B1113" s="56"/>
      <c r="C1113" s="108" t="str">
        <f>IFNA(VLOOKUP('Dashboard-Dados'!B1113,'Dashboard-Dados'!$Y$2:$AA$13,2),"")</f>
        <v/>
      </c>
      <c r="D1113" s="109">
        <f>IFERROR(GETPIVOTDATA("Valor Recebido",'Dashboard-Dados'!$J$1,$A$1,A1113,$B$1,B1113),0)</f>
        <v>0</v>
      </c>
      <c r="E1113" s="110">
        <f>IFERROR(GETPIVOTDATA("Valor Despesa",'Dashboard-Dados'!$P$1,$A$1,A1113,$B$1,B1113),0)</f>
        <v>0</v>
      </c>
      <c r="F1113" s="110">
        <f t="shared" si="1"/>
        <v>0</v>
      </c>
      <c r="G1113" s="56">
        <f>IFERROR(GETPIVOTDATA("Exame",'Dashboard-Dados'!$J$1,$A$1,A1113,$B$1,B1113),0)</f>
        <v>0</v>
      </c>
      <c r="H1113" s="56">
        <f t="shared" si="2"/>
        <v>1113</v>
      </c>
      <c r="U1113" s="56"/>
      <c r="V1113" s="56"/>
      <c r="W1113" s="56"/>
      <c r="Y1113" s="138"/>
    </row>
    <row r="1114">
      <c r="A1114" s="56"/>
      <c r="B1114" s="56"/>
      <c r="C1114" s="108" t="str">
        <f>IFNA(VLOOKUP('Dashboard-Dados'!B1114,'Dashboard-Dados'!$Y$2:$AA$13,2),"")</f>
        <v/>
      </c>
      <c r="D1114" s="109">
        <f>IFERROR(GETPIVOTDATA("Valor Recebido",'Dashboard-Dados'!$J$1,$A$1,A1114,$B$1,B1114),0)</f>
        <v>0</v>
      </c>
      <c r="E1114" s="110">
        <f>IFERROR(GETPIVOTDATA("Valor Despesa",'Dashboard-Dados'!$P$1,$A$1,A1114,$B$1,B1114),0)</f>
        <v>0</v>
      </c>
      <c r="F1114" s="110">
        <f t="shared" si="1"/>
        <v>0</v>
      </c>
      <c r="G1114" s="56">
        <f>IFERROR(GETPIVOTDATA("Exame",'Dashboard-Dados'!$J$1,$A$1,A1114,$B$1,B1114),0)</f>
        <v>0</v>
      </c>
      <c r="H1114" s="56">
        <f t="shared" si="2"/>
        <v>1114</v>
      </c>
      <c r="U1114" s="56"/>
      <c r="V1114" s="56"/>
      <c r="W1114" s="56"/>
      <c r="Y1114" s="138"/>
    </row>
    <row r="1115">
      <c r="A1115" s="56"/>
      <c r="B1115" s="56"/>
      <c r="C1115" s="108" t="str">
        <f>IFNA(VLOOKUP('Dashboard-Dados'!B1115,'Dashboard-Dados'!$Y$2:$AA$13,2),"")</f>
        <v/>
      </c>
      <c r="D1115" s="109">
        <f>IFERROR(GETPIVOTDATA("Valor Recebido",'Dashboard-Dados'!$J$1,$A$1,A1115,$B$1,B1115),0)</f>
        <v>0</v>
      </c>
      <c r="E1115" s="110">
        <f>IFERROR(GETPIVOTDATA("Valor Despesa",'Dashboard-Dados'!$P$1,$A$1,A1115,$B$1,B1115),0)</f>
        <v>0</v>
      </c>
      <c r="F1115" s="110">
        <f t="shared" si="1"/>
        <v>0</v>
      </c>
      <c r="G1115" s="56">
        <f>IFERROR(GETPIVOTDATA("Exame",'Dashboard-Dados'!$J$1,$A$1,A1115,$B$1,B1115),0)</f>
        <v>0</v>
      </c>
      <c r="H1115" s="56">
        <f t="shared" si="2"/>
        <v>1115</v>
      </c>
      <c r="U1115" s="56"/>
      <c r="V1115" s="56"/>
      <c r="W1115" s="56"/>
      <c r="Y1115" s="138"/>
    </row>
    <row r="1116">
      <c r="A1116" s="56"/>
      <c r="B1116" s="56"/>
      <c r="C1116" s="108" t="str">
        <f>IFNA(VLOOKUP('Dashboard-Dados'!B1116,'Dashboard-Dados'!$Y$2:$AA$13,2),"")</f>
        <v/>
      </c>
      <c r="D1116" s="109">
        <f>IFERROR(GETPIVOTDATA("Valor Recebido",'Dashboard-Dados'!$J$1,$A$1,A1116,$B$1,B1116),0)</f>
        <v>0</v>
      </c>
      <c r="E1116" s="110">
        <f>IFERROR(GETPIVOTDATA("Valor Despesa",'Dashboard-Dados'!$P$1,$A$1,A1116,$B$1,B1116),0)</f>
        <v>0</v>
      </c>
      <c r="F1116" s="110">
        <f t="shared" si="1"/>
        <v>0</v>
      </c>
      <c r="G1116" s="56">
        <f>IFERROR(GETPIVOTDATA("Exame",'Dashboard-Dados'!$J$1,$A$1,A1116,$B$1,B1116),0)</f>
        <v>0</v>
      </c>
      <c r="H1116" s="56">
        <f t="shared" si="2"/>
        <v>1116</v>
      </c>
      <c r="U1116" s="56"/>
      <c r="V1116" s="56"/>
      <c r="W1116" s="56"/>
      <c r="Y1116" s="138"/>
    </row>
    <row r="1117">
      <c r="A1117" s="56"/>
      <c r="B1117" s="56"/>
      <c r="C1117" s="108" t="str">
        <f>IFNA(VLOOKUP('Dashboard-Dados'!B1117,'Dashboard-Dados'!$Y$2:$AA$13,2),"")</f>
        <v/>
      </c>
      <c r="D1117" s="109">
        <f>IFERROR(GETPIVOTDATA("Valor Recebido",'Dashboard-Dados'!$J$1,$A$1,A1117,$B$1,B1117),0)</f>
        <v>0</v>
      </c>
      <c r="E1117" s="110">
        <f>IFERROR(GETPIVOTDATA("Valor Despesa",'Dashboard-Dados'!$P$1,$A$1,A1117,$B$1,B1117),0)</f>
        <v>0</v>
      </c>
      <c r="F1117" s="110">
        <f t="shared" si="1"/>
        <v>0</v>
      </c>
      <c r="G1117" s="56">
        <f>IFERROR(GETPIVOTDATA("Exame",'Dashboard-Dados'!$J$1,$A$1,A1117,$B$1,B1117),0)</f>
        <v>0</v>
      </c>
      <c r="H1117" s="56">
        <f t="shared" si="2"/>
        <v>1117</v>
      </c>
      <c r="U1117" s="56"/>
      <c r="V1117" s="56"/>
      <c r="W1117" s="56"/>
      <c r="Y1117" s="138"/>
    </row>
    <row r="1118">
      <c r="A1118" s="56"/>
      <c r="B1118" s="56"/>
      <c r="C1118" s="108" t="str">
        <f>IFNA(VLOOKUP('Dashboard-Dados'!B1118,'Dashboard-Dados'!$Y$2:$AA$13,2),"")</f>
        <v/>
      </c>
      <c r="D1118" s="109">
        <f>IFERROR(GETPIVOTDATA("Valor Recebido",'Dashboard-Dados'!$J$1,$A$1,A1118,$B$1,B1118),0)</f>
        <v>0</v>
      </c>
      <c r="E1118" s="110">
        <f>IFERROR(GETPIVOTDATA("Valor Despesa",'Dashboard-Dados'!$P$1,$A$1,A1118,$B$1,B1118),0)</f>
        <v>0</v>
      </c>
      <c r="F1118" s="110">
        <f t="shared" si="1"/>
        <v>0</v>
      </c>
      <c r="G1118" s="56">
        <f>IFERROR(GETPIVOTDATA("Exame",'Dashboard-Dados'!$J$1,$A$1,A1118,$B$1,B1118),0)</f>
        <v>0</v>
      </c>
      <c r="H1118" s="56">
        <f t="shared" si="2"/>
        <v>1118</v>
      </c>
      <c r="U1118" s="56"/>
      <c r="V1118" s="56"/>
      <c r="W1118" s="56"/>
      <c r="Y1118" s="138"/>
    </row>
    <row r="1119">
      <c r="A1119" s="56"/>
      <c r="B1119" s="56"/>
      <c r="C1119" s="108" t="str">
        <f>IFNA(VLOOKUP('Dashboard-Dados'!B1119,'Dashboard-Dados'!$Y$2:$AA$13,2),"")</f>
        <v/>
      </c>
      <c r="D1119" s="109">
        <f>IFERROR(GETPIVOTDATA("Valor Recebido",'Dashboard-Dados'!$J$1,$A$1,A1119,$B$1,B1119),0)</f>
        <v>0</v>
      </c>
      <c r="E1119" s="110">
        <f>IFERROR(GETPIVOTDATA("Valor Despesa",'Dashboard-Dados'!$P$1,$A$1,A1119,$B$1,B1119),0)</f>
        <v>0</v>
      </c>
      <c r="F1119" s="110">
        <f t="shared" si="1"/>
        <v>0</v>
      </c>
      <c r="G1119" s="56">
        <f>IFERROR(GETPIVOTDATA("Exame",'Dashboard-Dados'!$J$1,$A$1,A1119,$B$1,B1119),0)</f>
        <v>0</v>
      </c>
      <c r="H1119" s="56">
        <f t="shared" si="2"/>
        <v>1119</v>
      </c>
      <c r="U1119" s="56"/>
      <c r="V1119" s="56"/>
      <c r="W1119" s="56"/>
      <c r="Y1119" s="138"/>
    </row>
    <row r="1120">
      <c r="A1120" s="56"/>
      <c r="B1120" s="56"/>
      <c r="C1120" s="108" t="str">
        <f>IFNA(VLOOKUP('Dashboard-Dados'!B1120,'Dashboard-Dados'!$Y$2:$AA$13,2),"")</f>
        <v/>
      </c>
      <c r="D1120" s="109">
        <f>IFERROR(GETPIVOTDATA("Valor Recebido",'Dashboard-Dados'!$J$1,$A$1,A1120,$B$1,B1120),0)</f>
        <v>0</v>
      </c>
      <c r="E1120" s="110">
        <f>IFERROR(GETPIVOTDATA("Valor Despesa",'Dashboard-Dados'!$P$1,$A$1,A1120,$B$1,B1120),0)</f>
        <v>0</v>
      </c>
      <c r="F1120" s="110">
        <f t="shared" si="1"/>
        <v>0</v>
      </c>
      <c r="G1120" s="56">
        <f>IFERROR(GETPIVOTDATA("Exame",'Dashboard-Dados'!$J$1,$A$1,A1120,$B$1,B1120),0)</f>
        <v>0</v>
      </c>
      <c r="H1120" s="56">
        <f t="shared" si="2"/>
        <v>1120</v>
      </c>
      <c r="U1120" s="56"/>
      <c r="V1120" s="56"/>
      <c r="W1120" s="56"/>
      <c r="Y1120" s="138"/>
    </row>
    <row r="1121">
      <c r="A1121" s="56"/>
      <c r="B1121" s="56"/>
      <c r="C1121" s="108" t="str">
        <f>IFNA(VLOOKUP('Dashboard-Dados'!B1121,'Dashboard-Dados'!$Y$2:$AA$13,2),"")</f>
        <v/>
      </c>
      <c r="D1121" s="109">
        <f>IFERROR(GETPIVOTDATA("Valor Recebido",'Dashboard-Dados'!$J$1,$A$1,A1121,$B$1,B1121),0)</f>
        <v>0</v>
      </c>
      <c r="E1121" s="110">
        <f>IFERROR(GETPIVOTDATA("Valor Despesa",'Dashboard-Dados'!$P$1,$A$1,A1121,$B$1,B1121),0)</f>
        <v>0</v>
      </c>
      <c r="F1121" s="110">
        <f t="shared" si="1"/>
        <v>0</v>
      </c>
      <c r="G1121" s="56">
        <f>IFERROR(GETPIVOTDATA("Exame",'Dashboard-Dados'!$J$1,$A$1,A1121,$B$1,B1121),0)</f>
        <v>0</v>
      </c>
      <c r="H1121" s="56">
        <f t="shared" si="2"/>
        <v>1121</v>
      </c>
      <c r="U1121" s="56"/>
      <c r="V1121" s="56"/>
      <c r="W1121" s="56"/>
      <c r="Y1121" s="138"/>
    </row>
    <row r="1122">
      <c r="A1122" s="56"/>
      <c r="B1122" s="56"/>
      <c r="C1122" s="108" t="str">
        <f>IFNA(VLOOKUP('Dashboard-Dados'!B1122,'Dashboard-Dados'!$Y$2:$AA$13,2),"")</f>
        <v/>
      </c>
      <c r="D1122" s="109">
        <f>IFERROR(GETPIVOTDATA("Valor Recebido",'Dashboard-Dados'!$J$1,$A$1,A1122,$B$1,B1122),0)</f>
        <v>0</v>
      </c>
      <c r="E1122" s="110">
        <f>IFERROR(GETPIVOTDATA("Valor Despesa",'Dashboard-Dados'!$P$1,$A$1,A1122,$B$1,B1122),0)</f>
        <v>0</v>
      </c>
      <c r="F1122" s="110">
        <f t="shared" si="1"/>
        <v>0</v>
      </c>
      <c r="G1122" s="56">
        <f>IFERROR(GETPIVOTDATA("Exame",'Dashboard-Dados'!$J$1,$A$1,A1122,$B$1,B1122),0)</f>
        <v>0</v>
      </c>
      <c r="H1122" s="56">
        <f t="shared" si="2"/>
        <v>1122</v>
      </c>
      <c r="U1122" s="56"/>
      <c r="V1122" s="56"/>
      <c r="W1122" s="56"/>
      <c r="Y1122" s="138"/>
    </row>
    <row r="1123">
      <c r="A1123" s="56"/>
      <c r="B1123" s="56"/>
      <c r="C1123" s="108" t="str">
        <f>IFNA(VLOOKUP('Dashboard-Dados'!B1123,'Dashboard-Dados'!$Y$2:$AA$13,2),"")</f>
        <v/>
      </c>
      <c r="D1123" s="109">
        <f>IFERROR(GETPIVOTDATA("Valor Recebido",'Dashboard-Dados'!$J$1,$A$1,A1123,$B$1,B1123),0)</f>
        <v>0</v>
      </c>
      <c r="E1123" s="110">
        <f>IFERROR(GETPIVOTDATA("Valor Despesa",'Dashboard-Dados'!$P$1,$A$1,A1123,$B$1,B1123),0)</f>
        <v>0</v>
      </c>
      <c r="F1123" s="110">
        <f t="shared" si="1"/>
        <v>0</v>
      </c>
      <c r="G1123" s="56">
        <f>IFERROR(GETPIVOTDATA("Exame",'Dashboard-Dados'!$J$1,$A$1,A1123,$B$1,B1123),0)</f>
        <v>0</v>
      </c>
      <c r="H1123" s="56">
        <f t="shared" si="2"/>
        <v>1123</v>
      </c>
      <c r="U1123" s="56"/>
      <c r="V1123" s="56"/>
      <c r="W1123" s="56"/>
      <c r="Y1123" s="138"/>
    </row>
    <row r="1124">
      <c r="A1124" s="56"/>
      <c r="B1124" s="56"/>
      <c r="C1124" s="108" t="str">
        <f>IFNA(VLOOKUP('Dashboard-Dados'!B1124,'Dashboard-Dados'!$Y$2:$AA$13,2),"")</f>
        <v/>
      </c>
      <c r="D1124" s="109">
        <f>IFERROR(GETPIVOTDATA("Valor Recebido",'Dashboard-Dados'!$J$1,$A$1,A1124,$B$1,B1124),0)</f>
        <v>0</v>
      </c>
      <c r="E1124" s="110">
        <f>IFERROR(GETPIVOTDATA("Valor Despesa",'Dashboard-Dados'!$P$1,$A$1,A1124,$B$1,B1124),0)</f>
        <v>0</v>
      </c>
      <c r="F1124" s="110">
        <f t="shared" si="1"/>
        <v>0</v>
      </c>
      <c r="G1124" s="56">
        <f>IFERROR(GETPIVOTDATA("Exame",'Dashboard-Dados'!$J$1,$A$1,A1124,$B$1,B1124),0)</f>
        <v>0</v>
      </c>
      <c r="H1124" s="56">
        <f t="shared" si="2"/>
        <v>1124</v>
      </c>
      <c r="U1124" s="56"/>
      <c r="V1124" s="56"/>
      <c r="W1124" s="56"/>
      <c r="Y1124" s="138"/>
    </row>
    <row r="1125">
      <c r="A1125" s="56"/>
      <c r="B1125" s="56"/>
      <c r="C1125" s="108" t="str">
        <f>IFNA(VLOOKUP('Dashboard-Dados'!B1125,'Dashboard-Dados'!$Y$2:$AA$13,2),"")</f>
        <v/>
      </c>
      <c r="D1125" s="109">
        <f>IFERROR(GETPIVOTDATA("Valor Recebido",'Dashboard-Dados'!$J$1,$A$1,A1125,$B$1,B1125),0)</f>
        <v>0</v>
      </c>
      <c r="E1125" s="110">
        <f>IFERROR(GETPIVOTDATA("Valor Despesa",'Dashboard-Dados'!$P$1,$A$1,A1125,$B$1,B1125),0)</f>
        <v>0</v>
      </c>
      <c r="F1125" s="110">
        <f t="shared" si="1"/>
        <v>0</v>
      </c>
      <c r="G1125" s="56">
        <f>IFERROR(GETPIVOTDATA("Exame",'Dashboard-Dados'!$J$1,$A$1,A1125,$B$1,B1125),0)</f>
        <v>0</v>
      </c>
      <c r="H1125" s="56">
        <f t="shared" si="2"/>
        <v>1125</v>
      </c>
      <c r="U1125" s="56"/>
      <c r="V1125" s="56"/>
      <c r="W1125" s="56"/>
      <c r="Y1125" s="138"/>
    </row>
    <row r="1126">
      <c r="A1126" s="56"/>
      <c r="B1126" s="56"/>
      <c r="C1126" s="108" t="str">
        <f>IFNA(VLOOKUP('Dashboard-Dados'!B1126,'Dashboard-Dados'!$Y$2:$AA$13,2),"")</f>
        <v/>
      </c>
      <c r="D1126" s="109">
        <f>IFERROR(GETPIVOTDATA("Valor Recebido",'Dashboard-Dados'!$J$1,$A$1,A1126,$B$1,B1126),0)</f>
        <v>0</v>
      </c>
      <c r="E1126" s="110">
        <f>IFERROR(GETPIVOTDATA("Valor Despesa",'Dashboard-Dados'!$P$1,$A$1,A1126,$B$1,B1126),0)</f>
        <v>0</v>
      </c>
      <c r="F1126" s="110">
        <f t="shared" si="1"/>
        <v>0</v>
      </c>
      <c r="G1126" s="56">
        <f>IFERROR(GETPIVOTDATA("Exame",'Dashboard-Dados'!$J$1,$A$1,A1126,$B$1,B1126),0)</f>
        <v>0</v>
      </c>
      <c r="H1126" s="56">
        <f t="shared" si="2"/>
        <v>1126</v>
      </c>
      <c r="U1126" s="56"/>
      <c r="V1126" s="56"/>
      <c r="W1126" s="56"/>
      <c r="Y1126" s="138"/>
    </row>
    <row r="1127">
      <c r="A1127" s="56"/>
      <c r="B1127" s="56"/>
      <c r="C1127" s="108" t="str">
        <f>IFNA(VLOOKUP('Dashboard-Dados'!B1127,'Dashboard-Dados'!$Y$2:$AA$13,2),"")</f>
        <v/>
      </c>
      <c r="D1127" s="109">
        <f>IFERROR(GETPIVOTDATA("Valor Recebido",'Dashboard-Dados'!$J$1,$A$1,A1127,$B$1,B1127),0)</f>
        <v>0</v>
      </c>
      <c r="E1127" s="110">
        <f>IFERROR(GETPIVOTDATA("Valor Despesa",'Dashboard-Dados'!$P$1,$A$1,A1127,$B$1,B1127),0)</f>
        <v>0</v>
      </c>
      <c r="F1127" s="110">
        <f t="shared" si="1"/>
        <v>0</v>
      </c>
      <c r="G1127" s="56">
        <f>IFERROR(GETPIVOTDATA("Exame",'Dashboard-Dados'!$J$1,$A$1,A1127,$B$1,B1127),0)</f>
        <v>0</v>
      </c>
      <c r="H1127" s="56">
        <f t="shared" si="2"/>
        <v>1127</v>
      </c>
      <c r="U1127" s="56"/>
      <c r="V1127" s="56"/>
      <c r="W1127" s="56"/>
      <c r="Y1127" s="138"/>
    </row>
    <row r="1128">
      <c r="A1128" s="56"/>
      <c r="B1128" s="56"/>
      <c r="C1128" s="108" t="str">
        <f>IFNA(VLOOKUP('Dashboard-Dados'!B1128,'Dashboard-Dados'!$Y$2:$AA$13,2),"")</f>
        <v/>
      </c>
      <c r="D1128" s="109">
        <f>IFERROR(GETPIVOTDATA("Valor Recebido",'Dashboard-Dados'!$J$1,$A$1,A1128,$B$1,B1128),0)</f>
        <v>0</v>
      </c>
      <c r="E1128" s="110">
        <f>IFERROR(GETPIVOTDATA("Valor Despesa",'Dashboard-Dados'!$P$1,$A$1,A1128,$B$1,B1128),0)</f>
        <v>0</v>
      </c>
      <c r="F1128" s="110">
        <f t="shared" si="1"/>
        <v>0</v>
      </c>
      <c r="G1128" s="56">
        <f>IFERROR(GETPIVOTDATA("Exame",'Dashboard-Dados'!$J$1,$A$1,A1128,$B$1,B1128),0)</f>
        <v>0</v>
      </c>
      <c r="H1128" s="56">
        <f t="shared" si="2"/>
        <v>1128</v>
      </c>
      <c r="U1128" s="56"/>
      <c r="V1128" s="56"/>
      <c r="W1128" s="56"/>
      <c r="Y1128" s="138"/>
    </row>
    <row r="1129">
      <c r="A1129" s="56"/>
      <c r="B1129" s="56"/>
      <c r="C1129" s="108" t="str">
        <f>IFNA(VLOOKUP('Dashboard-Dados'!B1129,'Dashboard-Dados'!$Y$2:$AA$13,2),"")</f>
        <v/>
      </c>
      <c r="D1129" s="109">
        <f>IFERROR(GETPIVOTDATA("Valor Recebido",'Dashboard-Dados'!$J$1,$A$1,A1129,$B$1,B1129),0)</f>
        <v>0</v>
      </c>
      <c r="E1129" s="110">
        <f>IFERROR(GETPIVOTDATA("Valor Despesa",'Dashboard-Dados'!$P$1,$A$1,A1129,$B$1,B1129),0)</f>
        <v>0</v>
      </c>
      <c r="F1129" s="110">
        <f t="shared" si="1"/>
        <v>0</v>
      </c>
      <c r="G1129" s="56">
        <f>IFERROR(GETPIVOTDATA("Exame",'Dashboard-Dados'!$J$1,$A$1,A1129,$B$1,B1129),0)</f>
        <v>0</v>
      </c>
      <c r="H1129" s="56">
        <f t="shared" si="2"/>
        <v>1129</v>
      </c>
      <c r="U1129" s="56"/>
      <c r="V1129" s="56"/>
      <c r="W1129" s="56"/>
      <c r="Y1129" s="138"/>
    </row>
    <row r="1130">
      <c r="A1130" s="56"/>
      <c r="B1130" s="56"/>
      <c r="C1130" s="108" t="str">
        <f>IFNA(VLOOKUP('Dashboard-Dados'!B1130,'Dashboard-Dados'!$Y$2:$AA$13,2),"")</f>
        <v/>
      </c>
      <c r="D1130" s="109">
        <f>IFERROR(GETPIVOTDATA("Valor Recebido",'Dashboard-Dados'!$J$1,$A$1,A1130,$B$1,B1130),0)</f>
        <v>0</v>
      </c>
      <c r="E1130" s="110">
        <f>IFERROR(GETPIVOTDATA("Valor Despesa",'Dashboard-Dados'!$P$1,$A$1,A1130,$B$1,B1130),0)</f>
        <v>0</v>
      </c>
      <c r="F1130" s="110">
        <f t="shared" si="1"/>
        <v>0</v>
      </c>
      <c r="G1130" s="56">
        <f>IFERROR(GETPIVOTDATA("Exame",'Dashboard-Dados'!$J$1,$A$1,A1130,$B$1,B1130),0)</f>
        <v>0</v>
      </c>
      <c r="H1130" s="56">
        <f t="shared" si="2"/>
        <v>1130</v>
      </c>
      <c r="U1130" s="56"/>
      <c r="V1130" s="56"/>
      <c r="W1130" s="56"/>
      <c r="Y1130" s="138"/>
    </row>
    <row r="1131">
      <c r="A1131" s="56"/>
      <c r="B1131" s="56"/>
      <c r="C1131" s="108" t="str">
        <f>IFNA(VLOOKUP('Dashboard-Dados'!B1131,'Dashboard-Dados'!$Y$2:$AA$13,2),"")</f>
        <v/>
      </c>
      <c r="D1131" s="109">
        <f>IFERROR(GETPIVOTDATA("Valor Recebido",'Dashboard-Dados'!$J$1,$A$1,A1131,$B$1,B1131),0)</f>
        <v>0</v>
      </c>
      <c r="E1131" s="110">
        <f>IFERROR(GETPIVOTDATA("Valor Despesa",'Dashboard-Dados'!$P$1,$A$1,A1131,$B$1,B1131),0)</f>
        <v>0</v>
      </c>
      <c r="F1131" s="110">
        <f t="shared" si="1"/>
        <v>0</v>
      </c>
      <c r="G1131" s="56">
        <f>IFERROR(GETPIVOTDATA("Exame",'Dashboard-Dados'!$J$1,$A$1,A1131,$B$1,B1131),0)</f>
        <v>0</v>
      </c>
      <c r="H1131" s="56">
        <f t="shared" si="2"/>
        <v>1131</v>
      </c>
      <c r="U1131" s="56"/>
      <c r="V1131" s="56"/>
      <c r="W1131" s="56"/>
      <c r="Y1131" s="138"/>
    </row>
    <row r="1132">
      <c r="A1132" s="56"/>
      <c r="B1132" s="56"/>
      <c r="C1132" s="108" t="str">
        <f>IFNA(VLOOKUP('Dashboard-Dados'!B1132,'Dashboard-Dados'!$Y$2:$AA$13,2),"")</f>
        <v/>
      </c>
      <c r="D1132" s="109">
        <f>IFERROR(GETPIVOTDATA("Valor Recebido",'Dashboard-Dados'!$J$1,$A$1,A1132,$B$1,B1132),0)</f>
        <v>0</v>
      </c>
      <c r="E1132" s="110">
        <f>IFERROR(GETPIVOTDATA("Valor Despesa",'Dashboard-Dados'!$P$1,$A$1,A1132,$B$1,B1132),0)</f>
        <v>0</v>
      </c>
      <c r="F1132" s="110">
        <f t="shared" si="1"/>
        <v>0</v>
      </c>
      <c r="G1132" s="56">
        <f>IFERROR(GETPIVOTDATA("Exame",'Dashboard-Dados'!$J$1,$A$1,A1132,$B$1,B1132),0)</f>
        <v>0</v>
      </c>
      <c r="H1132" s="56">
        <f t="shared" si="2"/>
        <v>1132</v>
      </c>
      <c r="U1132" s="56"/>
      <c r="V1132" s="56"/>
      <c r="W1132" s="56"/>
      <c r="Y1132" s="138"/>
    </row>
    <row r="1133">
      <c r="A1133" s="56"/>
      <c r="B1133" s="56"/>
      <c r="C1133" s="108" t="str">
        <f>IFNA(VLOOKUP('Dashboard-Dados'!B1133,'Dashboard-Dados'!$Y$2:$AA$13,2),"")</f>
        <v/>
      </c>
      <c r="D1133" s="109">
        <f>IFERROR(GETPIVOTDATA("Valor Recebido",'Dashboard-Dados'!$J$1,$A$1,A1133,$B$1,B1133),0)</f>
        <v>0</v>
      </c>
      <c r="E1133" s="110">
        <f>IFERROR(GETPIVOTDATA("Valor Despesa",'Dashboard-Dados'!$P$1,$A$1,A1133,$B$1,B1133),0)</f>
        <v>0</v>
      </c>
      <c r="F1133" s="110">
        <f t="shared" si="1"/>
        <v>0</v>
      </c>
      <c r="G1133" s="56">
        <f>IFERROR(GETPIVOTDATA("Exame",'Dashboard-Dados'!$J$1,$A$1,A1133,$B$1,B1133),0)</f>
        <v>0</v>
      </c>
      <c r="H1133" s="56">
        <f t="shared" si="2"/>
        <v>1133</v>
      </c>
      <c r="U1133" s="56"/>
      <c r="V1133" s="56"/>
      <c r="W1133" s="56"/>
      <c r="Y1133" s="138"/>
    </row>
    <row r="1134">
      <c r="A1134" s="56"/>
      <c r="B1134" s="56"/>
      <c r="C1134" s="108" t="str">
        <f>IFNA(VLOOKUP('Dashboard-Dados'!B1134,'Dashboard-Dados'!$Y$2:$AA$13,2),"")</f>
        <v/>
      </c>
      <c r="D1134" s="109">
        <f>IFERROR(GETPIVOTDATA("Valor Recebido",'Dashboard-Dados'!$J$1,$A$1,A1134,$B$1,B1134),0)</f>
        <v>0</v>
      </c>
      <c r="E1134" s="110">
        <f>IFERROR(GETPIVOTDATA("Valor Despesa",'Dashboard-Dados'!$P$1,$A$1,A1134,$B$1,B1134),0)</f>
        <v>0</v>
      </c>
      <c r="F1134" s="110">
        <f t="shared" si="1"/>
        <v>0</v>
      </c>
      <c r="G1134" s="56">
        <f>IFERROR(GETPIVOTDATA("Exame",'Dashboard-Dados'!$J$1,$A$1,A1134,$B$1,B1134),0)</f>
        <v>0</v>
      </c>
      <c r="H1134" s="56">
        <f t="shared" si="2"/>
        <v>1134</v>
      </c>
      <c r="U1134" s="56"/>
      <c r="V1134" s="56"/>
      <c r="W1134" s="56"/>
      <c r="Y1134" s="138"/>
    </row>
    <row r="1135">
      <c r="A1135" s="56"/>
      <c r="B1135" s="56"/>
      <c r="C1135" s="108" t="str">
        <f>IFNA(VLOOKUP('Dashboard-Dados'!B1135,'Dashboard-Dados'!$Y$2:$AA$13,2),"")</f>
        <v/>
      </c>
      <c r="D1135" s="109">
        <f>IFERROR(GETPIVOTDATA("Valor Recebido",'Dashboard-Dados'!$J$1,$A$1,A1135,$B$1,B1135),0)</f>
        <v>0</v>
      </c>
      <c r="E1135" s="110">
        <f>IFERROR(GETPIVOTDATA("Valor Despesa",'Dashboard-Dados'!$P$1,$A$1,A1135,$B$1,B1135),0)</f>
        <v>0</v>
      </c>
      <c r="F1135" s="110">
        <f t="shared" si="1"/>
        <v>0</v>
      </c>
      <c r="G1135" s="56">
        <f>IFERROR(GETPIVOTDATA("Exame",'Dashboard-Dados'!$J$1,$A$1,A1135,$B$1,B1135),0)</f>
        <v>0</v>
      </c>
      <c r="H1135" s="56">
        <f t="shared" si="2"/>
        <v>1135</v>
      </c>
      <c r="U1135" s="56"/>
      <c r="V1135" s="56"/>
      <c r="W1135" s="56"/>
      <c r="Y1135" s="138"/>
    </row>
    <row r="1136">
      <c r="A1136" s="56"/>
      <c r="B1136" s="56"/>
      <c r="C1136" s="108" t="str">
        <f>IFNA(VLOOKUP('Dashboard-Dados'!B1136,'Dashboard-Dados'!$Y$2:$AA$13,2),"")</f>
        <v/>
      </c>
      <c r="D1136" s="109">
        <f>IFERROR(GETPIVOTDATA("Valor Recebido",'Dashboard-Dados'!$J$1,$A$1,A1136,$B$1,B1136),0)</f>
        <v>0</v>
      </c>
      <c r="E1136" s="110">
        <f>IFERROR(GETPIVOTDATA("Valor Despesa",'Dashboard-Dados'!$P$1,$A$1,A1136,$B$1,B1136),0)</f>
        <v>0</v>
      </c>
      <c r="F1136" s="110">
        <f t="shared" si="1"/>
        <v>0</v>
      </c>
      <c r="G1136" s="56">
        <f>IFERROR(GETPIVOTDATA("Exame",'Dashboard-Dados'!$J$1,$A$1,A1136,$B$1,B1136),0)</f>
        <v>0</v>
      </c>
      <c r="H1136" s="56">
        <f t="shared" si="2"/>
        <v>1136</v>
      </c>
      <c r="U1136" s="56"/>
      <c r="V1136" s="56"/>
      <c r="W1136" s="56"/>
      <c r="Y1136" s="138"/>
    </row>
    <row r="1137">
      <c r="A1137" s="56"/>
      <c r="B1137" s="56"/>
      <c r="C1137" s="108" t="str">
        <f>IFNA(VLOOKUP('Dashboard-Dados'!B1137,'Dashboard-Dados'!$Y$2:$AA$13,2),"")</f>
        <v/>
      </c>
      <c r="D1137" s="109">
        <f>IFERROR(GETPIVOTDATA("Valor Recebido",'Dashboard-Dados'!$J$1,$A$1,A1137,$B$1,B1137),0)</f>
        <v>0</v>
      </c>
      <c r="E1137" s="110">
        <f>IFERROR(GETPIVOTDATA("Valor Despesa",'Dashboard-Dados'!$P$1,$A$1,A1137,$B$1,B1137),0)</f>
        <v>0</v>
      </c>
      <c r="F1137" s="110">
        <f t="shared" si="1"/>
        <v>0</v>
      </c>
      <c r="G1137" s="56">
        <f>IFERROR(GETPIVOTDATA("Exame",'Dashboard-Dados'!$J$1,$A$1,A1137,$B$1,B1137),0)</f>
        <v>0</v>
      </c>
      <c r="H1137" s="56">
        <f t="shared" si="2"/>
        <v>1137</v>
      </c>
      <c r="U1137" s="56"/>
      <c r="V1137" s="56"/>
      <c r="W1137" s="56"/>
      <c r="Y1137" s="138"/>
    </row>
    <row r="1138">
      <c r="A1138" s="56"/>
      <c r="B1138" s="56"/>
      <c r="C1138" s="108" t="str">
        <f>IFNA(VLOOKUP('Dashboard-Dados'!B1138,'Dashboard-Dados'!$Y$2:$AA$13,2),"")</f>
        <v/>
      </c>
      <c r="D1138" s="109">
        <f>IFERROR(GETPIVOTDATA("Valor Recebido",'Dashboard-Dados'!$J$1,$A$1,A1138,$B$1,B1138),0)</f>
        <v>0</v>
      </c>
      <c r="E1138" s="110">
        <f>IFERROR(GETPIVOTDATA("Valor Despesa",'Dashboard-Dados'!$P$1,$A$1,A1138,$B$1,B1138),0)</f>
        <v>0</v>
      </c>
      <c r="F1138" s="110">
        <f t="shared" si="1"/>
        <v>0</v>
      </c>
      <c r="G1138" s="56">
        <f>IFERROR(GETPIVOTDATA("Exame",'Dashboard-Dados'!$J$1,$A$1,A1138,$B$1,B1138),0)</f>
        <v>0</v>
      </c>
      <c r="H1138" s="56">
        <f t="shared" si="2"/>
        <v>1138</v>
      </c>
      <c r="U1138" s="56"/>
      <c r="V1138" s="56"/>
      <c r="W1138" s="56"/>
      <c r="Y1138" s="138"/>
    </row>
    <row r="1139">
      <c r="A1139" s="56"/>
      <c r="B1139" s="56"/>
      <c r="C1139" s="108" t="str">
        <f>IFNA(VLOOKUP('Dashboard-Dados'!B1139,'Dashboard-Dados'!$Y$2:$AA$13,2),"")</f>
        <v/>
      </c>
      <c r="D1139" s="109">
        <f>IFERROR(GETPIVOTDATA("Valor Recebido",'Dashboard-Dados'!$J$1,$A$1,A1139,$B$1,B1139),0)</f>
        <v>0</v>
      </c>
      <c r="E1139" s="110">
        <f>IFERROR(GETPIVOTDATA("Valor Despesa",'Dashboard-Dados'!$P$1,$A$1,A1139,$B$1,B1139),0)</f>
        <v>0</v>
      </c>
      <c r="F1139" s="110">
        <f t="shared" si="1"/>
        <v>0</v>
      </c>
      <c r="G1139" s="56">
        <f>IFERROR(GETPIVOTDATA("Exame",'Dashboard-Dados'!$J$1,$A$1,A1139,$B$1,B1139),0)</f>
        <v>0</v>
      </c>
      <c r="H1139" s="56">
        <f t="shared" si="2"/>
        <v>1139</v>
      </c>
      <c r="U1139" s="56"/>
      <c r="V1139" s="56"/>
      <c r="W1139" s="56"/>
      <c r="Y1139" s="138"/>
    </row>
    <row r="1140">
      <c r="A1140" s="56"/>
      <c r="B1140" s="56"/>
      <c r="C1140" s="108" t="str">
        <f>IFNA(VLOOKUP('Dashboard-Dados'!B1140,'Dashboard-Dados'!$Y$2:$AA$13,2),"")</f>
        <v/>
      </c>
      <c r="D1140" s="109">
        <f>IFERROR(GETPIVOTDATA("Valor Recebido",'Dashboard-Dados'!$J$1,$A$1,A1140,$B$1,B1140),0)</f>
        <v>0</v>
      </c>
      <c r="E1140" s="110">
        <f>IFERROR(GETPIVOTDATA("Valor Despesa",'Dashboard-Dados'!$P$1,$A$1,A1140,$B$1,B1140),0)</f>
        <v>0</v>
      </c>
      <c r="F1140" s="110">
        <f t="shared" si="1"/>
        <v>0</v>
      </c>
      <c r="G1140" s="56">
        <f>IFERROR(GETPIVOTDATA("Exame",'Dashboard-Dados'!$J$1,$A$1,A1140,$B$1,B1140),0)</f>
        <v>0</v>
      </c>
      <c r="H1140" s="56">
        <f t="shared" si="2"/>
        <v>1140</v>
      </c>
      <c r="U1140" s="56"/>
      <c r="V1140" s="56"/>
      <c r="W1140" s="56"/>
      <c r="Y1140" s="138"/>
    </row>
    <row r="1141">
      <c r="A1141" s="56"/>
      <c r="B1141" s="56"/>
      <c r="C1141" s="108" t="str">
        <f>IFNA(VLOOKUP('Dashboard-Dados'!B1141,'Dashboard-Dados'!$Y$2:$AA$13,2),"")</f>
        <v/>
      </c>
      <c r="D1141" s="109">
        <f>IFERROR(GETPIVOTDATA("Valor Recebido",'Dashboard-Dados'!$J$1,$A$1,A1141,$B$1,B1141),0)</f>
        <v>0</v>
      </c>
      <c r="E1141" s="110">
        <f>IFERROR(GETPIVOTDATA("Valor Despesa",'Dashboard-Dados'!$P$1,$A$1,A1141,$B$1,B1141),0)</f>
        <v>0</v>
      </c>
      <c r="F1141" s="110">
        <f t="shared" si="1"/>
        <v>0</v>
      </c>
      <c r="G1141" s="56">
        <f>IFERROR(GETPIVOTDATA("Exame",'Dashboard-Dados'!$J$1,$A$1,A1141,$B$1,B1141),0)</f>
        <v>0</v>
      </c>
      <c r="H1141" s="56">
        <f t="shared" si="2"/>
        <v>1141</v>
      </c>
      <c r="U1141" s="56"/>
      <c r="V1141" s="56"/>
      <c r="W1141" s="56"/>
      <c r="Y1141" s="138"/>
    </row>
    <row r="1142">
      <c r="A1142" s="56"/>
      <c r="B1142" s="56"/>
      <c r="C1142" s="108" t="str">
        <f>IFNA(VLOOKUP('Dashboard-Dados'!B1142,'Dashboard-Dados'!$Y$2:$AA$13,2),"")</f>
        <v/>
      </c>
      <c r="D1142" s="109">
        <f>IFERROR(GETPIVOTDATA("Valor Recebido",'Dashboard-Dados'!$J$1,$A$1,A1142,$B$1,B1142),0)</f>
        <v>0</v>
      </c>
      <c r="E1142" s="110">
        <f>IFERROR(GETPIVOTDATA("Valor Despesa",'Dashboard-Dados'!$P$1,$A$1,A1142,$B$1,B1142),0)</f>
        <v>0</v>
      </c>
      <c r="F1142" s="110">
        <f t="shared" si="1"/>
        <v>0</v>
      </c>
      <c r="G1142" s="56">
        <f>IFERROR(GETPIVOTDATA("Exame",'Dashboard-Dados'!$J$1,$A$1,A1142,$B$1,B1142),0)</f>
        <v>0</v>
      </c>
      <c r="H1142" s="56">
        <f t="shared" si="2"/>
        <v>1142</v>
      </c>
      <c r="U1142" s="56"/>
      <c r="V1142" s="56"/>
      <c r="W1142" s="56"/>
      <c r="Y1142" s="138"/>
    </row>
    <row r="1143">
      <c r="A1143" s="56"/>
      <c r="B1143" s="56"/>
      <c r="C1143" s="108" t="str">
        <f>IFNA(VLOOKUP('Dashboard-Dados'!B1143,'Dashboard-Dados'!$Y$2:$AA$13,2),"")</f>
        <v/>
      </c>
      <c r="D1143" s="109">
        <f>IFERROR(GETPIVOTDATA("Valor Recebido",'Dashboard-Dados'!$J$1,$A$1,A1143,$B$1,B1143),0)</f>
        <v>0</v>
      </c>
      <c r="E1143" s="110">
        <f>IFERROR(GETPIVOTDATA("Valor Despesa",'Dashboard-Dados'!$P$1,$A$1,A1143,$B$1,B1143),0)</f>
        <v>0</v>
      </c>
      <c r="F1143" s="110">
        <f t="shared" si="1"/>
        <v>0</v>
      </c>
      <c r="G1143" s="56">
        <f>IFERROR(GETPIVOTDATA("Exame",'Dashboard-Dados'!$J$1,$A$1,A1143,$B$1,B1143),0)</f>
        <v>0</v>
      </c>
      <c r="H1143" s="56">
        <f t="shared" si="2"/>
        <v>1143</v>
      </c>
      <c r="U1143" s="56"/>
      <c r="V1143" s="56"/>
      <c r="W1143" s="56"/>
      <c r="Y1143" s="138"/>
    </row>
    <row r="1144">
      <c r="A1144" s="56"/>
      <c r="B1144" s="56"/>
      <c r="C1144" s="108" t="str">
        <f>IFNA(VLOOKUP('Dashboard-Dados'!B1144,'Dashboard-Dados'!$Y$2:$AA$13,2),"")</f>
        <v/>
      </c>
      <c r="D1144" s="109">
        <f>IFERROR(GETPIVOTDATA("Valor Recebido",'Dashboard-Dados'!$J$1,$A$1,A1144,$B$1,B1144),0)</f>
        <v>0</v>
      </c>
      <c r="E1144" s="110">
        <f>IFERROR(GETPIVOTDATA("Valor Despesa",'Dashboard-Dados'!$P$1,$A$1,A1144,$B$1,B1144),0)</f>
        <v>0</v>
      </c>
      <c r="F1144" s="110">
        <f t="shared" si="1"/>
        <v>0</v>
      </c>
      <c r="G1144" s="56">
        <f>IFERROR(GETPIVOTDATA("Exame",'Dashboard-Dados'!$J$1,$A$1,A1144,$B$1,B1144),0)</f>
        <v>0</v>
      </c>
      <c r="H1144" s="56">
        <f t="shared" si="2"/>
        <v>1144</v>
      </c>
      <c r="U1144" s="56"/>
      <c r="V1144" s="56"/>
      <c r="W1144" s="56"/>
      <c r="Y1144" s="138"/>
    </row>
    <row r="1145">
      <c r="A1145" s="56"/>
      <c r="B1145" s="56"/>
      <c r="C1145" s="108" t="str">
        <f>IFNA(VLOOKUP('Dashboard-Dados'!B1145,'Dashboard-Dados'!$Y$2:$AA$13,2),"")</f>
        <v/>
      </c>
      <c r="D1145" s="109">
        <f>IFERROR(GETPIVOTDATA("Valor Recebido",'Dashboard-Dados'!$J$1,$A$1,A1145,$B$1,B1145),0)</f>
        <v>0</v>
      </c>
      <c r="E1145" s="110">
        <f>IFERROR(GETPIVOTDATA("Valor Despesa",'Dashboard-Dados'!$P$1,$A$1,A1145,$B$1,B1145),0)</f>
        <v>0</v>
      </c>
      <c r="F1145" s="110">
        <f t="shared" si="1"/>
        <v>0</v>
      </c>
      <c r="G1145" s="56">
        <f>IFERROR(GETPIVOTDATA("Exame",'Dashboard-Dados'!$J$1,$A$1,A1145,$B$1,B1145),0)</f>
        <v>0</v>
      </c>
      <c r="H1145" s="56">
        <f t="shared" si="2"/>
        <v>1145</v>
      </c>
      <c r="U1145" s="56"/>
      <c r="V1145" s="56"/>
      <c r="W1145" s="56"/>
      <c r="Y1145" s="138"/>
    </row>
    <row r="1146">
      <c r="A1146" s="56"/>
      <c r="B1146" s="56"/>
      <c r="C1146" s="108" t="str">
        <f>IFNA(VLOOKUP('Dashboard-Dados'!B1146,'Dashboard-Dados'!$Y$2:$AA$13,2),"")</f>
        <v/>
      </c>
      <c r="D1146" s="109">
        <f>IFERROR(GETPIVOTDATA("Valor Recebido",'Dashboard-Dados'!$J$1,$A$1,A1146,$B$1,B1146),0)</f>
        <v>0</v>
      </c>
      <c r="E1146" s="110">
        <f>IFERROR(GETPIVOTDATA("Valor Despesa",'Dashboard-Dados'!$P$1,$A$1,A1146,$B$1,B1146),0)</f>
        <v>0</v>
      </c>
      <c r="F1146" s="110">
        <f t="shared" si="1"/>
        <v>0</v>
      </c>
      <c r="G1146" s="56">
        <f>IFERROR(GETPIVOTDATA("Exame",'Dashboard-Dados'!$J$1,$A$1,A1146,$B$1,B1146),0)</f>
        <v>0</v>
      </c>
      <c r="H1146" s="56">
        <f t="shared" si="2"/>
        <v>1146</v>
      </c>
      <c r="U1146" s="56"/>
      <c r="V1146" s="56"/>
      <c r="W1146" s="56"/>
      <c r="Y1146" s="138"/>
    </row>
    <row r="1147">
      <c r="A1147" s="56"/>
      <c r="B1147" s="56"/>
      <c r="C1147" s="108" t="str">
        <f>IFNA(VLOOKUP('Dashboard-Dados'!B1147,'Dashboard-Dados'!$Y$2:$AA$13,2),"")</f>
        <v/>
      </c>
      <c r="D1147" s="109">
        <f>IFERROR(GETPIVOTDATA("Valor Recebido",'Dashboard-Dados'!$J$1,$A$1,A1147,$B$1,B1147),0)</f>
        <v>0</v>
      </c>
      <c r="E1147" s="110">
        <f>IFERROR(GETPIVOTDATA("Valor Despesa",'Dashboard-Dados'!$P$1,$A$1,A1147,$B$1,B1147),0)</f>
        <v>0</v>
      </c>
      <c r="F1147" s="110">
        <f t="shared" si="1"/>
        <v>0</v>
      </c>
      <c r="G1147" s="56">
        <f>IFERROR(GETPIVOTDATA("Exame",'Dashboard-Dados'!$J$1,$A$1,A1147,$B$1,B1147),0)</f>
        <v>0</v>
      </c>
      <c r="H1147" s="56">
        <f t="shared" si="2"/>
        <v>1147</v>
      </c>
      <c r="U1147" s="56"/>
      <c r="V1147" s="56"/>
      <c r="W1147" s="56"/>
      <c r="Y1147" s="138"/>
    </row>
    <row r="1148">
      <c r="A1148" s="56"/>
      <c r="B1148" s="56"/>
      <c r="C1148" s="108" t="str">
        <f>IFNA(VLOOKUP('Dashboard-Dados'!B1148,'Dashboard-Dados'!$Y$2:$AA$13,2),"")</f>
        <v/>
      </c>
      <c r="D1148" s="109">
        <f>IFERROR(GETPIVOTDATA("Valor Recebido",'Dashboard-Dados'!$J$1,$A$1,A1148,$B$1,B1148),0)</f>
        <v>0</v>
      </c>
      <c r="E1148" s="110">
        <f>IFERROR(GETPIVOTDATA("Valor Despesa",'Dashboard-Dados'!$P$1,$A$1,A1148,$B$1,B1148),0)</f>
        <v>0</v>
      </c>
      <c r="F1148" s="110">
        <f t="shared" si="1"/>
        <v>0</v>
      </c>
      <c r="G1148" s="56">
        <f>IFERROR(GETPIVOTDATA("Exame",'Dashboard-Dados'!$J$1,$A$1,A1148,$B$1,B1148),0)</f>
        <v>0</v>
      </c>
      <c r="H1148" s="56">
        <f t="shared" si="2"/>
        <v>1148</v>
      </c>
      <c r="U1148" s="56"/>
      <c r="V1148" s="56"/>
      <c r="W1148" s="56"/>
      <c r="Y1148" s="138"/>
    </row>
    <row r="1149">
      <c r="A1149" s="56"/>
      <c r="B1149" s="56"/>
      <c r="C1149" s="108" t="str">
        <f>IFNA(VLOOKUP('Dashboard-Dados'!B1149,'Dashboard-Dados'!$Y$2:$AA$13,2),"")</f>
        <v/>
      </c>
      <c r="D1149" s="109">
        <f>IFERROR(GETPIVOTDATA("Valor Recebido",'Dashboard-Dados'!$J$1,$A$1,A1149,$B$1,B1149),0)</f>
        <v>0</v>
      </c>
      <c r="E1149" s="110">
        <f>IFERROR(GETPIVOTDATA("Valor Despesa",'Dashboard-Dados'!$P$1,$A$1,A1149,$B$1,B1149),0)</f>
        <v>0</v>
      </c>
      <c r="F1149" s="110">
        <f t="shared" si="1"/>
        <v>0</v>
      </c>
      <c r="G1149" s="56">
        <f>IFERROR(GETPIVOTDATA("Exame",'Dashboard-Dados'!$J$1,$A$1,A1149,$B$1,B1149),0)</f>
        <v>0</v>
      </c>
      <c r="H1149" s="56">
        <f t="shared" si="2"/>
        <v>1149</v>
      </c>
      <c r="U1149" s="56"/>
      <c r="V1149" s="56"/>
      <c r="W1149" s="56"/>
      <c r="Y1149" s="138"/>
    </row>
    <row r="1150">
      <c r="A1150" s="56"/>
      <c r="B1150" s="56"/>
      <c r="C1150" s="108" t="str">
        <f>IFNA(VLOOKUP('Dashboard-Dados'!B1150,'Dashboard-Dados'!$Y$2:$AA$13,2),"")</f>
        <v/>
      </c>
      <c r="D1150" s="109">
        <f>IFERROR(GETPIVOTDATA("Valor Recebido",'Dashboard-Dados'!$J$1,$A$1,A1150,$B$1,B1150),0)</f>
        <v>0</v>
      </c>
      <c r="E1150" s="110">
        <f>IFERROR(GETPIVOTDATA("Valor Despesa",'Dashboard-Dados'!$P$1,$A$1,A1150,$B$1,B1150),0)</f>
        <v>0</v>
      </c>
      <c r="F1150" s="110">
        <f t="shared" si="1"/>
        <v>0</v>
      </c>
      <c r="G1150" s="56">
        <f>IFERROR(GETPIVOTDATA("Exame",'Dashboard-Dados'!$J$1,$A$1,A1150,$B$1,B1150),0)</f>
        <v>0</v>
      </c>
      <c r="H1150" s="56">
        <f t="shared" si="2"/>
        <v>1150</v>
      </c>
      <c r="U1150" s="56"/>
      <c r="V1150" s="56"/>
      <c r="W1150" s="56"/>
      <c r="Y1150" s="138"/>
    </row>
    <row r="1151">
      <c r="A1151" s="56"/>
      <c r="B1151" s="56"/>
      <c r="C1151" s="108" t="str">
        <f>IFNA(VLOOKUP('Dashboard-Dados'!B1151,'Dashboard-Dados'!$Y$2:$AA$13,2),"")</f>
        <v/>
      </c>
      <c r="D1151" s="109">
        <f>IFERROR(GETPIVOTDATA("Valor Recebido",'Dashboard-Dados'!$J$1,$A$1,A1151,$B$1,B1151),0)</f>
        <v>0</v>
      </c>
      <c r="E1151" s="110">
        <f>IFERROR(GETPIVOTDATA("Valor Despesa",'Dashboard-Dados'!$P$1,$A$1,A1151,$B$1,B1151),0)</f>
        <v>0</v>
      </c>
      <c r="F1151" s="110">
        <f t="shared" si="1"/>
        <v>0</v>
      </c>
      <c r="G1151" s="56">
        <f>IFERROR(GETPIVOTDATA("Exame",'Dashboard-Dados'!$J$1,$A$1,A1151,$B$1,B1151),0)</f>
        <v>0</v>
      </c>
      <c r="H1151" s="56">
        <f t="shared" si="2"/>
        <v>1151</v>
      </c>
      <c r="U1151" s="56"/>
      <c r="V1151" s="56"/>
      <c r="W1151" s="56"/>
      <c r="Y1151" s="138"/>
    </row>
    <row r="1152">
      <c r="A1152" s="56"/>
      <c r="B1152" s="56"/>
      <c r="C1152" s="108" t="str">
        <f>IFNA(VLOOKUP('Dashboard-Dados'!B1152,'Dashboard-Dados'!$Y$2:$AA$13,2),"")</f>
        <v/>
      </c>
      <c r="D1152" s="109">
        <f>IFERROR(GETPIVOTDATA("Valor Recebido",'Dashboard-Dados'!$J$1,$A$1,A1152,$B$1,B1152),0)</f>
        <v>0</v>
      </c>
      <c r="E1152" s="110">
        <f>IFERROR(GETPIVOTDATA("Valor Despesa",'Dashboard-Dados'!$P$1,$A$1,A1152,$B$1,B1152),0)</f>
        <v>0</v>
      </c>
      <c r="F1152" s="110">
        <f t="shared" si="1"/>
        <v>0</v>
      </c>
      <c r="G1152" s="56">
        <f>IFERROR(GETPIVOTDATA("Exame",'Dashboard-Dados'!$J$1,$A$1,A1152,$B$1,B1152),0)</f>
        <v>0</v>
      </c>
      <c r="H1152" s="56">
        <f t="shared" si="2"/>
        <v>1152</v>
      </c>
      <c r="U1152" s="56"/>
      <c r="V1152" s="56"/>
      <c r="W1152" s="56"/>
      <c r="Y1152" s="138"/>
    </row>
    <row r="1153">
      <c r="A1153" s="56"/>
      <c r="B1153" s="56"/>
      <c r="C1153" s="108" t="str">
        <f>IFNA(VLOOKUP('Dashboard-Dados'!B1153,'Dashboard-Dados'!$Y$2:$AA$13,2),"")</f>
        <v/>
      </c>
      <c r="D1153" s="109">
        <f>IFERROR(GETPIVOTDATA("Valor Recebido",'Dashboard-Dados'!$J$1,$A$1,A1153,$B$1,B1153),0)</f>
        <v>0</v>
      </c>
      <c r="E1153" s="110">
        <f>IFERROR(GETPIVOTDATA("Valor Despesa",'Dashboard-Dados'!$P$1,$A$1,A1153,$B$1,B1153),0)</f>
        <v>0</v>
      </c>
      <c r="F1153" s="110">
        <f t="shared" si="1"/>
        <v>0</v>
      </c>
      <c r="G1153" s="56">
        <f>IFERROR(GETPIVOTDATA("Exame",'Dashboard-Dados'!$J$1,$A$1,A1153,$B$1,B1153),0)</f>
        <v>0</v>
      </c>
      <c r="H1153" s="56">
        <f t="shared" si="2"/>
        <v>1153</v>
      </c>
      <c r="U1153" s="56"/>
      <c r="V1153" s="56"/>
      <c r="W1153" s="56"/>
      <c r="Y1153" s="138"/>
    </row>
    <row r="1154">
      <c r="A1154" s="56"/>
      <c r="B1154" s="56"/>
      <c r="C1154" s="108" t="str">
        <f>IFNA(VLOOKUP('Dashboard-Dados'!B1154,'Dashboard-Dados'!$Y$2:$AA$13,2),"")</f>
        <v/>
      </c>
      <c r="D1154" s="109">
        <f>IFERROR(GETPIVOTDATA("Valor Recebido",'Dashboard-Dados'!$J$1,$A$1,A1154,$B$1,B1154),0)</f>
        <v>0</v>
      </c>
      <c r="E1154" s="110">
        <f>IFERROR(GETPIVOTDATA("Valor Despesa",'Dashboard-Dados'!$P$1,$A$1,A1154,$B$1,B1154),0)</f>
        <v>0</v>
      </c>
      <c r="F1154" s="110">
        <f t="shared" si="1"/>
        <v>0</v>
      </c>
      <c r="G1154" s="56">
        <f>IFERROR(GETPIVOTDATA("Exame",'Dashboard-Dados'!$J$1,$A$1,A1154,$B$1,B1154),0)</f>
        <v>0</v>
      </c>
      <c r="H1154" s="56">
        <f t="shared" si="2"/>
        <v>1154</v>
      </c>
      <c r="U1154" s="56"/>
      <c r="V1154" s="56"/>
      <c r="W1154" s="56"/>
      <c r="Y1154" s="138"/>
    </row>
    <row r="1155">
      <c r="A1155" s="56"/>
      <c r="B1155" s="56"/>
      <c r="C1155" s="108" t="str">
        <f>IFNA(VLOOKUP('Dashboard-Dados'!B1155,'Dashboard-Dados'!$Y$2:$AA$13,2),"")</f>
        <v/>
      </c>
      <c r="D1155" s="109">
        <f>IFERROR(GETPIVOTDATA("Valor Recebido",'Dashboard-Dados'!$J$1,$A$1,A1155,$B$1,B1155),0)</f>
        <v>0</v>
      </c>
      <c r="E1155" s="110">
        <f>IFERROR(GETPIVOTDATA("Valor Despesa",'Dashboard-Dados'!$P$1,$A$1,A1155,$B$1,B1155),0)</f>
        <v>0</v>
      </c>
      <c r="F1155" s="110">
        <f t="shared" si="1"/>
        <v>0</v>
      </c>
      <c r="G1155" s="56">
        <f>IFERROR(GETPIVOTDATA("Exame",'Dashboard-Dados'!$J$1,$A$1,A1155,$B$1,B1155),0)</f>
        <v>0</v>
      </c>
      <c r="H1155" s="56">
        <f t="shared" si="2"/>
        <v>1155</v>
      </c>
      <c r="U1155" s="56"/>
      <c r="V1155" s="56"/>
      <c r="W1155" s="56"/>
      <c r="Y1155" s="138"/>
    </row>
    <row r="1156">
      <c r="A1156" s="56"/>
      <c r="B1156" s="56"/>
      <c r="C1156" s="108" t="str">
        <f>IFNA(VLOOKUP('Dashboard-Dados'!B1156,'Dashboard-Dados'!$Y$2:$AA$13,2),"")</f>
        <v/>
      </c>
      <c r="D1156" s="109">
        <f>IFERROR(GETPIVOTDATA("Valor Recebido",'Dashboard-Dados'!$J$1,$A$1,A1156,$B$1,B1156),0)</f>
        <v>0</v>
      </c>
      <c r="E1156" s="110">
        <f>IFERROR(GETPIVOTDATA("Valor Despesa",'Dashboard-Dados'!$P$1,$A$1,A1156,$B$1,B1156),0)</f>
        <v>0</v>
      </c>
      <c r="F1156" s="110">
        <f t="shared" si="1"/>
        <v>0</v>
      </c>
      <c r="G1156" s="56">
        <f>IFERROR(GETPIVOTDATA("Exame",'Dashboard-Dados'!$J$1,$A$1,A1156,$B$1,B1156),0)</f>
        <v>0</v>
      </c>
      <c r="H1156" s="56">
        <f t="shared" si="2"/>
        <v>1156</v>
      </c>
      <c r="U1156" s="56"/>
      <c r="V1156" s="56"/>
      <c r="W1156" s="56"/>
      <c r="Y1156" s="138"/>
    </row>
    <row r="1157">
      <c r="A1157" s="56"/>
      <c r="B1157" s="56"/>
      <c r="C1157" s="108" t="str">
        <f>IFNA(VLOOKUP('Dashboard-Dados'!B1157,'Dashboard-Dados'!$Y$2:$AA$13,2),"")</f>
        <v/>
      </c>
      <c r="D1157" s="109">
        <f>IFERROR(GETPIVOTDATA("Valor Recebido",'Dashboard-Dados'!$J$1,$A$1,A1157,$B$1,B1157),0)</f>
        <v>0</v>
      </c>
      <c r="E1157" s="110">
        <f>IFERROR(GETPIVOTDATA("Valor Despesa",'Dashboard-Dados'!$P$1,$A$1,A1157,$B$1,B1157),0)</f>
        <v>0</v>
      </c>
      <c r="F1157" s="110">
        <f t="shared" si="1"/>
        <v>0</v>
      </c>
      <c r="G1157" s="56">
        <f>IFERROR(GETPIVOTDATA("Exame",'Dashboard-Dados'!$J$1,$A$1,A1157,$B$1,B1157),0)</f>
        <v>0</v>
      </c>
      <c r="H1157" s="56">
        <f t="shared" si="2"/>
        <v>1157</v>
      </c>
      <c r="U1157" s="56"/>
      <c r="V1157" s="56"/>
      <c r="W1157" s="56"/>
      <c r="Y1157" s="138"/>
    </row>
    <row r="1158">
      <c r="A1158" s="56"/>
      <c r="B1158" s="56"/>
      <c r="C1158" s="108" t="str">
        <f>IFNA(VLOOKUP('Dashboard-Dados'!B1158,'Dashboard-Dados'!$Y$2:$AA$13,2),"")</f>
        <v/>
      </c>
      <c r="D1158" s="109">
        <f>IFERROR(GETPIVOTDATA("Valor Recebido",'Dashboard-Dados'!$J$1,$A$1,A1158,$B$1,B1158),0)</f>
        <v>0</v>
      </c>
      <c r="E1158" s="110">
        <f>IFERROR(GETPIVOTDATA("Valor Despesa",'Dashboard-Dados'!$P$1,$A$1,A1158,$B$1,B1158),0)</f>
        <v>0</v>
      </c>
      <c r="F1158" s="110">
        <f t="shared" si="1"/>
        <v>0</v>
      </c>
      <c r="G1158" s="56">
        <f>IFERROR(GETPIVOTDATA("Exame",'Dashboard-Dados'!$J$1,$A$1,A1158,$B$1,B1158),0)</f>
        <v>0</v>
      </c>
      <c r="H1158" s="56">
        <f t="shared" si="2"/>
        <v>1158</v>
      </c>
      <c r="U1158" s="56"/>
      <c r="V1158" s="56"/>
      <c r="W1158" s="56"/>
      <c r="Y1158" s="138"/>
    </row>
    <row r="1159">
      <c r="A1159" s="56"/>
      <c r="B1159" s="56"/>
      <c r="C1159" s="108" t="str">
        <f>IFNA(VLOOKUP('Dashboard-Dados'!B1159,'Dashboard-Dados'!$Y$2:$AA$13,2),"")</f>
        <v/>
      </c>
      <c r="D1159" s="109">
        <f>IFERROR(GETPIVOTDATA("Valor Recebido",'Dashboard-Dados'!$J$1,$A$1,A1159,$B$1,B1159),0)</f>
        <v>0</v>
      </c>
      <c r="E1159" s="110">
        <f>IFERROR(GETPIVOTDATA("Valor Despesa",'Dashboard-Dados'!$P$1,$A$1,A1159,$B$1,B1159),0)</f>
        <v>0</v>
      </c>
      <c r="F1159" s="110">
        <f t="shared" si="1"/>
        <v>0</v>
      </c>
      <c r="G1159" s="56">
        <f>IFERROR(GETPIVOTDATA("Exame",'Dashboard-Dados'!$J$1,$A$1,A1159,$B$1,B1159),0)</f>
        <v>0</v>
      </c>
      <c r="H1159" s="56">
        <f t="shared" si="2"/>
        <v>1159</v>
      </c>
      <c r="U1159" s="56"/>
      <c r="V1159" s="56"/>
      <c r="W1159" s="56"/>
      <c r="Y1159" s="138"/>
    </row>
    <row r="1160">
      <c r="A1160" s="56"/>
      <c r="B1160" s="56"/>
      <c r="C1160" s="108" t="str">
        <f>IFNA(VLOOKUP('Dashboard-Dados'!B1160,'Dashboard-Dados'!$Y$2:$AA$13,2),"")</f>
        <v/>
      </c>
      <c r="D1160" s="109">
        <f>IFERROR(GETPIVOTDATA("Valor Recebido",'Dashboard-Dados'!$J$1,$A$1,A1160,$B$1,B1160),0)</f>
        <v>0</v>
      </c>
      <c r="E1160" s="110">
        <f>IFERROR(GETPIVOTDATA("Valor Despesa",'Dashboard-Dados'!$P$1,$A$1,A1160,$B$1,B1160),0)</f>
        <v>0</v>
      </c>
      <c r="F1160" s="110">
        <f t="shared" si="1"/>
        <v>0</v>
      </c>
      <c r="G1160" s="56">
        <f>IFERROR(GETPIVOTDATA("Exame",'Dashboard-Dados'!$J$1,$A$1,A1160,$B$1,B1160),0)</f>
        <v>0</v>
      </c>
      <c r="H1160" s="56">
        <f t="shared" si="2"/>
        <v>1160</v>
      </c>
      <c r="U1160" s="56"/>
      <c r="V1160" s="56"/>
      <c r="W1160" s="56"/>
      <c r="Y1160" s="138"/>
    </row>
    <row r="1161">
      <c r="A1161" s="56"/>
      <c r="B1161" s="56"/>
      <c r="C1161" s="108" t="str">
        <f>IFNA(VLOOKUP('Dashboard-Dados'!B1161,'Dashboard-Dados'!$Y$2:$AA$13,2),"")</f>
        <v/>
      </c>
      <c r="D1161" s="109">
        <f>IFERROR(GETPIVOTDATA("Valor Recebido",'Dashboard-Dados'!$J$1,$A$1,A1161,$B$1,B1161),0)</f>
        <v>0</v>
      </c>
      <c r="E1161" s="110">
        <f>IFERROR(GETPIVOTDATA("Valor Despesa",'Dashboard-Dados'!$P$1,$A$1,A1161,$B$1,B1161),0)</f>
        <v>0</v>
      </c>
      <c r="F1161" s="110">
        <f t="shared" si="1"/>
        <v>0</v>
      </c>
      <c r="G1161" s="56">
        <f>IFERROR(GETPIVOTDATA("Exame",'Dashboard-Dados'!$J$1,$A$1,A1161,$B$1,B1161),0)</f>
        <v>0</v>
      </c>
      <c r="H1161" s="56">
        <f t="shared" si="2"/>
        <v>1161</v>
      </c>
      <c r="U1161" s="56"/>
      <c r="V1161" s="56"/>
      <c r="W1161" s="56"/>
      <c r="Y1161" s="138"/>
    </row>
    <row r="1162">
      <c r="A1162" s="56"/>
      <c r="B1162" s="56"/>
      <c r="C1162" s="108" t="str">
        <f>IFNA(VLOOKUP('Dashboard-Dados'!B1162,'Dashboard-Dados'!$Y$2:$AA$13,2),"")</f>
        <v/>
      </c>
      <c r="D1162" s="109">
        <f>IFERROR(GETPIVOTDATA("Valor Recebido",'Dashboard-Dados'!$J$1,$A$1,A1162,$B$1,B1162),0)</f>
        <v>0</v>
      </c>
      <c r="E1162" s="110">
        <f>IFERROR(GETPIVOTDATA("Valor Despesa",'Dashboard-Dados'!$P$1,$A$1,A1162,$B$1,B1162),0)</f>
        <v>0</v>
      </c>
      <c r="F1162" s="110">
        <f t="shared" si="1"/>
        <v>0</v>
      </c>
      <c r="G1162" s="56">
        <f>IFERROR(GETPIVOTDATA("Exame",'Dashboard-Dados'!$J$1,$A$1,A1162,$B$1,B1162),0)</f>
        <v>0</v>
      </c>
      <c r="H1162" s="56">
        <f t="shared" si="2"/>
        <v>1162</v>
      </c>
      <c r="U1162" s="56"/>
      <c r="V1162" s="56"/>
      <c r="W1162" s="56"/>
      <c r="Y1162" s="138"/>
    </row>
    <row r="1163">
      <c r="A1163" s="56"/>
      <c r="B1163" s="56"/>
      <c r="C1163" s="108" t="str">
        <f>IFNA(VLOOKUP('Dashboard-Dados'!B1163,'Dashboard-Dados'!$Y$2:$AA$13,2),"")</f>
        <v/>
      </c>
      <c r="D1163" s="109">
        <f>IFERROR(GETPIVOTDATA("Valor Recebido",'Dashboard-Dados'!$J$1,$A$1,A1163,$B$1,B1163),0)</f>
        <v>0</v>
      </c>
      <c r="E1163" s="110">
        <f>IFERROR(GETPIVOTDATA("Valor Despesa",'Dashboard-Dados'!$P$1,$A$1,A1163,$B$1,B1163),0)</f>
        <v>0</v>
      </c>
      <c r="F1163" s="110">
        <f t="shared" si="1"/>
        <v>0</v>
      </c>
      <c r="G1163" s="56">
        <f>IFERROR(GETPIVOTDATA("Exame",'Dashboard-Dados'!$J$1,$A$1,A1163,$B$1,B1163),0)</f>
        <v>0</v>
      </c>
      <c r="H1163" s="56">
        <f t="shared" si="2"/>
        <v>1163</v>
      </c>
      <c r="U1163" s="56"/>
      <c r="V1163" s="56"/>
      <c r="W1163" s="56"/>
      <c r="Y1163" s="138"/>
    </row>
    <row r="1164">
      <c r="A1164" s="56"/>
      <c r="B1164" s="56"/>
      <c r="C1164" s="108" t="str">
        <f>IFNA(VLOOKUP('Dashboard-Dados'!B1164,'Dashboard-Dados'!$Y$2:$AA$13,2),"")</f>
        <v/>
      </c>
      <c r="D1164" s="109">
        <f>IFERROR(GETPIVOTDATA("Valor Recebido",'Dashboard-Dados'!$J$1,$A$1,A1164,$B$1,B1164),0)</f>
        <v>0</v>
      </c>
      <c r="E1164" s="110">
        <f>IFERROR(GETPIVOTDATA("Valor Despesa",'Dashboard-Dados'!$P$1,$A$1,A1164,$B$1,B1164),0)</f>
        <v>0</v>
      </c>
      <c r="F1164" s="110">
        <f t="shared" si="1"/>
        <v>0</v>
      </c>
      <c r="G1164" s="56">
        <f>IFERROR(GETPIVOTDATA("Exame",'Dashboard-Dados'!$J$1,$A$1,A1164,$B$1,B1164),0)</f>
        <v>0</v>
      </c>
      <c r="H1164" s="56">
        <f t="shared" si="2"/>
        <v>1164</v>
      </c>
      <c r="U1164" s="56"/>
      <c r="V1164" s="56"/>
      <c r="W1164" s="56"/>
      <c r="Y1164" s="138"/>
    </row>
    <row r="1165">
      <c r="A1165" s="56"/>
      <c r="B1165" s="56"/>
      <c r="C1165" s="108" t="str">
        <f>IFNA(VLOOKUP('Dashboard-Dados'!B1165,'Dashboard-Dados'!$Y$2:$AA$13,2),"")</f>
        <v/>
      </c>
      <c r="D1165" s="109">
        <f>IFERROR(GETPIVOTDATA("Valor Recebido",'Dashboard-Dados'!$J$1,$A$1,A1165,$B$1,B1165),0)</f>
        <v>0</v>
      </c>
      <c r="E1165" s="110">
        <f>IFERROR(GETPIVOTDATA("Valor Despesa",'Dashboard-Dados'!$P$1,$A$1,A1165,$B$1,B1165),0)</f>
        <v>0</v>
      </c>
      <c r="F1165" s="110">
        <f t="shared" si="1"/>
        <v>0</v>
      </c>
      <c r="G1165" s="56">
        <f>IFERROR(GETPIVOTDATA("Exame",'Dashboard-Dados'!$J$1,$A$1,A1165,$B$1,B1165),0)</f>
        <v>0</v>
      </c>
      <c r="H1165" s="56">
        <f t="shared" si="2"/>
        <v>1165</v>
      </c>
      <c r="U1165" s="56"/>
      <c r="V1165" s="56"/>
      <c r="W1165" s="56"/>
      <c r="Y1165" s="138"/>
    </row>
    <row r="1166">
      <c r="A1166" s="56"/>
      <c r="B1166" s="56"/>
      <c r="C1166" s="108" t="str">
        <f>IFNA(VLOOKUP('Dashboard-Dados'!B1166,'Dashboard-Dados'!$Y$2:$AA$13,2),"")</f>
        <v/>
      </c>
      <c r="D1166" s="109">
        <f>IFERROR(GETPIVOTDATA("Valor Recebido",'Dashboard-Dados'!$J$1,$A$1,A1166,$B$1,B1166),0)</f>
        <v>0</v>
      </c>
      <c r="E1166" s="110">
        <f>IFERROR(GETPIVOTDATA("Valor Despesa",'Dashboard-Dados'!$P$1,$A$1,A1166,$B$1,B1166),0)</f>
        <v>0</v>
      </c>
      <c r="F1166" s="110">
        <f t="shared" si="1"/>
        <v>0</v>
      </c>
      <c r="G1166" s="56">
        <f>IFERROR(GETPIVOTDATA("Exame",'Dashboard-Dados'!$J$1,$A$1,A1166,$B$1,B1166),0)</f>
        <v>0</v>
      </c>
      <c r="H1166" s="56">
        <f t="shared" si="2"/>
        <v>1166</v>
      </c>
      <c r="U1166" s="56"/>
      <c r="V1166" s="56"/>
      <c r="W1166" s="56"/>
      <c r="Y1166" s="138"/>
    </row>
    <row r="1167">
      <c r="A1167" s="56"/>
      <c r="B1167" s="56"/>
      <c r="C1167" s="108" t="str">
        <f>IFNA(VLOOKUP('Dashboard-Dados'!B1167,'Dashboard-Dados'!$Y$2:$AA$13,2),"")</f>
        <v/>
      </c>
      <c r="D1167" s="109">
        <f>IFERROR(GETPIVOTDATA("Valor Recebido",'Dashboard-Dados'!$J$1,$A$1,A1167,$B$1,B1167),0)</f>
        <v>0</v>
      </c>
      <c r="E1167" s="110">
        <f>IFERROR(GETPIVOTDATA("Valor Despesa",'Dashboard-Dados'!$P$1,$A$1,A1167,$B$1,B1167),0)</f>
        <v>0</v>
      </c>
      <c r="F1167" s="110">
        <f t="shared" si="1"/>
        <v>0</v>
      </c>
      <c r="G1167" s="56">
        <f>IFERROR(GETPIVOTDATA("Exame",'Dashboard-Dados'!$J$1,$A$1,A1167,$B$1,B1167),0)</f>
        <v>0</v>
      </c>
      <c r="H1167" s="56">
        <f t="shared" si="2"/>
        <v>1167</v>
      </c>
      <c r="U1167" s="56"/>
      <c r="V1167" s="56"/>
      <c r="W1167" s="56"/>
      <c r="Y1167" s="138"/>
    </row>
    <row r="1168">
      <c r="A1168" s="56"/>
      <c r="B1168" s="56"/>
      <c r="C1168" s="108" t="str">
        <f>IFNA(VLOOKUP('Dashboard-Dados'!B1168,'Dashboard-Dados'!$Y$2:$AA$13,2),"")</f>
        <v/>
      </c>
      <c r="D1168" s="109">
        <f>IFERROR(GETPIVOTDATA("Valor Recebido",'Dashboard-Dados'!$J$1,$A$1,A1168,$B$1,B1168),0)</f>
        <v>0</v>
      </c>
      <c r="E1168" s="110">
        <f>IFERROR(GETPIVOTDATA("Valor Despesa",'Dashboard-Dados'!$P$1,$A$1,A1168,$B$1,B1168),0)</f>
        <v>0</v>
      </c>
      <c r="F1168" s="110">
        <f t="shared" si="1"/>
        <v>0</v>
      </c>
      <c r="G1168" s="56">
        <f>IFERROR(GETPIVOTDATA("Exame",'Dashboard-Dados'!$J$1,$A$1,A1168,$B$1,B1168),0)</f>
        <v>0</v>
      </c>
      <c r="H1168" s="56">
        <f t="shared" si="2"/>
        <v>1168</v>
      </c>
      <c r="U1168" s="56"/>
      <c r="V1168" s="56"/>
      <c r="W1168" s="56"/>
      <c r="Y1168" s="138"/>
    </row>
    <row r="1169">
      <c r="A1169" s="56"/>
      <c r="B1169" s="56"/>
      <c r="C1169" s="108" t="str">
        <f>IFNA(VLOOKUP('Dashboard-Dados'!B1169,'Dashboard-Dados'!$Y$2:$AA$13,2),"")</f>
        <v/>
      </c>
      <c r="D1169" s="109">
        <f>IFERROR(GETPIVOTDATA("Valor Recebido",'Dashboard-Dados'!$J$1,$A$1,A1169,$B$1,B1169),0)</f>
        <v>0</v>
      </c>
      <c r="E1169" s="110">
        <f>IFERROR(GETPIVOTDATA("Valor Despesa",'Dashboard-Dados'!$P$1,$A$1,A1169,$B$1,B1169),0)</f>
        <v>0</v>
      </c>
      <c r="F1169" s="110">
        <f t="shared" si="1"/>
        <v>0</v>
      </c>
      <c r="G1169" s="56">
        <f>IFERROR(GETPIVOTDATA("Exame",'Dashboard-Dados'!$J$1,$A$1,A1169,$B$1,B1169),0)</f>
        <v>0</v>
      </c>
      <c r="H1169" s="56">
        <f t="shared" si="2"/>
        <v>1169</v>
      </c>
      <c r="U1169" s="56"/>
      <c r="V1169" s="56"/>
      <c r="W1169" s="56"/>
      <c r="Y1169" s="138"/>
    </row>
    <row r="1170">
      <c r="A1170" s="56"/>
      <c r="B1170" s="56"/>
      <c r="C1170" s="108" t="str">
        <f>IFNA(VLOOKUP('Dashboard-Dados'!B1170,'Dashboard-Dados'!$Y$2:$AA$13,2),"")</f>
        <v/>
      </c>
      <c r="D1170" s="109">
        <f>IFERROR(GETPIVOTDATA("Valor Recebido",'Dashboard-Dados'!$J$1,$A$1,A1170,$B$1,B1170),0)</f>
        <v>0</v>
      </c>
      <c r="E1170" s="110">
        <f>IFERROR(GETPIVOTDATA("Valor Despesa",'Dashboard-Dados'!$P$1,$A$1,A1170,$B$1,B1170),0)</f>
        <v>0</v>
      </c>
      <c r="F1170" s="110">
        <f t="shared" si="1"/>
        <v>0</v>
      </c>
      <c r="G1170" s="56">
        <f>IFERROR(GETPIVOTDATA("Exame",'Dashboard-Dados'!$J$1,$A$1,A1170,$B$1,B1170),0)</f>
        <v>0</v>
      </c>
      <c r="H1170" s="56">
        <f t="shared" si="2"/>
        <v>1170</v>
      </c>
      <c r="U1170" s="56"/>
      <c r="V1170" s="56"/>
      <c r="W1170" s="56"/>
      <c r="Y1170" s="138"/>
    </row>
    <row r="1171">
      <c r="A1171" s="56"/>
      <c r="B1171" s="56"/>
      <c r="C1171" s="108" t="str">
        <f>IFNA(VLOOKUP('Dashboard-Dados'!B1171,'Dashboard-Dados'!$Y$2:$AA$13,2),"")</f>
        <v/>
      </c>
      <c r="D1171" s="109">
        <f>IFERROR(GETPIVOTDATA("Valor Recebido",'Dashboard-Dados'!$J$1,$A$1,A1171,$B$1,B1171),0)</f>
        <v>0</v>
      </c>
      <c r="E1171" s="110">
        <f>IFERROR(GETPIVOTDATA("Valor Despesa",'Dashboard-Dados'!$P$1,$A$1,A1171,$B$1,B1171),0)</f>
        <v>0</v>
      </c>
      <c r="F1171" s="110">
        <f t="shared" si="1"/>
        <v>0</v>
      </c>
      <c r="G1171" s="56">
        <f>IFERROR(GETPIVOTDATA("Exame",'Dashboard-Dados'!$J$1,$A$1,A1171,$B$1,B1171),0)</f>
        <v>0</v>
      </c>
      <c r="H1171" s="56">
        <f t="shared" si="2"/>
        <v>1171</v>
      </c>
      <c r="U1171" s="56"/>
      <c r="V1171" s="56"/>
      <c r="W1171" s="56"/>
      <c r="Y1171" s="138"/>
    </row>
    <row r="1172">
      <c r="A1172" s="56"/>
      <c r="B1172" s="56"/>
      <c r="C1172" s="108" t="str">
        <f>IFNA(VLOOKUP('Dashboard-Dados'!B1172,'Dashboard-Dados'!$Y$2:$AA$13,2),"")</f>
        <v/>
      </c>
      <c r="D1172" s="109">
        <f>IFERROR(GETPIVOTDATA("Valor Recebido",'Dashboard-Dados'!$J$1,$A$1,A1172,$B$1,B1172),0)</f>
        <v>0</v>
      </c>
      <c r="E1172" s="110">
        <f>IFERROR(GETPIVOTDATA("Valor Despesa",'Dashboard-Dados'!$P$1,$A$1,A1172,$B$1,B1172),0)</f>
        <v>0</v>
      </c>
      <c r="F1172" s="110">
        <f t="shared" si="1"/>
        <v>0</v>
      </c>
      <c r="G1172" s="56">
        <f>IFERROR(GETPIVOTDATA("Exame",'Dashboard-Dados'!$J$1,$A$1,A1172,$B$1,B1172),0)</f>
        <v>0</v>
      </c>
      <c r="H1172" s="56">
        <f t="shared" si="2"/>
        <v>1172</v>
      </c>
      <c r="U1172" s="56"/>
      <c r="V1172" s="56"/>
      <c r="W1172" s="56"/>
      <c r="Y1172" s="138"/>
    </row>
    <row r="1173">
      <c r="A1173" s="56"/>
      <c r="B1173" s="56"/>
      <c r="C1173" s="108" t="str">
        <f>IFNA(VLOOKUP('Dashboard-Dados'!B1173,'Dashboard-Dados'!$Y$2:$AA$13,2),"")</f>
        <v/>
      </c>
      <c r="D1173" s="109">
        <f>IFERROR(GETPIVOTDATA("Valor Recebido",'Dashboard-Dados'!$J$1,$A$1,A1173,$B$1,B1173),0)</f>
        <v>0</v>
      </c>
      <c r="E1173" s="110">
        <f>IFERROR(GETPIVOTDATA("Valor Despesa",'Dashboard-Dados'!$P$1,$A$1,A1173,$B$1,B1173),0)</f>
        <v>0</v>
      </c>
      <c r="F1173" s="110">
        <f t="shared" si="1"/>
        <v>0</v>
      </c>
      <c r="G1173" s="56">
        <f>IFERROR(GETPIVOTDATA("Exame",'Dashboard-Dados'!$J$1,$A$1,A1173,$B$1,B1173),0)</f>
        <v>0</v>
      </c>
      <c r="H1173" s="56">
        <f t="shared" si="2"/>
        <v>1173</v>
      </c>
      <c r="U1173" s="56"/>
      <c r="V1173" s="56"/>
      <c r="W1173" s="56"/>
      <c r="Y1173" s="138"/>
    </row>
    <row r="1174">
      <c r="A1174" s="56"/>
      <c r="B1174" s="56"/>
      <c r="C1174" s="108" t="str">
        <f>IFNA(VLOOKUP('Dashboard-Dados'!B1174,'Dashboard-Dados'!$Y$2:$AA$13,2),"")</f>
        <v/>
      </c>
      <c r="D1174" s="109">
        <f>IFERROR(GETPIVOTDATA("Valor Recebido",'Dashboard-Dados'!$J$1,$A$1,A1174,$B$1,B1174),0)</f>
        <v>0</v>
      </c>
      <c r="E1174" s="110">
        <f>IFERROR(GETPIVOTDATA("Valor Despesa",'Dashboard-Dados'!$P$1,$A$1,A1174,$B$1,B1174),0)</f>
        <v>0</v>
      </c>
      <c r="F1174" s="110">
        <f t="shared" si="1"/>
        <v>0</v>
      </c>
      <c r="G1174" s="56">
        <f>IFERROR(GETPIVOTDATA("Exame",'Dashboard-Dados'!$J$1,$A$1,A1174,$B$1,B1174),0)</f>
        <v>0</v>
      </c>
      <c r="H1174" s="56">
        <f t="shared" si="2"/>
        <v>1174</v>
      </c>
      <c r="U1174" s="56"/>
      <c r="V1174" s="56"/>
      <c r="W1174" s="56"/>
      <c r="Y1174" s="138"/>
    </row>
    <row r="1175">
      <c r="A1175" s="56"/>
      <c r="B1175" s="56"/>
      <c r="C1175" s="108" t="str">
        <f>IFNA(VLOOKUP('Dashboard-Dados'!B1175,'Dashboard-Dados'!$Y$2:$AA$13,2),"")</f>
        <v/>
      </c>
      <c r="D1175" s="109">
        <f>IFERROR(GETPIVOTDATA("Valor Recebido",'Dashboard-Dados'!$J$1,$A$1,A1175,$B$1,B1175),0)</f>
        <v>0</v>
      </c>
      <c r="E1175" s="110">
        <f>IFERROR(GETPIVOTDATA("Valor Despesa",'Dashboard-Dados'!$P$1,$A$1,A1175,$B$1,B1175),0)</f>
        <v>0</v>
      </c>
      <c r="F1175" s="110">
        <f t="shared" si="1"/>
        <v>0</v>
      </c>
      <c r="G1175" s="56">
        <f>IFERROR(GETPIVOTDATA("Exame",'Dashboard-Dados'!$J$1,$A$1,A1175,$B$1,B1175),0)</f>
        <v>0</v>
      </c>
      <c r="H1175" s="56">
        <f t="shared" si="2"/>
        <v>1175</v>
      </c>
      <c r="U1175" s="56"/>
      <c r="V1175" s="56"/>
      <c r="W1175" s="56"/>
      <c r="Y1175" s="138"/>
    </row>
    <row r="1176">
      <c r="A1176" s="56"/>
      <c r="B1176" s="56"/>
      <c r="C1176" s="108" t="str">
        <f>IFNA(VLOOKUP('Dashboard-Dados'!B1176,'Dashboard-Dados'!$Y$2:$AA$13,2),"")</f>
        <v/>
      </c>
      <c r="D1176" s="109">
        <f>IFERROR(GETPIVOTDATA("Valor Recebido",'Dashboard-Dados'!$J$1,$A$1,A1176,$B$1,B1176),0)</f>
        <v>0</v>
      </c>
      <c r="E1176" s="110">
        <f>IFERROR(GETPIVOTDATA("Valor Despesa",'Dashboard-Dados'!$P$1,$A$1,A1176,$B$1,B1176),0)</f>
        <v>0</v>
      </c>
      <c r="F1176" s="110">
        <f t="shared" si="1"/>
        <v>0</v>
      </c>
      <c r="G1176" s="56">
        <f>IFERROR(GETPIVOTDATA("Exame",'Dashboard-Dados'!$J$1,$A$1,A1176,$B$1,B1176),0)</f>
        <v>0</v>
      </c>
      <c r="H1176" s="56">
        <f t="shared" si="2"/>
        <v>1176</v>
      </c>
      <c r="U1176" s="56"/>
      <c r="V1176" s="56"/>
      <c r="W1176" s="56"/>
      <c r="Y1176" s="138"/>
    </row>
    <row r="1177">
      <c r="A1177" s="56"/>
      <c r="B1177" s="56"/>
      <c r="C1177" s="108" t="str">
        <f>IFNA(VLOOKUP('Dashboard-Dados'!B1177,'Dashboard-Dados'!$Y$2:$AA$13,2),"")</f>
        <v/>
      </c>
      <c r="D1177" s="109">
        <f>IFERROR(GETPIVOTDATA("Valor Recebido",'Dashboard-Dados'!$J$1,$A$1,A1177,$B$1,B1177),0)</f>
        <v>0</v>
      </c>
      <c r="E1177" s="110">
        <f>IFERROR(GETPIVOTDATA("Valor Despesa",'Dashboard-Dados'!$P$1,$A$1,A1177,$B$1,B1177),0)</f>
        <v>0</v>
      </c>
      <c r="F1177" s="110">
        <f t="shared" si="1"/>
        <v>0</v>
      </c>
      <c r="G1177" s="56">
        <f>IFERROR(GETPIVOTDATA("Exame",'Dashboard-Dados'!$J$1,$A$1,A1177,$B$1,B1177),0)</f>
        <v>0</v>
      </c>
      <c r="H1177" s="56">
        <f t="shared" si="2"/>
        <v>1177</v>
      </c>
      <c r="U1177" s="56"/>
      <c r="V1177" s="56"/>
      <c r="W1177" s="56"/>
      <c r="Y1177" s="138"/>
    </row>
    <row r="1178">
      <c r="A1178" s="56"/>
      <c r="B1178" s="56"/>
      <c r="C1178" s="108" t="str">
        <f>IFNA(VLOOKUP('Dashboard-Dados'!B1178,'Dashboard-Dados'!$Y$2:$AA$13,2),"")</f>
        <v/>
      </c>
      <c r="D1178" s="109">
        <f>IFERROR(GETPIVOTDATA("Valor Recebido",'Dashboard-Dados'!$J$1,$A$1,A1178,$B$1,B1178),0)</f>
        <v>0</v>
      </c>
      <c r="E1178" s="110">
        <f>IFERROR(GETPIVOTDATA("Valor Despesa",'Dashboard-Dados'!$P$1,$A$1,A1178,$B$1,B1178),0)</f>
        <v>0</v>
      </c>
      <c r="F1178" s="110">
        <f t="shared" si="1"/>
        <v>0</v>
      </c>
      <c r="G1178" s="56">
        <f>IFERROR(GETPIVOTDATA("Exame",'Dashboard-Dados'!$J$1,$A$1,A1178,$B$1,B1178),0)</f>
        <v>0</v>
      </c>
      <c r="H1178" s="56">
        <f t="shared" si="2"/>
        <v>1178</v>
      </c>
      <c r="U1178" s="56"/>
      <c r="V1178" s="56"/>
      <c r="W1178" s="56"/>
      <c r="Y1178" s="138"/>
    </row>
    <row r="1179">
      <c r="A1179" s="56"/>
      <c r="B1179" s="56"/>
      <c r="C1179" s="108" t="str">
        <f>IFNA(VLOOKUP('Dashboard-Dados'!B1179,'Dashboard-Dados'!$Y$2:$AA$13,2),"")</f>
        <v/>
      </c>
      <c r="D1179" s="109">
        <f>IFERROR(GETPIVOTDATA("Valor Recebido",'Dashboard-Dados'!$J$1,$A$1,A1179,$B$1,B1179),0)</f>
        <v>0</v>
      </c>
      <c r="E1179" s="110">
        <f>IFERROR(GETPIVOTDATA("Valor Despesa",'Dashboard-Dados'!$P$1,$A$1,A1179,$B$1,B1179),0)</f>
        <v>0</v>
      </c>
      <c r="F1179" s="110">
        <f t="shared" si="1"/>
        <v>0</v>
      </c>
      <c r="G1179" s="56">
        <f>IFERROR(GETPIVOTDATA("Exame",'Dashboard-Dados'!$J$1,$A$1,A1179,$B$1,B1179),0)</f>
        <v>0</v>
      </c>
      <c r="H1179" s="56">
        <f t="shared" si="2"/>
        <v>1179</v>
      </c>
      <c r="U1179" s="56"/>
      <c r="V1179" s="56"/>
      <c r="W1179" s="56"/>
      <c r="Y1179" s="138"/>
    </row>
    <row r="1180">
      <c r="A1180" s="56"/>
      <c r="B1180" s="56"/>
      <c r="C1180" s="108" t="str">
        <f>IFNA(VLOOKUP('Dashboard-Dados'!B1180,'Dashboard-Dados'!$Y$2:$AA$13,2),"")</f>
        <v/>
      </c>
      <c r="D1180" s="109">
        <f>IFERROR(GETPIVOTDATA("Valor Recebido",'Dashboard-Dados'!$J$1,$A$1,A1180,$B$1,B1180),0)</f>
        <v>0</v>
      </c>
      <c r="E1180" s="110">
        <f>IFERROR(GETPIVOTDATA("Valor Despesa",'Dashboard-Dados'!$P$1,$A$1,A1180,$B$1,B1180),0)</f>
        <v>0</v>
      </c>
      <c r="F1180" s="110">
        <f t="shared" si="1"/>
        <v>0</v>
      </c>
      <c r="G1180" s="56">
        <f>IFERROR(GETPIVOTDATA("Exame",'Dashboard-Dados'!$J$1,$A$1,A1180,$B$1,B1180),0)</f>
        <v>0</v>
      </c>
      <c r="H1180" s="56">
        <f t="shared" si="2"/>
        <v>1180</v>
      </c>
      <c r="U1180" s="56"/>
      <c r="V1180" s="56"/>
      <c r="W1180" s="56"/>
      <c r="Y1180" s="138"/>
    </row>
    <row r="1181">
      <c r="A1181" s="56"/>
      <c r="B1181" s="56"/>
      <c r="C1181" s="108" t="str">
        <f>IFNA(VLOOKUP('Dashboard-Dados'!B1181,'Dashboard-Dados'!$Y$2:$AA$13,2),"")</f>
        <v/>
      </c>
      <c r="D1181" s="109">
        <f>IFERROR(GETPIVOTDATA("Valor Recebido",'Dashboard-Dados'!$J$1,$A$1,A1181,$B$1,B1181),0)</f>
        <v>0</v>
      </c>
      <c r="E1181" s="110">
        <f>IFERROR(GETPIVOTDATA("Valor Despesa",'Dashboard-Dados'!$P$1,$A$1,A1181,$B$1,B1181),0)</f>
        <v>0</v>
      </c>
      <c r="F1181" s="110">
        <f t="shared" si="1"/>
        <v>0</v>
      </c>
      <c r="G1181" s="56">
        <f>IFERROR(GETPIVOTDATA("Exame",'Dashboard-Dados'!$J$1,$A$1,A1181,$B$1,B1181),0)</f>
        <v>0</v>
      </c>
      <c r="H1181" s="56">
        <f t="shared" si="2"/>
        <v>1181</v>
      </c>
      <c r="U1181" s="56"/>
      <c r="V1181" s="56"/>
      <c r="W1181" s="56"/>
      <c r="Y1181" s="138"/>
    </row>
    <row r="1182">
      <c r="A1182" s="56"/>
      <c r="B1182" s="56"/>
      <c r="C1182" s="108" t="str">
        <f>IFNA(VLOOKUP('Dashboard-Dados'!B1182,'Dashboard-Dados'!$Y$2:$AA$13,2),"")</f>
        <v/>
      </c>
      <c r="D1182" s="109">
        <f>IFERROR(GETPIVOTDATA("Valor Recebido",'Dashboard-Dados'!$J$1,$A$1,A1182,$B$1,B1182),0)</f>
        <v>0</v>
      </c>
      <c r="E1182" s="110">
        <f>IFERROR(GETPIVOTDATA("Valor Despesa",'Dashboard-Dados'!$P$1,$A$1,A1182,$B$1,B1182),0)</f>
        <v>0</v>
      </c>
      <c r="F1182" s="110">
        <f t="shared" si="1"/>
        <v>0</v>
      </c>
      <c r="G1182" s="56">
        <f>IFERROR(GETPIVOTDATA("Exame",'Dashboard-Dados'!$J$1,$A$1,A1182,$B$1,B1182),0)</f>
        <v>0</v>
      </c>
      <c r="H1182" s="56">
        <f t="shared" si="2"/>
        <v>1182</v>
      </c>
      <c r="U1182" s="56"/>
      <c r="V1182" s="56"/>
      <c r="W1182" s="56"/>
      <c r="Y1182" s="138"/>
    </row>
    <row r="1183">
      <c r="A1183" s="56"/>
      <c r="B1183" s="56"/>
      <c r="C1183" s="108" t="str">
        <f>IFNA(VLOOKUP('Dashboard-Dados'!B1183,'Dashboard-Dados'!$Y$2:$AA$13,2),"")</f>
        <v/>
      </c>
      <c r="D1183" s="109">
        <f>IFERROR(GETPIVOTDATA("Valor Recebido",'Dashboard-Dados'!$J$1,$A$1,A1183,$B$1,B1183),0)</f>
        <v>0</v>
      </c>
      <c r="E1183" s="110">
        <f>IFERROR(GETPIVOTDATA("Valor Despesa",'Dashboard-Dados'!$P$1,$A$1,A1183,$B$1,B1183),0)</f>
        <v>0</v>
      </c>
      <c r="F1183" s="110">
        <f t="shared" si="1"/>
        <v>0</v>
      </c>
      <c r="G1183" s="56">
        <f>IFERROR(GETPIVOTDATA("Exame",'Dashboard-Dados'!$J$1,$A$1,A1183,$B$1,B1183),0)</f>
        <v>0</v>
      </c>
      <c r="H1183" s="56">
        <f t="shared" si="2"/>
        <v>1183</v>
      </c>
      <c r="U1183" s="56"/>
      <c r="V1183" s="56"/>
      <c r="W1183" s="56"/>
      <c r="Y1183" s="138"/>
    </row>
    <row r="1184">
      <c r="A1184" s="56"/>
      <c r="B1184" s="56"/>
      <c r="C1184" s="108" t="str">
        <f>IFNA(VLOOKUP('Dashboard-Dados'!B1184,'Dashboard-Dados'!$Y$2:$AA$13,2),"")</f>
        <v/>
      </c>
      <c r="D1184" s="109">
        <f>IFERROR(GETPIVOTDATA("Valor Recebido",'Dashboard-Dados'!$J$1,$A$1,A1184,$B$1,B1184),0)</f>
        <v>0</v>
      </c>
      <c r="E1184" s="110">
        <f>IFERROR(GETPIVOTDATA("Valor Despesa",'Dashboard-Dados'!$P$1,$A$1,A1184,$B$1,B1184),0)</f>
        <v>0</v>
      </c>
      <c r="F1184" s="110">
        <f t="shared" si="1"/>
        <v>0</v>
      </c>
      <c r="G1184" s="56">
        <f>IFERROR(GETPIVOTDATA("Exame",'Dashboard-Dados'!$J$1,$A$1,A1184,$B$1,B1184),0)</f>
        <v>0</v>
      </c>
      <c r="H1184" s="56">
        <f t="shared" si="2"/>
        <v>1184</v>
      </c>
      <c r="U1184" s="56"/>
      <c r="V1184" s="56"/>
      <c r="W1184" s="56"/>
      <c r="Y1184" s="138"/>
    </row>
    <row r="1185">
      <c r="A1185" s="56"/>
      <c r="B1185" s="56"/>
      <c r="C1185" s="108" t="str">
        <f>IFNA(VLOOKUP('Dashboard-Dados'!B1185,'Dashboard-Dados'!$Y$2:$AA$13,2),"")</f>
        <v/>
      </c>
      <c r="D1185" s="109">
        <f>IFERROR(GETPIVOTDATA("Valor Recebido",'Dashboard-Dados'!$J$1,$A$1,A1185,$B$1,B1185),0)</f>
        <v>0</v>
      </c>
      <c r="E1185" s="110">
        <f>IFERROR(GETPIVOTDATA("Valor Despesa",'Dashboard-Dados'!$P$1,$A$1,A1185,$B$1,B1185),0)</f>
        <v>0</v>
      </c>
      <c r="F1185" s="110">
        <f t="shared" si="1"/>
        <v>0</v>
      </c>
      <c r="G1185" s="56">
        <f>IFERROR(GETPIVOTDATA("Exame",'Dashboard-Dados'!$J$1,$A$1,A1185,$B$1,B1185),0)</f>
        <v>0</v>
      </c>
      <c r="H1185" s="56">
        <f t="shared" si="2"/>
        <v>1185</v>
      </c>
      <c r="U1185" s="56"/>
      <c r="V1185" s="56"/>
      <c r="W1185" s="56"/>
      <c r="Y1185" s="138"/>
    </row>
    <row r="1186">
      <c r="A1186" s="56"/>
      <c r="B1186" s="56"/>
      <c r="C1186" s="108" t="str">
        <f>IFNA(VLOOKUP('Dashboard-Dados'!B1186,'Dashboard-Dados'!$Y$2:$AA$13,2),"")</f>
        <v/>
      </c>
      <c r="D1186" s="109">
        <f>IFERROR(GETPIVOTDATA("Valor Recebido",'Dashboard-Dados'!$J$1,$A$1,A1186,$B$1,B1186),0)</f>
        <v>0</v>
      </c>
      <c r="E1186" s="110">
        <f>IFERROR(GETPIVOTDATA("Valor Despesa",'Dashboard-Dados'!$P$1,$A$1,A1186,$B$1,B1186),0)</f>
        <v>0</v>
      </c>
      <c r="F1186" s="110">
        <f t="shared" si="1"/>
        <v>0</v>
      </c>
      <c r="G1186" s="56">
        <f>IFERROR(GETPIVOTDATA("Exame",'Dashboard-Dados'!$J$1,$A$1,A1186,$B$1,B1186),0)</f>
        <v>0</v>
      </c>
      <c r="H1186" s="56">
        <f t="shared" si="2"/>
        <v>1186</v>
      </c>
      <c r="U1186" s="56"/>
      <c r="V1186" s="56"/>
      <c r="W1186" s="56"/>
      <c r="Y1186" s="138"/>
    </row>
    <row r="1187">
      <c r="A1187" s="56"/>
      <c r="B1187" s="56"/>
      <c r="C1187" s="108" t="str">
        <f>IFNA(VLOOKUP('Dashboard-Dados'!B1187,'Dashboard-Dados'!$Y$2:$AA$13,2),"")</f>
        <v/>
      </c>
      <c r="D1187" s="109">
        <f>IFERROR(GETPIVOTDATA("Valor Recebido",'Dashboard-Dados'!$J$1,$A$1,A1187,$B$1,B1187),0)</f>
        <v>0</v>
      </c>
      <c r="E1187" s="110">
        <f>IFERROR(GETPIVOTDATA("Valor Despesa",'Dashboard-Dados'!$P$1,$A$1,A1187,$B$1,B1187),0)</f>
        <v>0</v>
      </c>
      <c r="F1187" s="110">
        <f t="shared" si="1"/>
        <v>0</v>
      </c>
      <c r="G1187" s="56">
        <f>IFERROR(GETPIVOTDATA("Exame",'Dashboard-Dados'!$J$1,$A$1,A1187,$B$1,B1187),0)</f>
        <v>0</v>
      </c>
      <c r="H1187" s="56">
        <f t="shared" si="2"/>
        <v>1187</v>
      </c>
      <c r="U1187" s="56"/>
      <c r="V1187" s="56"/>
      <c r="W1187" s="56"/>
      <c r="Y1187" s="138"/>
    </row>
    <row r="1188">
      <c r="A1188" s="56"/>
      <c r="B1188" s="56"/>
      <c r="C1188" s="108" t="str">
        <f>IFNA(VLOOKUP('Dashboard-Dados'!B1188,'Dashboard-Dados'!$Y$2:$AA$13,2),"")</f>
        <v/>
      </c>
      <c r="D1188" s="109">
        <f>IFERROR(GETPIVOTDATA("Valor Recebido",'Dashboard-Dados'!$J$1,$A$1,A1188,$B$1,B1188),0)</f>
        <v>0</v>
      </c>
      <c r="E1188" s="110">
        <f>IFERROR(GETPIVOTDATA("Valor Despesa",'Dashboard-Dados'!$P$1,$A$1,A1188,$B$1,B1188),0)</f>
        <v>0</v>
      </c>
      <c r="F1188" s="110">
        <f t="shared" si="1"/>
        <v>0</v>
      </c>
      <c r="G1188" s="56">
        <f>IFERROR(GETPIVOTDATA("Exame",'Dashboard-Dados'!$J$1,$A$1,A1188,$B$1,B1188),0)</f>
        <v>0</v>
      </c>
      <c r="H1188" s="56">
        <f t="shared" si="2"/>
        <v>1188</v>
      </c>
      <c r="U1188" s="56"/>
      <c r="V1188" s="56"/>
      <c r="W1188" s="56"/>
      <c r="Y1188" s="138"/>
    </row>
    <row r="1189">
      <c r="A1189" s="56"/>
      <c r="B1189" s="56"/>
      <c r="C1189" s="108" t="str">
        <f>IFNA(VLOOKUP('Dashboard-Dados'!B1189,'Dashboard-Dados'!$Y$2:$AA$13,2),"")</f>
        <v/>
      </c>
      <c r="D1189" s="109">
        <f>IFERROR(GETPIVOTDATA("Valor Recebido",'Dashboard-Dados'!$J$1,$A$1,A1189,$B$1,B1189),0)</f>
        <v>0</v>
      </c>
      <c r="E1189" s="110">
        <f>IFERROR(GETPIVOTDATA("Valor Despesa",'Dashboard-Dados'!$P$1,$A$1,A1189,$B$1,B1189),0)</f>
        <v>0</v>
      </c>
      <c r="F1189" s="110">
        <f t="shared" si="1"/>
        <v>0</v>
      </c>
      <c r="G1189" s="56">
        <f>IFERROR(GETPIVOTDATA("Exame",'Dashboard-Dados'!$J$1,$A$1,A1189,$B$1,B1189),0)</f>
        <v>0</v>
      </c>
      <c r="H1189" s="56">
        <f t="shared" si="2"/>
        <v>1189</v>
      </c>
      <c r="U1189" s="56"/>
      <c r="V1189" s="56"/>
      <c r="W1189" s="56"/>
      <c r="Y1189" s="138"/>
    </row>
    <row r="1190">
      <c r="A1190" s="56"/>
      <c r="B1190" s="56"/>
      <c r="C1190" s="108" t="str">
        <f>IFNA(VLOOKUP('Dashboard-Dados'!B1190,'Dashboard-Dados'!$Y$2:$AA$13,2),"")</f>
        <v/>
      </c>
      <c r="D1190" s="109">
        <f>IFERROR(GETPIVOTDATA("Valor Recebido",'Dashboard-Dados'!$J$1,$A$1,A1190,$B$1,B1190),0)</f>
        <v>0</v>
      </c>
      <c r="E1190" s="110">
        <f>IFERROR(GETPIVOTDATA("Valor Despesa",'Dashboard-Dados'!$P$1,$A$1,A1190,$B$1,B1190),0)</f>
        <v>0</v>
      </c>
      <c r="F1190" s="110">
        <f t="shared" si="1"/>
        <v>0</v>
      </c>
      <c r="G1190" s="56">
        <f>IFERROR(GETPIVOTDATA("Exame",'Dashboard-Dados'!$J$1,$A$1,A1190,$B$1,B1190),0)</f>
        <v>0</v>
      </c>
      <c r="H1190" s="56">
        <f t="shared" si="2"/>
        <v>1190</v>
      </c>
      <c r="U1190" s="56"/>
      <c r="V1190" s="56"/>
      <c r="W1190" s="56"/>
      <c r="Y1190" s="138"/>
    </row>
    <row r="1191">
      <c r="A1191" s="56"/>
      <c r="B1191" s="56"/>
      <c r="C1191" s="108" t="str">
        <f>IFNA(VLOOKUP('Dashboard-Dados'!B1191,'Dashboard-Dados'!$Y$2:$AA$13,2),"")</f>
        <v/>
      </c>
      <c r="D1191" s="109">
        <f>IFERROR(GETPIVOTDATA("Valor Recebido",'Dashboard-Dados'!$J$1,$A$1,A1191,$B$1,B1191),0)</f>
        <v>0</v>
      </c>
      <c r="E1191" s="110">
        <f>IFERROR(GETPIVOTDATA("Valor Despesa",'Dashboard-Dados'!$P$1,$A$1,A1191,$B$1,B1191),0)</f>
        <v>0</v>
      </c>
      <c r="F1191" s="110">
        <f t="shared" si="1"/>
        <v>0</v>
      </c>
      <c r="G1191" s="56">
        <f>IFERROR(GETPIVOTDATA("Exame",'Dashboard-Dados'!$J$1,$A$1,A1191,$B$1,B1191),0)</f>
        <v>0</v>
      </c>
      <c r="H1191" s="56">
        <f t="shared" si="2"/>
        <v>1191</v>
      </c>
      <c r="U1191" s="56"/>
      <c r="V1191" s="56"/>
      <c r="W1191" s="56"/>
      <c r="Y1191" s="138"/>
    </row>
    <row r="1192">
      <c r="A1192" s="56"/>
      <c r="B1192" s="56"/>
      <c r="C1192" s="108" t="str">
        <f>IFNA(VLOOKUP('Dashboard-Dados'!B1192,'Dashboard-Dados'!$Y$2:$AA$13,2),"")</f>
        <v/>
      </c>
      <c r="D1192" s="109">
        <f>IFERROR(GETPIVOTDATA("Valor Recebido",'Dashboard-Dados'!$J$1,$A$1,A1192,$B$1,B1192),0)</f>
        <v>0</v>
      </c>
      <c r="E1192" s="110">
        <f>IFERROR(GETPIVOTDATA("Valor Despesa",'Dashboard-Dados'!$P$1,$A$1,A1192,$B$1,B1192),0)</f>
        <v>0</v>
      </c>
      <c r="F1192" s="110">
        <f t="shared" si="1"/>
        <v>0</v>
      </c>
      <c r="G1192" s="56">
        <f>IFERROR(GETPIVOTDATA("Exame",'Dashboard-Dados'!$J$1,$A$1,A1192,$B$1,B1192),0)</f>
        <v>0</v>
      </c>
      <c r="H1192" s="56">
        <f t="shared" si="2"/>
        <v>1192</v>
      </c>
      <c r="U1192" s="56"/>
      <c r="V1192" s="56"/>
      <c r="W1192" s="56"/>
      <c r="Y1192" s="138"/>
    </row>
    <row r="1193">
      <c r="A1193" s="56"/>
      <c r="B1193" s="56"/>
      <c r="C1193" s="108" t="str">
        <f>IFNA(VLOOKUP('Dashboard-Dados'!B1193,'Dashboard-Dados'!$Y$2:$AA$13,2),"")</f>
        <v/>
      </c>
      <c r="D1193" s="109">
        <f>IFERROR(GETPIVOTDATA("Valor Recebido",'Dashboard-Dados'!$J$1,$A$1,A1193,$B$1,B1193),0)</f>
        <v>0</v>
      </c>
      <c r="E1193" s="110">
        <f>IFERROR(GETPIVOTDATA("Valor Despesa",'Dashboard-Dados'!$P$1,$A$1,A1193,$B$1,B1193),0)</f>
        <v>0</v>
      </c>
      <c r="F1193" s="110">
        <f t="shared" si="1"/>
        <v>0</v>
      </c>
      <c r="G1193" s="56">
        <f>IFERROR(GETPIVOTDATA("Exame",'Dashboard-Dados'!$J$1,$A$1,A1193,$B$1,B1193),0)</f>
        <v>0</v>
      </c>
      <c r="H1193" s="56">
        <f t="shared" si="2"/>
        <v>1193</v>
      </c>
      <c r="U1193" s="56"/>
      <c r="V1193" s="56"/>
      <c r="W1193" s="56"/>
      <c r="Y1193" s="138"/>
    </row>
    <row r="1194">
      <c r="A1194" s="56"/>
      <c r="B1194" s="56"/>
      <c r="C1194" s="108" t="str">
        <f>IFNA(VLOOKUP('Dashboard-Dados'!B1194,'Dashboard-Dados'!$Y$2:$AA$13,2),"")</f>
        <v/>
      </c>
      <c r="D1194" s="109">
        <f>IFERROR(GETPIVOTDATA("Valor Recebido",'Dashboard-Dados'!$J$1,$A$1,A1194,$B$1,B1194),0)</f>
        <v>0</v>
      </c>
      <c r="E1194" s="110">
        <f>IFERROR(GETPIVOTDATA("Valor Despesa",'Dashboard-Dados'!$P$1,$A$1,A1194,$B$1,B1194),0)</f>
        <v>0</v>
      </c>
      <c r="F1194" s="110">
        <f t="shared" si="1"/>
        <v>0</v>
      </c>
      <c r="G1194" s="56">
        <f>IFERROR(GETPIVOTDATA("Exame",'Dashboard-Dados'!$J$1,$A$1,A1194,$B$1,B1194),0)</f>
        <v>0</v>
      </c>
      <c r="H1194" s="56">
        <f t="shared" si="2"/>
        <v>1194</v>
      </c>
      <c r="U1194" s="56"/>
      <c r="V1194" s="56"/>
      <c r="W1194" s="56"/>
      <c r="Y1194" s="138"/>
    </row>
    <row r="1195">
      <c r="A1195" s="56"/>
      <c r="B1195" s="56"/>
      <c r="C1195" s="108" t="str">
        <f>IFNA(VLOOKUP('Dashboard-Dados'!B1195,'Dashboard-Dados'!$Y$2:$AA$13,2),"")</f>
        <v/>
      </c>
      <c r="D1195" s="109">
        <f>IFERROR(GETPIVOTDATA("Valor Recebido",'Dashboard-Dados'!$J$1,$A$1,A1195,$B$1,B1195),0)</f>
        <v>0</v>
      </c>
      <c r="E1195" s="110">
        <f>IFERROR(GETPIVOTDATA("Valor Despesa",'Dashboard-Dados'!$P$1,$A$1,A1195,$B$1,B1195),0)</f>
        <v>0</v>
      </c>
      <c r="F1195" s="110">
        <f t="shared" si="1"/>
        <v>0</v>
      </c>
      <c r="G1195" s="56">
        <f>IFERROR(GETPIVOTDATA("Exame",'Dashboard-Dados'!$J$1,$A$1,A1195,$B$1,B1195),0)</f>
        <v>0</v>
      </c>
      <c r="H1195" s="56">
        <f t="shared" si="2"/>
        <v>1195</v>
      </c>
      <c r="U1195" s="56"/>
      <c r="V1195" s="56"/>
      <c r="W1195" s="56"/>
      <c r="Y1195" s="138"/>
    </row>
    <row r="1196">
      <c r="A1196" s="56"/>
      <c r="B1196" s="56"/>
      <c r="C1196" s="108" t="str">
        <f>IFNA(VLOOKUP('Dashboard-Dados'!B1196,'Dashboard-Dados'!$Y$2:$AA$13,2),"")</f>
        <v/>
      </c>
      <c r="D1196" s="109">
        <f>IFERROR(GETPIVOTDATA("Valor Recebido",'Dashboard-Dados'!$J$1,$A$1,A1196,$B$1,B1196),0)</f>
        <v>0</v>
      </c>
      <c r="E1196" s="110">
        <f>IFERROR(GETPIVOTDATA("Valor Despesa",'Dashboard-Dados'!$P$1,$A$1,A1196,$B$1,B1196),0)</f>
        <v>0</v>
      </c>
      <c r="F1196" s="110">
        <f t="shared" si="1"/>
        <v>0</v>
      </c>
      <c r="G1196" s="56">
        <f>IFERROR(GETPIVOTDATA("Exame",'Dashboard-Dados'!$J$1,$A$1,A1196,$B$1,B1196),0)</f>
        <v>0</v>
      </c>
      <c r="H1196" s="56">
        <f t="shared" si="2"/>
        <v>1196</v>
      </c>
      <c r="U1196" s="56"/>
      <c r="V1196" s="56"/>
      <c r="W1196" s="56"/>
      <c r="Y1196" s="138"/>
    </row>
    <row r="1197">
      <c r="A1197" s="56"/>
      <c r="B1197" s="56"/>
      <c r="C1197" s="108" t="str">
        <f>IFNA(VLOOKUP('Dashboard-Dados'!B1197,'Dashboard-Dados'!$Y$2:$AA$13,2),"")</f>
        <v/>
      </c>
      <c r="D1197" s="109">
        <f>IFERROR(GETPIVOTDATA("Valor Recebido",'Dashboard-Dados'!$J$1,$A$1,A1197,$B$1,B1197),0)</f>
        <v>0</v>
      </c>
      <c r="E1197" s="110">
        <f>IFERROR(GETPIVOTDATA("Valor Despesa",'Dashboard-Dados'!$P$1,$A$1,A1197,$B$1,B1197),0)</f>
        <v>0</v>
      </c>
      <c r="F1197" s="110">
        <f t="shared" si="1"/>
        <v>0</v>
      </c>
      <c r="G1197" s="56">
        <f>IFERROR(GETPIVOTDATA("Exame",'Dashboard-Dados'!$J$1,$A$1,A1197,$B$1,B1197),0)</f>
        <v>0</v>
      </c>
      <c r="H1197" s="56">
        <f t="shared" si="2"/>
        <v>1197</v>
      </c>
      <c r="U1197" s="56"/>
      <c r="V1197" s="56"/>
      <c r="W1197" s="56"/>
      <c r="Y1197" s="138"/>
    </row>
    <row r="1198">
      <c r="A1198" s="56"/>
      <c r="B1198" s="56"/>
      <c r="C1198" s="108" t="str">
        <f>IFNA(VLOOKUP('Dashboard-Dados'!B1198,'Dashboard-Dados'!$Y$2:$AA$13,2),"")</f>
        <v/>
      </c>
      <c r="D1198" s="109">
        <f>IFERROR(GETPIVOTDATA("Valor Recebido",'Dashboard-Dados'!$J$1,$A$1,A1198,$B$1,B1198),0)</f>
        <v>0</v>
      </c>
      <c r="E1198" s="110">
        <f>IFERROR(GETPIVOTDATA("Valor Despesa",'Dashboard-Dados'!$P$1,$A$1,A1198,$B$1,B1198),0)</f>
        <v>0</v>
      </c>
      <c r="F1198" s="110">
        <f t="shared" si="1"/>
        <v>0</v>
      </c>
      <c r="G1198" s="56">
        <f>IFERROR(GETPIVOTDATA("Exame",'Dashboard-Dados'!$J$1,$A$1,A1198,$B$1,B1198),0)</f>
        <v>0</v>
      </c>
      <c r="H1198" s="56">
        <f t="shared" si="2"/>
        <v>1198</v>
      </c>
      <c r="U1198" s="56"/>
      <c r="V1198" s="56"/>
      <c r="W1198" s="56"/>
      <c r="Y1198" s="138"/>
    </row>
    <row r="1199">
      <c r="A1199" s="56"/>
      <c r="B1199" s="56"/>
      <c r="C1199" s="108" t="str">
        <f>IFNA(VLOOKUP('Dashboard-Dados'!B1199,'Dashboard-Dados'!$Y$2:$AA$13,2),"")</f>
        <v/>
      </c>
      <c r="D1199" s="109">
        <f>IFERROR(GETPIVOTDATA("Valor Recebido",'Dashboard-Dados'!$J$1,$A$1,A1199,$B$1,B1199),0)</f>
        <v>0</v>
      </c>
      <c r="E1199" s="110">
        <f>IFERROR(GETPIVOTDATA("Valor Despesa",'Dashboard-Dados'!$P$1,$A$1,A1199,$B$1,B1199),0)</f>
        <v>0</v>
      </c>
      <c r="F1199" s="110">
        <f t="shared" si="1"/>
        <v>0</v>
      </c>
      <c r="G1199" s="56">
        <f>IFERROR(GETPIVOTDATA("Exame",'Dashboard-Dados'!$J$1,$A$1,A1199,$B$1,B1199),0)</f>
        <v>0</v>
      </c>
      <c r="H1199" s="56">
        <f t="shared" si="2"/>
        <v>1199</v>
      </c>
      <c r="U1199" s="56"/>
      <c r="V1199" s="56"/>
      <c r="W1199" s="56"/>
      <c r="Y1199" s="138"/>
    </row>
    <row r="1200">
      <c r="A1200" s="56"/>
      <c r="B1200" s="56"/>
      <c r="C1200" s="108" t="str">
        <f>IFNA(VLOOKUP('Dashboard-Dados'!B1200,'Dashboard-Dados'!$Y$2:$AA$13,2),"")</f>
        <v/>
      </c>
      <c r="D1200" s="109">
        <f>IFERROR(GETPIVOTDATA("Valor Recebido",'Dashboard-Dados'!$J$1,$A$1,A1200,$B$1,B1200),0)</f>
        <v>0</v>
      </c>
      <c r="E1200" s="110">
        <f>IFERROR(GETPIVOTDATA("Valor Despesa",'Dashboard-Dados'!$P$1,$A$1,A1200,$B$1,B1200),0)</f>
        <v>0</v>
      </c>
      <c r="F1200" s="110">
        <f t="shared" si="1"/>
        <v>0</v>
      </c>
      <c r="G1200" s="56">
        <f>IFERROR(GETPIVOTDATA("Exame",'Dashboard-Dados'!$J$1,$A$1,A1200,$B$1,B1200),0)</f>
        <v>0</v>
      </c>
      <c r="H1200" s="56">
        <f t="shared" si="2"/>
        <v>1200</v>
      </c>
      <c r="U1200" s="56"/>
      <c r="V1200" s="56"/>
      <c r="W1200" s="56"/>
      <c r="Y1200" s="138"/>
    </row>
    <row r="1201">
      <c r="A1201" s="56"/>
      <c r="B1201" s="56"/>
      <c r="C1201" s="108" t="str">
        <f>IFNA(VLOOKUP('Dashboard-Dados'!B1201,'Dashboard-Dados'!$Y$2:$AA$13,2),"")</f>
        <v/>
      </c>
      <c r="D1201" s="109">
        <f>IFERROR(GETPIVOTDATA("Valor Recebido",'Dashboard-Dados'!$J$1,$A$1,A1201,$B$1,B1201),0)</f>
        <v>0</v>
      </c>
      <c r="E1201" s="110">
        <f>IFERROR(GETPIVOTDATA("Valor Despesa",'Dashboard-Dados'!$P$1,$A$1,A1201,$B$1,B1201),0)</f>
        <v>0</v>
      </c>
      <c r="F1201" s="110">
        <f t="shared" si="1"/>
        <v>0</v>
      </c>
      <c r="G1201" s="56">
        <f>IFERROR(GETPIVOTDATA("Exame",'Dashboard-Dados'!$J$1,$A$1,A1201,$B$1,B1201),0)</f>
        <v>0</v>
      </c>
      <c r="H1201" s="56">
        <f t="shared" si="2"/>
        <v>1201</v>
      </c>
      <c r="U1201" s="56"/>
      <c r="V1201" s="56"/>
      <c r="W1201" s="56"/>
      <c r="Y1201" s="138"/>
    </row>
  </sheetData>
  <mergeCells count="1">
    <mergeCell ref="AE7:AI7"/>
  </mergeCells>
  <drawing r:id="rId1"/>
  <tableParts count="3">
    <tablePart r:id="rId5"/>
    <tablePart r:id="rId6"/>
    <tablePart r:id="rId7"/>
  </tableParts>
</worksheet>
</file>